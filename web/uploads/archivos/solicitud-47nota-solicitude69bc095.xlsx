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Hoja1" sheetId="1" r:id="rId1"/>
    <sheet name="CONVENIO" sheetId="2" r:id="rId2"/>
    <sheet name="NP FAR" sheetId="5" r:id="rId3"/>
    <sheet name="APG FAR" sheetId="6" r:id="rId4"/>
  </sheets>
  <externalReferences>
    <externalReference r:id="rId5"/>
  </externalReferences>
  <calcPr calcId="162913"/>
</workbook>
</file>

<file path=xl/calcChain.xml><?xml version="1.0" encoding="utf-8"?>
<calcChain xmlns="http://schemas.openxmlformats.org/spreadsheetml/2006/main">
  <c r="Q15" i="6" l="1"/>
  <c r="Q38" i="6" s="1"/>
  <c r="C12" i="5"/>
  <c r="B12" i="5"/>
  <c r="A12" i="5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4" i="2"/>
  <c r="L38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4" i="2"/>
  <c r="J38" i="2" s="1"/>
  <c r="A41" i="6"/>
  <c r="G7" i="6"/>
  <c r="G6" i="6"/>
  <c r="G5" i="6"/>
  <c r="G4" i="6"/>
  <c r="J21" i="5"/>
  <c r="I12" i="5"/>
</calcChain>
</file>

<file path=xl/sharedStrings.xml><?xml version="1.0" encoding="utf-8"?>
<sst xmlns="http://schemas.openxmlformats.org/spreadsheetml/2006/main" count="207" uniqueCount="132">
  <si>
    <t>2.5.2</t>
  </si>
  <si>
    <t>2.5.2-1726.10</t>
  </si>
  <si>
    <t>SOLUCIONES P/MEDICINA; TIPO: AGUA P/IRRIGACION QUIRURGICA, PRESENTACION: SACHET X 2000 mL</t>
  </si>
  <si>
    <t>UNIDAD</t>
  </si>
  <si>
    <t>2.5.2-1726.520</t>
  </si>
  <si>
    <t>SOLUCIONES P/MEDICINA; TIPO: AGUA DESTILADA, PRESENTACION: AMPOLLA DE 10 ML</t>
  </si>
  <si>
    <t>2.5.2-1726.186</t>
  </si>
  <si>
    <t>SOLUCIONES P/MEDICINA; TIPO: AGUA DESTILADA, PRESENTACION: ENVASE X 500 mL</t>
  </si>
  <si>
    <t>2.5.2-2183.7</t>
  </si>
  <si>
    <t>EXPANSORES PLASMATICOS; PRINCIPIO ACTIVO: ALBUMINA HUMANA, CONCENTRACION: 20 %, PRESENTACION: 50ML</t>
  </si>
  <si>
    <t>2.5.2-1903.103</t>
  </si>
  <si>
    <t>RECONSTITUYENTE GENERAL; DROGA GENERICA: ALIMENTO ENTERAL PARA SONDA FORTIFICADO CON FIBRAS, FORMA FARMACEUTICA: ENVASE, PRESENTACION: 1 L, TIPO: ASOCIACION</t>
  </si>
  <si>
    <t>2.5.2-1903.104</t>
  </si>
  <si>
    <t>RECONSTITUYENTE GENERAL; DROGA GENERICA: ALIMENTO ENTERAL PARA SONDA BAJO INDICE GLUCEMICO, FORMA FARMACEUTICA: ENVASE, PRESENTACION: 1 L, TIPO: ASOCIACION</t>
  </si>
  <si>
    <t>2.5.2-1903.105</t>
  </si>
  <si>
    <t>RECONSTITUYENTE GENERAL; TIPO: ASOCIACION, DROGA GENERICA: ALIMENTO ENTERAL PARA SONDA BAJO INDICE GLUCEMICO, FORMA FARMACEUTICA: SOLUCION, PRESENTACION: ENVASE X 500 CM3</t>
  </si>
  <si>
    <t>2.1.1</t>
  </si>
  <si>
    <t>2.1.1-4227.56</t>
  </si>
  <si>
    <t>SUPLEMENTOS DIETARIOS; TIPO: ASOCIACION, DROGA GENERICA: S. PARENTERAL ADULTO 1501-2000 ML, PRESENTACION: UNIDAD</t>
  </si>
  <si>
    <t>2.1.1-4227.19</t>
  </si>
  <si>
    <t>SUPLEMENTOS DIETARIOS; TIPO: ASOCIACION, DROGA GENERICA: S. PARENTERAL NEONATAL 0-500 ML, PRESENTACION: UNIDAD, ACCESORIO: CON FILTRO</t>
  </si>
  <si>
    <t>2.5.2-1726.191</t>
  </si>
  <si>
    <t>SOLUCIONES P/MEDICINA; TIPO: AMINOACIDOS 10%, PRESENTACION: ENVASE X 500 ML</t>
  </si>
  <si>
    <t>2.5.2-1726.9</t>
  </si>
  <si>
    <t>SOLUCIONES P/MEDICINA; TIPO: BICARBONATO 1 MOLAR, PRESENTACION: SACHET DE 100 mL</t>
  </si>
  <si>
    <t>2.5.2-1726.305</t>
  </si>
  <si>
    <t>SOLUCIONES P/MEDICINA; TIPO: CLORURO DE POTASIO 15 MEQ, PRESENTACION: AMPOLLA DE 5 mL</t>
  </si>
  <si>
    <t>2.5.2-1726.519</t>
  </si>
  <si>
    <t>SOLUCIONES P/MEDICINA; PRESENTACION: AMPOLLA X 20 ML, TIPO: CLORURO DE SODIO MOLAR AL 20 %</t>
  </si>
  <si>
    <t>2.5.2-1726.382</t>
  </si>
  <si>
    <t>SOLUCIONES P/MEDICINA; TIPO: CLORURO DE POTASIO MOLAR, PRESENTACION: ENVASE X 100 mL</t>
  </si>
  <si>
    <t>2.5.2-2689.7</t>
  </si>
  <si>
    <t>NORMALIZADORES DE CALCEMIA; TIPO: MONODROGA, DROGA GENERICA: GLUCONATO DE CALCIO 10 %, FORMA FARMACEUTICA: AMPOLLA, PRESENTACION: ENVASE X 10 mL</t>
  </si>
  <si>
    <t>2.5.2-1726.460</t>
  </si>
  <si>
    <t>SOLUCIONES P/MEDICINA; TIPO: HEMODIALISIS ACIDA A, PRESENTACION: ENVASE X 10 L</t>
  </si>
  <si>
    <t>2.5.2-1726.449</t>
  </si>
  <si>
    <t>SOLUCIONES P/MEDICINA; TIPO: HEMODIALISIS BASICO B, PRESENTACION: ENVASE X 10 L</t>
  </si>
  <si>
    <t>2.5.2-1726.378</t>
  </si>
  <si>
    <t>SOLUCIONES P/MEDICINA; TIPO: DEXTROSA AL 50 %, PRESENTACION: ENVASE X 500 mL</t>
  </si>
  <si>
    <t>2.5.2-1726.464</t>
  </si>
  <si>
    <t>SOLUCIONES P/MEDICINA; TIPO: DEXTROSA AL 10 %, PRESENTACION: ENVASE X 250 mL</t>
  </si>
  <si>
    <t>2.5.2-1726.14</t>
  </si>
  <si>
    <t>SOLUCIONES P/MEDICINA; PRESENTACION: SACHET X 500 mL, TIPO: DEXTROSA AL 10 %</t>
  </si>
  <si>
    <t>2.5.2-1726.377</t>
  </si>
  <si>
    <t>SOLUCIONES P/MEDICINA; TIPO: DEXTROSA AL 25 %, PRESENTACION: ENVASE X 500 mL</t>
  </si>
  <si>
    <t>2.5.2-1726.24</t>
  </si>
  <si>
    <t>SOLUCIONES P/MEDICINA; TIPO: DEXTROSA AL 5%, PRESENTACION: ENVASE X 500 mL</t>
  </si>
  <si>
    <t>2.5.2-1726.376</t>
  </si>
  <si>
    <t>SOLUCIONES P/MEDICINA; TIPO: DEXTROSA AL 5%, PRESENTACION: ENVASE X 100 mL</t>
  </si>
  <si>
    <t>2.5.2-1726.17</t>
  </si>
  <si>
    <t>SOLUCIONES P/MEDICINA; TIPO: FISIOLOGICA CLORURO DE SODIO, PRESENTACION: 500 CM3</t>
  </si>
  <si>
    <t>2.5.2-1726.369</t>
  </si>
  <si>
    <t>SOLUCIONES P/MEDICINA; TIPO: FISIOLOGICA, PRESENTACION: ENVASE X 100 mL</t>
  </si>
  <si>
    <t>2.5.2-1726.419</t>
  </si>
  <si>
    <t>SOLUCIONES P/MEDICINA; TIPO: FISIOLOGICA, PRESENTACION: ENVASE X 10 mL</t>
  </si>
  <si>
    <t>2.5.2-1726.393</t>
  </si>
  <si>
    <t>SOLUCIONES P/MEDICINA; TIPO: GLUCOSADA HIPERTONICA AL 25%, PRESENTACION: ENVASE X 10 mL</t>
  </si>
  <si>
    <t>2.5.2-1726.381</t>
  </si>
  <si>
    <t>SOLUCIONES P/MEDICINA; TIPO: MANITOL AL 15%, PRESENTACION: ENVASE X 500 mL</t>
  </si>
  <si>
    <t>2.5.2-1726.521</t>
  </si>
  <si>
    <t>SOLUCIONES P/MEDICINA; TIPO: DIALISIS PERITONEAL DEXTROSA AL 1,5 %, PRESENTACION: ENVASE X 2 L</t>
  </si>
  <si>
    <t>2.5.2-1726.522</t>
  </si>
  <si>
    <t>SOLUCIONES P/MEDICINA; TIPO: DIALISIS PERITONEAL DEXTROSA AL 2,5 %, PRESENTACION: ENVASE X 2 L</t>
  </si>
  <si>
    <t>2.5.2-1726.182</t>
  </si>
  <si>
    <t>SOLUCIONES P/MEDICINA; TIPO: RINGER LACTATO, PRESENTACION: ENVASE X 500 mL</t>
  </si>
  <si>
    <t>2.5.2-1726.371</t>
  </si>
  <si>
    <t>SOLUCIONES P/MEDICINA; TIPO: SULFATO DE MAGNESIO AL 25%, PRESENTACION: ENVASE X 5 mL</t>
  </si>
  <si>
    <t>2.5.2-1836.10</t>
  </si>
  <si>
    <t>HIPERTENSORES; TIPO: MONODROGA, DROGA GENERICA: ZINC SULFATO, FORMA FARMACEUTICA: AMPOLLAS, PRESENTACION: 5 mL</t>
  </si>
  <si>
    <t>2.1.1-4227.55</t>
  </si>
  <si>
    <t>SUPLEMENTOS DIETARIOS; TIPO: MONODROGA, DROGA GENERICA: TRIGLICER CADENA MEDIA, PRESENTACION: ENVASE X 500 CM3</t>
  </si>
  <si>
    <t>SAME</t>
  </si>
  <si>
    <t>PRECIO UNITARIO</t>
  </si>
  <si>
    <t>AUTORIZACION PARA GASTAR</t>
  </si>
  <si>
    <t>JURISDICCIÓN:</t>
  </si>
  <si>
    <t>SAF:</t>
  </si>
  <si>
    <t>UNIDAD EJECUTORA:</t>
  </si>
  <si>
    <t xml:space="preserve">DEPENDENCIA SOLICITANTE: 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</si>
  <si>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</si>
  <si>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</si>
  <si>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</si>
  <si>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</si>
  <si>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</si>
  <si>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</si>
  <si>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</si>
  <si>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</si>
  <si>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</si>
  <si>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</si>
  <si>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</si>
  <si>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</si>
  <si>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</si>
  <si>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</si>
  <si>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</si>
  <si>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</si>
  <si>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</si>
  <si>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</si>
  <si>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</si>
  <si>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</si>
  <si>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</si>
  <si>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FARMACIA</t>
  </si>
  <si>
    <t>NOTA DE PEDIDO</t>
  </si>
  <si>
    <t>N°</t>
  </si>
  <si>
    <t xml:space="preserve">JURISDICCIÓN: </t>
  </si>
  <si>
    <t>040 - MINISTERIO DE SALUD</t>
  </si>
  <si>
    <t>011 - DIRECCION PROVINCIAL DE ADMINISTRACION - MS</t>
  </si>
  <si>
    <t>DIRECCION PROVINCIAL DE FARMACIA E INSUMOS</t>
  </si>
  <si>
    <t>PERIODO UTILIZACIÓN:</t>
  </si>
  <si>
    <t>UN (1) MES</t>
  </si>
  <si>
    <t>OBJETO:</t>
  </si>
  <si>
    <t>ACUERDO MARCO PEDIDO DE INSUMOS COMUNES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</si>
  <si>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</si>
  <si>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</si>
  <si>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</si>
  <si>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</si>
  <si>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</si>
  <si>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</si>
  <si>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</si>
  <si>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</si>
  <si>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EJERCICIO:</t>
  </si>
  <si>
    <t>CANTIDADES</t>
  </si>
  <si>
    <t>PRECIO</t>
  </si>
  <si>
    <t>TOTAL</t>
  </si>
  <si>
    <t>022/2022</t>
  </si>
  <si>
    <t>Costo total estimado: PESOS CINCO MILLONES OCHOCIENTOS OCHENTA MIL CON 00/100.-</t>
  </si>
  <si>
    <t>TOTAL DE PESOS: PESOS CINCO MILLONES OCHOCIENTOS OCHENTA MIL CON 00/100.-</t>
  </si>
  <si>
    <t>PRODUCTOS FARMACEUTICOS Y MEDICINALES</t>
  </si>
  <si>
    <t>Autorizo la realización de los  trámites correspondientes, a fin de proveer a  este Organismo los bienes que se detallan en Nota  de Pedido N° 022/2022 , afectando la erogación resultante a los créditos presupuestarios aprobados a favor de esta Unidad Ejecutora, conforme al siguiente detalle:</t>
  </si>
  <si>
    <t>ID</t>
  </si>
  <si>
    <t>CODIGO ITEM</t>
  </si>
  <si>
    <t>DESCRIPCION</t>
  </si>
  <si>
    <t>UNIDAD MEDIDA</t>
  </si>
  <si>
    <t>CANTIDAD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</si>
</sst>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\ * #,##0.00_-;\-&quot;$&quot;\ * #,##0.00_-;_-&quot;$&quot;\ * &quot;-&quot;??_-;_-@_-"/>
    <numFmt numFmtId="164" formatCode="&quot;Verdadero&quot;;&quot;Verdadero&quot;;&quot;Falso&quot;"/>
    <numFmt numFmtId="165" formatCode="dd\-mm\-yy;@"/>
    <numFmt numFmtId="166" formatCode="[$$-2C0A]\ #,##0.00;[$$-2C0A]&quot; -&quot;#,##0.00"/>
    <numFmt numFmtId="167" formatCode="_-[$$-2C0A]\ * #,##0.00_-;\-[$$-2C0A]\ * #,##0.00_-;_-[$$-2C0A]\ * &quot;-&quot;??_-;_-@_-"/>
    <numFmt numFmtId="168" formatCode="[$$-2C0A]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color rgb="FF333333"/>
      <name val="Helvetica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9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7" fillId="0" borderId="0" applyBorder="0" applyProtection="0"/>
  </cellStyleXfs>
  <cellXfs count="159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0" fillId="2" borderId="8" xfId="0" applyFill="1" applyBorder="1"/>
    <xf numFmtId="0" fontId="0" fillId="2" borderId="0" xfId="0" applyFill="1" applyAlignment="1">
      <alignment horizontal="center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5" fillId="0" borderId="16" xfId="0" applyNumberFormat="1" applyFont="1" applyBorder="1" applyAlignment="1"/>
    <xf numFmtId="165" fontId="0" fillId="0" borderId="16" xfId="0" applyNumberFormat="1" applyBorder="1" applyAlignment="1">
      <alignment horizontal="left"/>
    </xf>
    <xf numFmtId="0" fontId="0" fillId="0" borderId="16" xfId="0" applyBorder="1"/>
    <xf numFmtId="0" fontId="0" fillId="0" borderId="1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13" xfId="0" applyBorder="1"/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6" fontId="0" fillId="0" borderId="32" xfId="2" applyNumberFormat="1" applyFont="1" applyBorder="1" applyAlignment="1" applyProtection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6" fontId="0" fillId="0" borderId="37" xfId="2" applyNumberFormat="1" applyFont="1" applyBorder="1" applyAlignment="1" applyProtection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2" applyNumberFormat="1" applyFont="1" applyBorder="1" applyAlignment="1" applyProtection="1">
      <alignment horizontal="center" vertical="center"/>
    </xf>
    <xf numFmtId="167" fontId="14" fillId="0" borderId="45" xfId="0" applyNumberFormat="1" applyFont="1" applyBorder="1" applyAlignment="1">
      <alignment horizontal="right" vertical="center"/>
    </xf>
    <xf numFmtId="0" fontId="15" fillId="0" borderId="17" xfId="0" applyFont="1" applyBorder="1" applyAlignment="1">
      <alignment horizontal="center" vertical="center"/>
    </xf>
    <xf numFmtId="0" fontId="14" fillId="0" borderId="22" xfId="0" applyFont="1" applyBorder="1" applyAlignment="1">
      <alignment vertical="center"/>
    </xf>
    <xf numFmtId="0" fontId="14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167" fontId="14" fillId="0" borderId="0" xfId="0" applyNumberFormat="1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47" xfId="0" applyFont="1" applyBorder="1" applyAlignment="1">
      <alignment vertical="center"/>
    </xf>
    <xf numFmtId="167" fontId="15" fillId="0" borderId="47" xfId="0" applyNumberFormat="1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 wrapText="1" indent="1"/>
    </xf>
    <xf numFmtId="167" fontId="15" fillId="0" borderId="0" xfId="0" applyNumberFormat="1" applyFont="1" applyBorder="1" applyAlignment="1">
      <alignment horizontal="left" vertical="center" wrapText="1" indent="1"/>
    </xf>
    <xf numFmtId="0" fontId="15" fillId="0" borderId="13" xfId="0" applyFont="1" applyBorder="1" applyAlignment="1">
      <alignment horizontal="left" vertical="center" wrapText="1" indent="1"/>
    </xf>
    <xf numFmtId="0" fontId="18" fillId="0" borderId="55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 wrapText="1"/>
    </xf>
    <xf numFmtId="167" fontId="9" fillId="0" borderId="56" xfId="0" applyNumberFormat="1" applyFont="1" applyBorder="1" applyAlignment="1">
      <alignment horizontal="center" vertical="center" wrapText="1"/>
    </xf>
    <xf numFmtId="3" fontId="9" fillId="0" borderId="60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3" fontId="9" fillId="0" borderId="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0" fillId="0" borderId="0" xfId="0" applyNumberFormat="1"/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0" borderId="64" xfId="0" applyFont="1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166" fontId="11" fillId="0" borderId="66" xfId="0" applyNumberFormat="1" applyFont="1" applyBorder="1" applyAlignment="1">
      <alignment horizontal="center" vertical="center"/>
    </xf>
    <xf numFmtId="167" fontId="21" fillId="0" borderId="0" xfId="0" applyNumberFormat="1" applyFont="1" applyFill="1" applyBorder="1" applyAlignment="1">
      <alignment horizontal="left" vertical="center"/>
    </xf>
    <xf numFmtId="167" fontId="21" fillId="0" borderId="0" xfId="0" applyNumberFormat="1" applyFont="1" applyFill="1" applyAlignment="1">
      <alignment vertical="center"/>
    </xf>
    <xf numFmtId="0" fontId="3" fillId="3" borderId="56" xfId="0" applyFont="1" applyFill="1" applyBorder="1" applyAlignment="1">
      <alignment vertical="top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56" xfId="0" applyFont="1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/>
    </xf>
    <xf numFmtId="0" fontId="3" fillId="5" borderId="5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7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vertical="top" wrapText="1"/>
    </xf>
    <xf numFmtId="44" fontId="2" fillId="0" borderId="0" xfId="1" applyFont="1"/>
    <xf numFmtId="44" fontId="2" fillId="2" borderId="0" xfId="1" applyFont="1" applyFill="1"/>
    <xf numFmtId="44" fontId="3" fillId="3" borderId="4" xfId="1" applyFont="1" applyFill="1" applyBorder="1" applyAlignment="1">
      <alignment vertical="top" wrapText="1"/>
    </xf>
    <xf numFmtId="44" fontId="3" fillId="2" borderId="1" xfId="1" applyFont="1" applyFill="1" applyBorder="1" applyAlignment="1">
      <alignment vertical="top" wrapText="1"/>
    </xf>
    <xf numFmtId="44" fontId="3" fillId="3" borderId="1" xfId="1" applyFont="1" applyFill="1" applyBorder="1" applyAlignment="1">
      <alignment vertical="top" wrapText="1"/>
    </xf>
    <xf numFmtId="44" fontId="3" fillId="5" borderId="1" xfId="1" applyFont="1" applyFill="1" applyBorder="1" applyAlignment="1">
      <alignment vertical="top" wrapText="1"/>
    </xf>
    <xf numFmtId="44" fontId="0" fillId="5" borderId="8" xfId="1" applyFont="1" applyFill="1" applyBorder="1"/>
    <xf numFmtId="44" fontId="0" fillId="0" borderId="0" xfId="1" applyFont="1"/>
    <xf numFmtId="44" fontId="2" fillId="2" borderId="1" xfId="1" applyFont="1" applyFill="1" applyBorder="1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4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 indent="1"/>
    </xf>
    <xf numFmtId="168" fontId="20" fillId="0" borderId="62" xfId="0" applyNumberFormat="1" applyFont="1" applyBorder="1" applyAlignment="1">
      <alignment horizontal="center" vertical="center"/>
    </xf>
    <xf numFmtId="168" fontId="20" fillId="0" borderId="6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 wrapText="1"/>
    </xf>
    <xf numFmtId="0" fontId="16" fillId="0" borderId="61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167" fontId="17" fillId="0" borderId="51" xfId="0" applyNumberFormat="1" applyFont="1" applyBorder="1" applyAlignment="1">
      <alignment horizontal="center" vertical="center" wrapText="1"/>
    </xf>
    <xf numFmtId="167" fontId="17" fillId="0" borderId="53" xfId="0" applyNumberFormat="1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left" vertical="center" wrapText="1"/>
    </xf>
    <xf numFmtId="0" fontId="16" fillId="0" borderId="58" xfId="0" applyFont="1" applyBorder="1" applyAlignment="1">
      <alignment horizontal="left" vertical="center" wrapText="1"/>
    </xf>
    <xf numFmtId="0" fontId="16" fillId="0" borderId="59" xfId="0" applyFont="1" applyBorder="1" applyAlignment="1">
      <alignment horizontal="left" vertical="center" wrapText="1"/>
    </xf>
    <xf numFmtId="0" fontId="16" fillId="0" borderId="49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7" fillId="0" borderId="50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/>
    </xf>
    <xf numFmtId="0" fontId="16" fillId="0" borderId="46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 indent="1"/>
    </xf>
    <xf numFmtId="0" fontId="0" fillId="0" borderId="36" xfId="0" applyFont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5" fillId="0" borderId="42" xfId="0" applyFont="1" applyBorder="1" applyAlignment="1">
      <alignment horizontal="left" vertical="center" wrapText="1"/>
    </xf>
    <xf numFmtId="0" fontId="0" fillId="0" borderId="21" xfId="0" applyBorder="1"/>
    <xf numFmtId="0" fontId="0" fillId="0" borderId="36" xfId="0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justify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0" fillId="0" borderId="36" xfId="0" applyBorder="1" applyAlignment="1">
      <alignment horizontal="center"/>
    </xf>
    <xf numFmtId="0" fontId="8" fillId="0" borderId="21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7" fillId="0" borderId="18" xfId="0" applyFont="1" applyBorder="1"/>
    <xf numFmtId="0" fontId="8" fillId="0" borderId="19" xfId="0" applyFont="1" applyBorder="1" applyAlignment="1">
      <alignment horizontal="left" indent="1"/>
    </xf>
    <xf numFmtId="0" fontId="9" fillId="0" borderId="18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/>
    </xf>
    <xf numFmtId="0" fontId="3" fillId="2" borderId="43" xfId="0" applyFont="1" applyFill="1" applyBorder="1" applyAlignment="1">
      <alignment vertical="top" wrapText="1"/>
    </xf>
    <xf numFmtId="3" fontId="12" fillId="4" borderId="43" xfId="0" applyNumberFormat="1" applyFont="1" applyFill="1" applyBorder="1" applyAlignment="1">
      <alignment vertical="center" wrapText="1"/>
    </xf>
    <xf numFmtId="3" fontId="12" fillId="4" borderId="1" xfId="0" applyNumberFormat="1" applyFont="1" applyFill="1" applyBorder="1" applyAlignment="1">
      <alignment vertical="center" wrapText="1"/>
    </xf>
  </cellXfs>
  <cellStyles count="3">
    <cellStyle name="Moneda" xfId="1" builtinId="4"/>
    <cellStyle name="Moneda_AUTORIZACION Y NOTA DE PEDIDO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esktop\acuerdo%20marco%20para%20enviar\FORM.%20DE%20ACUERDO%20MARCO%20P-SOLICIT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. CM"/>
      <sheetName val="ACUERDO"/>
      <sheetName val="NP FCIA"/>
      <sheetName val="APG FCIA"/>
      <sheetName val="NP LAB"/>
      <sheetName val="APG LAB"/>
      <sheetName val="NP BS"/>
      <sheetName val="APG BS"/>
      <sheetName val="NP DPO"/>
      <sheetName val="APG DPO"/>
    </sheetNames>
    <sheetDataSet>
      <sheetData sheetId="0" refreshError="1"/>
      <sheetData sheetId="1">
        <row r="19">
          <cell r="C19" t="str">
            <v>2.9.5-8239.1</v>
          </cell>
          <cell r="F19" t="str">
            <v>UNIDAD</v>
          </cell>
        </row>
      </sheetData>
      <sheetData sheetId="2">
        <row r="3">
          <cell r="D3" t="str">
            <v>040 - MINISTERIO DE SALUD</v>
          </cell>
        </row>
        <row r="4">
          <cell r="D4" t="str">
            <v>011 - DIRECCION PROVINCIAL DE ADMINISTRACION - MS</v>
          </cell>
        </row>
        <row r="5">
          <cell r="D5" t="str">
            <v>DIRECCION PROVINCIAL DE FARMACIA E INSUMOS</v>
          </cell>
        </row>
        <row r="6">
          <cell r="D6" t="str">
            <v>DIRECCION PROVINCIAL DE FARMACIA E INSUMOS</v>
          </cell>
        </row>
        <row r="8">
          <cell r="D8" t="str">
            <v>ACUERDO MARCO PEDIDO DE INSUMOS COMUNES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__doPostBack('ctl00$CPH1$UCVistaPreviaPliego$UC_DetalleProductosCM$gvItemsCM$ctl02$lnkVerItem','')" TargetMode="External"/><Relationship Id="rId2" Type="http://schemas.openxmlformats.org/officeDocument/2006/relationships/hyperlink" Target="javascript:__doPostBack('ctl00$CPH1$UCVistaPreviaPliego$UC_DetalleProductosCM$gvItemsCM$ctl02$lnkVerItem','')" TargetMode="External"/><Relationship Id="rId1" Type="http://schemas.openxmlformats.org/officeDocument/2006/relationships/hyperlink" Target="javascript:__doPostBack('ctl00$CPH1$UCVistaPreviaPliego$UC_DetalleProductosCM$gvItemsCM$ctl02$lnkVerItem','')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javascript:__doPostBack('ctl00$CPH1$UCVistaPreviaPliego$UC_DetalleProductosCM$gvItemsCM$ctl02$lnkVerItem','')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"/>
  <sheetViews>
    <sheetView tabSelected="1" workbookViewId="0">
      <selection activeCell="G5" sqref="G5"/>
    </sheetView>
  </sheetViews>
  <sheetFormatPr baseColWidth="10" defaultRowHeight="15" x14ac:dyDescent="0.25"/>
  <cols>
    <col min="1" max="1" width="6" customWidth="1"/>
    <col min="2" max="2" width="14.85546875" bestFit="1" customWidth="1"/>
    <col min="3" max="3" width="13.7109375" bestFit="1" customWidth="1"/>
    <col min="4" max="5" width="35.7109375" customWidth="1"/>
    <col min="6" max="6" width="22" customWidth="1"/>
    <col min="8" max="8" width="15.140625" bestFit="1" customWidth="1"/>
  </cols>
  <sheetData>
    <row r="2" spans="1:7" x14ac:dyDescent="0.25">
      <c r="A2" t="s">
        <v>127</v>
      </c>
      <c r="C2" s="14" t="s">
        <v>128</v>
      </c>
      <c r="D2" t="s">
        <v>129</v>
      </c>
      <c r="E2" t="s">
        <v>130</v>
      </c>
      <c r="F2" t="s">
        <v>131</v>
      </c>
    </row>
    <row r="3" spans="1:7" ht="42.75" x14ac:dyDescent="0.25">
      <c r="A3" s="9">
        <v>24</v>
      </c>
      <c r="B3" s="10" t="s">
        <v>0</v>
      </c>
      <c r="C3" s="3" t="s">
        <v>49</v>
      </c>
      <c r="D3" s="3" t="s">
        <v>50</v>
      </c>
      <c r="E3" s="156"/>
      <c r="F3" s="157">
        <v>60000</v>
      </c>
      <c r="G3" s="158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opLeftCell="A16" workbookViewId="0">
      <selection activeCell="E29" sqref="E29"/>
    </sheetView>
  </sheetViews>
  <sheetFormatPr baseColWidth="10" defaultRowHeight="15" x14ac:dyDescent="0.25"/>
  <cols>
    <col min="2" max="2" width="7.42578125" style="13" customWidth="1"/>
    <col min="3" max="3" width="9.5703125" style="13" customWidth="1"/>
    <col min="4" max="4" width="14.85546875" bestFit="1" customWidth="1"/>
    <col min="5" max="5" width="71.42578125" customWidth="1"/>
    <col min="6" max="6" width="11.85546875" style="13" customWidth="1"/>
    <col min="7" max="7" width="12.7109375" style="13" customWidth="1"/>
    <col min="8" max="8" width="16.7109375" style="102" bestFit="1" customWidth="1"/>
    <col min="9" max="9" width="15.28515625" style="13" customWidth="1"/>
    <col min="10" max="10" width="15.28515625" style="102" customWidth="1"/>
    <col min="11" max="11" width="12.28515625" bestFit="1" customWidth="1"/>
    <col min="12" max="12" width="15.85546875" bestFit="1" customWidth="1"/>
  </cols>
  <sheetData>
    <row r="2" spans="2:12" x14ac:dyDescent="0.25">
      <c r="H2" s="95"/>
      <c r="I2" s="107" t="s">
        <v>71</v>
      </c>
      <c r="J2" s="107"/>
      <c r="K2" s="107" t="s">
        <v>99</v>
      </c>
      <c r="L2" s="107"/>
    </row>
    <row r="3" spans="2:12" ht="15.75" thickBot="1" x14ac:dyDescent="0.3">
      <c r="B3" s="6"/>
      <c r="C3" s="6"/>
      <c r="D3" s="1"/>
      <c r="E3" s="1"/>
      <c r="F3" s="6"/>
      <c r="G3" s="6"/>
      <c r="H3" s="96" t="s">
        <v>72</v>
      </c>
      <c r="I3" s="86" t="s">
        <v>119</v>
      </c>
      <c r="J3" s="103" t="s">
        <v>120</v>
      </c>
      <c r="K3" s="85" t="s">
        <v>119</v>
      </c>
      <c r="L3" s="85" t="s">
        <v>120</v>
      </c>
    </row>
    <row r="4" spans="2:12" ht="29.25" thickBot="1" x14ac:dyDescent="0.3">
      <c r="B4" s="7">
        <v>1</v>
      </c>
      <c r="C4" s="8" t="s">
        <v>0</v>
      </c>
      <c r="D4" s="4" t="s">
        <v>1</v>
      </c>
      <c r="E4" s="4" t="s">
        <v>2</v>
      </c>
      <c r="F4" s="8">
        <v>300</v>
      </c>
      <c r="G4" s="8" t="s">
        <v>3</v>
      </c>
      <c r="H4" s="97">
        <v>324.95</v>
      </c>
      <c r="I4" s="87"/>
      <c r="J4" s="97">
        <f>+H4*I4</f>
        <v>0</v>
      </c>
      <c r="K4" s="84"/>
      <c r="L4" s="97">
        <f>+H4*K4</f>
        <v>0</v>
      </c>
    </row>
    <row r="5" spans="2:12" ht="29.25" thickBot="1" x14ac:dyDescent="0.3">
      <c r="B5" s="9">
        <v>2</v>
      </c>
      <c r="C5" s="10" t="s">
        <v>0</v>
      </c>
      <c r="D5" s="3" t="s">
        <v>4</v>
      </c>
      <c r="E5" s="3" t="s">
        <v>5</v>
      </c>
      <c r="F5" s="10">
        <v>41500</v>
      </c>
      <c r="G5" s="10" t="s">
        <v>3</v>
      </c>
      <c r="H5" s="98">
        <v>32</v>
      </c>
      <c r="I5" s="10"/>
      <c r="J5" s="97">
        <f t="shared" ref="J5:J37" si="0">+H5*I5</f>
        <v>0</v>
      </c>
      <c r="K5" s="3"/>
      <c r="L5" s="97">
        <f t="shared" ref="L5:L37" si="1">+H5*K5</f>
        <v>0</v>
      </c>
    </row>
    <row r="6" spans="2:12" ht="29.25" thickBot="1" x14ac:dyDescent="0.3">
      <c r="B6" s="11">
        <v>3</v>
      </c>
      <c r="C6" s="12" t="s">
        <v>0</v>
      </c>
      <c r="D6" s="2" t="s">
        <v>6</v>
      </c>
      <c r="E6" s="2" t="s">
        <v>7</v>
      </c>
      <c r="F6" s="12">
        <v>4600</v>
      </c>
      <c r="G6" s="12" t="s">
        <v>3</v>
      </c>
      <c r="H6" s="99">
        <v>102.7</v>
      </c>
      <c r="I6" s="12"/>
      <c r="J6" s="97">
        <f t="shared" si="0"/>
        <v>0</v>
      </c>
      <c r="K6" s="2"/>
      <c r="L6" s="97">
        <f t="shared" si="1"/>
        <v>0</v>
      </c>
    </row>
    <row r="7" spans="2:12" ht="29.25" thickBot="1" x14ac:dyDescent="0.3">
      <c r="B7" s="9">
        <v>4</v>
      </c>
      <c r="C7" s="10" t="s">
        <v>0</v>
      </c>
      <c r="D7" s="3" t="s">
        <v>8</v>
      </c>
      <c r="E7" s="3" t="s">
        <v>9</v>
      </c>
      <c r="F7" s="10">
        <v>2510</v>
      </c>
      <c r="G7" s="10" t="s">
        <v>3</v>
      </c>
      <c r="H7" s="98">
        <v>2268</v>
      </c>
      <c r="I7" s="10"/>
      <c r="J7" s="97">
        <f t="shared" si="0"/>
        <v>0</v>
      </c>
      <c r="K7" s="3"/>
      <c r="L7" s="97">
        <f t="shared" si="1"/>
        <v>0</v>
      </c>
    </row>
    <row r="8" spans="2:12" ht="43.5" thickBot="1" x14ac:dyDescent="0.3">
      <c r="B8" s="11">
        <v>5</v>
      </c>
      <c r="C8" s="12" t="s">
        <v>0</v>
      </c>
      <c r="D8" s="2" t="s">
        <v>10</v>
      </c>
      <c r="E8" s="2" t="s">
        <v>11</v>
      </c>
      <c r="F8" s="12">
        <v>640</v>
      </c>
      <c r="G8" s="12" t="s">
        <v>3</v>
      </c>
      <c r="H8" s="99">
        <v>1158</v>
      </c>
      <c r="I8" s="12"/>
      <c r="J8" s="97">
        <f t="shared" si="0"/>
        <v>0</v>
      </c>
      <c r="K8" s="2"/>
      <c r="L8" s="97">
        <f t="shared" si="1"/>
        <v>0</v>
      </c>
    </row>
    <row r="9" spans="2:12" ht="43.5" thickBot="1" x14ac:dyDescent="0.3">
      <c r="B9" s="9">
        <v>6</v>
      </c>
      <c r="C9" s="10" t="s">
        <v>0</v>
      </c>
      <c r="D9" s="3" t="s">
        <v>12</v>
      </c>
      <c r="E9" s="3" t="s">
        <v>13</v>
      </c>
      <c r="F9" s="10">
        <v>950</v>
      </c>
      <c r="G9" s="10" t="s">
        <v>3</v>
      </c>
      <c r="H9" s="98">
        <v>1536</v>
      </c>
      <c r="I9" s="10"/>
      <c r="J9" s="97">
        <f t="shared" si="0"/>
        <v>0</v>
      </c>
      <c r="K9" s="3"/>
      <c r="L9" s="97">
        <f t="shared" si="1"/>
        <v>0</v>
      </c>
    </row>
    <row r="10" spans="2:12" ht="57.75" thickBot="1" x14ac:dyDescent="0.3">
      <c r="B10" s="11">
        <v>7</v>
      </c>
      <c r="C10" s="12" t="s">
        <v>0</v>
      </c>
      <c r="D10" s="2" t="s">
        <v>14</v>
      </c>
      <c r="E10" s="2" t="s">
        <v>15</v>
      </c>
      <c r="F10" s="12">
        <v>6110</v>
      </c>
      <c r="G10" s="12" t="s">
        <v>3</v>
      </c>
      <c r="H10" s="99">
        <v>1145</v>
      </c>
      <c r="I10" s="12"/>
      <c r="J10" s="97">
        <f t="shared" si="0"/>
        <v>0</v>
      </c>
      <c r="K10" s="2"/>
      <c r="L10" s="97">
        <f t="shared" si="1"/>
        <v>0</v>
      </c>
    </row>
    <row r="11" spans="2:12" ht="29.25" thickBot="1" x14ac:dyDescent="0.3">
      <c r="B11" s="9">
        <v>8</v>
      </c>
      <c r="C11" s="10" t="s">
        <v>16</v>
      </c>
      <c r="D11" s="3" t="s">
        <v>17</v>
      </c>
      <c r="E11" s="3" t="s">
        <v>18</v>
      </c>
      <c r="F11" s="10">
        <v>114</v>
      </c>
      <c r="G11" s="10" t="s">
        <v>3</v>
      </c>
      <c r="H11" s="98">
        <v>11198</v>
      </c>
      <c r="I11" s="10"/>
      <c r="J11" s="97">
        <f t="shared" si="0"/>
        <v>0</v>
      </c>
      <c r="K11" s="3"/>
      <c r="L11" s="97">
        <f t="shared" si="1"/>
        <v>0</v>
      </c>
    </row>
    <row r="12" spans="2:12" ht="43.5" thickBot="1" x14ac:dyDescent="0.3">
      <c r="B12" s="11">
        <v>9</v>
      </c>
      <c r="C12" s="12" t="s">
        <v>16</v>
      </c>
      <c r="D12" s="2" t="s">
        <v>19</v>
      </c>
      <c r="E12" s="2" t="s">
        <v>20</v>
      </c>
      <c r="F12" s="12">
        <v>250</v>
      </c>
      <c r="G12" s="12" t="s">
        <v>3</v>
      </c>
      <c r="H12" s="99">
        <v>6860</v>
      </c>
      <c r="I12" s="12"/>
      <c r="J12" s="97">
        <f t="shared" si="0"/>
        <v>0</v>
      </c>
      <c r="K12" s="2"/>
      <c r="L12" s="97">
        <f t="shared" si="1"/>
        <v>0</v>
      </c>
    </row>
    <row r="13" spans="2:12" ht="29.25" thickBot="1" x14ac:dyDescent="0.3">
      <c r="B13" s="9">
        <v>10</v>
      </c>
      <c r="C13" s="10" t="s">
        <v>0</v>
      </c>
      <c r="D13" s="3" t="s">
        <v>21</v>
      </c>
      <c r="E13" s="3" t="s">
        <v>22</v>
      </c>
      <c r="F13" s="10">
        <v>60</v>
      </c>
      <c r="G13" s="10" t="s">
        <v>3</v>
      </c>
      <c r="H13" s="98">
        <v>2390</v>
      </c>
      <c r="I13" s="10"/>
      <c r="J13" s="97">
        <f t="shared" si="0"/>
        <v>0</v>
      </c>
      <c r="K13" s="3"/>
      <c r="L13" s="97">
        <f t="shared" si="1"/>
        <v>0</v>
      </c>
    </row>
    <row r="14" spans="2:12" ht="29.25" thickBot="1" x14ac:dyDescent="0.3">
      <c r="B14" s="11">
        <v>11</v>
      </c>
      <c r="C14" s="12" t="s">
        <v>0</v>
      </c>
      <c r="D14" s="2" t="s">
        <v>23</v>
      </c>
      <c r="E14" s="2" t="s">
        <v>24</v>
      </c>
      <c r="F14" s="12">
        <v>900</v>
      </c>
      <c r="G14" s="12" t="s">
        <v>3</v>
      </c>
      <c r="H14" s="99">
        <v>366</v>
      </c>
      <c r="I14" s="12"/>
      <c r="J14" s="97">
        <f t="shared" si="0"/>
        <v>0</v>
      </c>
      <c r="K14" s="2">
        <v>300</v>
      </c>
      <c r="L14" s="97">
        <f t="shared" si="1"/>
        <v>109800</v>
      </c>
    </row>
    <row r="15" spans="2:12" ht="29.25" thickBot="1" x14ac:dyDescent="0.3">
      <c r="B15" s="9">
        <v>12</v>
      </c>
      <c r="C15" s="10" t="s">
        <v>0</v>
      </c>
      <c r="D15" s="3" t="s">
        <v>25</v>
      </c>
      <c r="E15" s="3" t="s">
        <v>26</v>
      </c>
      <c r="F15" s="10">
        <v>9100</v>
      </c>
      <c r="G15" s="10" t="s">
        <v>3</v>
      </c>
      <c r="H15" s="98">
        <v>29.4</v>
      </c>
      <c r="I15" s="10"/>
      <c r="J15" s="97">
        <f t="shared" si="0"/>
        <v>0</v>
      </c>
      <c r="K15" s="3"/>
      <c r="L15" s="97">
        <f t="shared" si="1"/>
        <v>0</v>
      </c>
    </row>
    <row r="16" spans="2:12" ht="29.25" thickBot="1" x14ac:dyDescent="0.3">
      <c r="B16" s="11">
        <v>13</v>
      </c>
      <c r="C16" s="12" t="s">
        <v>0</v>
      </c>
      <c r="D16" s="2" t="s">
        <v>27</v>
      </c>
      <c r="E16" s="2" t="s">
        <v>28</v>
      </c>
      <c r="F16" s="12">
        <v>3800</v>
      </c>
      <c r="G16" s="12" t="s">
        <v>3</v>
      </c>
      <c r="H16" s="99">
        <v>44</v>
      </c>
      <c r="I16" s="12"/>
      <c r="J16" s="97">
        <f t="shared" si="0"/>
        <v>0</v>
      </c>
      <c r="K16" s="2">
        <v>1000</v>
      </c>
      <c r="L16" s="97">
        <f t="shared" si="1"/>
        <v>44000</v>
      </c>
    </row>
    <row r="17" spans="2:12" ht="29.25" thickBot="1" x14ac:dyDescent="0.3">
      <c r="B17" s="9">
        <v>14</v>
      </c>
      <c r="C17" s="10" t="s">
        <v>0</v>
      </c>
      <c r="D17" s="3" t="s">
        <v>29</v>
      </c>
      <c r="E17" s="3" t="s">
        <v>30</v>
      </c>
      <c r="F17" s="10">
        <v>1000</v>
      </c>
      <c r="G17" s="10" t="s">
        <v>3</v>
      </c>
      <c r="H17" s="98">
        <v>223</v>
      </c>
      <c r="I17" s="10"/>
      <c r="J17" s="97">
        <f t="shared" si="0"/>
        <v>0</v>
      </c>
      <c r="K17" s="3"/>
      <c r="L17" s="97">
        <f t="shared" si="1"/>
        <v>0</v>
      </c>
    </row>
    <row r="18" spans="2:12" ht="43.5" thickBot="1" x14ac:dyDescent="0.3">
      <c r="B18" s="11">
        <v>15</v>
      </c>
      <c r="C18" s="12" t="s">
        <v>0</v>
      </c>
      <c r="D18" s="2" t="s">
        <v>31</v>
      </c>
      <c r="E18" s="2" t="s">
        <v>32</v>
      </c>
      <c r="F18" s="12">
        <v>3000</v>
      </c>
      <c r="G18" s="12" t="s">
        <v>3</v>
      </c>
      <c r="H18" s="99">
        <v>84</v>
      </c>
      <c r="I18" s="12"/>
      <c r="J18" s="97">
        <f t="shared" si="0"/>
        <v>0</v>
      </c>
      <c r="K18" s="2">
        <v>200</v>
      </c>
      <c r="L18" s="97">
        <f t="shared" si="1"/>
        <v>16800</v>
      </c>
    </row>
    <row r="19" spans="2:12" ht="29.25" thickBot="1" x14ac:dyDescent="0.3">
      <c r="B19" s="9">
        <v>16</v>
      </c>
      <c r="C19" s="10" t="s">
        <v>0</v>
      </c>
      <c r="D19" s="3" t="s">
        <v>33</v>
      </c>
      <c r="E19" s="3" t="s">
        <v>34</v>
      </c>
      <c r="F19" s="10">
        <v>650</v>
      </c>
      <c r="G19" s="10" t="s">
        <v>3</v>
      </c>
      <c r="H19" s="98">
        <v>787</v>
      </c>
      <c r="I19" s="10"/>
      <c r="J19" s="97">
        <f t="shared" si="0"/>
        <v>0</v>
      </c>
      <c r="K19" s="3"/>
      <c r="L19" s="97">
        <f t="shared" si="1"/>
        <v>0</v>
      </c>
    </row>
    <row r="20" spans="2:12" ht="29.25" thickBot="1" x14ac:dyDescent="0.3">
      <c r="B20" s="11">
        <v>17</v>
      </c>
      <c r="C20" s="12" t="s">
        <v>0</v>
      </c>
      <c r="D20" s="2" t="s">
        <v>35</v>
      </c>
      <c r="E20" s="2" t="s">
        <v>36</v>
      </c>
      <c r="F20" s="12">
        <v>960</v>
      </c>
      <c r="G20" s="12" t="s">
        <v>3</v>
      </c>
      <c r="H20" s="99">
        <v>694</v>
      </c>
      <c r="I20" s="12"/>
      <c r="J20" s="97">
        <f t="shared" si="0"/>
        <v>0</v>
      </c>
      <c r="K20" s="2"/>
      <c r="L20" s="97">
        <f t="shared" si="1"/>
        <v>0</v>
      </c>
    </row>
    <row r="21" spans="2:12" ht="29.25" thickBot="1" x14ac:dyDescent="0.3">
      <c r="B21" s="9">
        <v>18</v>
      </c>
      <c r="C21" s="10" t="s">
        <v>0</v>
      </c>
      <c r="D21" s="3" t="s">
        <v>37</v>
      </c>
      <c r="E21" s="3" t="s">
        <v>38</v>
      </c>
      <c r="F21" s="10">
        <v>75</v>
      </c>
      <c r="G21" s="10" t="s">
        <v>3</v>
      </c>
      <c r="H21" s="98">
        <v>221.95</v>
      </c>
      <c r="I21" s="10"/>
      <c r="J21" s="97">
        <f t="shared" si="0"/>
        <v>0</v>
      </c>
      <c r="K21" s="3"/>
      <c r="L21" s="97">
        <f t="shared" si="1"/>
        <v>0</v>
      </c>
    </row>
    <row r="22" spans="2:12" ht="29.25" thickBot="1" x14ac:dyDescent="0.3">
      <c r="B22" s="89">
        <v>19</v>
      </c>
      <c r="C22" s="90" t="s">
        <v>0</v>
      </c>
      <c r="D22" s="91" t="s">
        <v>39</v>
      </c>
      <c r="E22" s="91" t="s">
        <v>40</v>
      </c>
      <c r="F22" s="90">
        <v>515</v>
      </c>
      <c r="G22" s="90" t="s">
        <v>3</v>
      </c>
      <c r="H22" s="100"/>
      <c r="I22" s="12">
        <v>20</v>
      </c>
      <c r="J22" s="97">
        <f t="shared" si="0"/>
        <v>0</v>
      </c>
      <c r="K22" s="2"/>
      <c r="L22" s="97">
        <f t="shared" si="1"/>
        <v>0</v>
      </c>
    </row>
    <row r="23" spans="2:12" ht="29.25" thickBot="1" x14ac:dyDescent="0.3">
      <c r="B23" s="9">
        <v>20</v>
      </c>
      <c r="C23" s="10" t="s">
        <v>0</v>
      </c>
      <c r="D23" s="3" t="s">
        <v>41</v>
      </c>
      <c r="E23" s="3" t="s">
        <v>42</v>
      </c>
      <c r="F23" s="10">
        <v>1700</v>
      </c>
      <c r="G23" s="10" t="s">
        <v>3</v>
      </c>
      <c r="H23" s="98">
        <v>118.3</v>
      </c>
      <c r="I23" s="10"/>
      <c r="J23" s="97">
        <f t="shared" si="0"/>
        <v>0</v>
      </c>
      <c r="K23" s="3"/>
      <c r="L23" s="97">
        <f t="shared" si="1"/>
        <v>0</v>
      </c>
    </row>
    <row r="24" spans="2:12" ht="29.25" thickBot="1" x14ac:dyDescent="0.3">
      <c r="B24" s="11">
        <v>21</v>
      </c>
      <c r="C24" s="12" t="s">
        <v>0</v>
      </c>
      <c r="D24" s="2" t="s">
        <v>43</v>
      </c>
      <c r="E24" s="2" t="s">
        <v>44</v>
      </c>
      <c r="F24" s="12">
        <v>60</v>
      </c>
      <c r="G24" s="12" t="s">
        <v>3</v>
      </c>
      <c r="H24" s="99">
        <v>208</v>
      </c>
      <c r="I24" s="12"/>
      <c r="J24" s="97">
        <f t="shared" si="0"/>
        <v>0</v>
      </c>
      <c r="K24" s="2"/>
      <c r="L24" s="97">
        <f t="shared" si="1"/>
        <v>0</v>
      </c>
    </row>
    <row r="25" spans="2:12" ht="29.25" thickBot="1" x14ac:dyDescent="0.3">
      <c r="B25" s="9">
        <v>22</v>
      </c>
      <c r="C25" s="10" t="s">
        <v>0</v>
      </c>
      <c r="D25" s="3" t="s">
        <v>45</v>
      </c>
      <c r="E25" s="3" t="s">
        <v>46</v>
      </c>
      <c r="F25" s="10">
        <v>70000</v>
      </c>
      <c r="G25" s="10" t="s">
        <v>3</v>
      </c>
      <c r="H25" s="98">
        <v>110.6</v>
      </c>
      <c r="I25" s="10">
        <v>300</v>
      </c>
      <c r="J25" s="97">
        <f t="shared" si="0"/>
        <v>33180</v>
      </c>
      <c r="K25" s="3"/>
      <c r="L25" s="97">
        <f t="shared" si="1"/>
        <v>0</v>
      </c>
    </row>
    <row r="26" spans="2:12" ht="29.25" thickBot="1" x14ac:dyDescent="0.3">
      <c r="B26" s="11">
        <v>23</v>
      </c>
      <c r="C26" s="12" t="s">
        <v>0</v>
      </c>
      <c r="D26" s="2" t="s">
        <v>47</v>
      </c>
      <c r="E26" s="2" t="s">
        <v>48</v>
      </c>
      <c r="F26" s="12">
        <v>2600</v>
      </c>
      <c r="G26" s="12" t="s">
        <v>3</v>
      </c>
      <c r="H26" s="99">
        <v>64</v>
      </c>
      <c r="I26" s="12"/>
      <c r="J26" s="97">
        <f t="shared" si="0"/>
        <v>0</v>
      </c>
      <c r="K26" s="2"/>
      <c r="L26" s="97">
        <f t="shared" si="1"/>
        <v>0</v>
      </c>
    </row>
    <row r="27" spans="2:12" ht="29.25" thickBot="1" x14ac:dyDescent="0.3">
      <c r="B27" s="9">
        <v>24</v>
      </c>
      <c r="C27" s="10" t="s">
        <v>0</v>
      </c>
      <c r="D27" s="3" t="s">
        <v>49</v>
      </c>
      <c r="E27" s="3" t="s">
        <v>50</v>
      </c>
      <c r="F27" s="10">
        <v>150000</v>
      </c>
      <c r="G27" s="10" t="s">
        <v>3</v>
      </c>
      <c r="H27" s="98">
        <v>98</v>
      </c>
      <c r="I27" s="10">
        <v>500</v>
      </c>
      <c r="J27" s="97">
        <f t="shared" si="0"/>
        <v>49000</v>
      </c>
      <c r="K27" s="3">
        <v>20000</v>
      </c>
      <c r="L27" s="97">
        <f t="shared" si="1"/>
        <v>1960000</v>
      </c>
    </row>
    <row r="28" spans="2:12" ht="29.25" thickBot="1" x14ac:dyDescent="0.3">
      <c r="B28" s="11">
        <v>25</v>
      </c>
      <c r="C28" s="12" t="s">
        <v>0</v>
      </c>
      <c r="D28" s="2" t="s">
        <v>51</v>
      </c>
      <c r="E28" s="2" t="s">
        <v>52</v>
      </c>
      <c r="F28" s="12">
        <v>10800</v>
      </c>
      <c r="G28" s="12" t="s">
        <v>3</v>
      </c>
      <c r="H28" s="99">
        <v>89</v>
      </c>
      <c r="I28" s="12"/>
      <c r="J28" s="97">
        <f t="shared" si="0"/>
        <v>0</v>
      </c>
      <c r="K28" s="2"/>
      <c r="L28" s="97">
        <f t="shared" si="1"/>
        <v>0</v>
      </c>
    </row>
    <row r="29" spans="2:12" ht="29.25" thickBot="1" x14ac:dyDescent="0.3">
      <c r="B29" s="9">
        <v>26</v>
      </c>
      <c r="C29" s="10" t="s">
        <v>0</v>
      </c>
      <c r="D29" s="3" t="s">
        <v>53</v>
      </c>
      <c r="E29" s="3" t="s">
        <v>54</v>
      </c>
      <c r="F29" s="10">
        <v>19000</v>
      </c>
      <c r="G29" s="10" t="s">
        <v>3</v>
      </c>
      <c r="H29" s="98">
        <v>33</v>
      </c>
      <c r="I29" s="10"/>
      <c r="J29" s="97">
        <f t="shared" si="0"/>
        <v>0</v>
      </c>
      <c r="K29" s="3"/>
      <c r="L29" s="97">
        <f t="shared" si="1"/>
        <v>0</v>
      </c>
    </row>
    <row r="30" spans="2:12" ht="29.25" thickBot="1" x14ac:dyDescent="0.3">
      <c r="B30" s="11">
        <v>27</v>
      </c>
      <c r="C30" s="12" t="s">
        <v>0</v>
      </c>
      <c r="D30" s="2" t="s">
        <v>55</v>
      </c>
      <c r="E30" s="2" t="s">
        <v>56</v>
      </c>
      <c r="F30" s="12">
        <v>3300</v>
      </c>
      <c r="G30" s="12" t="s">
        <v>3</v>
      </c>
      <c r="H30" s="99">
        <v>53</v>
      </c>
      <c r="I30" s="12">
        <v>300</v>
      </c>
      <c r="J30" s="97">
        <f t="shared" si="0"/>
        <v>15900</v>
      </c>
      <c r="K30" s="2">
        <v>2000</v>
      </c>
      <c r="L30" s="97">
        <f t="shared" si="1"/>
        <v>106000</v>
      </c>
    </row>
    <row r="31" spans="2:12" ht="29.25" thickBot="1" x14ac:dyDescent="0.3">
      <c r="B31" s="9">
        <v>28</v>
      </c>
      <c r="C31" s="10" t="s">
        <v>0</v>
      </c>
      <c r="D31" s="3" t="s">
        <v>57</v>
      </c>
      <c r="E31" s="3" t="s">
        <v>58</v>
      </c>
      <c r="F31" s="10">
        <v>520</v>
      </c>
      <c r="G31" s="10" t="s">
        <v>3</v>
      </c>
      <c r="H31" s="98">
        <v>398</v>
      </c>
      <c r="I31" s="10"/>
      <c r="J31" s="97">
        <f t="shared" si="0"/>
        <v>0</v>
      </c>
      <c r="K31" s="3"/>
      <c r="L31" s="97">
        <f t="shared" si="1"/>
        <v>0</v>
      </c>
    </row>
    <row r="32" spans="2:12" ht="29.25" thickBot="1" x14ac:dyDescent="0.3">
      <c r="B32" s="11">
        <v>29</v>
      </c>
      <c r="C32" s="12" t="s">
        <v>0</v>
      </c>
      <c r="D32" s="2" t="s">
        <v>59</v>
      </c>
      <c r="E32" s="2" t="s">
        <v>60</v>
      </c>
      <c r="F32" s="12">
        <v>75</v>
      </c>
      <c r="G32" s="12" t="s">
        <v>3</v>
      </c>
      <c r="H32" s="99">
        <v>3100</v>
      </c>
      <c r="I32" s="12"/>
      <c r="J32" s="97">
        <f t="shared" si="0"/>
        <v>0</v>
      </c>
      <c r="K32" s="2"/>
      <c r="L32" s="97">
        <f t="shared" si="1"/>
        <v>0</v>
      </c>
    </row>
    <row r="33" spans="2:12" ht="29.25" thickBot="1" x14ac:dyDescent="0.3">
      <c r="B33" s="9">
        <v>30</v>
      </c>
      <c r="C33" s="10" t="s">
        <v>0</v>
      </c>
      <c r="D33" s="3" t="s">
        <v>61</v>
      </c>
      <c r="E33" s="3" t="s">
        <v>62</v>
      </c>
      <c r="F33" s="10">
        <v>150</v>
      </c>
      <c r="G33" s="10" t="s">
        <v>3</v>
      </c>
      <c r="H33" s="98">
        <v>3100</v>
      </c>
      <c r="I33" s="10"/>
      <c r="J33" s="97">
        <f t="shared" si="0"/>
        <v>0</v>
      </c>
      <c r="K33" s="3"/>
      <c r="L33" s="97">
        <f t="shared" si="1"/>
        <v>0</v>
      </c>
    </row>
    <row r="34" spans="2:12" ht="29.25" thickBot="1" x14ac:dyDescent="0.3">
      <c r="B34" s="11">
        <v>31</v>
      </c>
      <c r="C34" s="12" t="s">
        <v>0</v>
      </c>
      <c r="D34" s="2" t="s">
        <v>63</v>
      </c>
      <c r="E34" s="2" t="s">
        <v>64</v>
      </c>
      <c r="F34" s="12">
        <v>850</v>
      </c>
      <c r="G34" s="12" t="s">
        <v>3</v>
      </c>
      <c r="H34" s="99">
        <v>106.39</v>
      </c>
      <c r="I34" s="12">
        <v>200</v>
      </c>
      <c r="J34" s="97">
        <f t="shared" si="0"/>
        <v>21278</v>
      </c>
      <c r="K34" s="2">
        <v>2000</v>
      </c>
      <c r="L34" s="97">
        <f t="shared" si="1"/>
        <v>212780</v>
      </c>
    </row>
    <row r="35" spans="2:12" ht="29.25" thickBot="1" x14ac:dyDescent="0.3">
      <c r="B35" s="9">
        <v>32</v>
      </c>
      <c r="C35" s="10" t="s">
        <v>0</v>
      </c>
      <c r="D35" s="3" t="s">
        <v>65</v>
      </c>
      <c r="E35" s="3" t="s">
        <v>66</v>
      </c>
      <c r="F35" s="10">
        <v>6650</v>
      </c>
      <c r="G35" s="10" t="s">
        <v>3</v>
      </c>
      <c r="H35" s="98">
        <v>33</v>
      </c>
      <c r="I35" s="10"/>
      <c r="J35" s="97">
        <f t="shared" si="0"/>
        <v>0</v>
      </c>
      <c r="K35" s="3">
        <v>1000</v>
      </c>
      <c r="L35" s="97">
        <f t="shared" si="1"/>
        <v>33000</v>
      </c>
    </row>
    <row r="36" spans="2:12" ht="43.5" thickBot="1" x14ac:dyDescent="0.3">
      <c r="B36" s="11">
        <v>33</v>
      </c>
      <c r="C36" s="12" t="s">
        <v>0</v>
      </c>
      <c r="D36" s="2" t="s">
        <v>67</v>
      </c>
      <c r="E36" s="2" t="s">
        <v>68</v>
      </c>
      <c r="F36" s="12">
        <v>100</v>
      </c>
      <c r="G36" s="12" t="s">
        <v>3</v>
      </c>
      <c r="H36" s="99">
        <v>2897</v>
      </c>
      <c r="I36" s="12"/>
      <c r="J36" s="97">
        <f t="shared" si="0"/>
        <v>0</v>
      </c>
      <c r="K36" s="2"/>
      <c r="L36" s="97">
        <f t="shared" si="1"/>
        <v>0</v>
      </c>
    </row>
    <row r="37" spans="2:12" ht="43.5" thickBot="1" x14ac:dyDescent="0.3">
      <c r="B37" s="92">
        <v>34</v>
      </c>
      <c r="C37" s="93" t="s">
        <v>16</v>
      </c>
      <c r="D37" s="94" t="s">
        <v>69</v>
      </c>
      <c r="E37" s="94" t="s">
        <v>70</v>
      </c>
      <c r="F37" s="93">
        <v>24</v>
      </c>
      <c r="G37" s="93" t="s">
        <v>3</v>
      </c>
      <c r="H37" s="101"/>
      <c r="I37" s="88"/>
      <c r="J37" s="97">
        <f t="shared" si="0"/>
        <v>0</v>
      </c>
      <c r="K37" s="5"/>
      <c r="L37" s="97">
        <f t="shared" si="1"/>
        <v>0</v>
      </c>
    </row>
    <row r="38" spans="2:12" x14ac:dyDescent="0.25">
      <c r="H38" s="105" t="s">
        <v>121</v>
      </c>
      <c r="I38" s="104"/>
      <c r="J38" s="105">
        <f>SUM(J4:J37)</f>
        <v>119358</v>
      </c>
      <c r="K38" s="104"/>
      <c r="L38" s="106">
        <f>SUM(L4:L37)</f>
        <v>2482380</v>
      </c>
    </row>
  </sheetData>
  <mergeCells count="2">
    <mergeCell ref="I2:J2"/>
    <mergeCell ref="K2:L2"/>
  </mergeCells>
  <hyperlinks>
    <hyperlink ref="J4" r:id="rId1" tooltip="Ver información del ítem" display="javascript:__doPostBack('ctl00$CPH1$UCVistaPreviaPliego$UC_DetalleProductosCM$gvItemsCM$ctl02$lnkVerItem','')"/>
    <hyperlink ref="L4" r:id="rId2" tooltip="Ver información del ítem" display="javascript:__doPostBack('ctl00$CPH1$UCVistaPreviaPliego$UC_DetalleProductosCM$gvItemsCM$ctl02$lnkVerItem','')"/>
    <hyperlink ref="J5:J37" r:id="rId3" tooltip="Ver información del ítem" display="javascript:__doPostBack('ctl00$CPH1$UCVistaPreviaPliego$UC_DetalleProductosCM$gvItemsCM$ctl02$lnkVerItem','')"/>
    <hyperlink ref="L5:L37" r:id="rId4" tooltip="Ver información del ítem" display="javascript:__doPostBack('ctl00$CPH1$UCVistaPreviaPliego$UC_DetalleProductosCM$gvItemsCM$ctl02$lnkVerItem','')"/>
  </hyperlinks>
  <pageMargins left="0.7" right="0.7" top="0.75" bottom="0.75" header="0.3" footer="0.3"/>
  <pageSetup paperSize="9" orientation="portrait" horizontalDpi="200" verticalDpi="2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G27" sqref="G27"/>
    </sheetView>
  </sheetViews>
  <sheetFormatPr baseColWidth="10" defaultRowHeight="15" x14ac:dyDescent="0.25"/>
  <cols>
    <col min="1" max="1" width="5.5703125" customWidth="1"/>
    <col min="2" max="2" width="15.140625" style="13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69" customWidth="1"/>
    <col min="11" max="11" width="15.5703125" customWidth="1"/>
  </cols>
  <sheetData>
    <row r="1" spans="1:11" ht="30.75" thickBot="1" x14ac:dyDescent="0.3">
      <c r="A1" s="129" t="s">
        <v>100</v>
      </c>
      <c r="B1" s="129"/>
      <c r="C1" s="129"/>
      <c r="D1" s="129"/>
      <c r="E1" s="129"/>
      <c r="F1" s="129"/>
      <c r="G1" s="129"/>
      <c r="H1" s="129"/>
      <c r="I1" s="129"/>
      <c r="J1" s="39" t="s">
        <v>101</v>
      </c>
      <c r="K1" s="40" t="s">
        <v>122</v>
      </c>
    </row>
    <row r="2" spans="1:11" ht="16.5" thickBot="1" x14ac:dyDescent="0.3">
      <c r="A2" s="41"/>
      <c r="B2" s="42"/>
      <c r="C2" s="43"/>
      <c r="D2" s="44"/>
      <c r="E2" s="44"/>
      <c r="F2" s="44"/>
      <c r="G2" s="44"/>
      <c r="H2" s="44"/>
      <c r="I2" s="44"/>
      <c r="J2" s="45"/>
      <c r="K2" s="46"/>
    </row>
    <row r="3" spans="1:11" ht="16.149999999999999" customHeight="1" thickBot="1" x14ac:dyDescent="0.3">
      <c r="A3" s="130" t="s">
        <v>102</v>
      </c>
      <c r="B3" s="130"/>
      <c r="C3" s="130"/>
      <c r="D3" s="47" t="s">
        <v>103</v>
      </c>
      <c r="E3" s="48"/>
      <c r="F3" s="48"/>
      <c r="G3" s="48"/>
      <c r="H3" s="48"/>
      <c r="I3" s="48"/>
      <c r="J3" s="49"/>
      <c r="K3" s="50"/>
    </row>
    <row r="4" spans="1:11" ht="16.149999999999999" customHeight="1" thickBot="1" x14ac:dyDescent="0.3">
      <c r="A4" s="128" t="s">
        <v>75</v>
      </c>
      <c r="B4" s="128"/>
      <c r="C4" s="128"/>
      <c r="D4" s="47" t="s">
        <v>104</v>
      </c>
      <c r="E4" s="48"/>
      <c r="F4" s="48"/>
      <c r="G4" s="48"/>
      <c r="H4" s="48"/>
      <c r="I4" s="48"/>
      <c r="J4" s="49"/>
      <c r="K4" s="50"/>
    </row>
    <row r="5" spans="1:11" ht="16.5" thickBot="1" x14ac:dyDescent="0.3">
      <c r="A5" s="128" t="s">
        <v>76</v>
      </c>
      <c r="B5" s="128"/>
      <c r="C5" s="128"/>
      <c r="D5" s="47" t="s">
        <v>105</v>
      </c>
      <c r="E5" s="48"/>
      <c r="F5" s="48"/>
      <c r="G5" s="48"/>
      <c r="H5" s="48"/>
      <c r="I5" s="48"/>
      <c r="J5" s="49"/>
      <c r="K5" s="50"/>
    </row>
    <row r="6" spans="1:11" ht="16.5" thickBot="1" x14ac:dyDescent="0.3">
      <c r="A6" s="130" t="s">
        <v>77</v>
      </c>
      <c r="B6" s="130"/>
      <c r="C6" s="130"/>
      <c r="D6" s="47" t="s">
        <v>105</v>
      </c>
      <c r="E6" s="48"/>
      <c r="F6" s="48"/>
      <c r="G6" s="48"/>
      <c r="H6" s="48"/>
      <c r="I6" s="48"/>
      <c r="J6" s="49"/>
      <c r="K6" s="50"/>
    </row>
    <row r="7" spans="1:11" ht="16.5" thickBot="1" x14ac:dyDescent="0.3">
      <c r="A7" s="128" t="s">
        <v>106</v>
      </c>
      <c r="B7" s="128"/>
      <c r="C7" s="128"/>
      <c r="D7" s="47" t="s">
        <v>107</v>
      </c>
      <c r="E7" s="48"/>
      <c r="F7" s="48"/>
      <c r="G7" s="48"/>
      <c r="H7" s="48"/>
      <c r="I7" s="48"/>
      <c r="J7" s="49"/>
      <c r="K7" s="50"/>
    </row>
    <row r="8" spans="1:11" ht="16.149999999999999" customHeight="1" thickBot="1" x14ac:dyDescent="0.3">
      <c r="A8" s="124" t="s">
        <v>108</v>
      </c>
      <c r="B8" s="124"/>
      <c r="C8" s="125"/>
      <c r="D8" s="47" t="s">
        <v>109</v>
      </c>
      <c r="E8" s="48"/>
      <c r="F8" s="48"/>
      <c r="G8" s="48"/>
      <c r="H8" s="48"/>
      <c r="I8" s="48"/>
      <c r="J8" s="49"/>
      <c r="K8" s="50"/>
    </row>
    <row r="9" spans="1:11" ht="16.5" thickBot="1" x14ac:dyDescent="0.3">
      <c r="A9" s="51"/>
      <c r="B9" s="52"/>
      <c r="C9" s="53"/>
      <c r="D9" s="54"/>
      <c r="E9" s="54"/>
      <c r="F9" s="54"/>
      <c r="G9" s="54"/>
      <c r="H9" s="54"/>
      <c r="I9" s="54"/>
      <c r="J9" s="55"/>
      <c r="K9" s="56"/>
    </row>
    <row r="10" spans="1:11" ht="15.75" thickBot="1" x14ac:dyDescent="0.3">
      <c r="A10" s="126" t="s">
        <v>110</v>
      </c>
      <c r="B10" s="115" t="s">
        <v>111</v>
      </c>
      <c r="C10" s="115" t="s">
        <v>112</v>
      </c>
      <c r="D10" s="115"/>
      <c r="E10" s="115"/>
      <c r="F10" s="115"/>
      <c r="G10" s="115"/>
      <c r="H10" s="115" t="s">
        <v>113</v>
      </c>
      <c r="I10" s="115" t="s">
        <v>114</v>
      </c>
      <c r="J10" s="117" t="s">
        <v>115</v>
      </c>
      <c r="K10" s="119" t="s">
        <v>116</v>
      </c>
    </row>
    <row r="11" spans="1:11" ht="30" customHeight="1" thickBot="1" x14ac:dyDescent="0.3">
      <c r="A11" s="127"/>
      <c r="B11" s="116"/>
      <c r="C11" s="116"/>
      <c r="D11" s="116"/>
      <c r="E11" s="116"/>
      <c r="F11" s="116"/>
      <c r="G11" s="116"/>
      <c r="H11" s="116"/>
      <c r="I11" s="116"/>
      <c r="J11" s="118"/>
      <c r="K11" s="120"/>
    </row>
    <row r="12" spans="1:11" ht="16.149999999999999" customHeight="1" x14ac:dyDescent="0.25">
      <c r="A12" s="57">
        <f>+Hoja1!A3</f>
        <v>24</v>
      </c>
      <c r="B12" s="58" t="str">
        <f>+Hoja1!C3</f>
        <v>2.5.2-1726.17</v>
      </c>
      <c r="C12" s="121" t="str">
        <f>+Hoja1!D3</f>
        <v>SOLUCIONES P/MEDICINA; TIPO: FISIOLOGICA CLORURO DE SODIO, PRESENTACION: 500 CM3</v>
      </c>
      <c r="D12" s="122"/>
      <c r="E12" s="122"/>
      <c r="F12" s="122"/>
      <c r="G12" s="123"/>
      <c r="H12" s="59" t="s">
        <v>117</v>
      </c>
      <c r="I12" s="60" t="str">
        <f>[1]ACUERDO!F19</f>
        <v>UNIDAD</v>
      </c>
      <c r="J12" s="61">
        <v>98</v>
      </c>
      <c r="K12" s="62">
        <v>60000</v>
      </c>
    </row>
    <row r="13" spans="1:11" ht="16.149999999999999" customHeight="1" x14ac:dyDescent="0.25">
      <c r="A13" s="57"/>
      <c r="B13" s="58"/>
      <c r="C13" s="112"/>
      <c r="D13" s="113"/>
      <c r="E13" s="113"/>
      <c r="F13" s="113"/>
      <c r="G13" s="114"/>
      <c r="H13" s="59"/>
      <c r="I13" s="60"/>
      <c r="J13" s="61"/>
      <c r="K13" s="62"/>
    </row>
    <row r="14" spans="1:11" ht="16.149999999999999" customHeight="1" x14ac:dyDescent="0.25">
      <c r="A14" s="57"/>
      <c r="B14" s="58"/>
      <c r="C14" s="112"/>
      <c r="D14" s="113"/>
      <c r="E14" s="113"/>
      <c r="F14" s="113"/>
      <c r="G14" s="114"/>
      <c r="H14" s="59"/>
      <c r="I14" s="60"/>
      <c r="J14" s="61"/>
      <c r="K14" s="62"/>
    </row>
    <row r="15" spans="1:11" ht="16.149999999999999" customHeight="1" x14ac:dyDescent="0.25">
      <c r="A15" s="57"/>
      <c r="B15" s="58"/>
      <c r="C15" s="112"/>
      <c r="D15" s="113"/>
      <c r="E15" s="113"/>
      <c r="F15" s="113"/>
      <c r="G15" s="114"/>
      <c r="H15" s="59"/>
      <c r="I15" s="60"/>
      <c r="J15" s="61"/>
      <c r="K15" s="62"/>
    </row>
    <row r="16" spans="1:11" ht="16.149999999999999" customHeight="1" x14ac:dyDescent="0.25">
      <c r="A16" s="57"/>
      <c r="B16" s="58"/>
      <c r="C16" s="112"/>
      <c r="D16" s="113"/>
      <c r="E16" s="113"/>
      <c r="F16" s="113"/>
      <c r="G16" s="114"/>
      <c r="H16" s="59"/>
      <c r="I16" s="60"/>
      <c r="J16" s="61"/>
      <c r="K16" s="62"/>
    </row>
    <row r="17" spans="1:11" ht="16.149999999999999" customHeight="1" x14ac:dyDescent="0.25">
      <c r="A17" s="57"/>
      <c r="B17" s="58"/>
      <c r="C17" s="112"/>
      <c r="D17" s="113"/>
      <c r="E17" s="113"/>
      <c r="F17" s="113"/>
      <c r="G17" s="114"/>
      <c r="H17" s="59"/>
      <c r="I17" s="60"/>
      <c r="J17" s="61"/>
      <c r="K17" s="62"/>
    </row>
    <row r="18" spans="1:11" ht="16.149999999999999" customHeight="1" x14ac:dyDescent="0.25">
      <c r="A18" s="57"/>
      <c r="B18" s="58"/>
      <c r="C18" s="112"/>
      <c r="D18" s="113"/>
      <c r="E18" s="113"/>
      <c r="F18" s="113"/>
      <c r="G18" s="114"/>
      <c r="H18" s="59"/>
      <c r="I18" s="60"/>
      <c r="J18" s="61"/>
      <c r="K18" s="62"/>
    </row>
    <row r="19" spans="1:11" ht="16.149999999999999" customHeight="1" x14ac:dyDescent="0.25">
      <c r="A19" s="57"/>
      <c r="B19" s="63"/>
      <c r="C19" s="112"/>
      <c r="D19" s="113"/>
      <c r="E19" s="113"/>
      <c r="F19" s="113"/>
      <c r="G19" s="114"/>
      <c r="H19" s="59"/>
      <c r="I19" s="64"/>
      <c r="J19" s="65"/>
      <c r="K19" s="66"/>
    </row>
    <row r="20" spans="1:11" ht="15.75" x14ac:dyDescent="0.25">
      <c r="A20" s="67"/>
      <c r="B20" s="63"/>
      <c r="C20" s="108"/>
      <c r="D20" s="108"/>
      <c r="E20" s="108"/>
      <c r="F20" s="108"/>
      <c r="G20" s="108"/>
      <c r="H20" s="68"/>
      <c r="I20" s="64"/>
      <c r="J20" s="65"/>
      <c r="K20" s="66"/>
    </row>
    <row r="21" spans="1:11" ht="19.5" thickBot="1" x14ac:dyDescent="0.3">
      <c r="A21" s="109" t="s">
        <v>123</v>
      </c>
      <c r="B21" s="109"/>
      <c r="C21" s="109"/>
      <c r="D21" s="109"/>
      <c r="E21" s="109"/>
      <c r="F21" s="109"/>
      <c r="G21" s="109"/>
      <c r="H21" s="109"/>
      <c r="I21" s="109"/>
      <c r="J21" s="110">
        <f>SUMPRODUCT(J12:J19,K12:K19)</f>
        <v>5880000</v>
      </c>
      <c r="K21" s="111"/>
    </row>
  </sheetData>
  <mergeCells count="25">
    <mergeCell ref="A7:C7"/>
    <mergeCell ref="A1:I1"/>
    <mergeCell ref="A3:C3"/>
    <mergeCell ref="A4:C4"/>
    <mergeCell ref="A5:C5"/>
    <mergeCell ref="A6:C6"/>
    <mergeCell ref="K10:K11"/>
    <mergeCell ref="C12:G12"/>
    <mergeCell ref="C13:G13"/>
    <mergeCell ref="C14:G14"/>
    <mergeCell ref="A8:C8"/>
    <mergeCell ref="A10:A11"/>
    <mergeCell ref="B10:B11"/>
    <mergeCell ref="C10:G11"/>
    <mergeCell ref="H10:H11"/>
    <mergeCell ref="I10:I11"/>
    <mergeCell ref="C16:G16"/>
    <mergeCell ref="C17:G17"/>
    <mergeCell ref="C18:G18"/>
    <mergeCell ref="J10:J11"/>
    <mergeCell ref="C20:G20"/>
    <mergeCell ref="A21:I21"/>
    <mergeCell ref="J21:K21"/>
    <mergeCell ref="C19:G19"/>
    <mergeCell ref="C15:G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5"/>
  <sheetViews>
    <sheetView topLeftCell="A10" workbookViewId="0">
      <selection activeCell="W22" sqref="W22"/>
    </sheetView>
  </sheetViews>
  <sheetFormatPr baseColWidth="10" defaultRowHeight="15" x14ac:dyDescent="0.25"/>
  <cols>
    <col min="1" max="5" width="4.42578125" customWidth="1"/>
    <col min="6" max="6" width="7.7109375" customWidth="1"/>
    <col min="7" max="13" width="4.42578125" customWidth="1"/>
    <col min="14" max="14" width="4.42578125" style="83" customWidth="1"/>
    <col min="15" max="16" width="14.85546875" customWidth="1"/>
    <col min="17" max="17" width="14.7109375" customWidth="1"/>
  </cols>
  <sheetData>
    <row r="1" spans="1:17" ht="15.75" thickBot="1" x14ac:dyDescent="0.3">
      <c r="A1" s="149" t="s">
        <v>118</v>
      </c>
      <c r="B1" s="149"/>
      <c r="C1" s="149"/>
      <c r="D1" s="150">
        <v>2022</v>
      </c>
      <c r="E1" s="150"/>
      <c r="F1" s="15"/>
      <c r="G1" s="15"/>
      <c r="H1" s="16"/>
      <c r="I1" s="16"/>
      <c r="J1" s="16"/>
      <c r="K1" s="16"/>
      <c r="L1" s="16"/>
      <c r="M1" s="16"/>
      <c r="N1" s="16"/>
      <c r="O1" s="17"/>
      <c r="P1" s="151" t="s">
        <v>73</v>
      </c>
      <c r="Q1" s="151"/>
    </row>
    <row r="2" spans="1:17" ht="15" customHeight="1" thickBot="1" x14ac:dyDescent="0.3">
      <c r="A2" s="18"/>
      <c r="B2" s="19"/>
      <c r="C2" s="19"/>
      <c r="D2" s="19"/>
      <c r="E2" s="19"/>
      <c r="F2" s="19"/>
      <c r="G2" s="20"/>
      <c r="H2" s="21"/>
      <c r="I2" s="21"/>
      <c r="J2" s="21"/>
      <c r="K2" s="21"/>
      <c r="L2" s="21"/>
      <c r="M2" s="21"/>
      <c r="N2" s="21"/>
      <c r="O2" s="19"/>
      <c r="P2" s="151"/>
      <c r="Q2" s="151"/>
    </row>
    <row r="3" spans="1:17" ht="15.75" thickBot="1" x14ac:dyDescent="0.3">
      <c r="A3" s="18"/>
      <c r="B3" s="19"/>
      <c r="C3" s="19"/>
      <c r="D3" s="19"/>
      <c r="E3" s="19"/>
      <c r="F3" s="19"/>
      <c r="G3" s="20"/>
      <c r="H3" s="19"/>
      <c r="I3" s="19"/>
      <c r="J3" s="19"/>
      <c r="K3" s="19"/>
      <c r="L3" s="19"/>
      <c r="M3" s="19"/>
      <c r="N3" s="19"/>
      <c r="O3" s="19"/>
      <c r="P3" s="19"/>
      <c r="Q3" s="22"/>
    </row>
    <row r="4" spans="1:17" ht="15.75" thickBot="1" x14ac:dyDescent="0.3">
      <c r="A4" s="152" t="s">
        <v>74</v>
      </c>
      <c r="B4" s="152"/>
      <c r="C4" s="152"/>
      <c r="D4" s="152"/>
      <c r="E4" s="152"/>
      <c r="F4" s="152"/>
      <c r="G4" s="153" t="str">
        <f>'[1]NP FCIA'!D3</f>
        <v>040 - MINISTERIO DE SALUD</v>
      </c>
      <c r="H4" s="153"/>
      <c r="I4" s="153"/>
      <c r="J4" s="153"/>
      <c r="K4" s="153"/>
      <c r="L4" s="153"/>
      <c r="M4" s="153"/>
      <c r="N4" s="153"/>
      <c r="O4" s="153"/>
      <c r="P4" s="153"/>
      <c r="Q4" s="153"/>
    </row>
    <row r="5" spans="1:17" ht="15.75" thickBot="1" x14ac:dyDescent="0.3">
      <c r="A5" s="154" t="s">
        <v>75</v>
      </c>
      <c r="B5" s="154"/>
      <c r="C5" s="154"/>
      <c r="D5" s="154"/>
      <c r="E5" s="154"/>
      <c r="F5" s="154"/>
      <c r="G5" s="153" t="str">
        <f>'[1]NP FCIA'!D4</f>
        <v>011 - DIRECCION PROVINCIAL DE ADMINISTRACION - MS</v>
      </c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17" ht="15" customHeight="1" thickBot="1" x14ac:dyDescent="0.3">
      <c r="A6" s="154" t="s">
        <v>76</v>
      </c>
      <c r="B6" s="154"/>
      <c r="C6" s="154"/>
      <c r="D6" s="154"/>
      <c r="E6" s="154"/>
      <c r="F6" s="154"/>
      <c r="G6" s="153" t="str">
        <f>'[1]NP FCIA'!D5</f>
        <v>DIRECCION PROVINCIAL DE FARMACIA E INSUMOS</v>
      </c>
      <c r="H6" s="153"/>
      <c r="I6" s="153"/>
      <c r="J6" s="153"/>
      <c r="K6" s="153"/>
      <c r="L6" s="153"/>
      <c r="M6" s="153"/>
      <c r="N6" s="153"/>
      <c r="O6" s="153"/>
      <c r="P6" s="153"/>
      <c r="Q6" s="153"/>
    </row>
    <row r="7" spans="1:17" ht="15" customHeight="1" thickBot="1" x14ac:dyDescent="0.3">
      <c r="A7" s="154" t="s">
        <v>77</v>
      </c>
      <c r="B7" s="154"/>
      <c r="C7" s="154"/>
      <c r="D7" s="154"/>
      <c r="E7" s="154"/>
      <c r="F7" s="154"/>
      <c r="G7" s="153" t="str">
        <f>'[1]NP FCIA'!D6</f>
        <v>DIRECCION PROVINCIAL DE FARMACIA E INSUMOS</v>
      </c>
      <c r="H7" s="153"/>
      <c r="I7" s="153"/>
      <c r="J7" s="153"/>
      <c r="K7" s="153"/>
      <c r="L7" s="153"/>
      <c r="M7" s="153"/>
      <c r="N7" s="153"/>
      <c r="O7" s="153"/>
      <c r="P7" s="153"/>
      <c r="Q7" s="153"/>
    </row>
    <row r="8" spans="1:17" ht="15.75" thickBot="1" x14ac:dyDescent="0.3">
      <c r="A8" s="155" t="s">
        <v>78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</row>
    <row r="9" spans="1:17" x14ac:dyDescent="0.25">
      <c r="A9" s="148" t="s">
        <v>79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</row>
    <row r="10" spans="1:17" ht="55.15" customHeight="1" x14ac:dyDescent="0.25">
      <c r="A10" s="140" t="s">
        <v>126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</row>
    <row r="11" spans="1:17" ht="15.75" thickBot="1" x14ac:dyDescent="0.3">
      <c r="A11" s="70"/>
      <c r="B11" s="71"/>
      <c r="C11" s="71"/>
      <c r="D11" s="71"/>
      <c r="E11" s="71"/>
      <c r="F11" s="71"/>
      <c r="G11" s="72"/>
      <c r="H11" s="71"/>
      <c r="I11" s="71"/>
      <c r="J11" s="71"/>
      <c r="K11" s="71"/>
      <c r="L11" s="71"/>
      <c r="M11" s="71"/>
      <c r="N11" s="71"/>
      <c r="O11" s="71"/>
      <c r="P11" s="71"/>
      <c r="Q11" s="73"/>
    </row>
    <row r="12" spans="1:17" ht="15.75" thickBot="1" x14ac:dyDescent="0.3">
      <c r="A12" s="141" t="s">
        <v>80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1:17" ht="15" customHeight="1" thickBot="1" x14ac:dyDescent="0.3">
      <c r="A13" s="142" t="s">
        <v>81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82</v>
      </c>
      <c r="P13" s="143"/>
      <c r="Q13" s="144" t="s">
        <v>83</v>
      </c>
    </row>
    <row r="14" spans="1:17" ht="15.75" thickBot="1" x14ac:dyDescent="0.3">
      <c r="A14" s="23" t="s">
        <v>84</v>
      </c>
      <c r="B14" s="24" t="s">
        <v>85</v>
      </c>
      <c r="C14" s="24" t="s">
        <v>86</v>
      </c>
      <c r="D14" s="24" t="s">
        <v>87</v>
      </c>
      <c r="E14" s="24" t="s">
        <v>88</v>
      </c>
      <c r="F14" s="24" t="s">
        <v>89</v>
      </c>
      <c r="G14" s="25" t="s">
        <v>90</v>
      </c>
      <c r="H14" s="24" t="s">
        <v>91</v>
      </c>
      <c r="I14" s="24" t="s">
        <v>92</v>
      </c>
      <c r="J14" s="24" t="s">
        <v>93</v>
      </c>
      <c r="K14" s="24" t="s">
        <v>93</v>
      </c>
      <c r="L14" s="24" t="s">
        <v>94</v>
      </c>
      <c r="M14" s="26" t="s">
        <v>95</v>
      </c>
      <c r="N14" s="27" t="s">
        <v>96</v>
      </c>
      <c r="O14" s="143"/>
      <c r="P14" s="143"/>
      <c r="Q14" s="144"/>
    </row>
    <row r="15" spans="1:17" ht="33.6" customHeight="1" x14ac:dyDescent="0.25">
      <c r="A15" s="74">
        <v>30</v>
      </c>
      <c r="B15" s="28"/>
      <c r="C15" s="28"/>
      <c r="D15" s="28">
        <v>1</v>
      </c>
      <c r="E15" s="28"/>
      <c r="F15" s="28">
        <v>4901</v>
      </c>
      <c r="G15" s="28">
        <v>3</v>
      </c>
      <c r="H15" s="28">
        <v>1</v>
      </c>
      <c r="I15" s="28">
        <v>2</v>
      </c>
      <c r="J15" s="28">
        <v>5</v>
      </c>
      <c r="K15" s="28">
        <v>2</v>
      </c>
      <c r="L15" s="28"/>
      <c r="M15" s="75">
        <v>1</v>
      </c>
      <c r="N15" s="28" t="s">
        <v>97</v>
      </c>
      <c r="O15" s="145" t="s">
        <v>125</v>
      </c>
      <c r="P15" s="146"/>
      <c r="Q15" s="29">
        <f>60000*98</f>
        <v>5880000</v>
      </c>
    </row>
    <row r="16" spans="1:17" x14ac:dyDescent="0.25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  <c r="N16" s="33"/>
      <c r="O16" s="134"/>
      <c r="P16" s="134"/>
      <c r="Q16" s="34"/>
    </row>
    <row r="17" spans="1:17" x14ac:dyDescent="0.25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  <c r="N17" s="33"/>
      <c r="O17" s="147"/>
      <c r="P17" s="147"/>
      <c r="Q17" s="34"/>
    </row>
    <row r="18" spans="1:17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3"/>
      <c r="O18" s="139"/>
      <c r="P18" s="139"/>
      <c r="Q18" s="34"/>
    </row>
    <row r="19" spans="1:17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33"/>
      <c r="O19" s="139"/>
      <c r="P19" s="139"/>
      <c r="Q19" s="34"/>
    </row>
    <row r="20" spans="1:17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  <c r="N20" s="33"/>
      <c r="O20" s="139"/>
      <c r="P20" s="139"/>
      <c r="Q20" s="34"/>
    </row>
    <row r="21" spans="1:17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3"/>
      <c r="O21" s="139"/>
      <c r="P21" s="139"/>
      <c r="Q21" s="34"/>
    </row>
    <row r="22" spans="1:1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3"/>
      <c r="O22" s="139"/>
      <c r="P22" s="139"/>
      <c r="Q22" s="34"/>
    </row>
    <row r="23" spans="1:17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  <c r="N23" s="33"/>
      <c r="O23" s="139"/>
      <c r="P23" s="139"/>
      <c r="Q23" s="34"/>
    </row>
    <row r="24" spans="1:17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  <c r="N24" s="33"/>
      <c r="O24" s="139"/>
      <c r="P24" s="139"/>
      <c r="Q24" s="34"/>
    </row>
    <row r="25" spans="1:17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3"/>
      <c r="O25" s="139"/>
      <c r="P25" s="139"/>
      <c r="Q25" s="34"/>
    </row>
    <row r="26" spans="1:17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  <c r="N26" s="33"/>
      <c r="O26" s="139"/>
      <c r="P26" s="139"/>
      <c r="Q26" s="34"/>
    </row>
    <row r="27" spans="1:17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/>
      <c r="N27" s="33"/>
      <c r="O27" s="139"/>
      <c r="P27" s="139"/>
      <c r="Q27" s="34"/>
    </row>
    <row r="28" spans="1:17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139"/>
      <c r="P28" s="139"/>
      <c r="Q28" s="34"/>
    </row>
    <row r="29" spans="1:17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139"/>
      <c r="P29" s="139"/>
      <c r="Q29" s="34"/>
    </row>
    <row r="30" spans="1:17" x14ac:dyDescent="0.25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139"/>
      <c r="P30" s="139"/>
      <c r="Q30" s="34"/>
    </row>
    <row r="31" spans="1:17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33"/>
      <c r="O31" s="139"/>
      <c r="P31" s="139"/>
      <c r="Q31" s="34"/>
    </row>
    <row r="32" spans="1:17" x14ac:dyDescent="0.25">
      <c r="A32" s="30"/>
      <c r="B32" s="31"/>
      <c r="C32" s="31"/>
      <c r="D32" s="31"/>
      <c r="E32" s="31"/>
      <c r="F32" s="33"/>
      <c r="G32" s="31"/>
      <c r="H32" s="31"/>
      <c r="I32" s="31"/>
      <c r="J32" s="31"/>
      <c r="K32" s="31"/>
      <c r="L32" s="31"/>
      <c r="M32" s="32"/>
      <c r="N32" s="33"/>
      <c r="O32" s="134"/>
      <c r="P32" s="134"/>
      <c r="Q32" s="34"/>
    </row>
    <row r="33" spans="1:17" x14ac:dyDescent="0.2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N33" s="33"/>
      <c r="O33" s="134"/>
      <c r="P33" s="134"/>
      <c r="Q33" s="34"/>
    </row>
    <row r="34" spans="1:17" x14ac:dyDescent="0.25">
      <c r="A34" s="30"/>
      <c r="B34" s="31"/>
      <c r="C34" s="31"/>
      <c r="D34" s="31"/>
      <c r="E34" s="31"/>
      <c r="F34" s="33"/>
      <c r="G34" s="31"/>
      <c r="H34" s="31"/>
      <c r="I34" s="31"/>
      <c r="J34" s="31"/>
      <c r="K34" s="31"/>
      <c r="L34" s="31"/>
      <c r="M34" s="32"/>
      <c r="N34" s="33"/>
      <c r="O34" s="134"/>
      <c r="P34" s="134"/>
      <c r="Q34" s="34"/>
    </row>
    <row r="35" spans="1:17" x14ac:dyDescent="0.25">
      <c r="A35" s="30"/>
      <c r="B35" s="31"/>
      <c r="C35" s="31"/>
      <c r="D35" s="31"/>
      <c r="E35" s="31"/>
      <c r="F35" s="33"/>
      <c r="G35" s="31"/>
      <c r="H35" s="31"/>
      <c r="I35" s="31"/>
      <c r="J35" s="31"/>
      <c r="K35" s="31"/>
      <c r="L35" s="31"/>
      <c r="M35" s="32"/>
      <c r="N35" s="33"/>
      <c r="O35" s="134"/>
      <c r="P35" s="134"/>
      <c r="Q35" s="34"/>
    </row>
    <row r="36" spans="1:17" x14ac:dyDescent="0.25">
      <c r="A36" s="76"/>
      <c r="B36" s="77"/>
      <c r="C36" s="77"/>
      <c r="D36" s="77"/>
      <c r="E36" s="77"/>
      <c r="F36" s="78"/>
      <c r="G36" s="77"/>
      <c r="H36" s="77"/>
      <c r="I36" s="77"/>
      <c r="J36" s="77"/>
      <c r="K36" s="77"/>
      <c r="L36" s="77"/>
      <c r="M36" s="79"/>
      <c r="N36" s="80"/>
      <c r="O36" s="135"/>
      <c r="P36" s="135"/>
      <c r="Q36" s="34"/>
    </row>
    <row r="37" spans="1:17" ht="15.75" thickBot="1" x14ac:dyDescent="0.3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7"/>
      <c r="N37" s="36"/>
      <c r="O37" s="136"/>
      <c r="P37" s="136"/>
      <c r="Q37" s="38"/>
    </row>
    <row r="38" spans="1:17" ht="15" customHeight="1" thickBot="1" x14ac:dyDescent="0.3">
      <c r="A38" s="137" t="s">
        <v>124</v>
      </c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81">
        <f>SUM(Q15:Q37)</f>
        <v>5880000</v>
      </c>
    </row>
    <row r="39" spans="1:17" ht="15.75" thickBot="1" x14ac:dyDescent="0.3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</row>
    <row r="40" spans="1:17" ht="15" customHeight="1" thickBot="1" x14ac:dyDescent="0.3">
      <c r="A40" s="131" t="s">
        <v>98</v>
      </c>
      <c r="B40" s="131"/>
      <c r="C40" s="131"/>
      <c r="D40" s="131"/>
      <c r="E40" s="131"/>
      <c r="F40" s="131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</row>
    <row r="41" spans="1:17" ht="15.75" thickBot="1" x14ac:dyDescent="0.3">
      <c r="A41" s="133" t="str">
        <f>'[1]NP FCIA'!D8</f>
        <v>ACUERDO MARCO PEDIDO DE INSUMOS COMUNES</v>
      </c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</row>
    <row r="42" spans="1:17" ht="15.75" thickBot="1" x14ac:dyDescent="0.3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</row>
    <row r="43" spans="1:17" x14ac:dyDescent="0.25">
      <c r="N43" s="82"/>
    </row>
    <row r="44" spans="1:17" x14ac:dyDescent="0.25">
      <c r="N44" s="82"/>
    </row>
    <row r="45" spans="1:17" x14ac:dyDescent="0.25">
      <c r="N45" s="82"/>
    </row>
    <row r="46" spans="1:17" x14ac:dyDescent="0.25">
      <c r="N46" s="82"/>
    </row>
    <row r="47" spans="1:17" x14ac:dyDescent="0.25">
      <c r="N47" s="82"/>
    </row>
    <row r="48" spans="1:17" x14ac:dyDescent="0.25">
      <c r="N48" s="82"/>
    </row>
    <row r="49" spans="14:14" x14ac:dyDescent="0.25">
      <c r="N49" s="82"/>
    </row>
    <row r="50" spans="14:14" x14ac:dyDescent="0.25">
      <c r="N50" s="82"/>
    </row>
    <row r="51" spans="14:14" x14ac:dyDescent="0.25">
      <c r="N51" s="82"/>
    </row>
    <row r="52" spans="14:14" x14ac:dyDescent="0.25">
      <c r="N52" s="82"/>
    </row>
    <row r="53" spans="14:14" x14ac:dyDescent="0.25">
      <c r="N53" s="82"/>
    </row>
    <row r="54" spans="14:14" x14ac:dyDescent="0.25">
      <c r="N54" s="82"/>
    </row>
    <row r="55" spans="14:14" x14ac:dyDescent="0.25">
      <c r="N55" s="82"/>
    </row>
    <row r="56" spans="14:14" x14ac:dyDescent="0.25">
      <c r="N56" s="82"/>
    </row>
    <row r="57" spans="14:14" x14ac:dyDescent="0.25">
      <c r="N57" s="82"/>
    </row>
    <row r="58" spans="14:14" x14ac:dyDescent="0.25">
      <c r="N58" s="82"/>
    </row>
    <row r="59" spans="14:14" x14ac:dyDescent="0.25">
      <c r="N59" s="82"/>
    </row>
    <row r="60" spans="14:14" x14ac:dyDescent="0.25">
      <c r="N60" s="82"/>
    </row>
    <row r="61" spans="14:14" x14ac:dyDescent="0.25">
      <c r="N61" s="82"/>
    </row>
    <row r="62" spans="14:14" x14ac:dyDescent="0.25">
      <c r="N62" s="82"/>
    </row>
    <row r="63" spans="14:14" x14ac:dyDescent="0.25">
      <c r="N63" s="82"/>
    </row>
    <row r="64" spans="14:14" x14ac:dyDescent="0.25">
      <c r="N64" s="82"/>
    </row>
    <row r="65" spans="14:14" x14ac:dyDescent="0.25">
      <c r="N65" s="82"/>
    </row>
    <row r="66" spans="14:14" x14ac:dyDescent="0.25">
      <c r="N66" s="82"/>
    </row>
    <row r="67" spans="14:14" x14ac:dyDescent="0.25">
      <c r="N67" s="82"/>
    </row>
    <row r="68" spans="14:14" x14ac:dyDescent="0.25">
      <c r="N68" s="82"/>
    </row>
    <row r="69" spans="14:14" x14ac:dyDescent="0.25">
      <c r="N69" s="82"/>
    </row>
    <row r="70" spans="14:14" x14ac:dyDescent="0.25">
      <c r="N70" s="82"/>
    </row>
    <row r="71" spans="14:14" x14ac:dyDescent="0.25">
      <c r="N71" s="82"/>
    </row>
    <row r="72" spans="14:14" x14ac:dyDescent="0.25">
      <c r="N72" s="82"/>
    </row>
    <row r="73" spans="14:14" x14ac:dyDescent="0.25">
      <c r="N73" s="82"/>
    </row>
    <row r="74" spans="14:14" x14ac:dyDescent="0.25">
      <c r="N74" s="82"/>
    </row>
    <row r="75" spans="14:14" x14ac:dyDescent="0.25">
      <c r="N75" s="82"/>
    </row>
    <row r="76" spans="14:14" x14ac:dyDescent="0.25">
      <c r="N76" s="82"/>
    </row>
    <row r="77" spans="14:14" x14ac:dyDescent="0.25">
      <c r="N77" s="82"/>
    </row>
    <row r="78" spans="14:14" x14ac:dyDescent="0.25">
      <c r="N78" s="82"/>
    </row>
    <row r="79" spans="14:14" x14ac:dyDescent="0.25">
      <c r="N79" s="82"/>
    </row>
    <row r="80" spans="14:14" x14ac:dyDescent="0.25">
      <c r="N80" s="82"/>
    </row>
    <row r="81" spans="14:14" x14ac:dyDescent="0.25">
      <c r="N81" s="82"/>
    </row>
    <row r="82" spans="14:14" x14ac:dyDescent="0.25">
      <c r="N82" s="82"/>
    </row>
    <row r="83" spans="14:14" x14ac:dyDescent="0.25">
      <c r="N83" s="82"/>
    </row>
    <row r="84" spans="14:14" x14ac:dyDescent="0.25">
      <c r="N84" s="82"/>
    </row>
    <row r="85" spans="14:14" x14ac:dyDescent="0.25">
      <c r="N85" s="82"/>
    </row>
    <row r="86" spans="14:14" x14ac:dyDescent="0.25">
      <c r="N86" s="82"/>
    </row>
    <row r="87" spans="14:14" x14ac:dyDescent="0.25">
      <c r="N87" s="82"/>
    </row>
    <row r="88" spans="14:14" x14ac:dyDescent="0.25">
      <c r="N88" s="82"/>
    </row>
    <row r="89" spans="14:14" x14ac:dyDescent="0.25">
      <c r="N89" s="82"/>
    </row>
    <row r="125" spans="14:14" x14ac:dyDescent="0.25">
      <c r="N125" s="83">
        <v>91</v>
      </c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CONVENIO</vt:lpstr>
      <vt:lpstr>NP FAR</vt:lpstr>
      <vt:lpstr>APG FAR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2022-06-23T13:29:16Z</dcterms:modified>
</cp:coreProperties>
</file>