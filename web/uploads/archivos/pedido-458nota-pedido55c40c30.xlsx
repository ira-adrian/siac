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8B0084E2-A3A8-45AF-9462-FB4BDCBB005A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NotaPedido'!$A$1:$K$22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Q15" i="3" l="1"/>
  <c r="I19" i="1"/>
  <c r="I18" i="1" l="1"/>
  <c r="I17" i="1"/>
  <c r="I16" i="1" l="1"/>
  <c r="I11" i="1"/>
  <c r="I12" i="1"/>
  <c r="I13" i="1"/>
  <c r="I14" i="1"/>
  <c r="I10" i="1"/>
  <c r="I15" i="1" l="1"/>
  <c r="K13" i="2" l="1"/>
  <c r="K14" i="2"/>
  <c r="K15" i="2"/>
  <c r="K16" i="2"/>
  <c r="K17" i="2"/>
  <c r="K18" i="2"/>
  <c r="K19" i="2"/>
  <c r="K20" i="2"/>
  <c r="K21" i="2"/>
  <c r="K12" i="2"/>
  <c r="J13" i="2"/>
  <c r="J14" i="2"/>
  <c r="J15" i="2"/>
  <c r="J16" i="2"/>
  <c r="J17" i="2"/>
  <c r="J18" i="2"/>
  <c r="J19" i="2"/>
  <c r="J20" i="2"/>
  <c r="J21" i="2"/>
  <c r="J12" i="2"/>
  <c r="I17" i="2"/>
  <c r="I18" i="2"/>
  <c r="I19" i="2"/>
  <c r="I20" i="2"/>
  <c r="I21" i="2"/>
  <c r="I13" i="2"/>
  <c r="I14" i="2"/>
  <c r="I15" i="2"/>
  <c r="I16" i="2"/>
  <c r="I12" i="2"/>
  <c r="C19" i="2"/>
  <c r="C20" i="2"/>
  <c r="C21" i="2"/>
  <c r="C14" i="2"/>
  <c r="C15" i="2"/>
  <c r="C16" i="2"/>
  <c r="C17" i="2"/>
  <c r="C18" i="2"/>
  <c r="C13" i="2"/>
  <c r="G7" i="3" l="1"/>
  <c r="G6" i="3" l="1"/>
  <c r="D7" i="2" l="1"/>
  <c r="G4" i="3"/>
  <c r="G5" i="3"/>
  <c r="A10" i="3" l="1"/>
  <c r="D1" i="3"/>
  <c r="J22" i="2"/>
</calcChain>
</file>

<file path=xl/sharedStrings.xml><?xml version="1.0" encoding="utf-8"?>
<sst xmlns="http://schemas.openxmlformats.org/spreadsheetml/2006/main" count="145" uniqueCount="97">
  <si>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</si>
  <si>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</si>
  <si>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</si>
  <si>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</si>
  <si>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</si>
  <si>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</si>
  <si>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</si>
  <si>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</si>
  <si>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</si>
  <si>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</si>
  <si>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</si>
  <si>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</si>
  <si>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</si>
  <si>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</si>
  <si>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</si>
  <si>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</si>
  <si>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</si>
  <si>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</si>
  <si>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</si>
  <si>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</si>
  <si>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</si>
  <si>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</si>
  <si>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</si>
  <si>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</si>
  <si>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</si>
  <si>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</si>
  <si>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</si>
  <si>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</si>
  <si>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</si>
  <si>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</si>
  <si>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</si>
  <si>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</si>
  <si>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</si>
  <si>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</si>
  <si>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</si>
  <si>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</si>
  <si>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</si>
  <si>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</si>
  <si>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</si>
  <si>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</si>
  <si>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</si>
  <si>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</si>
  <si>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</si>
  <si>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</si>
  <si>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</si>
  <si>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</si>
  <si>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</si>
  <si>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</si>
  <si>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</si>
  <si>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</si>
  <si>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</si>
  <si>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</si>
  <si>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</si>
  <si>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</si>
  <si>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</si>
  <si>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</si>
  <si>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</si>
  <si>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</si>
  <si>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 xml:space="preserve">40 - Ministerio de Salud </t>
  </si>
  <si>
    <t>23 - Hospital Interzonal San Juan Bautista</t>
  </si>
  <si>
    <t>40 - Ministerio de Salud</t>
  </si>
  <si>
    <t>3.1</t>
  </si>
  <si>
    <t>1.1</t>
  </si>
  <si>
    <t>AGUJA DESCARTABLE 40/8</t>
  </si>
  <si>
    <t>UNIDAD</t>
  </si>
  <si>
    <t>NO</t>
  </si>
  <si>
    <t>168 - Direccion Asistencial</t>
  </si>
  <si>
    <t xml:space="preserve">Compuestos Quimicos </t>
  </si>
  <si>
    <t>Otros NEP</t>
  </si>
  <si>
    <t xml:space="preserve">Algodón x 500grs. </t>
  </si>
  <si>
    <t>CAJA</t>
  </si>
  <si>
    <t>ROLLO</t>
  </si>
  <si>
    <t>Mascara de Proteccion facial sanitaria reutilizable</t>
  </si>
  <si>
    <t>Discos de Gentamicina x 10 ug. X 50 T/Britania</t>
  </si>
  <si>
    <t>Discos de Linezolid  30 ug x 50 T/Liofilchem y/o Britania</t>
  </si>
  <si>
    <t>FRASCO</t>
  </si>
  <si>
    <t>2.9.9</t>
  </si>
  <si>
    <t xml:space="preserve">Otros NEP </t>
  </si>
  <si>
    <t>2.5.1.</t>
  </si>
  <si>
    <t>2.9.5</t>
  </si>
  <si>
    <t>Ut. Menores Med. Quir. Y de Laborat.</t>
  </si>
  <si>
    <t>Adquisicion de Insumos para Laboratorio Central</t>
  </si>
  <si>
    <t>Servicio de Laboratorio Central</t>
  </si>
  <si>
    <t>Para la adquisición de Insumos para Laboratorio Central, para ser destinados al Hospital Interzonal San Juan Bautista</t>
  </si>
  <si>
    <t>355 - 2020</t>
  </si>
  <si>
    <t>Costo total estimado: doscientos setenta y tres mil setenta y dos con 90/100.-----</t>
  </si>
  <si>
    <t>10 días habiles - Laboratorio Central del HISJB</t>
  </si>
  <si>
    <t xml:space="preserve">CHAGAS HAI TIPO POLYCHACO x 96 determinaciones </t>
  </si>
  <si>
    <t xml:space="preserve">TIRAS REACTIVAS P/ ORINA- TIPO WIENNER x 100 tiras </t>
  </si>
  <si>
    <t xml:space="preserve">VDRL CUALITATIVA x 250 determinaciones </t>
  </si>
  <si>
    <t xml:space="preserve">ANTICUERPOS ANTITRANSGLUTAMINASA TIPO ORGESTRIOL x 96 determinaciones </t>
  </si>
  <si>
    <t>Ut. Men. Med. Quirurg. Y de Labor.</t>
  </si>
  <si>
    <t xml:space="preserve">SIFILIS TP TIPO ALERE x 30 tiras </t>
  </si>
  <si>
    <t xml:space="preserve">45 dias habiles </t>
  </si>
  <si>
    <t>Etiquetas Rollo termica con corte 80 x 25 mm x 1800 unidades -tipo Itecrap-</t>
  </si>
  <si>
    <t>TOTAL DE PESOS: DOSCIENTOS SETENTA Y TRES MIL SETENTA Y DOS CON 90/100.------</t>
  </si>
  <si>
    <t xml:space="preserve">Plazos minimos de vencimiento aceptados para los items detallados: 01 año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</si>
</sst>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#,##0.00;\-[$$-2C0A]#,##0.00"/>
    <numFmt numFmtId="170" formatCode="&quot;$&quot;#,##0.00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2"/>
      <color rgb="FF000000"/>
      <name val="Calibri"/>
      <family val="2"/>
    </font>
    <font>
      <b/>
      <sz val="8"/>
      <name val="Arial"/>
      <family val="2"/>
      <charset val="1"/>
    </font>
    <font>
      <sz val="9"/>
      <name val="Verdana"/>
      <family val="2"/>
    </font>
    <font>
      <sz val="9"/>
      <color theme="1"/>
      <name val="Verdana"/>
      <family val="2"/>
    </font>
    <font>
      <sz val="12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5" fillId="0" borderId="0"/>
  </cellStyleXfs>
  <cellXfs count="15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7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8" xfId="0" applyBorder="1"/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/>
    </xf>
    <xf numFmtId="0" fontId="14" fillId="0" borderId="3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3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6" fillId="0" borderId="6" xfId="0" applyFont="1" applyBorder="1"/>
    <xf numFmtId="0" fontId="16" fillId="0" borderId="0" xfId="0" applyFont="1" applyBorder="1"/>
    <xf numFmtId="0" fontId="16" fillId="0" borderId="7" xfId="0" applyFont="1" applyBorder="1"/>
    <xf numFmtId="0" fontId="23" fillId="0" borderId="6" xfId="0" applyFont="1" applyBorder="1" applyAlignment="1">
      <alignment horizontal="left" indent="3"/>
    </xf>
    <xf numFmtId="0" fontId="16" fillId="0" borderId="6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6" fillId="0" borderId="8" xfId="0" applyFont="1" applyBorder="1" applyAlignment="1">
      <alignment horizontal="left" indent="3"/>
    </xf>
    <xf numFmtId="0" fontId="16" fillId="0" borderId="9" xfId="0" applyFont="1" applyBorder="1"/>
    <xf numFmtId="0" fontId="16" fillId="0" borderId="10" xfId="0" applyFont="1" applyBorder="1"/>
    <xf numFmtId="0" fontId="4" fillId="4" borderId="20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left" vertical="center"/>
    </xf>
    <xf numFmtId="0" fontId="4" fillId="5" borderId="20" xfId="0" applyFont="1" applyFill="1" applyBorder="1" applyAlignment="1">
      <alignment horizontal="center" vertical="center"/>
    </xf>
    <xf numFmtId="166" fontId="4" fillId="4" borderId="20" xfId="1" applyNumberFormat="1" applyFont="1" applyFill="1" applyBorder="1" applyAlignment="1" applyProtection="1">
      <alignment horizontal="right" vertical="center" wrapText="1"/>
    </xf>
    <xf numFmtId="3" fontId="4" fillId="4" borderId="20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24" fillId="5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0" fontId="21" fillId="0" borderId="2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0" fillId="0" borderId="50" xfId="0" applyBorder="1"/>
    <xf numFmtId="0" fontId="22" fillId="0" borderId="50" xfId="0" applyFont="1" applyBorder="1" applyAlignment="1">
      <alignment horizontal="left" vertical="center" wrapText="1"/>
    </xf>
    <xf numFmtId="0" fontId="22" fillId="0" borderId="50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/>
    </xf>
    <xf numFmtId="0" fontId="0" fillId="5" borderId="33" xfId="0" applyFont="1" applyFill="1" applyBorder="1" applyAlignment="1">
      <alignment horizontal="center" vertical="center"/>
    </xf>
    <xf numFmtId="0" fontId="0" fillId="5" borderId="34" xfId="0" applyFont="1" applyFill="1" applyBorder="1" applyAlignment="1">
      <alignment horizontal="center" vertical="center"/>
    </xf>
    <xf numFmtId="0" fontId="25" fillId="5" borderId="34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0" fillId="5" borderId="35" xfId="0" applyFont="1" applyFill="1" applyBorder="1" applyAlignment="1">
      <alignment horizontal="center" vertical="center"/>
    </xf>
    <xf numFmtId="166" fontId="14" fillId="4" borderId="46" xfId="0" applyNumberFormat="1" applyFont="1" applyFill="1" applyBorder="1" applyAlignment="1">
      <alignment horizontal="center" vertical="center"/>
    </xf>
    <xf numFmtId="0" fontId="26" fillId="0" borderId="2" xfId="0" applyFont="1" applyBorder="1" applyAlignment="1">
      <alignment vertical="center" wrapText="1"/>
    </xf>
    <xf numFmtId="0" fontId="26" fillId="4" borderId="2" xfId="0" applyFont="1" applyFill="1" applyBorder="1" applyAlignment="1">
      <alignment horizontal="left" vertical="center" wrapText="1"/>
    </xf>
    <xf numFmtId="0" fontId="28" fillId="0" borderId="2" xfId="5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169" fontId="15" fillId="0" borderId="50" xfId="1" applyNumberFormat="1" applyBorder="1"/>
    <xf numFmtId="169" fontId="15" fillId="0" borderId="2" xfId="1" applyNumberFormat="1" applyBorder="1"/>
    <xf numFmtId="0" fontId="30" fillId="0" borderId="2" xfId="0" applyFont="1" applyFill="1" applyBorder="1" applyAlignment="1">
      <alignment vertical="center"/>
    </xf>
    <xf numFmtId="170" fontId="19" fillId="0" borderId="2" xfId="0" applyNumberFormat="1" applyFont="1" applyBorder="1" applyAlignment="1">
      <alignment horizontal="right" vertical="center" wrapText="1"/>
    </xf>
    <xf numFmtId="170" fontId="4" fillId="4" borderId="2" xfId="0" applyNumberFormat="1" applyFont="1" applyFill="1" applyBorder="1" applyAlignment="1">
      <alignment horizontal="right" vertical="center" wrapText="1"/>
    </xf>
    <xf numFmtId="0" fontId="0" fillId="4" borderId="2" xfId="0" applyFill="1" applyBorder="1"/>
    <xf numFmtId="0" fontId="22" fillId="4" borderId="50" xfId="0" applyFont="1" applyFill="1" applyBorder="1" applyAlignment="1">
      <alignment horizontal="left" vertical="center" wrapText="1"/>
    </xf>
    <xf numFmtId="0" fontId="22" fillId="4" borderId="50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vertical="center" wrapText="1"/>
    </xf>
    <xf numFmtId="0" fontId="28" fillId="4" borderId="2" xfId="5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/>
    </xf>
    <xf numFmtId="169" fontId="15" fillId="4" borderId="2" xfId="1" applyNumberFormat="1" applyFill="1" applyBorder="1"/>
    <xf numFmtId="169" fontId="15" fillId="4" borderId="50" xfId="1" applyNumberFormat="1" applyFill="1" applyBorder="1"/>
    <xf numFmtId="0" fontId="0" fillId="4" borderId="2" xfId="0" applyFill="1" applyBorder="1" applyAlignment="1">
      <alignment vertical="center"/>
    </xf>
    <xf numFmtId="0" fontId="30" fillId="4" borderId="2" xfId="5" applyFont="1" applyFill="1" applyBorder="1" applyAlignment="1">
      <alignment vertical="center"/>
    </xf>
    <xf numFmtId="0" fontId="29" fillId="4" borderId="2" xfId="5" applyFont="1" applyFill="1" applyBorder="1" applyAlignment="1">
      <alignment horizontal="center" vertical="center"/>
    </xf>
    <xf numFmtId="170" fontId="19" fillId="4" borderId="2" xfId="0" applyNumberFormat="1" applyFont="1" applyFill="1" applyBorder="1" applyAlignment="1">
      <alignment horizontal="right" vertical="center" wrapText="1"/>
    </xf>
    <xf numFmtId="0" fontId="9" fillId="0" borderId="55" xfId="0" applyFont="1" applyBorder="1" applyAlignment="1">
      <alignment horizontal="center" vertical="center"/>
    </xf>
    <xf numFmtId="0" fontId="4" fillId="4" borderId="56" xfId="0" applyFont="1" applyFill="1" applyBorder="1" applyAlignment="1">
      <alignment horizontal="left" vertical="center"/>
    </xf>
    <xf numFmtId="0" fontId="4" fillId="5" borderId="56" xfId="0" applyFont="1" applyFill="1" applyBorder="1" applyAlignment="1">
      <alignment horizontal="center" vertical="center"/>
    </xf>
    <xf numFmtId="0" fontId="4" fillId="4" borderId="56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 wrapText="1"/>
    </xf>
    <xf numFmtId="0" fontId="16" fillId="3" borderId="7" xfId="0" applyFont="1" applyFill="1" applyBorder="1" applyAlignment="1">
      <alignment horizontal="left" wrapText="1"/>
    </xf>
    <xf numFmtId="0" fontId="16" fillId="3" borderId="7" xfId="0" applyFont="1" applyFill="1" applyBorder="1" applyAlignment="1">
      <alignment horizontal="left" vertical="top" wrapText="1"/>
    </xf>
    <xf numFmtId="0" fontId="16" fillId="3" borderId="7" xfId="0" applyFont="1" applyFill="1" applyBorder="1" applyAlignment="1">
      <alignment horizontal="left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5" borderId="0" xfId="0" applyFont="1" applyFill="1" applyBorder="1" applyAlignment="1">
      <alignment horizontal="left" wrapText="1" indent="1"/>
    </xf>
    <xf numFmtId="0" fontId="6" fillId="0" borderId="15" xfId="0" applyFont="1" applyBorder="1" applyAlignment="1">
      <alignment horizontal="left" vertical="center" wrapText="1" indent="1"/>
    </xf>
    <xf numFmtId="167" fontId="7" fillId="4" borderId="15" xfId="0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left" vertical="center" wrapText="1"/>
    </xf>
    <xf numFmtId="0" fontId="4" fillId="4" borderId="54" xfId="0" applyFont="1" applyFill="1" applyBorder="1" applyAlignment="1">
      <alignment horizontal="left" vertical="center" wrapText="1"/>
    </xf>
    <xf numFmtId="0" fontId="4" fillId="4" borderId="23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6" fillId="4" borderId="15" xfId="0" applyFont="1" applyFill="1" applyBorder="1" applyAlignment="1">
      <alignment horizontal="left" vertical="center" wrapText="1" inden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6" fillId="5" borderId="18" xfId="0" applyFont="1" applyFill="1" applyBorder="1" applyAlignment="1">
      <alignment horizontal="left" vertical="center" wrapText="1" indent="1"/>
    </xf>
    <xf numFmtId="0" fontId="8" fillId="0" borderId="19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10" fillId="0" borderId="22" xfId="0" applyFont="1" applyBorder="1" applyAlignment="1">
      <alignment vertical="center" wrapText="1"/>
    </xf>
    <xf numFmtId="0" fontId="10" fillId="0" borderId="47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5" borderId="46" xfId="0" applyFont="1" applyFill="1" applyBorder="1" applyAlignment="1">
      <alignment horizontal="left" vertical="center" wrapText="1" indent="1"/>
    </xf>
    <xf numFmtId="0" fontId="0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27" fillId="0" borderId="46" xfId="0" applyFont="1" applyBorder="1" applyAlignment="1">
      <alignment horizontal="left" vertical="center" wrapText="1"/>
    </xf>
    <xf numFmtId="0" fontId="0" fillId="0" borderId="24" xfId="0" applyBorder="1"/>
    <xf numFmtId="0" fontId="0" fillId="0" borderId="34" xfId="0" applyFont="1" applyBorder="1" applyAlignment="1">
      <alignment horizontal="left" vertical="center" wrapText="1"/>
    </xf>
    <xf numFmtId="0" fontId="12" fillId="0" borderId="25" xfId="0" applyFont="1" applyBorder="1"/>
    <xf numFmtId="0" fontId="12" fillId="0" borderId="26" xfId="0" applyFont="1" applyBorder="1" applyAlignment="1">
      <alignment horizontal="left" vertical="center" wrapText="1" indent="1"/>
    </xf>
    <xf numFmtId="0" fontId="14" fillId="0" borderId="2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indent="1"/>
    </xf>
    <xf numFmtId="0" fontId="13" fillId="0" borderId="12" xfId="0" applyFont="1" applyBorder="1" applyAlignment="1">
      <alignment horizontal="left"/>
    </xf>
    <xf numFmtId="0" fontId="0" fillId="0" borderId="22" xfId="0" applyFont="1" applyBorder="1" applyAlignment="1">
      <alignment horizontal="center"/>
    </xf>
    <xf numFmtId="3" fontId="10" fillId="0" borderId="23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2" fillId="0" borderId="12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0"/>
  <sheetViews>
    <sheetView tabSelected="1" zoomScale="80" zoomScaleNormal="80" workbookViewId="0">
      <selection activeCell="H25" sqref="H25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1.5703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12" t="s">
        <v>0</v>
      </c>
      <c r="C2" s="112"/>
      <c r="D2" s="112"/>
      <c r="E2" s="112"/>
      <c r="F2" s="112"/>
      <c r="G2" s="112"/>
      <c r="H2" s="112"/>
    </row>
    <row r="4" spans="1:9" ht="18" customHeight="1" x14ac:dyDescent="0.25">
      <c r="A4" s="111" t="s">
        <v>1</v>
      </c>
      <c r="B4" s="111"/>
      <c r="C4" s="113" t="s">
        <v>60</v>
      </c>
      <c r="D4" s="113"/>
      <c r="E4" s="113"/>
      <c r="F4" s="40"/>
      <c r="G4" s="41"/>
      <c r="H4" s="40"/>
    </row>
    <row r="5" spans="1:9" ht="18" customHeight="1" x14ac:dyDescent="0.25">
      <c r="A5" s="111" t="s">
        <v>2</v>
      </c>
      <c r="B5" s="111"/>
      <c r="C5" s="113" t="s">
        <v>59</v>
      </c>
      <c r="D5" s="113"/>
      <c r="E5" s="113"/>
      <c r="F5" s="40"/>
      <c r="G5" s="41"/>
      <c r="H5" s="40"/>
    </row>
    <row r="6" spans="1:9" ht="16.5" customHeight="1" x14ac:dyDescent="0.25">
      <c r="A6" s="111" t="s">
        <v>3</v>
      </c>
      <c r="B6" s="111"/>
      <c r="C6" s="62">
        <v>2020</v>
      </c>
      <c r="D6" s="63"/>
      <c r="E6" s="63"/>
      <c r="F6" s="40"/>
      <c r="G6" s="41"/>
      <c r="H6" s="40"/>
    </row>
    <row r="7" spans="1:9" ht="16.5" customHeight="1" x14ac:dyDescent="0.25">
      <c r="A7" s="111" t="s">
        <v>4</v>
      </c>
      <c r="B7" s="111"/>
      <c r="C7" s="62">
        <v>4</v>
      </c>
      <c r="D7" s="63"/>
      <c r="E7" s="63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69" t="s">
        <v>5</v>
      </c>
      <c r="B9" s="70" t="s">
        <v>6</v>
      </c>
      <c r="C9" s="70" t="s">
        <v>7</v>
      </c>
      <c r="D9" s="70" t="s">
        <v>8</v>
      </c>
      <c r="E9" s="70" t="s">
        <v>9</v>
      </c>
      <c r="F9" s="70" t="s">
        <v>10</v>
      </c>
      <c r="G9" s="70" t="s">
        <v>11</v>
      </c>
      <c r="H9" s="70" t="s">
        <v>12</v>
      </c>
      <c r="I9" s="71" t="s">
        <v>13</v>
      </c>
    </row>
    <row r="10" spans="1:9" ht="23.25" customHeight="1" x14ac:dyDescent="0.2">
      <c r="A10" s="65">
        <v>1</v>
      </c>
      <c r="B10" s="66"/>
      <c r="C10" s="67" t="s">
        <v>77</v>
      </c>
      <c r="D10" s="68" t="s">
        <v>76</v>
      </c>
      <c r="E10" s="79" t="s">
        <v>69</v>
      </c>
      <c r="F10" s="81" t="s">
        <v>64</v>
      </c>
      <c r="G10" s="84">
        <v>140</v>
      </c>
      <c r="H10" s="85">
        <v>436</v>
      </c>
      <c r="I10" s="85">
        <f>+SUM(G10*H10)</f>
        <v>61040</v>
      </c>
    </row>
    <row r="11" spans="1:9" ht="25.5" customHeight="1" x14ac:dyDescent="0.2">
      <c r="A11" s="64">
        <v>2</v>
      </c>
      <c r="B11" s="90"/>
      <c r="C11" s="91" t="s">
        <v>67</v>
      </c>
      <c r="D11" s="92" t="s">
        <v>78</v>
      </c>
      <c r="E11" s="93" t="s">
        <v>90</v>
      </c>
      <c r="F11" s="94" t="s">
        <v>70</v>
      </c>
      <c r="G11" s="95">
        <v>3</v>
      </c>
      <c r="H11" s="96">
        <v>25980</v>
      </c>
      <c r="I11" s="97">
        <f t="shared" ref="I11:I14" si="0">+SUM(G11*H11)</f>
        <v>77940</v>
      </c>
    </row>
    <row r="12" spans="1:9" ht="21" customHeight="1" x14ac:dyDescent="0.2">
      <c r="A12" s="64">
        <v>3</v>
      </c>
      <c r="B12" s="61"/>
      <c r="C12" s="67" t="s">
        <v>67</v>
      </c>
      <c r="D12" s="68" t="s">
        <v>78</v>
      </c>
      <c r="E12" s="79" t="s">
        <v>87</v>
      </c>
      <c r="F12" s="82" t="s">
        <v>70</v>
      </c>
      <c r="G12" s="83">
        <v>2</v>
      </c>
      <c r="H12" s="86">
        <v>7650</v>
      </c>
      <c r="I12" s="85">
        <f t="shared" si="0"/>
        <v>15300</v>
      </c>
    </row>
    <row r="13" spans="1:9" ht="22.5" customHeight="1" x14ac:dyDescent="0.2">
      <c r="A13" s="65">
        <v>4</v>
      </c>
      <c r="B13" s="90"/>
      <c r="C13" s="91" t="s">
        <v>80</v>
      </c>
      <c r="D13" s="92" t="s">
        <v>79</v>
      </c>
      <c r="E13" s="80" t="s">
        <v>94</v>
      </c>
      <c r="F13" s="94" t="s">
        <v>71</v>
      </c>
      <c r="G13" s="95">
        <v>10</v>
      </c>
      <c r="H13" s="96">
        <v>905.29</v>
      </c>
      <c r="I13" s="97">
        <f t="shared" si="0"/>
        <v>9052.9</v>
      </c>
    </row>
    <row r="14" spans="1:9" ht="18.75" customHeight="1" x14ac:dyDescent="0.2">
      <c r="A14" s="64">
        <v>5</v>
      </c>
      <c r="B14" s="90"/>
      <c r="C14" s="91" t="s">
        <v>80</v>
      </c>
      <c r="D14" s="92" t="s">
        <v>79</v>
      </c>
      <c r="E14" s="80" t="s">
        <v>72</v>
      </c>
      <c r="F14" s="94" t="s">
        <v>64</v>
      </c>
      <c r="G14" s="95">
        <v>30</v>
      </c>
      <c r="H14" s="96">
        <v>600</v>
      </c>
      <c r="I14" s="97">
        <f t="shared" si="0"/>
        <v>18000</v>
      </c>
    </row>
    <row r="15" spans="1:9" ht="21.75" customHeight="1" x14ac:dyDescent="0.2">
      <c r="A15" s="64">
        <v>6</v>
      </c>
      <c r="B15" s="61"/>
      <c r="C15" s="67" t="s">
        <v>67</v>
      </c>
      <c r="D15" s="68" t="s">
        <v>78</v>
      </c>
      <c r="E15" s="79" t="s">
        <v>88</v>
      </c>
      <c r="F15" s="82" t="s">
        <v>70</v>
      </c>
      <c r="G15" s="83">
        <v>27</v>
      </c>
      <c r="H15" s="86">
        <v>998</v>
      </c>
      <c r="I15" s="86">
        <f>+SUM(G15*H15)</f>
        <v>26946</v>
      </c>
    </row>
    <row r="16" spans="1:9" ht="19.5" customHeight="1" x14ac:dyDescent="0.2">
      <c r="A16" s="65">
        <v>7</v>
      </c>
      <c r="B16" s="61"/>
      <c r="C16" s="67" t="s">
        <v>67</v>
      </c>
      <c r="D16" s="68" t="s">
        <v>78</v>
      </c>
      <c r="E16" s="79" t="s">
        <v>89</v>
      </c>
      <c r="F16" s="82" t="s">
        <v>70</v>
      </c>
      <c r="G16" s="83">
        <v>2</v>
      </c>
      <c r="H16" s="86">
        <v>1292</v>
      </c>
      <c r="I16" s="86">
        <f>+SUM(G16*H16)</f>
        <v>2584</v>
      </c>
    </row>
    <row r="17" spans="1:9" ht="18" customHeight="1" x14ac:dyDescent="0.2">
      <c r="A17" s="64">
        <v>8</v>
      </c>
      <c r="B17" s="60"/>
      <c r="C17" s="67" t="s">
        <v>67</v>
      </c>
      <c r="D17" s="68" t="s">
        <v>78</v>
      </c>
      <c r="E17" s="87" t="s">
        <v>73</v>
      </c>
      <c r="F17" s="82" t="s">
        <v>75</v>
      </c>
      <c r="G17" s="83">
        <v>3</v>
      </c>
      <c r="H17" s="86">
        <v>520</v>
      </c>
      <c r="I17" s="86">
        <f>+SUM(G17*H17)</f>
        <v>1560</v>
      </c>
    </row>
    <row r="18" spans="1:9" ht="19.5" customHeight="1" x14ac:dyDescent="0.2">
      <c r="A18" s="64">
        <v>9</v>
      </c>
      <c r="B18" s="60"/>
      <c r="C18" s="67" t="s">
        <v>67</v>
      </c>
      <c r="D18" s="68" t="s">
        <v>78</v>
      </c>
      <c r="E18" s="87" t="s">
        <v>74</v>
      </c>
      <c r="F18" s="82" t="s">
        <v>75</v>
      </c>
      <c r="G18" s="83">
        <v>5</v>
      </c>
      <c r="H18" s="88">
        <v>7150</v>
      </c>
      <c r="I18" s="89">
        <f>+SUM(G18*H18)</f>
        <v>35750</v>
      </c>
    </row>
    <row r="19" spans="1:9" ht="15" x14ac:dyDescent="0.2">
      <c r="A19" s="65">
        <v>10</v>
      </c>
      <c r="B19" s="98"/>
      <c r="C19" s="91" t="s">
        <v>67</v>
      </c>
      <c r="D19" s="92" t="s">
        <v>78</v>
      </c>
      <c r="E19" s="99" t="s">
        <v>92</v>
      </c>
      <c r="F19" s="100" t="s">
        <v>70</v>
      </c>
      <c r="G19" s="95">
        <v>1</v>
      </c>
      <c r="H19" s="101">
        <v>24900</v>
      </c>
      <c r="I19" s="89">
        <f>+SUM(G19*H19)</f>
        <v>24900</v>
      </c>
    </row>
    <row r="22" spans="1:9" x14ac:dyDescent="0.2">
      <c r="B22" s="42" t="s">
        <v>14</v>
      </c>
      <c r="C22" s="43"/>
      <c r="D22" s="43"/>
      <c r="E22" s="44"/>
    </row>
    <row r="23" spans="1:9" ht="5.25" customHeight="1" x14ac:dyDescent="0.2">
      <c r="B23" s="45"/>
      <c r="C23" s="46"/>
      <c r="D23" s="46"/>
      <c r="E23" s="47"/>
    </row>
    <row r="24" spans="1:9" x14ac:dyDescent="0.2">
      <c r="B24" s="48" t="s">
        <v>15</v>
      </c>
      <c r="C24" s="46"/>
      <c r="D24" s="46"/>
      <c r="E24" s="47"/>
    </row>
    <row r="25" spans="1:9" ht="41.25" customHeight="1" x14ac:dyDescent="0.2">
      <c r="B25" s="48"/>
      <c r="C25" s="109" t="s">
        <v>96</v>
      </c>
      <c r="D25" s="109"/>
      <c r="E25" s="109"/>
    </row>
    <row r="26" spans="1:9" x14ac:dyDescent="0.2">
      <c r="B26" s="48" t="s">
        <v>16</v>
      </c>
      <c r="C26" s="46"/>
      <c r="D26" s="46"/>
      <c r="E26" s="47"/>
    </row>
    <row r="27" spans="1:9" x14ac:dyDescent="0.2">
      <c r="B27" s="49"/>
      <c r="C27" s="110" t="s">
        <v>86</v>
      </c>
      <c r="D27" s="110"/>
      <c r="E27" s="110"/>
    </row>
    <row r="28" spans="1:9" x14ac:dyDescent="0.2">
      <c r="B28" s="49"/>
      <c r="C28" s="106"/>
      <c r="D28" s="106"/>
      <c r="E28" s="106"/>
    </row>
    <row r="29" spans="1:9" x14ac:dyDescent="0.2">
      <c r="B29" s="48" t="s">
        <v>17</v>
      </c>
      <c r="C29" s="46"/>
      <c r="D29" s="46"/>
      <c r="E29" s="47"/>
    </row>
    <row r="30" spans="1:9" ht="26.25" customHeight="1" x14ac:dyDescent="0.2">
      <c r="B30" s="49"/>
      <c r="C30" s="107"/>
      <c r="D30" s="107"/>
      <c r="E30" s="107"/>
    </row>
    <row r="31" spans="1:9" x14ac:dyDescent="0.2">
      <c r="B31" s="48" t="s">
        <v>18</v>
      </c>
      <c r="C31" s="50"/>
      <c r="D31" s="50"/>
      <c r="E31" s="51"/>
    </row>
    <row r="32" spans="1:9" ht="26.25" customHeight="1" x14ac:dyDescent="0.2">
      <c r="B32" s="49"/>
      <c r="C32" s="108" t="s">
        <v>93</v>
      </c>
      <c r="D32" s="108"/>
      <c r="E32" s="108"/>
    </row>
    <row r="33" spans="2:5" x14ac:dyDescent="0.2">
      <c r="B33" s="48" t="s">
        <v>19</v>
      </c>
      <c r="C33" s="46"/>
      <c r="D33" s="46"/>
      <c r="E33" s="47"/>
    </row>
    <row r="34" spans="2:5" ht="23.25" customHeight="1" x14ac:dyDescent="0.2">
      <c r="B34" s="48"/>
      <c r="C34" s="106"/>
      <c r="D34" s="106"/>
      <c r="E34" s="106"/>
    </row>
    <row r="35" spans="2:5" x14ac:dyDescent="0.2">
      <c r="B35" s="52"/>
      <c r="C35" s="53"/>
      <c r="D35" s="53"/>
      <c r="E35" s="54"/>
    </row>
    <row r="37" spans="2:5" x14ac:dyDescent="0.2">
      <c r="B37" s="42" t="s">
        <v>20</v>
      </c>
      <c r="C37" s="43"/>
      <c r="D37" s="43"/>
      <c r="E37" s="44"/>
    </row>
    <row r="38" spans="2:5" ht="7.5" customHeight="1" x14ac:dyDescent="0.2">
      <c r="B38" s="45"/>
      <c r="C38" s="46"/>
      <c r="D38" s="46"/>
      <c r="E38" s="47"/>
    </row>
    <row r="39" spans="2:5" x14ac:dyDescent="0.2">
      <c r="B39" s="48" t="s">
        <v>15</v>
      </c>
      <c r="C39" s="46"/>
      <c r="D39" s="46"/>
      <c r="E39" s="47"/>
    </row>
    <row r="40" spans="2:5" ht="39" customHeight="1" x14ac:dyDescent="0.2">
      <c r="B40" s="48"/>
      <c r="C40" s="109" t="s">
        <v>96</v>
      </c>
      <c r="D40" s="109"/>
      <c r="E40" s="109"/>
    </row>
    <row r="41" spans="2:5" x14ac:dyDescent="0.2">
      <c r="B41" s="48" t="s">
        <v>16</v>
      </c>
      <c r="C41" s="46"/>
      <c r="D41" s="46"/>
      <c r="E41" s="47"/>
    </row>
    <row r="42" spans="2:5" x14ac:dyDescent="0.2">
      <c r="B42" s="49"/>
      <c r="C42" s="110" t="s">
        <v>86</v>
      </c>
      <c r="D42" s="110"/>
      <c r="E42" s="110"/>
    </row>
    <row r="43" spans="2:5" x14ac:dyDescent="0.2">
      <c r="B43" s="49"/>
      <c r="C43" s="106"/>
      <c r="D43" s="106"/>
      <c r="E43" s="106"/>
    </row>
    <row r="44" spans="2:5" x14ac:dyDescent="0.2">
      <c r="B44" s="48" t="s">
        <v>17</v>
      </c>
      <c r="C44" s="46"/>
      <c r="D44" s="46"/>
      <c r="E44" s="47"/>
    </row>
    <row r="45" spans="2:5" x14ac:dyDescent="0.2">
      <c r="B45" s="49"/>
      <c r="C45" s="107"/>
      <c r="D45" s="107"/>
      <c r="E45" s="107"/>
    </row>
    <row r="46" spans="2:5" x14ac:dyDescent="0.2">
      <c r="B46" s="48" t="s">
        <v>18</v>
      </c>
      <c r="C46" s="50"/>
      <c r="D46" s="50"/>
      <c r="E46" s="51"/>
    </row>
    <row r="47" spans="2:5" ht="24.75" customHeight="1" x14ac:dyDescent="0.2">
      <c r="B47" s="49"/>
      <c r="C47" s="108" t="s">
        <v>93</v>
      </c>
      <c r="D47" s="108"/>
      <c r="E47" s="108"/>
    </row>
    <row r="48" spans="2:5" x14ac:dyDescent="0.2">
      <c r="B48" s="48" t="s">
        <v>19</v>
      </c>
      <c r="C48" s="46"/>
      <c r="D48" s="46"/>
      <c r="E48" s="47"/>
    </row>
    <row r="49" spans="2:5" x14ac:dyDescent="0.2">
      <c r="B49" s="48"/>
      <c r="C49" s="106"/>
      <c r="D49" s="106"/>
      <c r="E49" s="106"/>
    </row>
    <row r="50" spans="2:5" x14ac:dyDescent="0.2">
      <c r="B50" s="52"/>
      <c r="C50" s="53"/>
      <c r="D50" s="53"/>
      <c r="E50" s="54"/>
    </row>
  </sheetData>
  <mergeCells count="19">
    <mergeCell ref="B2:H2"/>
    <mergeCell ref="A4:B4"/>
    <mergeCell ref="C4:E4"/>
    <mergeCell ref="A5:B5"/>
    <mergeCell ref="C5:E5"/>
    <mergeCell ref="A6:B6"/>
    <mergeCell ref="A7:B7"/>
    <mergeCell ref="C25:E25"/>
    <mergeCell ref="C27:E27"/>
    <mergeCell ref="C28:E28"/>
    <mergeCell ref="C43:E43"/>
    <mergeCell ref="C45:E45"/>
    <mergeCell ref="C47:E47"/>
    <mergeCell ref="C49:E49"/>
    <mergeCell ref="C30:E30"/>
    <mergeCell ref="C32:E32"/>
    <mergeCell ref="C34:E34"/>
    <mergeCell ref="C40:E40"/>
    <mergeCell ref="C42:E4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22"/>
  <sheetViews>
    <sheetView topLeftCell="A13" zoomScale="90" zoomScaleNormal="90" workbookViewId="0">
      <selection activeCell="N20" sqref="N20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9" t="s">
        <v>21</v>
      </c>
      <c r="B1" s="119"/>
      <c r="C1" s="119"/>
      <c r="D1" s="119"/>
      <c r="E1" s="119"/>
      <c r="F1" s="119"/>
      <c r="G1" s="119"/>
      <c r="H1" s="119"/>
      <c r="I1" s="119"/>
      <c r="J1" s="3" t="s">
        <v>22</v>
      </c>
      <c r="K1" s="72" t="s">
        <v>84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0" t="s">
        <v>55</v>
      </c>
      <c r="B3" s="120"/>
      <c r="C3" s="120"/>
      <c r="D3" s="121" t="s">
        <v>58</v>
      </c>
      <c r="E3" s="121"/>
      <c r="F3" s="121"/>
      <c r="G3" s="121"/>
      <c r="H3" s="121"/>
      <c r="I3" s="121"/>
      <c r="J3" s="121"/>
      <c r="K3" s="121"/>
    </row>
    <row r="4" spans="1:11" ht="18.75" customHeight="1" thickBot="1" x14ac:dyDescent="0.25">
      <c r="A4" s="122" t="s">
        <v>56</v>
      </c>
      <c r="B4" s="122"/>
      <c r="C4" s="122"/>
      <c r="D4" s="121" t="s">
        <v>59</v>
      </c>
      <c r="E4" s="121"/>
      <c r="F4" s="121"/>
      <c r="G4" s="121"/>
      <c r="H4" s="121"/>
      <c r="I4" s="121"/>
      <c r="J4" s="121"/>
      <c r="K4" s="121"/>
    </row>
    <row r="5" spans="1:11" ht="18.75" customHeight="1" thickBot="1" x14ac:dyDescent="0.25">
      <c r="A5" s="122" t="s">
        <v>34</v>
      </c>
      <c r="B5" s="122"/>
      <c r="C5" s="122"/>
      <c r="D5" s="121" t="s">
        <v>66</v>
      </c>
      <c r="E5" s="121"/>
      <c r="F5" s="121"/>
      <c r="G5" s="121"/>
      <c r="H5" s="121"/>
      <c r="I5" s="121"/>
      <c r="J5" s="121"/>
      <c r="K5" s="121"/>
    </row>
    <row r="6" spans="1:11" ht="16.5" customHeight="1" thickBot="1" x14ac:dyDescent="0.25">
      <c r="A6" s="120" t="s">
        <v>57</v>
      </c>
      <c r="B6" s="120"/>
      <c r="C6" s="120"/>
      <c r="D6" s="121" t="s">
        <v>82</v>
      </c>
      <c r="E6" s="121"/>
      <c r="F6" s="121"/>
      <c r="G6" s="121"/>
      <c r="H6" s="121"/>
      <c r="I6" s="121"/>
      <c r="J6" s="121"/>
      <c r="K6" s="121"/>
    </row>
    <row r="7" spans="1:11" ht="16.5" customHeight="1" x14ac:dyDescent="0.2">
      <c r="A7" s="122" t="s">
        <v>23</v>
      </c>
      <c r="B7" s="122"/>
      <c r="C7" s="122"/>
      <c r="D7" s="121" t="str">
        <f>'Necesidades Trimestrales'!C7 &amp; "° Trimestre - Año " &amp; 'Necesidades Trimestrales'!C6</f>
        <v>4° Trimestre - Año 2020</v>
      </c>
      <c r="E7" s="121"/>
      <c r="F7" s="121"/>
      <c r="G7" s="121"/>
      <c r="H7" s="121"/>
      <c r="I7" s="121"/>
      <c r="J7" s="121"/>
      <c r="K7" s="121"/>
    </row>
    <row r="8" spans="1:11" ht="16.5" customHeight="1" x14ac:dyDescent="0.2">
      <c r="A8" s="123" t="s">
        <v>24</v>
      </c>
      <c r="B8" s="123"/>
      <c r="C8" s="123"/>
      <c r="D8" s="124" t="s">
        <v>81</v>
      </c>
      <c r="E8" s="124"/>
      <c r="F8" s="124"/>
      <c r="G8" s="124"/>
      <c r="H8" s="124"/>
      <c r="I8" s="124"/>
      <c r="J8" s="124"/>
      <c r="K8" s="124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29" t="s">
        <v>25</v>
      </c>
      <c r="B10" s="125" t="s">
        <v>26</v>
      </c>
      <c r="C10" s="125" t="s">
        <v>27</v>
      </c>
      <c r="D10" s="125"/>
      <c r="E10" s="125"/>
      <c r="F10" s="125"/>
      <c r="G10" s="125"/>
      <c r="H10" s="125" t="s">
        <v>28</v>
      </c>
      <c r="I10" s="125" t="s">
        <v>29</v>
      </c>
      <c r="J10" s="125" t="s">
        <v>30</v>
      </c>
      <c r="K10" s="130" t="s">
        <v>31</v>
      </c>
    </row>
    <row r="11" spans="1:11" ht="24" customHeight="1" thickBot="1" x14ac:dyDescent="0.25">
      <c r="A11" s="129"/>
      <c r="B11" s="125"/>
      <c r="C11" s="125"/>
      <c r="D11" s="125"/>
      <c r="E11" s="125"/>
      <c r="F11" s="125"/>
      <c r="G11" s="125"/>
      <c r="H11" s="125"/>
      <c r="I11" s="125"/>
      <c r="J11" s="125"/>
      <c r="K11" s="130"/>
    </row>
    <row r="12" spans="1:11" ht="36.75" customHeight="1" thickBot="1" x14ac:dyDescent="0.25">
      <c r="A12" s="8">
        <v>1</v>
      </c>
      <c r="B12" s="56"/>
      <c r="C12" s="116" t="s">
        <v>63</v>
      </c>
      <c r="D12" s="117"/>
      <c r="E12" s="117"/>
      <c r="F12" s="117"/>
      <c r="G12" s="118"/>
      <c r="H12" s="57" t="s">
        <v>65</v>
      </c>
      <c r="I12" s="55" t="str">
        <f>+'Necesidades Trimestrales'!F10</f>
        <v>UNIDAD</v>
      </c>
      <c r="J12" s="58">
        <f>+'Necesidades Trimestrales'!H10</f>
        <v>436</v>
      </c>
      <c r="K12" s="59">
        <f>+'Necesidades Trimestrales'!G10</f>
        <v>140</v>
      </c>
    </row>
    <row r="13" spans="1:11" ht="46.5" customHeight="1" thickBot="1" x14ac:dyDescent="0.25">
      <c r="A13" s="9">
        <v>2</v>
      </c>
      <c r="B13" s="56"/>
      <c r="C13" s="116" t="str">
        <f>+'Necesidades Trimestrales'!E11</f>
        <v xml:space="preserve">ANTICUERPOS ANTITRANSGLUTAMINASA TIPO ORGESTRIOL x 96 determinaciones </v>
      </c>
      <c r="D13" s="117"/>
      <c r="E13" s="117"/>
      <c r="F13" s="117"/>
      <c r="G13" s="118"/>
      <c r="H13" s="57" t="s">
        <v>65</v>
      </c>
      <c r="I13" s="55" t="str">
        <f>+'Necesidades Trimestrales'!F11</f>
        <v>CAJA</v>
      </c>
      <c r="J13" s="58">
        <f>+'Necesidades Trimestrales'!H11</f>
        <v>25980</v>
      </c>
      <c r="K13" s="59">
        <f>+'Necesidades Trimestrales'!G11</f>
        <v>3</v>
      </c>
    </row>
    <row r="14" spans="1:11" ht="42" customHeight="1" thickBot="1" x14ac:dyDescent="0.25">
      <c r="A14" s="9">
        <v>3</v>
      </c>
      <c r="B14" s="56"/>
      <c r="C14" s="116" t="str">
        <f>+'Necesidades Trimestrales'!E12</f>
        <v xml:space="preserve">CHAGAS HAI TIPO POLYCHACO x 96 determinaciones </v>
      </c>
      <c r="D14" s="117"/>
      <c r="E14" s="117"/>
      <c r="F14" s="117"/>
      <c r="G14" s="118"/>
      <c r="H14" s="57" t="s">
        <v>65</v>
      </c>
      <c r="I14" s="55" t="str">
        <f>+'Necesidades Trimestrales'!F12</f>
        <v>CAJA</v>
      </c>
      <c r="J14" s="58">
        <f>+'Necesidades Trimestrales'!H12</f>
        <v>7650</v>
      </c>
      <c r="K14" s="59">
        <f>+'Necesidades Trimestrales'!G12</f>
        <v>2</v>
      </c>
    </row>
    <row r="15" spans="1:11" ht="33.75" customHeight="1" thickBot="1" x14ac:dyDescent="0.25">
      <c r="A15" s="8">
        <v>4</v>
      </c>
      <c r="B15" s="56"/>
      <c r="C15" s="116" t="str">
        <f>+'Necesidades Trimestrales'!E13</f>
        <v>Etiquetas Rollo termica con corte 80 x 25 mm x 1800 unidades -tipo Itecrap-</v>
      </c>
      <c r="D15" s="117"/>
      <c r="E15" s="117"/>
      <c r="F15" s="117"/>
      <c r="G15" s="118"/>
      <c r="H15" s="57" t="s">
        <v>65</v>
      </c>
      <c r="I15" s="55" t="str">
        <f>+'Necesidades Trimestrales'!F13</f>
        <v>ROLLO</v>
      </c>
      <c r="J15" s="58">
        <f>+'Necesidades Trimestrales'!H13</f>
        <v>905.29</v>
      </c>
      <c r="K15" s="59">
        <f>+'Necesidades Trimestrales'!G13</f>
        <v>10</v>
      </c>
    </row>
    <row r="16" spans="1:11" ht="33.75" customHeight="1" thickBot="1" x14ac:dyDescent="0.25">
      <c r="A16" s="9">
        <v>5</v>
      </c>
      <c r="B16" s="56"/>
      <c r="C16" s="116" t="str">
        <f>+'Necesidades Trimestrales'!E14</f>
        <v>Mascara de Proteccion facial sanitaria reutilizable</v>
      </c>
      <c r="D16" s="117"/>
      <c r="E16" s="117"/>
      <c r="F16" s="117"/>
      <c r="G16" s="118"/>
      <c r="H16" s="57" t="s">
        <v>65</v>
      </c>
      <c r="I16" s="55" t="str">
        <f>+'Necesidades Trimestrales'!F14</f>
        <v>UNIDAD</v>
      </c>
      <c r="J16" s="58">
        <f>+'Necesidades Trimestrales'!H14</f>
        <v>600</v>
      </c>
      <c r="K16" s="59">
        <f>+'Necesidades Trimestrales'!G14</f>
        <v>30</v>
      </c>
    </row>
    <row r="17" spans="1:11" ht="33.75" customHeight="1" thickBot="1" x14ac:dyDescent="0.25">
      <c r="A17" s="9">
        <v>6</v>
      </c>
      <c r="B17" s="56"/>
      <c r="C17" s="116" t="str">
        <f>+'Necesidades Trimestrales'!E15</f>
        <v xml:space="preserve">TIRAS REACTIVAS P/ ORINA- TIPO WIENNER x 100 tiras </v>
      </c>
      <c r="D17" s="117"/>
      <c r="E17" s="117"/>
      <c r="F17" s="117"/>
      <c r="G17" s="118"/>
      <c r="H17" s="57" t="s">
        <v>65</v>
      </c>
      <c r="I17" s="55" t="str">
        <f>+'Necesidades Trimestrales'!F15</f>
        <v>CAJA</v>
      </c>
      <c r="J17" s="58">
        <f>+'Necesidades Trimestrales'!H15</f>
        <v>998</v>
      </c>
      <c r="K17" s="59">
        <f>+'Necesidades Trimestrales'!G15</f>
        <v>27</v>
      </c>
    </row>
    <row r="18" spans="1:11" ht="33.75" customHeight="1" thickBot="1" x14ac:dyDescent="0.25">
      <c r="A18" s="8">
        <v>7</v>
      </c>
      <c r="B18" s="56"/>
      <c r="C18" s="116" t="str">
        <f>+'Necesidades Trimestrales'!E16</f>
        <v xml:space="preserve">VDRL CUALITATIVA x 250 determinaciones </v>
      </c>
      <c r="D18" s="117"/>
      <c r="E18" s="117"/>
      <c r="F18" s="117"/>
      <c r="G18" s="118"/>
      <c r="H18" s="57" t="s">
        <v>65</v>
      </c>
      <c r="I18" s="55" t="str">
        <f>+'Necesidades Trimestrales'!F16</f>
        <v>CAJA</v>
      </c>
      <c r="J18" s="58">
        <f>+'Necesidades Trimestrales'!H16</f>
        <v>1292</v>
      </c>
      <c r="K18" s="59">
        <f>+'Necesidades Trimestrales'!G16</f>
        <v>2</v>
      </c>
    </row>
    <row r="19" spans="1:11" ht="33.75" customHeight="1" thickBot="1" x14ac:dyDescent="0.25">
      <c r="A19" s="9">
        <v>8</v>
      </c>
      <c r="B19" s="56"/>
      <c r="C19" s="116" t="str">
        <f>+'Necesidades Trimestrales'!E17</f>
        <v>Discos de Gentamicina x 10 ug. X 50 T/Britania</v>
      </c>
      <c r="D19" s="117"/>
      <c r="E19" s="117"/>
      <c r="F19" s="117"/>
      <c r="G19" s="118"/>
      <c r="H19" s="57" t="s">
        <v>65</v>
      </c>
      <c r="I19" s="55" t="str">
        <f>+'Necesidades Trimestrales'!F17</f>
        <v>FRASCO</v>
      </c>
      <c r="J19" s="58">
        <f>+'Necesidades Trimestrales'!H17</f>
        <v>520</v>
      </c>
      <c r="K19" s="59">
        <f>+'Necesidades Trimestrales'!G17</f>
        <v>3</v>
      </c>
    </row>
    <row r="20" spans="1:11" ht="33.75" customHeight="1" thickBot="1" x14ac:dyDescent="0.25">
      <c r="A20" s="9">
        <v>9</v>
      </c>
      <c r="B20" s="56"/>
      <c r="C20" s="116" t="str">
        <f>+'Necesidades Trimestrales'!E18</f>
        <v>Discos de Linezolid  30 ug x 50 T/Liofilchem y/o Britania</v>
      </c>
      <c r="D20" s="117"/>
      <c r="E20" s="117"/>
      <c r="F20" s="117"/>
      <c r="G20" s="118"/>
      <c r="H20" s="57" t="s">
        <v>65</v>
      </c>
      <c r="I20" s="55" t="str">
        <f>+'Necesidades Trimestrales'!F18</f>
        <v>FRASCO</v>
      </c>
      <c r="J20" s="58">
        <f>+'Necesidades Trimestrales'!H18</f>
        <v>7150</v>
      </c>
      <c r="K20" s="59">
        <f>+'Necesidades Trimestrales'!G18</f>
        <v>5</v>
      </c>
    </row>
    <row r="21" spans="1:11" ht="33.75" customHeight="1" thickBot="1" x14ac:dyDescent="0.25">
      <c r="A21" s="102">
        <v>10</v>
      </c>
      <c r="B21" s="103"/>
      <c r="C21" s="126" t="str">
        <f>+'Necesidades Trimestrales'!E19</f>
        <v xml:space="preserve">SIFILIS TP TIPO ALERE x 30 tiras </v>
      </c>
      <c r="D21" s="127"/>
      <c r="E21" s="127"/>
      <c r="F21" s="127"/>
      <c r="G21" s="128"/>
      <c r="H21" s="104" t="s">
        <v>65</v>
      </c>
      <c r="I21" s="105" t="str">
        <f>+'Necesidades Trimestrales'!F19</f>
        <v>CAJA</v>
      </c>
      <c r="J21" s="58">
        <f>+'Necesidades Trimestrales'!H19</f>
        <v>24900</v>
      </c>
      <c r="K21" s="59">
        <f>+'Necesidades Trimestrales'!G19</f>
        <v>1</v>
      </c>
    </row>
    <row r="22" spans="1:11" ht="20.25" customHeight="1" thickBot="1" x14ac:dyDescent="0.25">
      <c r="A22" s="114" t="s">
        <v>85</v>
      </c>
      <c r="B22" s="114"/>
      <c r="C22" s="114"/>
      <c r="D22" s="114"/>
      <c r="E22" s="114"/>
      <c r="F22" s="114"/>
      <c r="G22" s="114"/>
      <c r="H22" s="114"/>
      <c r="I22" s="114"/>
      <c r="J22" s="115">
        <f>SUMPRODUCT(J12:J21,K12:K21)</f>
        <v>273072.90000000002</v>
      </c>
      <c r="K22" s="115"/>
    </row>
  </sheetData>
  <mergeCells count="32">
    <mergeCell ref="A8:C8"/>
    <mergeCell ref="D8:K8"/>
    <mergeCell ref="H10:H11"/>
    <mergeCell ref="I10:I11"/>
    <mergeCell ref="C21:G21"/>
    <mergeCell ref="A10:A11"/>
    <mergeCell ref="B10:B11"/>
    <mergeCell ref="C10:G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22:I22"/>
    <mergeCell ref="J22:K2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</mergeCells>
  <printOptions horizontalCentered="1"/>
  <pageMargins left="0.19685039370078741" right="0.19685039370078741" top="0.98425196850393704" bottom="0.98425196850393704" header="0.51181102362204722" footer="0.51181102362204722"/>
  <pageSetup paperSize="5" firstPageNumber="0" fitToHeight="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7"/>
  <sheetViews>
    <sheetView zoomScale="130" zoomScaleNormal="130" workbookViewId="0">
      <selection activeCell="S23" sqref="S23"/>
    </sheetView>
  </sheetViews>
  <sheetFormatPr baseColWidth="10" defaultColWidth="11" defaultRowHeight="12.75" x14ac:dyDescent="0.2"/>
  <cols>
    <col min="1" max="5" width="4.42578125" customWidth="1"/>
    <col min="6" max="6" width="5.42578125" customWidth="1"/>
    <col min="7" max="7" width="4.42578125" style="10" customWidth="1"/>
    <col min="8" max="14" width="4.42578125" customWidth="1"/>
    <col min="15" max="15" width="14.85546875" customWidth="1"/>
    <col min="16" max="16" width="15.5703125" customWidth="1"/>
    <col min="17" max="17" width="16.7109375" customWidth="1"/>
  </cols>
  <sheetData>
    <row r="1" spans="1:17" ht="15.75" customHeight="1" x14ac:dyDescent="0.25">
      <c r="A1" s="153" t="s">
        <v>3</v>
      </c>
      <c r="B1" s="153"/>
      <c r="C1" s="153"/>
      <c r="D1" s="154">
        <f>'Necesidades Trimestrales'!C6</f>
        <v>2020</v>
      </c>
      <c r="E1" s="154"/>
      <c r="F1" s="11"/>
      <c r="G1" s="11"/>
      <c r="H1" s="12"/>
      <c r="I1" s="12"/>
      <c r="J1" s="12"/>
      <c r="K1" s="12"/>
      <c r="L1" s="12"/>
      <c r="M1" s="12"/>
      <c r="N1" s="12"/>
      <c r="P1" s="155" t="s">
        <v>32</v>
      </c>
      <c r="Q1" s="155"/>
    </row>
    <row r="2" spans="1:17" ht="15.75" customHeight="1" x14ac:dyDescent="0.2">
      <c r="H2" s="12"/>
      <c r="I2" s="12"/>
      <c r="J2" s="12"/>
      <c r="K2" s="12"/>
      <c r="L2" s="12"/>
      <c r="M2" s="12"/>
      <c r="N2" s="12"/>
      <c r="P2" s="155"/>
      <c r="Q2" s="155"/>
    </row>
    <row r="4" spans="1:17" s="13" customFormat="1" ht="18" customHeight="1" thickBot="1" x14ac:dyDescent="0.25">
      <c r="A4" s="156" t="s">
        <v>33</v>
      </c>
      <c r="B4" s="156"/>
      <c r="C4" s="156"/>
      <c r="D4" s="156"/>
      <c r="E4" s="156"/>
      <c r="F4" s="156"/>
      <c r="G4" s="151" t="str">
        <f>' NotaPedido'!D3</f>
        <v xml:space="preserve">40 - Ministerio de Salud </v>
      </c>
      <c r="H4" s="151"/>
      <c r="I4" s="151"/>
      <c r="J4" s="151"/>
      <c r="K4" s="151"/>
      <c r="L4" s="151"/>
      <c r="M4" s="151"/>
      <c r="N4" s="151"/>
      <c r="O4" s="151"/>
      <c r="P4" s="151"/>
      <c r="Q4" s="151"/>
    </row>
    <row r="5" spans="1:17" s="13" customFormat="1" ht="18" customHeight="1" thickBot="1" x14ac:dyDescent="0.25">
      <c r="A5" s="148" t="s">
        <v>56</v>
      </c>
      <c r="B5" s="149"/>
      <c r="C5" s="149"/>
      <c r="D5" s="149"/>
      <c r="E5" s="149"/>
      <c r="F5" s="150"/>
      <c r="G5" s="151" t="str">
        <f>' NotaPedido'!D4</f>
        <v>23 - Hospital Interzonal San Juan Bautista</v>
      </c>
      <c r="H5" s="151"/>
      <c r="I5" s="151"/>
      <c r="J5" s="151"/>
      <c r="K5" s="151"/>
      <c r="L5" s="151"/>
      <c r="M5" s="151"/>
      <c r="N5" s="151"/>
      <c r="O5" s="151"/>
      <c r="P5" s="151"/>
      <c r="Q5" s="151"/>
    </row>
    <row r="6" spans="1:17" s="13" customFormat="1" ht="18" customHeight="1" thickBot="1" x14ac:dyDescent="0.25">
      <c r="A6" s="148" t="s">
        <v>34</v>
      </c>
      <c r="B6" s="149"/>
      <c r="C6" s="149"/>
      <c r="D6" s="149"/>
      <c r="E6" s="149"/>
      <c r="F6" s="150"/>
      <c r="G6" s="151" t="str">
        <f>' NotaPedido'!D5</f>
        <v>168 - Direccion Asistencial</v>
      </c>
      <c r="H6" s="151"/>
      <c r="I6" s="151"/>
      <c r="J6" s="151"/>
      <c r="K6" s="151"/>
      <c r="L6" s="151"/>
      <c r="M6" s="151"/>
      <c r="N6" s="151"/>
      <c r="O6" s="151"/>
      <c r="P6" s="151"/>
      <c r="Q6" s="151"/>
    </row>
    <row r="7" spans="1:17" s="13" customFormat="1" ht="18" customHeight="1" thickBot="1" x14ac:dyDescent="0.25">
      <c r="A7" s="148" t="s">
        <v>57</v>
      </c>
      <c r="B7" s="149"/>
      <c r="C7" s="149"/>
      <c r="D7" s="149"/>
      <c r="E7" s="149"/>
      <c r="F7" s="150"/>
      <c r="G7" s="151" t="str">
        <f>' NotaPedido'!D6</f>
        <v>Servicio de Laboratorio Central</v>
      </c>
      <c r="H7" s="151"/>
      <c r="I7" s="151"/>
      <c r="J7" s="151"/>
      <c r="K7" s="151"/>
      <c r="L7" s="151"/>
      <c r="M7" s="151"/>
      <c r="N7" s="151"/>
      <c r="O7" s="151"/>
      <c r="P7" s="151"/>
      <c r="Q7" s="151"/>
    </row>
    <row r="8" spans="1:17" ht="18" customHeight="1" thickBot="1" x14ac:dyDescent="0.25">
      <c r="A8" s="152" t="s">
        <v>35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</row>
    <row r="9" spans="1:17" ht="18" customHeight="1" x14ac:dyDescent="0.2">
      <c r="A9" s="142" t="s">
        <v>36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"/>
      <c r="P9" s="1"/>
      <c r="Q9" s="14"/>
    </row>
    <row r="10" spans="1:17" ht="54.75" customHeight="1" x14ac:dyDescent="0.2">
      <c r="A10" s="14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355 - 2020,  afectando la erogación resultante a los créditos presupuestarios aprobados a favor de esta Unidad Ejecutora, conforme al siguiente detalle: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</row>
    <row r="11" spans="1:17" ht="9" customHeight="1" x14ac:dyDescent="0.2">
      <c r="A11" s="15"/>
      <c r="B11" s="16"/>
      <c r="C11" s="16"/>
      <c r="D11" s="16"/>
      <c r="E11" s="16"/>
      <c r="F11" s="16"/>
      <c r="G11" s="17"/>
      <c r="H11" s="16"/>
      <c r="I11" s="16"/>
      <c r="J11" s="16"/>
      <c r="K11" s="16"/>
      <c r="L11" s="16"/>
      <c r="M11" s="16"/>
      <c r="N11" s="16"/>
      <c r="O11" s="16"/>
      <c r="P11" s="16"/>
      <c r="Q11" s="18"/>
    </row>
    <row r="12" spans="1:17" ht="15.75" customHeight="1" x14ac:dyDescent="0.2">
      <c r="A12" s="144" t="s">
        <v>37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7" ht="15.75" customHeight="1" x14ac:dyDescent="0.2">
      <c r="A13" s="145" t="s">
        <v>38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6" t="s">
        <v>39</v>
      </c>
      <c r="P13" s="146"/>
      <c r="Q13" s="147" t="s">
        <v>40</v>
      </c>
    </row>
    <row r="14" spans="1:17" ht="15.75" customHeight="1" x14ac:dyDescent="0.2">
      <c r="A14" s="19" t="s">
        <v>41</v>
      </c>
      <c r="B14" s="20" t="s">
        <v>42</v>
      </c>
      <c r="C14" s="20" t="s">
        <v>43</v>
      </c>
      <c r="D14" s="20" t="s">
        <v>44</v>
      </c>
      <c r="E14" s="20" t="s">
        <v>45</v>
      </c>
      <c r="F14" s="20" t="s">
        <v>46</v>
      </c>
      <c r="G14" s="21" t="s">
        <v>47</v>
      </c>
      <c r="H14" s="20" t="s">
        <v>48</v>
      </c>
      <c r="I14" s="20" t="s">
        <v>49</v>
      </c>
      <c r="J14" s="20" t="s">
        <v>50</v>
      </c>
      <c r="K14" s="20" t="s">
        <v>50</v>
      </c>
      <c r="L14" s="20" t="s">
        <v>51</v>
      </c>
      <c r="M14" s="22" t="s">
        <v>52</v>
      </c>
      <c r="N14" s="23" t="s">
        <v>53</v>
      </c>
      <c r="O14" s="146"/>
      <c r="P14" s="146"/>
      <c r="Q14" s="147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61</v>
      </c>
      <c r="I15" s="76">
        <v>2</v>
      </c>
      <c r="J15" s="76">
        <v>5</v>
      </c>
      <c r="K15" s="76">
        <v>1</v>
      </c>
      <c r="L15" s="74"/>
      <c r="M15" s="77">
        <v>1</v>
      </c>
      <c r="N15" s="75" t="s">
        <v>62</v>
      </c>
      <c r="O15" s="141" t="s">
        <v>67</v>
      </c>
      <c r="P15" s="141"/>
      <c r="Q15" s="24">
        <f>93240+91740</f>
        <v>184980</v>
      </c>
    </row>
    <row r="16" spans="1:17" ht="17.25" customHeight="1" x14ac:dyDescent="0.2">
      <c r="A16" s="25">
        <v>33</v>
      </c>
      <c r="B16" s="26"/>
      <c r="C16" s="26"/>
      <c r="D16" s="26">
        <v>2</v>
      </c>
      <c r="E16" s="26"/>
      <c r="F16" s="26">
        <v>4901</v>
      </c>
      <c r="G16" s="26">
        <v>3</v>
      </c>
      <c r="H16" s="26" t="s">
        <v>61</v>
      </c>
      <c r="I16" s="26">
        <v>2</v>
      </c>
      <c r="J16" s="26">
        <v>9</v>
      </c>
      <c r="K16" s="26">
        <v>5</v>
      </c>
      <c r="L16" s="26"/>
      <c r="M16" s="27">
        <v>1</v>
      </c>
      <c r="N16" s="28" t="s">
        <v>62</v>
      </c>
      <c r="O16" s="136" t="s">
        <v>91</v>
      </c>
      <c r="P16" s="136"/>
      <c r="Q16" s="29">
        <v>27052.9</v>
      </c>
    </row>
    <row r="17" spans="1:18" ht="17.25" customHeight="1" x14ac:dyDescent="0.2">
      <c r="A17" s="25">
        <v>33</v>
      </c>
      <c r="B17" s="26"/>
      <c r="C17" s="26"/>
      <c r="D17" s="26">
        <v>2</v>
      </c>
      <c r="E17" s="26"/>
      <c r="F17" s="28">
        <v>4901</v>
      </c>
      <c r="G17" s="26">
        <v>3</v>
      </c>
      <c r="H17" s="26" t="s">
        <v>61</v>
      </c>
      <c r="I17" s="26">
        <v>2</v>
      </c>
      <c r="J17" s="26">
        <v>9</v>
      </c>
      <c r="K17" s="26">
        <v>9</v>
      </c>
      <c r="L17" s="26"/>
      <c r="M17" s="27">
        <v>1</v>
      </c>
      <c r="N17" s="28" t="s">
        <v>62</v>
      </c>
      <c r="O17" s="136" t="s">
        <v>68</v>
      </c>
      <c r="P17" s="136"/>
      <c r="Q17" s="29">
        <v>61040</v>
      </c>
    </row>
    <row r="18" spans="1:18" ht="17.25" customHeight="1" x14ac:dyDescent="0.2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/>
      <c r="N18" s="28"/>
      <c r="O18" s="136"/>
      <c r="P18" s="136"/>
      <c r="Q18" s="29"/>
    </row>
    <row r="19" spans="1:18" ht="17.25" customHeight="1" x14ac:dyDescent="0.2">
      <c r="A19" s="25"/>
      <c r="B19" s="26"/>
      <c r="C19" s="26"/>
      <c r="D19" s="26"/>
      <c r="E19" s="26"/>
      <c r="F19" s="28"/>
      <c r="G19" s="26"/>
      <c r="H19" s="26"/>
      <c r="I19" s="26"/>
      <c r="J19" s="26"/>
      <c r="K19" s="26"/>
      <c r="L19" s="26"/>
      <c r="M19" s="27"/>
      <c r="N19" s="28"/>
      <c r="O19" s="136"/>
      <c r="P19" s="136"/>
      <c r="Q19" s="29"/>
    </row>
    <row r="20" spans="1:18" ht="17.25" customHeight="1" x14ac:dyDescent="0.2">
      <c r="A20" s="25"/>
      <c r="B20" s="26"/>
      <c r="C20" s="26"/>
      <c r="D20" s="26"/>
      <c r="E20" s="26"/>
      <c r="F20" s="28"/>
      <c r="G20" s="26"/>
      <c r="H20" s="26"/>
      <c r="I20" s="26"/>
      <c r="J20" s="26"/>
      <c r="K20" s="26"/>
      <c r="L20" s="26"/>
      <c r="M20" s="27"/>
      <c r="N20" s="28"/>
      <c r="O20" s="136"/>
      <c r="P20" s="136"/>
      <c r="Q20" s="29"/>
    </row>
    <row r="21" spans="1:18" ht="17.25" customHeight="1" x14ac:dyDescent="0.2">
      <c r="A21" s="30"/>
      <c r="B21" s="31"/>
      <c r="C21" s="31"/>
      <c r="D21" s="31"/>
      <c r="E21" s="31"/>
      <c r="F21" s="32"/>
      <c r="G21" s="31"/>
      <c r="H21" s="31"/>
      <c r="I21" s="31"/>
      <c r="J21" s="31"/>
      <c r="K21" s="31"/>
      <c r="L21" s="31"/>
      <c r="M21" s="33"/>
      <c r="N21" s="34"/>
      <c r="O21" s="137"/>
      <c r="P21" s="137"/>
      <c r="Q21" s="29"/>
      <c r="R21" s="1"/>
    </row>
    <row r="22" spans="1:18" ht="17.25" customHeight="1" x14ac:dyDescent="0.2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  <c r="N22" s="36"/>
      <c r="O22" s="138"/>
      <c r="P22" s="138"/>
      <c r="Q22" s="38"/>
    </row>
    <row r="23" spans="1:18" ht="31.5" customHeight="1" x14ac:dyDescent="0.2">
      <c r="A23" s="139" t="s">
        <v>95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78">
        <v>273072.90000000002</v>
      </c>
    </row>
    <row r="24" spans="1:18" ht="18" customHeight="1" thickBot="1" x14ac:dyDescent="0.25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</row>
    <row r="25" spans="1:18" ht="17.25" customHeight="1" thickBot="1" x14ac:dyDescent="0.25">
      <c r="A25" s="131" t="s">
        <v>54</v>
      </c>
      <c r="B25" s="132"/>
      <c r="C25" s="132"/>
      <c r="D25" s="132"/>
      <c r="E25" s="132"/>
      <c r="F25" s="133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</row>
    <row r="26" spans="1:18" ht="18" customHeight="1" thickBot="1" x14ac:dyDescent="0.25">
      <c r="A26" s="135" t="s">
        <v>83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</row>
    <row r="27" spans="1:18" ht="15" customHeight="1" x14ac:dyDescent="0.2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1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2020-11-05T11:31:45Z</cp:lastPrinted>
  <dcterms:created xsi:type="dcterms:W3CDTF">2020-07-17T23:44:49Z</dcterms:created>
  <dcterms:modified xsi:type="dcterms:W3CDTF">2021-08-17T15:37:11Z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