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839258-CAT-DPPR#MHP\"/>
    </mc:Choice>
  </mc:AlternateContent>
  <xr:revisionPtr revIDLastSave="0" documentId="8_{12107EA9-E730-4904-953D-E67BB4C470E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 TRIMESTRAL" sheetId="3" r:id="rId1"/>
    <sheet name=" NotaPedido" sheetId="1" r:id="rId2"/>
    <sheet name="Autor Gastar" sheetId="2" r:id="rId3"/>
  </sheets>
  <definedNames>
    <definedName name="_xlnm.Print_Area" localSheetId="1">' NotaPedido'!$A$1:$K$13</definedName>
    <definedName name="_xlnm.Print_Area" localSheetId="2">'Autor Gastar'!$A$1:$Q$32</definedName>
  </definedNames>
  <calcPr calcId="181029"/>
</workbook>
</file>

<file path=xl/calcChain.xml><?xml version="1.0" encoding="utf-8"?>
<calcChain xmlns="http://schemas.openxmlformats.org/spreadsheetml/2006/main">
  <c r="K12" i="1" l="1"/>
  <c r="J12" i="1"/>
  <c r="I12" i="1"/>
  <c r="C12" i="1"/>
  <c r="B12" i="1"/>
  <c r="O12" i="1" l="1"/>
  <c r="Q15" i="2" s="1"/>
  <c r="I13" i="3"/>
  <c r="I14" i="3" s="1"/>
  <c r="J13" i="1" l="1"/>
  <c r="Q28" i="2" l="1"/>
</calcChain>
</file>

<file path=xl/sharedStrings.xml><?xml version="1.0" encoding="utf-8"?>
<sst xmlns="http://schemas.openxmlformats.org/spreadsheetml/2006/main" count="97" uniqueCount="85">
  <si>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</si>
  <si>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</si>
  <si>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</si>
  <si>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</si>
  <si>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</si>
  <si>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</si>
  <si>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</si>
  <si>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</si>
  <si>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</si>
  <si>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</si>
  <si>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</si>
  <si>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</si>
  <si>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</si>
  <si>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</si>
  <si>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</si>
  <si>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</si>
  <si>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</si>
  <si>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</si>
  <si>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</si>
  <si>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</si>
  <si>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</si>
  <si>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</si>
  <si>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</si>
  <si>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</si>
  <si>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</si>
  <si>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</si>
  <si>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</si>
  <si>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</si>
  <si>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</si>
  <si>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</si>
  <si>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</si>
  <si>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</si>
  <si>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</si>
  <si>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</si>
  <si>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</si>
  <si>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</si>
  <si>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</si>
  <si>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SI</t>
  </si>
  <si>
    <t>1.1</t>
  </si>
  <si>
    <t>752 - HOSPITAL MONOVALENTE CARLOS MALBRAN</t>
  </si>
  <si>
    <t>JURISDICCION:</t>
  </si>
  <si>
    <t>040 - MINISTERIO DE SALUD</t>
  </si>
  <si>
    <t xml:space="preserve">SAF N°: </t>
  </si>
  <si>
    <t>011 - DIRECCION PROVINCIAL DE ADMINISTRACION - MS</t>
  </si>
  <si>
    <t>PER. UTILIZACION:</t>
  </si>
  <si>
    <t>ID</t>
  </si>
  <si>
    <t>CODIGO DEL ITEM</t>
  </si>
  <si>
    <t>RUBRO DE COMPRA</t>
  </si>
  <si>
    <t xml:space="preserve">I.P.P.  </t>
  </si>
  <si>
    <t xml:space="preserve"> DESCRIPCION</t>
  </si>
  <si>
    <t>UNIDAD DE MEDIDA</t>
  </si>
  <si>
    <t>CANTIDAD</t>
  </si>
  <si>
    <t>PRECIO UNITARIO ESTIMADO</t>
  </si>
  <si>
    <t xml:space="preserve">IMPORTE TOTAL ESTIMADO </t>
  </si>
  <si>
    <t>ALIMENTOS</t>
  </si>
  <si>
    <t xml:space="preserve">TOTAL RUBRO DE COMPRA:  </t>
  </si>
  <si>
    <t>Especificidades Item N° 1:</t>
  </si>
  <si>
    <t>3.9.9-3161.1</t>
  </si>
  <si>
    <t>SERVICIO DE COMIDA; DESCRIPCION: SERVICIO DE COMIDA</t>
  </si>
  <si>
    <t>PEDIDO DE NECESIDADES TRIMESTRALES</t>
  </si>
  <si>
    <t>OTROS N.E.P.</t>
  </si>
  <si>
    <t>3.9.9.</t>
  </si>
  <si>
    <t>RACION</t>
  </si>
  <si>
    <t>3° TRIMESTRE</t>
  </si>
  <si>
    <t>Descripción técnica:</t>
  </si>
  <si>
    <t>HOSPITAL MONOVALENTE CARLOS MALBRAN</t>
  </si>
  <si>
    <t>Lugar de entrega:</t>
  </si>
  <si>
    <t>Costo total estimado: DOCE MILLONES NOVECIENTOS SESENTA MIL CON 00/100.-</t>
  </si>
  <si>
    <t>TOTAL DE PESOS: DOCE MILLONES NOVECIENTOS SESENTA MIL CON 00/100</t>
  </si>
  <si>
    <t>Proveer de alimentos diarios por el término de 3 meses al internado y personal que se desempeña en el Hospital Carlos Malbrán.</t>
  </si>
  <si>
    <t>011 - DIRECCION PROVINCIAL DE ADMINISTRACIÓN DEL M.S.</t>
  </si>
  <si>
    <t>ADQ DE SERVICIO DE COMIDA</t>
  </si>
  <si>
    <t xml:space="preserve"> 29/2021</t>
  </si>
  <si>
    <t>Autorizo la realización de los  trámites correspondientes, a fin de proveer a  este Organismo los bienes, servicios o ejecución de obras públicas que se detallan en Nota  de Pedido N° 29/2021 afectando la erogación resultante a los créditos presupuestarios aprobados a favor de esta Unidad Ejecutora, conforme al siguiente detalle:</t>
  </si>
  <si>
    <t>ORDEN DE COMPRA ABIERTA</t>
  </si>
  <si>
    <t>Forma y Términos de la Entrega</t>
  </si>
  <si>
    <t>Se estiman TRES (03) entregas de solicitud de provisión. La frecuencia aproximada con quese realizarán las solicitudes de provisión será de: la primera 08 DE OCTUBRE, y la segunda, tercera cada 30 días aproximados respectivamente, segun las necesidades del nosocomio.</t>
  </si>
  <si>
    <t xml:space="preserve"> La duración del contrato </t>
  </si>
  <si>
    <r>
      <t xml:space="preserve">será de NOVENTA (90) DÍAS CORRIDOS a partir del perfeccionamiento de la Orden de Compra Abierta respectiva.. </t>
    </r>
    <r>
      <rPr>
        <b/>
        <sz val="10"/>
        <rFont val="Times New Roman"/>
        <family val="1"/>
      </rPr>
      <t>CON OPCION A PRORROGA POR IGUAL PERIODO</t>
    </r>
  </si>
  <si>
    <t>La racion implica la pensión completa (desayuno, almuerzo, merienda y cena) segun los menu establecidos en el ANEXO III. Asi mismo la empresa que preste el servicio debera proveer los elementos establecidos en el Anexo I y II.</t>
  </si>
  <si>
    <t>Inicio de la Prestacion estimativa:</t>
  </si>
  <si>
    <t xml:space="preserve">08 de octubre de 2021 
</t>
  </si>
  <si>
    <t xml:space="preserve"> Según requerimiento originado por el Internado; se calcula 150 unidades diarias estimadas, por el termino de 30 días estimados (total estimado por solicitud de provision: 4.500 unidades)</t>
  </si>
  <si>
    <t>Mantenimiento de Oferta:</t>
  </si>
  <si>
    <t xml:space="preserve">cuarenta y cinco (45) dias.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</si>
</sst>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\ #,##0.00"/>
    <numFmt numFmtId="169" formatCode="_-[$$-2C0A]\ * #,##0.00_-;\-[$$-2C0A]\ * #,##0.00_-;_-[$$-2C0A]\ * &quot;-&quot;??_-;_-@_-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theme="1"/>
      <name val="Bookman Old Style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color theme="0"/>
      <name val="Arial"/>
      <family val="2"/>
      <charset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8">
    <xf numFmtId="0" fontId="0" fillId="0" borderId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4" fillId="0" borderId="0" xfId="0" applyFont="1" applyBorder="1" applyAlignment="1">
      <alignment vertical="center"/>
    </xf>
    <xf numFmtId="0" fontId="7" fillId="0" borderId="3" xfId="0" applyFont="1" applyBorder="1" applyAlignment="1">
      <alignment horizontal="right"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3" fillId="0" borderId="19" xfId="0" applyNumberFormat="1" applyFont="1" applyBorder="1" applyAlignment="1"/>
    <xf numFmtId="166" fontId="0" fillId="0" borderId="19" xfId="0" applyNumberFormat="1" applyBorder="1" applyAlignment="1">
      <alignment horizontal="left"/>
    </xf>
    <xf numFmtId="0" fontId="0" fillId="0" borderId="19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4" xfId="0" applyBorder="1"/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8" xfId="0" applyFont="1" applyBorder="1" applyAlignment="1">
      <alignment horizontal="left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7" fontId="0" fillId="0" borderId="34" xfId="2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7" fontId="0" fillId="0" borderId="39" xfId="2" applyNumberFormat="1" applyFont="1" applyBorder="1" applyAlignment="1" applyProtection="1">
      <alignment horizontal="center" vertical="center"/>
    </xf>
    <xf numFmtId="167" fontId="17" fillId="0" borderId="41" xfId="0" applyNumberFormat="1" applyFont="1" applyBorder="1" applyAlignment="1">
      <alignment horizontal="center" vertical="center"/>
    </xf>
    <xf numFmtId="0" fontId="0" fillId="3" borderId="31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3" fontId="12" fillId="0" borderId="46" xfId="0" applyNumberFormat="1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horizontal="center" vertical="center"/>
    </xf>
    <xf numFmtId="0" fontId="0" fillId="0" borderId="0" xfId="0"/>
    <xf numFmtId="0" fontId="20" fillId="0" borderId="0" xfId="6" applyFont="1"/>
    <xf numFmtId="0" fontId="20" fillId="0" borderId="0" xfId="6" applyFont="1" applyAlignment="1">
      <alignment horizontal="center"/>
    </xf>
    <xf numFmtId="0" fontId="20" fillId="0" borderId="0" xfId="6" applyFont="1" applyBorder="1"/>
    <xf numFmtId="0" fontId="1" fillId="0" borderId="0" xfId="6" applyFont="1"/>
    <xf numFmtId="0" fontId="0" fillId="0" borderId="13" xfId="0" applyBorder="1" applyAlignment="1">
      <alignment vertical="center"/>
    </xf>
    <xf numFmtId="0" fontId="21" fillId="0" borderId="0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/>
    </xf>
    <xf numFmtId="0" fontId="21" fillId="0" borderId="7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left" vertical="center" wrapText="1"/>
    </xf>
    <xf numFmtId="0" fontId="0" fillId="0" borderId="53" xfId="0" applyBorder="1" applyAlignment="1">
      <alignment vertical="center"/>
    </xf>
    <xf numFmtId="0" fontId="21" fillId="0" borderId="55" xfId="0" applyFont="1" applyFill="1" applyBorder="1" applyAlignment="1">
      <alignment vertical="center"/>
    </xf>
    <xf numFmtId="0" fontId="21" fillId="0" borderId="52" xfId="0" applyFont="1" applyFill="1" applyBorder="1" applyAlignment="1">
      <alignment vertical="center"/>
    </xf>
    <xf numFmtId="169" fontId="12" fillId="0" borderId="45" xfId="0" applyNumberFormat="1" applyFont="1" applyBorder="1" applyAlignment="1">
      <alignment horizontal="center" vertical="center" wrapText="1"/>
    </xf>
    <xf numFmtId="0" fontId="23" fillId="0" borderId="0" xfId="0" applyFont="1" applyBorder="1" applyAlignment="1">
      <alignment vertical="center"/>
    </xf>
    <xf numFmtId="0" fontId="24" fillId="0" borderId="0" xfId="6" applyFont="1"/>
    <xf numFmtId="0" fontId="24" fillId="0" borderId="0" xfId="6" applyFont="1" applyAlignment="1">
      <alignment horizontal="center"/>
    </xf>
    <xf numFmtId="0" fontId="25" fillId="0" borderId="0" xfId="6" applyFont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25" fillId="0" borderId="0" xfId="6" applyFont="1"/>
    <xf numFmtId="0" fontId="27" fillId="0" borderId="0" xfId="6" applyFont="1" applyAlignment="1">
      <alignment horizontal="center"/>
    </xf>
    <xf numFmtId="0" fontId="25" fillId="0" borderId="0" xfId="6" applyFont="1" applyAlignment="1">
      <alignment horizontal="left"/>
    </xf>
    <xf numFmtId="0" fontId="28" fillId="0" borderId="0" xfId="6" applyFont="1"/>
    <xf numFmtId="0" fontId="28" fillId="0" borderId="0" xfId="6" applyFont="1" applyAlignment="1">
      <alignment horizontal="center"/>
    </xf>
    <xf numFmtId="0" fontId="27" fillId="0" borderId="0" xfId="6" applyFont="1"/>
    <xf numFmtId="0" fontId="29" fillId="0" borderId="42" xfId="6" applyFont="1" applyBorder="1" applyAlignment="1">
      <alignment horizontal="center" vertical="center"/>
    </xf>
    <xf numFmtId="0" fontId="29" fillId="0" borderId="42" xfId="6" applyFont="1" applyBorder="1" applyAlignment="1">
      <alignment horizontal="center" vertical="center" wrapText="1"/>
    </xf>
    <xf numFmtId="0" fontId="24" fillId="0" borderId="51" xfId="6" applyFont="1" applyBorder="1" applyAlignment="1">
      <alignment horizontal="center" vertical="center"/>
    </xf>
    <xf numFmtId="0" fontId="24" fillId="0" borderId="9" xfId="6" applyFont="1" applyBorder="1" applyAlignment="1">
      <alignment horizontal="center" vertical="center"/>
    </xf>
    <xf numFmtId="0" fontId="24" fillId="0" borderId="9" xfId="6" applyFont="1" applyBorder="1" applyAlignment="1">
      <alignment horizontal="left" vertical="top" wrapText="1"/>
    </xf>
    <xf numFmtId="168" fontId="24" fillId="0" borderId="9" xfId="6" applyNumberFormat="1" applyFont="1" applyBorder="1" applyAlignment="1">
      <alignment horizontal="center" vertical="center"/>
    </xf>
    <xf numFmtId="0" fontId="24" fillId="0" borderId="52" xfId="6" applyFont="1" applyBorder="1"/>
    <xf numFmtId="0" fontId="24" fillId="0" borderId="16" xfId="6" applyFont="1" applyBorder="1"/>
    <xf numFmtId="0" fontId="24" fillId="0" borderId="16" xfId="6" applyFont="1" applyBorder="1" applyAlignment="1">
      <alignment horizontal="center"/>
    </xf>
    <xf numFmtId="0" fontId="30" fillId="0" borderId="53" xfId="6" applyFont="1" applyBorder="1"/>
    <xf numFmtId="168" fontId="24" fillId="0" borderId="16" xfId="7" applyNumberFormat="1" applyFont="1" applyBorder="1" applyAlignment="1">
      <alignment horizontal="left"/>
    </xf>
    <xf numFmtId="168" fontId="31" fillId="0" borderId="52" xfId="7" applyNumberFormat="1" applyFont="1" applyBorder="1"/>
    <xf numFmtId="0" fontId="32" fillId="0" borderId="13" xfId="0" applyFont="1" applyBorder="1" applyAlignment="1">
      <alignment vertical="center"/>
    </xf>
    <xf numFmtId="0" fontId="21" fillId="0" borderId="0" xfId="0" applyFont="1" applyFill="1" applyBorder="1" applyAlignment="1">
      <alignment horizontal="left" vertical="center"/>
    </xf>
    <xf numFmtId="0" fontId="25" fillId="0" borderId="0" xfId="6" applyFont="1" applyAlignment="1">
      <alignment vertical="center"/>
    </xf>
    <xf numFmtId="0" fontId="32" fillId="0" borderId="13" xfId="0" applyFont="1" applyBorder="1" applyAlignment="1">
      <alignment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left" vertical="center" wrapText="1"/>
    </xf>
    <xf numFmtId="0" fontId="25" fillId="0" borderId="0" xfId="6" applyFont="1" applyAlignment="1">
      <alignment horizontal="left" vertical="center"/>
    </xf>
    <xf numFmtId="0" fontId="25" fillId="0" borderId="0" xfId="6" applyFont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49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65" fontId="18" fillId="0" borderId="17" xfId="0" applyNumberFormat="1" applyFont="1" applyBorder="1" applyAlignment="1">
      <alignment horizontal="center" vertical="center"/>
    </xf>
    <xf numFmtId="165" fontId="18" fillId="0" borderId="1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 indent="1"/>
    </xf>
    <xf numFmtId="0" fontId="9" fillId="0" borderId="8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 wrapText="1" indent="1"/>
    </xf>
    <xf numFmtId="0" fontId="13" fillId="0" borderId="40" xfId="0" applyFont="1" applyBorder="1" applyAlignment="1">
      <alignment horizontal="left" vertical="center" wrapText="1"/>
    </xf>
    <xf numFmtId="0" fontId="0" fillId="0" borderId="22" xfId="0" applyBorder="1"/>
    <xf numFmtId="0" fontId="0" fillId="0" borderId="38" xfId="0" applyFont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0" fillId="0" borderId="32" xfId="0" applyFont="1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center"/>
    </xf>
    <xf numFmtId="0" fontId="16" fillId="0" borderId="21" xfId="0" applyFont="1" applyBorder="1" applyAlignment="1">
      <alignment horizontal="left"/>
    </xf>
    <xf numFmtId="0" fontId="15" fillId="0" borderId="22" xfId="0" applyFont="1" applyBorder="1" applyAlignment="1">
      <alignment horizontal="left"/>
    </xf>
    <xf numFmtId="2" fontId="15" fillId="0" borderId="23" xfId="0" applyNumberFormat="1" applyFont="1" applyBorder="1" applyAlignment="1">
      <alignment horizontal="justify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2" fillId="0" borderId="2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0" fillId="0" borderId="17" xfId="0" applyFont="1" applyBorder="1" applyAlignment="1">
      <alignment horizontal="center"/>
    </xf>
    <xf numFmtId="3" fontId="13" fillId="0" borderId="18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4" fillId="0" borderId="20" xfId="0" applyFont="1" applyBorder="1"/>
  </cellXfs>
  <cellStyles count="8">
    <cellStyle name="Encabezado 1" xfId="1" xr:uid="{00000000-0005-0000-0000-000000000000}"/>
    <cellStyle name="Millares 2" xfId="5" xr:uid="{00000000-0005-0000-0000-000001000000}"/>
    <cellStyle name="Millares 2 2" xfId="7" xr:uid="{00000000-0005-0000-0000-000002000000}"/>
    <cellStyle name="Moneda_AUTORIZACION Y NOTA DE PEDIDO" xfId="2" xr:uid="{00000000-0005-0000-0000-000003000000}"/>
    <cellStyle name="Neutral 1" xfId="3" xr:uid="{00000000-0005-0000-0000-000004000000}"/>
    <cellStyle name="Normal" xfId="0" builtinId="0"/>
    <cellStyle name="Normal 2" xfId="4" xr:uid="{00000000-0005-0000-0000-000006000000}"/>
    <cellStyle name="Normal 2 2" xfId="6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workbookViewId="0">
      <selection activeCell="D30" sqref="D30"/>
    </sheetView>
  </sheetViews>
  <sheetFormatPr baseColWidth="10" defaultRowHeight="12.75" x14ac:dyDescent="0.2"/>
  <cols>
    <col min="1" max="1" width="14.140625" customWidth="1"/>
    <col min="2" max="2" width="16.5703125" customWidth="1"/>
    <col min="3" max="3" width="22.42578125" customWidth="1"/>
    <col min="5" max="5" width="56.42578125" customWidth="1"/>
    <col min="7" max="7" width="17.28515625" customWidth="1"/>
    <col min="8" max="8" width="14.28515625" customWidth="1"/>
    <col min="9" max="9" width="21.28515625" bestFit="1" customWidth="1"/>
  </cols>
  <sheetData>
    <row r="1" spans="1:9" ht="18.75" x14ac:dyDescent="0.25">
      <c r="A1" s="64"/>
      <c r="B1" s="64"/>
      <c r="C1" s="64"/>
      <c r="D1" s="65"/>
      <c r="E1" s="66"/>
      <c r="F1" s="64"/>
      <c r="G1" s="64"/>
      <c r="H1" s="65"/>
      <c r="I1" s="64"/>
    </row>
    <row r="2" spans="1:9" ht="18.75" x14ac:dyDescent="0.25">
      <c r="A2" s="64"/>
      <c r="B2" s="64"/>
      <c r="C2" s="64"/>
      <c r="D2" s="65"/>
      <c r="E2" s="67" t="s">
        <v>59</v>
      </c>
      <c r="F2" s="64"/>
      <c r="G2" s="64"/>
      <c r="H2" s="65"/>
      <c r="I2" s="64"/>
    </row>
    <row r="3" spans="1:9" ht="15" x14ac:dyDescent="0.25">
      <c r="A3" s="64"/>
      <c r="B3" s="64"/>
      <c r="C3" s="64"/>
      <c r="D3" s="65"/>
      <c r="E3" s="64"/>
      <c r="F3" s="64"/>
      <c r="G3" s="64"/>
      <c r="H3" s="65"/>
      <c r="I3" s="64"/>
    </row>
    <row r="4" spans="1:9" ht="15" x14ac:dyDescent="0.25">
      <c r="A4" s="64"/>
      <c r="B4" s="64"/>
      <c r="C4" s="64"/>
      <c r="D4" s="65"/>
      <c r="E4" s="64"/>
      <c r="F4" s="64"/>
      <c r="G4" s="64"/>
      <c r="H4" s="65"/>
      <c r="I4" s="64"/>
    </row>
    <row r="5" spans="1:9" ht="18.75" x14ac:dyDescent="0.3">
      <c r="A5" s="94" t="s">
        <v>40</v>
      </c>
      <c r="B5" s="94"/>
      <c r="C5" s="68" t="s">
        <v>41</v>
      </c>
      <c r="D5" s="69"/>
      <c r="E5" s="64"/>
      <c r="F5" s="64"/>
      <c r="G5" s="64"/>
      <c r="H5" s="65"/>
      <c r="I5" s="64"/>
    </row>
    <row r="6" spans="1:9" ht="18.75" x14ac:dyDescent="0.3">
      <c r="A6" s="94" t="s">
        <v>42</v>
      </c>
      <c r="B6" s="94"/>
      <c r="C6" s="68" t="s">
        <v>43</v>
      </c>
      <c r="D6" s="69"/>
      <c r="E6" s="64"/>
      <c r="F6" s="64"/>
      <c r="G6" s="64"/>
      <c r="H6" s="65"/>
      <c r="I6" s="64"/>
    </row>
    <row r="7" spans="1:9" ht="18.75" x14ac:dyDescent="0.3">
      <c r="A7" s="94" t="s">
        <v>15</v>
      </c>
      <c r="B7" s="94"/>
      <c r="C7" s="70">
        <v>2021</v>
      </c>
      <c r="D7" s="69"/>
      <c r="E7" s="64"/>
      <c r="F7" s="64"/>
      <c r="G7" s="64"/>
      <c r="H7" s="65"/>
      <c r="I7" s="64"/>
    </row>
    <row r="8" spans="1:9" ht="22.5" customHeight="1" x14ac:dyDescent="0.25">
      <c r="A8" s="95" t="s">
        <v>44</v>
      </c>
      <c r="B8" s="95"/>
      <c r="C8" s="88" t="s">
        <v>63</v>
      </c>
      <c r="D8" s="69"/>
      <c r="E8" s="64"/>
      <c r="F8" s="64"/>
      <c r="G8" s="64"/>
      <c r="H8" s="65"/>
      <c r="I8" s="64"/>
    </row>
    <row r="9" spans="1:9" ht="18.75" x14ac:dyDescent="0.3">
      <c r="A9" s="71"/>
      <c r="B9" s="71"/>
      <c r="C9" s="71"/>
      <c r="D9" s="72"/>
      <c r="E9" s="73"/>
      <c r="F9" s="64"/>
      <c r="G9" s="64"/>
      <c r="H9" s="65"/>
      <c r="I9" s="64"/>
    </row>
    <row r="10" spans="1:9" ht="15" x14ac:dyDescent="0.25">
      <c r="A10" s="64"/>
      <c r="B10" s="64"/>
      <c r="C10" s="64"/>
      <c r="D10" s="65"/>
      <c r="E10" s="64"/>
      <c r="F10" s="64"/>
      <c r="G10" s="64"/>
      <c r="H10" s="65"/>
      <c r="I10" s="64"/>
    </row>
    <row r="11" spans="1:9" ht="15.75" thickBot="1" x14ac:dyDescent="0.3">
      <c r="A11" s="64"/>
      <c r="B11" s="64"/>
      <c r="C11" s="64"/>
      <c r="D11" s="65"/>
      <c r="E11" s="64"/>
      <c r="F11" s="64"/>
      <c r="G11" s="64"/>
      <c r="H11" s="65"/>
      <c r="I11" s="64"/>
    </row>
    <row r="12" spans="1:9" ht="43.5" thickBot="1" x14ac:dyDescent="0.25">
      <c r="A12" s="74" t="s">
        <v>45</v>
      </c>
      <c r="B12" s="75" t="s">
        <v>46</v>
      </c>
      <c r="C12" s="75" t="s">
        <v>47</v>
      </c>
      <c r="D12" s="75" t="s">
        <v>48</v>
      </c>
      <c r="E12" s="75" t="s">
        <v>49</v>
      </c>
      <c r="F12" s="75" t="s">
        <v>50</v>
      </c>
      <c r="G12" s="75" t="s">
        <v>51</v>
      </c>
      <c r="H12" s="75" t="s">
        <v>52</v>
      </c>
      <c r="I12" s="75" t="s">
        <v>53</v>
      </c>
    </row>
    <row r="13" spans="1:9" ht="30.75" thickBot="1" x14ac:dyDescent="0.25">
      <c r="A13" s="76">
        <v>1</v>
      </c>
      <c r="B13" s="76" t="s">
        <v>57</v>
      </c>
      <c r="C13" s="77" t="s">
        <v>54</v>
      </c>
      <c r="D13" s="77" t="s">
        <v>61</v>
      </c>
      <c r="E13" s="78" t="s">
        <v>58</v>
      </c>
      <c r="F13" s="77" t="s">
        <v>62</v>
      </c>
      <c r="G13" s="77">
        <v>13500</v>
      </c>
      <c r="H13" s="79">
        <v>960</v>
      </c>
      <c r="I13" s="79">
        <f>+G13*H13</f>
        <v>12960000</v>
      </c>
    </row>
    <row r="14" spans="1:9" ht="16.5" thickBot="1" x14ac:dyDescent="0.3">
      <c r="A14" s="80"/>
      <c r="B14" s="81"/>
      <c r="C14" s="80"/>
      <c r="D14" s="82"/>
      <c r="E14" s="83" t="s">
        <v>55</v>
      </c>
      <c r="F14" s="81"/>
      <c r="G14" s="82"/>
      <c r="H14" s="84"/>
      <c r="I14" s="85">
        <f>+I13</f>
        <v>12960000</v>
      </c>
    </row>
    <row r="15" spans="1:9" ht="15" x14ac:dyDescent="0.25">
      <c r="A15" s="48"/>
      <c r="B15" s="48"/>
      <c r="C15" s="48"/>
      <c r="D15" s="49"/>
      <c r="E15" s="48"/>
      <c r="F15" s="48"/>
      <c r="G15" s="48"/>
      <c r="H15" s="49"/>
      <c r="I15" s="48"/>
    </row>
    <row r="16" spans="1:9" ht="15.75" thickBot="1" x14ac:dyDescent="0.3">
      <c r="A16" s="48"/>
      <c r="B16" s="48"/>
      <c r="C16" s="48"/>
      <c r="D16" s="49"/>
      <c r="E16" s="48"/>
      <c r="F16" s="48"/>
      <c r="G16" s="48"/>
      <c r="H16" s="49"/>
      <c r="I16" s="48"/>
    </row>
    <row r="17" spans="1:9" ht="26.25" customHeight="1" x14ac:dyDescent="0.25">
      <c r="A17" s="48"/>
      <c r="C17" s="96" t="s">
        <v>56</v>
      </c>
      <c r="D17" s="97"/>
      <c r="E17" s="98"/>
      <c r="F17" s="48"/>
      <c r="G17" s="48"/>
      <c r="H17" s="49"/>
      <c r="I17" s="48"/>
    </row>
    <row r="18" spans="1:9" ht="15" x14ac:dyDescent="0.25">
      <c r="A18" s="48"/>
      <c r="C18" s="52"/>
      <c r="D18" s="53"/>
      <c r="E18" s="54"/>
      <c r="F18" s="48"/>
      <c r="G18" s="48"/>
      <c r="H18" s="49"/>
      <c r="I18" s="48"/>
    </row>
    <row r="19" spans="1:9" ht="68.25" customHeight="1" x14ac:dyDescent="0.25">
      <c r="A19" s="47"/>
      <c r="C19" s="52" t="s">
        <v>64</v>
      </c>
      <c r="D19" s="90" t="s">
        <v>79</v>
      </c>
      <c r="E19" s="91"/>
      <c r="F19" s="47"/>
      <c r="G19" s="51"/>
      <c r="H19" s="47"/>
      <c r="I19" s="47"/>
    </row>
    <row r="20" spans="1:9" ht="35.25" customHeight="1" x14ac:dyDescent="0.2">
      <c r="A20" s="47"/>
      <c r="C20" s="89" t="s">
        <v>80</v>
      </c>
      <c r="D20" s="92" t="s">
        <v>81</v>
      </c>
      <c r="E20" s="93"/>
      <c r="F20" s="47"/>
      <c r="G20" s="47"/>
      <c r="H20" s="47"/>
      <c r="I20" s="47"/>
    </row>
    <row r="21" spans="1:9" s="47" customFormat="1" ht="58.5" customHeight="1" x14ac:dyDescent="0.2">
      <c r="C21" s="89" t="s">
        <v>74</v>
      </c>
      <c r="D21" s="92" t="s">
        <v>76</v>
      </c>
      <c r="E21" s="93"/>
    </row>
    <row r="22" spans="1:9" s="47" customFormat="1" ht="57" customHeight="1" x14ac:dyDescent="0.2">
      <c r="C22" s="89" t="s">
        <v>75</v>
      </c>
      <c r="D22" s="92" t="s">
        <v>82</v>
      </c>
      <c r="E22" s="93"/>
    </row>
    <row r="23" spans="1:9" ht="33.75" customHeight="1" x14ac:dyDescent="0.25">
      <c r="A23" s="47"/>
      <c r="C23" s="86" t="s">
        <v>77</v>
      </c>
      <c r="D23" s="92" t="s">
        <v>78</v>
      </c>
      <c r="E23" s="93"/>
      <c r="F23" s="47"/>
      <c r="G23" s="47"/>
      <c r="H23" s="47"/>
      <c r="I23" s="50"/>
    </row>
    <row r="24" spans="1:9" s="47" customFormat="1" ht="15" x14ac:dyDescent="0.25">
      <c r="C24" s="52"/>
      <c r="D24" s="55"/>
      <c r="E24" s="56"/>
      <c r="I24" s="50"/>
    </row>
    <row r="25" spans="1:9" ht="30.75" customHeight="1" x14ac:dyDescent="0.25">
      <c r="A25" s="47"/>
      <c r="C25" s="52" t="s">
        <v>66</v>
      </c>
      <c r="D25" s="92" t="s">
        <v>65</v>
      </c>
      <c r="E25" s="93"/>
      <c r="F25" s="47"/>
      <c r="G25" s="47"/>
      <c r="H25" s="47"/>
      <c r="I25" s="50"/>
    </row>
    <row r="26" spans="1:9" ht="15" x14ac:dyDescent="0.25">
      <c r="A26" s="47"/>
      <c r="C26" s="86" t="s">
        <v>83</v>
      </c>
      <c r="D26" s="87" t="s">
        <v>84</v>
      </c>
      <c r="E26" s="56"/>
      <c r="F26" s="47"/>
      <c r="G26" s="47"/>
      <c r="H26" s="47"/>
      <c r="I26" s="50"/>
    </row>
    <row r="27" spans="1:9" x14ac:dyDescent="0.2">
      <c r="A27" s="47"/>
      <c r="C27" s="52"/>
      <c r="D27" s="57"/>
      <c r="E27" s="58"/>
      <c r="F27" s="47"/>
      <c r="G27" s="47"/>
      <c r="H27" s="47"/>
      <c r="I27" s="47"/>
    </row>
    <row r="28" spans="1:9" ht="13.5" thickBot="1" x14ac:dyDescent="0.25">
      <c r="A28" s="47"/>
      <c r="C28" s="59"/>
      <c r="D28" s="60"/>
      <c r="E28" s="61"/>
      <c r="F28" s="47"/>
      <c r="G28" s="47"/>
      <c r="H28" s="47"/>
      <c r="I28" s="47"/>
    </row>
  </sheetData>
  <mergeCells count="11">
    <mergeCell ref="D19:E19"/>
    <mergeCell ref="D23:E23"/>
    <mergeCell ref="D25:E25"/>
    <mergeCell ref="A5:B5"/>
    <mergeCell ref="A8:B8"/>
    <mergeCell ref="A6:B6"/>
    <mergeCell ref="A7:B7"/>
    <mergeCell ref="C17:E17"/>
    <mergeCell ref="D20:E20"/>
    <mergeCell ref="D21:E21"/>
    <mergeCell ref="D22:E2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115" zoomScaleNormal="115" workbookViewId="0">
      <selection activeCell="K2" sqref="K2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6.4257812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5" ht="27" customHeight="1" x14ac:dyDescent="0.2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2" t="s">
        <v>1</v>
      </c>
      <c r="K1" s="46" t="s">
        <v>72</v>
      </c>
    </row>
    <row r="2" spans="1:15" ht="18.75" customHeight="1" x14ac:dyDescent="0.2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5" ht="18.75" customHeight="1" x14ac:dyDescent="0.2">
      <c r="A3" s="117" t="s">
        <v>2</v>
      </c>
      <c r="B3" s="117"/>
      <c r="C3" s="117"/>
      <c r="D3" s="116" t="s">
        <v>41</v>
      </c>
      <c r="E3" s="116"/>
      <c r="F3" s="116"/>
      <c r="G3" s="116"/>
      <c r="H3" s="116"/>
      <c r="I3" s="116"/>
      <c r="J3" s="116"/>
      <c r="K3" s="116"/>
    </row>
    <row r="4" spans="1:15" ht="18.75" customHeight="1" x14ac:dyDescent="0.2">
      <c r="A4" s="115" t="s">
        <v>3</v>
      </c>
      <c r="B4" s="115"/>
      <c r="C4" s="115"/>
      <c r="D4" s="116" t="s">
        <v>70</v>
      </c>
      <c r="E4" s="116"/>
      <c r="F4" s="116"/>
      <c r="G4" s="116"/>
      <c r="H4" s="116"/>
      <c r="I4" s="116"/>
      <c r="J4" s="116"/>
      <c r="K4" s="116"/>
    </row>
    <row r="5" spans="1:15" ht="18.75" customHeight="1" x14ac:dyDescent="0.2">
      <c r="A5" s="115" t="s">
        <v>4</v>
      </c>
      <c r="B5" s="115"/>
      <c r="C5" s="115"/>
      <c r="D5" s="116" t="s">
        <v>39</v>
      </c>
      <c r="E5" s="116"/>
      <c r="F5" s="116"/>
      <c r="G5" s="116"/>
      <c r="H5" s="116"/>
      <c r="I5" s="116"/>
      <c r="J5" s="116"/>
      <c r="K5" s="116"/>
    </row>
    <row r="6" spans="1:15" ht="16.5" customHeight="1" x14ac:dyDescent="0.2">
      <c r="A6" s="117" t="s">
        <v>5</v>
      </c>
      <c r="B6" s="117"/>
      <c r="C6" s="117"/>
      <c r="D6" s="116" t="s">
        <v>39</v>
      </c>
      <c r="E6" s="116"/>
      <c r="F6" s="116"/>
      <c r="G6" s="116"/>
      <c r="H6" s="116"/>
      <c r="I6" s="116"/>
      <c r="J6" s="116"/>
      <c r="K6" s="116"/>
    </row>
    <row r="7" spans="1:15" ht="16.5" customHeight="1" x14ac:dyDescent="0.2">
      <c r="A7" s="115" t="s">
        <v>6</v>
      </c>
      <c r="B7" s="115"/>
      <c r="C7" s="115"/>
      <c r="D7" s="116" t="s">
        <v>63</v>
      </c>
      <c r="E7" s="116"/>
      <c r="F7" s="116"/>
      <c r="G7" s="116"/>
      <c r="H7" s="116"/>
      <c r="I7" s="116"/>
      <c r="J7" s="116"/>
      <c r="K7" s="116"/>
    </row>
    <row r="8" spans="1:15" ht="16.5" customHeight="1" x14ac:dyDescent="0.2">
      <c r="A8" s="105" t="s">
        <v>7</v>
      </c>
      <c r="B8" s="105"/>
      <c r="C8" s="105"/>
      <c r="D8" s="106" t="s">
        <v>71</v>
      </c>
      <c r="E8" s="106"/>
      <c r="F8" s="106"/>
      <c r="G8" s="106"/>
      <c r="H8" s="106"/>
      <c r="I8" s="106"/>
      <c r="J8" s="106"/>
      <c r="K8" s="106"/>
    </row>
    <row r="9" spans="1:15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5" ht="18.75" customHeight="1" thickBot="1" x14ac:dyDescent="0.25">
      <c r="A10" s="107" t="s">
        <v>8</v>
      </c>
      <c r="B10" s="108" t="s">
        <v>9</v>
      </c>
      <c r="C10" s="110" t="s">
        <v>10</v>
      </c>
      <c r="D10" s="111"/>
      <c r="E10" s="111"/>
      <c r="F10" s="111"/>
      <c r="G10" s="111"/>
      <c r="H10" s="111" t="s">
        <v>11</v>
      </c>
      <c r="I10" s="111" t="s">
        <v>12</v>
      </c>
      <c r="J10" s="111" t="s">
        <v>13</v>
      </c>
      <c r="K10" s="112" t="s">
        <v>14</v>
      </c>
    </row>
    <row r="11" spans="1:15" ht="24" customHeight="1" thickBot="1" x14ac:dyDescent="0.25">
      <c r="A11" s="107"/>
      <c r="B11" s="109"/>
      <c r="C11" s="110"/>
      <c r="D11" s="111"/>
      <c r="E11" s="111"/>
      <c r="F11" s="111"/>
      <c r="G11" s="111"/>
      <c r="H11" s="111"/>
      <c r="I11" s="111"/>
      <c r="J11" s="111"/>
      <c r="K11" s="112"/>
    </row>
    <row r="12" spans="1:15" ht="33.75" customHeight="1" thickBot="1" x14ac:dyDescent="0.25">
      <c r="A12" s="43">
        <v>1</v>
      </c>
      <c r="B12" s="44" t="str">
        <f>'NECESIDAD TRIMESTRAL'!B13</f>
        <v>3.9.9-3161.1</v>
      </c>
      <c r="C12" s="99" t="str">
        <f>'NECESIDAD TRIMESTRAL'!E13</f>
        <v>SERVICIO DE COMIDA; DESCRIPCION: SERVICIO DE COMIDA</v>
      </c>
      <c r="D12" s="100"/>
      <c r="E12" s="100"/>
      <c r="F12" s="100"/>
      <c r="G12" s="101"/>
      <c r="H12" s="45" t="s">
        <v>37</v>
      </c>
      <c r="I12" s="41" t="str">
        <f>'NECESIDAD TRIMESTRAL'!F13</f>
        <v>RACION</v>
      </c>
      <c r="J12" s="62">
        <f>'NECESIDAD TRIMESTRAL'!H13</f>
        <v>960</v>
      </c>
      <c r="K12" s="42">
        <f>'NECESIDAD TRIMESTRAL'!G13</f>
        <v>13500</v>
      </c>
      <c r="O12" s="63">
        <f>+J12*K12</f>
        <v>12960000</v>
      </c>
    </row>
    <row r="13" spans="1:15" ht="25.5" customHeight="1" thickBot="1" x14ac:dyDescent="0.25">
      <c r="A13" s="102" t="s">
        <v>67</v>
      </c>
      <c r="B13" s="103"/>
      <c r="C13" s="103"/>
      <c r="D13" s="103"/>
      <c r="E13" s="103"/>
      <c r="F13" s="103"/>
      <c r="G13" s="103"/>
      <c r="H13" s="103"/>
      <c r="I13" s="104"/>
      <c r="J13" s="113">
        <f>+J12*K12</f>
        <v>12960000</v>
      </c>
      <c r="K13" s="114"/>
    </row>
  </sheetData>
  <mergeCells count="23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C12:G12"/>
    <mergeCell ref="A13:I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13:K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topLeftCell="A11" zoomScale="120" zoomScaleNormal="120" workbookViewId="0">
      <selection activeCell="F25" sqref="F25:F26"/>
    </sheetView>
  </sheetViews>
  <sheetFormatPr baseColWidth="10" defaultColWidth="11" defaultRowHeight="12.75" x14ac:dyDescent="0.2"/>
  <cols>
    <col min="1" max="5" width="4.42578125" customWidth="1"/>
    <col min="6" max="6" width="6.28515625" customWidth="1"/>
    <col min="7" max="7" width="4.42578125" style="11" customWidth="1"/>
    <col min="8" max="11" width="4.42578125" customWidth="1"/>
    <col min="12" max="12" width="5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2" t="s">
        <v>15</v>
      </c>
      <c r="B1" s="142"/>
      <c r="C1" s="142"/>
      <c r="D1" s="143">
        <v>2021</v>
      </c>
      <c r="E1" s="143"/>
      <c r="F1" s="12"/>
      <c r="G1" s="12"/>
      <c r="H1" s="13"/>
      <c r="I1" s="13"/>
      <c r="J1" s="13"/>
      <c r="K1" s="13"/>
      <c r="L1" s="13"/>
      <c r="M1" s="13"/>
      <c r="N1" s="13"/>
      <c r="O1" s="14"/>
      <c r="P1" s="144" t="s">
        <v>16</v>
      </c>
      <c r="Q1" s="144"/>
    </row>
    <row r="2" spans="1:17" ht="15.75" customHeight="1" x14ac:dyDescent="0.2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144"/>
      <c r="Q2" s="144"/>
    </row>
    <row r="3" spans="1:17" ht="13.5" thickBot="1" x14ac:dyDescent="0.25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7" s="20" customFormat="1" ht="18" customHeight="1" thickBot="1" x14ac:dyDescent="0.25">
      <c r="A4" s="145" t="s">
        <v>17</v>
      </c>
      <c r="B4" s="145"/>
      <c r="C4" s="145"/>
      <c r="D4" s="145"/>
      <c r="E4" s="145"/>
      <c r="F4" s="145"/>
      <c r="G4" s="136" t="s">
        <v>41</v>
      </c>
      <c r="H4" s="137"/>
      <c r="I4" s="137"/>
      <c r="J4" s="137"/>
      <c r="K4" s="137"/>
      <c r="L4" s="137"/>
      <c r="M4" s="137"/>
      <c r="N4" s="137"/>
      <c r="O4" s="137"/>
      <c r="P4" s="137"/>
      <c r="Q4" s="138"/>
    </row>
    <row r="5" spans="1:17" s="20" customFormat="1" ht="18" customHeight="1" thickBot="1" x14ac:dyDescent="0.25">
      <c r="A5" s="135" t="s">
        <v>3</v>
      </c>
      <c r="B5" s="135"/>
      <c r="C5" s="135"/>
      <c r="D5" s="135"/>
      <c r="E5" s="135"/>
      <c r="F5" s="135"/>
      <c r="G5" s="136" t="s">
        <v>70</v>
      </c>
      <c r="H5" s="137"/>
      <c r="I5" s="137"/>
      <c r="J5" s="137"/>
      <c r="K5" s="137"/>
      <c r="L5" s="137"/>
      <c r="M5" s="137"/>
      <c r="N5" s="137"/>
      <c r="O5" s="137"/>
      <c r="P5" s="137"/>
      <c r="Q5" s="138"/>
    </row>
    <row r="6" spans="1:17" s="20" customFormat="1" ht="18" customHeight="1" thickBot="1" x14ac:dyDescent="0.25">
      <c r="A6" s="135" t="s">
        <v>4</v>
      </c>
      <c r="B6" s="135"/>
      <c r="C6" s="135"/>
      <c r="D6" s="135"/>
      <c r="E6" s="135"/>
      <c r="F6" s="135"/>
      <c r="G6" s="139" t="s">
        <v>39</v>
      </c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7" s="20" customFormat="1" ht="18" customHeight="1" thickBot="1" x14ac:dyDescent="0.25">
      <c r="A7" s="135" t="s">
        <v>5</v>
      </c>
      <c r="B7" s="135"/>
      <c r="C7" s="135"/>
      <c r="D7" s="135"/>
      <c r="E7" s="135"/>
      <c r="F7" s="135"/>
      <c r="G7" s="139" t="s">
        <v>39</v>
      </c>
      <c r="H7" s="140"/>
      <c r="I7" s="140"/>
      <c r="J7" s="140"/>
      <c r="K7" s="140"/>
      <c r="L7" s="140"/>
      <c r="M7" s="140"/>
      <c r="N7" s="140"/>
      <c r="O7" s="140"/>
      <c r="P7" s="140"/>
      <c r="Q7" s="141"/>
    </row>
    <row r="8" spans="1:17" ht="18" customHeight="1" thickBot="1" x14ac:dyDescent="0.25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7" ht="18" customHeight="1" x14ac:dyDescent="0.2">
      <c r="A9" s="129" t="s">
        <v>18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</row>
    <row r="10" spans="1:17" ht="66" customHeight="1" x14ac:dyDescent="0.2">
      <c r="A10" s="130" t="s">
        <v>73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1:17" ht="9" customHeight="1" x14ac:dyDescent="0.2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customHeight="1" x14ac:dyDescent="0.2">
      <c r="A12" s="131" t="s">
        <v>19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spans="1:17" ht="15.75" customHeight="1" x14ac:dyDescent="0.2">
      <c r="A13" s="132" t="s">
        <v>20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3" t="s">
        <v>21</v>
      </c>
      <c r="P13" s="133"/>
      <c r="Q13" s="134" t="s">
        <v>22</v>
      </c>
    </row>
    <row r="14" spans="1:17" ht="15.75" customHeight="1" x14ac:dyDescent="0.2">
      <c r="A14" s="25" t="s">
        <v>23</v>
      </c>
      <c r="B14" s="26" t="s">
        <v>24</v>
      </c>
      <c r="C14" s="26" t="s">
        <v>25</v>
      </c>
      <c r="D14" s="26" t="s">
        <v>26</v>
      </c>
      <c r="E14" s="26" t="s">
        <v>27</v>
      </c>
      <c r="F14" s="26" t="s">
        <v>28</v>
      </c>
      <c r="G14" s="27" t="s">
        <v>29</v>
      </c>
      <c r="H14" s="26" t="s">
        <v>30</v>
      </c>
      <c r="I14" s="26" t="s">
        <v>31</v>
      </c>
      <c r="J14" s="26" t="s">
        <v>32</v>
      </c>
      <c r="K14" s="26" t="s">
        <v>32</v>
      </c>
      <c r="L14" s="26" t="s">
        <v>33</v>
      </c>
      <c r="M14" s="28" t="s">
        <v>34</v>
      </c>
      <c r="N14" s="29" t="s">
        <v>35</v>
      </c>
      <c r="O14" s="133"/>
      <c r="P14" s="133"/>
      <c r="Q14" s="134"/>
    </row>
    <row r="15" spans="1:17" ht="17.25" customHeight="1" x14ac:dyDescent="0.2">
      <c r="A15" s="39">
        <v>53</v>
      </c>
      <c r="B15" s="40"/>
      <c r="C15" s="40"/>
      <c r="D15" s="40">
        <v>1</v>
      </c>
      <c r="E15" s="30"/>
      <c r="F15" s="30">
        <v>4901</v>
      </c>
      <c r="G15" s="30">
        <v>3</v>
      </c>
      <c r="H15" s="30">
        <v>1</v>
      </c>
      <c r="I15" s="30">
        <v>3</v>
      </c>
      <c r="J15" s="30">
        <v>9</v>
      </c>
      <c r="K15" s="30">
        <v>9</v>
      </c>
      <c r="L15" s="30"/>
      <c r="M15" s="31">
        <v>1</v>
      </c>
      <c r="N15" s="30" t="s">
        <v>38</v>
      </c>
      <c r="O15" s="125" t="s">
        <v>60</v>
      </c>
      <c r="P15" s="125"/>
      <c r="Q15" s="32">
        <f>' NotaPedido'!O12</f>
        <v>12960000</v>
      </c>
    </row>
    <row r="16" spans="1:17" ht="17.25" customHeight="1" x14ac:dyDescent="0.2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5"/>
      <c r="N16" s="36"/>
      <c r="O16" s="126"/>
      <c r="P16" s="126"/>
      <c r="Q16" s="37"/>
    </row>
    <row r="17" spans="1:17" ht="17.25" customHeight="1" x14ac:dyDescent="0.2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5"/>
      <c r="N17" s="36"/>
      <c r="O17" s="127"/>
      <c r="P17" s="127"/>
      <c r="Q17" s="37"/>
    </row>
    <row r="18" spans="1:17" ht="17.25" customHeight="1" x14ac:dyDescent="0.2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5"/>
      <c r="N18" s="36"/>
      <c r="O18" s="122"/>
      <c r="P18" s="122"/>
      <c r="Q18" s="37"/>
    </row>
    <row r="19" spans="1:17" ht="17.25" customHeight="1" x14ac:dyDescent="0.2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36"/>
      <c r="O19" s="122"/>
      <c r="P19" s="122"/>
      <c r="Q19" s="37"/>
    </row>
    <row r="20" spans="1:17" ht="17.25" customHeigh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5"/>
      <c r="N20" s="36"/>
      <c r="O20" s="122"/>
      <c r="P20" s="122"/>
      <c r="Q20" s="37"/>
    </row>
    <row r="21" spans="1:17" ht="17.25" customHeight="1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6"/>
      <c r="O21" s="122"/>
      <c r="P21" s="122"/>
      <c r="Q21" s="37"/>
    </row>
    <row r="22" spans="1:17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6"/>
      <c r="O22" s="122"/>
      <c r="P22" s="122"/>
      <c r="Q22" s="37"/>
    </row>
    <row r="23" spans="1:17" ht="17.25" customHeight="1" x14ac:dyDescent="0.2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36"/>
      <c r="O23" s="122"/>
      <c r="P23" s="122"/>
      <c r="Q23" s="37"/>
    </row>
    <row r="24" spans="1:17" ht="17.25" customHeight="1" x14ac:dyDescent="0.2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5"/>
      <c r="N24" s="36"/>
      <c r="O24" s="122"/>
      <c r="P24" s="122"/>
      <c r="Q24" s="37"/>
    </row>
    <row r="25" spans="1:17" ht="17.25" customHeight="1" x14ac:dyDescent="0.2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  <c r="N25" s="36"/>
      <c r="O25" s="122"/>
      <c r="P25" s="122"/>
      <c r="Q25" s="37"/>
    </row>
    <row r="26" spans="1:17" ht="17.25" customHeight="1" x14ac:dyDescent="0.2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5"/>
      <c r="N26" s="36"/>
      <c r="O26" s="122"/>
      <c r="P26" s="122"/>
      <c r="Q26" s="37"/>
    </row>
    <row r="27" spans="1:17" ht="17.25" customHeight="1" x14ac:dyDescent="0.2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  <c r="N27" s="36"/>
      <c r="O27" s="122"/>
      <c r="P27" s="122"/>
      <c r="Q27" s="37"/>
    </row>
    <row r="28" spans="1:17" ht="20.25" customHeight="1" thickBot="1" x14ac:dyDescent="0.25">
      <c r="A28" s="120" t="s">
        <v>68</v>
      </c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38">
        <f>SUM(Q15:Q27)</f>
        <v>12960000</v>
      </c>
    </row>
    <row r="29" spans="1:17" ht="18" customHeight="1" x14ac:dyDescent="0.2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</row>
    <row r="30" spans="1:17" ht="17.25" customHeight="1" x14ac:dyDescent="0.2">
      <c r="A30" s="123" t="s">
        <v>36</v>
      </c>
      <c r="B30" s="123"/>
      <c r="C30" s="123"/>
      <c r="D30" s="123"/>
      <c r="E30" s="123"/>
      <c r="F30" s="123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</row>
    <row r="31" spans="1:17" ht="18" customHeight="1" x14ac:dyDescent="0.2">
      <c r="A31" s="119" t="s">
        <v>69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</row>
    <row r="32" spans="1:17" ht="63.75" customHeight="1" x14ac:dyDescent="0.2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</row>
  </sheetData>
  <mergeCells count="36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A31:Q32"/>
    <mergeCell ref="A28:P28"/>
    <mergeCell ref="A29:Q29"/>
    <mergeCell ref="O25:P25"/>
    <mergeCell ref="O26:P26"/>
    <mergeCell ref="O27:P27"/>
    <mergeCell ref="A30:F30"/>
    <mergeCell ref="G30:Q30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 TRIMESTRAL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2020-07-21T14:18:42Z</cp:lastPrinted>
  <dcterms:created xsi:type="dcterms:W3CDTF">2020-07-17T23:44:49Z</dcterms:created>
  <dcterms:modified xsi:type="dcterms:W3CDTF">2021-08-10T11:53:38Z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