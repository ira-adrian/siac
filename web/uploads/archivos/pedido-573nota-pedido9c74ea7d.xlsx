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3503BAC0-DC64-4539-9E32-0037D089CF10}" xr6:coauthVersionLast="47" xr6:coauthVersionMax="47" xr10:uidLastSave="{00000000-0000-0000-0000-000000000000}"/>
  <bookViews>
    <workbookView xWindow="-120" yWindow="-120" windowWidth="29040" windowHeight="15840" tabRatio="416" xr2:uid="{00000000-000D-0000-FFFF-FFFF00000000}"/>
  </bookViews>
  <sheets>
    <sheet name="Necesidades Trimestrales_Trim 4" sheetId="1" r:id="rId1"/>
    <sheet name="APG" sheetId="2" r:id="rId2"/>
    <sheet name="NOTA PEDIDO" sheetId="4" r:id="rId3"/>
    <sheet name="Hoja2" sheetId="3" r:id="rId4"/>
  </sheet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11" i="4" l="1"/>
  <c r="H13" i="4" l="1"/>
  <c r="H12" i="4"/>
  <c r="I13" i="1"/>
  <c r="G14" i="4" l="1"/>
  <c r="Q15" i="2" s="1"/>
  <c r="I14" i="1" l="1"/>
  <c r="D14" i="1"/>
  <c r="Q21" i="2" l="1"/>
  <c r="I12" i="1" l="1"/>
  <c r="I15" i="1" s="1"/>
  <c r="D12" i="1" l="1"/>
</calcChain>
</file>

<file path=xl/sharedStrings.xml><?xml version="1.0" encoding="utf-8"?>
<sst xmlns="http://schemas.openxmlformats.org/spreadsheetml/2006/main" count="132" uniqueCount="87">
  <si>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</si>
  <si>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</si>
  <si>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</si>
  <si>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</si>
  <si>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</si>
  <si>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</si>
  <si>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</si>
  <si>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</si>
  <si>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</si>
  <si>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</si>
  <si>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</si>
  <si>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</si>
  <si>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</si>
  <si>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</si>
  <si>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</si>
  <si>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</si>
  <si>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</si>
  <si>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</si>
  <si>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</si>
  <si>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</si>
  <si>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</si>
  <si>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50 - Ministerio de Educación</t>
  </si>
  <si>
    <t>26- Dirección Provincial de Administración</t>
  </si>
  <si>
    <t>INFORMÁTICA</t>
  </si>
  <si>
    <t>El plazo de entrega  no podrá ser superior a los Diez (10) días hábiles a partir de la fecha de recepción de la respectiva Orden de Compra en el domicilio especial electrónico constituido, en virtud del método de contratación. La entrega  sera  en la Direccion Provincial de Administracion, sito en Avenida Republica de Venezuela S/N° - CAPE- Pabellón N° 15 y las distinats escuelas dependientes del Ministerio de Educacion- San Fernando del Valle de Catamarca.  Se presentará Remito que deberá cumplimentar lo dispuesto por la R.G. AFIP  1415/03, sin excepción.</t>
  </si>
  <si>
    <t>AUTORIZACIÓN PARA GASTAR</t>
  </si>
  <si>
    <t>JURISDICCIÓN:</t>
  </si>
  <si>
    <t>50 - MINISTERIO DE EDUCACIÓN</t>
  </si>
  <si>
    <t>SAF:</t>
  </si>
  <si>
    <t>26 - DIRECCIÓN PROVINCIAL DE ADMINISTRACIÓN</t>
  </si>
  <si>
    <t>UNIDAD EJECUTORA:</t>
  </si>
  <si>
    <t>MINISTERIO DE EDUCACIÓN</t>
  </si>
  <si>
    <t xml:space="preserve">DEPENDENCIA SOLICITANTE: </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</si>
  <si>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</si>
  <si>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</si>
  <si>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</si>
  <si>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</si>
  <si>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</si>
  <si>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</si>
  <si>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</si>
  <si>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</si>
  <si>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</si>
  <si>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</si>
  <si>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</si>
  <si>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</si>
  <si>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</si>
  <si>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</si>
  <si>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</si>
  <si>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</si>
  <si>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</si>
  <si>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</si>
  <si>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</si>
  <si>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</si>
  <si>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PARA COMPUTACIÓN</t>
  </si>
  <si>
    <t>JUSTIFICACIÓN:</t>
  </si>
  <si>
    <t>ADQUISICIÓN DE EQUIPOS INFORMÁTICOS Y PERIFÉRICOS DESTINADOS A DISTINTAS DEPENDENCIAS DEL MINISTERIO DE EDUCACIÓN.-</t>
  </si>
  <si>
    <t>Autorizo la realización de los  trámites correspondientes, a fin de proveer a  este Organismo los bienes que se detallan en Nota  de Pedido N°55/21, afectando la erogación resultante a los créditos presupuestarios aprobados a favor de esta Unidad Ejecutora, conforme al siguiente detalle:</t>
  </si>
  <si>
    <t>4.3.6-6169.102</t>
  </si>
  <si>
    <t>INFORMATICA</t>
  </si>
  <si>
    <t>4.3.6</t>
  </si>
  <si>
    <t>MONITORES; TIPO: LCD, CODIGO ETAP: MN-006, VERSION ETAP: 23.0</t>
  </si>
  <si>
    <t>Unidad</t>
  </si>
  <si>
    <t>NOTA DE PEDIDO</t>
  </si>
  <si>
    <t xml:space="preserve">JURISDICCIÓN: </t>
  </si>
  <si>
    <t>PERIODO UTILIZACIÓN:</t>
  </si>
  <si>
    <t>3 (TRES) AÑOS</t>
  </si>
  <si>
    <t>OBJETO:</t>
  </si>
  <si>
    <t>ADQUISICIÓN DE EQUIPO INFORMÁTICO Y PERIFÉRICOS</t>
  </si>
  <si>
    <t>Adjunta Detalle Técnico</t>
  </si>
  <si>
    <t>SI</t>
  </si>
  <si>
    <t>N° 55 -2021</t>
  </si>
  <si>
    <t>Costo total estimado:  PESOS UN MILLON OCHENTA Y DOS MIL CON 00/100</t>
  </si>
  <si>
    <t>TOTAL DE PESOS: UN MILLON OCHENTA Y DOS MIL CON 00/100</t>
  </si>
  <si>
    <t>1 AÑO</t>
  </si>
  <si>
    <t>30 días corridos</t>
  </si>
  <si>
    <t>Especificidades Item N° 2:</t>
  </si>
  <si>
    <t xml:space="preserve">MONITORES TIPO LCD. Tamaño de pantalla: 19”., Relación de aspecto: 16:9., Resolución: 1366 x 768 como mínimo, Puerto de conexión: VGA., Alimentación: 220V - 50 Hz. Cables incluidos.
</t>
  </si>
  <si>
    <t>DE ACUERDO A ETAP: MN-006, VERSION ETAP: 23.0</t>
  </si>
  <si>
    <t>Especificidades Item N° 3:</t>
  </si>
  <si>
    <t xml:space="preserve">ESCANER de escritorio, color, a doble faz, con ingreso de los documentos a escanear mediante alimentador automático de no menos de 20 hojas., Tamaños de documento escaneable: Carta (215.9 x 297.4 mm), A4 (210 x 297mm), Oficio (215.9 x 355,6 mm), como mínimo., Resolución: 600 x 600 dpi mínimo., Color: 24 bits mínimo., Velocidad de escaneo en régimen para tamaño A4, no inferior a: 20ppm (páginas por minuto)., Alimentación eléctrica: 220 V.- 50 Hz. Cable ncluido., Interfaz: USB 2.0 o superior cable incluido., Drivers y Software: Incluir interfaz de software TWAIN estándar, compatible con Sistema Operativo Windows 7, 8.1 y 10., Formatos de archivos de salida TIFF, JPEG, RTF, BMP y PDF.
</t>
  </si>
  <si>
    <t xml:space="preserve">COMPUTADORA DE ESCRITORIO. Unidad de Procesamiento: CPU tipo Intel Core I3 doble núcleo (Décima generación), o AMD Ryzen 3 doble núcleo (Tercera Generación), como mínimo, Memoria RAM: Tipo DDR4, 8Gb como mínimo, Almacenamiento: Disco Duro 240GB-SSD como Mínimo, Unidad de Lectura/escritura de DVD-RW, Video: Controladora de vídeo, con soporte de resoluciones no inferiores a 1920x1080 (Full HD). Color de 32 bits. Mínimo 256MB de RAM de video, Audio: Placa de sonido integrada., Red: Interfaz de red (mediante tarjeta en slot PCI/PCI-e o chip on-board), Tipo Gigabit Ethernet autosensing (10/100/1000BaseT). Conector RJ45, Teclado: Español latinoaméricano., Mouse: Con sensor de movimiento óptico., Puertos incorporados: 4 puertos USB 2.0 mínimo, al menos 1 en parte frontal. Puerto para monitor VGA/HDMI., Fuente de alimentación: 550w, Sistema Operativo: Windows 10 Professional 64 bit o superior. 
</t>
  </si>
  <si>
    <t>DIG. DE IMAGENES/ESCANER; TIPO: ESTANDAR, CODIGO ETAP: SC-002, VERSION ETAP: 24.0</t>
  </si>
  <si>
    <t>DE ACUERDO A ETAP: SC-002, VERSION ETAP: 24.0</t>
  </si>
  <si>
    <t>4.3.6-6170.62</t>
  </si>
  <si>
    <t>4.3.6-6160.221</t>
  </si>
  <si>
    <t>COMPUTADORAS; TIPO: DE ESCRITORIO , CODIGO ETAP: PC-002-00, VERSION ETAP: 23.0</t>
  </si>
  <si>
    <t>DE ACUERDO A ETAP: PC-002-00 VERSIÓN 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</si>
</sst>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quot; €&quot;_-;\-* #,##0.00&quot; €&quot;_-;_-* \-??&quot; €&quot;_-;_-@_-"/>
    <numFmt numFmtId="165" formatCode="[$$-2C0A]\ #,##0.00;[$$-2C0A]&quot; -&quot;#,##0.00"/>
    <numFmt numFmtId="166" formatCode="&quot;$&quot;\ #,##0.00"/>
    <numFmt numFmtId="167" formatCode="dd\-mm\-yy;@"/>
    <numFmt numFmtId="168" formatCode="_(\$* #,##0.00_);_(\$* \(#,##0.00\);_(\$* \-??_);_(@_)"/>
    <numFmt numFmtId="169" formatCode="[$$-2C0A]\ #,##0.00"/>
  </numFmts>
  <fonts count="28"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0"/>
      <name val="Arial"/>
      <family val="2"/>
    </font>
    <font>
      <b/>
      <sz val="11"/>
      <color theme="1"/>
      <name val="Calibri"/>
      <family val="2"/>
      <scheme val="minor"/>
    </font>
    <font>
      <sz val="11"/>
      <color theme="0"/>
      <name val="Calibri"/>
      <family val="2"/>
      <scheme val="minor"/>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b/>
      <u/>
      <sz val="12"/>
      <name val="Times New Roman"/>
      <family val="1"/>
      <charset val="1"/>
    </font>
    <font>
      <b/>
      <u/>
      <sz val="11"/>
      <name val="Times New Roman"/>
      <family val="1"/>
      <charset val="1"/>
    </font>
    <font>
      <sz val="11"/>
      <name val="Times New Roman"/>
      <family val="1"/>
      <charset val="1"/>
    </font>
    <font>
      <b/>
      <sz val="11"/>
      <name val="Times New Roman"/>
      <family val="1"/>
      <charset val="1"/>
    </font>
    <font>
      <sz val="9"/>
      <name val="Times New Roman"/>
      <family val="1"/>
      <charset val="1"/>
    </font>
    <font>
      <b/>
      <u/>
      <sz val="10"/>
      <name val="Arial"/>
      <family val="2"/>
    </font>
    <font>
      <b/>
      <sz val="9"/>
      <color theme="1"/>
      <name val="Times New Roman"/>
      <family val="1"/>
    </font>
    <font>
      <sz val="9"/>
      <color theme="1"/>
      <name val="Times New Roman"/>
      <family val="1"/>
    </font>
  </fonts>
  <fills count="6">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FFFF00"/>
        <bgColor indexed="64"/>
      </patternFill>
    </fill>
  </fills>
  <borders count="61">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ck">
        <color auto="1"/>
      </left>
      <right/>
      <top style="medium">
        <color indexed="64"/>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bottom style="thin">
        <color auto="1"/>
      </bottom>
      <diagonal/>
    </border>
  </borders>
  <cellStyleXfs count="5">
    <xf numFmtId="0" fontId="0" fillId="0" borderId="0"/>
    <xf numFmtId="164" fontId="3" fillId="0" borderId="0" applyBorder="0" applyProtection="0"/>
    <xf numFmtId="0" fontId="1" fillId="0" borderId="1" applyProtection="0"/>
    <xf numFmtId="0" fontId="2" fillId="2" borderId="0" applyBorder="0" applyProtection="0"/>
    <xf numFmtId="168" fontId="19" fillId="0" borderId="0" applyBorder="0" applyProtection="0"/>
  </cellStyleXfs>
  <cellXfs count="164">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9" fillId="0" borderId="2" xfId="0" applyFont="1" applyBorder="1" applyAlignment="1">
      <alignment horizontal="center" vertical="center"/>
    </xf>
    <xf numFmtId="0" fontId="11" fillId="0" borderId="5" xfId="0" applyFont="1" applyBorder="1"/>
    <xf numFmtId="0" fontId="4" fillId="0" borderId="6" xfId="0" applyFont="1" applyBorder="1"/>
    <xf numFmtId="0" fontId="4" fillId="0" borderId="7" xfId="0" applyFont="1" applyBorder="1"/>
    <xf numFmtId="0" fontId="4" fillId="0" borderId="8" xfId="0" applyFont="1" applyBorder="1"/>
    <xf numFmtId="0" fontId="4" fillId="0" borderId="0" xfId="0" applyFont="1" applyBorder="1"/>
    <xf numFmtId="0" fontId="4" fillId="0" borderId="9" xfId="0" applyFont="1" applyBorder="1"/>
    <xf numFmtId="0" fontId="11" fillId="0" borderId="8" xfId="0" applyFont="1" applyBorder="1" applyAlignment="1">
      <alignment horizontal="left" indent="3"/>
    </xf>
    <xf numFmtId="0" fontId="4" fillId="0" borderId="8" xfId="0" applyFont="1" applyBorder="1" applyAlignment="1">
      <alignment horizontal="left" indent="3"/>
    </xf>
    <xf numFmtId="0" fontId="4" fillId="0" borderId="0" xfId="0" applyFont="1" applyBorder="1" applyAlignment="1">
      <alignment horizontal="center" wrapText="1"/>
    </xf>
    <xf numFmtId="0" fontId="4" fillId="0" borderId="9" xfId="0" applyFont="1" applyBorder="1" applyAlignment="1">
      <alignment horizontal="center" wrapText="1"/>
    </xf>
    <xf numFmtId="0" fontId="4" fillId="0" borderId="10" xfId="0" applyFont="1" applyBorder="1" applyAlignment="1">
      <alignment horizontal="left" indent="3"/>
    </xf>
    <xf numFmtId="0" fontId="4" fillId="0" borderId="11" xfId="0" applyFont="1" applyBorder="1"/>
    <xf numFmtId="0" fontId="4" fillId="0" borderId="12" xfId="0" applyFont="1" applyBorder="1"/>
    <xf numFmtId="0" fontId="10" fillId="0" borderId="3" xfId="0" applyFont="1" applyFill="1" applyBorder="1" applyAlignment="1">
      <alignment horizontal="center" vertical="center" wrapText="1"/>
    </xf>
    <xf numFmtId="166" fontId="9" fillId="0" borderId="4" xfId="1" applyNumberFormat="1" applyFont="1" applyFill="1" applyBorder="1" applyAlignment="1" applyProtection="1">
      <alignment horizontal="right"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2" fillId="0" borderId="0" xfId="0" applyFont="1"/>
    <xf numFmtId="0" fontId="12" fillId="0" borderId="0" xfId="0" applyFont="1" applyAlignment="1">
      <alignment horizontal="left"/>
    </xf>
    <xf numFmtId="0" fontId="4" fillId="0" borderId="0" xfId="0" applyFont="1" applyBorder="1" applyAlignment="1">
      <alignment vertical="top"/>
    </xf>
    <xf numFmtId="0" fontId="4" fillId="0" borderId="9" xfId="0" applyFont="1" applyBorder="1" applyAlignment="1">
      <alignment vertical="top"/>
    </xf>
    <xf numFmtId="0" fontId="0" fillId="0" borderId="0" xfId="0"/>
    <xf numFmtId="0" fontId="0" fillId="0" borderId="0" xfId="0"/>
    <xf numFmtId="3" fontId="16" fillId="0" borderId="6" xfId="0" applyNumberFormat="1" applyFont="1" applyBorder="1"/>
    <xf numFmtId="167" fontId="15" fillId="0" borderId="6" xfId="0" applyNumberFormat="1" applyFont="1" applyBorder="1" applyAlignment="1">
      <alignment horizontal="left"/>
    </xf>
    <xf numFmtId="0" fontId="15" fillId="0" borderId="6" xfId="0" applyFont="1" applyBorder="1"/>
    <xf numFmtId="0" fontId="15" fillId="0" borderId="8" xfId="0" applyFont="1" applyBorder="1"/>
    <xf numFmtId="0" fontId="15" fillId="0" borderId="0" xfId="0" applyFont="1"/>
    <xf numFmtId="0" fontId="15" fillId="0" borderId="0" xfId="0" applyFont="1" applyAlignment="1">
      <alignment horizontal="left"/>
    </xf>
    <xf numFmtId="167" fontId="15" fillId="0" borderId="0" xfId="0" applyNumberFormat="1" applyFont="1" applyAlignment="1">
      <alignment horizontal="left"/>
    </xf>
    <xf numFmtId="0" fontId="15" fillId="0" borderId="9" xfId="0" applyFont="1" applyBorder="1"/>
    <xf numFmtId="0" fontId="15" fillId="0" borderId="27" xfId="0" applyFont="1" applyBorder="1"/>
    <xf numFmtId="0" fontId="15" fillId="0" borderId="28" xfId="0" applyFont="1" applyBorder="1"/>
    <xf numFmtId="0" fontId="15" fillId="0" borderId="28" xfId="0" applyFont="1" applyBorder="1" applyAlignment="1">
      <alignment horizontal="left"/>
    </xf>
    <xf numFmtId="0" fontId="15" fillId="0" borderId="29" xfId="0" applyFont="1" applyBorder="1"/>
    <xf numFmtId="0" fontId="9" fillId="0" borderId="36" xfId="0" applyFont="1" applyBorder="1" applyAlignment="1">
      <alignment horizontal="center" vertical="center"/>
    </xf>
    <xf numFmtId="0" fontId="9" fillId="0" borderId="37" xfId="0" applyFont="1" applyBorder="1" applyAlignment="1">
      <alignment horizontal="center" vertical="center"/>
    </xf>
    <xf numFmtId="0" fontId="9" fillId="0" borderId="38" xfId="0" applyFont="1" applyBorder="1" applyAlignment="1">
      <alignment horizontal="center" vertical="center"/>
    </xf>
    <xf numFmtId="165" fontId="9" fillId="0" borderId="40" xfId="4" applyNumberFormat="1" applyFont="1" applyBorder="1" applyAlignment="1" applyProtection="1">
      <alignment horizontal="center" vertical="center"/>
    </xf>
    <xf numFmtId="0" fontId="9" fillId="0" borderId="41" xfId="0" applyFont="1" applyBorder="1" applyAlignment="1">
      <alignment horizontal="center"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165" fontId="9" fillId="0" borderId="47" xfId="4" applyNumberFormat="1" applyFont="1" applyBorder="1" applyAlignment="1" applyProtection="1">
      <alignment horizontal="center" vertical="center"/>
    </xf>
    <xf numFmtId="0" fontId="15" fillId="0" borderId="41" xfId="0" applyFont="1" applyBorder="1" applyAlignment="1">
      <alignment horizontal="center" vertical="center"/>
    </xf>
    <xf numFmtId="0" fontId="15" fillId="0" borderId="42" xfId="0" applyFont="1" applyBorder="1" applyAlignment="1">
      <alignment horizontal="center" vertical="center"/>
    </xf>
    <xf numFmtId="0" fontId="15" fillId="0" borderId="43" xfId="0" applyFont="1" applyBorder="1" applyAlignment="1">
      <alignment horizontal="center" vertical="center"/>
    </xf>
    <xf numFmtId="0" fontId="15" fillId="0" borderId="44" xfId="0" applyFont="1" applyBorder="1" applyAlignment="1">
      <alignment horizontal="center" vertical="center"/>
    </xf>
    <xf numFmtId="165" fontId="15" fillId="0" borderId="47" xfId="4" applyNumberFormat="1" applyFont="1" applyBorder="1" applyAlignment="1" applyProtection="1">
      <alignment horizontal="center" vertical="center"/>
    </xf>
    <xf numFmtId="0" fontId="15" fillId="0" borderId="4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165" fontId="15" fillId="0" borderId="51" xfId="4" applyNumberFormat="1" applyFont="1" applyBorder="1" applyAlignment="1" applyProtection="1">
      <alignment horizontal="center" vertical="center"/>
    </xf>
    <xf numFmtId="165" fontId="18" fillId="0" borderId="53" xfId="0" applyNumberFormat="1" applyFont="1" applyBorder="1" applyAlignment="1">
      <alignment horizontal="center" vertical="center"/>
    </xf>
    <xf numFmtId="0" fontId="9" fillId="0" borderId="57" xfId="0" applyFont="1" applyBorder="1" applyAlignment="1">
      <alignment horizontal="center" vertical="center"/>
    </xf>
    <xf numFmtId="0" fontId="0" fillId="0" borderId="57" xfId="0" applyBorder="1" applyAlignment="1">
      <alignment horizontal="center" vertical="center"/>
    </xf>
    <xf numFmtId="0" fontId="4" fillId="0" borderId="57" xfId="0" applyFont="1" applyBorder="1" applyAlignment="1">
      <alignment horizontal="left" vertical="center" wrapText="1"/>
    </xf>
    <xf numFmtId="0" fontId="10" fillId="4" borderId="57" xfId="0" applyFont="1" applyFill="1" applyBorder="1" applyAlignment="1">
      <alignment horizontal="center" vertical="center" wrapText="1"/>
    </xf>
    <xf numFmtId="165" fontId="9" fillId="4" borderId="57" xfId="1" applyNumberFormat="1" applyFont="1" applyFill="1" applyBorder="1" applyAlignment="1" applyProtection="1">
      <alignment horizontal="center" vertical="center" wrapText="1"/>
    </xf>
    <xf numFmtId="166" fontId="4" fillId="0" borderId="0" xfId="0" applyNumberFormat="1" applyFont="1"/>
    <xf numFmtId="0" fontId="16" fillId="0" borderId="54" xfId="0" applyFont="1" applyFill="1" applyBorder="1" applyAlignment="1">
      <alignment horizontal="left" vertical="center"/>
    </xf>
    <xf numFmtId="0" fontId="21" fillId="0" borderId="8" xfId="0" applyFont="1" applyBorder="1" applyAlignment="1">
      <alignment vertical="center"/>
    </xf>
    <xf numFmtId="0" fontId="21" fillId="0" borderId="0" xfId="0" applyFont="1" applyBorder="1" applyAlignment="1">
      <alignment vertical="center"/>
    </xf>
    <xf numFmtId="0" fontId="21" fillId="0" borderId="9" xfId="0" applyFont="1" applyBorder="1" applyAlignment="1">
      <alignment vertical="center"/>
    </xf>
    <xf numFmtId="0" fontId="6" fillId="0" borderId="54" xfId="0" applyFont="1" applyBorder="1" applyAlignment="1">
      <alignment horizontal="center" vertical="center" wrapText="1"/>
    </xf>
    <xf numFmtId="0" fontId="6" fillId="0" borderId="59" xfId="0" applyFont="1" applyBorder="1" applyAlignment="1">
      <alignment horizontal="center" vertical="center" wrapText="1"/>
    </xf>
    <xf numFmtId="0" fontId="23" fillId="0" borderId="54" xfId="0" applyFont="1" applyBorder="1" applyAlignment="1">
      <alignment horizontal="center" vertical="center" wrapText="1"/>
    </xf>
    <xf numFmtId="0" fontId="9" fillId="0" borderId="60" xfId="0" applyFont="1" applyBorder="1" applyAlignment="1">
      <alignment horizontal="center" vertical="center"/>
    </xf>
    <xf numFmtId="0" fontId="0" fillId="0" borderId="56" xfId="0" applyBorder="1" applyAlignment="1">
      <alignment horizontal="center" vertical="center"/>
    </xf>
    <xf numFmtId="0" fontId="24" fillId="0" borderId="57" xfId="0" applyFont="1" applyFill="1" applyBorder="1" applyAlignment="1">
      <alignment horizontal="center" vertical="center"/>
    </xf>
    <xf numFmtId="169" fontId="14" fillId="0" borderId="0" xfId="0" applyNumberFormat="1" applyFont="1"/>
    <xf numFmtId="166" fontId="0" fillId="0" borderId="0" xfId="0" applyNumberFormat="1"/>
    <xf numFmtId="0" fontId="4" fillId="0" borderId="56" xfId="0" applyFont="1" applyBorder="1" applyAlignment="1">
      <alignment horizontal="left" vertical="center" wrapText="1"/>
    </xf>
    <xf numFmtId="165" fontId="9" fillId="4" borderId="56" xfId="1" applyNumberFormat="1" applyFont="1" applyFill="1" applyBorder="1" applyAlignment="1" applyProtection="1">
      <alignment horizontal="center" vertical="center" wrapText="1"/>
    </xf>
    <xf numFmtId="0" fontId="10" fillId="4" borderId="56" xfId="0" applyFont="1" applyFill="1" applyBorder="1" applyAlignment="1">
      <alignment horizontal="center" vertical="center" wrapText="1"/>
    </xf>
    <xf numFmtId="169" fontId="0" fillId="0" borderId="56" xfId="0" applyNumberFormat="1" applyBorder="1"/>
    <xf numFmtId="0" fontId="3" fillId="0" borderId="0" xfId="0" applyFont="1"/>
    <xf numFmtId="0" fontId="25" fillId="0" borderId="0" xfId="0" applyFont="1"/>
    <xf numFmtId="166" fontId="25" fillId="0" borderId="0" xfId="0" applyNumberFormat="1" applyFont="1"/>
    <xf numFmtId="0" fontId="8" fillId="5"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4" fillId="5" borderId="57" xfId="0" applyFont="1" applyFill="1" applyBorder="1"/>
    <xf numFmtId="0" fontId="4" fillId="0" borderId="57" xfId="0" applyFont="1" applyBorder="1" applyAlignment="1">
      <alignment horizontal="right" vertical="center"/>
    </xf>
    <xf numFmtId="0" fontId="4" fillId="0" borderId="56" xfId="0" applyFont="1" applyBorder="1" applyAlignment="1">
      <alignment horizontal="right" vertical="center"/>
    </xf>
    <xf numFmtId="0" fontId="7" fillId="5" borderId="3" xfId="0" applyFont="1" applyFill="1" applyBorder="1" applyAlignment="1">
      <alignment horizontal="center" vertical="center" wrapText="1"/>
    </xf>
    <xf numFmtId="0" fontId="7" fillId="5" borderId="57" xfId="0" applyFont="1" applyFill="1" applyBorder="1" applyAlignment="1">
      <alignment horizontal="center" vertical="center" wrapText="1"/>
    </xf>
    <xf numFmtId="0" fontId="7" fillId="5" borderId="56" xfId="0" applyFont="1" applyFill="1" applyBorder="1" applyAlignment="1">
      <alignment horizontal="center" vertical="center" wrapText="1"/>
    </xf>
    <xf numFmtId="0" fontId="3" fillId="0" borderId="56" xfId="0" applyFont="1" applyBorder="1" applyAlignment="1">
      <alignment horizontal="center" vertical="center"/>
    </xf>
    <xf numFmtId="0" fontId="7" fillId="5" borderId="3" xfId="0" applyFont="1" applyFill="1" applyBorder="1" applyAlignment="1">
      <alignment horizontal="left" vertical="center" wrapText="1"/>
    </xf>
    <xf numFmtId="0" fontId="18" fillId="0" borderId="32" xfId="0" applyFont="1" applyBorder="1" applyAlignment="1">
      <alignment vertical="center"/>
    </xf>
    <xf numFmtId="0" fontId="18" fillId="0" borderId="33" xfId="0" applyFont="1" applyBorder="1" applyAlignment="1">
      <alignment vertical="center"/>
    </xf>
    <xf numFmtId="0" fontId="18" fillId="0" borderId="34" xfId="0" applyFont="1" applyBorder="1" applyAlignment="1">
      <alignment vertical="center"/>
    </xf>
    <xf numFmtId="0" fontId="18" fillId="0" borderId="35" xfId="0" applyFont="1" applyBorder="1" applyAlignment="1">
      <alignment vertical="center"/>
    </xf>
    <xf numFmtId="165" fontId="27" fillId="0" borderId="3" xfId="1" applyNumberFormat="1" applyFont="1" applyFill="1" applyBorder="1" applyAlignment="1" applyProtection="1">
      <alignment horizontal="right" vertical="center" wrapText="1"/>
    </xf>
    <xf numFmtId="165" fontId="27" fillId="4" borderId="57" xfId="1" applyNumberFormat="1" applyFont="1" applyFill="1" applyBorder="1" applyAlignment="1" applyProtection="1">
      <alignment horizontal="right" vertical="center" wrapText="1"/>
    </xf>
    <xf numFmtId="0" fontId="3" fillId="0" borderId="0" xfId="0" applyFont="1" applyBorder="1" applyAlignment="1">
      <alignment vertical="top" wrapText="1"/>
    </xf>
    <xf numFmtId="0" fontId="0" fillId="0" borderId="0" xfId="0" applyBorder="1" applyAlignment="1">
      <alignment vertical="top" wrapText="1"/>
    </xf>
    <xf numFmtId="0" fontId="0" fillId="0" borderId="9" xfId="0" applyBorder="1" applyAlignment="1">
      <alignment vertical="top" wrapText="1"/>
    </xf>
    <xf numFmtId="0" fontId="3" fillId="0" borderId="0" xfId="0" applyFont="1" applyBorder="1" applyAlignment="1">
      <alignment horizontal="left" vertical="top" wrapText="1"/>
    </xf>
    <xf numFmtId="0" fontId="3" fillId="0" borderId="9" xfId="0" applyFont="1" applyBorder="1" applyAlignment="1">
      <alignment horizontal="left" vertical="top" wrapText="1"/>
    </xf>
    <xf numFmtId="0" fontId="3" fillId="0" borderId="0" xfId="0" applyFont="1" applyBorder="1" applyAlignment="1">
      <alignment vertical="top"/>
    </xf>
    <xf numFmtId="0" fontId="0" fillId="0" borderId="0" xfId="0" applyBorder="1" applyAlignment="1">
      <alignment vertical="top"/>
    </xf>
    <xf numFmtId="0" fontId="0" fillId="0" borderId="9" xfId="0" applyBorder="1" applyAlignment="1">
      <alignment vertical="top"/>
    </xf>
    <xf numFmtId="0" fontId="3" fillId="0" borderId="0" xfId="0" applyFont="1" applyBorder="1"/>
    <xf numFmtId="0" fontId="0" fillId="0" borderId="0" xfId="0" applyBorder="1"/>
    <xf numFmtId="0" fontId="0" fillId="0" borderId="9" xfId="0" applyBorder="1"/>
    <xf numFmtId="0" fontId="5" fillId="0" borderId="0" xfId="0" applyFont="1" applyBorder="1" applyAlignment="1">
      <alignment horizontal="center"/>
    </xf>
    <xf numFmtId="0" fontId="6" fillId="0" borderId="0" xfId="0" applyFont="1" applyBorder="1" applyAlignment="1">
      <alignment horizontal="left" vertical="center" wrapText="1"/>
    </xf>
    <xf numFmtId="0" fontId="12" fillId="0" borderId="0" xfId="0" applyFont="1"/>
    <xf numFmtId="0" fontId="15" fillId="0" borderId="20" xfId="0" applyFont="1" applyFill="1" applyBorder="1" applyAlignment="1">
      <alignment horizontal="left" vertical="center" wrapText="1"/>
    </xf>
    <xf numFmtId="0" fontId="15" fillId="0" borderId="21" xfId="0" applyFont="1" applyFill="1" applyBorder="1" applyAlignment="1"/>
    <xf numFmtId="0" fontId="15" fillId="0" borderId="17"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vertical="center" wrapText="1"/>
    </xf>
    <xf numFmtId="0" fontId="15" fillId="0" borderId="20" xfId="0" applyFont="1" applyFill="1" applyBorder="1"/>
    <xf numFmtId="0" fontId="9" fillId="0" borderId="38" xfId="0" applyFont="1" applyBorder="1" applyAlignment="1">
      <alignment horizontal="left" vertical="center" wrapText="1"/>
    </xf>
    <xf numFmtId="0" fontId="9" fillId="0" borderId="39" xfId="0" applyFont="1" applyBorder="1" applyAlignment="1">
      <alignment horizontal="left" vertical="center" wrapText="1"/>
    </xf>
    <xf numFmtId="0" fontId="15" fillId="3" borderId="22" xfId="0" applyFont="1" applyFill="1" applyBorder="1" applyAlignment="1">
      <alignment horizontal="left" vertical="center"/>
    </xf>
    <xf numFmtId="0" fontId="15" fillId="3" borderId="23" xfId="0" applyFont="1" applyFill="1" applyBorder="1" applyAlignment="1">
      <alignment horizontal="left" vertical="center"/>
    </xf>
    <xf numFmtId="0" fontId="15" fillId="3" borderId="24" xfId="0" applyFont="1" applyFill="1" applyBorder="1" applyAlignment="1">
      <alignment horizontal="left" vertical="center"/>
    </xf>
    <xf numFmtId="0" fontId="15" fillId="3" borderId="21" xfId="0" applyFont="1" applyFill="1" applyBorder="1" applyAlignment="1"/>
    <xf numFmtId="0" fontId="15" fillId="0" borderId="22" xfId="0" applyFont="1" applyBorder="1" applyAlignment="1">
      <alignment horizontal="left" vertical="center"/>
    </xf>
    <xf numFmtId="0" fontId="15" fillId="0" borderId="23" xfId="0" applyFont="1" applyBorder="1" applyAlignment="1">
      <alignment horizontal="left" vertical="center"/>
    </xf>
    <xf numFmtId="0" fontId="15" fillId="0" borderId="24" xfId="0" applyFont="1" applyBorder="1" applyAlignment="1">
      <alignment horizontal="left" vertical="center"/>
    </xf>
    <xf numFmtId="0" fontId="15" fillId="0" borderId="21" xfId="0" applyFont="1" applyBorder="1" applyAlignment="1"/>
    <xf numFmtId="0" fontId="17" fillId="0" borderId="25" xfId="0" applyFont="1" applyBorder="1" applyAlignment="1">
      <alignment horizontal="left"/>
    </xf>
    <xf numFmtId="0" fontId="15" fillId="0" borderId="26" xfId="0" applyFont="1" applyBorder="1" applyAlignment="1">
      <alignment horizontal="left"/>
    </xf>
    <xf numFmtId="0" fontId="15" fillId="0" borderId="8" xfId="0" applyNumberFormat="1" applyFont="1" applyBorder="1" applyAlignment="1">
      <alignment horizontal="justify" vertical="center" wrapText="1"/>
    </xf>
    <xf numFmtId="0" fontId="15" fillId="0" borderId="0" xfId="0" applyNumberFormat="1" applyFont="1" applyBorder="1" applyAlignment="1">
      <alignment horizontal="justify" vertical="center" wrapText="1"/>
    </xf>
    <xf numFmtId="0" fontId="15" fillId="0" borderId="9" xfId="0" applyNumberFormat="1" applyFont="1" applyBorder="1" applyAlignment="1">
      <alignment horizontal="justify" vertical="center" wrapText="1"/>
    </xf>
    <xf numFmtId="0" fontId="18" fillId="0" borderId="26" xfId="0" applyFont="1" applyBorder="1" applyAlignment="1">
      <alignment horizontal="center" vertical="center"/>
    </xf>
    <xf numFmtId="0" fontId="18" fillId="0" borderId="20" xfId="0" applyFont="1" applyBorder="1" applyAlignment="1">
      <alignment horizontal="center" vertical="center"/>
    </xf>
    <xf numFmtId="0" fontId="18" fillId="0" borderId="30" xfId="0" applyFont="1" applyBorder="1" applyAlignment="1">
      <alignment horizontal="center" vertical="center" wrapText="1"/>
    </xf>
    <xf numFmtId="0" fontId="18" fillId="0" borderId="31" xfId="0" applyFont="1" applyBorder="1" applyAlignment="1">
      <alignment horizontal="center" vertical="center"/>
    </xf>
    <xf numFmtId="0" fontId="9" fillId="0" borderId="26" xfId="0" applyFont="1" applyBorder="1"/>
    <xf numFmtId="0" fontId="18" fillId="0" borderId="54" xfId="0" applyFont="1" applyBorder="1" applyAlignment="1">
      <alignment vertical="center" wrapText="1"/>
    </xf>
    <xf numFmtId="0" fontId="9" fillId="0" borderId="31" xfId="0" applyFont="1" applyBorder="1" applyAlignment="1">
      <alignment vertical="center" wrapText="1"/>
    </xf>
    <xf numFmtId="0" fontId="9" fillId="0" borderId="55" xfId="0" applyFont="1" applyBorder="1" applyAlignment="1">
      <alignment horizontal="left" vertical="center" wrapText="1" indent="1"/>
    </xf>
    <xf numFmtId="0" fontId="9" fillId="0" borderId="45" xfId="0" applyFont="1" applyBorder="1" applyAlignment="1">
      <alignment horizontal="left" vertical="center" wrapText="1"/>
    </xf>
    <xf numFmtId="0" fontId="9" fillId="0" borderId="46" xfId="0" applyFont="1" applyBorder="1" applyAlignment="1">
      <alignment horizontal="left" vertical="center" wrapText="1"/>
    </xf>
    <xf numFmtId="0" fontId="15" fillId="0" borderId="44" xfId="0" applyFont="1" applyBorder="1" applyAlignment="1">
      <alignment horizontal="center"/>
    </xf>
    <xf numFmtId="0" fontId="15" fillId="0" borderId="44" xfId="0" applyFont="1" applyBorder="1" applyAlignment="1">
      <alignment horizontal="center" vertical="center"/>
    </xf>
    <xf numFmtId="0" fontId="15" fillId="0" borderId="49" xfId="0" applyFont="1" applyBorder="1" applyAlignment="1">
      <alignment horizontal="left" vertical="center"/>
    </xf>
    <xf numFmtId="0" fontId="26" fillId="0" borderId="52" xfId="0" applyFont="1" applyBorder="1" applyAlignment="1">
      <alignment horizontal="left" vertical="center" wrapText="1"/>
    </xf>
    <xf numFmtId="0" fontId="22" fillId="0" borderId="54" xfId="0" applyFont="1" applyFill="1" applyBorder="1" applyAlignment="1">
      <alignment horizontal="left" vertical="center" wrapText="1"/>
    </xf>
    <xf numFmtId="0" fontId="23" fillId="3" borderId="54" xfId="0" applyFont="1" applyFill="1" applyBorder="1" applyAlignment="1">
      <alignment horizontal="left" vertical="center" wrapText="1"/>
    </xf>
    <xf numFmtId="0" fontId="20" fillId="0" borderId="5"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3" fillId="0" borderId="54" xfId="0" applyFont="1" applyFill="1" applyBorder="1" applyAlignment="1">
      <alignment vertical="center" wrapText="1"/>
    </xf>
    <xf numFmtId="0" fontId="23" fillId="0" borderId="54" xfId="0" applyFont="1" applyFill="1" applyBorder="1" applyAlignment="1">
      <alignment horizontal="left" vertical="center" wrapText="1"/>
    </xf>
    <xf numFmtId="0" fontId="22" fillId="0" borderId="17" xfId="0" applyFont="1" applyBorder="1" applyAlignment="1">
      <alignment horizontal="left" vertical="center"/>
    </xf>
    <xf numFmtId="0" fontId="22" fillId="0" borderId="58" xfId="0" applyFont="1" applyBorder="1" applyAlignment="1">
      <alignment horizontal="left" vertical="center"/>
    </xf>
    <xf numFmtId="0" fontId="22" fillId="0" borderId="18" xfId="0" applyFont="1" applyBorder="1" applyAlignment="1">
      <alignment horizontal="left" vertical="center"/>
    </xf>
    <xf numFmtId="0" fontId="13" fillId="0" borderId="56" xfId="0" applyFont="1" applyBorder="1" applyAlignment="1">
      <alignment horizontal="left" vertical="top" wrapText="1"/>
    </xf>
    <xf numFmtId="0" fontId="23" fillId="0" borderId="54" xfId="0" applyFont="1" applyBorder="1" applyAlignment="1">
      <alignment horizontal="left" vertical="center" wrapText="1"/>
    </xf>
    <xf numFmtId="0" fontId="23" fillId="0" borderId="54" xfId="0" applyFont="1" applyBorder="1" applyAlignment="1">
      <alignment vertical="center" wrapText="1"/>
    </xf>
  </cellXfs>
  <cellStyles count="5">
    <cellStyle name="Encabezado 1" xfId="2" xr:uid="{00000000-0005-0000-0000-000000000000}"/>
    <cellStyle name="Moneda" xfId="1" builtinId="4"/>
    <cellStyle name="Moneda_AUTORIZACION Y NOTA DE PEDIDO" xfId="4"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60"/>
  <sheetViews>
    <sheetView tabSelected="1" workbookViewId="0">
      <selection activeCell="B12" sqref="B12"/>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79"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13" t="s">
        <v>0</v>
      </c>
      <c r="C2" s="113"/>
      <c r="D2" s="113"/>
      <c r="E2" s="113"/>
      <c r="F2" s="113"/>
      <c r="G2" s="113"/>
      <c r="H2" s="113"/>
    </row>
    <row r="4" spans="1:9" ht="18" customHeight="1" x14ac:dyDescent="0.2">
      <c r="A4" s="114" t="s">
        <v>1</v>
      </c>
      <c r="B4" s="114"/>
      <c r="C4" s="115" t="s">
        <v>21</v>
      </c>
      <c r="D4" s="115"/>
      <c r="E4" s="115"/>
      <c r="F4" s="2"/>
      <c r="G4" s="3"/>
      <c r="H4" s="2"/>
    </row>
    <row r="5" spans="1:9" ht="18" customHeight="1" x14ac:dyDescent="0.2">
      <c r="A5" s="114" t="s">
        <v>2</v>
      </c>
      <c r="B5" s="114"/>
      <c r="C5" s="115" t="s">
        <v>22</v>
      </c>
      <c r="D5" s="115"/>
      <c r="E5" s="115"/>
      <c r="F5" s="2"/>
      <c r="G5" s="3"/>
      <c r="H5" s="2"/>
    </row>
    <row r="6" spans="1:9" ht="16.7" customHeight="1" x14ac:dyDescent="0.2">
      <c r="A6" s="114" t="s">
        <v>3</v>
      </c>
      <c r="B6" s="114"/>
      <c r="C6" s="25">
        <v>2021</v>
      </c>
      <c r="D6" s="24"/>
      <c r="E6" s="24"/>
      <c r="F6" s="2"/>
      <c r="G6" s="3"/>
      <c r="H6" s="2"/>
    </row>
    <row r="7" spans="1:9" ht="16.7" customHeight="1" x14ac:dyDescent="0.2">
      <c r="A7" s="114" t="s">
        <v>4</v>
      </c>
      <c r="B7" s="114"/>
      <c r="C7" s="25">
        <v>4</v>
      </c>
      <c r="D7" s="24"/>
      <c r="E7" s="24"/>
      <c r="F7" s="2"/>
      <c r="G7" s="3"/>
      <c r="H7" s="2"/>
    </row>
    <row r="8" spans="1:9" x14ac:dyDescent="0.2">
      <c r="B8" s="2"/>
      <c r="C8" s="3"/>
      <c r="D8" s="2"/>
      <c r="E8" s="2"/>
      <c r="F8" s="2"/>
      <c r="G8" s="3"/>
      <c r="H8" s="2"/>
    </row>
    <row r="9" spans="1:9" x14ac:dyDescent="0.2">
      <c r="B9" s="2"/>
      <c r="C9" s="3"/>
      <c r="D9" s="2"/>
      <c r="E9" s="2"/>
      <c r="F9" s="2"/>
      <c r="G9" s="3"/>
      <c r="H9" s="2"/>
    </row>
    <row r="10" spans="1:9" ht="13.5" thickBot="1" x14ac:dyDescent="0.25">
      <c r="B10" s="2"/>
      <c r="C10" s="3"/>
      <c r="D10" s="2"/>
      <c r="E10" s="2"/>
      <c r="F10" s="2"/>
      <c r="G10" s="3"/>
      <c r="H10" s="2"/>
    </row>
    <row r="11" spans="1:9" ht="39" thickBot="1" x14ac:dyDescent="0.25">
      <c r="A11" s="20" t="s">
        <v>5</v>
      </c>
      <c r="B11" s="23" t="s">
        <v>6</v>
      </c>
      <c r="C11" s="86" t="s">
        <v>7</v>
      </c>
      <c r="D11" s="87" t="s">
        <v>8</v>
      </c>
      <c r="E11" s="21" t="s">
        <v>9</v>
      </c>
      <c r="F11" s="21" t="s">
        <v>10</v>
      </c>
      <c r="G11" s="21" t="s">
        <v>11</v>
      </c>
      <c r="H11" s="21" t="s">
        <v>12</v>
      </c>
      <c r="I11" s="22" t="s">
        <v>13</v>
      </c>
    </row>
    <row r="12" spans="1:9" ht="13.5" thickBot="1" x14ac:dyDescent="0.25">
      <c r="A12" s="4">
        <v>1</v>
      </c>
      <c r="B12" s="90" t="s">
        <v>84</v>
      </c>
      <c r="C12" s="95" t="s">
        <v>23</v>
      </c>
      <c r="D12" s="91" t="str">
        <f>LEFT(B12,5)</f>
        <v>4.3.6</v>
      </c>
      <c r="E12" s="63" t="s">
        <v>85</v>
      </c>
      <c r="F12" s="18" t="s">
        <v>14</v>
      </c>
      <c r="G12" s="18">
        <v>9</v>
      </c>
      <c r="H12" s="100">
        <v>48000</v>
      </c>
      <c r="I12" s="19">
        <f>H12*G12</f>
        <v>432000</v>
      </c>
    </row>
    <row r="13" spans="1:9" ht="13.5" thickBot="1" x14ac:dyDescent="0.25">
      <c r="A13" s="61">
        <v>2</v>
      </c>
      <c r="B13" s="89" t="s">
        <v>57</v>
      </c>
      <c r="C13" s="88" t="s">
        <v>58</v>
      </c>
      <c r="D13" s="92" t="s">
        <v>59</v>
      </c>
      <c r="E13" s="63" t="s">
        <v>60</v>
      </c>
      <c r="F13" s="64" t="s">
        <v>14</v>
      </c>
      <c r="G13" s="64">
        <v>9</v>
      </c>
      <c r="H13" s="101">
        <v>18000</v>
      </c>
      <c r="I13" s="19">
        <f>H13*G13</f>
        <v>162000</v>
      </c>
    </row>
    <row r="14" spans="1:9" x14ac:dyDescent="0.2">
      <c r="A14" s="4">
        <v>3</v>
      </c>
      <c r="B14" s="90" t="s">
        <v>83</v>
      </c>
      <c r="C14" s="88" t="s">
        <v>58</v>
      </c>
      <c r="D14" s="93" t="str">
        <f>LEFT(B14,5)</f>
        <v>4.3.6</v>
      </c>
      <c r="E14" s="79" t="s">
        <v>81</v>
      </c>
      <c r="F14" s="18" t="s">
        <v>14</v>
      </c>
      <c r="G14" s="18">
        <v>8</v>
      </c>
      <c r="H14" s="100">
        <v>61000</v>
      </c>
      <c r="I14" s="19">
        <f>H14*G14</f>
        <v>488000</v>
      </c>
    </row>
    <row r="15" spans="1:9" x14ac:dyDescent="0.2">
      <c r="I15" s="66">
        <f>SUM(I12:I14)</f>
        <v>1082000</v>
      </c>
    </row>
    <row r="16" spans="1:9" ht="13.5" thickBot="1" x14ac:dyDescent="0.25"/>
    <row r="17" spans="2:8" x14ac:dyDescent="0.2">
      <c r="B17" s="5" t="s">
        <v>15</v>
      </c>
      <c r="C17" s="6"/>
      <c r="D17" s="6"/>
      <c r="E17" s="7"/>
    </row>
    <row r="18" spans="2:8" ht="5.25" customHeight="1" x14ac:dyDescent="0.2">
      <c r="B18" s="8"/>
      <c r="C18" s="9"/>
      <c r="D18" s="9"/>
      <c r="E18" s="10"/>
    </row>
    <row r="19" spans="2:8" x14ac:dyDescent="0.2">
      <c r="B19" s="11" t="s">
        <v>16</v>
      </c>
      <c r="C19" s="9"/>
      <c r="D19" s="9"/>
      <c r="E19" s="10"/>
      <c r="H19" s="9"/>
    </row>
    <row r="20" spans="2:8" ht="89.65" customHeight="1" x14ac:dyDescent="0.2">
      <c r="B20" s="11"/>
      <c r="C20" s="102" t="s">
        <v>80</v>
      </c>
      <c r="D20" s="103"/>
      <c r="E20" s="104"/>
    </row>
    <row r="21" spans="2:8" x14ac:dyDescent="0.2">
      <c r="B21" s="11" t="s">
        <v>17</v>
      </c>
      <c r="C21" s="26"/>
      <c r="D21" s="26"/>
      <c r="E21" s="27"/>
    </row>
    <row r="22" spans="2:8" x14ac:dyDescent="0.2">
      <c r="B22" s="12"/>
      <c r="C22" s="105" t="s">
        <v>24</v>
      </c>
      <c r="D22" s="105"/>
      <c r="E22" s="106"/>
    </row>
    <row r="23" spans="2:8" ht="47.25" customHeight="1" x14ac:dyDescent="0.2">
      <c r="B23" s="12"/>
      <c r="C23" s="105"/>
      <c r="D23" s="105"/>
      <c r="E23" s="106"/>
    </row>
    <row r="24" spans="2:8" x14ac:dyDescent="0.2">
      <c r="B24" s="11" t="s">
        <v>18</v>
      </c>
      <c r="C24" s="26"/>
      <c r="D24" s="26"/>
      <c r="E24" s="27"/>
    </row>
    <row r="25" spans="2:8" ht="26.25" customHeight="1" x14ac:dyDescent="0.2">
      <c r="B25" s="12"/>
      <c r="C25" s="107" t="s">
        <v>86</v>
      </c>
      <c r="D25" s="108"/>
      <c r="E25" s="109"/>
    </row>
    <row r="26" spans="2:8" x14ac:dyDescent="0.2">
      <c r="B26" s="11" t="s">
        <v>19</v>
      </c>
      <c r="C26" s="13"/>
      <c r="D26" s="13"/>
      <c r="E26" s="14"/>
    </row>
    <row r="27" spans="2:8" ht="26.25" customHeight="1" x14ac:dyDescent="0.2">
      <c r="B27" s="12"/>
      <c r="C27" s="110" t="s">
        <v>74</v>
      </c>
      <c r="D27" s="111"/>
      <c r="E27" s="112"/>
    </row>
    <row r="28" spans="2:8" x14ac:dyDescent="0.2">
      <c r="B28" s="11" t="s">
        <v>20</v>
      </c>
      <c r="C28" s="9"/>
      <c r="D28" s="9"/>
      <c r="E28" s="10"/>
    </row>
    <row r="29" spans="2:8" ht="23.25" customHeight="1" x14ac:dyDescent="0.2">
      <c r="B29" s="11"/>
      <c r="C29" s="110" t="s">
        <v>73</v>
      </c>
      <c r="D29" s="111"/>
      <c r="E29" s="112"/>
    </row>
    <row r="30" spans="2:8" x14ac:dyDescent="0.2">
      <c r="B30" s="15"/>
      <c r="C30" s="16"/>
      <c r="D30" s="16"/>
      <c r="E30" s="17"/>
    </row>
    <row r="31" spans="2:8" ht="13.5" thickBot="1" x14ac:dyDescent="0.25"/>
    <row r="32" spans="2:8" x14ac:dyDescent="0.2">
      <c r="B32" s="5" t="s">
        <v>75</v>
      </c>
      <c r="C32" s="6"/>
      <c r="D32" s="6"/>
      <c r="E32" s="7"/>
    </row>
    <row r="33" spans="2:5" x14ac:dyDescent="0.2">
      <c r="B33" s="8"/>
      <c r="C33" s="9"/>
      <c r="D33" s="9"/>
      <c r="E33" s="10"/>
    </row>
    <row r="34" spans="2:5" x14ac:dyDescent="0.2">
      <c r="B34" s="11" t="s">
        <v>16</v>
      </c>
      <c r="C34" s="9"/>
      <c r="D34" s="9"/>
      <c r="E34" s="10"/>
    </row>
    <row r="35" spans="2:5" ht="28.35" customHeight="1" x14ac:dyDescent="0.2">
      <c r="B35" s="11"/>
      <c r="C35" s="102" t="s">
        <v>76</v>
      </c>
      <c r="D35" s="103"/>
      <c r="E35" s="104"/>
    </row>
    <row r="36" spans="2:5" x14ac:dyDescent="0.2">
      <c r="B36" s="11" t="s">
        <v>17</v>
      </c>
      <c r="C36" s="26"/>
      <c r="D36" s="26"/>
      <c r="E36" s="27"/>
    </row>
    <row r="37" spans="2:5" ht="57.95" customHeight="1" x14ac:dyDescent="0.2">
      <c r="B37" s="12"/>
      <c r="C37" s="105" t="s">
        <v>24</v>
      </c>
      <c r="D37" s="105"/>
      <c r="E37" s="106"/>
    </row>
    <row r="38" spans="2:5" ht="9.9499999999999993" customHeight="1" x14ac:dyDescent="0.2">
      <c r="B38" s="12"/>
      <c r="C38" s="105"/>
      <c r="D38" s="105"/>
      <c r="E38" s="106"/>
    </row>
    <row r="39" spans="2:5" x14ac:dyDescent="0.2">
      <c r="B39" s="11" t="s">
        <v>18</v>
      </c>
      <c r="C39" s="26"/>
      <c r="D39" s="26"/>
      <c r="E39" s="27"/>
    </row>
    <row r="40" spans="2:5" x14ac:dyDescent="0.2">
      <c r="B40" s="12"/>
      <c r="C40" s="107" t="s">
        <v>77</v>
      </c>
      <c r="D40" s="108"/>
      <c r="E40" s="109"/>
    </row>
    <row r="41" spans="2:5" x14ac:dyDescent="0.2">
      <c r="B41" s="11" t="s">
        <v>19</v>
      </c>
      <c r="C41" s="13"/>
      <c r="D41" s="13"/>
      <c r="E41" s="14"/>
    </row>
    <row r="42" spans="2:5" x14ac:dyDescent="0.2">
      <c r="B42" s="12"/>
      <c r="C42" s="110" t="s">
        <v>74</v>
      </c>
      <c r="D42" s="111"/>
      <c r="E42" s="112"/>
    </row>
    <row r="43" spans="2:5" x14ac:dyDescent="0.2">
      <c r="B43" s="11" t="s">
        <v>20</v>
      </c>
      <c r="C43" s="9"/>
      <c r="D43" s="9"/>
      <c r="E43" s="10"/>
    </row>
    <row r="44" spans="2:5" x14ac:dyDescent="0.2">
      <c r="B44" s="11"/>
      <c r="C44" s="110" t="s">
        <v>73</v>
      </c>
      <c r="D44" s="111"/>
      <c r="E44" s="112"/>
    </row>
    <row r="45" spans="2:5" ht="13.5" thickBot="1" x14ac:dyDescent="0.25">
      <c r="B45" s="15"/>
      <c r="C45" s="16"/>
      <c r="D45" s="16"/>
      <c r="E45" s="17"/>
    </row>
    <row r="46" spans="2:5" ht="13.5" thickBot="1" x14ac:dyDescent="0.25"/>
    <row r="47" spans="2:5" x14ac:dyDescent="0.2">
      <c r="B47" s="5" t="s">
        <v>78</v>
      </c>
      <c r="C47" s="6"/>
      <c r="D47" s="6"/>
      <c r="E47" s="7"/>
    </row>
    <row r="48" spans="2:5" x14ac:dyDescent="0.2">
      <c r="B48" s="8"/>
      <c r="C48" s="9"/>
      <c r="D48" s="9"/>
      <c r="E48" s="10"/>
    </row>
    <row r="49" spans="2:5" x14ac:dyDescent="0.2">
      <c r="B49" s="11" t="s">
        <v>16</v>
      </c>
      <c r="C49" s="9"/>
      <c r="D49" s="9"/>
      <c r="E49" s="10"/>
    </row>
    <row r="50" spans="2:5" ht="65.650000000000006" customHeight="1" x14ac:dyDescent="0.2">
      <c r="B50" s="11"/>
      <c r="C50" s="102" t="s">
        <v>79</v>
      </c>
      <c r="D50" s="103"/>
      <c r="E50" s="104"/>
    </row>
    <row r="51" spans="2:5" x14ac:dyDescent="0.2">
      <c r="B51" s="11" t="s">
        <v>17</v>
      </c>
      <c r="C51" s="26"/>
      <c r="D51" s="26"/>
      <c r="E51" s="27"/>
    </row>
    <row r="52" spans="2:5" x14ac:dyDescent="0.2">
      <c r="B52" s="12"/>
      <c r="C52" s="105" t="s">
        <v>24</v>
      </c>
      <c r="D52" s="105"/>
      <c r="E52" s="106"/>
    </row>
    <row r="53" spans="2:5" ht="43.15" customHeight="1" x14ac:dyDescent="0.2">
      <c r="B53" s="12"/>
      <c r="C53" s="105"/>
      <c r="D53" s="105"/>
      <c r="E53" s="106"/>
    </row>
    <row r="54" spans="2:5" x14ac:dyDescent="0.2">
      <c r="B54" s="11" t="s">
        <v>18</v>
      </c>
      <c r="C54" s="26"/>
      <c r="D54" s="26"/>
      <c r="E54" s="27"/>
    </row>
    <row r="55" spans="2:5" x14ac:dyDescent="0.2">
      <c r="B55" s="12"/>
      <c r="C55" s="107" t="s">
        <v>82</v>
      </c>
      <c r="D55" s="108"/>
      <c r="E55" s="109"/>
    </row>
    <row r="56" spans="2:5" x14ac:dyDescent="0.2">
      <c r="B56" s="11" t="s">
        <v>19</v>
      </c>
      <c r="C56" s="13"/>
      <c r="D56" s="13"/>
      <c r="E56" s="14"/>
    </row>
    <row r="57" spans="2:5" x14ac:dyDescent="0.2">
      <c r="B57" s="12"/>
      <c r="C57" s="110" t="s">
        <v>74</v>
      </c>
      <c r="D57" s="111"/>
      <c r="E57" s="112"/>
    </row>
    <row r="58" spans="2:5" x14ac:dyDescent="0.2">
      <c r="B58" s="11" t="s">
        <v>20</v>
      </c>
      <c r="C58" s="9"/>
      <c r="D58" s="9"/>
      <c r="E58" s="10"/>
    </row>
    <row r="59" spans="2:5" x14ac:dyDescent="0.2">
      <c r="B59" s="11"/>
      <c r="C59" s="110" t="s">
        <v>73</v>
      </c>
      <c r="D59" s="111"/>
      <c r="E59" s="112"/>
    </row>
    <row r="60" spans="2:5" ht="13.5" thickBot="1" x14ac:dyDescent="0.25">
      <c r="B60" s="15"/>
      <c r="C60" s="16"/>
      <c r="D60" s="16"/>
      <c r="E60" s="17"/>
    </row>
  </sheetData>
  <mergeCells count="22">
    <mergeCell ref="C25:E25"/>
    <mergeCell ref="C27:E27"/>
    <mergeCell ref="C29:E29"/>
    <mergeCell ref="A6:B6"/>
    <mergeCell ref="A7:B7"/>
    <mergeCell ref="C20:E20"/>
    <mergeCell ref="C22:E23"/>
    <mergeCell ref="B2:H2"/>
    <mergeCell ref="A4:B4"/>
    <mergeCell ref="C4:E4"/>
    <mergeCell ref="A5:B5"/>
    <mergeCell ref="C5:E5"/>
    <mergeCell ref="C35:E35"/>
    <mergeCell ref="C37:E38"/>
    <mergeCell ref="C40:E40"/>
    <mergeCell ref="C42:E42"/>
    <mergeCell ref="C44:E44"/>
    <mergeCell ref="C50:E50"/>
    <mergeCell ref="C52:E53"/>
    <mergeCell ref="C55:E55"/>
    <mergeCell ref="C57:E57"/>
    <mergeCell ref="C59:E59"/>
  </mergeCells>
  <pageMargins left="0.70866141732283472" right="0.70866141732283472" top="0.74803149606299213" bottom="0.74803149606299213" header="0.51181102362204722" footer="0.51181102362204722"/>
  <pageSetup paperSize="5" scale="80"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5"/>
  <sheetViews>
    <sheetView topLeftCell="A7" workbookViewId="0">
      <selection activeCell="S24" sqref="S24"/>
    </sheetView>
  </sheetViews>
  <sheetFormatPr baseColWidth="10" defaultColWidth="11.42578125" defaultRowHeight="12.75" x14ac:dyDescent="0.2"/>
  <cols>
    <col min="1" max="1" width="3.140625" style="28" customWidth="1"/>
    <col min="2" max="2" width="3.42578125" style="28" customWidth="1"/>
    <col min="3" max="4" width="3.5703125" style="28" customWidth="1"/>
    <col min="5" max="5" width="3.42578125" style="28" customWidth="1"/>
    <col min="6" max="6" width="13.42578125" style="28" customWidth="1"/>
    <col min="7" max="8" width="3" style="28" customWidth="1"/>
    <col min="9" max="9" width="2.85546875" style="28" customWidth="1"/>
    <col min="10" max="10" width="3" style="28" customWidth="1"/>
    <col min="11" max="11" width="2.7109375" style="28" customWidth="1"/>
    <col min="12" max="12" width="3.140625" style="28" customWidth="1"/>
    <col min="13" max="13" width="2.7109375" style="28" customWidth="1"/>
    <col min="14" max="14" width="3.7109375" style="28" customWidth="1"/>
    <col min="15" max="15" width="14.42578125" style="28" customWidth="1"/>
    <col min="16" max="16" width="7.85546875" style="28" customWidth="1"/>
    <col min="17" max="17" width="13.28515625" style="28" customWidth="1"/>
    <col min="18" max="16384" width="11.42578125" style="28"/>
  </cols>
  <sheetData>
    <row r="1" spans="1:17" ht="15.75" thickBot="1" x14ac:dyDescent="0.3">
      <c r="A1" s="118" t="s">
        <v>3</v>
      </c>
      <c r="B1" s="118"/>
      <c r="C1" s="118"/>
      <c r="D1" s="119">
        <v>2021</v>
      </c>
      <c r="E1" s="119"/>
      <c r="F1" s="30"/>
      <c r="G1" s="30"/>
      <c r="H1" s="31"/>
      <c r="I1" s="31"/>
      <c r="J1" s="31"/>
      <c r="K1" s="31"/>
      <c r="L1" s="31"/>
      <c r="M1" s="31"/>
      <c r="N1" s="31"/>
      <c r="O1" s="32"/>
      <c r="P1" s="120" t="s">
        <v>25</v>
      </c>
      <c r="Q1" s="120"/>
    </row>
    <row r="2" spans="1:17" ht="15.75" thickBot="1" x14ac:dyDescent="0.3">
      <c r="A2" s="33"/>
      <c r="B2" s="34"/>
      <c r="C2" s="34"/>
      <c r="D2" s="34"/>
      <c r="E2" s="34"/>
      <c r="F2" s="34"/>
      <c r="G2" s="35"/>
      <c r="H2" s="36"/>
      <c r="I2" s="36"/>
      <c r="J2" s="36"/>
      <c r="K2" s="36"/>
      <c r="L2" s="36"/>
      <c r="M2" s="36"/>
      <c r="N2" s="36"/>
      <c r="O2" s="34"/>
      <c r="P2" s="120"/>
      <c r="Q2" s="120"/>
    </row>
    <row r="3" spans="1:17" ht="15.75" thickBot="1" x14ac:dyDescent="0.3">
      <c r="A3" s="33"/>
      <c r="B3" s="34"/>
      <c r="C3" s="34"/>
      <c r="D3" s="34"/>
      <c r="E3" s="34"/>
      <c r="F3" s="34"/>
      <c r="G3" s="35"/>
      <c r="H3" s="34"/>
      <c r="I3" s="34"/>
      <c r="J3" s="34"/>
      <c r="K3" s="34"/>
      <c r="L3" s="34"/>
      <c r="M3" s="34"/>
      <c r="N3" s="34"/>
      <c r="O3" s="34"/>
      <c r="P3" s="34"/>
      <c r="Q3" s="37"/>
    </row>
    <row r="4" spans="1:17" ht="15.75" thickBot="1" x14ac:dyDescent="0.3">
      <c r="A4" s="121" t="s">
        <v>26</v>
      </c>
      <c r="B4" s="121"/>
      <c r="C4" s="121"/>
      <c r="D4" s="121"/>
      <c r="E4" s="121"/>
      <c r="F4" s="121"/>
      <c r="G4" s="117" t="s">
        <v>27</v>
      </c>
      <c r="H4" s="117"/>
      <c r="I4" s="117"/>
      <c r="J4" s="117"/>
      <c r="K4" s="117"/>
      <c r="L4" s="117"/>
      <c r="M4" s="117"/>
      <c r="N4" s="117"/>
      <c r="O4" s="117"/>
      <c r="P4" s="117"/>
      <c r="Q4" s="117"/>
    </row>
    <row r="5" spans="1:17" ht="15.75" thickBot="1" x14ac:dyDescent="0.3">
      <c r="A5" s="116" t="s">
        <v>28</v>
      </c>
      <c r="B5" s="116"/>
      <c r="C5" s="116"/>
      <c r="D5" s="116"/>
      <c r="E5" s="116"/>
      <c r="F5" s="116"/>
      <c r="G5" s="117" t="s">
        <v>29</v>
      </c>
      <c r="H5" s="117"/>
      <c r="I5" s="117"/>
      <c r="J5" s="117"/>
      <c r="K5" s="117"/>
      <c r="L5" s="117"/>
      <c r="M5" s="117"/>
      <c r="N5" s="117"/>
      <c r="O5" s="117"/>
      <c r="P5" s="117"/>
      <c r="Q5" s="117"/>
    </row>
    <row r="6" spans="1:17" ht="15.75" thickBot="1" x14ac:dyDescent="0.3">
      <c r="A6" s="124" t="s">
        <v>30</v>
      </c>
      <c r="B6" s="125"/>
      <c r="C6" s="125"/>
      <c r="D6" s="125"/>
      <c r="E6" s="125"/>
      <c r="F6" s="126"/>
      <c r="G6" s="127" t="s">
        <v>31</v>
      </c>
      <c r="H6" s="127"/>
      <c r="I6" s="127"/>
      <c r="J6" s="127"/>
      <c r="K6" s="127"/>
      <c r="L6" s="127"/>
      <c r="M6" s="127"/>
      <c r="N6" s="127"/>
      <c r="O6" s="127"/>
      <c r="P6" s="127"/>
      <c r="Q6" s="127"/>
    </row>
    <row r="7" spans="1:17" ht="15.75" thickBot="1" x14ac:dyDescent="0.3">
      <c r="A7" s="128" t="s">
        <v>32</v>
      </c>
      <c r="B7" s="129"/>
      <c r="C7" s="129"/>
      <c r="D7" s="129"/>
      <c r="E7" s="129"/>
      <c r="F7" s="130"/>
      <c r="G7" s="131" t="s">
        <v>31</v>
      </c>
      <c r="H7" s="131"/>
      <c r="I7" s="131"/>
      <c r="J7" s="131"/>
      <c r="K7" s="131"/>
      <c r="L7" s="131"/>
      <c r="M7" s="131"/>
      <c r="N7" s="131"/>
      <c r="O7" s="131"/>
      <c r="P7" s="131"/>
      <c r="Q7" s="131"/>
    </row>
    <row r="8" spans="1:17" ht="15" thickBot="1" x14ac:dyDescent="0.25">
      <c r="A8" s="132" t="s">
        <v>33</v>
      </c>
      <c r="B8" s="132"/>
      <c r="C8" s="132"/>
      <c r="D8" s="132"/>
      <c r="E8" s="132"/>
      <c r="F8" s="132"/>
      <c r="G8" s="132"/>
      <c r="H8" s="132"/>
      <c r="I8" s="132"/>
      <c r="J8" s="132"/>
      <c r="K8" s="132"/>
      <c r="L8" s="132"/>
      <c r="M8" s="132"/>
      <c r="N8" s="132"/>
      <c r="O8" s="132"/>
      <c r="P8" s="132"/>
      <c r="Q8" s="132"/>
    </row>
    <row r="9" spans="1:17" ht="17.649999999999999" customHeight="1" x14ac:dyDescent="0.25">
      <c r="A9" s="133" t="s">
        <v>34</v>
      </c>
      <c r="B9" s="133"/>
      <c r="C9" s="133"/>
      <c r="D9" s="133"/>
      <c r="E9" s="133"/>
      <c r="F9" s="133"/>
      <c r="G9" s="133"/>
      <c r="H9" s="133"/>
      <c r="I9" s="133"/>
      <c r="J9" s="133"/>
      <c r="K9" s="133"/>
      <c r="L9" s="133"/>
      <c r="M9" s="133"/>
      <c r="N9" s="133"/>
      <c r="O9" s="133"/>
      <c r="P9" s="133"/>
      <c r="Q9" s="133"/>
    </row>
    <row r="10" spans="1:17" ht="48" customHeight="1" x14ac:dyDescent="0.2">
      <c r="A10" s="134" t="s">
        <v>56</v>
      </c>
      <c r="B10" s="135"/>
      <c r="C10" s="135"/>
      <c r="D10" s="135"/>
      <c r="E10" s="135"/>
      <c r="F10" s="135"/>
      <c r="G10" s="135"/>
      <c r="H10" s="135"/>
      <c r="I10" s="135"/>
      <c r="J10" s="135"/>
      <c r="K10" s="135"/>
      <c r="L10" s="135"/>
      <c r="M10" s="135"/>
      <c r="N10" s="135"/>
      <c r="O10" s="135"/>
      <c r="P10" s="135"/>
      <c r="Q10" s="136"/>
    </row>
    <row r="11" spans="1:17" ht="15.75" thickBot="1" x14ac:dyDescent="0.3">
      <c r="A11" s="38"/>
      <c r="B11" s="39"/>
      <c r="C11" s="39"/>
      <c r="D11" s="39"/>
      <c r="E11" s="39"/>
      <c r="F11" s="39"/>
      <c r="G11" s="40"/>
      <c r="H11" s="39"/>
      <c r="I11" s="39"/>
      <c r="J11" s="39"/>
      <c r="K11" s="39"/>
      <c r="L11" s="39"/>
      <c r="M11" s="39"/>
      <c r="N11" s="39"/>
      <c r="O11" s="39"/>
      <c r="P11" s="39"/>
      <c r="Q11" s="41"/>
    </row>
    <row r="12" spans="1:17" ht="13.5" thickBot="1" x14ac:dyDescent="0.25">
      <c r="A12" s="137" t="s">
        <v>35</v>
      </c>
      <c r="B12" s="137"/>
      <c r="C12" s="137"/>
      <c r="D12" s="137"/>
      <c r="E12" s="137"/>
      <c r="F12" s="137"/>
      <c r="G12" s="137"/>
      <c r="H12" s="137"/>
      <c r="I12" s="137"/>
      <c r="J12" s="137"/>
      <c r="K12" s="137"/>
      <c r="L12" s="137"/>
      <c r="M12" s="137"/>
      <c r="N12" s="137"/>
      <c r="O12" s="137"/>
      <c r="P12" s="137"/>
      <c r="Q12" s="137"/>
    </row>
    <row r="13" spans="1:17" ht="13.5" thickBot="1" x14ac:dyDescent="0.25">
      <c r="A13" s="138" t="s">
        <v>36</v>
      </c>
      <c r="B13" s="138"/>
      <c r="C13" s="138"/>
      <c r="D13" s="138"/>
      <c r="E13" s="138"/>
      <c r="F13" s="138"/>
      <c r="G13" s="138"/>
      <c r="H13" s="138"/>
      <c r="I13" s="138"/>
      <c r="J13" s="138"/>
      <c r="K13" s="138"/>
      <c r="L13" s="138"/>
      <c r="M13" s="138"/>
      <c r="N13" s="138"/>
      <c r="O13" s="139" t="s">
        <v>37</v>
      </c>
      <c r="P13" s="139"/>
      <c r="Q13" s="140" t="s">
        <v>38</v>
      </c>
    </row>
    <row r="14" spans="1:17" ht="26.1" customHeight="1" thickBot="1" x14ac:dyDescent="0.25">
      <c r="A14" s="96" t="s">
        <v>39</v>
      </c>
      <c r="B14" s="97" t="s">
        <v>40</v>
      </c>
      <c r="C14" s="97" t="s">
        <v>41</v>
      </c>
      <c r="D14" s="97" t="s">
        <v>42</v>
      </c>
      <c r="E14" s="97" t="s">
        <v>43</v>
      </c>
      <c r="F14" s="97" t="s">
        <v>44</v>
      </c>
      <c r="G14" s="97" t="s">
        <v>45</v>
      </c>
      <c r="H14" s="97" t="s">
        <v>46</v>
      </c>
      <c r="I14" s="97" t="s">
        <v>47</v>
      </c>
      <c r="J14" s="97" t="s">
        <v>48</v>
      </c>
      <c r="K14" s="97" t="s">
        <v>48</v>
      </c>
      <c r="L14" s="97" t="s">
        <v>49</v>
      </c>
      <c r="M14" s="98" t="s">
        <v>50</v>
      </c>
      <c r="N14" s="99" t="s">
        <v>51</v>
      </c>
      <c r="O14" s="139"/>
      <c r="P14" s="139"/>
      <c r="Q14" s="140"/>
    </row>
    <row r="15" spans="1:17" ht="25.5" customHeight="1" thickBot="1" x14ac:dyDescent="0.25">
      <c r="A15" s="42">
        <v>1</v>
      </c>
      <c r="B15" s="43">
        <v>0</v>
      </c>
      <c r="C15" s="43">
        <v>0</v>
      </c>
      <c r="D15" s="43">
        <v>1</v>
      </c>
      <c r="E15" s="43">
        <v>0</v>
      </c>
      <c r="F15" s="43">
        <v>4901</v>
      </c>
      <c r="G15" s="43">
        <v>3</v>
      </c>
      <c r="H15" s="43">
        <v>4</v>
      </c>
      <c r="I15" s="43">
        <v>4</v>
      </c>
      <c r="J15" s="43">
        <v>3</v>
      </c>
      <c r="K15" s="43">
        <v>6</v>
      </c>
      <c r="L15" s="43">
        <v>0</v>
      </c>
      <c r="M15" s="44">
        <v>1</v>
      </c>
      <c r="N15" s="43" t="s">
        <v>52</v>
      </c>
      <c r="O15" s="122" t="s">
        <v>53</v>
      </c>
      <c r="P15" s="123"/>
      <c r="Q15" s="45">
        <f>'NOTA PEDIDO'!G14</f>
        <v>1082000</v>
      </c>
    </row>
    <row r="16" spans="1:17" x14ac:dyDescent="0.2">
      <c r="A16" s="46"/>
      <c r="B16" s="47"/>
      <c r="C16" s="47"/>
      <c r="D16" s="47"/>
      <c r="E16" s="47"/>
      <c r="F16" s="43"/>
      <c r="G16" s="47"/>
      <c r="H16" s="47"/>
      <c r="I16" s="47"/>
      <c r="J16" s="47"/>
      <c r="K16" s="47"/>
      <c r="L16" s="47"/>
      <c r="M16" s="48"/>
      <c r="N16" s="49"/>
      <c r="O16" s="145"/>
      <c r="P16" s="146"/>
      <c r="Q16" s="50"/>
    </row>
    <row r="17" spans="1:17" ht="15" x14ac:dyDescent="0.25">
      <c r="A17" s="51"/>
      <c r="B17" s="52"/>
      <c r="C17" s="52"/>
      <c r="D17" s="52"/>
      <c r="E17" s="52"/>
      <c r="F17" s="52"/>
      <c r="G17" s="52"/>
      <c r="H17" s="52"/>
      <c r="I17" s="52"/>
      <c r="J17" s="52"/>
      <c r="K17" s="52"/>
      <c r="L17" s="52"/>
      <c r="M17" s="53"/>
      <c r="N17" s="54"/>
      <c r="O17" s="147"/>
      <c r="P17" s="147"/>
      <c r="Q17" s="55"/>
    </row>
    <row r="18" spans="1:17" ht="15" x14ac:dyDescent="0.2">
      <c r="A18" s="51"/>
      <c r="B18" s="52"/>
      <c r="C18" s="52"/>
      <c r="D18" s="52"/>
      <c r="E18" s="52"/>
      <c r="F18" s="52"/>
      <c r="G18" s="52"/>
      <c r="H18" s="52"/>
      <c r="I18" s="52"/>
      <c r="J18" s="52"/>
      <c r="K18" s="52"/>
      <c r="L18" s="52"/>
      <c r="M18" s="53"/>
      <c r="N18" s="54"/>
      <c r="O18" s="148"/>
      <c r="P18" s="148"/>
      <c r="Q18" s="55"/>
    </row>
    <row r="19" spans="1:17" ht="15" x14ac:dyDescent="0.2">
      <c r="A19" s="51"/>
      <c r="B19" s="52"/>
      <c r="C19" s="52"/>
      <c r="D19" s="52"/>
      <c r="E19" s="52"/>
      <c r="F19" s="52"/>
      <c r="G19" s="52"/>
      <c r="H19" s="52"/>
      <c r="I19" s="52"/>
      <c r="J19" s="52"/>
      <c r="K19" s="52"/>
      <c r="L19" s="52"/>
      <c r="M19" s="53"/>
      <c r="N19" s="54"/>
      <c r="O19" s="148"/>
      <c r="P19" s="148"/>
      <c r="Q19" s="55"/>
    </row>
    <row r="20" spans="1:17" ht="15.75" thickBot="1" x14ac:dyDescent="0.25">
      <c r="A20" s="56"/>
      <c r="B20" s="57"/>
      <c r="C20" s="57"/>
      <c r="D20" s="57"/>
      <c r="E20" s="57"/>
      <c r="F20" s="57"/>
      <c r="G20" s="57"/>
      <c r="H20" s="57"/>
      <c r="I20" s="57"/>
      <c r="J20" s="57"/>
      <c r="K20" s="57"/>
      <c r="L20" s="57"/>
      <c r="M20" s="58"/>
      <c r="N20" s="57"/>
      <c r="O20" s="149"/>
      <c r="P20" s="149"/>
      <c r="Q20" s="59"/>
    </row>
    <row r="21" spans="1:17" ht="13.5" thickBot="1" x14ac:dyDescent="0.25">
      <c r="A21" s="150" t="s">
        <v>72</v>
      </c>
      <c r="B21" s="150"/>
      <c r="C21" s="150"/>
      <c r="D21" s="150"/>
      <c r="E21" s="150"/>
      <c r="F21" s="150"/>
      <c r="G21" s="150"/>
      <c r="H21" s="150"/>
      <c r="I21" s="150"/>
      <c r="J21" s="150"/>
      <c r="K21" s="150"/>
      <c r="L21" s="150"/>
      <c r="M21" s="150"/>
      <c r="N21" s="150"/>
      <c r="O21" s="150"/>
      <c r="P21" s="150"/>
      <c r="Q21" s="60">
        <f>SUM(Q15:Q20)</f>
        <v>1082000</v>
      </c>
    </row>
    <row r="22" spans="1:17" ht="13.5" thickBot="1" x14ac:dyDescent="0.25">
      <c r="A22" s="141"/>
      <c r="B22" s="141"/>
      <c r="C22" s="141"/>
      <c r="D22" s="141"/>
      <c r="E22" s="141"/>
      <c r="F22" s="141"/>
      <c r="G22" s="141"/>
      <c r="H22" s="141"/>
      <c r="I22" s="141"/>
      <c r="J22" s="141"/>
      <c r="K22" s="141"/>
      <c r="L22" s="141"/>
      <c r="M22" s="141"/>
      <c r="N22" s="141"/>
      <c r="O22" s="141"/>
      <c r="P22" s="141"/>
      <c r="Q22" s="141"/>
    </row>
    <row r="23" spans="1:17" ht="13.5" thickBot="1" x14ac:dyDescent="0.25">
      <c r="A23" s="142" t="s">
        <v>54</v>
      </c>
      <c r="B23" s="142"/>
      <c r="C23" s="142"/>
      <c r="D23" s="142"/>
      <c r="E23" s="142"/>
      <c r="F23" s="142"/>
      <c r="G23" s="143"/>
      <c r="H23" s="143"/>
      <c r="I23" s="143"/>
      <c r="J23" s="143"/>
      <c r="K23" s="143"/>
      <c r="L23" s="143"/>
      <c r="M23" s="143"/>
      <c r="N23" s="143"/>
      <c r="O23" s="143"/>
      <c r="P23" s="143"/>
      <c r="Q23" s="143"/>
    </row>
    <row r="24" spans="1:17" ht="13.5" thickBot="1" x14ac:dyDescent="0.25">
      <c r="A24" s="144" t="s">
        <v>55</v>
      </c>
      <c r="B24" s="144"/>
      <c r="C24" s="144"/>
      <c r="D24" s="144"/>
      <c r="E24" s="144"/>
      <c r="F24" s="144"/>
      <c r="G24" s="144"/>
      <c r="H24" s="144"/>
      <c r="I24" s="144"/>
      <c r="J24" s="144"/>
      <c r="K24" s="144"/>
      <c r="L24" s="144"/>
      <c r="M24" s="144"/>
      <c r="N24" s="144"/>
      <c r="O24" s="144"/>
      <c r="P24" s="144"/>
      <c r="Q24" s="144"/>
    </row>
    <row r="25" spans="1:17" ht="13.5" thickBot="1" x14ac:dyDescent="0.25">
      <c r="A25" s="144"/>
      <c r="B25" s="144"/>
      <c r="C25" s="144"/>
      <c r="D25" s="144"/>
      <c r="E25" s="144"/>
      <c r="F25" s="144"/>
      <c r="G25" s="144"/>
      <c r="H25" s="144"/>
      <c r="I25" s="144"/>
      <c r="J25" s="144"/>
      <c r="K25" s="144"/>
      <c r="L25" s="144"/>
      <c r="M25" s="144"/>
      <c r="N25" s="144"/>
      <c r="O25" s="144"/>
      <c r="P25" s="144"/>
      <c r="Q25" s="144"/>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SheetLayoutView="100" workbookViewId="0">
      <selection activeCell="C11" sqref="C11"/>
    </sheetView>
  </sheetViews>
  <sheetFormatPr baseColWidth="10" defaultColWidth="11.42578125" defaultRowHeight="12.75" x14ac:dyDescent="0.2"/>
  <cols>
    <col min="1" max="1" width="4.5703125" style="28" customWidth="1"/>
    <col min="2" max="2" width="25.42578125" style="28" customWidth="1"/>
    <col min="3" max="3" width="39.140625" style="28" customWidth="1"/>
    <col min="4" max="4" width="15.5703125" style="28" customWidth="1"/>
    <col min="5" max="5" width="17.7109375" style="28" customWidth="1"/>
    <col min="6" max="6" width="13.85546875" style="28" customWidth="1"/>
    <col min="7" max="7" width="16.85546875" style="28" customWidth="1"/>
    <col min="8" max="9" width="13.140625" style="28" bestFit="1" customWidth="1"/>
    <col min="10" max="11" width="11.42578125" style="28"/>
    <col min="12" max="12" width="12.85546875" style="28" bestFit="1" customWidth="1"/>
    <col min="13" max="16384" width="11.42578125" style="28"/>
  </cols>
  <sheetData>
    <row r="1" spans="1:17" ht="16.5" thickBot="1" x14ac:dyDescent="0.25">
      <c r="A1" s="153" t="s">
        <v>62</v>
      </c>
      <c r="B1" s="154"/>
      <c r="C1" s="154"/>
      <c r="D1" s="154"/>
      <c r="E1" s="154"/>
      <c r="F1" s="155"/>
      <c r="G1" s="67" t="s">
        <v>70</v>
      </c>
    </row>
    <row r="2" spans="1:17" ht="15" thickBot="1" x14ac:dyDescent="0.25">
      <c r="A2" s="68"/>
      <c r="B2" s="69"/>
      <c r="C2" s="69"/>
      <c r="D2" s="69"/>
      <c r="E2" s="69"/>
      <c r="F2" s="69"/>
      <c r="G2" s="70"/>
    </row>
    <row r="3" spans="1:17" ht="15.75" thickBot="1" x14ac:dyDescent="0.25">
      <c r="A3" s="151" t="s">
        <v>63</v>
      </c>
      <c r="B3" s="151"/>
      <c r="C3" s="156" t="s">
        <v>27</v>
      </c>
      <c r="D3" s="156"/>
      <c r="E3" s="156"/>
      <c r="F3" s="156"/>
      <c r="G3" s="156"/>
    </row>
    <row r="4" spans="1:17" ht="15.75" thickBot="1" x14ac:dyDescent="0.25">
      <c r="A4" s="151" t="s">
        <v>28</v>
      </c>
      <c r="B4" s="151"/>
      <c r="C4" s="157" t="s">
        <v>29</v>
      </c>
      <c r="D4" s="157"/>
      <c r="E4" s="157"/>
      <c r="F4" s="157"/>
      <c r="G4" s="157"/>
    </row>
    <row r="5" spans="1:17" ht="15.75" thickBot="1" x14ac:dyDescent="0.25">
      <c r="A5" s="151" t="s">
        <v>30</v>
      </c>
      <c r="B5" s="151"/>
      <c r="C5" s="152" t="s">
        <v>31</v>
      </c>
      <c r="D5" s="152"/>
      <c r="E5" s="152"/>
      <c r="F5" s="152"/>
      <c r="G5" s="152"/>
    </row>
    <row r="6" spans="1:17" ht="15.75" thickBot="1" x14ac:dyDescent="0.25">
      <c r="A6" s="151" t="s">
        <v>32</v>
      </c>
      <c r="B6" s="151"/>
      <c r="C6" s="162" t="s">
        <v>31</v>
      </c>
      <c r="D6" s="162"/>
      <c r="E6" s="162"/>
      <c r="F6" s="162"/>
      <c r="G6" s="162"/>
    </row>
    <row r="7" spans="1:17" ht="15.75" thickBot="1" x14ac:dyDescent="0.25">
      <c r="A7" s="151" t="s">
        <v>64</v>
      </c>
      <c r="B7" s="151"/>
      <c r="C7" s="156" t="s">
        <v>65</v>
      </c>
      <c r="D7" s="156"/>
      <c r="E7" s="156"/>
      <c r="F7" s="156"/>
      <c r="G7" s="156"/>
    </row>
    <row r="8" spans="1:17" ht="15.75" thickBot="1" x14ac:dyDescent="0.25">
      <c r="A8" s="151" t="s">
        <v>66</v>
      </c>
      <c r="B8" s="151"/>
      <c r="C8" s="163" t="s">
        <v>67</v>
      </c>
      <c r="D8" s="163"/>
      <c r="E8" s="163"/>
      <c r="F8" s="163"/>
      <c r="G8" s="163"/>
    </row>
    <row r="9" spans="1:17" ht="15.75" thickBot="1" x14ac:dyDescent="0.25">
      <c r="A9" s="158"/>
      <c r="B9" s="159"/>
      <c r="C9" s="159"/>
      <c r="D9" s="159"/>
      <c r="E9" s="159"/>
      <c r="F9" s="159"/>
      <c r="G9" s="160"/>
    </row>
    <row r="10" spans="1:17" ht="43.5" thickBot="1" x14ac:dyDescent="0.25">
      <c r="A10" s="71" t="s">
        <v>5</v>
      </c>
      <c r="B10" s="72" t="s">
        <v>6</v>
      </c>
      <c r="C10" s="71" t="s">
        <v>9</v>
      </c>
      <c r="D10" s="73" t="s">
        <v>68</v>
      </c>
      <c r="E10" s="71" t="s">
        <v>10</v>
      </c>
      <c r="F10" s="71" t="s">
        <v>12</v>
      </c>
      <c r="G10" s="71" t="s">
        <v>11</v>
      </c>
      <c r="J10" s="83"/>
      <c r="K10" s="83"/>
      <c r="L10" s="83"/>
    </row>
    <row r="11" spans="1:17" ht="25.5" x14ac:dyDescent="0.25">
      <c r="A11" s="74">
        <v>1</v>
      </c>
      <c r="B11" s="75" t="s">
        <v>84</v>
      </c>
      <c r="C11" s="63" t="s">
        <v>85</v>
      </c>
      <c r="D11" s="76" t="s">
        <v>69</v>
      </c>
      <c r="E11" s="64" t="s">
        <v>61</v>
      </c>
      <c r="F11" s="65">
        <v>48000</v>
      </c>
      <c r="G11" s="64">
        <v>9</v>
      </c>
      <c r="H11" s="77">
        <f>F11*G11</f>
        <v>432000</v>
      </c>
      <c r="I11" s="78"/>
      <c r="M11" s="83"/>
      <c r="P11" s="29"/>
      <c r="Q11" s="29"/>
    </row>
    <row r="12" spans="1:17" ht="25.5" x14ac:dyDescent="0.25">
      <c r="A12" s="74">
        <v>2</v>
      </c>
      <c r="B12" s="62" t="s">
        <v>57</v>
      </c>
      <c r="C12" s="63" t="s">
        <v>60</v>
      </c>
      <c r="D12" s="76" t="s">
        <v>69</v>
      </c>
      <c r="E12" s="64" t="s">
        <v>61</v>
      </c>
      <c r="F12" s="65">
        <v>18000</v>
      </c>
      <c r="G12" s="64">
        <v>9</v>
      </c>
      <c r="H12" s="77">
        <f t="shared" ref="H12:H13" si="0">F12*G12</f>
        <v>162000</v>
      </c>
      <c r="I12" s="78"/>
      <c r="L12" s="29"/>
      <c r="M12" s="83"/>
      <c r="P12" s="29"/>
      <c r="Q12" s="29"/>
    </row>
    <row r="13" spans="1:17" ht="38.25" x14ac:dyDescent="0.25">
      <c r="A13" s="74">
        <v>3</v>
      </c>
      <c r="B13" s="94" t="s">
        <v>83</v>
      </c>
      <c r="C13" s="79" t="s">
        <v>81</v>
      </c>
      <c r="D13" s="76" t="s">
        <v>69</v>
      </c>
      <c r="E13" s="64" t="s">
        <v>61</v>
      </c>
      <c r="F13" s="80">
        <v>61000</v>
      </c>
      <c r="G13" s="81">
        <v>8</v>
      </c>
      <c r="H13" s="77">
        <f t="shared" si="0"/>
        <v>488000</v>
      </c>
      <c r="I13" s="78"/>
      <c r="L13" s="29"/>
      <c r="M13" s="83"/>
      <c r="P13" s="29"/>
      <c r="Q13" s="29"/>
    </row>
    <row r="14" spans="1:17" ht="15" x14ac:dyDescent="0.2">
      <c r="A14" s="161" t="s">
        <v>71</v>
      </c>
      <c r="B14" s="161"/>
      <c r="C14" s="161"/>
      <c r="D14" s="161"/>
      <c r="E14" s="161"/>
      <c r="F14" s="161"/>
      <c r="G14" s="82">
        <f>SUM(H11:H13)</f>
        <v>1082000</v>
      </c>
      <c r="K14" s="84"/>
      <c r="L14" s="85"/>
    </row>
  </sheetData>
  <mergeCells count="15">
    <mergeCell ref="A9:G9"/>
    <mergeCell ref="A14:F14"/>
    <mergeCell ref="A6:B6"/>
    <mergeCell ref="C6:G6"/>
    <mergeCell ref="A7:B7"/>
    <mergeCell ref="C7:G7"/>
    <mergeCell ref="A8:B8"/>
    <mergeCell ref="C8:G8"/>
    <mergeCell ref="A5:B5"/>
    <mergeCell ref="C5:G5"/>
    <mergeCell ref="A1:F1"/>
    <mergeCell ref="A3:B3"/>
    <mergeCell ref="C3:G3"/>
    <mergeCell ref="A4:B4"/>
    <mergeCell ref="C4:G4"/>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Necesidades Trimestrales_Trim 4</vt:lpstr>
      <vt:lpstr>APG</vt:lpstr>
      <vt:lpstr>NOTA PEDIDO</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2021-09-22T12:58:31Z</cp:lastPrinted>
  <dcterms:created xsi:type="dcterms:W3CDTF">2020-07-17T23:44:49Z</dcterms:created>
  <dcterms:modified xsi:type="dcterms:W3CDTF">2021-10-19T13:27:22Z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