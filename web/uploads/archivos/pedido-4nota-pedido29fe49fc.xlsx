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Trimestrales'!$A$9:$I$47</definedName>
    <definedName name="_xlnm.Print_Area" localSheetId="1">' NotaPedido'!$A$1:$K$50</definedName>
    <definedName name="_xlnm.Print_Area" localSheetId="2">'Autor Gastar'!$A$1:$Q$25</definedName>
    <definedName name="_xlnm.Print_Area" localSheetId="0">'Necesidades Trimestrales'!$E$9:$E$47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K26" i="2" l="1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30" i="1" l="1"/>
  <c r="I31" i="1"/>
  <c r="K21" i="2" l="1"/>
  <c r="K22" i="2"/>
  <c r="K23" i="2"/>
  <c r="K24" i="2"/>
  <c r="K25" i="2"/>
  <c r="J21" i="2"/>
  <c r="J22" i="2"/>
  <c r="J23" i="2"/>
  <c r="J24" i="2"/>
  <c r="J25" i="2"/>
  <c r="J26" i="2"/>
  <c r="J27" i="2"/>
  <c r="J28" i="2"/>
  <c r="J29" i="2"/>
  <c r="J30" i="2"/>
  <c r="I21" i="2"/>
  <c r="I22" i="2"/>
  <c r="I23" i="2"/>
  <c r="I24" i="2"/>
  <c r="I25" i="2"/>
  <c r="I26" i="2"/>
  <c r="I27" i="2"/>
  <c r="I28" i="2"/>
  <c r="I29" i="2"/>
  <c r="I19" i="1"/>
  <c r="I20" i="1"/>
  <c r="I21" i="1"/>
  <c r="I22" i="1"/>
  <c r="I23" i="1"/>
  <c r="I24" i="1"/>
  <c r="I25" i="1"/>
  <c r="I26" i="1"/>
  <c r="I27" i="1"/>
  <c r="I28" i="1"/>
  <c r="I29" i="1"/>
  <c r="I12" i="2" l="1"/>
  <c r="I13" i="2"/>
  <c r="I14" i="2"/>
  <c r="I15" i="2"/>
  <c r="I16" i="2"/>
  <c r="I17" i="2"/>
  <c r="I18" i="2"/>
  <c r="I19" i="2"/>
  <c r="I20" i="2"/>
  <c r="K12" i="2"/>
  <c r="K13" i="2"/>
  <c r="K14" i="2"/>
  <c r="K15" i="2"/>
  <c r="K16" i="2"/>
  <c r="K17" i="2"/>
  <c r="K18" i="2"/>
  <c r="K19" i="2"/>
  <c r="K20" i="2"/>
  <c r="J12" i="2"/>
  <c r="J13" i="2"/>
  <c r="J14" i="2"/>
  <c r="J15" i="2"/>
  <c r="J16" i="2"/>
  <c r="J17" i="2"/>
  <c r="J18" i="2"/>
  <c r="J19" i="2"/>
  <c r="J20" i="2"/>
  <c r="I10" i="1"/>
  <c r="I11" i="1"/>
  <c r="I12" i="1"/>
  <c r="I13" i="1"/>
  <c r="I14" i="1"/>
  <c r="I15" i="1"/>
  <c r="I16" i="1"/>
  <c r="I17" i="1"/>
  <c r="I18" i="1"/>
  <c r="J50" i="2" l="1"/>
  <c r="A10" i="3"/>
  <c r="G6" i="3" l="1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<sst xmlns="http://schemas.openxmlformats.org/spreadsheetml/2006/main" count="227" uniqueCount="109">
  <si>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</si>
  <si>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</si>
  <si>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</si>
  <si>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</si>
  <si>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</si>
  <si>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</si>
  <si>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</si>
  <si>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</si>
  <si>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</si>
  <si>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</si>
  <si>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</si>
  <si>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</si>
  <si>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</si>
  <si>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</si>
  <si>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</si>
  <si>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</si>
  <si>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</si>
  <si>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</si>
  <si>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</si>
  <si>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</si>
  <si>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</si>
  <si>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</si>
  <si>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</si>
  <si>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</si>
  <si>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</si>
  <si>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</si>
  <si>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</si>
  <si>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</si>
  <si>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</si>
  <si>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</si>
  <si>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</si>
  <si>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</si>
  <si>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</si>
  <si>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</si>
  <si>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</si>
  <si>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</si>
  <si>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</si>
  <si>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</si>
  <si>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</si>
  <si>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</si>
  <si>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</si>
  <si>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</si>
  <si>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</si>
  <si>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</si>
  <si>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</si>
  <si>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</si>
  <si>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</si>
  <si>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</si>
  <si>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</si>
  <si>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</si>
  <si>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</si>
  <si>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</si>
  <si>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</si>
  <si>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</si>
  <si>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</si>
  <si>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</si>
  <si>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Servicio de Farmacia</t>
  </si>
  <si>
    <t>PROD. MEDICO/ FARMACEUTICOS/LAB</t>
  </si>
  <si>
    <t>UNIDAD</t>
  </si>
  <si>
    <t>UTILES MENORES MEDICO, QUIRURGICO Y DE LABORATORIO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</si>
  <si>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</si>
  <si>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</si>
  <si>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CAJA</t>
  </si>
  <si>
    <r>
      <t>Mantenimiento de Oferta</t>
    </r>
    <r>
      <rPr>
        <sz val="10"/>
        <rFont val="Times New Roman"/>
        <family val="1"/>
      </rPr>
      <t xml:space="preserve">: 45 dias habiles </t>
    </r>
  </si>
  <si>
    <t>Descartable Comun</t>
  </si>
  <si>
    <t>Anual</t>
  </si>
  <si>
    <t>Para la adquisición de Descartable Comun destinados al Servicio de Farmacia del Hospital Interzonal de Niños Eva Peron, para el normal funcionamiento del organismo.</t>
  </si>
  <si>
    <t>AGUJA PERICRANEAL TIPO BUTERFLY N 19</t>
  </si>
  <si>
    <t>AGUJA PERICRANEAL TIPO BUTERFLY N 21</t>
  </si>
  <si>
    <t>AGUJA PERICRANEAL TIPO BUTERFLY N 23</t>
  </si>
  <si>
    <t>AGUJA PERICRANEAL TIPO BUTERFLY N 25</t>
  </si>
  <si>
    <t>AGUJA PERICRANEAL TIPO BUTERFLY N 27</t>
  </si>
  <si>
    <t>APOSITO ADHESIVO TRANSPARENTE 10 X 12 TIPO TEGADERM</t>
  </si>
  <si>
    <t>APOSITO ADHESIVO TRANSPARENTE 6 X 7 TIPO TEGADERM</t>
  </si>
  <si>
    <t>BOLSA COL.P/DRENAJE AMBUL X 500 ML  TIPO FORLANO 2002</t>
  </si>
  <si>
    <t xml:space="preserve">BOLSA COLECTORA DE ORINA x 2000 ml TIPO FORLANO 2000 A </t>
  </si>
  <si>
    <t>CATETER INTRAVENOSO Nº 14 TIPO HOSPIRA/BD</t>
  </si>
  <si>
    <t>CATETER INTRAVENOSO Nº 16 TIPO HOSPIRA/BD</t>
  </si>
  <si>
    <t>CATETER INTRAVENOSO Nº 18 TIPO HOSPIRA/BD</t>
  </si>
  <si>
    <t>CATETER INTRAVENOSO Nº 20 TIPO HOSPIRA/BD</t>
  </si>
  <si>
    <t>CATETER INTRAVENOSO Nº 22 TIPO HOSPIRA/BD</t>
  </si>
  <si>
    <t>CATETER INTRAVENOSO Nº 24 TIPO HOSPIRA/BD</t>
  </si>
  <si>
    <t>EQ.P/ADM.FRACC.SANG.C/MACRO Y FIL.V-104 T/VERSASET</t>
  </si>
  <si>
    <t>EQUIPO PARA ADMINISTRACION DE SOLUCIONES  MACROGOTERO TIPO V-14 CON ROLLER</t>
  </si>
  <si>
    <t>EQUIPO PARA ADMINISTRACION DE SOLUCIONES MICROGOTERO TIPO V-17 CON ROLLER</t>
  </si>
  <si>
    <t>EQUIPO PARA SOLUCIONES FOTOSENCIBLES CON MACROGOTERO Y AGUJA</t>
  </si>
  <si>
    <t>EQUIPO PARA SOLUCIONES FOTOSENCIBLES CON MICROGOTERO Y AGUJA</t>
  </si>
  <si>
    <t>GUIA PARA BOMBA TIPO SET PRIMARIO PLUM HOSPIRA</t>
  </si>
  <si>
    <t>LLAVE DE TRES VIAS</t>
  </si>
  <si>
    <t>SONDA FOLEY 2VIAS 100 % SILICONA  Nº6</t>
  </si>
  <si>
    <t>SONDA FOLEY 2VIAS 100 % SILICONA .Nº 8</t>
  </si>
  <si>
    <t>SONDA FOLEY 2VIAS 100 % SILICONA .Nº12</t>
  </si>
  <si>
    <t>SONDA FOLEY 2VIAS 100 % SILICONA Nº10</t>
  </si>
  <si>
    <t>SONDA FOLEY DOBLE VIA DE LATEX RECUBIERTA CON SILICONA  Nº 14</t>
  </si>
  <si>
    <t>SONDA FOLEY DOBLE VIA DE LATEX RECUBIERTA CON SILICONA  Nº 16</t>
  </si>
  <si>
    <t>SONDA NASOGASTRICA  K30</t>
  </si>
  <si>
    <t>SONDA NASOGASTRICA  K31</t>
  </si>
  <si>
    <t>SONDA NASOGASTRICA K 33</t>
  </si>
  <si>
    <t>SONDA NASOGASTRICA K 35</t>
  </si>
  <si>
    <t>SONDA NELATON DE GOMA Nº  8</t>
  </si>
  <si>
    <t>SONDA NELATON DE GOMA Nº 10</t>
  </si>
  <si>
    <t>SONDA NELATON DE GOMA Nº 14</t>
  </si>
  <si>
    <t>SONDA PARA INTUBACION GASTRICA K 9</t>
  </si>
  <si>
    <t>SONDA PARA INTUBACION GASTRICA K11</t>
  </si>
  <si>
    <t>TAPON INTERMITENTE SISTEMA CERRADO CON ROSCA LUER LOCK</t>
  </si>
  <si>
    <t>Costo total estimado: Seis Millones Ochocientos Sesenta y Tres Mil Trescientos Con 00/100.</t>
  </si>
  <si>
    <t>010/2022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</si>
  <si>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</si>
  <si>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TOTAL DE PESOS: SEIS MILLONES OCHOCIENTOS SESENTA Y TRES MIL TRESCIENTOS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</si>
</sst>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[$$-2C0A]#,##0.00"/>
    <numFmt numFmtId="171" formatCode="_-&quot;$&quot;\ * #,##0.00_-;\-&quot;$&quot;\ * #,##0.00_-;_-&quot;$&quot;\ * &quot;-&quot;??_-;_-@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00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4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0" fillId="0" borderId="53" xfId="0" applyBorder="1"/>
    <xf numFmtId="0" fontId="23" fillId="0" borderId="54" xfId="0" applyFont="1" applyBorder="1" applyAlignment="1">
      <alignment horizontal="center" vertical="center"/>
    </xf>
    <xf numFmtId="0" fontId="17" fillId="0" borderId="53" xfId="0" applyFont="1" applyBorder="1" applyAlignment="1">
      <alignment wrapText="1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left" vertical="center"/>
    </xf>
    <xf numFmtId="0" fontId="25" fillId="0" borderId="2" xfId="0" applyFont="1" applyBorder="1" applyAlignment="1">
      <alignment horizontal="left" indent="3"/>
    </xf>
    <xf numFmtId="0" fontId="25" fillId="0" borderId="7" xfId="0" applyFont="1" applyBorder="1" applyAlignment="1"/>
    <xf numFmtId="0" fontId="18" fillId="0" borderId="8" xfId="0" applyFont="1" applyBorder="1" applyAlignment="1">
      <alignment horizontal="center" wrapText="1"/>
    </xf>
    <xf numFmtId="0" fontId="18" fillId="0" borderId="8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0" fillId="5" borderId="57" xfId="0" applyFont="1" applyFill="1" applyBorder="1" applyAlignment="1">
      <alignment horizontal="center" vertical="center" wrapText="1"/>
    </xf>
    <xf numFmtId="0" fontId="0" fillId="5" borderId="57" xfId="0" applyFont="1" applyFill="1" applyBorder="1" applyAlignment="1">
      <alignment vertical="center"/>
    </xf>
    <xf numFmtId="0" fontId="17" fillId="5" borderId="57" xfId="0" applyFont="1" applyFill="1" applyBorder="1" applyAlignment="1">
      <alignment horizontal="center" vertical="center" wrapText="1"/>
    </xf>
    <xf numFmtId="3" fontId="17" fillId="5" borderId="57" xfId="0" applyNumberFormat="1" applyFont="1" applyFill="1" applyBorder="1" applyAlignment="1">
      <alignment horizontal="center" vertical="center"/>
    </xf>
    <xf numFmtId="171" fontId="17" fillId="5" borderId="57" xfId="0" applyNumberFormat="1" applyFont="1" applyFill="1" applyBorder="1" applyAlignment="1">
      <alignment horizontal="center"/>
    </xf>
    <xf numFmtId="0" fontId="0" fillId="5" borderId="57" xfId="0" applyFont="1" applyFill="1" applyBorder="1" applyAlignment="1">
      <alignment horizontal="left" vertical="center"/>
    </xf>
    <xf numFmtId="0" fontId="0" fillId="5" borderId="57" xfId="0" applyFont="1" applyFill="1" applyBorder="1" applyAlignment="1">
      <alignment vertical="center" wrapText="1"/>
    </xf>
    <xf numFmtId="171" fontId="17" fillId="5" borderId="57" xfId="0" applyNumberFormat="1" applyFont="1" applyFill="1" applyBorder="1" applyAlignment="1">
      <alignment horizontal="center" vertical="center"/>
    </xf>
    <xf numFmtId="0" fontId="0" fillId="5" borderId="57" xfId="0" applyFont="1" applyFill="1" applyBorder="1"/>
    <xf numFmtId="0" fontId="29" fillId="6" borderId="57" xfId="0" applyFont="1" applyFill="1" applyBorder="1" applyAlignment="1">
      <alignment horizontal="center" vertical="center" wrapText="1"/>
    </xf>
    <xf numFmtId="0" fontId="29" fillId="6" borderId="57" xfId="0" applyFont="1" applyFill="1" applyBorder="1" applyAlignment="1">
      <alignment vertical="center" wrapText="1"/>
    </xf>
    <xf numFmtId="3" fontId="29" fillId="6" borderId="57" xfId="0" applyNumberFormat="1" applyFont="1" applyFill="1" applyBorder="1" applyAlignment="1">
      <alignment horizontal="center" vertical="center"/>
    </xf>
    <xf numFmtId="171" fontId="29" fillId="6" borderId="57" xfId="0" applyNumberFormat="1" applyFont="1" applyFill="1" applyBorder="1" applyAlignment="1">
      <alignment horizontal="center"/>
    </xf>
    <xf numFmtId="170" fontId="18" fillId="0" borderId="0" xfId="0" applyNumberFormat="1" applyFont="1"/>
    <xf numFmtId="0" fontId="20" fillId="0" borderId="0" xfId="0" applyFont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7" fillId="3" borderId="5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0" fontId="10" fillId="3" borderId="15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167" fontId="10" fillId="3" borderId="14" xfId="0" applyNumberFormat="1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14" fillId="0" borderId="11" xfId="0" applyFont="1" applyBorder="1" applyAlignment="1">
      <alignment horizontal="left" indent="1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28" fillId="0" borderId="28" xfId="0" applyFont="1" applyFill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4" borderId="36" xfId="0" applyFont="1" applyFill="1" applyBorder="1" applyAlignment="1">
      <alignment horizontal="left" vertical="center" wrapText="1" indent="1"/>
    </xf>
    <xf numFmtId="0" fontId="17" fillId="0" borderId="58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  <cellStyle name="Normal 4" xfId="8"/>
  </cellStyles>
  <dxfs count="1">
    <dxf>
      <fill>
        <patternFill patternType="solid">
          <fgColor rgb="FFC6D9F0"/>
          <bgColor rgb="FFC6D9F0"/>
        </patternFill>
      </fill>
      <border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4"/>
  <sheetViews>
    <sheetView tabSelected="1" topLeftCell="A4" zoomScale="93" zoomScaleNormal="93" workbookViewId="0">
      <selection activeCell="E11" sqref="E11"/>
    </sheetView>
  </sheetViews>
  <sheetFormatPr baseColWidth="10" defaultColWidth="11" defaultRowHeight="12.75" x14ac:dyDescent="0.2"/>
  <cols>
    <col min="1" max="1" width="6.42578125" style="26" customWidth="1"/>
    <col min="2" max="2" width="11.42578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85546875" style="26" customWidth="1"/>
    <col min="8" max="8" width="13.85546875" style="45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2" ht="27" x14ac:dyDescent="0.35">
      <c r="B2" s="95" t="s">
        <v>0</v>
      </c>
      <c r="C2" s="95"/>
      <c r="D2" s="95"/>
      <c r="E2" s="95"/>
      <c r="F2" s="95"/>
      <c r="G2" s="95"/>
      <c r="H2" s="95"/>
    </row>
    <row r="3" spans="1:12" ht="12" customHeight="1" x14ac:dyDescent="0.2"/>
    <row r="4" spans="1:12" ht="18" customHeight="1" x14ac:dyDescent="0.25">
      <c r="A4" s="91" t="s">
        <v>1</v>
      </c>
      <c r="B4" s="91"/>
      <c r="C4" s="96" t="s">
        <v>52</v>
      </c>
      <c r="D4" s="96"/>
      <c r="E4" s="96"/>
      <c r="F4" s="27"/>
      <c r="G4" s="28"/>
      <c r="H4" s="46"/>
    </row>
    <row r="5" spans="1:12" ht="18" customHeight="1" x14ac:dyDescent="0.25">
      <c r="A5" s="91" t="s">
        <v>2</v>
      </c>
      <c r="B5" s="91"/>
      <c r="C5" s="96" t="s">
        <v>51</v>
      </c>
      <c r="D5" s="96"/>
      <c r="E5" s="96"/>
      <c r="F5" s="27"/>
      <c r="G5" s="28" t="s">
        <v>55</v>
      </c>
      <c r="H5" s="46"/>
    </row>
    <row r="6" spans="1:12" ht="16.5" customHeight="1" x14ac:dyDescent="0.25">
      <c r="A6" s="91" t="s">
        <v>3</v>
      </c>
      <c r="B6" s="91"/>
      <c r="C6" s="42">
        <v>2022</v>
      </c>
      <c r="D6" s="43"/>
      <c r="E6" s="43"/>
      <c r="F6" s="27"/>
      <c r="G6" s="28"/>
      <c r="H6" s="46"/>
    </row>
    <row r="7" spans="1:12" ht="16.5" customHeight="1" x14ac:dyDescent="0.25">
      <c r="A7" s="91" t="s">
        <v>4</v>
      </c>
      <c r="B7" s="91"/>
      <c r="C7" s="42">
        <v>1</v>
      </c>
      <c r="D7" s="43"/>
      <c r="E7" s="43"/>
      <c r="F7" s="27"/>
      <c r="G7" s="28"/>
      <c r="H7" s="46"/>
    </row>
    <row r="8" spans="1:12" ht="13.5" thickBot="1" x14ac:dyDescent="0.25">
      <c r="B8" s="27"/>
      <c r="C8" s="28"/>
      <c r="D8" s="27"/>
      <c r="E8" s="27"/>
      <c r="F8" s="27"/>
      <c r="G8" s="28"/>
      <c r="H8" s="46"/>
      <c r="J8" s="44"/>
    </row>
    <row r="9" spans="1:12" ht="36.75" thickBot="1" x14ac:dyDescent="0.25">
      <c r="A9" s="69" t="s">
        <v>5</v>
      </c>
      <c r="B9" s="69" t="s">
        <v>6</v>
      </c>
      <c r="C9" s="69" t="s">
        <v>7</v>
      </c>
      <c r="D9" s="69" t="s">
        <v>8</v>
      </c>
      <c r="E9" s="69" t="s">
        <v>9</v>
      </c>
      <c r="F9" s="69" t="s">
        <v>10</v>
      </c>
      <c r="G9" s="69" t="s">
        <v>11</v>
      </c>
      <c r="H9" s="70" t="s">
        <v>12</v>
      </c>
      <c r="I9" s="69" t="s">
        <v>13</v>
      </c>
    </row>
    <row r="10" spans="1:12" ht="25.5" x14ac:dyDescent="0.2">
      <c r="A10" s="60">
        <v>1</v>
      </c>
      <c r="B10" s="59"/>
      <c r="C10" s="61" t="s">
        <v>57</v>
      </c>
      <c r="D10" s="77">
        <v>295</v>
      </c>
      <c r="E10" s="78" t="s">
        <v>67</v>
      </c>
      <c r="F10" s="79" t="s">
        <v>58</v>
      </c>
      <c r="G10" s="80">
        <v>200</v>
      </c>
      <c r="H10" s="81">
        <v>11</v>
      </c>
      <c r="I10" s="62">
        <f t="shared" ref="I10:I47" si="0">+G10*H10</f>
        <v>2200</v>
      </c>
      <c r="L10" s="33"/>
    </row>
    <row r="11" spans="1:12" ht="25.5" x14ac:dyDescent="0.2">
      <c r="A11" s="60">
        <v>2</v>
      </c>
      <c r="B11" s="59"/>
      <c r="C11" s="61" t="s">
        <v>57</v>
      </c>
      <c r="D11" s="77">
        <v>295</v>
      </c>
      <c r="E11" s="78" t="s">
        <v>68</v>
      </c>
      <c r="F11" s="79" t="s">
        <v>58</v>
      </c>
      <c r="G11" s="80">
        <v>200</v>
      </c>
      <c r="H11" s="81">
        <v>11</v>
      </c>
      <c r="I11" s="62">
        <f t="shared" si="0"/>
        <v>2200</v>
      </c>
      <c r="L11" s="33"/>
    </row>
    <row r="12" spans="1:12" ht="25.5" x14ac:dyDescent="0.2">
      <c r="A12" s="60">
        <v>3</v>
      </c>
      <c r="B12" s="59"/>
      <c r="C12" s="61" t="s">
        <v>57</v>
      </c>
      <c r="D12" s="77">
        <v>295</v>
      </c>
      <c r="E12" s="82" t="s">
        <v>69</v>
      </c>
      <c r="F12" s="79" t="s">
        <v>58</v>
      </c>
      <c r="G12" s="80">
        <v>300</v>
      </c>
      <c r="H12" s="81">
        <v>11</v>
      </c>
      <c r="I12" s="62">
        <f t="shared" si="0"/>
        <v>3300</v>
      </c>
      <c r="L12" s="90"/>
    </row>
    <row r="13" spans="1:12" ht="25.5" x14ac:dyDescent="0.2">
      <c r="A13" s="60">
        <v>4</v>
      </c>
      <c r="B13" s="59"/>
      <c r="C13" s="61" t="s">
        <v>57</v>
      </c>
      <c r="D13" s="77">
        <v>295</v>
      </c>
      <c r="E13" s="78" t="s">
        <v>70</v>
      </c>
      <c r="F13" s="79" t="s">
        <v>58</v>
      </c>
      <c r="G13" s="80">
        <v>300</v>
      </c>
      <c r="H13" s="81">
        <v>11</v>
      </c>
      <c r="I13" s="62">
        <f t="shared" si="0"/>
        <v>3300</v>
      </c>
      <c r="L13" s="90"/>
    </row>
    <row r="14" spans="1:12" ht="25.5" x14ac:dyDescent="0.2">
      <c r="A14" s="60">
        <v>5</v>
      </c>
      <c r="B14" s="59"/>
      <c r="C14" s="61" t="s">
        <v>57</v>
      </c>
      <c r="D14" s="77">
        <v>295</v>
      </c>
      <c r="E14" s="82" t="s">
        <v>71</v>
      </c>
      <c r="F14" s="79" t="s">
        <v>58</v>
      </c>
      <c r="G14" s="80">
        <v>200</v>
      </c>
      <c r="H14" s="81">
        <v>11</v>
      </c>
      <c r="I14" s="62">
        <f t="shared" si="0"/>
        <v>2200</v>
      </c>
      <c r="L14" s="33"/>
    </row>
    <row r="15" spans="1:12" ht="25.5" x14ac:dyDescent="0.2">
      <c r="A15" s="60">
        <v>6</v>
      </c>
      <c r="B15" s="59"/>
      <c r="C15" s="61" t="s">
        <v>57</v>
      </c>
      <c r="D15" s="77">
        <v>295</v>
      </c>
      <c r="E15" s="78" t="s">
        <v>72</v>
      </c>
      <c r="F15" s="79" t="s">
        <v>62</v>
      </c>
      <c r="G15" s="80">
        <v>4000</v>
      </c>
      <c r="H15" s="81">
        <v>74</v>
      </c>
      <c r="I15" s="62">
        <f t="shared" si="0"/>
        <v>296000</v>
      </c>
    </row>
    <row r="16" spans="1:12" ht="25.5" x14ac:dyDescent="0.2">
      <c r="A16" s="60">
        <v>7</v>
      </c>
      <c r="B16" s="59"/>
      <c r="C16" s="61" t="s">
        <v>57</v>
      </c>
      <c r="D16" s="77">
        <v>295</v>
      </c>
      <c r="E16" s="82" t="s">
        <v>73</v>
      </c>
      <c r="F16" s="79" t="s">
        <v>62</v>
      </c>
      <c r="G16" s="80">
        <v>4000</v>
      </c>
      <c r="H16" s="81">
        <v>37</v>
      </c>
      <c r="I16" s="62">
        <f t="shared" si="0"/>
        <v>148000</v>
      </c>
    </row>
    <row r="17" spans="1:9" ht="25.5" x14ac:dyDescent="0.2">
      <c r="A17" s="60">
        <v>8</v>
      </c>
      <c r="B17" s="59"/>
      <c r="C17" s="61" t="s">
        <v>57</v>
      </c>
      <c r="D17" s="77">
        <v>295</v>
      </c>
      <c r="E17" s="78" t="s">
        <v>74</v>
      </c>
      <c r="F17" s="79" t="s">
        <v>58</v>
      </c>
      <c r="G17" s="80">
        <v>50</v>
      </c>
      <c r="H17" s="81">
        <v>46</v>
      </c>
      <c r="I17" s="62">
        <f t="shared" si="0"/>
        <v>2300</v>
      </c>
    </row>
    <row r="18" spans="1:9" ht="25.5" x14ac:dyDescent="0.2">
      <c r="A18" s="60">
        <v>9</v>
      </c>
      <c r="B18" s="59"/>
      <c r="C18" s="61" t="s">
        <v>57</v>
      </c>
      <c r="D18" s="77">
        <v>295</v>
      </c>
      <c r="E18" s="78" t="s">
        <v>75</v>
      </c>
      <c r="F18" s="79" t="s">
        <v>58</v>
      </c>
      <c r="G18" s="80">
        <v>50</v>
      </c>
      <c r="H18" s="81">
        <v>48</v>
      </c>
      <c r="I18" s="62">
        <f t="shared" si="0"/>
        <v>2400</v>
      </c>
    </row>
    <row r="19" spans="1:9" ht="25.5" x14ac:dyDescent="0.2">
      <c r="A19" s="60">
        <v>10</v>
      </c>
      <c r="B19" s="59"/>
      <c r="C19" s="61" t="s">
        <v>57</v>
      </c>
      <c r="D19" s="77">
        <v>295</v>
      </c>
      <c r="E19" s="78" t="s">
        <v>76</v>
      </c>
      <c r="F19" s="79" t="s">
        <v>58</v>
      </c>
      <c r="G19" s="80">
        <v>400</v>
      </c>
      <c r="H19" s="81">
        <v>58</v>
      </c>
      <c r="I19" s="62">
        <f t="shared" si="0"/>
        <v>23200</v>
      </c>
    </row>
    <row r="20" spans="1:9" ht="25.5" x14ac:dyDescent="0.2">
      <c r="A20" s="60">
        <v>11</v>
      </c>
      <c r="B20" s="59"/>
      <c r="C20" s="61" t="s">
        <v>57</v>
      </c>
      <c r="D20" s="77">
        <v>295</v>
      </c>
      <c r="E20" s="78" t="s">
        <v>77</v>
      </c>
      <c r="F20" s="79" t="s">
        <v>58</v>
      </c>
      <c r="G20" s="80">
        <v>400</v>
      </c>
      <c r="H20" s="81">
        <v>58</v>
      </c>
      <c r="I20" s="62">
        <f t="shared" si="0"/>
        <v>23200</v>
      </c>
    </row>
    <row r="21" spans="1:9" ht="25.5" x14ac:dyDescent="0.2">
      <c r="A21" s="60">
        <v>12</v>
      </c>
      <c r="B21" s="59"/>
      <c r="C21" s="61" t="s">
        <v>57</v>
      </c>
      <c r="D21" s="77">
        <v>295</v>
      </c>
      <c r="E21" s="82" t="s">
        <v>78</v>
      </c>
      <c r="F21" s="79" t="s">
        <v>58</v>
      </c>
      <c r="G21" s="80">
        <v>400</v>
      </c>
      <c r="H21" s="81">
        <v>58</v>
      </c>
      <c r="I21" s="62">
        <f t="shared" si="0"/>
        <v>23200</v>
      </c>
    </row>
    <row r="22" spans="1:9" ht="25.5" x14ac:dyDescent="0.2">
      <c r="A22" s="60">
        <v>13</v>
      </c>
      <c r="B22" s="59"/>
      <c r="C22" s="61" t="s">
        <v>57</v>
      </c>
      <c r="D22" s="77">
        <v>295</v>
      </c>
      <c r="E22" s="78" t="s">
        <v>79</v>
      </c>
      <c r="F22" s="79" t="s">
        <v>58</v>
      </c>
      <c r="G22" s="80">
        <v>10000</v>
      </c>
      <c r="H22" s="81">
        <v>58</v>
      </c>
      <c r="I22" s="62">
        <f t="shared" si="0"/>
        <v>580000</v>
      </c>
    </row>
    <row r="23" spans="1:9" ht="25.5" x14ac:dyDescent="0.2">
      <c r="A23" s="60">
        <v>14</v>
      </c>
      <c r="B23" s="59"/>
      <c r="C23" s="61" t="s">
        <v>57</v>
      </c>
      <c r="D23" s="77">
        <v>295</v>
      </c>
      <c r="E23" s="78" t="s">
        <v>80</v>
      </c>
      <c r="F23" s="79" t="s">
        <v>58</v>
      </c>
      <c r="G23" s="80">
        <v>10000</v>
      </c>
      <c r="H23" s="81">
        <v>58</v>
      </c>
      <c r="I23" s="62">
        <f t="shared" si="0"/>
        <v>580000</v>
      </c>
    </row>
    <row r="24" spans="1:9" ht="25.5" x14ac:dyDescent="0.2">
      <c r="A24" s="60">
        <v>15</v>
      </c>
      <c r="B24" s="59"/>
      <c r="C24" s="61" t="s">
        <v>57</v>
      </c>
      <c r="D24" s="77">
        <v>295</v>
      </c>
      <c r="E24" s="78" t="s">
        <v>81</v>
      </c>
      <c r="F24" s="79" t="s">
        <v>58</v>
      </c>
      <c r="G24" s="80">
        <v>10000</v>
      </c>
      <c r="H24" s="81">
        <v>58</v>
      </c>
      <c r="I24" s="62">
        <f t="shared" si="0"/>
        <v>580000</v>
      </c>
    </row>
    <row r="25" spans="1:9" ht="25.5" x14ac:dyDescent="0.2">
      <c r="A25" s="60">
        <v>16</v>
      </c>
      <c r="B25" s="59"/>
      <c r="C25" s="61" t="s">
        <v>57</v>
      </c>
      <c r="D25" s="77">
        <v>295</v>
      </c>
      <c r="E25" s="78" t="s">
        <v>82</v>
      </c>
      <c r="F25" s="79" t="s">
        <v>58</v>
      </c>
      <c r="G25" s="80">
        <v>200</v>
      </c>
      <c r="H25" s="81">
        <v>1250</v>
      </c>
      <c r="I25" s="62">
        <f t="shared" si="0"/>
        <v>250000</v>
      </c>
    </row>
    <row r="26" spans="1:9" ht="25.5" x14ac:dyDescent="0.2">
      <c r="A26" s="60">
        <v>17</v>
      </c>
      <c r="B26" s="59"/>
      <c r="C26" s="61" t="s">
        <v>57</v>
      </c>
      <c r="D26" s="77">
        <v>295</v>
      </c>
      <c r="E26" s="83" t="s">
        <v>83</v>
      </c>
      <c r="F26" s="79" t="s">
        <v>58</v>
      </c>
      <c r="G26" s="80">
        <v>10000</v>
      </c>
      <c r="H26" s="81">
        <v>25</v>
      </c>
      <c r="I26" s="62">
        <f t="shared" si="0"/>
        <v>250000</v>
      </c>
    </row>
    <row r="27" spans="1:9" ht="25.5" x14ac:dyDescent="0.2">
      <c r="A27" s="60">
        <v>18</v>
      </c>
      <c r="B27" s="59"/>
      <c r="C27" s="61" t="s">
        <v>57</v>
      </c>
      <c r="D27" s="77">
        <v>295</v>
      </c>
      <c r="E27" s="83" t="s">
        <v>84</v>
      </c>
      <c r="F27" s="79" t="s">
        <v>58</v>
      </c>
      <c r="G27" s="80">
        <v>10000</v>
      </c>
      <c r="H27" s="81">
        <v>55</v>
      </c>
      <c r="I27" s="62">
        <f t="shared" si="0"/>
        <v>550000</v>
      </c>
    </row>
    <row r="28" spans="1:9" ht="25.5" x14ac:dyDescent="0.2">
      <c r="A28" s="60">
        <v>19</v>
      </c>
      <c r="B28" s="59"/>
      <c r="C28" s="61" t="s">
        <v>57</v>
      </c>
      <c r="D28" s="77">
        <v>295</v>
      </c>
      <c r="E28" s="83" t="s">
        <v>85</v>
      </c>
      <c r="F28" s="79" t="s">
        <v>58</v>
      </c>
      <c r="G28" s="80">
        <v>2000</v>
      </c>
      <c r="H28" s="81">
        <v>275</v>
      </c>
      <c r="I28" s="62">
        <f t="shared" si="0"/>
        <v>550000</v>
      </c>
    </row>
    <row r="29" spans="1:9" ht="25.5" x14ac:dyDescent="0.2">
      <c r="A29" s="60">
        <v>20</v>
      </c>
      <c r="B29" s="59"/>
      <c r="C29" s="61" t="s">
        <v>57</v>
      </c>
      <c r="D29" s="77">
        <v>295</v>
      </c>
      <c r="E29" s="83" t="s">
        <v>86</v>
      </c>
      <c r="F29" s="79" t="s">
        <v>58</v>
      </c>
      <c r="G29" s="80">
        <v>2000</v>
      </c>
      <c r="H29" s="81">
        <v>269.8</v>
      </c>
      <c r="I29" s="62">
        <f t="shared" si="0"/>
        <v>539600</v>
      </c>
    </row>
    <row r="30" spans="1:9" ht="25.5" x14ac:dyDescent="0.2">
      <c r="A30" s="60">
        <v>21</v>
      </c>
      <c r="B30" s="59"/>
      <c r="C30" s="61" t="s">
        <v>57</v>
      </c>
      <c r="D30" s="77">
        <v>295</v>
      </c>
      <c r="E30" s="78" t="s">
        <v>87</v>
      </c>
      <c r="F30" s="79" t="s">
        <v>58</v>
      </c>
      <c r="G30" s="80">
        <v>1200</v>
      </c>
      <c r="H30" s="81">
        <v>1068</v>
      </c>
      <c r="I30" s="62">
        <f t="shared" si="0"/>
        <v>1281600</v>
      </c>
    </row>
    <row r="31" spans="1:9" ht="25.5" x14ac:dyDescent="0.2">
      <c r="A31" s="60">
        <v>22</v>
      </c>
      <c r="B31" s="59"/>
      <c r="C31" s="61" t="s">
        <v>57</v>
      </c>
      <c r="D31" s="77">
        <v>295</v>
      </c>
      <c r="E31" s="78" t="s">
        <v>88</v>
      </c>
      <c r="F31" s="79" t="s">
        <v>58</v>
      </c>
      <c r="G31" s="80">
        <v>8000</v>
      </c>
      <c r="H31" s="81">
        <v>26</v>
      </c>
      <c r="I31" s="62">
        <f t="shared" si="0"/>
        <v>208000</v>
      </c>
    </row>
    <row r="32" spans="1:9" ht="25.5" x14ac:dyDescent="0.2">
      <c r="A32" s="60">
        <v>23</v>
      </c>
      <c r="B32" s="59"/>
      <c r="C32" s="61" t="s">
        <v>57</v>
      </c>
      <c r="D32" s="77">
        <v>295</v>
      </c>
      <c r="E32" s="78" t="s">
        <v>89</v>
      </c>
      <c r="F32" s="79" t="s">
        <v>58</v>
      </c>
      <c r="G32" s="80">
        <v>20</v>
      </c>
      <c r="H32" s="81">
        <v>350</v>
      </c>
      <c r="I32" s="62">
        <f t="shared" si="0"/>
        <v>7000</v>
      </c>
    </row>
    <row r="33" spans="1:9" ht="25.5" x14ac:dyDescent="0.2">
      <c r="A33" s="60">
        <v>24</v>
      </c>
      <c r="B33" s="59"/>
      <c r="C33" s="61" t="s">
        <v>57</v>
      </c>
      <c r="D33" s="77">
        <v>295</v>
      </c>
      <c r="E33" s="78" t="s">
        <v>90</v>
      </c>
      <c r="F33" s="79" t="s">
        <v>58</v>
      </c>
      <c r="G33" s="80">
        <v>20</v>
      </c>
      <c r="H33" s="81">
        <v>350</v>
      </c>
      <c r="I33" s="62">
        <f t="shared" si="0"/>
        <v>7000</v>
      </c>
    </row>
    <row r="34" spans="1:9" ht="25.5" x14ac:dyDescent="0.2">
      <c r="A34" s="60">
        <v>25</v>
      </c>
      <c r="B34" s="59"/>
      <c r="C34" s="61" t="s">
        <v>57</v>
      </c>
      <c r="D34" s="77">
        <v>295</v>
      </c>
      <c r="E34" s="78" t="s">
        <v>91</v>
      </c>
      <c r="F34" s="79" t="s">
        <v>58</v>
      </c>
      <c r="G34" s="80">
        <v>20</v>
      </c>
      <c r="H34" s="81">
        <v>350</v>
      </c>
      <c r="I34" s="62">
        <f t="shared" si="0"/>
        <v>7000</v>
      </c>
    </row>
    <row r="35" spans="1:9" ht="25.5" x14ac:dyDescent="0.2">
      <c r="A35" s="60">
        <v>26</v>
      </c>
      <c r="B35" s="59"/>
      <c r="C35" s="61" t="s">
        <v>57</v>
      </c>
      <c r="D35" s="77">
        <v>295</v>
      </c>
      <c r="E35" s="78" t="s">
        <v>92</v>
      </c>
      <c r="F35" s="79" t="s">
        <v>58</v>
      </c>
      <c r="G35" s="80">
        <v>20</v>
      </c>
      <c r="H35" s="81">
        <v>350</v>
      </c>
      <c r="I35" s="62">
        <f t="shared" si="0"/>
        <v>7000</v>
      </c>
    </row>
    <row r="36" spans="1:9" ht="25.5" x14ac:dyDescent="0.2">
      <c r="A36" s="60">
        <v>27</v>
      </c>
      <c r="B36" s="59"/>
      <c r="C36" s="61" t="s">
        <v>57</v>
      </c>
      <c r="D36" s="77">
        <v>295</v>
      </c>
      <c r="E36" s="83" t="s">
        <v>93</v>
      </c>
      <c r="F36" s="79" t="s">
        <v>58</v>
      </c>
      <c r="G36" s="80">
        <v>10</v>
      </c>
      <c r="H36" s="81">
        <v>110</v>
      </c>
      <c r="I36" s="62">
        <f t="shared" si="0"/>
        <v>1100</v>
      </c>
    </row>
    <row r="37" spans="1:9" ht="25.5" x14ac:dyDescent="0.2">
      <c r="A37" s="60">
        <v>28</v>
      </c>
      <c r="B37" s="59"/>
      <c r="C37" s="61" t="s">
        <v>57</v>
      </c>
      <c r="D37" s="77">
        <v>295</v>
      </c>
      <c r="E37" s="83" t="s">
        <v>94</v>
      </c>
      <c r="F37" s="79" t="s">
        <v>58</v>
      </c>
      <c r="G37" s="80">
        <v>10</v>
      </c>
      <c r="H37" s="81">
        <v>110</v>
      </c>
      <c r="I37" s="62">
        <f t="shared" si="0"/>
        <v>1100</v>
      </c>
    </row>
    <row r="38" spans="1:9" ht="25.5" x14ac:dyDescent="0.2">
      <c r="A38" s="60">
        <v>29</v>
      </c>
      <c r="B38" s="59"/>
      <c r="C38" s="61" t="s">
        <v>57</v>
      </c>
      <c r="D38" s="77">
        <v>295</v>
      </c>
      <c r="E38" s="78" t="s">
        <v>95</v>
      </c>
      <c r="F38" s="79" t="s">
        <v>58</v>
      </c>
      <c r="G38" s="80">
        <v>2000</v>
      </c>
      <c r="H38" s="81">
        <v>35</v>
      </c>
      <c r="I38" s="62">
        <f t="shared" si="0"/>
        <v>70000</v>
      </c>
    </row>
    <row r="39" spans="1:9" ht="25.5" x14ac:dyDescent="0.2">
      <c r="A39" s="60">
        <v>30</v>
      </c>
      <c r="B39" s="59"/>
      <c r="C39" s="61" t="s">
        <v>57</v>
      </c>
      <c r="D39" s="77">
        <v>295</v>
      </c>
      <c r="E39" s="78" t="s">
        <v>96</v>
      </c>
      <c r="F39" s="79" t="s">
        <v>58</v>
      </c>
      <c r="G39" s="80">
        <v>2000</v>
      </c>
      <c r="H39" s="81">
        <v>35</v>
      </c>
      <c r="I39" s="62">
        <f t="shared" si="0"/>
        <v>70000</v>
      </c>
    </row>
    <row r="40" spans="1:9" ht="25.5" x14ac:dyDescent="0.2">
      <c r="A40" s="60">
        <v>31</v>
      </c>
      <c r="B40" s="59"/>
      <c r="C40" s="61" t="s">
        <v>57</v>
      </c>
      <c r="D40" s="77">
        <v>295</v>
      </c>
      <c r="E40" s="78" t="s">
        <v>97</v>
      </c>
      <c r="F40" s="79" t="s">
        <v>58</v>
      </c>
      <c r="G40" s="80">
        <v>8000</v>
      </c>
      <c r="H40" s="81">
        <v>35</v>
      </c>
      <c r="I40" s="62">
        <f t="shared" si="0"/>
        <v>280000</v>
      </c>
    </row>
    <row r="41" spans="1:9" ht="25.5" x14ac:dyDescent="0.2">
      <c r="A41" s="60">
        <v>32</v>
      </c>
      <c r="B41" s="59"/>
      <c r="C41" s="61" t="s">
        <v>57</v>
      </c>
      <c r="D41" s="77">
        <v>295</v>
      </c>
      <c r="E41" s="78" t="s">
        <v>98</v>
      </c>
      <c r="F41" s="79" t="s">
        <v>58</v>
      </c>
      <c r="G41" s="80">
        <v>8000</v>
      </c>
      <c r="H41" s="81">
        <v>35</v>
      </c>
      <c r="I41" s="62">
        <f t="shared" si="0"/>
        <v>280000</v>
      </c>
    </row>
    <row r="42" spans="1:9" ht="25.5" x14ac:dyDescent="0.2">
      <c r="A42" s="60">
        <v>33</v>
      </c>
      <c r="B42" s="59"/>
      <c r="C42" s="61" t="s">
        <v>57</v>
      </c>
      <c r="D42" s="77">
        <v>295</v>
      </c>
      <c r="E42" s="83" t="s">
        <v>99</v>
      </c>
      <c r="F42" s="79" t="s">
        <v>58</v>
      </c>
      <c r="G42" s="80">
        <v>50</v>
      </c>
      <c r="H42" s="81">
        <v>88</v>
      </c>
      <c r="I42" s="62">
        <f t="shared" si="0"/>
        <v>4400</v>
      </c>
    </row>
    <row r="43" spans="1:9" ht="25.5" x14ac:dyDescent="0.2">
      <c r="A43" s="60">
        <v>34</v>
      </c>
      <c r="B43" s="59"/>
      <c r="C43" s="61" t="s">
        <v>57</v>
      </c>
      <c r="D43" s="86">
        <v>295</v>
      </c>
      <c r="E43" s="87" t="s">
        <v>100</v>
      </c>
      <c r="F43" s="86" t="s">
        <v>58</v>
      </c>
      <c r="G43" s="88">
        <v>50</v>
      </c>
      <c r="H43" s="89">
        <v>88</v>
      </c>
      <c r="I43" s="62">
        <f t="shared" si="0"/>
        <v>4400</v>
      </c>
    </row>
    <row r="44" spans="1:9" ht="25.5" x14ac:dyDescent="0.2">
      <c r="A44" s="60">
        <v>35</v>
      </c>
      <c r="B44" s="59"/>
      <c r="C44" s="61" t="s">
        <v>57</v>
      </c>
      <c r="D44" s="86">
        <v>295</v>
      </c>
      <c r="E44" s="87" t="s">
        <v>101</v>
      </c>
      <c r="F44" s="86" t="s">
        <v>58</v>
      </c>
      <c r="G44" s="88">
        <v>50</v>
      </c>
      <c r="H44" s="89">
        <v>88</v>
      </c>
      <c r="I44" s="62">
        <f t="shared" si="0"/>
        <v>4400</v>
      </c>
    </row>
    <row r="45" spans="1:9" ht="25.5" x14ac:dyDescent="0.2">
      <c r="A45" s="60">
        <v>36</v>
      </c>
      <c r="B45" s="59"/>
      <c r="C45" s="61" t="s">
        <v>57</v>
      </c>
      <c r="D45" s="77">
        <v>295</v>
      </c>
      <c r="E45" s="78" t="s">
        <v>102</v>
      </c>
      <c r="F45" s="79" t="s">
        <v>58</v>
      </c>
      <c r="G45" s="80">
        <v>200</v>
      </c>
      <c r="H45" s="84">
        <v>48</v>
      </c>
      <c r="I45" s="62">
        <f t="shared" si="0"/>
        <v>9600</v>
      </c>
    </row>
    <row r="46" spans="1:9" ht="25.5" x14ac:dyDescent="0.2">
      <c r="A46" s="60">
        <v>37</v>
      </c>
      <c r="B46" s="59"/>
      <c r="C46" s="61" t="s">
        <v>57</v>
      </c>
      <c r="D46" s="77">
        <v>295</v>
      </c>
      <c r="E46" s="85" t="s">
        <v>103</v>
      </c>
      <c r="F46" s="79" t="s">
        <v>58</v>
      </c>
      <c r="G46" s="80">
        <v>200</v>
      </c>
      <c r="H46" s="84">
        <v>48</v>
      </c>
      <c r="I46" s="62">
        <f t="shared" si="0"/>
        <v>9600</v>
      </c>
    </row>
    <row r="47" spans="1:9" ht="25.5" x14ac:dyDescent="0.2">
      <c r="A47" s="60">
        <v>38</v>
      </c>
      <c r="B47" s="59"/>
      <c r="C47" s="61" t="s">
        <v>57</v>
      </c>
      <c r="D47" s="77">
        <v>295</v>
      </c>
      <c r="E47" s="83" t="s">
        <v>104</v>
      </c>
      <c r="F47" s="79" t="s">
        <v>58</v>
      </c>
      <c r="G47" s="80">
        <v>8000</v>
      </c>
      <c r="H47" s="84">
        <v>25</v>
      </c>
      <c r="I47" s="62">
        <f t="shared" si="0"/>
        <v>200000</v>
      </c>
    </row>
    <row r="48" spans="1:9" ht="13.5" thickBot="1" x14ac:dyDescent="0.25">
      <c r="I48" s="33"/>
    </row>
    <row r="49" spans="2:9" x14ac:dyDescent="0.2">
      <c r="B49" s="72" t="s">
        <v>60</v>
      </c>
      <c r="C49" s="29"/>
      <c r="D49" s="29"/>
      <c r="E49" s="30"/>
      <c r="I49" s="33"/>
    </row>
    <row r="50" spans="2:9" ht="13.5" customHeight="1" x14ac:dyDescent="0.2">
      <c r="B50" s="92" t="s">
        <v>61</v>
      </c>
      <c r="C50" s="93"/>
      <c r="D50" s="93"/>
      <c r="E50" s="94"/>
    </row>
    <row r="51" spans="2:9" ht="25.5" customHeight="1" x14ac:dyDescent="0.2">
      <c r="B51" s="92"/>
      <c r="C51" s="93"/>
      <c r="D51" s="93"/>
      <c r="E51" s="94"/>
      <c r="F51" s="31"/>
      <c r="G51" s="32"/>
    </row>
    <row r="52" spans="2:9" ht="13.5" customHeight="1" x14ac:dyDescent="0.2">
      <c r="B52" s="92" t="s">
        <v>107</v>
      </c>
      <c r="C52" s="93"/>
      <c r="D52" s="93"/>
      <c r="E52" s="94"/>
      <c r="F52" s="31"/>
      <c r="G52" s="32"/>
    </row>
    <row r="53" spans="2:9" ht="13.5" thickBot="1" x14ac:dyDescent="0.25">
      <c r="B53" s="73" t="s">
        <v>63</v>
      </c>
      <c r="C53" s="74"/>
      <c r="D53" s="75"/>
      <c r="E53" s="76"/>
      <c r="F53" s="31"/>
      <c r="G53" s="32"/>
    </row>
    <row r="54" spans="2:9" ht="12" customHeight="1" x14ac:dyDescent="0.2"/>
  </sheetData>
  <autoFilter ref="A9:I47"/>
  <mergeCells count="9">
    <mergeCell ref="A6:B6"/>
    <mergeCell ref="A7:B7"/>
    <mergeCell ref="B50:E51"/>
    <mergeCell ref="B52:E52"/>
    <mergeCell ref="B2:H2"/>
    <mergeCell ref="A4:B4"/>
    <mergeCell ref="C4:E4"/>
    <mergeCell ref="A5:B5"/>
    <mergeCell ref="C5:E5"/>
  </mergeCells>
  <conditionalFormatting sqref="E32">
    <cfRule type="expression" dxfId="0" priority="1">
      <formula>ROW()=CELL("fila")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0"/>
  <sheetViews>
    <sheetView topLeftCell="A40" zoomScale="80" zoomScaleNormal="80" workbookViewId="0">
      <selection activeCell="C16" sqref="C16:G16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98" t="s">
        <v>14</v>
      </c>
      <c r="B1" s="98"/>
      <c r="C1" s="98"/>
      <c r="D1" s="98"/>
      <c r="E1" s="98"/>
      <c r="F1" s="98"/>
      <c r="G1" s="98"/>
      <c r="H1" s="98"/>
      <c r="I1" s="98"/>
      <c r="J1" s="34" t="s">
        <v>15</v>
      </c>
      <c r="K1" s="35" t="s">
        <v>106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99" t="s">
        <v>48</v>
      </c>
      <c r="B3" s="99"/>
      <c r="C3" s="99"/>
      <c r="D3" s="100" t="str">
        <f>'Necesidades Trimestrales'!C4</f>
        <v>040 - Ministerio de Salud</v>
      </c>
      <c r="E3" s="100"/>
      <c r="F3" s="100"/>
      <c r="G3" s="100"/>
      <c r="H3" s="100"/>
      <c r="I3" s="100"/>
      <c r="J3" s="100"/>
      <c r="K3" s="100"/>
    </row>
    <row r="4" spans="1:11" ht="18.75" customHeight="1" thickBot="1" x14ac:dyDescent="0.25">
      <c r="A4" s="101" t="s">
        <v>49</v>
      </c>
      <c r="B4" s="101"/>
      <c r="C4" s="101"/>
      <c r="D4" s="100" t="str">
        <f>'Necesidades Trimestrales'!C5</f>
        <v>024 - Hospital Interzonal de Niños</v>
      </c>
      <c r="E4" s="100"/>
      <c r="F4" s="100"/>
      <c r="G4" s="100"/>
      <c r="H4" s="100"/>
      <c r="I4" s="100"/>
      <c r="J4" s="100"/>
      <c r="K4" s="100"/>
    </row>
    <row r="5" spans="1:11" ht="18.75" customHeight="1" thickBot="1" x14ac:dyDescent="0.25">
      <c r="A5" s="101" t="s">
        <v>27</v>
      </c>
      <c r="B5" s="101"/>
      <c r="C5" s="101"/>
      <c r="D5" s="100" t="s">
        <v>51</v>
      </c>
      <c r="E5" s="100"/>
      <c r="F5" s="100"/>
      <c r="G5" s="100"/>
      <c r="H5" s="100"/>
      <c r="I5" s="100"/>
      <c r="J5" s="100"/>
      <c r="K5" s="100"/>
    </row>
    <row r="6" spans="1:11" ht="16.5" customHeight="1" thickBot="1" x14ac:dyDescent="0.25">
      <c r="A6" s="99" t="s">
        <v>50</v>
      </c>
      <c r="B6" s="99"/>
      <c r="C6" s="99"/>
      <c r="D6" s="100" t="s">
        <v>56</v>
      </c>
      <c r="E6" s="100"/>
      <c r="F6" s="100"/>
      <c r="G6" s="100"/>
      <c r="H6" s="100"/>
      <c r="I6" s="100"/>
      <c r="J6" s="100"/>
      <c r="K6" s="100"/>
    </row>
    <row r="7" spans="1:11" ht="16.5" customHeight="1" x14ac:dyDescent="0.2">
      <c r="A7" s="101" t="s">
        <v>16</v>
      </c>
      <c r="B7" s="101"/>
      <c r="C7" s="101"/>
      <c r="D7" s="100" t="s">
        <v>65</v>
      </c>
      <c r="E7" s="100"/>
      <c r="F7" s="100"/>
      <c r="G7" s="100"/>
      <c r="H7" s="100"/>
      <c r="I7" s="100"/>
      <c r="J7" s="100"/>
      <c r="K7" s="100"/>
    </row>
    <row r="8" spans="1:11" ht="16.5" customHeight="1" x14ac:dyDescent="0.2">
      <c r="A8" s="106" t="s">
        <v>17</v>
      </c>
      <c r="B8" s="106"/>
      <c r="C8" s="106"/>
      <c r="D8" s="102" t="s">
        <v>64</v>
      </c>
      <c r="E8" s="102"/>
      <c r="F8" s="102"/>
      <c r="G8" s="102"/>
      <c r="H8" s="102"/>
      <c r="I8" s="102"/>
      <c r="J8" s="102"/>
      <c r="K8" s="102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03" t="s">
        <v>18</v>
      </c>
      <c r="B10" s="104" t="s">
        <v>19</v>
      </c>
      <c r="C10" s="104" t="s">
        <v>20</v>
      </c>
      <c r="D10" s="104"/>
      <c r="E10" s="104"/>
      <c r="F10" s="104"/>
      <c r="G10" s="104"/>
      <c r="H10" s="104" t="s">
        <v>21</v>
      </c>
      <c r="I10" s="104" t="s">
        <v>22</v>
      </c>
      <c r="J10" s="104" t="s">
        <v>23</v>
      </c>
      <c r="K10" s="105" t="s">
        <v>24</v>
      </c>
    </row>
    <row r="11" spans="1:11" ht="24" customHeight="1" thickBot="1" x14ac:dyDescent="0.25">
      <c r="A11" s="103"/>
      <c r="B11" s="104"/>
      <c r="C11" s="104"/>
      <c r="D11" s="104"/>
      <c r="E11" s="104"/>
      <c r="F11" s="104"/>
      <c r="G11" s="104"/>
      <c r="H11" s="104"/>
      <c r="I11" s="104"/>
      <c r="J11" s="104"/>
      <c r="K11" s="105"/>
    </row>
    <row r="12" spans="1:11" ht="27.75" customHeight="1" x14ac:dyDescent="0.2">
      <c r="A12" s="63">
        <v>1</v>
      </c>
      <c r="B12" s="64"/>
      <c r="C12" s="97" t="str">
        <f>'Necesidades Trimestrales'!E10</f>
        <v>AGUJA PERICRANEAL TIPO BUTERFLY N 19</v>
      </c>
      <c r="D12" s="97"/>
      <c r="E12" s="97"/>
      <c r="F12" s="97"/>
      <c r="G12" s="97"/>
      <c r="H12" s="67" t="s">
        <v>54</v>
      </c>
      <c r="I12" s="68" t="str">
        <f>'Necesidades Trimestrales'!F10</f>
        <v>UNIDAD</v>
      </c>
      <c r="J12" s="66">
        <f>'Necesidades Trimestrales'!H10</f>
        <v>11</v>
      </c>
      <c r="K12" s="65">
        <f>'Necesidades Trimestrales'!G10</f>
        <v>200</v>
      </c>
    </row>
    <row r="13" spans="1:11" ht="27.75" customHeight="1" x14ac:dyDescent="0.2">
      <c r="A13" s="63">
        <v>2</v>
      </c>
      <c r="B13" s="64"/>
      <c r="C13" s="97" t="str">
        <f>'Necesidades Trimestrales'!E11</f>
        <v>AGUJA PERICRANEAL TIPO BUTERFLY N 21</v>
      </c>
      <c r="D13" s="97"/>
      <c r="E13" s="97"/>
      <c r="F13" s="97"/>
      <c r="G13" s="97"/>
      <c r="H13" s="67" t="s">
        <v>54</v>
      </c>
      <c r="I13" s="68" t="str">
        <f>'Necesidades Trimestrales'!F11</f>
        <v>UNIDAD</v>
      </c>
      <c r="J13" s="66">
        <f>'Necesidades Trimestrales'!H11</f>
        <v>11</v>
      </c>
      <c r="K13" s="65">
        <f>'Necesidades Trimestrales'!G11</f>
        <v>200</v>
      </c>
    </row>
    <row r="14" spans="1:11" ht="27.75" customHeight="1" x14ac:dyDescent="0.2">
      <c r="A14" s="63">
        <v>3</v>
      </c>
      <c r="B14" s="64"/>
      <c r="C14" s="97" t="str">
        <f>'Necesidades Trimestrales'!E12</f>
        <v>AGUJA PERICRANEAL TIPO BUTERFLY N 23</v>
      </c>
      <c r="D14" s="97"/>
      <c r="E14" s="97"/>
      <c r="F14" s="97"/>
      <c r="G14" s="97"/>
      <c r="H14" s="67" t="s">
        <v>54</v>
      </c>
      <c r="I14" s="68" t="str">
        <f>'Necesidades Trimestrales'!F12</f>
        <v>UNIDAD</v>
      </c>
      <c r="J14" s="66">
        <f>'Necesidades Trimestrales'!H12</f>
        <v>11</v>
      </c>
      <c r="K14" s="65">
        <f>'Necesidades Trimestrales'!G12</f>
        <v>300</v>
      </c>
    </row>
    <row r="15" spans="1:11" ht="27.75" customHeight="1" x14ac:dyDescent="0.2">
      <c r="A15" s="63">
        <v>4</v>
      </c>
      <c r="B15" s="64"/>
      <c r="C15" s="97" t="str">
        <f>'Necesidades Trimestrales'!E13</f>
        <v>AGUJA PERICRANEAL TIPO BUTERFLY N 25</v>
      </c>
      <c r="D15" s="97"/>
      <c r="E15" s="97"/>
      <c r="F15" s="97"/>
      <c r="G15" s="97"/>
      <c r="H15" s="67" t="s">
        <v>54</v>
      </c>
      <c r="I15" s="68" t="str">
        <f>'Necesidades Trimestrales'!F13</f>
        <v>UNIDAD</v>
      </c>
      <c r="J15" s="66">
        <f>'Necesidades Trimestrales'!H13</f>
        <v>11</v>
      </c>
      <c r="K15" s="65">
        <f>'Necesidades Trimestrales'!G13</f>
        <v>300</v>
      </c>
    </row>
    <row r="16" spans="1:11" ht="27.75" customHeight="1" x14ac:dyDescent="0.2">
      <c r="A16" s="63">
        <v>5</v>
      </c>
      <c r="B16" s="64"/>
      <c r="C16" s="97" t="str">
        <f>'Necesidades Trimestrales'!E14</f>
        <v>AGUJA PERICRANEAL TIPO BUTERFLY N 27</v>
      </c>
      <c r="D16" s="97"/>
      <c r="E16" s="97"/>
      <c r="F16" s="97"/>
      <c r="G16" s="97"/>
      <c r="H16" s="67" t="s">
        <v>54</v>
      </c>
      <c r="I16" s="68" t="str">
        <f>'Necesidades Trimestrales'!F14</f>
        <v>UNIDAD</v>
      </c>
      <c r="J16" s="66">
        <f>'Necesidades Trimestrales'!H14</f>
        <v>11</v>
      </c>
      <c r="K16" s="65">
        <f>'Necesidades Trimestrales'!G14</f>
        <v>200</v>
      </c>
    </row>
    <row r="17" spans="1:14" ht="27.75" customHeight="1" x14ac:dyDescent="0.2">
      <c r="A17" s="63">
        <v>6</v>
      </c>
      <c r="B17" s="64"/>
      <c r="C17" s="97" t="str">
        <f>'Necesidades Trimestrales'!E15</f>
        <v>APOSITO ADHESIVO TRANSPARENTE 10 X 12 TIPO TEGADERM</v>
      </c>
      <c r="D17" s="97"/>
      <c r="E17" s="97"/>
      <c r="F17" s="97"/>
      <c r="G17" s="97"/>
      <c r="H17" s="67" t="s">
        <v>54</v>
      </c>
      <c r="I17" s="68" t="str">
        <f>'Necesidades Trimestrales'!F15</f>
        <v>CAJA</v>
      </c>
      <c r="J17" s="66">
        <f>'Necesidades Trimestrales'!H15</f>
        <v>74</v>
      </c>
      <c r="K17" s="65">
        <f>'Necesidades Trimestrales'!G15</f>
        <v>4000</v>
      </c>
    </row>
    <row r="18" spans="1:14" ht="27.75" customHeight="1" x14ac:dyDescent="0.2">
      <c r="A18" s="63">
        <v>7</v>
      </c>
      <c r="B18" s="64"/>
      <c r="C18" s="97" t="str">
        <f>'Necesidades Trimestrales'!E16</f>
        <v>APOSITO ADHESIVO TRANSPARENTE 6 X 7 TIPO TEGADERM</v>
      </c>
      <c r="D18" s="97"/>
      <c r="E18" s="97"/>
      <c r="F18" s="97"/>
      <c r="G18" s="97"/>
      <c r="H18" s="67" t="s">
        <v>54</v>
      </c>
      <c r="I18" s="68" t="str">
        <f>'Necesidades Trimestrales'!F16</f>
        <v>CAJA</v>
      </c>
      <c r="J18" s="66">
        <f>'Necesidades Trimestrales'!H16</f>
        <v>37</v>
      </c>
      <c r="K18" s="65">
        <f>'Necesidades Trimestrales'!G16</f>
        <v>4000</v>
      </c>
    </row>
    <row r="19" spans="1:14" ht="27.75" customHeight="1" x14ac:dyDescent="0.2">
      <c r="A19" s="63">
        <v>8</v>
      </c>
      <c r="B19" s="64"/>
      <c r="C19" s="97" t="str">
        <f>'Necesidades Trimestrales'!E17</f>
        <v>BOLSA COL.P/DRENAJE AMBUL X 500 ML  TIPO FORLANO 2002</v>
      </c>
      <c r="D19" s="97"/>
      <c r="E19" s="97"/>
      <c r="F19" s="97"/>
      <c r="G19" s="97"/>
      <c r="H19" s="67" t="s">
        <v>54</v>
      </c>
      <c r="I19" s="68" t="str">
        <f>'Necesidades Trimestrales'!F17</f>
        <v>UNIDAD</v>
      </c>
      <c r="J19" s="66">
        <f>'Necesidades Trimestrales'!H17</f>
        <v>46</v>
      </c>
      <c r="K19" s="65">
        <f>'Necesidades Trimestrales'!G17</f>
        <v>50</v>
      </c>
    </row>
    <row r="20" spans="1:14" ht="27.75" customHeight="1" x14ac:dyDescent="0.2">
      <c r="A20" s="63">
        <v>9</v>
      </c>
      <c r="B20" s="64"/>
      <c r="C20" s="97" t="str">
        <f>'Necesidades Trimestrales'!E18</f>
        <v xml:space="preserve">BOLSA COLECTORA DE ORINA x 2000 ml TIPO FORLANO 2000 A </v>
      </c>
      <c r="D20" s="97"/>
      <c r="E20" s="97"/>
      <c r="F20" s="97"/>
      <c r="G20" s="97"/>
      <c r="H20" s="67" t="s">
        <v>54</v>
      </c>
      <c r="I20" s="68" t="str">
        <f>'Necesidades Trimestrales'!F18</f>
        <v>UNIDAD</v>
      </c>
      <c r="J20" s="66">
        <f>'Necesidades Trimestrales'!H18</f>
        <v>48</v>
      </c>
      <c r="K20" s="65">
        <f>'Necesidades Trimestrales'!G18</f>
        <v>50</v>
      </c>
    </row>
    <row r="21" spans="1:14" ht="27.75" customHeight="1" x14ac:dyDescent="0.2">
      <c r="A21" s="63">
        <v>10</v>
      </c>
      <c r="B21" s="71"/>
      <c r="C21" s="97" t="str">
        <f>'Necesidades Trimestrales'!E19</f>
        <v>CATETER INTRAVENOSO Nº 14 TIPO HOSPIRA/BD</v>
      </c>
      <c r="D21" s="97"/>
      <c r="E21" s="97"/>
      <c r="F21" s="97"/>
      <c r="G21" s="97"/>
      <c r="H21" s="67" t="s">
        <v>54</v>
      </c>
      <c r="I21" s="68" t="str">
        <f>'Necesidades Trimestrales'!F19</f>
        <v>UNIDAD</v>
      </c>
      <c r="J21" s="66">
        <f>'Necesidades Trimestrales'!H19</f>
        <v>58</v>
      </c>
      <c r="K21" s="65">
        <f>'Necesidades Trimestrales'!G19</f>
        <v>400</v>
      </c>
    </row>
    <row r="22" spans="1:14" ht="27.75" customHeight="1" x14ac:dyDescent="0.2">
      <c r="A22" s="63">
        <v>11</v>
      </c>
      <c r="B22" s="71"/>
      <c r="C22" s="97" t="str">
        <f>'Necesidades Trimestrales'!E20</f>
        <v>CATETER INTRAVENOSO Nº 16 TIPO HOSPIRA/BD</v>
      </c>
      <c r="D22" s="97"/>
      <c r="E22" s="97"/>
      <c r="F22" s="97"/>
      <c r="G22" s="97"/>
      <c r="H22" s="67" t="s">
        <v>54</v>
      </c>
      <c r="I22" s="68" t="str">
        <f>'Necesidades Trimestrales'!F20</f>
        <v>UNIDAD</v>
      </c>
      <c r="J22" s="66">
        <f>'Necesidades Trimestrales'!H20</f>
        <v>58</v>
      </c>
      <c r="K22" s="65">
        <f>'Necesidades Trimestrales'!G20</f>
        <v>400</v>
      </c>
    </row>
    <row r="23" spans="1:14" ht="27.75" customHeight="1" x14ac:dyDescent="0.2">
      <c r="A23" s="63">
        <v>12</v>
      </c>
      <c r="B23" s="71"/>
      <c r="C23" s="97" t="str">
        <f>'Necesidades Trimestrales'!E21</f>
        <v>CATETER INTRAVENOSO Nº 18 TIPO HOSPIRA/BD</v>
      </c>
      <c r="D23" s="97"/>
      <c r="E23" s="97"/>
      <c r="F23" s="97"/>
      <c r="G23" s="97"/>
      <c r="H23" s="67" t="s">
        <v>54</v>
      </c>
      <c r="I23" s="68" t="str">
        <f>'Necesidades Trimestrales'!F21</f>
        <v>UNIDAD</v>
      </c>
      <c r="J23" s="66">
        <f>'Necesidades Trimestrales'!H21</f>
        <v>58</v>
      </c>
      <c r="K23" s="65">
        <f>'Necesidades Trimestrales'!G21</f>
        <v>400</v>
      </c>
    </row>
    <row r="24" spans="1:14" ht="27.75" customHeight="1" x14ac:dyDescent="0.2">
      <c r="A24" s="63">
        <v>13</v>
      </c>
      <c r="B24" s="71"/>
      <c r="C24" s="97" t="str">
        <f>'Necesidades Trimestrales'!E22</f>
        <v>CATETER INTRAVENOSO Nº 20 TIPO HOSPIRA/BD</v>
      </c>
      <c r="D24" s="97"/>
      <c r="E24" s="97"/>
      <c r="F24" s="97"/>
      <c r="G24" s="97"/>
      <c r="H24" s="67" t="s">
        <v>54</v>
      </c>
      <c r="I24" s="68" t="str">
        <f>'Necesidades Trimestrales'!F22</f>
        <v>UNIDAD</v>
      </c>
      <c r="J24" s="66">
        <f>'Necesidades Trimestrales'!H22</f>
        <v>58</v>
      </c>
      <c r="K24" s="65">
        <f>'Necesidades Trimestrales'!G22</f>
        <v>10000</v>
      </c>
    </row>
    <row r="25" spans="1:14" ht="27.75" customHeight="1" x14ac:dyDescent="0.2">
      <c r="A25" s="63">
        <v>14</v>
      </c>
      <c r="B25" s="71"/>
      <c r="C25" s="97" t="str">
        <f>'Necesidades Trimestrales'!E23</f>
        <v>CATETER INTRAVENOSO Nº 22 TIPO HOSPIRA/BD</v>
      </c>
      <c r="D25" s="97"/>
      <c r="E25" s="97"/>
      <c r="F25" s="97"/>
      <c r="G25" s="97"/>
      <c r="H25" s="67" t="s">
        <v>54</v>
      </c>
      <c r="I25" s="68" t="str">
        <f>'Necesidades Trimestrales'!F23</f>
        <v>UNIDAD</v>
      </c>
      <c r="J25" s="66">
        <f>'Necesidades Trimestrales'!H23</f>
        <v>58</v>
      </c>
      <c r="K25" s="65">
        <f>'Necesidades Trimestrales'!G23</f>
        <v>10000</v>
      </c>
    </row>
    <row r="26" spans="1:14" ht="27.75" customHeight="1" x14ac:dyDescent="0.2">
      <c r="A26" s="63">
        <v>15</v>
      </c>
      <c r="B26" s="71"/>
      <c r="C26" s="97" t="str">
        <f>'Necesidades Trimestrales'!E24</f>
        <v>CATETER INTRAVENOSO Nº 24 TIPO HOSPIRA/BD</v>
      </c>
      <c r="D26" s="97"/>
      <c r="E26" s="97"/>
      <c r="F26" s="97"/>
      <c r="G26" s="97"/>
      <c r="H26" s="67" t="s">
        <v>54</v>
      </c>
      <c r="I26" s="68" t="str">
        <f>'Necesidades Trimestrales'!F24</f>
        <v>UNIDAD</v>
      </c>
      <c r="J26" s="66">
        <f>'Necesidades Trimestrales'!H24</f>
        <v>58</v>
      </c>
      <c r="K26" s="65">
        <f>'Necesidades Trimestrales'!G24</f>
        <v>10000</v>
      </c>
    </row>
    <row r="27" spans="1:14" ht="27.75" customHeight="1" x14ac:dyDescent="0.2">
      <c r="A27" s="63">
        <v>16</v>
      </c>
      <c r="B27" s="71"/>
      <c r="C27" s="97" t="str">
        <f>'Necesidades Trimestrales'!E25</f>
        <v>EQ.P/ADM.FRACC.SANG.C/MACRO Y FIL.V-104 T/VERSASET</v>
      </c>
      <c r="D27" s="97"/>
      <c r="E27" s="97"/>
      <c r="F27" s="97"/>
      <c r="G27" s="97"/>
      <c r="H27" s="67" t="s">
        <v>54</v>
      </c>
      <c r="I27" s="68" t="str">
        <f>'Necesidades Trimestrales'!F25</f>
        <v>UNIDAD</v>
      </c>
      <c r="J27" s="66">
        <f>'Necesidades Trimestrales'!H25</f>
        <v>1250</v>
      </c>
      <c r="K27" s="65">
        <f>'Necesidades Trimestrales'!G25</f>
        <v>200</v>
      </c>
    </row>
    <row r="28" spans="1:14" ht="27.75" customHeight="1" x14ac:dyDescent="0.2">
      <c r="A28" s="63">
        <v>17</v>
      </c>
      <c r="B28" s="71"/>
      <c r="C28" s="97" t="str">
        <f>'Necesidades Trimestrales'!E26</f>
        <v>EQUIPO PARA ADMINISTRACION DE SOLUCIONES  MACROGOTERO TIPO V-14 CON ROLLER</v>
      </c>
      <c r="D28" s="97"/>
      <c r="E28" s="97"/>
      <c r="F28" s="97"/>
      <c r="G28" s="97"/>
      <c r="H28" s="67" t="s">
        <v>54</v>
      </c>
      <c r="I28" s="68" t="str">
        <f>'Necesidades Trimestrales'!F26</f>
        <v>UNIDAD</v>
      </c>
      <c r="J28" s="66">
        <f>'Necesidades Trimestrales'!H26</f>
        <v>25</v>
      </c>
      <c r="K28" s="65">
        <f>'Necesidades Trimestrales'!G26</f>
        <v>10000</v>
      </c>
    </row>
    <row r="29" spans="1:14" ht="27.75" customHeight="1" x14ac:dyDescent="0.2">
      <c r="A29" s="63">
        <v>18</v>
      </c>
      <c r="B29" s="71"/>
      <c r="C29" s="97" t="str">
        <f>'Necesidades Trimestrales'!E27</f>
        <v>EQUIPO PARA ADMINISTRACION DE SOLUCIONES MICROGOTERO TIPO V-17 CON ROLLER</v>
      </c>
      <c r="D29" s="97"/>
      <c r="E29" s="97"/>
      <c r="F29" s="97"/>
      <c r="G29" s="97"/>
      <c r="H29" s="67" t="s">
        <v>54</v>
      </c>
      <c r="I29" s="68" t="str">
        <f>'Necesidades Trimestrales'!F27</f>
        <v>UNIDAD</v>
      </c>
      <c r="J29" s="66">
        <f>'Necesidades Trimestrales'!H27</f>
        <v>55</v>
      </c>
      <c r="K29" s="65">
        <f>'Necesidades Trimestrales'!G27</f>
        <v>10000</v>
      </c>
    </row>
    <row r="30" spans="1:14" ht="27.75" customHeight="1" x14ac:dyDescent="0.2">
      <c r="A30" s="63">
        <v>19</v>
      </c>
      <c r="B30" s="71"/>
      <c r="C30" s="97" t="str">
        <f>'Necesidades Trimestrales'!E28</f>
        <v>EQUIPO PARA SOLUCIONES FOTOSENCIBLES CON MACROGOTERO Y AGUJA</v>
      </c>
      <c r="D30" s="97"/>
      <c r="E30" s="97"/>
      <c r="F30" s="97"/>
      <c r="G30" s="97"/>
      <c r="H30" s="67" t="s">
        <v>54</v>
      </c>
      <c r="I30" s="68" t="str">
        <f>'Necesidades Trimestrales'!F28</f>
        <v>UNIDAD</v>
      </c>
      <c r="J30" s="66">
        <f>'Necesidades Trimestrales'!H28</f>
        <v>275</v>
      </c>
      <c r="K30" s="65">
        <f>'Necesidades Trimestrales'!G28</f>
        <v>2000</v>
      </c>
    </row>
    <row r="31" spans="1:14" ht="27.75" customHeight="1" x14ac:dyDescent="0.2">
      <c r="A31" s="63">
        <v>20</v>
      </c>
      <c r="B31" s="71"/>
      <c r="C31" s="97" t="str">
        <f>'Necesidades Trimestrales'!E29</f>
        <v>EQUIPO PARA SOLUCIONES FOTOSENCIBLES CON MICROGOTERO Y AGUJA</v>
      </c>
      <c r="D31" s="97"/>
      <c r="E31" s="97"/>
      <c r="F31" s="97"/>
      <c r="G31" s="97"/>
      <c r="H31" s="67" t="s">
        <v>54</v>
      </c>
      <c r="I31" s="68" t="str">
        <f>'Necesidades Trimestrales'!F29</f>
        <v>UNIDAD</v>
      </c>
      <c r="J31" s="66">
        <f>'Necesidades Trimestrales'!H29</f>
        <v>269.8</v>
      </c>
      <c r="K31" s="65">
        <f>'Necesidades Trimestrales'!G29</f>
        <v>2000</v>
      </c>
      <c r="N31" s="36" t="s">
        <v>55</v>
      </c>
    </row>
    <row r="32" spans="1:14" ht="27.75" customHeight="1" x14ac:dyDescent="0.2">
      <c r="A32" s="63">
        <v>21</v>
      </c>
      <c r="B32" s="71"/>
      <c r="C32" s="97" t="str">
        <f>'Necesidades Trimestrales'!E30</f>
        <v>GUIA PARA BOMBA TIPO SET PRIMARIO PLUM HOSPIRA</v>
      </c>
      <c r="D32" s="97"/>
      <c r="E32" s="97"/>
      <c r="F32" s="97"/>
      <c r="G32" s="97"/>
      <c r="H32" s="67" t="s">
        <v>54</v>
      </c>
      <c r="I32" s="68" t="str">
        <f>'Necesidades Trimestrales'!F30</f>
        <v>UNIDAD</v>
      </c>
      <c r="J32" s="66">
        <f>'Necesidades Trimestrales'!H30</f>
        <v>1068</v>
      </c>
      <c r="K32" s="65">
        <f>'Necesidades Trimestrales'!G30</f>
        <v>1200</v>
      </c>
    </row>
    <row r="33" spans="1:11" ht="27.75" customHeight="1" x14ac:dyDescent="0.2">
      <c r="A33" s="63">
        <v>22</v>
      </c>
      <c r="B33" s="71"/>
      <c r="C33" s="97" t="str">
        <f>'Necesidades Trimestrales'!E31</f>
        <v>LLAVE DE TRES VIAS</v>
      </c>
      <c r="D33" s="97"/>
      <c r="E33" s="97"/>
      <c r="F33" s="97"/>
      <c r="G33" s="97"/>
      <c r="H33" s="67" t="s">
        <v>54</v>
      </c>
      <c r="I33" s="68" t="str">
        <f>'Necesidades Trimestrales'!F31</f>
        <v>UNIDAD</v>
      </c>
      <c r="J33" s="66">
        <f>'Necesidades Trimestrales'!H31</f>
        <v>26</v>
      </c>
      <c r="K33" s="65">
        <f>'Necesidades Trimestrales'!G31</f>
        <v>8000</v>
      </c>
    </row>
    <row r="34" spans="1:11" ht="27.75" customHeight="1" x14ac:dyDescent="0.2">
      <c r="A34" s="63">
        <v>23</v>
      </c>
      <c r="B34" s="71"/>
      <c r="C34" s="97" t="str">
        <f>'Necesidades Trimestrales'!E32</f>
        <v>SONDA FOLEY 2VIAS 100 % SILICONA  Nº6</v>
      </c>
      <c r="D34" s="97"/>
      <c r="E34" s="97"/>
      <c r="F34" s="97"/>
      <c r="G34" s="97"/>
      <c r="H34" s="67" t="s">
        <v>54</v>
      </c>
      <c r="I34" s="68" t="str">
        <f>'Necesidades Trimestrales'!F32</f>
        <v>UNIDAD</v>
      </c>
      <c r="J34" s="66">
        <f>'Necesidades Trimestrales'!H32</f>
        <v>350</v>
      </c>
      <c r="K34" s="65">
        <f>'Necesidades Trimestrales'!G32</f>
        <v>20</v>
      </c>
    </row>
    <row r="35" spans="1:11" ht="27.75" customHeight="1" x14ac:dyDescent="0.2">
      <c r="A35" s="63">
        <v>24</v>
      </c>
      <c r="B35" s="71"/>
      <c r="C35" s="97" t="str">
        <f>'Necesidades Trimestrales'!E33</f>
        <v>SONDA FOLEY 2VIAS 100 % SILICONA .Nº 8</v>
      </c>
      <c r="D35" s="97"/>
      <c r="E35" s="97"/>
      <c r="F35" s="97"/>
      <c r="G35" s="97"/>
      <c r="H35" s="67" t="s">
        <v>54</v>
      </c>
      <c r="I35" s="68" t="str">
        <f>'Necesidades Trimestrales'!F33</f>
        <v>UNIDAD</v>
      </c>
      <c r="J35" s="66">
        <f>'Necesidades Trimestrales'!H33</f>
        <v>350</v>
      </c>
      <c r="K35" s="65">
        <f>'Necesidades Trimestrales'!G33</f>
        <v>20</v>
      </c>
    </row>
    <row r="36" spans="1:11" ht="27.75" customHeight="1" x14ac:dyDescent="0.2">
      <c r="A36" s="63">
        <v>25</v>
      </c>
      <c r="B36" s="71"/>
      <c r="C36" s="97" t="str">
        <f>'Necesidades Trimestrales'!E34</f>
        <v>SONDA FOLEY 2VIAS 100 % SILICONA .Nº12</v>
      </c>
      <c r="D36" s="97"/>
      <c r="E36" s="97"/>
      <c r="F36" s="97"/>
      <c r="G36" s="97"/>
      <c r="H36" s="67" t="s">
        <v>54</v>
      </c>
      <c r="I36" s="68" t="str">
        <f>'Necesidades Trimestrales'!F34</f>
        <v>UNIDAD</v>
      </c>
      <c r="J36" s="66">
        <f>'Necesidades Trimestrales'!H34</f>
        <v>350</v>
      </c>
      <c r="K36" s="65">
        <f>'Necesidades Trimestrales'!G34</f>
        <v>20</v>
      </c>
    </row>
    <row r="37" spans="1:11" ht="27.75" customHeight="1" x14ac:dyDescent="0.2">
      <c r="A37" s="63">
        <v>26</v>
      </c>
      <c r="B37" s="71"/>
      <c r="C37" s="97" t="str">
        <f>'Necesidades Trimestrales'!E35</f>
        <v>SONDA FOLEY 2VIAS 100 % SILICONA Nº10</v>
      </c>
      <c r="D37" s="97"/>
      <c r="E37" s="97"/>
      <c r="F37" s="97"/>
      <c r="G37" s="97"/>
      <c r="H37" s="67" t="s">
        <v>54</v>
      </c>
      <c r="I37" s="68" t="str">
        <f>'Necesidades Trimestrales'!F35</f>
        <v>UNIDAD</v>
      </c>
      <c r="J37" s="66">
        <f>'Necesidades Trimestrales'!H35</f>
        <v>350</v>
      </c>
      <c r="K37" s="65">
        <f>'Necesidades Trimestrales'!G35</f>
        <v>20</v>
      </c>
    </row>
    <row r="38" spans="1:11" ht="27.75" customHeight="1" x14ac:dyDescent="0.2">
      <c r="A38" s="63">
        <v>27</v>
      </c>
      <c r="B38" s="71"/>
      <c r="C38" s="97" t="str">
        <f>'Necesidades Trimestrales'!E36</f>
        <v>SONDA FOLEY DOBLE VIA DE LATEX RECUBIERTA CON SILICONA  Nº 14</v>
      </c>
      <c r="D38" s="97"/>
      <c r="E38" s="97"/>
      <c r="F38" s="97"/>
      <c r="G38" s="97"/>
      <c r="H38" s="67" t="s">
        <v>54</v>
      </c>
      <c r="I38" s="68" t="str">
        <f>'Necesidades Trimestrales'!F36</f>
        <v>UNIDAD</v>
      </c>
      <c r="J38" s="66">
        <f>'Necesidades Trimestrales'!H36</f>
        <v>110</v>
      </c>
      <c r="K38" s="65">
        <f>'Necesidades Trimestrales'!G36</f>
        <v>10</v>
      </c>
    </row>
    <row r="39" spans="1:11" ht="27.75" customHeight="1" x14ac:dyDescent="0.2">
      <c r="A39" s="63">
        <v>28</v>
      </c>
      <c r="B39" s="71"/>
      <c r="C39" s="97" t="str">
        <f>'Necesidades Trimestrales'!E37</f>
        <v>SONDA FOLEY DOBLE VIA DE LATEX RECUBIERTA CON SILICONA  Nº 16</v>
      </c>
      <c r="D39" s="97"/>
      <c r="E39" s="97"/>
      <c r="F39" s="97"/>
      <c r="G39" s="97"/>
      <c r="H39" s="67" t="s">
        <v>54</v>
      </c>
      <c r="I39" s="68" t="str">
        <f>'Necesidades Trimestrales'!F37</f>
        <v>UNIDAD</v>
      </c>
      <c r="J39" s="66">
        <f>'Necesidades Trimestrales'!H37</f>
        <v>110</v>
      </c>
      <c r="K39" s="65">
        <f>'Necesidades Trimestrales'!G37</f>
        <v>10</v>
      </c>
    </row>
    <row r="40" spans="1:11" ht="27.75" customHeight="1" x14ac:dyDescent="0.2">
      <c r="A40" s="63">
        <v>29</v>
      </c>
      <c r="B40" s="71"/>
      <c r="C40" s="97" t="str">
        <f>'Necesidades Trimestrales'!E38</f>
        <v>SONDA NASOGASTRICA  K30</v>
      </c>
      <c r="D40" s="97"/>
      <c r="E40" s="97"/>
      <c r="F40" s="97"/>
      <c r="G40" s="97"/>
      <c r="H40" s="67" t="s">
        <v>54</v>
      </c>
      <c r="I40" s="68" t="str">
        <f>'Necesidades Trimestrales'!F38</f>
        <v>UNIDAD</v>
      </c>
      <c r="J40" s="66">
        <f>'Necesidades Trimestrales'!H38</f>
        <v>35</v>
      </c>
      <c r="K40" s="65">
        <f>'Necesidades Trimestrales'!G38</f>
        <v>2000</v>
      </c>
    </row>
    <row r="41" spans="1:11" ht="27.75" customHeight="1" x14ac:dyDescent="0.2">
      <c r="A41" s="63">
        <v>30</v>
      </c>
      <c r="B41" s="71"/>
      <c r="C41" s="97" t="str">
        <f>'Necesidades Trimestrales'!E39</f>
        <v>SONDA NASOGASTRICA  K31</v>
      </c>
      <c r="D41" s="97"/>
      <c r="E41" s="97"/>
      <c r="F41" s="97"/>
      <c r="G41" s="97"/>
      <c r="H41" s="67" t="s">
        <v>54</v>
      </c>
      <c r="I41" s="68" t="str">
        <f>'Necesidades Trimestrales'!F39</f>
        <v>UNIDAD</v>
      </c>
      <c r="J41" s="66">
        <f>'Necesidades Trimestrales'!H39</f>
        <v>35</v>
      </c>
      <c r="K41" s="65">
        <f>'Necesidades Trimestrales'!G39</f>
        <v>2000</v>
      </c>
    </row>
    <row r="42" spans="1:11" ht="27.75" customHeight="1" x14ac:dyDescent="0.2">
      <c r="A42" s="63">
        <v>31</v>
      </c>
      <c r="B42" s="71"/>
      <c r="C42" s="97" t="str">
        <f>'Necesidades Trimestrales'!E40</f>
        <v>SONDA NASOGASTRICA K 33</v>
      </c>
      <c r="D42" s="97"/>
      <c r="E42" s="97"/>
      <c r="F42" s="97"/>
      <c r="G42" s="97"/>
      <c r="H42" s="67" t="s">
        <v>54</v>
      </c>
      <c r="I42" s="68" t="str">
        <f>'Necesidades Trimestrales'!F40</f>
        <v>UNIDAD</v>
      </c>
      <c r="J42" s="66">
        <f>'Necesidades Trimestrales'!H40</f>
        <v>35</v>
      </c>
      <c r="K42" s="65">
        <f>'Necesidades Trimestrales'!G40</f>
        <v>8000</v>
      </c>
    </row>
    <row r="43" spans="1:11" ht="27.75" customHeight="1" x14ac:dyDescent="0.2">
      <c r="A43" s="63">
        <v>32</v>
      </c>
      <c r="B43" s="71"/>
      <c r="C43" s="97" t="str">
        <f>'Necesidades Trimestrales'!E41</f>
        <v>SONDA NASOGASTRICA K 35</v>
      </c>
      <c r="D43" s="97"/>
      <c r="E43" s="97"/>
      <c r="F43" s="97"/>
      <c r="G43" s="97"/>
      <c r="H43" s="67" t="s">
        <v>54</v>
      </c>
      <c r="I43" s="68" t="str">
        <f>'Necesidades Trimestrales'!F41</f>
        <v>UNIDAD</v>
      </c>
      <c r="J43" s="66">
        <f>'Necesidades Trimestrales'!H41</f>
        <v>35</v>
      </c>
      <c r="K43" s="65">
        <f>'Necesidades Trimestrales'!G41</f>
        <v>8000</v>
      </c>
    </row>
    <row r="44" spans="1:11" ht="27.75" customHeight="1" x14ac:dyDescent="0.2">
      <c r="A44" s="63">
        <v>33</v>
      </c>
      <c r="B44" s="71"/>
      <c r="C44" s="97" t="str">
        <f>'Necesidades Trimestrales'!E42</f>
        <v>SONDA NELATON DE GOMA Nº  8</v>
      </c>
      <c r="D44" s="97"/>
      <c r="E44" s="97"/>
      <c r="F44" s="97"/>
      <c r="G44" s="97"/>
      <c r="H44" s="67" t="s">
        <v>54</v>
      </c>
      <c r="I44" s="68" t="str">
        <f>'Necesidades Trimestrales'!F42</f>
        <v>UNIDAD</v>
      </c>
      <c r="J44" s="66">
        <f>'Necesidades Trimestrales'!H42</f>
        <v>88</v>
      </c>
      <c r="K44" s="65">
        <f>'Necesidades Trimestrales'!G42</f>
        <v>50</v>
      </c>
    </row>
    <row r="45" spans="1:11" ht="27.75" customHeight="1" x14ac:dyDescent="0.2">
      <c r="A45" s="63">
        <v>34</v>
      </c>
      <c r="B45" s="71"/>
      <c r="C45" s="97" t="str">
        <f>'Necesidades Trimestrales'!E43</f>
        <v>SONDA NELATON DE GOMA Nº 10</v>
      </c>
      <c r="D45" s="97"/>
      <c r="E45" s="97"/>
      <c r="F45" s="97"/>
      <c r="G45" s="97"/>
      <c r="H45" s="67" t="s">
        <v>54</v>
      </c>
      <c r="I45" s="68" t="str">
        <f>'Necesidades Trimestrales'!F43</f>
        <v>UNIDAD</v>
      </c>
      <c r="J45" s="66">
        <f>'Necesidades Trimestrales'!H43</f>
        <v>88</v>
      </c>
      <c r="K45" s="65">
        <f>'Necesidades Trimestrales'!G43</f>
        <v>50</v>
      </c>
    </row>
    <row r="46" spans="1:11" ht="27.75" customHeight="1" x14ac:dyDescent="0.2">
      <c r="A46" s="63">
        <v>35</v>
      </c>
      <c r="B46" s="71"/>
      <c r="C46" s="97" t="str">
        <f>'Necesidades Trimestrales'!E44</f>
        <v>SONDA NELATON DE GOMA Nº 14</v>
      </c>
      <c r="D46" s="97"/>
      <c r="E46" s="97"/>
      <c r="F46" s="97"/>
      <c r="G46" s="97"/>
      <c r="H46" s="67" t="s">
        <v>54</v>
      </c>
      <c r="I46" s="68" t="str">
        <f>'Necesidades Trimestrales'!F44</f>
        <v>UNIDAD</v>
      </c>
      <c r="J46" s="66">
        <f>'Necesidades Trimestrales'!H44</f>
        <v>88</v>
      </c>
      <c r="K46" s="65">
        <f>'Necesidades Trimestrales'!G44</f>
        <v>50</v>
      </c>
    </row>
    <row r="47" spans="1:11" ht="27.75" customHeight="1" x14ac:dyDescent="0.2">
      <c r="A47" s="63">
        <v>36</v>
      </c>
      <c r="B47" s="71"/>
      <c r="C47" s="97" t="str">
        <f>'Necesidades Trimestrales'!E45</f>
        <v>SONDA PARA INTUBACION GASTRICA K 9</v>
      </c>
      <c r="D47" s="97"/>
      <c r="E47" s="97"/>
      <c r="F47" s="97"/>
      <c r="G47" s="97"/>
      <c r="H47" s="67" t="s">
        <v>54</v>
      </c>
      <c r="I47" s="68" t="str">
        <f>'Necesidades Trimestrales'!F45</f>
        <v>UNIDAD</v>
      </c>
      <c r="J47" s="66">
        <f>'Necesidades Trimestrales'!H45</f>
        <v>48</v>
      </c>
      <c r="K47" s="65">
        <f>'Necesidades Trimestrales'!G45</f>
        <v>200</v>
      </c>
    </row>
    <row r="48" spans="1:11" ht="27.75" customHeight="1" x14ac:dyDescent="0.2">
      <c r="A48" s="63">
        <v>37</v>
      </c>
      <c r="B48" s="71"/>
      <c r="C48" s="97" t="str">
        <f>'Necesidades Trimestrales'!E46</f>
        <v>SONDA PARA INTUBACION GASTRICA K11</v>
      </c>
      <c r="D48" s="97"/>
      <c r="E48" s="97"/>
      <c r="F48" s="97"/>
      <c r="G48" s="97"/>
      <c r="H48" s="67" t="s">
        <v>54</v>
      </c>
      <c r="I48" s="68" t="str">
        <f>'Necesidades Trimestrales'!F46</f>
        <v>UNIDAD</v>
      </c>
      <c r="J48" s="66">
        <f>'Necesidades Trimestrales'!H46</f>
        <v>48</v>
      </c>
      <c r="K48" s="65">
        <f>'Necesidades Trimestrales'!G46</f>
        <v>200</v>
      </c>
    </row>
    <row r="49" spans="1:14" ht="27.75" customHeight="1" thickBot="1" x14ac:dyDescent="0.25">
      <c r="A49" s="63">
        <v>38</v>
      </c>
      <c r="B49" s="71"/>
      <c r="C49" s="97" t="str">
        <f>'Necesidades Trimestrales'!E47</f>
        <v>TAPON INTERMITENTE SISTEMA CERRADO CON ROSCA LUER LOCK</v>
      </c>
      <c r="D49" s="97"/>
      <c r="E49" s="97"/>
      <c r="F49" s="97"/>
      <c r="G49" s="97"/>
      <c r="H49" s="67" t="s">
        <v>54</v>
      </c>
      <c r="I49" s="68" t="str">
        <f>'Necesidades Trimestrales'!F47</f>
        <v>UNIDAD</v>
      </c>
      <c r="J49" s="66">
        <f>'Necesidades Trimestrales'!H47</f>
        <v>25</v>
      </c>
      <c r="K49" s="65">
        <f>'Necesidades Trimestrales'!G47</f>
        <v>8000</v>
      </c>
    </row>
    <row r="50" spans="1:14" ht="20.25" customHeight="1" thickBot="1" x14ac:dyDescent="0.25">
      <c r="A50" s="100" t="s">
        <v>105</v>
      </c>
      <c r="B50" s="100"/>
      <c r="C50" s="100"/>
      <c r="D50" s="100"/>
      <c r="E50" s="100"/>
      <c r="F50" s="100"/>
      <c r="G50" s="100"/>
      <c r="H50" s="100"/>
      <c r="I50" s="100"/>
      <c r="J50" s="107">
        <f>SUMPRODUCT(J12:J49,K12:K49)</f>
        <v>6863300</v>
      </c>
      <c r="K50" s="107"/>
      <c r="N50" s="47"/>
    </row>
  </sheetData>
  <mergeCells count="60">
    <mergeCell ref="A50:I50"/>
    <mergeCell ref="J50:K50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4:G24"/>
    <mergeCell ref="C21:G21"/>
    <mergeCell ref="C22:G22"/>
    <mergeCell ref="C23:G23"/>
    <mergeCell ref="C30:G30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1:G31"/>
    <mergeCell ref="C25:G25"/>
    <mergeCell ref="C26:G26"/>
    <mergeCell ref="C27:G27"/>
    <mergeCell ref="C28:G28"/>
    <mergeCell ref="C29:G29"/>
    <mergeCell ref="C32:G32"/>
    <mergeCell ref="C33:G33"/>
    <mergeCell ref="C34:G34"/>
    <mergeCell ref="C35:G35"/>
    <mergeCell ref="C36:G36"/>
    <mergeCell ref="C46:G46"/>
    <mergeCell ref="C47:G47"/>
    <mergeCell ref="C48:G48"/>
    <mergeCell ref="C49:G49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="130" zoomScaleNormal="130" workbookViewId="0">
      <selection activeCell="M18" sqref="M18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8" t="s">
        <v>3</v>
      </c>
      <c r="B1" s="108"/>
      <c r="C1" s="108"/>
      <c r="D1" s="109">
        <f>'Necesidades Trimestrales'!C6</f>
        <v>2022</v>
      </c>
      <c r="E1" s="109"/>
      <c r="F1" s="3"/>
      <c r="G1" s="3"/>
      <c r="H1" s="4"/>
      <c r="I1" s="4"/>
      <c r="J1" s="4"/>
      <c r="K1" s="4"/>
      <c r="L1" s="4"/>
      <c r="M1" s="4"/>
      <c r="N1" s="4"/>
      <c r="P1" s="110" t="s">
        <v>25</v>
      </c>
      <c r="Q1" s="11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10"/>
      <c r="Q2" s="110"/>
    </row>
    <row r="4" spans="1:17" s="5" customFormat="1" ht="18" customHeight="1" thickBot="1" x14ac:dyDescent="0.25">
      <c r="A4" s="111" t="s">
        <v>26</v>
      </c>
      <c r="B4" s="111"/>
      <c r="C4" s="111"/>
      <c r="D4" s="111"/>
      <c r="E4" s="111"/>
      <c r="F4" s="111"/>
      <c r="G4" s="112" t="str">
        <f>' NotaPedido'!D3</f>
        <v>040 - Ministerio de Salud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5" spans="1:17" s="5" customFormat="1" ht="18" customHeight="1" thickBot="1" x14ac:dyDescent="0.25">
      <c r="A5" s="113" t="s">
        <v>49</v>
      </c>
      <c r="B5" s="114"/>
      <c r="C5" s="114"/>
      <c r="D5" s="114"/>
      <c r="E5" s="114"/>
      <c r="F5" s="115"/>
      <c r="G5" s="112" t="str">
        <f>' NotaPedido'!D4</f>
        <v>024 - Hospital Interzonal de Niños</v>
      </c>
      <c r="H5" s="112"/>
      <c r="I5" s="112"/>
      <c r="J5" s="112"/>
      <c r="K5" s="112"/>
      <c r="L5" s="112"/>
      <c r="M5" s="112"/>
      <c r="N5" s="112"/>
      <c r="O5" s="112"/>
      <c r="P5" s="112"/>
      <c r="Q5" s="112"/>
    </row>
    <row r="6" spans="1:17" s="5" customFormat="1" ht="18" customHeight="1" thickBot="1" x14ac:dyDescent="0.25">
      <c r="A6" s="113" t="s">
        <v>27</v>
      </c>
      <c r="B6" s="114"/>
      <c r="C6" s="114"/>
      <c r="D6" s="114"/>
      <c r="E6" s="114"/>
      <c r="F6" s="115"/>
      <c r="G6" s="112" t="str">
        <f>' NotaPedido'!D5</f>
        <v>024 - Hospital Interzonal de Niños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</row>
    <row r="7" spans="1:17" s="5" customFormat="1" ht="18" customHeight="1" thickBot="1" x14ac:dyDescent="0.25">
      <c r="A7" s="113" t="s">
        <v>50</v>
      </c>
      <c r="B7" s="114"/>
      <c r="C7" s="114"/>
      <c r="D7" s="114"/>
      <c r="E7" s="114"/>
      <c r="F7" s="115"/>
      <c r="G7" s="112" t="s">
        <v>56</v>
      </c>
      <c r="H7" s="112"/>
      <c r="I7" s="112"/>
      <c r="J7" s="112"/>
      <c r="K7" s="112"/>
      <c r="L7" s="112"/>
      <c r="M7" s="112"/>
      <c r="N7" s="112"/>
      <c r="O7" s="112"/>
      <c r="P7" s="112"/>
      <c r="Q7" s="112"/>
    </row>
    <row r="8" spans="1:17" ht="18" customHeight="1" thickBot="1" x14ac:dyDescent="0.25">
      <c r="A8" s="116" t="s">
        <v>28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</row>
    <row r="9" spans="1:17" ht="18" customHeight="1" x14ac:dyDescent="0.2">
      <c r="A9" s="117" t="s">
        <v>29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"/>
      <c r="P9" s="1"/>
      <c r="Q9" s="6"/>
    </row>
    <row r="10" spans="1:17" ht="54.75" customHeight="1" x14ac:dyDescent="0.2">
      <c r="A10" s="11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010/2022,  afectando la erogación resultante a los créditos presupuestarios aprobados a favor de esta Unidad Ejecutora, conforme al siguiente detalle: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19" t="s">
        <v>30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5.75" customHeight="1" thickBot="1" x14ac:dyDescent="0.25">
      <c r="A13" s="120" t="s">
        <v>31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 t="s">
        <v>32</v>
      </c>
      <c r="P13" s="123"/>
      <c r="Q13" s="126" t="s">
        <v>33</v>
      </c>
    </row>
    <row r="14" spans="1:17" ht="15.75" customHeight="1" thickBot="1" x14ac:dyDescent="0.25">
      <c r="A14" s="52" t="s">
        <v>34</v>
      </c>
      <c r="B14" s="53" t="s">
        <v>35</v>
      </c>
      <c r="C14" s="53" t="s">
        <v>36</v>
      </c>
      <c r="D14" s="53" t="s">
        <v>37</v>
      </c>
      <c r="E14" s="53" t="s">
        <v>38</v>
      </c>
      <c r="F14" s="53" t="s">
        <v>39</v>
      </c>
      <c r="G14" s="54" t="s">
        <v>40</v>
      </c>
      <c r="H14" s="53" t="s">
        <v>41</v>
      </c>
      <c r="I14" s="53" t="s">
        <v>42</v>
      </c>
      <c r="J14" s="53" t="s">
        <v>43</v>
      </c>
      <c r="K14" s="53" t="s">
        <v>43</v>
      </c>
      <c r="L14" s="53" t="s">
        <v>44</v>
      </c>
      <c r="M14" s="55" t="s">
        <v>45</v>
      </c>
      <c r="N14" s="56" t="s">
        <v>46</v>
      </c>
      <c r="O14" s="124"/>
      <c r="P14" s="125"/>
      <c r="Q14" s="127"/>
    </row>
    <row r="15" spans="1:17" ht="26.25" customHeight="1" x14ac:dyDescent="0.2">
      <c r="A15" s="48">
        <v>36</v>
      </c>
      <c r="B15" s="49"/>
      <c r="C15" s="49"/>
      <c r="D15" s="49">
        <v>1</v>
      </c>
      <c r="E15" s="49"/>
      <c r="F15" s="49">
        <v>4901</v>
      </c>
      <c r="G15" s="49">
        <v>3</v>
      </c>
      <c r="H15" s="49">
        <v>310</v>
      </c>
      <c r="I15" s="49">
        <v>2</v>
      </c>
      <c r="J15" s="49">
        <v>9</v>
      </c>
      <c r="K15" s="49">
        <v>5</v>
      </c>
      <c r="L15" s="49"/>
      <c r="M15" s="50">
        <v>1</v>
      </c>
      <c r="N15" s="51" t="s">
        <v>53</v>
      </c>
      <c r="O15" s="128" t="s">
        <v>59</v>
      </c>
      <c r="P15" s="128"/>
      <c r="Q15" s="57">
        <v>6863300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58"/>
      <c r="O16" s="129"/>
      <c r="P16" s="130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58"/>
      <c r="O17" s="129"/>
      <c r="P17" s="130"/>
      <c r="Q17" s="15"/>
    </row>
    <row r="18" spans="1:18" ht="38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58"/>
      <c r="O18" s="136"/>
      <c r="P18" s="137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38"/>
      <c r="P19" s="138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39"/>
      <c r="P20" s="139"/>
      <c r="Q20" s="24"/>
    </row>
    <row r="21" spans="1:18" ht="29.25" customHeight="1" x14ac:dyDescent="0.2">
      <c r="A21" s="140" t="s">
        <v>108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25">
        <f>SUM(Q15:Q20)</f>
        <v>6863300</v>
      </c>
    </row>
    <row r="22" spans="1:18" ht="18" customHeight="1" thickBot="1" x14ac:dyDescent="0.25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</row>
    <row r="23" spans="1:18" ht="17.25" customHeight="1" thickBot="1" x14ac:dyDescent="0.25">
      <c r="A23" s="131" t="s">
        <v>47</v>
      </c>
      <c r="B23" s="132"/>
      <c r="C23" s="132"/>
      <c r="D23" s="132"/>
      <c r="E23" s="132"/>
      <c r="F23" s="133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</row>
    <row r="24" spans="1:18" ht="18" customHeight="1" thickBot="1" x14ac:dyDescent="0.25">
      <c r="A24" s="135" t="s">
        <v>66</v>
      </c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</row>
    <row r="25" spans="1:18" ht="26.25" customHeight="1" x14ac:dyDescent="0.2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2021-11-08T15:21:02Z</cp:lastPrinted>
  <dcterms:created xsi:type="dcterms:W3CDTF">2020-07-17T23:44:49Z</dcterms:created>
  <dcterms:modified xsi:type="dcterms:W3CDTF">2022-01-20T14:12:23Z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