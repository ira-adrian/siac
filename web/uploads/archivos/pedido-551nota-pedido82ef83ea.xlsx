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IMENA GRIMA\Desktop\"/>
    </mc:Choice>
  </mc:AlternateContent>
  <bookViews>
    <workbookView xWindow="0" yWindow="0" windowWidth="28800" windowHeight="12330" tabRatio="337"/>
  </bookViews>
  <sheets>
    <sheet name="NEC TRIM" sheetId="4" r:id="rId1"/>
    <sheet name="NOTA PEDIDO" sheetId="2" r:id="rId2"/>
    <sheet name="APG" sheetId="3" r:id="rId3"/>
    <sheet name="Hoja2" sheetId="6" r:id="rId4"/>
  </sheets>
  <definedNames>
    <definedName name="_xlnm.Print_Area" localSheetId="2">APG!$A$1:$Q$25</definedName>
    <definedName name="_xlnm.Print_Area" localSheetId="1">'NOTA PEDIDO'!$A$1:$H$24</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15" i="3" l="1"/>
  <c r="I16" i="4" l="1"/>
  <c r="I17" i="4"/>
  <c r="I15" i="4"/>
  <c r="I18" i="4"/>
  <c r="I19" i="4"/>
  <c r="I14" i="4"/>
  <c r="L13" i="4"/>
  <c r="I13" i="4"/>
  <c r="I12" i="4"/>
  <c r="I11" i="4"/>
  <c r="I10" i="4"/>
  <c r="I9" i="4"/>
  <c r="I8" i="4"/>
  <c r="I7" i="4"/>
  <c r="I20" i="4" l="1"/>
  <c r="H23" i="2"/>
  <c r="H22" i="2"/>
  <c r="H21" i="2"/>
  <c r="H20" i="2"/>
  <c r="H19" i="2"/>
  <c r="H18" i="2"/>
  <c r="H17" i="2"/>
  <c r="H16" i="2"/>
  <c r="H15" i="2"/>
  <c r="H14" i="2"/>
  <c r="H13" i="2"/>
  <c r="H12" i="2"/>
  <c r="H11" i="2"/>
  <c r="H24" i="2" l="1"/>
  <c r="Q21" i="3" l="1"/>
  <c r="G24" i="2" l="1"/>
</calcChain>
</file>

<file path=xl/sharedStrings.xml><?xml version="1.0" encoding="utf-8"?>
<sst xmlns="http://schemas.openxmlformats.org/spreadsheetml/2006/main" count="332" uniqueCount="194">
  <si>
    <t>EJERCICIO:</t>
  </si>
  <si>
    <t>ID</t>
  </si>
  <si>
    <t>CODIGO ITEM</t>
  </si>
  <si>
    <t>DESCRIPCION</t>
  </si>
  <si>
    <t>UNIDAD DE MEDIDA</t>
  </si>
  <si>
    <t>CANTIDAD</t>
  </si>
  <si>
    <t>PRECIO UNITARIO ESTIMADO</t>
  </si>
  <si>
    <t>NOTA DE PEDIDO</t>
  </si>
  <si>
    <t xml:space="preserve">JURISDICCIÓN: </t>
  </si>
  <si>
    <t>50 - MINISTERIO DE EDUCACIÓN</t>
  </si>
  <si>
    <t>SAF:</t>
  </si>
  <si>
    <t>26 - DIRECCIÓN PROVINCIAL DE ADMINISTRACIÓN</t>
  </si>
  <si>
    <t>UNIDAD EJECUTORA:</t>
  </si>
  <si>
    <t>MINISTERIO DE EDUCACIÓN</t>
  </si>
  <si>
    <t xml:space="preserve">DEPENDENCIA SOLICITANTE: </t>
  </si>
  <si>
    <t>PERIODO UTILIZACIÓN:</t>
  </si>
  <si>
    <t>OBJETO:</t>
  </si>
  <si>
    <t>Adjunta Detalle Técnico</t>
  </si>
  <si>
    <t>Unidad</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</si>
  <si>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</si>
  <si>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</si>
  <si>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</si>
  <si>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</si>
  <si>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</si>
  <si>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</si>
  <si>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</si>
  <si>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</si>
  <si>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</si>
  <si>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</si>
  <si>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</si>
  <si>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</si>
  <si>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</si>
  <si>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</si>
  <si>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</si>
  <si>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</si>
  <si>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</si>
  <si>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</si>
  <si>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</si>
  <si>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</si>
  <si>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</si>
  <si>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</si>
  <si>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</si>
  <si>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CUARTO TRIMESTRE</t>
  </si>
  <si>
    <t>2.9.9-2448.1</t>
  </si>
  <si>
    <t>2.9.9-2448.8</t>
  </si>
  <si>
    <t>2.9.9-2448.39</t>
  </si>
  <si>
    <t>2.9.9-2448.32</t>
  </si>
  <si>
    <t>2.9.9-2448.50</t>
  </si>
  <si>
    <t>2.9.9-2761.2</t>
  </si>
  <si>
    <t>2.9.6-9084.97</t>
  </si>
  <si>
    <t>2.9.9-2761.3</t>
  </si>
  <si>
    <t>2.9.9-2761.10</t>
  </si>
  <si>
    <t>2.9.9-2761.5</t>
  </si>
  <si>
    <t>2.9.6-9084.96</t>
  </si>
  <si>
    <t>2.9.9-2761.4</t>
  </si>
  <si>
    <t>2.9.6-9084.7</t>
  </si>
  <si>
    <t>PELOTAS; MATERIAL: CUERO, NUMERO: 5, TIPO: FUTBOL</t>
  </si>
  <si>
    <t>PELOTAS; MATERIAL: CUERO, TIPO: VOLEY, NUMERO: UNICO</t>
  </si>
  <si>
    <t>PELOTAS; MATERIAL: CUERO, TIPO: BASQUET, NUMERO: 7</t>
  </si>
  <si>
    <t>PELOTAS; MATERIAL: CUERO, TIPO: HANDBOL, NUMERO: 3</t>
  </si>
  <si>
    <t>PELOTAS; MATERIAL: GOMA SILICONA, TIPO: GIMNASIA RITMICA, NUMERO: DIAM.18 Cm</t>
  </si>
  <si>
    <t>REDES P/DEPORTES; USO: VOLEY, MATERIAL: POLIETILENO</t>
  </si>
  <si>
    <t>R. Y A. P/PRACTICA DEPORTIVA; ELEMENTO: CONOS FLEXIBLES</t>
  </si>
  <si>
    <t>REDES P/DEPORTES; MATERIAL: POLIETILENO, USO: FUTBOL</t>
  </si>
  <si>
    <t>REDES P/DEPORTES; MATERIAL: POLIETILENO, USO: FUTBOL 5</t>
  </si>
  <si>
    <t>REDES P/DEPORTES; MATERIAL: POLIETILENO, USO: BASQUET</t>
  </si>
  <si>
    <t>R. Y A. P/PRACTICA DEPORTIVA; ELEMENTO: SOGA DE SALTO</t>
  </si>
  <si>
    <t>REDES P/DEPORTES; MATERIAL: POLIETILENO, USO: HANDBOL</t>
  </si>
  <si>
    <t>R. Y A. P/PRACTICA DEPORTIVA; ELEMENTO: VARILLA P/RED DE VOLEY</t>
  </si>
  <si>
    <t>Costo total estimado: PESOS SEIS MILLONES CIENTO VEINTE MIL CON 00/100</t>
  </si>
  <si>
    <t>OTROS N.E.P.</t>
  </si>
  <si>
    <t>TOTAL DE PESOS: SEIS MILLONES CIENTO VEINTE MIL CON 00/100</t>
  </si>
  <si>
    <t>ADQUISICIÓN DE ELEMENTOS DEPORTIVOS -MINISTERIO DE EDUCACIÓN.</t>
  </si>
  <si>
    <t>SECRETARIA DE COMPRAS Y ABASTECIMIENTO</t>
  </si>
  <si>
    <t>Pedido de Necesidades Trimestrales</t>
  </si>
  <si>
    <t>JURISDICCION:</t>
  </si>
  <si>
    <t xml:space="preserve">SAF N°: </t>
  </si>
  <si>
    <t>TRIMESTRE:</t>
  </si>
  <si>
    <t>RUBRO DE COMPRA</t>
  </si>
  <si>
    <t xml:space="preserve">I.P.P. </t>
  </si>
  <si>
    <t xml:space="preserve">IMPORTE TOTAL ESTIMADO </t>
  </si>
  <si>
    <t>Descripción técnica</t>
  </si>
  <si>
    <t>Plazos y lugares de entrega</t>
  </si>
  <si>
    <t>Calidad Minima esperada</t>
  </si>
  <si>
    <t>Garantia</t>
  </si>
  <si>
    <t>2.9.9.</t>
  </si>
  <si>
    <t>2.9.9</t>
  </si>
  <si>
    <t xml:space="preserve"> 
UTILES Y PRODUCTOS DEPORTIVOS</t>
  </si>
  <si>
    <t>UTILES Y PRODUCTOS DEPORTIVOS</t>
  </si>
  <si>
    <t>COSTO TOTAL ESTIMADO: PESOS SEIS MILLONES CIENTO VEINTE MIL CON 00/100.</t>
  </si>
  <si>
    <t>ADQUISICIÓN DE ELEMENTOS DEPORTIVOS CON DESTINO A LAS INSTITUCIONES ESCOLARES DEL MINISTERIO DE EDUCACIÓN.</t>
  </si>
  <si>
    <t>ESPECIFICACIONES GENERALES PARA ESTA CONTRATACIÓN:</t>
  </si>
  <si>
    <t>• Embalaje: Apropiado para su transporte y conservación.</t>
  </si>
  <si>
    <t>• Condición de calidad: El bien requerido para dar cumplimiento al objeto del presente anexo deberá ser nuevo, sin uso, libre de defectos en el diseño, materiales o de fabricación de acuerdo a las especificaciones técnicas descriptas, color indistinto, se aceptará el color que haya en stock.-</t>
  </si>
  <si>
    <t>• INDICAR MARCA COMERCIAL DE PRODUCTO COTIZADO POR ÍTEM. No indicar la marca comercial del producto cotizado hará que la oferta formulada para el ítem en cuestión se la considere como que “NO SE AJUSTA A LO SOLICITADO” e implicará la DESESTIMACIÓN de la oferta.</t>
  </si>
  <si>
    <t>• Se deberá adjuntar Folletos con características y especificaciones técnicas, y todo otro detalle que permita individualizar lo cotizado, o en su defecto hacer una apropiada descripción del bien ofertado (marca y modelo).</t>
  </si>
  <si>
    <t>• Ofrecer GARANTÍA: Mínima de SEIS (06) meses, sobre fallas o problemas de fabricación;reemplazando el ítem por uno de idénticas características.</t>
  </si>
  <si>
    <t>Especificidades Item N° 1:</t>
  </si>
  <si>
    <t xml:space="preserve">Deberán ser de primera calidad
</t>
  </si>
  <si>
    <r>
      <t xml:space="preserve">Mantenimiento: </t>
    </r>
    <r>
      <rPr>
        <sz val="10"/>
        <rFont val="Times New Roman"/>
        <family val="1"/>
      </rPr>
      <t>45 dias habiles</t>
    </r>
  </si>
  <si>
    <t>Material: cuero - (pvc foam)</t>
  </si>
  <si>
    <t>Tipo de costura: cosida a mano y máquina</t>
  </si>
  <si>
    <t>Uso: entrenamiento</t>
  </si>
  <si>
    <t>Paneles: 32 paneles</t>
  </si>
  <si>
    <t>La pelota se entrega desinflada, en bolsa Descripción</t>
  </si>
  <si>
    <t>Material de la cámara: Cámara de aire de goma-o latex</t>
  </si>
  <si>
    <t xml:space="preserve">Mínima de SEIS (06) meses, sobre fallas o problemas de fabricación;reemplazando el ítem por uno de idénticas características.
</t>
  </si>
  <si>
    <t>Especificidades Item N° 2:</t>
  </si>
  <si>
    <t>Especificidades Item N° 4:</t>
  </si>
  <si>
    <t>Especificidades Item N° 5:</t>
  </si>
  <si>
    <t>Especificidades Item N° 6:</t>
  </si>
  <si>
    <t>Especificidades Item N° 7:</t>
  </si>
  <si>
    <t>Sí</t>
  </si>
  <si>
    <t>Circunferencia: 65-67 cm; Diámetro: 20,7- 21,3 cm</t>
  </si>
  <si>
    <t xml:space="preserve">Peso: 410-450 grs </t>
  </si>
  <si>
    <t>Peso:   260 - 280 grs</t>
  </si>
  <si>
    <t>Tipos de superficie: piso</t>
  </si>
  <si>
    <t>Material: cuero - (pvc, foam, caucho)</t>
  </si>
  <si>
    <t>Peso: 567-650 grs</t>
  </si>
  <si>
    <t xml:space="preserve">Color:  - naranja - </t>
  </si>
  <si>
    <t>Color: blanco</t>
  </si>
  <si>
    <t>Tipo de costura:  a mano o máquina</t>
  </si>
  <si>
    <t>Medida reglamentaria N° 7 Circunferencia: 75-78 cm; Diámetro: 23- 24 cm</t>
  </si>
  <si>
    <t>Medida reglamentaria N° 5 Circunferencia: 68-70 cm; Diámetro: 21,65- 22,29 cm</t>
  </si>
  <si>
    <t>Peso y tamaño reglamentarios Voley.</t>
  </si>
  <si>
    <t>Peso: 325-400 grs</t>
  </si>
  <si>
    <t>Circunferencia: 58-60 cm; Diámetro: 16 cm aprox.</t>
  </si>
  <si>
    <t>Colores a disponibilidad: azul - rojo - naranja - blanco - gris</t>
  </si>
  <si>
    <t>Peso: 400 grs aprox.</t>
  </si>
  <si>
    <t>Diámetro: 18- 20 cm</t>
  </si>
  <si>
    <t>Material: Goma - Silicona - Pvc, para Gimnasia Rítmica</t>
  </si>
  <si>
    <t>Color Malla: Negro</t>
  </si>
  <si>
    <t>Con doble banda.</t>
  </si>
  <si>
    <t>Color Banda: Blanco</t>
  </si>
  <si>
    <t>Material: Plastico, PVC, flexibles.</t>
  </si>
  <si>
    <t>Altura: 14-20cm</t>
  </si>
  <si>
    <t>Deben ser apilables</t>
  </si>
  <si>
    <t>Especificidades Item N° 8:</t>
  </si>
  <si>
    <t xml:space="preserve">Material: Polietileno de alta resistencia. </t>
  </si>
  <si>
    <t>Color: Blanco</t>
  </si>
  <si>
    <t xml:space="preserve">Medida de los cuadros de la malla: 12cm aprox. </t>
  </si>
  <si>
    <t>Diametro de cuerda: 3mm aprox.</t>
  </si>
  <si>
    <t>Especificidades Item N° 9:</t>
  </si>
  <si>
    <t xml:space="preserve">Medidas: Reglamentaria futbol 11, para arcos de 7,32m ancho x 2,44m alto, y de 1,50 a 2,00m de profundidad. </t>
  </si>
  <si>
    <t xml:space="preserve">Medidas: Reglamentaria futbol 5, para arcos de 3,00m ancho x 2,00m alto, y de 0,60m a 1,00m de profundidad. </t>
  </si>
  <si>
    <t>Diametro de cuerda: 2,5mm aprox.</t>
  </si>
  <si>
    <t>Especificidades Item N° 10:</t>
  </si>
  <si>
    <t xml:space="preserve">Medidas: Reglamentaria basquet, para aros de 45,7cm de diametro </t>
  </si>
  <si>
    <t>Ganchos: 12</t>
  </si>
  <si>
    <t>Diametro de cuerda: 5mm aprox.</t>
  </si>
  <si>
    <t>Largo de caída de la red: 47cm aprox.</t>
  </si>
  <si>
    <t>Especificidades Item N° 11:</t>
  </si>
  <si>
    <t>Largo: 275 cm. aprox., ajustable.</t>
  </si>
  <si>
    <t xml:space="preserve">Con mango ergonómico. </t>
  </si>
  <si>
    <t xml:space="preserve">Soga para saltar, de material cable de acero recubierto. De alta resistencia. </t>
  </si>
  <si>
    <t>Especificidades Item N° 12:</t>
  </si>
  <si>
    <t>Medida de los cuadros de la malla: 12cm aprox. Cuadrados o Hexagonales.</t>
  </si>
  <si>
    <t>Especificidades Item N° 13:</t>
  </si>
  <si>
    <t xml:space="preserve">Varilla para Red de Voley. </t>
  </si>
  <si>
    <t>Material: Fibra de vidrio o similar.</t>
  </si>
  <si>
    <t>Medidas: 180cm x 10mm</t>
  </si>
  <si>
    <t xml:space="preserve">Color: Pintado con franjas blancas y rojas de 10cm </t>
  </si>
  <si>
    <t>Color: varios.</t>
  </si>
  <si>
    <t xml:space="preserve">Material: cuero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</si>
  <si>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deposito del Ministerio de Educación - Sito en calle Maipú 1251 - San Fernando del Valle de Catamarca .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</si>
  <si>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t>Material de la cámara: Butilo -</t>
  </si>
  <si>
    <t>no es costura</t>
  </si>
  <si>
    <t>agregar numero de item</t>
  </si>
  <si>
    <t>ok</t>
  </si>
  <si>
    <t>aproximadamente</t>
  </si>
  <si>
    <t>cambiar desde 11 hasta 18 (no vienen de 15), mas pequeños se llaman cono tortuga (hasta 10 cm)</t>
  </si>
  <si>
    <t>tortugas: colores varios - comunes: solo naranjas</t>
  </si>
  <si>
    <t>con guias de cable de acero con doble banda</t>
  </si>
  <si>
    <t>handball</t>
  </si>
  <si>
    <t>Especificidades Item N° 1 al 13:</t>
  </si>
  <si>
    <t xml:space="preserve">copiar del item 3 </t>
  </si>
  <si>
    <t>Especificidades Item N° 3 :</t>
  </si>
  <si>
    <t>colores varios</t>
  </si>
  <si>
    <t>colores varios o disponibles</t>
  </si>
  <si>
    <t xml:space="preserve">cesped artificial o piso </t>
  </si>
  <si>
    <t>Tipo de costura: a mano o máquina</t>
  </si>
  <si>
    <t>Tipos de superficie: Césped artificial o piso</t>
  </si>
  <si>
    <t>Colores varios o disponibles</t>
  </si>
  <si>
    <t xml:space="preserve">Material: cuero. </t>
  </si>
  <si>
    <t>Pegada</t>
  </si>
  <si>
    <t>Colores varios</t>
  </si>
  <si>
    <t>Medidas: Reglamentaria: 100cm x 950cm aproximadamente</t>
  </si>
  <si>
    <t>Medida de los cuadros de la malla: 10cm x 10cm aproximadamente</t>
  </si>
  <si>
    <t>Material: Polietileno de alta resistencia. Con guias de cable de acero con doble banda.</t>
  </si>
  <si>
    <t>Color: naranja</t>
  </si>
  <si>
    <t xml:space="preserve">Medidas: Reglamentaria Handball, para arcos de 3,00m ancho x 2,00m alto, y de 0,60m a 1,00m de profundidad. </t>
  </si>
  <si>
    <t>Ancho de la base: 11cm hasta-18cm</t>
  </si>
  <si>
    <t>N° xx-2022</t>
  </si>
  <si>
    <r>
      <t>Autorizo la realización de los  trámites correspondientes, a fin de proveer a  este Organismo los bienes que se detallan en Nota  de Pedido N° XX</t>
    </r>
    <r>
      <rPr>
        <b/>
        <sz val="11"/>
        <rFont val="Times New Roman"/>
        <family val="1"/>
      </rPr>
      <t>/22,</t>
    </r>
    <r>
      <rPr>
        <sz val="11"/>
        <rFont val="Times New Roman"/>
        <family val="1"/>
      </rPr>
      <t xml:space="preserve"> afectando la erogación resultante a los créditos presupuestarios aprobados a favor de esta Unidad Ejecutora, conforme al siguiente detalle: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</si>
</sst>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quot;$&quot;\ * #,##0.00_-;\-&quot;$&quot;\ * #,##0.00_-;_-&quot;$&quot;\ * &quot;-&quot;??_-;_-@_-"/>
    <numFmt numFmtId="164" formatCode="_-* #,##0.00&quot; €&quot;_-;\-* #,##0.00&quot; €&quot;_-;_-* \-??&quot; €&quot;_-;_-@_-"/>
    <numFmt numFmtId="165" formatCode="[$$-2C0A]\ #,##0.00;[$$-2C0A]&quot; -&quot;#,##0.00"/>
    <numFmt numFmtId="166" formatCode="&quot;$&quot;\ #,##0.00"/>
    <numFmt numFmtId="167" formatCode="[$$-2C0A]\ #,##0.00"/>
    <numFmt numFmtId="168" formatCode="dd\-mm\-yy;@"/>
    <numFmt numFmtId="169" formatCode="_(\$* #,##0.00_);_(\$* \(#,##0.00\);_(\$* \-??_);_(@_)"/>
    <numFmt numFmtId="170" formatCode="_-* #,##0.00\ _€_-;\-* #,##0.00\ _€_-;_-* &quot;-&quot;??\ _€_-;_-@_-"/>
    <numFmt numFmtId="171" formatCode="_-[$$-2C0A]\ * #,##0.00_-;\-[$$-2C0A]\ * #,##0.00_-;_-[$$-2C0A]\ * &quot;-&quot;??_-;_-@_-"/>
  </numFmts>
  <fonts count="40">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9"/>
      <name val="Times New Roman"/>
      <family val="1"/>
    </font>
    <font>
      <sz val="9"/>
      <color rgb="FF000000"/>
      <name val="Times New Roman"/>
      <family val="1"/>
    </font>
    <font>
      <b/>
      <sz val="11"/>
      <color theme="1"/>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rgb="FF000000"/>
      <name val="Times New Roman"/>
      <family val="1"/>
    </font>
    <font>
      <sz val="9"/>
      <name val="Times New Roman"/>
      <family val="1"/>
      <charset val="1"/>
    </font>
    <font>
      <b/>
      <u/>
      <sz val="10"/>
      <name val="Arial"/>
      <family val="2"/>
    </font>
    <font>
      <sz val="11"/>
      <name val="Times New Roman"/>
      <family val="1"/>
    </font>
    <font>
      <b/>
      <u/>
      <sz val="11"/>
      <name val="Times New Roman"/>
      <family val="1"/>
    </font>
    <font>
      <b/>
      <sz val="9"/>
      <name val="Times New Roman"/>
      <family val="1"/>
    </font>
    <font>
      <sz val="10"/>
      <name val="Arial"/>
      <family val="2"/>
      <charset val="1"/>
    </font>
    <font>
      <b/>
      <sz val="9"/>
      <color theme="1"/>
      <name val="Times New Roman"/>
      <family val="1"/>
    </font>
    <font>
      <sz val="11"/>
      <color theme="1"/>
      <name val="Times New Roman"/>
      <family val="1"/>
    </font>
    <font>
      <b/>
      <sz val="10"/>
      <color rgb="FFFF0000"/>
      <name val="Arial"/>
      <family val="2"/>
    </font>
    <font>
      <sz val="11"/>
      <color theme="0"/>
      <name val="Calibri"/>
      <family val="2"/>
      <scheme val="minor"/>
    </font>
    <font>
      <b/>
      <sz val="22"/>
      <name val="Times New Roman"/>
      <family val="1"/>
    </font>
    <font>
      <b/>
      <sz val="12"/>
      <color rgb="FF000000"/>
      <name val="Times New Roman"/>
      <family val="1"/>
    </font>
    <font>
      <sz val="10"/>
      <color rgb="FF000000"/>
      <name val="Times New Roman"/>
      <family val="1"/>
    </font>
    <font>
      <b/>
      <sz val="10"/>
      <color rgb="FF000000"/>
      <name val="Times New Roman"/>
      <family val="1"/>
    </font>
    <font>
      <b/>
      <sz val="8"/>
      <color rgb="FF000000"/>
      <name val="Times New Roman"/>
      <family val="1"/>
    </font>
    <font>
      <u/>
      <sz val="10"/>
      <name val="Times New Roman"/>
      <family val="1"/>
    </font>
    <font>
      <sz val="10"/>
      <color theme="0"/>
      <name val="Arial"/>
      <family val="2"/>
    </font>
    <font>
      <b/>
      <sz val="11"/>
      <name val="Arial"/>
      <family val="2"/>
    </font>
    <font>
      <sz val="10"/>
      <color theme="0"/>
      <name val="Times New Roman"/>
      <family val="1"/>
    </font>
    <font>
      <sz val="12"/>
      <color theme="0"/>
      <name val="Times New Roman"/>
      <family val="1"/>
      <charset val="1"/>
    </font>
    <font>
      <sz val="9"/>
      <color theme="0"/>
      <name val="Times New Roman"/>
      <family val="1"/>
    </font>
    <font>
      <b/>
      <sz val="11"/>
      <color theme="0"/>
      <name val="Arial"/>
      <family val="2"/>
    </font>
    <font>
      <b/>
      <sz val="8"/>
      <name val="Times New Roman"/>
      <family val="1"/>
    </font>
    <font>
      <sz val="10"/>
      <color theme="0"/>
      <name val="TimesNewRomanPSMT"/>
    </font>
    <font>
      <u/>
      <sz val="10"/>
      <color theme="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1">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3D3D3D"/>
      </top>
      <bottom style="thin">
        <color rgb="FF3D3D3D"/>
      </bottom>
      <diagonal/>
    </border>
    <border>
      <left style="medium">
        <color auto="1"/>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9" fontId="20" fillId="0" borderId="0" applyBorder="0" applyProtection="0"/>
  </cellStyleXfs>
  <cellXfs count="197">
    <xf numFmtId="0" fontId="0" fillId="0" borderId="0" xfId="0"/>
    <xf numFmtId="0" fontId="11" fillId="0" borderId="5" xfId="0" applyFont="1" applyBorder="1" applyAlignment="1">
      <alignment vertical="center"/>
    </xf>
    <xf numFmtId="0" fontId="11" fillId="0" borderId="0" xfId="0" applyFont="1" applyBorder="1" applyAlignment="1">
      <alignment vertical="center"/>
    </xf>
    <xf numFmtId="0" fontId="11" fillId="0" borderId="6" xfId="0" applyFont="1" applyBorder="1" applyAlignment="1">
      <alignment vertical="center"/>
    </xf>
    <xf numFmtId="0" fontId="5"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3" fillId="0" borderId="0" xfId="0" applyFont="1"/>
    <xf numFmtId="0" fontId="14" fillId="0" borderId="7" xfId="0" applyFont="1" applyBorder="1" applyAlignment="1">
      <alignment horizontal="center" vertical="center" wrapText="1"/>
    </xf>
    <xf numFmtId="0" fontId="15" fillId="0" borderId="7" xfId="0" applyFont="1" applyFill="1" applyBorder="1" applyAlignment="1">
      <alignment horizontal="center" vertical="center"/>
    </xf>
    <xf numFmtId="0" fontId="7" fillId="4" borderId="7" xfId="0" applyFont="1" applyFill="1" applyBorder="1" applyAlignment="1">
      <alignment horizontal="center" vertical="center" wrapText="1"/>
    </xf>
    <xf numFmtId="167" fontId="0" fillId="0" borderId="7" xfId="0" applyNumberFormat="1" applyBorder="1"/>
    <xf numFmtId="0" fontId="16" fillId="0" borderId="0" xfId="0" applyFont="1"/>
    <xf numFmtId="166" fontId="16" fillId="0" borderId="0" xfId="0" applyNumberFormat="1" applyFont="1"/>
    <xf numFmtId="3" fontId="10" fillId="0" borderId="3" xfId="0" applyNumberFormat="1" applyFont="1" applyBorder="1"/>
    <xf numFmtId="168" fontId="17" fillId="0" borderId="3" xfId="0" applyNumberFormat="1" applyFont="1" applyBorder="1" applyAlignment="1">
      <alignment horizontal="left"/>
    </xf>
    <xf numFmtId="0" fontId="17" fillId="0" borderId="3" xfId="0" applyFont="1" applyBorder="1"/>
    <xf numFmtId="0" fontId="17" fillId="0" borderId="5" xfId="0" applyFont="1" applyBorder="1"/>
    <xf numFmtId="0" fontId="17" fillId="0" borderId="0" xfId="0" applyFont="1"/>
    <xf numFmtId="0" fontId="17" fillId="0" borderId="0" xfId="0" applyFont="1" applyAlignment="1">
      <alignment horizontal="left"/>
    </xf>
    <xf numFmtId="168" fontId="17" fillId="0" borderId="0" xfId="0" applyNumberFormat="1" applyFont="1" applyAlignment="1">
      <alignment horizontal="left"/>
    </xf>
    <xf numFmtId="0" fontId="17" fillId="0" borderId="6" xfId="0" applyFont="1" applyBorder="1"/>
    <xf numFmtId="0" fontId="17" fillId="0" borderId="20" xfId="0" applyFont="1" applyBorder="1"/>
    <xf numFmtId="0" fontId="17" fillId="0" borderId="21" xfId="0" applyFont="1" applyBorder="1"/>
    <xf numFmtId="0" fontId="17" fillId="0" borderId="21" xfId="0" applyFont="1" applyBorder="1" applyAlignment="1">
      <alignment horizontal="left"/>
    </xf>
    <xf numFmtId="0" fontId="17" fillId="0" borderId="22" xfId="0" applyFont="1" applyBorder="1"/>
    <xf numFmtId="0" fontId="19" fillId="0" borderId="25" xfId="0" applyFont="1" applyBorder="1" applyAlignment="1">
      <alignment vertical="center"/>
    </xf>
    <xf numFmtId="0" fontId="19" fillId="0" borderId="26" xfId="0" applyFont="1" applyBorder="1" applyAlignment="1">
      <alignment vertical="center"/>
    </xf>
    <xf numFmtId="0" fontId="19" fillId="0" borderId="27" xfId="0" applyFont="1" applyBorder="1" applyAlignment="1">
      <alignment vertical="center"/>
    </xf>
    <xf numFmtId="0" fontId="19" fillId="0" borderId="28" xfId="0" applyFont="1" applyBorder="1" applyAlignment="1">
      <alignment vertical="center"/>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165" fontId="17" fillId="0" borderId="37" xfId="4" applyNumberFormat="1" applyFont="1" applyBorder="1" applyAlignment="1" applyProtection="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0" xfId="0" applyFont="1" applyBorder="1" applyAlignment="1">
      <alignment horizontal="center" vertical="center"/>
    </xf>
    <xf numFmtId="165" fontId="17" fillId="0" borderId="41" xfId="4" applyNumberFormat="1" applyFont="1" applyBorder="1" applyAlignment="1" applyProtection="1">
      <alignment horizontal="center" vertical="center"/>
    </xf>
    <xf numFmtId="165" fontId="19" fillId="0" borderId="43" xfId="0" applyNumberFormat="1" applyFont="1" applyBorder="1" applyAlignment="1">
      <alignment horizontal="center" vertical="center"/>
    </xf>
    <xf numFmtId="0" fontId="14" fillId="0" borderId="8" xfId="0" applyFont="1" applyFill="1" applyBorder="1" applyAlignment="1">
      <alignment horizontal="center" vertical="center" wrapText="1"/>
    </xf>
    <xf numFmtId="0" fontId="14" fillId="0" borderId="7" xfId="0" applyFont="1" applyFill="1" applyBorder="1" applyAlignment="1">
      <alignment horizontal="center" vertical="center" wrapText="1"/>
    </xf>
    <xf numFmtId="165" fontId="4" fillId="0" borderId="8" xfId="1" applyNumberFormat="1" applyFont="1" applyFill="1" applyBorder="1" applyAlignment="1" applyProtection="1">
      <alignment horizontal="right" vertical="center" wrapText="1"/>
    </xf>
    <xf numFmtId="165" fontId="4" fillId="0" borderId="7" xfId="1" applyNumberFormat="1" applyFont="1" applyFill="1" applyBorder="1" applyAlignment="1" applyProtection="1">
      <alignment horizontal="right" vertical="center" wrapText="1"/>
    </xf>
    <xf numFmtId="0" fontId="14" fillId="0" borderId="8" xfId="0" applyFont="1" applyBorder="1" applyAlignment="1">
      <alignment horizontal="left" vertical="center" wrapText="1"/>
    </xf>
    <xf numFmtId="0" fontId="14" fillId="0" borderId="7" xfId="0" applyFont="1" applyBorder="1" applyAlignment="1">
      <alignment horizontal="left" vertical="center" wrapText="1"/>
    </xf>
    <xf numFmtId="0" fontId="22" fillId="0" borderId="7" xfId="0" applyFont="1" applyFill="1" applyBorder="1" applyAlignment="1">
      <alignment horizontal="center" vertical="center" wrapText="1"/>
    </xf>
    <xf numFmtId="0" fontId="17" fillId="0" borderId="7" xfId="0" applyFont="1" applyBorder="1" applyAlignment="1">
      <alignment horizontal="center" vertical="center"/>
    </xf>
    <xf numFmtId="0" fontId="23" fillId="0" borderId="0" xfId="0" applyFont="1"/>
    <xf numFmtId="0" fontId="0" fillId="0" borderId="0" xfId="0" applyFont="1"/>
    <xf numFmtId="0" fontId="19" fillId="0" borderId="26" xfId="0" applyFont="1" applyBorder="1" applyAlignment="1">
      <alignment horizontal="center" vertical="center"/>
    </xf>
    <xf numFmtId="0" fontId="4" fillId="0" borderId="0" xfId="0" applyFont="1"/>
    <xf numFmtId="0" fontId="27" fillId="0" borderId="0" xfId="0" applyFont="1" applyAlignment="1">
      <alignment horizontal="left" wrapText="1"/>
    </xf>
    <xf numFmtId="0" fontId="26" fillId="4" borderId="0" xfId="0" applyFont="1" applyFill="1" applyAlignment="1">
      <alignment horizontal="left" wrapText="1" indent="1"/>
    </xf>
    <xf numFmtId="0" fontId="28" fillId="3" borderId="0" xfId="0" applyFont="1" applyFill="1" applyAlignment="1">
      <alignment horizontal="left" wrapText="1"/>
    </xf>
    <xf numFmtId="0" fontId="29" fillId="0" borderId="45" xfId="0" applyFont="1" applyBorder="1" applyAlignment="1">
      <alignment horizontal="center" vertical="center" wrapText="1"/>
    </xf>
    <xf numFmtId="0" fontId="29" fillId="0" borderId="46" xfId="0" applyFont="1" applyBorder="1" applyAlignment="1">
      <alignment horizontal="center" vertical="center" wrapText="1"/>
    </xf>
    <xf numFmtId="0" fontId="29" fillId="0" borderId="47" xfId="0" applyFont="1" applyBorder="1" applyAlignment="1">
      <alignment horizontal="center" vertical="center" wrapText="1"/>
    </xf>
    <xf numFmtId="44" fontId="0" fillId="0" borderId="0" xfId="0" applyNumberFormat="1"/>
    <xf numFmtId="0" fontId="6" fillId="0" borderId="48" xfId="0" applyFont="1" applyBorder="1" applyAlignment="1">
      <alignment horizontal="center" vertical="center"/>
    </xf>
    <xf numFmtId="0" fontId="0" fillId="0" borderId="48" xfId="0" applyBorder="1" applyAlignment="1">
      <alignment vertical="center" wrapText="1"/>
    </xf>
    <xf numFmtId="0" fontId="0" fillId="0" borderId="0" xfId="0" applyAlignment="1">
      <alignment vertical="center" wrapText="1"/>
    </xf>
    <xf numFmtId="0" fontId="7" fillId="0" borderId="48" xfId="0" applyFont="1" applyBorder="1" applyAlignment="1">
      <alignment horizontal="center" vertical="center" wrapText="1"/>
    </xf>
    <xf numFmtId="0" fontId="6" fillId="0" borderId="48" xfId="0" applyFont="1" applyBorder="1" applyAlignment="1">
      <alignment horizontal="center" vertical="center" wrapText="1"/>
    </xf>
    <xf numFmtId="170" fontId="0" fillId="0" borderId="0" xfId="0" applyNumberFormat="1"/>
    <xf numFmtId="0" fontId="6" fillId="0" borderId="7" xfId="0" applyFont="1" applyBorder="1" applyAlignment="1">
      <alignment horizontal="center" vertical="center"/>
    </xf>
    <xf numFmtId="0" fontId="0" fillId="0" borderId="7" xfId="0" applyBorder="1" applyAlignment="1">
      <alignment vertical="center" wrapText="1"/>
    </xf>
    <xf numFmtId="0" fontId="7"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4" borderId="49" xfId="0" applyFont="1" applyFill="1" applyBorder="1" applyAlignment="1">
      <alignment horizontal="left" vertical="center" wrapText="1"/>
    </xf>
    <xf numFmtId="0" fontId="0" fillId="0" borderId="0" xfId="0" applyAlignment="1">
      <alignment vertical="center"/>
    </xf>
    <xf numFmtId="0" fontId="6" fillId="0" borderId="0" xfId="0" applyFont="1" applyAlignment="1">
      <alignment horizontal="center" vertical="center"/>
    </xf>
    <xf numFmtId="0" fontId="7" fillId="4" borderId="0" xfId="0" applyFont="1" applyFill="1" applyBorder="1" applyAlignment="1">
      <alignment horizontal="center" vertical="center" wrapText="1"/>
    </xf>
    <xf numFmtId="0" fontId="0" fillId="0" borderId="0" xfId="0" applyAlignment="1">
      <alignment horizontal="center" vertical="center" wrapText="1"/>
    </xf>
    <xf numFmtId="0" fontId="30" fillId="0" borderId="2" xfId="0" applyFont="1" applyBorder="1"/>
    <xf numFmtId="0" fontId="4" fillId="0" borderId="3" xfId="0" applyFont="1" applyBorder="1"/>
    <xf numFmtId="0" fontId="4" fillId="0" borderId="4" xfId="0" applyFont="1" applyBorder="1"/>
    <xf numFmtId="0" fontId="30" fillId="0" borderId="5" xfId="0" applyFont="1" applyBorder="1" applyAlignment="1">
      <alignment horizontal="left" indent="3"/>
    </xf>
    <xf numFmtId="0" fontId="4" fillId="0" borderId="0" xfId="0" applyFont="1" applyBorder="1"/>
    <xf numFmtId="0" fontId="4" fillId="0" borderId="6" xfId="0" applyFont="1" applyBorder="1"/>
    <xf numFmtId="0" fontId="4" fillId="0" borderId="5" xfId="0" applyFont="1" applyBorder="1" applyAlignment="1">
      <alignment horizontal="left" indent="3"/>
    </xf>
    <xf numFmtId="0" fontId="4" fillId="0" borderId="0" xfId="0" applyFont="1" applyBorder="1" applyAlignment="1">
      <alignment horizontal="center" wrapText="1"/>
    </xf>
    <xf numFmtId="0" fontId="4" fillId="0" borderId="55" xfId="0" applyFont="1" applyBorder="1"/>
    <xf numFmtId="0" fontId="4" fillId="0" borderId="56" xfId="0" applyFont="1" applyBorder="1"/>
    <xf numFmtId="0" fontId="7" fillId="0" borderId="0" xfId="0" applyFont="1" applyBorder="1" applyAlignment="1">
      <alignment horizontal="center" vertical="center" wrapText="1"/>
    </xf>
    <xf numFmtId="0" fontId="0" fillId="0" borderId="0" xfId="0" applyAlignment="1">
      <alignment horizontal="left" vertical="center" wrapText="1"/>
    </xf>
    <xf numFmtId="0" fontId="7" fillId="4" borderId="0" xfId="0" applyFont="1" applyFill="1" applyAlignment="1">
      <alignment horizontal="center" vertical="center" wrapText="1"/>
    </xf>
    <xf numFmtId="165" fontId="6" fillId="4" borderId="0" xfId="1" applyNumberFormat="1" applyFont="1" applyFill="1" applyBorder="1" applyAlignment="1" applyProtection="1">
      <alignment horizontal="right"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3" fillId="0" borderId="7" xfId="0" applyFont="1" applyBorder="1" applyAlignment="1">
      <alignment horizontal="left" vertical="center" wrapText="1"/>
    </xf>
    <xf numFmtId="0" fontId="0" fillId="0" borderId="0" xfId="0" applyAlignment="1">
      <alignment wrapText="1"/>
    </xf>
    <xf numFmtId="0" fontId="3" fillId="0" borderId="50" xfId="0" applyFont="1" applyBorder="1" applyAlignment="1">
      <alignment horizontal="left" vertical="center" wrapText="1"/>
    </xf>
    <xf numFmtId="171" fontId="3" fillId="0" borderId="48" xfId="1" applyNumberFormat="1" applyBorder="1"/>
    <xf numFmtId="171" fontId="3" fillId="0" borderId="7" xfId="1" applyNumberFormat="1" applyBorder="1"/>
    <xf numFmtId="0" fontId="31" fillId="0" borderId="0" xfId="0" applyFont="1"/>
    <xf numFmtId="167" fontId="24" fillId="0" borderId="0" xfId="0" applyNumberFormat="1" applyFont="1"/>
    <xf numFmtId="167" fontId="31" fillId="0" borderId="0" xfId="0" applyNumberFormat="1" applyFont="1"/>
    <xf numFmtId="0" fontId="4" fillId="0" borderId="5" xfId="0" applyFont="1" applyBorder="1"/>
    <xf numFmtId="0" fontId="4" fillId="0" borderId="6" xfId="0" applyFont="1" applyBorder="1" applyAlignment="1">
      <alignment horizontal="center" wrapText="1"/>
    </xf>
    <xf numFmtId="0" fontId="4" fillId="0" borderId="54" xfId="0" applyFont="1" applyBorder="1" applyAlignment="1">
      <alignment horizontal="left" indent="3"/>
    </xf>
    <xf numFmtId="44" fontId="3" fillId="0" borderId="0" xfId="0" applyNumberFormat="1" applyFont="1"/>
    <xf numFmtId="0" fontId="3" fillId="0" borderId="0" xfId="0" applyFont="1" applyAlignment="1">
      <alignment vertical="center" wrapText="1"/>
    </xf>
    <xf numFmtId="0" fontId="32" fillId="0" borderId="0" xfId="0" applyFont="1" applyAlignment="1">
      <alignment horizontal="left" vertical="center" wrapText="1" indent="1"/>
    </xf>
    <xf numFmtId="0" fontId="3" fillId="0" borderId="50" xfId="0" applyFont="1" applyBorder="1" applyAlignment="1">
      <alignment vertical="center" wrapText="1"/>
    </xf>
    <xf numFmtId="0" fontId="33" fillId="0" borderId="0" xfId="0" applyFont="1" applyAlignment="1">
      <alignment horizontal="left" wrapText="1"/>
    </xf>
    <xf numFmtId="165" fontId="35" fillId="4" borderId="0" xfId="1" applyNumberFormat="1" applyFont="1" applyFill="1" applyBorder="1" applyAlignment="1" applyProtection="1">
      <alignment horizontal="right" vertical="center" wrapText="1"/>
    </xf>
    <xf numFmtId="0" fontId="33" fillId="0" borderId="0" xfId="0" applyFont="1"/>
    <xf numFmtId="0" fontId="36" fillId="0" borderId="0" xfId="0" applyFont="1" applyAlignment="1">
      <alignment horizontal="left" vertical="center" wrapText="1" indent="1"/>
    </xf>
    <xf numFmtId="0" fontId="33" fillId="0" borderId="0" xfId="0" applyFont="1" applyAlignment="1">
      <alignment horizontal="center" wrapText="1"/>
    </xf>
    <xf numFmtId="0" fontId="35" fillId="4" borderId="0" xfId="0" applyFont="1" applyFill="1" applyAlignment="1">
      <alignment horizontal="center" vertical="center" wrapText="1"/>
    </xf>
    <xf numFmtId="0" fontId="37" fillId="0" borderId="46" xfId="0" applyFont="1" applyBorder="1" applyAlignment="1">
      <alignment horizontal="center" vertical="center" wrapText="1"/>
    </xf>
    <xf numFmtId="171" fontId="3" fillId="0" borderId="48" xfId="1" applyNumberFormat="1" applyFont="1" applyBorder="1"/>
    <xf numFmtId="171" fontId="3" fillId="0" borderId="7" xfId="1" applyNumberFormat="1" applyFont="1" applyBorder="1"/>
    <xf numFmtId="0" fontId="0" fillId="0" borderId="7" xfId="0" applyFill="1" applyBorder="1" applyAlignment="1">
      <alignment vertical="center"/>
    </xf>
    <xf numFmtId="0" fontId="3" fillId="0" borderId="7" xfId="0" applyFont="1" applyFill="1" applyBorder="1" applyAlignment="1">
      <alignment vertical="center"/>
    </xf>
    <xf numFmtId="0" fontId="0" fillId="0" borderId="7" xfId="0" applyFont="1" applyFill="1" applyBorder="1" applyAlignment="1">
      <alignment vertical="center"/>
    </xf>
    <xf numFmtId="0" fontId="34" fillId="0" borderId="0" xfId="0" applyFont="1" applyFill="1" applyBorder="1" applyAlignment="1">
      <alignment horizontal="left" vertical="center" wrapText="1"/>
    </xf>
    <xf numFmtId="0" fontId="35" fillId="0" borderId="0" xfId="0" applyFont="1" applyFill="1" applyBorder="1" applyAlignment="1">
      <alignment horizontal="center" vertical="center" wrapText="1"/>
    </xf>
    <xf numFmtId="0" fontId="33" fillId="0" borderId="0" xfId="0" applyFont="1" applyFill="1" applyBorder="1"/>
    <xf numFmtId="0" fontId="33" fillId="0" borderId="0" xfId="0" applyFont="1" applyFill="1" applyBorder="1" applyAlignment="1">
      <alignment horizontal="left" vertical="center" wrapText="1"/>
    </xf>
    <xf numFmtId="0" fontId="31" fillId="0" borderId="0" xfId="0" applyFont="1" applyFill="1" applyBorder="1"/>
    <xf numFmtId="0" fontId="38" fillId="0" borderId="0" xfId="0" applyFont="1" applyFill="1" applyBorder="1"/>
    <xf numFmtId="0" fontId="31" fillId="0" borderId="0" xfId="0" applyFont="1" applyFill="1" applyBorder="1" applyAlignment="1">
      <alignment horizontal="center" vertical="center" wrapText="1"/>
    </xf>
    <xf numFmtId="0" fontId="31" fillId="0" borderId="0" xfId="0" applyFont="1" applyFill="1" applyBorder="1" applyAlignment="1">
      <alignment horizontal="left" vertical="center" wrapText="1"/>
    </xf>
    <xf numFmtId="0" fontId="39" fillId="0" borderId="0" xfId="0" applyFont="1" applyFill="1" applyBorder="1"/>
    <xf numFmtId="0" fontId="39" fillId="0" borderId="0" xfId="0" applyFont="1" applyFill="1" applyBorder="1" applyAlignment="1">
      <alignment horizontal="left" indent="3"/>
    </xf>
    <xf numFmtId="0" fontId="33" fillId="0" borderId="0" xfId="0" applyFont="1" applyFill="1" applyBorder="1" applyAlignment="1">
      <alignment horizontal="left" indent="3"/>
    </xf>
    <xf numFmtId="0" fontId="31" fillId="0" borderId="0" xfId="0" applyFont="1" applyFill="1" applyBorder="1" applyAlignment="1">
      <alignment wrapText="1"/>
    </xf>
    <xf numFmtId="165" fontId="6" fillId="0" borderId="31" xfId="4" applyNumberFormat="1" applyFont="1" applyFill="1" applyBorder="1" applyAlignment="1" applyProtection="1">
      <alignment horizontal="center" vertical="center"/>
    </xf>
    <xf numFmtId="165" fontId="6" fillId="0" borderId="37" xfId="4" applyNumberFormat="1" applyFont="1" applyFill="1" applyBorder="1" applyAlignment="1" applyProtection="1">
      <alignment horizontal="center" vertical="center"/>
    </xf>
    <xf numFmtId="0" fontId="10" fillId="0" borderId="9" xfId="0" applyFont="1" applyFill="1" applyBorder="1" applyAlignment="1">
      <alignment horizontal="left" vertical="center"/>
    </xf>
    <xf numFmtId="0" fontId="6" fillId="0" borderId="58" xfId="0" applyFont="1" applyFill="1" applyBorder="1" applyAlignment="1">
      <alignment horizontal="center" vertical="center"/>
    </xf>
    <xf numFmtId="0" fontId="6" fillId="0" borderId="59" xfId="0" applyFont="1" applyFill="1" applyBorder="1" applyAlignment="1">
      <alignment horizontal="center" vertical="center"/>
    </xf>
    <xf numFmtId="0" fontId="6" fillId="0" borderId="60" xfId="0" applyFont="1" applyFill="1" applyBorder="1" applyAlignment="1">
      <alignment horizontal="center" vertical="center"/>
    </xf>
    <xf numFmtId="0" fontId="6" fillId="0" borderId="7" xfId="0" applyFont="1" applyFill="1" applyBorder="1" applyAlignment="1">
      <alignment horizontal="center" vertical="center"/>
    </xf>
    <xf numFmtId="0" fontId="4" fillId="4" borderId="0"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0" xfId="0" applyFont="1" applyFill="1" applyBorder="1" applyAlignment="1">
      <alignment horizontal="left" wrapText="1"/>
    </xf>
    <xf numFmtId="0" fontId="4" fillId="4" borderId="6" xfId="0" applyFont="1" applyFill="1" applyBorder="1" applyAlignment="1">
      <alignment horizontal="left" wrapText="1"/>
    </xf>
    <xf numFmtId="0" fontId="4" fillId="4" borderId="0" xfId="0" applyFont="1" applyFill="1" applyBorder="1" applyAlignment="1">
      <alignment horizontal="left" vertical="center"/>
    </xf>
    <xf numFmtId="0" fontId="4" fillId="4" borderId="6" xfId="0" applyFont="1" applyFill="1" applyBorder="1" applyAlignment="1">
      <alignment horizontal="left" vertical="center"/>
    </xf>
    <xf numFmtId="0" fontId="5" fillId="0" borderId="0" xfId="0" applyFont="1" applyAlignment="1">
      <alignment horizontal="left" vertical="center" wrapText="1"/>
    </xf>
    <xf numFmtId="0" fontId="19" fillId="0" borderId="51" xfId="0" applyFont="1" applyBorder="1" applyAlignment="1">
      <alignment horizontal="left" vertical="center" wrapText="1"/>
    </xf>
    <xf numFmtId="0" fontId="19" fillId="0" borderId="52" xfId="0" applyFont="1" applyBorder="1" applyAlignment="1">
      <alignment horizontal="left" vertical="center" wrapText="1"/>
    </xf>
    <xf numFmtId="0" fontId="19" fillId="0" borderId="53" xfId="0" applyFont="1" applyBorder="1" applyAlignment="1">
      <alignment horizontal="left" vertical="center" wrapText="1"/>
    </xf>
    <xf numFmtId="0" fontId="25" fillId="0" borderId="0" xfId="0" applyFont="1" applyAlignment="1">
      <alignment horizontal="center"/>
    </xf>
    <xf numFmtId="0" fontId="26" fillId="4" borderId="0" xfId="0" applyFont="1" applyFill="1" applyAlignment="1">
      <alignment horizontal="left" wrapText="1" indent="1"/>
    </xf>
    <xf numFmtId="0" fontId="12" fillId="0" borderId="9"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3" fillId="0" borderId="9" xfId="0" applyFont="1" applyFill="1" applyBorder="1" applyAlignment="1">
      <alignment vertical="center" wrapText="1"/>
    </xf>
    <xf numFmtId="0" fontId="13" fillId="0" borderId="9" xfId="0" applyFont="1" applyFill="1" applyBorder="1" applyAlignment="1">
      <alignment horizontal="lef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8" fillId="0" borderId="7" xfId="0" applyFont="1" applyBorder="1" applyAlignment="1">
      <alignment horizontal="left" vertical="top" wrapText="1"/>
    </xf>
    <xf numFmtId="0" fontId="13" fillId="0" borderId="9" xfId="0" applyFont="1" applyBorder="1" applyAlignment="1">
      <alignment horizontal="left" vertical="center" wrapText="1"/>
    </xf>
    <xf numFmtId="0" fontId="13" fillId="0" borderId="9" xfId="0" applyFont="1" applyBorder="1" applyAlignment="1">
      <alignment vertical="center" wrapText="1"/>
    </xf>
    <xf numFmtId="0" fontId="17" fillId="0" borderId="13" xfId="0" applyFont="1" applyFill="1" applyBorder="1" applyAlignment="1">
      <alignment horizontal="left" vertical="center" wrapText="1"/>
    </xf>
    <xf numFmtId="0" fontId="17" fillId="0" borderId="14" xfId="0" applyFont="1" applyFill="1" applyBorder="1" applyAlignment="1"/>
    <xf numFmtId="0" fontId="17"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vertical="center" wrapText="1"/>
    </xf>
    <xf numFmtId="0" fontId="17" fillId="0" borderId="13" xfId="0" applyFont="1" applyFill="1" applyBorder="1"/>
    <xf numFmtId="0" fontId="6" fillId="0" borderId="29" xfId="0" applyFont="1" applyFill="1" applyBorder="1" applyAlignment="1">
      <alignment horizontal="left" vertical="center" wrapText="1"/>
    </xf>
    <xf numFmtId="0" fontId="6" fillId="0" borderId="30" xfId="0" applyFont="1" applyFill="1" applyBorder="1" applyAlignment="1">
      <alignment horizontal="left" vertical="center" wrapText="1"/>
    </xf>
    <xf numFmtId="0" fontId="17" fillId="3" borderId="15" xfId="0" applyFont="1" applyFill="1" applyBorder="1" applyAlignment="1">
      <alignment horizontal="left" vertical="center"/>
    </xf>
    <xf numFmtId="0" fontId="17" fillId="3" borderId="16" xfId="0" applyFont="1" applyFill="1" applyBorder="1" applyAlignment="1">
      <alignment horizontal="left" vertical="center"/>
    </xf>
    <xf numFmtId="0" fontId="17" fillId="3" borderId="17" xfId="0" applyFont="1" applyFill="1" applyBorder="1" applyAlignment="1">
      <alignment horizontal="left" vertical="center"/>
    </xf>
    <xf numFmtId="0" fontId="17" fillId="3" borderId="14" xfId="0" applyFont="1" applyFill="1" applyBorder="1" applyAlignment="1"/>
    <xf numFmtId="0" fontId="17" fillId="0" borderId="15" xfId="0" applyFont="1" applyBorder="1" applyAlignment="1">
      <alignment horizontal="left" vertical="center"/>
    </xf>
    <xf numFmtId="0" fontId="17" fillId="0" borderId="16" xfId="0" applyFont="1" applyBorder="1" applyAlignment="1">
      <alignment horizontal="left" vertical="center"/>
    </xf>
    <xf numFmtId="0" fontId="17" fillId="0" borderId="17" xfId="0" applyFont="1" applyBorder="1" applyAlignment="1">
      <alignment horizontal="left" vertical="center"/>
    </xf>
    <xf numFmtId="0" fontId="17" fillId="0" borderId="14" xfId="0" applyFont="1" applyBorder="1" applyAlignment="1"/>
    <xf numFmtId="0" fontId="18" fillId="0" borderId="18" xfId="0" applyFont="1" applyBorder="1" applyAlignment="1">
      <alignment horizontal="left"/>
    </xf>
    <xf numFmtId="0" fontId="17" fillId="0" borderId="19" xfId="0" applyFont="1" applyBorder="1" applyAlignment="1">
      <alignment horizontal="left"/>
    </xf>
    <xf numFmtId="0" fontId="17" fillId="0" borderId="5" xfId="0" applyNumberFormat="1" applyFont="1" applyBorder="1" applyAlignment="1">
      <alignment horizontal="justify" vertical="center" wrapText="1"/>
    </xf>
    <xf numFmtId="0" fontId="17" fillId="0" borderId="0" xfId="0" applyNumberFormat="1" applyFont="1" applyBorder="1" applyAlignment="1">
      <alignment horizontal="justify" vertical="center" wrapText="1"/>
    </xf>
    <xf numFmtId="0" fontId="17" fillId="0" borderId="6" xfId="0" applyNumberFormat="1" applyFont="1" applyBorder="1" applyAlignment="1">
      <alignment horizontal="justify" vertical="center" wrapText="1"/>
    </xf>
    <xf numFmtId="0" fontId="19" fillId="0" borderId="19" xfId="0" applyFont="1" applyBorder="1" applyAlignment="1">
      <alignment horizontal="center" vertical="center"/>
    </xf>
    <xf numFmtId="0" fontId="19" fillId="0" borderId="13" xfId="0" applyFont="1" applyBorder="1" applyAlignment="1">
      <alignment horizontal="center" vertical="center"/>
    </xf>
    <xf numFmtId="0" fontId="19" fillId="0" borderId="23" xfId="0" applyFont="1" applyBorder="1" applyAlignment="1">
      <alignment horizontal="center" vertical="center" wrapText="1"/>
    </xf>
    <xf numFmtId="0" fontId="19" fillId="0" borderId="24" xfId="0" applyFont="1" applyBorder="1" applyAlignment="1">
      <alignment horizontal="center" vertical="center"/>
    </xf>
    <xf numFmtId="0" fontId="6" fillId="0" borderId="19" xfId="0" applyFont="1" applyBorder="1"/>
    <xf numFmtId="0" fontId="19" fillId="0" borderId="9" xfId="0" applyFont="1" applyBorder="1" applyAlignment="1">
      <alignment vertical="center" wrapText="1"/>
    </xf>
    <xf numFmtId="0" fontId="6" fillId="0" borderId="24" xfId="0" applyFont="1" applyBorder="1" applyAlignment="1">
      <alignment vertical="center" wrapText="1"/>
    </xf>
    <xf numFmtId="0" fontId="6" fillId="0" borderId="44" xfId="0" applyFont="1" applyBorder="1" applyAlignment="1">
      <alignment horizontal="left" vertical="center" wrapText="1" indent="1"/>
    </xf>
    <xf numFmtId="0" fontId="6" fillId="0" borderId="57" xfId="0" applyFont="1" applyFill="1" applyBorder="1" applyAlignment="1">
      <alignment horizontal="left" vertical="center" wrapText="1"/>
    </xf>
    <xf numFmtId="0" fontId="6" fillId="0" borderId="36" xfId="0" applyFont="1" applyFill="1" applyBorder="1" applyAlignment="1">
      <alignment horizontal="left" vertical="center" wrapText="1"/>
    </xf>
    <xf numFmtId="0" fontId="17" fillId="0" borderId="35" xfId="0" applyFont="1" applyBorder="1" applyAlignment="1">
      <alignment horizontal="center"/>
    </xf>
    <xf numFmtId="0" fontId="17" fillId="0" borderId="35" xfId="0" applyFont="1" applyBorder="1" applyAlignment="1">
      <alignment horizontal="center" vertical="center"/>
    </xf>
    <xf numFmtId="0" fontId="17" fillId="0" borderId="39" xfId="0" applyFont="1" applyBorder="1" applyAlignment="1">
      <alignment horizontal="left" vertical="center"/>
    </xf>
    <xf numFmtId="0" fontId="21" fillId="0" borderId="42" xfId="0" applyFont="1" applyBorder="1" applyAlignment="1">
      <alignment horizontal="left" vertical="center" wrapText="1"/>
    </xf>
    <xf numFmtId="0" fontId="33" fillId="0" borderId="0" xfId="0" applyFont="1" applyFill="1" applyBorder="1" applyAlignment="1">
      <alignment horizontal="left" vertical="center" wrapText="1"/>
    </xf>
    <xf numFmtId="0" fontId="31" fillId="0" borderId="0" xfId="0" applyFont="1" applyFill="1" applyBorder="1" applyAlignment="1">
      <alignment horizontal="left" wrapText="1"/>
    </xf>
  </cellXfs>
  <cellStyles count="5">
    <cellStyle name="Encabezado 1" xfId="2"/>
    <cellStyle name="Moneda" xfId="1" builtinId="4"/>
    <cellStyle name="Moneda_AUTORIZACION Y NOTA DE PEDIDO" xf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F3" sqref="F3"/>
    </sheetView>
  </sheetViews>
  <sheetFormatPr baseColWidth="10" defaultRowHeight="12.75"/>
  <cols>
    <col min="1" max="1" width="4.5703125" customWidth="1"/>
    <col min="2" max="2" width="13" customWidth="1"/>
    <col min="3" max="3" width="22.7109375" customWidth="1"/>
    <col min="4" max="4" width="12.140625" customWidth="1"/>
    <col min="5" max="5" width="34.5703125" customWidth="1"/>
    <col min="6" max="6" width="7.28515625" customWidth="1"/>
    <col min="7" max="7" width="6.7109375" style="94" customWidth="1"/>
    <col min="8" max="8" width="12.42578125" style="94" customWidth="1"/>
    <col min="9" max="9" width="19.5703125" customWidth="1"/>
    <col min="10" max="10" width="12" bestFit="1" customWidth="1"/>
    <col min="11" max="12" width="14.5703125" bestFit="1" customWidth="1"/>
  </cols>
  <sheetData>
    <row r="1" spans="1:12" ht="27">
      <c r="A1" s="50"/>
      <c r="B1" s="145" t="s">
        <v>74</v>
      </c>
      <c r="C1" s="145"/>
      <c r="D1" s="145"/>
      <c r="E1" s="145"/>
      <c r="F1" s="145"/>
      <c r="G1" s="145"/>
      <c r="H1" s="145"/>
      <c r="I1" s="50"/>
    </row>
    <row r="2" spans="1:12" ht="15.75">
      <c r="A2" s="141" t="s">
        <v>75</v>
      </c>
      <c r="B2" s="141"/>
      <c r="C2" s="146" t="s">
        <v>9</v>
      </c>
      <c r="D2" s="146"/>
      <c r="E2" s="146"/>
      <c r="F2" s="51"/>
      <c r="G2" s="108"/>
      <c r="H2" s="104"/>
      <c r="I2" s="50"/>
    </row>
    <row r="3" spans="1:12" ht="15.75">
      <c r="A3" s="141" t="s">
        <v>76</v>
      </c>
      <c r="B3" s="141"/>
      <c r="C3" s="146" t="s">
        <v>11</v>
      </c>
      <c r="D3" s="146"/>
      <c r="E3" s="146"/>
      <c r="F3" s="51"/>
      <c r="G3" s="108"/>
      <c r="H3" s="104"/>
      <c r="I3" s="50"/>
    </row>
    <row r="4" spans="1:12" ht="15.75">
      <c r="A4" s="141" t="s">
        <v>0</v>
      </c>
      <c r="B4" s="141"/>
      <c r="C4" s="52">
        <v>2022</v>
      </c>
      <c r="D4" s="53"/>
      <c r="E4" s="53"/>
      <c r="F4" s="51"/>
      <c r="G4" s="108"/>
      <c r="H4" s="104"/>
      <c r="I4" s="50"/>
    </row>
    <row r="5" spans="1:12" ht="16.5" thickBot="1">
      <c r="A5" s="141" t="s">
        <v>77</v>
      </c>
      <c r="B5" s="141"/>
      <c r="C5" s="52">
        <v>4</v>
      </c>
      <c r="D5" s="53"/>
      <c r="E5" s="53"/>
      <c r="F5" s="51"/>
      <c r="G5" s="108"/>
      <c r="H5" s="104"/>
      <c r="I5" s="50"/>
    </row>
    <row r="6" spans="1:12" ht="32.25" thickBot="1">
      <c r="A6" s="54" t="s">
        <v>1</v>
      </c>
      <c r="B6" s="55" t="s">
        <v>2</v>
      </c>
      <c r="C6" s="55" t="s">
        <v>78</v>
      </c>
      <c r="D6" s="55" t="s">
        <v>79</v>
      </c>
      <c r="E6" s="55" t="s">
        <v>3</v>
      </c>
      <c r="F6" s="55" t="s">
        <v>4</v>
      </c>
      <c r="G6" s="110" t="s">
        <v>5</v>
      </c>
      <c r="H6" s="110" t="s">
        <v>6</v>
      </c>
      <c r="I6" s="56" t="s">
        <v>80</v>
      </c>
      <c r="K6" s="57"/>
    </row>
    <row r="7" spans="1:12" ht="38.25">
      <c r="A7" s="58">
        <v>1</v>
      </c>
      <c r="B7" s="59" t="s">
        <v>43</v>
      </c>
      <c r="C7" s="60" t="s">
        <v>87</v>
      </c>
      <c r="D7" s="61" t="s">
        <v>85</v>
      </c>
      <c r="E7" s="101" t="s">
        <v>56</v>
      </c>
      <c r="F7" s="62" t="s">
        <v>18</v>
      </c>
      <c r="G7" s="58">
        <v>100</v>
      </c>
      <c r="H7" s="111">
        <v>17000</v>
      </c>
      <c r="I7" s="92">
        <f>+G7*H7</f>
        <v>1700000</v>
      </c>
      <c r="K7" s="100"/>
      <c r="L7" s="63"/>
    </row>
    <row r="8" spans="1:12" ht="38.25">
      <c r="A8" s="58">
        <v>2</v>
      </c>
      <c r="B8" s="65" t="s">
        <v>44</v>
      </c>
      <c r="C8" s="87" t="s">
        <v>87</v>
      </c>
      <c r="D8" s="66" t="s">
        <v>86</v>
      </c>
      <c r="E8" s="87" t="s">
        <v>57</v>
      </c>
      <c r="F8" s="67" t="s">
        <v>18</v>
      </c>
      <c r="G8" s="64">
        <v>100</v>
      </c>
      <c r="H8" s="112">
        <v>14600</v>
      </c>
      <c r="I8" s="93">
        <f t="shared" ref="I8:I19" si="0">G8*H8</f>
        <v>1460000</v>
      </c>
      <c r="J8" s="68"/>
      <c r="K8" s="102"/>
      <c r="L8" s="63"/>
    </row>
    <row r="9" spans="1:12" ht="34.700000000000003" customHeight="1">
      <c r="A9" s="58">
        <v>3</v>
      </c>
      <c r="B9" s="69" t="s">
        <v>45</v>
      </c>
      <c r="C9" s="91" t="s">
        <v>87</v>
      </c>
      <c r="D9" s="66" t="s">
        <v>86</v>
      </c>
      <c r="E9" s="103" t="s">
        <v>58</v>
      </c>
      <c r="F9" s="67" t="s">
        <v>18</v>
      </c>
      <c r="G9" s="64">
        <v>40</v>
      </c>
      <c r="H9" s="112">
        <v>18000</v>
      </c>
      <c r="I9" s="93">
        <f t="shared" si="0"/>
        <v>720000</v>
      </c>
      <c r="K9" s="57"/>
      <c r="L9" s="63"/>
    </row>
    <row r="10" spans="1:12" ht="38.25">
      <c r="A10" s="58">
        <v>4</v>
      </c>
      <c r="B10" s="65" t="s">
        <v>46</v>
      </c>
      <c r="C10" s="87" t="s">
        <v>87</v>
      </c>
      <c r="D10" s="66" t="s">
        <v>86</v>
      </c>
      <c r="E10" s="87" t="s">
        <v>59</v>
      </c>
      <c r="F10" s="67" t="s">
        <v>18</v>
      </c>
      <c r="G10" s="64">
        <v>50</v>
      </c>
      <c r="H10" s="112">
        <v>9400</v>
      </c>
      <c r="I10" s="93">
        <f t="shared" si="0"/>
        <v>470000</v>
      </c>
      <c r="K10" s="57"/>
      <c r="L10" s="63"/>
    </row>
    <row r="11" spans="1:12" ht="38.25">
      <c r="A11" s="58">
        <v>5</v>
      </c>
      <c r="B11" s="88" t="s">
        <v>47</v>
      </c>
      <c r="C11" s="65" t="s">
        <v>88</v>
      </c>
      <c r="D11" s="66" t="s">
        <v>86</v>
      </c>
      <c r="E11" s="87" t="s">
        <v>60</v>
      </c>
      <c r="F11" s="67" t="s">
        <v>18</v>
      </c>
      <c r="G11" s="64">
        <v>100</v>
      </c>
      <c r="H11" s="112">
        <v>4500</v>
      </c>
      <c r="I11" s="93">
        <f t="shared" si="0"/>
        <v>450000</v>
      </c>
      <c r="K11" s="57"/>
      <c r="L11" s="63"/>
    </row>
    <row r="12" spans="1:12" ht="25.5">
      <c r="A12" s="58">
        <v>6</v>
      </c>
      <c r="B12" s="113" t="s">
        <v>48</v>
      </c>
      <c r="C12" s="65" t="s">
        <v>88</v>
      </c>
      <c r="D12" s="66" t="s">
        <v>86</v>
      </c>
      <c r="E12" s="87" t="s">
        <v>61</v>
      </c>
      <c r="F12" s="67" t="s">
        <v>18</v>
      </c>
      <c r="G12" s="64">
        <v>40</v>
      </c>
      <c r="H12" s="112">
        <v>9000</v>
      </c>
      <c r="I12" s="93">
        <f t="shared" si="0"/>
        <v>360000</v>
      </c>
      <c r="J12" s="63"/>
      <c r="K12" s="63"/>
      <c r="L12" s="63"/>
    </row>
    <row r="13" spans="1:12" ht="25.5">
      <c r="A13" s="58">
        <v>7</v>
      </c>
      <c r="B13" s="114" t="s">
        <v>49</v>
      </c>
      <c r="C13" s="65" t="s">
        <v>88</v>
      </c>
      <c r="D13" s="66" t="s">
        <v>86</v>
      </c>
      <c r="E13" s="87" t="s">
        <v>62</v>
      </c>
      <c r="F13" s="67" t="s">
        <v>18</v>
      </c>
      <c r="G13" s="64">
        <v>200</v>
      </c>
      <c r="H13" s="112">
        <v>260</v>
      </c>
      <c r="I13" s="93">
        <f t="shared" si="0"/>
        <v>52000</v>
      </c>
      <c r="J13" s="63"/>
      <c r="K13" s="57"/>
      <c r="L13" s="63">
        <f>SUM(L9:L12)</f>
        <v>0</v>
      </c>
    </row>
    <row r="14" spans="1:12" ht="25.5">
      <c r="A14" s="58">
        <v>8</v>
      </c>
      <c r="B14" s="115" t="s">
        <v>50</v>
      </c>
      <c r="C14" s="89" t="s">
        <v>88</v>
      </c>
      <c r="D14" s="66" t="s">
        <v>86</v>
      </c>
      <c r="E14" s="89" t="s">
        <v>63</v>
      </c>
      <c r="F14" s="67" t="s">
        <v>18</v>
      </c>
      <c r="G14" s="64">
        <v>10</v>
      </c>
      <c r="H14" s="112">
        <v>13000</v>
      </c>
      <c r="I14" s="93">
        <f t="shared" si="0"/>
        <v>130000</v>
      </c>
      <c r="K14" s="57"/>
    </row>
    <row r="15" spans="1:12" ht="25.5">
      <c r="A15" s="58">
        <v>9</v>
      </c>
      <c r="B15" s="115" t="s">
        <v>51</v>
      </c>
      <c r="C15" s="65" t="s">
        <v>88</v>
      </c>
      <c r="D15" s="66" t="s">
        <v>86</v>
      </c>
      <c r="E15" s="87" t="s">
        <v>64</v>
      </c>
      <c r="F15" s="67" t="s">
        <v>18</v>
      </c>
      <c r="G15" s="64">
        <v>50</v>
      </c>
      <c r="H15" s="112">
        <v>5400</v>
      </c>
      <c r="I15" s="93">
        <f t="shared" si="0"/>
        <v>270000</v>
      </c>
      <c r="K15" s="57"/>
    </row>
    <row r="16" spans="1:12" ht="25.5">
      <c r="A16" s="58">
        <v>10</v>
      </c>
      <c r="B16" s="115" t="s">
        <v>52</v>
      </c>
      <c r="C16" s="90" t="s">
        <v>88</v>
      </c>
      <c r="D16" s="66" t="s">
        <v>86</v>
      </c>
      <c r="E16" s="87" t="s">
        <v>65</v>
      </c>
      <c r="F16" s="67" t="s">
        <v>18</v>
      </c>
      <c r="G16" s="64">
        <v>20</v>
      </c>
      <c r="H16" s="112">
        <v>2000</v>
      </c>
      <c r="I16" s="93">
        <f t="shared" ref="I16" si="1">G16*H16</f>
        <v>40000</v>
      </c>
      <c r="K16" s="57"/>
    </row>
    <row r="17" spans="1:11" ht="25.5">
      <c r="A17" s="58">
        <v>11</v>
      </c>
      <c r="B17" s="115" t="s">
        <v>53</v>
      </c>
      <c r="C17" s="87" t="s">
        <v>88</v>
      </c>
      <c r="D17" s="66" t="s">
        <v>86</v>
      </c>
      <c r="E17" s="65" t="s">
        <v>66</v>
      </c>
      <c r="F17" s="67" t="s">
        <v>18</v>
      </c>
      <c r="G17" s="64">
        <v>200</v>
      </c>
      <c r="H17" s="112">
        <v>700</v>
      </c>
      <c r="I17" s="93">
        <f t="shared" si="0"/>
        <v>140000</v>
      </c>
      <c r="K17" s="57"/>
    </row>
    <row r="18" spans="1:11" ht="25.5">
      <c r="A18" s="58">
        <v>12</v>
      </c>
      <c r="B18" s="115" t="s">
        <v>54</v>
      </c>
      <c r="C18" s="65" t="s">
        <v>88</v>
      </c>
      <c r="D18" s="66" t="s">
        <v>86</v>
      </c>
      <c r="E18" s="65" t="s">
        <v>67</v>
      </c>
      <c r="F18" s="67" t="s">
        <v>18</v>
      </c>
      <c r="G18" s="64">
        <v>30</v>
      </c>
      <c r="H18" s="112">
        <v>5200</v>
      </c>
      <c r="I18" s="93">
        <f t="shared" ref="I18" si="2">G18*H18</f>
        <v>156000</v>
      </c>
      <c r="K18" s="57"/>
    </row>
    <row r="19" spans="1:11" ht="38.25">
      <c r="A19" s="58">
        <v>13</v>
      </c>
      <c r="B19" s="115" t="s">
        <v>55</v>
      </c>
      <c r="C19" s="65" t="s">
        <v>88</v>
      </c>
      <c r="D19" s="66" t="s">
        <v>86</v>
      </c>
      <c r="E19" s="87" t="s">
        <v>68</v>
      </c>
      <c r="F19" s="67" t="s">
        <v>18</v>
      </c>
      <c r="G19" s="64">
        <v>40</v>
      </c>
      <c r="H19" s="112">
        <v>4300</v>
      </c>
      <c r="I19" s="93">
        <f t="shared" si="0"/>
        <v>172000</v>
      </c>
      <c r="K19" s="57"/>
    </row>
    <row r="20" spans="1:11">
      <c r="A20" s="142" t="s">
        <v>89</v>
      </c>
      <c r="B20" s="143"/>
      <c r="C20" s="143"/>
      <c r="D20" s="143"/>
      <c r="E20" s="143"/>
      <c r="F20" s="143"/>
      <c r="G20" s="143"/>
      <c r="H20" s="144"/>
      <c r="I20" s="93">
        <f>SUM(I7:I19)</f>
        <v>6120000</v>
      </c>
      <c r="J20" s="63"/>
    </row>
    <row r="22" spans="1:11">
      <c r="A22" s="70"/>
      <c r="B22" s="71"/>
      <c r="C22" s="72"/>
      <c r="D22" s="83"/>
      <c r="E22" s="84"/>
      <c r="F22" s="85"/>
      <c r="G22" s="109"/>
      <c r="H22" s="105"/>
      <c r="I22" s="86"/>
    </row>
    <row r="23" spans="1:11" ht="13.5" thickBot="1"/>
    <row r="24" spans="1:11" s="50" customFormat="1">
      <c r="B24" s="73" t="s">
        <v>174</v>
      </c>
      <c r="C24" s="74"/>
      <c r="D24" s="74"/>
      <c r="E24" s="75"/>
      <c r="G24" s="106"/>
      <c r="H24" s="106" t="s">
        <v>56</v>
      </c>
    </row>
    <row r="25" spans="1:11" s="50" customFormat="1" ht="15">
      <c r="B25" s="97"/>
      <c r="C25" s="77"/>
      <c r="D25" s="77"/>
      <c r="E25" s="78"/>
      <c r="G25" s="106"/>
      <c r="H25" s="107"/>
    </row>
    <row r="26" spans="1:11" s="50" customFormat="1">
      <c r="B26" s="76"/>
      <c r="C26" s="135"/>
      <c r="D26" s="135"/>
      <c r="E26" s="136"/>
      <c r="G26" s="106"/>
      <c r="H26" s="106"/>
    </row>
    <row r="27" spans="1:11" s="50" customFormat="1">
      <c r="B27" s="76"/>
      <c r="C27" s="135"/>
      <c r="D27" s="135"/>
      <c r="E27" s="136"/>
      <c r="G27" s="106"/>
      <c r="H27" s="106"/>
    </row>
    <row r="28" spans="1:11" s="50" customFormat="1">
      <c r="B28" s="76" t="s">
        <v>82</v>
      </c>
      <c r="C28" s="77"/>
      <c r="D28" s="77"/>
      <c r="E28" s="78"/>
      <c r="G28" s="106"/>
      <c r="H28" s="106"/>
    </row>
    <row r="29" spans="1:11" s="50" customFormat="1" ht="12.75" customHeight="1">
      <c r="B29" s="79"/>
      <c r="C29" s="135" t="s">
        <v>164</v>
      </c>
      <c r="D29" s="135"/>
      <c r="E29" s="136"/>
      <c r="G29" s="106"/>
      <c r="H29" s="106"/>
    </row>
    <row r="30" spans="1:11" s="50" customFormat="1" ht="98.1" customHeight="1">
      <c r="B30" s="79"/>
      <c r="C30" s="135"/>
      <c r="D30" s="135"/>
      <c r="E30" s="136"/>
      <c r="G30" s="106"/>
      <c r="H30" s="106"/>
    </row>
    <row r="31" spans="1:11" s="50" customFormat="1" ht="20.25" customHeight="1">
      <c r="B31" s="76" t="s">
        <v>83</v>
      </c>
      <c r="C31" s="77"/>
      <c r="D31" s="77"/>
      <c r="E31" s="78"/>
      <c r="G31" s="106"/>
      <c r="H31" s="106"/>
    </row>
    <row r="32" spans="1:11" s="50" customFormat="1" ht="20.25" customHeight="1">
      <c r="B32" s="79"/>
      <c r="C32" s="135" t="s">
        <v>98</v>
      </c>
      <c r="D32" s="135"/>
      <c r="E32" s="136"/>
      <c r="G32" s="106"/>
      <c r="H32" s="106"/>
    </row>
    <row r="33" spans="2:8" s="50" customFormat="1">
      <c r="B33" s="76" t="s">
        <v>99</v>
      </c>
      <c r="C33" s="80"/>
      <c r="D33" s="80"/>
      <c r="E33" s="98"/>
      <c r="G33" s="106"/>
      <c r="H33" s="106"/>
    </row>
    <row r="34" spans="2:8" s="50" customFormat="1" ht="5.25" customHeight="1">
      <c r="B34" s="79"/>
      <c r="C34" s="137"/>
      <c r="D34" s="137"/>
      <c r="E34" s="138"/>
      <c r="G34" s="106"/>
      <c r="H34" s="106"/>
    </row>
    <row r="35" spans="2:8" s="50" customFormat="1" ht="18.75" customHeight="1">
      <c r="B35" s="76" t="s">
        <v>84</v>
      </c>
      <c r="C35" s="77"/>
      <c r="D35" s="77"/>
      <c r="E35" s="78"/>
      <c r="G35" s="106"/>
      <c r="H35" s="106"/>
    </row>
    <row r="36" spans="2:8" s="50" customFormat="1" ht="36.75" customHeight="1">
      <c r="B36" s="76"/>
      <c r="C36" s="135" t="s">
        <v>106</v>
      </c>
      <c r="D36" s="139"/>
      <c r="E36" s="140"/>
      <c r="G36" s="106"/>
      <c r="H36" s="106"/>
    </row>
    <row r="37" spans="2:8" s="50" customFormat="1" ht="13.5" thickBot="1">
      <c r="B37" s="99"/>
      <c r="C37" s="81"/>
      <c r="D37" s="81"/>
      <c r="E37" s="82"/>
      <c r="G37" s="106"/>
      <c r="H37" s="106"/>
    </row>
  </sheetData>
  <mergeCells count="14">
    <mergeCell ref="A5:B5"/>
    <mergeCell ref="A20:H20"/>
    <mergeCell ref="C26:E26"/>
    <mergeCell ref="B1:H1"/>
    <mergeCell ref="A2:B2"/>
    <mergeCell ref="C2:E2"/>
    <mergeCell ref="A3:B3"/>
    <mergeCell ref="C3:E3"/>
    <mergeCell ref="A4:B4"/>
    <mergeCell ref="C27:E27"/>
    <mergeCell ref="C29:E30"/>
    <mergeCell ref="C32:E32"/>
    <mergeCell ref="C34:E34"/>
    <mergeCell ref="C36:E3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topLeftCell="A16" workbookViewId="0">
      <selection activeCell="C10" sqref="C10"/>
    </sheetView>
  </sheetViews>
  <sheetFormatPr baseColWidth="10" defaultColWidth="11.42578125" defaultRowHeight="12.75"/>
  <cols>
    <col min="1" max="1" width="4.5703125" customWidth="1"/>
    <col min="2" max="2" width="26.85546875" customWidth="1"/>
    <col min="3" max="3" width="39.140625" customWidth="1"/>
    <col min="4" max="4" width="12.42578125" customWidth="1"/>
    <col min="5" max="5" width="12.5703125" customWidth="1"/>
    <col min="6" max="6" width="12.7109375" customWidth="1"/>
    <col min="7" max="7" width="13.7109375" customWidth="1"/>
    <col min="8" max="8" width="13" customWidth="1"/>
    <col min="10" max="10" width="12.85546875" bestFit="1" customWidth="1"/>
  </cols>
  <sheetData>
    <row r="1" spans="1:10" ht="16.5" thickBot="1">
      <c r="A1" s="149" t="s">
        <v>7</v>
      </c>
      <c r="B1" s="150"/>
      <c r="C1" s="150"/>
      <c r="D1" s="150"/>
      <c r="E1" s="150"/>
      <c r="F1" s="151"/>
      <c r="G1" s="130" t="s">
        <v>192</v>
      </c>
    </row>
    <row r="2" spans="1:10" ht="15" thickBot="1">
      <c r="A2" s="1"/>
      <c r="B2" s="2"/>
      <c r="C2" s="2"/>
      <c r="D2" s="2"/>
      <c r="E2" s="2"/>
      <c r="F2" s="2"/>
      <c r="G2" s="3"/>
    </row>
    <row r="3" spans="1:10" ht="15.75" thickBot="1">
      <c r="A3" s="147" t="s">
        <v>8</v>
      </c>
      <c r="B3" s="147"/>
      <c r="C3" s="152" t="s">
        <v>9</v>
      </c>
      <c r="D3" s="152"/>
      <c r="E3" s="152"/>
      <c r="F3" s="152"/>
      <c r="G3" s="152"/>
    </row>
    <row r="4" spans="1:10" ht="15.75" thickBot="1">
      <c r="A4" s="147" t="s">
        <v>10</v>
      </c>
      <c r="B4" s="147"/>
      <c r="C4" s="153" t="s">
        <v>11</v>
      </c>
      <c r="D4" s="153"/>
      <c r="E4" s="153"/>
      <c r="F4" s="153"/>
      <c r="G4" s="153"/>
    </row>
    <row r="5" spans="1:10" ht="15.75" thickBot="1">
      <c r="A5" s="147" t="s">
        <v>12</v>
      </c>
      <c r="B5" s="147"/>
      <c r="C5" s="148" t="s">
        <v>73</v>
      </c>
      <c r="D5" s="148"/>
      <c r="E5" s="148"/>
      <c r="F5" s="148"/>
      <c r="G5" s="148"/>
    </row>
    <row r="6" spans="1:10" ht="15.75" thickBot="1">
      <c r="A6" s="147" t="s">
        <v>14</v>
      </c>
      <c r="B6" s="147"/>
      <c r="C6" s="158" t="s">
        <v>13</v>
      </c>
      <c r="D6" s="158"/>
      <c r="E6" s="158"/>
      <c r="F6" s="158"/>
      <c r="G6" s="158"/>
    </row>
    <row r="7" spans="1:10" ht="15.75" thickBot="1">
      <c r="A7" s="147" t="s">
        <v>15</v>
      </c>
      <c r="B7" s="147"/>
      <c r="C7" s="152" t="s">
        <v>42</v>
      </c>
      <c r="D7" s="152"/>
      <c r="E7" s="152"/>
      <c r="F7" s="152"/>
      <c r="G7" s="152"/>
    </row>
    <row r="8" spans="1:10" ht="34.9" customHeight="1" thickBot="1">
      <c r="A8" s="147" t="s">
        <v>16</v>
      </c>
      <c r="B8" s="147"/>
      <c r="C8" s="159" t="s">
        <v>72</v>
      </c>
      <c r="D8" s="159"/>
      <c r="E8" s="159"/>
      <c r="F8" s="159"/>
      <c r="G8" s="159"/>
    </row>
    <row r="9" spans="1:10" ht="15">
      <c r="A9" s="154"/>
      <c r="B9" s="155"/>
      <c r="C9" s="155"/>
      <c r="D9" s="155"/>
      <c r="E9" s="155"/>
      <c r="F9" s="155"/>
      <c r="G9" s="156"/>
    </row>
    <row r="10" spans="1:10" ht="50.25" customHeight="1" thickBot="1">
      <c r="A10" s="4" t="s">
        <v>1</v>
      </c>
      <c r="B10" s="4" t="s">
        <v>2</v>
      </c>
      <c r="C10" s="4" t="s">
        <v>3</v>
      </c>
      <c r="D10" s="5" t="s">
        <v>17</v>
      </c>
      <c r="E10" s="4" t="s">
        <v>4</v>
      </c>
      <c r="F10" s="4" t="s">
        <v>6</v>
      </c>
      <c r="G10" s="4" t="s">
        <v>5</v>
      </c>
      <c r="H10" s="94"/>
      <c r="I10" s="6"/>
      <c r="J10" s="6"/>
    </row>
    <row r="11" spans="1:10" s="6" customFormat="1" ht="30">
      <c r="A11" s="7">
        <v>1</v>
      </c>
      <c r="B11" s="39" t="s">
        <v>43</v>
      </c>
      <c r="C11" s="43" t="s">
        <v>56</v>
      </c>
      <c r="D11" s="8" t="s">
        <v>112</v>
      </c>
      <c r="E11" s="9" t="s">
        <v>18</v>
      </c>
      <c r="F11" s="41">
        <v>17000</v>
      </c>
      <c r="G11" s="39">
        <v>100</v>
      </c>
      <c r="H11" s="95">
        <f>+G11*F11</f>
        <v>1700000</v>
      </c>
    </row>
    <row r="12" spans="1:10" s="6" customFormat="1" ht="30">
      <c r="A12" s="7">
        <v>2</v>
      </c>
      <c r="B12" s="45" t="s">
        <v>44</v>
      </c>
      <c r="C12" s="44" t="s">
        <v>57</v>
      </c>
      <c r="D12" s="8" t="s">
        <v>112</v>
      </c>
      <c r="E12" s="9" t="s">
        <v>18</v>
      </c>
      <c r="F12" s="42">
        <v>14600</v>
      </c>
      <c r="G12" s="40">
        <v>100</v>
      </c>
      <c r="H12" s="95">
        <f t="shared" ref="H12:H23" si="0">F12*G12</f>
        <v>1460000</v>
      </c>
    </row>
    <row r="13" spans="1:10" s="6" customFormat="1" ht="30">
      <c r="A13" s="46">
        <v>3</v>
      </c>
      <c r="B13" s="45" t="s">
        <v>45</v>
      </c>
      <c r="C13" s="44" t="s">
        <v>58</v>
      </c>
      <c r="D13" s="8" t="s">
        <v>112</v>
      </c>
      <c r="E13" s="9" t="s">
        <v>18</v>
      </c>
      <c r="F13" s="42">
        <v>18000</v>
      </c>
      <c r="G13" s="40">
        <v>40</v>
      </c>
      <c r="H13" s="95">
        <f t="shared" si="0"/>
        <v>720000</v>
      </c>
    </row>
    <row r="14" spans="1:10" s="6" customFormat="1" ht="30">
      <c r="A14" s="46">
        <v>4</v>
      </c>
      <c r="B14" s="45" t="s">
        <v>46</v>
      </c>
      <c r="C14" s="44" t="s">
        <v>59</v>
      </c>
      <c r="D14" s="8" t="s">
        <v>112</v>
      </c>
      <c r="E14" s="9" t="s">
        <v>18</v>
      </c>
      <c r="F14" s="42">
        <v>9400</v>
      </c>
      <c r="G14" s="40">
        <v>50</v>
      </c>
      <c r="H14" s="95">
        <f t="shared" si="0"/>
        <v>470000</v>
      </c>
    </row>
    <row r="15" spans="1:10" s="6" customFormat="1" ht="45">
      <c r="A15" s="46">
        <v>5</v>
      </c>
      <c r="B15" s="45" t="s">
        <v>47</v>
      </c>
      <c r="C15" s="44" t="s">
        <v>60</v>
      </c>
      <c r="D15" s="8" t="s">
        <v>112</v>
      </c>
      <c r="E15" s="9" t="s">
        <v>18</v>
      </c>
      <c r="F15" s="42">
        <v>4500</v>
      </c>
      <c r="G15" s="40">
        <v>100</v>
      </c>
      <c r="H15" s="95">
        <f t="shared" si="0"/>
        <v>450000</v>
      </c>
    </row>
    <row r="16" spans="1:10" s="6" customFormat="1" ht="30">
      <c r="A16" s="7">
        <v>6</v>
      </c>
      <c r="B16" s="45" t="s">
        <v>48</v>
      </c>
      <c r="C16" s="44" t="s">
        <v>61</v>
      </c>
      <c r="D16" s="8" t="s">
        <v>112</v>
      </c>
      <c r="E16" s="9" t="s">
        <v>18</v>
      </c>
      <c r="F16" s="42">
        <v>9000</v>
      </c>
      <c r="G16" s="40">
        <v>40</v>
      </c>
      <c r="H16" s="95">
        <f t="shared" si="0"/>
        <v>360000</v>
      </c>
    </row>
    <row r="17" spans="1:11" s="6" customFormat="1" ht="30">
      <c r="A17" s="7">
        <v>7</v>
      </c>
      <c r="B17" s="45" t="s">
        <v>49</v>
      </c>
      <c r="C17" s="44" t="s">
        <v>62</v>
      </c>
      <c r="D17" s="8" t="s">
        <v>112</v>
      </c>
      <c r="E17" s="9" t="s">
        <v>18</v>
      </c>
      <c r="F17" s="42">
        <v>260</v>
      </c>
      <c r="G17" s="40">
        <v>200</v>
      </c>
      <c r="H17" s="95">
        <f t="shared" si="0"/>
        <v>52000</v>
      </c>
    </row>
    <row r="18" spans="1:11" s="6" customFormat="1" ht="30">
      <c r="A18" s="46">
        <v>8</v>
      </c>
      <c r="B18" s="45" t="s">
        <v>50</v>
      </c>
      <c r="C18" s="44" t="s">
        <v>63</v>
      </c>
      <c r="D18" s="8" t="s">
        <v>112</v>
      </c>
      <c r="E18" s="9" t="s">
        <v>18</v>
      </c>
      <c r="F18" s="42">
        <v>13000</v>
      </c>
      <c r="G18" s="40">
        <v>10</v>
      </c>
      <c r="H18" s="95">
        <f t="shared" si="0"/>
        <v>130000</v>
      </c>
    </row>
    <row r="19" spans="1:11" s="6" customFormat="1" ht="30">
      <c r="A19" s="46">
        <v>9</v>
      </c>
      <c r="B19" s="45" t="s">
        <v>51</v>
      </c>
      <c r="C19" s="44" t="s">
        <v>64</v>
      </c>
      <c r="D19" s="8" t="s">
        <v>112</v>
      </c>
      <c r="E19" s="9" t="s">
        <v>18</v>
      </c>
      <c r="F19" s="42">
        <v>5400</v>
      </c>
      <c r="G19" s="40">
        <v>50</v>
      </c>
      <c r="H19" s="95">
        <f t="shared" si="0"/>
        <v>270000</v>
      </c>
    </row>
    <row r="20" spans="1:11" s="6" customFormat="1" ht="30">
      <c r="A20" s="46">
        <v>10</v>
      </c>
      <c r="B20" s="45" t="s">
        <v>52</v>
      </c>
      <c r="C20" s="44" t="s">
        <v>65</v>
      </c>
      <c r="D20" s="8" t="s">
        <v>112</v>
      </c>
      <c r="E20" s="9" t="s">
        <v>18</v>
      </c>
      <c r="F20" s="42">
        <v>2000</v>
      </c>
      <c r="G20" s="40">
        <v>20</v>
      </c>
      <c r="H20" s="95">
        <f t="shared" si="0"/>
        <v>40000</v>
      </c>
    </row>
    <row r="21" spans="1:11" s="6" customFormat="1" ht="30">
      <c r="A21" s="7">
        <v>11</v>
      </c>
      <c r="B21" s="45" t="s">
        <v>53</v>
      </c>
      <c r="C21" s="44" t="s">
        <v>66</v>
      </c>
      <c r="D21" s="8" t="s">
        <v>112</v>
      </c>
      <c r="E21" s="9" t="s">
        <v>18</v>
      </c>
      <c r="F21" s="42">
        <v>700</v>
      </c>
      <c r="G21" s="40">
        <v>200</v>
      </c>
      <c r="H21" s="95">
        <f t="shared" si="0"/>
        <v>140000</v>
      </c>
    </row>
    <row r="22" spans="1:11" s="6" customFormat="1" ht="30">
      <c r="A22" s="7">
        <v>12</v>
      </c>
      <c r="B22" s="45" t="s">
        <v>54</v>
      </c>
      <c r="C22" s="44" t="s">
        <v>67</v>
      </c>
      <c r="D22" s="8" t="s">
        <v>112</v>
      </c>
      <c r="E22" s="9" t="s">
        <v>18</v>
      </c>
      <c r="F22" s="42">
        <v>5200</v>
      </c>
      <c r="G22" s="40">
        <v>30</v>
      </c>
      <c r="H22" s="95">
        <f t="shared" si="0"/>
        <v>156000</v>
      </c>
    </row>
    <row r="23" spans="1:11" ht="45">
      <c r="A23" s="46">
        <v>13</v>
      </c>
      <c r="B23" s="45" t="s">
        <v>55</v>
      </c>
      <c r="C23" s="44" t="s">
        <v>68</v>
      </c>
      <c r="D23" s="8" t="s">
        <v>112</v>
      </c>
      <c r="E23" s="9" t="s">
        <v>18</v>
      </c>
      <c r="F23" s="42">
        <v>4300</v>
      </c>
      <c r="G23" s="40">
        <v>40</v>
      </c>
      <c r="H23" s="95">
        <f t="shared" si="0"/>
        <v>172000</v>
      </c>
      <c r="I23" s="48"/>
      <c r="J23" s="48"/>
      <c r="K23" s="6"/>
    </row>
    <row r="24" spans="1:11" ht="15">
      <c r="A24" s="157" t="s">
        <v>69</v>
      </c>
      <c r="B24" s="157"/>
      <c r="C24" s="157"/>
      <c r="D24" s="157"/>
      <c r="E24" s="157"/>
      <c r="F24" s="157"/>
      <c r="G24" s="10">
        <f>SUM(H11:H23)</f>
        <v>6120000</v>
      </c>
      <c r="H24" s="96">
        <f>SUM(H11:H23)</f>
        <v>6120000</v>
      </c>
      <c r="I24" s="11"/>
      <c r="J24" s="12"/>
    </row>
    <row r="25" spans="1:11">
      <c r="H25" s="94"/>
      <c r="I25" s="48"/>
      <c r="J25" s="48"/>
    </row>
    <row r="26" spans="1:11">
      <c r="C26" s="47"/>
    </row>
    <row r="28" spans="1:11">
      <c r="C28" s="47"/>
    </row>
  </sheetData>
  <mergeCells count="15">
    <mergeCell ref="A9:G9"/>
    <mergeCell ref="A24:F24"/>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paperSize="9" scale="7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5"/>
  <sheetViews>
    <sheetView workbookViewId="0">
      <selection activeCell="M15" sqref="M15"/>
    </sheetView>
  </sheetViews>
  <sheetFormatPr baseColWidth="10" defaultColWidth="11.42578125" defaultRowHeight="12.7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c r="A1" s="162" t="s">
        <v>0</v>
      </c>
      <c r="B1" s="162"/>
      <c r="C1" s="162"/>
      <c r="D1" s="163">
        <v>2022</v>
      </c>
      <c r="E1" s="163"/>
      <c r="F1" s="13"/>
      <c r="G1" s="13"/>
      <c r="H1" s="14"/>
      <c r="I1" s="14"/>
      <c r="J1" s="14"/>
      <c r="K1" s="14"/>
      <c r="L1" s="14"/>
      <c r="M1" s="14"/>
      <c r="N1" s="14"/>
      <c r="O1" s="15"/>
      <c r="P1" s="164" t="s">
        <v>19</v>
      </c>
      <c r="Q1" s="164"/>
    </row>
    <row r="2" spans="1:17" ht="15.75" thickBot="1">
      <c r="A2" s="16"/>
      <c r="B2" s="17"/>
      <c r="C2" s="17"/>
      <c r="D2" s="17"/>
      <c r="E2" s="17"/>
      <c r="F2" s="17"/>
      <c r="G2" s="18"/>
      <c r="H2" s="19"/>
      <c r="I2" s="19"/>
      <c r="J2" s="19"/>
      <c r="K2" s="19"/>
      <c r="L2" s="19"/>
      <c r="M2" s="19"/>
      <c r="N2" s="19"/>
      <c r="O2" s="17"/>
      <c r="P2" s="164"/>
      <c r="Q2" s="164"/>
    </row>
    <row r="3" spans="1:17" ht="15.75" thickBot="1">
      <c r="A3" s="16"/>
      <c r="B3" s="17"/>
      <c r="C3" s="17"/>
      <c r="D3" s="17"/>
      <c r="E3" s="17"/>
      <c r="F3" s="17"/>
      <c r="G3" s="18"/>
      <c r="H3" s="17"/>
      <c r="I3" s="17"/>
      <c r="J3" s="17"/>
      <c r="K3" s="17"/>
      <c r="L3" s="17"/>
      <c r="M3" s="17"/>
      <c r="N3" s="17"/>
      <c r="O3" s="17"/>
      <c r="P3" s="17"/>
      <c r="Q3" s="20"/>
    </row>
    <row r="4" spans="1:17" ht="15.75" thickBot="1">
      <c r="A4" s="165" t="s">
        <v>20</v>
      </c>
      <c r="B4" s="165"/>
      <c r="C4" s="165"/>
      <c r="D4" s="165"/>
      <c r="E4" s="165"/>
      <c r="F4" s="165"/>
      <c r="G4" s="161" t="s">
        <v>9</v>
      </c>
      <c r="H4" s="161"/>
      <c r="I4" s="161"/>
      <c r="J4" s="161"/>
      <c r="K4" s="161"/>
      <c r="L4" s="161"/>
      <c r="M4" s="161"/>
      <c r="N4" s="161"/>
      <c r="O4" s="161"/>
      <c r="P4" s="161"/>
      <c r="Q4" s="161"/>
    </row>
    <row r="5" spans="1:17" ht="15.75" thickBot="1">
      <c r="A5" s="160" t="s">
        <v>10</v>
      </c>
      <c r="B5" s="160"/>
      <c r="C5" s="160"/>
      <c r="D5" s="160"/>
      <c r="E5" s="160"/>
      <c r="F5" s="160"/>
      <c r="G5" s="161" t="s">
        <v>11</v>
      </c>
      <c r="H5" s="161"/>
      <c r="I5" s="161"/>
      <c r="J5" s="161"/>
      <c r="K5" s="161"/>
      <c r="L5" s="161"/>
      <c r="M5" s="161"/>
      <c r="N5" s="161"/>
      <c r="O5" s="161"/>
      <c r="P5" s="161"/>
      <c r="Q5" s="161"/>
    </row>
    <row r="6" spans="1:17" ht="15.75" thickBot="1">
      <c r="A6" s="168" t="s">
        <v>12</v>
      </c>
      <c r="B6" s="169"/>
      <c r="C6" s="169"/>
      <c r="D6" s="169"/>
      <c r="E6" s="169"/>
      <c r="F6" s="170"/>
      <c r="G6" s="171" t="s">
        <v>73</v>
      </c>
      <c r="H6" s="171"/>
      <c r="I6" s="171"/>
      <c r="J6" s="171"/>
      <c r="K6" s="171"/>
      <c r="L6" s="171"/>
      <c r="M6" s="171"/>
      <c r="N6" s="171"/>
      <c r="O6" s="171"/>
      <c r="P6" s="171"/>
      <c r="Q6" s="171"/>
    </row>
    <row r="7" spans="1:17" ht="15.75" thickBot="1">
      <c r="A7" s="172" t="s">
        <v>14</v>
      </c>
      <c r="B7" s="173"/>
      <c r="C7" s="173"/>
      <c r="D7" s="173"/>
      <c r="E7" s="173"/>
      <c r="F7" s="174"/>
      <c r="G7" s="175" t="s">
        <v>13</v>
      </c>
      <c r="H7" s="175"/>
      <c r="I7" s="175"/>
      <c r="J7" s="175"/>
      <c r="K7" s="175"/>
      <c r="L7" s="175"/>
      <c r="M7" s="175"/>
      <c r="N7" s="175"/>
      <c r="O7" s="175"/>
      <c r="P7" s="175"/>
      <c r="Q7" s="175"/>
    </row>
    <row r="8" spans="1:17" ht="15" thickBot="1">
      <c r="A8" s="176" t="s">
        <v>21</v>
      </c>
      <c r="B8" s="176"/>
      <c r="C8" s="176"/>
      <c r="D8" s="176"/>
      <c r="E8" s="176"/>
      <c r="F8" s="176"/>
      <c r="G8" s="176"/>
      <c r="H8" s="176"/>
      <c r="I8" s="176"/>
      <c r="J8" s="176"/>
      <c r="K8" s="176"/>
      <c r="L8" s="176"/>
      <c r="M8" s="176"/>
      <c r="N8" s="176"/>
      <c r="O8" s="176"/>
      <c r="P8" s="176"/>
      <c r="Q8" s="176"/>
    </row>
    <row r="9" spans="1:17" ht="17.649999999999999" customHeight="1">
      <c r="A9" s="177" t="s">
        <v>22</v>
      </c>
      <c r="B9" s="177"/>
      <c r="C9" s="177"/>
      <c r="D9" s="177"/>
      <c r="E9" s="177"/>
      <c r="F9" s="177"/>
      <c r="G9" s="177"/>
      <c r="H9" s="177"/>
      <c r="I9" s="177"/>
      <c r="J9" s="177"/>
      <c r="K9" s="177"/>
      <c r="L9" s="177"/>
      <c r="M9" s="177"/>
      <c r="N9" s="177"/>
      <c r="O9" s="177"/>
      <c r="P9" s="177"/>
      <c r="Q9" s="177"/>
    </row>
    <row r="10" spans="1:17" ht="48" customHeight="1">
      <c r="A10" s="178" t="s">
        <v>193</v>
      </c>
      <c r="B10" s="179"/>
      <c r="C10" s="179"/>
      <c r="D10" s="179"/>
      <c r="E10" s="179"/>
      <c r="F10" s="179"/>
      <c r="G10" s="179"/>
      <c r="H10" s="179"/>
      <c r="I10" s="179"/>
      <c r="J10" s="179"/>
      <c r="K10" s="179"/>
      <c r="L10" s="179"/>
      <c r="M10" s="179"/>
      <c r="N10" s="179"/>
      <c r="O10" s="179"/>
      <c r="P10" s="179"/>
      <c r="Q10" s="180"/>
    </row>
    <row r="11" spans="1:17" ht="15.75" thickBot="1">
      <c r="A11" s="21"/>
      <c r="B11" s="22"/>
      <c r="C11" s="22"/>
      <c r="D11" s="22"/>
      <c r="E11" s="22"/>
      <c r="F11" s="22"/>
      <c r="G11" s="23"/>
      <c r="H11" s="22"/>
      <c r="I11" s="22"/>
      <c r="J11" s="22"/>
      <c r="K11" s="22"/>
      <c r="L11" s="22"/>
      <c r="M11" s="22"/>
      <c r="N11" s="22"/>
      <c r="O11" s="22"/>
      <c r="P11" s="22"/>
      <c r="Q11" s="24"/>
    </row>
    <row r="12" spans="1:17" ht="13.5" thickBot="1">
      <c r="A12" s="181" t="s">
        <v>23</v>
      </c>
      <c r="B12" s="181"/>
      <c r="C12" s="181"/>
      <c r="D12" s="181"/>
      <c r="E12" s="181"/>
      <c r="F12" s="181"/>
      <c r="G12" s="181"/>
      <c r="H12" s="181"/>
      <c r="I12" s="181"/>
      <c r="J12" s="181"/>
      <c r="K12" s="181"/>
      <c r="L12" s="181"/>
      <c r="M12" s="181"/>
      <c r="N12" s="181"/>
      <c r="O12" s="181"/>
      <c r="P12" s="181"/>
      <c r="Q12" s="181"/>
    </row>
    <row r="13" spans="1:17" ht="13.5" thickBot="1">
      <c r="A13" s="182" t="s">
        <v>24</v>
      </c>
      <c r="B13" s="182"/>
      <c r="C13" s="182"/>
      <c r="D13" s="182"/>
      <c r="E13" s="182"/>
      <c r="F13" s="182"/>
      <c r="G13" s="182"/>
      <c r="H13" s="182"/>
      <c r="I13" s="182"/>
      <c r="J13" s="182"/>
      <c r="K13" s="182"/>
      <c r="L13" s="182"/>
      <c r="M13" s="182"/>
      <c r="N13" s="182"/>
      <c r="O13" s="183" t="s">
        <v>25</v>
      </c>
      <c r="P13" s="183"/>
      <c r="Q13" s="184" t="s">
        <v>26</v>
      </c>
    </row>
    <row r="14" spans="1:17" ht="26.1" customHeight="1" thickBot="1">
      <c r="A14" s="25" t="s">
        <v>27</v>
      </c>
      <c r="B14" s="26" t="s">
        <v>28</v>
      </c>
      <c r="C14" s="26" t="s">
        <v>29</v>
      </c>
      <c r="D14" s="26" t="s">
        <v>30</v>
      </c>
      <c r="E14" s="26" t="s">
        <v>31</v>
      </c>
      <c r="F14" s="26" t="s">
        <v>32</v>
      </c>
      <c r="G14" s="26" t="s">
        <v>33</v>
      </c>
      <c r="H14" s="49" t="s">
        <v>34</v>
      </c>
      <c r="I14" s="26" t="s">
        <v>35</v>
      </c>
      <c r="J14" s="26" t="s">
        <v>36</v>
      </c>
      <c r="K14" s="26" t="s">
        <v>36</v>
      </c>
      <c r="L14" s="26" t="s">
        <v>37</v>
      </c>
      <c r="M14" s="27" t="s">
        <v>38</v>
      </c>
      <c r="N14" s="28" t="s">
        <v>39</v>
      </c>
      <c r="O14" s="183"/>
      <c r="P14" s="183"/>
      <c r="Q14" s="184"/>
    </row>
    <row r="15" spans="1:17" ht="25.9" customHeight="1">
      <c r="A15" s="131">
        <v>1</v>
      </c>
      <c r="B15" s="132">
        <v>0</v>
      </c>
      <c r="C15" s="132">
        <v>0</v>
      </c>
      <c r="D15" s="132">
        <v>1</v>
      </c>
      <c r="E15" s="132">
        <v>0</v>
      </c>
      <c r="F15" s="132">
        <v>4901</v>
      </c>
      <c r="G15" s="132">
        <v>3</v>
      </c>
      <c r="H15" s="132">
        <v>4</v>
      </c>
      <c r="I15" s="132">
        <v>2</v>
      </c>
      <c r="J15" s="132">
        <v>9</v>
      </c>
      <c r="K15" s="132">
        <v>9</v>
      </c>
      <c r="L15" s="132">
        <v>0</v>
      </c>
      <c r="M15" s="133">
        <v>1</v>
      </c>
      <c r="N15" s="132" t="s">
        <v>40</v>
      </c>
      <c r="O15" s="166" t="s">
        <v>70</v>
      </c>
      <c r="P15" s="167"/>
      <c r="Q15" s="128">
        <f>+'NOTA PEDIDO'!G24</f>
        <v>6120000</v>
      </c>
    </row>
    <row r="16" spans="1:17">
      <c r="A16" s="134"/>
      <c r="B16" s="134"/>
      <c r="C16" s="134"/>
      <c r="D16" s="134"/>
      <c r="E16" s="134"/>
      <c r="F16" s="134"/>
      <c r="G16" s="134"/>
      <c r="H16" s="134"/>
      <c r="I16" s="134"/>
      <c r="J16" s="134"/>
      <c r="K16" s="134"/>
      <c r="L16" s="134"/>
      <c r="M16" s="134"/>
      <c r="N16" s="134"/>
      <c r="O16" s="189"/>
      <c r="P16" s="190"/>
      <c r="Q16" s="129"/>
    </row>
    <row r="17" spans="1:17" ht="15">
      <c r="A17" s="29"/>
      <c r="B17" s="30"/>
      <c r="C17" s="30"/>
      <c r="D17" s="30"/>
      <c r="E17" s="30"/>
      <c r="F17" s="30"/>
      <c r="G17" s="30"/>
      <c r="H17" s="30"/>
      <c r="I17" s="30"/>
      <c r="J17" s="30"/>
      <c r="K17" s="30"/>
      <c r="L17" s="30"/>
      <c r="M17" s="31"/>
      <c r="N17" s="30"/>
      <c r="O17" s="191"/>
      <c r="P17" s="191"/>
      <c r="Q17" s="33"/>
    </row>
    <row r="18" spans="1:17" ht="15">
      <c r="A18" s="29"/>
      <c r="B18" s="30"/>
      <c r="C18" s="30"/>
      <c r="D18" s="30"/>
      <c r="E18" s="30"/>
      <c r="F18" s="30"/>
      <c r="G18" s="30"/>
      <c r="H18" s="30"/>
      <c r="I18" s="30"/>
      <c r="J18" s="30"/>
      <c r="K18" s="30"/>
      <c r="L18" s="30"/>
      <c r="M18" s="31"/>
      <c r="N18" s="32"/>
      <c r="O18" s="192"/>
      <c r="P18" s="192"/>
      <c r="Q18" s="33"/>
    </row>
    <row r="19" spans="1:17" ht="15">
      <c r="A19" s="29"/>
      <c r="B19" s="30"/>
      <c r="C19" s="30"/>
      <c r="D19" s="30"/>
      <c r="E19" s="30"/>
      <c r="F19" s="30"/>
      <c r="G19" s="30"/>
      <c r="H19" s="30"/>
      <c r="I19" s="30"/>
      <c r="J19" s="30"/>
      <c r="K19" s="30"/>
      <c r="L19" s="30"/>
      <c r="M19" s="31"/>
      <c r="N19" s="32"/>
      <c r="O19" s="192"/>
      <c r="P19" s="192"/>
      <c r="Q19" s="33"/>
    </row>
    <row r="20" spans="1:17" ht="15.75" thickBot="1">
      <c r="A20" s="34"/>
      <c r="B20" s="35"/>
      <c r="C20" s="35"/>
      <c r="D20" s="35"/>
      <c r="E20" s="35"/>
      <c r="F20" s="35"/>
      <c r="G20" s="35"/>
      <c r="H20" s="35"/>
      <c r="I20" s="35"/>
      <c r="J20" s="35"/>
      <c r="K20" s="35"/>
      <c r="L20" s="35"/>
      <c r="M20" s="36"/>
      <c r="N20" s="35"/>
      <c r="O20" s="193"/>
      <c r="P20" s="193"/>
      <c r="Q20" s="37"/>
    </row>
    <row r="21" spans="1:17" ht="13.5" thickBot="1">
      <c r="A21" s="194" t="s">
        <v>71</v>
      </c>
      <c r="B21" s="194"/>
      <c r="C21" s="194"/>
      <c r="D21" s="194"/>
      <c r="E21" s="194"/>
      <c r="F21" s="194"/>
      <c r="G21" s="194"/>
      <c r="H21" s="194"/>
      <c r="I21" s="194"/>
      <c r="J21" s="194"/>
      <c r="K21" s="194"/>
      <c r="L21" s="194"/>
      <c r="M21" s="194"/>
      <c r="N21" s="194"/>
      <c r="O21" s="194"/>
      <c r="P21" s="194"/>
      <c r="Q21" s="38">
        <f>SUM(Q15:Q20)</f>
        <v>6120000</v>
      </c>
    </row>
    <row r="22" spans="1:17" ht="13.5" thickBot="1">
      <c r="A22" s="185"/>
      <c r="B22" s="185"/>
      <c r="C22" s="185"/>
      <c r="D22" s="185"/>
      <c r="E22" s="185"/>
      <c r="F22" s="185"/>
      <c r="G22" s="185"/>
      <c r="H22" s="185"/>
      <c r="I22" s="185"/>
      <c r="J22" s="185"/>
      <c r="K22" s="185"/>
      <c r="L22" s="185"/>
      <c r="M22" s="185"/>
      <c r="N22" s="185"/>
      <c r="O22" s="185"/>
      <c r="P22" s="185"/>
      <c r="Q22" s="185"/>
    </row>
    <row r="23" spans="1:17" ht="13.5" thickBot="1">
      <c r="A23" s="186" t="s">
        <v>41</v>
      </c>
      <c r="B23" s="186"/>
      <c r="C23" s="186"/>
      <c r="D23" s="186"/>
      <c r="E23" s="186"/>
      <c r="F23" s="186"/>
      <c r="G23" s="187"/>
      <c r="H23" s="187"/>
      <c r="I23" s="187"/>
      <c r="J23" s="187"/>
      <c r="K23" s="187"/>
      <c r="L23" s="187"/>
      <c r="M23" s="187"/>
      <c r="N23" s="187"/>
      <c r="O23" s="187"/>
      <c r="P23" s="187"/>
      <c r="Q23" s="187"/>
    </row>
    <row r="24" spans="1:17" ht="13.5" thickBot="1">
      <c r="A24" s="188" t="s">
        <v>90</v>
      </c>
      <c r="B24" s="188"/>
      <c r="C24" s="188"/>
      <c r="D24" s="188"/>
      <c r="E24" s="188"/>
      <c r="F24" s="188"/>
      <c r="G24" s="188"/>
      <c r="H24" s="188"/>
      <c r="I24" s="188"/>
      <c r="J24" s="188"/>
      <c r="K24" s="188"/>
      <c r="L24" s="188"/>
      <c r="M24" s="188"/>
      <c r="N24" s="188"/>
      <c r="O24" s="188"/>
      <c r="P24" s="188"/>
      <c r="Q24" s="188"/>
    </row>
    <row r="25" spans="1:17" ht="13.5" thickBot="1">
      <c r="A25" s="188"/>
      <c r="B25" s="188"/>
      <c r="C25" s="188"/>
      <c r="D25" s="188"/>
      <c r="E25" s="188"/>
      <c r="F25" s="188"/>
      <c r="G25" s="188"/>
      <c r="H25" s="188"/>
      <c r="I25" s="188"/>
      <c r="J25" s="188"/>
      <c r="K25" s="188"/>
      <c r="L25" s="188"/>
      <c r="M25" s="188"/>
      <c r="N25" s="188"/>
      <c r="O25" s="188"/>
      <c r="P25" s="188"/>
      <c r="Q25" s="188"/>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9" scale="9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81"/>
  <sheetViews>
    <sheetView workbookViewId="0">
      <selection activeCell="E10" sqref="E10"/>
    </sheetView>
  </sheetViews>
  <sheetFormatPr baseColWidth="10" defaultRowHeight="12.75"/>
  <cols>
    <col min="1" max="1" width="11.42578125" style="120"/>
    <col min="2" max="2" width="17.28515625" style="120" customWidth="1"/>
    <col min="3" max="3" width="15.28515625" style="120" customWidth="1"/>
    <col min="4" max="4" width="18.85546875" style="120" customWidth="1"/>
    <col min="5" max="5" width="20" style="120" customWidth="1"/>
    <col min="6" max="16384" width="11.42578125" style="120"/>
  </cols>
  <sheetData>
    <row r="3" spans="1:6">
      <c r="A3" s="120" t="s">
        <v>91</v>
      </c>
    </row>
    <row r="4" spans="1:6" ht="48.75" customHeight="1">
      <c r="A4" s="196" t="s">
        <v>94</v>
      </c>
      <c r="B4" s="196"/>
      <c r="C4" s="196"/>
      <c r="D4" s="196"/>
      <c r="E4" s="196"/>
      <c r="F4" s="196"/>
    </row>
    <row r="5" spans="1:6">
      <c r="A5" s="120" t="s">
        <v>92</v>
      </c>
      <c r="D5" s="121"/>
    </row>
    <row r="6" spans="1:6" ht="31.5" customHeight="1">
      <c r="A6" s="196" t="s">
        <v>95</v>
      </c>
      <c r="B6" s="196"/>
      <c r="C6" s="196"/>
      <c r="D6" s="196"/>
      <c r="E6" s="196"/>
      <c r="F6" s="196"/>
    </row>
    <row r="7" spans="1:6">
      <c r="A7" s="120" t="s">
        <v>96</v>
      </c>
      <c r="D7" s="121"/>
    </row>
    <row r="9" spans="1:6" ht="26.25" customHeight="1">
      <c r="A9" s="196" t="s">
        <v>93</v>
      </c>
      <c r="B9" s="196"/>
      <c r="C9" s="196"/>
      <c r="D9" s="196"/>
      <c r="E9" s="196"/>
      <c r="F9" s="196"/>
    </row>
    <row r="10" spans="1:6" ht="15.75">
      <c r="A10" s="117"/>
      <c r="B10" s="122"/>
      <c r="C10" s="117"/>
      <c r="D10" s="116"/>
      <c r="E10" s="116"/>
      <c r="F10" s="116"/>
    </row>
    <row r="11" spans="1:6">
      <c r="A11" s="117"/>
      <c r="B11" s="122"/>
      <c r="C11" s="117"/>
      <c r="D11" s="123"/>
      <c r="E11" s="117"/>
      <c r="F11" s="117"/>
    </row>
    <row r="13" spans="1:6">
      <c r="A13" s="124" t="s">
        <v>97</v>
      </c>
      <c r="B13" s="118"/>
      <c r="C13" s="118"/>
      <c r="D13" s="118"/>
      <c r="E13" s="118"/>
      <c r="F13" s="118"/>
    </row>
    <row r="14" spans="1:6">
      <c r="A14" s="118"/>
      <c r="B14" s="118"/>
      <c r="C14" s="118"/>
      <c r="D14" s="118"/>
      <c r="E14" s="118"/>
      <c r="F14" s="118"/>
    </row>
    <row r="15" spans="1:6">
      <c r="A15" s="125" t="s">
        <v>81</v>
      </c>
      <c r="B15" s="118"/>
      <c r="C15" s="118"/>
      <c r="D15" s="118"/>
      <c r="E15" s="118"/>
      <c r="F15" s="118"/>
    </row>
    <row r="16" spans="1:6">
      <c r="A16" s="125"/>
      <c r="B16" s="195" t="s">
        <v>180</v>
      </c>
      <c r="C16" s="195"/>
      <c r="D16" s="195"/>
      <c r="E16" s="118" t="s">
        <v>175</v>
      </c>
      <c r="F16" s="118"/>
    </row>
    <row r="17" spans="1:6">
      <c r="A17" s="125"/>
      <c r="B17" s="195" t="s">
        <v>181</v>
      </c>
      <c r="C17" s="195"/>
      <c r="D17" s="195"/>
      <c r="E17" s="118" t="s">
        <v>179</v>
      </c>
      <c r="F17" s="118"/>
    </row>
    <row r="18" spans="1:6" ht="31.5" customHeight="1">
      <c r="A18" s="125"/>
      <c r="B18" s="195" t="s">
        <v>105</v>
      </c>
      <c r="C18" s="195"/>
      <c r="D18" s="195"/>
      <c r="E18" s="118"/>
      <c r="F18" s="118"/>
    </row>
    <row r="19" spans="1:6">
      <c r="A19" s="125"/>
      <c r="B19" s="195" t="s">
        <v>163</v>
      </c>
      <c r="C19" s="195"/>
      <c r="D19" s="195"/>
      <c r="E19" s="118"/>
      <c r="F19" s="118"/>
    </row>
    <row r="20" spans="1:6">
      <c r="A20" s="125"/>
      <c r="B20" s="195" t="s">
        <v>114</v>
      </c>
      <c r="C20" s="195"/>
      <c r="D20" s="195"/>
      <c r="E20" s="118"/>
      <c r="F20" s="118"/>
    </row>
    <row r="21" spans="1:6">
      <c r="A21" s="125"/>
      <c r="B21" s="195" t="s">
        <v>102</v>
      </c>
      <c r="C21" s="195"/>
      <c r="D21" s="195"/>
      <c r="E21" s="118"/>
      <c r="F21" s="118"/>
    </row>
    <row r="22" spans="1:6">
      <c r="A22" s="125"/>
      <c r="B22" s="195" t="s">
        <v>123</v>
      </c>
      <c r="C22" s="195"/>
      <c r="D22" s="195"/>
      <c r="E22" s="118"/>
      <c r="F22" s="118"/>
    </row>
    <row r="23" spans="1:6">
      <c r="A23" s="125"/>
      <c r="B23" s="195" t="s">
        <v>103</v>
      </c>
      <c r="C23" s="195"/>
      <c r="D23" s="195"/>
      <c r="E23" s="118"/>
      <c r="F23" s="118"/>
    </row>
    <row r="24" spans="1:6">
      <c r="A24" s="125"/>
      <c r="B24" s="195" t="s">
        <v>104</v>
      </c>
      <c r="C24" s="195"/>
      <c r="D24" s="195"/>
      <c r="E24" s="118"/>
      <c r="F24" s="118"/>
    </row>
    <row r="25" spans="1:6">
      <c r="A25" s="125"/>
      <c r="B25" s="195" t="s">
        <v>182</v>
      </c>
      <c r="C25" s="195"/>
      <c r="D25" s="195"/>
      <c r="E25" s="118" t="s">
        <v>178</v>
      </c>
      <c r="F25" s="118"/>
    </row>
    <row r="26" spans="1:6">
      <c r="A26" s="125"/>
      <c r="B26" s="195"/>
      <c r="C26" s="195"/>
      <c r="D26" s="195"/>
      <c r="E26" s="118"/>
      <c r="F26" s="118"/>
    </row>
    <row r="27" spans="1:6">
      <c r="A27" s="126"/>
      <c r="B27" s="118"/>
      <c r="C27" s="118"/>
      <c r="D27" s="118"/>
      <c r="E27" s="118"/>
      <c r="F27" s="118"/>
    </row>
    <row r="31" spans="1:6">
      <c r="A31" s="124" t="s">
        <v>107</v>
      </c>
      <c r="B31" s="118"/>
      <c r="C31" s="118"/>
      <c r="D31" s="118"/>
      <c r="E31" s="118"/>
      <c r="F31" s="118" t="s">
        <v>57</v>
      </c>
    </row>
    <row r="32" spans="1:6">
      <c r="A32" s="118"/>
      <c r="B32" s="118"/>
      <c r="C32" s="118"/>
      <c r="D32" s="118"/>
      <c r="E32" s="118"/>
      <c r="F32" s="118"/>
    </row>
    <row r="33" spans="1:6">
      <c r="A33" s="125" t="s">
        <v>81</v>
      </c>
      <c r="B33" s="118"/>
      <c r="C33" s="118"/>
      <c r="D33" s="118"/>
      <c r="E33" s="118"/>
      <c r="F33" s="118"/>
    </row>
    <row r="34" spans="1:6">
      <c r="A34" s="125"/>
      <c r="B34" s="195" t="s">
        <v>183</v>
      </c>
      <c r="C34" s="195"/>
      <c r="D34" s="195"/>
      <c r="E34" s="118" t="s">
        <v>166</v>
      </c>
      <c r="F34" s="118"/>
    </row>
    <row r="35" spans="1:6">
      <c r="A35" s="125"/>
      <c r="B35" s="195" t="s">
        <v>124</v>
      </c>
      <c r="C35" s="195"/>
      <c r="D35" s="195"/>
      <c r="E35" s="118"/>
      <c r="F35" s="118"/>
    </row>
    <row r="36" spans="1:6">
      <c r="A36" s="125"/>
      <c r="B36" s="195" t="s">
        <v>165</v>
      </c>
      <c r="C36" s="195"/>
      <c r="D36" s="195"/>
      <c r="E36" s="118"/>
      <c r="F36" s="118"/>
    </row>
    <row r="37" spans="1:6">
      <c r="A37" s="125"/>
      <c r="B37" s="195" t="s">
        <v>115</v>
      </c>
      <c r="C37" s="195"/>
      <c r="D37" s="195"/>
      <c r="E37" s="118"/>
      <c r="F37" s="118"/>
    </row>
    <row r="38" spans="1:6">
      <c r="A38" s="125"/>
      <c r="B38" s="195" t="s">
        <v>113</v>
      </c>
      <c r="C38" s="195"/>
      <c r="D38" s="195"/>
      <c r="E38" s="118"/>
      <c r="F38" s="118"/>
    </row>
    <row r="39" spans="1:6">
      <c r="A39" s="125"/>
      <c r="B39" s="195" t="s">
        <v>104</v>
      </c>
      <c r="C39" s="195"/>
      <c r="D39" s="195"/>
      <c r="E39" s="118"/>
      <c r="F39" s="118"/>
    </row>
    <row r="40" spans="1:6">
      <c r="A40" s="125"/>
      <c r="B40" s="195" t="s">
        <v>120</v>
      </c>
      <c r="C40" s="195"/>
      <c r="D40" s="195"/>
      <c r="E40" s="118"/>
      <c r="F40" s="118"/>
    </row>
    <row r="41" spans="1:6">
      <c r="A41" s="125"/>
      <c r="B41" s="195" t="s">
        <v>184</v>
      </c>
      <c r="C41" s="195"/>
      <c r="D41" s="195"/>
      <c r="E41" s="118"/>
      <c r="F41" s="118"/>
    </row>
    <row r="42" spans="1:6">
      <c r="A42" s="126"/>
      <c r="B42" s="118"/>
      <c r="C42" s="118"/>
      <c r="D42" s="118"/>
      <c r="E42" s="118"/>
      <c r="F42" s="118"/>
    </row>
    <row r="45" spans="1:6">
      <c r="A45" s="124" t="s">
        <v>176</v>
      </c>
      <c r="B45" s="118"/>
      <c r="C45" s="118"/>
      <c r="D45" s="118"/>
      <c r="E45" s="118" t="s">
        <v>167</v>
      </c>
      <c r="F45" s="118" t="s">
        <v>58</v>
      </c>
    </row>
    <row r="46" spans="1:6">
      <c r="A46" s="118"/>
      <c r="B46" s="118"/>
      <c r="C46" s="118"/>
      <c r="D46" s="118"/>
      <c r="E46" s="118"/>
      <c r="F46" s="118"/>
    </row>
    <row r="47" spans="1:6">
      <c r="A47" s="125" t="s">
        <v>81</v>
      </c>
      <c r="B47" s="118"/>
      <c r="C47" s="118"/>
      <c r="D47" s="118"/>
      <c r="E47" s="118" t="s">
        <v>168</v>
      </c>
      <c r="F47" s="118"/>
    </row>
    <row r="48" spans="1:6">
      <c r="A48" s="125"/>
      <c r="B48" s="195" t="s">
        <v>121</v>
      </c>
      <c r="C48" s="195"/>
      <c r="D48" s="195"/>
      <c r="E48" s="118"/>
      <c r="F48" s="118"/>
    </row>
    <row r="49" spans="1:6">
      <c r="A49" s="125"/>
      <c r="B49" s="195" t="s">
        <v>116</v>
      </c>
      <c r="C49" s="195"/>
      <c r="D49" s="195"/>
      <c r="E49" s="118"/>
      <c r="F49" s="118"/>
    </row>
    <row r="50" spans="1:6">
      <c r="A50" s="125"/>
      <c r="B50" s="195" t="s">
        <v>117</v>
      </c>
      <c r="C50" s="195"/>
      <c r="D50" s="195"/>
      <c r="E50" s="118"/>
      <c r="F50" s="118"/>
    </row>
    <row r="51" spans="1:6">
      <c r="A51" s="125"/>
      <c r="B51" s="195" t="s">
        <v>118</v>
      </c>
      <c r="C51" s="195"/>
      <c r="D51" s="195"/>
      <c r="E51" s="118"/>
      <c r="F51" s="118"/>
    </row>
    <row r="52" spans="1:6">
      <c r="A52" s="125"/>
      <c r="B52" s="195" t="s">
        <v>102</v>
      </c>
      <c r="C52" s="195"/>
      <c r="D52" s="195"/>
      <c r="E52" s="118"/>
      <c r="F52" s="118"/>
    </row>
    <row r="53" spans="1:6">
      <c r="A53" s="125"/>
      <c r="B53" s="195" t="s">
        <v>122</v>
      </c>
      <c r="C53" s="195"/>
      <c r="D53" s="195"/>
      <c r="E53" s="118"/>
      <c r="F53" s="118"/>
    </row>
    <row r="54" spans="1:6">
      <c r="A54" s="125"/>
      <c r="B54" s="195" t="s">
        <v>119</v>
      </c>
      <c r="C54" s="195"/>
      <c r="D54" s="195"/>
      <c r="E54" s="118"/>
      <c r="F54" s="118"/>
    </row>
    <row r="55" spans="1:6">
      <c r="A55" s="125"/>
      <c r="B55" s="195"/>
      <c r="C55" s="195"/>
      <c r="D55" s="195"/>
      <c r="E55" s="118"/>
      <c r="F55" s="118"/>
    </row>
    <row r="56" spans="1:6">
      <c r="A56" s="126"/>
      <c r="B56" s="118"/>
      <c r="C56" s="118"/>
      <c r="D56" s="118"/>
      <c r="E56" s="118"/>
      <c r="F56" s="118"/>
    </row>
    <row r="57" spans="1:6">
      <c r="A57" s="127"/>
      <c r="B57" s="127"/>
      <c r="C57" s="127"/>
      <c r="D57" s="127"/>
      <c r="E57" s="127"/>
      <c r="F57" s="127"/>
    </row>
    <row r="58" spans="1:6">
      <c r="A58" s="124" t="s">
        <v>108</v>
      </c>
      <c r="B58" s="118"/>
      <c r="C58" s="118"/>
      <c r="D58" s="118"/>
      <c r="E58" s="118"/>
      <c r="F58" s="118" t="s">
        <v>59</v>
      </c>
    </row>
    <row r="59" spans="1:6">
      <c r="A59" s="118"/>
      <c r="B59" s="118"/>
      <c r="C59" s="118"/>
      <c r="D59" s="118"/>
      <c r="E59" s="118"/>
      <c r="F59" s="118"/>
    </row>
    <row r="60" spans="1:6">
      <c r="A60" s="125" t="s">
        <v>81</v>
      </c>
      <c r="B60" s="118"/>
      <c r="C60" s="118"/>
      <c r="D60" s="118"/>
      <c r="E60" s="118"/>
      <c r="F60" s="118"/>
    </row>
    <row r="61" spans="1:6">
      <c r="A61" s="125"/>
      <c r="B61" s="195" t="s">
        <v>101</v>
      </c>
      <c r="C61" s="195"/>
      <c r="D61" s="195"/>
      <c r="E61" s="118"/>
      <c r="F61" s="118"/>
    </row>
    <row r="62" spans="1:6">
      <c r="A62" s="125"/>
      <c r="B62" s="195" t="s">
        <v>116</v>
      </c>
      <c r="C62" s="195"/>
      <c r="D62" s="195"/>
      <c r="E62" s="118"/>
      <c r="F62" s="118"/>
    </row>
    <row r="63" spans="1:6">
      <c r="A63" s="125"/>
      <c r="B63" s="195" t="s">
        <v>105</v>
      </c>
      <c r="C63" s="195"/>
      <c r="D63" s="195"/>
      <c r="E63" s="118"/>
      <c r="F63" s="118"/>
    </row>
    <row r="64" spans="1:6">
      <c r="A64" s="125"/>
      <c r="B64" s="195" t="s">
        <v>100</v>
      </c>
      <c r="C64" s="195"/>
      <c r="D64" s="195"/>
      <c r="E64" s="118"/>
      <c r="F64" s="118"/>
    </row>
    <row r="65" spans="1:6">
      <c r="A65" s="125"/>
      <c r="B65" s="195" t="s">
        <v>125</v>
      </c>
      <c r="C65" s="195"/>
      <c r="D65" s="195"/>
      <c r="E65" s="118"/>
      <c r="F65" s="118"/>
    </row>
    <row r="66" spans="1:6">
      <c r="A66" s="125"/>
      <c r="B66" s="195" t="s">
        <v>102</v>
      </c>
      <c r="C66" s="195"/>
      <c r="D66" s="195"/>
      <c r="E66" s="118"/>
      <c r="F66" s="118"/>
    </row>
    <row r="67" spans="1:6">
      <c r="A67" s="125"/>
      <c r="B67" s="195" t="s">
        <v>126</v>
      </c>
      <c r="C67" s="195"/>
      <c r="D67" s="195"/>
      <c r="E67" s="118"/>
      <c r="F67" s="118"/>
    </row>
    <row r="68" spans="1:6">
      <c r="A68" s="125"/>
      <c r="B68" s="195" t="s">
        <v>104</v>
      </c>
      <c r="C68" s="195"/>
      <c r="D68" s="195"/>
      <c r="E68" s="118"/>
      <c r="F68" s="118"/>
    </row>
    <row r="69" spans="1:6">
      <c r="A69" s="125"/>
      <c r="B69" s="195" t="s">
        <v>127</v>
      </c>
      <c r="C69" s="195"/>
      <c r="D69" s="195"/>
      <c r="E69" s="118"/>
      <c r="F69" s="118"/>
    </row>
    <row r="70" spans="1:6">
      <c r="A70" s="125"/>
      <c r="B70" s="195"/>
      <c r="C70" s="195"/>
      <c r="D70" s="195"/>
      <c r="E70" s="118"/>
      <c r="F70" s="118"/>
    </row>
    <row r="71" spans="1:6">
      <c r="A71" s="126"/>
      <c r="B71" s="118"/>
      <c r="C71" s="118"/>
      <c r="D71" s="118"/>
      <c r="E71" s="118"/>
      <c r="F71" s="118"/>
    </row>
    <row r="72" spans="1:6">
      <c r="D72" s="121"/>
    </row>
    <row r="73" spans="1:6">
      <c r="A73" s="124" t="s">
        <v>109</v>
      </c>
      <c r="B73" s="118"/>
      <c r="C73" s="118"/>
      <c r="D73" s="118"/>
      <c r="E73" s="118"/>
      <c r="F73" s="118" t="s">
        <v>60</v>
      </c>
    </row>
    <row r="74" spans="1:6">
      <c r="A74" s="118"/>
      <c r="B74" s="118"/>
      <c r="C74" s="118"/>
      <c r="D74" s="118"/>
      <c r="E74" s="118"/>
      <c r="F74" s="118"/>
    </row>
    <row r="75" spans="1:6">
      <c r="A75" s="125" t="s">
        <v>81</v>
      </c>
      <c r="B75" s="118"/>
      <c r="C75" s="118"/>
      <c r="D75" s="118"/>
      <c r="E75" s="118"/>
      <c r="F75" s="118"/>
    </row>
    <row r="76" spans="1:6">
      <c r="A76" s="125"/>
      <c r="B76" s="195" t="s">
        <v>130</v>
      </c>
      <c r="C76" s="195"/>
      <c r="D76" s="195"/>
      <c r="E76" s="118"/>
      <c r="F76" s="118"/>
    </row>
    <row r="77" spans="1:6">
      <c r="A77" s="125"/>
      <c r="B77" s="195" t="s">
        <v>128</v>
      </c>
      <c r="C77" s="195"/>
      <c r="D77" s="195"/>
      <c r="E77" s="118"/>
      <c r="F77" s="118"/>
    </row>
    <row r="78" spans="1:6">
      <c r="A78" s="125"/>
      <c r="B78" s="195" t="s">
        <v>102</v>
      </c>
      <c r="C78" s="195"/>
      <c r="D78" s="195"/>
      <c r="E78" s="118"/>
      <c r="F78" s="118"/>
    </row>
    <row r="79" spans="1:6">
      <c r="A79" s="125"/>
      <c r="B79" s="195" t="s">
        <v>129</v>
      </c>
      <c r="C79" s="195"/>
      <c r="D79" s="195"/>
      <c r="E79" s="118"/>
      <c r="F79" s="118"/>
    </row>
    <row r="80" spans="1:6">
      <c r="A80" s="125"/>
      <c r="B80" s="195" t="s">
        <v>185</v>
      </c>
      <c r="C80" s="195"/>
      <c r="D80" s="195"/>
      <c r="E80" s="118" t="s">
        <v>177</v>
      </c>
      <c r="F80" s="118"/>
    </row>
    <row r="81" spans="1:6">
      <c r="A81" s="125"/>
      <c r="B81" s="195"/>
      <c r="C81" s="195"/>
      <c r="D81" s="195"/>
      <c r="E81" s="118"/>
      <c r="F81" s="118"/>
    </row>
    <row r="82" spans="1:6">
      <c r="A82" s="126"/>
      <c r="B82" s="118"/>
      <c r="C82" s="118"/>
      <c r="D82" s="118"/>
      <c r="E82" s="118"/>
      <c r="F82" s="118"/>
    </row>
    <row r="83" spans="1:6">
      <c r="A83" s="127"/>
      <c r="B83" s="127"/>
      <c r="C83" s="127"/>
      <c r="D83" s="127"/>
      <c r="E83" s="127"/>
      <c r="F83" s="127"/>
    </row>
    <row r="84" spans="1:6">
      <c r="D84" s="121"/>
    </row>
    <row r="85" spans="1:6">
      <c r="A85" s="124" t="s">
        <v>110</v>
      </c>
      <c r="B85" s="118"/>
      <c r="C85" s="118"/>
      <c r="D85" s="118"/>
      <c r="E85" s="118"/>
      <c r="F85" s="118" t="s">
        <v>61</v>
      </c>
    </row>
    <row r="86" spans="1:6">
      <c r="A86" s="118"/>
      <c r="B86" s="118"/>
      <c r="C86" s="118"/>
      <c r="D86" s="118"/>
      <c r="E86" s="118"/>
      <c r="F86" s="118"/>
    </row>
    <row r="87" spans="1:6">
      <c r="A87" s="125" t="s">
        <v>81</v>
      </c>
      <c r="B87" s="118"/>
      <c r="C87" s="118"/>
      <c r="D87" s="118"/>
      <c r="E87" s="118"/>
      <c r="F87" s="118"/>
    </row>
    <row r="88" spans="1:6">
      <c r="A88" s="125"/>
      <c r="B88" s="195"/>
      <c r="C88" s="195"/>
      <c r="D88" s="195"/>
      <c r="E88" s="118"/>
      <c r="F88" s="118"/>
    </row>
    <row r="89" spans="1:6" ht="31.5" customHeight="1">
      <c r="A89" s="125"/>
      <c r="B89" s="195" t="s">
        <v>188</v>
      </c>
      <c r="C89" s="195"/>
      <c r="D89" s="195"/>
      <c r="E89" s="118" t="s">
        <v>172</v>
      </c>
      <c r="F89" s="118"/>
    </row>
    <row r="90" spans="1:6">
      <c r="A90" s="125"/>
      <c r="B90" s="195" t="s">
        <v>186</v>
      </c>
      <c r="C90" s="195"/>
      <c r="D90" s="195"/>
      <c r="E90" s="118" t="s">
        <v>169</v>
      </c>
      <c r="F90" s="118"/>
    </row>
    <row r="91" spans="1:6">
      <c r="A91" s="125"/>
      <c r="B91" s="195" t="s">
        <v>187</v>
      </c>
      <c r="C91" s="195"/>
      <c r="D91" s="195"/>
      <c r="E91" s="118" t="s">
        <v>169</v>
      </c>
      <c r="F91" s="118"/>
    </row>
    <row r="92" spans="1:6">
      <c r="A92" s="125"/>
      <c r="B92" s="195" t="s">
        <v>132</v>
      </c>
      <c r="C92" s="195"/>
      <c r="D92" s="195"/>
      <c r="E92" s="118"/>
      <c r="F92" s="118"/>
    </row>
    <row r="93" spans="1:6">
      <c r="A93" s="125"/>
      <c r="B93" s="195" t="s">
        <v>133</v>
      </c>
      <c r="C93" s="195"/>
      <c r="D93" s="195"/>
      <c r="E93" s="118"/>
      <c r="F93" s="118"/>
    </row>
    <row r="94" spans="1:6">
      <c r="A94" s="125"/>
      <c r="B94" s="195" t="s">
        <v>131</v>
      </c>
      <c r="C94" s="195"/>
      <c r="D94" s="195"/>
      <c r="E94" s="118"/>
      <c r="F94" s="118"/>
    </row>
    <row r="95" spans="1:6">
      <c r="A95" s="125"/>
      <c r="B95" s="195"/>
      <c r="C95" s="195"/>
      <c r="D95" s="195"/>
      <c r="E95" s="118"/>
      <c r="F95" s="118"/>
    </row>
    <row r="96" spans="1:6">
      <c r="A96" s="126"/>
      <c r="B96" s="118"/>
      <c r="C96" s="118"/>
      <c r="D96" s="118"/>
      <c r="E96" s="118"/>
      <c r="F96" s="118"/>
    </row>
    <row r="98" spans="1:6">
      <c r="A98" s="127"/>
      <c r="B98" s="127"/>
      <c r="C98" s="127"/>
      <c r="D98" s="127"/>
      <c r="E98" s="127"/>
      <c r="F98" s="127"/>
    </row>
    <row r="99" spans="1:6">
      <c r="A99" s="124" t="s">
        <v>111</v>
      </c>
      <c r="B99" s="118"/>
      <c r="C99" s="118"/>
      <c r="D99" s="118"/>
      <c r="E99" s="118"/>
      <c r="F99" s="118" t="s">
        <v>62</v>
      </c>
    </row>
    <row r="100" spans="1:6">
      <c r="A100" s="118"/>
      <c r="B100" s="118"/>
      <c r="C100" s="118"/>
      <c r="D100" s="118"/>
      <c r="E100" s="118"/>
      <c r="F100" s="118"/>
    </row>
    <row r="101" spans="1:6">
      <c r="A101" s="125" t="s">
        <v>81</v>
      </c>
      <c r="B101" s="118"/>
      <c r="C101" s="118"/>
      <c r="D101" s="118"/>
      <c r="E101" s="118"/>
      <c r="F101" s="118"/>
    </row>
    <row r="102" spans="1:6">
      <c r="A102" s="125"/>
      <c r="B102" s="195" t="s">
        <v>134</v>
      </c>
      <c r="C102" s="195"/>
      <c r="D102" s="195"/>
      <c r="E102" s="118"/>
      <c r="F102" s="118"/>
    </row>
    <row r="103" spans="1:6">
      <c r="A103" s="125"/>
      <c r="B103" s="195" t="s">
        <v>135</v>
      </c>
      <c r="C103" s="195"/>
      <c r="D103" s="195"/>
      <c r="E103" s="118"/>
      <c r="F103" s="118"/>
    </row>
    <row r="104" spans="1:6">
      <c r="A104" s="125"/>
      <c r="B104" s="195" t="s">
        <v>102</v>
      </c>
      <c r="C104" s="195"/>
      <c r="D104" s="195"/>
      <c r="E104" s="118"/>
      <c r="F104" s="118"/>
    </row>
    <row r="105" spans="1:6">
      <c r="A105" s="125"/>
      <c r="B105" s="195" t="s">
        <v>191</v>
      </c>
      <c r="C105" s="195"/>
      <c r="D105" s="195"/>
      <c r="E105" s="118" t="s">
        <v>170</v>
      </c>
      <c r="F105" s="118"/>
    </row>
    <row r="106" spans="1:6">
      <c r="A106" s="125"/>
      <c r="B106" s="195" t="s">
        <v>136</v>
      </c>
      <c r="C106" s="195"/>
      <c r="D106" s="195"/>
      <c r="E106" s="118"/>
      <c r="F106" s="118"/>
    </row>
    <row r="107" spans="1:6">
      <c r="A107" s="125"/>
      <c r="B107" s="195" t="s">
        <v>189</v>
      </c>
      <c r="C107" s="195"/>
      <c r="D107" s="195"/>
      <c r="E107" s="118" t="s">
        <v>171</v>
      </c>
      <c r="F107" s="118"/>
    </row>
    <row r="108" spans="1:6">
      <c r="A108" s="125"/>
      <c r="B108" s="195"/>
      <c r="C108" s="195"/>
      <c r="D108" s="195"/>
      <c r="E108" s="118"/>
      <c r="F108" s="118"/>
    </row>
    <row r="109" spans="1:6">
      <c r="A109" s="126"/>
      <c r="B109" s="118"/>
      <c r="C109" s="118"/>
      <c r="D109" s="118"/>
      <c r="E109" s="118"/>
      <c r="F109" s="118"/>
    </row>
    <row r="112" spans="1:6">
      <c r="A112" s="124" t="s">
        <v>137</v>
      </c>
      <c r="B112" s="118"/>
      <c r="C112" s="118"/>
      <c r="D112" s="118"/>
      <c r="E112" s="118"/>
      <c r="F112" s="118"/>
    </row>
    <row r="113" spans="1:6">
      <c r="A113" s="118"/>
      <c r="B113" s="118"/>
      <c r="C113" s="118"/>
      <c r="D113" s="118"/>
      <c r="E113" s="118"/>
      <c r="F113" s="118"/>
    </row>
    <row r="114" spans="1:6">
      <c r="A114" s="125" t="s">
        <v>81</v>
      </c>
      <c r="B114" s="118"/>
      <c r="C114" s="118"/>
      <c r="D114" s="118"/>
      <c r="E114" s="118"/>
      <c r="F114" s="118"/>
    </row>
    <row r="115" spans="1:6">
      <c r="A115" s="125"/>
      <c r="B115" s="195" t="s">
        <v>138</v>
      </c>
      <c r="C115" s="195"/>
      <c r="D115" s="195"/>
      <c r="E115" s="118"/>
      <c r="F115" s="118"/>
    </row>
    <row r="116" spans="1:6">
      <c r="A116" s="125"/>
      <c r="B116" s="195" t="s">
        <v>143</v>
      </c>
      <c r="C116" s="195"/>
      <c r="D116" s="195"/>
      <c r="E116" s="118"/>
      <c r="F116" s="118"/>
    </row>
    <row r="117" spans="1:6">
      <c r="A117" s="125"/>
      <c r="B117" s="195" t="s">
        <v>140</v>
      </c>
      <c r="C117" s="195"/>
      <c r="D117" s="195"/>
      <c r="E117" s="118"/>
      <c r="F117" s="118"/>
    </row>
    <row r="118" spans="1:6">
      <c r="A118" s="125"/>
      <c r="B118" s="195" t="s">
        <v>141</v>
      </c>
      <c r="C118" s="195"/>
      <c r="D118" s="195"/>
      <c r="E118" s="118"/>
      <c r="F118" s="118"/>
    </row>
    <row r="119" spans="1:6">
      <c r="A119" s="125"/>
      <c r="B119" s="195" t="s">
        <v>139</v>
      </c>
      <c r="C119" s="195"/>
      <c r="D119" s="195"/>
      <c r="E119" s="118"/>
      <c r="F119" s="118"/>
    </row>
    <row r="120" spans="1:6">
      <c r="A120" s="125"/>
      <c r="B120" s="195"/>
      <c r="C120" s="195"/>
      <c r="D120" s="195"/>
      <c r="E120" s="118"/>
      <c r="F120" s="118"/>
    </row>
    <row r="121" spans="1:6">
      <c r="A121" s="126"/>
      <c r="B121" s="118"/>
      <c r="C121" s="118"/>
      <c r="D121" s="118"/>
      <c r="E121" s="118"/>
      <c r="F121" s="118"/>
    </row>
    <row r="124" spans="1:6">
      <c r="A124" s="124" t="s">
        <v>142</v>
      </c>
      <c r="B124" s="118"/>
      <c r="C124" s="118"/>
      <c r="D124" s="118"/>
      <c r="E124" s="118"/>
      <c r="F124" s="118"/>
    </row>
    <row r="125" spans="1:6">
      <c r="A125" s="118"/>
      <c r="B125" s="118"/>
      <c r="C125" s="118"/>
      <c r="D125" s="118"/>
      <c r="E125" s="118"/>
      <c r="F125" s="118"/>
    </row>
    <row r="126" spans="1:6">
      <c r="A126" s="125" t="s">
        <v>81</v>
      </c>
      <c r="B126" s="118"/>
      <c r="C126" s="118"/>
      <c r="D126" s="118"/>
      <c r="E126" s="118"/>
      <c r="F126" s="118"/>
    </row>
    <row r="127" spans="1:6">
      <c r="A127" s="125"/>
      <c r="B127" s="195" t="s">
        <v>138</v>
      </c>
      <c r="C127" s="195"/>
      <c r="D127" s="195"/>
      <c r="E127" s="118"/>
      <c r="F127" s="118"/>
    </row>
    <row r="128" spans="1:6">
      <c r="A128" s="125"/>
      <c r="B128" s="195" t="s">
        <v>144</v>
      </c>
      <c r="C128" s="195"/>
      <c r="D128" s="195"/>
      <c r="E128" s="118"/>
      <c r="F128" s="118"/>
    </row>
    <row r="129" spans="1:6">
      <c r="A129" s="125"/>
      <c r="B129" s="195" t="s">
        <v>140</v>
      </c>
      <c r="C129" s="195"/>
      <c r="D129" s="195"/>
      <c r="E129" s="118"/>
      <c r="F129" s="118"/>
    </row>
    <row r="130" spans="1:6">
      <c r="A130" s="125"/>
      <c r="B130" s="195" t="s">
        <v>145</v>
      </c>
      <c r="C130" s="195"/>
      <c r="D130" s="195"/>
      <c r="E130" s="118"/>
      <c r="F130" s="118"/>
    </row>
    <row r="131" spans="1:6">
      <c r="A131" s="125"/>
      <c r="B131" s="195" t="s">
        <v>139</v>
      </c>
      <c r="C131" s="195"/>
      <c r="D131" s="195"/>
      <c r="E131" s="118"/>
      <c r="F131" s="118"/>
    </row>
    <row r="132" spans="1:6">
      <c r="A132" s="125"/>
      <c r="B132" s="195"/>
      <c r="C132" s="195"/>
      <c r="D132" s="195"/>
      <c r="E132" s="118"/>
      <c r="F132" s="118"/>
    </row>
    <row r="133" spans="1:6">
      <c r="A133" s="126"/>
      <c r="B133" s="118"/>
      <c r="C133" s="118"/>
      <c r="D133" s="118"/>
      <c r="E133" s="118"/>
      <c r="F133" s="118"/>
    </row>
    <row r="136" spans="1:6">
      <c r="A136" s="124" t="s">
        <v>146</v>
      </c>
      <c r="B136" s="118"/>
      <c r="C136" s="118"/>
      <c r="D136" s="118"/>
      <c r="E136" s="118"/>
      <c r="F136" s="118"/>
    </row>
    <row r="137" spans="1:6">
      <c r="A137" s="118"/>
      <c r="B137" s="118"/>
      <c r="C137" s="118"/>
      <c r="D137" s="118"/>
      <c r="E137" s="118"/>
      <c r="F137" s="118"/>
    </row>
    <row r="138" spans="1:6">
      <c r="A138" s="125" t="s">
        <v>81</v>
      </c>
      <c r="B138" s="118"/>
      <c r="C138" s="118"/>
      <c r="D138" s="118"/>
      <c r="E138" s="118"/>
      <c r="F138" s="118"/>
    </row>
    <row r="139" spans="1:6">
      <c r="A139" s="125"/>
      <c r="B139" s="195" t="s">
        <v>138</v>
      </c>
      <c r="C139" s="195"/>
      <c r="D139" s="195"/>
      <c r="E139" s="118"/>
      <c r="F139" s="118"/>
    </row>
    <row r="140" spans="1:6">
      <c r="A140" s="125"/>
      <c r="B140" s="195" t="s">
        <v>147</v>
      </c>
      <c r="C140" s="195"/>
      <c r="D140" s="195"/>
      <c r="E140" s="118"/>
      <c r="F140" s="118"/>
    </row>
    <row r="141" spans="1:6">
      <c r="A141" s="125"/>
      <c r="B141" s="195" t="s">
        <v>148</v>
      </c>
      <c r="C141" s="195"/>
      <c r="D141" s="195"/>
      <c r="E141" s="118"/>
      <c r="F141" s="118"/>
    </row>
    <row r="142" spans="1:6">
      <c r="A142" s="125"/>
      <c r="B142" s="195" t="s">
        <v>149</v>
      </c>
      <c r="C142" s="195"/>
      <c r="D142" s="195"/>
      <c r="E142" s="118"/>
      <c r="F142" s="118"/>
    </row>
    <row r="143" spans="1:6">
      <c r="A143" s="125"/>
      <c r="B143" s="195" t="s">
        <v>139</v>
      </c>
      <c r="C143" s="195"/>
      <c r="D143" s="195"/>
      <c r="E143" s="118"/>
      <c r="F143" s="118"/>
    </row>
    <row r="144" spans="1:6">
      <c r="A144" s="125"/>
      <c r="B144" s="195" t="s">
        <v>150</v>
      </c>
      <c r="C144" s="195"/>
      <c r="D144" s="195"/>
      <c r="E144" s="118"/>
      <c r="F144" s="118"/>
    </row>
    <row r="145" spans="1:6">
      <c r="A145" s="125"/>
      <c r="B145" s="195"/>
      <c r="C145" s="195"/>
      <c r="D145" s="195"/>
      <c r="E145" s="118"/>
      <c r="F145" s="118"/>
    </row>
    <row r="146" spans="1:6">
      <c r="A146" s="126"/>
      <c r="B146" s="118"/>
      <c r="C146" s="118"/>
      <c r="D146" s="118"/>
      <c r="E146" s="118"/>
      <c r="F146" s="118"/>
    </row>
    <row r="150" spans="1:6">
      <c r="A150" s="124" t="s">
        <v>151</v>
      </c>
      <c r="B150" s="118"/>
      <c r="C150" s="118"/>
      <c r="D150" s="118"/>
      <c r="E150" s="118"/>
      <c r="F150" s="118"/>
    </row>
    <row r="151" spans="1:6">
      <c r="A151" s="118"/>
      <c r="B151" s="118"/>
      <c r="C151" s="118"/>
      <c r="D151" s="118"/>
      <c r="E151" s="118"/>
      <c r="F151" s="118"/>
    </row>
    <row r="152" spans="1:6">
      <c r="A152" s="125" t="s">
        <v>81</v>
      </c>
      <c r="B152" s="118"/>
      <c r="C152" s="118"/>
      <c r="D152" s="118"/>
      <c r="E152" s="118"/>
      <c r="F152" s="118"/>
    </row>
    <row r="153" spans="1:6">
      <c r="A153" s="125"/>
      <c r="B153" s="195" t="s">
        <v>154</v>
      </c>
      <c r="C153" s="195"/>
      <c r="D153" s="195"/>
      <c r="E153" s="118"/>
      <c r="F153" s="118"/>
    </row>
    <row r="154" spans="1:6">
      <c r="A154" s="125"/>
      <c r="B154" s="195" t="s">
        <v>152</v>
      </c>
      <c r="C154" s="195"/>
      <c r="D154" s="195"/>
      <c r="E154" s="118"/>
      <c r="F154" s="118"/>
    </row>
    <row r="155" spans="1:6">
      <c r="A155" s="125"/>
      <c r="B155" s="119" t="s">
        <v>162</v>
      </c>
      <c r="C155" s="119"/>
      <c r="D155" s="119"/>
      <c r="E155" s="118"/>
      <c r="F155" s="118"/>
    </row>
    <row r="156" spans="1:6">
      <c r="A156" s="125"/>
      <c r="B156" s="195" t="s">
        <v>153</v>
      </c>
      <c r="C156" s="195"/>
      <c r="D156" s="195"/>
      <c r="E156" s="118"/>
      <c r="F156" s="118"/>
    </row>
    <row r="157" spans="1:6" ht="16.5" customHeight="1">
      <c r="A157" s="125"/>
      <c r="B157" s="195"/>
      <c r="C157" s="195"/>
      <c r="D157" s="195"/>
      <c r="E157" s="118"/>
      <c r="F157" s="118"/>
    </row>
    <row r="158" spans="1:6">
      <c r="A158" s="126"/>
      <c r="B158" s="118"/>
      <c r="C158" s="118"/>
      <c r="D158" s="118"/>
      <c r="E158" s="118"/>
      <c r="F158" s="118"/>
    </row>
    <row r="161" spans="1:6">
      <c r="A161" s="124" t="s">
        <v>155</v>
      </c>
      <c r="B161" s="118"/>
      <c r="C161" s="118"/>
      <c r="D161" s="118"/>
      <c r="E161" s="118"/>
      <c r="F161" s="118"/>
    </row>
    <row r="162" spans="1:6">
      <c r="A162" s="118"/>
      <c r="B162" s="118"/>
      <c r="C162" s="118"/>
      <c r="D162" s="118"/>
      <c r="E162" s="118"/>
      <c r="F162" s="118"/>
    </row>
    <row r="163" spans="1:6">
      <c r="A163" s="125" t="s">
        <v>81</v>
      </c>
      <c r="B163" s="118"/>
      <c r="C163" s="118"/>
      <c r="D163" s="118"/>
      <c r="E163" s="118"/>
      <c r="F163" s="118"/>
    </row>
    <row r="164" spans="1:6">
      <c r="A164" s="125"/>
      <c r="B164" s="195" t="s">
        <v>138</v>
      </c>
      <c r="C164" s="195"/>
      <c r="D164" s="195"/>
      <c r="E164" s="118"/>
      <c r="F164" s="118"/>
    </row>
    <row r="165" spans="1:6">
      <c r="A165" s="125"/>
      <c r="B165" s="195" t="s">
        <v>190</v>
      </c>
      <c r="C165" s="195"/>
      <c r="D165" s="195"/>
      <c r="E165" s="118" t="s">
        <v>173</v>
      </c>
      <c r="F165" s="118"/>
    </row>
    <row r="166" spans="1:6">
      <c r="A166" s="125"/>
      <c r="B166" s="195" t="s">
        <v>156</v>
      </c>
      <c r="C166" s="195"/>
      <c r="D166" s="195"/>
      <c r="E166" s="118"/>
      <c r="F166" s="118"/>
    </row>
    <row r="167" spans="1:6">
      <c r="A167" s="125"/>
      <c r="B167" s="195" t="s">
        <v>145</v>
      </c>
      <c r="C167" s="195"/>
      <c r="D167" s="195"/>
      <c r="E167" s="118"/>
      <c r="F167" s="118"/>
    </row>
    <row r="168" spans="1:6">
      <c r="A168" s="125"/>
      <c r="B168" s="195" t="s">
        <v>139</v>
      </c>
      <c r="C168" s="195"/>
      <c r="D168" s="195"/>
      <c r="E168" s="118"/>
      <c r="F168" s="118"/>
    </row>
    <row r="169" spans="1:6">
      <c r="A169" s="125"/>
      <c r="B169" s="195"/>
      <c r="C169" s="195"/>
      <c r="D169" s="195"/>
      <c r="E169" s="118"/>
      <c r="F169" s="118"/>
    </row>
    <row r="170" spans="1:6">
      <c r="A170" s="126"/>
      <c r="B170" s="118"/>
      <c r="C170" s="118"/>
      <c r="D170" s="118"/>
      <c r="E170" s="118"/>
      <c r="F170" s="118"/>
    </row>
    <row r="173" spans="1:6">
      <c r="A173" s="124" t="s">
        <v>157</v>
      </c>
      <c r="B173" s="118"/>
      <c r="C173" s="118"/>
      <c r="D173" s="118"/>
    </row>
    <row r="174" spans="1:6">
      <c r="A174" s="118"/>
      <c r="B174" s="118"/>
      <c r="C174" s="118"/>
      <c r="D174" s="118"/>
    </row>
    <row r="175" spans="1:6">
      <c r="A175" s="125" t="s">
        <v>81</v>
      </c>
      <c r="B175" s="118"/>
      <c r="C175" s="118"/>
      <c r="D175" s="118"/>
    </row>
    <row r="176" spans="1:6">
      <c r="A176" s="125"/>
      <c r="B176" s="195" t="s">
        <v>158</v>
      </c>
      <c r="C176" s="195"/>
      <c r="D176" s="195"/>
    </row>
    <row r="177" spans="1:4">
      <c r="A177" s="125"/>
      <c r="B177" s="195" t="s">
        <v>159</v>
      </c>
      <c r="C177" s="195"/>
      <c r="D177" s="195"/>
    </row>
    <row r="178" spans="1:4">
      <c r="A178" s="125"/>
      <c r="B178" s="195" t="s">
        <v>160</v>
      </c>
      <c r="C178" s="195"/>
      <c r="D178" s="195"/>
    </row>
    <row r="179" spans="1:4">
      <c r="A179" s="125"/>
      <c r="B179" s="195" t="s">
        <v>161</v>
      </c>
      <c r="C179" s="195"/>
      <c r="D179" s="195"/>
    </row>
    <row r="180" spans="1:4">
      <c r="A180" s="125"/>
      <c r="B180" s="195"/>
      <c r="C180" s="195"/>
      <c r="D180" s="195"/>
    </row>
    <row r="181" spans="1:4">
      <c r="A181" s="126"/>
      <c r="B181" s="118"/>
      <c r="C181" s="118"/>
      <c r="D181" s="118"/>
    </row>
  </sheetData>
  <mergeCells count="95">
    <mergeCell ref="B179:D179"/>
    <mergeCell ref="B180:D180"/>
    <mergeCell ref="B176:D176"/>
    <mergeCell ref="B177:D177"/>
    <mergeCell ref="B178:D178"/>
    <mergeCell ref="B165:D165"/>
    <mergeCell ref="B166:D166"/>
    <mergeCell ref="B167:D167"/>
    <mergeCell ref="B168:D168"/>
    <mergeCell ref="B169:D169"/>
    <mergeCell ref="B157:D157"/>
    <mergeCell ref="B164:D164"/>
    <mergeCell ref="B153:D153"/>
    <mergeCell ref="B154:D154"/>
    <mergeCell ref="B156:D156"/>
    <mergeCell ref="B141:D141"/>
    <mergeCell ref="B142:D142"/>
    <mergeCell ref="B143:D143"/>
    <mergeCell ref="B144:D144"/>
    <mergeCell ref="B145:D145"/>
    <mergeCell ref="B139:D139"/>
    <mergeCell ref="B140:D140"/>
    <mergeCell ref="B127:D127"/>
    <mergeCell ref="B128:D128"/>
    <mergeCell ref="B129:D129"/>
    <mergeCell ref="B130:D130"/>
    <mergeCell ref="B131:D131"/>
    <mergeCell ref="B132:D132"/>
    <mergeCell ref="B119:D119"/>
    <mergeCell ref="B120:D120"/>
    <mergeCell ref="B115:D115"/>
    <mergeCell ref="B116:D116"/>
    <mergeCell ref="B117:D117"/>
    <mergeCell ref="B118:D118"/>
    <mergeCell ref="B105:D105"/>
    <mergeCell ref="B106:D106"/>
    <mergeCell ref="B107:D107"/>
    <mergeCell ref="B108:D108"/>
    <mergeCell ref="B102:D102"/>
    <mergeCell ref="B103:D103"/>
    <mergeCell ref="B104:D104"/>
    <mergeCell ref="B92:D92"/>
    <mergeCell ref="B93:D93"/>
    <mergeCell ref="B94:D94"/>
    <mergeCell ref="B95:D95"/>
    <mergeCell ref="B88:D88"/>
    <mergeCell ref="B89:D89"/>
    <mergeCell ref="B90:D90"/>
    <mergeCell ref="B91:D91"/>
    <mergeCell ref="B80:D80"/>
    <mergeCell ref="B81:D81"/>
    <mergeCell ref="B76:D76"/>
    <mergeCell ref="B77:D77"/>
    <mergeCell ref="B78:D78"/>
    <mergeCell ref="B79:D79"/>
    <mergeCell ref="B68:D68"/>
    <mergeCell ref="B69:D69"/>
    <mergeCell ref="B70:D70"/>
    <mergeCell ref="B62:D62"/>
    <mergeCell ref="B63:D63"/>
    <mergeCell ref="B64:D64"/>
    <mergeCell ref="B65:D65"/>
    <mergeCell ref="B66:D66"/>
    <mergeCell ref="B67:D67"/>
    <mergeCell ref="B61:D61"/>
    <mergeCell ref="B51:D51"/>
    <mergeCell ref="B52:D52"/>
    <mergeCell ref="B53:D53"/>
    <mergeCell ref="B54:D54"/>
    <mergeCell ref="B55:D55"/>
    <mergeCell ref="B48:D48"/>
    <mergeCell ref="B49:D49"/>
    <mergeCell ref="B50:D50"/>
    <mergeCell ref="B39:D39"/>
    <mergeCell ref="B40:D40"/>
    <mergeCell ref="B41:D41"/>
    <mergeCell ref="B34:D34"/>
    <mergeCell ref="B35:D35"/>
    <mergeCell ref="B36:D36"/>
    <mergeCell ref="B37:D37"/>
    <mergeCell ref="B38:D38"/>
    <mergeCell ref="B25:D25"/>
    <mergeCell ref="B26:D26"/>
    <mergeCell ref="B19:D19"/>
    <mergeCell ref="B20:D20"/>
    <mergeCell ref="B21:D21"/>
    <mergeCell ref="B22:D22"/>
    <mergeCell ref="B23:D23"/>
    <mergeCell ref="B24:D24"/>
    <mergeCell ref="B18:D18"/>
    <mergeCell ref="A4:F4"/>
    <mergeCell ref="A6:F6"/>
    <mergeCell ref="A9:F9"/>
    <mergeCell ref="B16:D16"/>
    <mergeCell ref="B17:D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 TRIM</vt:lpstr>
      <vt:lpstr>NOTA PEDIDO</vt:lpstr>
      <vt:lpstr>APG</vt:lpstr>
      <vt:lpstr>Hoja2</vt:lpstr>
      <vt:lpstr>APG!Área_de_impresión</vt:lpstr>
      <vt:lpstr>'NOTA 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JIMENA GRIMA</cp:lastModifiedBy>
  <cp:revision>2</cp:revision>
  <cp:lastPrinted>2022-10-14T12:22:55Z</cp:lastPrinted>
  <dcterms:created xsi:type="dcterms:W3CDTF">2020-07-17T23:44:49Z</dcterms:created>
  <dcterms:modified xsi:type="dcterms:W3CDTF">2022-10-21T10:23:42Z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