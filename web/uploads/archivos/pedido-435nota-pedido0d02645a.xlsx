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DESIERTOS Y FRACASADOS\"/>
    </mc:Choice>
  </mc:AlternateContent>
  <xr:revisionPtr revIDLastSave="0" documentId="13_ncr:1_{3BA3CE83-BE8B-480E-BC52-D99102B6082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Trimestrales'!$A$9:$I$23</definedName>
  </definedNames>
  <calcPr calcId="181029"/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I14" i="1" l="1"/>
  <c r="J26" i="2" l="1"/>
  <c r="I20" i="1" l="1"/>
  <c r="I23" i="1"/>
  <c r="I21" i="1"/>
  <c r="I22" i="1"/>
  <c r="I11" i="1" l="1"/>
  <c r="I10" i="1"/>
  <c r="I19" i="1"/>
  <c r="I16" i="1"/>
  <c r="I17" i="1"/>
  <c r="I12" i="1" l="1"/>
  <c r="I13" i="1"/>
  <c r="I15" i="1"/>
  <c r="I18" i="1"/>
  <c r="Q22" i="3" l="1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<sst xmlns="http://schemas.openxmlformats.org/spreadsheetml/2006/main" count="150" uniqueCount="107">
  <si>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</si>
  <si>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</si>
  <si>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</si>
  <si>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</si>
  <si>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</si>
  <si>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</si>
  <si>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</si>
  <si>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</si>
  <si>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</si>
  <si>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</si>
  <si>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</si>
  <si>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</si>
  <si>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</si>
  <si>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</si>
  <si>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</si>
  <si>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</si>
  <si>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</si>
  <si>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ENVASE</t>
  </si>
  <si>
    <t>UNIDAD</t>
  </si>
  <si>
    <t>GOTERO</t>
  </si>
  <si>
    <t>CAJA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</si>
  <si>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</si>
  <si>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r>
      <rPr>
        <u/>
        <sz val="10"/>
        <rFont val="Times New Roman"/>
        <family val="1"/>
      </rPr>
      <t>Mantenimiento</t>
    </r>
    <r>
      <rPr>
        <u/>
        <sz val="10"/>
        <rFont val="Times New Roman"/>
        <family val="1"/>
      </rPr>
      <t xml:space="preserve">: 45 dias habiles </t>
    </r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</si>
  <si>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</si>
  <si>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</si>
  <si>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</si>
  <si>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</si>
  <si>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</si>
  <si>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</si>
  <si>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</si>
  <si>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</si>
  <si>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</si>
  <si>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</si>
  <si>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</si>
  <si>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</si>
  <si>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</si>
  <si>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</si>
  <si>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</si>
  <si>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</si>
  <si>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</si>
  <si>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</si>
  <si>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</si>
  <si>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</si>
  <si>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</si>
  <si>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</si>
  <si>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</si>
  <si>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</si>
  <si>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</si>
  <si>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</si>
  <si>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</si>
  <si>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</si>
  <si>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</si>
  <si>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</si>
  <si>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</si>
  <si>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</si>
  <si>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</si>
  <si>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</si>
  <si>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</si>
  <si>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</si>
  <si>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</si>
  <si>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</si>
  <si>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</si>
  <si>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</si>
  <si>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</si>
  <si>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2.5.2-1821.5</t>
  </si>
  <si>
    <t>2.5.2-1821.458</t>
  </si>
  <si>
    <t>2.5.2-1725.68</t>
  </si>
  <si>
    <t>2.5.2-1724.29</t>
  </si>
  <si>
    <t>2.5.2-1724.154</t>
  </si>
  <si>
    <t>ANTIBIOTICOS P/PERSONAS; TIPO: MONODROGA, DROGA GENERICA: AMPICILINA, FORMA FARMACEUTICA: COMPRIMIDOS, PRESENTACION: 500 mGr</t>
  </si>
  <si>
    <t>ANALGESICOS ; TIPO: MONODROGA, DROGA GENERICA: TRAMADOL 50 mGr, FORMA FARMACEUTICA: AMPOLLA, PRESENTACION: UNIDAD</t>
  </si>
  <si>
    <t>ANTIBIOTICOS P/PERSONAS; TIPO: MONODROGA, DROGA GENERICA: DOXICICLINA 100 mGr, FORMA FARMACEUTICA: COMPRIMIDO, PRESENTACION: UNIDAD</t>
  </si>
  <si>
    <t>ANTIINFLAMATORIOS NO ESTEROIDE; TIPO: MONODROGA, DROGA GENERICA: IBUPROFENO, FORMA FARMACEUTICA: COMPRIMIDO, PRESENTACION: 400 mGr</t>
  </si>
  <si>
    <t>ANALGESICOS ; TIPO: MONODROGA, DROGA GENERICA: PARACETAMOL, FORMA FARMACEUTICA: GOTAS, PRESENTACION: 20 mL</t>
  </si>
  <si>
    <t>SI</t>
  </si>
  <si>
    <t>Productos Farmacéuticos y Medicinales</t>
  </si>
  <si>
    <t>2.5.2-1851.29</t>
  </si>
  <si>
    <t>GENITOURINARIO; TIPO: MONODROGA, DROGA GENÉRICA: NISTATINA, FORMA FARMACEÚTICA: COMPRIMIDO VAGINAL, PRESENTACIÓN: 100000 UI</t>
  </si>
  <si>
    <t>2.5.2-1855.23</t>
  </si>
  <si>
    <t>CORTICOESTEROIDES; TIPO: MONODROGA, DROGA GENERICA: BETAMETASONA, FORMA FARMACEUTICA: CREMA, PRESENTACION: 15 GR</t>
  </si>
  <si>
    <t>2.5.2-1895.8</t>
  </si>
  <si>
    <t>HORMONAS MEDICINALES; TIPO: MONODROGA, DROGA GENERICA: GONADOTROFINA CORIONICA, FORMA FARMACEUTICA: AMPOLLA, PRESENTACION: 5000 UI, USO: SEXUAL</t>
  </si>
  <si>
    <t>2.9.5-467.103</t>
  </si>
  <si>
    <t>MASCARAS; TIPO: HALO CEFALICO MEDIANO (200 MM X 180 MM), MATERIAL: ACRILICO, USO: CONCENTRACION DE OXIGENO PEDIATRICO</t>
  </si>
  <si>
    <t>2.9.5-467.104</t>
  </si>
  <si>
    <t>MASCARAS; TIPO: HALO CEFALICO GRANDE (230 MM X 200 MM), MATERIAL: ACRILICO, USO: CONCENTRACION DE OXIGENO PEDIATRICO</t>
  </si>
  <si>
    <t>2.9.5-467.108</t>
  </si>
  <si>
    <t>MASCARAS; TIPO: ORONASAL- TAMAÑO M , MATERIAL: SILICONA, USO: P/VNI ADULTO CON VALVULA ANTIAFIXIA</t>
  </si>
  <si>
    <t>2.9.5-467.112</t>
  </si>
  <si>
    <t>MASCARAS ;TIPO TOTAL FACE -TAMANO X GRANDE , MATERIAL : SILICONA, USO : P/VNI ADULTO</t>
  </si>
  <si>
    <t>2.9.5-2366.2</t>
  </si>
  <si>
    <t>HISOPOS; MATERIAL DE EXTREMOS: ALGODON, PRESENTACION: CAJA X 100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</si>
  <si>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</si>
  <si>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</si>
  <si>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Utiles Menores Medico, Quirurgico y de Laboratorio</t>
  </si>
  <si>
    <t>3 meses</t>
  </si>
  <si>
    <t>Adquisición de Medicamentos y Descartables Desiertos y Fracasados</t>
  </si>
  <si>
    <t>28- Maternidad Provincial 25 de Mayo</t>
  </si>
  <si>
    <t>Especificidades: ITEMS 11: TIPO PERFOMAX CUBRE BOCA, NARIZ, OJOS</t>
  </si>
  <si>
    <r>
      <rPr>
        <u/>
        <sz val="10"/>
        <rFont val="Times New Roman"/>
        <family val="1"/>
      </rPr>
      <t xml:space="preserve">Lugar de Entrega:  </t>
    </r>
    <r>
      <rPr>
        <sz val="10"/>
        <rFont val="Times New Roman"/>
        <family val="1"/>
      </rPr>
      <t>SERVICIO DE FARMACIA-MATERNIDAD PROVINCIAL 25 DE MAYO. HERNANDO DE PEDRAZA N° 1.650  DE 07:00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</si>
  <si>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10 DIAS HABILES </t>
    </r>
  </si>
  <si>
    <t>Especificidades: ITEMS 12 y 13: TIPO MEDIX con tapa</t>
  </si>
  <si>
    <t xml:space="preserve">169- Direccion Asistencial </t>
  </si>
  <si>
    <t xml:space="preserve">Servicio de Farmacia  </t>
  </si>
  <si>
    <t xml:space="preserve">Para la adquisición de Medicamentos y Descartables Desiertos y Fracasados destinados al servico de farmacia del Hospital Maternidad Provincial 25 de Mayo </t>
  </si>
  <si>
    <t>Costo total estimado: UN MILLON SEISCIENTOS DIEZ MIL QUINIENTOS VEINTIUNO con 08/100.</t>
  </si>
  <si>
    <t>TOTAL DE PESOS:  UN MILLON SEISCIENTOS DIEZ MIL QUINIENTOS VEINTIUNO con 08/100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</si>
</sst>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  <font>
      <b/>
      <sz val="12"/>
      <color theme="1"/>
      <name val="Times New Roman"/>
      <family val="1"/>
    </font>
    <font>
      <b/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0" fontId="2" fillId="0" borderId="6"/>
    <xf numFmtId="164" fontId="30" fillId="0" borderId="0" applyFont="0" applyFill="0" applyBorder="0" applyAlignment="0" applyProtection="0"/>
    <xf numFmtId="0" fontId="5" fillId="0" borderId="6"/>
    <xf numFmtId="0" fontId="1" fillId="0" borderId="6"/>
    <xf numFmtId="0" fontId="27" fillId="0" borderId="6"/>
  </cellStyleXfs>
  <cellXfs count="214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15" fillId="0" borderId="7" xfId="0" applyFont="1" applyBorder="1" applyAlignment="1">
      <alignment horizontal="right" vertical="center"/>
    </xf>
    <xf numFmtId="0" fontId="17" fillId="0" borderId="9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3" fontId="21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7" xfId="0" applyFont="1" applyBorder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7" fontId="11" fillId="0" borderId="41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67" fontId="11" fillId="0" borderId="46" xfId="0" applyNumberFormat="1" applyFont="1" applyBorder="1" applyAlignment="1">
      <alignment horizontal="center" vertical="center"/>
    </xf>
    <xf numFmtId="0" fontId="3" fillId="0" borderId="6" xfId="0" applyFont="1" applyBorder="1"/>
    <xf numFmtId="0" fontId="8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165" fontId="10" fillId="0" borderId="5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7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3" fillId="0" borderId="57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wrapText="1"/>
    </xf>
    <xf numFmtId="0" fontId="12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wrapText="1"/>
    </xf>
    <xf numFmtId="0" fontId="13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0" borderId="60" xfId="0" applyFont="1" applyBorder="1"/>
    <xf numFmtId="0" fontId="3" fillId="0" borderId="61" xfId="0" applyFont="1" applyBorder="1"/>
    <xf numFmtId="0" fontId="3" fillId="0" borderId="62" xfId="0" applyFont="1" applyBorder="1" applyAlignment="1">
      <alignment horizontal="center" vertical="center"/>
    </xf>
    <xf numFmtId="0" fontId="3" fillId="0" borderId="62" xfId="0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 wrapText="1"/>
    </xf>
    <xf numFmtId="167" fontId="3" fillId="0" borderId="62" xfId="0" applyNumberFormat="1" applyFont="1" applyBorder="1" applyAlignment="1">
      <alignment horizontal="right" vertical="center" wrapText="1"/>
    </xf>
    <xf numFmtId="3" fontId="3" fillId="0" borderId="6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2" borderId="63" xfId="2" applyNumberFormat="1" applyFont="1" applyFill="1" applyBorder="1" applyAlignment="1">
      <alignment horizontal="center" vertical="center"/>
    </xf>
    <xf numFmtId="0" fontId="27" fillId="0" borderId="63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/>
    </xf>
    <xf numFmtId="0" fontId="27" fillId="2" borderId="63" xfId="0" applyFont="1" applyFill="1" applyBorder="1" applyAlignment="1">
      <alignment horizontal="center" vertical="center" wrapText="1"/>
    </xf>
    <xf numFmtId="3" fontId="5" fillId="2" borderId="63" xfId="0" applyNumberFormat="1" applyFont="1" applyFill="1" applyBorder="1" applyAlignment="1">
      <alignment horizontal="center" vertical="center"/>
    </xf>
    <xf numFmtId="44" fontId="28" fillId="2" borderId="63" xfId="4" applyNumberFormat="1" applyFont="1" applyFill="1" applyBorder="1" applyAlignment="1">
      <alignment horizontal="left" vertical="center"/>
    </xf>
    <xf numFmtId="166" fontId="11" fillId="0" borderId="63" xfId="0" applyNumberFormat="1" applyFont="1" applyBorder="1" applyAlignment="1">
      <alignment horizontal="center" vertical="center"/>
    </xf>
    <xf numFmtId="0" fontId="0" fillId="2" borderId="63" xfId="0" applyFill="1" applyBorder="1" applyAlignment="1">
      <alignment horizontal="center" vertical="center" wrapText="1"/>
    </xf>
    <xf numFmtId="166" fontId="11" fillId="2" borderId="63" xfId="0" applyNumberFormat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left" vertical="center" wrapText="1"/>
    </xf>
    <xf numFmtId="0" fontId="11" fillId="2" borderId="63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center" vertical="center" wrapText="1"/>
    </xf>
    <xf numFmtId="44" fontId="5" fillId="0" borderId="63" xfId="2" applyNumberFormat="1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left" vertical="center"/>
    </xf>
    <xf numFmtId="0" fontId="27" fillId="2" borderId="63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left" vertical="center" wrapText="1"/>
    </xf>
    <xf numFmtId="0" fontId="27" fillId="2" borderId="63" xfId="0" applyFont="1" applyFill="1" applyBorder="1" applyAlignment="1">
      <alignment vertical="center" wrapText="1"/>
    </xf>
    <xf numFmtId="0" fontId="0" fillId="0" borderId="63" xfId="0" applyBorder="1" applyAlignment="1">
      <alignment horizontal="left" vertical="center" wrapText="1"/>
    </xf>
    <xf numFmtId="0" fontId="28" fillId="4" borderId="63" xfId="0" applyFont="1" applyFill="1" applyBorder="1" applyAlignment="1">
      <alignment horizontal="center" vertical="center"/>
    </xf>
    <xf numFmtId="0" fontId="28" fillId="0" borderId="63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/>
    </xf>
    <xf numFmtId="44" fontId="5" fillId="0" borderId="6" xfId="2" applyNumberFormat="1" applyFont="1" applyFill="1" applyBorder="1" applyAlignment="1">
      <alignment horizontal="center" vertical="center" wrapText="1"/>
    </xf>
    <xf numFmtId="170" fontId="5" fillId="0" borderId="6" xfId="2" applyNumberFormat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27" fillId="0" borderId="63" xfId="0" applyFont="1" applyFill="1" applyBorder="1" applyAlignment="1">
      <alignment horizontal="left" vertical="center" wrapText="1"/>
    </xf>
    <xf numFmtId="0" fontId="5" fillId="0" borderId="63" xfId="0" applyFont="1" applyFill="1" applyBorder="1" applyAlignment="1">
      <alignment horizontal="left" vertical="center" wrapText="1"/>
    </xf>
    <xf numFmtId="165" fontId="11" fillId="2" borderId="63" xfId="0" applyNumberFormat="1" applyFont="1" applyFill="1" applyBorder="1" applyAlignment="1">
      <alignment horizontal="left" vertical="center"/>
    </xf>
    <xf numFmtId="170" fontId="5" fillId="3" borderId="63" xfId="2" applyNumberFormat="1" applyFont="1" applyFill="1" applyBorder="1" applyAlignment="1" applyProtection="1">
      <alignment horizontal="left" vertical="center"/>
    </xf>
    <xf numFmtId="165" fontId="11" fillId="0" borderId="63" xfId="0" applyNumberFormat="1" applyFont="1" applyBorder="1" applyAlignment="1">
      <alignment horizontal="left" vertical="center"/>
    </xf>
    <xf numFmtId="170" fontId="5" fillId="0" borderId="63" xfId="2" applyNumberFormat="1" applyFont="1" applyFill="1" applyBorder="1" applyAlignment="1" applyProtection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167" fontId="11" fillId="2" borderId="66" xfId="0" applyNumberFormat="1" applyFont="1" applyFill="1" applyBorder="1" applyAlignment="1">
      <alignment horizontal="center" vertical="center"/>
    </xf>
    <xf numFmtId="167" fontId="25" fillId="3" borderId="50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6" fillId="3" borderId="2" xfId="0" applyFont="1" applyFill="1" applyBorder="1" applyAlignment="1">
      <alignment horizontal="left" vertical="center" wrapText="1"/>
    </xf>
    <xf numFmtId="0" fontId="5" fillId="2" borderId="4" xfId="0" applyFont="1" applyFill="1" applyBorder="1"/>
    <xf numFmtId="0" fontId="31" fillId="2" borderId="0" xfId="0" applyFont="1" applyFill="1" applyAlignment="1">
      <alignment horizontal="left" wrapText="1" indent="1"/>
    </xf>
    <xf numFmtId="0" fontId="6" fillId="2" borderId="2" xfId="0" applyFont="1" applyFill="1" applyBorder="1" applyAlignment="1">
      <alignment horizontal="left" vertical="center" wrapText="1"/>
    </xf>
    <xf numFmtId="0" fontId="27" fillId="0" borderId="54" xfId="0" applyFont="1" applyFill="1" applyBorder="1" applyAlignment="1">
      <alignment vertical="center" wrapText="1"/>
    </xf>
    <xf numFmtId="0" fontId="0" fillId="0" borderId="55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3" fillId="0" borderId="57" xfId="0" applyFont="1" applyBorder="1" applyAlignment="1">
      <alignment horizontal="left" wrapText="1"/>
    </xf>
    <xf numFmtId="0" fontId="5" fillId="0" borderId="58" xfId="0" applyFont="1" applyBorder="1"/>
    <xf numFmtId="0" fontId="5" fillId="0" borderId="57" xfId="0" applyFont="1" applyBorder="1"/>
    <xf numFmtId="0" fontId="16" fillId="0" borderId="62" xfId="0" applyFont="1" applyBorder="1" applyAlignment="1">
      <alignment horizontal="left" vertical="center" wrapText="1"/>
    </xf>
    <xf numFmtId="0" fontId="5" fillId="0" borderId="62" xfId="0" applyFont="1" applyBorder="1"/>
    <xf numFmtId="168" fontId="19" fillId="0" borderId="6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6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9" fillId="3" borderId="16" xfId="0" applyFont="1" applyFill="1" applyBorder="1" applyAlignment="1">
      <alignment horizontal="left" vertical="center" wrapText="1"/>
    </xf>
    <xf numFmtId="0" fontId="5" fillId="2" borderId="17" xfId="0" applyFont="1" applyFill="1" applyBorder="1"/>
    <xf numFmtId="0" fontId="5" fillId="2" borderId="18" xfId="0" applyFont="1" applyFill="1" applyBorder="1"/>
    <xf numFmtId="0" fontId="16" fillId="3" borderId="13" xfId="0" applyFont="1" applyFill="1" applyBorder="1" applyAlignment="1">
      <alignment horizontal="left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0" fontId="32" fillId="2" borderId="63" xfId="0" applyFont="1" applyFill="1" applyBorder="1" applyAlignment="1">
      <alignment horizontal="left" vertical="center" wrapText="1" indent="1"/>
    </xf>
    <xf numFmtId="0" fontId="19" fillId="3" borderId="13" xfId="0" applyFont="1" applyFill="1" applyBorder="1" applyAlignment="1">
      <alignment horizontal="left" vertical="center"/>
    </xf>
    <xf numFmtId="0" fontId="5" fillId="2" borderId="19" xfId="0" applyFont="1" applyFill="1" applyBorder="1"/>
    <xf numFmtId="0" fontId="19" fillId="3" borderId="10" xfId="0" applyFont="1" applyFill="1" applyBorder="1" applyAlignment="1">
      <alignment horizontal="left" vertical="center" wrapText="1"/>
    </xf>
    <xf numFmtId="0" fontId="5" fillId="2" borderId="11" xfId="0" applyFont="1" applyFill="1" applyBorder="1"/>
    <xf numFmtId="0" fontId="5" fillId="2" borderId="12" xfId="0" applyFont="1" applyFill="1" applyBorder="1"/>
    <xf numFmtId="0" fontId="20" fillId="0" borderId="6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3" borderId="20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3" fillId="0" borderId="62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center" vertical="center"/>
    </xf>
    <xf numFmtId="0" fontId="5" fillId="0" borderId="31" xfId="0" applyFont="1" applyBorder="1"/>
    <xf numFmtId="0" fontId="5" fillId="0" borderId="22" xfId="0" applyFont="1" applyBorder="1"/>
    <xf numFmtId="0" fontId="25" fillId="0" borderId="10" xfId="0" applyFont="1" applyBorder="1" applyAlignment="1">
      <alignment horizontal="center" vertical="center"/>
    </xf>
    <xf numFmtId="0" fontId="23" fillId="0" borderId="31" xfId="0" applyFont="1" applyBorder="1" applyAlignment="1">
      <alignment vertical="center" wrapText="1"/>
    </xf>
    <xf numFmtId="0" fontId="25" fillId="0" borderId="54" xfId="0" applyFont="1" applyBorder="1" applyAlignment="1">
      <alignment horizontal="center" vertical="center" wrapText="1"/>
    </xf>
    <xf numFmtId="0" fontId="5" fillId="0" borderId="56" xfId="0" applyFont="1" applyBorder="1"/>
    <xf numFmtId="0" fontId="5" fillId="0" borderId="59" xfId="0" applyFont="1" applyBorder="1"/>
    <xf numFmtId="0" fontId="5" fillId="0" borderId="61" xfId="0" applyFont="1" applyBorder="1"/>
    <xf numFmtId="0" fontId="25" fillId="0" borderId="22" xfId="0" applyFont="1" applyBorder="1" applyAlignment="1">
      <alignment horizontal="center" vertical="center"/>
    </xf>
    <xf numFmtId="0" fontId="5" fillId="0" borderId="27" xfId="0" applyFont="1" applyBorder="1"/>
    <xf numFmtId="0" fontId="11" fillId="2" borderId="53" xfId="0" applyFont="1" applyFill="1" applyBorder="1" applyAlignment="1">
      <alignment horizontal="left" vertical="center" wrapText="1"/>
    </xf>
    <xf numFmtId="0" fontId="5" fillId="2" borderId="53" xfId="0" applyFont="1" applyFill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/>
    </xf>
    <xf numFmtId="0" fontId="5" fillId="0" borderId="65" xfId="0" applyFont="1" applyBorder="1"/>
    <xf numFmtId="0" fontId="11" fillId="0" borderId="39" xfId="0" applyFont="1" applyBorder="1" applyAlignment="1">
      <alignment horizontal="left" vertical="center"/>
    </xf>
    <xf numFmtId="0" fontId="5" fillId="0" borderId="40" xfId="0" applyFont="1" applyBorder="1"/>
    <xf numFmtId="0" fontId="24" fillId="0" borderId="10" xfId="0" applyFont="1" applyBorder="1" applyAlignment="1">
      <alignment horizontal="left"/>
    </xf>
    <xf numFmtId="0" fontId="5" fillId="0" borderId="25" xfId="0" applyFont="1" applyBorder="1"/>
    <xf numFmtId="0" fontId="3" fillId="3" borderId="10" xfId="0" applyFont="1" applyFill="1" applyBorder="1" applyAlignment="1">
      <alignment horizontal="left" vertical="center" wrapText="1"/>
    </xf>
    <xf numFmtId="0" fontId="5" fillId="2" borderId="25" xfId="0" applyFont="1" applyFill="1" applyBorder="1"/>
    <xf numFmtId="0" fontId="23" fillId="3" borderId="10" xfId="0" applyFont="1" applyFill="1" applyBorder="1" applyAlignment="1">
      <alignment horizontal="left"/>
    </xf>
    <xf numFmtId="0" fontId="23" fillId="0" borderId="26" xfId="0" applyFont="1" applyBorder="1"/>
    <xf numFmtId="0" fontId="0" fillId="0" borderId="0" xfId="0"/>
    <xf numFmtId="0" fontId="23" fillId="3" borderId="28" xfId="0" applyFont="1" applyFill="1" applyBorder="1" applyAlignment="1">
      <alignment horizontal="left" vertical="center" wrapText="1"/>
    </xf>
    <xf numFmtId="0" fontId="5" fillId="2" borderId="3" xfId="0" applyFont="1" applyFill="1" applyBorder="1"/>
    <xf numFmtId="0" fontId="5" fillId="2" borderId="29" xfId="0" applyFont="1" applyFill="1" applyBorder="1"/>
    <xf numFmtId="0" fontId="22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23" fillId="0" borderId="1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0" fontId="23" fillId="3" borderId="51" xfId="0" applyFont="1" applyFill="1" applyBorder="1" applyAlignment="1">
      <alignment horizontal="left" vertical="center" wrapText="1"/>
    </xf>
    <xf numFmtId="0" fontId="5" fillId="2" borderId="5" xfId="0" applyFont="1" applyFill="1" applyBorder="1"/>
    <xf numFmtId="0" fontId="5" fillId="2" borderId="52" xfId="0" applyFont="1" applyFill="1" applyBorder="1"/>
    <xf numFmtId="0" fontId="5" fillId="2" borderId="23" xfId="0" applyFont="1" applyFill="1" applyBorder="1"/>
    <xf numFmtId="0" fontId="5" fillId="2" borderId="30" xfId="0" applyFont="1" applyFill="1" applyBorder="1"/>
    <xf numFmtId="0" fontId="5" fillId="2" borderId="24" xfId="0" applyFont="1" applyFill="1" applyBorder="1"/>
    <xf numFmtId="0" fontId="21" fillId="3" borderId="47" xfId="0" applyFont="1" applyFill="1" applyBorder="1" applyAlignment="1">
      <alignment horizontal="left" vertical="center" wrapText="1"/>
    </xf>
    <xf numFmtId="0" fontId="5" fillId="2" borderId="48" xfId="0" applyFont="1" applyFill="1" applyBorder="1"/>
    <xf numFmtId="0" fontId="5" fillId="2" borderId="49" xfId="0" applyFont="1" applyFill="1" applyBorder="1"/>
    <xf numFmtId="0" fontId="11" fillId="0" borderId="21" xfId="0" applyFont="1" applyBorder="1"/>
    <xf numFmtId="0" fontId="11" fillId="0" borderId="44" xfId="0" applyFont="1" applyBorder="1" applyAlignment="1">
      <alignment horizontal="left" vertical="center"/>
    </xf>
    <xf numFmtId="0" fontId="5" fillId="0" borderId="45" xfId="0" applyFont="1" applyBorder="1"/>
    <xf numFmtId="0" fontId="21" fillId="0" borderId="13" xfId="0" applyFont="1" applyBorder="1" applyAlignment="1">
      <alignment vertical="center" wrapText="1"/>
    </xf>
    <xf numFmtId="44" fontId="0" fillId="0" borderId="0" xfId="0" applyNumberFormat="1"/>
  </cellXfs>
  <cellStyles count="6">
    <cellStyle name="Moneda" xfId="2" builtinId="4"/>
    <cellStyle name="Normal" xfId="0" builtinId="0"/>
    <cellStyle name="Normal 2" xfId="1" xr:uid="{00000000-0005-0000-0000-000002000000}"/>
    <cellStyle name="Normal 2 3" xfId="3" xr:uid="{00000000-0005-0000-0000-000003000000}"/>
    <cellStyle name="Normal 3" xfId="5" xr:uid="{00000000-0005-0000-0000-000004000000}"/>
    <cellStyle name="Normal 5" xfId="4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87" zoomScaleNormal="87" workbookViewId="0">
      <selection activeCell="H28" sqref="H28"/>
    </sheetView>
  </sheetViews>
  <sheetFormatPr baseColWidth="10" defaultColWidth="12.5703125" defaultRowHeight="15" customHeight="1" x14ac:dyDescent="0.2"/>
  <cols>
    <col min="1" max="1" width="4.5703125" customWidth="1"/>
    <col min="2" max="2" width="15" style="42" customWidth="1"/>
    <col min="3" max="3" width="29.42578125" style="42" customWidth="1"/>
    <col min="4" max="4" width="5.85546875" bestFit="1" customWidth="1"/>
    <col min="5" max="5" width="90.7109375" customWidth="1"/>
    <col min="6" max="6" width="15.85546875" customWidth="1"/>
    <col min="7" max="7" width="10.85546875" customWidth="1"/>
    <col min="8" max="8" width="14.42578125" style="42" customWidth="1"/>
    <col min="9" max="9" width="15.5703125" customWidth="1"/>
    <col min="10" max="10" width="48.5703125" bestFit="1" customWidth="1"/>
    <col min="11" max="11" width="52.140625" bestFit="1" customWidth="1"/>
    <col min="12" max="12" width="38.28515625" bestFit="1" customWidth="1"/>
  </cols>
  <sheetData>
    <row r="1" spans="1:10" ht="12.75" customHeight="1" x14ac:dyDescent="0.2">
      <c r="A1" s="1"/>
      <c r="B1" s="43"/>
      <c r="C1" s="43"/>
      <c r="D1" s="1"/>
      <c r="E1" s="36"/>
      <c r="F1" s="1"/>
      <c r="G1" s="1"/>
      <c r="H1" s="43"/>
      <c r="I1" s="2"/>
      <c r="J1" s="1"/>
    </row>
    <row r="2" spans="1:10" ht="26.25" customHeight="1" x14ac:dyDescent="0.35">
      <c r="A2" s="1"/>
      <c r="B2" s="122" t="s">
        <v>0</v>
      </c>
      <c r="C2" s="123"/>
      <c r="D2" s="123"/>
      <c r="E2" s="124"/>
      <c r="F2" s="123"/>
      <c r="G2" s="123"/>
      <c r="H2" s="125"/>
      <c r="I2" s="2"/>
      <c r="J2" s="1"/>
    </row>
    <row r="3" spans="1:10" ht="12.75" customHeight="1" x14ac:dyDescent="0.2">
      <c r="A3" s="1"/>
      <c r="B3" s="43"/>
      <c r="C3" s="43"/>
      <c r="D3" s="1"/>
      <c r="E3" s="36"/>
      <c r="F3" s="1"/>
      <c r="G3" s="1"/>
      <c r="H3" s="43"/>
      <c r="I3" s="2"/>
      <c r="J3" s="1"/>
    </row>
    <row r="4" spans="1:10" ht="12.75" customHeight="1" x14ac:dyDescent="0.25">
      <c r="A4" s="126" t="s">
        <v>1</v>
      </c>
      <c r="B4" s="125"/>
      <c r="C4" s="127" t="s">
        <v>2</v>
      </c>
      <c r="D4" s="123"/>
      <c r="E4" s="124"/>
      <c r="F4" s="3"/>
      <c r="G4" s="4"/>
      <c r="H4" s="46"/>
      <c r="I4" s="2"/>
      <c r="J4" s="1"/>
    </row>
    <row r="5" spans="1:10" ht="12.75" customHeight="1" x14ac:dyDescent="0.25">
      <c r="A5" s="128" t="s">
        <v>3</v>
      </c>
      <c r="B5" s="129"/>
      <c r="C5" s="130" t="s">
        <v>97</v>
      </c>
      <c r="D5" s="130"/>
      <c r="E5" s="130"/>
      <c r="F5" s="3"/>
      <c r="G5" s="4"/>
      <c r="H5" s="46"/>
      <c r="I5" s="2"/>
      <c r="J5" s="1"/>
    </row>
    <row r="6" spans="1:10" ht="12.75" customHeight="1" x14ac:dyDescent="0.2">
      <c r="A6" s="131" t="s">
        <v>4</v>
      </c>
      <c r="B6" s="129"/>
      <c r="C6" s="110">
        <v>2022</v>
      </c>
      <c r="D6" s="111"/>
      <c r="E6" s="112"/>
      <c r="F6" s="3"/>
      <c r="G6" s="4"/>
      <c r="H6" s="46"/>
      <c r="I6" s="2"/>
      <c r="J6" s="1"/>
    </row>
    <row r="7" spans="1:10" ht="12.75" customHeight="1" x14ac:dyDescent="0.2">
      <c r="A7" s="128" t="s">
        <v>5</v>
      </c>
      <c r="B7" s="129"/>
      <c r="C7" s="113">
        <v>3</v>
      </c>
      <c r="D7" s="111"/>
      <c r="E7" s="112"/>
      <c r="F7" s="3"/>
      <c r="G7" s="4"/>
      <c r="H7" s="46"/>
      <c r="I7" s="2"/>
      <c r="J7" s="1"/>
    </row>
    <row r="8" spans="1:10" ht="12.75" customHeight="1" x14ac:dyDescent="0.2">
      <c r="A8" s="1"/>
      <c r="B8" s="46"/>
      <c r="C8" s="45"/>
      <c r="D8" s="3"/>
      <c r="E8" s="37"/>
      <c r="F8" s="3"/>
      <c r="G8" s="4"/>
      <c r="H8" s="46"/>
      <c r="I8" s="2"/>
      <c r="J8" s="1"/>
    </row>
    <row r="9" spans="1:10" s="47" customFormat="1" ht="39" thickBot="1" x14ac:dyDescent="0.25">
      <c r="A9" s="40" t="s">
        <v>6</v>
      </c>
      <c r="B9" s="40" t="s">
        <v>7</v>
      </c>
      <c r="C9" s="40" t="s">
        <v>8</v>
      </c>
      <c r="D9" s="40" t="s">
        <v>9</v>
      </c>
      <c r="E9" s="40" t="s">
        <v>10</v>
      </c>
      <c r="F9" s="40" t="s">
        <v>11</v>
      </c>
      <c r="G9" s="40" t="s">
        <v>12</v>
      </c>
      <c r="H9" s="40" t="s">
        <v>13</v>
      </c>
      <c r="I9" s="41" t="s">
        <v>14</v>
      </c>
      <c r="J9" s="49"/>
    </row>
    <row r="10" spans="1:10" ht="26.25" thickBot="1" x14ac:dyDescent="0.25">
      <c r="A10" s="76">
        <v>1</v>
      </c>
      <c r="B10" s="89" t="s">
        <v>67</v>
      </c>
      <c r="C10" s="91" t="s">
        <v>63</v>
      </c>
      <c r="D10" s="81">
        <v>252</v>
      </c>
      <c r="E10" s="103" t="s">
        <v>73</v>
      </c>
      <c r="F10" s="84" t="s">
        <v>19</v>
      </c>
      <c r="G10" s="78">
        <v>400</v>
      </c>
      <c r="H10" s="82">
        <v>243.8</v>
      </c>
      <c r="I10" s="105">
        <f t="shared" ref="I10:I23" si="0">+G10*H10</f>
        <v>97520</v>
      </c>
      <c r="J10" s="42"/>
    </row>
    <row r="11" spans="1:10" ht="31.5" customHeight="1" thickBot="1" x14ac:dyDescent="0.25">
      <c r="A11" s="76">
        <v>2</v>
      </c>
      <c r="B11" s="89" t="s">
        <v>68</v>
      </c>
      <c r="C11" s="91" t="s">
        <v>63</v>
      </c>
      <c r="D11" s="81">
        <v>252</v>
      </c>
      <c r="E11" s="103" t="s">
        <v>70</v>
      </c>
      <c r="F11" s="84" t="s">
        <v>16</v>
      </c>
      <c r="G11" s="78">
        <v>100</v>
      </c>
      <c r="H11" s="82">
        <v>68.900000000000006</v>
      </c>
      <c r="I11" s="105">
        <f t="shared" si="0"/>
        <v>6890.0000000000009</v>
      </c>
      <c r="J11" s="42"/>
    </row>
    <row r="12" spans="1:10" ht="26.25" thickBot="1" x14ac:dyDescent="0.25">
      <c r="A12" s="76">
        <v>3</v>
      </c>
      <c r="B12" s="89" t="s">
        <v>64</v>
      </c>
      <c r="C12" s="91" t="s">
        <v>63</v>
      </c>
      <c r="D12" s="81">
        <v>252</v>
      </c>
      <c r="E12" s="103" t="s">
        <v>69</v>
      </c>
      <c r="F12" s="84" t="s">
        <v>15</v>
      </c>
      <c r="G12" s="78">
        <v>80</v>
      </c>
      <c r="H12" s="82">
        <v>18.100000000000001</v>
      </c>
      <c r="I12" s="105">
        <f t="shared" si="0"/>
        <v>1448</v>
      </c>
      <c r="J12" s="42"/>
    </row>
    <row r="13" spans="1:10" ht="26.25" thickBot="1" x14ac:dyDescent="0.25">
      <c r="A13" s="76">
        <v>4</v>
      </c>
      <c r="B13" s="89" t="s">
        <v>65</v>
      </c>
      <c r="C13" s="91" t="s">
        <v>63</v>
      </c>
      <c r="D13" s="81">
        <v>252</v>
      </c>
      <c r="E13" s="103" t="s">
        <v>71</v>
      </c>
      <c r="F13" s="84" t="s">
        <v>15</v>
      </c>
      <c r="G13" s="78">
        <v>216</v>
      </c>
      <c r="H13" s="82">
        <v>19.079999999999998</v>
      </c>
      <c r="I13" s="105">
        <f t="shared" si="0"/>
        <v>4121.28</v>
      </c>
      <c r="J13" s="43"/>
    </row>
    <row r="14" spans="1:10" ht="26.25" thickBot="1" x14ac:dyDescent="0.25">
      <c r="A14" s="76">
        <v>5</v>
      </c>
      <c r="B14" s="89" t="s">
        <v>92</v>
      </c>
      <c r="C14" s="90" t="s">
        <v>63</v>
      </c>
      <c r="D14" s="77">
        <v>252</v>
      </c>
      <c r="E14" s="103" t="s">
        <v>93</v>
      </c>
      <c r="F14" s="76" t="s">
        <v>16</v>
      </c>
      <c r="G14" s="78">
        <v>200</v>
      </c>
      <c r="H14" s="74">
        <v>413.4</v>
      </c>
      <c r="I14" s="106">
        <f t="shared" si="0"/>
        <v>82680</v>
      </c>
      <c r="J14" s="42"/>
    </row>
    <row r="15" spans="1:10" ht="31.5" customHeight="1" thickBot="1" x14ac:dyDescent="0.25">
      <c r="A15" s="76">
        <v>6</v>
      </c>
      <c r="B15" s="89" t="s">
        <v>66</v>
      </c>
      <c r="C15" s="91" t="s">
        <v>63</v>
      </c>
      <c r="D15" s="81">
        <v>252</v>
      </c>
      <c r="E15" s="103" t="s">
        <v>72</v>
      </c>
      <c r="F15" s="84" t="s">
        <v>15</v>
      </c>
      <c r="G15" s="78">
        <v>60</v>
      </c>
      <c r="H15" s="82">
        <v>5.08</v>
      </c>
      <c r="I15" s="105">
        <f t="shared" si="0"/>
        <v>304.8</v>
      </c>
      <c r="J15" s="43"/>
    </row>
    <row r="16" spans="1:10" ht="27.75" customHeight="1" thickBot="1" x14ac:dyDescent="0.25">
      <c r="A16" s="76">
        <v>7</v>
      </c>
      <c r="B16" s="88" t="s">
        <v>78</v>
      </c>
      <c r="C16" s="91" t="s">
        <v>63</v>
      </c>
      <c r="D16" s="77">
        <v>252</v>
      </c>
      <c r="E16" s="103" t="s">
        <v>79</v>
      </c>
      <c r="F16" s="76" t="s">
        <v>17</v>
      </c>
      <c r="G16" s="78">
        <v>10</v>
      </c>
      <c r="H16" s="74">
        <v>249.1</v>
      </c>
      <c r="I16" s="79">
        <f t="shared" si="0"/>
        <v>2491</v>
      </c>
      <c r="J16" s="42"/>
    </row>
    <row r="17" spans="1:10" ht="26.25" thickBot="1" x14ac:dyDescent="0.25">
      <c r="A17" s="76">
        <v>8</v>
      </c>
      <c r="B17" s="88" t="s">
        <v>76</v>
      </c>
      <c r="C17" s="91" t="s">
        <v>63</v>
      </c>
      <c r="D17" s="77">
        <v>252</v>
      </c>
      <c r="E17" s="103" t="s">
        <v>77</v>
      </c>
      <c r="F17" s="76" t="s">
        <v>15</v>
      </c>
      <c r="G17" s="78">
        <v>80</v>
      </c>
      <c r="H17" s="74">
        <v>22.7</v>
      </c>
      <c r="I17" s="79">
        <f t="shared" si="0"/>
        <v>1816</v>
      </c>
      <c r="J17" s="85"/>
    </row>
    <row r="18" spans="1:10" ht="26.25" thickBot="1" x14ac:dyDescent="0.25">
      <c r="A18" s="76">
        <v>9</v>
      </c>
      <c r="B18" s="88" t="s">
        <v>90</v>
      </c>
      <c r="C18" s="92" t="s">
        <v>63</v>
      </c>
      <c r="D18" s="93">
        <v>295</v>
      </c>
      <c r="E18" s="103" t="s">
        <v>91</v>
      </c>
      <c r="F18" s="76" t="s">
        <v>20</v>
      </c>
      <c r="G18" s="78">
        <v>50</v>
      </c>
      <c r="H18" s="80">
        <v>650</v>
      </c>
      <c r="I18" s="107">
        <f t="shared" si="0"/>
        <v>32500</v>
      </c>
      <c r="J18" s="48"/>
    </row>
    <row r="19" spans="1:10" ht="32.25" customHeight="1" thickBot="1" x14ac:dyDescent="0.25">
      <c r="A19" s="76">
        <v>10</v>
      </c>
      <c r="B19" s="88" t="s">
        <v>80</v>
      </c>
      <c r="C19" s="91" t="s">
        <v>63</v>
      </c>
      <c r="D19" s="77">
        <v>252</v>
      </c>
      <c r="E19" s="103" t="s">
        <v>81</v>
      </c>
      <c r="F19" s="76" t="s">
        <v>18</v>
      </c>
      <c r="G19" s="78">
        <v>90</v>
      </c>
      <c r="H19" s="74">
        <v>6450</v>
      </c>
      <c r="I19" s="79">
        <f t="shared" si="0"/>
        <v>580500</v>
      </c>
      <c r="J19" s="52"/>
    </row>
    <row r="20" spans="1:10" ht="26.25" thickBot="1" x14ac:dyDescent="0.25">
      <c r="A20" s="76">
        <v>11</v>
      </c>
      <c r="B20" s="83" t="s">
        <v>88</v>
      </c>
      <c r="C20" s="83" t="s">
        <v>63</v>
      </c>
      <c r="D20" s="75">
        <v>295</v>
      </c>
      <c r="E20" s="94" t="s">
        <v>89</v>
      </c>
      <c r="F20" s="86" t="s">
        <v>18</v>
      </c>
      <c r="G20" s="78">
        <v>6</v>
      </c>
      <c r="H20" s="87">
        <v>38000</v>
      </c>
      <c r="I20" s="108">
        <f t="shared" si="0"/>
        <v>228000</v>
      </c>
      <c r="J20" s="43"/>
    </row>
    <row r="21" spans="1:10" ht="26.25" thickBot="1" x14ac:dyDescent="0.25">
      <c r="A21" s="76">
        <v>12</v>
      </c>
      <c r="B21" s="83" t="s">
        <v>84</v>
      </c>
      <c r="C21" s="83" t="s">
        <v>63</v>
      </c>
      <c r="D21" s="75">
        <v>295</v>
      </c>
      <c r="E21" s="94" t="s">
        <v>85</v>
      </c>
      <c r="F21" s="86" t="s">
        <v>18</v>
      </c>
      <c r="G21" s="78">
        <v>10</v>
      </c>
      <c r="H21" s="87">
        <v>20345</v>
      </c>
      <c r="I21" s="108">
        <f t="shared" si="0"/>
        <v>203450</v>
      </c>
      <c r="J21" s="43"/>
    </row>
    <row r="22" spans="1:10" ht="26.25" thickBot="1" x14ac:dyDescent="0.25">
      <c r="A22" s="76">
        <v>13</v>
      </c>
      <c r="B22" s="83" t="s">
        <v>82</v>
      </c>
      <c r="C22" s="83" t="s">
        <v>63</v>
      </c>
      <c r="D22" s="75">
        <v>295</v>
      </c>
      <c r="E22" s="94" t="s">
        <v>83</v>
      </c>
      <c r="F22" s="86" t="s">
        <v>18</v>
      </c>
      <c r="G22" s="78">
        <v>10</v>
      </c>
      <c r="H22" s="87">
        <v>17680</v>
      </c>
      <c r="I22" s="108">
        <f t="shared" si="0"/>
        <v>176800</v>
      </c>
      <c r="J22" s="43"/>
    </row>
    <row r="23" spans="1:10" ht="26.25" thickBot="1" x14ac:dyDescent="0.25">
      <c r="A23" s="76">
        <v>14</v>
      </c>
      <c r="B23" s="83" t="s">
        <v>86</v>
      </c>
      <c r="C23" s="83" t="s">
        <v>63</v>
      </c>
      <c r="D23" s="75">
        <v>295</v>
      </c>
      <c r="E23" s="104" t="s">
        <v>87</v>
      </c>
      <c r="F23" s="86" t="s">
        <v>18</v>
      </c>
      <c r="G23" s="78">
        <v>6</v>
      </c>
      <c r="H23" s="87">
        <v>32000</v>
      </c>
      <c r="I23" s="108">
        <f t="shared" si="0"/>
        <v>192000</v>
      </c>
      <c r="J23" s="43"/>
    </row>
    <row r="24" spans="1:10" ht="12.75" x14ac:dyDescent="0.2">
      <c r="A24" s="95"/>
      <c r="B24" s="96"/>
      <c r="C24" s="96"/>
      <c r="D24" s="97"/>
      <c r="E24" s="102"/>
      <c r="F24" s="98"/>
      <c r="G24" s="99"/>
      <c r="H24" s="100"/>
      <c r="I24" s="101"/>
      <c r="J24" s="44"/>
    </row>
    <row r="25" spans="1:10" ht="13.5" thickBot="1" x14ac:dyDescent="0.25">
      <c r="A25" s="66"/>
      <c r="B25" s="67"/>
      <c r="C25" s="68"/>
      <c r="D25" s="69"/>
      <c r="E25" s="70"/>
      <c r="F25" s="66"/>
      <c r="G25" s="71"/>
      <c r="H25" s="72"/>
      <c r="I25" s="73"/>
      <c r="J25" s="42"/>
    </row>
    <row r="26" spans="1:10" ht="26.25" customHeight="1" x14ac:dyDescent="0.2">
      <c r="B26" s="132" t="s">
        <v>98</v>
      </c>
      <c r="C26" s="133"/>
      <c r="D26" s="133"/>
      <c r="E26" s="134"/>
      <c r="I26" s="213"/>
      <c r="J26" s="43"/>
    </row>
    <row r="27" spans="1:10" ht="12.75" customHeight="1" x14ac:dyDescent="0.2">
      <c r="B27" s="135" t="s">
        <v>99</v>
      </c>
      <c r="C27" s="124"/>
      <c r="D27" s="124"/>
      <c r="E27" s="136"/>
      <c r="J27" s="44"/>
    </row>
    <row r="28" spans="1:10" ht="12.75" x14ac:dyDescent="0.2">
      <c r="B28" s="137"/>
      <c r="C28" s="124"/>
      <c r="D28" s="124"/>
      <c r="E28" s="136"/>
      <c r="I28" s="213"/>
      <c r="J28" s="44"/>
    </row>
    <row r="29" spans="1:10" ht="12.75" customHeight="1" x14ac:dyDescent="0.2">
      <c r="B29" s="135" t="s">
        <v>100</v>
      </c>
      <c r="C29" s="124"/>
      <c r="D29" s="124"/>
      <c r="E29" s="136"/>
      <c r="J29" s="44"/>
    </row>
    <row r="30" spans="1:10" ht="12.75" x14ac:dyDescent="0.2">
      <c r="B30" s="53"/>
      <c r="C30" s="50"/>
      <c r="D30" s="38"/>
      <c r="E30" s="54"/>
      <c r="J30" s="44"/>
    </row>
    <row r="31" spans="1:10" ht="45" x14ac:dyDescent="0.2">
      <c r="B31" s="55" t="s">
        <v>21</v>
      </c>
      <c r="C31" s="51"/>
      <c r="D31" s="39"/>
      <c r="E31" s="56"/>
      <c r="J31" s="44"/>
    </row>
    <row r="32" spans="1:10" ht="13.5" thickBot="1" x14ac:dyDescent="0.25">
      <c r="B32" s="57" t="s">
        <v>22</v>
      </c>
      <c r="C32" s="58"/>
      <c r="D32" s="59"/>
      <c r="E32" s="60"/>
      <c r="J32" s="44"/>
    </row>
    <row r="33" spans="2:10" ht="13.5" thickBot="1" x14ac:dyDescent="0.25">
      <c r="J33" s="44"/>
    </row>
    <row r="34" spans="2:10" ht="24.75" customHeight="1" x14ac:dyDescent="0.2">
      <c r="B34" s="132" t="s">
        <v>101</v>
      </c>
      <c r="C34" s="133"/>
      <c r="D34" s="133"/>
      <c r="E34" s="134"/>
      <c r="J34" s="44"/>
    </row>
    <row r="35" spans="2:10" ht="12.75" customHeight="1" x14ac:dyDescent="0.2">
      <c r="B35" s="135" t="s">
        <v>99</v>
      </c>
      <c r="C35" s="124"/>
      <c r="D35" s="124"/>
      <c r="E35" s="136"/>
      <c r="J35" s="44"/>
    </row>
    <row r="36" spans="2:10" ht="12.75" x14ac:dyDescent="0.2">
      <c r="B36" s="137"/>
      <c r="C36" s="124"/>
      <c r="D36" s="124"/>
      <c r="E36" s="136"/>
      <c r="J36" s="44"/>
    </row>
    <row r="37" spans="2:10" ht="12.75" customHeight="1" x14ac:dyDescent="0.2">
      <c r="B37" s="135" t="s">
        <v>100</v>
      </c>
      <c r="C37" s="124"/>
      <c r="D37" s="124"/>
      <c r="E37" s="136"/>
      <c r="J37" s="44"/>
    </row>
    <row r="38" spans="2:10" ht="12.75" x14ac:dyDescent="0.2">
      <c r="B38" s="53"/>
      <c r="C38" s="50"/>
      <c r="D38" s="38"/>
      <c r="E38" s="54"/>
      <c r="J38" s="44"/>
    </row>
    <row r="39" spans="2:10" ht="45" x14ac:dyDescent="0.2">
      <c r="B39" s="55" t="s">
        <v>21</v>
      </c>
      <c r="C39" s="51"/>
      <c r="D39" s="39"/>
      <c r="E39" s="56"/>
      <c r="J39" s="44"/>
    </row>
    <row r="40" spans="2:10" ht="13.5" thickBot="1" x14ac:dyDescent="0.25">
      <c r="B40" s="57" t="s">
        <v>22</v>
      </c>
      <c r="C40" s="58"/>
      <c r="D40" s="59"/>
      <c r="E40" s="60"/>
      <c r="J40" s="44"/>
    </row>
    <row r="41" spans="2:10" ht="12.75" x14ac:dyDescent="0.2">
      <c r="J41" s="44"/>
    </row>
    <row r="42" spans="2:10" ht="12.75" x14ac:dyDescent="0.2">
      <c r="J42" s="42"/>
    </row>
  </sheetData>
  <sortState xmlns:xlrd2="http://schemas.microsoft.com/office/spreadsheetml/2017/richdata2" ref="A10:I41">
    <sortCondition ref="E10:E41"/>
  </sortState>
  <mergeCells count="13">
    <mergeCell ref="A6:B6"/>
    <mergeCell ref="A7:B7"/>
    <mergeCell ref="B34:E34"/>
    <mergeCell ref="B35:E36"/>
    <mergeCell ref="B37:E37"/>
    <mergeCell ref="B26:E26"/>
    <mergeCell ref="B27:E28"/>
    <mergeCell ref="B29:E29"/>
    <mergeCell ref="B2:H2"/>
    <mergeCell ref="A4:B4"/>
    <mergeCell ref="C4:E4"/>
    <mergeCell ref="A5:B5"/>
    <mergeCell ref="C5:E5"/>
  </mergeCells>
  <conditionalFormatting sqref="C5">
    <cfRule type="duplicateValues" dxfId="0" priority="1"/>
  </conditionalFormatting>
  <printOptions horizontalCentered="1"/>
  <pageMargins left="0.11811023622047245" right="0.11811023622047245" top="0.74803149606299213" bottom="0.35433070866141736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A13" zoomScaleNormal="100" workbookViewId="0">
      <selection activeCell="A26" sqref="A26:I26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20.25" customHeight="1" x14ac:dyDescent="0.2">
      <c r="A1" s="161" t="s">
        <v>23</v>
      </c>
      <c r="B1" s="123"/>
      <c r="C1" s="123"/>
      <c r="D1" s="123"/>
      <c r="E1" s="123"/>
      <c r="F1" s="123"/>
      <c r="G1" s="123"/>
      <c r="H1" s="123"/>
      <c r="I1" s="125"/>
      <c r="J1" s="5" t="s">
        <v>24</v>
      </c>
      <c r="K1" s="121" t="s">
        <v>25</v>
      </c>
    </row>
    <row r="2" spans="1:11" ht="15.75" x14ac:dyDescent="0.2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1" ht="19.5" customHeight="1" x14ac:dyDescent="0.2">
      <c r="A3" s="141" t="s">
        <v>26</v>
      </c>
      <c r="B3" s="142"/>
      <c r="C3" s="143"/>
      <c r="D3" s="144" t="str">
        <f>'Necesidades Trimestrales'!C4</f>
        <v>040 - Ministerio de Salud</v>
      </c>
      <c r="E3" s="145"/>
      <c r="F3" s="145"/>
      <c r="G3" s="145"/>
      <c r="H3" s="145"/>
      <c r="I3" s="145"/>
      <c r="J3" s="145"/>
      <c r="K3" s="146"/>
    </row>
    <row r="4" spans="1:11" ht="19.5" customHeight="1" thickBot="1" x14ac:dyDescent="0.25">
      <c r="A4" s="147" t="s">
        <v>27</v>
      </c>
      <c r="B4" s="148"/>
      <c r="C4" s="149"/>
      <c r="D4" s="150" t="str">
        <f>'Necesidades Trimestrales'!C5</f>
        <v>28- Maternidad Provincial 25 de Mayo</v>
      </c>
      <c r="E4" s="151"/>
      <c r="F4" s="151"/>
      <c r="G4" s="151"/>
      <c r="H4" s="151"/>
      <c r="I4" s="151"/>
      <c r="J4" s="151"/>
      <c r="K4" s="152"/>
    </row>
    <row r="5" spans="1:11" ht="19.5" customHeight="1" thickBot="1" x14ac:dyDescent="0.25">
      <c r="A5" s="147" t="s">
        <v>28</v>
      </c>
      <c r="B5" s="148"/>
      <c r="C5" s="149"/>
      <c r="D5" s="153" t="s">
        <v>102</v>
      </c>
      <c r="E5" s="153"/>
      <c r="F5" s="153"/>
      <c r="G5" s="153"/>
      <c r="H5" s="153"/>
      <c r="I5" s="153"/>
      <c r="J5" s="153"/>
      <c r="K5" s="153"/>
    </row>
    <row r="6" spans="1:11" ht="19.5" customHeight="1" thickBot="1" x14ac:dyDescent="0.25">
      <c r="A6" s="156" t="s">
        <v>29</v>
      </c>
      <c r="B6" s="157"/>
      <c r="C6" s="158"/>
      <c r="D6" s="153" t="s">
        <v>103</v>
      </c>
      <c r="E6" s="153"/>
      <c r="F6" s="153"/>
      <c r="G6" s="153"/>
      <c r="H6" s="153"/>
      <c r="I6" s="153"/>
      <c r="J6" s="153"/>
      <c r="K6" s="153"/>
    </row>
    <row r="7" spans="1:11" ht="19.5" customHeight="1" thickBot="1" x14ac:dyDescent="0.25">
      <c r="A7" s="147" t="s">
        <v>30</v>
      </c>
      <c r="B7" s="148"/>
      <c r="C7" s="149"/>
      <c r="D7" s="150" t="s">
        <v>95</v>
      </c>
      <c r="E7" s="151"/>
      <c r="F7" s="151"/>
      <c r="G7" s="151"/>
      <c r="H7" s="151"/>
      <c r="I7" s="151"/>
      <c r="J7" s="151"/>
      <c r="K7" s="152"/>
    </row>
    <row r="8" spans="1:11" ht="30" customHeight="1" x14ac:dyDescent="0.2">
      <c r="A8" s="154" t="s">
        <v>31</v>
      </c>
      <c r="B8" s="151"/>
      <c r="C8" s="155"/>
      <c r="D8" s="162" t="s">
        <v>96</v>
      </c>
      <c r="E8" s="163"/>
      <c r="F8" s="163"/>
      <c r="G8" s="163"/>
      <c r="H8" s="163"/>
      <c r="I8" s="163"/>
      <c r="J8" s="163"/>
      <c r="K8" s="164"/>
    </row>
    <row r="9" spans="1:11" ht="12.75" customHeight="1" thickBot="1" x14ac:dyDescent="0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1" ht="12.75" customHeight="1" thickBot="1" x14ac:dyDescent="0.25">
      <c r="A10" s="159" t="s">
        <v>32</v>
      </c>
      <c r="B10" s="160" t="s">
        <v>33</v>
      </c>
      <c r="C10" s="160" t="s">
        <v>34</v>
      </c>
      <c r="D10" s="139"/>
      <c r="E10" s="139"/>
      <c r="F10" s="139"/>
      <c r="G10" s="139"/>
      <c r="H10" s="160" t="s">
        <v>35</v>
      </c>
      <c r="I10" s="160" t="s">
        <v>36</v>
      </c>
      <c r="J10" s="160" t="s">
        <v>37</v>
      </c>
      <c r="K10" s="160" t="s">
        <v>38</v>
      </c>
    </row>
    <row r="11" spans="1:11" ht="32.25" customHeight="1" thickBot="1" x14ac:dyDescent="0.25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1" ht="32.25" customHeight="1" thickBot="1" x14ac:dyDescent="0.25">
      <c r="A12" s="61">
        <v>2</v>
      </c>
      <c r="B12" s="62" t="str">
        <f>+'Necesidades Trimestrales'!B10</f>
        <v>2.5.2-1724.29</v>
      </c>
      <c r="C12" s="165" t="str">
        <f>+'Necesidades Trimestrales'!E10</f>
        <v>ANALGESICOS ; TIPO: MONODROGA, DROGA GENERICA: PARACETAMOL, FORMA FARMACEUTICA: GOTAS, PRESENTACION: 20 mL</v>
      </c>
      <c r="D12" s="139"/>
      <c r="E12" s="139"/>
      <c r="F12" s="139"/>
      <c r="G12" s="139"/>
      <c r="H12" s="61" t="s">
        <v>39</v>
      </c>
      <c r="I12" s="63" t="str">
        <f>+'Necesidades Trimestrales'!F10</f>
        <v>GOTERO</v>
      </c>
      <c r="J12" s="64">
        <f>+'Necesidades Trimestrales'!H10</f>
        <v>243.8</v>
      </c>
      <c r="K12" s="65">
        <f>+'Necesidades Trimestrales'!G10</f>
        <v>400</v>
      </c>
    </row>
    <row r="13" spans="1:11" ht="32.25" customHeight="1" thickBot="1" x14ac:dyDescent="0.25">
      <c r="A13" s="61">
        <v>3</v>
      </c>
      <c r="B13" s="62" t="str">
        <f>+'Necesidades Trimestrales'!B11</f>
        <v>2.5.2-1724.154</v>
      </c>
      <c r="C13" s="165" t="str">
        <f>+'Necesidades Trimestrales'!E11</f>
        <v>ANALGESICOS ; TIPO: MONODROGA, DROGA GENERICA: TRAMADOL 50 mGr, FORMA FARMACEUTICA: AMPOLLA, PRESENTACION: UNIDAD</v>
      </c>
      <c r="D13" s="139"/>
      <c r="E13" s="139"/>
      <c r="F13" s="139"/>
      <c r="G13" s="139"/>
      <c r="H13" s="61" t="s">
        <v>39</v>
      </c>
      <c r="I13" s="63" t="str">
        <f>+'Necesidades Trimestrales'!F11</f>
        <v>AMPOLLA</v>
      </c>
      <c r="J13" s="64">
        <f>+'Necesidades Trimestrales'!H11</f>
        <v>68.900000000000006</v>
      </c>
      <c r="K13" s="65">
        <f>+'Necesidades Trimestrales'!G11</f>
        <v>100</v>
      </c>
    </row>
    <row r="14" spans="1:11" ht="32.25" customHeight="1" thickBot="1" x14ac:dyDescent="0.25">
      <c r="A14" s="61">
        <v>4</v>
      </c>
      <c r="B14" s="62" t="str">
        <f>+'Necesidades Trimestrales'!B12</f>
        <v>2.5.2-1821.5</v>
      </c>
      <c r="C14" s="165" t="str">
        <f>+'Necesidades Trimestrales'!E12</f>
        <v>ANTIBIOTICOS P/PERSONAS; TIPO: MONODROGA, DROGA GENERICA: AMPICILINA, FORMA FARMACEUTICA: COMPRIMIDOS, PRESENTACION: 500 mGr</v>
      </c>
      <c r="D14" s="139"/>
      <c r="E14" s="139"/>
      <c r="F14" s="139"/>
      <c r="G14" s="139"/>
      <c r="H14" s="61" t="s">
        <v>39</v>
      </c>
      <c r="I14" s="63" t="str">
        <f>+'Necesidades Trimestrales'!F12</f>
        <v>COMPRIMIDO</v>
      </c>
      <c r="J14" s="64">
        <f>+'Necesidades Trimestrales'!H12</f>
        <v>18.100000000000001</v>
      </c>
      <c r="K14" s="65">
        <f>+'Necesidades Trimestrales'!G12</f>
        <v>80</v>
      </c>
    </row>
    <row r="15" spans="1:11" ht="32.25" customHeight="1" thickBot="1" x14ac:dyDescent="0.25">
      <c r="A15" s="61">
        <v>5</v>
      </c>
      <c r="B15" s="62" t="str">
        <f>+'Necesidades Trimestrales'!B13</f>
        <v>2.5.2-1821.458</v>
      </c>
      <c r="C15" s="165" t="str">
        <f>+'Necesidades Trimestrales'!E13</f>
        <v>ANTIBIOTICOS P/PERSONAS; TIPO: MONODROGA, DROGA GENERICA: DOXICICLINA 100 mGr, FORMA FARMACEUTICA: COMPRIMIDO, PRESENTACION: UNIDAD</v>
      </c>
      <c r="D15" s="139"/>
      <c r="E15" s="139"/>
      <c r="F15" s="139"/>
      <c r="G15" s="139"/>
      <c r="H15" s="61" t="s">
        <v>39</v>
      </c>
      <c r="I15" s="63" t="str">
        <f>+'Necesidades Trimestrales'!F13</f>
        <v>COMPRIMIDO</v>
      </c>
      <c r="J15" s="64">
        <f>+'Necesidades Trimestrales'!H13</f>
        <v>19.079999999999998</v>
      </c>
      <c r="K15" s="65">
        <f>+'Necesidades Trimestrales'!G13</f>
        <v>216</v>
      </c>
    </row>
    <row r="16" spans="1:11" ht="32.25" customHeight="1" thickBot="1" x14ac:dyDescent="0.25">
      <c r="A16" s="61">
        <v>7</v>
      </c>
      <c r="B16" s="62" t="str">
        <f>+'Necesidades Trimestrales'!B14</f>
        <v>2.5.2-1865.2</v>
      </c>
      <c r="C16" s="165" t="str">
        <f>+'Necesidades Trimestrales'!E14</f>
        <v>ANTIEPILEPTICOS; TIPO: MONODROGA, FORMA FARMACEUTICA: AMPOLLA, PRESENTACION: 200 mGr, DROGA GENERICA: FENOBARBITAL</v>
      </c>
      <c r="D16" s="139"/>
      <c r="E16" s="139"/>
      <c r="F16" s="139"/>
      <c r="G16" s="139"/>
      <c r="H16" s="61" t="s">
        <v>39</v>
      </c>
      <c r="I16" s="63" t="str">
        <f>+'Necesidades Trimestrales'!F14</f>
        <v>AMPOLLA</v>
      </c>
      <c r="J16" s="64">
        <f>+'Necesidades Trimestrales'!H14</f>
        <v>413.4</v>
      </c>
      <c r="K16" s="65">
        <f>+'Necesidades Trimestrales'!G14</f>
        <v>200</v>
      </c>
    </row>
    <row r="17" spans="1:11" ht="32.25" customHeight="1" thickBot="1" x14ac:dyDescent="0.25">
      <c r="A17" s="61">
        <v>9</v>
      </c>
      <c r="B17" s="62" t="str">
        <f>+'Necesidades Trimestrales'!B15</f>
        <v>2.5.2-1725.68</v>
      </c>
      <c r="C17" s="165" t="str">
        <f>+'Necesidades Trimestrales'!E15</f>
        <v>ANTIINFLAMATORIOS NO ESTEROIDE; TIPO: MONODROGA, DROGA GENERICA: IBUPROFENO, FORMA FARMACEUTICA: COMPRIMIDO, PRESENTACION: 400 mGr</v>
      </c>
      <c r="D17" s="139"/>
      <c r="E17" s="139"/>
      <c r="F17" s="139"/>
      <c r="G17" s="139"/>
      <c r="H17" s="61" t="s">
        <v>39</v>
      </c>
      <c r="I17" s="63" t="str">
        <f>+'Necesidades Trimestrales'!F15</f>
        <v>COMPRIMIDO</v>
      </c>
      <c r="J17" s="64">
        <f>+'Necesidades Trimestrales'!H15</f>
        <v>5.08</v>
      </c>
      <c r="K17" s="65">
        <f>+'Necesidades Trimestrales'!G15</f>
        <v>60</v>
      </c>
    </row>
    <row r="18" spans="1:11" ht="32.25" customHeight="1" thickBot="1" x14ac:dyDescent="0.25">
      <c r="A18" s="61">
        <v>11</v>
      </c>
      <c r="B18" s="62" t="str">
        <f>+'Necesidades Trimestrales'!B16</f>
        <v>2.5.2-1855.23</v>
      </c>
      <c r="C18" s="165" t="str">
        <f>+'Necesidades Trimestrales'!E16</f>
        <v>CORTICOESTEROIDES; TIPO: MONODROGA, DROGA GENERICA: BETAMETASONA, FORMA FARMACEUTICA: CREMA, PRESENTACION: 15 GR</v>
      </c>
      <c r="D18" s="139"/>
      <c r="E18" s="139"/>
      <c r="F18" s="139"/>
      <c r="G18" s="139"/>
      <c r="H18" s="61" t="s">
        <v>39</v>
      </c>
      <c r="I18" s="63" t="str">
        <f>+'Necesidades Trimestrales'!F16</f>
        <v>ENVASE</v>
      </c>
      <c r="J18" s="64">
        <f>+'Necesidades Trimestrales'!H16</f>
        <v>249.1</v>
      </c>
      <c r="K18" s="65">
        <f>+'Necesidades Trimestrales'!G16</f>
        <v>10</v>
      </c>
    </row>
    <row r="19" spans="1:11" ht="32.25" customHeight="1" thickBot="1" x14ac:dyDescent="0.25">
      <c r="A19" s="61">
        <v>14</v>
      </c>
      <c r="B19" s="62" t="str">
        <f>+'Necesidades Trimestrales'!B17</f>
        <v>2.5.2-1851.29</v>
      </c>
      <c r="C19" s="165" t="str">
        <f>+'Necesidades Trimestrales'!E17</f>
        <v>GENITOURINARIO; TIPO: MONODROGA, DROGA GENÉRICA: NISTATINA, FORMA FARMACEÚTICA: COMPRIMIDO VAGINAL, PRESENTACIÓN: 100000 UI</v>
      </c>
      <c r="D19" s="139"/>
      <c r="E19" s="139"/>
      <c r="F19" s="139"/>
      <c r="G19" s="139"/>
      <c r="H19" s="61" t="s">
        <v>39</v>
      </c>
      <c r="I19" s="63" t="str">
        <f>+'Necesidades Trimestrales'!F17</f>
        <v>COMPRIMIDO</v>
      </c>
      <c r="J19" s="64">
        <f>+'Necesidades Trimestrales'!H17</f>
        <v>22.7</v>
      </c>
      <c r="K19" s="65">
        <f>+'Necesidades Trimestrales'!G17</f>
        <v>80</v>
      </c>
    </row>
    <row r="20" spans="1:11" ht="32.25" customHeight="1" thickBot="1" x14ac:dyDescent="0.25">
      <c r="A20" s="61">
        <v>17</v>
      </c>
      <c r="B20" s="62" t="str">
        <f>+'Necesidades Trimestrales'!B18</f>
        <v>2.9.5-2366.2</v>
      </c>
      <c r="C20" s="165" t="str">
        <f>+'Necesidades Trimestrales'!E18</f>
        <v>HISOPOS; MATERIAL DE EXTREMOS: ALGODON, PRESENTACION: CAJA X 100</v>
      </c>
      <c r="D20" s="139"/>
      <c r="E20" s="139"/>
      <c r="F20" s="139"/>
      <c r="G20" s="139"/>
      <c r="H20" s="61" t="s">
        <v>39</v>
      </c>
      <c r="I20" s="63" t="str">
        <f>+'Necesidades Trimestrales'!F18</f>
        <v>CAJA</v>
      </c>
      <c r="J20" s="64">
        <f>+'Necesidades Trimestrales'!H18</f>
        <v>650</v>
      </c>
      <c r="K20" s="65">
        <f>+'Necesidades Trimestrales'!G18</f>
        <v>50</v>
      </c>
    </row>
    <row r="21" spans="1:11" ht="32.25" customHeight="1" thickBot="1" x14ac:dyDescent="0.25">
      <c r="A21" s="61">
        <v>18</v>
      </c>
      <c r="B21" s="62" t="str">
        <f>+'Necesidades Trimestrales'!B19</f>
        <v>2.5.2-1895.8</v>
      </c>
      <c r="C21" s="165" t="str">
        <f>+'Necesidades Trimestrales'!E19</f>
        <v>HORMONAS MEDICINALES; TIPO: MONODROGA, DROGA GENERICA: GONADOTROFINA CORIONICA, FORMA FARMACEUTICA: AMPOLLA, PRESENTACION: 5000 UI, USO: SEXUAL</v>
      </c>
      <c r="D21" s="139"/>
      <c r="E21" s="139"/>
      <c r="F21" s="139"/>
      <c r="G21" s="139"/>
      <c r="H21" s="61" t="s">
        <v>39</v>
      </c>
      <c r="I21" s="63" t="str">
        <f>+'Necesidades Trimestrales'!F19</f>
        <v>UNIDAD</v>
      </c>
      <c r="J21" s="64">
        <f>+'Necesidades Trimestrales'!H19</f>
        <v>6450</v>
      </c>
      <c r="K21" s="65">
        <f>+'Necesidades Trimestrales'!G19</f>
        <v>90</v>
      </c>
    </row>
    <row r="22" spans="1:11" ht="32.25" customHeight="1" thickBot="1" x14ac:dyDescent="0.25">
      <c r="A22" s="61">
        <v>20</v>
      </c>
      <c r="B22" s="62" t="str">
        <f>+'Necesidades Trimestrales'!B20</f>
        <v>2.9.5-467.112</v>
      </c>
      <c r="C22" s="165" t="str">
        <f>+'Necesidades Trimestrales'!E20</f>
        <v>MASCARAS ;TIPO TOTAL FACE -TAMANO X GRANDE , MATERIAL : SILICONA, USO : P/VNI ADULTO</v>
      </c>
      <c r="D22" s="139"/>
      <c r="E22" s="139"/>
      <c r="F22" s="139"/>
      <c r="G22" s="139"/>
      <c r="H22" s="61" t="s">
        <v>74</v>
      </c>
      <c r="I22" s="63" t="str">
        <f>+'Necesidades Trimestrales'!F20</f>
        <v>UNIDAD</v>
      </c>
      <c r="J22" s="64">
        <f>+'Necesidades Trimestrales'!H20</f>
        <v>38000</v>
      </c>
      <c r="K22" s="65">
        <f>+'Necesidades Trimestrales'!G20</f>
        <v>6</v>
      </c>
    </row>
    <row r="23" spans="1:11" ht="32.25" customHeight="1" thickBot="1" x14ac:dyDescent="0.25">
      <c r="A23" s="61">
        <v>21</v>
      </c>
      <c r="B23" s="62" t="str">
        <f>+'Necesidades Trimestrales'!B21</f>
        <v>2.9.5-467.104</v>
      </c>
      <c r="C23" s="165" t="str">
        <f>+'Necesidades Trimestrales'!E21</f>
        <v>MASCARAS; TIPO: HALO CEFALICO GRANDE (230 MM X 200 MM), MATERIAL: ACRILICO, USO: CONCENTRACION DE OXIGENO PEDIATRICO</v>
      </c>
      <c r="D23" s="139"/>
      <c r="E23" s="139"/>
      <c r="F23" s="139"/>
      <c r="G23" s="139"/>
      <c r="H23" s="61" t="s">
        <v>74</v>
      </c>
      <c r="I23" s="63" t="str">
        <f>+'Necesidades Trimestrales'!F21</f>
        <v>UNIDAD</v>
      </c>
      <c r="J23" s="64">
        <f>+'Necesidades Trimestrales'!H21</f>
        <v>20345</v>
      </c>
      <c r="K23" s="65">
        <f>+'Necesidades Trimestrales'!G21</f>
        <v>10</v>
      </c>
    </row>
    <row r="24" spans="1:11" ht="32.25" customHeight="1" thickBot="1" x14ac:dyDescent="0.25">
      <c r="A24" s="61">
        <v>22</v>
      </c>
      <c r="B24" s="62" t="str">
        <f>+'Necesidades Trimestrales'!B22</f>
        <v>2.9.5-467.103</v>
      </c>
      <c r="C24" s="165" t="str">
        <f>+'Necesidades Trimestrales'!E22</f>
        <v>MASCARAS; TIPO: HALO CEFALICO MEDIANO (200 MM X 180 MM), MATERIAL: ACRILICO, USO: CONCENTRACION DE OXIGENO PEDIATRICO</v>
      </c>
      <c r="D24" s="139"/>
      <c r="E24" s="139"/>
      <c r="F24" s="139"/>
      <c r="G24" s="139"/>
      <c r="H24" s="61" t="s">
        <v>74</v>
      </c>
      <c r="I24" s="63" t="str">
        <f>+'Necesidades Trimestrales'!F22</f>
        <v>UNIDAD</v>
      </c>
      <c r="J24" s="64">
        <f>+'Necesidades Trimestrales'!H22</f>
        <v>17680</v>
      </c>
      <c r="K24" s="65">
        <f>+'Necesidades Trimestrales'!G22</f>
        <v>10</v>
      </c>
    </row>
    <row r="25" spans="1:11" ht="32.25" customHeight="1" thickBot="1" x14ac:dyDescent="0.25">
      <c r="A25" s="61">
        <v>23</v>
      </c>
      <c r="B25" s="62" t="str">
        <f>+'Necesidades Trimestrales'!B23</f>
        <v>2.9.5-467.108</v>
      </c>
      <c r="C25" s="165" t="str">
        <f>+'Necesidades Trimestrales'!E23</f>
        <v>MASCARAS; TIPO: ORONASAL- TAMAÑO M , MATERIAL: SILICONA, USO: P/VNI ADULTO CON VALVULA ANTIAFIXIA</v>
      </c>
      <c r="D25" s="139"/>
      <c r="E25" s="139"/>
      <c r="F25" s="139"/>
      <c r="G25" s="139"/>
      <c r="H25" s="61" t="s">
        <v>39</v>
      </c>
      <c r="I25" s="63" t="str">
        <f>+'Necesidades Trimestrales'!F23</f>
        <v>UNIDAD</v>
      </c>
      <c r="J25" s="64">
        <f>+'Necesidades Trimestrales'!H23</f>
        <v>32000</v>
      </c>
      <c r="K25" s="65">
        <f>+'Necesidades Trimestrales'!G23</f>
        <v>6</v>
      </c>
    </row>
    <row r="26" spans="1:11" ht="21" customHeight="1" thickBot="1" x14ac:dyDescent="0.25">
      <c r="A26" s="138" t="s">
        <v>105</v>
      </c>
      <c r="B26" s="139"/>
      <c r="C26" s="139"/>
      <c r="D26" s="139"/>
      <c r="E26" s="139"/>
      <c r="F26" s="139"/>
      <c r="G26" s="139"/>
      <c r="H26" s="139"/>
      <c r="I26" s="139"/>
      <c r="J26" s="140">
        <f>SUMPRODUCT(J12:J25,K12:K25)</f>
        <v>1610521.08</v>
      </c>
      <c r="K26" s="139"/>
    </row>
  </sheetData>
  <mergeCells count="36">
    <mergeCell ref="C19:G19"/>
    <mergeCell ref="C22:G22"/>
    <mergeCell ref="C23:G23"/>
    <mergeCell ref="C24:G24"/>
    <mergeCell ref="C25:G25"/>
    <mergeCell ref="C20:G20"/>
    <mergeCell ref="C21:G21"/>
    <mergeCell ref="C16:G16"/>
    <mergeCell ref="C17:G17"/>
    <mergeCell ref="C18:G18"/>
    <mergeCell ref="C12:G12"/>
    <mergeCell ref="C13:G13"/>
    <mergeCell ref="C14:G14"/>
    <mergeCell ref="C15:G15"/>
    <mergeCell ref="J10:J11"/>
    <mergeCell ref="A1:I1"/>
    <mergeCell ref="D6:K6"/>
    <mergeCell ref="D7:K7"/>
    <mergeCell ref="D8:K8"/>
    <mergeCell ref="K10:K11"/>
    <mergeCell ref="A26:I26"/>
    <mergeCell ref="J26:K26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</mergeCells>
  <printOptions horizontalCentered="1"/>
  <pageMargins left="0.196527777777778" right="0.196527777777778" top="0.98402777777777795" bottom="0.98402777777777795" header="0" footer="0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"/>
  <sheetViews>
    <sheetView topLeftCell="A13" workbookViewId="0">
      <selection activeCell="R17" sqref="R17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198" t="s">
        <v>4</v>
      </c>
      <c r="B1" s="145"/>
      <c r="C1" s="145"/>
      <c r="D1" s="199">
        <f>'Necesidades Trimestrales'!C6</f>
        <v>2022</v>
      </c>
      <c r="E1" s="146"/>
      <c r="F1" s="10"/>
      <c r="G1" s="10"/>
      <c r="H1" s="11"/>
      <c r="I1" s="11"/>
      <c r="J1" s="11"/>
      <c r="K1" s="11"/>
      <c r="L1" s="11"/>
      <c r="M1" s="11"/>
      <c r="N1" s="11"/>
      <c r="P1" s="193" t="s">
        <v>40</v>
      </c>
      <c r="Q1" s="168"/>
    </row>
    <row r="2" spans="1:18" ht="15.75" customHeight="1" x14ac:dyDescent="0.2">
      <c r="G2" s="12"/>
      <c r="H2" s="11"/>
      <c r="I2" s="11"/>
      <c r="J2" s="11"/>
      <c r="K2" s="11"/>
      <c r="L2" s="11"/>
      <c r="M2" s="11"/>
      <c r="N2" s="11"/>
      <c r="P2" s="194"/>
      <c r="Q2" s="195"/>
    </row>
    <row r="3" spans="1:18" ht="12.75" customHeight="1" x14ac:dyDescent="0.2">
      <c r="G3" s="12"/>
    </row>
    <row r="4" spans="1:18" ht="14.25" x14ac:dyDescent="0.2">
      <c r="A4" s="196" t="s">
        <v>41</v>
      </c>
      <c r="B4" s="142"/>
      <c r="C4" s="142"/>
      <c r="D4" s="142"/>
      <c r="E4" s="142"/>
      <c r="F4" s="184"/>
      <c r="G4" s="197" t="str">
        <f>' NotaPedido'!D3</f>
        <v>040 -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84"/>
      <c r="R4" s="13"/>
    </row>
    <row r="5" spans="1:18" ht="14.25" x14ac:dyDescent="0.2">
      <c r="A5" s="185" t="s">
        <v>27</v>
      </c>
      <c r="B5" s="157"/>
      <c r="C5" s="157"/>
      <c r="D5" s="157"/>
      <c r="E5" s="157"/>
      <c r="F5" s="186"/>
      <c r="G5" s="187" t="str">
        <f>' NotaPedido'!D4</f>
        <v>28- Maternidad Provincial 25 de Mayo</v>
      </c>
      <c r="H5" s="157"/>
      <c r="I5" s="157"/>
      <c r="J5" s="157"/>
      <c r="K5" s="157"/>
      <c r="L5" s="157"/>
      <c r="M5" s="157"/>
      <c r="N5" s="157"/>
      <c r="O5" s="157"/>
      <c r="P5" s="157"/>
      <c r="Q5" s="186"/>
      <c r="R5" s="13"/>
    </row>
    <row r="6" spans="1:18" ht="14.25" x14ac:dyDescent="0.2">
      <c r="A6" s="185" t="s">
        <v>28</v>
      </c>
      <c r="B6" s="157"/>
      <c r="C6" s="157"/>
      <c r="D6" s="157"/>
      <c r="E6" s="157"/>
      <c r="F6" s="186"/>
      <c r="G6" s="187" t="str">
        <f>' NotaPedido'!D5</f>
        <v xml:space="preserve">169- Direccion Asistencial </v>
      </c>
      <c r="H6" s="157"/>
      <c r="I6" s="157"/>
      <c r="J6" s="157"/>
      <c r="K6" s="157"/>
      <c r="L6" s="157"/>
      <c r="M6" s="157"/>
      <c r="N6" s="157"/>
      <c r="O6" s="157"/>
      <c r="P6" s="157"/>
      <c r="Q6" s="186"/>
      <c r="R6" s="13"/>
    </row>
    <row r="7" spans="1:18" ht="14.25" x14ac:dyDescent="0.2">
      <c r="A7" s="185" t="s">
        <v>29</v>
      </c>
      <c r="B7" s="157"/>
      <c r="C7" s="157"/>
      <c r="D7" s="157"/>
      <c r="E7" s="157"/>
      <c r="F7" s="186"/>
      <c r="G7" s="187" t="str">
        <f>' NotaPedido'!D6</f>
        <v xml:space="preserve">Servicio de Farmacia  </v>
      </c>
      <c r="H7" s="157"/>
      <c r="I7" s="157"/>
      <c r="J7" s="157"/>
      <c r="K7" s="157"/>
      <c r="L7" s="157"/>
      <c r="M7" s="157"/>
      <c r="N7" s="157"/>
      <c r="O7" s="157"/>
      <c r="P7" s="157"/>
      <c r="Q7" s="186"/>
      <c r="R7" s="13"/>
    </row>
    <row r="8" spans="1:18" ht="18" customHeight="1" x14ac:dyDescent="0.2">
      <c r="A8" s="183" t="s">
        <v>42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84"/>
    </row>
    <row r="9" spans="1:18" ht="18" customHeight="1" x14ac:dyDescent="0.2">
      <c r="A9" s="188" t="s">
        <v>43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3"/>
      <c r="P9" s="13"/>
      <c r="Q9" s="14"/>
    </row>
    <row r="10" spans="1:18" ht="54.75" customHeight="1" x14ac:dyDescent="0.2">
      <c r="A10" s="190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</row>
    <row r="11" spans="1:18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8" ht="15.75" customHeight="1" thickBot="1" x14ac:dyDescent="0.25">
      <c r="A12" s="166" t="s">
        <v>44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</row>
    <row r="13" spans="1:18" ht="15.75" customHeight="1" thickBot="1" x14ac:dyDescent="0.25">
      <c r="A13" s="169" t="s">
        <v>45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  <c r="O13" s="171" t="s">
        <v>46</v>
      </c>
      <c r="P13" s="172"/>
      <c r="Q13" s="175" t="s">
        <v>47</v>
      </c>
    </row>
    <row r="14" spans="1:18" ht="15.75" customHeight="1" thickBot="1" x14ac:dyDescent="0.25">
      <c r="A14" s="19" t="s">
        <v>48</v>
      </c>
      <c r="B14" s="20" t="s">
        <v>49</v>
      </c>
      <c r="C14" s="20" t="s">
        <v>50</v>
      </c>
      <c r="D14" s="20" t="s">
        <v>51</v>
      </c>
      <c r="E14" s="20" t="s">
        <v>52</v>
      </c>
      <c r="F14" s="20" t="s">
        <v>53</v>
      </c>
      <c r="G14" s="21" t="s">
        <v>54</v>
      </c>
      <c r="H14" s="20" t="s">
        <v>55</v>
      </c>
      <c r="I14" s="20" t="s">
        <v>56</v>
      </c>
      <c r="J14" s="20" t="s">
        <v>57</v>
      </c>
      <c r="K14" s="20" t="s">
        <v>57</v>
      </c>
      <c r="L14" s="20" t="s">
        <v>58</v>
      </c>
      <c r="M14" s="22" t="s">
        <v>59</v>
      </c>
      <c r="N14" s="109" t="s">
        <v>60</v>
      </c>
      <c r="O14" s="173"/>
      <c r="P14" s="174"/>
      <c r="Q14" s="176"/>
    </row>
    <row r="15" spans="1:18" ht="24.75" customHeight="1" x14ac:dyDescent="0.2">
      <c r="A15" s="114">
        <v>42</v>
      </c>
      <c r="B15" s="115"/>
      <c r="C15" s="115"/>
      <c r="D15" s="115">
        <v>2</v>
      </c>
      <c r="E15" s="115"/>
      <c r="F15" s="115">
        <v>4901</v>
      </c>
      <c r="G15" s="115">
        <v>3</v>
      </c>
      <c r="H15" s="115">
        <v>310</v>
      </c>
      <c r="I15" s="116">
        <v>2</v>
      </c>
      <c r="J15" s="116">
        <v>5</v>
      </c>
      <c r="K15" s="116">
        <v>2</v>
      </c>
      <c r="L15" s="115"/>
      <c r="M15" s="117">
        <v>1</v>
      </c>
      <c r="N15" s="118" t="s">
        <v>61</v>
      </c>
      <c r="O15" s="177" t="s">
        <v>75</v>
      </c>
      <c r="P15" s="177"/>
      <c r="Q15" s="119">
        <v>777771.08</v>
      </c>
    </row>
    <row r="16" spans="1:18" ht="27" customHeight="1" x14ac:dyDescent="0.2">
      <c r="A16" s="114">
        <v>42</v>
      </c>
      <c r="B16" s="115"/>
      <c r="C16" s="115"/>
      <c r="D16" s="115">
        <v>2</v>
      </c>
      <c r="E16" s="115"/>
      <c r="F16" s="115">
        <v>4901</v>
      </c>
      <c r="G16" s="115">
        <v>3</v>
      </c>
      <c r="H16" s="115">
        <v>310</v>
      </c>
      <c r="I16" s="116">
        <v>2</v>
      </c>
      <c r="J16" s="116">
        <v>9</v>
      </c>
      <c r="K16" s="116">
        <v>5</v>
      </c>
      <c r="L16" s="115"/>
      <c r="M16" s="117">
        <v>1</v>
      </c>
      <c r="N16" s="118" t="s">
        <v>61</v>
      </c>
      <c r="O16" s="178" t="s">
        <v>94</v>
      </c>
      <c r="P16" s="178"/>
      <c r="Q16" s="119">
        <v>832750</v>
      </c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179"/>
      <c r="P17" s="180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81"/>
      <c r="P18" s="182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81"/>
      <c r="P19" s="182"/>
      <c r="Q19" s="27"/>
    </row>
    <row r="20" spans="1:18" ht="17.25" customHeight="1" x14ac:dyDescent="0.2">
      <c r="A20" s="28"/>
      <c r="B20" s="29"/>
      <c r="C20" s="29"/>
      <c r="D20" s="29"/>
      <c r="E20" s="29"/>
      <c r="F20" s="26"/>
      <c r="G20" s="29"/>
      <c r="H20" s="29"/>
      <c r="I20" s="29"/>
      <c r="J20" s="29"/>
      <c r="K20" s="29"/>
      <c r="L20" s="29"/>
      <c r="M20" s="30"/>
      <c r="N20" s="31"/>
      <c r="O20" s="181"/>
      <c r="P20" s="182"/>
      <c r="Q20" s="27"/>
      <c r="R20" s="13"/>
    </row>
    <row r="21" spans="1:18" ht="17.25" customHeight="1" x14ac:dyDescent="0.2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/>
      <c r="O21" s="210"/>
      <c r="P21" s="211"/>
      <c r="Q21" s="35"/>
    </row>
    <row r="22" spans="1:18" ht="29.25" customHeight="1" x14ac:dyDescent="0.2">
      <c r="A22" s="206" t="s">
        <v>106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8"/>
      <c r="Q22" s="120">
        <f>SUM(Q15:Q21)</f>
        <v>1610521.08</v>
      </c>
    </row>
    <row r="23" spans="1:18" ht="18" customHeight="1" x14ac:dyDescent="0.2">
      <c r="A23" s="209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</row>
    <row r="24" spans="1:18" ht="17.25" customHeight="1" x14ac:dyDescent="0.2">
      <c r="A24" s="212" t="s">
        <v>62</v>
      </c>
      <c r="B24" s="145"/>
      <c r="C24" s="145"/>
      <c r="D24" s="145"/>
      <c r="E24" s="145"/>
      <c r="F24" s="146"/>
      <c r="G24" s="170"/>
      <c r="H24" s="167"/>
      <c r="I24" s="167"/>
      <c r="J24" s="167"/>
      <c r="K24" s="167"/>
      <c r="L24" s="167"/>
      <c r="M24" s="167"/>
      <c r="N24" s="167"/>
      <c r="O24" s="167"/>
      <c r="P24" s="167"/>
      <c r="Q24" s="168"/>
    </row>
    <row r="25" spans="1:18" ht="18" customHeight="1" x14ac:dyDescent="0.2">
      <c r="A25" s="200" t="s">
        <v>104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2"/>
    </row>
    <row r="26" spans="1:18" ht="15" customHeight="1" x14ac:dyDescent="0.2">
      <c r="A26" s="203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5"/>
    </row>
    <row r="27" spans="1:18" ht="12.75" customHeight="1" x14ac:dyDescent="0.2">
      <c r="G27" s="12"/>
    </row>
    <row r="28" spans="1:18" ht="12.75" customHeight="1" x14ac:dyDescent="0.2">
      <c r="G28" s="12"/>
    </row>
    <row r="29" spans="1:18" ht="12.75" customHeight="1" x14ac:dyDescent="0.2">
      <c r="G29" s="12"/>
    </row>
    <row r="30" spans="1:18" ht="12.75" customHeight="1" x14ac:dyDescent="0.2">
      <c r="G30" s="12"/>
    </row>
    <row r="31" spans="1:18" ht="12.75" customHeight="1" x14ac:dyDescent="0.2">
      <c r="G31" s="12"/>
    </row>
    <row r="32" spans="1:18" ht="12.75" customHeight="1" x14ac:dyDescent="0.2">
      <c r="G32" s="12"/>
    </row>
    <row r="33" spans="7:7" ht="12.75" customHeight="1" x14ac:dyDescent="0.2">
      <c r="G33" s="12"/>
    </row>
    <row r="34" spans="7:7" ht="12.75" customHeight="1" x14ac:dyDescent="0.2">
      <c r="G34" s="12"/>
    </row>
    <row r="35" spans="7:7" ht="12.75" customHeight="1" x14ac:dyDescent="0.2">
      <c r="G35" s="12"/>
    </row>
    <row r="36" spans="7:7" ht="12.75" customHeight="1" x14ac:dyDescent="0.2">
      <c r="G36" s="12"/>
    </row>
    <row r="37" spans="7:7" ht="12.75" customHeight="1" x14ac:dyDescent="0.2">
      <c r="G37" s="12"/>
    </row>
    <row r="38" spans="7:7" ht="12.75" customHeight="1" x14ac:dyDescent="0.2">
      <c r="G38" s="12"/>
    </row>
    <row r="39" spans="7:7" ht="12.75" customHeight="1" x14ac:dyDescent="0.2">
      <c r="G39" s="12"/>
    </row>
    <row r="40" spans="7:7" ht="12.75" customHeight="1" x14ac:dyDescent="0.2">
      <c r="G40" s="12"/>
    </row>
    <row r="41" spans="7:7" ht="12.75" customHeight="1" x14ac:dyDescent="0.2">
      <c r="G41" s="12"/>
    </row>
    <row r="42" spans="7:7" ht="12.75" customHeight="1" x14ac:dyDescent="0.2">
      <c r="G42" s="12"/>
    </row>
    <row r="43" spans="7:7" ht="12.75" customHeight="1" x14ac:dyDescent="0.2">
      <c r="G43" s="12"/>
    </row>
    <row r="44" spans="7:7" ht="12.75" customHeight="1" x14ac:dyDescent="0.2">
      <c r="G44" s="12"/>
    </row>
    <row r="45" spans="7:7" ht="12.75" customHeight="1" x14ac:dyDescent="0.2">
      <c r="G45" s="12"/>
    </row>
    <row r="46" spans="7:7" ht="12.75" customHeight="1" x14ac:dyDescent="0.2">
      <c r="G46" s="12"/>
    </row>
    <row r="47" spans="7:7" ht="12.75" customHeight="1" x14ac:dyDescent="0.2">
      <c r="G47" s="12"/>
    </row>
    <row r="48" spans="7:7" ht="12.75" customHeight="1" x14ac:dyDescent="0.2">
      <c r="G48" s="12"/>
    </row>
    <row r="49" spans="7:7" ht="12.75" customHeight="1" x14ac:dyDescent="0.2">
      <c r="G49" s="12"/>
    </row>
    <row r="50" spans="7:7" ht="12.75" customHeight="1" x14ac:dyDescent="0.2">
      <c r="G50" s="12"/>
    </row>
    <row r="51" spans="7:7" ht="12.75" customHeight="1" x14ac:dyDescent="0.2">
      <c r="G51" s="12"/>
    </row>
    <row r="52" spans="7:7" ht="12.75" customHeight="1" x14ac:dyDescent="0.2">
      <c r="G52" s="12"/>
    </row>
    <row r="53" spans="7:7" ht="12.75" customHeight="1" x14ac:dyDescent="0.2">
      <c r="G53" s="12"/>
    </row>
    <row r="54" spans="7:7" ht="12.75" customHeight="1" x14ac:dyDescent="0.2">
      <c r="G54" s="12"/>
    </row>
    <row r="55" spans="7:7" ht="12.75" customHeight="1" x14ac:dyDescent="0.2">
      <c r="G55" s="12"/>
    </row>
    <row r="56" spans="7:7" ht="12.75" customHeight="1" x14ac:dyDescent="0.2">
      <c r="G56" s="12"/>
    </row>
    <row r="57" spans="7:7" ht="12.75" customHeight="1" x14ac:dyDescent="0.2">
      <c r="G57" s="12"/>
    </row>
    <row r="58" spans="7:7" ht="12.75" customHeight="1" x14ac:dyDescent="0.2">
      <c r="G58" s="12"/>
    </row>
    <row r="59" spans="7:7" ht="12.75" customHeight="1" x14ac:dyDescent="0.2">
      <c r="G59" s="12"/>
    </row>
    <row r="60" spans="7:7" ht="12.75" customHeight="1" x14ac:dyDescent="0.2">
      <c r="G60" s="12"/>
    </row>
    <row r="61" spans="7:7" ht="12.75" customHeight="1" x14ac:dyDescent="0.2">
      <c r="G61" s="12"/>
    </row>
    <row r="62" spans="7:7" ht="12.75" customHeight="1" x14ac:dyDescent="0.2">
      <c r="G62" s="12"/>
    </row>
    <row r="63" spans="7:7" ht="12.75" customHeight="1" x14ac:dyDescent="0.2">
      <c r="G63" s="12"/>
    </row>
    <row r="64" spans="7:7" ht="12.75" customHeight="1" x14ac:dyDescent="0.2">
      <c r="G64" s="12"/>
    </row>
    <row r="65" spans="7:7" ht="12.75" customHeight="1" x14ac:dyDescent="0.2">
      <c r="G65" s="12"/>
    </row>
    <row r="66" spans="7:7" ht="12.75" customHeight="1" x14ac:dyDescent="0.2">
      <c r="G66" s="12"/>
    </row>
    <row r="67" spans="7:7" ht="12.75" customHeight="1" x14ac:dyDescent="0.2">
      <c r="G67" s="12"/>
    </row>
    <row r="68" spans="7:7" ht="12.75" customHeight="1" x14ac:dyDescent="0.2">
      <c r="G68" s="12"/>
    </row>
    <row r="69" spans="7:7" ht="12.75" customHeight="1" x14ac:dyDescent="0.2">
      <c r="G69" s="12"/>
    </row>
    <row r="70" spans="7:7" ht="12.75" customHeight="1" x14ac:dyDescent="0.2">
      <c r="G70" s="12"/>
    </row>
    <row r="71" spans="7:7" ht="12.75" customHeight="1" x14ac:dyDescent="0.2">
      <c r="G71" s="12"/>
    </row>
    <row r="72" spans="7:7" ht="12.75" customHeight="1" x14ac:dyDescent="0.2">
      <c r="G72" s="12"/>
    </row>
    <row r="73" spans="7:7" ht="12.75" customHeight="1" x14ac:dyDescent="0.2">
      <c r="G73" s="12"/>
    </row>
    <row r="74" spans="7:7" ht="12.75" customHeight="1" x14ac:dyDescent="0.2">
      <c r="G74" s="12"/>
    </row>
    <row r="75" spans="7:7" ht="12.75" customHeight="1" x14ac:dyDescent="0.2">
      <c r="G75" s="12"/>
    </row>
    <row r="76" spans="7:7" ht="12.75" customHeight="1" x14ac:dyDescent="0.2">
      <c r="G76" s="12"/>
    </row>
    <row r="77" spans="7:7" ht="12.75" customHeight="1" x14ac:dyDescent="0.2">
      <c r="G77" s="12"/>
    </row>
    <row r="78" spans="7:7" ht="12.75" customHeight="1" x14ac:dyDescent="0.2">
      <c r="G78" s="12"/>
    </row>
    <row r="79" spans="7:7" ht="12.75" customHeight="1" x14ac:dyDescent="0.2">
      <c r="G79" s="12"/>
    </row>
    <row r="80" spans="7:7" ht="12.75" customHeight="1" x14ac:dyDescent="0.2">
      <c r="G80" s="12"/>
    </row>
    <row r="81" spans="7:7" ht="12.75" customHeight="1" x14ac:dyDescent="0.2">
      <c r="G81" s="12"/>
    </row>
    <row r="82" spans="7:7" ht="12.75" customHeight="1" x14ac:dyDescent="0.2">
      <c r="G82" s="12"/>
    </row>
    <row r="83" spans="7:7" ht="12.75" customHeight="1" x14ac:dyDescent="0.2">
      <c r="G83" s="12"/>
    </row>
    <row r="84" spans="7:7" ht="12.75" customHeight="1" x14ac:dyDescent="0.2">
      <c r="G84" s="12"/>
    </row>
    <row r="85" spans="7:7" ht="12.75" customHeight="1" x14ac:dyDescent="0.2">
      <c r="G85" s="12"/>
    </row>
    <row r="86" spans="7:7" ht="12.75" customHeight="1" x14ac:dyDescent="0.2">
      <c r="G86" s="12"/>
    </row>
    <row r="87" spans="7:7" ht="12.75" customHeight="1" x14ac:dyDescent="0.2">
      <c r="G87" s="12"/>
    </row>
    <row r="88" spans="7:7" ht="12.75" customHeight="1" x14ac:dyDescent="0.2">
      <c r="G88" s="12"/>
    </row>
    <row r="89" spans="7:7" ht="12.75" customHeight="1" x14ac:dyDescent="0.2">
      <c r="G89" s="12"/>
    </row>
    <row r="90" spans="7:7" ht="12.75" customHeight="1" x14ac:dyDescent="0.2">
      <c r="G90" s="12"/>
    </row>
    <row r="91" spans="7:7" ht="12.75" customHeight="1" x14ac:dyDescent="0.2">
      <c r="G91" s="12"/>
    </row>
    <row r="92" spans="7:7" ht="12.75" customHeight="1" x14ac:dyDescent="0.2">
      <c r="G92" s="12"/>
    </row>
    <row r="93" spans="7:7" ht="12.75" customHeight="1" x14ac:dyDescent="0.2">
      <c r="G93" s="12"/>
    </row>
    <row r="94" spans="7:7" ht="12.75" customHeight="1" x14ac:dyDescent="0.2">
      <c r="G94" s="12"/>
    </row>
    <row r="95" spans="7:7" ht="12.75" customHeight="1" x14ac:dyDescent="0.2">
      <c r="G95" s="12"/>
    </row>
    <row r="96" spans="7:7" ht="12.75" customHeight="1" x14ac:dyDescent="0.2">
      <c r="G96" s="12"/>
    </row>
    <row r="97" spans="7:7" ht="12.75" customHeight="1" x14ac:dyDescent="0.2">
      <c r="G97" s="12"/>
    </row>
    <row r="98" spans="7:7" ht="12.75" customHeight="1" x14ac:dyDescent="0.2">
      <c r="G98" s="12"/>
    </row>
    <row r="99" spans="7:7" ht="12.75" customHeight="1" x14ac:dyDescent="0.2">
      <c r="G99" s="12"/>
    </row>
  </sheetData>
  <mergeCells count="30">
    <mergeCell ref="A25:Q26"/>
    <mergeCell ref="A22:P22"/>
    <mergeCell ref="A23:Q23"/>
    <mergeCell ref="O19:P19"/>
    <mergeCell ref="O20:P20"/>
    <mergeCell ref="O21:P21"/>
    <mergeCell ref="A24:F24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4:Q24"/>
    <mergeCell ref="O13:P14"/>
    <mergeCell ref="Q13:Q14"/>
    <mergeCell ref="O15:P15"/>
    <mergeCell ref="O16:P16"/>
    <mergeCell ref="O17:P17"/>
    <mergeCell ref="O18:P18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2022-08-02T14:45:56Z</cp:lastPrinted>
  <dcterms:created xsi:type="dcterms:W3CDTF">2020-07-17T23:44:49Z</dcterms:created>
  <dcterms:modified xsi:type="dcterms:W3CDTF">2022-08-24T11:47:47Z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