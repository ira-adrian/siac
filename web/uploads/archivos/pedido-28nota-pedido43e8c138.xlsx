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EAC36236-DB52-4383-B119-63BA77684B2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</sheets>
  <externalReferences>
    <externalReference r:id="rId2"/>
  </externalReferences>
  <definedNames>
    <definedName name="_xlnm.Print_Area" localSheetId="0">'Necesidades Trimestrales'!$A$2:$I$48</definedName>
  </definedName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5" i="1" l="1"/>
  <c r="I24" i="1"/>
  <c r="I23" i="1"/>
  <c r="I22" i="1"/>
  <c r="E22" i="1"/>
  <c r="C22" i="1"/>
  <c r="B22" i="1"/>
  <c r="I21" i="1"/>
  <c r="I20" i="1"/>
  <c r="I19" i="1"/>
  <c r="I18" i="1"/>
  <c r="I17" i="1"/>
  <c r="I16" i="1"/>
  <c r="I15" i="1"/>
  <c r="I14" i="1"/>
  <c r="I13" i="1"/>
  <c r="I12" i="1"/>
  <c r="I11" i="1"/>
  <c r="I10" i="1"/>
  <c r="I26" i="1" l="1"/>
</calcChain>
</file>

<file path=xl/sharedStrings.xml><?xml version="1.0" encoding="utf-8"?>
<sst xmlns="http://schemas.openxmlformats.org/spreadsheetml/2006/main" count="109" uniqueCount="70">
  <si>
    <t>Pedido de Necesidades Trimestrales</t>
  </si>
  <si>
    <t>JURISDICCION:</t>
  </si>
  <si>
    <t>90 - MINISTERIO DE SEGURIDAD</t>
  </si>
  <si>
    <t xml:space="preserve">SAF N°: </t>
  </si>
  <si>
    <t>8 - DIRECCION GENERAL SERVICIO PENITENCIARIO PROVINCIAL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</si>
  <si>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</si>
  <si>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</si>
  <si>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</si>
  <si>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</si>
  <si>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</si>
  <si>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</si>
  <si>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</si>
  <si>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</si>
  <si>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</si>
  <si>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</si>
  <si>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</si>
  <si>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2.1.1-542.236</t>
  </si>
  <si>
    <t>ALIMENTOS</t>
  </si>
  <si>
    <t>2.1.1</t>
  </si>
  <si>
    <t>QUESOS; TIPO: CREMOSO, PRESENTACION: AL PESO, ELEM. TRANSPORTE: SIN, MATERIAL ELEM. TRANSPORTE: SIN, MATERIAL ENVASE: SIN, CERTIFICADO FORESTAL (GFS): SIN, LIBRE DE GLUTEN: A DEFINIR</t>
  </si>
  <si>
    <t>KG.</t>
  </si>
  <si>
    <t>2.1.1-542.235</t>
  </si>
  <si>
    <t>QUESOS; TIPO: PORT SALUT, PRESENTACION: AL PESO, ELEM. TRANSPORTE: SIN, MATERIAL ELEM. TRANSPORTE: SIN, MATERIAL ENVASE: SIN, CERTIFICADO FORESTAL (GFS): SIN, LIBRE DE GLUTEN: A DEFINIR</t>
  </si>
  <si>
    <t>2.1.1-541.18</t>
  </si>
  <si>
    <t>CARNES: ESPECIE: VACUNA, CORTE: ROAST BEEF, TIPO: VACUNA</t>
  </si>
  <si>
    <t>2.1.1-621.20</t>
  </si>
  <si>
    <t>AVES; TIPO: POLLO, PRESENTACION: CAJA X 22 Kg, EVISCERADO: SI, ELEM. TRANSPORTE: SIN, MATERIAL ELEM. TRANSPORTE: SIN, LIBRE DE GLUTEN: SIN VALOR</t>
  </si>
  <si>
    <t>CAJA</t>
  </si>
  <si>
    <t>2.1.1-541.59</t>
  </si>
  <si>
    <t>CARNES; ESPECIE: VACUNA, CORTE: MONDONGO, TIPO: VACUNA</t>
  </si>
  <si>
    <t>2.1.1-6546.335</t>
  </si>
  <si>
    <t>VERDURAS Y HORTALIZAS; VARIEDAD: PAPA BLANCA, ESTADO: NATURAL, PRESENTACION: BOLSA, PESO: 25 Kg</t>
  </si>
  <si>
    <t>BOLSA</t>
  </si>
  <si>
    <t>2.1.1-6546.158</t>
  </si>
  <si>
    <t>VERDURAS Y HORTALIZAS; ESTADO: NATURAL, VARIEDAD: ZAPALLO ANCO, PRESENTACION: GRANEL, PESO: SIN VALOR</t>
  </si>
  <si>
    <t>2.1.1-6546.188</t>
  </si>
  <si>
    <t>VERDURAS Y HORTALIZAS; ESTADO: NATURAL, PRESENTACION: GRANEL, PESO: SIN VALOR, VARIEDAD: ZAPALLO CRIOLLO</t>
  </si>
  <si>
    <t>2.1.1-6546.390</t>
  </si>
  <si>
    <t>VERDURAS Y HORTALIZAS; VARIEDAD: TOMATE REDONDO, ESTADO: NATURAL, PRESENTACION: CAJON, PESO: 17 A 22 Kg, ELEM. TRANSPORTE: SIN, MATERIAL ELEM. TRANSPORTE: SIN, LIBRE DE GLUTEN: SI, ORGANICO: NO</t>
  </si>
  <si>
    <t>CAJON</t>
  </si>
  <si>
    <t>2.1.1-483.37</t>
  </si>
  <si>
    <t>HUEVO DE GALLINA; TAMAÑO: GRANDE, COLOR: COLOR, PRESENTACION: 30 UN</t>
  </si>
  <si>
    <t>CARTON</t>
  </si>
  <si>
    <t>2.1.1-6546.34</t>
  </si>
  <si>
    <t>VERDURAS Y HORTALIZAS; VARIEDAD: ACELGA, ESTADO: EN HOJA, PRESENTACION: ATADO, PESO: SIN VALOR</t>
  </si>
  <si>
    <t>ATADO</t>
  </si>
  <si>
    <t>2.1.1-6546.39</t>
  </si>
  <si>
    <t>VERDURAS Y HORTALIZAS; VARIEDAD: CEBOLLA, ESTADO: NATURAL, PRESENTACION: BOLSA, PESO: 25 Kg</t>
  </si>
  <si>
    <t>2.1.1-6546.167</t>
  </si>
  <si>
    <t>VERDURAS Y HORTALIZAS; VARIEDAD: ZANAHORIA, PRESENTACION: BOLSA, ESTADO: NATURAL, PESO: 20 Kg</t>
  </si>
  <si>
    <t>2.1.1-6539.2</t>
  </si>
  <si>
    <t>FRUTAS; PRESENTACION: GRANEL, VARIEDAD: NARANJA OMBLIGO, ESTADO: NATURAL, PESO: SIN VALOR</t>
  </si>
  <si>
    <t>2.1.1-2116.2</t>
  </si>
  <si>
    <t>LEVADURAS: TIPO: DE CERVEZA, PRESENTACION: PAQUETE, PESO: 1 KG.</t>
  </si>
  <si>
    <t>COSTO TOTAL ESTIMADO ALIMENTOS PERECEDEROS</t>
  </si>
  <si>
    <t>ESPECIFICIDADES DE LOS ITEMS</t>
  </si>
  <si>
    <t xml:space="preserve"> Descripcion Técnica:</t>
  </si>
  <si>
    <t>Item N° 9: Cajon x 20 KG</t>
  </si>
  <si>
    <t>Item N° 11: Atado x 1 KG aprox.</t>
  </si>
  <si>
    <t>Item N° 13: Cajon x 20 KG</t>
  </si>
  <si>
    <t>Item N° 15: Bolsa x 20 KG</t>
  </si>
  <si>
    <r>
      <rPr>
        <b/>
        <sz val="10"/>
        <rFont val="Times New Roman"/>
        <family val="1"/>
        <charset val="1"/>
      </rPr>
      <t>Entrega y Forma de Pago:</t>
    </r>
    <r>
      <rPr>
        <sz val="10"/>
        <rFont val="Times New Roman"/>
        <family val="1"/>
        <charset val="1"/>
      </rPr>
      <t xml:space="preserve"> 
(Para todos los ítems)</t>
    </r>
  </si>
  <si>
    <t>Las entregas se realizarán a requerimiento de acuerdo, a las Solicitudes de Provisión que se realicen. Se estima emitir una cantidad aproximada de 3 (Tres) Solicitudes de Provisión de 1/3 aprox. de la cantidad solicitada, en un plazo de 3 (Tres) meses: 1° Solic.de Provisión: aprox.a los 3 (Tres) dias hábiles de la firma del instrumento contractual. 2° Solic.de Provisión: al mes de la firma del instrumento contractual. Y 3° Solic.de Provisión: a los 2 (Dos) meses de la firma del instrumento contractual. Plazo de cumplimiento de cada Solicitud de Provisión: a los 2 días hábiles de notificada la misma, según necesidades del Organismo solicitante. Forma de Pago: Se solicita Pagos parciales por cada Solicitud de Provisión emitida, una vez finalizada la entrega de las cantidades contenidas en la misma.</t>
  </si>
  <si>
    <t>Lugar de Entrega:</t>
  </si>
  <si>
    <t>Servicio Penitenciario Provincial, Ruta Nacional 38, km 558 Colonia del Valle.</t>
  </si>
  <si>
    <t>Calidad Mínima esperada</t>
  </si>
  <si>
    <t>Los productos deben ser de 1° calidad, según condiciones establecidas en nota.</t>
  </si>
  <si>
    <t>Mantenimiento:</t>
  </si>
  <si>
    <t>45 días</t>
  </si>
  <si>
    <t>Garantía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</si>
</sst>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&quot; €&quot;_-;\-* #,##0.00&quot; €&quot;_-;_-* \-??&quot; €&quot;_-;_-@_-"/>
    <numFmt numFmtId="165" formatCode="_-[$$-2C0A]\ * #,##0.00_-;\-[$$-2C0A]\ * #,##0.00_-;_-[$$-2C0A]\ * \-??_-;_-@_-"/>
    <numFmt numFmtId="166" formatCode="_ [$$-2C0A]\ * #,##0.00_ ;_ [$$-2C0A]\ * \-#,##0.00_ ;_ [$$-2C0A]\ * \-??_ ;_ @_ "/>
    <numFmt numFmtId="167" formatCode="[$$-2C0A]\ #,##0.00;[$$-2C0A]&quot; -&quot;#,##0.00"/>
  </numFmts>
  <fonts count="14" x14ac:knownFonts="1">
    <font>
      <sz val="10"/>
      <name val="Arial"/>
      <charset val="1"/>
    </font>
    <font>
      <sz val="10"/>
      <name val="Times New Roman"/>
      <family val="1"/>
      <charset val="1"/>
    </font>
    <font>
      <sz val="10"/>
      <name val="Arial"/>
      <family val="2"/>
      <charset val="1"/>
    </font>
    <font>
      <b/>
      <sz val="22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2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b/>
      <sz val="10"/>
      <name val="Times New Roman"/>
      <family val="1"/>
      <charset val="1"/>
    </font>
    <font>
      <sz val="9"/>
      <name val="Times New Roman"/>
      <family val="1"/>
      <charset val="1"/>
    </font>
    <font>
      <sz val="9"/>
      <color rgb="FF000000"/>
      <name val="Times New Roman"/>
      <family val="1"/>
      <charset val="1"/>
    </font>
    <font>
      <b/>
      <sz val="9"/>
      <name val="Times New Roman"/>
      <family val="1"/>
      <charset val="1"/>
    </font>
    <font>
      <u/>
      <sz val="10"/>
      <name val="Times New Roman"/>
      <family val="1"/>
      <charset val="1"/>
    </font>
    <font>
      <b/>
      <u/>
      <sz val="10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EEBF7"/>
        <bgColor rgb="FFCCFFFF"/>
      </patternFill>
    </fill>
  </fills>
  <borders count="13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164" fontId="2" fillId="0" borderId="0" applyBorder="0" applyProtection="0"/>
  </cellStyleXfs>
  <cellXfs count="44">
    <xf numFmtId="0" fontId="0" fillId="0" borderId="0" xfId="0"/>
    <xf numFmtId="0" fontId="1" fillId="0" borderId="0" xfId="0" applyFont="1"/>
    <xf numFmtId="165" fontId="1" fillId="0" borderId="0" xfId="1" applyNumberFormat="1" applyFont="1" applyBorder="1" applyAlignment="1" applyProtection="1">
      <alignment vertical="center"/>
    </xf>
    <xf numFmtId="165" fontId="1" fillId="0" borderId="0" xfId="0" applyNumberFormat="1" applyFont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65" fontId="8" fillId="0" borderId="2" xfId="1" applyNumberFormat="1" applyFont="1" applyBorder="1" applyAlignment="1" applyProtection="1">
      <alignment horizontal="center" vertical="center" wrapText="1"/>
    </xf>
    <xf numFmtId="165" fontId="7" fillId="0" borderId="3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165" fontId="9" fillId="0" borderId="4" xfId="1" applyNumberFormat="1" applyFont="1" applyBorder="1" applyAlignment="1" applyProtection="1">
      <alignment vertical="center"/>
    </xf>
    <xf numFmtId="165" fontId="9" fillId="0" borderId="4" xfId="1" applyNumberFormat="1" applyFont="1" applyBorder="1" applyAlignment="1" applyProtection="1">
      <alignment horizontal="righ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center" vertical="center" wrapText="1"/>
    </xf>
    <xf numFmtId="166" fontId="1" fillId="0" borderId="0" xfId="0" applyNumberFormat="1" applyFont="1"/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165" fontId="8" fillId="3" borderId="4" xfId="0" applyNumberFormat="1" applyFont="1" applyFill="1" applyBorder="1" applyAlignment="1">
      <alignment horizontal="center" vertical="center"/>
    </xf>
    <xf numFmtId="0" fontId="1" fillId="0" borderId="0" xfId="0" applyFont="1" applyBorder="1"/>
    <xf numFmtId="0" fontId="12" fillId="0" borderId="0" xfId="0" applyFont="1" applyBorder="1" applyAlignment="1">
      <alignment horizontal="left" indent="4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167" fontId="1" fillId="0" borderId="0" xfId="0" applyNumberFormat="1" applyFont="1" applyBorder="1" applyAlignment="1">
      <alignment horizontal="center" vertical="center"/>
    </xf>
    <xf numFmtId="0" fontId="1" fillId="0" borderId="6" xfId="0" applyFont="1" applyBorder="1" applyAlignment="1"/>
    <xf numFmtId="0" fontId="1" fillId="0" borderId="7" xfId="0" applyFont="1" applyBorder="1" applyAlignment="1"/>
    <xf numFmtId="0" fontId="1" fillId="0" borderId="8" xfId="0" applyFont="1" applyBorder="1" applyAlignment="1"/>
    <xf numFmtId="0" fontId="1" fillId="0" borderId="9" xfId="0" applyFont="1" applyBorder="1" applyAlignment="1"/>
    <xf numFmtId="0" fontId="1" fillId="0" borderId="10" xfId="0" applyFont="1" applyBorder="1" applyAlignment="1"/>
    <xf numFmtId="0" fontId="1" fillId="0" borderId="11" xfId="0" applyFont="1" applyBorder="1" applyAlignment="1"/>
    <xf numFmtId="0" fontId="8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wrapText="1"/>
    </xf>
    <xf numFmtId="0" fontId="4" fillId="0" borderId="0" xfId="0" applyFont="1" applyBorder="1" applyAlignment="1">
      <alignment horizontal="left" vertical="center" wrapText="1"/>
    </xf>
    <xf numFmtId="0" fontId="11" fillId="3" borderId="4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 wrapText="1" inden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erecederos\Usuario\Downloads\Resultados%20de%20la%20b&#250;squeda%20(5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ados de la búsqueda (5)"/>
    </sheetNames>
    <sheetDataSet>
      <sheetData sheetId="0">
        <row r="151">
          <cell r="A151" t="str">
            <v>2.1.1-6546.151</v>
          </cell>
          <cell r="B151" t="str">
            <v>ALIMENTOS</v>
          </cell>
          <cell r="D151" t="str">
            <v>VERDURAS Y HORTALIZAS; VARIEDAD: ZAPALLITO REDONDO, ESTADO: NATURAL, PRESENTACION: CAJON, PESO: SIN VALOR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44"/>
  <sheetViews>
    <sheetView tabSelected="1" zoomScale="90" zoomScaleNormal="90" workbookViewId="0">
      <selection activeCell="A26" sqref="A26:H26"/>
    </sheetView>
  </sheetViews>
  <sheetFormatPr baseColWidth="10" defaultColWidth="9.140625" defaultRowHeight="12.75" x14ac:dyDescent="0.2"/>
  <cols>
    <col min="1" max="1" width="4.5703125" style="1" customWidth="1"/>
    <col min="2" max="2" width="12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 customWidth="1"/>
    <col min="7" max="7" width="12.7109375" style="1" customWidth="1"/>
    <col min="8" max="8" width="13.85546875" style="1" customWidth="1"/>
    <col min="9" max="9" width="18.5703125" style="1" customWidth="1"/>
    <col min="10" max="10" width="11" style="1" customWidth="1"/>
    <col min="11" max="11" width="13.42578125" style="1" customWidth="1"/>
    <col min="12" max="1025" width="11" style="1" customWidth="1"/>
  </cols>
  <sheetData>
    <row r="1" spans="1:11" x14ac:dyDescent="0.2">
      <c r="H1" s="2"/>
      <c r="I1" s="3"/>
    </row>
    <row r="2" spans="1:11" ht="22.5" customHeight="1" x14ac:dyDescent="0.35">
      <c r="B2" s="42" t="s">
        <v>0</v>
      </c>
      <c r="C2" s="42"/>
      <c r="D2" s="42"/>
      <c r="E2" s="42"/>
      <c r="F2" s="42"/>
      <c r="G2" s="42"/>
      <c r="H2" s="42"/>
      <c r="I2" s="3"/>
    </row>
    <row r="3" spans="1:11" x14ac:dyDescent="0.2">
      <c r="H3" s="2"/>
      <c r="I3" s="3"/>
    </row>
    <row r="4" spans="1:11" ht="18" customHeight="1" x14ac:dyDescent="0.25">
      <c r="A4" s="38" t="s">
        <v>1</v>
      </c>
      <c r="B4" s="38"/>
      <c r="C4" s="43" t="s">
        <v>2</v>
      </c>
      <c r="D4" s="43"/>
      <c r="E4" s="43"/>
      <c r="F4" s="4"/>
      <c r="G4" s="5"/>
      <c r="H4" s="2"/>
      <c r="I4" s="3"/>
    </row>
    <row r="5" spans="1:11" ht="18" customHeight="1" x14ac:dyDescent="0.25">
      <c r="A5" s="38" t="s">
        <v>3</v>
      </c>
      <c r="B5" s="38"/>
      <c r="C5" s="43" t="s">
        <v>4</v>
      </c>
      <c r="D5" s="43"/>
      <c r="E5" s="43"/>
      <c r="F5" s="4"/>
      <c r="G5" s="5"/>
      <c r="H5" s="2"/>
      <c r="I5" s="3"/>
    </row>
    <row r="6" spans="1:11" ht="16.5" customHeight="1" x14ac:dyDescent="0.25">
      <c r="A6" s="38" t="s">
        <v>5</v>
      </c>
      <c r="B6" s="38"/>
      <c r="C6" s="6">
        <v>2022</v>
      </c>
      <c r="D6" s="7"/>
      <c r="E6" s="7"/>
      <c r="F6" s="4"/>
      <c r="G6" s="5"/>
      <c r="H6" s="2"/>
      <c r="I6" s="3"/>
    </row>
    <row r="7" spans="1:11" ht="16.5" customHeight="1" x14ac:dyDescent="0.25">
      <c r="A7" s="38" t="s">
        <v>6</v>
      </c>
      <c r="B7" s="38"/>
      <c r="C7" s="6">
        <v>1</v>
      </c>
      <c r="D7" s="7"/>
      <c r="E7" s="7"/>
      <c r="F7" s="4"/>
      <c r="G7" s="5"/>
      <c r="H7" s="2"/>
      <c r="I7" s="3"/>
    </row>
    <row r="8" spans="1:11" x14ac:dyDescent="0.2">
      <c r="B8" s="4"/>
      <c r="C8" s="5"/>
      <c r="D8" s="4"/>
      <c r="E8" s="4"/>
      <c r="F8" s="4"/>
      <c r="G8" s="5"/>
      <c r="H8" s="2"/>
      <c r="I8" s="3"/>
    </row>
    <row r="9" spans="1:11" ht="38.25" x14ac:dyDescent="0.2">
      <c r="A9" s="8" t="s">
        <v>7</v>
      </c>
      <c r="B9" s="9" t="s">
        <v>8</v>
      </c>
      <c r="C9" s="9" t="s">
        <v>9</v>
      </c>
      <c r="D9" s="9" t="s">
        <v>10</v>
      </c>
      <c r="E9" s="9" t="s">
        <v>11</v>
      </c>
      <c r="F9" s="9" t="s">
        <v>12</v>
      </c>
      <c r="G9" s="9" t="s">
        <v>13</v>
      </c>
      <c r="H9" s="10" t="s">
        <v>14</v>
      </c>
      <c r="I9" s="11" t="s">
        <v>15</v>
      </c>
    </row>
    <row r="10" spans="1:11" ht="36" x14ac:dyDescent="0.2">
      <c r="A10" s="12">
        <v>1</v>
      </c>
      <c r="B10" s="13" t="s">
        <v>16</v>
      </c>
      <c r="C10" s="14" t="s">
        <v>17</v>
      </c>
      <c r="D10" s="13" t="s">
        <v>18</v>
      </c>
      <c r="E10" s="14" t="s">
        <v>19</v>
      </c>
      <c r="F10" s="13" t="s">
        <v>20</v>
      </c>
      <c r="G10" s="13">
        <v>400</v>
      </c>
      <c r="H10" s="15">
        <v>795</v>
      </c>
      <c r="I10" s="16">
        <f t="shared" ref="I10:I25" si="0">H10*G10</f>
        <v>318000</v>
      </c>
    </row>
    <row r="11" spans="1:11" ht="36" x14ac:dyDescent="0.2">
      <c r="A11" s="12">
        <v>2</v>
      </c>
      <c r="B11" s="13" t="s">
        <v>21</v>
      </c>
      <c r="C11" s="14" t="s">
        <v>17</v>
      </c>
      <c r="D11" s="13" t="s">
        <v>18</v>
      </c>
      <c r="E11" s="14" t="s">
        <v>22</v>
      </c>
      <c r="F11" s="13" t="s">
        <v>20</v>
      </c>
      <c r="G11" s="13">
        <v>300</v>
      </c>
      <c r="H11" s="15">
        <v>810</v>
      </c>
      <c r="I11" s="16">
        <f t="shared" si="0"/>
        <v>243000</v>
      </c>
    </row>
    <row r="12" spans="1:11" x14ac:dyDescent="0.2">
      <c r="A12" s="12">
        <v>3</v>
      </c>
      <c r="B12" s="13" t="s">
        <v>23</v>
      </c>
      <c r="C12" s="17" t="s">
        <v>17</v>
      </c>
      <c r="D12" s="18" t="s">
        <v>18</v>
      </c>
      <c r="E12" s="14" t="s">
        <v>24</v>
      </c>
      <c r="F12" s="18" t="s">
        <v>20</v>
      </c>
      <c r="G12" s="18">
        <v>5500</v>
      </c>
      <c r="H12" s="15">
        <v>1150</v>
      </c>
      <c r="I12" s="16">
        <f t="shared" si="0"/>
        <v>6325000</v>
      </c>
    </row>
    <row r="13" spans="1:11" ht="24" x14ac:dyDescent="0.2">
      <c r="A13" s="12">
        <v>4</v>
      </c>
      <c r="B13" s="13" t="s">
        <v>25</v>
      </c>
      <c r="C13" s="17" t="s">
        <v>17</v>
      </c>
      <c r="D13" s="18" t="s">
        <v>18</v>
      </c>
      <c r="E13" s="14" t="s">
        <v>26</v>
      </c>
      <c r="F13" s="18" t="s">
        <v>27</v>
      </c>
      <c r="G13" s="18">
        <v>375</v>
      </c>
      <c r="H13" s="15">
        <v>6100</v>
      </c>
      <c r="I13" s="16">
        <f t="shared" si="0"/>
        <v>2287500</v>
      </c>
      <c r="K13" s="19"/>
    </row>
    <row r="14" spans="1:11" x14ac:dyDescent="0.2">
      <c r="A14" s="12">
        <v>5</v>
      </c>
      <c r="B14" s="13" t="s">
        <v>28</v>
      </c>
      <c r="C14" s="17" t="s">
        <v>17</v>
      </c>
      <c r="D14" s="18" t="s">
        <v>18</v>
      </c>
      <c r="E14" s="14" t="s">
        <v>29</v>
      </c>
      <c r="F14" s="18" t="s">
        <v>20</v>
      </c>
      <c r="G14" s="18">
        <v>600</v>
      </c>
      <c r="H14" s="15">
        <v>510</v>
      </c>
      <c r="I14" s="16">
        <f t="shared" si="0"/>
        <v>306000</v>
      </c>
    </row>
    <row r="15" spans="1:11" ht="24" x14ac:dyDescent="0.2">
      <c r="A15" s="12">
        <v>6</v>
      </c>
      <c r="B15" s="13" t="s">
        <v>30</v>
      </c>
      <c r="C15" s="14" t="s">
        <v>17</v>
      </c>
      <c r="D15" s="13" t="s">
        <v>18</v>
      </c>
      <c r="E15" s="14" t="s">
        <v>31</v>
      </c>
      <c r="F15" s="13" t="s">
        <v>32</v>
      </c>
      <c r="G15" s="13">
        <v>650</v>
      </c>
      <c r="H15" s="15">
        <v>850</v>
      </c>
      <c r="I15" s="16">
        <f t="shared" si="0"/>
        <v>552500</v>
      </c>
    </row>
    <row r="16" spans="1:11" ht="24" x14ac:dyDescent="0.2">
      <c r="A16" s="12">
        <v>7</v>
      </c>
      <c r="B16" s="13" t="s">
        <v>33</v>
      </c>
      <c r="C16" s="14" t="s">
        <v>17</v>
      </c>
      <c r="D16" s="13" t="s">
        <v>18</v>
      </c>
      <c r="E16" s="14" t="s">
        <v>34</v>
      </c>
      <c r="F16" s="13" t="s">
        <v>20</v>
      </c>
      <c r="G16" s="13">
        <v>1700</v>
      </c>
      <c r="H16" s="15">
        <v>65</v>
      </c>
      <c r="I16" s="16">
        <f t="shared" si="0"/>
        <v>110500</v>
      </c>
    </row>
    <row r="17" spans="1:11" ht="24" x14ac:dyDescent="0.2">
      <c r="A17" s="12">
        <v>8</v>
      </c>
      <c r="B17" s="13" t="s">
        <v>35</v>
      </c>
      <c r="C17" s="14" t="s">
        <v>17</v>
      </c>
      <c r="D17" s="13" t="s">
        <v>18</v>
      </c>
      <c r="E17" s="14" t="s">
        <v>36</v>
      </c>
      <c r="F17" s="13" t="s">
        <v>20</v>
      </c>
      <c r="G17" s="13">
        <v>2500</v>
      </c>
      <c r="H17" s="15">
        <v>78</v>
      </c>
      <c r="I17" s="16">
        <f t="shared" si="0"/>
        <v>195000</v>
      </c>
    </row>
    <row r="18" spans="1:11" ht="36" x14ac:dyDescent="0.2">
      <c r="A18" s="12">
        <v>9</v>
      </c>
      <c r="B18" s="13" t="s">
        <v>37</v>
      </c>
      <c r="C18" s="14" t="s">
        <v>17</v>
      </c>
      <c r="D18" s="13" t="s">
        <v>18</v>
      </c>
      <c r="E18" s="14" t="s">
        <v>38</v>
      </c>
      <c r="F18" s="13" t="s">
        <v>39</v>
      </c>
      <c r="G18" s="13">
        <v>350</v>
      </c>
      <c r="H18" s="15">
        <v>2450</v>
      </c>
      <c r="I18" s="16">
        <f t="shared" si="0"/>
        <v>857500</v>
      </c>
    </row>
    <row r="19" spans="1:11" x14ac:dyDescent="0.2">
      <c r="A19" s="12">
        <v>10</v>
      </c>
      <c r="B19" s="14" t="s">
        <v>40</v>
      </c>
      <c r="C19" s="14" t="s">
        <v>17</v>
      </c>
      <c r="D19" s="13" t="s">
        <v>18</v>
      </c>
      <c r="E19" s="14" t="s">
        <v>41</v>
      </c>
      <c r="F19" s="13" t="s">
        <v>42</v>
      </c>
      <c r="G19" s="13">
        <v>500</v>
      </c>
      <c r="H19" s="15">
        <v>397</v>
      </c>
      <c r="I19" s="16">
        <f t="shared" si="0"/>
        <v>198500</v>
      </c>
      <c r="K19" s="19"/>
    </row>
    <row r="20" spans="1:11" ht="24" x14ac:dyDescent="0.2">
      <c r="A20" s="12">
        <v>11</v>
      </c>
      <c r="B20" s="13" t="s">
        <v>43</v>
      </c>
      <c r="C20" s="14" t="s">
        <v>17</v>
      </c>
      <c r="D20" s="13" t="s">
        <v>18</v>
      </c>
      <c r="E20" s="14" t="s">
        <v>44</v>
      </c>
      <c r="F20" s="13" t="s">
        <v>45</v>
      </c>
      <c r="G20" s="13">
        <v>1000</v>
      </c>
      <c r="H20" s="15">
        <v>40</v>
      </c>
      <c r="I20" s="16">
        <f t="shared" si="0"/>
        <v>40000</v>
      </c>
    </row>
    <row r="21" spans="1:11" ht="28.5" customHeight="1" x14ac:dyDescent="0.2">
      <c r="A21" s="12">
        <v>12</v>
      </c>
      <c r="B21" s="13" t="s">
        <v>46</v>
      </c>
      <c r="C21" s="14" t="s">
        <v>17</v>
      </c>
      <c r="D21" s="13" t="s">
        <v>18</v>
      </c>
      <c r="E21" s="14" t="s">
        <v>47</v>
      </c>
      <c r="F21" s="13" t="s">
        <v>32</v>
      </c>
      <c r="G21" s="13">
        <v>500</v>
      </c>
      <c r="H21" s="15">
        <v>920</v>
      </c>
      <c r="I21" s="16">
        <f t="shared" si="0"/>
        <v>460000</v>
      </c>
    </row>
    <row r="22" spans="1:11" ht="24" x14ac:dyDescent="0.2">
      <c r="A22" s="12">
        <v>13</v>
      </c>
      <c r="B22" s="13" t="str">
        <f>'[1]Resultados de la búsqueda (5)'!A151</f>
        <v>2.1.1-6546.151</v>
      </c>
      <c r="C22" s="14" t="str">
        <f>'[1]Resultados de la búsqueda (5)'!B151</f>
        <v>ALIMENTOS</v>
      </c>
      <c r="D22" s="13" t="s">
        <v>18</v>
      </c>
      <c r="E22" s="14" t="str">
        <f>'[1]Resultados de la búsqueda (5)'!D151</f>
        <v>VERDURAS Y HORTALIZAS; VARIEDAD: ZAPALLITO REDONDO, ESTADO: NATURAL, PRESENTACION: CAJON, PESO: SIN VALOR</v>
      </c>
      <c r="F22" s="13" t="s">
        <v>39</v>
      </c>
      <c r="G22" s="13">
        <v>300</v>
      </c>
      <c r="H22" s="15">
        <v>1650</v>
      </c>
      <c r="I22" s="16">
        <f t="shared" si="0"/>
        <v>495000</v>
      </c>
    </row>
    <row r="23" spans="1:11" ht="24" x14ac:dyDescent="0.2">
      <c r="A23" s="12">
        <v>14</v>
      </c>
      <c r="B23" s="13" t="s">
        <v>48</v>
      </c>
      <c r="C23" s="14" t="s">
        <v>17</v>
      </c>
      <c r="D23" s="13" t="s">
        <v>18</v>
      </c>
      <c r="E23" s="14" t="s">
        <v>49</v>
      </c>
      <c r="F23" s="13" t="s">
        <v>32</v>
      </c>
      <c r="G23" s="13">
        <v>500</v>
      </c>
      <c r="H23" s="15">
        <v>526</v>
      </c>
      <c r="I23" s="16">
        <f t="shared" si="0"/>
        <v>263000</v>
      </c>
    </row>
    <row r="24" spans="1:11" ht="24" x14ac:dyDescent="0.2">
      <c r="A24" s="20">
        <v>15</v>
      </c>
      <c r="B24" s="21" t="s">
        <v>50</v>
      </c>
      <c r="C24" s="21" t="s">
        <v>17</v>
      </c>
      <c r="D24" s="20" t="s">
        <v>18</v>
      </c>
      <c r="E24" s="21" t="s">
        <v>51</v>
      </c>
      <c r="F24" s="20" t="s">
        <v>32</v>
      </c>
      <c r="G24" s="20">
        <v>300</v>
      </c>
      <c r="H24" s="15">
        <v>1850</v>
      </c>
      <c r="I24" s="16">
        <f t="shared" si="0"/>
        <v>555000</v>
      </c>
      <c r="K24" s="19"/>
    </row>
    <row r="25" spans="1:11" x14ac:dyDescent="0.2">
      <c r="A25" s="12">
        <v>16</v>
      </c>
      <c r="B25" s="13" t="s">
        <v>52</v>
      </c>
      <c r="C25" s="14" t="s">
        <v>17</v>
      </c>
      <c r="D25" s="13" t="s">
        <v>18</v>
      </c>
      <c r="E25" s="14" t="s">
        <v>53</v>
      </c>
      <c r="F25" s="13" t="s">
        <v>20</v>
      </c>
      <c r="G25" s="13">
        <v>500</v>
      </c>
      <c r="H25" s="15">
        <v>630</v>
      </c>
      <c r="I25" s="16">
        <f t="shared" si="0"/>
        <v>315000</v>
      </c>
    </row>
    <row r="26" spans="1:11" ht="31.5" customHeight="1" x14ac:dyDescent="0.2">
      <c r="A26" s="39" t="s">
        <v>54</v>
      </c>
      <c r="B26" s="39"/>
      <c r="C26" s="39"/>
      <c r="D26" s="39"/>
      <c r="E26" s="39"/>
      <c r="F26" s="39"/>
      <c r="G26" s="39"/>
      <c r="H26" s="39"/>
      <c r="I26" s="22">
        <f>SUM(I10:I25)</f>
        <v>13521500</v>
      </c>
      <c r="K26" s="3"/>
    </row>
    <row r="27" spans="1:11" ht="31.5" customHeight="1" x14ac:dyDescent="0.2">
      <c r="A27" s="23"/>
      <c r="B27" s="24"/>
      <c r="C27" s="23"/>
      <c r="D27" s="23"/>
      <c r="E27" s="25"/>
      <c r="F27" s="26"/>
      <c r="G27" s="26"/>
      <c r="H27" s="26"/>
      <c r="I27" s="27"/>
    </row>
    <row r="28" spans="1:11" ht="28.5" customHeight="1" x14ac:dyDescent="0.2">
      <c r="C28" s="40" t="s">
        <v>55</v>
      </c>
      <c r="D28" s="40"/>
      <c r="E28" s="40"/>
    </row>
    <row r="29" spans="1:11" x14ac:dyDescent="0.2">
      <c r="C29" s="41" t="s">
        <v>56</v>
      </c>
      <c r="D29" s="28" t="s">
        <v>57</v>
      </c>
      <c r="E29" s="29"/>
    </row>
    <row r="30" spans="1:11" x14ac:dyDescent="0.2">
      <c r="C30" s="41"/>
      <c r="D30" s="30" t="s">
        <v>58</v>
      </c>
      <c r="E30" s="31"/>
    </row>
    <row r="31" spans="1:11" x14ac:dyDescent="0.2">
      <c r="C31" s="41"/>
      <c r="D31" s="30" t="s">
        <v>59</v>
      </c>
      <c r="E31" s="31"/>
    </row>
    <row r="32" spans="1:11" x14ac:dyDescent="0.2">
      <c r="C32" s="41"/>
      <c r="D32" s="32" t="s">
        <v>60</v>
      </c>
      <c r="E32" s="33"/>
    </row>
    <row r="33" spans="3:5" ht="12.75" customHeight="1" x14ac:dyDescent="0.2">
      <c r="C33" s="36" t="s">
        <v>61</v>
      </c>
      <c r="D33" s="37" t="s">
        <v>62</v>
      </c>
      <c r="E33" s="37"/>
    </row>
    <row r="34" spans="3:5" x14ac:dyDescent="0.2">
      <c r="C34" s="36"/>
      <c r="D34" s="37"/>
      <c r="E34" s="37"/>
    </row>
    <row r="35" spans="3:5" x14ac:dyDescent="0.2">
      <c r="C35" s="36"/>
      <c r="D35" s="37"/>
      <c r="E35" s="37"/>
    </row>
    <row r="36" spans="3:5" x14ac:dyDescent="0.2">
      <c r="C36" s="36"/>
      <c r="D36" s="37"/>
      <c r="E36" s="37"/>
    </row>
    <row r="37" spans="3:5" x14ac:dyDescent="0.2">
      <c r="C37" s="36"/>
      <c r="D37" s="37"/>
      <c r="E37" s="37"/>
    </row>
    <row r="38" spans="3:5" x14ac:dyDescent="0.2">
      <c r="C38" s="36"/>
      <c r="D38" s="37"/>
      <c r="E38" s="37"/>
    </row>
    <row r="39" spans="3:5" x14ac:dyDescent="0.2">
      <c r="C39" s="36"/>
      <c r="D39" s="37"/>
      <c r="E39" s="37"/>
    </row>
    <row r="40" spans="3:5" x14ac:dyDescent="0.2">
      <c r="C40" s="36"/>
      <c r="D40" s="37"/>
      <c r="E40" s="37"/>
    </row>
    <row r="41" spans="3:5" ht="18.75" customHeight="1" x14ac:dyDescent="0.2">
      <c r="C41" s="34" t="s">
        <v>63</v>
      </c>
      <c r="D41" s="35" t="s">
        <v>64</v>
      </c>
      <c r="E41" s="35"/>
    </row>
    <row r="42" spans="3:5" ht="18" customHeight="1" x14ac:dyDescent="0.2">
      <c r="C42" s="34" t="s">
        <v>65</v>
      </c>
      <c r="D42" s="35" t="s">
        <v>66</v>
      </c>
      <c r="E42" s="35"/>
    </row>
    <row r="43" spans="3:5" ht="15.75" customHeight="1" x14ac:dyDescent="0.2">
      <c r="C43" s="34" t="s">
        <v>67</v>
      </c>
      <c r="D43" s="35" t="s">
        <v>68</v>
      </c>
      <c r="E43" s="35"/>
    </row>
    <row r="44" spans="3:5" ht="18" customHeight="1" x14ac:dyDescent="0.2">
      <c r="C44" s="34" t="s">
        <v>69</v>
      </c>
      <c r="D44" s="35"/>
      <c r="E44" s="35"/>
    </row>
  </sheetData>
  <mergeCells count="16">
    <mergeCell ref="B2:H2"/>
    <mergeCell ref="A4:B4"/>
    <mergeCell ref="C4:E4"/>
    <mergeCell ref="A5:B5"/>
    <mergeCell ref="C5:E5"/>
    <mergeCell ref="A6:B6"/>
    <mergeCell ref="A7:B7"/>
    <mergeCell ref="A26:H26"/>
    <mergeCell ref="C28:E28"/>
    <mergeCell ref="C29:C32"/>
    <mergeCell ref="D44:E44"/>
    <mergeCell ref="C33:C40"/>
    <mergeCell ref="D33:E40"/>
    <mergeCell ref="D41:E41"/>
    <mergeCell ref="D42:E42"/>
    <mergeCell ref="D43:E43"/>
  </mergeCells>
  <pageMargins left="0.7" right="0.7" top="0.75" bottom="0.75" header="0.51180555555555496" footer="0.51180555555555496"/>
  <pageSetup paperSize="9" scale="46" firstPageNumber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Necesidades Trimestrales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soy_gisuarez@hotmail.com</dc:creator>
  <dc:description/>
  <cp:lastModifiedBy>COMPRAS</cp:lastModifiedBy>
  <cp:revision>2</cp:revision>
  <cp:lastPrinted>2021-09-23T13:35:10Z</cp:lastPrinted>
  <dcterms:created xsi:type="dcterms:W3CDTF">2021-09-14T12:29:40Z</dcterms:created>
  <dcterms:modified xsi:type="dcterms:W3CDTF">2022-02-02T12:14:22Z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