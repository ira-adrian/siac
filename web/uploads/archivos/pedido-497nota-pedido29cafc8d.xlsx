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172F3F79-E64A-42EA-B03D-01A213C7090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NotaPedido!$A$1:$K$28</definedName>
  </definedNames>
  <calcPr calcId="181029"/>
</workbook>
</file>

<file path=xl/calcChain.xml><?xml version="1.0" encoding="utf-8"?>
<calcChain xmlns="http://schemas.openxmlformats.org/spreadsheetml/2006/main"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B18" i="2"/>
  <c r="B19" i="2"/>
  <c r="B20" i="2"/>
  <c r="B21" i="2"/>
  <c r="B22" i="2"/>
  <c r="B23" i="2"/>
  <c r="B24" i="2"/>
  <c r="B25" i="2"/>
  <c r="B26" i="2"/>
  <c r="B27" i="2"/>
  <c r="C26" i="2"/>
  <c r="C27" i="2"/>
  <c r="C23" i="2"/>
  <c r="C24" i="2"/>
  <c r="C25" i="2"/>
  <c r="C19" i="2"/>
  <c r="C20" i="2"/>
  <c r="C21" i="2"/>
  <c r="C22" i="2"/>
  <c r="I18" i="1" l="1"/>
  <c r="I22" i="1" l="1"/>
  <c r="I23" i="1"/>
  <c r="I24" i="1"/>
  <c r="I25" i="1"/>
  <c r="B15" i="2" l="1"/>
  <c r="B16" i="2"/>
  <c r="B17" i="2"/>
  <c r="C16" i="2"/>
  <c r="C17" i="2"/>
  <c r="C18" i="2"/>
  <c r="A26" i="3"/>
  <c r="A10" i="3"/>
  <c r="C15" i="2"/>
  <c r="C14" i="2"/>
  <c r="B14" i="2"/>
  <c r="C13" i="2"/>
  <c r="B13" i="2"/>
  <c r="K12" i="2"/>
  <c r="J12" i="2"/>
  <c r="I12" i="2"/>
  <c r="C12" i="2"/>
  <c r="B12" i="2"/>
  <c r="I21" i="1"/>
  <c r="I20" i="1"/>
  <c r="I19" i="1"/>
  <c r="I17" i="1"/>
  <c r="I16" i="1"/>
  <c r="I15" i="1"/>
  <c r="I14" i="1"/>
  <c r="I13" i="1"/>
  <c r="I12" i="1"/>
  <c r="I11" i="1"/>
  <c r="I10" i="1"/>
  <c r="J28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<sst xmlns="http://schemas.openxmlformats.org/spreadsheetml/2006/main" count="255" uniqueCount="132">
  <si>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</si>
  <si>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</si>
  <si>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</si>
  <si>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</si>
  <si>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</si>
  <si>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</si>
  <si>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</si>
  <si>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</si>
  <si>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</si>
  <si>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</si>
  <si>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</si>
  <si>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</si>
  <si>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</si>
  <si>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</si>
  <si>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</si>
  <si>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</si>
  <si>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</si>
  <si>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</si>
  <si>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</si>
  <si>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</si>
  <si>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</si>
  <si>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</si>
  <si>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</si>
  <si>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</si>
  <si>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</si>
  <si>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</si>
  <si>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</si>
  <si>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</si>
  <si>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</si>
  <si>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</si>
  <si>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</si>
  <si>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</si>
  <si>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</si>
  <si>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</si>
  <si>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</si>
  <si>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</si>
  <si>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</si>
  <si>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</si>
  <si>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</si>
  <si>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</si>
  <si>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</si>
  <si>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</si>
  <si>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</si>
  <si>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</si>
  <si>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</si>
  <si>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</si>
  <si>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</si>
  <si>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</si>
  <si>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</si>
  <si>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</si>
  <si>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</si>
  <si>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</si>
  <si>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</si>
  <si>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</si>
  <si>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</si>
  <si>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</si>
  <si>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</si>
  <si>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</si>
  <si>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</si>
  <si>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</si>
  <si>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</si>
  <si>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Compuestos Quimicos</t>
  </si>
  <si>
    <t>3.1</t>
  </si>
  <si>
    <t>1.1</t>
  </si>
  <si>
    <t>Utiles Menores Med. Quir. y de Lab.</t>
  </si>
  <si>
    <t>CAJA</t>
  </si>
  <si>
    <t>FRASCO</t>
  </si>
  <si>
    <t>BOLSA</t>
  </si>
  <si>
    <t>UNIDAD</t>
  </si>
  <si>
    <t>10 dias - Servicio de Hemoterapia del HISJB</t>
  </si>
  <si>
    <t xml:space="preserve">30 dias habiles </t>
  </si>
  <si>
    <t xml:space="preserve">BOLSA </t>
  </si>
  <si>
    <t xml:space="preserve">Servicio de Hemoterapia </t>
  </si>
  <si>
    <t>Adquisición de Insumos y Reactivos</t>
  </si>
  <si>
    <t>FILTROS DE DESLUOCOTIZACION; USO: DIRECTO AL PACIENTE, CAPACIDAD DE FILTRADO: 1 UNIDAD DE GLOBULOS ROJOS, CAPACIDAD DEL FILTRO: LOGARITMO 4</t>
  </si>
  <si>
    <t>Especificidades Item N° 14:</t>
  </si>
  <si>
    <t>2.9.5-8436.1</t>
  </si>
  <si>
    <t>PROD. MEDICO/FARMACEUTICOS/LAB</t>
  </si>
  <si>
    <t xml:space="preserve">FILTROS DE LEUCORREDUCCION PARA PLAQUETAS - PRESENTACION BOLSA X 50 UNIDADES </t>
  </si>
  <si>
    <t xml:space="preserve">FILTROS DE LEUCORREDUCCION PARA GLOBULOS ROJOS - PRESENTACION BOLSA X 50 UNIDADES </t>
  </si>
  <si>
    <t>FILTROS DE DESLUOCOTIZACION; USO: DIRECTO AL PACIENTE, CAPACIDAD DE FILTRADO: 6 UNIDADES DE PLAQUETAS, CAPACIDAD DEL FILTRO: LOGARITMO 4</t>
  </si>
  <si>
    <t>2.9.5-8436.3</t>
  </si>
  <si>
    <t>REACTIVOS P/LAB. TEC. MANUAL ; NOMBRE: SUERO HEMOTIPIFICADOR ANTI-B, USO: HEMOTERAPIA, PRESENTACION: ENVASE X 10 mL</t>
  </si>
  <si>
    <t>2.5.1-9052.241</t>
  </si>
  <si>
    <t xml:space="preserve">QUIMICOS </t>
  </si>
  <si>
    <t>REACTIVOS P/LAB. TEC. MANUAL ; NOMBRE: SUERO HEMOTIPIFICADOR ANTI-AB, USO: HEMOTERAPIA, PRESENTACION: ENVASE X 10 mL</t>
  </si>
  <si>
    <t>2.5.1-9052.247</t>
  </si>
  <si>
    <t>REACTIVOS P/LAB. TEC. MANUAL ; NOMBRE: SUERO HEMOTIPIFICADOR ANTI-D, USO: HEMOTERAPIA, PRESENTACION: ENVASE X 10 mL</t>
  </si>
  <si>
    <t>2.5.1</t>
  </si>
  <si>
    <t>2.5.1-9052.248</t>
  </si>
  <si>
    <t>Especificidades Item N° 10</t>
  </si>
  <si>
    <t xml:space="preserve">Reactivos para determinacion de fenotipos o genotipos Anti C - Se solicita presentacion en frasco por 10 ml </t>
  </si>
  <si>
    <t>REACTIVOS P/LAB. TEC. MANUAL ; NOMBRE: SUERO HEMOTIPIFICADOR ANTI-C, USO: HEMOTERAPIA, PRESENTACION: ENVASE X 5 mL</t>
  </si>
  <si>
    <t>2.5.1-9052.249</t>
  </si>
  <si>
    <t>Especificidades Item N° 11</t>
  </si>
  <si>
    <t xml:space="preserve">Reactivos para determinacion de fenotipos o genotipos Anti c (min) - Se solicita presentacion en frasco por 10 ml </t>
  </si>
  <si>
    <t>REACTIVOS P/LAB. TEC. MANUAL ; NOMBRE: SUERO HEMOT. ANTI-C (MIN.), USO: HEMOTERAPIA, PRESENTACION: ENVASE X 5 mL</t>
  </si>
  <si>
    <t>2.5.1-9052.250</t>
  </si>
  <si>
    <t>Especificidades Item N° 12</t>
  </si>
  <si>
    <t xml:space="preserve">Reactivos para determinacion de fenotipos o genotipos Anti E - Se solicita presentacion en frasco por 10 ml </t>
  </si>
  <si>
    <t>Especificidades Item N° 13</t>
  </si>
  <si>
    <t xml:space="preserve">Reactivos para determinacion de fenotipos o genotipos Anti e (min) - Se solicita presentacion en frasco por 10 ml </t>
  </si>
  <si>
    <t>REACTIVOS P/LAB. TEC. MANUAL ; NOMBRE: SUERO HEMOTIPIFICADOR ANTI-E, USO: HEMOTERAPIA, PRESENTACION: ENVASE X 5 mL</t>
  </si>
  <si>
    <t>2.5.1-9052.251</t>
  </si>
  <si>
    <t>REACTIVOS P/LAB. TEC. MANUAL ; NOMBRE: SUERO HEMOT. ANTI-E (MIN.), USO: HEMOTERAPIA, PRESENTACION: ENVASE X 5 mL</t>
  </si>
  <si>
    <t>2.9.5</t>
  </si>
  <si>
    <t>2.5.1-9052.252</t>
  </si>
  <si>
    <t>Especificidades Item N° 4</t>
  </si>
  <si>
    <t xml:space="preserve">TIPS PARA PIPETAS AUTOMATICAS - PRESENTACION BOLSA  X 1000 UNIDADES </t>
  </si>
  <si>
    <t>PUNTAS DE PIPETA; MATERIAL: POLIPROPILENO, USO: TOMA MUESTRAS Y REACTIVOS</t>
  </si>
  <si>
    <t>2.9.5-6496.6</t>
  </si>
  <si>
    <t>REACTIVOS P/LAB. TEC. MANUAL ; NOMBRE: SUERO HEMOTIPIFICADOR ANTI-CDE, USO: HEMOTERAPIA, PRESENTACION: ENVASE X 10 mL</t>
  </si>
  <si>
    <t>2.5.1-9052.1933</t>
  </si>
  <si>
    <t>REACTIVOS P/LAB. TEC. MANUAL ; NOMBRE: SUERO HEMOTIPIFICADOR ANTI-A1, USO: HEMOTERAPIA, PRESENTACION: ENVASE X 10 mL</t>
  </si>
  <si>
    <t>2.5.1-9052.240</t>
  </si>
  <si>
    <t>REACTIVOS P/LAB. TEC. MANUAL ; NOMBRE: TARJETA DE GEL LISS COOMBS, USO: IDENT ANTIGENOS ERITROCITARIOS, PRESENTACION: ENVASE X 48 UN</t>
  </si>
  <si>
    <t>2.5.1-9052.834</t>
  </si>
  <si>
    <t>Especificidades Item N° 1</t>
  </si>
  <si>
    <t>TARJETA GEL LISS COOMBS PRESENTACION X 400 UNIDADES</t>
  </si>
  <si>
    <t>Especificidades Item N° 9</t>
  </si>
  <si>
    <t xml:space="preserve">TUBO PARA HEMOGRAMA EDTA 3,00 ML - TAPA LILA - TIPO BD </t>
  </si>
  <si>
    <t>Especificidades Item N° 8</t>
  </si>
  <si>
    <t xml:space="preserve">TUBO PARA SUERO CON GEL 3,5 ML - TAPA AMARILLA - TIPO BD </t>
  </si>
  <si>
    <t>TUBOS P/HEMOGRAMA; DIMENSION: 12 X 55 mm, TIPO: MICROTUBO CON EDTA 3K</t>
  </si>
  <si>
    <t>2.9.5-5378.3</t>
  </si>
  <si>
    <t>TUBOS P/MEDICINA; TIPO: DESCARTABLE, USO: P/SUERO, PRESENTACION: UNIDAD, DIMENSION: 12 X 55 mm</t>
  </si>
  <si>
    <t>2.9.5-6526.17</t>
  </si>
  <si>
    <t>DILUYENTES P/LABORATORIOS; TIPO : LISS MODIFICADO, USO: LABORATORIO, PRESENTACION: FRASCO X 500 mL, TIPO: LISS MODIFICADO</t>
  </si>
  <si>
    <t>2.9.5-6634.4</t>
  </si>
  <si>
    <t>341 - 2020</t>
  </si>
  <si>
    <t>TOTAL DE PESOS: NOVECIENTOS NOVENTA Y CINCO MIL OCHOCIENTOS SESENTA CON 00/100.-----</t>
  </si>
  <si>
    <t>Costo total estimado: NOVECIENTOS NOVENTA Y CINCO MIL OCHOCIENTOS SESENTA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</si>
</sst>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4" fillId="0" borderId="14" xfId="0" applyFont="1" applyBorder="1"/>
    <xf numFmtId="0" fontId="18" fillId="0" borderId="14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wrapText="1"/>
    </xf>
    <xf numFmtId="0" fontId="25" fillId="0" borderId="14" xfId="0" applyFont="1" applyBorder="1"/>
    <xf numFmtId="0" fontId="25" fillId="0" borderId="14" xfId="0" applyFont="1" applyBorder="1" applyAlignment="1">
      <alignment wrapText="1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left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83"/>
  <sheetViews>
    <sheetView tabSelected="1" topLeftCell="A4" zoomScale="85" zoomScaleNormal="85" workbookViewId="0">
      <selection activeCell="I183" sqref="I183"/>
    </sheetView>
  </sheetViews>
  <sheetFormatPr baseColWidth="10" defaultColWidth="11" defaultRowHeight="12.75" x14ac:dyDescent="0.2"/>
  <cols>
    <col min="1" max="1" width="4.5703125" style="39" customWidth="1"/>
    <col min="2" max="2" width="15.14062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8" t="s">
        <v>0</v>
      </c>
      <c r="C2" s="88"/>
      <c r="D2" s="88"/>
      <c r="E2" s="88"/>
      <c r="F2" s="88"/>
      <c r="G2" s="88"/>
      <c r="H2" s="88"/>
    </row>
    <row r="4" spans="1:9" ht="18" customHeight="1" x14ac:dyDescent="0.25">
      <c r="A4" s="89" t="s">
        <v>1</v>
      </c>
      <c r="B4" s="89"/>
      <c r="C4" s="90" t="s">
        <v>58</v>
      </c>
      <c r="D4" s="90"/>
      <c r="E4" s="90"/>
      <c r="F4" s="40"/>
      <c r="G4" s="41"/>
      <c r="H4" s="40"/>
    </row>
    <row r="5" spans="1:9" ht="18" customHeight="1" x14ac:dyDescent="0.25">
      <c r="A5" s="89" t="s">
        <v>2</v>
      </c>
      <c r="B5" s="89"/>
      <c r="C5" s="90" t="s">
        <v>59</v>
      </c>
      <c r="D5" s="90"/>
      <c r="E5" s="90"/>
      <c r="F5" s="40"/>
      <c r="G5" s="41"/>
      <c r="H5" s="40"/>
    </row>
    <row r="6" spans="1:9" ht="16.5" customHeight="1" x14ac:dyDescent="0.25">
      <c r="A6" s="89" t="s">
        <v>3</v>
      </c>
      <c r="B6" s="89"/>
      <c r="C6" s="60">
        <v>2020</v>
      </c>
      <c r="D6" s="61"/>
      <c r="E6" s="61"/>
      <c r="F6" s="40"/>
      <c r="G6" s="41"/>
      <c r="H6" s="40"/>
    </row>
    <row r="7" spans="1:9" ht="16.5" customHeight="1" x14ac:dyDescent="0.25">
      <c r="A7" s="89" t="s">
        <v>4</v>
      </c>
      <c r="B7" s="89"/>
      <c r="C7" s="60">
        <v>4</v>
      </c>
      <c r="D7" s="61"/>
      <c r="E7" s="61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76" t="s">
        <v>116</v>
      </c>
      <c r="C10" s="77" t="s">
        <v>84</v>
      </c>
      <c r="D10" s="78" t="s">
        <v>88</v>
      </c>
      <c r="E10" s="79" t="s">
        <v>115</v>
      </c>
      <c r="F10" s="57" t="s">
        <v>65</v>
      </c>
      <c r="G10" s="57">
        <v>6</v>
      </c>
      <c r="H10" s="58">
        <v>14000</v>
      </c>
      <c r="I10" s="59">
        <f t="shared" ref="I10:I25" si="0">G10*H10</f>
        <v>84000</v>
      </c>
    </row>
    <row r="11" spans="1:9" ht="31.9" customHeight="1" thickBot="1" x14ac:dyDescent="0.25">
      <c r="A11" s="56">
        <v>2</v>
      </c>
      <c r="B11" s="80" t="s">
        <v>86</v>
      </c>
      <c r="C11" s="77" t="s">
        <v>84</v>
      </c>
      <c r="D11" s="78" t="s">
        <v>88</v>
      </c>
      <c r="E11" s="81" t="s">
        <v>85</v>
      </c>
      <c r="F11" s="57" t="s">
        <v>66</v>
      </c>
      <c r="G11" s="57">
        <v>6</v>
      </c>
      <c r="H11" s="58">
        <v>1800</v>
      </c>
      <c r="I11" s="59">
        <f t="shared" si="0"/>
        <v>10800</v>
      </c>
    </row>
    <row r="12" spans="1:9" ht="31.9" customHeight="1" thickBot="1" x14ac:dyDescent="0.25">
      <c r="A12" s="56">
        <v>3</v>
      </c>
      <c r="B12" s="76" t="s">
        <v>128</v>
      </c>
      <c r="C12" s="76" t="s">
        <v>77</v>
      </c>
      <c r="D12" s="78" t="s">
        <v>105</v>
      </c>
      <c r="E12" s="79" t="s">
        <v>127</v>
      </c>
      <c r="F12" s="57" t="s">
        <v>66</v>
      </c>
      <c r="G12" s="57">
        <v>6</v>
      </c>
      <c r="H12" s="58">
        <v>3500</v>
      </c>
      <c r="I12" s="59">
        <f t="shared" si="0"/>
        <v>21000</v>
      </c>
    </row>
    <row r="13" spans="1:9" ht="31.9" customHeight="1" thickBot="1" x14ac:dyDescent="0.25">
      <c r="A13" s="56">
        <v>4</v>
      </c>
      <c r="B13" s="76" t="s">
        <v>110</v>
      </c>
      <c r="C13" s="76" t="s">
        <v>77</v>
      </c>
      <c r="D13" s="78" t="s">
        <v>105</v>
      </c>
      <c r="E13" s="76" t="s">
        <v>109</v>
      </c>
      <c r="F13" s="57" t="s">
        <v>67</v>
      </c>
      <c r="G13" s="57">
        <v>6</v>
      </c>
      <c r="H13" s="58">
        <v>2500</v>
      </c>
      <c r="I13" s="59">
        <f t="shared" si="0"/>
        <v>15000</v>
      </c>
    </row>
    <row r="14" spans="1:9" ht="31.9" customHeight="1" thickBot="1" x14ac:dyDescent="0.25">
      <c r="A14" s="56">
        <v>5</v>
      </c>
      <c r="B14" s="76" t="s">
        <v>114</v>
      </c>
      <c r="C14" s="77"/>
      <c r="D14" s="78" t="s">
        <v>88</v>
      </c>
      <c r="E14" s="79" t="s">
        <v>113</v>
      </c>
      <c r="F14" s="57" t="s">
        <v>66</v>
      </c>
      <c r="G14" s="57">
        <v>30</v>
      </c>
      <c r="H14" s="58">
        <v>1800</v>
      </c>
      <c r="I14" s="59">
        <f t="shared" si="0"/>
        <v>54000</v>
      </c>
    </row>
    <row r="15" spans="1:9" ht="31.9" customHeight="1" thickBot="1" x14ac:dyDescent="0.25">
      <c r="A15" s="56">
        <v>6</v>
      </c>
      <c r="B15" s="80" t="s">
        <v>83</v>
      </c>
      <c r="C15" s="77" t="s">
        <v>84</v>
      </c>
      <c r="D15" s="78" t="s">
        <v>88</v>
      </c>
      <c r="E15" s="81" t="s">
        <v>82</v>
      </c>
      <c r="F15" s="57" t="s">
        <v>66</v>
      </c>
      <c r="G15" s="57">
        <v>30</v>
      </c>
      <c r="H15" s="58">
        <v>1800</v>
      </c>
      <c r="I15" s="59">
        <f t="shared" si="0"/>
        <v>54000</v>
      </c>
    </row>
    <row r="16" spans="1:9" ht="31.9" customHeight="1" thickBot="1" x14ac:dyDescent="0.25">
      <c r="A16" s="56">
        <v>7</v>
      </c>
      <c r="B16" s="80" t="s">
        <v>89</v>
      </c>
      <c r="C16" s="77" t="s">
        <v>84</v>
      </c>
      <c r="D16" s="78" t="s">
        <v>88</v>
      </c>
      <c r="E16" s="81" t="s">
        <v>87</v>
      </c>
      <c r="F16" s="57" t="s">
        <v>66</v>
      </c>
      <c r="G16" s="57">
        <v>30</v>
      </c>
      <c r="H16" s="58">
        <v>2500</v>
      </c>
      <c r="I16" s="59">
        <f t="shared" si="0"/>
        <v>75000</v>
      </c>
    </row>
    <row r="17" spans="1:9" ht="31.9" customHeight="1" thickBot="1" x14ac:dyDescent="0.25">
      <c r="A17" s="56">
        <v>8</v>
      </c>
      <c r="B17" s="76" t="s">
        <v>112</v>
      </c>
      <c r="C17" s="77" t="s">
        <v>84</v>
      </c>
      <c r="D17" s="78" t="s">
        <v>88</v>
      </c>
      <c r="E17" s="79" t="s">
        <v>111</v>
      </c>
      <c r="F17" s="57" t="s">
        <v>66</v>
      </c>
      <c r="G17" s="57">
        <v>9</v>
      </c>
      <c r="H17" s="58">
        <v>7600</v>
      </c>
      <c r="I17" s="59">
        <f t="shared" si="0"/>
        <v>68400</v>
      </c>
    </row>
    <row r="18" spans="1:9" ht="31.9" customHeight="1" thickBot="1" x14ac:dyDescent="0.25">
      <c r="A18" s="56">
        <v>9</v>
      </c>
      <c r="B18" s="76" t="s">
        <v>126</v>
      </c>
      <c r="C18" s="76" t="s">
        <v>77</v>
      </c>
      <c r="D18" s="78" t="s">
        <v>105</v>
      </c>
      <c r="E18" s="79" t="s">
        <v>125</v>
      </c>
      <c r="F18" s="57" t="s">
        <v>68</v>
      </c>
      <c r="G18" s="57">
        <v>1400</v>
      </c>
      <c r="H18" s="58">
        <v>17</v>
      </c>
      <c r="I18" s="59">
        <f t="shared" si="0"/>
        <v>23800</v>
      </c>
    </row>
    <row r="19" spans="1:9" ht="31.9" customHeight="1" thickBot="1" x14ac:dyDescent="0.25">
      <c r="A19" s="56">
        <v>10</v>
      </c>
      <c r="B19" s="76" t="s">
        <v>124</v>
      </c>
      <c r="C19" s="76" t="s">
        <v>77</v>
      </c>
      <c r="D19" s="78" t="s">
        <v>105</v>
      </c>
      <c r="E19" s="76" t="s">
        <v>123</v>
      </c>
      <c r="F19" s="57" t="s">
        <v>68</v>
      </c>
      <c r="G19" s="57">
        <v>1200</v>
      </c>
      <c r="H19" s="58">
        <v>11.5</v>
      </c>
      <c r="I19" s="59">
        <f t="shared" si="0"/>
        <v>13800</v>
      </c>
    </row>
    <row r="20" spans="1:9" ht="31.9" customHeight="1" thickBot="1" x14ac:dyDescent="0.25">
      <c r="A20" s="56">
        <v>11</v>
      </c>
      <c r="B20" s="80" t="s">
        <v>93</v>
      </c>
      <c r="C20" s="77" t="s">
        <v>84</v>
      </c>
      <c r="D20" s="78" t="s">
        <v>88</v>
      </c>
      <c r="E20" s="81" t="s">
        <v>92</v>
      </c>
      <c r="F20" s="57" t="s">
        <v>66</v>
      </c>
      <c r="G20" s="57">
        <v>6</v>
      </c>
      <c r="H20" s="58">
        <v>6500</v>
      </c>
      <c r="I20" s="59">
        <f t="shared" si="0"/>
        <v>39000</v>
      </c>
    </row>
    <row r="21" spans="1:9" ht="31.9" customHeight="1" thickBot="1" x14ac:dyDescent="0.25">
      <c r="A21" s="56">
        <v>12</v>
      </c>
      <c r="B21" s="80" t="s">
        <v>97</v>
      </c>
      <c r="C21" s="77" t="s">
        <v>84</v>
      </c>
      <c r="D21" s="78" t="s">
        <v>88</v>
      </c>
      <c r="E21" s="81" t="s">
        <v>96</v>
      </c>
      <c r="F21" s="57" t="s">
        <v>66</v>
      </c>
      <c r="G21" s="57">
        <v>6</v>
      </c>
      <c r="H21" s="58">
        <v>8000</v>
      </c>
      <c r="I21" s="59">
        <f t="shared" si="0"/>
        <v>48000</v>
      </c>
    </row>
    <row r="22" spans="1:9" ht="31.9" customHeight="1" thickBot="1" x14ac:dyDescent="0.25">
      <c r="A22" s="56">
        <v>13</v>
      </c>
      <c r="B22" s="80" t="s">
        <v>103</v>
      </c>
      <c r="C22" s="77" t="s">
        <v>84</v>
      </c>
      <c r="D22" s="78" t="s">
        <v>88</v>
      </c>
      <c r="E22" s="81" t="s">
        <v>102</v>
      </c>
      <c r="F22" s="57" t="s">
        <v>66</v>
      </c>
      <c r="G22" s="57">
        <v>6</v>
      </c>
      <c r="H22" s="58">
        <v>6500</v>
      </c>
      <c r="I22" s="59">
        <f t="shared" si="0"/>
        <v>39000</v>
      </c>
    </row>
    <row r="23" spans="1:9" ht="31.9" customHeight="1" thickBot="1" x14ac:dyDescent="0.25">
      <c r="A23" s="56">
        <v>14</v>
      </c>
      <c r="B23" s="80" t="s">
        <v>106</v>
      </c>
      <c r="C23" s="77" t="s">
        <v>84</v>
      </c>
      <c r="D23" s="78" t="s">
        <v>88</v>
      </c>
      <c r="E23" s="81" t="s">
        <v>104</v>
      </c>
      <c r="F23" s="57" t="s">
        <v>66</v>
      </c>
      <c r="G23" s="57">
        <v>6</v>
      </c>
      <c r="H23" s="58">
        <v>8000</v>
      </c>
      <c r="I23" s="59">
        <f t="shared" si="0"/>
        <v>48000</v>
      </c>
    </row>
    <row r="24" spans="1:9" ht="31.9" customHeight="1" thickBot="1" x14ac:dyDescent="0.25">
      <c r="A24" s="56">
        <v>15</v>
      </c>
      <c r="B24" s="76" t="s">
        <v>76</v>
      </c>
      <c r="C24" s="76" t="s">
        <v>77</v>
      </c>
      <c r="D24" s="78" t="s">
        <v>105</v>
      </c>
      <c r="E24" s="79" t="s">
        <v>74</v>
      </c>
      <c r="F24" s="57" t="s">
        <v>71</v>
      </c>
      <c r="G24" s="57">
        <v>30</v>
      </c>
      <c r="H24" s="58">
        <v>5640</v>
      </c>
      <c r="I24" s="59">
        <f t="shared" si="0"/>
        <v>169200</v>
      </c>
    </row>
    <row r="25" spans="1:9" ht="31.9" customHeight="1" thickBot="1" x14ac:dyDescent="0.25">
      <c r="A25" s="56">
        <v>16</v>
      </c>
      <c r="B25" s="76" t="s">
        <v>81</v>
      </c>
      <c r="C25" s="76" t="s">
        <v>77</v>
      </c>
      <c r="D25" s="78" t="s">
        <v>105</v>
      </c>
      <c r="E25" s="79" t="s">
        <v>80</v>
      </c>
      <c r="F25" s="57" t="s">
        <v>71</v>
      </c>
      <c r="G25" s="57">
        <v>30</v>
      </c>
      <c r="H25" s="58">
        <v>7762</v>
      </c>
      <c r="I25" s="59">
        <f t="shared" si="0"/>
        <v>232860</v>
      </c>
    </row>
    <row r="27" spans="1:9" ht="13.5" thickBot="1" x14ac:dyDescent="0.25">
      <c r="I27"/>
    </row>
    <row r="28" spans="1:9" x14ac:dyDescent="0.2">
      <c r="B28" s="42" t="s">
        <v>117</v>
      </c>
      <c r="C28" s="43"/>
      <c r="D28" s="43"/>
      <c r="E28" s="44"/>
    </row>
    <row r="29" spans="1:9" ht="5.25" customHeight="1" x14ac:dyDescent="0.2">
      <c r="B29" s="45"/>
      <c r="C29" s="46"/>
      <c r="D29" s="46"/>
      <c r="E29" s="47"/>
    </row>
    <row r="30" spans="1:9" x14ac:dyDescent="0.2">
      <c r="B30" s="48" t="s">
        <v>14</v>
      </c>
      <c r="C30" s="46"/>
      <c r="D30" s="46"/>
      <c r="E30" s="47"/>
    </row>
    <row r="31" spans="1:9" ht="41.25" customHeight="1" x14ac:dyDescent="0.2">
      <c r="B31" s="48"/>
      <c r="C31" s="83" t="s">
        <v>118</v>
      </c>
      <c r="D31" s="83"/>
      <c r="E31" s="83"/>
    </row>
    <row r="32" spans="1:9" x14ac:dyDescent="0.2">
      <c r="B32" s="48" t="s">
        <v>15</v>
      </c>
      <c r="C32" s="46"/>
      <c r="D32" s="46"/>
      <c r="E32" s="47"/>
    </row>
    <row r="33" spans="2:5" x14ac:dyDescent="0.2">
      <c r="B33" s="49"/>
      <c r="C33" s="84" t="s">
        <v>69</v>
      </c>
      <c r="D33" s="84"/>
      <c r="E33" s="84"/>
    </row>
    <row r="34" spans="2:5" x14ac:dyDescent="0.2">
      <c r="B34" s="49"/>
      <c r="C34" s="82"/>
      <c r="D34" s="82"/>
      <c r="E34" s="82"/>
    </row>
    <row r="35" spans="2:5" x14ac:dyDescent="0.2">
      <c r="B35" s="48" t="s">
        <v>16</v>
      </c>
      <c r="C35" s="46"/>
      <c r="D35" s="46"/>
      <c r="E35" s="47"/>
    </row>
    <row r="36" spans="2:5" ht="26.25" customHeight="1" x14ac:dyDescent="0.2">
      <c r="B36" s="49"/>
      <c r="C36" s="86"/>
      <c r="D36" s="86"/>
      <c r="E36" s="86"/>
    </row>
    <row r="37" spans="2:5" x14ac:dyDescent="0.2">
      <c r="B37" s="48" t="s">
        <v>17</v>
      </c>
      <c r="C37" s="50"/>
      <c r="D37" s="50"/>
      <c r="E37" s="51"/>
    </row>
    <row r="38" spans="2:5" ht="26.25" customHeight="1" x14ac:dyDescent="0.2">
      <c r="B38" s="49"/>
      <c r="C38" s="87" t="s">
        <v>70</v>
      </c>
      <c r="D38" s="87"/>
      <c r="E38" s="87"/>
    </row>
    <row r="39" spans="2:5" x14ac:dyDescent="0.2">
      <c r="B39" s="48" t="s">
        <v>18</v>
      </c>
      <c r="C39" s="46"/>
      <c r="D39" s="46"/>
      <c r="E39" s="47"/>
    </row>
    <row r="40" spans="2:5" ht="23.25" customHeight="1" x14ac:dyDescent="0.2">
      <c r="B40" s="48"/>
      <c r="C40" s="82"/>
      <c r="D40" s="82"/>
      <c r="E40" s="82"/>
    </row>
    <row r="41" spans="2:5" ht="13.5" thickBot="1" x14ac:dyDescent="0.25">
      <c r="B41" s="52"/>
      <c r="C41" s="53"/>
      <c r="D41" s="53"/>
      <c r="E41" s="54"/>
    </row>
    <row r="42" spans="2:5" ht="13.5" thickBot="1" x14ac:dyDescent="0.25"/>
    <row r="43" spans="2:5" x14ac:dyDescent="0.2">
      <c r="B43" s="42" t="s">
        <v>19</v>
      </c>
      <c r="C43" s="43"/>
      <c r="D43" s="43"/>
      <c r="E43" s="44"/>
    </row>
    <row r="44" spans="2:5" ht="7.5" customHeight="1" x14ac:dyDescent="0.2">
      <c r="B44" s="45"/>
      <c r="C44" s="46"/>
      <c r="D44" s="46"/>
      <c r="E44" s="47"/>
    </row>
    <row r="45" spans="2:5" x14ac:dyDescent="0.2">
      <c r="B45" s="48" t="s">
        <v>14</v>
      </c>
      <c r="C45" s="46"/>
      <c r="D45" s="46"/>
      <c r="E45" s="47"/>
    </row>
    <row r="46" spans="2:5" ht="39" customHeight="1" x14ac:dyDescent="0.2">
      <c r="B46" s="48"/>
      <c r="C46" s="83" t="s">
        <v>78</v>
      </c>
      <c r="D46" s="83"/>
      <c r="E46" s="83"/>
    </row>
    <row r="47" spans="2:5" x14ac:dyDescent="0.2">
      <c r="B47" s="48" t="s">
        <v>15</v>
      </c>
      <c r="C47" s="46"/>
      <c r="D47" s="46"/>
      <c r="E47" s="47"/>
    </row>
    <row r="48" spans="2:5" x14ac:dyDescent="0.2">
      <c r="B48" s="49"/>
      <c r="C48" s="84" t="s">
        <v>69</v>
      </c>
      <c r="D48" s="84"/>
      <c r="E48" s="84"/>
    </row>
    <row r="49" spans="2:5" x14ac:dyDescent="0.2">
      <c r="B49" s="49"/>
      <c r="C49" s="82"/>
      <c r="D49" s="82"/>
      <c r="E49" s="82"/>
    </row>
    <row r="50" spans="2:5" x14ac:dyDescent="0.2">
      <c r="B50" s="48" t="s">
        <v>16</v>
      </c>
      <c r="C50" s="46"/>
      <c r="D50" s="46"/>
      <c r="E50" s="47"/>
    </row>
    <row r="51" spans="2:5" x14ac:dyDescent="0.2">
      <c r="B51" s="49"/>
      <c r="C51" s="86"/>
      <c r="D51" s="86"/>
      <c r="E51" s="86"/>
    </row>
    <row r="52" spans="2:5" x14ac:dyDescent="0.2">
      <c r="B52" s="48" t="s">
        <v>17</v>
      </c>
      <c r="C52" s="50"/>
      <c r="D52" s="50"/>
      <c r="E52" s="51"/>
    </row>
    <row r="53" spans="2:5" x14ac:dyDescent="0.2">
      <c r="B53" s="49"/>
      <c r="C53" s="87" t="s">
        <v>70</v>
      </c>
      <c r="D53" s="87"/>
      <c r="E53" s="87"/>
    </row>
    <row r="54" spans="2:5" x14ac:dyDescent="0.2">
      <c r="B54" s="48" t="s">
        <v>18</v>
      </c>
      <c r="C54" s="46"/>
      <c r="D54" s="46"/>
      <c r="E54" s="47"/>
    </row>
    <row r="55" spans="2:5" x14ac:dyDescent="0.2">
      <c r="B55" s="48"/>
      <c r="C55" s="82"/>
      <c r="D55" s="82"/>
      <c r="E55" s="82"/>
    </row>
    <row r="56" spans="2:5" x14ac:dyDescent="0.2">
      <c r="B56" s="52"/>
      <c r="C56" s="53"/>
      <c r="D56" s="53"/>
      <c r="E56" s="54"/>
    </row>
    <row r="57" spans="2:5" ht="13.5" thickBot="1" x14ac:dyDescent="0.25"/>
    <row r="58" spans="2:5" x14ac:dyDescent="0.2">
      <c r="B58" s="42" t="s">
        <v>107</v>
      </c>
      <c r="C58" s="43"/>
      <c r="D58" s="43"/>
      <c r="E58" s="44"/>
    </row>
    <row r="59" spans="2:5" x14ac:dyDescent="0.2">
      <c r="B59" s="45"/>
      <c r="C59" s="46"/>
      <c r="D59" s="46"/>
      <c r="E59" s="47"/>
    </row>
    <row r="60" spans="2:5" x14ac:dyDescent="0.2">
      <c r="B60" s="48" t="s">
        <v>14</v>
      </c>
      <c r="C60" s="46"/>
      <c r="D60" s="46"/>
      <c r="E60" s="47"/>
    </row>
    <row r="61" spans="2:5" ht="12.75" customHeight="1" x14ac:dyDescent="0.2">
      <c r="B61" s="48"/>
      <c r="C61" s="83" t="s">
        <v>108</v>
      </c>
      <c r="D61" s="83"/>
      <c r="E61" s="83"/>
    </row>
    <row r="62" spans="2:5" x14ac:dyDescent="0.2">
      <c r="B62" s="48" t="s">
        <v>15</v>
      </c>
      <c r="C62" s="46"/>
      <c r="D62" s="46"/>
      <c r="E62" s="47"/>
    </row>
    <row r="63" spans="2:5" x14ac:dyDescent="0.2">
      <c r="B63" s="49"/>
      <c r="C63" s="84" t="s">
        <v>69</v>
      </c>
      <c r="D63" s="84"/>
      <c r="E63" s="84"/>
    </row>
    <row r="64" spans="2:5" x14ac:dyDescent="0.2">
      <c r="B64" s="49"/>
      <c r="C64" s="82"/>
      <c r="D64" s="82"/>
      <c r="E64" s="82"/>
    </row>
    <row r="65" spans="2:5" x14ac:dyDescent="0.2">
      <c r="B65" s="48" t="s">
        <v>16</v>
      </c>
      <c r="C65" s="46"/>
      <c r="D65" s="46"/>
      <c r="E65" s="47"/>
    </row>
    <row r="66" spans="2:5" x14ac:dyDescent="0.2">
      <c r="B66" s="49"/>
      <c r="C66" s="86"/>
      <c r="D66" s="86"/>
      <c r="E66" s="86"/>
    </row>
    <row r="67" spans="2:5" x14ac:dyDescent="0.2">
      <c r="B67" s="48" t="s">
        <v>17</v>
      </c>
      <c r="C67" s="50"/>
      <c r="D67" s="50"/>
      <c r="E67" s="51"/>
    </row>
    <row r="68" spans="2:5" x14ac:dyDescent="0.2">
      <c r="B68" s="49"/>
      <c r="C68" s="87" t="s">
        <v>70</v>
      </c>
      <c r="D68" s="87"/>
      <c r="E68" s="87"/>
    </row>
    <row r="69" spans="2:5" x14ac:dyDescent="0.2">
      <c r="B69" s="48" t="s">
        <v>18</v>
      </c>
      <c r="C69" s="46"/>
      <c r="D69" s="46"/>
      <c r="E69" s="47"/>
    </row>
    <row r="70" spans="2:5" x14ac:dyDescent="0.2">
      <c r="B70" s="48"/>
      <c r="C70" s="82"/>
      <c r="D70" s="82"/>
      <c r="E70" s="82"/>
    </row>
    <row r="71" spans="2:5" ht="13.5" thickBot="1" x14ac:dyDescent="0.25">
      <c r="B71" s="52"/>
      <c r="C71" s="53"/>
      <c r="D71" s="53"/>
      <c r="E71" s="54"/>
    </row>
    <row r="74" spans="2:5" ht="13.5" thickBot="1" x14ac:dyDescent="0.25"/>
    <row r="75" spans="2:5" x14ac:dyDescent="0.2">
      <c r="B75" s="42" t="s">
        <v>121</v>
      </c>
      <c r="C75" s="43"/>
      <c r="D75" s="43"/>
      <c r="E75" s="44"/>
    </row>
    <row r="76" spans="2:5" x14ac:dyDescent="0.2">
      <c r="B76" s="45"/>
      <c r="C76" s="46"/>
      <c r="D76" s="46"/>
      <c r="E76" s="47"/>
    </row>
    <row r="77" spans="2:5" x14ac:dyDescent="0.2">
      <c r="B77" s="48" t="s">
        <v>14</v>
      </c>
      <c r="C77" s="46"/>
      <c r="D77" s="46"/>
      <c r="E77" s="47"/>
    </row>
    <row r="78" spans="2:5" x14ac:dyDescent="0.2">
      <c r="B78" s="48"/>
      <c r="C78" s="83" t="s">
        <v>122</v>
      </c>
      <c r="D78" s="83"/>
      <c r="E78" s="83"/>
    </row>
    <row r="79" spans="2:5" x14ac:dyDescent="0.2">
      <c r="B79" s="48" t="s">
        <v>15</v>
      </c>
      <c r="C79" s="46"/>
      <c r="D79" s="46"/>
      <c r="E79" s="47"/>
    </row>
    <row r="80" spans="2:5" x14ac:dyDescent="0.2">
      <c r="B80" s="49"/>
      <c r="C80" s="84" t="s">
        <v>69</v>
      </c>
      <c r="D80" s="84"/>
      <c r="E80" s="84"/>
    </row>
    <row r="81" spans="2:5" x14ac:dyDescent="0.2">
      <c r="B81" s="49"/>
      <c r="C81" s="82"/>
      <c r="D81" s="82"/>
      <c r="E81" s="82"/>
    </row>
    <row r="82" spans="2:5" x14ac:dyDescent="0.2">
      <c r="B82" s="48" t="s">
        <v>16</v>
      </c>
      <c r="C82" s="46"/>
      <c r="D82" s="46"/>
      <c r="E82" s="47"/>
    </row>
    <row r="83" spans="2:5" x14ac:dyDescent="0.2">
      <c r="B83" s="49"/>
      <c r="C83" s="86"/>
      <c r="D83" s="86"/>
      <c r="E83" s="86"/>
    </row>
    <row r="84" spans="2:5" x14ac:dyDescent="0.2">
      <c r="B84" s="48" t="s">
        <v>17</v>
      </c>
      <c r="C84" s="50"/>
      <c r="D84" s="50"/>
      <c r="E84" s="51"/>
    </row>
    <row r="85" spans="2:5" x14ac:dyDescent="0.2">
      <c r="B85" s="49"/>
      <c r="C85" s="87" t="s">
        <v>70</v>
      </c>
      <c r="D85" s="87"/>
      <c r="E85" s="87"/>
    </row>
    <row r="86" spans="2:5" x14ac:dyDescent="0.2">
      <c r="B86" s="48" t="s">
        <v>18</v>
      </c>
      <c r="C86" s="46"/>
      <c r="D86" s="46"/>
      <c r="E86" s="47"/>
    </row>
    <row r="87" spans="2:5" x14ac:dyDescent="0.2">
      <c r="B87" s="48"/>
      <c r="C87" s="82"/>
      <c r="D87" s="82"/>
      <c r="E87" s="82"/>
    </row>
    <row r="88" spans="2:5" ht="13.5" thickBot="1" x14ac:dyDescent="0.25">
      <c r="B88" s="52"/>
      <c r="C88" s="53"/>
      <c r="D88" s="53"/>
      <c r="E88" s="54"/>
    </row>
    <row r="90" spans="2:5" ht="13.5" thickBot="1" x14ac:dyDescent="0.25"/>
    <row r="91" spans="2:5" x14ac:dyDescent="0.2">
      <c r="B91" s="42" t="s">
        <v>119</v>
      </c>
      <c r="C91" s="43"/>
      <c r="D91" s="43"/>
      <c r="E91" s="44"/>
    </row>
    <row r="92" spans="2:5" x14ac:dyDescent="0.2">
      <c r="B92" s="45"/>
      <c r="C92" s="46"/>
      <c r="D92" s="46"/>
      <c r="E92" s="47"/>
    </row>
    <row r="93" spans="2:5" x14ac:dyDescent="0.2">
      <c r="B93" s="48" t="s">
        <v>14</v>
      </c>
      <c r="C93" s="46"/>
      <c r="D93" s="46"/>
      <c r="E93" s="47"/>
    </row>
    <row r="94" spans="2:5" x14ac:dyDescent="0.2">
      <c r="B94" s="48"/>
      <c r="C94" s="83" t="s">
        <v>120</v>
      </c>
      <c r="D94" s="83"/>
      <c r="E94" s="83"/>
    </row>
    <row r="95" spans="2:5" x14ac:dyDescent="0.2">
      <c r="B95" s="48" t="s">
        <v>15</v>
      </c>
      <c r="C95" s="46"/>
      <c r="D95" s="46"/>
      <c r="E95" s="47"/>
    </row>
    <row r="96" spans="2:5" x14ac:dyDescent="0.2">
      <c r="B96" s="49"/>
      <c r="C96" s="84" t="s">
        <v>69</v>
      </c>
      <c r="D96" s="84"/>
      <c r="E96" s="84"/>
    </row>
    <row r="97" spans="2:5" x14ac:dyDescent="0.2">
      <c r="B97" s="49"/>
      <c r="C97" s="82"/>
      <c r="D97" s="82"/>
      <c r="E97" s="82"/>
    </row>
    <row r="98" spans="2:5" x14ac:dyDescent="0.2">
      <c r="B98" s="48" t="s">
        <v>16</v>
      </c>
      <c r="C98" s="46"/>
      <c r="D98" s="46"/>
      <c r="E98" s="47"/>
    </row>
    <row r="99" spans="2:5" x14ac:dyDescent="0.2">
      <c r="B99" s="49"/>
      <c r="C99" s="86"/>
      <c r="D99" s="86"/>
      <c r="E99" s="86"/>
    </row>
    <row r="100" spans="2:5" x14ac:dyDescent="0.2">
      <c r="B100" s="48" t="s">
        <v>17</v>
      </c>
      <c r="C100" s="50"/>
      <c r="D100" s="50"/>
      <c r="E100" s="51"/>
    </row>
    <row r="101" spans="2:5" x14ac:dyDescent="0.2">
      <c r="B101" s="49"/>
      <c r="C101" s="87" t="s">
        <v>70</v>
      </c>
      <c r="D101" s="87"/>
      <c r="E101" s="87"/>
    </row>
    <row r="102" spans="2:5" x14ac:dyDescent="0.2">
      <c r="B102" s="48" t="s">
        <v>18</v>
      </c>
      <c r="C102" s="46"/>
      <c r="D102" s="46"/>
      <c r="E102" s="47"/>
    </row>
    <row r="103" spans="2:5" x14ac:dyDescent="0.2">
      <c r="B103" s="48"/>
      <c r="C103" s="82"/>
      <c r="D103" s="82"/>
      <c r="E103" s="82"/>
    </row>
    <row r="104" spans="2:5" ht="13.5" thickBot="1" x14ac:dyDescent="0.25">
      <c r="B104" s="52"/>
      <c r="C104" s="53"/>
      <c r="D104" s="53"/>
      <c r="E104" s="54"/>
    </row>
    <row r="108" spans="2:5" ht="13.5" thickBot="1" x14ac:dyDescent="0.25"/>
    <row r="109" spans="2:5" x14ac:dyDescent="0.2">
      <c r="B109" s="42" t="s">
        <v>90</v>
      </c>
      <c r="C109" s="43"/>
      <c r="D109" s="43"/>
      <c r="E109" s="44"/>
    </row>
    <row r="110" spans="2:5" x14ac:dyDescent="0.2">
      <c r="B110" s="45"/>
      <c r="C110" s="46"/>
      <c r="D110" s="46"/>
      <c r="E110" s="47"/>
    </row>
    <row r="111" spans="2:5" x14ac:dyDescent="0.2">
      <c r="B111" s="48" t="s">
        <v>14</v>
      </c>
      <c r="C111" s="46"/>
      <c r="D111" s="46"/>
      <c r="E111" s="47"/>
    </row>
    <row r="112" spans="2:5" x14ac:dyDescent="0.2">
      <c r="B112" s="48"/>
      <c r="C112" s="83" t="s">
        <v>91</v>
      </c>
      <c r="D112" s="83"/>
      <c r="E112" s="83"/>
    </row>
    <row r="113" spans="2:5" x14ac:dyDescent="0.2">
      <c r="B113" s="48" t="s">
        <v>15</v>
      </c>
      <c r="C113" s="46"/>
      <c r="D113" s="46"/>
      <c r="E113" s="47"/>
    </row>
    <row r="114" spans="2:5" x14ac:dyDescent="0.2">
      <c r="B114" s="49"/>
      <c r="C114" s="84" t="s">
        <v>69</v>
      </c>
      <c r="D114" s="84"/>
      <c r="E114" s="84"/>
    </row>
    <row r="115" spans="2:5" x14ac:dyDescent="0.2">
      <c r="B115" s="49"/>
      <c r="C115" s="82"/>
      <c r="D115" s="82"/>
      <c r="E115" s="82"/>
    </row>
    <row r="116" spans="2:5" x14ac:dyDescent="0.2">
      <c r="B116" s="48" t="s">
        <v>16</v>
      </c>
      <c r="C116" s="46"/>
      <c r="D116" s="46"/>
      <c r="E116" s="47"/>
    </row>
    <row r="117" spans="2:5" x14ac:dyDescent="0.2">
      <c r="B117" s="49"/>
      <c r="C117" s="86"/>
      <c r="D117" s="86"/>
      <c r="E117" s="86"/>
    </row>
    <row r="118" spans="2:5" x14ac:dyDescent="0.2">
      <c r="B118" s="48" t="s">
        <v>17</v>
      </c>
      <c r="C118" s="50"/>
      <c r="D118" s="50"/>
      <c r="E118" s="51"/>
    </row>
    <row r="119" spans="2:5" x14ac:dyDescent="0.2">
      <c r="B119" s="49"/>
      <c r="C119" s="87" t="s">
        <v>70</v>
      </c>
      <c r="D119" s="87"/>
      <c r="E119" s="87"/>
    </row>
    <row r="120" spans="2:5" x14ac:dyDescent="0.2">
      <c r="B120" s="48" t="s">
        <v>18</v>
      </c>
      <c r="C120" s="46"/>
      <c r="D120" s="46"/>
      <c r="E120" s="47"/>
    </row>
    <row r="121" spans="2:5" x14ac:dyDescent="0.2">
      <c r="B121" s="48"/>
      <c r="C121" s="82"/>
      <c r="D121" s="82"/>
      <c r="E121" s="82"/>
    </row>
    <row r="122" spans="2:5" ht="13.5" thickBot="1" x14ac:dyDescent="0.25">
      <c r="B122" s="52"/>
      <c r="C122" s="53"/>
      <c r="D122" s="53"/>
      <c r="E122" s="54"/>
    </row>
    <row r="123" spans="2:5" ht="13.5" thickBot="1" x14ac:dyDescent="0.25"/>
    <row r="124" spans="2:5" x14ac:dyDescent="0.2">
      <c r="B124" s="42" t="s">
        <v>94</v>
      </c>
      <c r="C124" s="43"/>
      <c r="D124" s="43"/>
      <c r="E124" s="44"/>
    </row>
    <row r="125" spans="2:5" x14ac:dyDescent="0.2">
      <c r="B125" s="45"/>
      <c r="C125" s="46"/>
      <c r="D125" s="46"/>
      <c r="E125" s="47"/>
    </row>
    <row r="126" spans="2:5" x14ac:dyDescent="0.2">
      <c r="B126" s="48" t="s">
        <v>14</v>
      </c>
      <c r="C126" s="46"/>
      <c r="D126" s="46"/>
      <c r="E126" s="47"/>
    </row>
    <row r="127" spans="2:5" x14ac:dyDescent="0.2">
      <c r="B127" s="48"/>
      <c r="C127" s="83" t="s">
        <v>95</v>
      </c>
      <c r="D127" s="83"/>
      <c r="E127" s="83"/>
    </row>
    <row r="128" spans="2:5" x14ac:dyDescent="0.2">
      <c r="B128" s="48" t="s">
        <v>15</v>
      </c>
      <c r="C128" s="46"/>
      <c r="D128" s="46"/>
      <c r="E128" s="47"/>
    </row>
    <row r="129" spans="2:5" x14ac:dyDescent="0.2">
      <c r="B129" s="49"/>
      <c r="C129" s="84" t="s">
        <v>69</v>
      </c>
      <c r="D129" s="84"/>
      <c r="E129" s="84"/>
    </row>
    <row r="130" spans="2:5" x14ac:dyDescent="0.2">
      <c r="B130" s="49"/>
      <c r="C130" s="82"/>
      <c r="D130" s="82"/>
      <c r="E130" s="82"/>
    </row>
    <row r="131" spans="2:5" x14ac:dyDescent="0.2">
      <c r="B131" s="48" t="s">
        <v>16</v>
      </c>
      <c r="C131" s="46"/>
      <c r="D131" s="46"/>
      <c r="E131" s="47"/>
    </row>
    <row r="132" spans="2:5" x14ac:dyDescent="0.2">
      <c r="B132" s="49"/>
      <c r="C132" s="86"/>
      <c r="D132" s="86"/>
      <c r="E132" s="86"/>
    </row>
    <row r="133" spans="2:5" x14ac:dyDescent="0.2">
      <c r="B133" s="48" t="s">
        <v>17</v>
      </c>
      <c r="C133" s="50"/>
      <c r="D133" s="50"/>
      <c r="E133" s="51"/>
    </row>
    <row r="134" spans="2:5" x14ac:dyDescent="0.2">
      <c r="B134" s="49"/>
      <c r="C134" s="87" t="s">
        <v>70</v>
      </c>
      <c r="D134" s="87"/>
      <c r="E134" s="87"/>
    </row>
    <row r="135" spans="2:5" x14ac:dyDescent="0.2">
      <c r="B135" s="48" t="s">
        <v>18</v>
      </c>
      <c r="C135" s="46"/>
      <c r="D135" s="46"/>
      <c r="E135" s="47"/>
    </row>
    <row r="136" spans="2:5" x14ac:dyDescent="0.2">
      <c r="B136" s="48"/>
      <c r="C136" s="82"/>
      <c r="D136" s="82"/>
      <c r="E136" s="82"/>
    </row>
    <row r="137" spans="2:5" ht="13.5" thickBot="1" x14ac:dyDescent="0.25">
      <c r="B137" s="52"/>
      <c r="C137" s="53"/>
      <c r="D137" s="53"/>
      <c r="E137" s="54"/>
    </row>
    <row r="138" spans="2:5" ht="13.5" thickBot="1" x14ac:dyDescent="0.25"/>
    <row r="139" spans="2:5" x14ac:dyDescent="0.2">
      <c r="B139" s="42" t="s">
        <v>98</v>
      </c>
      <c r="C139" s="43"/>
      <c r="D139" s="43"/>
      <c r="E139" s="44"/>
    </row>
    <row r="140" spans="2:5" x14ac:dyDescent="0.2">
      <c r="B140" s="45"/>
      <c r="C140" s="46"/>
      <c r="D140" s="46"/>
      <c r="E140" s="47"/>
    </row>
    <row r="141" spans="2:5" x14ac:dyDescent="0.2">
      <c r="B141" s="48" t="s">
        <v>14</v>
      </c>
      <c r="C141" s="46"/>
      <c r="D141" s="46"/>
      <c r="E141" s="47"/>
    </row>
    <row r="142" spans="2:5" x14ac:dyDescent="0.2">
      <c r="B142" s="48"/>
      <c r="C142" s="83" t="s">
        <v>99</v>
      </c>
      <c r="D142" s="83"/>
      <c r="E142" s="83"/>
    </row>
    <row r="143" spans="2:5" x14ac:dyDescent="0.2">
      <c r="B143" s="48" t="s">
        <v>15</v>
      </c>
      <c r="C143" s="46"/>
      <c r="D143" s="46"/>
      <c r="E143" s="47"/>
    </row>
    <row r="144" spans="2:5" x14ac:dyDescent="0.2">
      <c r="B144" s="49"/>
      <c r="C144" s="84" t="s">
        <v>69</v>
      </c>
      <c r="D144" s="84"/>
      <c r="E144" s="84"/>
    </row>
    <row r="145" spans="2:5" x14ac:dyDescent="0.2">
      <c r="B145" s="49"/>
      <c r="C145" s="82"/>
      <c r="D145" s="82"/>
      <c r="E145" s="82"/>
    </row>
    <row r="146" spans="2:5" x14ac:dyDescent="0.2">
      <c r="B146" s="48" t="s">
        <v>16</v>
      </c>
      <c r="C146" s="46"/>
      <c r="D146" s="46"/>
      <c r="E146" s="47"/>
    </row>
    <row r="147" spans="2:5" x14ac:dyDescent="0.2">
      <c r="B147" s="49"/>
      <c r="C147" s="86"/>
      <c r="D147" s="86"/>
      <c r="E147" s="86"/>
    </row>
    <row r="148" spans="2:5" x14ac:dyDescent="0.2">
      <c r="B148" s="48" t="s">
        <v>17</v>
      </c>
      <c r="C148" s="50"/>
      <c r="D148" s="50"/>
      <c r="E148" s="51"/>
    </row>
    <row r="149" spans="2:5" x14ac:dyDescent="0.2">
      <c r="B149" s="49"/>
      <c r="C149" s="87" t="s">
        <v>70</v>
      </c>
      <c r="D149" s="87"/>
      <c r="E149" s="87"/>
    </row>
    <row r="150" spans="2:5" x14ac:dyDescent="0.2">
      <c r="B150" s="48" t="s">
        <v>18</v>
      </c>
      <c r="C150" s="46"/>
      <c r="D150" s="46"/>
      <c r="E150" s="47"/>
    </row>
    <row r="151" spans="2:5" x14ac:dyDescent="0.2">
      <c r="B151" s="48"/>
      <c r="C151" s="82"/>
      <c r="D151" s="82"/>
      <c r="E151" s="82"/>
    </row>
    <row r="152" spans="2:5" ht="13.5" thickBot="1" x14ac:dyDescent="0.25">
      <c r="B152" s="52"/>
      <c r="C152" s="53"/>
      <c r="D152" s="53"/>
      <c r="E152" s="54"/>
    </row>
    <row r="153" spans="2:5" ht="13.5" thickBot="1" x14ac:dyDescent="0.25"/>
    <row r="154" spans="2:5" x14ac:dyDescent="0.2">
      <c r="B154" s="42" t="s">
        <v>100</v>
      </c>
      <c r="C154" s="43"/>
      <c r="D154" s="43"/>
      <c r="E154" s="44"/>
    </row>
    <row r="155" spans="2:5" x14ac:dyDescent="0.2">
      <c r="B155" s="45"/>
      <c r="C155" s="46"/>
      <c r="D155" s="46"/>
      <c r="E155" s="47"/>
    </row>
    <row r="156" spans="2:5" x14ac:dyDescent="0.2">
      <c r="B156" s="48" t="s">
        <v>14</v>
      </c>
      <c r="C156" s="46"/>
      <c r="D156" s="46"/>
      <c r="E156" s="47"/>
    </row>
    <row r="157" spans="2:5" x14ac:dyDescent="0.2">
      <c r="B157" s="48"/>
      <c r="C157" s="83" t="s">
        <v>101</v>
      </c>
      <c r="D157" s="83"/>
      <c r="E157" s="83"/>
    </row>
    <row r="158" spans="2:5" x14ac:dyDescent="0.2">
      <c r="B158" s="48" t="s">
        <v>15</v>
      </c>
      <c r="C158" s="46"/>
      <c r="D158" s="46"/>
      <c r="E158" s="47"/>
    </row>
    <row r="159" spans="2:5" x14ac:dyDescent="0.2">
      <c r="B159" s="49"/>
      <c r="C159" s="84" t="s">
        <v>69</v>
      </c>
      <c r="D159" s="84"/>
      <c r="E159" s="84"/>
    </row>
    <row r="160" spans="2:5" x14ac:dyDescent="0.2">
      <c r="B160" s="49"/>
      <c r="C160" s="82"/>
      <c r="D160" s="82"/>
      <c r="E160" s="82"/>
    </row>
    <row r="161" spans="2:5" x14ac:dyDescent="0.2">
      <c r="B161" s="48" t="s">
        <v>16</v>
      </c>
      <c r="C161" s="46"/>
      <c r="D161" s="46"/>
      <c r="E161" s="47"/>
    </row>
    <row r="162" spans="2:5" x14ac:dyDescent="0.2">
      <c r="B162" s="49"/>
      <c r="C162" s="86"/>
      <c r="D162" s="86"/>
      <c r="E162" s="86"/>
    </row>
    <row r="163" spans="2:5" x14ac:dyDescent="0.2">
      <c r="B163" s="48" t="s">
        <v>17</v>
      </c>
      <c r="C163" s="50"/>
      <c r="D163" s="50"/>
      <c r="E163" s="51"/>
    </row>
    <row r="164" spans="2:5" x14ac:dyDescent="0.2">
      <c r="B164" s="49"/>
      <c r="C164" s="87" t="s">
        <v>70</v>
      </c>
      <c r="D164" s="87"/>
      <c r="E164" s="87"/>
    </row>
    <row r="165" spans="2:5" x14ac:dyDescent="0.2">
      <c r="B165" s="48" t="s">
        <v>18</v>
      </c>
      <c r="C165" s="46"/>
      <c r="D165" s="46"/>
      <c r="E165" s="47"/>
    </row>
    <row r="166" spans="2:5" x14ac:dyDescent="0.2">
      <c r="B166" s="48"/>
      <c r="C166" s="82"/>
      <c r="D166" s="82"/>
      <c r="E166" s="82"/>
    </row>
    <row r="167" spans="2:5" ht="13.5" thickBot="1" x14ac:dyDescent="0.25">
      <c r="B167" s="52"/>
      <c r="C167" s="53"/>
      <c r="D167" s="53"/>
      <c r="E167" s="54"/>
    </row>
    <row r="169" spans="2:5" ht="13.5" thickBot="1" x14ac:dyDescent="0.25"/>
    <row r="170" spans="2:5" x14ac:dyDescent="0.2">
      <c r="B170" s="42" t="s">
        <v>75</v>
      </c>
      <c r="C170" s="43"/>
      <c r="D170" s="43"/>
      <c r="E170" s="44"/>
    </row>
    <row r="171" spans="2:5" x14ac:dyDescent="0.2">
      <c r="B171" s="45"/>
      <c r="C171" s="46"/>
      <c r="D171" s="46"/>
      <c r="E171" s="47"/>
    </row>
    <row r="172" spans="2:5" x14ac:dyDescent="0.2">
      <c r="B172" s="48" t="s">
        <v>14</v>
      </c>
      <c r="C172" s="46"/>
      <c r="D172" s="46"/>
      <c r="E172" s="47"/>
    </row>
    <row r="173" spans="2:5" x14ac:dyDescent="0.2">
      <c r="B173" s="48"/>
      <c r="C173" s="83" t="s">
        <v>79</v>
      </c>
      <c r="D173" s="83"/>
      <c r="E173" s="83"/>
    </row>
    <row r="174" spans="2:5" x14ac:dyDescent="0.2">
      <c r="B174" s="48" t="s">
        <v>15</v>
      </c>
      <c r="C174" s="46"/>
      <c r="D174" s="46"/>
      <c r="E174" s="47"/>
    </row>
    <row r="175" spans="2:5" x14ac:dyDescent="0.2">
      <c r="B175" s="49"/>
      <c r="C175" s="84" t="s">
        <v>69</v>
      </c>
      <c r="D175" s="84"/>
      <c r="E175" s="84"/>
    </row>
    <row r="176" spans="2:5" x14ac:dyDescent="0.2">
      <c r="B176" s="49"/>
      <c r="C176" s="85"/>
      <c r="D176" s="85"/>
      <c r="E176" s="85"/>
    </row>
    <row r="177" spans="2:5" x14ac:dyDescent="0.2">
      <c r="B177" s="48" t="s">
        <v>16</v>
      </c>
      <c r="C177" s="46"/>
      <c r="D177" s="46"/>
      <c r="E177" s="47"/>
    </row>
    <row r="178" spans="2:5" x14ac:dyDescent="0.2">
      <c r="B178" s="49"/>
      <c r="C178" s="86"/>
      <c r="D178" s="86"/>
      <c r="E178" s="86"/>
    </row>
    <row r="179" spans="2:5" x14ac:dyDescent="0.2">
      <c r="B179" s="48" t="s">
        <v>17</v>
      </c>
      <c r="C179" s="50"/>
      <c r="D179" s="50"/>
      <c r="E179" s="51"/>
    </row>
    <row r="180" spans="2:5" x14ac:dyDescent="0.2">
      <c r="B180" s="49"/>
      <c r="C180" s="87" t="s">
        <v>70</v>
      </c>
      <c r="D180" s="87"/>
      <c r="E180" s="87"/>
    </row>
    <row r="181" spans="2:5" x14ac:dyDescent="0.2">
      <c r="B181" s="48" t="s">
        <v>18</v>
      </c>
      <c r="C181" s="46"/>
      <c r="D181" s="46"/>
      <c r="E181" s="47"/>
    </row>
    <row r="182" spans="2:5" x14ac:dyDescent="0.2">
      <c r="B182" s="48"/>
      <c r="C182" s="82"/>
      <c r="D182" s="82"/>
      <c r="E182" s="82"/>
    </row>
    <row r="183" spans="2:5" ht="13.5" thickBot="1" x14ac:dyDescent="0.25">
      <c r="B183" s="52"/>
      <c r="C183" s="53"/>
      <c r="D183" s="53"/>
      <c r="E183" s="54"/>
    </row>
  </sheetData>
  <mergeCells count="67">
    <mergeCell ref="C49:E49"/>
    <mergeCell ref="C51:E51"/>
    <mergeCell ref="C53:E53"/>
    <mergeCell ref="C55:E55"/>
    <mergeCell ref="C36:E36"/>
    <mergeCell ref="C38:E38"/>
    <mergeCell ref="C40:E40"/>
    <mergeCell ref="C46:E46"/>
    <mergeCell ref="C48:E48"/>
    <mergeCell ref="A6:B6"/>
    <mergeCell ref="A7:B7"/>
    <mergeCell ref="C31:E31"/>
    <mergeCell ref="C33:E33"/>
    <mergeCell ref="C34:E34"/>
    <mergeCell ref="B2:H2"/>
    <mergeCell ref="A4:B4"/>
    <mergeCell ref="C4:E4"/>
    <mergeCell ref="A5:B5"/>
    <mergeCell ref="C5:E5"/>
    <mergeCell ref="C61:E61"/>
    <mergeCell ref="C63:E63"/>
    <mergeCell ref="C64:E64"/>
    <mergeCell ref="C66:E66"/>
    <mergeCell ref="C68:E68"/>
    <mergeCell ref="C78:E78"/>
    <mergeCell ref="C80:E80"/>
    <mergeCell ref="C81:E81"/>
    <mergeCell ref="C83:E83"/>
    <mergeCell ref="C70:E70"/>
    <mergeCell ref="C85:E85"/>
    <mergeCell ref="C87:E87"/>
    <mergeCell ref="C94:E94"/>
    <mergeCell ref="C96:E96"/>
    <mergeCell ref="C97:E97"/>
    <mergeCell ref="C112:E112"/>
    <mergeCell ref="C114:E114"/>
    <mergeCell ref="C115:E115"/>
    <mergeCell ref="C117:E117"/>
    <mergeCell ref="C99:E99"/>
    <mergeCell ref="C101:E101"/>
    <mergeCell ref="C103:E103"/>
    <mergeCell ref="C119:E119"/>
    <mergeCell ref="C121:E121"/>
    <mergeCell ref="C127:E127"/>
    <mergeCell ref="C129:E129"/>
    <mergeCell ref="C130:E130"/>
    <mergeCell ref="C132:E132"/>
    <mergeCell ref="C134:E134"/>
    <mergeCell ref="C136:E136"/>
    <mergeCell ref="C142:E142"/>
    <mergeCell ref="C144:E144"/>
    <mergeCell ref="C145:E145"/>
    <mergeCell ref="C147:E147"/>
    <mergeCell ref="C149:E149"/>
    <mergeCell ref="C151:E151"/>
    <mergeCell ref="C157:E157"/>
    <mergeCell ref="C159:E159"/>
    <mergeCell ref="C160:E160"/>
    <mergeCell ref="C162:E162"/>
    <mergeCell ref="C164:E164"/>
    <mergeCell ref="C166:E166"/>
    <mergeCell ref="C182:E182"/>
    <mergeCell ref="C173:E173"/>
    <mergeCell ref="C175:E175"/>
    <mergeCell ref="C176:E176"/>
    <mergeCell ref="C178:E178"/>
    <mergeCell ref="C180:E18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8"/>
  <sheetViews>
    <sheetView topLeftCell="A16" zoomScale="70" zoomScaleNormal="70" workbookViewId="0">
      <selection activeCell="D30" sqref="D3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4" t="s">
        <v>20</v>
      </c>
      <c r="B1" s="94"/>
      <c r="C1" s="94"/>
      <c r="D1" s="94"/>
      <c r="E1" s="94"/>
      <c r="F1" s="94"/>
      <c r="G1" s="94"/>
      <c r="H1" s="94"/>
      <c r="I1" s="94"/>
      <c r="J1" s="3" t="s">
        <v>21</v>
      </c>
      <c r="K1" s="62" t="s">
        <v>129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5" t="s">
        <v>54</v>
      </c>
      <c r="B3" s="95"/>
      <c r="C3" s="95"/>
      <c r="D3" s="96" t="str">
        <f>'Necesidades Trimestrales'!C4</f>
        <v>40 - Ministerio de Salud</v>
      </c>
      <c r="E3" s="96"/>
      <c r="F3" s="96"/>
      <c r="G3" s="96"/>
      <c r="H3" s="96"/>
      <c r="I3" s="96"/>
      <c r="J3" s="96"/>
      <c r="K3" s="96"/>
    </row>
    <row r="4" spans="1:11" ht="18.75" customHeight="1" thickBot="1" x14ac:dyDescent="0.25">
      <c r="A4" s="97" t="s">
        <v>55</v>
      </c>
      <c r="B4" s="97"/>
      <c r="C4" s="97"/>
      <c r="D4" s="96" t="str">
        <f>'Necesidades Trimestrales'!C5</f>
        <v>23 - Hospital Interzonal San Juan Bautista</v>
      </c>
      <c r="E4" s="96"/>
      <c r="F4" s="96"/>
      <c r="G4" s="96"/>
      <c r="H4" s="96"/>
      <c r="I4" s="96"/>
      <c r="J4" s="96"/>
      <c r="K4" s="96"/>
    </row>
    <row r="5" spans="1:11" ht="18.75" customHeight="1" thickBot="1" x14ac:dyDescent="0.25">
      <c r="A5" s="97" t="s">
        <v>33</v>
      </c>
      <c r="B5" s="97"/>
      <c r="C5" s="97"/>
      <c r="D5" s="96" t="s">
        <v>60</v>
      </c>
      <c r="E5" s="96"/>
      <c r="F5" s="96"/>
      <c r="G5" s="96"/>
      <c r="H5" s="96"/>
      <c r="I5" s="96"/>
      <c r="J5" s="96"/>
      <c r="K5" s="96"/>
    </row>
    <row r="6" spans="1:11" ht="16.5" customHeight="1" thickBot="1" x14ac:dyDescent="0.25">
      <c r="A6" s="95" t="s">
        <v>56</v>
      </c>
      <c r="B6" s="95"/>
      <c r="C6" s="95"/>
      <c r="D6" s="96" t="s">
        <v>72</v>
      </c>
      <c r="E6" s="96"/>
      <c r="F6" s="96"/>
      <c r="G6" s="96"/>
      <c r="H6" s="96"/>
      <c r="I6" s="96"/>
      <c r="J6" s="96"/>
      <c r="K6" s="96"/>
    </row>
    <row r="7" spans="1:11" ht="16.5" customHeight="1" x14ac:dyDescent="0.2">
      <c r="A7" s="97" t="s">
        <v>22</v>
      </c>
      <c r="B7" s="97"/>
      <c r="C7" s="97"/>
      <c r="D7" s="96" t="str">
        <f>'Necesidades Trimestrales'!C7 &amp; "° Trimestre - Año " &amp; 'Necesidades Trimestrales'!C6</f>
        <v>4° Trimestre - Año 2020</v>
      </c>
      <c r="E7" s="96"/>
      <c r="F7" s="96"/>
      <c r="G7" s="96"/>
      <c r="H7" s="96"/>
      <c r="I7" s="96"/>
      <c r="J7" s="96"/>
      <c r="K7" s="96"/>
    </row>
    <row r="8" spans="1:11" ht="16.5" customHeight="1" x14ac:dyDescent="0.2">
      <c r="A8" s="98" t="s">
        <v>23</v>
      </c>
      <c r="B8" s="98"/>
      <c r="C8" s="98"/>
      <c r="D8" s="99" t="s">
        <v>73</v>
      </c>
      <c r="E8" s="99"/>
      <c r="F8" s="99"/>
      <c r="G8" s="99"/>
      <c r="H8" s="99"/>
      <c r="I8" s="99"/>
      <c r="J8" s="99"/>
      <c r="K8" s="99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0" t="s">
        <v>24</v>
      </c>
      <c r="B10" s="91" t="s">
        <v>25</v>
      </c>
      <c r="C10" s="91" t="s">
        <v>26</v>
      </c>
      <c r="D10" s="91"/>
      <c r="E10" s="91"/>
      <c r="F10" s="91"/>
      <c r="G10" s="91"/>
      <c r="H10" s="91" t="s">
        <v>27</v>
      </c>
      <c r="I10" s="91" t="s">
        <v>28</v>
      </c>
      <c r="J10" s="91" t="s">
        <v>29</v>
      </c>
      <c r="K10" s="92" t="s">
        <v>30</v>
      </c>
    </row>
    <row r="11" spans="1:11" ht="24" customHeight="1" thickBot="1" x14ac:dyDescent="0.25">
      <c r="A11" s="100"/>
      <c r="B11" s="91"/>
      <c r="C11" s="91"/>
      <c r="D11" s="91"/>
      <c r="E11" s="91"/>
      <c r="F11" s="91"/>
      <c r="G11" s="91"/>
      <c r="H11" s="91"/>
      <c r="I11" s="91"/>
      <c r="J11" s="91"/>
      <c r="K11" s="92"/>
    </row>
    <row r="12" spans="1:11" ht="32.25" customHeight="1" thickBot="1" x14ac:dyDescent="0.25">
      <c r="A12" s="8">
        <v>1</v>
      </c>
      <c r="B12" s="63" t="str">
        <f>'Necesidades Trimestrales'!B10</f>
        <v>2.5.1-9052.834</v>
      </c>
      <c r="C12" s="93" t="str">
        <f>'Necesidades Trimestrales'!E10</f>
        <v>REACTIVOS P/LAB. TEC. MANUAL ; NOMBRE: TARJETA DE GEL LISS COOMBS, USO: IDENT ANTIGENOS ERITROCITARIOS, PRESENTACION: ENVASE X 48 UN</v>
      </c>
      <c r="D12" s="93"/>
      <c r="E12" s="93"/>
      <c r="F12" s="93"/>
      <c r="G12" s="93"/>
      <c r="H12" s="64" t="s">
        <v>57</v>
      </c>
      <c r="I12" s="65" t="str">
        <f>'Necesidades Trimestrales'!F10</f>
        <v>CAJA</v>
      </c>
      <c r="J12" s="66">
        <f>'Necesidades Trimestrales'!H10</f>
        <v>14000</v>
      </c>
      <c r="K12" s="67">
        <f>'Necesidades Trimestrales'!G10</f>
        <v>6</v>
      </c>
    </row>
    <row r="13" spans="1:11" ht="27" customHeight="1" thickBot="1" x14ac:dyDescent="0.25">
      <c r="A13" s="8">
        <v>2</v>
      </c>
      <c r="B13" s="63" t="str">
        <f>'Necesidades Trimestrales'!B11</f>
        <v>2.5.1-9052.247</v>
      </c>
      <c r="C13" s="93" t="str">
        <f>'Necesidades Trimestrales'!E11</f>
        <v>REACTIVOS P/LAB. TEC. MANUAL ; NOMBRE: SUERO HEMOTIPIFICADOR ANTI-AB, USO: HEMOTERAPIA, PRESENTACION: ENVASE X 10 mL</v>
      </c>
      <c r="D13" s="93"/>
      <c r="E13" s="93"/>
      <c r="F13" s="93"/>
      <c r="G13" s="93"/>
      <c r="H13" s="64" t="s">
        <v>57</v>
      </c>
      <c r="I13" s="65" t="str">
        <f>'Necesidades Trimestrales'!F11</f>
        <v>FRASCO</v>
      </c>
      <c r="J13" s="66">
        <f>'Necesidades Trimestrales'!H11</f>
        <v>1800</v>
      </c>
      <c r="K13" s="67">
        <f>'Necesidades Trimestrales'!G11</f>
        <v>6</v>
      </c>
    </row>
    <row r="14" spans="1:11" ht="37.5" customHeight="1" thickBot="1" x14ac:dyDescent="0.25">
      <c r="A14" s="8">
        <v>3</v>
      </c>
      <c r="B14" s="63" t="str">
        <f>'Necesidades Trimestrales'!B12</f>
        <v>2.9.5-6634.4</v>
      </c>
      <c r="C14" s="93" t="str">
        <f>'Necesidades Trimestrales'!E12</f>
        <v>DILUYENTES P/LABORATORIOS; TIPO : LISS MODIFICADO, USO: LABORATORIO, PRESENTACION: FRASCO X 500 mL, TIPO: LISS MODIFICADO</v>
      </c>
      <c r="D14" s="93"/>
      <c r="E14" s="93"/>
      <c r="F14" s="93"/>
      <c r="G14" s="93"/>
      <c r="H14" s="64" t="s">
        <v>57</v>
      </c>
      <c r="I14" s="65" t="str">
        <f>'Necesidades Trimestrales'!F12</f>
        <v>FRASCO</v>
      </c>
      <c r="J14" s="66">
        <f>'Necesidades Trimestrales'!H12</f>
        <v>3500</v>
      </c>
      <c r="K14" s="67">
        <f>'Necesidades Trimestrales'!G12</f>
        <v>6</v>
      </c>
    </row>
    <row r="15" spans="1:11" ht="20.25" customHeight="1" thickBot="1" x14ac:dyDescent="0.25">
      <c r="A15" s="8">
        <v>4</v>
      </c>
      <c r="B15" s="63" t="str">
        <f>'Necesidades Trimestrales'!B13</f>
        <v>2.9.5-6496.6</v>
      </c>
      <c r="C15" s="93" t="str">
        <f>'Necesidades Trimestrales'!E13</f>
        <v>PUNTAS DE PIPETA; MATERIAL: POLIPROPILENO, USO: TOMA MUESTRAS Y REACTIVOS</v>
      </c>
      <c r="D15" s="93"/>
      <c r="E15" s="93"/>
      <c r="F15" s="93"/>
      <c r="G15" s="93"/>
      <c r="H15" s="64" t="s">
        <v>57</v>
      </c>
      <c r="I15" s="65" t="str">
        <f>'Necesidades Trimestrales'!F13</f>
        <v>BOLSA</v>
      </c>
      <c r="J15" s="66">
        <f>'Necesidades Trimestrales'!H13</f>
        <v>2500</v>
      </c>
      <c r="K15" s="67">
        <f>'Necesidades Trimestrales'!G13</f>
        <v>6</v>
      </c>
    </row>
    <row r="16" spans="1:11" ht="30" customHeight="1" thickBot="1" x14ac:dyDescent="0.25">
      <c r="A16" s="8">
        <v>5</v>
      </c>
      <c r="B16" s="63" t="str">
        <f>'Necesidades Trimestrales'!B14</f>
        <v>2.5.1-9052.240</v>
      </c>
      <c r="C16" s="93" t="str">
        <f>'Necesidades Trimestrales'!E14</f>
        <v>REACTIVOS P/LAB. TEC. MANUAL ; NOMBRE: SUERO HEMOTIPIFICADOR ANTI-A1, USO: HEMOTERAPIA, PRESENTACION: ENVASE X 10 mL</v>
      </c>
      <c r="D16" s="93"/>
      <c r="E16" s="93"/>
      <c r="F16" s="93"/>
      <c r="G16" s="93"/>
      <c r="H16" s="64" t="s">
        <v>57</v>
      </c>
      <c r="I16" s="65" t="str">
        <f>'Necesidades Trimestrales'!F14</f>
        <v>FRASCO</v>
      </c>
      <c r="J16" s="66">
        <f>'Necesidades Trimestrales'!H14</f>
        <v>1800</v>
      </c>
      <c r="K16" s="67">
        <f>'Necesidades Trimestrales'!G14</f>
        <v>30</v>
      </c>
    </row>
    <row r="17" spans="1:1024" ht="38.25" customHeight="1" thickBot="1" x14ac:dyDescent="0.25">
      <c r="A17" s="8">
        <v>6</v>
      </c>
      <c r="B17" s="63" t="str">
        <f>'Necesidades Trimestrales'!B15</f>
        <v>2.5.1-9052.241</v>
      </c>
      <c r="C17" s="93" t="str">
        <f>'Necesidades Trimestrales'!E15</f>
        <v>REACTIVOS P/LAB. TEC. MANUAL ; NOMBRE: SUERO HEMOTIPIFICADOR ANTI-B, USO: HEMOTERAPIA, PRESENTACION: ENVASE X 10 mL</v>
      </c>
      <c r="D17" s="93"/>
      <c r="E17" s="93"/>
      <c r="F17" s="93"/>
      <c r="G17" s="93"/>
      <c r="H17" s="64" t="s">
        <v>57</v>
      </c>
      <c r="I17" s="65" t="str">
        <f>'Necesidades Trimestrales'!F15</f>
        <v>FRASCO</v>
      </c>
      <c r="J17" s="66">
        <f>'Necesidades Trimestrales'!H15</f>
        <v>1800</v>
      </c>
      <c r="K17" s="67">
        <f>'Necesidades Trimestrales'!G15</f>
        <v>30</v>
      </c>
    </row>
    <row r="18" spans="1:1024" ht="32.25" customHeight="1" thickBot="1" x14ac:dyDescent="0.25">
      <c r="A18" s="8">
        <v>7</v>
      </c>
      <c r="B18" s="63" t="str">
        <f>'Necesidades Trimestrales'!B16</f>
        <v>2.5.1-9052.248</v>
      </c>
      <c r="C18" s="93" t="str">
        <f>'Necesidades Trimestrales'!E16</f>
        <v>REACTIVOS P/LAB. TEC. MANUAL ; NOMBRE: SUERO HEMOTIPIFICADOR ANTI-D, USO: HEMOTERAPIA, PRESENTACION: ENVASE X 10 mL</v>
      </c>
      <c r="D18" s="93"/>
      <c r="E18" s="93"/>
      <c r="F18" s="93"/>
      <c r="G18" s="93"/>
      <c r="H18" s="64" t="s">
        <v>57</v>
      </c>
      <c r="I18" s="65" t="str">
        <f>'Necesidades Trimestrales'!F16</f>
        <v>FRASCO</v>
      </c>
      <c r="J18" s="66">
        <f>'Necesidades Trimestrales'!H16</f>
        <v>2500</v>
      </c>
      <c r="K18" s="67">
        <f>'Necesidades Trimestrales'!G16</f>
        <v>30</v>
      </c>
    </row>
    <row r="19" spans="1:1024" ht="35.25" customHeight="1" thickBot="1" x14ac:dyDescent="0.25">
      <c r="A19" s="8">
        <v>8</v>
      </c>
      <c r="B19" s="63" t="str">
        <f>'Necesidades Trimestrales'!B17</f>
        <v>2.5.1-9052.1933</v>
      </c>
      <c r="C19" s="93" t="str">
        <f>'Necesidades Trimestrales'!E17</f>
        <v>REACTIVOS P/LAB. TEC. MANUAL ; NOMBRE: SUERO HEMOTIPIFICADOR ANTI-CDE, USO: HEMOTERAPIA, PRESENTACION: ENVASE X 10 mL</v>
      </c>
      <c r="D19" s="93"/>
      <c r="E19" s="93"/>
      <c r="F19" s="93"/>
      <c r="G19" s="93"/>
      <c r="H19" s="64" t="s">
        <v>57</v>
      </c>
      <c r="I19" s="65" t="str">
        <f>'Necesidades Trimestrales'!F17</f>
        <v>FRASCO</v>
      </c>
      <c r="J19" s="66">
        <f>'Necesidades Trimestrales'!H17</f>
        <v>7600</v>
      </c>
      <c r="K19" s="67">
        <f>'Necesidades Trimestrales'!G17</f>
        <v>9</v>
      </c>
    </row>
    <row r="20" spans="1:1024" ht="34.5" customHeight="1" thickBot="1" x14ac:dyDescent="0.25">
      <c r="A20" s="8">
        <v>9</v>
      </c>
      <c r="B20" s="63" t="str">
        <f>'Necesidades Trimestrales'!B18</f>
        <v>2.9.5-6526.17</v>
      </c>
      <c r="C20" s="93" t="str">
        <f>'Necesidades Trimestrales'!E18</f>
        <v>TUBOS P/MEDICINA; TIPO: DESCARTABLE, USO: P/SUERO, PRESENTACION: UNIDAD, DIMENSION: 12 X 55 mm</v>
      </c>
      <c r="D20" s="93"/>
      <c r="E20" s="93"/>
      <c r="F20" s="93"/>
      <c r="G20" s="93"/>
      <c r="H20" s="64" t="s">
        <v>57</v>
      </c>
      <c r="I20" s="65" t="str">
        <f>'Necesidades Trimestrales'!F18</f>
        <v>UNIDAD</v>
      </c>
      <c r="J20" s="66">
        <f>'Necesidades Trimestrales'!H18</f>
        <v>17</v>
      </c>
      <c r="K20" s="67">
        <f>'Necesidades Trimestrales'!G18</f>
        <v>1400</v>
      </c>
    </row>
    <row r="21" spans="1:1024" ht="30.75" customHeight="1" thickBot="1" x14ac:dyDescent="0.25">
      <c r="A21" s="8">
        <v>10</v>
      </c>
      <c r="B21" s="63" t="str">
        <f>'Necesidades Trimestrales'!B19</f>
        <v>2.9.5-5378.3</v>
      </c>
      <c r="C21" s="93" t="str">
        <f>'Necesidades Trimestrales'!E19</f>
        <v>TUBOS P/HEMOGRAMA; DIMENSION: 12 X 55 mm, TIPO: MICROTUBO CON EDTA 3K</v>
      </c>
      <c r="D21" s="93"/>
      <c r="E21" s="93"/>
      <c r="F21" s="93"/>
      <c r="G21" s="93"/>
      <c r="H21" s="64" t="s">
        <v>57</v>
      </c>
      <c r="I21" s="65" t="str">
        <f>'Necesidades Trimestrales'!F19</f>
        <v>UNIDAD</v>
      </c>
      <c r="J21" s="66">
        <f>'Necesidades Trimestrales'!H19</f>
        <v>11.5</v>
      </c>
      <c r="K21" s="67">
        <f>'Necesidades Trimestrales'!G19</f>
        <v>1200</v>
      </c>
    </row>
    <row r="22" spans="1:1024" ht="32.25" customHeight="1" thickBot="1" x14ac:dyDescent="0.25">
      <c r="A22" s="8">
        <v>11</v>
      </c>
      <c r="B22" s="63" t="str">
        <f>'Necesidades Trimestrales'!B20</f>
        <v>2.5.1-9052.249</v>
      </c>
      <c r="C22" s="93" t="str">
        <f>'Necesidades Trimestrales'!E20</f>
        <v>REACTIVOS P/LAB. TEC. MANUAL ; NOMBRE: SUERO HEMOTIPIFICADOR ANTI-C, USO: HEMOTERAPIA, PRESENTACION: ENVASE X 5 mL</v>
      </c>
      <c r="D22" s="93"/>
      <c r="E22" s="93"/>
      <c r="F22" s="93"/>
      <c r="G22" s="93"/>
      <c r="H22" s="64" t="s">
        <v>57</v>
      </c>
      <c r="I22" s="65" t="str">
        <f>'Necesidades Trimestrales'!F20</f>
        <v>FRASCO</v>
      </c>
      <c r="J22" s="66">
        <f>'Necesidades Trimestrales'!H20</f>
        <v>6500</v>
      </c>
      <c r="K22" s="67">
        <f>'Necesidades Trimestrales'!G20</f>
        <v>6</v>
      </c>
    </row>
    <row r="23" spans="1:1024" ht="30.75" customHeight="1" thickBot="1" x14ac:dyDescent="0.25">
      <c r="A23" s="8">
        <v>12</v>
      </c>
      <c r="B23" s="63" t="str">
        <f>'Necesidades Trimestrales'!B21</f>
        <v>2.5.1-9052.250</v>
      </c>
      <c r="C23" s="93" t="str">
        <f>'Necesidades Trimestrales'!E21</f>
        <v>REACTIVOS P/LAB. TEC. MANUAL ; NOMBRE: SUERO HEMOT. ANTI-C (MIN.), USO: HEMOTERAPIA, PRESENTACION: ENVASE X 5 mL</v>
      </c>
      <c r="D23" s="93"/>
      <c r="E23" s="93"/>
      <c r="F23" s="93"/>
      <c r="G23" s="93"/>
      <c r="H23" s="64" t="s">
        <v>57</v>
      </c>
      <c r="I23" s="65" t="str">
        <f>'Necesidades Trimestrales'!F21</f>
        <v>FRASCO</v>
      </c>
      <c r="J23" s="66">
        <f>'Necesidades Trimestrales'!H21</f>
        <v>8000</v>
      </c>
      <c r="K23" s="67">
        <f>'Necesidades Trimestrales'!G21</f>
        <v>6</v>
      </c>
    </row>
    <row r="24" spans="1:1024" ht="37.5" customHeight="1" thickBot="1" x14ac:dyDescent="0.25">
      <c r="A24" s="8">
        <v>13</v>
      </c>
      <c r="B24" s="63" t="str">
        <f>'Necesidades Trimestrales'!B22</f>
        <v>2.5.1-9052.251</v>
      </c>
      <c r="C24" s="93" t="str">
        <f>'Necesidades Trimestrales'!E22</f>
        <v>REACTIVOS P/LAB. TEC. MANUAL ; NOMBRE: SUERO HEMOTIPIFICADOR ANTI-E, USO: HEMOTERAPIA, PRESENTACION: ENVASE X 5 mL</v>
      </c>
      <c r="D24" s="93"/>
      <c r="E24" s="93"/>
      <c r="F24" s="93"/>
      <c r="G24" s="93"/>
      <c r="H24" s="64" t="s">
        <v>57</v>
      </c>
      <c r="I24" s="65" t="str">
        <f>'Necesidades Trimestrales'!F22</f>
        <v>FRASCO</v>
      </c>
      <c r="J24" s="66">
        <f>'Necesidades Trimestrales'!H22</f>
        <v>6500</v>
      </c>
      <c r="K24" s="67">
        <f>'Necesidades Trimestrales'!G22</f>
        <v>6</v>
      </c>
    </row>
    <row r="25" spans="1:1024" ht="35.25" customHeight="1" thickBot="1" x14ac:dyDescent="0.25">
      <c r="A25" s="8">
        <v>14</v>
      </c>
      <c r="B25" s="63" t="str">
        <f>'Necesidades Trimestrales'!B23</f>
        <v>2.5.1-9052.252</v>
      </c>
      <c r="C25" s="93" t="str">
        <f>'Necesidades Trimestrales'!E23</f>
        <v>REACTIVOS P/LAB. TEC. MANUAL ; NOMBRE: SUERO HEMOT. ANTI-E (MIN.), USO: HEMOTERAPIA, PRESENTACION: ENVASE X 5 mL</v>
      </c>
      <c r="D25" s="93"/>
      <c r="E25" s="93"/>
      <c r="F25" s="93"/>
      <c r="G25" s="93"/>
      <c r="H25" s="64" t="s">
        <v>57</v>
      </c>
      <c r="I25" s="65" t="str">
        <f>'Necesidades Trimestrales'!F23</f>
        <v>FRASCO</v>
      </c>
      <c r="J25" s="66">
        <f>'Necesidades Trimestrales'!H23</f>
        <v>8000</v>
      </c>
      <c r="K25" s="67">
        <f>'Necesidades Trimestrales'!G23</f>
        <v>6</v>
      </c>
    </row>
    <row r="26" spans="1:1024" ht="35.25" customHeight="1" thickBot="1" x14ac:dyDescent="0.25">
      <c r="A26" s="8">
        <v>15</v>
      </c>
      <c r="B26" s="63" t="str">
        <f>'Necesidades Trimestrales'!B24</f>
        <v>2.9.5-8436.1</v>
      </c>
      <c r="C26" s="93" t="str">
        <f>'Necesidades Trimestrales'!E24</f>
        <v>FILTROS DE DESLUOCOTIZACION; USO: DIRECTO AL PACIENTE, CAPACIDAD DE FILTRADO: 1 UNIDAD DE GLOBULOS ROJOS, CAPACIDAD DEL FILTRO: LOGARITMO 4</v>
      </c>
      <c r="D26" s="93"/>
      <c r="E26" s="93"/>
      <c r="F26" s="93"/>
      <c r="G26" s="93"/>
      <c r="H26" s="64" t="s">
        <v>57</v>
      </c>
      <c r="I26" s="65" t="str">
        <f>'Necesidades Trimestrales'!F24</f>
        <v xml:space="preserve">BOLSA </v>
      </c>
      <c r="J26" s="66">
        <f>'Necesidades Trimestrales'!H24</f>
        <v>5640</v>
      </c>
      <c r="K26" s="67">
        <f>'Necesidades Trimestrales'!G24</f>
        <v>30</v>
      </c>
    </row>
    <row r="27" spans="1:1024" ht="30.75" customHeight="1" thickBot="1" x14ac:dyDescent="0.25">
      <c r="A27" s="8">
        <v>16</v>
      </c>
      <c r="B27" s="63" t="str">
        <f>'Necesidades Trimestrales'!B25</f>
        <v>2.9.5-8436.3</v>
      </c>
      <c r="C27" s="93" t="str">
        <f>'Necesidades Trimestrales'!E25</f>
        <v>FILTROS DE DESLUOCOTIZACION; USO: DIRECTO AL PACIENTE, CAPACIDAD DE FILTRADO: 6 UNIDADES DE PLAQUETAS, CAPACIDAD DEL FILTRO: LOGARITMO 4</v>
      </c>
      <c r="D27" s="93"/>
      <c r="E27" s="93"/>
      <c r="F27" s="93"/>
      <c r="G27" s="93"/>
      <c r="H27" s="64" t="s">
        <v>57</v>
      </c>
      <c r="I27" s="65" t="str">
        <f>'Necesidades Trimestrales'!F25</f>
        <v xml:space="preserve">BOLSA </v>
      </c>
      <c r="J27" s="66">
        <f>'Necesidades Trimestrales'!H25</f>
        <v>7762</v>
      </c>
      <c r="K27" s="67">
        <f>'Necesidades Trimestrales'!G25</f>
        <v>30</v>
      </c>
    </row>
    <row r="28" spans="1:1024" ht="20.25" customHeight="1" thickBot="1" x14ac:dyDescent="0.25">
      <c r="A28" s="101" t="s">
        <v>131</v>
      </c>
      <c r="B28" s="101"/>
      <c r="C28" s="101"/>
      <c r="D28" s="101"/>
      <c r="E28" s="101"/>
      <c r="F28" s="101"/>
      <c r="G28" s="101"/>
      <c r="H28" s="101"/>
      <c r="I28" s="101"/>
      <c r="J28" s="102">
        <f>SUMPRODUCT(J12:J27,K12:K27)</f>
        <v>995860</v>
      </c>
      <c r="K28" s="102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</sheetData>
  <mergeCells count="38">
    <mergeCell ref="C27:G27"/>
    <mergeCell ref="J10:J11"/>
    <mergeCell ref="C26:G26"/>
    <mergeCell ref="A28:I28"/>
    <mergeCell ref="J28:K28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5:G25"/>
    <mergeCell ref="A10:A11"/>
    <mergeCell ref="C23:G23"/>
    <mergeCell ref="C10:G11"/>
    <mergeCell ref="H10:H11"/>
    <mergeCell ref="I10:I11"/>
    <mergeCell ref="B10:B11"/>
    <mergeCell ref="K10:K11"/>
    <mergeCell ref="C24:G2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8"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3" t="s">
        <v>3</v>
      </c>
      <c r="B1" s="103"/>
      <c r="C1" s="103"/>
      <c r="D1" s="104">
        <f>'Necesidades Trimestrales'!C6</f>
        <v>2020</v>
      </c>
      <c r="E1" s="104"/>
      <c r="F1" s="10"/>
      <c r="G1" s="10"/>
      <c r="H1" s="11"/>
      <c r="I1" s="11"/>
      <c r="J1" s="11"/>
      <c r="K1" s="11"/>
      <c r="L1" s="11"/>
      <c r="M1" s="11"/>
      <c r="N1" s="11"/>
      <c r="P1" s="105" t="s">
        <v>31</v>
      </c>
      <c r="Q1" s="10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5"/>
      <c r="Q2" s="105"/>
    </row>
    <row r="4" spans="1:17" s="12" customFormat="1" ht="18" customHeight="1" thickBot="1" x14ac:dyDescent="0.25">
      <c r="A4" s="106" t="s">
        <v>32</v>
      </c>
      <c r="B4" s="106"/>
      <c r="C4" s="106"/>
      <c r="D4" s="106"/>
      <c r="E4" s="106"/>
      <c r="F4" s="106"/>
      <c r="G4" s="107" t="str">
        <f>NotaPedido!D3</f>
        <v>40 - Ministerio de Salud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5" spans="1:17" s="12" customFormat="1" ht="18" customHeight="1" thickBot="1" x14ac:dyDescent="0.25">
      <c r="A5" s="108" t="s">
        <v>55</v>
      </c>
      <c r="B5" s="109"/>
      <c r="C5" s="109"/>
      <c r="D5" s="109"/>
      <c r="E5" s="109"/>
      <c r="F5" s="110"/>
      <c r="G5" s="107" t="str">
        <f>NotaPedido!D4</f>
        <v>23 - Hospital Interzonal San Juan Bautista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s="12" customFormat="1" ht="18" customHeight="1" thickBot="1" x14ac:dyDescent="0.25">
      <c r="A6" s="108" t="s">
        <v>33</v>
      </c>
      <c r="B6" s="109"/>
      <c r="C6" s="109"/>
      <c r="D6" s="109"/>
      <c r="E6" s="109"/>
      <c r="F6" s="110"/>
      <c r="G6" s="107" t="str">
        <f>NotaPedido!D5</f>
        <v>168 - Direccion Asistencial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</row>
    <row r="7" spans="1:17" s="12" customFormat="1" ht="18" customHeight="1" thickBot="1" x14ac:dyDescent="0.25">
      <c r="A7" s="108" t="s">
        <v>56</v>
      </c>
      <c r="B7" s="109"/>
      <c r="C7" s="109"/>
      <c r="D7" s="109"/>
      <c r="E7" s="109"/>
      <c r="F7" s="110"/>
      <c r="G7" s="107" t="str">
        <f>NotaPedido!D6</f>
        <v xml:space="preserve">Servicio de Hemoterapia 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</row>
    <row r="8" spans="1:17" ht="18" customHeight="1" thickBot="1" x14ac:dyDescent="0.25">
      <c r="A8" s="111" t="s">
        <v>34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</row>
    <row r="9" spans="1:17" ht="18" customHeight="1" x14ac:dyDescent="0.2">
      <c r="A9" s="112" t="s">
        <v>35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"/>
      <c r="P9" s="1"/>
      <c r="Q9" s="13"/>
    </row>
    <row r="10" spans="1:17" ht="54.75" customHeight="1" x14ac:dyDescent="0.2">
      <c r="A10" s="11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341 - 2020,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4" t="s">
        <v>36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x14ac:dyDescent="0.2">
      <c r="A13" s="115" t="s">
        <v>37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38</v>
      </c>
      <c r="P13" s="116"/>
      <c r="Q13" s="117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6"/>
      <c r="P14" s="116"/>
      <c r="Q14" s="117"/>
    </row>
    <row r="15" spans="1:17" ht="17.25" customHeight="1" x14ac:dyDescent="0.2">
      <c r="A15" s="70">
        <v>33</v>
      </c>
      <c r="B15" s="71"/>
      <c r="C15" s="71"/>
      <c r="D15" s="71">
        <v>2</v>
      </c>
      <c r="E15" s="71"/>
      <c r="F15" s="71">
        <v>4901</v>
      </c>
      <c r="G15" s="71">
        <v>3</v>
      </c>
      <c r="H15" s="72" t="s">
        <v>62</v>
      </c>
      <c r="I15" s="73">
        <v>2</v>
      </c>
      <c r="J15" s="73">
        <v>5</v>
      </c>
      <c r="K15" s="73">
        <v>1</v>
      </c>
      <c r="L15" s="71"/>
      <c r="M15" s="74">
        <v>1</v>
      </c>
      <c r="N15" s="72" t="s">
        <v>63</v>
      </c>
      <c r="O15" s="118" t="s">
        <v>61</v>
      </c>
      <c r="P15" s="118"/>
      <c r="Q15" s="23">
        <v>520200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7">
        <v>4901</v>
      </c>
      <c r="G16" s="25">
        <v>3</v>
      </c>
      <c r="H16" s="68" t="s">
        <v>62</v>
      </c>
      <c r="I16" s="25">
        <v>2</v>
      </c>
      <c r="J16" s="25">
        <v>9</v>
      </c>
      <c r="K16" s="25">
        <v>5</v>
      </c>
      <c r="L16" s="25"/>
      <c r="M16" s="26">
        <v>1</v>
      </c>
      <c r="N16" s="69" t="s">
        <v>63</v>
      </c>
      <c r="O16" s="119" t="s">
        <v>64</v>
      </c>
      <c r="P16" s="119"/>
      <c r="Q16" s="28">
        <v>475660</v>
      </c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8"/>
      <c r="I17" s="25"/>
      <c r="J17" s="25"/>
      <c r="K17" s="25"/>
      <c r="L17" s="25"/>
      <c r="M17" s="26"/>
      <c r="N17" s="69"/>
      <c r="O17" s="119"/>
      <c r="P17" s="119"/>
      <c r="Q17" s="28"/>
      <c r="S17" s="75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8"/>
      <c r="I18" s="25"/>
      <c r="J18" s="25"/>
      <c r="K18" s="25"/>
      <c r="L18" s="25"/>
      <c r="M18" s="26"/>
      <c r="N18" s="69"/>
      <c r="O18" s="120"/>
      <c r="P18" s="121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1"/>
      <c r="P19" s="121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1"/>
      <c r="P20" s="121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7"/>
      <c r="P21" s="127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8"/>
      <c r="P22" s="128"/>
      <c r="Q22" s="37"/>
    </row>
    <row r="23" spans="1:19" ht="20.25" customHeight="1" x14ac:dyDescent="0.2">
      <c r="A23" s="129" t="s">
        <v>130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38">
        <f>SUM(Q15:Q22)</f>
        <v>995860</v>
      </c>
    </row>
    <row r="24" spans="1:19" ht="18" customHeight="1" thickBot="1" x14ac:dyDescent="0.2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9" ht="17.25" customHeight="1" thickBot="1" x14ac:dyDescent="0.25">
      <c r="A25" s="122" t="s">
        <v>53</v>
      </c>
      <c r="B25" s="123"/>
      <c r="C25" s="123"/>
      <c r="D25" s="123"/>
      <c r="E25" s="123"/>
      <c r="F25" s="124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  <row r="26" spans="1:19" ht="18" customHeight="1" thickBot="1" x14ac:dyDescent="0.25">
      <c r="A26" s="126" t="str">
        <f>"Para la "&amp; NotaPedido!D8 &amp;" para ser destinados al " &amp; NotaPedido!D6 &amp;"  del HISJB del Ministerio de Salud."</f>
        <v>Para la Adquisición de Insumos y Reactivos para ser destinados al Servicio de Hemoterapia   del HISJB del Ministerio de Salud.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1:19" ht="1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SILVINA ATENCIO</cp:lastModifiedBy>
  <cp:revision>2</cp:revision>
  <cp:lastPrinted>2020-07-17T22:18:48Z</cp:lastPrinted>
  <dcterms:created xsi:type="dcterms:W3CDTF">2020-07-17T23:44:49Z</dcterms:created>
  <dcterms:modified xsi:type="dcterms:W3CDTF">2021-08-18T12:45:56Z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