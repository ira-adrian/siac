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IA V. NICOLA\Downloads\"/>
    </mc:Choice>
  </mc:AlternateContent>
  <bookViews>
    <workbookView xWindow="0" yWindow="0" windowWidth="28770" windowHeight="11385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comparativo'!$AQ$8:$AT$8,'Cuadro comparativo'!$AU$8:$AX$8,'Cuadro comparativo'!$AY$8:$BB$8,'Cuadro comparativo'!$BC$8:$BF$8</definedName>
    <definedName name="Titles">'Cuadro comparativo'!$A$8:$F$8</definedName>
  </definedNames>
  <calcPr calcId="162913"/>
</workbook>
</file>

<file path=xl/calcChain.xml><?xml version="1.0" encoding="utf-8"?>
<calcChain xmlns="http://schemas.openxmlformats.org/spreadsheetml/2006/main">
  <c r="I53" i="2" l="1"/>
  <c r="M53" i="2"/>
  <c r="Q53" i="2"/>
  <c r="U53" i="2"/>
  <c r="Y53" i="2"/>
  <c r="AC53" i="2"/>
  <c r="AG53" i="2"/>
  <c r="AK53" i="2"/>
  <c r="AO53" i="2"/>
  <c r="AS53" i="2"/>
  <c r="AW53" i="2"/>
  <c r="BA53" i="2"/>
  <c r="BE53" i="2"/>
</calcChain>
</file>

<file path=xl/sharedStrings.xml><?xml version="1.0" encoding="utf-8"?>
<sst xmlns="http://schemas.openxmlformats.org/spreadsheetml/2006/main" count="378" uniqueCount="234">
  <si>
    <t>Número expediente:</t>
  </si>
  <si>
    <t>EX-2022-02342727-   -CAT-DPCBS#MEC</t>
  </si>
  <si>
    <t>Número proceso de compra:</t>
  </si>
  <si>
    <t>100-0091-CPR22</t>
  </si>
  <si>
    <t>Nombre descriptivo proceso de compra:</t>
  </si>
  <si>
    <t>ADQUISICIÓN DE MEDICAMENTOS Y PRODUCTOS MEDICOS (HSJB-HNEP-MP y MS)</t>
  </si>
  <si>
    <t>Unidad Operativa de Compras:</t>
  </si>
  <si>
    <t>Secretaria de Compras y Abastecimiento</t>
  </si>
  <si>
    <t>Fecha de Apertura:</t>
  </si>
  <si>
    <t>06/12/2022</t>
  </si>
  <si>
    <t>Renglón</t>
  </si>
  <si>
    <t>NOROESTE NUTRICION SRL</t>
  </si>
  <si>
    <t>PRODUMED SRL</t>
  </si>
  <si>
    <t>DROGUERIA PHARMA CENTER S.R.L</t>
  </si>
  <si>
    <t>Leonardo STARICCO MULLER</t>
  </si>
  <si>
    <t xml:space="preserve">DNM FARMA SA </t>
  </si>
  <si>
    <t>XIMAX S.R.L.</t>
  </si>
  <si>
    <t>ANA GABRIELA CORDOBA</t>
  </si>
  <si>
    <t>EZEQUIEL DAVID ROSENBLAT</t>
  </si>
  <si>
    <t>LABORATORIOS JAYOR S.R.L</t>
  </si>
  <si>
    <t>MAURICIO MOSSE</t>
  </si>
  <si>
    <t>MEDIGRUP ARGENTINA S.A.</t>
  </si>
  <si>
    <t>MAX CONTINENTAL S.A.</t>
  </si>
  <si>
    <t>BYMED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</si>
  <si>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</si>
  <si>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</si>
  <si>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</si>
  <si>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</si>
  <si>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</si>
  <si>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</si>
  <si>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</si>
  <si>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</si>
  <si>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</si>
  <si>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</si>
  <si>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2.1.1-4227.19 </t>
  </si>
  <si>
    <t xml:space="preserve">SUPLEMENTOS DIETARIOS; TIPO: ASOCIACION, DROGA GENERICA: S. PARENTERAL NEONATAL 0-500 
ML, PRESENTACION: UNIDAD, ACCESORIO: CON FILTRO </t>
  </si>
  <si>
    <t xml:space="preserve">UNIDAD </t>
  </si>
  <si>
    <t xml:space="preserve">Especificaciones técnicas: Soporte nutricional parenteral total, con distribución ajustable de 
dextrosa, aminoácidos, lípidos, oligoelementos, calcio, fosforo electrolitos y vitaminas. Distribución 
50% Hidratos de carbono, 20 % proteínas, 30 % lípidos, 
distribución standard calidad inyectable, con electrolíticos y oligoelementos, ajustable para 
cada patología particular, según requerimiento médico para el paciente. Se 
proveen las bolsas de Nutrición Parenteral y filtros 1,2 o 
0,22 según corresponda Marca : Noanut  Disp Anmat: 4387/09 
y 9580/16 </t>
  </si>
  <si>
    <t xml:space="preserve">MARCA FRESENIUS KABI - ANMAT: 52596 </t>
  </si>
  <si>
    <t xml:space="preserve">2 </t>
  </si>
  <si>
    <t xml:space="preserve">2.1.1-4227.56 </t>
  </si>
  <si>
    <t xml:space="preserve">SUPLEMENTOS DIETARIOS; TIPO: ASOCIACION, DROGA GENERICA: S. PARENTERAL ADULTO 1501-2000 
ML, PRESENTACION: UNIDAD </t>
  </si>
  <si>
    <t xml:space="preserve">3 </t>
  </si>
  <si>
    <t xml:space="preserve">2.5.1-5771.12 </t>
  </si>
  <si>
    <t xml:space="preserve">ANTISEPTICOS P/ MATERIALES; COMPUESTO QUIMICO: AC.ACETICO, ESTADO SOLIDO, CALIDAD FARMACEUTICA, 
CONCENTRACION/PUREZA 25/30 % , PRESENTACION: 5 KG, USO: EQUIPO </t>
  </si>
  <si>
    <t xml:space="preserve">ANTISEPTICOS P/ MATERIALES; COMPUESTO QUIMICO: AC.ACETICO, ESTADO SOLIDO, CALIDAD FARMACEUTICA, 
CONCENTRACION/PUREZA 25/30 % , PRESENTACION: 5 KG, USO: EQUIPO OXIDIAL 
</t>
  </si>
  <si>
    <t xml:space="preserve">4 </t>
  </si>
  <si>
    <t xml:space="preserve">2.5.1-5771.13 </t>
  </si>
  <si>
    <t xml:space="preserve">ANTISEPTICOS P/ MATERIALES ; COMPUESTO QUIMICO: AC. CITRICO, ESTADO: SOLIDO, 
CALIDAD: BIOLOGIA MOLECULAR, CONCENTRACION/PUREZA: 99,99 %, PRESENTACION: ENVASE X 1 
KG </t>
  </si>
  <si>
    <t xml:space="preserve">ANTISEPTICOS P/ MATERIALES ; COMPUESTO QUIMICO: AC. CITRICO, ESTADO: SOLIDO, 
CALIDAD: BIOLOGIA MOLECULAR, CONCENTRACION/PUREZA: 99,99 %, PRESENTACION: ENVASE X 1 
KG OXIDIAL </t>
  </si>
  <si>
    <t xml:space="preserve">5 </t>
  </si>
  <si>
    <t xml:space="preserve">2.5.2-1821.201 </t>
  </si>
  <si>
    <t xml:space="preserve">ANTIBIOTICOS P/PERSONAS; TIPO: ANTITUBERCULOSTATICO, DROGA GENERICA: RIFAMPICINA X 2 GR, 
FORMA FARMACEUTICA: EN SUSPENSION CADA 100 mL, PRESENTACION: FRASCO X 
50 mL </t>
  </si>
  <si>
    <t xml:space="preserve">RIFAMPICINA X 2 GR,  SUSPENSION FRASCO X 50 mL 
marca RICHET ANMAT 39515 </t>
  </si>
  <si>
    <t xml:space="preserve">6 </t>
  </si>
  <si>
    <t xml:space="preserve">2.5.2-1821.5 </t>
  </si>
  <si>
    <t xml:space="preserve">ANTIBIOTICOS P/PERSONAS; TIPO: MONODROGA, DROGA GENERICA: AMPICILINA, FORMA FARMACEUTICA: COMPRIMIDOS, 
PRESENTACION: 500 mGr </t>
  </si>
  <si>
    <t xml:space="preserve">7 </t>
  </si>
  <si>
    <t xml:space="preserve">2.5.2-1839.31 </t>
  </si>
  <si>
    <t xml:space="preserve">VASODILATADORES CORONARIOS; TIPO: MONODROGA, DROGA GENERICA: DILTIAZEM, FORMA FARMACEUTICA: COMPRIMIDO, 
PRESENTACION: 60 mGr </t>
  </si>
  <si>
    <t xml:space="preserve">DILTIAZEM, COMPRIMIDO, PRESENTACION: 60 mGr UNIDAD MARCA TEVA ANMAT 36408 
</t>
  </si>
  <si>
    <t xml:space="preserve">DILTIAZEM COMP 60 MG (H-50) IVAX  anmat36408 </t>
  </si>
  <si>
    <t xml:space="preserve">8 </t>
  </si>
  <si>
    <t xml:space="preserve">2.5.2-1865.2 </t>
  </si>
  <si>
    <t xml:space="preserve">ANTIEPILEPTICOS; TIPO: MONODROGA, FORMA FARMACEUTICA: AMPOLLA, PRESENTACION: 200 mGr, DROGA 
GENERICA: FENOBARBITAL </t>
  </si>
  <si>
    <t xml:space="preserve">FENOBARBITAL AMPOLLA, PRESENTACION: 200 mGr,  MARCA HLB ALTERNATIVA 100 
MG. ANMAT 50549 </t>
  </si>
  <si>
    <t xml:space="preserve">FENOFIBRATO CAPS 200MG FRANCELAB  anmat 56937 </t>
  </si>
  <si>
    <t xml:space="preserve">9 </t>
  </si>
  <si>
    <t xml:space="preserve">2.5.2-1865.29 </t>
  </si>
  <si>
    <t xml:space="preserve">ANTIEPILEPTICOS; TIPO: MONODROGA, FORMA FARMACEUTICA: COMPRIMIDO, PRESENTACION: 60, DROGA GENERICA: 
CLOBAZAM X 10 mGr </t>
  </si>
  <si>
    <t xml:space="preserve">CLOBAZAM X 10 MG COMPRIMIDO CAJA X 60 COMPR. (PRECIO 
X CAJA COMO LO INDICA ESPECIFICACIONES TECNICAS DEL  PLIEGO). 
MARCA ELLEA ANMAT 35092 </t>
  </si>
  <si>
    <t xml:space="preserve">CLOBAZAM 10 MG X 60 COMP KARIDIUM ELEA T/A / 
PSIC anmat 35.092  </t>
  </si>
  <si>
    <t xml:space="preserve">10 </t>
  </si>
  <si>
    <t xml:space="preserve">2.5.2-1865.79 </t>
  </si>
  <si>
    <t xml:space="preserve">ANTIEPILEPTICOS; TIPO: MONODROGA, DROGA GENERICA: LEVETIRACETAM X 1000 MG, FORMA 
FARMACEUTICA: COMPRIMIDO, PRESENTACION: ENVASE X 30 UN </t>
  </si>
  <si>
    <t xml:space="preserve">LEVETIRACETAM X 1000 MG,  COMPRIMIDO,CAJA X 30 UN (SE 
COTIZA X CAJA SEGÚN ESPECF.TEC. DEL PLIEGO).   MARCA 
RICHMOND ANMAT 55269  </t>
  </si>
  <si>
    <t xml:space="preserve">LEVETIRACETAM 1 GR X 30 COMP LEVRON RONTAG /TRAZ T/A 
anmat 53070 </t>
  </si>
  <si>
    <t xml:space="preserve">11 </t>
  </si>
  <si>
    <t xml:space="preserve">2.5.2-1868.26 </t>
  </si>
  <si>
    <t xml:space="preserve">ANSIOLITICOS; TIPO: MONODROGA, DROGA GENERICA: CLOBAZAM, FORMA FARMACEUTICA: COMPRIMIDO, PRESENTACION: 
60 X 20 mGr </t>
  </si>
  <si>
    <t xml:space="preserve">CLOBAZAM, COMPRIMIDO 20 mGr. PRESENTACIÓN: CAJA X 60 COMPR.  
(SE COTIZA X CAJA SEGÚN ESPEC.TEC. PLIEGO DE CONDICIONES). MARCA 
ELLEA ANMAT 35092 </t>
  </si>
  <si>
    <t xml:space="preserve"> CLOBAZAM 20 MG X 60 COMP KARIDIUM ELEA T/A 
/PSIC   anmat 35092 </t>
  </si>
  <si>
    <t xml:space="preserve">12 </t>
  </si>
  <si>
    <t xml:space="preserve">2.5.2-1868.37 </t>
  </si>
  <si>
    <t xml:space="preserve">ANSIOLITICOS; TIPO: MONODROGA, DROGA GENERICA: CLONAZEPAN 2 MG, FORMA FARMACEUTICA: 
COMPRIMIDOS, PRESENTACION: UNIDAD </t>
  </si>
  <si>
    <t xml:space="preserve">CLONAZEPAN 2 MG, COMPRIMIDOS, PRESENTACION: UNIDAD MARCA VANNIER ANMAT 48667 
</t>
  </si>
  <si>
    <t xml:space="preserve"> CLONAZEPAM COMP 2 MG KILAB/PSIC   anmat 53311 
</t>
  </si>
  <si>
    <t xml:space="preserve">CLONAZEPAM - KILAB - 2 MG - COMP - C: 
53311         </t>
  </si>
  <si>
    <t xml:space="preserve">13 </t>
  </si>
  <si>
    <t xml:space="preserve">2.5.2-1868.82 </t>
  </si>
  <si>
    <t xml:space="preserve">ANSIOLITICOS; TIPO: MONODROGA, DROGA GENERICA: PREGABALINA 75 MG, FORMA FARMACEUTICA: 
COMPRIMIDO, PRESENTACION: UNIDAD </t>
  </si>
  <si>
    <t xml:space="preserve">PREGABALINA 75 MG, COMPRIMIDO, PRESENTACION: UNIDAD MARCA ROSPAW ANMAT 58216 
</t>
  </si>
  <si>
    <t xml:space="preserve"> PREGABALINA COMP 75 MG DIVIDOSIS ROSPAW  anmat 58216 
</t>
  </si>
  <si>
    <t xml:space="preserve">PREGABALINA - ROSPAW - 75 MG  - COMP - 
(SERIPRAN) C: 58216        
</t>
  </si>
  <si>
    <t xml:space="preserve">14 </t>
  </si>
  <si>
    <t xml:space="preserve">2.5.2-1871.7 </t>
  </si>
  <si>
    <t xml:space="preserve">NEUROLEPTICOS; TIPO: MONODROGA, DROGA GENERICA: LEVOMEPROMAZINA, FORMA FARMACEUTICA: COMPRIMIDO, PRESENTACION: 
25 mGr </t>
  </si>
  <si>
    <t xml:space="preserve">LEVOMEPROMAZINA, COMPRIMIDO, PRESENTACION: 25 mGr MARCA VANNIER ANMAT 49523 </t>
  </si>
  <si>
    <t xml:space="preserve"> LEVOMEPROMAZINA COMP 25 MG QUIMICA LUAR/PSIC  anmat55241  
 </t>
  </si>
  <si>
    <t xml:space="preserve">LEVOMEPROMAZINA - ROSPAW - 25 MG    - 
COMP - C: 56493 (MEPROZIN)  </t>
  </si>
  <si>
    <t xml:space="preserve">15 </t>
  </si>
  <si>
    <t xml:space="preserve">2.5.2-1872.27 </t>
  </si>
  <si>
    <t xml:space="preserve">ANTIANEMICOS; TIPO: MONODROGA, DROGA GENERICA: ERITROPOYETINA HUMANA, FORMA FARMACEUTICA: FRASCO 
AMPOLLA 4000UI, PRESENTACION: UNIDAD </t>
  </si>
  <si>
    <t xml:space="preserve">ANTIANEMICOS; TIPO: MONODROGA, DROGA GENERICA: ERITROPOYETINA HUMANA, FORMA FARMACEUTICA: FRASCO 
AMPOLLA 4000UI, PRESENTACION: UNIDAD CASSARA </t>
  </si>
  <si>
    <t xml:space="preserve"> ERITROPOYETINA 4.000 UI AMP GEMA C/FRIO  anmat 56196 
  </t>
  </si>
  <si>
    <t xml:space="preserve">16 </t>
  </si>
  <si>
    <t xml:space="preserve">2.5.2-1901.7 </t>
  </si>
  <si>
    <t xml:space="preserve">VITAMINAS; FORMA FARMACEUTICA: AMPOLLA, PRESENTACION: 2 mL, TIPO: MONODROGA, DROGA 
GENERICA: VITAMINA B </t>
  </si>
  <si>
    <t xml:space="preserve">VITAMINA B AMPOLLA, PRESENTACION: 2 mL, MARCA BIOL ANMAT 16522 
</t>
  </si>
  <si>
    <t xml:space="preserve"> COMPLEJO B X AMP EV / IM BECOZYM BAYER 
T/A   anmat 47763 </t>
  </si>
  <si>
    <t xml:space="preserve">17 </t>
  </si>
  <si>
    <t xml:space="preserve">2.5.2-2481.38 </t>
  </si>
  <si>
    <t xml:space="preserve">LAXANTES; TIPO: MONODROGA, DROGA GENERICA: LIMONADA, FORMA FARMACEUTICA: POLVO, PRESENTACION: 
60 GR </t>
  </si>
  <si>
    <t xml:space="preserve"> LIMONADA ROGE X 60 GR DROGAL (A-1-12)   
</t>
  </si>
  <si>
    <t xml:space="preserve">18 </t>
  </si>
  <si>
    <t xml:space="preserve">2.5.2-4817.30 </t>
  </si>
  <si>
    <t xml:space="preserve">ANTIHIPERTENSIVOS; TIPO: MONODROGA, DROGA GENERICA: CLONIDINA, FORMA FARMACEUTICA: AMPOLLA, PRESENTACION: 
0,15 mGr </t>
  </si>
  <si>
    <t xml:space="preserve"> CLONIDINA AMP 0.15 MG X 1ML DRAWER (H-1-100)  
anmat  58162 VTO 10/2023  </t>
  </si>
  <si>
    <t xml:space="preserve">19 </t>
  </si>
  <si>
    <t xml:space="preserve">2.5.2-4817.44 </t>
  </si>
  <si>
    <t xml:space="preserve">ANTIHIPERTENSIVOS; TIPO: MONODROGA, DROGA GENERICA: NIFEDIPINA 30 MG, FORMA FARMACEUTICA: 
COMPRIMIDO, PRESENTACION: UNIDAD </t>
  </si>
  <si>
    <t xml:space="preserve">NIFEDIPINA 30 MG X  COMP NIFED SOL ELEA PHOENIX 
T/A  ANMAT 45446 </t>
  </si>
  <si>
    <t xml:space="preserve">20 </t>
  </si>
  <si>
    <t xml:space="preserve">2.5.2-7267.5 </t>
  </si>
  <si>
    <t xml:space="preserve">PASTAS P/ELECTROENCEFALOGRAMA; PRESENTACION: 226 GR </t>
  </si>
  <si>
    <t xml:space="preserve">21 </t>
  </si>
  <si>
    <t xml:space="preserve">2.5.2-7267.6 </t>
  </si>
  <si>
    <t xml:space="preserve">PASTAS P/ELECTROENCEFALOGRAMA; PRESENTACION: 400 GR </t>
  </si>
  <si>
    <t xml:space="preserve">22 </t>
  </si>
  <si>
    <t xml:space="preserve">2.5.2-7316.5 </t>
  </si>
  <si>
    <t xml:space="preserve">ANTIPSICOTICOS; PRESENTACION: COMPRIMIDOS, TIPO: MONODROGA, DROGA GENERICA: QUETIAPINA 100 mGr 
</t>
  </si>
  <si>
    <t xml:space="preserve">QUETIAPINA COMPRIMIDOS,  100 mGr MARCA VANNIER ANMAT 56160 </t>
  </si>
  <si>
    <t xml:space="preserve">QUETIAPINA COMP 100 MG VANNIER/PSIC  ANMAT 56160 </t>
  </si>
  <si>
    <t xml:space="preserve">QUETIAPINA - ROSPAW - 100 MG    - 
COMP - C: 55760   (QUETIAROS)  </t>
  </si>
  <si>
    <t xml:space="preserve">23 </t>
  </si>
  <si>
    <t xml:space="preserve">2.5.2-8078.68 </t>
  </si>
  <si>
    <t xml:space="preserve">EXCIPIENTES; TIPO: MONODROGA, PRESENTACION: ENVASE X 1 Kg, COMPUESTO: CARBON 
ACTIVADO, CONCENTRACION/PUREZA: 100 % </t>
  </si>
  <si>
    <t xml:space="preserve">24 </t>
  </si>
  <si>
    <t xml:space="preserve">2.9.5-2157.73 </t>
  </si>
  <si>
    <t xml:space="preserve">JERINGAS DESCARTABLES; CAPACIDAD: 10 CM3, AGUJA: SIN, USO: MEDICINAL </t>
  </si>
  <si>
    <t xml:space="preserve">MARCA EUROMIX - ANMAT: 1440-70 </t>
  </si>
  <si>
    <t xml:space="preserve">JERINGAS DESCARTABLES; CAPACIDAD: 10 CM3, AGUJA: SIN, USO: MEDICINAL SENSIMEDICAL 
</t>
  </si>
  <si>
    <t xml:space="preserve">JERINGA 10CC S A   NOVAMED/ SR PM 129-243 
 SR </t>
  </si>
  <si>
    <t xml:space="preserve">Jeringa desc est 10cc s/ag latex free Euromix </t>
  </si>
  <si>
    <t xml:space="preserve">JERINGA HIPODERMICA S/AGUJA 10 ML LUER SLIP MARCA SENSIMEDICAL  
PM 2123-22 </t>
  </si>
  <si>
    <t xml:space="preserve">JERINGA SIN AGUJA - 10 ML - BREMEN - ANMAT:PM 
236-77 </t>
  </si>
  <si>
    <t xml:space="preserve">25 </t>
  </si>
  <si>
    <t xml:space="preserve">2.9.5-2161.545 </t>
  </si>
  <si>
    <t xml:space="preserve">CATETERES/SONDAS; NUMERO: SIN, TIPO: TUBO DE LUKEN PARA TOMA DE 
MUESTRAS </t>
  </si>
  <si>
    <t xml:space="preserve">CATETERES/SONDAS; NUMERO: SIN, TIPO: TUBO DE LUKEN PARA TOMA DE 
MUESTRAS MARCA BIOM PM 113-10 </t>
  </si>
  <si>
    <t xml:space="preserve">26 </t>
  </si>
  <si>
    <t xml:space="preserve">2.9.5-2204.25 </t>
  </si>
  <si>
    <t xml:space="preserve">GUÍAS DE SUERO; USO: ADMINISTRACIÓN DE SOLUCIONES; AGUJA: CON; MODELO: 
V13; TIPO: FOTOSENSIBLE; MACROGOTERO CON CONEXIÓN ROLLER LUER SLIP </t>
  </si>
  <si>
    <t xml:space="preserve">GUÍAS DE SUERO; USO: ADMINISTRACIÓN DE SOLUCIONES; AGUJA: CON; MODELO: 
V13; TIPO: FOTOSENSIBLE; MACROGOTERO CON CONEXIÓN ROLLER LUER SLIP DISMEQUI/UROMIX 
</t>
  </si>
  <si>
    <t xml:space="preserve"> GUIA P/ ADM. SOLUC. MACROGOTERO SIN/AGUJA CON RUEDITA TIPO 
V14 NOVAMED 129-201 </t>
  </si>
  <si>
    <t xml:space="preserve">Guia p/adm sol macro t/V413 fotosens Euromix    
        </t>
  </si>
  <si>
    <t xml:space="preserve">ESP TECNICA SEGUN PLIEGO PM 113-1 </t>
  </si>
  <si>
    <t xml:space="preserve">SE COTIZA COMO ALTERNATIVA CON VENCIMIENTO 16/07/2023 MARCA CONTINENTAL PM 
2055-16 </t>
  </si>
  <si>
    <t xml:space="preserve">27 </t>
  </si>
  <si>
    <t xml:space="preserve">2.9.5-2204.51 </t>
  </si>
  <si>
    <t xml:space="preserve">GUÍAS DE SUERO; USO: ADMINISTRACIÓN DE SOLUCIONES; AGUJA: CON; MODELO: 
V17; TIPO: FOTOSENSIBLE; MICROGOTERO CON CONEXIÓN ROLLER LUER SLIP </t>
  </si>
  <si>
    <t xml:space="preserve">GUÍAS DE SUERO; USO: ADMINISTRACIÓN DE SOLUCIONES; AGUJA: CON; MODELO: 
V17; TIPO: FOTOSENSIBLE; MICROGOTERO CON CONEXIÓN ROLLER LUER SLIP DISMEQUI/UROMIX 
</t>
  </si>
  <si>
    <t xml:space="preserve">GUIA P/ ADM. SOLUC. MICROGOTERO S/AGUJA CON RUEDITA  TIPO 
V17 NOVAMED 129-201 </t>
  </si>
  <si>
    <t xml:space="preserve">Guia p/adm sol micro t/V417 fotosens Euromix </t>
  </si>
  <si>
    <t xml:space="preserve">ESP TECNICA S/PLIEGO PM 113-1 </t>
  </si>
  <si>
    <t xml:space="preserve">28 </t>
  </si>
  <si>
    <t xml:space="preserve">2.9.5-2366.2 </t>
  </si>
  <si>
    <t xml:space="preserve">HISOPOS; MATERIAL DE EXTREMOS: ALGODON, PRESENTACION: CAJA X 100 </t>
  </si>
  <si>
    <t xml:space="preserve">MARCA LISFAR - ANMAT: NO LLEVA PM </t>
  </si>
  <si>
    <t xml:space="preserve">HISOPOS; MATERIAL DE EXTREMOS: ALGODON, PRESENTACION: CAJA X 100 KANGDAAN 
</t>
  </si>
  <si>
    <t xml:space="preserve">29 </t>
  </si>
  <si>
    <t xml:space="preserve">2.9.5-2554.26 </t>
  </si>
  <si>
    <t xml:space="preserve">PAPELES P/ESTERILIZACION; TIPO: GRADO MEDICO, PRESENTACION: ROLLO X 60 CM 
X 200 M </t>
  </si>
  <si>
    <t xml:space="preserve">30 </t>
  </si>
  <si>
    <t xml:space="preserve">2.9.5-441.437 </t>
  </si>
  <si>
    <t xml:space="preserve">AGUJAS QUIRURGICAS; TIPO: P/INSULINA, ESPECIFICACION: 32 G, PRESENTACION: ENVASE X 
100 UN </t>
  </si>
  <si>
    <t xml:space="preserve">AGUJA P/ PEN UTRA FINE 32G X 4MM - MARCA 
BD COD 320489 - ANMAT 634-22 </t>
  </si>
  <si>
    <t xml:space="preserve">31 </t>
  </si>
  <si>
    <t xml:space="preserve">2.9.5-441.475 </t>
  </si>
  <si>
    <t xml:space="preserve">AGUJAS QUIRURGICAS; TIPO: PUNCION Y ASP. DE MEDULA OSEA, ESPECIFICACION: 
18G, PRESENTACION: POR UNIDAD </t>
  </si>
  <si>
    <t xml:space="preserve">32 </t>
  </si>
  <si>
    <t xml:space="preserve">2.9.5-441.476 </t>
  </si>
  <si>
    <t xml:space="preserve">AGUJAS QUIRURGICAS; TIPO: PUNCION Y ASP. DE MEDULA OSEA, ESPECIFICACION: 
16G, PRESENTACION: POR UNIDAD </t>
  </si>
  <si>
    <t xml:space="preserve">MARCA LEXEL - ANMAT: 265-1 </t>
  </si>
  <si>
    <t xml:space="preserve">33 </t>
  </si>
  <si>
    <t xml:space="preserve">2.9.5-6379.1 </t>
  </si>
  <si>
    <t xml:space="preserve">CLAVIJAS DE CIRUGIA; TIPO: KIRSCHNER, MATERIAL: ACERO INOXIDABLE, DIAMETRO: 0,5 
mm, PRESENTACION: UNIDAD </t>
  </si>
  <si>
    <t xml:space="preserve">SEGUN PLIEGO </t>
  </si>
  <si>
    <t xml:space="preserve">34 </t>
  </si>
  <si>
    <t xml:space="preserve">2.9.5-6379.2 </t>
  </si>
  <si>
    <t xml:space="preserve">CLAVIJAS DE CIRUGIA; TIPO: KIRSCHNER, MATERIAL: ACERO INOXIDABLE, DIAMETRO: 1 
mm, PRESENTACION: UNIDAD </t>
  </si>
  <si>
    <t xml:space="preserve">35 </t>
  </si>
  <si>
    <t xml:space="preserve">2.9.5-6379.3 </t>
  </si>
  <si>
    <t xml:space="preserve">CLAVIJAS DE CIRUGIA; TIPO: KIRSCHNER, MATERIAL: ACERO INOXIDABLE, DIAMETRO: 1,5 
mm, PRESENTACION: UNIDAD </t>
  </si>
  <si>
    <t xml:space="preserve">36 </t>
  </si>
  <si>
    <t xml:space="preserve">2.9.5-6379.5 </t>
  </si>
  <si>
    <t xml:space="preserve">CLAVIJAS DE CIRUGIA; TIPO: KIRSCHNER, MATERIAL: ACERO INOXIDABLE, DIAMETRO: 2 
MM, PRESENTACION: UNIDAD </t>
  </si>
  <si>
    <t xml:space="preserve">37 </t>
  </si>
  <si>
    <t xml:space="preserve">2.9.5-6379.6 </t>
  </si>
  <si>
    <t xml:space="preserve">CLAVIJAS DE CIRUGÍA; TIPO: KIRSCHNER; DIÁMETRO: 2,5 MM; MATERIAL: ACERO 
INOXIDABLE; PRESENTACIÓN: UNIDAD </t>
  </si>
  <si>
    <t xml:space="preserve">38 </t>
  </si>
  <si>
    <t xml:space="preserve">2.9.5-6379.7 </t>
  </si>
  <si>
    <t xml:space="preserve">CLAVIJAS DE CIRUGIA; TIPO: STEIMANN, MATERIAL: ACERO INOXIDABLE, DIAMETRO: 4 
mm, PRESENTACION: UNIDAD </t>
  </si>
  <si>
    <t xml:space="preserve">39 </t>
  </si>
  <si>
    <t xml:space="preserve">2.9.5-6379.9 </t>
  </si>
  <si>
    <t xml:space="preserve">CLAVIJAS DE CIRUGÍA; TIPO: STEIMANN; DIÁMETRO: 3,5 MM; MATERIAL: ACERO 
INOXIDABLE; PRESENTACIÓN: UNIDAD </t>
  </si>
  <si>
    <t xml:space="preserve">40 </t>
  </si>
  <si>
    <t xml:space="preserve">2.9.5-6752.8 </t>
  </si>
  <si>
    <t xml:space="preserve">ASPIRADORES MEDICOS; TIPO: MANUAL, CAPACIDAD: 60 CM3, USO: ENDOUTERINO </t>
  </si>
  <si>
    <t xml:space="preserve">41 </t>
  </si>
  <si>
    <t xml:space="preserve">2.9.5-8799.11 </t>
  </si>
  <si>
    <t xml:space="preserve">JERINGA; MATERIAL: PLASTICO, CAPACIDAD: 5 CM3, ACCESORIOS: SIN, TIPO: ESTERIL, 
ACCESORIO: SIN </t>
  </si>
  <si>
    <t xml:space="preserve">MARCA ELIT - ANMAT: 2220-98 </t>
  </si>
  <si>
    <t xml:space="preserve">  JERINGA; MATERIAL: PLASTICO, CAPACIDAD: 5 CM3, ACCESORIOS: SIN, 
TIPO: ESTERIL, ACCESORIO: SIN SENSIMEDICAL </t>
  </si>
  <si>
    <t xml:space="preserve">JERINGA DEST 5 CC S A  NOVAMED/SR  PM 
129-243  SR </t>
  </si>
  <si>
    <t xml:space="preserve">Jeringa desc est  5cc s/ag Euromix </t>
  </si>
  <si>
    <t xml:space="preserve">JERINGA HIPODERMICA S/AGUJA 5 ML LUER SLIP MARCA SENSIMEDICAL  
PM 2123-22 </t>
  </si>
  <si>
    <t xml:space="preserve">JERINGA SIN AGUJA - 5 ML - BREMEN - ANMAT:PM 
236-77 </t>
  </si>
  <si>
    <t xml:space="preserve">42 </t>
  </si>
  <si>
    <t xml:space="preserve">2.9.5-931.36 </t>
  </si>
  <si>
    <t xml:space="preserve">TELAS ADHESIVAS; ANCHO: 5 Cm, LONG.DE CUERPO: 9 M, TIPO: 
IMPERMEABLE </t>
  </si>
  <si>
    <t xml:space="preserve">TELAS ADHESIVAS; ANCHO: 5 Cm, LONG.DE CUERPO: 9 M, TIPO: 
IMPERMEABLE AJEC/INSUMOS XXI </t>
  </si>
  <si>
    <t xml:space="preserve">TELA ADHESIVA 5 CM X 9 MG EUROMIX PM:197,16 </t>
  </si>
  <si>
    <t xml:space="preserve">TELA ADHESIVA HIPOALERGENICA 5 CM X 5 M HUA  
 PM 129-224 </t>
  </si>
  <si>
    <t xml:space="preserve">Tela adhesiva  2.5cm x 9 mt (xu) Euromix </t>
  </si>
  <si>
    <t xml:space="preserve">TELA ADHESIVA AL OXIDO DE ZINC MARCA MEDICON PM 2055-35 
</t>
  </si>
  <si>
    <t xml:space="preserve">43 </t>
  </si>
  <si>
    <t xml:space="preserve">2.9.5-931.49 </t>
  </si>
  <si>
    <t xml:space="preserve">TELAS ADHESIVAS; ANCHO: 2,5 Cm, LONG.DE CUERPO: 9 M, TIPO: 
IMPERMEABLE </t>
  </si>
  <si>
    <t xml:space="preserve">TELAS ADHESIVAS; ANCHO: 2,5 Cm, LONG.DE CUERPO: 9 M, TIPO: 
IMPERMEABLE AJEC/INSUMOS XXI </t>
  </si>
  <si>
    <t xml:space="preserve">TELA ADHESIVA 2,5 CM X 9 MTS EUROMIX PM:1440-143 </t>
  </si>
  <si>
    <t xml:space="preserve">TELA ADHESIVA HIPOALERGENICA 2.5 CM X 5 M HUA  
PM 129-224 </t>
  </si>
  <si>
    <t xml:space="preserve">Tela adhesiva  5cm x 9 mt (xu) Euromix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</si>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</sst>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F53" totalsRowCount="1">
  <tableColumns count="6">
    <tableColumn id="1" name="Renglón"/>
    <tableColumn id="2" name="Alternativa"/>
    <tableColumn id="3" name="Código" totalsRowLabel="Total: "/>
    <tableColumn id="4" name="Descripción"/>
    <tableColumn id="5" name="Cantidad solicitada"/>
    <tableColumn id="6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9:J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9:N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9:R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S9:V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W9:Z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A9:AD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E9:AH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I9:AL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M9:AP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Q9:AT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U9:AX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Y9:BB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BC9:BF53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19.42578125" customWidth="1"/>
    <col min="5" max="5" width="73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6.140625" customWidth="1"/>
    <col min="11" max="11" width="14.28515625" customWidth="1"/>
    <col min="12" max="12" width="17.28515625" customWidth="1"/>
    <col min="13" max="13" width="16.5703125" customWidth="1"/>
    <col min="14" max="14" width="42.140625" customWidth="1"/>
    <col min="15" max="15" width="14.28515625" customWidth="1"/>
    <col min="16" max="16" width="17.28515625" customWidth="1"/>
    <col min="17" max="17" width="16.5703125" customWidth="1"/>
    <col min="18" max="18" width="104.28515625" customWidth="1"/>
    <col min="19" max="19" width="14.28515625" customWidth="1"/>
    <col min="20" max="20" width="17.28515625" customWidth="1"/>
    <col min="21" max="21" width="16.5703125" customWidth="1"/>
    <col min="22" max="22" width="82.85546875" customWidth="1"/>
    <col min="23" max="23" width="14.28515625" customWidth="1"/>
    <col min="24" max="24" width="17.28515625" customWidth="1"/>
    <col min="25" max="25" width="16.5703125" customWidth="1"/>
    <col min="26" max="26" width="62" customWidth="1"/>
    <col min="27" max="27" width="14.28515625" customWidth="1"/>
    <col min="28" max="28" width="17.28515625" customWidth="1"/>
    <col min="29" max="29" width="16.5703125" customWidth="1"/>
    <col min="30" max="30" width="49.7109375" customWidth="1"/>
    <col min="31" max="31" width="14.28515625" customWidth="1"/>
    <col min="32" max="32" width="17.28515625" customWidth="1"/>
    <col min="33" max="33" width="16.5703125" customWidth="1"/>
    <col min="34" max="34" width="62.140625" customWidth="1"/>
    <col min="35" max="35" width="14.28515625" customWidth="1"/>
    <col min="36" max="36" width="17.28515625" customWidth="1"/>
    <col min="37" max="37" width="16.5703125" customWidth="1"/>
    <col min="38" max="38" width="42.28515625" customWidth="1"/>
    <col min="39" max="39" width="14.28515625" customWidth="1"/>
    <col min="40" max="40" width="17.28515625" customWidth="1"/>
    <col min="41" max="41" width="16.5703125" customWidth="1"/>
    <col min="42" max="42" width="64.5703125" customWidth="1"/>
    <col min="43" max="43" width="14.28515625" customWidth="1"/>
    <col min="44" max="44" width="17.28515625" customWidth="1"/>
    <col min="45" max="45" width="16.5703125" customWidth="1"/>
    <col min="46" max="46" width="46.140625" customWidth="1"/>
    <col min="47" max="47" width="14.28515625" customWidth="1"/>
    <col min="48" max="48" width="17.28515625" customWidth="1"/>
    <col min="49" max="49" width="16.5703125" customWidth="1"/>
    <col min="50" max="50" width="66" customWidth="1"/>
    <col min="51" max="51" width="14.28515625" customWidth="1"/>
    <col min="52" max="52" width="17.28515625" customWidth="1"/>
    <col min="53" max="53" width="16.5703125" customWidth="1"/>
    <col min="54" max="54" width="79.7109375" customWidth="1"/>
    <col min="55" max="55" width="14.28515625" customWidth="1"/>
    <col min="56" max="56" width="17.28515625" customWidth="1"/>
    <col min="57" max="57" width="16.5703125" customWidth="1"/>
    <col min="58" max="58" width="56.140625" customWidth="1"/>
  </cols>
  <sheetData>
    <row r="1" spans="1:58" x14ac:dyDescent="0.25">
      <c r="D1" s="2" t="s">
        <v>0</v>
      </c>
      <c r="E1" s="2" t="s">
        <v>1</v>
      </c>
    </row>
    <row r="2" spans="1:58" x14ac:dyDescent="0.25">
      <c r="D2" s="2" t="s">
        <v>2</v>
      </c>
      <c r="E2" s="2" t="s">
        <v>3</v>
      </c>
    </row>
    <row r="3" spans="1:58" x14ac:dyDescent="0.25">
      <c r="D3" s="2" t="s">
        <v>4</v>
      </c>
      <c r="E3" s="2" t="s">
        <v>5</v>
      </c>
    </row>
    <row r="4" spans="1:58" x14ac:dyDescent="0.25">
      <c r="D4" s="2" t="s">
        <v>6</v>
      </c>
      <c r="E4" s="2" t="s">
        <v>7</v>
      </c>
    </row>
    <row r="5" spans="1:58" x14ac:dyDescent="0.25">
      <c r="D5" s="2" t="s">
        <v>8</v>
      </c>
      <c r="E5" s="2" t="s">
        <v>9</v>
      </c>
    </row>
    <row r="8" spans="1:5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  <c r="AM8" s="1" t="s">
        <v>19</v>
      </c>
      <c r="AN8" s="1"/>
      <c r="AO8" s="1"/>
      <c r="AP8" s="1"/>
      <c r="AQ8" s="1" t="s">
        <v>20</v>
      </c>
      <c r="AR8" s="1"/>
      <c r="AS8" s="1"/>
      <c r="AT8" s="1"/>
      <c r="AU8" s="1" t="s">
        <v>21</v>
      </c>
      <c r="AV8" s="1"/>
      <c r="AW8" s="1"/>
      <c r="AX8" s="1"/>
      <c r="AY8" s="1" t="s">
        <v>22</v>
      </c>
      <c r="AZ8" s="1"/>
      <c r="BA8" s="1"/>
      <c r="BB8" s="1"/>
      <c r="BC8" s="1" t="s">
        <v>23</v>
      </c>
      <c r="BD8" s="1"/>
      <c r="BE8" s="1"/>
      <c r="BF8" s="1"/>
    </row>
    <row r="9" spans="1:58" x14ac:dyDescent="0.25">
      <c r="A9" t="s">
        <v>10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s="3" t="s">
        <v>29</v>
      </c>
      <c r="H9" s="3" t="s">
        <v>30</v>
      </c>
      <c r="I9" t="s">
        <v>31</v>
      </c>
      <c r="J9" t="s">
        <v>32</v>
      </c>
      <c r="K9" s="3" t="s">
        <v>29</v>
      </c>
      <c r="L9" s="3" t="s">
        <v>30</v>
      </c>
      <c r="M9" t="s">
        <v>31</v>
      </c>
      <c r="N9" t="s">
        <v>32</v>
      </c>
      <c r="O9" s="3" t="s">
        <v>29</v>
      </c>
      <c r="P9" s="3" t="s">
        <v>30</v>
      </c>
      <c r="Q9" t="s">
        <v>31</v>
      </c>
      <c r="R9" t="s">
        <v>32</v>
      </c>
      <c r="S9" s="3" t="s">
        <v>29</v>
      </c>
      <c r="T9" s="3" t="s">
        <v>30</v>
      </c>
      <c r="U9" t="s">
        <v>31</v>
      </c>
      <c r="V9" t="s">
        <v>32</v>
      </c>
      <c r="W9" s="3" t="s">
        <v>29</v>
      </c>
      <c r="X9" s="3" t="s">
        <v>30</v>
      </c>
      <c r="Y9" t="s">
        <v>31</v>
      </c>
      <c r="Z9" t="s">
        <v>32</v>
      </c>
      <c r="AA9" s="3" t="s">
        <v>29</v>
      </c>
      <c r="AB9" s="3" t="s">
        <v>30</v>
      </c>
      <c r="AC9" t="s">
        <v>31</v>
      </c>
      <c r="AD9" t="s">
        <v>32</v>
      </c>
      <c r="AE9" s="3" t="s">
        <v>29</v>
      </c>
      <c r="AF9" s="3" t="s">
        <v>30</v>
      </c>
      <c r="AG9" t="s">
        <v>31</v>
      </c>
      <c r="AH9" t="s">
        <v>32</v>
      </c>
      <c r="AI9" s="3" t="s">
        <v>29</v>
      </c>
      <c r="AJ9" s="3" t="s">
        <v>30</v>
      </c>
      <c r="AK9" t="s">
        <v>31</v>
      </c>
      <c r="AL9" t="s">
        <v>32</v>
      </c>
      <c r="AM9" s="3" t="s">
        <v>29</v>
      </c>
      <c r="AN9" s="3" t="s">
        <v>30</v>
      </c>
      <c r="AO9" t="s">
        <v>31</v>
      </c>
      <c r="AP9" t="s">
        <v>32</v>
      </c>
      <c r="AQ9" s="3" t="s">
        <v>29</v>
      </c>
      <c r="AR9" s="3" t="s">
        <v>30</v>
      </c>
      <c r="AS9" t="s">
        <v>31</v>
      </c>
      <c r="AT9" t="s">
        <v>32</v>
      </c>
      <c r="AU9" s="3" t="s">
        <v>29</v>
      </c>
      <c r="AV9" s="3" t="s">
        <v>30</v>
      </c>
      <c r="AW9" t="s">
        <v>31</v>
      </c>
      <c r="AX9" t="s">
        <v>32</v>
      </c>
      <c r="AY9" s="3" t="s">
        <v>29</v>
      </c>
      <c r="AZ9" s="3" t="s">
        <v>30</v>
      </c>
      <c r="BA9" t="s">
        <v>31</v>
      </c>
      <c r="BB9" t="s">
        <v>32</v>
      </c>
      <c r="BC9" s="3" t="s">
        <v>29</v>
      </c>
      <c r="BD9" s="3" t="s">
        <v>30</v>
      </c>
      <c r="BE9" t="s">
        <v>31</v>
      </c>
      <c r="BF9" t="s">
        <v>32</v>
      </c>
    </row>
    <row r="10" spans="1:58" ht="135" x14ac:dyDescent="0.25">
      <c r="A10" t="s">
        <v>33</v>
      </c>
      <c r="B10" t="s">
        <v>33</v>
      </c>
      <c r="C10" t="s">
        <v>34</v>
      </c>
      <c r="D10" s="4" t="s">
        <v>35</v>
      </c>
      <c r="E10">
        <v>300</v>
      </c>
      <c r="F10" t="s">
        <v>36</v>
      </c>
      <c r="G10" s="3">
        <v>11780</v>
      </c>
      <c r="H10" s="3">
        <v>300</v>
      </c>
      <c r="I10" s="5">
        <v>3534000</v>
      </c>
      <c r="J10" s="4" t="s">
        <v>37</v>
      </c>
      <c r="K10" s="3">
        <v>33095</v>
      </c>
      <c r="L10" s="3">
        <v>300</v>
      </c>
      <c r="M10" s="5">
        <v>9928500</v>
      </c>
      <c r="N10" t="s">
        <v>38</v>
      </c>
      <c r="O10" s="3"/>
      <c r="P10" s="3"/>
      <c r="Q10" s="5"/>
      <c r="S10" s="3"/>
      <c r="T10" s="3"/>
      <c r="U10" s="5"/>
      <c r="W10" s="3"/>
      <c r="X10" s="3"/>
      <c r="Y10" s="5"/>
      <c r="AA10" s="3"/>
      <c r="AB10" s="3"/>
      <c r="AC10" s="5"/>
      <c r="AE10" s="3"/>
      <c r="AF10" s="3"/>
      <c r="AG10" s="5"/>
      <c r="AI10" s="3"/>
      <c r="AJ10" s="3"/>
      <c r="AK10" s="5"/>
      <c r="AM10" s="3"/>
      <c r="AN10" s="3"/>
      <c r="AO10" s="5"/>
      <c r="AQ10" s="3"/>
      <c r="AR10" s="3"/>
      <c r="AS10" s="5"/>
      <c r="AU10" s="3"/>
      <c r="AV10" s="3"/>
      <c r="AW10" s="5"/>
      <c r="AY10" s="3"/>
      <c r="AZ10" s="3"/>
      <c r="BA10" s="5"/>
      <c r="BC10" s="3"/>
      <c r="BD10" s="3"/>
      <c r="BE10" s="5"/>
    </row>
    <row r="11" spans="1:58" ht="135" x14ac:dyDescent="0.25">
      <c r="A11" t="s">
        <v>39</v>
      </c>
      <c r="B11" t="s">
        <v>33</v>
      </c>
      <c r="C11" t="s">
        <v>40</v>
      </c>
      <c r="D11" s="4" t="s">
        <v>41</v>
      </c>
      <c r="E11">
        <v>60</v>
      </c>
      <c r="F11" t="s">
        <v>36</v>
      </c>
      <c r="G11" s="3">
        <v>25800</v>
      </c>
      <c r="H11" s="3">
        <v>60</v>
      </c>
      <c r="I11" s="5">
        <v>1548000</v>
      </c>
      <c r="J11" s="4" t="s">
        <v>37</v>
      </c>
      <c r="K11" s="3">
        <v>43385</v>
      </c>
      <c r="L11" s="3">
        <v>60</v>
      </c>
      <c r="M11" s="5">
        <v>2603100</v>
      </c>
      <c r="N11" t="s">
        <v>38</v>
      </c>
      <c r="O11" s="3"/>
      <c r="P11" s="3"/>
      <c r="Q11" s="5"/>
      <c r="S11" s="3"/>
      <c r="T11" s="3"/>
      <c r="U11" s="5"/>
      <c r="W11" s="3"/>
      <c r="X11" s="3"/>
      <c r="Y11" s="5"/>
      <c r="AA11" s="3"/>
      <c r="AB11" s="3"/>
      <c r="AC11" s="5"/>
      <c r="AE11" s="3"/>
      <c r="AF11" s="3"/>
      <c r="AG11" s="5"/>
      <c r="AI11" s="3"/>
      <c r="AJ11" s="3"/>
      <c r="AK11" s="5"/>
      <c r="AM11" s="3"/>
      <c r="AN11" s="3"/>
      <c r="AO11" s="5"/>
      <c r="AQ11" s="3"/>
      <c r="AR11" s="3"/>
      <c r="AS11" s="5"/>
      <c r="AU11" s="3"/>
      <c r="AV11" s="3"/>
      <c r="AW11" s="5"/>
      <c r="AY11" s="3"/>
      <c r="AZ11" s="3"/>
      <c r="BA11" s="5"/>
      <c r="BC11" s="3"/>
      <c r="BD11" s="3"/>
      <c r="BE11" s="5"/>
    </row>
    <row r="12" spans="1:58" ht="45" x14ac:dyDescent="0.25">
      <c r="A12" t="s">
        <v>42</v>
      </c>
      <c r="B12" t="s">
        <v>33</v>
      </c>
      <c r="C12" t="s">
        <v>43</v>
      </c>
      <c r="D12" s="4" t="s">
        <v>44</v>
      </c>
      <c r="E12">
        <v>5</v>
      </c>
      <c r="F12" t="s">
        <v>36</v>
      </c>
      <c r="G12" s="3"/>
      <c r="H12" s="3"/>
      <c r="I12" s="5"/>
      <c r="K12" s="3"/>
      <c r="L12" s="3"/>
      <c r="M12" s="5"/>
      <c r="O12" s="3">
        <v>5100</v>
      </c>
      <c r="P12" s="3">
        <v>5</v>
      </c>
      <c r="Q12" s="5">
        <v>25500</v>
      </c>
      <c r="R12" s="4" t="s">
        <v>45</v>
      </c>
      <c r="S12" s="3"/>
      <c r="T12" s="3"/>
      <c r="U12" s="5"/>
      <c r="W12" s="3"/>
      <c r="X12" s="3"/>
      <c r="Y12" s="5"/>
      <c r="AA12" s="3"/>
      <c r="AB12" s="3"/>
      <c r="AC12" s="5"/>
      <c r="AE12" s="3"/>
      <c r="AF12" s="3"/>
      <c r="AG12" s="5"/>
      <c r="AI12" s="3"/>
      <c r="AJ12" s="3"/>
      <c r="AK12" s="5"/>
      <c r="AM12" s="3"/>
      <c r="AN12" s="3"/>
      <c r="AO12" s="5"/>
      <c r="AQ12" s="3"/>
      <c r="AR12" s="3"/>
      <c r="AS12" s="5"/>
      <c r="AU12" s="3"/>
      <c r="AV12" s="3"/>
      <c r="AW12" s="5"/>
      <c r="AY12" s="3"/>
      <c r="AZ12" s="3"/>
      <c r="BA12" s="5"/>
      <c r="BC12" s="3"/>
      <c r="BD12" s="3"/>
      <c r="BE12" s="5"/>
    </row>
    <row r="13" spans="1:58" ht="45" x14ac:dyDescent="0.25">
      <c r="A13" t="s">
        <v>46</v>
      </c>
      <c r="B13" t="s">
        <v>33</v>
      </c>
      <c r="C13" t="s">
        <v>47</v>
      </c>
      <c r="D13" s="4" t="s">
        <v>48</v>
      </c>
      <c r="E13">
        <v>21</v>
      </c>
      <c r="F13" t="s">
        <v>36</v>
      </c>
      <c r="G13" s="3"/>
      <c r="H13" s="3"/>
      <c r="I13" s="5"/>
      <c r="K13" s="3"/>
      <c r="L13" s="3"/>
      <c r="M13" s="5"/>
      <c r="O13" s="3">
        <v>2400</v>
      </c>
      <c r="P13" s="3">
        <v>21</v>
      </c>
      <c r="Q13" s="5">
        <v>50400</v>
      </c>
      <c r="R13" s="4" t="s">
        <v>49</v>
      </c>
      <c r="S13" s="3"/>
      <c r="T13" s="3"/>
      <c r="U13" s="5"/>
      <c r="W13" s="3"/>
      <c r="X13" s="3"/>
      <c r="Y13" s="5"/>
      <c r="AA13" s="3"/>
      <c r="AB13" s="3"/>
      <c r="AC13" s="5"/>
      <c r="AE13" s="3"/>
      <c r="AF13" s="3"/>
      <c r="AG13" s="5"/>
      <c r="AI13" s="3"/>
      <c r="AJ13" s="3"/>
      <c r="AK13" s="5"/>
      <c r="AM13" s="3"/>
      <c r="AN13" s="3"/>
      <c r="AO13" s="5"/>
      <c r="AQ13" s="3"/>
      <c r="AR13" s="3"/>
      <c r="AS13" s="5"/>
      <c r="AU13" s="3"/>
      <c r="AV13" s="3"/>
      <c r="AW13" s="5"/>
      <c r="AY13" s="3"/>
      <c r="AZ13" s="3"/>
      <c r="BA13" s="5"/>
      <c r="BC13" s="3"/>
      <c r="BD13" s="3"/>
      <c r="BE13" s="5"/>
    </row>
    <row r="14" spans="1:58" ht="45" x14ac:dyDescent="0.25">
      <c r="A14" t="s">
        <v>50</v>
      </c>
      <c r="B14" t="s">
        <v>33</v>
      </c>
      <c r="C14" t="s">
        <v>51</v>
      </c>
      <c r="D14" s="4" t="s">
        <v>52</v>
      </c>
      <c r="E14">
        <v>50</v>
      </c>
      <c r="F14" t="s">
        <v>36</v>
      </c>
      <c r="G14" s="3"/>
      <c r="H14" s="3"/>
      <c r="I14" s="5"/>
      <c r="K14" s="3"/>
      <c r="L14" s="3"/>
      <c r="M14" s="5"/>
      <c r="O14" s="3"/>
      <c r="P14" s="3"/>
      <c r="Q14" s="5"/>
      <c r="S14" s="3">
        <v>2419.85</v>
      </c>
      <c r="T14" s="3">
        <v>50</v>
      </c>
      <c r="U14" s="5">
        <v>120992.5</v>
      </c>
      <c r="V14" s="4" t="s">
        <v>53</v>
      </c>
      <c r="W14" s="3"/>
      <c r="X14" s="3"/>
      <c r="Y14" s="5"/>
      <c r="AA14" s="3"/>
      <c r="AB14" s="3"/>
      <c r="AC14" s="5"/>
      <c r="AE14" s="3"/>
      <c r="AF14" s="3"/>
      <c r="AG14" s="5"/>
      <c r="AI14" s="3"/>
      <c r="AJ14" s="3"/>
      <c r="AK14" s="5"/>
      <c r="AM14" s="3"/>
      <c r="AN14" s="3"/>
      <c r="AO14" s="5"/>
      <c r="AQ14" s="3"/>
      <c r="AR14" s="3"/>
      <c r="AS14" s="5"/>
      <c r="AU14" s="3"/>
      <c r="AV14" s="3"/>
      <c r="AW14" s="5"/>
      <c r="AY14" s="3"/>
      <c r="AZ14" s="3"/>
      <c r="BA14" s="5"/>
      <c r="BC14" s="3"/>
      <c r="BD14" s="3"/>
      <c r="BE14" s="5"/>
    </row>
    <row r="15" spans="1:58" ht="30" x14ac:dyDescent="0.25">
      <c r="A15" t="s">
        <v>54</v>
      </c>
      <c r="B15" t="s">
        <v>33</v>
      </c>
      <c r="C15" t="s">
        <v>55</v>
      </c>
      <c r="D15" s="4" t="s">
        <v>56</v>
      </c>
      <c r="E15">
        <v>160</v>
      </c>
      <c r="F15" t="s">
        <v>36</v>
      </c>
      <c r="G15" s="3"/>
      <c r="H15" s="3"/>
      <c r="I15" s="5"/>
      <c r="K15" s="3"/>
      <c r="L15" s="3"/>
      <c r="M15" s="5"/>
      <c r="O15" s="3"/>
      <c r="P15" s="3"/>
      <c r="Q15" s="5"/>
      <c r="S15" s="3"/>
      <c r="T15" s="3"/>
      <c r="U15" s="5"/>
      <c r="W15" s="3"/>
      <c r="X15" s="3"/>
      <c r="Y15" s="5"/>
      <c r="AA15" s="3"/>
      <c r="AB15" s="3"/>
      <c r="AC15" s="5"/>
      <c r="AE15" s="3"/>
      <c r="AF15" s="3"/>
      <c r="AG15" s="5"/>
      <c r="AI15" s="3"/>
      <c r="AJ15" s="3"/>
      <c r="AK15" s="5"/>
      <c r="AM15" s="3"/>
      <c r="AN15" s="3"/>
      <c r="AO15" s="5"/>
      <c r="AQ15" s="3"/>
      <c r="AR15" s="3"/>
      <c r="AS15" s="5"/>
      <c r="AU15" s="3"/>
      <c r="AV15" s="3"/>
      <c r="AW15" s="5"/>
      <c r="AY15" s="3"/>
      <c r="AZ15" s="3"/>
      <c r="BA15" s="5"/>
      <c r="BC15" s="3"/>
      <c r="BD15" s="3"/>
      <c r="BE15" s="5"/>
    </row>
    <row r="16" spans="1:58" ht="30" x14ac:dyDescent="0.25">
      <c r="A16" t="s">
        <v>57</v>
      </c>
      <c r="B16" t="s">
        <v>33</v>
      </c>
      <c r="C16" t="s">
        <v>58</v>
      </c>
      <c r="D16" s="4" t="s">
        <v>59</v>
      </c>
      <c r="E16">
        <v>3180</v>
      </c>
      <c r="F16" t="s">
        <v>36</v>
      </c>
      <c r="G16" s="3"/>
      <c r="H16" s="3"/>
      <c r="I16" s="5"/>
      <c r="K16" s="3"/>
      <c r="L16" s="3"/>
      <c r="M16" s="5"/>
      <c r="O16" s="3"/>
      <c r="P16" s="3"/>
      <c r="Q16" s="5"/>
      <c r="S16" s="3">
        <v>38.25</v>
      </c>
      <c r="T16" s="3">
        <v>3180</v>
      </c>
      <c r="U16" s="5">
        <v>121635</v>
      </c>
      <c r="V16" s="4" t="s">
        <v>60</v>
      </c>
      <c r="W16" s="3">
        <v>20.34</v>
      </c>
      <c r="X16" s="3">
        <v>3180</v>
      </c>
      <c r="Y16" s="5">
        <v>64681.2</v>
      </c>
      <c r="Z16" t="s">
        <v>61</v>
      </c>
      <c r="AA16" s="3"/>
      <c r="AB16" s="3"/>
      <c r="AC16" s="5"/>
      <c r="AE16" s="3"/>
      <c r="AF16" s="3"/>
      <c r="AG16" s="5"/>
      <c r="AI16" s="3"/>
      <c r="AJ16" s="3"/>
      <c r="AK16" s="5"/>
      <c r="AM16" s="3"/>
      <c r="AN16" s="3"/>
      <c r="AO16" s="5"/>
      <c r="AQ16" s="3"/>
      <c r="AR16" s="3"/>
      <c r="AS16" s="5"/>
      <c r="AU16" s="3"/>
      <c r="AV16" s="3"/>
      <c r="AW16" s="5"/>
      <c r="AY16" s="3"/>
      <c r="AZ16" s="3"/>
      <c r="BA16" s="5"/>
      <c r="BC16" s="3"/>
      <c r="BD16" s="3"/>
      <c r="BE16" s="5"/>
    </row>
    <row r="17" spans="1:57" ht="30" x14ac:dyDescent="0.25">
      <c r="A17" t="s">
        <v>62</v>
      </c>
      <c r="B17" t="s">
        <v>33</v>
      </c>
      <c r="C17" t="s">
        <v>63</v>
      </c>
      <c r="D17" s="4" t="s">
        <v>64</v>
      </c>
      <c r="E17">
        <v>1200</v>
      </c>
      <c r="F17" t="s">
        <v>36</v>
      </c>
      <c r="G17" s="3"/>
      <c r="H17" s="3"/>
      <c r="I17" s="5"/>
      <c r="K17" s="3"/>
      <c r="L17" s="3"/>
      <c r="M17" s="5"/>
      <c r="O17" s="3"/>
      <c r="P17" s="3"/>
      <c r="Q17" s="5"/>
      <c r="S17" s="3">
        <v>1682.5</v>
      </c>
      <c r="T17" s="3">
        <v>1200</v>
      </c>
      <c r="U17" s="5">
        <v>2019000</v>
      </c>
      <c r="V17" s="4" t="s">
        <v>65</v>
      </c>
      <c r="W17" s="3">
        <v>20.14</v>
      </c>
      <c r="X17" s="3">
        <v>1200</v>
      </c>
      <c r="Y17" s="5">
        <v>24168</v>
      </c>
      <c r="Z17" t="s">
        <v>66</v>
      </c>
      <c r="AA17" s="3"/>
      <c r="AB17" s="3"/>
      <c r="AC17" s="5"/>
      <c r="AE17" s="3"/>
      <c r="AF17" s="3"/>
      <c r="AG17" s="5"/>
      <c r="AI17" s="3"/>
      <c r="AJ17" s="3"/>
      <c r="AK17" s="5"/>
      <c r="AM17" s="3"/>
      <c r="AN17" s="3"/>
      <c r="AO17" s="5"/>
      <c r="AQ17" s="3"/>
      <c r="AR17" s="3"/>
      <c r="AS17" s="5"/>
      <c r="AU17" s="3"/>
      <c r="AV17" s="3"/>
      <c r="AW17" s="5"/>
      <c r="AY17" s="3"/>
      <c r="AZ17" s="3"/>
      <c r="BA17" s="5"/>
      <c r="BC17" s="3"/>
      <c r="BD17" s="3"/>
      <c r="BE17" s="5"/>
    </row>
    <row r="18" spans="1:57" ht="45" x14ac:dyDescent="0.25">
      <c r="A18" t="s">
        <v>67</v>
      </c>
      <c r="B18" t="s">
        <v>33</v>
      </c>
      <c r="C18" t="s">
        <v>68</v>
      </c>
      <c r="D18" s="4" t="s">
        <v>69</v>
      </c>
      <c r="E18">
        <v>120</v>
      </c>
      <c r="F18" t="s">
        <v>36</v>
      </c>
      <c r="G18" s="3"/>
      <c r="H18" s="3"/>
      <c r="I18" s="5"/>
      <c r="K18" s="3"/>
      <c r="L18" s="3"/>
      <c r="M18" s="5"/>
      <c r="O18" s="3"/>
      <c r="P18" s="3"/>
      <c r="Q18" s="5"/>
      <c r="S18" s="3">
        <v>2984.85</v>
      </c>
      <c r="T18" s="3">
        <v>120</v>
      </c>
      <c r="U18" s="5">
        <v>358182</v>
      </c>
      <c r="V18" s="4" t="s">
        <v>70</v>
      </c>
      <c r="W18" s="3">
        <v>2640.82</v>
      </c>
      <c r="X18" s="3">
        <v>120</v>
      </c>
      <c r="Y18" s="5">
        <v>316898.40000000002</v>
      </c>
      <c r="Z18" s="4" t="s">
        <v>71</v>
      </c>
      <c r="AA18" s="3"/>
      <c r="AB18" s="3"/>
      <c r="AC18" s="5"/>
      <c r="AE18" s="3"/>
      <c r="AF18" s="3"/>
      <c r="AG18" s="5"/>
      <c r="AI18" s="3"/>
      <c r="AJ18" s="3"/>
      <c r="AK18" s="5"/>
      <c r="AM18" s="3"/>
      <c r="AN18" s="3"/>
      <c r="AO18" s="5"/>
      <c r="AQ18" s="3"/>
      <c r="AR18" s="3"/>
      <c r="AS18" s="5"/>
      <c r="AU18" s="3"/>
      <c r="AV18" s="3"/>
      <c r="AW18" s="5"/>
      <c r="AY18" s="3"/>
      <c r="AZ18" s="3"/>
      <c r="BA18" s="5"/>
      <c r="BC18" s="3"/>
      <c r="BD18" s="3"/>
      <c r="BE18" s="5"/>
    </row>
    <row r="19" spans="1:57" ht="45" x14ac:dyDescent="0.25">
      <c r="A19" t="s">
        <v>72</v>
      </c>
      <c r="B19" t="s">
        <v>33</v>
      </c>
      <c r="C19" t="s">
        <v>73</v>
      </c>
      <c r="D19" s="4" t="s">
        <v>74</v>
      </c>
      <c r="E19">
        <v>200</v>
      </c>
      <c r="F19" t="s">
        <v>36</v>
      </c>
      <c r="G19" s="3"/>
      <c r="H19" s="3"/>
      <c r="I19" s="5"/>
      <c r="K19" s="3"/>
      <c r="L19" s="3"/>
      <c r="M19" s="5"/>
      <c r="O19" s="3"/>
      <c r="P19" s="3"/>
      <c r="Q19" s="5"/>
      <c r="S19" s="3">
        <v>2758.35</v>
      </c>
      <c r="T19" s="3">
        <v>200</v>
      </c>
      <c r="U19" s="5">
        <v>551670</v>
      </c>
      <c r="V19" s="4" t="s">
        <v>75</v>
      </c>
      <c r="W19" s="3">
        <v>2719.7</v>
      </c>
      <c r="X19" s="3">
        <v>200</v>
      </c>
      <c r="Y19" s="5">
        <v>543940</v>
      </c>
      <c r="Z19" s="4" t="s">
        <v>76</v>
      </c>
      <c r="AA19" s="3"/>
      <c r="AB19" s="3"/>
      <c r="AC19" s="5"/>
      <c r="AE19" s="3"/>
      <c r="AF19" s="3"/>
      <c r="AG19" s="5"/>
      <c r="AI19" s="3"/>
      <c r="AJ19" s="3"/>
      <c r="AK19" s="5"/>
      <c r="AM19" s="3"/>
      <c r="AN19" s="3"/>
      <c r="AO19" s="5"/>
      <c r="AQ19" s="3"/>
      <c r="AR19" s="3"/>
      <c r="AS19" s="5"/>
      <c r="AU19" s="3"/>
      <c r="AV19" s="3"/>
      <c r="AW19" s="5"/>
      <c r="AY19" s="3"/>
      <c r="AZ19" s="3"/>
      <c r="BA19" s="5"/>
      <c r="BC19" s="3"/>
      <c r="BD19" s="3"/>
      <c r="BE19" s="5"/>
    </row>
    <row r="20" spans="1:57" ht="45" x14ac:dyDescent="0.25">
      <c r="A20" t="s">
        <v>77</v>
      </c>
      <c r="B20" t="s">
        <v>33</v>
      </c>
      <c r="C20" t="s">
        <v>78</v>
      </c>
      <c r="D20" s="4" t="s">
        <v>79</v>
      </c>
      <c r="E20">
        <v>100</v>
      </c>
      <c r="F20" t="s">
        <v>36</v>
      </c>
      <c r="G20" s="3"/>
      <c r="H20" s="3"/>
      <c r="I20" s="5"/>
      <c r="K20" s="3"/>
      <c r="L20" s="3"/>
      <c r="M20" s="5"/>
      <c r="O20" s="3"/>
      <c r="P20" s="3"/>
      <c r="Q20" s="5"/>
      <c r="S20" s="3">
        <v>5544.75</v>
      </c>
      <c r="T20" s="3">
        <v>100</v>
      </c>
      <c r="U20" s="5">
        <v>554475</v>
      </c>
      <c r="V20" s="4" t="s">
        <v>80</v>
      </c>
      <c r="W20" s="3">
        <v>3857.4</v>
      </c>
      <c r="X20" s="3">
        <v>100</v>
      </c>
      <c r="Y20" s="5">
        <v>385740</v>
      </c>
      <c r="Z20" s="4" t="s">
        <v>81</v>
      </c>
      <c r="AA20" s="3"/>
      <c r="AB20" s="3"/>
      <c r="AC20" s="5"/>
      <c r="AE20" s="3"/>
      <c r="AF20" s="3"/>
      <c r="AG20" s="5"/>
      <c r="AI20" s="3"/>
      <c r="AJ20" s="3"/>
      <c r="AK20" s="5"/>
      <c r="AM20" s="3"/>
      <c r="AN20" s="3"/>
      <c r="AO20" s="5"/>
      <c r="AQ20" s="3"/>
      <c r="AR20" s="3"/>
      <c r="AS20" s="5"/>
      <c r="AU20" s="3"/>
      <c r="AV20" s="3"/>
      <c r="AW20" s="5"/>
      <c r="AY20" s="3"/>
      <c r="AZ20" s="3"/>
      <c r="BA20" s="5"/>
      <c r="BC20" s="3"/>
      <c r="BD20" s="3"/>
      <c r="BE20" s="5"/>
    </row>
    <row r="21" spans="1:57" ht="45" x14ac:dyDescent="0.25">
      <c r="A21" t="s">
        <v>82</v>
      </c>
      <c r="B21" t="s">
        <v>33</v>
      </c>
      <c r="C21" t="s">
        <v>83</v>
      </c>
      <c r="D21" s="4" t="s">
        <v>84</v>
      </c>
      <c r="E21">
        <v>35000</v>
      </c>
      <c r="F21" t="s">
        <v>36</v>
      </c>
      <c r="G21" s="3"/>
      <c r="H21" s="3"/>
      <c r="I21" s="5"/>
      <c r="K21" s="3"/>
      <c r="L21" s="3"/>
      <c r="M21" s="5"/>
      <c r="O21" s="3"/>
      <c r="P21" s="3"/>
      <c r="Q21" s="5"/>
      <c r="S21" s="3">
        <v>2.98</v>
      </c>
      <c r="T21" s="3">
        <v>35000</v>
      </c>
      <c r="U21" s="5">
        <v>104300</v>
      </c>
      <c r="V21" s="4" t="s">
        <v>85</v>
      </c>
      <c r="W21" s="3">
        <v>2.0499999999999998</v>
      </c>
      <c r="X21" s="3">
        <v>35000</v>
      </c>
      <c r="Y21" s="5">
        <v>71750</v>
      </c>
      <c r="Z21" s="4" t="s">
        <v>86</v>
      </c>
      <c r="AA21" s="3">
        <v>2.19</v>
      </c>
      <c r="AB21" s="3">
        <v>35000</v>
      </c>
      <c r="AC21" s="5">
        <v>76650</v>
      </c>
      <c r="AD21" s="4" t="s">
        <v>87</v>
      </c>
      <c r="AE21" s="3"/>
      <c r="AF21" s="3"/>
      <c r="AG21" s="5"/>
      <c r="AI21" s="3"/>
      <c r="AJ21" s="3"/>
      <c r="AK21" s="5"/>
      <c r="AM21" s="3"/>
      <c r="AN21" s="3"/>
      <c r="AO21" s="5"/>
      <c r="AQ21" s="3"/>
      <c r="AR21" s="3"/>
      <c r="AS21" s="5"/>
      <c r="AU21" s="3"/>
      <c r="AV21" s="3"/>
      <c r="AW21" s="5"/>
      <c r="AY21" s="3"/>
      <c r="AZ21" s="3"/>
      <c r="BA21" s="5"/>
      <c r="BC21" s="3"/>
      <c r="BD21" s="3"/>
      <c r="BE21" s="5"/>
    </row>
    <row r="22" spans="1:57" ht="45" x14ac:dyDescent="0.25">
      <c r="A22" t="s">
        <v>88</v>
      </c>
      <c r="B22" t="s">
        <v>33</v>
      </c>
      <c r="C22" t="s">
        <v>89</v>
      </c>
      <c r="D22" s="4" t="s">
        <v>90</v>
      </c>
      <c r="E22">
        <v>5000</v>
      </c>
      <c r="F22" t="s">
        <v>36</v>
      </c>
      <c r="G22" s="3"/>
      <c r="H22" s="3"/>
      <c r="I22" s="5"/>
      <c r="K22" s="3"/>
      <c r="L22" s="3"/>
      <c r="M22" s="5"/>
      <c r="O22" s="3"/>
      <c r="P22" s="3"/>
      <c r="Q22" s="5"/>
      <c r="S22" s="3">
        <v>15.2</v>
      </c>
      <c r="T22" s="3">
        <v>5000</v>
      </c>
      <c r="U22" s="5">
        <v>76000</v>
      </c>
      <c r="V22" s="4" t="s">
        <v>91</v>
      </c>
      <c r="W22" s="3">
        <v>14.14</v>
      </c>
      <c r="X22" s="3">
        <v>5000</v>
      </c>
      <c r="Y22" s="5">
        <v>70700</v>
      </c>
      <c r="Z22" s="4" t="s">
        <v>92</v>
      </c>
      <c r="AA22" s="3">
        <v>20.84</v>
      </c>
      <c r="AB22" s="3">
        <v>5000</v>
      </c>
      <c r="AC22" s="5">
        <v>104200</v>
      </c>
      <c r="AD22" s="4" t="s">
        <v>93</v>
      </c>
      <c r="AE22" s="3"/>
      <c r="AF22" s="3"/>
      <c r="AG22" s="5"/>
      <c r="AI22" s="3"/>
      <c r="AJ22" s="3"/>
      <c r="AK22" s="5"/>
      <c r="AM22" s="3"/>
      <c r="AN22" s="3"/>
      <c r="AO22" s="5"/>
      <c r="AQ22" s="3"/>
      <c r="AR22" s="3"/>
      <c r="AS22" s="5"/>
      <c r="AU22" s="3"/>
      <c r="AV22" s="3"/>
      <c r="AW22" s="5"/>
      <c r="AY22" s="3"/>
      <c r="AZ22" s="3"/>
      <c r="BA22" s="5"/>
      <c r="BC22" s="3"/>
      <c r="BD22" s="3"/>
      <c r="BE22" s="5"/>
    </row>
    <row r="23" spans="1:57" ht="45" x14ac:dyDescent="0.25">
      <c r="A23" t="s">
        <v>94</v>
      </c>
      <c r="B23" t="s">
        <v>33</v>
      </c>
      <c r="C23" t="s">
        <v>95</v>
      </c>
      <c r="D23" s="4" t="s">
        <v>96</v>
      </c>
      <c r="E23">
        <v>10000</v>
      </c>
      <c r="F23" t="s">
        <v>36</v>
      </c>
      <c r="G23" s="3"/>
      <c r="H23" s="3"/>
      <c r="I23" s="5"/>
      <c r="K23" s="3"/>
      <c r="L23" s="3"/>
      <c r="M23" s="5"/>
      <c r="O23" s="3"/>
      <c r="P23" s="3"/>
      <c r="Q23" s="5"/>
      <c r="S23" s="3">
        <v>9.85</v>
      </c>
      <c r="T23" s="3">
        <v>10000</v>
      </c>
      <c r="U23" s="5">
        <v>98500</v>
      </c>
      <c r="V23" t="s">
        <v>97</v>
      </c>
      <c r="W23" s="3">
        <v>7.67</v>
      </c>
      <c r="X23" s="3">
        <v>10000</v>
      </c>
      <c r="Y23" s="5">
        <v>76700</v>
      </c>
      <c r="Z23" s="4" t="s">
        <v>98</v>
      </c>
      <c r="AA23" s="3">
        <v>11</v>
      </c>
      <c r="AB23" s="3">
        <v>10000</v>
      </c>
      <c r="AC23" s="5">
        <v>110000</v>
      </c>
      <c r="AD23" s="4" t="s">
        <v>99</v>
      </c>
      <c r="AE23" s="3"/>
      <c r="AF23" s="3"/>
      <c r="AG23" s="5"/>
      <c r="AI23" s="3"/>
      <c r="AJ23" s="3"/>
      <c r="AK23" s="5"/>
      <c r="AM23" s="3"/>
      <c r="AN23" s="3"/>
      <c r="AO23" s="5"/>
      <c r="AQ23" s="3"/>
      <c r="AR23" s="3"/>
      <c r="AS23" s="5"/>
      <c r="AU23" s="3"/>
      <c r="AV23" s="3"/>
      <c r="AW23" s="5"/>
      <c r="AY23" s="3"/>
      <c r="AZ23" s="3"/>
      <c r="BA23" s="5"/>
      <c r="BC23" s="3"/>
      <c r="BD23" s="3"/>
      <c r="BE23" s="5"/>
    </row>
    <row r="24" spans="1:57" ht="45" x14ac:dyDescent="0.25">
      <c r="A24" t="s">
        <v>100</v>
      </c>
      <c r="B24" t="s">
        <v>33</v>
      </c>
      <c r="C24" t="s">
        <v>101</v>
      </c>
      <c r="D24" s="4" t="s">
        <v>102</v>
      </c>
      <c r="E24">
        <v>3005</v>
      </c>
      <c r="F24" t="s">
        <v>36</v>
      </c>
      <c r="G24" s="3"/>
      <c r="H24" s="3"/>
      <c r="I24" s="5"/>
      <c r="K24" s="3"/>
      <c r="L24" s="3"/>
      <c r="M24" s="5"/>
      <c r="O24" s="3">
        <v>478</v>
      </c>
      <c r="P24" s="3">
        <v>3005</v>
      </c>
      <c r="Q24" s="5">
        <v>1436390</v>
      </c>
      <c r="R24" s="4" t="s">
        <v>103</v>
      </c>
      <c r="S24" s="3"/>
      <c r="T24" s="3"/>
      <c r="U24" s="5"/>
      <c r="W24" s="3">
        <v>497.5</v>
      </c>
      <c r="X24" s="3">
        <v>3005</v>
      </c>
      <c r="Y24" s="5">
        <v>1494987.5</v>
      </c>
      <c r="Z24" s="4" t="s">
        <v>104</v>
      </c>
      <c r="AA24" s="3"/>
      <c r="AB24" s="3"/>
      <c r="AC24" s="5"/>
      <c r="AE24" s="3"/>
      <c r="AF24" s="3"/>
      <c r="AG24" s="5"/>
      <c r="AI24" s="3"/>
      <c r="AJ24" s="3"/>
      <c r="AK24" s="5"/>
      <c r="AM24" s="3"/>
      <c r="AN24" s="3"/>
      <c r="AO24" s="5"/>
      <c r="AQ24" s="3"/>
      <c r="AR24" s="3"/>
      <c r="AS24" s="5"/>
      <c r="AU24" s="3"/>
      <c r="AV24" s="3"/>
      <c r="AW24" s="5"/>
      <c r="AY24" s="3"/>
      <c r="AZ24" s="3"/>
      <c r="BA24" s="5"/>
      <c r="BC24" s="3"/>
      <c r="BD24" s="3"/>
      <c r="BE24" s="5"/>
    </row>
    <row r="25" spans="1:57" ht="30" x14ac:dyDescent="0.25">
      <c r="A25" t="s">
        <v>105</v>
      </c>
      <c r="B25" t="s">
        <v>33</v>
      </c>
      <c r="C25" t="s">
        <v>106</v>
      </c>
      <c r="D25" s="4" t="s">
        <v>107</v>
      </c>
      <c r="E25">
        <v>6100</v>
      </c>
      <c r="F25" t="s">
        <v>36</v>
      </c>
      <c r="G25" s="3"/>
      <c r="H25" s="3"/>
      <c r="I25" s="5"/>
      <c r="K25" s="3"/>
      <c r="L25" s="3"/>
      <c r="M25" s="5"/>
      <c r="O25" s="3"/>
      <c r="P25" s="3"/>
      <c r="Q25" s="5"/>
      <c r="S25" s="3">
        <v>159.94999999999999</v>
      </c>
      <c r="T25" s="3">
        <v>6100</v>
      </c>
      <c r="U25" s="5">
        <v>975695</v>
      </c>
      <c r="V25" s="4" t="s">
        <v>108</v>
      </c>
      <c r="W25" s="3">
        <v>152.24</v>
      </c>
      <c r="X25" s="3">
        <v>6100</v>
      </c>
      <c r="Y25" s="5">
        <v>928664</v>
      </c>
      <c r="Z25" s="4" t="s">
        <v>109</v>
      </c>
      <c r="AA25" s="3"/>
      <c r="AB25" s="3"/>
      <c r="AC25" s="5"/>
      <c r="AE25" s="3"/>
      <c r="AF25" s="3"/>
      <c r="AG25" s="5"/>
      <c r="AI25" s="3"/>
      <c r="AJ25" s="3"/>
      <c r="AK25" s="5"/>
      <c r="AM25" s="3"/>
      <c r="AN25" s="3"/>
      <c r="AO25" s="5"/>
      <c r="AQ25" s="3"/>
      <c r="AR25" s="3"/>
      <c r="AS25" s="5"/>
      <c r="AU25" s="3"/>
      <c r="AV25" s="3"/>
      <c r="AW25" s="5"/>
      <c r="AY25" s="3"/>
      <c r="AZ25" s="3"/>
      <c r="BA25" s="5"/>
      <c r="BC25" s="3"/>
      <c r="BD25" s="3"/>
      <c r="BE25" s="5"/>
    </row>
    <row r="26" spans="1:57" ht="30" x14ac:dyDescent="0.25">
      <c r="A26" t="s">
        <v>110</v>
      </c>
      <c r="B26" t="s">
        <v>33</v>
      </c>
      <c r="C26" t="s">
        <v>111</v>
      </c>
      <c r="D26" s="4" t="s">
        <v>112</v>
      </c>
      <c r="E26">
        <v>100</v>
      </c>
      <c r="F26" t="s">
        <v>36</v>
      </c>
      <c r="G26" s="3"/>
      <c r="H26" s="3"/>
      <c r="I26" s="5"/>
      <c r="K26" s="3"/>
      <c r="L26" s="3"/>
      <c r="M26" s="5"/>
      <c r="O26" s="3"/>
      <c r="P26" s="3"/>
      <c r="Q26" s="5"/>
      <c r="S26" s="3"/>
      <c r="T26" s="3"/>
      <c r="U26" s="5"/>
      <c r="W26" s="3">
        <v>260.20999999999998</v>
      </c>
      <c r="X26" s="3">
        <v>100</v>
      </c>
      <c r="Y26" s="5">
        <v>26021</v>
      </c>
      <c r="Z26" s="4" t="s">
        <v>113</v>
      </c>
      <c r="AA26" s="3"/>
      <c r="AB26" s="3"/>
      <c r="AC26" s="5"/>
      <c r="AE26" s="3"/>
      <c r="AF26" s="3"/>
      <c r="AG26" s="5"/>
      <c r="AI26" s="3"/>
      <c r="AJ26" s="3"/>
      <c r="AK26" s="5"/>
      <c r="AM26" s="3"/>
      <c r="AN26" s="3"/>
      <c r="AO26" s="5"/>
      <c r="AQ26" s="3"/>
      <c r="AR26" s="3"/>
      <c r="AS26" s="5"/>
      <c r="AU26" s="3"/>
      <c r="AV26" s="3"/>
      <c r="AW26" s="5"/>
      <c r="AY26" s="3"/>
      <c r="AZ26" s="3"/>
      <c r="BA26" s="5"/>
      <c r="BC26" s="3"/>
      <c r="BD26" s="3"/>
      <c r="BE26" s="5"/>
    </row>
    <row r="27" spans="1:57" ht="30" x14ac:dyDescent="0.25">
      <c r="A27" t="s">
        <v>114</v>
      </c>
      <c r="B27" t="s">
        <v>33</v>
      </c>
      <c r="C27" t="s">
        <v>115</v>
      </c>
      <c r="D27" s="4" t="s">
        <v>116</v>
      </c>
      <c r="E27">
        <v>700</v>
      </c>
      <c r="F27" t="s">
        <v>36</v>
      </c>
      <c r="G27" s="3"/>
      <c r="H27" s="3"/>
      <c r="I27" s="5"/>
      <c r="K27" s="3"/>
      <c r="L27" s="3"/>
      <c r="M27" s="5"/>
      <c r="O27" s="3"/>
      <c r="P27" s="3"/>
      <c r="Q27" s="5"/>
      <c r="S27" s="3"/>
      <c r="T27" s="3"/>
      <c r="U27" s="5"/>
      <c r="W27" s="3">
        <v>48.98</v>
      </c>
      <c r="X27" s="3">
        <v>700</v>
      </c>
      <c r="Y27" s="5">
        <v>34286</v>
      </c>
      <c r="Z27" s="4" t="s">
        <v>117</v>
      </c>
      <c r="AA27" s="3"/>
      <c r="AB27" s="3"/>
      <c r="AC27" s="5"/>
      <c r="AE27" s="3"/>
      <c r="AF27" s="3"/>
      <c r="AG27" s="5"/>
      <c r="AI27" s="3"/>
      <c r="AJ27" s="3"/>
      <c r="AK27" s="5"/>
      <c r="AM27" s="3"/>
      <c r="AN27" s="3"/>
      <c r="AO27" s="5"/>
      <c r="AQ27" s="3"/>
      <c r="AR27" s="3"/>
      <c r="AS27" s="5"/>
      <c r="AU27" s="3"/>
      <c r="AV27" s="3"/>
      <c r="AW27" s="5"/>
      <c r="AY27" s="3"/>
      <c r="AZ27" s="3"/>
      <c r="BA27" s="5"/>
      <c r="BC27" s="3"/>
      <c r="BD27" s="3"/>
      <c r="BE27" s="5"/>
    </row>
    <row r="28" spans="1:57" ht="30" x14ac:dyDescent="0.25">
      <c r="A28" t="s">
        <v>118</v>
      </c>
      <c r="B28" t="s">
        <v>33</v>
      </c>
      <c r="C28" t="s">
        <v>119</v>
      </c>
      <c r="D28" s="4" t="s">
        <v>120</v>
      </c>
      <c r="E28">
        <v>480</v>
      </c>
      <c r="F28" t="s">
        <v>36</v>
      </c>
      <c r="G28" s="3"/>
      <c r="H28" s="3"/>
      <c r="I28" s="5"/>
      <c r="K28" s="3"/>
      <c r="L28" s="3"/>
      <c r="M28" s="5"/>
      <c r="O28" s="3"/>
      <c r="P28" s="3"/>
      <c r="Q28" s="5"/>
      <c r="S28" s="3"/>
      <c r="T28" s="3"/>
      <c r="U28" s="5"/>
      <c r="W28" s="3">
        <v>211.49</v>
      </c>
      <c r="X28" s="3">
        <v>480</v>
      </c>
      <c r="Y28" s="5">
        <v>101515.2</v>
      </c>
      <c r="Z28" s="4" t="s">
        <v>121</v>
      </c>
      <c r="AA28" s="3"/>
      <c r="AB28" s="3"/>
      <c r="AC28" s="5"/>
      <c r="AE28" s="3"/>
      <c r="AF28" s="3"/>
      <c r="AG28" s="5"/>
      <c r="AI28" s="3"/>
      <c r="AJ28" s="3"/>
      <c r="AK28" s="5"/>
      <c r="AM28" s="3"/>
      <c r="AN28" s="3"/>
      <c r="AO28" s="5"/>
      <c r="AQ28" s="3"/>
      <c r="AR28" s="3"/>
      <c r="AS28" s="5"/>
      <c r="AU28" s="3"/>
      <c r="AV28" s="3"/>
      <c r="AW28" s="5"/>
      <c r="AY28" s="3"/>
      <c r="AZ28" s="3"/>
      <c r="BA28" s="5"/>
      <c r="BC28" s="3"/>
      <c r="BD28" s="3"/>
      <c r="BE28" s="5"/>
    </row>
    <row r="29" spans="1:57" x14ac:dyDescent="0.25">
      <c r="A29" t="s">
        <v>122</v>
      </c>
      <c r="B29" t="s">
        <v>33</v>
      </c>
      <c r="C29" t="s">
        <v>123</v>
      </c>
      <c r="D29" t="s">
        <v>124</v>
      </c>
      <c r="E29">
        <v>10</v>
      </c>
      <c r="F29" t="s">
        <v>36</v>
      </c>
      <c r="G29" s="3"/>
      <c r="H29" s="3"/>
      <c r="I29" s="5"/>
      <c r="K29" s="3"/>
      <c r="L29" s="3"/>
      <c r="M29" s="5"/>
      <c r="O29" s="3"/>
      <c r="P29" s="3"/>
      <c r="Q29" s="5"/>
      <c r="S29" s="3"/>
      <c r="T29" s="3"/>
      <c r="U29" s="5"/>
      <c r="W29" s="3"/>
      <c r="X29" s="3"/>
      <c r="Y29" s="5"/>
      <c r="AA29" s="3"/>
      <c r="AB29" s="3"/>
      <c r="AC29" s="5"/>
      <c r="AE29" s="3"/>
      <c r="AF29" s="3"/>
      <c r="AG29" s="5"/>
      <c r="AI29" s="3"/>
      <c r="AJ29" s="3"/>
      <c r="AK29" s="5"/>
      <c r="AM29" s="3"/>
      <c r="AN29" s="3"/>
      <c r="AO29" s="5"/>
      <c r="AQ29" s="3"/>
      <c r="AR29" s="3"/>
      <c r="AS29" s="5"/>
      <c r="AU29" s="3"/>
      <c r="AV29" s="3"/>
      <c r="AW29" s="5"/>
      <c r="AY29" s="3"/>
      <c r="AZ29" s="3"/>
      <c r="BA29" s="5"/>
      <c r="BC29" s="3"/>
      <c r="BD29" s="3"/>
      <c r="BE29" s="5"/>
    </row>
    <row r="30" spans="1:57" x14ac:dyDescent="0.25">
      <c r="A30" t="s">
        <v>125</v>
      </c>
      <c r="B30" t="s">
        <v>33</v>
      </c>
      <c r="C30" t="s">
        <v>126</v>
      </c>
      <c r="D30" t="s">
        <v>127</v>
      </c>
      <c r="E30">
        <v>5</v>
      </c>
      <c r="F30" t="s">
        <v>36</v>
      </c>
      <c r="G30" s="3"/>
      <c r="H30" s="3"/>
      <c r="I30" s="5"/>
      <c r="K30" s="3"/>
      <c r="L30" s="3"/>
      <c r="M30" s="5"/>
      <c r="O30" s="3"/>
      <c r="P30" s="3"/>
      <c r="Q30" s="5"/>
      <c r="S30" s="3"/>
      <c r="T30" s="3"/>
      <c r="U30" s="5"/>
      <c r="W30" s="3"/>
      <c r="X30" s="3"/>
      <c r="Y30" s="5"/>
      <c r="AA30" s="3"/>
      <c r="AB30" s="3"/>
      <c r="AC30" s="5"/>
      <c r="AE30" s="3"/>
      <c r="AF30" s="3"/>
      <c r="AG30" s="5"/>
      <c r="AI30" s="3"/>
      <c r="AJ30" s="3"/>
      <c r="AK30" s="5"/>
      <c r="AM30" s="3"/>
      <c r="AN30" s="3"/>
      <c r="AO30" s="5"/>
      <c r="AQ30" s="3"/>
      <c r="AR30" s="3"/>
      <c r="AS30" s="5"/>
      <c r="AU30" s="3"/>
      <c r="AV30" s="3"/>
      <c r="AW30" s="5"/>
      <c r="AY30" s="3"/>
      <c r="AZ30" s="3"/>
      <c r="BA30" s="5"/>
      <c r="BC30" s="3"/>
      <c r="BD30" s="3"/>
      <c r="BE30" s="5"/>
    </row>
    <row r="31" spans="1:57" ht="30" x14ac:dyDescent="0.25">
      <c r="A31" t="s">
        <v>128</v>
      </c>
      <c r="B31" t="s">
        <v>33</v>
      </c>
      <c r="C31" t="s">
        <v>129</v>
      </c>
      <c r="D31" s="4" t="s">
        <v>130</v>
      </c>
      <c r="E31">
        <v>8000</v>
      </c>
      <c r="F31" t="s">
        <v>36</v>
      </c>
      <c r="G31" s="3"/>
      <c r="H31" s="3"/>
      <c r="I31" s="5"/>
      <c r="K31" s="3"/>
      <c r="L31" s="3"/>
      <c r="M31" s="5"/>
      <c r="O31" s="3"/>
      <c r="P31" s="3"/>
      <c r="Q31" s="5"/>
      <c r="S31" s="3">
        <v>16.95</v>
      </c>
      <c r="T31" s="3">
        <v>8000</v>
      </c>
      <c r="U31" s="5">
        <v>135600</v>
      </c>
      <c r="V31" t="s">
        <v>131</v>
      </c>
      <c r="W31" s="3">
        <v>13.77</v>
      </c>
      <c r="X31" s="3">
        <v>8000</v>
      </c>
      <c r="Y31" s="5">
        <v>110160</v>
      </c>
      <c r="Z31" t="s">
        <v>132</v>
      </c>
      <c r="AA31" s="3">
        <v>20.25</v>
      </c>
      <c r="AB31" s="3">
        <v>8000</v>
      </c>
      <c r="AC31" s="5">
        <v>162000</v>
      </c>
      <c r="AD31" s="4" t="s">
        <v>133</v>
      </c>
      <c r="AE31" s="3"/>
      <c r="AF31" s="3"/>
      <c r="AG31" s="5"/>
      <c r="AI31" s="3"/>
      <c r="AJ31" s="3"/>
      <c r="AK31" s="5"/>
      <c r="AM31" s="3"/>
      <c r="AN31" s="3"/>
      <c r="AO31" s="5"/>
      <c r="AQ31" s="3"/>
      <c r="AR31" s="3"/>
      <c r="AS31" s="5"/>
      <c r="AU31" s="3"/>
      <c r="AV31" s="3"/>
      <c r="AW31" s="5"/>
      <c r="AY31" s="3"/>
      <c r="AZ31" s="3"/>
      <c r="BA31" s="5"/>
      <c r="BC31" s="3"/>
      <c r="BD31" s="3"/>
      <c r="BE31" s="5"/>
    </row>
    <row r="32" spans="1:57" ht="30" x14ac:dyDescent="0.25">
      <c r="A32" t="s">
        <v>134</v>
      </c>
      <c r="B32" t="s">
        <v>33</v>
      </c>
      <c r="C32" t="s">
        <v>135</v>
      </c>
      <c r="D32" s="4" t="s">
        <v>136</v>
      </c>
      <c r="E32">
        <v>25</v>
      </c>
      <c r="F32" t="s">
        <v>36</v>
      </c>
      <c r="G32" s="3"/>
      <c r="H32" s="3"/>
      <c r="I32" s="5"/>
      <c r="K32" s="3"/>
      <c r="L32" s="3"/>
      <c r="M32" s="5"/>
      <c r="O32" s="3"/>
      <c r="P32" s="3"/>
      <c r="Q32" s="5"/>
      <c r="S32" s="3"/>
      <c r="T32" s="3"/>
      <c r="U32" s="5"/>
      <c r="W32" s="3"/>
      <c r="X32" s="3"/>
      <c r="Y32" s="5"/>
      <c r="AA32" s="3"/>
      <c r="AB32" s="3"/>
      <c r="AC32" s="5"/>
      <c r="AE32" s="3"/>
      <c r="AF32" s="3"/>
      <c r="AG32" s="5"/>
      <c r="AI32" s="3"/>
      <c r="AJ32" s="3"/>
      <c r="AK32" s="5"/>
      <c r="AM32" s="3"/>
      <c r="AN32" s="3"/>
      <c r="AO32" s="5"/>
      <c r="AQ32" s="3"/>
      <c r="AR32" s="3"/>
      <c r="AS32" s="5"/>
      <c r="AU32" s="3"/>
      <c r="AV32" s="3"/>
      <c r="AW32" s="5"/>
      <c r="AY32" s="3"/>
      <c r="AZ32" s="3"/>
      <c r="BA32" s="5"/>
      <c r="BC32" s="3"/>
      <c r="BD32" s="3"/>
      <c r="BE32" s="5"/>
    </row>
    <row r="33" spans="1:57" ht="45" x14ac:dyDescent="0.25">
      <c r="A33" t="s">
        <v>137</v>
      </c>
      <c r="B33" t="s">
        <v>33</v>
      </c>
      <c r="C33" t="s">
        <v>138</v>
      </c>
      <c r="D33" t="s">
        <v>139</v>
      </c>
      <c r="E33">
        <v>150000</v>
      </c>
      <c r="F33" t="s">
        <v>36</v>
      </c>
      <c r="G33" s="3"/>
      <c r="H33" s="3"/>
      <c r="I33" s="5"/>
      <c r="K33" s="3">
        <v>12.5</v>
      </c>
      <c r="L33" s="3">
        <v>150000</v>
      </c>
      <c r="M33" s="5">
        <v>1875000</v>
      </c>
      <c r="N33" t="s">
        <v>140</v>
      </c>
      <c r="O33" s="3">
        <v>9.8000000000000007</v>
      </c>
      <c r="P33" s="3">
        <v>150000</v>
      </c>
      <c r="Q33" s="5">
        <v>1470000</v>
      </c>
      <c r="R33" s="4" t="s">
        <v>141</v>
      </c>
      <c r="S33" s="3"/>
      <c r="T33" s="3"/>
      <c r="U33" s="5"/>
      <c r="W33" s="3"/>
      <c r="X33" s="3"/>
      <c r="Y33" s="5"/>
      <c r="AA33" s="3"/>
      <c r="AB33" s="3"/>
      <c r="AC33" s="5"/>
      <c r="AE33" s="3">
        <v>12</v>
      </c>
      <c r="AF33" s="3">
        <v>150000</v>
      </c>
      <c r="AG33" s="5">
        <v>1800000</v>
      </c>
      <c r="AH33" s="4" t="s">
        <v>142</v>
      </c>
      <c r="AI33" s="3">
        <v>17</v>
      </c>
      <c r="AJ33" s="3">
        <v>150000</v>
      </c>
      <c r="AK33" s="5">
        <v>2550000</v>
      </c>
      <c r="AL33" t="s">
        <v>143</v>
      </c>
      <c r="AM33" s="3">
        <v>12.97</v>
      </c>
      <c r="AN33" s="3">
        <v>150000</v>
      </c>
      <c r="AO33" s="5">
        <v>1945500</v>
      </c>
      <c r="AP33" s="4" t="s">
        <v>144</v>
      </c>
      <c r="AQ33" s="3">
        <v>16.899999999999999</v>
      </c>
      <c r="AR33" s="3">
        <v>150000</v>
      </c>
      <c r="AS33" s="5">
        <v>2535000</v>
      </c>
      <c r="AT33" s="4" t="s">
        <v>145</v>
      </c>
      <c r="AU33" s="3"/>
      <c r="AV33" s="3"/>
      <c r="AW33" s="5"/>
      <c r="AY33" s="3"/>
      <c r="AZ33" s="3"/>
      <c r="BA33" s="5"/>
      <c r="BC33" s="3"/>
      <c r="BD33" s="3"/>
      <c r="BE33" s="5"/>
    </row>
    <row r="34" spans="1:57" ht="45" x14ac:dyDescent="0.25">
      <c r="A34" t="s">
        <v>146</v>
      </c>
      <c r="B34" t="s">
        <v>33</v>
      </c>
      <c r="C34" t="s">
        <v>147</v>
      </c>
      <c r="D34" s="4" t="s">
        <v>148</v>
      </c>
      <c r="E34">
        <v>50</v>
      </c>
      <c r="F34" t="s">
        <v>36</v>
      </c>
      <c r="G34" s="3"/>
      <c r="H34" s="3"/>
      <c r="I34" s="5"/>
      <c r="K34" s="3"/>
      <c r="L34" s="3"/>
      <c r="M34" s="5"/>
      <c r="O34" s="3"/>
      <c r="P34" s="3"/>
      <c r="Q34" s="5"/>
      <c r="S34" s="3"/>
      <c r="T34" s="3"/>
      <c r="U34" s="5"/>
      <c r="W34" s="3"/>
      <c r="X34" s="3"/>
      <c r="Y34" s="5"/>
      <c r="AA34" s="3"/>
      <c r="AB34" s="3"/>
      <c r="AC34" s="5"/>
      <c r="AE34" s="3"/>
      <c r="AF34" s="3"/>
      <c r="AG34" s="5"/>
      <c r="AI34" s="3"/>
      <c r="AJ34" s="3"/>
      <c r="AK34" s="5"/>
      <c r="AM34" s="3"/>
      <c r="AN34" s="3"/>
      <c r="AO34" s="5"/>
      <c r="AQ34" s="3"/>
      <c r="AR34" s="3"/>
      <c r="AS34" s="5"/>
      <c r="AU34" s="3">
        <v>974.98</v>
      </c>
      <c r="AV34" s="3">
        <v>50</v>
      </c>
      <c r="AW34" s="5">
        <v>48749</v>
      </c>
      <c r="AX34" s="4" t="s">
        <v>149</v>
      </c>
      <c r="AY34" s="3"/>
      <c r="AZ34" s="3"/>
      <c r="BA34" s="5"/>
      <c r="BC34" s="3"/>
      <c r="BD34" s="3"/>
      <c r="BE34" s="5"/>
    </row>
    <row r="35" spans="1:57" ht="45" x14ac:dyDescent="0.25">
      <c r="A35" t="s">
        <v>150</v>
      </c>
      <c r="B35" t="s">
        <v>33</v>
      </c>
      <c r="C35" t="s">
        <v>151</v>
      </c>
      <c r="D35" s="4" t="s">
        <v>152</v>
      </c>
      <c r="E35">
        <v>1550</v>
      </c>
      <c r="F35" t="s">
        <v>36</v>
      </c>
      <c r="G35" s="3"/>
      <c r="H35" s="3"/>
      <c r="I35" s="5"/>
      <c r="K35" s="3"/>
      <c r="L35" s="3"/>
      <c r="M35" s="5"/>
      <c r="O35" s="3">
        <v>309</v>
      </c>
      <c r="P35" s="3">
        <v>1550</v>
      </c>
      <c r="Q35" s="5">
        <v>478950</v>
      </c>
      <c r="R35" s="4" t="s">
        <v>153</v>
      </c>
      <c r="S35" s="3"/>
      <c r="T35" s="3"/>
      <c r="U35" s="5"/>
      <c r="W35" s="3"/>
      <c r="X35" s="3"/>
      <c r="Y35" s="5"/>
      <c r="AA35" s="3"/>
      <c r="AB35" s="3"/>
      <c r="AC35" s="5"/>
      <c r="AE35" s="3">
        <v>45.02</v>
      </c>
      <c r="AF35" s="3">
        <v>1550</v>
      </c>
      <c r="AG35" s="5">
        <v>69781</v>
      </c>
      <c r="AH35" s="4" t="s">
        <v>154</v>
      </c>
      <c r="AI35" s="3">
        <v>350</v>
      </c>
      <c r="AJ35" s="3">
        <v>1550</v>
      </c>
      <c r="AK35" s="5">
        <v>542500</v>
      </c>
      <c r="AL35" s="4" t="s">
        <v>155</v>
      </c>
      <c r="AM35" s="3"/>
      <c r="AN35" s="3"/>
      <c r="AO35" s="5"/>
      <c r="AQ35" s="3"/>
      <c r="AR35" s="3"/>
      <c r="AS35" s="5"/>
      <c r="AU35" s="3">
        <v>965</v>
      </c>
      <c r="AV35" s="3">
        <v>1550</v>
      </c>
      <c r="AW35" s="5">
        <v>1495750</v>
      </c>
      <c r="AX35" t="s">
        <v>156</v>
      </c>
      <c r="AY35" s="3">
        <v>315.14</v>
      </c>
      <c r="AZ35" s="3">
        <v>1500</v>
      </c>
      <c r="BA35" s="5">
        <v>472710</v>
      </c>
      <c r="BB35" s="4" t="s">
        <v>157</v>
      </c>
      <c r="BC35" s="3"/>
      <c r="BD35" s="3"/>
      <c r="BE35" s="5"/>
    </row>
    <row r="36" spans="1:57" ht="45" x14ac:dyDescent="0.25">
      <c r="A36" t="s">
        <v>158</v>
      </c>
      <c r="B36" t="s">
        <v>33</v>
      </c>
      <c r="C36" t="s">
        <v>159</v>
      </c>
      <c r="D36" s="4" t="s">
        <v>160</v>
      </c>
      <c r="E36">
        <v>1050</v>
      </c>
      <c r="F36" t="s">
        <v>36</v>
      </c>
      <c r="G36" s="3"/>
      <c r="H36" s="3"/>
      <c r="I36" s="5"/>
      <c r="K36" s="3"/>
      <c r="L36" s="3"/>
      <c r="M36" s="5"/>
      <c r="O36" s="3">
        <v>309</v>
      </c>
      <c r="P36" s="3">
        <v>1050</v>
      </c>
      <c r="Q36" s="5">
        <v>324450</v>
      </c>
      <c r="R36" s="4" t="s">
        <v>161</v>
      </c>
      <c r="S36" s="3"/>
      <c r="T36" s="3"/>
      <c r="U36" s="5"/>
      <c r="W36" s="3"/>
      <c r="X36" s="3"/>
      <c r="Y36" s="5"/>
      <c r="AA36" s="3"/>
      <c r="AB36" s="3"/>
      <c r="AC36" s="5"/>
      <c r="AE36" s="3">
        <v>49.37</v>
      </c>
      <c r="AF36" s="3">
        <v>1050</v>
      </c>
      <c r="AG36" s="5">
        <v>51838.5</v>
      </c>
      <c r="AH36" s="4" t="s">
        <v>162</v>
      </c>
      <c r="AI36" s="3">
        <v>350</v>
      </c>
      <c r="AJ36" s="3">
        <v>1050</v>
      </c>
      <c r="AK36" s="5">
        <v>367500</v>
      </c>
      <c r="AL36" t="s">
        <v>163</v>
      </c>
      <c r="AM36" s="3"/>
      <c r="AN36" s="3"/>
      <c r="AO36" s="5"/>
      <c r="AQ36" s="3"/>
      <c r="AR36" s="3"/>
      <c r="AS36" s="5"/>
      <c r="AU36" s="3">
        <v>965</v>
      </c>
      <c r="AV36" s="3">
        <v>1050</v>
      </c>
      <c r="AW36" s="5">
        <v>1013250</v>
      </c>
      <c r="AX36" t="s">
        <v>164</v>
      </c>
      <c r="AY36" s="3">
        <v>283.49</v>
      </c>
      <c r="AZ36" s="3">
        <v>1050</v>
      </c>
      <c r="BA36" s="5">
        <v>297664.5</v>
      </c>
      <c r="BB36" s="4" t="s">
        <v>157</v>
      </c>
      <c r="BC36" s="3"/>
      <c r="BD36" s="3"/>
      <c r="BE36" s="5"/>
    </row>
    <row r="37" spans="1:57" ht="30" x14ac:dyDescent="0.25">
      <c r="A37" t="s">
        <v>165</v>
      </c>
      <c r="B37" t="s">
        <v>33</v>
      </c>
      <c r="C37" t="s">
        <v>166</v>
      </c>
      <c r="D37" t="s">
        <v>167</v>
      </c>
      <c r="E37">
        <v>4</v>
      </c>
      <c r="F37" t="s">
        <v>36</v>
      </c>
      <c r="G37" s="3"/>
      <c r="H37" s="3"/>
      <c r="I37" s="5"/>
      <c r="K37" s="3">
        <v>379</v>
      </c>
      <c r="L37" s="3">
        <v>4</v>
      </c>
      <c r="M37" s="5">
        <v>1516</v>
      </c>
      <c r="N37" t="s">
        <v>168</v>
      </c>
      <c r="O37" s="3">
        <v>8225</v>
      </c>
      <c r="P37" s="3">
        <v>4</v>
      </c>
      <c r="Q37" s="5">
        <v>32900</v>
      </c>
      <c r="R37" s="4" t="s">
        <v>169</v>
      </c>
      <c r="S37" s="3"/>
      <c r="T37" s="3"/>
      <c r="U37" s="5"/>
      <c r="W37" s="3"/>
      <c r="X37" s="3"/>
      <c r="Y37" s="5"/>
      <c r="AA37" s="3"/>
      <c r="AB37" s="3"/>
      <c r="AC37" s="5"/>
      <c r="AE37" s="3"/>
      <c r="AF37" s="3"/>
      <c r="AG37" s="5"/>
      <c r="AI37" s="3"/>
      <c r="AJ37" s="3"/>
      <c r="AK37" s="5"/>
      <c r="AM37" s="3"/>
      <c r="AN37" s="3"/>
      <c r="AO37" s="5"/>
      <c r="AQ37" s="3"/>
      <c r="AR37" s="3"/>
      <c r="AS37" s="5"/>
      <c r="AU37" s="3"/>
      <c r="AV37" s="3"/>
      <c r="AW37" s="5"/>
      <c r="AY37" s="3"/>
      <c r="AZ37" s="3"/>
      <c r="BA37" s="5"/>
      <c r="BC37" s="3"/>
      <c r="BD37" s="3"/>
      <c r="BE37" s="5"/>
    </row>
    <row r="38" spans="1:57" ht="30" x14ac:dyDescent="0.25">
      <c r="A38" t="s">
        <v>170</v>
      </c>
      <c r="B38" t="s">
        <v>33</v>
      </c>
      <c r="C38" t="s">
        <v>171</v>
      </c>
      <c r="D38" s="4" t="s">
        <v>172</v>
      </c>
      <c r="E38">
        <v>25</v>
      </c>
      <c r="F38" t="s">
        <v>36</v>
      </c>
      <c r="G38" s="3"/>
      <c r="H38" s="3"/>
      <c r="I38" s="5"/>
      <c r="K38" s="3"/>
      <c r="L38" s="3"/>
      <c r="M38" s="5"/>
      <c r="O38" s="3"/>
      <c r="P38" s="3"/>
      <c r="Q38" s="5"/>
      <c r="S38" s="3"/>
      <c r="T38" s="3"/>
      <c r="U38" s="5"/>
      <c r="W38" s="3"/>
      <c r="X38" s="3"/>
      <c r="Y38" s="5"/>
      <c r="AA38" s="3"/>
      <c r="AB38" s="3"/>
      <c r="AC38" s="5"/>
      <c r="AE38" s="3"/>
      <c r="AF38" s="3"/>
      <c r="AG38" s="5"/>
      <c r="AI38" s="3"/>
      <c r="AJ38" s="3"/>
      <c r="AK38" s="5"/>
      <c r="AM38" s="3"/>
      <c r="AN38" s="3"/>
      <c r="AO38" s="5"/>
      <c r="AQ38" s="3"/>
      <c r="AR38" s="3"/>
      <c r="AS38" s="5"/>
      <c r="AU38" s="3"/>
      <c r="AV38" s="3"/>
      <c r="AW38" s="5"/>
      <c r="AY38" s="3"/>
      <c r="AZ38" s="3"/>
      <c r="BA38" s="5"/>
      <c r="BC38" s="3"/>
      <c r="BD38" s="3"/>
      <c r="BE38" s="5"/>
    </row>
    <row r="39" spans="1:57" ht="30" x14ac:dyDescent="0.25">
      <c r="A39" t="s">
        <v>173</v>
      </c>
      <c r="B39" t="s">
        <v>33</v>
      </c>
      <c r="C39" t="s">
        <v>174</v>
      </c>
      <c r="D39" s="4" t="s">
        <v>175</v>
      </c>
      <c r="E39">
        <v>4000</v>
      </c>
      <c r="F39" t="s">
        <v>36</v>
      </c>
      <c r="G39" s="3"/>
      <c r="H39" s="3"/>
      <c r="I39" s="5"/>
      <c r="K39" s="3">
        <v>57</v>
      </c>
      <c r="L39" s="3">
        <v>4000</v>
      </c>
      <c r="M39" s="5">
        <v>228000</v>
      </c>
      <c r="N39" s="4" t="s">
        <v>176</v>
      </c>
      <c r="O39" s="3"/>
      <c r="P39" s="3"/>
      <c r="Q39" s="5"/>
      <c r="S39" s="3"/>
      <c r="T39" s="3"/>
      <c r="U39" s="5"/>
      <c r="W39" s="3"/>
      <c r="X39" s="3"/>
      <c r="Y39" s="5"/>
      <c r="AA39" s="3"/>
      <c r="AB39" s="3"/>
      <c r="AC39" s="5"/>
      <c r="AE39" s="3"/>
      <c r="AF39" s="3"/>
      <c r="AG39" s="5"/>
      <c r="AI39" s="3"/>
      <c r="AJ39" s="3"/>
      <c r="AK39" s="5"/>
      <c r="AM39" s="3"/>
      <c r="AN39" s="3"/>
      <c r="AO39" s="5"/>
      <c r="AQ39" s="3"/>
      <c r="AR39" s="3"/>
      <c r="AS39" s="5"/>
      <c r="AU39" s="3"/>
      <c r="AV39" s="3"/>
      <c r="AW39" s="5"/>
      <c r="AY39" s="3"/>
      <c r="AZ39" s="3"/>
      <c r="BA39" s="5"/>
      <c r="BC39" s="3"/>
      <c r="BD39" s="3"/>
      <c r="BE39" s="5"/>
    </row>
    <row r="40" spans="1:57" ht="30" x14ac:dyDescent="0.25">
      <c r="A40" t="s">
        <v>177</v>
      </c>
      <c r="B40" t="s">
        <v>33</v>
      </c>
      <c r="C40" t="s">
        <v>178</v>
      </c>
      <c r="D40" s="4" t="s">
        <v>179</v>
      </c>
      <c r="E40">
        <v>5</v>
      </c>
      <c r="F40" t="s">
        <v>36</v>
      </c>
      <c r="G40" s="3"/>
      <c r="H40" s="3"/>
      <c r="I40" s="5"/>
      <c r="K40" s="3"/>
      <c r="L40" s="3"/>
      <c r="M40" s="5"/>
      <c r="O40" s="3"/>
      <c r="P40" s="3"/>
      <c r="Q40" s="5"/>
      <c r="S40" s="3"/>
      <c r="T40" s="3"/>
      <c r="U40" s="5"/>
      <c r="W40" s="3"/>
      <c r="X40" s="3"/>
      <c r="Y40" s="5"/>
      <c r="AA40" s="3"/>
      <c r="AB40" s="3"/>
      <c r="AC40" s="5"/>
      <c r="AE40" s="3"/>
      <c r="AF40" s="3"/>
      <c r="AG40" s="5"/>
      <c r="AI40" s="3"/>
      <c r="AJ40" s="3"/>
      <c r="AK40" s="5"/>
      <c r="AM40" s="3"/>
      <c r="AN40" s="3"/>
      <c r="AO40" s="5"/>
      <c r="AQ40" s="3"/>
      <c r="AR40" s="3"/>
      <c r="AS40" s="5"/>
      <c r="AU40" s="3"/>
      <c r="AV40" s="3"/>
      <c r="AW40" s="5"/>
      <c r="AY40" s="3"/>
      <c r="AZ40" s="3"/>
      <c r="BA40" s="5"/>
      <c r="BC40" s="3"/>
      <c r="BD40" s="3"/>
      <c r="BE40" s="5"/>
    </row>
    <row r="41" spans="1:57" ht="30" x14ac:dyDescent="0.25">
      <c r="A41" t="s">
        <v>180</v>
      </c>
      <c r="B41" t="s">
        <v>33</v>
      </c>
      <c r="C41" t="s">
        <v>181</v>
      </c>
      <c r="D41" s="4" t="s">
        <v>182</v>
      </c>
      <c r="E41">
        <v>5</v>
      </c>
      <c r="F41" t="s">
        <v>36</v>
      </c>
      <c r="G41" s="3"/>
      <c r="H41" s="3"/>
      <c r="I41" s="5"/>
      <c r="K41" s="3">
        <v>3360</v>
      </c>
      <c r="L41" s="3">
        <v>5</v>
      </c>
      <c r="M41" s="5">
        <v>16800</v>
      </c>
      <c r="N41" t="s">
        <v>183</v>
      </c>
      <c r="O41" s="3"/>
      <c r="P41" s="3"/>
      <c r="Q41" s="5"/>
      <c r="S41" s="3"/>
      <c r="T41" s="3"/>
      <c r="U41" s="5"/>
      <c r="W41" s="3"/>
      <c r="X41" s="3"/>
      <c r="Y41" s="5"/>
      <c r="AA41" s="3"/>
      <c r="AB41" s="3"/>
      <c r="AC41" s="5"/>
      <c r="AE41" s="3"/>
      <c r="AF41" s="3"/>
      <c r="AG41" s="5"/>
      <c r="AI41" s="3"/>
      <c r="AJ41" s="3"/>
      <c r="AK41" s="5"/>
      <c r="AM41" s="3"/>
      <c r="AN41" s="3"/>
      <c r="AO41" s="5"/>
      <c r="AQ41" s="3"/>
      <c r="AR41" s="3"/>
      <c r="AS41" s="5"/>
      <c r="AU41" s="3"/>
      <c r="AV41" s="3"/>
      <c r="AW41" s="5"/>
      <c r="AY41" s="3"/>
      <c r="AZ41" s="3"/>
      <c r="BA41" s="5"/>
      <c r="BC41" s="3"/>
      <c r="BD41" s="3"/>
      <c r="BE41" s="5"/>
    </row>
    <row r="42" spans="1:57" ht="30" x14ac:dyDescent="0.25">
      <c r="A42" t="s">
        <v>184</v>
      </c>
      <c r="B42" t="s">
        <v>33</v>
      </c>
      <c r="C42" t="s">
        <v>185</v>
      </c>
      <c r="D42" s="4" t="s">
        <v>186</v>
      </c>
      <c r="E42">
        <v>120</v>
      </c>
      <c r="F42" t="s">
        <v>36</v>
      </c>
      <c r="G42" s="3"/>
      <c r="H42" s="3"/>
      <c r="I42" s="5"/>
      <c r="K42" s="3"/>
      <c r="L42" s="3"/>
      <c r="M42" s="5"/>
      <c r="O42" s="3"/>
      <c r="P42" s="3"/>
      <c r="Q42" s="5"/>
      <c r="S42" s="3"/>
      <c r="T42" s="3"/>
      <c r="U42" s="5"/>
      <c r="W42" s="3"/>
      <c r="X42" s="3"/>
      <c r="Y42" s="5"/>
      <c r="AA42" s="3"/>
      <c r="AB42" s="3"/>
      <c r="AC42" s="5"/>
      <c r="AE42" s="3"/>
      <c r="AF42" s="3"/>
      <c r="AG42" s="5"/>
      <c r="AI42" s="3"/>
      <c r="AJ42" s="3"/>
      <c r="AK42" s="5"/>
      <c r="AM42" s="3"/>
      <c r="AN42" s="3"/>
      <c r="AO42" s="5"/>
      <c r="AQ42" s="3"/>
      <c r="AR42" s="3"/>
      <c r="AS42" s="5"/>
      <c r="AU42" s="3">
        <v>613</v>
      </c>
      <c r="AV42" s="3">
        <v>120</v>
      </c>
      <c r="AW42" s="5">
        <v>73560</v>
      </c>
      <c r="AX42" t="s">
        <v>187</v>
      </c>
      <c r="AY42" s="3"/>
      <c r="AZ42" s="3"/>
      <c r="BA42" s="5"/>
      <c r="BC42" s="3"/>
      <c r="BD42" s="3"/>
      <c r="BE42" s="5"/>
    </row>
    <row r="43" spans="1:57" ht="30" x14ac:dyDescent="0.25">
      <c r="A43" t="s">
        <v>188</v>
      </c>
      <c r="B43" t="s">
        <v>33</v>
      </c>
      <c r="C43" t="s">
        <v>189</v>
      </c>
      <c r="D43" s="4" t="s">
        <v>190</v>
      </c>
      <c r="E43">
        <v>100</v>
      </c>
      <c r="F43" t="s">
        <v>36</v>
      </c>
      <c r="G43" s="3"/>
      <c r="H43" s="3"/>
      <c r="I43" s="5"/>
      <c r="K43" s="3"/>
      <c r="L43" s="3"/>
      <c r="M43" s="5"/>
      <c r="O43" s="3"/>
      <c r="P43" s="3"/>
      <c r="Q43" s="5"/>
      <c r="S43" s="3"/>
      <c r="T43" s="3"/>
      <c r="U43" s="5"/>
      <c r="W43" s="3"/>
      <c r="X43" s="3"/>
      <c r="Y43" s="5"/>
      <c r="AA43" s="3"/>
      <c r="AB43" s="3"/>
      <c r="AC43" s="5"/>
      <c r="AE43" s="3"/>
      <c r="AF43" s="3"/>
      <c r="AG43" s="5"/>
      <c r="AI43" s="3"/>
      <c r="AJ43" s="3"/>
      <c r="AK43" s="5"/>
      <c r="AM43" s="3"/>
      <c r="AN43" s="3"/>
      <c r="AO43" s="5"/>
      <c r="AQ43" s="3"/>
      <c r="AR43" s="3"/>
      <c r="AS43" s="5"/>
      <c r="AU43" s="3">
        <v>625</v>
      </c>
      <c r="AV43" s="3">
        <v>100</v>
      </c>
      <c r="AW43" s="5">
        <v>62500</v>
      </c>
      <c r="AX43" t="s">
        <v>187</v>
      </c>
      <c r="AY43" s="3"/>
      <c r="AZ43" s="3"/>
      <c r="BA43" s="5"/>
      <c r="BC43" s="3"/>
      <c r="BD43" s="3"/>
      <c r="BE43" s="5"/>
    </row>
    <row r="44" spans="1:57" ht="30" x14ac:dyDescent="0.25">
      <c r="A44" t="s">
        <v>191</v>
      </c>
      <c r="B44" t="s">
        <v>33</v>
      </c>
      <c r="C44" t="s">
        <v>192</v>
      </c>
      <c r="D44" s="4" t="s">
        <v>193</v>
      </c>
      <c r="E44">
        <v>120</v>
      </c>
      <c r="F44" t="s">
        <v>36</v>
      </c>
      <c r="G44" s="3"/>
      <c r="H44" s="3"/>
      <c r="I44" s="5"/>
      <c r="K44" s="3"/>
      <c r="L44" s="3"/>
      <c r="M44" s="5"/>
      <c r="O44" s="3"/>
      <c r="P44" s="3"/>
      <c r="Q44" s="5"/>
      <c r="S44" s="3"/>
      <c r="T44" s="3"/>
      <c r="U44" s="5"/>
      <c r="W44" s="3"/>
      <c r="X44" s="3"/>
      <c r="Y44" s="5"/>
      <c r="AA44" s="3"/>
      <c r="AB44" s="3"/>
      <c r="AC44" s="5"/>
      <c r="AE44" s="3"/>
      <c r="AF44" s="3"/>
      <c r="AG44" s="5"/>
      <c r="AI44" s="3"/>
      <c r="AJ44" s="3"/>
      <c r="AK44" s="5"/>
      <c r="AM44" s="3"/>
      <c r="AN44" s="3"/>
      <c r="AO44" s="5"/>
      <c r="AQ44" s="3"/>
      <c r="AR44" s="3"/>
      <c r="AS44" s="5"/>
      <c r="AU44" s="3">
        <v>777</v>
      </c>
      <c r="AV44" s="3">
        <v>120</v>
      </c>
      <c r="AW44" s="5">
        <v>93240</v>
      </c>
      <c r="AX44" t="s">
        <v>187</v>
      </c>
      <c r="AY44" s="3"/>
      <c r="AZ44" s="3"/>
      <c r="BA44" s="5"/>
      <c r="BC44" s="3"/>
      <c r="BD44" s="3"/>
      <c r="BE44" s="5"/>
    </row>
    <row r="45" spans="1:57" ht="30" x14ac:dyDescent="0.25">
      <c r="A45" t="s">
        <v>194</v>
      </c>
      <c r="B45" t="s">
        <v>33</v>
      </c>
      <c r="C45" t="s">
        <v>195</v>
      </c>
      <c r="D45" s="4" t="s">
        <v>196</v>
      </c>
      <c r="E45">
        <v>100</v>
      </c>
      <c r="F45" t="s">
        <v>36</v>
      </c>
      <c r="G45" s="3"/>
      <c r="H45" s="3"/>
      <c r="I45" s="5"/>
      <c r="K45" s="3"/>
      <c r="L45" s="3"/>
      <c r="M45" s="5"/>
      <c r="O45" s="3"/>
      <c r="P45" s="3"/>
      <c r="Q45" s="5"/>
      <c r="S45" s="3"/>
      <c r="T45" s="3"/>
      <c r="U45" s="5"/>
      <c r="W45" s="3"/>
      <c r="X45" s="3"/>
      <c r="Y45" s="5"/>
      <c r="AA45" s="3"/>
      <c r="AB45" s="3"/>
      <c r="AC45" s="5"/>
      <c r="AE45" s="3"/>
      <c r="AF45" s="3"/>
      <c r="AG45" s="5"/>
      <c r="AI45" s="3"/>
      <c r="AJ45" s="3"/>
      <c r="AK45" s="5"/>
      <c r="AM45" s="3"/>
      <c r="AN45" s="3"/>
      <c r="AO45" s="5"/>
      <c r="AQ45" s="3"/>
      <c r="AR45" s="3"/>
      <c r="AS45" s="5"/>
      <c r="AU45" s="3">
        <v>814</v>
      </c>
      <c r="AV45" s="3">
        <v>100</v>
      </c>
      <c r="AW45" s="5">
        <v>81400</v>
      </c>
      <c r="AX45" t="s">
        <v>187</v>
      </c>
      <c r="AY45" s="3"/>
      <c r="AZ45" s="3"/>
      <c r="BA45" s="5"/>
      <c r="BC45" s="3"/>
      <c r="BD45" s="3"/>
      <c r="BE45" s="5"/>
    </row>
    <row r="46" spans="1:57" ht="30" x14ac:dyDescent="0.25">
      <c r="A46" t="s">
        <v>197</v>
      </c>
      <c r="B46" t="s">
        <v>33</v>
      </c>
      <c r="C46" t="s">
        <v>198</v>
      </c>
      <c r="D46" s="4" t="s">
        <v>199</v>
      </c>
      <c r="E46">
        <v>100</v>
      </c>
      <c r="F46" t="s">
        <v>36</v>
      </c>
      <c r="G46" s="3"/>
      <c r="H46" s="3"/>
      <c r="I46" s="5"/>
      <c r="K46" s="3"/>
      <c r="L46" s="3"/>
      <c r="M46" s="5"/>
      <c r="O46" s="3"/>
      <c r="P46" s="3"/>
      <c r="Q46" s="5"/>
      <c r="S46" s="3"/>
      <c r="T46" s="3"/>
      <c r="U46" s="5"/>
      <c r="W46" s="3"/>
      <c r="X46" s="3"/>
      <c r="Y46" s="5"/>
      <c r="AA46" s="3"/>
      <c r="AB46" s="3"/>
      <c r="AC46" s="5"/>
      <c r="AE46" s="3"/>
      <c r="AF46" s="3"/>
      <c r="AG46" s="5"/>
      <c r="AI46" s="3"/>
      <c r="AJ46" s="3"/>
      <c r="AK46" s="5"/>
      <c r="AM46" s="3"/>
      <c r="AN46" s="3"/>
      <c r="AO46" s="5"/>
      <c r="AQ46" s="3"/>
      <c r="AR46" s="3"/>
      <c r="AS46" s="5"/>
      <c r="AU46" s="3">
        <v>869</v>
      </c>
      <c r="AV46" s="3">
        <v>100</v>
      </c>
      <c r="AW46" s="5">
        <v>86900</v>
      </c>
      <c r="AX46" t="s">
        <v>187</v>
      </c>
      <c r="AY46" s="3"/>
      <c r="AZ46" s="3"/>
      <c r="BA46" s="5"/>
      <c r="BC46" s="3"/>
      <c r="BD46" s="3"/>
      <c r="BE46" s="5"/>
    </row>
    <row r="47" spans="1:57" ht="30" x14ac:dyDescent="0.25">
      <c r="A47" t="s">
        <v>200</v>
      </c>
      <c r="B47" t="s">
        <v>33</v>
      </c>
      <c r="C47" t="s">
        <v>201</v>
      </c>
      <c r="D47" s="4" t="s">
        <v>202</v>
      </c>
      <c r="E47">
        <v>120</v>
      </c>
      <c r="F47" t="s">
        <v>36</v>
      </c>
      <c r="G47" s="3"/>
      <c r="H47" s="3"/>
      <c r="I47" s="5"/>
      <c r="K47" s="3"/>
      <c r="L47" s="3"/>
      <c r="M47" s="5"/>
      <c r="O47" s="3"/>
      <c r="P47" s="3"/>
      <c r="Q47" s="5"/>
      <c r="S47" s="3"/>
      <c r="T47" s="3"/>
      <c r="U47" s="5"/>
      <c r="W47" s="3"/>
      <c r="X47" s="3"/>
      <c r="Y47" s="5"/>
      <c r="AA47" s="3"/>
      <c r="AB47" s="3"/>
      <c r="AC47" s="5"/>
      <c r="AE47" s="3"/>
      <c r="AF47" s="3"/>
      <c r="AG47" s="5"/>
      <c r="AI47" s="3"/>
      <c r="AJ47" s="3"/>
      <c r="AK47" s="5"/>
      <c r="AM47" s="3"/>
      <c r="AN47" s="3"/>
      <c r="AO47" s="5"/>
      <c r="AQ47" s="3"/>
      <c r="AR47" s="3"/>
      <c r="AS47" s="5"/>
      <c r="AU47" s="3">
        <v>999</v>
      </c>
      <c r="AV47" s="3">
        <v>120</v>
      </c>
      <c r="AW47" s="5">
        <v>119880</v>
      </c>
      <c r="AX47" t="s">
        <v>187</v>
      </c>
      <c r="AY47" s="3"/>
      <c r="AZ47" s="3"/>
      <c r="BA47" s="5"/>
      <c r="BC47" s="3"/>
      <c r="BD47" s="3"/>
      <c r="BE47" s="5"/>
    </row>
    <row r="48" spans="1:57" ht="30" x14ac:dyDescent="0.25">
      <c r="A48" t="s">
        <v>203</v>
      </c>
      <c r="B48" t="s">
        <v>33</v>
      </c>
      <c r="C48" t="s">
        <v>204</v>
      </c>
      <c r="D48" s="4" t="s">
        <v>205</v>
      </c>
      <c r="E48">
        <v>60</v>
      </c>
      <c r="F48" t="s">
        <v>36</v>
      </c>
      <c r="G48" s="3"/>
      <c r="H48" s="3"/>
      <c r="I48" s="5"/>
      <c r="K48" s="3"/>
      <c r="L48" s="3"/>
      <c r="M48" s="5"/>
      <c r="O48" s="3"/>
      <c r="P48" s="3"/>
      <c r="Q48" s="5"/>
      <c r="S48" s="3"/>
      <c r="T48" s="3"/>
      <c r="U48" s="5"/>
      <c r="W48" s="3"/>
      <c r="X48" s="3"/>
      <c r="Y48" s="5"/>
      <c r="AA48" s="3"/>
      <c r="AB48" s="3"/>
      <c r="AC48" s="5"/>
      <c r="AE48" s="3"/>
      <c r="AF48" s="3"/>
      <c r="AG48" s="5"/>
      <c r="AI48" s="3"/>
      <c r="AJ48" s="3"/>
      <c r="AK48" s="5"/>
      <c r="AM48" s="3"/>
      <c r="AN48" s="3"/>
      <c r="AO48" s="5"/>
      <c r="AQ48" s="3"/>
      <c r="AR48" s="3"/>
      <c r="AS48" s="5"/>
      <c r="AU48" s="3">
        <v>990</v>
      </c>
      <c r="AV48" s="3">
        <v>60</v>
      </c>
      <c r="AW48" s="5">
        <v>59400</v>
      </c>
      <c r="AX48" t="s">
        <v>187</v>
      </c>
      <c r="AY48" s="3"/>
      <c r="AZ48" s="3"/>
      <c r="BA48" s="5"/>
      <c r="BC48" s="3"/>
      <c r="BD48" s="3"/>
      <c r="BE48" s="5"/>
    </row>
    <row r="49" spans="1:58" x14ac:dyDescent="0.25">
      <c r="A49" t="s">
        <v>206</v>
      </c>
      <c r="B49" t="s">
        <v>33</v>
      </c>
      <c r="C49" t="s">
        <v>207</v>
      </c>
      <c r="D49" t="s">
        <v>208</v>
      </c>
      <c r="E49">
        <v>10</v>
      </c>
      <c r="F49" t="s">
        <v>36</v>
      </c>
      <c r="G49" s="3"/>
      <c r="H49" s="3"/>
      <c r="I49" s="5"/>
      <c r="K49" s="3"/>
      <c r="L49" s="3"/>
      <c r="M49" s="5"/>
      <c r="O49" s="3"/>
      <c r="P49" s="3"/>
      <c r="Q49" s="5"/>
      <c r="S49" s="3"/>
      <c r="T49" s="3"/>
      <c r="U49" s="5"/>
      <c r="W49" s="3"/>
      <c r="X49" s="3"/>
      <c r="Y49" s="5"/>
      <c r="AA49" s="3"/>
      <c r="AB49" s="3"/>
      <c r="AC49" s="5"/>
      <c r="AE49" s="3"/>
      <c r="AF49" s="3"/>
      <c r="AG49" s="5"/>
      <c r="AI49" s="3"/>
      <c r="AJ49" s="3"/>
      <c r="AK49" s="5"/>
      <c r="AM49" s="3"/>
      <c r="AN49" s="3"/>
      <c r="AO49" s="5"/>
      <c r="AQ49" s="3"/>
      <c r="AR49" s="3"/>
      <c r="AS49" s="5"/>
      <c r="AU49" s="3"/>
      <c r="AV49" s="3"/>
      <c r="AW49" s="5"/>
      <c r="AY49" s="3"/>
      <c r="AZ49" s="3"/>
      <c r="BA49" s="5"/>
      <c r="BC49" s="3"/>
      <c r="BD49" s="3"/>
      <c r="BE49" s="5"/>
    </row>
    <row r="50" spans="1:58" ht="30" x14ac:dyDescent="0.25">
      <c r="A50" t="s">
        <v>209</v>
      </c>
      <c r="B50" t="s">
        <v>33</v>
      </c>
      <c r="C50" t="s">
        <v>210</v>
      </c>
      <c r="D50" s="4" t="s">
        <v>211</v>
      </c>
      <c r="E50">
        <v>300000</v>
      </c>
      <c r="F50" t="s">
        <v>36</v>
      </c>
      <c r="G50" s="3"/>
      <c r="H50" s="3"/>
      <c r="I50" s="5"/>
      <c r="K50" s="3">
        <v>9</v>
      </c>
      <c r="L50" s="3">
        <v>300000</v>
      </c>
      <c r="M50" s="5">
        <v>2700000</v>
      </c>
      <c r="N50" t="s">
        <v>212</v>
      </c>
      <c r="O50" s="3">
        <v>6.49</v>
      </c>
      <c r="P50" s="3">
        <v>300000</v>
      </c>
      <c r="Q50" s="5">
        <v>1947000</v>
      </c>
      <c r="R50" s="4" t="s">
        <v>213</v>
      </c>
      <c r="S50" s="3"/>
      <c r="T50" s="3"/>
      <c r="U50" s="5"/>
      <c r="W50" s="3"/>
      <c r="X50" s="3"/>
      <c r="Y50" s="5"/>
      <c r="AA50" s="3"/>
      <c r="AB50" s="3"/>
      <c r="AC50" s="5"/>
      <c r="AE50" s="3">
        <v>7.64</v>
      </c>
      <c r="AF50" s="3">
        <v>300000</v>
      </c>
      <c r="AG50" s="5">
        <v>2292000</v>
      </c>
      <c r="AH50" s="4" t="s">
        <v>214</v>
      </c>
      <c r="AI50" s="3">
        <v>15</v>
      </c>
      <c r="AJ50" s="3">
        <v>300000</v>
      </c>
      <c r="AK50" s="5">
        <v>4500000</v>
      </c>
      <c r="AL50" t="s">
        <v>215</v>
      </c>
      <c r="AM50" s="3">
        <v>8.11</v>
      </c>
      <c r="AN50" s="3">
        <v>300000</v>
      </c>
      <c r="AO50" s="5">
        <v>2433000</v>
      </c>
      <c r="AP50" s="4" t="s">
        <v>216</v>
      </c>
      <c r="AQ50" s="3">
        <v>11.5</v>
      </c>
      <c r="AR50" s="3">
        <v>300000</v>
      </c>
      <c r="AS50" s="5">
        <v>3450000</v>
      </c>
      <c r="AT50" s="4" t="s">
        <v>217</v>
      </c>
      <c r="AU50" s="3"/>
      <c r="AV50" s="3"/>
      <c r="AW50" s="5"/>
      <c r="AY50" s="3"/>
      <c r="AZ50" s="3"/>
      <c r="BA50" s="5"/>
      <c r="BC50" s="3"/>
      <c r="BD50" s="3"/>
      <c r="BE50" s="5"/>
    </row>
    <row r="51" spans="1:58" ht="45" x14ac:dyDescent="0.25">
      <c r="A51" t="s">
        <v>218</v>
      </c>
      <c r="B51" t="s">
        <v>33</v>
      </c>
      <c r="C51" t="s">
        <v>219</v>
      </c>
      <c r="D51" s="4" t="s">
        <v>220</v>
      </c>
      <c r="E51">
        <v>3000</v>
      </c>
      <c r="F51" t="s">
        <v>36</v>
      </c>
      <c r="G51" s="3"/>
      <c r="H51" s="3"/>
      <c r="I51" s="5"/>
      <c r="K51" s="3"/>
      <c r="L51" s="3"/>
      <c r="M51" s="5"/>
      <c r="O51" s="3">
        <v>408</v>
      </c>
      <c r="P51" s="3">
        <v>3000</v>
      </c>
      <c r="Q51" s="5">
        <v>1224000</v>
      </c>
      <c r="R51" s="4" t="s">
        <v>221</v>
      </c>
      <c r="S51" s="3"/>
      <c r="T51" s="3"/>
      <c r="U51" s="5"/>
      <c r="W51" s="3"/>
      <c r="X51" s="3"/>
      <c r="Y51" s="5"/>
      <c r="AA51" s="3">
        <v>310.02999999999997</v>
      </c>
      <c r="AB51" s="3">
        <v>3000</v>
      </c>
      <c r="AC51" s="5">
        <v>930090</v>
      </c>
      <c r="AD51" t="s">
        <v>222</v>
      </c>
      <c r="AE51" s="3">
        <v>140</v>
      </c>
      <c r="AF51" s="3">
        <v>3000</v>
      </c>
      <c r="AG51" s="5">
        <v>420000</v>
      </c>
      <c r="AH51" s="4" t="s">
        <v>223</v>
      </c>
      <c r="AI51" s="3">
        <v>250</v>
      </c>
      <c r="AJ51" s="3">
        <v>3000</v>
      </c>
      <c r="AK51" s="5">
        <v>750000</v>
      </c>
      <c r="AL51" t="s">
        <v>224</v>
      </c>
      <c r="AM51" s="3"/>
      <c r="AN51" s="3"/>
      <c r="AO51" s="5"/>
      <c r="AQ51" s="3"/>
      <c r="AR51" s="3"/>
      <c r="AS51" s="5"/>
      <c r="AU51" s="3"/>
      <c r="AV51" s="3"/>
      <c r="AW51" s="5"/>
      <c r="AY51" s="3">
        <v>245.7</v>
      </c>
      <c r="AZ51" s="3">
        <v>3000</v>
      </c>
      <c r="BA51" s="5">
        <v>737100</v>
      </c>
      <c r="BB51" s="4" t="s">
        <v>225</v>
      </c>
      <c r="BC51" s="3">
        <v>400</v>
      </c>
      <c r="BD51" s="3">
        <v>3000</v>
      </c>
      <c r="BE51" s="5">
        <v>1200000</v>
      </c>
      <c r="BF51" s="4" t="s">
        <v>220</v>
      </c>
    </row>
    <row r="52" spans="1:58" ht="30" x14ac:dyDescent="0.25">
      <c r="A52" t="s">
        <v>226</v>
      </c>
      <c r="B52" t="s">
        <v>33</v>
      </c>
      <c r="C52" t="s">
        <v>227</v>
      </c>
      <c r="D52" s="4" t="s">
        <v>228</v>
      </c>
      <c r="E52">
        <v>8000</v>
      </c>
      <c r="F52" t="s">
        <v>36</v>
      </c>
      <c r="G52" s="3"/>
      <c r="H52" s="3"/>
      <c r="I52" s="5"/>
      <c r="K52" s="3"/>
      <c r="L52" s="3"/>
      <c r="M52" s="5"/>
      <c r="O52" s="3">
        <v>204</v>
      </c>
      <c r="P52" s="3">
        <v>8000</v>
      </c>
      <c r="Q52" s="5">
        <v>1632000</v>
      </c>
      <c r="R52" s="4" t="s">
        <v>229</v>
      </c>
      <c r="S52" s="3"/>
      <c r="T52" s="3"/>
      <c r="U52" s="5"/>
      <c r="W52" s="3"/>
      <c r="X52" s="3"/>
      <c r="Y52" s="5"/>
      <c r="AA52" s="3">
        <v>155.02000000000001</v>
      </c>
      <c r="AB52" s="3">
        <v>8000</v>
      </c>
      <c r="AC52" s="5">
        <v>1240160</v>
      </c>
      <c r="AD52" t="s">
        <v>230</v>
      </c>
      <c r="AE52" s="3">
        <v>8000</v>
      </c>
      <c r="AF52" s="3">
        <v>63</v>
      </c>
      <c r="AG52" s="5">
        <v>504000</v>
      </c>
      <c r="AH52" s="4" t="s">
        <v>231</v>
      </c>
      <c r="AI52" s="3">
        <v>500</v>
      </c>
      <c r="AJ52" s="3">
        <v>8000</v>
      </c>
      <c r="AK52" s="5">
        <v>4000000</v>
      </c>
      <c r="AL52" t="s">
        <v>232</v>
      </c>
      <c r="AM52" s="3"/>
      <c r="AN52" s="3"/>
      <c r="AO52" s="5"/>
      <c r="AQ52" s="3"/>
      <c r="AR52" s="3"/>
      <c r="AS52" s="5"/>
      <c r="AU52" s="3"/>
      <c r="AV52" s="3"/>
      <c r="AW52" s="5"/>
      <c r="AY52" s="3"/>
      <c r="AZ52" s="3"/>
      <c r="BA52" s="5"/>
      <c r="BC52" s="3"/>
      <c r="BD52" s="3"/>
      <c r="BE52" s="5"/>
    </row>
    <row r="53" spans="1:58" x14ac:dyDescent="0.25">
      <c r="C53" t="s">
        <v>233</v>
      </c>
      <c r="D53" s="4"/>
      <c r="G53" s="3"/>
      <c r="H53" s="3"/>
      <c r="I53" s="5">
        <f>SUBTOTAL(109,Table2[Total por renglón])</f>
        <v>5082000</v>
      </c>
      <c r="K53" s="3"/>
      <c r="L53" s="3"/>
      <c r="M53" s="5">
        <f>SUBTOTAL(109,Table3[Total por renglón])</f>
        <v>17352916</v>
      </c>
      <c r="O53" s="3"/>
      <c r="P53" s="3"/>
      <c r="Q53" s="5">
        <f>SUBTOTAL(109,Table4[Total por renglón])</f>
        <v>8621590</v>
      </c>
      <c r="R53" s="4"/>
      <c r="S53" s="3"/>
      <c r="T53" s="3"/>
      <c r="U53" s="5">
        <f>SUBTOTAL(109,Table5[Total por renglón])</f>
        <v>5116049.5</v>
      </c>
      <c r="W53" s="3"/>
      <c r="X53" s="3"/>
      <c r="Y53" s="5">
        <f>SUBTOTAL(109,Table6[Total por renglón])</f>
        <v>4250211.3000000007</v>
      </c>
      <c r="AA53" s="3"/>
      <c r="AB53" s="3"/>
      <c r="AC53" s="5">
        <f>SUBTOTAL(109,Table7[Total por renglón])</f>
        <v>2623100</v>
      </c>
      <c r="AE53" s="3"/>
      <c r="AF53" s="3"/>
      <c r="AG53" s="5">
        <f>SUBTOTAL(109,Table8[Total por renglón])</f>
        <v>5137619.5</v>
      </c>
      <c r="AH53" s="4"/>
      <c r="AI53" s="3"/>
      <c r="AJ53" s="3"/>
      <c r="AK53" s="5">
        <f>SUBTOTAL(109,Table9[Total por renglón])</f>
        <v>12710000</v>
      </c>
      <c r="AM53" s="3"/>
      <c r="AN53" s="3"/>
      <c r="AO53" s="5">
        <f>SUBTOTAL(109,Table10[Total por renglón])</f>
        <v>4378500</v>
      </c>
      <c r="AQ53" s="3"/>
      <c r="AR53" s="3"/>
      <c r="AS53" s="5">
        <f>SUBTOTAL(109,Table11[Total por renglón])</f>
        <v>5985000</v>
      </c>
      <c r="AU53" s="3"/>
      <c r="AV53" s="3"/>
      <c r="AW53" s="5">
        <f>SUBTOTAL(109,Table12[Total por renglón])</f>
        <v>3134629</v>
      </c>
      <c r="AY53" s="3"/>
      <c r="AZ53" s="3"/>
      <c r="BA53" s="5">
        <f>SUBTOTAL(109,Table13[Total por renglón])</f>
        <v>1507474.5</v>
      </c>
      <c r="BC53" s="3"/>
      <c r="BD53" s="3"/>
      <c r="BE53" s="5">
        <f>SUBTOTAL(109,Table14[Total por renglón])</f>
        <v>1200000</v>
      </c>
    </row>
  </sheetData>
  <mergeCells count="14">
    <mergeCell ref="AU8:AX8"/>
    <mergeCell ref="AY8:BB8"/>
    <mergeCell ref="BC8:BF8"/>
    <mergeCell ref="A8:F8"/>
    <mergeCell ref="AA8:AD8"/>
    <mergeCell ref="AE8:AH8"/>
    <mergeCell ref="AI8:AL8"/>
    <mergeCell ref="AM8:AP8"/>
    <mergeCell ref="AQ8:AT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V. NICOLA</cp:lastModifiedBy>
  <dcterms:created xsi:type="dcterms:W3CDTF">2022-12-07T11:26:32Z</dcterms:created>
  <dcterms:modified xsi:type="dcterms:W3CDTF">2022-12-07T11:26:56Z</dcterms:modified>
</cp:coreProperties>
</file>