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8360" windowHeight="6600"/>
  </bookViews>
  <sheets>
    <sheet name="REACTIVOS NT" sheetId="1" r:id="rId1"/>
    <sheet name="REACTIVOS NPYE" sheetId="2" r:id="rId2"/>
    <sheet name="REACTIVOS APG " sheetId="3" r:id="rId3"/>
  </sheets>
  <definedNames>
    <definedName name="_xlnm._FilterDatabase" localSheetId="0" hidden="1">'REACTIVOS NT'!$A$9:$I$58</definedName>
    <definedName name="_xlnm.Print_Area" localSheetId="2">'REACTIVOS APG '!$A$1:$Q$27</definedName>
    <definedName name="_xlnm.Print_Area" localSheetId="1">'REACTIVOS NPYE'!$A$1:$K$61</definedName>
  </definedNames>
  <calcPr calcId="124519"/>
</workbook>
</file>

<file path=xl/calcChain.xml><?xml version="1.0" encoding="utf-8"?>
<calcChain xmlns="http://schemas.openxmlformats.org/spreadsheetml/2006/main">
  <c r="I11" i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A10" i="3"/>
  <c r="G7"/>
  <c r="G6"/>
  <c r="D1"/>
  <c r="K18" i="2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13"/>
  <c r="K14"/>
  <c r="K15"/>
  <c r="K16"/>
  <c r="K17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D7"/>
  <c r="D4"/>
  <c r="G5" i="3" s="1"/>
  <c r="D3" i="2"/>
  <c r="G4" i="3" s="1"/>
  <c r="J12" i="2"/>
  <c r="K12"/>
  <c r="I12"/>
  <c r="C12"/>
  <c r="B12"/>
  <c r="Q23" i="3"/>
  <c r="I10" i="1"/>
  <c r="D10"/>
  <c r="J61" i="2" l="1"/>
</calcChain>
</file>

<file path=xl/sharedStrings.xml><?xml version="1.0" encoding="utf-8"?>
<sst xmlns="http://schemas.openxmlformats.org/spreadsheetml/2006/main" count="375" uniqueCount="192">
  <si>
    <t>Pedido de Necesidades Trimestrales</t>
  </si>
  <si>
    <t>JURISDICCION:</t>
  </si>
  <si>
    <t xml:space="preserve">40 - Ministerio de Salud </t>
  </si>
  <si>
    <t xml:space="preserve">SAF N°: </t>
  </si>
  <si>
    <t xml:space="preserve">23 - Hospital Interzonal San Juan Bautista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</si>
  <si>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</si>
  <si>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</si>
  <si>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</si>
  <si>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</si>
  <si>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</si>
  <si>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</si>
  <si>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</si>
  <si>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</si>
  <si>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</si>
  <si>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</si>
  <si>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</si>
  <si>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2.5.1-9016.181</t>
  </si>
  <si>
    <t>QUIMICOS</t>
  </si>
  <si>
    <t>MEDIOS DE CULTIVO Y SUPLEMENTO; NOMBRE DEL PRODUCTO: AGAR MANITOL SALADO, ESTADO: SOLIDO, PRESENTACION: ENVASE X 100 GR</t>
  </si>
  <si>
    <t xml:space="preserve">Fco. </t>
  </si>
  <si>
    <t>2.5.1-9016.148</t>
  </si>
  <si>
    <t>MEDIOS DE CULTIVO Y SUPLEMENTO; NOMBRE DEL PRODUCTO: AGAR BASE MUELLER-HINTON, ESTADO: SOLIDO, PRESENTACION: ENVASE X 500 GR</t>
  </si>
  <si>
    <t>2.5.1-9016.713</t>
  </si>
  <si>
    <t>MEDIOS DE CULTIVO Y SUPLEMENTO; NOMBRE DEL PRODUCTO: AGAR LEVINE, ESTADO: SOLIDO, PRESENTACION: ENVASE X 500 GR</t>
  </si>
  <si>
    <t>2.5.1-9016.383</t>
  </si>
  <si>
    <t>MEDIOS DE CULTIVO Y SUPLEMENTO; NOMBRE DEL PRODUCTO: AGAR C.L.D.E, ESTADO: SOLIDO, PRESENTACION: ENVASE X 500 GR</t>
  </si>
  <si>
    <t>2.5.1-9016.630</t>
  </si>
  <si>
    <t>MEDIOS DE CULTIVO Y SUPLEMENTO; NOMBRE DEL PRODUCTO: AGAR BASE SANGRE, ESTADO: SOLIDO, PRESENTACION: ENVASE X 500 GR</t>
  </si>
  <si>
    <t>2.5.1-9016.497</t>
  </si>
  <si>
    <t>MEDIOS DE CULTIVO Y SUPLEMENTO; NOMBRE DEL PRODUCTO: MEDIO MIO, ESTADO: SOLIDO, PRESENTACION: ENVASE X 100 GR</t>
  </si>
  <si>
    <t>2.5.1-9016.271</t>
  </si>
  <si>
    <t>MEDIOS DE CULTIVO Y SUPLEMENTO; NOMBRE DEL PRODUCTO: AGAR TIOGLICOLATO RESAZURINA, ESTADO: SOLIDO, PRESENTACION: ENVASE X 100 GR</t>
  </si>
  <si>
    <t>2.5.1-9016.261</t>
  </si>
  <si>
    <t>MEDIOS DE CULTIVO Y SUPLEMENTO; NOMBRE DEL PRODUCTO: AGAR SABOURAUD GLUCOSA, ESTADO: SOLIDO, PRESENTACION: ENVASE X 100 GR</t>
  </si>
  <si>
    <t>2.5.1-9016.191</t>
  </si>
  <si>
    <t>MEDIOS DE CULTIVO Y SUPLEMENTO; NOMBRE DEL PRODUCTO: AGAR LISINA HIERRO, ESTADO: SOLIDO, PRESENTACION: ENVASE X 100 GR</t>
  </si>
  <si>
    <t>2.5.1-9016.214</t>
  </si>
  <si>
    <t>MEDIOS DE CULTIVO Y SUPLEMENTO; NOMBRE DEL PRODUCTO: AGAR CITRATO DE SIMMONS, ESTADO: SOLIDO, PRESENTACION: ENVASE X 100 GR</t>
  </si>
  <si>
    <t>2.5.1-9016.892</t>
  </si>
  <si>
    <t>MEDIOS DE CULTIVO Y SUPLEMENTO; NOMBRE DEL PRODUCTO: AGAR TSI, ESTADO: SOLIDO, PRESENTACION: ENVASE X 100 GR</t>
  </si>
  <si>
    <t>2.5.1-9016.279</t>
  </si>
  <si>
    <t>MEDIOS DE CULTIVO Y SUPLEMENTO; NOMBRE DEL PRODUCTO: AGAR BILIS ESCULINA, ESTADO: SOLIDO, PRESENTACION: ENVASE X 100 GR</t>
  </si>
  <si>
    <t>2.5.1-9016.262</t>
  </si>
  <si>
    <t>MEDIOS DE CULTIVO Y SUPLEMENTO; NOMBRE DEL PRODUCTO: AGAR SALMONELLA- SHIGELLA, ESTADO: SOLIDO, PRESENTACION: ENVASE X 100 GR</t>
  </si>
  <si>
    <t>2.5.1-9043.2</t>
  </si>
  <si>
    <t>ACEITES Y GRASAS; COMPUESTO QUIMICO: ACEITE DE INMERSION, ESTADO: LIQUIDO, CALIDAD: PRO ANALISIS, CONCENTRACION/PUREZA: 99,9 %, PRESENTACION: ENVASE X 100 Ml</t>
  </si>
  <si>
    <t>IODURO DE POTASIO X 250 GR TIPO BIOPACK</t>
  </si>
  <si>
    <t xml:space="preserve">DISCOS DE GENTAMICINA 10 UG X 50 T/BRITANIA </t>
  </si>
  <si>
    <t xml:space="preserve">DISCOS DE PIPERACILINA /TAZOBACTAM 100/10 X 50 T/BRITANIA </t>
  </si>
  <si>
    <t>2.5.1-9038.342</t>
  </si>
  <si>
    <t>REACTIVO INDICADOR-COLORANTE; COMPUESTO QUIMICO: DECOLORANTE GRAM, ESTADO: SOLUCION, CALIDAD: PRO ANALISIS, PRESENTACION: ENVASE X 500 Ml</t>
  </si>
  <si>
    <t xml:space="preserve">DISCOS DE FOSFOMICINA X 200 UG X 50T/BRITANIA </t>
  </si>
  <si>
    <t xml:space="preserve">DISCOS DE OXACILINA 1 UG X 50 T/BRITANIA </t>
  </si>
  <si>
    <t xml:space="preserve">DISCOS DE CEFAZOLINA 30 UG X 50 T/BRITANIA </t>
  </si>
  <si>
    <t>2.5.1-9052.834</t>
  </si>
  <si>
    <t xml:space="preserve">QUIMICOS </t>
  </si>
  <si>
    <t>2.5.1</t>
  </si>
  <si>
    <t>CAJA</t>
  </si>
  <si>
    <t>2.5.1-9052.247</t>
  </si>
  <si>
    <t>FRASCO</t>
  </si>
  <si>
    <t>2.5.1-9052.240</t>
  </si>
  <si>
    <t>2.5.1-9052.241</t>
  </si>
  <si>
    <t>2.5.1-9052.248</t>
  </si>
  <si>
    <t>2.5.1-9052.1933</t>
  </si>
  <si>
    <t>2.5.1-9052.249</t>
  </si>
  <si>
    <t>2.5.1-9052.250</t>
  </si>
  <si>
    <t>2.5.1-9052.251</t>
  </si>
  <si>
    <t>2.5.1-9052.252</t>
  </si>
  <si>
    <t>2.5.1-8988.2231</t>
  </si>
  <si>
    <t>REACTIVOS P/EQUIPO; EQUIPO: COAGULOMETRO, MARCA EQUIPO: DESTINY, NOMBRE DEL PRODUCTO: ANTICOAGULANTE LUPICO TAMIZAJE, PRESENTACION: 10 X ENVASE X 2 mL</t>
  </si>
  <si>
    <t>2.5.1-8988.2232</t>
  </si>
  <si>
    <t>REACTIVOS P/EQUIPO; EQUIPO: COAGULOMETRO, MARCA EQUIPO: DESTINY, NOMBRE DEL PRODUCTO: ANTICOAG. LUPICO CONFIRMACION, PRESENTACION: 10 X ENVASE X 2 mL</t>
  </si>
  <si>
    <t>2.5.1-8988.1376</t>
  </si>
  <si>
    <t>REACTIVOS P/EQUIPO; EQUIPO: AUTOANALIZADOR, MARCA EQUIPO: IL, NOMBRE DEL PRODUCTO: DET. PLASMA DEF. FACTOR VIII, PRESENTACION: UNIDAD</t>
  </si>
  <si>
    <t>2.5.1-8988.1022</t>
  </si>
  <si>
    <t>REACTIVOS P/EQUIPO; EQUIPO: AUTOANALIZADOR, MARCA EQUIPO: GENERICO, NOMBRE DEL PRODUCTO: PLASMA DE REFERENCIA, PRESENTACION: ENVASE X 1 mL</t>
  </si>
  <si>
    <t>2.5.1-9038.46</t>
  </si>
  <si>
    <t>REACTIVO INDICADOR-COLORANTE; COMPUESTO QUIMICO: MAY GRUNWALD, ESTADO: SOLUCION, CALIDAD: PRO ANALISIS, PRESENTACION: ENVASE X 1 L</t>
  </si>
  <si>
    <t>2.5.1-9038.117</t>
  </si>
  <si>
    <t>REACTIVO INDICADOR-COLORANTE; COMPUESTO QUIMICO: GIEMSA, ESTADO: LIQUIDO, CALIDAD: PRO ANALISIS, PRESENTACION: ENVASE X 1 L</t>
  </si>
  <si>
    <t>2.5.1-9038.43</t>
  </si>
  <si>
    <t>REACTIVO INDICADOR-COLORANTE; COMPUESTO QUIMICO: AZUL BRILLANTE DE CRESILO, ESTADO: SOLIDO, CALIDAD: PRO ANALISIS, PRESENTACION: ENVASE X 50 GR</t>
  </si>
  <si>
    <t>2.5.1-9031.19</t>
  </si>
  <si>
    <t>ESTERES; COMPUESTO QUIMICO: ACETATO DE BUTILO, ESTADO: LIQUIDO, CALIDAD: PRO ANALISIS, CONCENTRACION/PUREZA: 99 %, PRESENTACION: ENVASE X 1 L</t>
  </si>
  <si>
    <t>LITRO</t>
  </si>
  <si>
    <t>2.5.1-9036.23</t>
  </si>
  <si>
    <t>PIGMENTOS; COMPUESTO QUIMICO: HEMATOXILINA ACTIVADA GILL 2, ESTADO: SOLUCION, CALIDAD: PRO ANALISIS, CONCENTRACION/PUREZA: 4 GR/L, PRESENTACION: ENVASE X 500 mL</t>
  </si>
  <si>
    <t>2.5.1-9038.244</t>
  </si>
  <si>
    <t>REACTIVO INDICADOR-COLORANTE; COMPUESTO QUIMICO: EOSINA, ESTADO: SOLUCION, CALIDAD: PRO ANALISIS, PRESENTACION: ENVASE X 500 CM3</t>
  </si>
  <si>
    <t>2.5.1-9038.45</t>
  </si>
  <si>
    <t>REACTIVO INDICADOR-COLORANTE; COMPUESTO QUIMICO: EA 36 P/PAPANICOLAU, ESTADO: SOLUCION, CALIDAD: PRO ANALISIS, PRESENTACION: KIT</t>
  </si>
  <si>
    <t>2.5.1-9043.9</t>
  </si>
  <si>
    <t>ACEITES Y GRASAS; COMPUESTO QUIMICO: BALSAMO DE CANADA , ESTADO: LIQUIDO, CALIDAD: PRO ANALISIS, CONCENTRACION/PUREZA: 99,9 %, PRESENTACION: ENVASE X 12,7 mL</t>
  </si>
  <si>
    <t>2.5.1-9043.44</t>
  </si>
  <si>
    <t xml:space="preserve">ACEITES Y GRASAS; PRESENTACION: ENVASE X 100 mL, CONCENTRACION/PUREZA: 99,9 %, CALIDAD: PRO ANALISIS, ESTADO: LIQUIDO, COMPUESTO QUIMICO: BALSAMO DE CANADA </t>
  </si>
  <si>
    <t>2.5.1-9052.1928</t>
  </si>
  <si>
    <t>REACTIVOS P/LAB. TEC. MANUAL ; NOMBRE: FIJADOR CITOLOGICO, USO: PAPANICOLAU, PRESENTACION: ENVASE X 120 Ml</t>
  </si>
  <si>
    <t>2.5.1-9013.14</t>
  </si>
  <si>
    <t>ALDEHIDOS Y CETONAS; COMPUESTO QUIMICO: FORMALDEHIDO, ESTADO: LIQUIDO, CALIDAD: PRO ANALISIS, CONCENTRACION/PUREZA: 99 %, PRESENTACION: ENVASE X 1 L</t>
  </si>
  <si>
    <t>2.5.1-9052.2118</t>
  </si>
  <si>
    <t>REACTIVOS P/LAB. TEC. MANUAL; NOMBRE: DESHIDRATANTE, USO: LABORATORIO, PRESENTACION: SEGÚN PLIEGO</t>
  </si>
  <si>
    <t>BIDON</t>
  </si>
  <si>
    <t>2.5.9-4083.3</t>
  </si>
  <si>
    <t>PARAFINA; PRESENTACION: ENVASE X 1 Kg, CAPACIDAD: 1 Kg, ESTADO: SOLIDO</t>
  </si>
  <si>
    <t>KG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</si>
  <si>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</si>
  <si>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</si>
  <si>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</si>
  <si>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</si>
  <si>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</si>
  <si>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</si>
  <si>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</si>
  <si>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368 - 2020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</si>
  <si>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</si>
  <si>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</si>
  <si>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</si>
  <si>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</si>
  <si>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</si>
  <si>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 xml:space="preserve">Direccion Asistencial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</si>
  <si>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</si>
  <si>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</si>
  <si>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</si>
  <si>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</si>
  <si>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</si>
  <si>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</si>
  <si>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</si>
  <si>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</si>
  <si>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</si>
  <si>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 xml:space="preserve">NO 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</si>
  <si>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</si>
  <si>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</si>
  <si>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</si>
  <si>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</si>
  <si>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</si>
  <si>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</si>
  <si>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</si>
  <si>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</si>
  <si>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</si>
  <si>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</si>
  <si>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</si>
  <si>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</si>
  <si>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</si>
  <si>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</si>
  <si>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</si>
  <si>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</si>
  <si>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</si>
  <si>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</si>
  <si>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</si>
  <si>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</si>
  <si>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</si>
  <si>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</si>
  <si>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</si>
  <si>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 xml:space="preserve">Compuestos Quimicos </t>
  </si>
  <si>
    <t xml:space="preserve">Otros NEP </t>
  </si>
  <si>
    <t>JUSTIFICACIÓN:</t>
  </si>
  <si>
    <t>Para la adquisición de Reactivos, para ser destinados al Hospital Interzonal San Juan Bautista del Ministerio de Salud.</t>
  </si>
  <si>
    <t>Reactivos</t>
  </si>
  <si>
    <t>Mantenimiento de oferta: 45 dias</t>
  </si>
  <si>
    <t>Plazo de entrega: 10 dias - Lugar de entrega: Laboratorio Central del Hospital Interzonal San Juan Bautista - Av. Illia Esq. Mariano Moreno</t>
  </si>
  <si>
    <t>Especificidades Item N° 32:</t>
  </si>
  <si>
    <t>Especificidades Item N° 33:</t>
  </si>
  <si>
    <t>Especificidades Item N° 34:</t>
  </si>
  <si>
    <t>Especificidades Item N° 36:</t>
  </si>
  <si>
    <t>Especificidades Item N° 43:</t>
  </si>
  <si>
    <t>Especificidades Item N° 44:</t>
  </si>
  <si>
    <t>Especificidades Item N° 45:</t>
  </si>
  <si>
    <t>Especificidades Item N° 48:</t>
  </si>
  <si>
    <t>Especificidades Item N° 49:</t>
  </si>
  <si>
    <t>REACTIVOS P/LAB. TEC. MANUAL ; NOMBRE: TARJETA DE GEL LISS COOMBS, USO: IDENT ANTIGENOS ERITROCITARIOS, PRESENTACION: ENVASE X 48 UN</t>
  </si>
  <si>
    <t>REACTIVOS P/LAB. TEC. MANUAL ; NOMBRE: SUERO HEMOTIPIFICADOR ANTI-AB, USO: HEMOTERAPIA, PRESENTACION: ENVASE X 10 Ml</t>
  </si>
  <si>
    <t>REACTIVOS P/LAB. TEC. MANUAL ; NOMBRE: SUERO HEMOTIPIFICADOR ANTI-A1, USO: HEMOTERAPIA, PRESENTACION: ENVASE X 10 mL</t>
  </si>
  <si>
    <t>REACTIVOS P/LAB. TEC. MANUAL ; NOMBRE: SUERO HEMOTIPIFICADOR ANTI-D, USO: HEMOTERAPIA, PRESENTACION: ENVASE X 10 mL</t>
  </si>
  <si>
    <t>REACTIVOS P/LAB. TEC. MANUAL ; NOMBRE: SUERO HEMOTIPIFICADOR ANTI-CDE, USO: HEMOTERAPIA, PRESENTACION: ENVASE X 10 mL</t>
  </si>
  <si>
    <t>REACTIVOS P/LAB. TEC. MANUAL ; NOMBRE: SUERO HEMOTIPIFICADOR ANTI-C, USO: HEMOTERAPIA, PRESENTACION: ENVASE X 5 mL</t>
  </si>
  <si>
    <t>REACTIVOS P/LAB. TEC. MANUAL ; NOMBRE: SUERO HEMOT. ANTI-C (MIN.), USO: HEMOTERAPIA, PRESENTACION: ENVASE X 5 mL</t>
  </si>
  <si>
    <t>REACTIVOS P/LAB. TEC. MANUAL ; NOMBRE: SUERO HEMOTIPIFICADOR ANTI-E, USO: HEMOTERAPIA, PRESENTACION: ENVASE X 5 mL</t>
  </si>
  <si>
    <t>REACTIVOS P/LAB. TEC. MANUAL ; NOMBRE: SUERO HEMOT. ANTI-E (MIN.), USO: HEMOTERAPIA, PRESENTACION: ENVASE X 5 mL</t>
  </si>
  <si>
    <t>REACTIVOS P/LAB. TEC. MANUAL ; NOMBRE: SUERO HEMOTIPIFICADOR ANTI-B, USO: HEMOTERAPIA, PRESENTACION: ENVASE X 10 mL</t>
  </si>
  <si>
    <t>UNIDAD</t>
  </si>
  <si>
    <t>REACTIVOS P/LAB. TEC. MANUAL ; NOMBRE: APTT ACTIN FSL ACT PTT, USO: ENSAYO COAGULOMETRICO, PRESENTACION: ENVASE X 10 UN</t>
  </si>
  <si>
    <t>2.5.1-9052.1217</t>
  </si>
  <si>
    <t>TRICICLOT LUPUS SCREEN 10 X 2 ML T coag</t>
  </si>
  <si>
    <t>TRCICLOT LUPUS CONFIRM 10 X 2 ML Tcoag</t>
  </si>
  <si>
    <t>FACTOR VIII Tcoag 10 x 1 ml</t>
  </si>
  <si>
    <t>APTT - P Hemo-medica 10 x 4 ml</t>
  </si>
  <si>
    <t>EA 36 - 500 ML - TIPO BIOPUR</t>
  </si>
  <si>
    <t>BALSAMO DE CANADA SINTETICO "PREMIUM"</t>
  </si>
  <si>
    <t>BALSAMO DE CANADA NATURAL</t>
  </si>
  <si>
    <t>DESHIDRATANTE - 10 L - TIPO BIOPACK</t>
  </si>
  <si>
    <t xml:space="preserve">PARAFINA REFINADA LENTEJAS - 1KG - TIPO CICARELLI </t>
  </si>
  <si>
    <t>TOTAL DE PESOS: UN MILLON TRESCIENTOS VEINTIUN MIL CIENTO NOVENTA Y TRES CON 40/100.--</t>
  </si>
  <si>
    <t>Costo total estimado: PESOS UN MILLON TRESCIENTOS VEINTIUN MIL CIENTO NOVENTA Y TRES CON 40/100.-</t>
  </si>
</sst>
</file>

<file path=xl/styles.xml><?xml version="1.0" encoding="utf-8"?>
<styleSheet xmlns="http://schemas.openxmlformats.org/spreadsheetml/2006/main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3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0" fillId="0" borderId="0" applyBorder="0" applyProtection="0"/>
    <xf numFmtId="0" fontId="15" fillId="0" borderId="12" applyProtection="0"/>
    <xf numFmtId="166" fontId="16" fillId="0" borderId="0" applyBorder="0" applyProtection="0"/>
    <xf numFmtId="0" fontId="17" fillId="5" borderId="0" applyBorder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165" fontId="7" fillId="2" borderId="2" xfId="1" applyNumberFormat="1" applyFont="1" applyFill="1" applyBorder="1" applyAlignment="1" applyProtection="1">
      <alignment horizontal="center" vertical="center" wrapText="1"/>
    </xf>
    <xf numFmtId="165" fontId="7" fillId="2" borderId="2" xfId="1" applyNumberFormat="1" applyFont="1" applyFill="1" applyBorder="1" applyAlignment="1" applyProtection="1">
      <alignment horizontal="right" vertical="center" wrapText="1"/>
    </xf>
    <xf numFmtId="0" fontId="1" fillId="3" borderId="0" xfId="0" applyFont="1" applyFill="1"/>
    <xf numFmtId="165" fontId="7" fillId="3" borderId="2" xfId="1" applyNumberFormat="1" applyFont="1" applyFill="1" applyBorder="1" applyAlignment="1" applyProtection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165" fontId="13" fillId="2" borderId="2" xfId="1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4" fillId="0" borderId="7" xfId="0" applyFont="1" applyBorder="1" applyAlignment="1">
      <alignment horizontal="left" indent="3"/>
    </xf>
    <xf numFmtId="0" fontId="1" fillId="0" borderId="7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left" indent="3"/>
    </xf>
    <xf numFmtId="0" fontId="1" fillId="0" borderId="10" xfId="0" applyFont="1" applyBorder="1"/>
    <xf numFmtId="0" fontId="1" fillId="0" borderId="11" xfId="0" applyFont="1" applyBorder="1"/>
    <xf numFmtId="0" fontId="18" fillId="0" borderId="13" xfId="0" applyFont="1" applyBorder="1" applyAlignment="1">
      <alignment horizontal="right" vertical="center"/>
    </xf>
    <xf numFmtId="0" fontId="19" fillId="2" borderId="14" xfId="0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 indent="1"/>
    </xf>
    <xf numFmtId="0" fontId="22" fillId="0" borderId="21" xfId="0" applyFont="1" applyBorder="1" applyAlignment="1">
      <alignment horizontal="center" vertical="center"/>
    </xf>
    <xf numFmtId="0" fontId="22" fillId="3" borderId="21" xfId="0" applyFont="1" applyFill="1" applyBorder="1" applyAlignment="1">
      <alignment horizontal="left" vertical="center"/>
    </xf>
    <xf numFmtId="0" fontId="22" fillId="2" borderId="21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 wrapText="1"/>
    </xf>
    <xf numFmtId="165" fontId="22" fillId="3" borderId="21" xfId="1" applyNumberFormat="1" applyFont="1" applyFill="1" applyBorder="1" applyAlignment="1" applyProtection="1">
      <alignment horizontal="right" vertical="center" wrapText="1"/>
    </xf>
    <xf numFmtId="3" fontId="22" fillId="3" borderId="21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3" fontId="24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Border="1"/>
    <xf numFmtId="0" fontId="0" fillId="0" borderId="13" xfId="0" applyBorder="1"/>
    <xf numFmtId="0" fontId="0" fillId="0" borderId="29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0" xfId="0" applyBorder="1"/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4" xfId="0" applyFont="1" applyBorder="1" applyAlignment="1">
      <alignment horizontal="left" vertical="center"/>
    </xf>
    <xf numFmtId="0" fontId="28" fillId="0" borderId="35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0" fillId="2" borderId="36" xfId="0" applyFont="1" applyFill="1" applyBorder="1" applyAlignment="1">
      <alignment horizontal="center" vertical="center"/>
    </xf>
    <xf numFmtId="0" fontId="0" fillId="2" borderId="37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2" borderId="38" xfId="0" applyFont="1" applyFill="1" applyBorder="1" applyAlignment="1">
      <alignment horizontal="center" vertical="center"/>
    </xf>
    <xf numFmtId="165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5" fontId="0" fillId="0" borderId="44" xfId="3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5" fontId="0" fillId="0" borderId="48" xfId="3" applyNumberFormat="1" applyFont="1" applyBorder="1" applyAlignment="1" applyProtection="1">
      <alignment horizontal="center" vertical="center"/>
    </xf>
    <xf numFmtId="165" fontId="28" fillId="0" borderId="49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0" fillId="0" borderId="55" xfId="0" applyFont="1" applyBorder="1" applyAlignment="1">
      <alignment horizontal="left" vertical="center" wrapText="1"/>
    </xf>
    <xf numFmtId="0" fontId="30" fillId="0" borderId="56" xfId="0" applyFont="1" applyBorder="1" applyAlignment="1">
      <alignment horizontal="left" vertical="center" wrapText="1"/>
    </xf>
    <xf numFmtId="0" fontId="30" fillId="0" borderId="5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 indent="1"/>
    </xf>
    <xf numFmtId="0" fontId="30" fillId="0" borderId="52" xfId="0" applyFont="1" applyBorder="1" applyAlignment="1">
      <alignment horizontal="left" vertical="center" wrapText="1"/>
    </xf>
    <xf numFmtId="0" fontId="30" fillId="0" borderId="53" xfId="0" applyFont="1" applyBorder="1" applyAlignment="1">
      <alignment horizontal="left" vertical="center" wrapText="1"/>
    </xf>
    <xf numFmtId="0" fontId="30" fillId="0" borderId="54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2" fillId="3" borderId="21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 indent="1"/>
    </xf>
    <xf numFmtId="167" fontId="20" fillId="3" borderId="2" xfId="0" applyNumberFormat="1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 wrapText="1" indent="1"/>
    </xf>
    <xf numFmtId="0" fontId="18" fillId="0" borderId="0" xfId="0" applyFont="1" applyBorder="1" applyAlignment="1">
      <alignment horizontal="center" vertical="center"/>
    </xf>
    <xf numFmtId="0" fontId="26" fillId="2" borderId="27" xfId="0" applyFont="1" applyFill="1" applyBorder="1" applyAlignment="1">
      <alignment horizontal="left" vertical="center" wrapText="1" indent="1"/>
    </xf>
    <xf numFmtId="0" fontId="26" fillId="2" borderId="0" xfId="0" applyFont="1" applyFill="1" applyBorder="1" applyAlignment="1">
      <alignment horizontal="left" vertical="center" wrapText="1" indent="1"/>
    </xf>
    <xf numFmtId="0" fontId="26" fillId="2" borderId="13" xfId="0" applyFont="1" applyFill="1" applyBorder="1" applyAlignment="1">
      <alignment horizontal="left" vertical="center" wrapText="1" indent="1"/>
    </xf>
    <xf numFmtId="0" fontId="26" fillId="2" borderId="29" xfId="0" applyFont="1" applyFill="1" applyBorder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26" fillId="2" borderId="30" xfId="0" applyFont="1" applyFill="1" applyBorder="1" applyAlignment="1">
      <alignment horizontal="left" vertical="center" wrapText="1" indent="1"/>
    </xf>
    <xf numFmtId="0" fontId="10" fillId="0" borderId="43" xfId="0" applyFont="1" applyBorder="1" applyAlignment="1">
      <alignment horizontal="left" vertical="center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29" fillId="0" borderId="49" xfId="0" applyFont="1" applyBorder="1" applyAlignment="1">
      <alignment horizontal="left" vertical="center" wrapText="1"/>
    </xf>
    <xf numFmtId="0" fontId="0" fillId="0" borderId="31" xfId="0" applyBorder="1"/>
    <xf numFmtId="0" fontId="24" fillId="0" borderId="23" xfId="0" applyFont="1" applyBorder="1" applyAlignment="1">
      <alignment vertical="center" wrapText="1"/>
    </xf>
    <xf numFmtId="0" fontId="24" fillId="0" borderId="50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10" fillId="0" borderId="37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indent="1"/>
    </xf>
    <xf numFmtId="0" fontId="27" fillId="0" borderId="14" xfId="0" applyFont="1" applyBorder="1" applyAlignment="1">
      <alignment horizontal="left"/>
    </xf>
    <xf numFmtId="0" fontId="26" fillId="0" borderId="27" xfId="0" applyFont="1" applyBorder="1"/>
    <xf numFmtId="0" fontId="26" fillId="0" borderId="28" xfId="0" applyFont="1" applyBorder="1" applyAlignment="1">
      <alignment horizontal="left" vertical="center" wrapText="1" indent="1"/>
    </xf>
    <xf numFmtId="0" fontId="28" fillId="0" borderId="3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/>
    </xf>
    <xf numFmtId="3" fontId="24" fillId="0" borderId="24" xfId="0" applyNumberFormat="1" applyFont="1" applyBorder="1" applyAlignment="1">
      <alignment horizontal="center"/>
    </xf>
    <xf numFmtId="0" fontId="25" fillId="0" borderId="14" xfId="0" applyFont="1" applyBorder="1" applyAlignment="1">
      <alignment horizontal="center" vertical="center" wrapText="1"/>
    </xf>
    <xf numFmtId="0" fontId="16" fillId="0" borderId="14" xfId="0" applyFont="1" applyBorder="1"/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3" xfId="6"/>
    <cellStyle name="Normal 4" xfId="7"/>
    <cellStyle name="Porcentaje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088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7088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088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088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6"/>
  <sheetViews>
    <sheetView tabSelected="1" zoomScale="70" zoomScaleNormal="70" workbookViewId="0">
      <selection activeCell="F3" sqref="F3"/>
    </sheetView>
  </sheetViews>
  <sheetFormatPr baseColWidth="10" defaultColWidth="11" defaultRowHeight="13.2"/>
  <cols>
    <col min="1" max="1" width="4.5546875" style="1" customWidth="1"/>
    <col min="2" max="2" width="12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95" t="s">
        <v>0</v>
      </c>
      <c r="C2" s="95"/>
      <c r="D2" s="95"/>
      <c r="E2" s="95"/>
      <c r="F2" s="95"/>
      <c r="G2" s="95"/>
      <c r="H2" s="95"/>
    </row>
    <row r="4" spans="1:9" ht="18" customHeight="1">
      <c r="A4" s="94" t="s">
        <v>1</v>
      </c>
      <c r="B4" s="94"/>
      <c r="C4" s="96" t="s">
        <v>2</v>
      </c>
      <c r="D4" s="96"/>
      <c r="E4" s="96"/>
      <c r="F4" s="2"/>
      <c r="G4" s="3"/>
      <c r="H4" s="2"/>
    </row>
    <row r="5" spans="1:9" ht="18" customHeight="1">
      <c r="A5" s="94" t="s">
        <v>3</v>
      </c>
      <c r="B5" s="94"/>
      <c r="C5" s="96" t="s">
        <v>4</v>
      </c>
      <c r="D5" s="96"/>
      <c r="E5" s="96"/>
      <c r="F5" s="2"/>
      <c r="G5" s="3"/>
      <c r="H5" s="2"/>
    </row>
    <row r="6" spans="1:9" ht="16.5" customHeight="1">
      <c r="A6" s="94" t="s">
        <v>5</v>
      </c>
      <c r="B6" s="94"/>
      <c r="C6" s="4">
        <v>2021</v>
      </c>
      <c r="D6" s="5"/>
      <c r="E6" s="5"/>
      <c r="F6" s="2"/>
      <c r="G6" s="3"/>
      <c r="H6" s="2"/>
    </row>
    <row r="7" spans="1:9" ht="16.5" customHeight="1">
      <c r="A7" s="94" t="s">
        <v>6</v>
      </c>
      <c r="B7" s="94"/>
      <c r="C7" s="4">
        <v>1</v>
      </c>
      <c r="D7" s="5"/>
      <c r="E7" s="5"/>
      <c r="F7" s="2"/>
      <c r="G7" s="3"/>
      <c r="H7" s="2"/>
    </row>
    <row r="8" spans="1:9" ht="13.8" thickBot="1">
      <c r="B8" s="2"/>
      <c r="C8" s="3"/>
      <c r="D8" s="2"/>
      <c r="E8" s="2"/>
      <c r="F8" s="2"/>
      <c r="G8" s="3"/>
      <c r="H8" s="2"/>
    </row>
    <row r="9" spans="1:9" ht="40.799999999999997" thickTop="1" thickBot="1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s="14" customFormat="1" ht="54" customHeight="1" thickBot="1">
      <c r="A10" s="7">
        <v>1</v>
      </c>
      <c r="B10" s="8" t="s">
        <v>16</v>
      </c>
      <c r="C10" s="9" t="s">
        <v>17</v>
      </c>
      <c r="D10" s="10" t="str">
        <f>LEFT(B10,5)</f>
        <v>2.5.1</v>
      </c>
      <c r="E10" s="11" t="s">
        <v>18</v>
      </c>
      <c r="F10" s="8" t="s">
        <v>19</v>
      </c>
      <c r="G10" s="8">
        <v>1</v>
      </c>
      <c r="H10" s="12">
        <v>1904.4</v>
      </c>
      <c r="I10" s="13">
        <f t="shared" ref="I10:I58" si="0">G10*H10</f>
        <v>1904.4</v>
      </c>
    </row>
    <row r="11" spans="1:9" ht="54" customHeight="1" thickBot="1">
      <c r="A11" s="7">
        <v>2</v>
      </c>
      <c r="B11" s="8" t="s">
        <v>20</v>
      </c>
      <c r="C11" s="9" t="s">
        <v>17</v>
      </c>
      <c r="D11" s="10" t="str">
        <f t="shared" ref="D11:D58" si="1">LEFT(B11,5)</f>
        <v>2.5.1</v>
      </c>
      <c r="E11" s="11" t="s">
        <v>21</v>
      </c>
      <c r="F11" s="8" t="s">
        <v>19</v>
      </c>
      <c r="G11" s="8">
        <v>2</v>
      </c>
      <c r="H11" s="12">
        <v>12303.6</v>
      </c>
      <c r="I11" s="13">
        <f t="shared" si="0"/>
        <v>24607.200000000001</v>
      </c>
    </row>
    <row r="12" spans="1:9" ht="54" customHeight="1" thickBot="1">
      <c r="A12" s="7">
        <v>3</v>
      </c>
      <c r="B12" s="8" t="s">
        <v>22</v>
      </c>
      <c r="C12" s="9" t="s">
        <v>17</v>
      </c>
      <c r="D12" s="10" t="str">
        <f t="shared" si="1"/>
        <v>2.5.1</v>
      </c>
      <c r="E12" s="11" t="s">
        <v>23</v>
      </c>
      <c r="F12" s="8" t="s">
        <v>19</v>
      </c>
      <c r="G12" s="8">
        <v>1</v>
      </c>
      <c r="H12" s="12">
        <v>9331.2000000000007</v>
      </c>
      <c r="I12" s="13">
        <f t="shared" si="0"/>
        <v>9331.2000000000007</v>
      </c>
    </row>
    <row r="13" spans="1:9" ht="54" customHeight="1" thickBot="1">
      <c r="A13" s="7">
        <v>4</v>
      </c>
      <c r="B13" s="8" t="s">
        <v>24</v>
      </c>
      <c r="C13" s="9" t="s">
        <v>17</v>
      </c>
      <c r="D13" s="10" t="str">
        <f t="shared" si="1"/>
        <v>2.5.1</v>
      </c>
      <c r="E13" s="11" t="s">
        <v>25</v>
      </c>
      <c r="F13" s="8" t="s">
        <v>19</v>
      </c>
      <c r="G13" s="8">
        <v>1</v>
      </c>
      <c r="H13" s="12">
        <v>9242.4</v>
      </c>
      <c r="I13" s="13">
        <f t="shared" si="0"/>
        <v>9242.4</v>
      </c>
    </row>
    <row r="14" spans="1:9" ht="54" customHeight="1" thickBot="1">
      <c r="A14" s="7">
        <v>5</v>
      </c>
      <c r="B14" s="8" t="s">
        <v>26</v>
      </c>
      <c r="C14" s="9" t="s">
        <v>17</v>
      </c>
      <c r="D14" s="10" t="str">
        <f t="shared" si="1"/>
        <v>2.5.1</v>
      </c>
      <c r="E14" s="11" t="s">
        <v>27</v>
      </c>
      <c r="F14" s="8" t="s">
        <v>19</v>
      </c>
      <c r="G14" s="8">
        <v>2</v>
      </c>
      <c r="H14" s="12">
        <v>13279.2</v>
      </c>
      <c r="I14" s="13">
        <f t="shared" si="0"/>
        <v>26558.400000000001</v>
      </c>
    </row>
    <row r="15" spans="1:9" ht="54" customHeight="1" thickBot="1">
      <c r="A15" s="7">
        <v>6</v>
      </c>
      <c r="B15" s="8" t="s">
        <v>28</v>
      </c>
      <c r="C15" s="9" t="s">
        <v>17</v>
      </c>
      <c r="D15" s="10" t="str">
        <f t="shared" si="1"/>
        <v>2.5.1</v>
      </c>
      <c r="E15" s="11" t="s">
        <v>29</v>
      </c>
      <c r="F15" s="8" t="s">
        <v>19</v>
      </c>
      <c r="G15" s="8">
        <v>1</v>
      </c>
      <c r="H15" s="12">
        <v>8490</v>
      </c>
      <c r="I15" s="13">
        <f t="shared" si="0"/>
        <v>8490</v>
      </c>
    </row>
    <row r="16" spans="1:9" ht="54" customHeight="1" thickBot="1">
      <c r="A16" s="7">
        <v>7</v>
      </c>
      <c r="B16" s="8" t="s">
        <v>30</v>
      </c>
      <c r="C16" s="9" t="s">
        <v>17</v>
      </c>
      <c r="D16" s="10" t="str">
        <f t="shared" si="1"/>
        <v>2.5.1</v>
      </c>
      <c r="E16" s="11" t="s">
        <v>31</v>
      </c>
      <c r="F16" s="10" t="s">
        <v>19</v>
      </c>
      <c r="G16" s="10">
        <v>2</v>
      </c>
      <c r="H16" s="15">
        <v>3426</v>
      </c>
      <c r="I16" s="13">
        <f t="shared" si="0"/>
        <v>6852</v>
      </c>
    </row>
    <row r="17" spans="1:9" ht="54" customHeight="1" thickBot="1">
      <c r="A17" s="7">
        <v>8</v>
      </c>
      <c r="B17" s="8" t="s">
        <v>32</v>
      </c>
      <c r="C17" s="9" t="s">
        <v>17</v>
      </c>
      <c r="D17" s="10" t="str">
        <f t="shared" si="1"/>
        <v>2.5.1</v>
      </c>
      <c r="E17" s="11" t="s">
        <v>33</v>
      </c>
      <c r="F17" s="8" t="s">
        <v>19</v>
      </c>
      <c r="G17" s="8">
        <v>1</v>
      </c>
      <c r="H17" s="12">
        <v>2761.2</v>
      </c>
      <c r="I17" s="13">
        <f t="shared" si="0"/>
        <v>2761.2</v>
      </c>
    </row>
    <row r="18" spans="1:9" ht="54" customHeight="1" thickBot="1">
      <c r="A18" s="7">
        <v>9</v>
      </c>
      <c r="B18" s="8" t="s">
        <v>34</v>
      </c>
      <c r="C18" s="9" t="s">
        <v>17</v>
      </c>
      <c r="D18" s="10" t="str">
        <f t="shared" si="1"/>
        <v>2.5.1</v>
      </c>
      <c r="E18" s="11" t="s">
        <v>35</v>
      </c>
      <c r="F18" s="8" t="s">
        <v>19</v>
      </c>
      <c r="G18" s="8">
        <v>1</v>
      </c>
      <c r="H18" s="12">
        <v>6540</v>
      </c>
      <c r="I18" s="13">
        <f t="shared" si="0"/>
        <v>6540</v>
      </c>
    </row>
    <row r="19" spans="1:9" ht="54" customHeight="1" thickBot="1">
      <c r="A19" s="7">
        <v>10</v>
      </c>
      <c r="B19" s="8" t="s">
        <v>36</v>
      </c>
      <c r="C19" s="9" t="s">
        <v>17</v>
      </c>
      <c r="D19" s="10" t="str">
        <f t="shared" si="1"/>
        <v>2.5.1</v>
      </c>
      <c r="E19" s="11" t="s">
        <v>37</v>
      </c>
      <c r="F19" s="8" t="s">
        <v>19</v>
      </c>
      <c r="G19" s="8">
        <v>1</v>
      </c>
      <c r="H19" s="12">
        <v>4640.3999999999996</v>
      </c>
      <c r="I19" s="13">
        <f t="shared" si="0"/>
        <v>4640.3999999999996</v>
      </c>
    </row>
    <row r="20" spans="1:9" ht="54" customHeight="1" thickBot="1">
      <c r="A20" s="7">
        <v>11</v>
      </c>
      <c r="B20" s="8" t="s">
        <v>38</v>
      </c>
      <c r="C20" s="9" t="s">
        <v>17</v>
      </c>
      <c r="D20" s="10" t="str">
        <f t="shared" si="1"/>
        <v>2.5.1</v>
      </c>
      <c r="E20" s="11" t="s">
        <v>39</v>
      </c>
      <c r="F20" s="8" t="s">
        <v>19</v>
      </c>
      <c r="G20" s="8">
        <v>1</v>
      </c>
      <c r="H20" s="12">
        <v>2851.2</v>
      </c>
      <c r="I20" s="13">
        <f t="shared" si="0"/>
        <v>2851.2</v>
      </c>
    </row>
    <row r="21" spans="1:9" ht="54" customHeight="1" thickBot="1">
      <c r="A21" s="7">
        <v>12</v>
      </c>
      <c r="B21" s="8" t="s">
        <v>40</v>
      </c>
      <c r="C21" s="9" t="s">
        <v>17</v>
      </c>
      <c r="D21" s="10" t="str">
        <f t="shared" si="1"/>
        <v>2.5.1</v>
      </c>
      <c r="E21" s="11" t="s">
        <v>41</v>
      </c>
      <c r="F21" s="8" t="s">
        <v>19</v>
      </c>
      <c r="G21" s="8">
        <v>1</v>
      </c>
      <c r="H21" s="12">
        <v>15903.6</v>
      </c>
      <c r="I21" s="13">
        <f t="shared" si="0"/>
        <v>15903.6</v>
      </c>
    </row>
    <row r="22" spans="1:9" ht="54" customHeight="1" thickBot="1">
      <c r="A22" s="7">
        <v>13</v>
      </c>
      <c r="B22" s="8" t="s">
        <v>42</v>
      </c>
      <c r="C22" s="9" t="s">
        <v>17</v>
      </c>
      <c r="D22" s="10" t="str">
        <f t="shared" si="1"/>
        <v>2.5.1</v>
      </c>
      <c r="E22" s="11" t="s">
        <v>43</v>
      </c>
      <c r="F22" s="8" t="s">
        <v>19</v>
      </c>
      <c r="G22" s="8">
        <v>2</v>
      </c>
      <c r="H22" s="12">
        <v>3577.2</v>
      </c>
      <c r="I22" s="13">
        <f t="shared" si="0"/>
        <v>7154.4</v>
      </c>
    </row>
    <row r="23" spans="1:9" ht="54" customHeight="1" thickBot="1">
      <c r="A23" s="7">
        <v>14</v>
      </c>
      <c r="B23" s="8" t="s">
        <v>44</v>
      </c>
      <c r="C23" s="9" t="s">
        <v>17</v>
      </c>
      <c r="D23" s="10" t="str">
        <f t="shared" si="1"/>
        <v>2.5.1</v>
      </c>
      <c r="E23" s="11" t="s">
        <v>45</v>
      </c>
      <c r="F23" s="8" t="s">
        <v>19</v>
      </c>
      <c r="G23" s="8">
        <v>12</v>
      </c>
      <c r="H23" s="12">
        <v>1671.6</v>
      </c>
      <c r="I23" s="13">
        <f t="shared" si="0"/>
        <v>20059.199999999997</v>
      </c>
    </row>
    <row r="24" spans="1:9" ht="54" customHeight="1" thickBot="1">
      <c r="A24" s="7">
        <v>15</v>
      </c>
      <c r="B24" s="8" t="s">
        <v>56</v>
      </c>
      <c r="C24" s="9"/>
      <c r="D24" s="10" t="str">
        <f t="shared" si="1"/>
        <v>2.5.1</v>
      </c>
      <c r="E24" s="11" t="s">
        <v>46</v>
      </c>
      <c r="F24" s="8" t="s">
        <v>19</v>
      </c>
      <c r="G24" s="8">
        <v>1</v>
      </c>
      <c r="H24" s="12">
        <v>8918.4</v>
      </c>
      <c r="I24" s="13">
        <f t="shared" si="0"/>
        <v>8918.4</v>
      </c>
    </row>
    <row r="25" spans="1:9" ht="54" customHeight="1" thickBot="1">
      <c r="A25" s="7">
        <v>16</v>
      </c>
      <c r="B25" s="8" t="s">
        <v>56</v>
      </c>
      <c r="C25" s="9"/>
      <c r="D25" s="10" t="str">
        <f t="shared" si="1"/>
        <v>2.5.1</v>
      </c>
      <c r="E25" s="11" t="s">
        <v>47</v>
      </c>
      <c r="F25" s="10" t="s">
        <v>19</v>
      </c>
      <c r="G25" s="10">
        <v>5</v>
      </c>
      <c r="H25" s="15">
        <v>587.4</v>
      </c>
      <c r="I25" s="13">
        <f t="shared" si="0"/>
        <v>2937</v>
      </c>
    </row>
    <row r="26" spans="1:9" ht="54" customHeight="1" thickBot="1">
      <c r="A26" s="7">
        <v>17</v>
      </c>
      <c r="B26" s="8" t="s">
        <v>56</v>
      </c>
      <c r="C26" s="9"/>
      <c r="D26" s="10" t="str">
        <f t="shared" si="1"/>
        <v>2.5.1</v>
      </c>
      <c r="E26" s="11" t="s">
        <v>48</v>
      </c>
      <c r="F26" s="10" t="s">
        <v>19</v>
      </c>
      <c r="G26" s="10">
        <v>4</v>
      </c>
      <c r="H26" s="15">
        <v>584.4</v>
      </c>
      <c r="I26" s="13">
        <f t="shared" si="0"/>
        <v>2337.6</v>
      </c>
    </row>
    <row r="27" spans="1:9" ht="54" customHeight="1" thickBot="1">
      <c r="A27" s="7">
        <v>18</v>
      </c>
      <c r="B27" s="8" t="s">
        <v>49</v>
      </c>
      <c r="C27" s="9" t="s">
        <v>17</v>
      </c>
      <c r="D27" s="10" t="str">
        <f t="shared" si="1"/>
        <v>2.5.1</v>
      </c>
      <c r="E27" s="11" t="s">
        <v>50</v>
      </c>
      <c r="F27" s="8" t="s">
        <v>19</v>
      </c>
      <c r="G27" s="8">
        <v>3</v>
      </c>
      <c r="H27" s="12">
        <v>2796</v>
      </c>
      <c r="I27" s="13">
        <f t="shared" si="0"/>
        <v>8388</v>
      </c>
    </row>
    <row r="28" spans="1:9" ht="54" customHeight="1" thickBot="1">
      <c r="A28" s="7">
        <v>19</v>
      </c>
      <c r="B28" s="8" t="s">
        <v>56</v>
      </c>
      <c r="C28" s="9"/>
      <c r="D28" s="10" t="str">
        <f t="shared" si="1"/>
        <v>2.5.1</v>
      </c>
      <c r="E28" s="11" t="s">
        <v>51</v>
      </c>
      <c r="F28" s="8" t="s">
        <v>19</v>
      </c>
      <c r="G28" s="8">
        <v>4</v>
      </c>
      <c r="H28" s="12">
        <v>820.8</v>
      </c>
      <c r="I28" s="13">
        <f t="shared" si="0"/>
        <v>3283.2</v>
      </c>
    </row>
    <row r="29" spans="1:9" ht="54" customHeight="1" thickBot="1">
      <c r="A29" s="7">
        <v>20</v>
      </c>
      <c r="B29" s="8" t="s">
        <v>56</v>
      </c>
      <c r="C29" s="9"/>
      <c r="D29" s="10" t="str">
        <f t="shared" si="1"/>
        <v>2.5.1</v>
      </c>
      <c r="E29" s="11" t="s">
        <v>52</v>
      </c>
      <c r="F29" s="8" t="s">
        <v>19</v>
      </c>
      <c r="G29" s="8">
        <v>5</v>
      </c>
      <c r="H29" s="12">
        <v>820.8</v>
      </c>
      <c r="I29" s="13">
        <f t="shared" si="0"/>
        <v>4104</v>
      </c>
    </row>
    <row r="30" spans="1:9" ht="54" customHeight="1" thickBot="1">
      <c r="A30" s="7">
        <v>21</v>
      </c>
      <c r="B30" s="8" t="s">
        <v>56</v>
      </c>
      <c r="C30" s="9"/>
      <c r="D30" s="10" t="str">
        <f t="shared" si="1"/>
        <v>2.5.1</v>
      </c>
      <c r="E30" s="11" t="s">
        <v>53</v>
      </c>
      <c r="F30" s="8" t="s">
        <v>19</v>
      </c>
      <c r="G30" s="8">
        <v>10</v>
      </c>
      <c r="H30" s="12">
        <v>820.8</v>
      </c>
      <c r="I30" s="13">
        <f t="shared" si="0"/>
        <v>8208</v>
      </c>
    </row>
    <row r="31" spans="1:9" ht="54" customHeight="1" thickBot="1">
      <c r="A31" s="7">
        <v>22</v>
      </c>
      <c r="B31" s="8" t="s">
        <v>54</v>
      </c>
      <c r="C31" s="16" t="s">
        <v>55</v>
      </c>
      <c r="D31" s="10" t="str">
        <f t="shared" si="1"/>
        <v>2.5.1</v>
      </c>
      <c r="E31" s="11" t="s">
        <v>168</v>
      </c>
      <c r="F31" s="17" t="s">
        <v>57</v>
      </c>
      <c r="G31" s="17">
        <v>6</v>
      </c>
      <c r="H31" s="18">
        <v>16800</v>
      </c>
      <c r="I31" s="13">
        <f t="shared" si="0"/>
        <v>100800</v>
      </c>
    </row>
    <row r="32" spans="1:9" ht="54" customHeight="1" thickBot="1">
      <c r="A32" s="7">
        <v>23</v>
      </c>
      <c r="B32" s="8" t="s">
        <v>58</v>
      </c>
      <c r="C32" s="16" t="s">
        <v>55</v>
      </c>
      <c r="D32" s="10" t="str">
        <f t="shared" si="1"/>
        <v>2.5.1</v>
      </c>
      <c r="E32" s="11" t="s">
        <v>169</v>
      </c>
      <c r="F32" s="17" t="s">
        <v>59</v>
      </c>
      <c r="G32" s="17">
        <v>6</v>
      </c>
      <c r="H32" s="18">
        <v>2160</v>
      </c>
      <c r="I32" s="13">
        <f t="shared" si="0"/>
        <v>12960</v>
      </c>
    </row>
    <row r="33" spans="1:9" ht="54" customHeight="1" thickBot="1">
      <c r="A33" s="7">
        <v>24</v>
      </c>
      <c r="B33" s="8" t="s">
        <v>60</v>
      </c>
      <c r="C33" s="16" t="s">
        <v>55</v>
      </c>
      <c r="D33" s="10" t="str">
        <f t="shared" si="1"/>
        <v>2.5.1</v>
      </c>
      <c r="E33" s="11" t="s">
        <v>170</v>
      </c>
      <c r="F33" s="17" t="s">
        <v>59</v>
      </c>
      <c r="G33" s="17">
        <v>30</v>
      </c>
      <c r="H33" s="18">
        <v>2160</v>
      </c>
      <c r="I33" s="13">
        <f t="shared" si="0"/>
        <v>64800</v>
      </c>
    </row>
    <row r="34" spans="1:9" ht="54" customHeight="1" thickBot="1">
      <c r="A34" s="7">
        <v>25</v>
      </c>
      <c r="B34" s="8" t="s">
        <v>61</v>
      </c>
      <c r="C34" s="16" t="s">
        <v>55</v>
      </c>
      <c r="D34" s="10" t="str">
        <f t="shared" si="1"/>
        <v>2.5.1</v>
      </c>
      <c r="E34" s="11" t="s">
        <v>177</v>
      </c>
      <c r="F34" s="17" t="s">
        <v>59</v>
      </c>
      <c r="G34" s="17">
        <v>30</v>
      </c>
      <c r="H34" s="18">
        <v>2160</v>
      </c>
      <c r="I34" s="13">
        <f t="shared" si="0"/>
        <v>64800</v>
      </c>
    </row>
    <row r="35" spans="1:9" ht="54" customHeight="1" thickBot="1">
      <c r="A35" s="7">
        <v>26</v>
      </c>
      <c r="B35" s="8" t="s">
        <v>62</v>
      </c>
      <c r="C35" s="16" t="s">
        <v>55</v>
      </c>
      <c r="D35" s="10" t="str">
        <f t="shared" si="1"/>
        <v>2.5.1</v>
      </c>
      <c r="E35" s="11" t="s">
        <v>171</v>
      </c>
      <c r="F35" s="17" t="s">
        <v>59</v>
      </c>
      <c r="G35" s="17">
        <v>30</v>
      </c>
      <c r="H35" s="18">
        <v>3000</v>
      </c>
      <c r="I35" s="13">
        <f t="shared" si="0"/>
        <v>90000</v>
      </c>
    </row>
    <row r="36" spans="1:9" ht="54" customHeight="1" thickBot="1">
      <c r="A36" s="7">
        <v>27</v>
      </c>
      <c r="B36" s="8" t="s">
        <v>63</v>
      </c>
      <c r="C36" s="16" t="s">
        <v>55</v>
      </c>
      <c r="D36" s="10" t="str">
        <f t="shared" si="1"/>
        <v>2.5.1</v>
      </c>
      <c r="E36" s="11" t="s">
        <v>172</v>
      </c>
      <c r="F36" s="17" t="s">
        <v>59</v>
      </c>
      <c r="G36" s="17">
        <v>9</v>
      </c>
      <c r="H36" s="18">
        <v>9120</v>
      </c>
      <c r="I36" s="13">
        <f t="shared" si="0"/>
        <v>82080</v>
      </c>
    </row>
    <row r="37" spans="1:9" ht="54" customHeight="1" thickBot="1">
      <c r="A37" s="7">
        <v>28</v>
      </c>
      <c r="B37" s="8" t="s">
        <v>64</v>
      </c>
      <c r="C37" s="16" t="s">
        <v>55</v>
      </c>
      <c r="D37" s="10" t="str">
        <f t="shared" si="1"/>
        <v>2.5.1</v>
      </c>
      <c r="E37" s="11" t="s">
        <v>173</v>
      </c>
      <c r="F37" s="17" t="s">
        <v>59</v>
      </c>
      <c r="G37" s="17">
        <v>6</v>
      </c>
      <c r="H37" s="18">
        <v>7800</v>
      </c>
      <c r="I37" s="13">
        <f t="shared" si="0"/>
        <v>46800</v>
      </c>
    </row>
    <row r="38" spans="1:9" ht="54" customHeight="1" thickBot="1">
      <c r="A38" s="7">
        <v>29</v>
      </c>
      <c r="B38" s="8" t="s">
        <v>65</v>
      </c>
      <c r="C38" s="16" t="s">
        <v>55</v>
      </c>
      <c r="D38" s="10" t="str">
        <f t="shared" si="1"/>
        <v>2.5.1</v>
      </c>
      <c r="E38" s="11" t="s">
        <v>174</v>
      </c>
      <c r="F38" s="17" t="s">
        <v>59</v>
      </c>
      <c r="G38" s="17">
        <v>6</v>
      </c>
      <c r="H38" s="18">
        <v>9600</v>
      </c>
      <c r="I38" s="13">
        <f t="shared" si="0"/>
        <v>57600</v>
      </c>
    </row>
    <row r="39" spans="1:9" ht="54" customHeight="1" thickBot="1">
      <c r="A39" s="7">
        <v>30</v>
      </c>
      <c r="B39" s="8" t="s">
        <v>66</v>
      </c>
      <c r="C39" s="16" t="s">
        <v>55</v>
      </c>
      <c r="D39" s="10" t="str">
        <f t="shared" si="1"/>
        <v>2.5.1</v>
      </c>
      <c r="E39" s="11" t="s">
        <v>175</v>
      </c>
      <c r="F39" s="17" t="s">
        <v>59</v>
      </c>
      <c r="G39" s="17">
        <v>6</v>
      </c>
      <c r="H39" s="18">
        <v>7800</v>
      </c>
      <c r="I39" s="13">
        <f t="shared" si="0"/>
        <v>46800</v>
      </c>
    </row>
    <row r="40" spans="1:9" ht="54" customHeight="1" thickBot="1">
      <c r="A40" s="7">
        <v>31</v>
      </c>
      <c r="B40" s="8" t="s">
        <v>67</v>
      </c>
      <c r="C40" s="16" t="s">
        <v>55</v>
      </c>
      <c r="D40" s="10" t="str">
        <f t="shared" si="1"/>
        <v>2.5.1</v>
      </c>
      <c r="E40" s="11" t="s">
        <v>176</v>
      </c>
      <c r="F40" s="17" t="s">
        <v>59</v>
      </c>
      <c r="G40" s="17">
        <v>6</v>
      </c>
      <c r="H40" s="18">
        <v>9600</v>
      </c>
      <c r="I40" s="13">
        <f t="shared" si="0"/>
        <v>57600</v>
      </c>
    </row>
    <row r="41" spans="1:9" ht="54" customHeight="1" thickBot="1">
      <c r="A41" s="7">
        <v>32</v>
      </c>
      <c r="B41" s="8" t="s">
        <v>68</v>
      </c>
      <c r="C41" s="9" t="s">
        <v>17</v>
      </c>
      <c r="D41" s="10" t="str">
        <f t="shared" si="1"/>
        <v>2.5.1</v>
      </c>
      <c r="E41" s="11" t="s">
        <v>69</v>
      </c>
      <c r="F41" s="8" t="s">
        <v>57</v>
      </c>
      <c r="G41" s="8">
        <v>1</v>
      </c>
      <c r="H41" s="12">
        <v>51433.2</v>
      </c>
      <c r="I41" s="13">
        <f t="shared" si="0"/>
        <v>51433.2</v>
      </c>
    </row>
    <row r="42" spans="1:9" ht="54" customHeight="1" thickBot="1">
      <c r="A42" s="7">
        <v>33</v>
      </c>
      <c r="B42" s="8" t="s">
        <v>70</v>
      </c>
      <c r="C42" s="9" t="s">
        <v>17</v>
      </c>
      <c r="D42" s="10" t="str">
        <f t="shared" si="1"/>
        <v>2.5.1</v>
      </c>
      <c r="E42" s="11" t="s">
        <v>71</v>
      </c>
      <c r="F42" s="8" t="s">
        <v>57</v>
      </c>
      <c r="G42" s="8">
        <v>1</v>
      </c>
      <c r="H42" s="12">
        <v>57858</v>
      </c>
      <c r="I42" s="13">
        <f t="shared" si="0"/>
        <v>57858</v>
      </c>
    </row>
    <row r="43" spans="1:9" ht="54" customHeight="1" thickBot="1">
      <c r="A43" s="7">
        <v>34</v>
      </c>
      <c r="B43" s="8" t="s">
        <v>72</v>
      </c>
      <c r="C43" s="9" t="s">
        <v>17</v>
      </c>
      <c r="D43" s="10" t="str">
        <f t="shared" si="1"/>
        <v>2.5.1</v>
      </c>
      <c r="E43" s="11" t="s">
        <v>73</v>
      </c>
      <c r="F43" s="10" t="s">
        <v>178</v>
      </c>
      <c r="G43" s="10">
        <v>10</v>
      </c>
      <c r="H43" s="15">
        <v>2864.64</v>
      </c>
      <c r="I43" s="13">
        <f t="shared" si="0"/>
        <v>28646.399999999998</v>
      </c>
    </row>
    <row r="44" spans="1:9" ht="54" customHeight="1" thickBot="1">
      <c r="A44" s="7">
        <v>35</v>
      </c>
      <c r="B44" s="8" t="s">
        <v>74</v>
      </c>
      <c r="C44" s="9" t="s">
        <v>17</v>
      </c>
      <c r="D44" s="10" t="str">
        <f t="shared" si="1"/>
        <v>2.5.1</v>
      </c>
      <c r="E44" s="11" t="s">
        <v>75</v>
      </c>
      <c r="F44" s="8" t="s">
        <v>178</v>
      </c>
      <c r="G44" s="8">
        <v>10</v>
      </c>
      <c r="H44" s="12">
        <v>3081.48</v>
      </c>
      <c r="I44" s="13">
        <f t="shared" si="0"/>
        <v>30814.799999999999</v>
      </c>
    </row>
    <row r="45" spans="1:9" ht="54" customHeight="1" thickBot="1">
      <c r="A45" s="7">
        <v>36</v>
      </c>
      <c r="B45" s="8" t="s">
        <v>180</v>
      </c>
      <c r="C45" s="9" t="s">
        <v>17</v>
      </c>
      <c r="D45" s="10" t="str">
        <f t="shared" si="1"/>
        <v>2.5.1</v>
      </c>
      <c r="E45" s="11" t="s">
        <v>179</v>
      </c>
      <c r="F45" s="8" t="s">
        <v>57</v>
      </c>
      <c r="G45" s="8">
        <v>4</v>
      </c>
      <c r="H45" s="12">
        <v>8503.2000000000007</v>
      </c>
      <c r="I45" s="13">
        <f t="shared" si="0"/>
        <v>34012.800000000003</v>
      </c>
    </row>
    <row r="46" spans="1:9" ht="54" customHeight="1" thickBot="1">
      <c r="A46" s="7">
        <v>37</v>
      </c>
      <c r="B46" s="8" t="s">
        <v>76</v>
      </c>
      <c r="C46" s="9" t="s">
        <v>17</v>
      </c>
      <c r="D46" s="10" t="str">
        <f t="shared" si="1"/>
        <v>2.5.1</v>
      </c>
      <c r="E46" s="11" t="s">
        <v>77</v>
      </c>
      <c r="F46" s="8" t="s">
        <v>59</v>
      </c>
      <c r="G46" s="8">
        <v>2</v>
      </c>
      <c r="H46" s="12">
        <v>3774</v>
      </c>
      <c r="I46" s="13">
        <f t="shared" si="0"/>
        <v>7548</v>
      </c>
    </row>
    <row r="47" spans="1:9" ht="54" customHeight="1" thickBot="1">
      <c r="A47" s="7">
        <v>38</v>
      </c>
      <c r="B47" s="8" t="s">
        <v>78</v>
      </c>
      <c r="C47" s="9" t="s">
        <v>17</v>
      </c>
      <c r="D47" s="10" t="str">
        <f t="shared" si="1"/>
        <v>2.5.1</v>
      </c>
      <c r="E47" s="11" t="s">
        <v>79</v>
      </c>
      <c r="F47" s="8" t="s">
        <v>59</v>
      </c>
      <c r="G47" s="8">
        <v>2</v>
      </c>
      <c r="H47" s="12">
        <v>3063.6</v>
      </c>
      <c r="I47" s="13">
        <f t="shared" si="0"/>
        <v>6127.2</v>
      </c>
    </row>
    <row r="48" spans="1:9" ht="54" customHeight="1" thickBot="1">
      <c r="A48" s="7">
        <v>39</v>
      </c>
      <c r="B48" s="8" t="s">
        <v>80</v>
      </c>
      <c r="C48" s="9" t="s">
        <v>17</v>
      </c>
      <c r="D48" s="10" t="str">
        <f t="shared" si="1"/>
        <v>2.5.1</v>
      </c>
      <c r="E48" s="11" t="s">
        <v>81</v>
      </c>
      <c r="F48" s="8" t="s">
        <v>59</v>
      </c>
      <c r="G48" s="8">
        <v>3</v>
      </c>
      <c r="H48" s="12">
        <v>1980</v>
      </c>
      <c r="I48" s="13">
        <f t="shared" si="0"/>
        <v>5940</v>
      </c>
    </row>
    <row r="49" spans="1:9" ht="54" customHeight="1" thickBot="1">
      <c r="A49" s="7">
        <v>40</v>
      </c>
      <c r="B49" s="8" t="s">
        <v>82</v>
      </c>
      <c r="C49" s="9" t="s">
        <v>17</v>
      </c>
      <c r="D49" s="10" t="str">
        <f t="shared" si="1"/>
        <v>2.5.1</v>
      </c>
      <c r="E49" s="11" t="s">
        <v>83</v>
      </c>
      <c r="F49" s="8" t="s">
        <v>84</v>
      </c>
      <c r="G49" s="8">
        <v>45</v>
      </c>
      <c r="H49" s="12">
        <v>1372.8</v>
      </c>
      <c r="I49" s="13">
        <f t="shared" si="0"/>
        <v>61776</v>
      </c>
    </row>
    <row r="50" spans="1:9" ht="54" customHeight="1" thickBot="1">
      <c r="A50" s="7">
        <v>41</v>
      </c>
      <c r="B50" s="8" t="s">
        <v>85</v>
      </c>
      <c r="C50" s="9" t="s">
        <v>17</v>
      </c>
      <c r="D50" s="10" t="str">
        <f t="shared" si="1"/>
        <v>2.5.1</v>
      </c>
      <c r="E50" s="11" t="s">
        <v>86</v>
      </c>
      <c r="F50" s="10" t="s">
        <v>59</v>
      </c>
      <c r="G50" s="10">
        <v>14</v>
      </c>
      <c r="H50" s="15">
        <v>6280.8</v>
      </c>
      <c r="I50" s="13">
        <f t="shared" si="0"/>
        <v>87931.199999999997</v>
      </c>
    </row>
    <row r="51" spans="1:9" ht="54" customHeight="1" thickBot="1">
      <c r="A51" s="7">
        <v>42</v>
      </c>
      <c r="B51" s="8" t="s">
        <v>87</v>
      </c>
      <c r="C51" s="9" t="s">
        <v>17</v>
      </c>
      <c r="D51" s="10" t="str">
        <f t="shared" si="1"/>
        <v>2.5.1</v>
      </c>
      <c r="E51" s="11" t="s">
        <v>88</v>
      </c>
      <c r="F51" s="8" t="s">
        <v>59</v>
      </c>
      <c r="G51" s="8">
        <v>10</v>
      </c>
      <c r="H51" s="12">
        <v>2428.8000000000002</v>
      </c>
      <c r="I51" s="13">
        <f t="shared" si="0"/>
        <v>24288</v>
      </c>
    </row>
    <row r="52" spans="1:9" ht="54" customHeight="1" thickBot="1">
      <c r="A52" s="7">
        <v>43</v>
      </c>
      <c r="B52" s="8" t="s">
        <v>89</v>
      </c>
      <c r="C52" s="9" t="s">
        <v>17</v>
      </c>
      <c r="D52" s="10" t="str">
        <f t="shared" si="1"/>
        <v>2.5.1</v>
      </c>
      <c r="E52" s="11" t="s">
        <v>90</v>
      </c>
      <c r="F52" s="8" t="s">
        <v>59</v>
      </c>
      <c r="G52" s="8">
        <v>10</v>
      </c>
      <c r="H52" s="12">
        <v>3513.6</v>
      </c>
      <c r="I52" s="13">
        <f t="shared" si="0"/>
        <v>35136</v>
      </c>
    </row>
    <row r="53" spans="1:9" ht="54" customHeight="1" thickBot="1">
      <c r="A53" s="7">
        <v>44</v>
      </c>
      <c r="B53" s="8" t="s">
        <v>91</v>
      </c>
      <c r="C53" s="9" t="s">
        <v>17</v>
      </c>
      <c r="D53" s="10" t="str">
        <f t="shared" si="1"/>
        <v>2.5.1</v>
      </c>
      <c r="E53" s="11" t="s">
        <v>92</v>
      </c>
      <c r="F53" s="8" t="s">
        <v>59</v>
      </c>
      <c r="G53" s="8">
        <v>4</v>
      </c>
      <c r="H53" s="12">
        <v>1596</v>
      </c>
      <c r="I53" s="13">
        <f t="shared" si="0"/>
        <v>6384</v>
      </c>
    </row>
    <row r="54" spans="1:9" ht="54" customHeight="1" thickBot="1">
      <c r="A54" s="7">
        <v>45</v>
      </c>
      <c r="B54" s="8" t="s">
        <v>93</v>
      </c>
      <c r="C54" s="9" t="s">
        <v>17</v>
      </c>
      <c r="D54" s="10" t="str">
        <f t="shared" si="1"/>
        <v>2.5.1</v>
      </c>
      <c r="E54" s="11" t="s">
        <v>94</v>
      </c>
      <c r="F54" s="8" t="s">
        <v>59</v>
      </c>
      <c r="G54" s="8">
        <v>4</v>
      </c>
      <c r="H54" s="12">
        <v>1813.2</v>
      </c>
      <c r="I54" s="13">
        <f t="shared" si="0"/>
        <v>7252.8</v>
      </c>
    </row>
    <row r="55" spans="1:9" ht="54" customHeight="1" thickBot="1">
      <c r="A55" s="7">
        <v>46</v>
      </c>
      <c r="B55" s="8" t="s">
        <v>95</v>
      </c>
      <c r="C55" s="9" t="s">
        <v>17</v>
      </c>
      <c r="D55" s="10" t="str">
        <f t="shared" si="1"/>
        <v>2.5.1</v>
      </c>
      <c r="E55" s="11" t="s">
        <v>96</v>
      </c>
      <c r="F55" s="8" t="s">
        <v>59</v>
      </c>
      <c r="G55" s="8">
        <v>7</v>
      </c>
      <c r="H55" s="12">
        <v>1275.5999999999999</v>
      </c>
      <c r="I55" s="13">
        <f t="shared" si="0"/>
        <v>8929.1999999999989</v>
      </c>
    </row>
    <row r="56" spans="1:9" ht="54" customHeight="1" thickBot="1">
      <c r="A56" s="7">
        <v>47</v>
      </c>
      <c r="B56" s="8" t="s">
        <v>97</v>
      </c>
      <c r="C56" s="9" t="s">
        <v>17</v>
      </c>
      <c r="D56" s="10" t="str">
        <f t="shared" si="1"/>
        <v>2.5.1</v>
      </c>
      <c r="E56" s="11" t="s">
        <v>98</v>
      </c>
      <c r="F56" s="8" t="s">
        <v>84</v>
      </c>
      <c r="G56" s="8">
        <v>10</v>
      </c>
      <c r="H56" s="12">
        <v>787.2</v>
      </c>
      <c r="I56" s="13">
        <f t="shared" si="0"/>
        <v>7872</v>
      </c>
    </row>
    <row r="57" spans="1:9" ht="54" customHeight="1" thickBot="1">
      <c r="A57" s="7">
        <v>48</v>
      </c>
      <c r="B57" s="8" t="s">
        <v>99</v>
      </c>
      <c r="C57" s="9" t="s">
        <v>55</v>
      </c>
      <c r="D57" s="10" t="str">
        <f t="shared" si="1"/>
        <v>2.5.1</v>
      </c>
      <c r="E57" s="11" t="s">
        <v>100</v>
      </c>
      <c r="F57" s="8" t="s">
        <v>101</v>
      </c>
      <c r="G57" s="8">
        <v>3</v>
      </c>
      <c r="H57" s="12">
        <v>9300</v>
      </c>
      <c r="I57" s="13">
        <f t="shared" si="0"/>
        <v>27900</v>
      </c>
    </row>
    <row r="58" spans="1:9" ht="54" customHeight="1" thickBot="1">
      <c r="A58" s="7">
        <v>49</v>
      </c>
      <c r="B58" s="8" t="s">
        <v>102</v>
      </c>
      <c r="C58" s="9" t="s">
        <v>17</v>
      </c>
      <c r="D58" s="10" t="str">
        <f t="shared" si="1"/>
        <v>2.5.9</v>
      </c>
      <c r="E58" s="11" t="s">
        <v>103</v>
      </c>
      <c r="F58" s="8" t="s">
        <v>104</v>
      </c>
      <c r="G58" s="8">
        <v>15</v>
      </c>
      <c r="H58" s="12">
        <v>1468.8</v>
      </c>
      <c r="I58" s="13">
        <f t="shared" si="0"/>
        <v>22032</v>
      </c>
    </row>
    <row r="59" spans="1:9" ht="13.8" thickBot="1">
      <c r="A59" s="19"/>
    </row>
    <row r="60" spans="1:9" s="90" customFormat="1" ht="48.6" customHeight="1">
      <c r="A60" s="89"/>
      <c r="B60" s="97" t="s">
        <v>158</v>
      </c>
      <c r="C60" s="98"/>
      <c r="D60" s="98"/>
      <c r="E60" s="99"/>
    </row>
    <row r="61" spans="1:9" s="90" customFormat="1" ht="28.8" customHeight="1" thickBot="1">
      <c r="A61" s="89"/>
      <c r="B61" s="91" t="s">
        <v>157</v>
      </c>
      <c r="C61" s="92"/>
      <c r="D61" s="92"/>
      <c r="E61" s="93"/>
    </row>
    <row r="62" spans="1:9" ht="13.8" thickBot="1">
      <c r="A62" s="19"/>
    </row>
    <row r="63" spans="1:9">
      <c r="B63" s="20" t="s">
        <v>159</v>
      </c>
      <c r="C63" s="21"/>
      <c r="D63" s="21"/>
      <c r="E63" s="22"/>
    </row>
    <row r="64" spans="1:9" ht="7.5" customHeight="1">
      <c r="B64" s="23"/>
      <c r="C64" s="24"/>
      <c r="D64" s="24"/>
      <c r="E64" s="25"/>
    </row>
    <row r="65" spans="1:5">
      <c r="B65" s="26" t="s">
        <v>105</v>
      </c>
      <c r="C65" s="24"/>
      <c r="D65" s="24"/>
      <c r="E65" s="25"/>
    </row>
    <row r="66" spans="1:5" ht="39" customHeight="1">
      <c r="B66" s="26"/>
      <c r="C66" s="103" t="s">
        <v>181</v>
      </c>
      <c r="D66" s="103"/>
      <c r="E66" s="103"/>
    </row>
    <row r="67" spans="1:5">
      <c r="B67" s="26" t="s">
        <v>106</v>
      </c>
      <c r="C67" s="24"/>
      <c r="D67" s="24"/>
      <c r="E67" s="25"/>
    </row>
    <row r="68" spans="1:5">
      <c r="B68" s="27"/>
      <c r="C68" s="101"/>
      <c r="D68" s="101"/>
      <c r="E68" s="101"/>
    </row>
    <row r="69" spans="1:5">
      <c r="B69" s="27"/>
      <c r="C69" s="101"/>
      <c r="D69" s="101"/>
      <c r="E69" s="101"/>
    </row>
    <row r="70" spans="1:5">
      <c r="B70" s="26" t="s">
        <v>107</v>
      </c>
      <c r="C70" s="24"/>
      <c r="D70" s="24"/>
      <c r="E70" s="25"/>
    </row>
    <row r="71" spans="1:5">
      <c r="B71" s="27"/>
      <c r="C71" s="103"/>
      <c r="D71" s="103"/>
      <c r="E71" s="103"/>
    </row>
    <row r="72" spans="1:5">
      <c r="B72" s="26" t="s">
        <v>108</v>
      </c>
      <c r="C72" s="28"/>
      <c r="D72" s="28"/>
      <c r="E72" s="29"/>
    </row>
    <row r="73" spans="1:5">
      <c r="B73" s="27"/>
      <c r="C73" s="103"/>
      <c r="D73" s="103"/>
      <c r="E73" s="103"/>
    </row>
    <row r="74" spans="1:5">
      <c r="B74" s="26" t="s">
        <v>109</v>
      </c>
      <c r="C74" s="24"/>
      <c r="D74" s="24"/>
      <c r="E74" s="25"/>
    </row>
    <row r="75" spans="1:5">
      <c r="B75" s="26"/>
      <c r="C75" s="101"/>
      <c r="D75" s="101"/>
      <c r="E75" s="101"/>
    </row>
    <row r="76" spans="1:5" ht="13.8" thickBot="1">
      <c r="B76" s="30"/>
      <c r="C76" s="31"/>
      <c r="D76" s="31"/>
      <c r="E76" s="32"/>
    </row>
    <row r="77" spans="1:5" ht="13.8" thickBot="1"/>
    <row r="78" spans="1:5">
      <c r="A78" s="19"/>
      <c r="B78" s="20" t="s">
        <v>160</v>
      </c>
      <c r="C78" s="21"/>
      <c r="D78" s="21"/>
      <c r="E78" s="22"/>
    </row>
    <row r="79" spans="1:5" ht="5.25" customHeight="1">
      <c r="A79" s="19"/>
      <c r="B79" s="23"/>
      <c r="C79" s="24"/>
      <c r="D79" s="24"/>
      <c r="E79" s="25"/>
    </row>
    <row r="80" spans="1:5">
      <c r="A80" s="19"/>
      <c r="B80" s="26" t="s">
        <v>105</v>
      </c>
      <c r="C80" s="24"/>
      <c r="D80" s="24"/>
      <c r="E80" s="25"/>
    </row>
    <row r="81" spans="1:9" ht="32.25" customHeight="1">
      <c r="A81" s="19"/>
      <c r="B81" s="26"/>
      <c r="C81" s="103" t="s">
        <v>182</v>
      </c>
      <c r="D81" s="103"/>
      <c r="E81" s="103"/>
      <c r="G81" s="105"/>
      <c r="H81" s="105"/>
      <c r="I81" s="105"/>
    </row>
    <row r="82" spans="1:9" ht="20.25" customHeight="1">
      <c r="A82" s="19"/>
      <c r="B82" s="26" t="s">
        <v>106</v>
      </c>
      <c r="C82" s="24"/>
      <c r="D82" s="24"/>
      <c r="E82" s="25"/>
      <c r="G82" s="104"/>
      <c r="H82" s="104"/>
      <c r="I82" s="104"/>
    </row>
    <row r="83" spans="1:9" ht="21.75" customHeight="1">
      <c r="A83" s="19"/>
      <c r="B83" s="27"/>
      <c r="C83" s="101"/>
      <c r="D83" s="101"/>
      <c r="E83" s="101"/>
      <c r="G83" s="104"/>
      <c r="H83" s="104"/>
      <c r="I83" s="104"/>
    </row>
    <row r="84" spans="1:9" ht="18.75" customHeight="1">
      <c r="A84" s="19"/>
      <c r="B84" s="27"/>
      <c r="C84" s="101"/>
      <c r="D84" s="101"/>
      <c r="E84" s="101"/>
      <c r="G84" s="104"/>
      <c r="H84" s="104"/>
      <c r="I84" s="104"/>
    </row>
    <row r="85" spans="1:9">
      <c r="B85" s="26" t="s">
        <v>107</v>
      </c>
      <c r="C85" s="24"/>
      <c r="D85" s="24"/>
      <c r="E85" s="25"/>
    </row>
    <row r="86" spans="1:9" ht="26.25" customHeight="1">
      <c r="B86" s="27"/>
      <c r="C86" s="103"/>
      <c r="D86" s="103"/>
      <c r="E86" s="103"/>
    </row>
    <row r="87" spans="1:9">
      <c r="B87" s="26" t="s">
        <v>108</v>
      </c>
      <c r="C87" s="28"/>
      <c r="D87" s="28"/>
      <c r="E87" s="29"/>
    </row>
    <row r="88" spans="1:9" ht="26.25" customHeight="1">
      <c r="B88" s="27"/>
      <c r="C88" s="103"/>
      <c r="D88" s="103"/>
      <c r="E88" s="103"/>
    </row>
    <row r="89" spans="1:9">
      <c r="B89" s="26" t="s">
        <v>109</v>
      </c>
      <c r="C89" s="24"/>
      <c r="D89" s="24"/>
      <c r="E89" s="25"/>
    </row>
    <row r="90" spans="1:9" ht="23.25" customHeight="1">
      <c r="B90" s="26"/>
      <c r="C90" s="101"/>
      <c r="D90" s="101"/>
      <c r="E90" s="101"/>
    </row>
    <row r="91" spans="1:9" ht="13.8" thickBot="1">
      <c r="B91" s="30"/>
      <c r="C91" s="31"/>
      <c r="D91" s="31"/>
      <c r="E91" s="32"/>
    </row>
    <row r="92" spans="1:9" ht="13.8" thickBot="1"/>
    <row r="93" spans="1:9">
      <c r="B93" s="20" t="s">
        <v>161</v>
      </c>
      <c r="C93" s="21"/>
      <c r="D93" s="21"/>
      <c r="E93" s="22"/>
    </row>
    <row r="94" spans="1:9" ht="7.5" customHeight="1">
      <c r="B94" s="23"/>
      <c r="C94" s="24"/>
      <c r="D94" s="24"/>
      <c r="E94" s="25"/>
    </row>
    <row r="95" spans="1:9">
      <c r="B95" s="26" t="s">
        <v>105</v>
      </c>
      <c r="C95" s="24"/>
      <c r="D95" s="24"/>
      <c r="E95" s="25"/>
    </row>
    <row r="96" spans="1:9" ht="39" customHeight="1">
      <c r="B96" s="26"/>
      <c r="C96" s="103" t="s">
        <v>183</v>
      </c>
      <c r="D96" s="103"/>
      <c r="E96" s="103"/>
    </row>
    <row r="97" spans="2:5">
      <c r="B97" s="26" t="s">
        <v>106</v>
      </c>
      <c r="C97" s="24"/>
      <c r="D97" s="24"/>
      <c r="E97" s="25"/>
    </row>
    <row r="98" spans="2:5">
      <c r="B98" s="27"/>
      <c r="C98" s="101"/>
      <c r="D98" s="101"/>
      <c r="E98" s="101"/>
    </row>
    <row r="99" spans="2:5">
      <c r="B99" s="27"/>
      <c r="C99" s="101"/>
      <c r="D99" s="101"/>
      <c r="E99" s="101"/>
    </row>
    <row r="100" spans="2:5">
      <c r="B100" s="26" t="s">
        <v>107</v>
      </c>
      <c r="C100" s="24"/>
      <c r="D100" s="24"/>
      <c r="E100" s="25"/>
    </row>
    <row r="101" spans="2:5">
      <c r="B101" s="27"/>
      <c r="C101" s="103"/>
      <c r="D101" s="103"/>
      <c r="E101" s="103"/>
    </row>
    <row r="102" spans="2:5">
      <c r="B102" s="26" t="s">
        <v>108</v>
      </c>
      <c r="C102" s="28"/>
      <c r="D102" s="28"/>
      <c r="E102" s="29"/>
    </row>
    <row r="103" spans="2:5">
      <c r="B103" s="27"/>
      <c r="C103" s="103"/>
      <c r="D103" s="103"/>
      <c r="E103" s="103"/>
    </row>
    <row r="104" spans="2:5">
      <c r="B104" s="26" t="s">
        <v>109</v>
      </c>
      <c r="C104" s="24"/>
      <c r="D104" s="24"/>
      <c r="E104" s="25"/>
    </row>
    <row r="105" spans="2:5">
      <c r="B105" s="26"/>
      <c r="C105" s="101"/>
      <c r="D105" s="101"/>
      <c r="E105" s="101"/>
    </row>
    <row r="106" spans="2:5" ht="13.8" thickBot="1">
      <c r="B106" s="30"/>
      <c r="C106" s="31"/>
      <c r="D106" s="31"/>
      <c r="E106" s="32"/>
    </row>
    <row r="107" spans="2:5" ht="13.8" thickBot="1"/>
    <row r="108" spans="2:5">
      <c r="B108" s="20" t="s">
        <v>162</v>
      </c>
      <c r="C108" s="21"/>
      <c r="D108" s="21"/>
      <c r="E108" s="22"/>
    </row>
    <row r="109" spans="2:5" ht="7.5" customHeight="1">
      <c r="B109" s="23"/>
      <c r="C109" s="24"/>
      <c r="D109" s="24"/>
      <c r="E109" s="25"/>
    </row>
    <row r="110" spans="2:5">
      <c r="B110" s="26" t="s">
        <v>105</v>
      </c>
      <c r="C110" s="24"/>
      <c r="D110" s="24"/>
      <c r="E110" s="25"/>
    </row>
    <row r="111" spans="2:5" ht="39" customHeight="1">
      <c r="B111" s="26"/>
      <c r="C111" s="103" t="s">
        <v>184</v>
      </c>
      <c r="D111" s="103"/>
      <c r="E111" s="103"/>
    </row>
    <row r="112" spans="2:5">
      <c r="B112" s="26" t="s">
        <v>106</v>
      </c>
      <c r="C112" s="24"/>
      <c r="D112" s="24"/>
      <c r="E112" s="25"/>
    </row>
    <row r="113" spans="2:5">
      <c r="B113" s="27"/>
      <c r="C113" s="101"/>
      <c r="D113" s="101"/>
      <c r="E113" s="101"/>
    </row>
    <row r="114" spans="2:5">
      <c r="B114" s="27"/>
      <c r="C114" s="101"/>
      <c r="D114" s="101"/>
      <c r="E114" s="101"/>
    </row>
    <row r="115" spans="2:5">
      <c r="B115" s="26" t="s">
        <v>107</v>
      </c>
      <c r="C115" s="24"/>
      <c r="D115" s="24"/>
      <c r="E115" s="25"/>
    </row>
    <row r="116" spans="2:5">
      <c r="B116" s="27"/>
      <c r="C116" s="103"/>
      <c r="D116" s="103"/>
      <c r="E116" s="103"/>
    </row>
    <row r="117" spans="2:5">
      <c r="B117" s="26" t="s">
        <v>108</v>
      </c>
      <c r="C117" s="28"/>
      <c r="D117" s="28"/>
      <c r="E117" s="29"/>
    </row>
    <row r="118" spans="2:5">
      <c r="B118" s="27"/>
      <c r="C118" s="103"/>
      <c r="D118" s="103"/>
      <c r="E118" s="103"/>
    </row>
    <row r="119" spans="2:5">
      <c r="B119" s="26" t="s">
        <v>109</v>
      </c>
      <c r="C119" s="24"/>
      <c r="D119" s="24"/>
      <c r="E119" s="25"/>
    </row>
    <row r="120" spans="2:5">
      <c r="B120" s="26"/>
      <c r="C120" s="101"/>
      <c r="D120" s="101"/>
      <c r="E120" s="101"/>
    </row>
    <row r="121" spans="2:5" ht="13.8" thickBot="1">
      <c r="B121" s="30"/>
      <c r="C121" s="31"/>
      <c r="D121" s="31"/>
      <c r="E121" s="32"/>
    </row>
    <row r="122" spans="2:5" ht="13.8" thickBot="1"/>
    <row r="123" spans="2:5">
      <c r="B123" s="20" t="s">
        <v>163</v>
      </c>
      <c r="C123" s="21"/>
      <c r="D123" s="21"/>
      <c r="E123" s="22"/>
    </row>
    <row r="124" spans="2:5" ht="7.5" customHeight="1">
      <c r="B124" s="23"/>
      <c r="C124" s="24"/>
      <c r="D124" s="24"/>
      <c r="E124" s="25"/>
    </row>
    <row r="125" spans="2:5">
      <c r="B125" s="26" t="s">
        <v>105</v>
      </c>
      <c r="C125" s="24"/>
      <c r="D125" s="24"/>
      <c r="E125" s="25"/>
    </row>
    <row r="126" spans="2:5" ht="39" customHeight="1">
      <c r="B126" s="26"/>
      <c r="C126" s="103" t="s">
        <v>185</v>
      </c>
      <c r="D126" s="103"/>
      <c r="E126" s="103"/>
    </row>
    <row r="127" spans="2:5">
      <c r="B127" s="26" t="s">
        <v>106</v>
      </c>
      <c r="C127" s="24"/>
      <c r="D127" s="24"/>
      <c r="E127" s="25"/>
    </row>
    <row r="128" spans="2:5">
      <c r="B128" s="27"/>
      <c r="C128" s="101"/>
      <c r="D128" s="101"/>
      <c r="E128" s="101"/>
    </row>
    <row r="129" spans="1:9">
      <c r="B129" s="27"/>
      <c r="C129" s="101"/>
      <c r="D129" s="101"/>
      <c r="E129" s="101"/>
    </row>
    <row r="130" spans="1:9">
      <c r="B130" s="26" t="s">
        <v>107</v>
      </c>
      <c r="C130" s="24"/>
      <c r="D130" s="24"/>
      <c r="E130" s="25"/>
    </row>
    <row r="131" spans="1:9">
      <c r="B131" s="27"/>
      <c r="C131" s="103"/>
      <c r="D131" s="103"/>
      <c r="E131" s="103"/>
    </row>
    <row r="132" spans="1:9">
      <c r="B132" s="26" t="s">
        <v>108</v>
      </c>
      <c r="C132" s="28"/>
      <c r="D132" s="28"/>
      <c r="E132" s="29"/>
    </row>
    <row r="133" spans="1:9">
      <c r="B133" s="27"/>
      <c r="C133" s="103"/>
      <c r="D133" s="103"/>
      <c r="E133" s="103"/>
    </row>
    <row r="134" spans="1:9">
      <c r="B134" s="26" t="s">
        <v>109</v>
      </c>
      <c r="C134" s="24"/>
      <c r="D134" s="24"/>
      <c r="E134" s="25"/>
    </row>
    <row r="135" spans="1:9">
      <c r="B135" s="26"/>
      <c r="C135" s="101"/>
      <c r="D135" s="101"/>
      <c r="E135" s="101"/>
    </row>
    <row r="136" spans="1:9" ht="13.8" thickBot="1">
      <c r="B136" s="30"/>
      <c r="C136" s="31"/>
      <c r="D136" s="31"/>
      <c r="E136" s="32"/>
    </row>
    <row r="137" spans="1:9" ht="13.8" thickBot="1"/>
    <row r="138" spans="1:9">
      <c r="A138" s="19"/>
      <c r="B138" s="20" t="s">
        <v>164</v>
      </c>
      <c r="C138" s="21"/>
      <c r="D138" s="21"/>
      <c r="E138" s="22"/>
    </row>
    <row r="139" spans="1:9" ht="5.25" customHeight="1">
      <c r="A139" s="19"/>
      <c r="B139" s="23"/>
      <c r="C139" s="24"/>
      <c r="D139" s="24"/>
      <c r="E139" s="25"/>
    </row>
    <row r="140" spans="1:9">
      <c r="A140" s="19"/>
      <c r="B140" s="26" t="s">
        <v>105</v>
      </c>
      <c r="C140" s="24"/>
      <c r="D140" s="24"/>
      <c r="E140" s="25"/>
    </row>
    <row r="141" spans="1:9" ht="32.25" customHeight="1">
      <c r="A141" s="19"/>
      <c r="B141" s="26"/>
      <c r="C141" s="103" t="s">
        <v>186</v>
      </c>
      <c r="D141" s="103"/>
      <c r="E141" s="103"/>
      <c r="G141" s="105"/>
      <c r="H141" s="105"/>
      <c r="I141" s="105"/>
    </row>
    <row r="142" spans="1:9" ht="20.25" customHeight="1">
      <c r="A142" s="19"/>
      <c r="B142" s="26" t="s">
        <v>106</v>
      </c>
      <c r="C142" s="24"/>
      <c r="D142" s="24"/>
      <c r="E142" s="25"/>
      <c r="G142" s="104"/>
      <c r="H142" s="104"/>
      <c r="I142" s="104"/>
    </row>
    <row r="143" spans="1:9" ht="21.75" customHeight="1">
      <c r="A143" s="19"/>
      <c r="B143" s="27"/>
      <c r="C143" s="101"/>
      <c r="D143" s="101"/>
      <c r="E143" s="101"/>
      <c r="G143" s="104"/>
      <c r="H143" s="104"/>
      <c r="I143" s="104"/>
    </row>
    <row r="144" spans="1:9" ht="18.75" customHeight="1">
      <c r="A144" s="19"/>
      <c r="B144" s="27"/>
      <c r="C144" s="101"/>
      <c r="D144" s="101"/>
      <c r="E144" s="101"/>
      <c r="G144" s="104"/>
      <c r="H144" s="104"/>
      <c r="I144" s="104"/>
    </row>
    <row r="145" spans="2:5">
      <c r="B145" s="26" t="s">
        <v>107</v>
      </c>
      <c r="C145" s="24"/>
      <c r="D145" s="24"/>
      <c r="E145" s="25"/>
    </row>
    <row r="146" spans="2:5" ht="26.25" customHeight="1">
      <c r="B146" s="27"/>
      <c r="C146" s="103"/>
      <c r="D146" s="103"/>
      <c r="E146" s="103"/>
    </row>
    <row r="147" spans="2:5">
      <c r="B147" s="26" t="s">
        <v>108</v>
      </c>
      <c r="C147" s="28"/>
      <c r="D147" s="28"/>
      <c r="E147" s="29"/>
    </row>
    <row r="148" spans="2:5" ht="26.25" customHeight="1">
      <c r="B148" s="27"/>
      <c r="C148" s="103"/>
      <c r="D148" s="103"/>
      <c r="E148" s="103"/>
    </row>
    <row r="149" spans="2:5">
      <c r="B149" s="26" t="s">
        <v>109</v>
      </c>
      <c r="C149" s="24"/>
      <c r="D149" s="24"/>
      <c r="E149" s="25"/>
    </row>
    <row r="150" spans="2:5" ht="23.25" customHeight="1">
      <c r="B150" s="26"/>
      <c r="C150" s="101"/>
      <c r="D150" s="101"/>
      <c r="E150" s="101"/>
    </row>
    <row r="151" spans="2:5" ht="13.8" thickBot="1">
      <c r="B151" s="30"/>
      <c r="C151" s="31"/>
      <c r="D151" s="31"/>
      <c r="E151" s="32"/>
    </row>
    <row r="152" spans="2:5" ht="13.8" thickBot="1"/>
    <row r="153" spans="2:5">
      <c r="B153" s="20" t="s">
        <v>165</v>
      </c>
      <c r="C153" s="21"/>
      <c r="D153" s="21"/>
      <c r="E153" s="22"/>
    </row>
    <row r="154" spans="2:5" ht="7.5" customHeight="1">
      <c r="B154" s="23"/>
      <c r="C154" s="24"/>
      <c r="D154" s="24"/>
      <c r="E154" s="25"/>
    </row>
    <row r="155" spans="2:5">
      <c r="B155" s="26" t="s">
        <v>105</v>
      </c>
      <c r="C155" s="24"/>
      <c r="D155" s="24"/>
      <c r="E155" s="25"/>
    </row>
    <row r="156" spans="2:5" ht="39" customHeight="1">
      <c r="B156" s="26"/>
      <c r="C156" s="103" t="s">
        <v>187</v>
      </c>
      <c r="D156" s="103"/>
      <c r="E156" s="103"/>
    </row>
    <row r="157" spans="2:5">
      <c r="B157" s="26" t="s">
        <v>106</v>
      </c>
      <c r="C157" s="24"/>
      <c r="D157" s="24"/>
      <c r="E157" s="25"/>
    </row>
    <row r="158" spans="2:5">
      <c r="B158" s="27"/>
      <c r="C158" s="101"/>
      <c r="D158" s="101"/>
      <c r="E158" s="101"/>
    </row>
    <row r="159" spans="2:5">
      <c r="B159" s="27"/>
      <c r="C159" s="101"/>
      <c r="D159" s="101"/>
      <c r="E159" s="101"/>
    </row>
    <row r="160" spans="2:5">
      <c r="B160" s="26" t="s">
        <v>107</v>
      </c>
      <c r="C160" s="24"/>
      <c r="D160" s="24"/>
      <c r="E160" s="25"/>
    </row>
    <row r="161" spans="2:5">
      <c r="B161" s="27"/>
      <c r="C161" s="103"/>
      <c r="D161" s="103"/>
      <c r="E161" s="103"/>
    </row>
    <row r="162" spans="2:5">
      <c r="B162" s="26" t="s">
        <v>108</v>
      </c>
      <c r="C162" s="28"/>
      <c r="D162" s="28"/>
      <c r="E162" s="29"/>
    </row>
    <row r="163" spans="2:5">
      <c r="B163" s="27"/>
      <c r="C163" s="103"/>
      <c r="D163" s="103"/>
      <c r="E163" s="103"/>
    </row>
    <row r="164" spans="2:5">
      <c r="B164" s="26" t="s">
        <v>109</v>
      </c>
      <c r="C164" s="24"/>
      <c r="D164" s="24"/>
      <c r="E164" s="25"/>
    </row>
    <row r="165" spans="2:5">
      <c r="B165" s="26"/>
      <c r="C165" s="101"/>
      <c r="D165" s="101"/>
      <c r="E165" s="101"/>
    </row>
    <row r="166" spans="2:5" ht="13.8" thickBot="1">
      <c r="B166" s="30"/>
      <c r="C166" s="31"/>
      <c r="D166" s="31"/>
      <c r="E166" s="32"/>
    </row>
    <row r="167" spans="2:5" ht="13.8" thickBot="1"/>
    <row r="168" spans="2:5">
      <c r="B168" s="20" t="s">
        <v>166</v>
      </c>
      <c r="C168" s="21"/>
      <c r="D168" s="21"/>
      <c r="E168" s="22"/>
    </row>
    <row r="169" spans="2:5" ht="7.5" customHeight="1">
      <c r="B169" s="23"/>
      <c r="C169" s="24"/>
      <c r="D169" s="24"/>
      <c r="E169" s="25"/>
    </row>
    <row r="170" spans="2:5">
      <c r="B170" s="26" t="s">
        <v>105</v>
      </c>
      <c r="C170" s="24"/>
      <c r="D170" s="24"/>
      <c r="E170" s="25"/>
    </row>
    <row r="171" spans="2:5" ht="39" customHeight="1">
      <c r="B171" s="26"/>
      <c r="C171" s="102" t="s">
        <v>188</v>
      </c>
      <c r="D171" s="102"/>
      <c r="E171" s="103"/>
    </row>
    <row r="172" spans="2:5">
      <c r="B172" s="26" t="s">
        <v>106</v>
      </c>
      <c r="C172" s="24"/>
      <c r="D172" s="24"/>
      <c r="E172" s="25"/>
    </row>
    <row r="173" spans="2:5">
      <c r="B173" s="27"/>
      <c r="C173" s="100"/>
      <c r="D173" s="100"/>
      <c r="E173" s="101"/>
    </row>
    <row r="174" spans="2:5">
      <c r="B174" s="27"/>
      <c r="C174" s="100"/>
      <c r="D174" s="100"/>
      <c r="E174" s="101"/>
    </row>
    <row r="175" spans="2:5">
      <c r="B175" s="26" t="s">
        <v>107</v>
      </c>
      <c r="C175" s="24"/>
      <c r="D175" s="24"/>
      <c r="E175" s="25"/>
    </row>
    <row r="176" spans="2:5">
      <c r="B176" s="27"/>
      <c r="C176" s="102"/>
      <c r="D176" s="102"/>
      <c r="E176" s="103"/>
    </row>
    <row r="177" spans="1:9">
      <c r="B177" s="26" t="s">
        <v>108</v>
      </c>
      <c r="C177" s="28"/>
      <c r="D177" s="28"/>
      <c r="E177" s="29"/>
    </row>
    <row r="178" spans="1:9">
      <c r="B178" s="27"/>
      <c r="C178" s="102"/>
      <c r="D178" s="102"/>
      <c r="E178" s="103"/>
    </row>
    <row r="179" spans="1:9">
      <c r="B179" s="26" t="s">
        <v>109</v>
      </c>
      <c r="C179" s="24"/>
      <c r="D179" s="24"/>
      <c r="E179" s="25"/>
    </row>
    <row r="180" spans="1:9">
      <c r="B180" s="26"/>
      <c r="C180" s="100"/>
      <c r="D180" s="100"/>
      <c r="E180" s="101"/>
    </row>
    <row r="181" spans="1:9" ht="13.8" thickBot="1">
      <c r="B181" s="30"/>
      <c r="C181" s="31"/>
      <c r="D181" s="31"/>
      <c r="E181" s="32"/>
    </row>
    <row r="182" spans="1:9" ht="13.8" thickBot="1"/>
    <row r="183" spans="1:9">
      <c r="A183" s="19"/>
      <c r="B183" s="20" t="s">
        <v>167</v>
      </c>
      <c r="C183" s="21"/>
      <c r="D183" s="21"/>
      <c r="E183" s="22"/>
    </row>
    <row r="184" spans="1:9" ht="5.25" customHeight="1">
      <c r="A184" s="19"/>
      <c r="B184" s="23"/>
      <c r="C184" s="24"/>
      <c r="D184" s="24"/>
      <c r="E184" s="25"/>
    </row>
    <row r="185" spans="1:9">
      <c r="A185" s="19"/>
      <c r="B185" s="26" t="s">
        <v>105</v>
      </c>
      <c r="C185" s="24"/>
      <c r="D185" s="24"/>
      <c r="E185" s="25"/>
    </row>
    <row r="186" spans="1:9" ht="32.25" customHeight="1">
      <c r="A186" s="19"/>
      <c r="B186" s="26"/>
      <c r="C186" s="103" t="s">
        <v>189</v>
      </c>
      <c r="D186" s="103"/>
      <c r="E186" s="103"/>
      <c r="G186" s="105"/>
      <c r="H186" s="105"/>
      <c r="I186" s="105"/>
    </row>
    <row r="187" spans="1:9" ht="20.25" customHeight="1">
      <c r="A187" s="19"/>
      <c r="B187" s="26" t="s">
        <v>106</v>
      </c>
      <c r="C187" s="24"/>
      <c r="D187" s="24"/>
      <c r="E187" s="25"/>
      <c r="G187" s="104"/>
      <c r="H187" s="104"/>
      <c r="I187" s="104"/>
    </row>
    <row r="188" spans="1:9" ht="21.75" customHeight="1">
      <c r="A188" s="19"/>
      <c r="B188" s="27"/>
      <c r="C188" s="101"/>
      <c r="D188" s="101"/>
      <c r="E188" s="101"/>
      <c r="G188" s="104"/>
      <c r="H188" s="104"/>
      <c r="I188" s="104"/>
    </row>
    <row r="189" spans="1:9" ht="18.75" customHeight="1">
      <c r="A189" s="19"/>
      <c r="B189" s="27"/>
      <c r="C189" s="101"/>
      <c r="D189" s="101"/>
      <c r="E189" s="101"/>
      <c r="G189" s="104"/>
      <c r="H189" s="104"/>
      <c r="I189" s="104"/>
    </row>
    <row r="190" spans="1:9">
      <c r="B190" s="26" t="s">
        <v>107</v>
      </c>
      <c r="C190" s="24"/>
      <c r="D190" s="24"/>
      <c r="E190" s="25"/>
    </row>
    <row r="191" spans="1:9" ht="26.25" customHeight="1">
      <c r="B191" s="27"/>
      <c r="C191" s="103"/>
      <c r="D191" s="103"/>
      <c r="E191" s="103"/>
    </row>
    <row r="192" spans="1:9">
      <c r="B192" s="26" t="s">
        <v>108</v>
      </c>
      <c r="C192" s="28"/>
      <c r="D192" s="28"/>
      <c r="E192" s="29"/>
    </row>
    <row r="193" spans="2:5" ht="26.25" customHeight="1">
      <c r="B193" s="27"/>
      <c r="C193" s="103"/>
      <c r="D193" s="103"/>
      <c r="E193" s="103"/>
    </row>
    <row r="194" spans="2:5">
      <c r="B194" s="26" t="s">
        <v>109</v>
      </c>
      <c r="C194" s="24"/>
      <c r="D194" s="24"/>
      <c r="E194" s="25"/>
    </row>
    <row r="195" spans="2:5" ht="23.25" customHeight="1">
      <c r="B195" s="26"/>
      <c r="C195" s="101"/>
      <c r="D195" s="101"/>
      <c r="E195" s="101"/>
    </row>
    <row r="196" spans="2:5" ht="13.8" thickBot="1">
      <c r="B196" s="30"/>
      <c r="C196" s="31"/>
      <c r="D196" s="31"/>
      <c r="E196" s="32"/>
    </row>
  </sheetData>
  <autoFilter ref="A9:I58"/>
  <mergeCells count="75">
    <mergeCell ref="C186:E186"/>
    <mergeCell ref="G186:I186"/>
    <mergeCell ref="G187:I187"/>
    <mergeCell ref="C188:E188"/>
    <mergeCell ref="G188:I188"/>
    <mergeCell ref="C189:E189"/>
    <mergeCell ref="G189:I189"/>
    <mergeCell ref="C191:E191"/>
    <mergeCell ref="C193:E193"/>
    <mergeCell ref="C195:E195"/>
    <mergeCell ref="C165:E165"/>
    <mergeCell ref="C156:E156"/>
    <mergeCell ref="C158:E158"/>
    <mergeCell ref="C159:E159"/>
    <mergeCell ref="C161:E161"/>
    <mergeCell ref="C163:E163"/>
    <mergeCell ref="C150:E150"/>
    <mergeCell ref="C135:E135"/>
    <mergeCell ref="C141:E141"/>
    <mergeCell ref="G141:I141"/>
    <mergeCell ref="G142:I142"/>
    <mergeCell ref="C143:E143"/>
    <mergeCell ref="G143:I143"/>
    <mergeCell ref="C133:E133"/>
    <mergeCell ref="C144:E144"/>
    <mergeCell ref="G144:I144"/>
    <mergeCell ref="C146:E146"/>
    <mergeCell ref="C148:E148"/>
    <mergeCell ref="C120:E120"/>
    <mergeCell ref="C126:E126"/>
    <mergeCell ref="C128:E128"/>
    <mergeCell ref="C129:E129"/>
    <mergeCell ref="C131:E131"/>
    <mergeCell ref="C111:E111"/>
    <mergeCell ref="C113:E113"/>
    <mergeCell ref="C114:E114"/>
    <mergeCell ref="C116:E116"/>
    <mergeCell ref="C118:E118"/>
    <mergeCell ref="C105:E105"/>
    <mergeCell ref="C96:E96"/>
    <mergeCell ref="C98:E98"/>
    <mergeCell ref="C99:E99"/>
    <mergeCell ref="C101:E101"/>
    <mergeCell ref="C103:E103"/>
    <mergeCell ref="C75:E75"/>
    <mergeCell ref="C81:E81"/>
    <mergeCell ref="G81:I81"/>
    <mergeCell ref="G82:I82"/>
    <mergeCell ref="C83:E83"/>
    <mergeCell ref="G83:I83"/>
    <mergeCell ref="C84:E84"/>
    <mergeCell ref="G84:I84"/>
    <mergeCell ref="C86:E86"/>
    <mergeCell ref="C88:E88"/>
    <mergeCell ref="C90:E90"/>
    <mergeCell ref="C66:E66"/>
    <mergeCell ref="C68:E68"/>
    <mergeCell ref="C69:E69"/>
    <mergeCell ref="C71:E71"/>
    <mergeCell ref="C73:E73"/>
    <mergeCell ref="C180:E180"/>
    <mergeCell ref="C171:E171"/>
    <mergeCell ref="C173:E173"/>
    <mergeCell ref="C174:E174"/>
    <mergeCell ref="C176:E176"/>
    <mergeCell ref="C178:E178"/>
    <mergeCell ref="B61:E61"/>
    <mergeCell ref="A6:B6"/>
    <mergeCell ref="B2:H2"/>
    <mergeCell ref="A4:B4"/>
    <mergeCell ref="C4:E4"/>
    <mergeCell ref="A5:B5"/>
    <mergeCell ref="C5:E5"/>
    <mergeCell ref="A7:B7"/>
    <mergeCell ref="B60:E6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65"/>
  <sheetViews>
    <sheetView topLeftCell="A31" zoomScale="85" zoomScaleNormal="85" workbookViewId="0">
      <selection activeCell="K1" sqref="A1:K61"/>
    </sheetView>
  </sheetViews>
  <sheetFormatPr baseColWidth="10" defaultColWidth="9.109375" defaultRowHeight="13.2"/>
  <cols>
    <col min="1" max="1" width="5.5546875" style="35" customWidth="1"/>
    <col min="2" max="2" width="15.109375" style="35" customWidth="1"/>
    <col min="3" max="3" width="14.109375" style="35" customWidth="1"/>
    <col min="4" max="4" width="26" style="35" customWidth="1"/>
    <col min="5" max="5" width="8" style="35" customWidth="1"/>
    <col min="6" max="6" width="7.88671875" style="35" customWidth="1"/>
    <col min="7" max="7" width="42" style="35" customWidth="1"/>
    <col min="8" max="8" width="9.33203125" style="35" customWidth="1"/>
    <col min="9" max="9" width="15.5546875" style="35" customWidth="1"/>
    <col min="10" max="10" width="14.6640625" style="35" customWidth="1"/>
    <col min="11" max="11" width="15.5546875" style="35" customWidth="1"/>
    <col min="12" max="14" width="5.88671875" style="35" customWidth="1"/>
    <col min="15" max="15" width="12.5546875" style="35" customWidth="1"/>
    <col min="16" max="1024" width="9.109375" style="35"/>
  </cols>
  <sheetData>
    <row r="1" spans="1:11" ht="18" customHeight="1" thickBot="1">
      <c r="A1" s="116" t="s">
        <v>110</v>
      </c>
      <c r="B1" s="116"/>
      <c r="C1" s="116"/>
      <c r="D1" s="116"/>
      <c r="E1" s="116"/>
      <c r="F1" s="116"/>
      <c r="G1" s="116"/>
      <c r="H1" s="116"/>
      <c r="I1" s="116"/>
      <c r="J1" s="33" t="s">
        <v>111</v>
      </c>
      <c r="K1" s="34" t="s">
        <v>112</v>
      </c>
    </row>
    <row r="2" spans="1:11" ht="18.75" customHeight="1" thickBot="1">
      <c r="A2" s="36"/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ht="18.75" customHeight="1" thickBot="1">
      <c r="A3" s="112" t="s">
        <v>113</v>
      </c>
      <c r="B3" s="112"/>
      <c r="C3" s="112"/>
      <c r="D3" s="107" t="str">
        <f>'REACTIVOS NT'!C4</f>
        <v xml:space="preserve">40 - Ministerio de Salud </v>
      </c>
      <c r="E3" s="107"/>
      <c r="F3" s="107"/>
      <c r="G3" s="107"/>
      <c r="H3" s="107"/>
      <c r="I3" s="107"/>
      <c r="J3" s="107"/>
      <c r="K3" s="107"/>
    </row>
    <row r="4" spans="1:11" ht="18.75" customHeight="1" thickBot="1">
      <c r="A4" s="113" t="s">
        <v>114</v>
      </c>
      <c r="B4" s="113"/>
      <c r="C4" s="113"/>
      <c r="D4" s="107" t="str">
        <f>'REACTIVOS NT'!C5</f>
        <v xml:space="preserve">23 - Hospital Interzonal San Juan Bautista </v>
      </c>
      <c r="E4" s="107"/>
      <c r="F4" s="107"/>
      <c r="G4" s="107"/>
      <c r="H4" s="107"/>
      <c r="I4" s="107"/>
      <c r="J4" s="107"/>
      <c r="K4" s="107"/>
    </row>
    <row r="5" spans="1:11" ht="18.75" customHeight="1" thickBot="1">
      <c r="A5" s="113" t="s">
        <v>115</v>
      </c>
      <c r="B5" s="113"/>
      <c r="C5" s="113"/>
      <c r="D5" s="107" t="s">
        <v>116</v>
      </c>
      <c r="E5" s="107"/>
      <c r="F5" s="107"/>
      <c r="G5" s="107"/>
      <c r="H5" s="107"/>
      <c r="I5" s="107"/>
      <c r="J5" s="107"/>
      <c r="K5" s="107"/>
    </row>
    <row r="6" spans="1:11" ht="16.5" customHeight="1" thickBot="1">
      <c r="A6" s="112" t="s">
        <v>117</v>
      </c>
      <c r="B6" s="112"/>
      <c r="C6" s="112"/>
      <c r="D6" s="107" t="s">
        <v>118</v>
      </c>
      <c r="E6" s="107"/>
      <c r="F6" s="107"/>
      <c r="G6" s="107"/>
      <c r="H6" s="107"/>
      <c r="I6" s="107"/>
      <c r="J6" s="107"/>
      <c r="K6" s="107"/>
    </row>
    <row r="7" spans="1:11" ht="16.5" customHeight="1" thickBot="1">
      <c r="A7" s="113" t="s">
        <v>119</v>
      </c>
      <c r="B7" s="113"/>
      <c r="C7" s="113"/>
      <c r="D7" s="107" t="str">
        <f>'REACTIVOS NT'!C7 &amp; "° Trimestre - Año " &amp; 'REACTIVOS NT'!C6</f>
        <v>1° Trimestre - Año 2021</v>
      </c>
      <c r="E7" s="107"/>
      <c r="F7" s="107"/>
      <c r="G7" s="107"/>
      <c r="H7" s="107"/>
      <c r="I7" s="107"/>
      <c r="J7" s="107"/>
      <c r="K7" s="107"/>
    </row>
    <row r="8" spans="1:11" ht="16.5" customHeight="1" thickBot="1">
      <c r="A8" s="114" t="s">
        <v>120</v>
      </c>
      <c r="B8" s="114"/>
      <c r="C8" s="114"/>
      <c r="D8" s="115" t="s">
        <v>156</v>
      </c>
      <c r="E8" s="115"/>
      <c r="F8" s="115"/>
      <c r="G8" s="115"/>
      <c r="H8" s="115"/>
      <c r="I8" s="115"/>
      <c r="J8" s="115"/>
      <c r="K8" s="115"/>
    </row>
    <row r="9" spans="1:11" ht="16.2" thickBot="1">
      <c r="A9" s="38"/>
      <c r="B9" s="38"/>
      <c r="C9" s="38"/>
      <c r="D9" s="39"/>
      <c r="E9" s="39"/>
      <c r="F9" s="39"/>
      <c r="G9" s="39"/>
      <c r="H9" s="39"/>
      <c r="I9" s="39"/>
      <c r="J9" s="39"/>
      <c r="K9" s="39"/>
    </row>
    <row r="10" spans="1:11" ht="18.75" customHeight="1" thickBot="1">
      <c r="A10" s="111" t="s">
        <v>121</v>
      </c>
      <c r="B10" s="110" t="s">
        <v>122</v>
      </c>
      <c r="C10" s="110" t="s">
        <v>123</v>
      </c>
      <c r="D10" s="110"/>
      <c r="E10" s="110"/>
      <c r="F10" s="110"/>
      <c r="G10" s="110"/>
      <c r="H10" s="110" t="s">
        <v>124</v>
      </c>
      <c r="I10" s="110" t="s">
        <v>125</v>
      </c>
      <c r="J10" s="110" t="s">
        <v>126</v>
      </c>
      <c r="K10" s="109" t="s">
        <v>127</v>
      </c>
    </row>
    <row r="11" spans="1:11" ht="24" customHeight="1" thickBot="1">
      <c r="A11" s="111"/>
      <c r="B11" s="110"/>
      <c r="C11" s="110"/>
      <c r="D11" s="110"/>
      <c r="E11" s="110"/>
      <c r="F11" s="110"/>
      <c r="G11" s="110"/>
      <c r="H11" s="110"/>
      <c r="I11" s="110"/>
      <c r="J11" s="110"/>
      <c r="K11" s="109"/>
    </row>
    <row r="12" spans="1:11" ht="37.799999999999997" customHeight="1" thickBot="1">
      <c r="A12" s="40">
        <v>1</v>
      </c>
      <c r="B12" s="41" t="str">
        <f>'REACTIVOS NT'!B10</f>
        <v>2.5.1-9016.181</v>
      </c>
      <c r="C12" s="106" t="str">
        <f>'REACTIVOS NT'!E10</f>
        <v>MEDIOS DE CULTIVO Y SUPLEMENTO; NOMBRE DEL PRODUCTO: AGAR MANITOL SALADO, ESTADO: SOLIDO, PRESENTACION: ENVASE X 100 GR</v>
      </c>
      <c r="D12" s="106"/>
      <c r="E12" s="106"/>
      <c r="F12" s="106"/>
      <c r="G12" s="106"/>
      <c r="H12" s="42" t="s">
        <v>128</v>
      </c>
      <c r="I12" s="43" t="str">
        <f>'REACTIVOS NT'!F10</f>
        <v xml:space="preserve">Fco. </v>
      </c>
      <c r="J12" s="44">
        <f>'REACTIVOS NT'!H10</f>
        <v>1904.4</v>
      </c>
      <c r="K12" s="45">
        <f>'REACTIVOS NT'!G10</f>
        <v>1</v>
      </c>
    </row>
    <row r="13" spans="1:11" ht="37.799999999999997" customHeight="1" thickBot="1">
      <c r="A13" s="46">
        <v>2</v>
      </c>
      <c r="B13" s="41" t="str">
        <f>'REACTIVOS NT'!B11</f>
        <v>2.5.1-9016.148</v>
      </c>
      <c r="C13" s="106" t="str">
        <f>'REACTIVOS NT'!E11</f>
        <v>MEDIOS DE CULTIVO Y SUPLEMENTO; NOMBRE DEL PRODUCTO: AGAR BASE MUELLER-HINTON, ESTADO: SOLIDO, PRESENTACION: ENVASE X 500 GR</v>
      </c>
      <c r="D13" s="106"/>
      <c r="E13" s="106"/>
      <c r="F13" s="106"/>
      <c r="G13" s="106"/>
      <c r="H13" s="42" t="s">
        <v>128</v>
      </c>
      <c r="I13" s="43" t="str">
        <f>'REACTIVOS NT'!F11</f>
        <v xml:space="preserve">Fco. </v>
      </c>
      <c r="J13" s="44">
        <f>'REACTIVOS NT'!H11</f>
        <v>12303.6</v>
      </c>
      <c r="K13" s="45">
        <f>'REACTIVOS NT'!G11</f>
        <v>2</v>
      </c>
    </row>
    <row r="14" spans="1:11" ht="37.799999999999997" customHeight="1" thickBot="1">
      <c r="A14" s="46">
        <v>3</v>
      </c>
      <c r="B14" s="41" t="str">
        <f>'REACTIVOS NT'!B12</f>
        <v>2.5.1-9016.713</v>
      </c>
      <c r="C14" s="106" t="str">
        <f>'REACTIVOS NT'!E12</f>
        <v>MEDIOS DE CULTIVO Y SUPLEMENTO; NOMBRE DEL PRODUCTO: AGAR LEVINE, ESTADO: SOLIDO, PRESENTACION: ENVASE X 500 GR</v>
      </c>
      <c r="D14" s="106"/>
      <c r="E14" s="106"/>
      <c r="F14" s="106"/>
      <c r="G14" s="106"/>
      <c r="H14" s="42" t="s">
        <v>128</v>
      </c>
      <c r="I14" s="43" t="str">
        <f>'REACTIVOS NT'!F12</f>
        <v xml:space="preserve">Fco. </v>
      </c>
      <c r="J14" s="44">
        <f>'REACTIVOS NT'!H12</f>
        <v>9331.2000000000007</v>
      </c>
      <c r="K14" s="45">
        <f>'REACTIVOS NT'!G12</f>
        <v>1</v>
      </c>
    </row>
    <row r="15" spans="1:11" ht="37.799999999999997" customHeight="1" thickBot="1">
      <c r="A15" s="40">
        <v>4</v>
      </c>
      <c r="B15" s="41" t="str">
        <f>'REACTIVOS NT'!B13</f>
        <v>2.5.1-9016.383</v>
      </c>
      <c r="C15" s="106" t="str">
        <f>'REACTIVOS NT'!E13</f>
        <v>MEDIOS DE CULTIVO Y SUPLEMENTO; NOMBRE DEL PRODUCTO: AGAR C.L.D.E, ESTADO: SOLIDO, PRESENTACION: ENVASE X 500 GR</v>
      </c>
      <c r="D15" s="106"/>
      <c r="E15" s="106"/>
      <c r="F15" s="106"/>
      <c r="G15" s="106"/>
      <c r="H15" s="42" t="s">
        <v>128</v>
      </c>
      <c r="I15" s="43" t="str">
        <f>'REACTIVOS NT'!F13</f>
        <v xml:space="preserve">Fco. </v>
      </c>
      <c r="J15" s="44">
        <f>'REACTIVOS NT'!H13</f>
        <v>9242.4</v>
      </c>
      <c r="K15" s="45">
        <f>'REACTIVOS NT'!G13</f>
        <v>1</v>
      </c>
    </row>
    <row r="16" spans="1:11" ht="37.799999999999997" customHeight="1" thickBot="1">
      <c r="A16" s="46">
        <v>5</v>
      </c>
      <c r="B16" s="41" t="str">
        <f>'REACTIVOS NT'!B14</f>
        <v>2.5.1-9016.630</v>
      </c>
      <c r="C16" s="106" t="str">
        <f>'REACTIVOS NT'!E14</f>
        <v>MEDIOS DE CULTIVO Y SUPLEMENTO; NOMBRE DEL PRODUCTO: AGAR BASE SANGRE, ESTADO: SOLIDO, PRESENTACION: ENVASE X 500 GR</v>
      </c>
      <c r="D16" s="106"/>
      <c r="E16" s="106"/>
      <c r="F16" s="106"/>
      <c r="G16" s="106"/>
      <c r="H16" s="42" t="s">
        <v>128</v>
      </c>
      <c r="I16" s="43" t="str">
        <f>'REACTIVOS NT'!F14</f>
        <v xml:space="preserve">Fco. </v>
      </c>
      <c r="J16" s="44">
        <f>'REACTIVOS NT'!H14</f>
        <v>13279.2</v>
      </c>
      <c r="K16" s="45">
        <f>'REACTIVOS NT'!G14</f>
        <v>2</v>
      </c>
    </row>
    <row r="17" spans="1:11" ht="37.799999999999997" customHeight="1" thickBot="1">
      <c r="A17" s="46">
        <v>6</v>
      </c>
      <c r="B17" s="41" t="str">
        <f>'REACTIVOS NT'!B15</f>
        <v>2.5.1-9016.497</v>
      </c>
      <c r="C17" s="106" t="str">
        <f>'REACTIVOS NT'!E15</f>
        <v>MEDIOS DE CULTIVO Y SUPLEMENTO; NOMBRE DEL PRODUCTO: MEDIO MIO, ESTADO: SOLIDO, PRESENTACION: ENVASE X 100 GR</v>
      </c>
      <c r="D17" s="106"/>
      <c r="E17" s="106"/>
      <c r="F17" s="106"/>
      <c r="G17" s="106"/>
      <c r="H17" s="42" t="s">
        <v>128</v>
      </c>
      <c r="I17" s="43" t="str">
        <f>'REACTIVOS NT'!F15</f>
        <v xml:space="preserve">Fco. </v>
      </c>
      <c r="J17" s="44">
        <f>'REACTIVOS NT'!H15</f>
        <v>8490</v>
      </c>
      <c r="K17" s="45">
        <f>'REACTIVOS NT'!G15</f>
        <v>1</v>
      </c>
    </row>
    <row r="18" spans="1:11" ht="37.799999999999997" customHeight="1" thickBot="1">
      <c r="A18" s="40">
        <v>7</v>
      </c>
      <c r="B18" s="41" t="str">
        <f>'REACTIVOS NT'!B16</f>
        <v>2.5.1-9016.271</v>
      </c>
      <c r="C18" s="106" t="str">
        <f>'REACTIVOS NT'!E16</f>
        <v>MEDIOS DE CULTIVO Y SUPLEMENTO; NOMBRE DEL PRODUCTO: AGAR TIOGLICOLATO RESAZURINA, ESTADO: SOLIDO, PRESENTACION: ENVASE X 100 GR</v>
      </c>
      <c r="D18" s="106"/>
      <c r="E18" s="106"/>
      <c r="F18" s="106"/>
      <c r="G18" s="106"/>
      <c r="H18" s="42" t="s">
        <v>128</v>
      </c>
      <c r="I18" s="43" t="str">
        <f>'REACTIVOS NT'!F16</f>
        <v xml:space="preserve">Fco. </v>
      </c>
      <c r="J18" s="44">
        <f>'REACTIVOS NT'!H16</f>
        <v>3426</v>
      </c>
      <c r="K18" s="45">
        <f>'REACTIVOS NT'!G16</f>
        <v>2</v>
      </c>
    </row>
    <row r="19" spans="1:11" ht="37.799999999999997" customHeight="1" thickBot="1">
      <c r="A19" s="46">
        <v>8</v>
      </c>
      <c r="B19" s="41" t="str">
        <f>'REACTIVOS NT'!B17</f>
        <v>2.5.1-9016.261</v>
      </c>
      <c r="C19" s="106" t="str">
        <f>'REACTIVOS NT'!E17</f>
        <v>MEDIOS DE CULTIVO Y SUPLEMENTO; NOMBRE DEL PRODUCTO: AGAR SABOURAUD GLUCOSA, ESTADO: SOLIDO, PRESENTACION: ENVASE X 100 GR</v>
      </c>
      <c r="D19" s="106"/>
      <c r="E19" s="106"/>
      <c r="F19" s="106"/>
      <c r="G19" s="106"/>
      <c r="H19" s="42" t="s">
        <v>128</v>
      </c>
      <c r="I19" s="43" t="str">
        <f>'REACTIVOS NT'!F17</f>
        <v xml:space="preserve">Fco. </v>
      </c>
      <c r="J19" s="44">
        <f>'REACTIVOS NT'!H17</f>
        <v>2761.2</v>
      </c>
      <c r="K19" s="45">
        <f>'REACTIVOS NT'!G17</f>
        <v>1</v>
      </c>
    </row>
    <row r="20" spans="1:11" ht="37.799999999999997" customHeight="1" thickBot="1">
      <c r="A20" s="46">
        <v>9</v>
      </c>
      <c r="B20" s="41" t="str">
        <f>'REACTIVOS NT'!B18</f>
        <v>2.5.1-9016.191</v>
      </c>
      <c r="C20" s="106" t="str">
        <f>'REACTIVOS NT'!E18</f>
        <v>MEDIOS DE CULTIVO Y SUPLEMENTO; NOMBRE DEL PRODUCTO: AGAR LISINA HIERRO, ESTADO: SOLIDO, PRESENTACION: ENVASE X 100 GR</v>
      </c>
      <c r="D20" s="106"/>
      <c r="E20" s="106"/>
      <c r="F20" s="106"/>
      <c r="G20" s="106"/>
      <c r="H20" s="42" t="s">
        <v>128</v>
      </c>
      <c r="I20" s="43" t="str">
        <f>'REACTIVOS NT'!F18</f>
        <v xml:space="preserve">Fco. </v>
      </c>
      <c r="J20" s="44">
        <f>'REACTIVOS NT'!H18</f>
        <v>6540</v>
      </c>
      <c r="K20" s="45">
        <f>'REACTIVOS NT'!G18</f>
        <v>1</v>
      </c>
    </row>
    <row r="21" spans="1:11" ht="37.799999999999997" customHeight="1" thickBot="1">
      <c r="A21" s="40">
        <v>10</v>
      </c>
      <c r="B21" s="41" t="str">
        <f>'REACTIVOS NT'!B19</f>
        <v>2.5.1-9016.214</v>
      </c>
      <c r="C21" s="106" t="str">
        <f>'REACTIVOS NT'!E19</f>
        <v>MEDIOS DE CULTIVO Y SUPLEMENTO; NOMBRE DEL PRODUCTO: AGAR CITRATO DE SIMMONS, ESTADO: SOLIDO, PRESENTACION: ENVASE X 100 GR</v>
      </c>
      <c r="D21" s="106"/>
      <c r="E21" s="106"/>
      <c r="F21" s="106"/>
      <c r="G21" s="106"/>
      <c r="H21" s="42" t="s">
        <v>128</v>
      </c>
      <c r="I21" s="43" t="str">
        <f>'REACTIVOS NT'!F19</f>
        <v xml:space="preserve">Fco. </v>
      </c>
      <c r="J21" s="44">
        <f>'REACTIVOS NT'!H19</f>
        <v>4640.3999999999996</v>
      </c>
      <c r="K21" s="45">
        <f>'REACTIVOS NT'!G19</f>
        <v>1</v>
      </c>
    </row>
    <row r="22" spans="1:11" ht="37.799999999999997" customHeight="1" thickBot="1">
      <c r="A22" s="46">
        <v>11</v>
      </c>
      <c r="B22" s="41" t="str">
        <f>'REACTIVOS NT'!B20</f>
        <v>2.5.1-9016.892</v>
      </c>
      <c r="C22" s="106" t="str">
        <f>'REACTIVOS NT'!E20</f>
        <v>MEDIOS DE CULTIVO Y SUPLEMENTO; NOMBRE DEL PRODUCTO: AGAR TSI, ESTADO: SOLIDO, PRESENTACION: ENVASE X 100 GR</v>
      </c>
      <c r="D22" s="106"/>
      <c r="E22" s="106"/>
      <c r="F22" s="106"/>
      <c r="G22" s="106"/>
      <c r="H22" s="42" t="s">
        <v>128</v>
      </c>
      <c r="I22" s="43" t="str">
        <f>'REACTIVOS NT'!F20</f>
        <v xml:space="preserve">Fco. </v>
      </c>
      <c r="J22" s="44">
        <f>'REACTIVOS NT'!H20</f>
        <v>2851.2</v>
      </c>
      <c r="K22" s="45">
        <f>'REACTIVOS NT'!G20</f>
        <v>1</v>
      </c>
    </row>
    <row r="23" spans="1:11" ht="37.799999999999997" customHeight="1" thickBot="1">
      <c r="A23" s="46">
        <v>12</v>
      </c>
      <c r="B23" s="41" t="str">
        <f>'REACTIVOS NT'!B21</f>
        <v>2.5.1-9016.279</v>
      </c>
      <c r="C23" s="106" t="str">
        <f>'REACTIVOS NT'!E21</f>
        <v>MEDIOS DE CULTIVO Y SUPLEMENTO; NOMBRE DEL PRODUCTO: AGAR BILIS ESCULINA, ESTADO: SOLIDO, PRESENTACION: ENVASE X 100 GR</v>
      </c>
      <c r="D23" s="106"/>
      <c r="E23" s="106"/>
      <c r="F23" s="106"/>
      <c r="G23" s="106"/>
      <c r="H23" s="42" t="s">
        <v>128</v>
      </c>
      <c r="I23" s="43" t="str">
        <f>'REACTIVOS NT'!F21</f>
        <v xml:space="preserve">Fco. </v>
      </c>
      <c r="J23" s="44">
        <f>'REACTIVOS NT'!H21</f>
        <v>15903.6</v>
      </c>
      <c r="K23" s="45">
        <f>'REACTIVOS NT'!G21</f>
        <v>1</v>
      </c>
    </row>
    <row r="24" spans="1:11" ht="37.799999999999997" customHeight="1" thickBot="1">
      <c r="A24" s="40">
        <v>13</v>
      </c>
      <c r="B24" s="41" t="str">
        <f>'REACTIVOS NT'!B22</f>
        <v>2.5.1-9016.262</v>
      </c>
      <c r="C24" s="106" t="str">
        <f>'REACTIVOS NT'!E22</f>
        <v>MEDIOS DE CULTIVO Y SUPLEMENTO; NOMBRE DEL PRODUCTO: AGAR SALMONELLA- SHIGELLA, ESTADO: SOLIDO, PRESENTACION: ENVASE X 100 GR</v>
      </c>
      <c r="D24" s="106"/>
      <c r="E24" s="106"/>
      <c r="F24" s="106"/>
      <c r="G24" s="106"/>
      <c r="H24" s="42" t="s">
        <v>128</v>
      </c>
      <c r="I24" s="43" t="str">
        <f>'REACTIVOS NT'!F22</f>
        <v xml:space="preserve">Fco. </v>
      </c>
      <c r="J24" s="44">
        <f>'REACTIVOS NT'!H22</f>
        <v>3577.2</v>
      </c>
      <c r="K24" s="45">
        <f>'REACTIVOS NT'!G22</f>
        <v>2</v>
      </c>
    </row>
    <row r="25" spans="1:11" ht="37.799999999999997" customHeight="1" thickBot="1">
      <c r="A25" s="46">
        <v>14</v>
      </c>
      <c r="B25" s="41" t="str">
        <f>'REACTIVOS NT'!B23</f>
        <v>2.5.1-9043.2</v>
      </c>
      <c r="C25" s="106" t="str">
        <f>'REACTIVOS NT'!E23</f>
        <v>ACEITES Y GRASAS; COMPUESTO QUIMICO: ACEITE DE INMERSION, ESTADO: LIQUIDO, CALIDAD: PRO ANALISIS, CONCENTRACION/PUREZA: 99,9 %, PRESENTACION: ENVASE X 100 Ml</v>
      </c>
      <c r="D25" s="106"/>
      <c r="E25" s="106"/>
      <c r="F25" s="106"/>
      <c r="G25" s="106"/>
      <c r="H25" s="42" t="s">
        <v>128</v>
      </c>
      <c r="I25" s="43" t="str">
        <f>'REACTIVOS NT'!F23</f>
        <v xml:space="preserve">Fco. </v>
      </c>
      <c r="J25" s="44">
        <f>'REACTIVOS NT'!H23</f>
        <v>1671.6</v>
      </c>
      <c r="K25" s="45">
        <f>'REACTIVOS NT'!G23</f>
        <v>12</v>
      </c>
    </row>
    <row r="26" spans="1:11" ht="37.799999999999997" customHeight="1" thickBot="1">
      <c r="A26" s="46">
        <v>15</v>
      </c>
      <c r="B26" s="41" t="str">
        <f>'REACTIVOS NT'!B24</f>
        <v>2.5.1</v>
      </c>
      <c r="C26" s="106" t="str">
        <f>'REACTIVOS NT'!E24</f>
        <v>IODURO DE POTASIO X 250 GR TIPO BIOPACK</v>
      </c>
      <c r="D26" s="106"/>
      <c r="E26" s="106"/>
      <c r="F26" s="106"/>
      <c r="G26" s="106"/>
      <c r="H26" s="42" t="s">
        <v>128</v>
      </c>
      <c r="I26" s="43" t="str">
        <f>'REACTIVOS NT'!F24</f>
        <v xml:space="preserve">Fco. </v>
      </c>
      <c r="J26" s="44">
        <f>'REACTIVOS NT'!H24</f>
        <v>8918.4</v>
      </c>
      <c r="K26" s="45">
        <f>'REACTIVOS NT'!G24</f>
        <v>1</v>
      </c>
    </row>
    <row r="27" spans="1:11" ht="37.799999999999997" customHeight="1" thickBot="1">
      <c r="A27" s="40">
        <v>16</v>
      </c>
      <c r="B27" s="41" t="str">
        <f>'REACTIVOS NT'!B25</f>
        <v>2.5.1</v>
      </c>
      <c r="C27" s="106" t="str">
        <f>'REACTIVOS NT'!E25</f>
        <v xml:space="preserve">DISCOS DE GENTAMICINA 10 UG X 50 T/BRITANIA </v>
      </c>
      <c r="D27" s="106"/>
      <c r="E27" s="106"/>
      <c r="F27" s="106"/>
      <c r="G27" s="106"/>
      <c r="H27" s="42" t="s">
        <v>128</v>
      </c>
      <c r="I27" s="43" t="str">
        <f>'REACTIVOS NT'!F25</f>
        <v xml:space="preserve">Fco. </v>
      </c>
      <c r="J27" s="44">
        <f>'REACTIVOS NT'!H25</f>
        <v>587.4</v>
      </c>
      <c r="K27" s="45">
        <f>'REACTIVOS NT'!G25</f>
        <v>5</v>
      </c>
    </row>
    <row r="28" spans="1:11" ht="37.799999999999997" customHeight="1" thickBot="1">
      <c r="A28" s="46">
        <v>17</v>
      </c>
      <c r="B28" s="41" t="str">
        <f>'REACTIVOS NT'!B26</f>
        <v>2.5.1</v>
      </c>
      <c r="C28" s="106" t="str">
        <f>'REACTIVOS NT'!E26</f>
        <v xml:space="preserve">DISCOS DE PIPERACILINA /TAZOBACTAM 100/10 X 50 T/BRITANIA </v>
      </c>
      <c r="D28" s="106"/>
      <c r="E28" s="106"/>
      <c r="F28" s="106"/>
      <c r="G28" s="106"/>
      <c r="H28" s="42" t="s">
        <v>128</v>
      </c>
      <c r="I28" s="43" t="str">
        <f>'REACTIVOS NT'!F26</f>
        <v xml:space="preserve">Fco. </v>
      </c>
      <c r="J28" s="44">
        <f>'REACTIVOS NT'!H26</f>
        <v>584.4</v>
      </c>
      <c r="K28" s="45">
        <f>'REACTIVOS NT'!G26</f>
        <v>4</v>
      </c>
    </row>
    <row r="29" spans="1:11" ht="37.799999999999997" customHeight="1" thickBot="1">
      <c r="A29" s="46">
        <v>18</v>
      </c>
      <c r="B29" s="41" t="str">
        <f>'REACTIVOS NT'!B27</f>
        <v>2.5.1-9038.342</v>
      </c>
      <c r="C29" s="106" t="str">
        <f>'REACTIVOS NT'!E27</f>
        <v>REACTIVO INDICADOR-COLORANTE; COMPUESTO QUIMICO: DECOLORANTE GRAM, ESTADO: SOLUCION, CALIDAD: PRO ANALISIS, PRESENTACION: ENVASE X 500 Ml</v>
      </c>
      <c r="D29" s="106"/>
      <c r="E29" s="106"/>
      <c r="F29" s="106"/>
      <c r="G29" s="106"/>
      <c r="H29" s="42" t="s">
        <v>128</v>
      </c>
      <c r="I29" s="43" t="str">
        <f>'REACTIVOS NT'!F27</f>
        <v xml:space="preserve">Fco. </v>
      </c>
      <c r="J29" s="44">
        <f>'REACTIVOS NT'!H27</f>
        <v>2796</v>
      </c>
      <c r="K29" s="45">
        <f>'REACTIVOS NT'!G27</f>
        <v>3</v>
      </c>
    </row>
    <row r="30" spans="1:11" ht="37.799999999999997" customHeight="1" thickBot="1">
      <c r="A30" s="40">
        <v>19</v>
      </c>
      <c r="B30" s="41" t="str">
        <f>'REACTIVOS NT'!B28</f>
        <v>2.5.1</v>
      </c>
      <c r="C30" s="106" t="str">
        <f>'REACTIVOS NT'!E28</f>
        <v xml:space="preserve">DISCOS DE FOSFOMICINA X 200 UG X 50T/BRITANIA </v>
      </c>
      <c r="D30" s="106"/>
      <c r="E30" s="106"/>
      <c r="F30" s="106"/>
      <c r="G30" s="106"/>
      <c r="H30" s="42" t="s">
        <v>128</v>
      </c>
      <c r="I30" s="43" t="str">
        <f>'REACTIVOS NT'!F28</f>
        <v xml:space="preserve">Fco. </v>
      </c>
      <c r="J30" s="44">
        <f>'REACTIVOS NT'!H28</f>
        <v>820.8</v>
      </c>
      <c r="K30" s="45">
        <f>'REACTIVOS NT'!G28</f>
        <v>4</v>
      </c>
    </row>
    <row r="31" spans="1:11" ht="37.799999999999997" customHeight="1" thickBot="1">
      <c r="A31" s="46">
        <v>20</v>
      </c>
      <c r="B31" s="41" t="str">
        <f>'REACTIVOS NT'!B29</f>
        <v>2.5.1</v>
      </c>
      <c r="C31" s="106" t="str">
        <f>'REACTIVOS NT'!E29</f>
        <v xml:space="preserve">DISCOS DE OXACILINA 1 UG X 50 T/BRITANIA </v>
      </c>
      <c r="D31" s="106"/>
      <c r="E31" s="106"/>
      <c r="F31" s="106"/>
      <c r="G31" s="106"/>
      <c r="H31" s="42" t="s">
        <v>128</v>
      </c>
      <c r="I31" s="43" t="str">
        <f>'REACTIVOS NT'!F29</f>
        <v xml:space="preserve">Fco. </v>
      </c>
      <c r="J31" s="44">
        <f>'REACTIVOS NT'!H29</f>
        <v>820.8</v>
      </c>
      <c r="K31" s="45">
        <f>'REACTIVOS NT'!G29</f>
        <v>5</v>
      </c>
    </row>
    <row r="32" spans="1:11" ht="37.799999999999997" customHeight="1" thickBot="1">
      <c r="A32" s="46">
        <v>21</v>
      </c>
      <c r="B32" s="41" t="str">
        <f>'REACTIVOS NT'!B30</f>
        <v>2.5.1</v>
      </c>
      <c r="C32" s="106" t="str">
        <f>'REACTIVOS NT'!E30</f>
        <v xml:space="preserve">DISCOS DE CEFAZOLINA 30 UG X 50 T/BRITANIA </v>
      </c>
      <c r="D32" s="106"/>
      <c r="E32" s="106"/>
      <c r="F32" s="106"/>
      <c r="G32" s="106"/>
      <c r="H32" s="42" t="s">
        <v>128</v>
      </c>
      <c r="I32" s="43" t="str">
        <f>'REACTIVOS NT'!F30</f>
        <v xml:space="preserve">Fco. </v>
      </c>
      <c r="J32" s="44">
        <f>'REACTIVOS NT'!H30</f>
        <v>820.8</v>
      </c>
      <c r="K32" s="45">
        <f>'REACTIVOS NT'!G30</f>
        <v>10</v>
      </c>
    </row>
    <row r="33" spans="1:11" ht="37.799999999999997" customHeight="1" thickBot="1">
      <c r="A33" s="40">
        <v>22</v>
      </c>
      <c r="B33" s="41" t="str">
        <f>'REACTIVOS NT'!B31</f>
        <v>2.5.1-9052.834</v>
      </c>
      <c r="C33" s="106" t="str">
        <f>'REACTIVOS NT'!E31</f>
        <v>REACTIVOS P/LAB. TEC. MANUAL ; NOMBRE: TARJETA DE GEL LISS COOMBS, USO: IDENT ANTIGENOS ERITROCITARIOS, PRESENTACION: ENVASE X 48 UN</v>
      </c>
      <c r="D33" s="106"/>
      <c r="E33" s="106"/>
      <c r="F33" s="106"/>
      <c r="G33" s="106"/>
      <c r="H33" s="42" t="s">
        <v>128</v>
      </c>
      <c r="I33" s="43" t="str">
        <f>'REACTIVOS NT'!F31</f>
        <v>CAJA</v>
      </c>
      <c r="J33" s="44">
        <f>'REACTIVOS NT'!H31</f>
        <v>16800</v>
      </c>
      <c r="K33" s="45">
        <f>'REACTIVOS NT'!G31</f>
        <v>6</v>
      </c>
    </row>
    <row r="34" spans="1:11" ht="37.799999999999997" customHeight="1" thickBot="1">
      <c r="A34" s="46">
        <v>23</v>
      </c>
      <c r="B34" s="41" t="str">
        <f>'REACTIVOS NT'!B32</f>
        <v>2.5.1-9052.247</v>
      </c>
      <c r="C34" s="106" t="str">
        <f>'REACTIVOS NT'!E32</f>
        <v>REACTIVOS P/LAB. TEC. MANUAL ; NOMBRE: SUERO HEMOTIPIFICADOR ANTI-AB, USO: HEMOTERAPIA, PRESENTACION: ENVASE X 10 Ml</v>
      </c>
      <c r="D34" s="106"/>
      <c r="E34" s="106"/>
      <c r="F34" s="106"/>
      <c r="G34" s="106"/>
      <c r="H34" s="42" t="s">
        <v>128</v>
      </c>
      <c r="I34" s="43" t="str">
        <f>'REACTIVOS NT'!F32</f>
        <v>FRASCO</v>
      </c>
      <c r="J34" s="44">
        <f>'REACTIVOS NT'!H32</f>
        <v>2160</v>
      </c>
      <c r="K34" s="45">
        <f>'REACTIVOS NT'!G32</f>
        <v>6</v>
      </c>
    </row>
    <row r="35" spans="1:11" ht="37.799999999999997" customHeight="1" thickBot="1">
      <c r="A35" s="46">
        <v>24</v>
      </c>
      <c r="B35" s="41" t="str">
        <f>'REACTIVOS NT'!B33</f>
        <v>2.5.1-9052.240</v>
      </c>
      <c r="C35" s="106" t="str">
        <f>'REACTIVOS NT'!E33</f>
        <v>REACTIVOS P/LAB. TEC. MANUAL ; NOMBRE: SUERO HEMOTIPIFICADOR ANTI-A1, USO: HEMOTERAPIA, PRESENTACION: ENVASE X 10 mL</v>
      </c>
      <c r="D35" s="106"/>
      <c r="E35" s="106"/>
      <c r="F35" s="106"/>
      <c r="G35" s="106"/>
      <c r="H35" s="42" t="s">
        <v>128</v>
      </c>
      <c r="I35" s="43" t="str">
        <f>'REACTIVOS NT'!F33</f>
        <v>FRASCO</v>
      </c>
      <c r="J35" s="44">
        <f>'REACTIVOS NT'!H33</f>
        <v>2160</v>
      </c>
      <c r="K35" s="45">
        <f>'REACTIVOS NT'!G33</f>
        <v>30</v>
      </c>
    </row>
    <row r="36" spans="1:11" ht="37.799999999999997" customHeight="1" thickBot="1">
      <c r="A36" s="40">
        <v>25</v>
      </c>
      <c r="B36" s="41" t="str">
        <f>'REACTIVOS NT'!B34</f>
        <v>2.5.1-9052.241</v>
      </c>
      <c r="C36" s="106" t="str">
        <f>'REACTIVOS NT'!E34</f>
        <v>REACTIVOS P/LAB. TEC. MANUAL ; NOMBRE: SUERO HEMOTIPIFICADOR ANTI-B, USO: HEMOTERAPIA, PRESENTACION: ENVASE X 10 mL</v>
      </c>
      <c r="D36" s="106"/>
      <c r="E36" s="106"/>
      <c r="F36" s="106"/>
      <c r="G36" s="106"/>
      <c r="H36" s="42" t="s">
        <v>128</v>
      </c>
      <c r="I36" s="43" t="str">
        <f>'REACTIVOS NT'!F34</f>
        <v>FRASCO</v>
      </c>
      <c r="J36" s="44">
        <f>'REACTIVOS NT'!H34</f>
        <v>2160</v>
      </c>
      <c r="K36" s="45">
        <f>'REACTIVOS NT'!G34</f>
        <v>30</v>
      </c>
    </row>
    <row r="37" spans="1:11" ht="37.799999999999997" customHeight="1" thickBot="1">
      <c r="A37" s="46">
        <v>26</v>
      </c>
      <c r="B37" s="41" t="str">
        <f>'REACTIVOS NT'!B35</f>
        <v>2.5.1-9052.248</v>
      </c>
      <c r="C37" s="106" t="str">
        <f>'REACTIVOS NT'!E35</f>
        <v>REACTIVOS P/LAB. TEC. MANUAL ; NOMBRE: SUERO HEMOTIPIFICADOR ANTI-D, USO: HEMOTERAPIA, PRESENTACION: ENVASE X 10 mL</v>
      </c>
      <c r="D37" s="106"/>
      <c r="E37" s="106"/>
      <c r="F37" s="106"/>
      <c r="G37" s="106"/>
      <c r="H37" s="42" t="s">
        <v>128</v>
      </c>
      <c r="I37" s="43" t="str">
        <f>'REACTIVOS NT'!F35</f>
        <v>FRASCO</v>
      </c>
      <c r="J37" s="44">
        <f>'REACTIVOS NT'!H35</f>
        <v>3000</v>
      </c>
      <c r="K37" s="45">
        <f>'REACTIVOS NT'!G35</f>
        <v>30</v>
      </c>
    </row>
    <row r="38" spans="1:11" ht="37.799999999999997" customHeight="1" thickBot="1">
      <c r="A38" s="46">
        <v>27</v>
      </c>
      <c r="B38" s="41" t="str">
        <f>'REACTIVOS NT'!B36</f>
        <v>2.5.1-9052.1933</v>
      </c>
      <c r="C38" s="106" t="str">
        <f>'REACTIVOS NT'!E36</f>
        <v>REACTIVOS P/LAB. TEC. MANUAL ; NOMBRE: SUERO HEMOTIPIFICADOR ANTI-CDE, USO: HEMOTERAPIA, PRESENTACION: ENVASE X 10 mL</v>
      </c>
      <c r="D38" s="106"/>
      <c r="E38" s="106"/>
      <c r="F38" s="106"/>
      <c r="G38" s="106"/>
      <c r="H38" s="42" t="s">
        <v>128</v>
      </c>
      <c r="I38" s="43" t="str">
        <f>'REACTIVOS NT'!F36</f>
        <v>FRASCO</v>
      </c>
      <c r="J38" s="44">
        <f>'REACTIVOS NT'!H36</f>
        <v>9120</v>
      </c>
      <c r="K38" s="45">
        <f>'REACTIVOS NT'!G36</f>
        <v>9</v>
      </c>
    </row>
    <row r="39" spans="1:11" ht="37.799999999999997" customHeight="1" thickBot="1">
      <c r="A39" s="40">
        <v>28</v>
      </c>
      <c r="B39" s="41" t="str">
        <f>'REACTIVOS NT'!B37</f>
        <v>2.5.1-9052.249</v>
      </c>
      <c r="C39" s="106" t="str">
        <f>'REACTIVOS NT'!E37</f>
        <v>REACTIVOS P/LAB. TEC. MANUAL ; NOMBRE: SUERO HEMOTIPIFICADOR ANTI-C, USO: HEMOTERAPIA, PRESENTACION: ENVASE X 5 mL</v>
      </c>
      <c r="D39" s="106"/>
      <c r="E39" s="106"/>
      <c r="F39" s="106"/>
      <c r="G39" s="106"/>
      <c r="H39" s="42" t="s">
        <v>128</v>
      </c>
      <c r="I39" s="43" t="str">
        <f>'REACTIVOS NT'!F37</f>
        <v>FRASCO</v>
      </c>
      <c r="J39" s="44">
        <f>'REACTIVOS NT'!H37</f>
        <v>7800</v>
      </c>
      <c r="K39" s="45">
        <f>'REACTIVOS NT'!G37</f>
        <v>6</v>
      </c>
    </row>
    <row r="40" spans="1:11" ht="37.799999999999997" customHeight="1" thickBot="1">
      <c r="A40" s="46">
        <v>29</v>
      </c>
      <c r="B40" s="41" t="str">
        <f>'REACTIVOS NT'!B38</f>
        <v>2.5.1-9052.250</v>
      </c>
      <c r="C40" s="106" t="str">
        <f>'REACTIVOS NT'!E38</f>
        <v>REACTIVOS P/LAB. TEC. MANUAL ; NOMBRE: SUERO HEMOT. ANTI-C (MIN.), USO: HEMOTERAPIA, PRESENTACION: ENVASE X 5 mL</v>
      </c>
      <c r="D40" s="106"/>
      <c r="E40" s="106"/>
      <c r="F40" s="106"/>
      <c r="G40" s="106"/>
      <c r="H40" s="42" t="s">
        <v>128</v>
      </c>
      <c r="I40" s="43" t="str">
        <f>'REACTIVOS NT'!F38</f>
        <v>FRASCO</v>
      </c>
      <c r="J40" s="44">
        <f>'REACTIVOS NT'!H38</f>
        <v>9600</v>
      </c>
      <c r="K40" s="45">
        <f>'REACTIVOS NT'!G38</f>
        <v>6</v>
      </c>
    </row>
    <row r="41" spans="1:11" ht="37.799999999999997" customHeight="1" thickBot="1">
      <c r="A41" s="46">
        <v>30</v>
      </c>
      <c r="B41" s="41" t="str">
        <f>'REACTIVOS NT'!B39</f>
        <v>2.5.1-9052.251</v>
      </c>
      <c r="C41" s="106" t="str">
        <f>'REACTIVOS NT'!E39</f>
        <v>REACTIVOS P/LAB. TEC. MANUAL ; NOMBRE: SUERO HEMOTIPIFICADOR ANTI-E, USO: HEMOTERAPIA, PRESENTACION: ENVASE X 5 mL</v>
      </c>
      <c r="D41" s="106"/>
      <c r="E41" s="106"/>
      <c r="F41" s="106"/>
      <c r="G41" s="106"/>
      <c r="H41" s="42" t="s">
        <v>128</v>
      </c>
      <c r="I41" s="43" t="str">
        <f>'REACTIVOS NT'!F39</f>
        <v>FRASCO</v>
      </c>
      <c r="J41" s="44">
        <f>'REACTIVOS NT'!H39</f>
        <v>7800</v>
      </c>
      <c r="K41" s="45">
        <f>'REACTIVOS NT'!G39</f>
        <v>6</v>
      </c>
    </row>
    <row r="42" spans="1:11" ht="37.799999999999997" customHeight="1" thickBot="1">
      <c r="A42" s="40">
        <v>31</v>
      </c>
      <c r="B42" s="41" t="str">
        <f>'REACTIVOS NT'!B40</f>
        <v>2.5.1-9052.252</v>
      </c>
      <c r="C42" s="106" t="str">
        <f>'REACTIVOS NT'!E40</f>
        <v>REACTIVOS P/LAB. TEC. MANUAL ; NOMBRE: SUERO HEMOT. ANTI-E (MIN.), USO: HEMOTERAPIA, PRESENTACION: ENVASE X 5 mL</v>
      </c>
      <c r="D42" s="106"/>
      <c r="E42" s="106"/>
      <c r="F42" s="106"/>
      <c r="G42" s="106"/>
      <c r="H42" s="42" t="s">
        <v>128</v>
      </c>
      <c r="I42" s="43" t="str">
        <f>'REACTIVOS NT'!F40</f>
        <v>FRASCO</v>
      </c>
      <c r="J42" s="44">
        <f>'REACTIVOS NT'!H40</f>
        <v>9600</v>
      </c>
      <c r="K42" s="45">
        <f>'REACTIVOS NT'!G40</f>
        <v>6</v>
      </c>
    </row>
    <row r="43" spans="1:11" ht="37.799999999999997" customHeight="1" thickBot="1">
      <c r="A43" s="46">
        <v>32</v>
      </c>
      <c r="B43" s="41" t="str">
        <f>'REACTIVOS NT'!B41</f>
        <v>2.5.1-8988.2231</v>
      </c>
      <c r="C43" s="106" t="str">
        <f>'REACTIVOS NT'!E41</f>
        <v>REACTIVOS P/EQUIPO; EQUIPO: COAGULOMETRO, MARCA EQUIPO: DESTINY, NOMBRE DEL PRODUCTO: ANTICOAGULANTE LUPICO TAMIZAJE, PRESENTACION: 10 X ENVASE X 2 mL</v>
      </c>
      <c r="D43" s="106"/>
      <c r="E43" s="106"/>
      <c r="F43" s="106"/>
      <c r="G43" s="106"/>
      <c r="H43" s="42" t="s">
        <v>128</v>
      </c>
      <c r="I43" s="43" t="str">
        <f>'REACTIVOS NT'!F41</f>
        <v>CAJA</v>
      </c>
      <c r="J43" s="44">
        <f>'REACTIVOS NT'!H41</f>
        <v>51433.2</v>
      </c>
      <c r="K43" s="45">
        <f>'REACTIVOS NT'!G41</f>
        <v>1</v>
      </c>
    </row>
    <row r="44" spans="1:11" ht="37.799999999999997" customHeight="1" thickBot="1">
      <c r="A44" s="46">
        <v>33</v>
      </c>
      <c r="B44" s="41" t="str">
        <f>'REACTIVOS NT'!B42</f>
        <v>2.5.1-8988.2232</v>
      </c>
      <c r="C44" s="106" t="str">
        <f>'REACTIVOS NT'!E42</f>
        <v>REACTIVOS P/EQUIPO; EQUIPO: COAGULOMETRO, MARCA EQUIPO: DESTINY, NOMBRE DEL PRODUCTO: ANTICOAG. LUPICO CONFIRMACION, PRESENTACION: 10 X ENVASE X 2 mL</v>
      </c>
      <c r="D44" s="106"/>
      <c r="E44" s="106"/>
      <c r="F44" s="106"/>
      <c r="G44" s="106"/>
      <c r="H44" s="42" t="s">
        <v>128</v>
      </c>
      <c r="I44" s="43" t="str">
        <f>'REACTIVOS NT'!F42</f>
        <v>CAJA</v>
      </c>
      <c r="J44" s="44">
        <f>'REACTIVOS NT'!H42</f>
        <v>57858</v>
      </c>
      <c r="K44" s="45">
        <f>'REACTIVOS NT'!G42</f>
        <v>1</v>
      </c>
    </row>
    <row r="45" spans="1:11" ht="37.799999999999997" customHeight="1" thickBot="1">
      <c r="A45" s="40">
        <v>34</v>
      </c>
      <c r="B45" s="41" t="str">
        <f>'REACTIVOS NT'!B43</f>
        <v>2.5.1-8988.1376</v>
      </c>
      <c r="C45" s="106" t="str">
        <f>'REACTIVOS NT'!E43</f>
        <v>REACTIVOS P/EQUIPO; EQUIPO: AUTOANALIZADOR, MARCA EQUIPO: IL, NOMBRE DEL PRODUCTO: DET. PLASMA DEF. FACTOR VIII, PRESENTACION: UNIDAD</v>
      </c>
      <c r="D45" s="106"/>
      <c r="E45" s="106"/>
      <c r="F45" s="106"/>
      <c r="G45" s="106"/>
      <c r="H45" s="42" t="s">
        <v>128</v>
      </c>
      <c r="I45" s="43" t="str">
        <f>'REACTIVOS NT'!F43</f>
        <v>UNIDAD</v>
      </c>
      <c r="J45" s="44">
        <f>'REACTIVOS NT'!H43</f>
        <v>2864.64</v>
      </c>
      <c r="K45" s="45">
        <f>'REACTIVOS NT'!G43</f>
        <v>10</v>
      </c>
    </row>
    <row r="46" spans="1:11" ht="37.799999999999997" customHeight="1" thickBot="1">
      <c r="A46" s="46">
        <v>35</v>
      </c>
      <c r="B46" s="41" t="str">
        <f>'REACTIVOS NT'!B44</f>
        <v>2.5.1-8988.1022</v>
      </c>
      <c r="C46" s="106" t="str">
        <f>'REACTIVOS NT'!E44</f>
        <v>REACTIVOS P/EQUIPO; EQUIPO: AUTOANALIZADOR, MARCA EQUIPO: GENERICO, NOMBRE DEL PRODUCTO: PLASMA DE REFERENCIA, PRESENTACION: ENVASE X 1 mL</v>
      </c>
      <c r="D46" s="106"/>
      <c r="E46" s="106"/>
      <c r="F46" s="106"/>
      <c r="G46" s="106"/>
      <c r="H46" s="42" t="s">
        <v>128</v>
      </c>
      <c r="I46" s="43" t="str">
        <f>'REACTIVOS NT'!F44</f>
        <v>UNIDAD</v>
      </c>
      <c r="J46" s="44">
        <f>'REACTIVOS NT'!H44</f>
        <v>3081.48</v>
      </c>
      <c r="K46" s="45">
        <f>'REACTIVOS NT'!G44</f>
        <v>10</v>
      </c>
    </row>
    <row r="47" spans="1:11" ht="37.799999999999997" customHeight="1" thickBot="1">
      <c r="A47" s="46">
        <v>36</v>
      </c>
      <c r="B47" s="41" t="str">
        <f>'REACTIVOS NT'!B45</f>
        <v>2.5.1-9052.1217</v>
      </c>
      <c r="C47" s="106" t="str">
        <f>'REACTIVOS NT'!E45</f>
        <v>REACTIVOS P/LAB. TEC. MANUAL ; NOMBRE: APTT ACTIN FSL ACT PTT, USO: ENSAYO COAGULOMETRICO, PRESENTACION: ENVASE X 10 UN</v>
      </c>
      <c r="D47" s="106"/>
      <c r="E47" s="106"/>
      <c r="F47" s="106"/>
      <c r="G47" s="106"/>
      <c r="H47" s="42" t="s">
        <v>128</v>
      </c>
      <c r="I47" s="43" t="str">
        <f>'REACTIVOS NT'!F45</f>
        <v>CAJA</v>
      </c>
      <c r="J47" s="44">
        <f>'REACTIVOS NT'!H45</f>
        <v>8503.2000000000007</v>
      </c>
      <c r="K47" s="45">
        <f>'REACTIVOS NT'!G45</f>
        <v>4</v>
      </c>
    </row>
    <row r="48" spans="1:11" ht="37.799999999999997" customHeight="1" thickBot="1">
      <c r="A48" s="40">
        <v>37</v>
      </c>
      <c r="B48" s="41" t="str">
        <f>'REACTIVOS NT'!B46</f>
        <v>2.5.1-9038.46</v>
      </c>
      <c r="C48" s="106" t="str">
        <f>'REACTIVOS NT'!E46</f>
        <v>REACTIVO INDICADOR-COLORANTE; COMPUESTO QUIMICO: MAY GRUNWALD, ESTADO: SOLUCION, CALIDAD: PRO ANALISIS, PRESENTACION: ENVASE X 1 L</v>
      </c>
      <c r="D48" s="106"/>
      <c r="E48" s="106"/>
      <c r="F48" s="106"/>
      <c r="G48" s="106"/>
      <c r="H48" s="42" t="s">
        <v>128</v>
      </c>
      <c r="I48" s="43" t="str">
        <f>'REACTIVOS NT'!F46</f>
        <v>FRASCO</v>
      </c>
      <c r="J48" s="44">
        <f>'REACTIVOS NT'!H46</f>
        <v>3774</v>
      </c>
      <c r="K48" s="45">
        <f>'REACTIVOS NT'!G46</f>
        <v>2</v>
      </c>
    </row>
    <row r="49" spans="1:11" ht="37.799999999999997" customHeight="1" thickBot="1">
      <c r="A49" s="46">
        <v>38</v>
      </c>
      <c r="B49" s="41" t="str">
        <f>'REACTIVOS NT'!B47</f>
        <v>2.5.1-9038.117</v>
      </c>
      <c r="C49" s="106" t="str">
        <f>'REACTIVOS NT'!E47</f>
        <v>REACTIVO INDICADOR-COLORANTE; COMPUESTO QUIMICO: GIEMSA, ESTADO: LIQUIDO, CALIDAD: PRO ANALISIS, PRESENTACION: ENVASE X 1 L</v>
      </c>
      <c r="D49" s="106"/>
      <c r="E49" s="106"/>
      <c r="F49" s="106"/>
      <c r="G49" s="106"/>
      <c r="H49" s="42" t="s">
        <v>128</v>
      </c>
      <c r="I49" s="43" t="str">
        <f>'REACTIVOS NT'!F47</f>
        <v>FRASCO</v>
      </c>
      <c r="J49" s="44">
        <f>'REACTIVOS NT'!H47</f>
        <v>3063.6</v>
      </c>
      <c r="K49" s="45">
        <f>'REACTIVOS NT'!G47</f>
        <v>2</v>
      </c>
    </row>
    <row r="50" spans="1:11" ht="37.799999999999997" customHeight="1" thickBot="1">
      <c r="A50" s="46">
        <v>39</v>
      </c>
      <c r="B50" s="41" t="str">
        <f>'REACTIVOS NT'!B48</f>
        <v>2.5.1-9038.43</v>
      </c>
      <c r="C50" s="106" t="str">
        <f>'REACTIVOS NT'!E48</f>
        <v>REACTIVO INDICADOR-COLORANTE; COMPUESTO QUIMICO: AZUL BRILLANTE DE CRESILO, ESTADO: SOLIDO, CALIDAD: PRO ANALISIS, PRESENTACION: ENVASE X 50 GR</v>
      </c>
      <c r="D50" s="106"/>
      <c r="E50" s="106"/>
      <c r="F50" s="106"/>
      <c r="G50" s="106"/>
      <c r="H50" s="42" t="s">
        <v>128</v>
      </c>
      <c r="I50" s="43" t="str">
        <f>'REACTIVOS NT'!F48</f>
        <v>FRASCO</v>
      </c>
      <c r="J50" s="44">
        <f>'REACTIVOS NT'!H48</f>
        <v>1980</v>
      </c>
      <c r="K50" s="45">
        <f>'REACTIVOS NT'!G48</f>
        <v>3</v>
      </c>
    </row>
    <row r="51" spans="1:11" ht="37.799999999999997" customHeight="1" thickBot="1">
      <c r="A51" s="47">
        <v>40</v>
      </c>
      <c r="B51" s="41" t="str">
        <f>'REACTIVOS NT'!B49</f>
        <v>2.5.1-9031.19</v>
      </c>
      <c r="C51" s="106" t="str">
        <f>'REACTIVOS NT'!E49</f>
        <v>ESTERES; COMPUESTO QUIMICO: ACETATO DE BUTILO, ESTADO: LIQUIDO, CALIDAD: PRO ANALISIS, CONCENTRACION/PUREZA: 99 %, PRESENTACION: ENVASE X 1 L</v>
      </c>
      <c r="D51" s="106"/>
      <c r="E51" s="106"/>
      <c r="F51" s="106"/>
      <c r="G51" s="106"/>
      <c r="H51" s="42" t="s">
        <v>128</v>
      </c>
      <c r="I51" s="43" t="str">
        <f>'REACTIVOS NT'!F49</f>
        <v>LITRO</v>
      </c>
      <c r="J51" s="44">
        <f>'REACTIVOS NT'!H49</f>
        <v>1372.8</v>
      </c>
      <c r="K51" s="45">
        <f>'REACTIVOS NT'!G49</f>
        <v>45</v>
      </c>
    </row>
    <row r="52" spans="1:11" ht="37.799999999999997" customHeight="1" thickBot="1">
      <c r="A52" s="47">
        <v>41</v>
      </c>
      <c r="B52" s="41" t="str">
        <f>'REACTIVOS NT'!B50</f>
        <v>2.5.1-9036.23</v>
      </c>
      <c r="C52" s="106" t="str">
        <f>'REACTIVOS NT'!E50</f>
        <v>PIGMENTOS; COMPUESTO QUIMICO: HEMATOXILINA ACTIVADA GILL 2, ESTADO: SOLUCION, CALIDAD: PRO ANALISIS, CONCENTRACION/PUREZA: 4 GR/L, PRESENTACION: ENVASE X 500 mL</v>
      </c>
      <c r="D52" s="106"/>
      <c r="E52" s="106"/>
      <c r="F52" s="106"/>
      <c r="G52" s="106"/>
      <c r="H52" s="42" t="s">
        <v>128</v>
      </c>
      <c r="I52" s="43" t="str">
        <f>'REACTIVOS NT'!F50</f>
        <v>FRASCO</v>
      </c>
      <c r="J52" s="44">
        <f>'REACTIVOS NT'!H50</f>
        <v>6280.8</v>
      </c>
      <c r="K52" s="45">
        <f>'REACTIVOS NT'!G50</f>
        <v>14</v>
      </c>
    </row>
    <row r="53" spans="1:11" ht="37.799999999999997" customHeight="1" thickBot="1">
      <c r="A53" s="48">
        <v>42</v>
      </c>
      <c r="B53" s="41" t="str">
        <f>'REACTIVOS NT'!B51</f>
        <v>2.5.1-9038.244</v>
      </c>
      <c r="C53" s="106" t="str">
        <f>'REACTIVOS NT'!E51</f>
        <v>REACTIVO INDICADOR-COLORANTE; COMPUESTO QUIMICO: EOSINA, ESTADO: SOLUCION, CALIDAD: PRO ANALISIS, PRESENTACION: ENVASE X 500 CM3</v>
      </c>
      <c r="D53" s="106"/>
      <c r="E53" s="106"/>
      <c r="F53" s="106"/>
      <c r="G53" s="106"/>
      <c r="H53" s="42" t="s">
        <v>128</v>
      </c>
      <c r="I53" s="43" t="str">
        <f>'REACTIVOS NT'!F51</f>
        <v>FRASCO</v>
      </c>
      <c r="J53" s="44">
        <f>'REACTIVOS NT'!H51</f>
        <v>2428.8000000000002</v>
      </c>
      <c r="K53" s="45">
        <f>'REACTIVOS NT'!G51</f>
        <v>10</v>
      </c>
    </row>
    <row r="54" spans="1:11" ht="37.799999999999997" customHeight="1" thickBot="1">
      <c r="A54" s="47">
        <v>43</v>
      </c>
      <c r="B54" s="41" t="str">
        <f>'REACTIVOS NT'!B52</f>
        <v>2.5.1-9038.45</v>
      </c>
      <c r="C54" s="106" t="str">
        <f>'REACTIVOS NT'!E52</f>
        <v>REACTIVO INDICADOR-COLORANTE; COMPUESTO QUIMICO: EA 36 P/PAPANICOLAU, ESTADO: SOLUCION, CALIDAD: PRO ANALISIS, PRESENTACION: KIT</v>
      </c>
      <c r="D54" s="106"/>
      <c r="E54" s="106"/>
      <c r="F54" s="106"/>
      <c r="G54" s="106"/>
      <c r="H54" s="42" t="s">
        <v>128</v>
      </c>
      <c r="I54" s="43" t="str">
        <f>'REACTIVOS NT'!F52</f>
        <v>FRASCO</v>
      </c>
      <c r="J54" s="44">
        <f>'REACTIVOS NT'!H52</f>
        <v>3513.6</v>
      </c>
      <c r="K54" s="45">
        <f>'REACTIVOS NT'!G52</f>
        <v>10</v>
      </c>
    </row>
    <row r="55" spans="1:11" ht="37.799999999999997" customHeight="1" thickBot="1">
      <c r="A55" s="47">
        <v>44</v>
      </c>
      <c r="B55" s="41" t="str">
        <f>'REACTIVOS NT'!B53</f>
        <v>2.5.1-9043.9</v>
      </c>
      <c r="C55" s="106" t="str">
        <f>'REACTIVOS NT'!E53</f>
        <v>ACEITES Y GRASAS; COMPUESTO QUIMICO: BALSAMO DE CANADA , ESTADO: LIQUIDO, CALIDAD: PRO ANALISIS, CONCENTRACION/PUREZA: 99,9 %, PRESENTACION: ENVASE X 12,7 mL</v>
      </c>
      <c r="D55" s="106"/>
      <c r="E55" s="106"/>
      <c r="F55" s="106"/>
      <c r="G55" s="106"/>
      <c r="H55" s="42" t="s">
        <v>128</v>
      </c>
      <c r="I55" s="43" t="str">
        <f>'REACTIVOS NT'!F53</f>
        <v>FRASCO</v>
      </c>
      <c r="J55" s="44">
        <f>'REACTIVOS NT'!H53</f>
        <v>1596</v>
      </c>
      <c r="K55" s="45">
        <f>'REACTIVOS NT'!G53</f>
        <v>4</v>
      </c>
    </row>
    <row r="56" spans="1:11" ht="37.799999999999997" customHeight="1" thickBot="1">
      <c r="A56" s="48">
        <v>45</v>
      </c>
      <c r="B56" s="41" t="str">
        <f>'REACTIVOS NT'!B54</f>
        <v>2.5.1-9043.44</v>
      </c>
      <c r="C56" s="106" t="str">
        <f>'REACTIVOS NT'!E54</f>
        <v xml:space="preserve">ACEITES Y GRASAS; PRESENTACION: ENVASE X 100 mL, CONCENTRACION/PUREZA: 99,9 %, CALIDAD: PRO ANALISIS, ESTADO: LIQUIDO, COMPUESTO QUIMICO: BALSAMO DE CANADA </v>
      </c>
      <c r="D56" s="106"/>
      <c r="E56" s="106"/>
      <c r="F56" s="106"/>
      <c r="G56" s="106"/>
      <c r="H56" s="42" t="s">
        <v>128</v>
      </c>
      <c r="I56" s="43" t="str">
        <f>'REACTIVOS NT'!F54</f>
        <v>FRASCO</v>
      </c>
      <c r="J56" s="44">
        <f>'REACTIVOS NT'!H54</f>
        <v>1813.2</v>
      </c>
      <c r="K56" s="45">
        <f>'REACTIVOS NT'!G54</f>
        <v>4</v>
      </c>
    </row>
    <row r="57" spans="1:11" ht="37.799999999999997" customHeight="1" thickBot="1">
      <c r="A57" s="47">
        <v>46</v>
      </c>
      <c r="B57" s="41" t="str">
        <f>'REACTIVOS NT'!B55</f>
        <v>2.5.1-9052.1928</v>
      </c>
      <c r="C57" s="106" t="str">
        <f>'REACTIVOS NT'!E55</f>
        <v>REACTIVOS P/LAB. TEC. MANUAL ; NOMBRE: FIJADOR CITOLOGICO, USO: PAPANICOLAU, PRESENTACION: ENVASE X 120 Ml</v>
      </c>
      <c r="D57" s="106"/>
      <c r="E57" s="106"/>
      <c r="F57" s="106"/>
      <c r="G57" s="106"/>
      <c r="H57" s="42" t="s">
        <v>128</v>
      </c>
      <c r="I57" s="43" t="str">
        <f>'REACTIVOS NT'!F55</f>
        <v>FRASCO</v>
      </c>
      <c r="J57" s="44">
        <f>'REACTIVOS NT'!H55</f>
        <v>1275.5999999999999</v>
      </c>
      <c r="K57" s="45">
        <f>'REACTIVOS NT'!G55</f>
        <v>7</v>
      </c>
    </row>
    <row r="58" spans="1:11" ht="37.799999999999997" customHeight="1" thickBot="1">
      <c r="A58" s="47">
        <v>47</v>
      </c>
      <c r="B58" s="41" t="str">
        <f>'REACTIVOS NT'!B56</f>
        <v>2.5.1-9013.14</v>
      </c>
      <c r="C58" s="106" t="str">
        <f>'REACTIVOS NT'!E56</f>
        <v>ALDEHIDOS Y CETONAS; COMPUESTO QUIMICO: FORMALDEHIDO, ESTADO: LIQUIDO, CALIDAD: PRO ANALISIS, CONCENTRACION/PUREZA: 99 %, PRESENTACION: ENVASE X 1 L</v>
      </c>
      <c r="D58" s="106"/>
      <c r="E58" s="106"/>
      <c r="F58" s="106"/>
      <c r="G58" s="106"/>
      <c r="H58" s="42" t="s">
        <v>128</v>
      </c>
      <c r="I58" s="43" t="str">
        <f>'REACTIVOS NT'!F56</f>
        <v>LITRO</v>
      </c>
      <c r="J58" s="44">
        <f>'REACTIVOS NT'!H56</f>
        <v>787.2</v>
      </c>
      <c r="K58" s="45">
        <f>'REACTIVOS NT'!G56</f>
        <v>10</v>
      </c>
    </row>
    <row r="59" spans="1:11" ht="37.799999999999997" customHeight="1" thickBot="1">
      <c r="A59" s="48">
        <v>48</v>
      </c>
      <c r="B59" s="41" t="str">
        <f>'REACTIVOS NT'!B57</f>
        <v>2.5.1-9052.2118</v>
      </c>
      <c r="C59" s="106" t="str">
        <f>'REACTIVOS NT'!E57</f>
        <v>REACTIVOS P/LAB. TEC. MANUAL; NOMBRE: DESHIDRATANTE, USO: LABORATORIO, PRESENTACION: SEGÚN PLIEGO</v>
      </c>
      <c r="D59" s="106"/>
      <c r="E59" s="106"/>
      <c r="F59" s="106"/>
      <c r="G59" s="106"/>
      <c r="H59" s="42" t="s">
        <v>128</v>
      </c>
      <c r="I59" s="43" t="str">
        <f>'REACTIVOS NT'!F57</f>
        <v>BIDON</v>
      </c>
      <c r="J59" s="44">
        <f>'REACTIVOS NT'!H57</f>
        <v>9300</v>
      </c>
      <c r="K59" s="45">
        <f>'REACTIVOS NT'!G57</f>
        <v>3</v>
      </c>
    </row>
    <row r="60" spans="1:11" ht="37.799999999999997" customHeight="1" thickBot="1">
      <c r="A60" s="47">
        <v>49</v>
      </c>
      <c r="B60" s="41" t="str">
        <f>'REACTIVOS NT'!B58</f>
        <v>2.5.9-4083.3</v>
      </c>
      <c r="C60" s="106" t="str">
        <f>'REACTIVOS NT'!E58</f>
        <v>PARAFINA; PRESENTACION: ENVASE X 1 Kg, CAPACIDAD: 1 Kg, ESTADO: SOLIDO</v>
      </c>
      <c r="D60" s="106"/>
      <c r="E60" s="106"/>
      <c r="F60" s="106"/>
      <c r="G60" s="106"/>
      <c r="H60" s="49" t="s">
        <v>128</v>
      </c>
      <c r="I60" s="43" t="str">
        <f>'REACTIVOS NT'!F58</f>
        <v>KG</v>
      </c>
      <c r="J60" s="44">
        <f>'REACTIVOS NT'!H58</f>
        <v>1468.8</v>
      </c>
      <c r="K60" s="45">
        <f>'REACTIVOS NT'!G58</f>
        <v>15</v>
      </c>
    </row>
    <row r="61" spans="1:11" ht="20.25" customHeight="1" thickBot="1">
      <c r="A61" s="107" t="s">
        <v>191</v>
      </c>
      <c r="B61" s="107"/>
      <c r="C61" s="107"/>
      <c r="D61" s="107"/>
      <c r="E61" s="107"/>
      <c r="F61" s="107"/>
      <c r="G61" s="107"/>
      <c r="H61" s="107"/>
      <c r="I61" s="107"/>
      <c r="J61" s="108">
        <f>SUMPRODUCT(J12:J60,K12:K60)</f>
        <v>1321193.4000000001</v>
      </c>
      <c r="K61" s="108"/>
    </row>
    <row r="62" spans="1:1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</row>
    <row r="63" spans="1:1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</row>
    <row r="64" spans="1:1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spans="1:1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</row>
  </sheetData>
  <mergeCells count="7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4:G34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46:G46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57:G57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8:G58"/>
    <mergeCell ref="C59:G59"/>
    <mergeCell ref="C60:G60"/>
    <mergeCell ref="A61:I61"/>
    <mergeCell ref="J61:K61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zoomScale="130" zoomScaleNormal="130" workbookViewId="0">
      <selection activeCell="P1" sqref="A1:Q27"/>
    </sheetView>
  </sheetViews>
  <sheetFormatPr baseColWidth="10" defaultColWidth="11" defaultRowHeight="13.2"/>
  <cols>
    <col min="1" max="5" width="4.44140625" customWidth="1"/>
    <col min="6" max="6" width="5.109375" customWidth="1"/>
    <col min="7" max="7" width="4.44140625" style="53" customWidth="1"/>
    <col min="8" max="14" width="4.44140625" customWidth="1"/>
    <col min="15" max="16" width="14.88671875" customWidth="1"/>
    <col min="17" max="17" width="14.6640625" customWidth="1"/>
  </cols>
  <sheetData>
    <row r="1" spans="1:17" ht="15.75" customHeight="1" thickBot="1">
      <c r="A1" s="146" t="s">
        <v>5</v>
      </c>
      <c r="B1" s="146"/>
      <c r="C1" s="146"/>
      <c r="D1" s="147">
        <f>'REACTIVOS NT'!C6</f>
        <v>2021</v>
      </c>
      <c r="E1" s="147"/>
      <c r="F1" s="51"/>
      <c r="G1" s="51"/>
      <c r="H1" s="52"/>
      <c r="I1" s="52"/>
      <c r="J1" s="52"/>
      <c r="K1" s="52"/>
      <c r="L1" s="52"/>
      <c r="M1" s="52"/>
      <c r="N1" s="52"/>
      <c r="P1" s="148" t="s">
        <v>129</v>
      </c>
      <c r="Q1" s="148"/>
    </row>
    <row r="2" spans="1:17" ht="15.75" customHeight="1" thickBot="1">
      <c r="H2" s="52"/>
      <c r="I2" s="52"/>
      <c r="J2" s="52"/>
      <c r="K2" s="52"/>
      <c r="L2" s="52"/>
      <c r="M2" s="52"/>
      <c r="N2" s="52"/>
      <c r="P2" s="148"/>
      <c r="Q2" s="148"/>
    </row>
    <row r="4" spans="1:17" s="54" customFormat="1" ht="18" customHeight="1" thickBot="1">
      <c r="A4" s="149" t="s">
        <v>130</v>
      </c>
      <c r="B4" s="149"/>
      <c r="C4" s="149"/>
      <c r="D4" s="149"/>
      <c r="E4" s="149"/>
      <c r="F4" s="149"/>
      <c r="G4" s="138" t="str">
        <f>'REACTIVOS NPYE'!D3</f>
        <v xml:space="preserve">40 - Ministerio de Salud 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54" customFormat="1" ht="18" customHeight="1" thickBot="1">
      <c r="A5" s="135" t="s">
        <v>114</v>
      </c>
      <c r="B5" s="136"/>
      <c r="C5" s="136"/>
      <c r="D5" s="136"/>
      <c r="E5" s="136"/>
      <c r="F5" s="137"/>
      <c r="G5" s="138" t="str">
        <f>'REACTIVOS NPYE'!D4</f>
        <v xml:space="preserve">23 - Hospital Interzonal San Juan Bautista 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54" customFormat="1" ht="18" customHeight="1" thickBot="1">
      <c r="A6" s="135" t="s">
        <v>115</v>
      </c>
      <c r="B6" s="136"/>
      <c r="C6" s="136"/>
      <c r="D6" s="136"/>
      <c r="E6" s="136"/>
      <c r="F6" s="137"/>
      <c r="G6" s="138" t="str">
        <f>'REACTIVOS NPYE'!D5</f>
        <v>168 - Direccion Asistencial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54" customFormat="1" ht="18" customHeight="1" thickBot="1">
      <c r="A7" s="135" t="s">
        <v>117</v>
      </c>
      <c r="B7" s="136"/>
      <c r="C7" s="136"/>
      <c r="D7" s="136"/>
      <c r="E7" s="136"/>
      <c r="F7" s="137"/>
      <c r="G7" s="138" t="str">
        <f>'REACTIVOS NPYE'!D6</f>
        <v xml:space="preserve">Direccion Asistencial 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>
      <c r="A8" s="139" t="s">
        <v>131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>
      <c r="A9" s="140" t="s">
        <v>132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55"/>
      <c r="P9" s="55"/>
      <c r="Q9" s="56"/>
    </row>
    <row r="10" spans="1:17" ht="54.75" customHeight="1">
      <c r="A10" s="141" t="str">
        <f>"Autorizo la realización de los  trámites correspondientes, a fin de proveer a  este Organismo los bienes y/o servicios que se detallan en Nota de Pedido N° " &amp; 'REACTIVOS NPYE'!K1&amp;",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368 - 2020,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thickBot="1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0"/>
    </row>
    <row r="12" spans="1:17" ht="15.75" customHeight="1" thickBot="1">
      <c r="A12" s="142" t="s">
        <v>133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thickBot="1">
      <c r="A13" s="143" t="s">
        <v>134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135</v>
      </c>
      <c r="P13" s="144"/>
      <c r="Q13" s="145" t="s">
        <v>136</v>
      </c>
    </row>
    <row r="14" spans="1:17" ht="15.75" customHeight="1" thickBot="1">
      <c r="A14" s="61" t="s">
        <v>137</v>
      </c>
      <c r="B14" s="62" t="s">
        <v>138</v>
      </c>
      <c r="C14" s="62" t="s">
        <v>139</v>
      </c>
      <c r="D14" s="62" t="s">
        <v>140</v>
      </c>
      <c r="E14" s="62" t="s">
        <v>141</v>
      </c>
      <c r="F14" s="62" t="s">
        <v>142</v>
      </c>
      <c r="G14" s="63" t="s">
        <v>143</v>
      </c>
      <c r="H14" s="62" t="s">
        <v>144</v>
      </c>
      <c r="I14" s="62" t="s">
        <v>145</v>
      </c>
      <c r="J14" s="62" t="s">
        <v>146</v>
      </c>
      <c r="K14" s="62" t="s">
        <v>146</v>
      </c>
      <c r="L14" s="62" t="s">
        <v>147</v>
      </c>
      <c r="M14" s="64" t="s">
        <v>148</v>
      </c>
      <c r="N14" s="65" t="s">
        <v>149</v>
      </c>
      <c r="O14" s="144"/>
      <c r="P14" s="144"/>
      <c r="Q14" s="145"/>
    </row>
    <row r="15" spans="1:17" ht="17.25" customHeight="1">
      <c r="A15" s="66">
        <v>33</v>
      </c>
      <c r="B15" s="67"/>
      <c r="C15" s="67"/>
      <c r="D15" s="67">
        <v>2</v>
      </c>
      <c r="E15" s="67"/>
      <c r="F15" s="67">
        <v>4901</v>
      </c>
      <c r="G15" s="67">
        <v>3</v>
      </c>
      <c r="H15" s="68" t="s">
        <v>150</v>
      </c>
      <c r="I15" s="69">
        <v>2</v>
      </c>
      <c r="J15" s="69">
        <v>5</v>
      </c>
      <c r="K15" s="69">
        <v>1</v>
      </c>
      <c r="L15" s="67"/>
      <c r="M15" s="70">
        <v>1</v>
      </c>
      <c r="N15" s="68" t="s">
        <v>151</v>
      </c>
      <c r="O15" s="133" t="s">
        <v>152</v>
      </c>
      <c r="P15" s="134"/>
      <c r="Q15" s="71">
        <v>1299161.3999999999</v>
      </c>
    </row>
    <row r="16" spans="1:17" ht="17.25" customHeight="1">
      <c r="A16" s="72">
        <v>33</v>
      </c>
      <c r="B16" s="73"/>
      <c r="C16" s="73"/>
      <c r="D16" s="73">
        <v>2</v>
      </c>
      <c r="E16" s="73"/>
      <c r="F16" s="73">
        <v>4901</v>
      </c>
      <c r="G16" s="73">
        <v>3</v>
      </c>
      <c r="H16" s="74" t="s">
        <v>150</v>
      </c>
      <c r="I16" s="73">
        <v>2</v>
      </c>
      <c r="J16" s="73">
        <v>5</v>
      </c>
      <c r="K16" s="73">
        <v>9</v>
      </c>
      <c r="L16" s="73"/>
      <c r="M16" s="75">
        <v>1</v>
      </c>
      <c r="N16" s="76" t="s">
        <v>151</v>
      </c>
      <c r="O16" s="123" t="s">
        <v>153</v>
      </c>
      <c r="P16" s="124"/>
      <c r="Q16" s="77">
        <v>22032</v>
      </c>
    </row>
    <row r="17" spans="1:18" ht="17.25" customHeight="1">
      <c r="A17" s="72"/>
      <c r="B17" s="73"/>
      <c r="C17" s="73"/>
      <c r="D17" s="73"/>
      <c r="E17" s="73"/>
      <c r="F17" s="78"/>
      <c r="G17" s="73"/>
      <c r="H17" s="73"/>
      <c r="I17" s="73"/>
      <c r="J17" s="73"/>
      <c r="K17" s="73"/>
      <c r="L17" s="73"/>
      <c r="M17" s="75"/>
      <c r="N17" s="78"/>
      <c r="O17" s="124"/>
      <c r="P17" s="124"/>
      <c r="Q17" s="77"/>
    </row>
    <row r="18" spans="1:18" ht="17.25" customHeight="1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5"/>
      <c r="N18" s="78"/>
      <c r="O18" s="124"/>
      <c r="P18" s="124"/>
      <c r="Q18" s="77"/>
    </row>
    <row r="19" spans="1:18" ht="17.25" customHeight="1">
      <c r="A19" s="72"/>
      <c r="B19" s="73"/>
      <c r="C19" s="73"/>
      <c r="D19" s="73"/>
      <c r="E19" s="73"/>
      <c r="F19" s="78"/>
      <c r="G19" s="73"/>
      <c r="H19" s="73"/>
      <c r="I19" s="73"/>
      <c r="J19" s="73"/>
      <c r="K19" s="73"/>
      <c r="L19" s="73"/>
      <c r="M19" s="75"/>
      <c r="N19" s="78"/>
      <c r="O19" s="124"/>
      <c r="P19" s="124"/>
      <c r="Q19" s="77"/>
    </row>
    <row r="20" spans="1:18" ht="17.25" customHeight="1">
      <c r="A20" s="72"/>
      <c r="B20" s="73"/>
      <c r="C20" s="73"/>
      <c r="D20" s="73"/>
      <c r="E20" s="73"/>
      <c r="F20" s="78"/>
      <c r="G20" s="73"/>
      <c r="H20" s="73"/>
      <c r="I20" s="73"/>
      <c r="J20" s="73"/>
      <c r="K20" s="73"/>
      <c r="L20" s="73"/>
      <c r="M20" s="75"/>
      <c r="N20" s="78"/>
      <c r="O20" s="124"/>
      <c r="P20" s="124"/>
      <c r="Q20" s="77"/>
    </row>
    <row r="21" spans="1:18" ht="17.25" customHeight="1">
      <c r="A21" s="79"/>
      <c r="B21" s="80"/>
      <c r="C21" s="80"/>
      <c r="D21" s="80"/>
      <c r="E21" s="80"/>
      <c r="F21" s="81"/>
      <c r="G21" s="80"/>
      <c r="H21" s="80"/>
      <c r="I21" s="80"/>
      <c r="J21" s="80"/>
      <c r="K21" s="80"/>
      <c r="L21" s="80"/>
      <c r="M21" s="82"/>
      <c r="N21" s="83"/>
      <c r="O21" s="125"/>
      <c r="P21" s="125"/>
      <c r="Q21" s="77"/>
      <c r="R21" s="55"/>
    </row>
    <row r="22" spans="1:18" ht="17.25" customHeight="1" thickBot="1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6"/>
      <c r="N22" s="85"/>
      <c r="O22" s="126"/>
      <c r="P22" s="126"/>
      <c r="Q22" s="87"/>
    </row>
    <row r="23" spans="1:18" ht="20.25" customHeight="1" thickBot="1">
      <c r="A23" s="127" t="s">
        <v>190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88">
        <f>SUM(Q15:Q22)</f>
        <v>1321193.3999999999</v>
      </c>
    </row>
    <row r="24" spans="1:18" ht="18" customHeight="1" thickBo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8" ht="17.25" customHeight="1" thickBot="1">
      <c r="A25" s="129" t="s">
        <v>154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18" customHeight="1">
      <c r="A26" s="117" t="s">
        <v>155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9"/>
    </row>
    <row r="27" spans="1:18" ht="15" customHeight="1" thickBot="1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REACTIVOS NT</vt:lpstr>
      <vt:lpstr>REACTIVOS NPYE</vt:lpstr>
      <vt:lpstr>REACTIVOS APG </vt:lpstr>
      <vt:lpstr>'REACTIVOS APG '!Área_de_impresión</vt:lpstr>
      <vt:lpstr>'REACTIVOS NPYE'!Área_de_impresión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lastPrinted>2021-03-05T14:39:24Z</cp:lastPrinted>
  <dcterms:created xsi:type="dcterms:W3CDTF">2021-02-08T13:17:02Z</dcterms:created>
  <dcterms:modified xsi:type="dcterms:W3CDTF">2021-03-08T11:18:08Z</dcterms:modified>
</cp:coreProperties>
</file>