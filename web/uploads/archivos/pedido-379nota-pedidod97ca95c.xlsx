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65CF4654-74DB-4C56-B803-4AFC84BF0A7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Hoja1" sheetId="4" r:id="rId4"/>
  </sheets>
  <definedNames>
    <definedName name="_xlnm.Print_Area" localSheetId="1">' NotaPedido'!$A$1:$K$17</definedName>
    <definedName name="_xlnm.Print_Area" localSheetId="2">'Autor Gastar'!$A$1:$Q$26</definedName>
    <definedName name="_xlnm.Print_Area" localSheetId="3">Hoja1!$A$1:$E$9</definedName>
    <definedName name="_xlnm.Print_Area" localSheetId="0">'Necesidades Trimestrales'!$A$1:$I$37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Q22" i="3" l="1"/>
  <c r="D7" i="2" l="1"/>
  <c r="D3" i="2"/>
  <c r="G4" i="3" s="1"/>
  <c r="D4" i="2"/>
  <c r="G5" i="3" s="1"/>
  <c r="A10" i="3" l="1"/>
  <c r="D1" i="3"/>
  <c r="K12" i="2"/>
  <c r="J12" i="2"/>
  <c r="J17" i="2" s="1"/>
  <c r="I12" i="2"/>
  <c r="C12" i="2"/>
  <c r="B12" i="2"/>
  <c r="I15" i="3"/>
</calcChain>
</file>

<file path=xl/sharedStrings.xml><?xml version="1.0" encoding="utf-8"?>
<sst xmlns="http://schemas.openxmlformats.org/spreadsheetml/2006/main" count="93" uniqueCount="87">
  <si>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</si>
  <si>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</si>
  <si>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</si>
  <si>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</si>
  <si>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</si>
  <si>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</si>
  <si>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</si>
  <si>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</si>
  <si>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</si>
  <si>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</si>
  <si>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</si>
  <si>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</si>
  <si>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</si>
  <si>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</si>
  <si>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</si>
  <si>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</si>
  <si>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</si>
  <si>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</si>
  <si>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</si>
  <si>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</si>
  <si>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</si>
  <si>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</si>
  <si>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</si>
  <si>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</si>
  <si>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</si>
  <si>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</si>
  <si>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</si>
  <si>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</si>
  <si>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</si>
  <si>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</si>
  <si>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</si>
  <si>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</si>
  <si>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</si>
  <si>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</si>
  <si>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</si>
  <si>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</si>
  <si>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</si>
  <si>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</si>
  <si>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</si>
  <si>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</si>
  <si>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</si>
  <si>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</si>
  <si>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</si>
  <si>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</si>
  <si>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</si>
  <si>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</si>
  <si>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</si>
  <si>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</si>
  <si>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</si>
  <si>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</si>
  <si>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</si>
  <si>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</si>
  <si>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</si>
  <si>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</si>
  <si>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</si>
  <si>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</si>
  <si>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</si>
  <si>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</si>
  <si>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</si>
  <si>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Alta</t>
  </si>
  <si>
    <t>S. FUNEBRE; DESCRIPCION: ATAUD BOVEDA SEMI EXTRAORDINARIO  LUSTRADO CON CAJA INTERIOR METALICA TAPIZADA CON VALVULA P/ FORMOL, SOLDADURA, C/ 8 MANIJAS Y PLACA IDENTIFICATORIA- VELATORIO EN SALA O EN DOMICILIO Y TRASLADO AL CEMENTERIO-  SUJETO AL PROTOCOLO DE COVID-19 " AISLAMIENTO SOCIAL, PREVENTIVO Y OBLIGATORIO".-</t>
  </si>
  <si>
    <t>S. FUNEBRE; DESCRIPCION: SERVICIO FUNEBRE ATAUD PARA ANGELITO, CON SOLDADURA Y TRASLADO AL CEMENTERIO SUJETO AL PROTOCOLO DE COVID-19 " AISLAMIENTO SOCIAL, PREVENTIVO Y OBLIGATORIO".-</t>
  </si>
  <si>
    <t>item</t>
  </si>
  <si>
    <t xml:space="preserve">descipcion </t>
  </si>
  <si>
    <t xml:space="preserve">monto </t>
  </si>
  <si>
    <t>total</t>
  </si>
  <si>
    <t>cantidad</t>
  </si>
  <si>
    <t>S/E</t>
  </si>
  <si>
    <t>2.5.8-1922.26</t>
  </si>
  <si>
    <t>FERRETERIA</t>
  </si>
  <si>
    <t>NAILON; ANCHO: 4,5 M, ESPESOR: 200 Mn</t>
  </si>
  <si>
    <t>2.5.8</t>
  </si>
  <si>
    <r>
      <t xml:space="preserve">Plazo de Entrega: </t>
    </r>
    <r>
      <rPr>
        <sz val="10"/>
        <rFont val="Times New Roman"/>
        <family val="1"/>
      </rPr>
      <t>05 DIAS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</si>
  <si>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Deposito del Ministerio de Desarrollo Social y Deporte, Area Industrial EL Pantanillo S/N- San Fernando del Valle de Catamarca (CP 4700) </t>
    </r>
  </si>
  <si>
    <t>UNIDADES</t>
  </si>
  <si>
    <t>ROLLO NEGRO DE 200 MICRONES POR 50 MTS DE LARGO, POR 4,5 MTS. DE ANCHO, (CON TOLERANCIAS DE MAS O MENOS 0,50 MTS DE ANCHO)</t>
  </si>
  <si>
    <t xml:space="preserve">16- Direccion Provincial de Accion Social Directa- </t>
  </si>
  <si>
    <t>02- Programa Vivir Mejor- PRO.VI.ME</t>
  </si>
  <si>
    <t>Adquisición Rollos de Plastico para Asistir a Personas de Escaso Recurso</t>
  </si>
  <si>
    <t>Costo total estimado: DOS MILLONES DOSCIENTOS OCHENTA Y DOS MIL CON 00/100.-</t>
  </si>
  <si>
    <t>16- Direccion Provincial de Accion Social Directa</t>
  </si>
  <si>
    <t>02- Programa Vivir Mejor</t>
  </si>
  <si>
    <t>PRODUCTOS DE MATERIAL PLASTICO</t>
  </si>
  <si>
    <t>151/2021</t>
  </si>
  <si>
    <t>SI</t>
  </si>
  <si>
    <t>TOTAL DE PESOS: DOS MILLONES DOSCIENTOS OCHENTA Y DOS MIL CON 00/100.-</t>
  </si>
  <si>
    <t>Plazo de Mantinimiento 60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</si>
</sst>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166" fontId="14" fillId="0" borderId="49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5" xfId="0" applyBorder="1"/>
    <xf numFmtId="0" fontId="20" fillId="0" borderId="9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0" fontId="2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/>
    <xf numFmtId="0" fontId="22" fillId="0" borderId="61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66" fontId="21" fillId="0" borderId="61" xfId="1" applyNumberFormat="1" applyFont="1" applyFill="1" applyBorder="1" applyAlignment="1" applyProtection="1">
      <alignment horizontal="right" vertical="center" wrapText="1"/>
    </xf>
    <xf numFmtId="166" fontId="21" fillId="0" borderId="62" xfId="1" applyNumberFormat="1" applyFont="1" applyFill="1" applyBorder="1" applyAlignment="1" applyProtection="1">
      <alignment horizontal="right" vertical="center" wrapText="1"/>
    </xf>
    <xf numFmtId="0" fontId="26" fillId="0" borderId="70" xfId="0" applyFont="1" applyFill="1" applyBorder="1"/>
    <xf numFmtId="0" fontId="0" fillId="0" borderId="66" xfId="0" applyFill="1" applyBorder="1"/>
    <xf numFmtId="0" fontId="0" fillId="0" borderId="66" xfId="0" applyFill="1" applyBorder="1" applyAlignment="1">
      <alignment horizontal="center"/>
    </xf>
    <xf numFmtId="0" fontId="26" fillId="0" borderId="66" xfId="0" applyFont="1" applyFill="1" applyBorder="1"/>
    <xf numFmtId="0" fontId="22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0" fontId="0" fillId="0" borderId="54" xfId="0" applyFill="1" applyBorder="1"/>
    <xf numFmtId="0" fontId="22" fillId="0" borderId="55" xfId="0" applyFont="1" applyFill="1" applyBorder="1" applyAlignment="1">
      <alignment horizontal="center" vertical="center" wrapText="1"/>
    </xf>
    <xf numFmtId="0" fontId="19" fillId="0" borderId="53" xfId="0" applyFont="1" applyFill="1" applyBorder="1" applyAlignment="1">
      <alignment horizontal="center" wrapText="1"/>
    </xf>
    <xf numFmtId="0" fontId="0" fillId="0" borderId="60" xfId="0" applyFill="1" applyBorder="1"/>
    <xf numFmtId="0" fontId="0" fillId="0" borderId="8" xfId="0" applyFill="1" applyBorder="1"/>
    <xf numFmtId="0" fontId="22" fillId="0" borderId="56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wrapText="1"/>
    </xf>
    <xf numFmtId="166" fontId="21" fillId="0" borderId="63" xfId="1" applyNumberFormat="1" applyFont="1" applyFill="1" applyBorder="1" applyAlignment="1" applyProtection="1">
      <alignment horizontal="right" vertical="center" wrapText="1"/>
    </xf>
    <xf numFmtId="166" fontId="21" fillId="0" borderId="64" xfId="1" applyNumberFormat="1" applyFont="1" applyFill="1" applyBorder="1" applyAlignment="1" applyProtection="1">
      <alignment horizontal="right" vertical="center" wrapText="1"/>
    </xf>
    <xf numFmtId="0" fontId="0" fillId="0" borderId="67" xfId="0" applyFont="1" applyFill="1" applyBorder="1" applyAlignment="1">
      <alignment horizontal="center" vertical="center"/>
    </xf>
    <xf numFmtId="0" fontId="0" fillId="0" borderId="68" xfId="0" applyFont="1" applyFill="1" applyBorder="1" applyAlignment="1">
      <alignment horizontal="center" vertical="center"/>
    </xf>
    <xf numFmtId="0" fontId="0" fillId="0" borderId="69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0" fillId="0" borderId="70" xfId="0" applyFill="1" applyBorder="1"/>
    <xf numFmtId="0" fontId="0" fillId="0" borderId="70" xfId="0" applyFill="1" applyBorder="1" applyAlignment="1">
      <alignment horizontal="center"/>
    </xf>
    <xf numFmtId="0" fontId="20" fillId="0" borderId="21" xfId="0" applyFont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9" fillId="0" borderId="2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13" xfId="0" applyFont="1" applyFill="1" applyBorder="1" applyAlignment="1">
      <alignment horizontal="center" wrapText="1"/>
    </xf>
    <xf numFmtId="0" fontId="16" fillId="3" borderId="13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167" fontId="25" fillId="0" borderId="21" xfId="0" applyNumberFormat="1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26" fillId="0" borderId="65" xfId="0" applyFont="1" applyBorder="1" applyAlignment="1">
      <alignment horizontal="left" vertical="center" wrapText="1"/>
    </xf>
    <xf numFmtId="0" fontId="0" fillId="0" borderId="65" xfId="0" applyFont="1" applyBorder="1" applyAlignment="1">
      <alignment horizontal="left" vertical="center" wrapText="1"/>
    </xf>
    <xf numFmtId="0" fontId="0" fillId="0" borderId="43" xfId="0" applyFont="1" applyBorder="1" applyAlignment="1">
      <alignment horizontal="left" vertical="center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49" xfId="0" applyFont="1" applyFill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"/>
  <sheetViews>
    <sheetView tabSelected="1" zoomScaleNormal="100" workbookViewId="0">
      <selection activeCell="J22" sqref="J22"/>
    </sheetView>
  </sheetViews>
  <sheetFormatPr baseColWidth="10" defaultColWidth="11" defaultRowHeight="12.75" x14ac:dyDescent="0.2"/>
  <cols>
    <col min="1" max="1" width="4.5703125" style="33" customWidth="1"/>
    <col min="2" max="2" width="21.7109375" style="33" customWidth="1"/>
    <col min="3" max="3" width="36.7109375" style="33" customWidth="1"/>
    <col min="4" max="4" width="12.28515625" style="33" bestFit="1" customWidth="1"/>
    <col min="5" max="5" width="132.140625" style="33" customWidth="1"/>
    <col min="6" max="6" width="11" style="33"/>
    <col min="7" max="8" width="10.42578125" style="33" bestFit="1" customWidth="1"/>
    <col min="9" max="9" width="15.7109375" style="33" bestFit="1" customWidth="1"/>
    <col min="10" max="16384" width="11" style="33"/>
  </cols>
  <sheetData>
    <row r="2" spans="1:9" ht="27" x14ac:dyDescent="0.35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 x14ac:dyDescent="0.25">
      <c r="A4" s="108" t="s">
        <v>1</v>
      </c>
      <c r="B4" s="108"/>
      <c r="C4" s="109" t="s">
        <v>57</v>
      </c>
      <c r="D4" s="109"/>
      <c r="E4" s="109"/>
      <c r="F4" s="34"/>
      <c r="G4" s="35"/>
      <c r="H4" s="34"/>
    </row>
    <row r="5" spans="1:9" ht="18" customHeight="1" x14ac:dyDescent="0.25">
      <c r="A5" s="108" t="s">
        <v>2</v>
      </c>
      <c r="B5" s="108"/>
      <c r="C5" s="109" t="s">
        <v>58</v>
      </c>
      <c r="D5" s="109"/>
      <c r="E5" s="109"/>
      <c r="F5" s="34"/>
      <c r="G5" s="35"/>
      <c r="H5" s="34"/>
    </row>
    <row r="6" spans="1:9" ht="16.5" customHeight="1" x14ac:dyDescent="0.25">
      <c r="A6" s="108" t="s">
        <v>3</v>
      </c>
      <c r="B6" s="108"/>
      <c r="C6" s="52">
        <v>2021</v>
      </c>
      <c r="D6" s="53"/>
      <c r="E6" s="53"/>
      <c r="F6" s="34"/>
      <c r="G6" s="35"/>
      <c r="H6" s="34"/>
    </row>
    <row r="7" spans="1:9" ht="16.5" customHeight="1" x14ac:dyDescent="0.25">
      <c r="A7" s="108" t="s">
        <v>4</v>
      </c>
      <c r="B7" s="108"/>
      <c r="C7" s="52">
        <v>1</v>
      </c>
      <c r="D7" s="53"/>
      <c r="E7" s="53"/>
      <c r="F7" s="34"/>
      <c r="G7" s="35"/>
      <c r="H7" s="34"/>
    </row>
    <row r="8" spans="1:9" ht="13.5" thickBot="1" x14ac:dyDescent="0.25">
      <c r="B8" s="34"/>
      <c r="C8" s="35"/>
      <c r="D8" s="34"/>
      <c r="E8" s="34"/>
      <c r="F8" s="34"/>
      <c r="G8" s="35"/>
      <c r="H8" s="34"/>
    </row>
    <row r="9" spans="1:9" ht="39" thickBot="1" x14ac:dyDescent="0.25">
      <c r="A9" s="55" t="s">
        <v>5</v>
      </c>
      <c r="B9" s="98" t="s">
        <v>6</v>
      </c>
      <c r="C9" s="98" t="s">
        <v>7</v>
      </c>
      <c r="D9" s="98" t="s">
        <v>8</v>
      </c>
      <c r="E9" s="98" t="s">
        <v>9</v>
      </c>
      <c r="F9" s="56" t="s">
        <v>10</v>
      </c>
      <c r="G9" s="57" t="s">
        <v>11</v>
      </c>
      <c r="H9" s="57" t="s">
        <v>12</v>
      </c>
      <c r="I9" s="58" t="s">
        <v>13</v>
      </c>
    </row>
    <row r="10" spans="1:9" x14ac:dyDescent="0.2">
      <c r="A10" s="36">
        <v>1</v>
      </c>
      <c r="B10" s="96" t="s">
        <v>68</v>
      </c>
      <c r="C10" s="96" t="s">
        <v>69</v>
      </c>
      <c r="D10" s="97" t="s">
        <v>71</v>
      </c>
      <c r="E10" s="96" t="s">
        <v>70</v>
      </c>
      <c r="F10" s="66" t="s">
        <v>74</v>
      </c>
      <c r="G10" s="67">
        <v>200</v>
      </c>
      <c r="H10" s="68">
        <v>11410</v>
      </c>
      <c r="I10" s="69">
        <f>+H10*G10</f>
        <v>2282000</v>
      </c>
    </row>
    <row r="11" spans="1:9" x14ac:dyDescent="0.2">
      <c r="A11" s="37"/>
      <c r="B11" s="70"/>
      <c r="C11" s="71"/>
      <c r="D11" s="72"/>
      <c r="E11" s="73"/>
      <c r="F11" s="74"/>
      <c r="G11" s="75"/>
      <c r="H11" s="76"/>
      <c r="I11" s="77"/>
    </row>
    <row r="12" spans="1:9" x14ac:dyDescent="0.2">
      <c r="A12" s="37"/>
      <c r="B12" s="70"/>
      <c r="C12" s="71"/>
      <c r="D12" s="72"/>
      <c r="E12" s="73"/>
      <c r="F12" s="74"/>
      <c r="G12" s="75"/>
      <c r="H12" s="76"/>
      <c r="I12" s="77"/>
    </row>
    <row r="13" spans="1:9" x14ac:dyDescent="0.2">
      <c r="A13" s="37">
        <v>4</v>
      </c>
      <c r="B13" s="78"/>
      <c r="C13" s="65"/>
      <c r="D13" s="79"/>
      <c r="E13" s="65"/>
      <c r="F13" s="74"/>
      <c r="G13" s="75"/>
      <c r="H13" s="76"/>
      <c r="I13" s="77"/>
    </row>
    <row r="14" spans="1:9" x14ac:dyDescent="0.2">
      <c r="A14" s="37">
        <v>5</v>
      </c>
      <c r="B14" s="78"/>
      <c r="C14" s="65"/>
      <c r="D14" s="79"/>
      <c r="E14" s="65"/>
      <c r="F14" s="74"/>
      <c r="G14" s="80"/>
      <c r="H14" s="76"/>
      <c r="I14" s="77"/>
    </row>
    <row r="15" spans="1:9" ht="13.5" thickBot="1" x14ac:dyDescent="0.25">
      <c r="A15" s="38">
        <v>6</v>
      </c>
      <c r="B15" s="81"/>
      <c r="C15" s="82"/>
      <c r="D15" s="83"/>
      <c r="E15" s="82"/>
      <c r="F15" s="84"/>
      <c r="G15" s="85"/>
      <c r="H15" s="86"/>
      <c r="I15" s="87"/>
    </row>
    <row r="18" spans="2:5" x14ac:dyDescent="0.2">
      <c r="B18" s="39" t="s">
        <v>14</v>
      </c>
      <c r="C18" s="40"/>
      <c r="D18" s="40"/>
      <c r="E18" s="41"/>
    </row>
    <row r="19" spans="2:5" ht="5.25" customHeight="1" x14ac:dyDescent="0.2">
      <c r="B19" s="42"/>
      <c r="C19" s="43"/>
      <c r="D19" s="43"/>
      <c r="E19" s="44"/>
    </row>
    <row r="20" spans="2:5" x14ac:dyDescent="0.2">
      <c r="B20" s="45" t="s">
        <v>15</v>
      </c>
      <c r="C20" s="43"/>
      <c r="D20" s="43"/>
      <c r="E20" s="44"/>
    </row>
    <row r="21" spans="2:5" ht="50.25" customHeight="1" x14ac:dyDescent="0.2">
      <c r="B21" s="45"/>
      <c r="C21" s="112" t="s">
        <v>75</v>
      </c>
      <c r="D21" s="112"/>
      <c r="E21" s="113"/>
    </row>
    <row r="22" spans="2:5" x14ac:dyDescent="0.2">
      <c r="B22" s="45" t="s">
        <v>16</v>
      </c>
      <c r="C22" s="43"/>
      <c r="D22" s="43"/>
      <c r="E22" s="44"/>
    </row>
    <row r="23" spans="2:5" x14ac:dyDescent="0.2">
      <c r="B23" s="46"/>
      <c r="C23" s="114" t="s">
        <v>72</v>
      </c>
      <c r="D23" s="115"/>
      <c r="E23" s="116"/>
    </row>
    <row r="24" spans="2:5" ht="50.25" customHeight="1" x14ac:dyDescent="0.2">
      <c r="B24" s="46"/>
      <c r="C24" s="117" t="s">
        <v>73</v>
      </c>
      <c r="D24" s="117"/>
      <c r="E24" s="118"/>
    </row>
    <row r="25" spans="2:5" x14ac:dyDescent="0.2">
      <c r="B25" s="46"/>
      <c r="C25" s="60"/>
      <c r="D25" s="60"/>
      <c r="E25" s="61"/>
    </row>
    <row r="26" spans="2:5" x14ac:dyDescent="0.2">
      <c r="B26" s="45" t="s">
        <v>17</v>
      </c>
      <c r="C26" s="43"/>
      <c r="D26" s="43"/>
      <c r="E26" s="44"/>
    </row>
    <row r="27" spans="2:5" ht="26.25" customHeight="1" x14ac:dyDescent="0.2">
      <c r="B27" s="46"/>
      <c r="C27" s="110" t="s">
        <v>59</v>
      </c>
      <c r="D27" s="110"/>
      <c r="E27" s="110"/>
    </row>
    <row r="28" spans="2:5" x14ac:dyDescent="0.2">
      <c r="B28" s="45" t="s">
        <v>18</v>
      </c>
      <c r="C28" s="47"/>
      <c r="D28" s="47"/>
      <c r="E28" s="48"/>
    </row>
    <row r="29" spans="2:5" ht="26.25" customHeight="1" x14ac:dyDescent="0.2">
      <c r="B29" s="46"/>
      <c r="C29" s="110" t="s">
        <v>86</v>
      </c>
      <c r="D29" s="110"/>
      <c r="E29" s="110"/>
    </row>
    <row r="30" spans="2:5" x14ac:dyDescent="0.2">
      <c r="B30" s="45" t="s">
        <v>19</v>
      </c>
      <c r="C30" s="43"/>
      <c r="D30" s="43"/>
      <c r="E30" s="44"/>
    </row>
    <row r="31" spans="2:5" ht="23.25" customHeight="1" x14ac:dyDescent="0.2">
      <c r="B31" s="45"/>
      <c r="C31" s="111" t="s">
        <v>67</v>
      </c>
      <c r="D31" s="111"/>
      <c r="E31" s="111"/>
    </row>
    <row r="32" spans="2:5" x14ac:dyDescent="0.2">
      <c r="B32" s="49"/>
      <c r="C32" s="50"/>
      <c r="D32" s="50"/>
      <c r="E32" s="51"/>
    </row>
  </sheetData>
  <mergeCells count="13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="110" zoomScaleNormal="110" workbookViewId="0">
      <selection activeCell="C16" sqref="C16:G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20</v>
      </c>
      <c r="B1" s="119"/>
      <c r="C1" s="119"/>
      <c r="D1" s="119"/>
      <c r="E1" s="119"/>
      <c r="F1" s="119"/>
      <c r="G1" s="119"/>
      <c r="H1" s="119"/>
      <c r="I1" s="119"/>
      <c r="J1" s="99" t="s">
        <v>21</v>
      </c>
      <c r="K1" s="100" t="s">
        <v>83</v>
      </c>
    </row>
    <row r="2" spans="1:11" ht="18.75" customHeight="1" thickBot="1" x14ac:dyDescent="0.25">
      <c r="A2" s="101"/>
      <c r="B2" s="101"/>
      <c r="C2" s="101"/>
      <c r="D2" s="102"/>
      <c r="E2" s="102"/>
      <c r="F2" s="102"/>
      <c r="G2" s="102"/>
      <c r="H2" s="102"/>
      <c r="I2" s="102"/>
      <c r="J2" s="102"/>
      <c r="K2" s="102"/>
    </row>
    <row r="3" spans="1:11" ht="18.75" customHeight="1" thickBot="1" x14ac:dyDescent="0.25">
      <c r="A3" s="120" t="s">
        <v>54</v>
      </c>
      <c r="B3" s="120"/>
      <c r="C3" s="120"/>
      <c r="D3" s="121" t="str">
        <f>'Necesidades Trimestrales'!C4</f>
        <v>45- Ministerio de Desarrollo Social y Deporte</v>
      </c>
      <c r="E3" s="121"/>
      <c r="F3" s="121"/>
      <c r="G3" s="121"/>
      <c r="H3" s="121"/>
      <c r="I3" s="121"/>
      <c r="J3" s="121"/>
      <c r="K3" s="121"/>
    </row>
    <row r="4" spans="1:11" ht="18.75" customHeight="1" thickBot="1" x14ac:dyDescent="0.25">
      <c r="A4" s="122" t="s">
        <v>55</v>
      </c>
      <c r="B4" s="122"/>
      <c r="C4" s="122"/>
      <c r="D4" s="121" t="str">
        <f>'Necesidades Trimestrales'!C5</f>
        <v>25- Direccion Provincial de Gestion Administrativa y RRHH</v>
      </c>
      <c r="E4" s="121"/>
      <c r="F4" s="121"/>
      <c r="G4" s="121"/>
      <c r="H4" s="121"/>
      <c r="I4" s="121"/>
      <c r="J4" s="121"/>
      <c r="K4" s="121"/>
    </row>
    <row r="5" spans="1:11" ht="18.75" customHeight="1" thickBot="1" x14ac:dyDescent="0.25">
      <c r="A5" s="122" t="s">
        <v>33</v>
      </c>
      <c r="B5" s="122"/>
      <c r="C5" s="122"/>
      <c r="D5" s="121" t="s">
        <v>76</v>
      </c>
      <c r="E5" s="121"/>
      <c r="F5" s="121"/>
      <c r="G5" s="121"/>
      <c r="H5" s="121"/>
      <c r="I5" s="121"/>
      <c r="J5" s="121"/>
      <c r="K5" s="121"/>
    </row>
    <row r="6" spans="1:11" ht="16.5" customHeight="1" thickBot="1" x14ac:dyDescent="0.25">
      <c r="A6" s="120" t="s">
        <v>56</v>
      </c>
      <c r="B6" s="120"/>
      <c r="C6" s="120"/>
      <c r="D6" s="121" t="s">
        <v>77</v>
      </c>
      <c r="E6" s="121"/>
      <c r="F6" s="121"/>
      <c r="G6" s="121"/>
      <c r="H6" s="121"/>
      <c r="I6" s="121"/>
      <c r="J6" s="121"/>
      <c r="K6" s="121"/>
    </row>
    <row r="7" spans="1:11" ht="16.5" customHeight="1" x14ac:dyDescent="0.2">
      <c r="A7" s="122" t="s">
        <v>22</v>
      </c>
      <c r="B7" s="122"/>
      <c r="C7" s="122"/>
      <c r="D7" s="121" t="str">
        <f>'Necesidades Trimestrales'!C7 &amp; "° Trimestre - Año " &amp; 'Necesidades Trimestrales'!C6</f>
        <v>1° Trimestre - Año 2021</v>
      </c>
      <c r="E7" s="121"/>
      <c r="F7" s="121"/>
      <c r="G7" s="121"/>
      <c r="H7" s="121"/>
      <c r="I7" s="121"/>
      <c r="J7" s="121"/>
      <c r="K7" s="121"/>
    </row>
    <row r="8" spans="1:11" ht="15.75" x14ac:dyDescent="0.2">
      <c r="A8" s="123" t="s">
        <v>23</v>
      </c>
      <c r="B8" s="123"/>
      <c r="C8" s="123"/>
      <c r="D8" s="124" t="s">
        <v>78</v>
      </c>
      <c r="E8" s="124"/>
      <c r="F8" s="124"/>
      <c r="G8" s="124"/>
      <c r="H8" s="124"/>
      <c r="I8" s="124"/>
      <c r="J8" s="124"/>
      <c r="K8" s="124"/>
    </row>
    <row r="9" spans="1:11" ht="15.75" x14ac:dyDescent="0.2">
      <c r="A9" s="103"/>
      <c r="B9" s="103"/>
      <c r="C9" s="103"/>
      <c r="D9" s="104"/>
      <c r="E9" s="104"/>
      <c r="F9" s="104"/>
      <c r="G9" s="104"/>
      <c r="H9" s="104"/>
      <c r="I9" s="104"/>
      <c r="J9" s="104"/>
      <c r="K9" s="104"/>
    </row>
    <row r="10" spans="1:11" ht="18.75" customHeight="1" x14ac:dyDescent="0.2">
      <c r="A10" s="125" t="s">
        <v>24</v>
      </c>
      <c r="B10" s="126" t="s">
        <v>25</v>
      </c>
      <c r="C10" s="126" t="s">
        <v>26</v>
      </c>
      <c r="D10" s="126"/>
      <c r="E10" s="126"/>
      <c r="F10" s="126"/>
      <c r="G10" s="126"/>
      <c r="H10" s="126" t="s">
        <v>27</v>
      </c>
      <c r="I10" s="126" t="s">
        <v>28</v>
      </c>
      <c r="J10" s="126" t="s">
        <v>29</v>
      </c>
      <c r="K10" s="127" t="s">
        <v>30</v>
      </c>
    </row>
    <row r="11" spans="1:11" ht="24" customHeight="1" x14ac:dyDescent="0.2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31.5" customHeight="1" thickBot="1" x14ac:dyDescent="0.25">
      <c r="A12" s="92">
        <v>1</v>
      </c>
      <c r="B12" s="91" t="str">
        <f>'Necesidades Trimestrales'!B10</f>
        <v>2.5.8-1922.26</v>
      </c>
      <c r="C12" s="129" t="str">
        <f>'Necesidades Trimestrales'!E10</f>
        <v>NAILON; ANCHO: 4,5 M, ESPESOR: 200 Mn</v>
      </c>
      <c r="D12" s="129"/>
      <c r="E12" s="129"/>
      <c r="F12" s="129"/>
      <c r="G12" s="129"/>
      <c r="H12" s="92" t="s">
        <v>84</v>
      </c>
      <c r="I12" s="93" t="str">
        <f>'Necesidades Trimestrales'!F10</f>
        <v>UNIDADES</v>
      </c>
      <c r="J12" s="94">
        <f>'Necesidades Trimestrales'!H10</f>
        <v>11410</v>
      </c>
      <c r="K12" s="95">
        <f>'Necesidades Trimestrales'!G10</f>
        <v>200</v>
      </c>
    </row>
    <row r="13" spans="1:11" ht="36" customHeight="1" thickBot="1" x14ac:dyDescent="0.25">
      <c r="A13" s="105"/>
      <c r="B13" s="91"/>
      <c r="C13" s="129"/>
      <c r="D13" s="129"/>
      <c r="E13" s="129"/>
      <c r="F13" s="129"/>
      <c r="G13" s="129"/>
      <c r="H13" s="92"/>
      <c r="I13" s="93"/>
      <c r="J13" s="94"/>
      <c r="K13" s="95"/>
    </row>
    <row r="14" spans="1:11" ht="33.75" customHeight="1" thickBot="1" x14ac:dyDescent="0.25">
      <c r="A14" s="105"/>
      <c r="B14" s="91"/>
      <c r="C14" s="129"/>
      <c r="D14" s="129"/>
      <c r="E14" s="129"/>
      <c r="F14" s="129"/>
      <c r="G14" s="129"/>
      <c r="H14" s="92"/>
      <c r="I14" s="93"/>
      <c r="J14" s="94"/>
      <c r="K14" s="95"/>
    </row>
    <row r="15" spans="1:11" ht="20.25" customHeight="1" thickBot="1" x14ac:dyDescent="0.25">
      <c r="A15" s="105"/>
      <c r="B15" s="91"/>
      <c r="C15" s="129"/>
      <c r="D15" s="129"/>
      <c r="E15" s="129"/>
      <c r="F15" s="129"/>
      <c r="G15" s="129"/>
      <c r="H15" s="92"/>
      <c r="I15" s="93"/>
      <c r="J15" s="94"/>
      <c r="K15" s="95"/>
    </row>
    <row r="16" spans="1:11" ht="27.75" customHeight="1" thickBot="1" x14ac:dyDescent="0.25">
      <c r="A16" s="105"/>
      <c r="B16" s="91"/>
      <c r="C16" s="129"/>
      <c r="D16" s="129"/>
      <c r="E16" s="129"/>
      <c r="F16" s="129"/>
      <c r="G16" s="129"/>
      <c r="H16" s="92"/>
      <c r="I16" s="93"/>
      <c r="J16" s="94"/>
      <c r="K16" s="95"/>
    </row>
    <row r="17" spans="1:11" ht="26.25" customHeight="1" thickBot="1" x14ac:dyDescent="0.25">
      <c r="A17" s="121" t="s">
        <v>79</v>
      </c>
      <c r="B17" s="121"/>
      <c r="C17" s="121"/>
      <c r="D17" s="121"/>
      <c r="E17" s="121"/>
      <c r="F17" s="121"/>
      <c r="G17" s="121"/>
      <c r="H17" s="121"/>
      <c r="I17" s="121"/>
      <c r="J17" s="128">
        <f>+J12*K12+J13*K13+J14*K14</f>
        <v>2282000</v>
      </c>
      <c r="K17" s="128"/>
    </row>
    <row r="18" spans="1:11" x14ac:dyDescent="0.2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</row>
    <row r="19" spans="1:11" x14ac:dyDescent="0.2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25" right="0.25" top="0.75" bottom="0.75" header="0.3" footer="0.3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activeCell="Y19" sqref="Y19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0" t="s">
        <v>3</v>
      </c>
      <c r="B1" s="130"/>
      <c r="C1" s="130"/>
      <c r="D1" s="131">
        <f>'Necesidades Trimestrales'!C6</f>
        <v>2021</v>
      </c>
      <c r="E1" s="131"/>
      <c r="F1" s="4"/>
      <c r="G1" s="4"/>
      <c r="H1" s="5"/>
      <c r="I1" s="5"/>
      <c r="J1" s="5"/>
      <c r="K1" s="5"/>
      <c r="L1" s="5"/>
      <c r="M1" s="5"/>
      <c r="N1" s="5"/>
      <c r="P1" s="132" t="s">
        <v>31</v>
      </c>
      <c r="Q1" s="132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32"/>
      <c r="Q2" s="132"/>
    </row>
    <row r="4" spans="1:18" s="6" customFormat="1" ht="18" customHeight="1" thickBot="1" x14ac:dyDescent="0.25">
      <c r="A4" s="133" t="s">
        <v>32</v>
      </c>
      <c r="B4" s="133"/>
      <c r="C4" s="133"/>
      <c r="D4" s="133"/>
      <c r="E4" s="133"/>
      <c r="F4" s="133"/>
      <c r="G4" s="134" t="str">
        <f>' NotaPedido'!D3</f>
        <v>45- Ministerio de Desarrollo Social y Deporte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8" s="6" customFormat="1" ht="18" customHeight="1" thickBot="1" x14ac:dyDescent="0.25">
      <c r="A5" s="135" t="s">
        <v>55</v>
      </c>
      <c r="B5" s="136"/>
      <c r="C5" s="136"/>
      <c r="D5" s="136"/>
      <c r="E5" s="136"/>
      <c r="F5" s="137"/>
      <c r="G5" s="134" t="str">
        <f>' NotaPedido'!D4</f>
        <v>25- Direccion Provincial de Gestion Administrativa y RRHH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8" s="6" customFormat="1" ht="18" customHeight="1" thickBot="1" x14ac:dyDescent="0.25">
      <c r="A6" s="135" t="s">
        <v>33</v>
      </c>
      <c r="B6" s="136"/>
      <c r="C6" s="136"/>
      <c r="D6" s="136"/>
      <c r="E6" s="136"/>
      <c r="F6" s="137"/>
      <c r="G6" s="134" t="s">
        <v>80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8" s="6" customFormat="1" ht="18" customHeight="1" thickBot="1" x14ac:dyDescent="0.25">
      <c r="A7" s="135" t="s">
        <v>56</v>
      </c>
      <c r="B7" s="136"/>
      <c r="C7" s="136"/>
      <c r="D7" s="136"/>
      <c r="E7" s="136"/>
      <c r="F7" s="137"/>
      <c r="G7" s="134" t="s">
        <v>81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8" ht="18" customHeight="1" thickBot="1" x14ac:dyDescent="0.25">
      <c r="A8" s="138" t="s">
        <v>34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8" ht="18" customHeight="1" x14ac:dyDescent="0.2">
      <c r="A9" s="142" t="s">
        <v>35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7"/>
    </row>
    <row r="10" spans="1:18" ht="54.75" customHeight="1" x14ac:dyDescent="0.2">
      <c r="A10" s="14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151/2021,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8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5.75" customHeight="1" x14ac:dyDescent="0.2">
      <c r="A12" s="144" t="s">
        <v>36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8" ht="15.75" customHeight="1" x14ac:dyDescent="0.2">
      <c r="A13" s="145" t="s">
        <v>37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38</v>
      </c>
      <c r="P13" s="146"/>
      <c r="Q13" s="147" t="s">
        <v>39</v>
      </c>
    </row>
    <row r="14" spans="1:18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46"/>
      <c r="P14" s="146"/>
      <c r="Q14" s="147"/>
    </row>
    <row r="15" spans="1:18" ht="29.25" customHeight="1" x14ac:dyDescent="0.2">
      <c r="A15" s="88">
        <v>16</v>
      </c>
      <c r="B15" s="89"/>
      <c r="C15" s="89"/>
      <c r="D15" s="89">
        <v>2</v>
      </c>
      <c r="E15" s="89"/>
      <c r="F15" s="89">
        <v>4901</v>
      </c>
      <c r="G15" s="89">
        <v>1</v>
      </c>
      <c r="H15" s="89">
        <v>4</v>
      </c>
      <c r="I15" s="89" t="str">
        <f>LEFT('Necesidades Trimestrales'!D10,1)</f>
        <v>2</v>
      </c>
      <c r="J15" s="89">
        <v>5</v>
      </c>
      <c r="K15" s="89">
        <v>8</v>
      </c>
      <c r="L15" s="89"/>
      <c r="M15" s="90">
        <v>1</v>
      </c>
      <c r="N15" s="89">
        <v>1.1000000000000001</v>
      </c>
      <c r="O15" s="139" t="s">
        <v>82</v>
      </c>
      <c r="P15" s="140"/>
      <c r="Q15" s="17">
        <v>2282000</v>
      </c>
      <c r="R15" s="59"/>
    </row>
    <row r="16" spans="1:18" ht="17.25" customHeight="1" x14ac:dyDescent="0.2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19"/>
      <c r="O16" s="141"/>
      <c r="P16" s="141"/>
      <c r="Q16" s="22"/>
    </row>
    <row r="17" spans="1:18" ht="17.25" customHeight="1" x14ac:dyDescent="0.2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21"/>
      <c r="O17" s="141"/>
      <c r="P17" s="141"/>
      <c r="Q17" s="22"/>
    </row>
    <row r="18" spans="1:18" ht="17.25" customHeight="1" x14ac:dyDescent="0.2">
      <c r="A18" s="18"/>
      <c r="B18" s="19"/>
      <c r="C18" s="19"/>
      <c r="D18" s="19"/>
      <c r="E18" s="19"/>
      <c r="F18" s="21"/>
      <c r="G18" s="19"/>
      <c r="H18" s="19"/>
      <c r="I18" s="19"/>
      <c r="J18" s="19"/>
      <c r="K18" s="19"/>
      <c r="L18" s="19"/>
      <c r="M18" s="20"/>
      <c r="N18" s="21"/>
      <c r="O18" s="141"/>
      <c r="P18" s="141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41"/>
      <c r="P19" s="141"/>
      <c r="Q19" s="22"/>
    </row>
    <row r="20" spans="1:18" ht="17.25" customHeight="1" x14ac:dyDescent="0.2">
      <c r="A20" s="23"/>
      <c r="B20" s="24"/>
      <c r="C20" s="24"/>
      <c r="D20" s="24"/>
      <c r="E20" s="24"/>
      <c r="F20" s="25"/>
      <c r="G20" s="24"/>
      <c r="H20" s="24"/>
      <c r="I20" s="24"/>
      <c r="J20" s="24"/>
      <c r="K20" s="24"/>
      <c r="L20" s="24"/>
      <c r="M20" s="26"/>
      <c r="N20" s="27"/>
      <c r="O20" s="153"/>
      <c r="P20" s="153"/>
      <c r="Q20" s="22"/>
      <c r="R20" s="1"/>
    </row>
    <row r="21" spans="1:18" ht="17.25" customHeigh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0"/>
      <c r="N21" s="29"/>
      <c r="O21" s="154"/>
      <c r="P21" s="154"/>
      <c r="Q21" s="31"/>
    </row>
    <row r="22" spans="1:18" ht="20.25" customHeight="1" x14ac:dyDescent="0.2">
      <c r="A22" s="155" t="s">
        <v>85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32">
        <f>SUM(Q15:Q21)</f>
        <v>2282000</v>
      </c>
    </row>
    <row r="23" spans="1:18" ht="18" customHeight="1" thickBot="1" x14ac:dyDescent="0.25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1:18" ht="17.25" customHeight="1" thickBot="1" x14ac:dyDescent="0.25">
      <c r="A24" s="148" t="s">
        <v>53</v>
      </c>
      <c r="B24" s="149"/>
      <c r="C24" s="149"/>
      <c r="D24" s="149"/>
      <c r="E24" s="149"/>
      <c r="F24" s="150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</row>
    <row r="25" spans="1:18" ht="18" customHeight="1" thickBot="1" x14ac:dyDescent="0.25">
      <c r="A25" s="152" t="s">
        <v>78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  <row r="26" spans="1:18" x14ac:dyDescent="0.2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6"/>
  <sheetViews>
    <sheetView workbookViewId="0">
      <selection activeCell="C26" sqref="C26"/>
    </sheetView>
  </sheetViews>
  <sheetFormatPr baseColWidth="10" defaultRowHeight="12.75" x14ac:dyDescent="0.2"/>
  <cols>
    <col min="3" max="3" width="89.28515625" customWidth="1"/>
    <col min="4" max="4" width="15.5703125" customWidth="1"/>
    <col min="5" max="5" width="18.140625" customWidth="1"/>
  </cols>
  <sheetData>
    <row r="3" spans="1:5" ht="15.75" x14ac:dyDescent="0.25">
      <c r="A3" s="63" t="s">
        <v>62</v>
      </c>
      <c r="B3" s="63" t="s">
        <v>66</v>
      </c>
      <c r="C3" s="63" t="s">
        <v>63</v>
      </c>
      <c r="D3" s="63" t="s">
        <v>64</v>
      </c>
      <c r="E3" s="63" t="s">
        <v>65</v>
      </c>
    </row>
    <row r="4" spans="1:5" ht="51" x14ac:dyDescent="0.2">
      <c r="A4" s="64">
        <v>1</v>
      </c>
      <c r="B4" s="64">
        <v>70</v>
      </c>
      <c r="C4" s="62" t="s">
        <v>60</v>
      </c>
      <c r="D4" s="54"/>
      <c r="E4" s="54"/>
    </row>
    <row r="5" spans="1:5" x14ac:dyDescent="0.2">
      <c r="A5" s="64"/>
      <c r="B5" s="64"/>
      <c r="C5" s="54"/>
      <c r="D5" s="54"/>
      <c r="E5" s="54"/>
    </row>
    <row r="6" spans="1:5" ht="38.25" x14ac:dyDescent="0.2">
      <c r="A6" s="64">
        <v>2</v>
      </c>
      <c r="B6" s="64">
        <v>30</v>
      </c>
      <c r="C6" s="62" t="s">
        <v>61</v>
      </c>
      <c r="D6" s="54"/>
      <c r="E6" s="54"/>
    </row>
  </sheetData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Necesidades Trimestrales</vt:lpstr>
      <vt:lpstr> NotaPedido</vt:lpstr>
      <vt:lpstr>Autor Gastar</vt:lpstr>
      <vt:lpstr>Hoja1</vt:lpstr>
      <vt:lpstr>' NotaPedido'!Área_de_impresión</vt:lpstr>
      <vt:lpstr>'Autor Gastar'!Área_de_impresión</vt:lpstr>
      <vt:lpstr>Hoja1!Área_de_impresión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2021-02-04T13:58:09Z</cp:lastPrinted>
  <dcterms:created xsi:type="dcterms:W3CDTF">2020-07-17T23:44:49Z</dcterms:created>
  <dcterms:modified xsi:type="dcterms:W3CDTF">2021-08-17T12:35:10Z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