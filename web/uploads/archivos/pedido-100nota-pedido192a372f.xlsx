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77721-CAT-DPPR#MHP\"/>
    </mc:Choice>
  </mc:AlternateContent>
  <xr:revisionPtr revIDLastSave="0" documentId="8_{0EF3F246-3190-4F0D-89FB-D5E723894CB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INFORMATICA" sheetId="4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D1" i="3" l="1"/>
  <c r="A15" i="2" l="1"/>
  <c r="A16" i="3" s="1"/>
  <c r="K13" i="2"/>
  <c r="K14" i="2"/>
  <c r="K12" i="2"/>
  <c r="J14" i="2"/>
  <c r="J13" i="2"/>
  <c r="J12" i="2"/>
  <c r="C14" i="2"/>
  <c r="B14" i="2"/>
  <c r="I12" i="4"/>
  <c r="I10" i="4" l="1"/>
  <c r="I13" i="4" s="1"/>
  <c r="I11" i="4"/>
  <c r="Q15" i="3" l="1"/>
  <c r="J15" i="2"/>
  <c r="C13" i="2"/>
  <c r="C12" i="2"/>
  <c r="B13" i="2"/>
  <c r="B12" i="2"/>
  <c r="D10" i="4" l="1"/>
  <c r="D11" i="4"/>
  <c r="D4" i="2"/>
  <c r="G5" i="3" s="1"/>
  <c r="D3" i="2"/>
  <c r="A19" i="3" l="1"/>
  <c r="A10" i="3"/>
  <c r="G7" i="3" l="1"/>
  <c r="G4" i="3"/>
  <c r="Q16" i="3" l="1"/>
</calcChain>
</file>

<file path=xl/sharedStrings.xml><?xml version="1.0" encoding="utf-8"?>
<sst xmlns="http://schemas.openxmlformats.org/spreadsheetml/2006/main" count="100" uniqueCount="82">
  <si>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</si>
  <si>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</si>
  <si>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</si>
  <si>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</si>
  <si>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</si>
  <si>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</si>
  <si>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</si>
  <si>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</si>
  <si>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</si>
  <si>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</si>
  <si>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</si>
  <si>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</si>
  <si>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</si>
  <si>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</si>
  <si>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Mantenimiento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</si>
  <si>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</si>
  <si>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</si>
  <si>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</si>
  <si>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</si>
  <si>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</si>
  <si>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</si>
  <si>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</si>
  <si>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</si>
  <si>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</si>
  <si>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</si>
  <si>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</si>
  <si>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</si>
  <si>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</si>
  <si>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</si>
  <si>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</si>
  <si>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</si>
  <si>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</si>
  <si>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</si>
  <si>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</si>
  <si>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</si>
  <si>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</si>
  <si>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</si>
  <si>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</si>
  <si>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</si>
  <si>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</si>
  <si>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</si>
  <si>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</si>
  <si>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</si>
  <si>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</si>
  <si>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</si>
  <si>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</si>
  <si>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</si>
  <si>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</si>
  <si>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</si>
  <si>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</si>
  <si>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</si>
  <si>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</si>
  <si>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</si>
  <si>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</si>
  <si>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4.3.6-6169.28</t>
  </si>
  <si>
    <t>MONITORES; TIPO: ESTANDAR, CODIGO ETAP: MN-001, VERSION ETAP: INVIERNO 2005 (V 12.0)</t>
  </si>
  <si>
    <t>4.3.6-6160.4</t>
  </si>
  <si>
    <t>COMPUTADORAS; CODIGO ETAP: PC-004, TIPO: DE ESCRITORIO AVANZADA, VERSION ETAP: VERANO 2001( V 6.0 )</t>
  </si>
  <si>
    <t>Descripción técnica</t>
  </si>
  <si>
    <t>INFORMATICA</t>
  </si>
  <si>
    <t>UNIDAD</t>
  </si>
  <si>
    <t>Ministerio de Trabajo y Recursos Humanos</t>
  </si>
  <si>
    <t>Adquisición de Computadoras mas los implementos informaticos para este Ministerio.</t>
  </si>
  <si>
    <t xml:space="preserve"> Equipos para Computación</t>
  </si>
  <si>
    <t>12 - Ministerio de Trabajo</t>
  </si>
  <si>
    <t>22 - SECRETARIA DE ADMINISTRACION - MINISTERIO DE TRABAJO Y RECURSOS HUMANOS</t>
  </si>
  <si>
    <t>5 años</t>
  </si>
  <si>
    <t xml:space="preserve">Que Cumpla con lo Solicitado de Forma Integra. </t>
  </si>
  <si>
    <t xml:space="preserve">30 (treinta)  días </t>
  </si>
  <si>
    <r>
      <rPr>
        <b/>
        <i/>
        <u/>
        <sz val="10"/>
        <rFont val="Times New Roman"/>
        <family val="1"/>
      </rPr>
      <t>GARANTIA:</t>
    </r>
    <r>
      <rPr>
        <sz val="10"/>
        <rFont val="Times New Roman"/>
        <family val="1"/>
      </rPr>
      <t xml:space="preserve"> El oferente deberá Indicar expresamente los términos de la garantía en los bienes ofrecidos como así también en las condiciones dadas por sus fabricantes y alcances de las mismas, como se detalla a continuación:
1) Extender el periodo de garantía del equipamiento contra eventuales defectos de fabricación, debidamente comprobados por un periodo de 12 (DOCE) meses.
2) Dentro del periodo de garantía las piezas o componentes que se comprueben a juicio de nuestros técnicos que presenten defectos de fabricación o fallas en su funcionamiento, deberán ser reparadas o sustituidas en parte o en su totalidad por el oferente, dejando constancia de su reparación o reemplazo.
3) Los periféricos como Mouse, parlantes y teclados, tienen una garantía de 06 (SEIS) meses desde la fecha de recepción definitiva de los mismos.
4) Los productos deben presentarse con su embalaje original y con todos sus accesorios (caja, manual, cables, drivers, etc.), sin daños físicos ni quemaduras, los cuales anulan la garantía. La garantía debe contemplar específicamente el reemplazo de  microprocesador, placa madre o motherboard, módulos de memoria RAM, en caso de fallas propias de fabricación, debidamente comprobables, dentro de un plazo de 12 (meses) a partir del día de la recepción definitiva de los bienes.</t>
    </r>
  </si>
  <si>
    <t>4.3.6-6160.216</t>
  </si>
  <si>
    <t>COMPUTADORAS; TIPO: NOTEBOOK BASICA, CODIGO ETAP: PC-006, VERSION ETAP: 23.0</t>
  </si>
  <si>
    <r>
      <rPr>
        <b/>
        <u/>
        <sz val="10"/>
        <rFont val="Times New Roman"/>
        <family val="1"/>
      </rPr>
      <t>COSTO ESTIMADO TOTAL</t>
    </r>
    <r>
      <rPr>
        <sz val="10"/>
        <rFont val="Times New Roman"/>
        <family val="1"/>
      </rPr>
      <t>: CINCO MILLONES DOSCIENTOS SETENTA Y UN MIL OCHOCIENTOS CUERENTA Y TRES CON 00/100</t>
    </r>
  </si>
  <si>
    <t xml:space="preserve"> Pantalla LED - Resolución mínima: HD - relación de aspecto 16:9 - tamaño de panel 19 ¨ - similar a Monitor LG 19M38A led 19" negro 100V/240V</t>
  </si>
  <si>
    <t>Especificidades Ítem N° 02:</t>
  </si>
  <si>
    <r>
      <t xml:space="preserve"> Gabinete ATX - 16gb de RAM DDR4 - Ssd 480gb - CPU similar a Intel I5 10400 - sistema operativo Windows 10 o superior - con </t>
    </r>
    <r>
      <rPr>
        <b/>
        <sz val="10"/>
        <rFont val="Times New Roman"/>
        <family val="1"/>
      </rPr>
      <t>kit teclado y mouse</t>
    </r>
    <r>
      <rPr>
        <sz val="10"/>
        <rFont val="Times New Roman"/>
        <family val="1"/>
      </rPr>
      <t xml:space="preserve"> - similar a Pc CPU Intel Core I5 10400 16gb Ssd 480gb Wifi Hs25 </t>
    </r>
    <r>
      <rPr>
        <b/>
        <i/>
        <u/>
        <sz val="10"/>
        <rFont val="Times New Roman"/>
        <family val="1"/>
      </rPr>
      <t>que incluya:</t>
    </r>
    <r>
      <rPr>
        <sz val="10"/>
        <rFont val="Times New Roman"/>
        <family val="1"/>
      </rPr>
      <t xml:space="preserve"> 
</t>
    </r>
    <r>
      <rPr>
        <b/>
        <sz val="10"/>
        <rFont val="Times New Roman"/>
        <family val="1"/>
      </rPr>
      <t>Parlantes portátiles</t>
    </r>
    <r>
      <rPr>
        <sz val="10"/>
        <rFont val="Times New Roman"/>
        <family val="1"/>
      </rPr>
      <t xml:space="preserve"> conexión y alimentación USB - similar a Parlantes Pc Noga Ng-106. 
</t>
    </r>
    <r>
      <rPr>
        <b/>
        <sz val="10"/>
        <rFont val="Times New Roman"/>
        <family val="1"/>
      </rPr>
      <t>PLACAS DE RED</t>
    </r>
    <r>
      <rPr>
        <sz val="10"/>
        <rFont val="Times New Roman"/>
        <family val="1"/>
      </rPr>
      <t>; TIPO: PLACA WIFI EXTERNA P/USB, Características similar a Placa De Red USB Wifi Tp-link Adaptador Tl-wn722n 150mbps</t>
    </r>
  </si>
  <si>
    <t>Especificidades Ítem N° 03:</t>
  </si>
  <si>
    <t>Características similares a Notebook Hp Amd Ryzen 3 3250u 4gb 128gb Ssd Windows 10</t>
  </si>
  <si>
    <t>Calidad Mínima esperada</t>
  </si>
  <si>
    <t>Garantía</t>
  </si>
  <si>
    <t>Especificidades Ítem N° 01:</t>
  </si>
  <si>
    <t>30/2021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</si>
</sst>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[$$-2C0A]\ * #,##0.00_-;\-[$$-2C0A]\ * #,##0.00_-;_-[$$-2C0A]\ * &quot;-&quot;??_-;_-@_-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b/>
      <i/>
      <u/>
      <sz val="1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5" fillId="0" borderId="0" xfId="0" applyFont="1"/>
    <xf numFmtId="0" fontId="5" fillId="0" borderId="0" xfId="0" applyFont="1" applyBorder="1"/>
    <xf numFmtId="3" fontId="11" fillId="0" borderId="0" xfId="0" applyNumberFormat="1" applyFont="1" applyBorder="1" applyAlignment="1"/>
    <xf numFmtId="16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0" xfId="0" applyFont="1" applyBorder="1"/>
    <xf numFmtId="0" fontId="5" fillId="0" borderId="24" xfId="0" applyFont="1" applyBorder="1"/>
    <xf numFmtId="0" fontId="5" fillId="0" borderId="12" xfId="0" applyFont="1" applyBorder="1"/>
    <xf numFmtId="0" fontId="5" fillId="0" borderId="12" xfId="0" applyFont="1" applyBorder="1" applyAlignment="1">
      <alignment horizontal="left"/>
    </xf>
    <xf numFmtId="0" fontId="5" fillId="0" borderId="25" xfId="0" applyFont="1" applyBorder="1"/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67" fontId="9" fillId="0" borderId="34" xfId="0" applyNumberFormat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9" fillId="3" borderId="38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 wrapText="1"/>
    </xf>
    <xf numFmtId="164" fontId="9" fillId="3" borderId="38" xfId="0" applyNumberFormat="1" applyFont="1" applyFill="1" applyBorder="1" applyAlignment="1">
      <alignment horizontal="center" vertical="center" wrapText="1"/>
    </xf>
    <xf numFmtId="3" fontId="9" fillId="3" borderId="38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167" fontId="5" fillId="0" borderId="33" xfId="3" applyNumberFormat="1" applyFont="1" applyFill="1" applyBorder="1" applyAlignment="1" applyProtection="1">
      <alignment horizontal="center" vertical="center"/>
    </xf>
    <xf numFmtId="17" fontId="6" fillId="3" borderId="11" xfId="0" applyNumberFormat="1" applyFont="1" applyFill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3" fillId="0" borderId="0" xfId="0" applyFont="1" applyFill="1" applyAlignment="1">
      <alignment horizontal="left" wrapText="1" indent="1"/>
    </xf>
    <xf numFmtId="0" fontId="14" fillId="0" borderId="0" xfId="0" applyFont="1" applyFill="1" applyAlignment="1">
      <alignment horizontal="left" wrapText="1"/>
    </xf>
    <xf numFmtId="0" fontId="16" fillId="3" borderId="0" xfId="0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center" wrapText="1"/>
    </xf>
    <xf numFmtId="0" fontId="16" fillId="3" borderId="0" xfId="0" applyFont="1" applyFill="1" applyBorder="1"/>
    <xf numFmtId="0" fontId="16" fillId="3" borderId="6" xfId="0" applyFont="1" applyFill="1" applyBorder="1"/>
    <xf numFmtId="0" fontId="16" fillId="3" borderId="8" xfId="0" applyFont="1" applyFill="1" applyBorder="1"/>
    <xf numFmtId="0" fontId="16" fillId="3" borderId="9" xfId="0" applyFont="1" applyFill="1" applyBorder="1"/>
    <xf numFmtId="0" fontId="16" fillId="3" borderId="3" xfId="0" applyFont="1" applyFill="1" applyBorder="1"/>
    <xf numFmtId="0" fontId="16" fillId="3" borderId="4" xfId="0" applyFont="1" applyFill="1" applyBorder="1"/>
    <xf numFmtId="0" fontId="14" fillId="0" borderId="14" xfId="0" applyFont="1" applyBorder="1" applyAlignment="1">
      <alignment horizontal="center" vertical="center" wrapText="1"/>
    </xf>
    <xf numFmtId="0" fontId="0" fillId="0" borderId="0" xfId="0" applyBorder="1"/>
    <xf numFmtId="170" fontId="19" fillId="0" borderId="39" xfId="0" applyNumberFormat="1" applyFont="1" applyBorder="1" applyAlignment="1">
      <alignment horizontal="right" wrapText="1"/>
    </xf>
    <xf numFmtId="0" fontId="20" fillId="3" borderId="40" xfId="0" applyFont="1" applyFill="1" applyBorder="1" applyAlignment="1">
      <alignment horizontal="center" vertical="center"/>
    </xf>
    <xf numFmtId="0" fontId="15" fillId="3" borderId="41" xfId="0" applyFont="1" applyFill="1" applyBorder="1" applyAlignment="1">
      <alignment horizontal="left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left" vertical="center" wrapText="1"/>
    </xf>
    <xf numFmtId="170" fontId="19" fillId="0" borderId="41" xfId="0" applyNumberFormat="1" applyFont="1" applyBorder="1" applyAlignment="1">
      <alignment horizontal="center" wrapText="1"/>
    </xf>
    <xf numFmtId="0" fontId="21" fillId="0" borderId="5" xfId="0" applyFont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center" wrapText="1"/>
    </xf>
    <xf numFmtId="0" fontId="21" fillId="0" borderId="7" xfId="0" applyFont="1" applyBorder="1" applyAlignment="1">
      <alignment horizontal="left" indent="3"/>
    </xf>
    <xf numFmtId="0" fontId="16" fillId="4" borderId="8" xfId="0" applyFont="1" applyFill="1" applyBorder="1" applyAlignment="1">
      <alignment horizontal="center" wrapText="1"/>
    </xf>
    <xf numFmtId="0" fontId="16" fillId="4" borderId="9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5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20" fillId="3" borderId="43" xfId="0" applyFont="1" applyFill="1" applyBorder="1" applyAlignment="1">
      <alignment horizontal="center" vertical="center"/>
    </xf>
    <xf numFmtId="0" fontId="15" fillId="3" borderId="38" xfId="0" applyFont="1" applyFill="1" applyBorder="1" applyAlignment="1">
      <alignment horizontal="left" vertical="center" wrapText="1"/>
    </xf>
    <xf numFmtId="0" fontId="15" fillId="3" borderId="38" xfId="0" applyFont="1" applyFill="1" applyBorder="1" applyAlignment="1">
      <alignment horizontal="center" vertical="center" wrapText="1"/>
    </xf>
    <xf numFmtId="170" fontId="20" fillId="3" borderId="38" xfId="1" applyNumberFormat="1" applyFont="1" applyFill="1" applyBorder="1" applyAlignment="1" applyProtection="1">
      <alignment horizontal="right" vertical="center" wrapText="1"/>
    </xf>
    <xf numFmtId="170" fontId="20" fillId="3" borderId="44" xfId="1" applyNumberFormat="1" applyFont="1" applyFill="1" applyBorder="1" applyAlignment="1" applyProtection="1">
      <alignment horizontal="right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/>
    </xf>
    <xf numFmtId="170" fontId="19" fillId="0" borderId="41" xfId="0" applyNumberFormat="1" applyFont="1" applyBorder="1" applyAlignment="1">
      <alignment horizontal="right" wrapText="1"/>
    </xf>
    <xf numFmtId="170" fontId="16" fillId="0" borderId="14" xfId="0" applyNumberFormat="1" applyFont="1" applyBorder="1"/>
    <xf numFmtId="0" fontId="16" fillId="4" borderId="0" xfId="0" applyFont="1" applyFill="1" applyBorder="1" applyAlignment="1">
      <alignment horizontal="left" vertical="center" wrapText="1"/>
    </xf>
    <xf numFmtId="0" fontId="16" fillId="4" borderId="0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left"/>
    </xf>
    <xf numFmtId="0" fontId="16" fillId="4" borderId="6" xfId="0" applyFont="1" applyFill="1" applyBorder="1" applyAlignment="1">
      <alignment horizontal="left"/>
    </xf>
    <xf numFmtId="0" fontId="16" fillId="4" borderId="0" xfId="0" applyFont="1" applyFill="1" applyBorder="1" applyAlignment="1">
      <alignment horizontal="left" wrapText="1"/>
    </xf>
    <xf numFmtId="0" fontId="16" fillId="4" borderId="6" xfId="0" applyFont="1" applyFill="1" applyBorder="1" applyAlignment="1">
      <alignment horizontal="left" wrapText="1"/>
    </xf>
    <xf numFmtId="0" fontId="16" fillId="4" borderId="8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18" fillId="0" borderId="0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/>
    </xf>
    <xf numFmtId="0" fontId="16" fillId="0" borderId="50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168" fontId="9" fillId="3" borderId="42" xfId="0" applyNumberFormat="1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 wrapText="1" indent="1"/>
    </xf>
    <xf numFmtId="0" fontId="9" fillId="3" borderId="16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 indent="1"/>
    </xf>
    <xf numFmtId="0" fontId="7" fillId="3" borderId="15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35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34" xfId="0" applyFont="1" applyFill="1" applyBorder="1" applyAlignment="1">
      <alignment horizontal="left" vertical="center" wrapText="1" indent="1"/>
    </xf>
    <xf numFmtId="0" fontId="11" fillId="0" borderId="34" xfId="0" applyFont="1" applyBorder="1" applyAlignment="1">
      <alignment horizontal="left" vertical="center" wrapText="1"/>
    </xf>
    <xf numFmtId="0" fontId="5" fillId="0" borderId="21" xfId="0" applyFont="1" applyBorder="1"/>
    <xf numFmtId="0" fontId="10" fillId="0" borderId="22" xfId="0" applyFont="1" applyBorder="1"/>
    <xf numFmtId="0" fontId="10" fillId="0" borderId="23" xfId="0" applyFont="1" applyBorder="1" applyAlignment="1">
      <alignment horizontal="left" vertical="center" wrapText="1" indent="1"/>
    </xf>
    <xf numFmtId="0" fontId="9" fillId="0" borderId="2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wrapText="1" indent="1"/>
    </xf>
    <xf numFmtId="0" fontId="10" fillId="0" borderId="36" xfId="0" applyFont="1" applyBorder="1" applyAlignment="1">
      <alignment horizontal="left" wrapText="1" indent="1"/>
    </xf>
    <xf numFmtId="0" fontId="10" fillId="0" borderId="37" xfId="0" applyFont="1" applyBorder="1" applyAlignment="1">
      <alignment horizontal="left" wrapText="1" indent="1"/>
    </xf>
    <xf numFmtId="0" fontId="8" fillId="0" borderId="11" xfId="0" applyFont="1" applyBorder="1" applyAlignment="1">
      <alignment horizontal="left"/>
    </xf>
    <xf numFmtId="0" fontId="10" fillId="0" borderId="11" xfId="0" applyFont="1" applyBorder="1" applyAlignment="1">
      <alignment horizontal="left" indent="1"/>
    </xf>
    <xf numFmtId="0" fontId="5" fillId="0" borderId="19" xfId="0" applyFont="1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5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topLeftCell="A4" workbookViewId="0">
      <selection activeCell="I20" sqref="I20"/>
    </sheetView>
  </sheetViews>
  <sheetFormatPr baseColWidth="10" defaultRowHeight="12.75" x14ac:dyDescent="0.2"/>
  <cols>
    <col min="1" max="1" width="4.7109375" customWidth="1"/>
    <col min="2" max="2" width="15.85546875" style="63" customWidth="1"/>
    <col min="3" max="3" width="17.42578125" customWidth="1"/>
    <col min="4" max="4" width="7.7109375" customWidth="1"/>
    <col min="5" max="5" width="67.140625" customWidth="1"/>
    <col min="7" max="7" width="10.28515625" customWidth="1"/>
    <col min="9" max="9" width="13.5703125" customWidth="1"/>
  </cols>
  <sheetData>
    <row r="2" spans="1:9" ht="27" x14ac:dyDescent="0.35">
      <c r="A2" s="34"/>
      <c r="B2" s="99" t="s">
        <v>0</v>
      </c>
      <c r="C2" s="99"/>
      <c r="D2" s="99"/>
      <c r="E2" s="99"/>
      <c r="F2" s="99"/>
      <c r="G2" s="99"/>
      <c r="H2" s="99"/>
      <c r="I2" s="34"/>
    </row>
    <row r="3" spans="1:9" x14ac:dyDescent="0.2">
      <c r="A3" s="34"/>
      <c r="B3" s="62"/>
      <c r="C3" s="34"/>
      <c r="D3" s="34"/>
      <c r="E3" s="34"/>
      <c r="F3" s="34"/>
      <c r="G3" s="34"/>
      <c r="H3" s="34"/>
      <c r="I3" s="34"/>
    </row>
    <row r="4" spans="1:9" ht="15.6" customHeight="1" x14ac:dyDescent="0.25">
      <c r="A4" s="95" t="s">
        <v>1</v>
      </c>
      <c r="B4" s="95"/>
      <c r="C4" s="100" t="s">
        <v>64</v>
      </c>
      <c r="D4" s="100"/>
      <c r="E4" s="100"/>
      <c r="F4" s="35"/>
      <c r="G4" s="36"/>
      <c r="H4" s="35"/>
      <c r="I4" s="34"/>
    </row>
    <row r="5" spans="1:9" ht="15.75" x14ac:dyDescent="0.25">
      <c r="A5" s="95" t="s">
        <v>2</v>
      </c>
      <c r="B5" s="95"/>
      <c r="C5" s="100" t="s">
        <v>65</v>
      </c>
      <c r="D5" s="100"/>
      <c r="E5" s="100"/>
      <c r="F5" s="35"/>
      <c r="G5" s="36"/>
      <c r="H5" s="35"/>
      <c r="I5" s="34"/>
    </row>
    <row r="6" spans="1:9" ht="15.75" x14ac:dyDescent="0.25">
      <c r="A6" s="95" t="s">
        <v>3</v>
      </c>
      <c r="B6" s="95"/>
      <c r="C6" s="37">
        <v>2021</v>
      </c>
      <c r="D6" s="38"/>
      <c r="E6" s="38"/>
      <c r="F6" s="35"/>
      <c r="G6" s="36"/>
      <c r="H6" s="35"/>
      <c r="I6" s="34"/>
    </row>
    <row r="7" spans="1:9" ht="15.75" x14ac:dyDescent="0.25">
      <c r="A7" s="95" t="s">
        <v>4</v>
      </c>
      <c r="B7" s="95"/>
      <c r="C7" s="37">
        <v>2</v>
      </c>
      <c r="D7" s="38"/>
      <c r="E7" s="38"/>
      <c r="F7" s="35"/>
      <c r="G7" s="36"/>
      <c r="H7" s="35"/>
      <c r="I7" s="34"/>
    </row>
    <row r="8" spans="1:9" ht="13.5" thickBot="1" x14ac:dyDescent="0.25">
      <c r="A8" s="34"/>
      <c r="B8" s="35"/>
      <c r="C8" s="36"/>
      <c r="D8" s="35"/>
      <c r="E8" s="35"/>
      <c r="F8" s="35"/>
      <c r="G8" s="36"/>
      <c r="H8" s="35"/>
      <c r="I8" s="34"/>
    </row>
    <row r="9" spans="1:9" ht="39" thickBot="1" x14ac:dyDescent="0.25">
      <c r="A9" s="73" t="s">
        <v>5</v>
      </c>
      <c r="B9" s="74" t="s">
        <v>6</v>
      </c>
      <c r="C9" s="75" t="s">
        <v>7</v>
      </c>
      <c r="D9" s="47" t="s">
        <v>8</v>
      </c>
      <c r="E9" s="76" t="s">
        <v>9</v>
      </c>
      <c r="F9" s="77" t="s">
        <v>10</v>
      </c>
      <c r="G9" s="77" t="s">
        <v>11</v>
      </c>
      <c r="H9" s="77" t="s">
        <v>12</v>
      </c>
      <c r="I9" s="78" t="s">
        <v>13</v>
      </c>
    </row>
    <row r="10" spans="1:9" ht="24" x14ac:dyDescent="0.2">
      <c r="A10" s="68">
        <v>1</v>
      </c>
      <c r="B10" s="69" t="s">
        <v>54</v>
      </c>
      <c r="C10" s="69" t="s">
        <v>59</v>
      </c>
      <c r="D10" s="70" t="str">
        <f t="shared" ref="D10:D11" si="0">+LEFT(B10,5)</f>
        <v>4.3.6</v>
      </c>
      <c r="E10" s="69" t="s">
        <v>55</v>
      </c>
      <c r="F10" s="70" t="s">
        <v>60</v>
      </c>
      <c r="G10" s="70">
        <v>50</v>
      </c>
      <c r="H10" s="71">
        <v>13779</v>
      </c>
      <c r="I10" s="72">
        <f>+H10*G10</f>
        <v>688950</v>
      </c>
    </row>
    <row r="11" spans="1:9" ht="24" x14ac:dyDescent="0.2">
      <c r="A11" s="50">
        <v>2</v>
      </c>
      <c r="B11" s="53" t="s">
        <v>56</v>
      </c>
      <c r="C11" s="51" t="s">
        <v>59</v>
      </c>
      <c r="D11" s="52" t="str">
        <f t="shared" si="0"/>
        <v>4.3.6</v>
      </c>
      <c r="E11" s="53" t="s">
        <v>57</v>
      </c>
      <c r="F11" s="52" t="s">
        <v>60</v>
      </c>
      <c r="G11" s="52">
        <v>50</v>
      </c>
      <c r="H11" s="54">
        <v>81858</v>
      </c>
      <c r="I11" s="49">
        <f>+H11*G11</f>
        <v>4092900</v>
      </c>
    </row>
    <row r="12" spans="1:9" ht="24.75" thickBot="1" x14ac:dyDescent="0.25">
      <c r="A12" s="79">
        <v>3</v>
      </c>
      <c r="B12" s="53" t="s">
        <v>70</v>
      </c>
      <c r="C12" s="51" t="s">
        <v>59</v>
      </c>
      <c r="D12" s="52"/>
      <c r="E12" s="53" t="s">
        <v>71</v>
      </c>
      <c r="F12" s="52" t="s">
        <v>60</v>
      </c>
      <c r="G12" s="52">
        <v>7</v>
      </c>
      <c r="H12" s="54">
        <v>69999</v>
      </c>
      <c r="I12" s="80">
        <f>+H12*G12</f>
        <v>489993</v>
      </c>
    </row>
    <row r="13" spans="1:9" ht="13.5" thickBot="1" x14ac:dyDescent="0.25">
      <c r="A13" s="96" t="s">
        <v>72</v>
      </c>
      <c r="B13" s="97"/>
      <c r="C13" s="97"/>
      <c r="D13" s="97"/>
      <c r="E13" s="97"/>
      <c r="F13" s="97"/>
      <c r="G13" s="97"/>
      <c r="H13" s="98"/>
      <c r="I13" s="81">
        <f>SUM(I10:I12)</f>
        <v>5271843</v>
      </c>
    </row>
    <row r="14" spans="1:9" x14ac:dyDescent="0.2">
      <c r="C14" s="28"/>
      <c r="D14" s="28"/>
      <c r="E14" s="28"/>
    </row>
    <row r="15" spans="1:9" ht="13.5" thickBot="1" x14ac:dyDescent="0.25">
      <c r="C15" s="28"/>
      <c r="D15" s="28"/>
      <c r="E15" s="28"/>
    </row>
    <row r="16" spans="1:9" x14ac:dyDescent="0.2">
      <c r="B16" s="93" t="s">
        <v>80</v>
      </c>
      <c r="C16" s="94"/>
      <c r="D16" s="45"/>
      <c r="E16" s="46"/>
    </row>
    <row r="17" spans="2:5" x14ac:dyDescent="0.2">
      <c r="B17" s="64"/>
      <c r="C17" s="41"/>
      <c r="D17" s="41"/>
      <c r="E17" s="42"/>
    </row>
    <row r="18" spans="2:5" x14ac:dyDescent="0.2">
      <c r="B18" s="65" t="s">
        <v>58</v>
      </c>
      <c r="C18" s="41"/>
      <c r="D18" s="41"/>
      <c r="E18" s="42"/>
    </row>
    <row r="19" spans="2:5" ht="48.75" customHeight="1" thickBot="1" x14ac:dyDescent="0.25">
      <c r="B19" s="66"/>
      <c r="C19" s="85" t="s">
        <v>73</v>
      </c>
      <c r="D19" s="85"/>
      <c r="E19" s="86"/>
    </row>
    <row r="20" spans="2:5" s="48" customFormat="1" ht="27" customHeight="1" x14ac:dyDescent="0.2">
      <c r="B20" s="93" t="s">
        <v>74</v>
      </c>
      <c r="C20" s="94"/>
      <c r="D20" s="45"/>
      <c r="E20" s="46"/>
    </row>
    <row r="21" spans="2:5" x14ac:dyDescent="0.2">
      <c r="B21" s="64"/>
      <c r="C21" s="41"/>
      <c r="D21" s="41"/>
      <c r="E21" s="42"/>
    </row>
    <row r="22" spans="2:5" ht="15" customHeight="1" x14ac:dyDescent="0.2">
      <c r="B22" s="65" t="s">
        <v>58</v>
      </c>
      <c r="C22" s="41"/>
      <c r="D22" s="41"/>
      <c r="E22" s="42"/>
    </row>
    <row r="23" spans="2:5" ht="89.25" customHeight="1" thickBot="1" x14ac:dyDescent="0.25">
      <c r="B23" s="66"/>
      <c r="C23" s="91" t="s">
        <v>75</v>
      </c>
      <c r="D23" s="91"/>
      <c r="E23" s="92"/>
    </row>
    <row r="24" spans="2:5" x14ac:dyDescent="0.2">
      <c r="B24" s="61" t="s">
        <v>76</v>
      </c>
      <c r="C24" s="45"/>
      <c r="D24" s="45"/>
      <c r="E24" s="46"/>
    </row>
    <row r="25" spans="2:5" x14ac:dyDescent="0.2">
      <c r="B25" s="64"/>
      <c r="C25" s="41"/>
      <c r="D25" s="41"/>
      <c r="E25" s="42"/>
    </row>
    <row r="26" spans="2:5" ht="13.5" customHeight="1" x14ac:dyDescent="0.2">
      <c r="B26" s="55" t="s">
        <v>58</v>
      </c>
      <c r="C26" s="41"/>
      <c r="D26" s="41"/>
      <c r="E26" s="42"/>
    </row>
    <row r="27" spans="2:5" ht="23.25" customHeight="1" x14ac:dyDescent="0.2">
      <c r="B27" s="55"/>
      <c r="C27" s="89" t="s">
        <v>77</v>
      </c>
      <c r="D27" s="89"/>
      <c r="E27" s="90"/>
    </row>
    <row r="28" spans="2:5" ht="16.5" customHeight="1" thickBot="1" x14ac:dyDescent="0.25">
      <c r="B28" s="58"/>
      <c r="C28" s="59"/>
      <c r="D28" s="59"/>
      <c r="E28" s="60"/>
    </row>
    <row r="29" spans="2:5" ht="12.75" customHeight="1" x14ac:dyDescent="0.2">
      <c r="B29" s="55"/>
      <c r="C29" s="56"/>
      <c r="D29" s="56"/>
      <c r="E29" s="57"/>
    </row>
    <row r="30" spans="2:5" x14ac:dyDescent="0.2">
      <c r="B30" s="65" t="s">
        <v>78</v>
      </c>
      <c r="C30" s="41"/>
      <c r="D30" s="41"/>
      <c r="E30" s="42"/>
    </row>
    <row r="31" spans="2:5" ht="24" customHeight="1" x14ac:dyDescent="0.2">
      <c r="B31" s="64"/>
      <c r="C31" s="87" t="s">
        <v>67</v>
      </c>
      <c r="D31" s="87"/>
      <c r="E31" s="88"/>
    </row>
    <row r="32" spans="2:5" x14ac:dyDescent="0.2">
      <c r="B32" s="65" t="s">
        <v>14</v>
      </c>
      <c r="C32" s="39"/>
      <c r="D32" s="39"/>
      <c r="E32" s="40"/>
    </row>
    <row r="33" spans="2:5" x14ac:dyDescent="0.2">
      <c r="B33" s="64"/>
      <c r="C33" s="89" t="s">
        <v>68</v>
      </c>
      <c r="D33" s="89"/>
      <c r="E33" s="90"/>
    </row>
    <row r="34" spans="2:5" x14ac:dyDescent="0.2">
      <c r="B34" s="65" t="s">
        <v>79</v>
      </c>
      <c r="C34" s="41"/>
      <c r="D34" s="41"/>
      <c r="E34" s="42"/>
    </row>
    <row r="35" spans="2:5" ht="187.5" customHeight="1" x14ac:dyDescent="0.2">
      <c r="B35" s="65"/>
      <c r="C35" s="82" t="s">
        <v>69</v>
      </c>
      <c r="D35" s="83"/>
      <c r="E35" s="84"/>
    </row>
    <row r="36" spans="2:5" ht="13.5" thickBot="1" x14ac:dyDescent="0.25">
      <c r="B36" s="67"/>
      <c r="C36" s="43"/>
      <c r="D36" s="43"/>
      <c r="E36" s="44"/>
    </row>
    <row r="37" spans="2:5" x14ac:dyDescent="0.2">
      <c r="C37" s="28"/>
      <c r="D37" s="28"/>
      <c r="E37" s="28"/>
    </row>
  </sheetData>
  <mergeCells count="16">
    <mergeCell ref="B16:C16"/>
    <mergeCell ref="A7:B7"/>
    <mergeCell ref="A13:H13"/>
    <mergeCell ref="B2:H2"/>
    <mergeCell ref="A4:B4"/>
    <mergeCell ref="C4:E4"/>
    <mergeCell ref="A5:B5"/>
    <mergeCell ref="C5:E5"/>
    <mergeCell ref="A6:B6"/>
    <mergeCell ref="C35:E35"/>
    <mergeCell ref="C19:E19"/>
    <mergeCell ref="C31:E31"/>
    <mergeCell ref="C33:E33"/>
    <mergeCell ref="C23:E23"/>
    <mergeCell ref="C27:E27"/>
    <mergeCell ref="B20:C2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85" zoomScaleNormal="85" workbookViewId="0">
      <selection activeCell="C13" sqref="C13:G13"/>
    </sheetView>
  </sheetViews>
  <sheetFormatPr baseColWidth="10" defaultColWidth="9.140625" defaultRowHeight="13.5" x14ac:dyDescent="0.25"/>
  <cols>
    <col min="1" max="1" width="5.5703125" style="18" customWidth="1"/>
    <col min="2" max="2" width="15.140625" style="18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42" style="18" customWidth="1"/>
    <col min="8" max="8" width="9.28515625" style="18" customWidth="1"/>
    <col min="9" max="9" width="15.5703125" style="18" customWidth="1"/>
    <col min="10" max="10" width="14.7109375" style="18" customWidth="1"/>
    <col min="11" max="11" width="15.5703125" style="18" customWidth="1"/>
    <col min="12" max="14" width="5.85546875" style="18" customWidth="1"/>
    <col min="15" max="15" width="12.5703125" style="18" customWidth="1"/>
    <col min="16" max="1024" width="9.140625" style="18"/>
    <col min="1025" max="16384" width="9.140625" style="19"/>
  </cols>
  <sheetData>
    <row r="1" spans="1:11" ht="26.25" customHeight="1" x14ac:dyDescent="0.25">
      <c r="A1" s="108" t="s">
        <v>15</v>
      </c>
      <c r="B1" s="108"/>
      <c r="C1" s="108"/>
      <c r="D1" s="108"/>
      <c r="E1" s="108"/>
      <c r="F1" s="108"/>
      <c r="G1" s="108"/>
      <c r="H1" s="108"/>
      <c r="I1" s="108"/>
      <c r="J1" s="17" t="s">
        <v>16</v>
      </c>
      <c r="K1" s="33" t="s">
        <v>81</v>
      </c>
    </row>
    <row r="2" spans="1:11" ht="18.75" customHeight="1" thickBot="1" x14ac:dyDescent="0.3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</row>
    <row r="3" spans="1:11" ht="18.75" customHeight="1" thickBot="1" x14ac:dyDescent="0.3">
      <c r="A3" s="109" t="s">
        <v>49</v>
      </c>
      <c r="B3" s="109"/>
      <c r="C3" s="109"/>
      <c r="D3" s="110" t="str">
        <f>+INFORMATICA!C4</f>
        <v>12 - Ministerio de Trabajo</v>
      </c>
      <c r="E3" s="110"/>
      <c r="F3" s="110"/>
      <c r="G3" s="110"/>
      <c r="H3" s="110"/>
      <c r="I3" s="110"/>
      <c r="J3" s="110"/>
      <c r="K3" s="110"/>
    </row>
    <row r="4" spans="1:11" ht="18.75" customHeight="1" thickBot="1" x14ac:dyDescent="0.3">
      <c r="A4" s="111" t="s">
        <v>50</v>
      </c>
      <c r="B4" s="111"/>
      <c r="C4" s="111"/>
      <c r="D4" s="110" t="str">
        <f>+INFORMATICA!C5</f>
        <v>22 - SECRETARIA DE ADMINISTRACION - MINISTERIO DE TRABAJO Y RECURSOS HUMANOS</v>
      </c>
      <c r="E4" s="110"/>
      <c r="F4" s="110"/>
      <c r="G4" s="110"/>
      <c r="H4" s="110"/>
      <c r="I4" s="110"/>
      <c r="J4" s="110"/>
      <c r="K4" s="110"/>
    </row>
    <row r="5" spans="1:11" ht="18.75" customHeight="1" thickBot="1" x14ac:dyDescent="0.3">
      <c r="A5" s="111" t="s">
        <v>29</v>
      </c>
      <c r="B5" s="111"/>
      <c r="C5" s="111"/>
      <c r="D5" s="110" t="s">
        <v>61</v>
      </c>
      <c r="E5" s="110"/>
      <c r="F5" s="110"/>
      <c r="G5" s="110"/>
      <c r="H5" s="110"/>
      <c r="I5" s="110"/>
      <c r="J5" s="110"/>
      <c r="K5" s="110"/>
    </row>
    <row r="6" spans="1:11" ht="16.5" customHeight="1" thickBot="1" x14ac:dyDescent="0.3">
      <c r="A6" s="109" t="s">
        <v>51</v>
      </c>
      <c r="B6" s="109"/>
      <c r="C6" s="109"/>
      <c r="D6" s="110" t="s">
        <v>61</v>
      </c>
      <c r="E6" s="110"/>
      <c r="F6" s="110"/>
      <c r="G6" s="110"/>
      <c r="H6" s="110"/>
      <c r="I6" s="110"/>
      <c r="J6" s="110"/>
      <c r="K6" s="110"/>
    </row>
    <row r="7" spans="1:11" ht="16.5" customHeight="1" x14ac:dyDescent="0.25">
      <c r="A7" s="111" t="s">
        <v>17</v>
      </c>
      <c r="B7" s="111"/>
      <c r="C7" s="111"/>
      <c r="D7" s="110" t="s">
        <v>66</v>
      </c>
      <c r="E7" s="110"/>
      <c r="F7" s="110"/>
      <c r="G7" s="110"/>
      <c r="H7" s="110"/>
      <c r="I7" s="110"/>
      <c r="J7" s="110"/>
      <c r="K7" s="110"/>
    </row>
    <row r="8" spans="1:11" ht="16.5" customHeight="1" x14ac:dyDescent="0.25">
      <c r="A8" s="105" t="s">
        <v>18</v>
      </c>
      <c r="B8" s="105"/>
      <c r="C8" s="105"/>
      <c r="D8" s="106" t="s">
        <v>62</v>
      </c>
      <c r="E8" s="106"/>
      <c r="F8" s="106"/>
      <c r="G8" s="106"/>
      <c r="H8" s="106"/>
      <c r="I8" s="106"/>
      <c r="J8" s="106"/>
      <c r="K8" s="106"/>
    </row>
    <row r="9" spans="1:11" ht="14.25" thickBot="1" x14ac:dyDescent="0.3">
      <c r="A9" s="22"/>
      <c r="B9" s="22"/>
      <c r="C9" s="22"/>
      <c r="D9" s="23"/>
      <c r="E9" s="23"/>
      <c r="F9" s="23"/>
      <c r="G9" s="23"/>
      <c r="H9" s="23"/>
      <c r="I9" s="23"/>
      <c r="J9" s="23"/>
      <c r="K9" s="23"/>
    </row>
    <row r="10" spans="1:11" ht="18.75" customHeight="1" thickBot="1" x14ac:dyDescent="0.3">
      <c r="A10" s="107" t="s">
        <v>19</v>
      </c>
      <c r="B10" s="103" t="s">
        <v>20</v>
      </c>
      <c r="C10" s="103" t="s">
        <v>21</v>
      </c>
      <c r="D10" s="103"/>
      <c r="E10" s="103"/>
      <c r="F10" s="103"/>
      <c r="G10" s="103"/>
      <c r="H10" s="103" t="s">
        <v>22</v>
      </c>
      <c r="I10" s="103" t="s">
        <v>23</v>
      </c>
      <c r="J10" s="103" t="s">
        <v>24</v>
      </c>
      <c r="K10" s="112" t="s">
        <v>25</v>
      </c>
    </row>
    <row r="11" spans="1:11" ht="24" customHeight="1" thickBot="1" x14ac:dyDescent="0.3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12"/>
    </row>
    <row r="12" spans="1:11" ht="29.25" customHeight="1" x14ac:dyDescent="0.25">
      <c r="A12" s="24">
        <v>1</v>
      </c>
      <c r="B12" s="25" t="str">
        <f>+INFORMATICA!B10</f>
        <v>4.3.6-6169.28</v>
      </c>
      <c r="C12" s="104" t="str">
        <f>+INFORMATICA!E10</f>
        <v>MONITORES; TIPO: ESTANDAR, CODIGO ETAP: MN-001, VERSION ETAP: INVIERNO 2005 (V 12.0)</v>
      </c>
      <c r="D12" s="104"/>
      <c r="E12" s="104"/>
      <c r="F12" s="104"/>
      <c r="G12" s="104"/>
      <c r="H12" s="25" t="s">
        <v>26</v>
      </c>
      <c r="I12" s="25" t="s">
        <v>60</v>
      </c>
      <c r="J12" s="26">
        <f>+INFORMATICA!H10</f>
        <v>13779</v>
      </c>
      <c r="K12" s="27">
        <f>+INFORMATICA!G10</f>
        <v>50</v>
      </c>
    </row>
    <row r="13" spans="1:11" ht="43.5" customHeight="1" x14ac:dyDescent="0.25">
      <c r="A13" s="24">
        <v>2</v>
      </c>
      <c r="B13" s="25" t="str">
        <f>+INFORMATICA!B11</f>
        <v>4.3.6-6160.4</v>
      </c>
      <c r="C13" s="104" t="str">
        <f>+INFORMATICA!E11</f>
        <v>COMPUTADORAS; CODIGO ETAP: PC-004, TIPO: DE ESCRITORIO AVANZADA, VERSION ETAP: VERANO 2001( V 6.0 )</v>
      </c>
      <c r="D13" s="104"/>
      <c r="E13" s="104"/>
      <c r="F13" s="104"/>
      <c r="G13" s="104"/>
      <c r="H13" s="25" t="s">
        <v>26</v>
      </c>
      <c r="I13" s="25" t="s">
        <v>60</v>
      </c>
      <c r="J13" s="26">
        <f>+INFORMATICA!H11</f>
        <v>81858</v>
      </c>
      <c r="K13" s="27">
        <f>+INFORMATICA!G11</f>
        <v>50</v>
      </c>
    </row>
    <row r="14" spans="1:11" ht="29.25" customHeight="1" x14ac:dyDescent="0.25">
      <c r="A14" s="24">
        <v>3</v>
      </c>
      <c r="B14" s="25" t="str">
        <f>+INFORMATICA!B12</f>
        <v>4.3.6-6160.216</v>
      </c>
      <c r="C14" s="104" t="str">
        <f>+INFORMATICA!E12</f>
        <v>COMPUTADORAS; TIPO: NOTEBOOK BASICA, CODIGO ETAP: PC-006, VERSION ETAP: 23.0</v>
      </c>
      <c r="D14" s="104"/>
      <c r="E14" s="104"/>
      <c r="F14" s="104"/>
      <c r="G14" s="104"/>
      <c r="H14" s="25" t="s">
        <v>26</v>
      </c>
      <c r="I14" s="25" t="s">
        <v>60</v>
      </c>
      <c r="J14" s="26">
        <f>+INFORMATICA!H12</f>
        <v>69999</v>
      </c>
      <c r="K14" s="27">
        <f>+INFORMATICA!G12</f>
        <v>7</v>
      </c>
    </row>
    <row r="15" spans="1:11" ht="20.25" customHeight="1" thickBot="1" x14ac:dyDescent="0.3">
      <c r="A15" s="102" t="str">
        <f>+INFORMATICA!A13</f>
        <v>COSTO ESTIMADO TOTAL: CINCO MILLONES DOSCIENTOS SETENTA Y UN MIL OCHOCIENTOS CUERENTA Y TRES CON 00/100</v>
      </c>
      <c r="B15" s="102"/>
      <c r="C15" s="102"/>
      <c r="D15" s="102"/>
      <c r="E15" s="102"/>
      <c r="F15" s="102"/>
      <c r="G15" s="102"/>
      <c r="H15" s="102"/>
      <c r="I15" s="102"/>
      <c r="J15" s="101">
        <f>+INFORMATICA!I13</f>
        <v>5271843</v>
      </c>
      <c r="K15" s="101"/>
    </row>
  </sheetData>
  <mergeCells count="25"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  <mergeCell ref="J15:K15"/>
    <mergeCell ref="A15:I15"/>
    <mergeCell ref="B10:B11"/>
    <mergeCell ref="C10:G11"/>
    <mergeCell ref="H10:H11"/>
    <mergeCell ref="I10:I11"/>
    <mergeCell ref="J10:J11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13" zoomScale="115" zoomScaleNormal="115" workbookViewId="0">
      <selection activeCell="A9" sqref="A9:N9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7" width="14.85546875" style="1" customWidth="1"/>
    <col min="18" max="18" width="16.85546875" style="1" customWidth="1"/>
    <col min="19" max="16384" width="11" style="1"/>
  </cols>
  <sheetData>
    <row r="1" spans="1:17" ht="15.75" customHeight="1" x14ac:dyDescent="0.25">
      <c r="A1" s="135" t="s">
        <v>3</v>
      </c>
      <c r="B1" s="135"/>
      <c r="C1" s="135"/>
      <c r="D1" s="136">
        <f>+INFORMATICA!C6</f>
        <v>2021</v>
      </c>
      <c r="E1" s="136"/>
      <c r="F1" s="3"/>
      <c r="G1" s="3"/>
      <c r="H1" s="4"/>
      <c r="I1" s="4"/>
      <c r="J1" s="4"/>
      <c r="K1" s="4"/>
      <c r="L1" s="4"/>
      <c r="M1" s="4"/>
      <c r="N1" s="4"/>
      <c r="P1" s="137" t="s">
        <v>27</v>
      </c>
      <c r="Q1" s="137"/>
    </row>
    <row r="2" spans="1:17" ht="15.75" customHeight="1" x14ac:dyDescent="0.25">
      <c r="H2" s="4"/>
      <c r="I2" s="4"/>
      <c r="J2" s="4"/>
      <c r="K2" s="4"/>
      <c r="L2" s="4"/>
      <c r="M2" s="4"/>
      <c r="N2" s="4"/>
      <c r="P2" s="137"/>
      <c r="Q2" s="137"/>
    </row>
    <row r="4" spans="1:17" ht="18" customHeight="1" thickBot="1" x14ac:dyDescent="0.35">
      <c r="A4" s="138" t="s">
        <v>28</v>
      </c>
      <c r="B4" s="138"/>
      <c r="C4" s="138"/>
      <c r="D4" s="138"/>
      <c r="E4" s="138"/>
      <c r="F4" s="138"/>
      <c r="G4" s="134" t="str">
        <f>' NotaPedido'!D3</f>
        <v>12 - Ministerio de Trabajo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7" ht="33" customHeight="1" thickBot="1" x14ac:dyDescent="0.35">
      <c r="A5" s="127" t="s">
        <v>50</v>
      </c>
      <c r="B5" s="128"/>
      <c r="C5" s="128"/>
      <c r="D5" s="128"/>
      <c r="E5" s="128"/>
      <c r="F5" s="129"/>
      <c r="G5" s="130" t="str">
        <f>' NotaPedido'!D4</f>
        <v>22 - SECRETARIA DE ADMINISTRACION - MINISTERIO DE TRABAJO Y RECURSOS HUMANOS</v>
      </c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8" customHeight="1" thickBot="1" x14ac:dyDescent="0.35">
      <c r="A6" s="127" t="s">
        <v>29</v>
      </c>
      <c r="B6" s="128"/>
      <c r="C6" s="128"/>
      <c r="D6" s="128"/>
      <c r="E6" s="128"/>
      <c r="F6" s="129"/>
      <c r="G6" s="134" t="s">
        <v>61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7" ht="18" customHeight="1" thickBot="1" x14ac:dyDescent="0.35">
      <c r="A7" s="127" t="s">
        <v>51</v>
      </c>
      <c r="B7" s="128"/>
      <c r="C7" s="128"/>
      <c r="D7" s="128"/>
      <c r="E7" s="128"/>
      <c r="F7" s="129"/>
      <c r="G7" s="134" t="str">
        <f>' NotaPedido'!D6</f>
        <v>Ministerio de Trabajo y Recursos Humanos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7" ht="18" customHeight="1" thickBot="1" x14ac:dyDescent="0.3">
      <c r="A8" s="133" t="s">
        <v>52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ht="18" customHeight="1" x14ac:dyDescent="0.3">
      <c r="A9" s="121" t="s">
        <v>30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2"/>
      <c r="P9" s="2"/>
      <c r="Q9" s="6"/>
    </row>
    <row r="10" spans="1:17" ht="65.25" customHeight="1" x14ac:dyDescent="0.25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30/2021,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123" t="s">
        <v>31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5">
      <c r="A13" s="124" t="s">
        <v>32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33</v>
      </c>
      <c r="P13" s="125"/>
      <c r="Q13" s="126" t="s">
        <v>34</v>
      </c>
    </row>
    <row r="14" spans="1:17" ht="15.75" customHeight="1" x14ac:dyDescent="0.25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25"/>
      <c r="P14" s="125"/>
      <c r="Q14" s="126"/>
    </row>
    <row r="15" spans="1:17" ht="17.25" customHeight="1" x14ac:dyDescent="0.25">
      <c r="A15" s="29">
        <v>1</v>
      </c>
      <c r="B15" s="30">
        <v>0</v>
      </c>
      <c r="C15" s="30">
        <v>0</v>
      </c>
      <c r="D15" s="30">
        <v>1</v>
      </c>
      <c r="E15" s="30">
        <v>0</v>
      </c>
      <c r="F15" s="30">
        <v>4901</v>
      </c>
      <c r="G15" s="30">
        <v>3</v>
      </c>
      <c r="H15" s="30">
        <v>6</v>
      </c>
      <c r="I15" s="30">
        <v>4</v>
      </c>
      <c r="J15" s="30">
        <v>3</v>
      </c>
      <c r="K15" s="30">
        <v>6</v>
      </c>
      <c r="L15" s="30">
        <v>0</v>
      </c>
      <c r="M15" s="31">
        <v>1</v>
      </c>
      <c r="N15" s="30" t="s">
        <v>53</v>
      </c>
      <c r="O15" s="113" t="s">
        <v>63</v>
      </c>
      <c r="P15" s="113"/>
      <c r="Q15" s="32">
        <f>+INFORMATICA!I13</f>
        <v>5271843</v>
      </c>
    </row>
    <row r="16" spans="1:17" ht="28.5" customHeight="1" thickBot="1" x14ac:dyDescent="0.3">
      <c r="A16" s="119" t="str">
        <f>+' NotaPedido'!A15:I15</f>
        <v>COSTO ESTIMADO TOTAL: CINCO MILLONES DOSCIENTOS SETENTA Y UN MIL OCHOCIENTOS CUERENTA Y TRES CON 00/100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6">
        <f>SUM(Q15:Q15)</f>
        <v>5271843</v>
      </c>
    </row>
    <row r="17" spans="1:17" ht="18" customHeight="1" thickBot="1" x14ac:dyDescent="0.3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</row>
    <row r="18" spans="1:17" ht="17.25" customHeight="1" thickBot="1" x14ac:dyDescent="0.3">
      <c r="A18" s="114" t="s">
        <v>48</v>
      </c>
      <c r="B18" s="115"/>
      <c r="C18" s="115"/>
      <c r="D18" s="115"/>
      <c r="E18" s="115"/>
      <c r="F18" s="116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</row>
    <row r="19" spans="1:17" ht="18" customHeight="1" thickBot="1" x14ac:dyDescent="0.3">
      <c r="A19" s="118" t="str">
        <f>' NotaPedido'!D8</f>
        <v>Adquisición de Computadoras mas los implementos informaticos para este Ministerio.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</row>
    <row r="20" spans="1:17" ht="15" customHeight="1" x14ac:dyDescent="0.25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INFORMATICA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dc:description/>
  <cp:lastModifiedBy>COMPRAS</cp:lastModifiedBy>
  <cp:revision>2</cp:revision>
  <cp:lastPrinted>2020-11-24T14:25:44Z</cp:lastPrinted>
  <dcterms:created xsi:type="dcterms:W3CDTF">2020-07-17T23:44:49Z</dcterms:created>
  <dcterms:modified xsi:type="dcterms:W3CDTF">2021-08-11T13:43:40Z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