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60" windowWidth="28515" windowHeight="12090"/>
  </bookViews>
  <sheets>
    <sheet name="COMBUSTIBLE" sheetId="1" r:id="rId1"/>
    <sheet name="Autor Gastar" sheetId="3" r:id="rId2"/>
    <sheet name="PARQUE AUTOMOTOR" sheetId="2" r:id="rId3"/>
  </sheets>
  <externalReferences>
    <externalReference r:id="rId4"/>
    <externalReference r:id="rId5"/>
    <externalReference r:id="rId6"/>
  </externalReferences>
  <definedNames>
    <definedName name="_xlcn.WorksheetConnection_RelevamientodeHardMinisteriodeTrabajoyRRHH20base.xlsxTabla11" hidden="1">[1]!Tabla1[#Data]</definedName>
    <definedName name="_xlnm.Print_Area" localSheetId="1">'Autor Gastar'!$A$1:$Q$27</definedName>
    <definedName name="ORGANIGRAMA" localSheetId="2">#REF!</definedName>
    <definedName name="ORGANIGRAMA">#REF!</definedName>
    <definedName name="toners" localSheetId="2">#REF!</definedName>
    <definedName name="toners">#REF!</definedName>
  </definedNames>
  <calcPr calcId="145621"/>
</workbook>
</file>

<file path=xl/calcChain.xml><?xml version="1.0" encoding="utf-8"?>
<calcChain xmlns="http://schemas.openxmlformats.org/spreadsheetml/2006/main">
  <c r="G7" i="3" l="1"/>
  <c r="Q23" i="3" l="1"/>
  <c r="A26" i="3" l="1"/>
  <c r="I11" i="1" l="1"/>
  <c r="I10" i="1"/>
  <c r="C5" i="1"/>
  <c r="C4" i="1"/>
  <c r="I12" i="1" l="1"/>
</calcChain>
</file>

<file path=xl/sharedStrings.xml><?xml version="1.0" encoding="utf-8"?>
<sst xmlns="http://schemas.openxmlformats.org/spreadsheetml/2006/main" count="220" uniqueCount="157">
  <si>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</si>
  <si>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</si>
  <si>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</si>
  <si>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</si>
  <si>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</si>
  <si>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</si>
  <si>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</si>
  <si>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</si>
  <si>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</si>
  <si>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</si>
  <si>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</si>
  <si>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</si>
  <si>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</si>
  <si>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</si>
  <si>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2.5.6-797.39</t>
  </si>
  <si>
    <t>COMBUSTIBLES Y LUBRICANTES</t>
  </si>
  <si>
    <t>2.5.6</t>
  </si>
  <si>
    <t>NAFTA SUPER; TIPO: SUPER, OCTANO: 95, PRESENTACION: POR LITRO, DESTINO: DPTO. S.F.V. DE CATAMARCA</t>
  </si>
  <si>
    <t xml:space="preserve">LITROS </t>
  </si>
  <si>
    <t>2.5.6-793.31</t>
  </si>
  <si>
    <t>GAS OIL; PRESENTACION: POR LITRO, USO: MOTORES DIESEL, COMERCIALIZACION: GRADO 3,  DESTINO: DPTO. S.F.V. DE CATAMARCA</t>
  </si>
  <si>
    <t>Plazos y lugares de entrega</t>
  </si>
  <si>
    <t>Calidad Minima esperada</t>
  </si>
  <si>
    <r>
      <t xml:space="preserve">Que Cumpla con lo Solicitado de Forma Integra. </t>
    </r>
    <r>
      <rPr>
        <b/>
        <u/>
        <sz val="10"/>
        <rFont val="Times New Roman"/>
        <family val="1"/>
      </rPr>
      <t/>
    </r>
  </si>
  <si>
    <t>Mantenimiento</t>
  </si>
  <si>
    <t>30 (treinta) días</t>
  </si>
  <si>
    <t>Garantia</t>
  </si>
  <si>
    <r>
      <rPr>
        <b/>
        <sz val="11"/>
        <color theme="1"/>
        <rFont val="Calibri"/>
        <family val="2"/>
        <scheme val="minor"/>
      </rPr>
      <t xml:space="preserve">PARQUE AUTOMOTOR - MINISTERIO DE TRABAJO Y RECURSOS HUMANOS </t>
    </r>
    <r>
      <rPr>
        <sz val="10"/>
        <rFont val="Arial"/>
        <family val="2"/>
      </rPr>
      <t xml:space="preserve">
</t>
    </r>
    <r>
      <rPr>
        <sz val="10"/>
        <rFont val="Arial"/>
        <family val="2"/>
      </rPr>
      <t xml:space="preserve">
</t>
    </r>
  </si>
  <si>
    <t>ITEMNº</t>
  </si>
  <si>
    <t>VEHÍCULO</t>
  </si>
  <si>
    <t xml:space="preserve">DOMINIO </t>
  </si>
  <si>
    <t>MARCA</t>
  </si>
  <si>
    <t>MOTOR</t>
  </si>
  <si>
    <t>CHASIS</t>
  </si>
  <si>
    <t xml:space="preserve">G N C </t>
  </si>
  <si>
    <t>MODELO</t>
  </si>
  <si>
    <t xml:space="preserve">CAMIONETA </t>
  </si>
  <si>
    <t>AD770MB</t>
  </si>
  <si>
    <t>TOYOTA HILUX 2.4D  - 4x4</t>
  </si>
  <si>
    <t>2GD-4476742</t>
  </si>
  <si>
    <t>8AJDB8CD1K1400864</t>
  </si>
  <si>
    <t>NO</t>
  </si>
  <si>
    <t>AE215IO</t>
  </si>
  <si>
    <t>TOYOTA HILUX 2.4D  - 4x2</t>
  </si>
  <si>
    <t>2GB-0700815</t>
  </si>
  <si>
    <t>BAJCB3DD0L3900131</t>
  </si>
  <si>
    <t>NIK-381</t>
  </si>
  <si>
    <t>TOYOTA HILUX 3.0 DTI  - 4x2</t>
  </si>
  <si>
    <t>1KD-A302624</t>
  </si>
  <si>
    <t>8AJEZ32G7E1014114</t>
  </si>
  <si>
    <t>MBW-894</t>
  </si>
  <si>
    <t>CHEVROLET S10 2.8 TDI 4x4</t>
  </si>
  <si>
    <t>VLA007432</t>
  </si>
  <si>
    <t>9G148DH0CC402973</t>
  </si>
  <si>
    <t>NIK-372</t>
  </si>
  <si>
    <t>1KD-A276503</t>
  </si>
  <si>
    <t>8AJEB32G9E1013932</t>
  </si>
  <si>
    <t>IIL-806</t>
  </si>
  <si>
    <t xml:space="preserve">CINTROEN BERLINGO 1.9 </t>
  </si>
  <si>
    <t>10DXBE0058968</t>
  </si>
  <si>
    <t>8BCMFWJZFAG502519</t>
  </si>
  <si>
    <t>FEG-624</t>
  </si>
  <si>
    <t>CHEVROLET S10 2.8 TDI 4x2</t>
  </si>
  <si>
    <t>M1T231241</t>
  </si>
  <si>
    <t>9BG138AC05C439524</t>
  </si>
  <si>
    <t>JIY-081</t>
  </si>
  <si>
    <t>M1A373734</t>
  </si>
  <si>
    <t>9BG138AJOBC417207</t>
  </si>
  <si>
    <t>LXO-037</t>
  </si>
  <si>
    <t>FORD RANGER 2.2L 4x4</t>
  </si>
  <si>
    <t>QW2PCJO53112</t>
  </si>
  <si>
    <t>8AFAR23J8CJ053112</t>
  </si>
  <si>
    <t>OBO-158</t>
  </si>
  <si>
    <t>PEUGEOT PARTNER 1.6 HDI</t>
  </si>
  <si>
    <t>10JBED0037046</t>
  </si>
  <si>
    <t>8ADEJ9HCF650B343</t>
  </si>
  <si>
    <t>OFJ-200</t>
  </si>
  <si>
    <t>10JBED0036144</t>
  </si>
  <si>
    <t>8AD6J9HJCF504939</t>
  </si>
  <si>
    <t>FEC-331</t>
  </si>
  <si>
    <t>CHEVROLET BLAZER 2,8 DLX T</t>
  </si>
  <si>
    <t>M1T229703</t>
  </si>
  <si>
    <t>1BG116AC05C38143</t>
  </si>
  <si>
    <t>AUTOMOVIL</t>
  </si>
  <si>
    <t>AB-498-RA</t>
  </si>
  <si>
    <t>TOYOTA ETIOS X 1.5 6M/T</t>
  </si>
  <si>
    <t>2NR4114042</t>
  </si>
  <si>
    <t>9BRB29BTXJ2165115</t>
  </si>
  <si>
    <t>MOTOCICLETA</t>
  </si>
  <si>
    <t>384-CUR</t>
  </si>
  <si>
    <t>HONDA - WAVE-C 105-BIZ</t>
  </si>
  <si>
    <t>HA7E65020770</t>
  </si>
  <si>
    <t>9C2HA07605R020770</t>
  </si>
  <si>
    <t>GTG-156</t>
  </si>
  <si>
    <t>CHEVROLET-S10 DIESEL</t>
  </si>
  <si>
    <t>M1A298318</t>
  </si>
  <si>
    <t>9BG138AJ08C404715</t>
  </si>
  <si>
    <t>HLD-924</t>
  </si>
  <si>
    <t>CITROEN BERLINGO DIESEL</t>
  </si>
  <si>
    <t>10DXBE0049668</t>
  </si>
  <si>
    <t>8BCMFWJZF9G504303</t>
  </si>
  <si>
    <t>HLD-925</t>
  </si>
  <si>
    <t>10DXBE0049694</t>
  </si>
  <si>
    <t>8BCMFWJZF9G504304</t>
  </si>
  <si>
    <t>AUTORIZACION PARA GASTAR</t>
  </si>
  <si>
    <t>JURISDICCIÓN:</t>
  </si>
  <si>
    <t>SAF:</t>
  </si>
  <si>
    <t>UNIDAD EJECUTORA:</t>
  </si>
  <si>
    <t xml:space="preserve">DEPENDENCIA SOLICITANTE: </t>
  </si>
  <si>
    <r>
      <t>AUTORIZACIÓN</t>
    </r>
    <r>
      <rPr>
        <b/>
        <sz val="10"/>
        <rFont val="Century Gothic"/>
        <family val="2"/>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</si>
  <si>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</si>
  <si>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</si>
  <si>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</si>
  <si>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</si>
  <si>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</si>
  <si>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</si>
  <si>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</si>
  <si>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</si>
  <si>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</si>
  <si>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</si>
  <si>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</si>
  <si>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</si>
  <si>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</si>
  <si>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</si>
  <si>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</si>
  <si>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</si>
  <si>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</si>
  <si>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</si>
  <si>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</si>
  <si>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</si>
  <si>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r>
      <rPr>
        <b/>
        <u/>
        <sz val="10"/>
        <rFont val="Times New Roman"/>
        <family val="1"/>
      </rPr>
      <t>Plazo de entrega</t>
    </r>
    <r>
      <rPr>
        <b/>
        <sz val="10"/>
        <rFont val="Times New Roman"/>
        <family val="1"/>
      </rPr>
      <t xml:space="preserve"> tres 3 días hábiles</t>
    </r>
    <r>
      <rPr>
        <sz val="10"/>
        <rFont val="Times New Roman"/>
        <family val="1"/>
      </rPr>
      <t xml:space="preserve">. Periodo de utilización tres meses. </t>
    </r>
    <r>
      <rPr>
        <b/>
        <u/>
        <sz val="10"/>
        <rFont val="Times New Roman"/>
        <family val="1"/>
      </rPr>
      <t>ENTREGA en VALES</t>
    </r>
    <r>
      <rPr>
        <sz val="10"/>
        <rFont val="Times New Roman"/>
        <family val="1"/>
      </rPr>
      <t xml:space="preserve">,  LUGAR DE ENTREGA:  Direccio de Contrataciones -Oficina Central del Ministerio de Trabajo, Planificacion y Recursos Humanos, sito en Av. Colon Nº 960 - Capital - De 08 a 12 horas. 
</t>
    </r>
    <r>
      <rPr>
        <b/>
        <u/>
        <sz val="10"/>
        <rFont val="Times New Roman"/>
        <family val="1"/>
      </rPr>
      <t>El COMBUSTIBLE</t>
    </r>
    <r>
      <rPr>
        <sz val="10"/>
        <rFont val="Times New Roman"/>
        <family val="1"/>
      </rPr>
      <t xml:space="preserve"> en la boca de expendio.
LAS ENTREGAS de combustibles (Nafta Súper y Gasoil grado 3), se efectuarán en función de las necesidades de la Repartición, en las bocas de expendio de la firma oferente contra la presentación de la respectiva autorización de la Subsecretaria de Administración Financiera del Ministerio de Trabajo, Planificación  y Recurso Humanos, otorgada bajo la forma de VALES provistos por la firma Adjudicataria; en la siguiente forma:
a) Para la Nafta súper, Gasoil grado 3, proporcionalmente en vales de VEINTE (20), QUINCE (15) y DIEZ (10) litros;
b) Cuando la cantidad adjudicada no permita la confección de alguno de los vales precitados, para completar, se emitirá uno por una cantidad menor, en el tipo de combustible (que fuere necesario). 
La entrega de VALES se efectuará en la Dirección de Contrataciones  dependiente de la Subsecretaria de Administración Financiera del Ministerio de Trabajo, planificación y Recurso Humanos, de Provincia de Catamarca, sito en Av. Colon Nº 960 - San Fernando del Valle de Catamarca. De 08 a 12 horas.</t>
    </r>
  </si>
  <si>
    <t>Autorizo la realización de los  trámites correspondientes, a fin de proveer a  este Organismo los bienes y/o servicios que se detallan en Necesidad Trimestral,  afectando la erogación resultante a los créditos presupuestarios aprobados a favor de esta Unidad Ejecutora, conforme al siguiente detalle:"</t>
  </si>
  <si>
    <t>12 - Ministerio de Trabajo, Planificacion y Recursos Humanos</t>
  </si>
  <si>
    <t>22 - Subsecretaria de Administracion Financiera del Ministerio de Trabajo, Planificacion y Recursos Humanos</t>
  </si>
  <si>
    <t>Ministerio de Trabajo, Planificacion y Reursos Humanos</t>
  </si>
  <si>
    <t>AC091QI</t>
  </si>
  <si>
    <t>PEUGEOT PARTNER PA</t>
  </si>
  <si>
    <t>10JBGR0003105</t>
  </si>
  <si>
    <t>8ADGJ9HPAJG519835</t>
  </si>
  <si>
    <t>BS TRANSF. DCTO. PYM 1269-20</t>
  </si>
  <si>
    <t xml:space="preserve">AE423OB </t>
  </si>
  <si>
    <t>NISSAN 2.3 4X4 MT</t>
  </si>
  <si>
    <t>YS23A260C049915</t>
  </si>
  <si>
    <t>8ANBD33BXML687436</t>
  </si>
  <si>
    <t>MIN DE PLANIFICACION Y MO.</t>
  </si>
  <si>
    <t>FORD RANGER DC</t>
  </si>
  <si>
    <t>SA2SMJ218903</t>
  </si>
  <si>
    <t>8AFAR23W3MJ218903</t>
  </si>
  <si>
    <t>CEP149</t>
  </si>
  <si>
    <t xml:space="preserve">MAZDA PICK UP </t>
  </si>
  <si>
    <t>WL355951</t>
  </si>
  <si>
    <t>JM7UFYOW5V0122219</t>
  </si>
  <si>
    <t>GMF274</t>
  </si>
  <si>
    <t xml:space="preserve">CHEVROLET- PICK UP </t>
  </si>
  <si>
    <t>M1A296197</t>
  </si>
  <si>
    <t>9BG116AJ08C402412</t>
  </si>
  <si>
    <t>COSTO ESTIMADO: OCHOCIENTOS UN MIL SEISCIENTOS CON 00/100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</si>
</sst>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quot; €&quot;_-;\-* #,##0.00&quot; €&quot;_-;_-* \-??&quot; €&quot;_-;_-@_-"/>
    <numFmt numFmtId="165" formatCode="_ [$$-2C0A]\ * #,##0.00_ ;_ [$$-2C0A]\ * \-#,##0.00_ ;_ [$$-2C0A]\ * &quot;-&quot;??_ ;_ @_ "/>
    <numFmt numFmtId="166" formatCode="dd\-mm\-yy;@"/>
    <numFmt numFmtId="167" formatCode="_(\$* #,##0.00_);_(\$* \(#,##0.00\);_(\$* \-??_);_(@_)"/>
    <numFmt numFmtId="168" formatCode="[$$-2C0A]\ #,##0.00;[$$-2C0A]&quot; -&quot;#,##0.00"/>
    <numFmt numFmtId="169" formatCode="[$$-2C0A]\ #,##0.00"/>
    <numFmt numFmtId="170" formatCode="_-[$$-2C0A]\ * #,##0.00_-;\-[$$-2C0A]\ * #,##0.00_-;_-[$$-2C0A]\ * &quot;-&quot;??_-;_-@_-"/>
  </numFmts>
  <fonts count="28" x14ac:knownFonts="1">
    <font>
      <sz val="10"/>
      <name val="Arial"/>
      <charset val="1"/>
    </font>
    <font>
      <sz val="11"/>
      <color theme="1"/>
      <name val="Calibri"/>
      <family val="2"/>
      <scheme val="minor"/>
    </font>
    <font>
      <sz val="11"/>
      <color theme="1"/>
      <name val="Calibri"/>
      <family val="2"/>
      <scheme val="minor"/>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sz val="11"/>
      <name val="Times New Roman"/>
      <family val="1"/>
    </font>
    <font>
      <sz val="10"/>
      <name val="Arial"/>
      <family val="2"/>
    </font>
    <font>
      <sz val="11"/>
      <color rgb="FF000000"/>
      <name val="Times New Roman"/>
      <family val="1"/>
    </font>
    <font>
      <u/>
      <sz val="10"/>
      <name val="Times New Roman"/>
      <family val="1"/>
    </font>
    <font>
      <b/>
      <u/>
      <sz val="10"/>
      <name val="Times New Roman"/>
      <family val="1"/>
    </font>
    <font>
      <b/>
      <sz val="10"/>
      <name val="Times New Roman"/>
      <family val="1"/>
    </font>
    <font>
      <b/>
      <sz val="15"/>
      <color rgb="FF666699"/>
      <name val="Calibri"/>
      <family val="2"/>
      <charset val="1"/>
    </font>
    <font>
      <sz val="11"/>
      <color rgb="FF993300"/>
      <name val="Calibri"/>
      <family val="2"/>
      <charset val="1"/>
    </font>
    <font>
      <b/>
      <sz val="11"/>
      <color theme="1"/>
      <name val="Calibri"/>
      <family val="2"/>
      <scheme val="minor"/>
    </font>
    <font>
      <sz val="11"/>
      <name val="Calibri"/>
      <family val="2"/>
      <scheme val="minor"/>
    </font>
    <font>
      <sz val="10"/>
      <name val="Century Gothic"/>
      <family val="2"/>
    </font>
    <font>
      <b/>
      <sz val="11"/>
      <name val="Century Gothic"/>
      <family val="2"/>
    </font>
    <font>
      <b/>
      <sz val="12"/>
      <name val="Century Gothic"/>
      <family val="2"/>
    </font>
    <font>
      <sz val="11"/>
      <name val="Century Gothic"/>
      <family val="2"/>
    </font>
    <font>
      <b/>
      <u/>
      <sz val="10"/>
      <name val="Century Gothic"/>
      <family val="2"/>
    </font>
    <font>
      <b/>
      <sz val="10"/>
      <name val="Century Gothic"/>
      <family val="2"/>
    </font>
    <font>
      <sz val="10"/>
      <name val="Arial"/>
      <family val="2"/>
      <charset val="1"/>
    </font>
  </fonts>
  <fills count="5">
    <fill>
      <patternFill patternType="none"/>
    </fill>
    <fill>
      <patternFill patternType="gray125"/>
    </fill>
    <fill>
      <patternFill patternType="solid">
        <fgColor rgb="FFFFFF99"/>
        <bgColor rgb="FFFFFFCC"/>
      </patternFill>
    </fill>
    <fill>
      <patternFill patternType="solid">
        <fgColor theme="6" tint="0.79998168889431442"/>
        <bgColor indexed="64"/>
      </patternFill>
    </fill>
    <fill>
      <patternFill patternType="solid">
        <fgColor theme="0"/>
        <bgColor indexed="64"/>
      </patternFill>
    </fill>
  </fills>
  <borders count="53">
    <border>
      <left/>
      <right/>
      <top/>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right style="thick">
        <color auto="1"/>
      </right>
      <top style="thick">
        <color auto="1"/>
      </top>
      <bottom/>
      <diagonal/>
    </border>
    <border>
      <left style="thick">
        <color auto="1"/>
      </left>
      <right style="thick">
        <color auto="1"/>
      </right>
      <top style="thick">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bottom style="thick">
        <color rgb="FF33CCCC"/>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right style="medium">
        <color rgb="FF3D3D3D"/>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right style="medium">
        <color auto="1"/>
      </right>
      <top style="medium">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medium">
        <color rgb="FF3D3D3D"/>
      </left>
      <right style="medium">
        <color auto="1"/>
      </right>
      <top style="medium">
        <color auto="1"/>
      </top>
      <bottom style="medium">
        <color auto="1"/>
      </bottom>
      <diagonal/>
    </border>
    <border>
      <left style="medium">
        <color indexed="64"/>
      </left>
      <right style="thin">
        <color rgb="FF3D3D3D"/>
      </right>
      <top style="medium">
        <color indexed="64"/>
      </top>
      <bottom style="medium">
        <color indexed="64"/>
      </bottom>
      <diagonal/>
    </border>
    <border>
      <left style="thin">
        <color rgb="FF3D3D3D"/>
      </left>
      <right style="thin">
        <color rgb="FF3D3D3D"/>
      </right>
      <top style="medium">
        <color indexed="64"/>
      </top>
      <bottom style="medium">
        <color indexed="64"/>
      </bottom>
      <diagonal/>
    </border>
    <border>
      <left style="thin">
        <color rgb="FF3D3D3D"/>
      </left>
      <right/>
      <top style="medium">
        <color indexed="64"/>
      </top>
      <bottom style="medium">
        <color indexed="64"/>
      </bottom>
      <diagonal/>
    </border>
    <border>
      <left style="thin">
        <color auto="1"/>
      </left>
      <right style="thin">
        <color auto="1"/>
      </right>
      <top style="thin">
        <color auto="1"/>
      </top>
      <bottom/>
      <diagonal/>
    </border>
  </borders>
  <cellStyleXfs count="8">
    <xf numFmtId="0" fontId="0" fillId="0" borderId="0"/>
    <xf numFmtId="164" fontId="12" fillId="0" borderId="0" applyBorder="0" applyProtection="0"/>
    <xf numFmtId="0" fontId="17" fillId="0" borderId="21" applyProtection="0"/>
    <xf numFmtId="0" fontId="18" fillId="2" borderId="0" applyBorder="0" applyProtection="0"/>
    <xf numFmtId="0" fontId="2" fillId="0" borderId="0"/>
    <xf numFmtId="0" fontId="2" fillId="0" borderId="0"/>
    <xf numFmtId="0" fontId="1" fillId="0" borderId="0"/>
    <xf numFmtId="167" fontId="27" fillId="0" borderId="0" applyBorder="0" applyProtection="0"/>
  </cellStyleXfs>
  <cellXfs count="124">
    <xf numFmtId="0" fontId="0" fillId="0" borderId="0" xfId="0"/>
    <xf numFmtId="0" fontId="3" fillId="0" borderId="0" xfId="0" applyFont="1"/>
    <xf numFmtId="0" fontId="7" fillId="0" borderId="0" xfId="0" applyFont="1" applyAlignment="1">
      <alignment horizontal="left" wrapText="1"/>
    </xf>
    <xf numFmtId="0" fontId="7" fillId="0" borderId="0" xfId="0" applyFont="1" applyAlignment="1">
      <alignment horizontal="center" wrapText="1"/>
    </xf>
    <xf numFmtId="0" fontId="6" fillId="0" borderId="0" xfId="0" applyFont="1" applyFill="1" applyAlignment="1">
      <alignment horizontal="left" wrapText="1" indent="1"/>
    </xf>
    <xf numFmtId="0" fontId="8" fillId="0" borderId="0" xfId="0" applyFont="1" applyFill="1" applyAlignment="1">
      <alignment horizontal="left"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9" fillId="0" borderId="6" xfId="0" applyFont="1" applyBorder="1" applyAlignment="1">
      <alignment horizontal="center" vertical="center"/>
    </xf>
    <xf numFmtId="0" fontId="3" fillId="0" borderId="7" xfId="0" applyFont="1" applyBorder="1"/>
    <xf numFmtId="0" fontId="10" fillId="0" borderId="7" xfId="0" applyFont="1" applyBorder="1" applyAlignment="1">
      <alignment horizontal="center" vertical="center" wrapText="1"/>
    </xf>
    <xf numFmtId="0" fontId="3" fillId="0" borderId="7" xfId="0" applyFont="1" applyBorder="1" applyAlignment="1">
      <alignment wrapText="1"/>
    </xf>
    <xf numFmtId="0" fontId="7" fillId="0" borderId="7" xfId="0" applyFont="1" applyFill="1" applyBorder="1" applyAlignment="1">
      <alignment horizontal="center" vertical="center" wrapText="1"/>
    </xf>
    <xf numFmtId="1" fontId="11" fillId="0" borderId="7" xfId="0" applyNumberFormat="1" applyFont="1" applyFill="1" applyBorder="1" applyAlignment="1">
      <alignment horizontal="center" vertical="center" wrapText="1"/>
    </xf>
    <xf numFmtId="165" fontId="9" fillId="0" borderId="7" xfId="1" applyNumberFormat="1" applyFont="1" applyFill="1" applyBorder="1" applyAlignment="1" applyProtection="1">
      <alignment horizontal="right" vertical="center" wrapText="1"/>
    </xf>
    <xf numFmtId="165" fontId="9" fillId="0" borderId="8" xfId="1" applyNumberFormat="1" applyFont="1" applyFill="1" applyBorder="1" applyAlignment="1" applyProtection="1">
      <alignment horizontal="right" vertical="center" wrapText="1"/>
    </xf>
    <xf numFmtId="0" fontId="9" fillId="0" borderId="9" xfId="0" applyFont="1" applyBorder="1" applyAlignment="1">
      <alignment horizontal="center" vertical="center"/>
    </xf>
    <xf numFmtId="0" fontId="3" fillId="0" borderId="10" xfId="0" applyFont="1" applyBorder="1"/>
    <xf numFmtId="0" fontId="10" fillId="0" borderId="10" xfId="0" applyFont="1" applyBorder="1" applyAlignment="1">
      <alignment horizontal="center" vertical="center" wrapText="1"/>
    </xf>
    <xf numFmtId="0" fontId="3" fillId="0" borderId="10" xfId="0" applyFont="1" applyBorder="1" applyAlignment="1">
      <alignment wrapText="1"/>
    </xf>
    <xf numFmtId="0" fontId="7" fillId="0" borderId="10" xfId="0" applyFont="1" applyBorder="1" applyAlignment="1">
      <alignment horizontal="center" wrapText="1"/>
    </xf>
    <xf numFmtId="1" fontId="13" fillId="0" borderId="10" xfId="0" applyNumberFormat="1" applyFont="1" applyBorder="1" applyAlignment="1">
      <alignment horizontal="center" wrapText="1"/>
    </xf>
    <xf numFmtId="165" fontId="7" fillId="0" borderId="10" xfId="0" applyNumberFormat="1" applyFont="1" applyBorder="1" applyAlignment="1">
      <alignment horizontal="center" wrapText="1"/>
    </xf>
    <xf numFmtId="165" fontId="7" fillId="0" borderId="11" xfId="0" applyNumberFormat="1" applyFont="1" applyBorder="1" applyAlignment="1">
      <alignment horizontal="right" wrapText="1"/>
    </xf>
    <xf numFmtId="165" fontId="3" fillId="0" borderId="12" xfId="0" applyNumberFormat="1" applyFont="1" applyBorder="1"/>
    <xf numFmtId="0" fontId="14" fillId="0" borderId="13" xfId="0" applyFont="1" applyBorder="1" applyAlignment="1">
      <alignment horizontal="left" indent="3"/>
    </xf>
    <xf numFmtId="0" fontId="3" fillId="0" borderId="14" xfId="0" applyFont="1" applyBorder="1"/>
    <xf numFmtId="0" fontId="3" fillId="0" borderId="15" xfId="0" applyFont="1" applyBorder="1"/>
    <xf numFmtId="0" fontId="3" fillId="0" borderId="16" xfId="0" applyFont="1" applyBorder="1" applyAlignment="1">
      <alignment horizontal="left" indent="3"/>
    </xf>
    <xf numFmtId="0" fontId="14" fillId="0" borderId="16" xfId="0" applyFont="1" applyBorder="1" applyAlignment="1">
      <alignment horizontal="left" vertical="center" indent="3"/>
    </xf>
    <xf numFmtId="0" fontId="3" fillId="0" borderId="0" xfId="0" applyFont="1" applyBorder="1"/>
    <xf numFmtId="0" fontId="3" fillId="0" borderId="17" xfId="0" applyFont="1" applyBorder="1"/>
    <xf numFmtId="0" fontId="14" fillId="0" borderId="16" xfId="0" applyFont="1" applyBorder="1" applyAlignment="1">
      <alignment horizontal="left" indent="3"/>
    </xf>
    <xf numFmtId="0" fontId="3" fillId="0" borderId="0" xfId="0" applyFont="1" applyBorder="1" applyAlignment="1">
      <alignment horizontal="center" wrapText="1"/>
    </xf>
    <xf numFmtId="0" fontId="3" fillId="0" borderId="17" xfId="0" applyFont="1" applyBorder="1" applyAlignment="1">
      <alignment horizontal="center" wrapText="1"/>
    </xf>
    <xf numFmtId="0" fontId="3" fillId="0" borderId="18" xfId="0" applyFont="1" applyBorder="1" applyAlignment="1">
      <alignment horizontal="left" indent="3"/>
    </xf>
    <xf numFmtId="0" fontId="3" fillId="0" borderId="19" xfId="0" applyFont="1" applyBorder="1"/>
    <xf numFmtId="0" fontId="3" fillId="0" borderId="20" xfId="0" applyFont="1" applyBorder="1"/>
    <xf numFmtId="0" fontId="1" fillId="0" borderId="0" xfId="6"/>
    <xf numFmtId="0" fontId="20" fillId="0" borderId="22" xfId="6" applyFont="1" applyBorder="1" applyAlignment="1">
      <alignment horizontal="center" vertical="center"/>
    </xf>
    <xf numFmtId="0" fontId="20" fillId="4" borderId="22" xfId="6" applyFont="1" applyFill="1" applyBorder="1" applyAlignment="1">
      <alignment horizontal="center" vertical="center"/>
    </xf>
    <xf numFmtId="3" fontId="20" fillId="4" borderId="22" xfId="6" applyNumberFormat="1" applyFont="1" applyFill="1" applyBorder="1" applyAlignment="1">
      <alignment horizontal="center" vertical="center"/>
    </xf>
    <xf numFmtId="0" fontId="1" fillId="0" borderId="0" xfId="6" applyAlignment="1">
      <alignment vertical="center"/>
    </xf>
    <xf numFmtId="3" fontId="20" fillId="0" borderId="22" xfId="6" applyNumberFormat="1" applyFont="1" applyBorder="1" applyAlignment="1">
      <alignment horizontal="center" vertical="center"/>
    </xf>
    <xf numFmtId="0" fontId="20" fillId="0" borderId="22" xfId="6" applyFont="1" applyFill="1" applyBorder="1" applyAlignment="1">
      <alignment horizontal="center" vertical="center"/>
    </xf>
    <xf numFmtId="0" fontId="1" fillId="0" borderId="22" xfId="6" applyBorder="1" applyAlignment="1">
      <alignment horizontal="center" vertical="center"/>
    </xf>
    <xf numFmtId="3" fontId="1" fillId="0" borderId="22" xfId="6" applyNumberFormat="1" applyBorder="1" applyAlignment="1">
      <alignment horizontal="center" vertical="center"/>
    </xf>
    <xf numFmtId="0" fontId="1" fillId="0" borderId="0" xfId="6" applyAlignment="1">
      <alignment horizontal="center" vertical="center"/>
    </xf>
    <xf numFmtId="3" fontId="22" fillId="0" borderId="0" xfId="0" applyNumberFormat="1" applyFont="1" applyBorder="1" applyAlignment="1"/>
    <xf numFmtId="166" fontId="21" fillId="0" borderId="0" xfId="0" applyNumberFormat="1" applyFont="1" applyAlignment="1">
      <alignment horizontal="left"/>
    </xf>
    <xf numFmtId="0" fontId="21" fillId="0" borderId="0" xfId="0" applyFont="1"/>
    <xf numFmtId="0" fontId="21" fillId="0" borderId="0" xfId="0" applyFont="1" applyAlignment="1">
      <alignment horizontal="left"/>
    </xf>
    <xf numFmtId="0" fontId="21" fillId="0" borderId="0" xfId="0" applyFont="1" applyBorder="1"/>
    <xf numFmtId="0" fontId="21" fillId="0" borderId="30" xfId="0" applyFont="1" applyBorder="1"/>
    <xf numFmtId="0" fontId="21" fillId="0" borderId="32" xfId="0" applyFont="1" applyBorder="1"/>
    <xf numFmtId="0" fontId="21" fillId="0" borderId="33" xfId="0" applyFont="1" applyBorder="1"/>
    <xf numFmtId="0" fontId="21" fillId="0" borderId="33" xfId="0" applyFont="1" applyBorder="1" applyAlignment="1">
      <alignment horizontal="left"/>
    </xf>
    <xf numFmtId="0" fontId="21" fillId="0" borderId="34" xfId="0" applyFont="1" applyBorder="1"/>
    <xf numFmtId="0" fontId="21" fillId="0" borderId="40" xfId="0" applyFont="1" applyFill="1" applyBorder="1" applyAlignment="1">
      <alignment horizontal="center" vertical="center"/>
    </xf>
    <xf numFmtId="0" fontId="21" fillId="0" borderId="41" xfId="0" applyFont="1" applyFill="1" applyBorder="1" applyAlignment="1">
      <alignment horizontal="center" vertical="center"/>
    </xf>
    <xf numFmtId="0" fontId="21" fillId="0" borderId="42" xfId="0" applyFont="1" applyFill="1" applyBorder="1" applyAlignment="1">
      <alignment horizontal="center" vertical="center"/>
    </xf>
    <xf numFmtId="168" fontId="21" fillId="0" borderId="0" xfId="0" applyNumberFormat="1" applyFont="1"/>
    <xf numFmtId="168" fontId="26" fillId="0" borderId="46" xfId="0" applyNumberFormat="1" applyFont="1" applyBorder="1" applyAlignment="1">
      <alignment horizontal="center" vertical="center"/>
    </xf>
    <xf numFmtId="0" fontId="21" fillId="0" borderId="37" xfId="0" applyFont="1" applyBorder="1" applyAlignment="1">
      <alignment horizontal="center" vertical="center"/>
    </xf>
    <xf numFmtId="0" fontId="21" fillId="0" borderId="38" xfId="0" applyFont="1" applyBorder="1" applyAlignment="1">
      <alignment horizontal="center" vertical="center"/>
    </xf>
    <xf numFmtId="0" fontId="21" fillId="0" borderId="39" xfId="0" applyFont="1" applyBorder="1" applyAlignment="1">
      <alignment horizontal="center" vertical="center"/>
    </xf>
    <xf numFmtId="0" fontId="21" fillId="0" borderId="0" xfId="0" applyFont="1" applyBorder="1" applyAlignment="1">
      <alignment horizontal="center" vertical="center"/>
    </xf>
    <xf numFmtId="0" fontId="26" fillId="0" borderId="49" xfId="0" applyFont="1" applyBorder="1" applyAlignment="1">
      <alignment horizontal="center" vertical="center"/>
    </xf>
    <xf numFmtId="0" fontId="26" fillId="0" borderId="50" xfId="0" applyFont="1" applyBorder="1" applyAlignment="1">
      <alignment horizontal="center" vertical="center"/>
    </xf>
    <xf numFmtId="0" fontId="26" fillId="0" borderId="50" xfId="0" applyFont="1" applyBorder="1" applyAlignment="1">
      <alignment horizontal="left" vertical="center"/>
    </xf>
    <xf numFmtId="0" fontId="26" fillId="0" borderId="51" xfId="0" applyFont="1" applyBorder="1" applyAlignment="1">
      <alignment horizontal="center" vertical="center"/>
    </xf>
    <xf numFmtId="0" fontId="26" fillId="0" borderId="48" xfId="0" applyFont="1" applyBorder="1" applyAlignment="1">
      <alignment horizontal="center" vertical="center"/>
    </xf>
    <xf numFmtId="170" fontId="21" fillId="0" borderId="12" xfId="7" applyNumberFormat="1" applyFont="1" applyFill="1" applyBorder="1" applyAlignment="1" applyProtection="1">
      <alignment horizontal="center" vertical="center"/>
    </xf>
    <xf numFmtId="170" fontId="21" fillId="0" borderId="12" xfId="0" applyNumberFormat="1" applyFont="1" applyBorder="1" applyAlignment="1">
      <alignment horizontal="center" vertical="center"/>
    </xf>
    <xf numFmtId="0" fontId="21" fillId="0" borderId="0" xfId="0" applyFont="1" applyAlignment="1">
      <alignment horizontal="center"/>
    </xf>
    <xf numFmtId="169" fontId="21" fillId="0" borderId="0" xfId="0" applyNumberFormat="1" applyFont="1" applyAlignment="1">
      <alignment horizontal="center"/>
    </xf>
    <xf numFmtId="0" fontId="5" fillId="0" borderId="0" xfId="0" applyFont="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horizontal="left" vertical="center"/>
    </xf>
    <xf numFmtId="0" fontId="3" fillId="0" borderId="17" xfId="0" applyFont="1" applyFill="1" applyBorder="1" applyAlignment="1">
      <alignment horizontal="left" vertical="center"/>
    </xf>
    <xf numFmtId="0" fontId="3" fillId="0" borderId="17" xfId="0" applyFont="1" applyFill="1" applyBorder="1" applyAlignment="1">
      <alignment horizontal="left" vertical="center" wrapText="1"/>
    </xf>
    <xf numFmtId="0" fontId="3" fillId="0" borderId="17" xfId="0" applyFont="1" applyFill="1" applyBorder="1" applyAlignment="1">
      <alignment horizontal="center"/>
    </xf>
    <xf numFmtId="0" fontId="4" fillId="0" borderId="0" xfId="0" applyFont="1" applyBorder="1" applyAlignment="1">
      <alignment horizontal="center"/>
    </xf>
    <xf numFmtId="0" fontId="6" fillId="0" borderId="0" xfId="0" applyFont="1" applyFill="1" applyBorder="1" applyAlignment="1">
      <alignment horizontal="left" wrapText="1" indent="1"/>
    </xf>
    <xf numFmtId="0" fontId="6" fillId="0" borderId="0" xfId="0" applyFont="1" applyFill="1" applyBorder="1" applyAlignment="1">
      <alignment horizontal="left" vertical="center" wrapText="1" indent="1"/>
    </xf>
    <xf numFmtId="0" fontId="22" fillId="0" borderId="46" xfId="0" applyFont="1" applyBorder="1" applyAlignment="1">
      <alignment horizontal="left" vertical="center" wrapText="1"/>
    </xf>
    <xf numFmtId="0" fontId="21" fillId="0" borderId="35" xfId="0" applyFont="1" applyBorder="1"/>
    <xf numFmtId="0" fontId="22" fillId="0" borderId="23" xfId="0" applyFont="1" applyBorder="1" applyAlignment="1">
      <alignment vertical="center" wrapText="1"/>
    </xf>
    <xf numFmtId="0" fontId="22" fillId="0" borderId="47" xfId="0" applyFont="1" applyBorder="1" applyAlignment="1">
      <alignment vertical="center" wrapText="1"/>
    </xf>
    <xf numFmtId="0" fontId="22" fillId="0" borderId="48" xfId="0" applyFont="1" applyBorder="1" applyAlignment="1">
      <alignment vertical="center" wrapText="1"/>
    </xf>
    <xf numFmtId="0" fontId="24" fillId="0" borderId="36" xfId="0" applyFont="1" applyBorder="1" applyAlignment="1">
      <alignment vertical="center" wrapText="1"/>
    </xf>
    <xf numFmtId="0" fontId="24" fillId="0" borderId="46" xfId="0" applyFont="1" applyFill="1" applyBorder="1" applyAlignment="1">
      <alignment horizontal="left" vertical="center" wrapText="1" indent="1"/>
    </xf>
    <xf numFmtId="0" fontId="21" fillId="0" borderId="42" xfId="0" applyFont="1" applyFill="1" applyBorder="1" applyAlignment="1">
      <alignment horizontal="left" vertical="center" wrapText="1"/>
    </xf>
    <xf numFmtId="0" fontId="21" fillId="0" borderId="45" xfId="0" applyFont="1" applyFill="1" applyBorder="1" applyAlignment="1">
      <alignment horizontal="left" vertical="center" wrapText="1"/>
    </xf>
    <xf numFmtId="0" fontId="24" fillId="0" borderId="31" xfId="0" applyFont="1" applyBorder="1" applyAlignment="1">
      <alignment horizontal="left" vertical="center" wrapText="1" indent="1"/>
    </xf>
    <xf numFmtId="0" fontId="26" fillId="0" borderId="35" xfId="0" applyFont="1" applyBorder="1" applyAlignment="1">
      <alignment horizontal="center" vertical="center"/>
    </xf>
    <xf numFmtId="0" fontId="26" fillId="0" borderId="35" xfId="0" applyFont="1" applyBorder="1" applyAlignment="1">
      <alignment horizontal="center" vertical="center" wrapText="1"/>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1" fillId="0" borderId="43" xfId="0" applyFont="1" applyFill="1" applyBorder="1" applyAlignment="1">
      <alignment horizontal="left" vertical="center" wrapText="1"/>
    </xf>
    <xf numFmtId="0" fontId="21" fillId="0" borderId="44" xfId="0" applyFont="1" applyFill="1" applyBorder="1" applyAlignment="1">
      <alignment horizontal="left" vertical="center" wrapText="1"/>
    </xf>
    <xf numFmtId="0" fontId="21" fillId="0" borderId="43" xfId="0" applyFont="1" applyFill="1" applyBorder="1" applyAlignment="1">
      <alignment horizontal="center" vertical="center" wrapText="1"/>
    </xf>
    <xf numFmtId="0" fontId="21" fillId="0" borderId="44" xfId="0" applyFont="1" applyFill="1" applyBorder="1" applyAlignment="1">
      <alignment horizontal="center" vertical="center" wrapText="1"/>
    </xf>
    <xf numFmtId="0" fontId="24" fillId="0" borderId="29" xfId="0" applyFont="1" applyBorder="1"/>
    <xf numFmtId="0" fontId="21" fillId="0" borderId="23" xfId="0" applyFont="1" applyBorder="1" applyAlignment="1">
      <alignment horizontal="center"/>
    </xf>
    <xf numFmtId="3" fontId="22" fillId="0" borderId="24" xfId="0" applyNumberFormat="1" applyFont="1" applyBorder="1" applyAlignment="1">
      <alignment horizontal="center"/>
    </xf>
    <xf numFmtId="0" fontId="23" fillId="0" borderId="25" xfId="0" applyFont="1" applyBorder="1" applyAlignment="1">
      <alignment horizontal="center" vertical="center" wrapText="1"/>
    </xf>
    <xf numFmtId="0" fontId="21" fillId="0" borderId="25" xfId="0" applyFont="1" applyBorder="1"/>
    <xf numFmtId="0" fontId="24" fillId="0" borderId="25" xfId="0" applyFont="1" applyBorder="1" applyAlignment="1">
      <alignment horizontal="left" indent="1"/>
    </xf>
    <xf numFmtId="0" fontId="21" fillId="0" borderId="26" xfId="0" applyFont="1" applyBorder="1" applyAlignment="1">
      <alignment horizontal="left" vertical="center" wrapText="1"/>
    </xf>
    <xf numFmtId="0" fontId="21" fillId="0" borderId="27" xfId="0" applyFont="1" applyBorder="1" applyAlignment="1">
      <alignment horizontal="left" vertical="center" wrapText="1"/>
    </xf>
    <xf numFmtId="0" fontId="21" fillId="0" borderId="28" xfId="0" applyFont="1" applyBorder="1" applyAlignment="1">
      <alignment horizontal="left" vertical="center" wrapText="1"/>
    </xf>
    <xf numFmtId="0" fontId="24" fillId="0" borderId="26" xfId="0" applyFont="1" applyBorder="1" applyAlignment="1">
      <alignment horizontal="left" wrapText="1" indent="1"/>
    </xf>
    <xf numFmtId="0" fontId="24" fillId="0" borderId="27" xfId="0" applyFont="1" applyBorder="1" applyAlignment="1">
      <alignment horizontal="left" wrapText="1" indent="1"/>
    </xf>
    <xf numFmtId="0" fontId="24" fillId="0" borderId="28" xfId="0" applyFont="1" applyBorder="1" applyAlignment="1">
      <alignment horizontal="left" wrapText="1" indent="1"/>
    </xf>
    <xf numFmtId="0" fontId="25" fillId="0" borderId="25" xfId="0" applyFont="1" applyBorder="1" applyAlignment="1">
      <alignment horizontal="left"/>
    </xf>
    <xf numFmtId="0" fontId="1" fillId="3" borderId="22" xfId="6" applyFill="1" applyBorder="1" applyAlignment="1">
      <alignment horizontal="center" vertical="center" wrapText="1"/>
    </xf>
    <xf numFmtId="0" fontId="20" fillId="0" borderId="52" xfId="6" applyFont="1" applyFill="1" applyBorder="1" applyAlignment="1">
      <alignment horizontal="center" vertical="center"/>
    </xf>
    <xf numFmtId="0" fontId="1" fillId="0" borderId="52" xfId="6" applyBorder="1" applyAlignment="1">
      <alignment horizontal="center" vertical="center"/>
    </xf>
    <xf numFmtId="3" fontId="1" fillId="0" borderId="52" xfId="6" applyNumberFormat="1" applyBorder="1" applyAlignment="1">
      <alignment horizontal="center" vertical="center"/>
    </xf>
    <xf numFmtId="0" fontId="1" fillId="0" borderId="22" xfId="6" applyBorder="1"/>
  </cellXfs>
  <cellStyles count="8">
    <cellStyle name="Encabezado 1" xfId="2"/>
    <cellStyle name="Moneda" xfId="1" builtinId="4"/>
    <cellStyle name="Moneda_AUTORIZACION Y NOTA DE PEDIDO" xfId="7"/>
    <cellStyle name="Neutral 1" xfId="3"/>
    <cellStyle name="Normal" xfId="0" builtinId="0"/>
    <cellStyle name="Normal 2" xfId="4"/>
    <cellStyle name="Normal 2 2" xfId="6"/>
    <cellStyle name="Normal 3"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694362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694362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694362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694362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ompr/Dropbox/SAF%20022/SAF%2022%20-%20PLANIFICACION/PAC%202022/1RO%202022/Detalle%20Relevamiento%20de%20Hardware%20Ministerio%20de%20Trabajo%20y%20RRHH%20Fi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ompr/Dropbox/SAF%20022/SAF%2022%20-%20PLANIFICACION/PAC%202022/1RO%202022/NECESIDADES%201ER%20TRIMESTRE%202022%20SAF%20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mpr/Dropbox/SAF%20022/2021/COMPRAS/2DO%20TRIMESTRE%20SECRET%20DE%20COMPRAS/COMBUSTIBLE%20X%20SEC.%20DE%20COMPRAS/5%20-%20NP%20-APG%20-%20SAF%20022-%20COMBUSTI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por reparticion"/>
      <sheetName val="DETALLE CPUS ESTADO CRITICO"/>
      <sheetName val="NECESIDADES"/>
      <sheetName val="Necesidades a considerar"/>
      <sheetName val="PROCESADORES"/>
      <sheetName val="MODELOS DE IMPRESORAS Y TONER"/>
      <sheetName val="DETALLE RELEVAMIENTO"/>
      <sheetName val="Hoja2"/>
      <sheetName val="necesidades SRRHHD"/>
      <sheetName val="Detalle Relevamiento de Hardwa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ER"/>
      <sheetName val="COMBUSTIBLE"/>
      <sheetName val="BIDONES DE AGUA"/>
      <sheetName val="Hoja1"/>
      <sheetName val="Utiles de Escritorio"/>
      <sheetName val="ELEM. LIMPIEZA"/>
      <sheetName val="SEGURO DE VIDA"/>
      <sheetName val="ALQUILER DE INMUEBLE"/>
      <sheetName val="MODELOS DE IMPRESORAS Y TONER"/>
      <sheetName val="PARQUE AUTOMOTOR"/>
      <sheetName val="TONER PLANIFICACION"/>
    </sheetNames>
    <sheetDataSet>
      <sheetData sheetId="0">
        <row r="4">
          <cell r="C4" t="str">
            <v>12 -Ministerio de Trabajo, Planificacion y Recursos Humanos</v>
          </cell>
        </row>
        <row r="5">
          <cell r="C5" t="str">
            <v>22 - Subsecretaria de Administracion Financiera del Ministerio de Trabajo, Planificacion y Recursos Humanos</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 NotaPedido"/>
      <sheetName val="Autor Gastar"/>
      <sheetName val="PARQUE AUTOMOTOR"/>
    </sheetNames>
    <sheetDataSet>
      <sheetData sheetId="0">
        <row r="6">
          <cell r="C6">
            <v>2021</v>
          </cell>
        </row>
      </sheetData>
      <sheetData sheetId="1">
        <row r="1">
          <cell r="K1" t="str">
            <v>005/2021</v>
          </cell>
        </row>
        <row r="8">
          <cell r="D8" t="str">
            <v>Adquisición de combustible para el parque automotor de este Ministerio.</v>
          </cell>
        </row>
      </sheetData>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3"/>
  <sheetViews>
    <sheetView tabSelected="1" zoomScale="85" zoomScaleNormal="85" workbookViewId="0">
      <selection activeCell="E19" sqref="E19"/>
    </sheetView>
  </sheetViews>
  <sheetFormatPr baseColWidth="10" defaultColWidth="11" defaultRowHeight="12.75" x14ac:dyDescent="0.2"/>
  <cols>
    <col min="1" max="1" width="4.5703125" style="1" customWidth="1"/>
    <col min="2" max="2" width="12.85546875" style="1" customWidth="1"/>
    <col min="3" max="3" width="32.42578125" style="1" customWidth="1"/>
    <col min="4" max="4" width="8.42578125" style="1" customWidth="1"/>
    <col min="5" max="5" width="82.2851562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85" t="s">
        <v>0</v>
      </c>
      <c r="C2" s="85"/>
      <c r="D2" s="85"/>
      <c r="E2" s="85"/>
      <c r="F2" s="85"/>
      <c r="G2" s="85"/>
      <c r="H2" s="85"/>
    </row>
    <row r="4" spans="1:9" ht="18" customHeight="1" x14ac:dyDescent="0.25">
      <c r="A4" s="79" t="s">
        <v>1</v>
      </c>
      <c r="B4" s="79"/>
      <c r="C4" s="86" t="str">
        <f>+[2]TONER!C4</f>
        <v>12 -Ministerio de Trabajo, Planificacion y Recursos Humanos</v>
      </c>
      <c r="D4" s="86"/>
      <c r="E4" s="86"/>
      <c r="F4" s="2"/>
      <c r="G4" s="3"/>
      <c r="H4" s="2"/>
    </row>
    <row r="5" spans="1:9" ht="27" customHeight="1" x14ac:dyDescent="0.2">
      <c r="A5" s="79" t="s">
        <v>2</v>
      </c>
      <c r="B5" s="79"/>
      <c r="C5" s="87" t="str">
        <f>+[2]TONER!C5</f>
        <v>22 - Subsecretaria de Administracion Financiera del Ministerio de Trabajo, Planificacion y Recursos Humanos</v>
      </c>
      <c r="D5" s="87"/>
      <c r="E5" s="87"/>
      <c r="F5" s="2"/>
      <c r="G5" s="3"/>
      <c r="H5" s="2"/>
    </row>
    <row r="6" spans="1:9" ht="16.5" customHeight="1" x14ac:dyDescent="0.25">
      <c r="A6" s="79" t="s">
        <v>3</v>
      </c>
      <c r="B6" s="79"/>
      <c r="C6" s="4">
        <v>2022</v>
      </c>
      <c r="D6" s="5"/>
      <c r="E6" s="5"/>
      <c r="F6" s="2"/>
      <c r="G6" s="3"/>
      <c r="H6" s="2"/>
    </row>
    <row r="7" spans="1:9" ht="16.5" customHeight="1" x14ac:dyDescent="0.25">
      <c r="A7" s="79" t="s">
        <v>4</v>
      </c>
      <c r="B7" s="79"/>
      <c r="C7" s="4">
        <v>1</v>
      </c>
      <c r="D7" s="5"/>
      <c r="E7" s="5"/>
      <c r="F7" s="2"/>
      <c r="G7" s="3"/>
      <c r="H7" s="2"/>
    </row>
    <row r="8" spans="1:9" ht="13.5" thickBot="1" x14ac:dyDescent="0.25">
      <c r="B8" s="2"/>
      <c r="C8" s="3"/>
      <c r="D8" s="2"/>
      <c r="E8" s="2"/>
      <c r="F8" s="2"/>
      <c r="G8" s="3"/>
      <c r="H8" s="2"/>
    </row>
    <row r="9" spans="1:9" ht="39.75" thickTop="1" thickBot="1" x14ac:dyDescent="0.25">
      <c r="A9" s="6" t="s">
        <v>5</v>
      </c>
      <c r="B9" s="7" t="s">
        <v>6</v>
      </c>
      <c r="C9" s="7" t="s">
        <v>7</v>
      </c>
      <c r="D9" s="7" t="s">
        <v>8</v>
      </c>
      <c r="E9" s="8" t="s">
        <v>9</v>
      </c>
      <c r="F9" s="9" t="s">
        <v>10</v>
      </c>
      <c r="G9" s="10" t="s">
        <v>11</v>
      </c>
      <c r="H9" s="10" t="s">
        <v>12</v>
      </c>
      <c r="I9" s="10" t="s">
        <v>13</v>
      </c>
    </row>
    <row r="10" spans="1:9" ht="25.5" x14ac:dyDescent="0.2">
      <c r="A10" s="11">
        <v>1</v>
      </c>
      <c r="B10" s="12" t="s">
        <v>14</v>
      </c>
      <c r="C10" s="12" t="s">
        <v>15</v>
      </c>
      <c r="D10" s="13" t="s">
        <v>16</v>
      </c>
      <c r="E10" s="14" t="s">
        <v>17</v>
      </c>
      <c r="F10" s="15" t="s">
        <v>18</v>
      </c>
      <c r="G10" s="16">
        <v>3400</v>
      </c>
      <c r="H10" s="17">
        <v>105</v>
      </c>
      <c r="I10" s="18">
        <f>G10*H10</f>
        <v>357000</v>
      </c>
    </row>
    <row r="11" spans="1:9" ht="27" thickBot="1" x14ac:dyDescent="0.3">
      <c r="A11" s="19">
        <v>2</v>
      </c>
      <c r="B11" s="20" t="s">
        <v>19</v>
      </c>
      <c r="C11" s="20" t="s">
        <v>15</v>
      </c>
      <c r="D11" s="21" t="s">
        <v>16</v>
      </c>
      <c r="E11" s="22" t="s">
        <v>20</v>
      </c>
      <c r="F11" s="23" t="s">
        <v>18</v>
      </c>
      <c r="G11" s="24">
        <v>4500</v>
      </c>
      <c r="H11" s="25">
        <v>98.8</v>
      </c>
      <c r="I11" s="26">
        <f>G11*H11</f>
        <v>444600</v>
      </c>
    </row>
    <row r="12" spans="1:9" ht="23.25" customHeight="1" thickBot="1" x14ac:dyDescent="0.25">
      <c r="I12" s="27">
        <f>SUM(I10:I11)</f>
        <v>801600</v>
      </c>
    </row>
    <row r="13" spans="1:9" ht="45" customHeight="1" thickBot="1" x14ac:dyDescent="0.25"/>
    <row r="14" spans="1:9" ht="31.5" customHeight="1" x14ac:dyDescent="0.2">
      <c r="B14" s="28" t="s">
        <v>21</v>
      </c>
      <c r="C14" s="29"/>
      <c r="D14" s="29"/>
      <c r="E14" s="30"/>
    </row>
    <row r="15" spans="1:9" x14ac:dyDescent="0.2">
      <c r="B15" s="31"/>
      <c r="C15" s="80" t="s">
        <v>130</v>
      </c>
      <c r="D15" s="81"/>
      <c r="E15" s="82"/>
    </row>
    <row r="16" spans="1:9" ht="151.5" customHeight="1" x14ac:dyDescent="0.2">
      <c r="B16" s="31"/>
      <c r="C16" s="81"/>
      <c r="D16" s="81"/>
      <c r="E16" s="82"/>
    </row>
    <row r="17" spans="2:5" ht="18" customHeight="1" x14ac:dyDescent="0.2">
      <c r="B17" s="32" t="s">
        <v>22</v>
      </c>
      <c r="C17" s="33"/>
      <c r="D17" s="33"/>
      <c r="E17" s="34"/>
    </row>
    <row r="18" spans="2:5" ht="32.25" customHeight="1" x14ac:dyDescent="0.2">
      <c r="B18" s="31"/>
      <c r="C18" s="80" t="s">
        <v>23</v>
      </c>
      <c r="D18" s="80"/>
      <c r="E18" s="83"/>
    </row>
    <row r="19" spans="2:5" ht="36.75" customHeight="1" x14ac:dyDescent="0.2">
      <c r="B19" s="35" t="s">
        <v>24</v>
      </c>
      <c r="C19" s="36"/>
      <c r="D19" s="36"/>
      <c r="E19" s="37"/>
    </row>
    <row r="20" spans="2:5" ht="26.25" customHeight="1" x14ac:dyDescent="0.2">
      <c r="B20" s="31"/>
      <c r="C20" s="80" t="s">
        <v>25</v>
      </c>
      <c r="D20" s="80"/>
      <c r="E20" s="83"/>
    </row>
    <row r="21" spans="2:5" ht="17.25" customHeight="1" x14ac:dyDescent="0.2">
      <c r="B21" s="35" t="s">
        <v>26</v>
      </c>
      <c r="C21" s="33"/>
      <c r="D21" s="33"/>
      <c r="E21" s="34"/>
    </row>
    <row r="22" spans="2:5" ht="23.25" customHeight="1" x14ac:dyDescent="0.2">
      <c r="B22" s="35"/>
      <c r="C22" s="84"/>
      <c r="D22" s="84"/>
      <c r="E22" s="84"/>
    </row>
    <row r="23" spans="2:5" ht="13.5" thickBot="1" x14ac:dyDescent="0.25">
      <c r="B23" s="38"/>
      <c r="C23" s="39"/>
      <c r="D23" s="39"/>
      <c r="E23" s="40"/>
    </row>
  </sheetData>
  <mergeCells count="11">
    <mergeCell ref="A6:B6"/>
    <mergeCell ref="B2:H2"/>
    <mergeCell ref="A4:B4"/>
    <mergeCell ref="C4:E4"/>
    <mergeCell ref="A5:B5"/>
    <mergeCell ref="C5:E5"/>
    <mergeCell ref="A7:B7"/>
    <mergeCell ref="C15:E16"/>
    <mergeCell ref="C18:E18"/>
    <mergeCell ref="C20:E20"/>
    <mergeCell ref="C22:E22"/>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topLeftCell="A7" zoomScale="115" zoomScaleNormal="115" workbookViewId="0">
      <selection activeCell="A26" sqref="A26:Q27"/>
    </sheetView>
  </sheetViews>
  <sheetFormatPr baseColWidth="10" defaultColWidth="11" defaultRowHeight="13.5" x14ac:dyDescent="0.25"/>
  <cols>
    <col min="1" max="5" width="4.42578125" style="53" customWidth="1"/>
    <col min="6" max="6" width="5.85546875" style="53" customWidth="1"/>
    <col min="7" max="7" width="4.42578125" style="54" customWidth="1"/>
    <col min="8" max="14" width="4.42578125" style="53" customWidth="1"/>
    <col min="15" max="16" width="14.85546875" style="53" customWidth="1"/>
    <col min="17" max="17" width="14.7109375" style="53" customWidth="1"/>
    <col min="18" max="18" width="11" style="53"/>
    <col min="19" max="19" width="11.7109375" style="53" bestFit="1" customWidth="1"/>
    <col min="20" max="16384" width="11" style="53"/>
  </cols>
  <sheetData>
    <row r="1" spans="1:19" ht="15.75" customHeight="1" thickBot="1" x14ac:dyDescent="0.3">
      <c r="A1" s="107" t="s">
        <v>3</v>
      </c>
      <c r="B1" s="107"/>
      <c r="C1" s="107"/>
      <c r="D1" s="108">
        <v>2022</v>
      </c>
      <c r="E1" s="108"/>
      <c r="F1" s="51"/>
      <c r="G1" s="51"/>
      <c r="H1" s="52"/>
      <c r="I1" s="52"/>
      <c r="J1" s="52"/>
      <c r="K1" s="52"/>
      <c r="L1" s="52"/>
      <c r="M1" s="52"/>
      <c r="N1" s="52"/>
      <c r="P1" s="109" t="s">
        <v>104</v>
      </c>
      <c r="Q1" s="109"/>
    </row>
    <row r="2" spans="1:19" ht="15.75" customHeight="1" thickBot="1" x14ac:dyDescent="0.3">
      <c r="H2" s="52"/>
      <c r="I2" s="52"/>
      <c r="J2" s="52"/>
      <c r="K2" s="52"/>
      <c r="L2" s="52"/>
      <c r="M2" s="52"/>
      <c r="N2" s="52"/>
      <c r="P2" s="109"/>
      <c r="Q2" s="109"/>
    </row>
    <row r="4" spans="1:19" ht="18" customHeight="1" thickBot="1" x14ac:dyDescent="0.35">
      <c r="A4" s="110" t="s">
        <v>105</v>
      </c>
      <c r="B4" s="110"/>
      <c r="C4" s="110"/>
      <c r="D4" s="110"/>
      <c r="E4" s="110"/>
      <c r="F4" s="110"/>
      <c r="G4" s="111" t="s">
        <v>132</v>
      </c>
      <c r="H4" s="111"/>
      <c r="I4" s="111"/>
      <c r="J4" s="111"/>
      <c r="K4" s="111"/>
      <c r="L4" s="111"/>
      <c r="M4" s="111"/>
      <c r="N4" s="111"/>
      <c r="O4" s="111"/>
      <c r="P4" s="111"/>
      <c r="Q4" s="111"/>
    </row>
    <row r="5" spans="1:19" ht="35.25" customHeight="1" thickBot="1" x14ac:dyDescent="0.35">
      <c r="A5" s="112" t="s">
        <v>106</v>
      </c>
      <c r="B5" s="113"/>
      <c r="C5" s="113"/>
      <c r="D5" s="113"/>
      <c r="E5" s="113"/>
      <c r="F5" s="114"/>
      <c r="G5" s="115" t="s">
        <v>133</v>
      </c>
      <c r="H5" s="116"/>
      <c r="I5" s="116"/>
      <c r="J5" s="116"/>
      <c r="K5" s="116"/>
      <c r="L5" s="116"/>
      <c r="M5" s="116"/>
      <c r="N5" s="116"/>
      <c r="O5" s="116"/>
      <c r="P5" s="116"/>
      <c r="Q5" s="117"/>
    </row>
    <row r="6" spans="1:19" ht="18" customHeight="1" thickBot="1" x14ac:dyDescent="0.35">
      <c r="A6" s="112" t="s">
        <v>107</v>
      </c>
      <c r="B6" s="113"/>
      <c r="C6" s="113"/>
      <c r="D6" s="113"/>
      <c r="E6" s="113"/>
      <c r="F6" s="114"/>
      <c r="G6" s="111" t="s">
        <v>134</v>
      </c>
      <c r="H6" s="111"/>
      <c r="I6" s="111"/>
      <c r="J6" s="111"/>
      <c r="K6" s="111"/>
      <c r="L6" s="111"/>
      <c r="M6" s="111"/>
      <c r="N6" s="111"/>
      <c r="O6" s="111"/>
      <c r="P6" s="111"/>
      <c r="Q6" s="111"/>
    </row>
    <row r="7" spans="1:19" ht="18" customHeight="1" thickBot="1" x14ac:dyDescent="0.35">
      <c r="A7" s="112" t="s">
        <v>108</v>
      </c>
      <c r="B7" s="113"/>
      <c r="C7" s="113"/>
      <c r="D7" s="113"/>
      <c r="E7" s="113"/>
      <c r="F7" s="114"/>
      <c r="G7" s="111" t="str">
        <f>+G6</f>
        <v>Ministerio de Trabajo, Planificacion y Reursos Humanos</v>
      </c>
      <c r="H7" s="111"/>
      <c r="I7" s="111"/>
      <c r="J7" s="111"/>
      <c r="K7" s="111"/>
      <c r="L7" s="111"/>
      <c r="M7" s="111"/>
      <c r="N7" s="111"/>
      <c r="O7" s="111"/>
      <c r="P7" s="111"/>
      <c r="Q7" s="111"/>
    </row>
    <row r="8" spans="1:19" ht="18" customHeight="1" thickBot="1" x14ac:dyDescent="0.3">
      <c r="A8" s="118" t="s">
        <v>109</v>
      </c>
      <c r="B8" s="118"/>
      <c r="C8" s="118"/>
      <c r="D8" s="118"/>
      <c r="E8" s="118"/>
      <c r="F8" s="118"/>
      <c r="G8" s="118"/>
      <c r="H8" s="118"/>
      <c r="I8" s="118"/>
      <c r="J8" s="118"/>
      <c r="K8" s="118"/>
      <c r="L8" s="118"/>
      <c r="M8" s="118"/>
      <c r="N8" s="118"/>
      <c r="O8" s="118"/>
      <c r="P8" s="118"/>
      <c r="Q8" s="118"/>
    </row>
    <row r="9" spans="1:19" ht="18" customHeight="1" x14ac:dyDescent="0.3">
      <c r="A9" s="106" t="s">
        <v>110</v>
      </c>
      <c r="B9" s="106"/>
      <c r="C9" s="106"/>
      <c r="D9" s="106"/>
      <c r="E9" s="106"/>
      <c r="F9" s="106"/>
      <c r="G9" s="106"/>
      <c r="H9" s="106"/>
      <c r="I9" s="106"/>
      <c r="J9" s="106"/>
      <c r="K9" s="106"/>
      <c r="L9" s="106"/>
      <c r="M9" s="106"/>
      <c r="N9" s="106"/>
      <c r="O9" s="55"/>
      <c r="P9" s="55"/>
      <c r="Q9" s="56"/>
    </row>
    <row r="10" spans="1:19" ht="65.25" customHeight="1" x14ac:dyDescent="0.25">
      <c r="A10" s="97" t="s">
        <v>131</v>
      </c>
      <c r="B10" s="97"/>
      <c r="C10" s="97"/>
      <c r="D10" s="97"/>
      <c r="E10" s="97"/>
      <c r="F10" s="97"/>
      <c r="G10" s="97"/>
      <c r="H10" s="97"/>
      <c r="I10" s="97"/>
      <c r="J10" s="97"/>
      <c r="K10" s="97"/>
      <c r="L10" s="97"/>
      <c r="M10" s="97"/>
      <c r="N10" s="97"/>
      <c r="O10" s="97"/>
      <c r="P10" s="97"/>
      <c r="Q10" s="97"/>
    </row>
    <row r="11" spans="1:19" ht="9" customHeight="1" thickBot="1" x14ac:dyDescent="0.3">
      <c r="A11" s="57"/>
      <c r="B11" s="58"/>
      <c r="C11" s="58"/>
      <c r="D11" s="58"/>
      <c r="E11" s="58"/>
      <c r="F11" s="58"/>
      <c r="G11" s="59"/>
      <c r="H11" s="58"/>
      <c r="I11" s="58"/>
      <c r="J11" s="58"/>
      <c r="K11" s="58"/>
      <c r="L11" s="58"/>
      <c r="M11" s="58"/>
      <c r="N11" s="58"/>
      <c r="O11" s="58"/>
      <c r="P11" s="58"/>
      <c r="Q11" s="60"/>
    </row>
    <row r="12" spans="1:19" ht="15.75" customHeight="1" thickBot="1" x14ac:dyDescent="0.3">
      <c r="A12" s="98" t="s">
        <v>111</v>
      </c>
      <c r="B12" s="98"/>
      <c r="C12" s="98"/>
      <c r="D12" s="98"/>
      <c r="E12" s="98"/>
      <c r="F12" s="98"/>
      <c r="G12" s="98"/>
      <c r="H12" s="98"/>
      <c r="I12" s="98"/>
      <c r="J12" s="98"/>
      <c r="K12" s="98"/>
      <c r="L12" s="98"/>
      <c r="M12" s="98"/>
      <c r="N12" s="98"/>
      <c r="O12" s="98"/>
      <c r="P12" s="98"/>
      <c r="Q12" s="98"/>
    </row>
    <row r="13" spans="1:19" ht="15.75" customHeight="1" thickBot="1" x14ac:dyDescent="0.3">
      <c r="A13" s="98" t="s">
        <v>112</v>
      </c>
      <c r="B13" s="98"/>
      <c r="C13" s="98"/>
      <c r="D13" s="98"/>
      <c r="E13" s="98"/>
      <c r="F13" s="98"/>
      <c r="G13" s="98"/>
      <c r="H13" s="98"/>
      <c r="I13" s="98"/>
      <c r="J13" s="98"/>
      <c r="K13" s="98"/>
      <c r="L13" s="98"/>
      <c r="M13" s="98"/>
      <c r="N13" s="98"/>
      <c r="O13" s="99" t="s">
        <v>113</v>
      </c>
      <c r="P13" s="99"/>
      <c r="Q13" s="101" t="s">
        <v>114</v>
      </c>
    </row>
    <row r="14" spans="1:19" ht="15.75" customHeight="1" thickBot="1" x14ac:dyDescent="0.3">
      <c r="A14" s="70" t="s">
        <v>115</v>
      </c>
      <c r="B14" s="71" t="s">
        <v>116</v>
      </c>
      <c r="C14" s="71" t="s">
        <v>117</v>
      </c>
      <c r="D14" s="71" t="s">
        <v>118</v>
      </c>
      <c r="E14" s="71" t="s">
        <v>119</v>
      </c>
      <c r="F14" s="71" t="s">
        <v>120</v>
      </c>
      <c r="G14" s="72" t="s">
        <v>121</v>
      </c>
      <c r="H14" s="71" t="s">
        <v>122</v>
      </c>
      <c r="I14" s="71" t="s">
        <v>123</v>
      </c>
      <c r="J14" s="71" t="s">
        <v>124</v>
      </c>
      <c r="K14" s="71" t="s">
        <v>124</v>
      </c>
      <c r="L14" s="71" t="s">
        <v>125</v>
      </c>
      <c r="M14" s="73" t="s">
        <v>126</v>
      </c>
      <c r="N14" s="74" t="s">
        <v>127</v>
      </c>
      <c r="O14" s="100"/>
      <c r="P14" s="99"/>
      <c r="Q14" s="101"/>
    </row>
    <row r="15" spans="1:19" s="77" customFormat="1" ht="15.75" customHeight="1" thickBot="1" x14ac:dyDescent="0.3">
      <c r="A15" s="66">
        <v>1</v>
      </c>
      <c r="B15" s="67">
        <v>0</v>
      </c>
      <c r="C15" s="67">
        <v>0</v>
      </c>
      <c r="D15" s="67">
        <v>1</v>
      </c>
      <c r="E15" s="67">
        <v>0</v>
      </c>
      <c r="F15" s="67">
        <v>4901</v>
      </c>
      <c r="G15" s="67">
        <v>3</v>
      </c>
      <c r="H15" s="67">
        <v>6</v>
      </c>
      <c r="I15" s="67">
        <v>2</v>
      </c>
      <c r="J15" s="67">
        <v>5</v>
      </c>
      <c r="K15" s="67">
        <v>6</v>
      </c>
      <c r="L15" s="67">
        <v>0</v>
      </c>
      <c r="M15" s="68">
        <v>1</v>
      </c>
      <c r="N15" s="69" t="s">
        <v>128</v>
      </c>
      <c r="O15" s="104" t="s">
        <v>15</v>
      </c>
      <c r="P15" s="105"/>
      <c r="Q15" s="76">
        <v>250000</v>
      </c>
    </row>
    <row r="16" spans="1:19" s="77" customFormat="1" ht="17.25" customHeight="1" thickBot="1" x14ac:dyDescent="0.3">
      <c r="A16" s="61">
        <v>2</v>
      </c>
      <c r="B16" s="62">
        <v>0</v>
      </c>
      <c r="C16" s="62">
        <v>0</v>
      </c>
      <c r="D16" s="62">
        <v>1</v>
      </c>
      <c r="E16" s="62">
        <v>0</v>
      </c>
      <c r="F16" s="62">
        <v>4901</v>
      </c>
      <c r="G16" s="62">
        <v>3</v>
      </c>
      <c r="H16" s="62">
        <v>6</v>
      </c>
      <c r="I16" s="62">
        <v>2</v>
      </c>
      <c r="J16" s="62">
        <v>5</v>
      </c>
      <c r="K16" s="62">
        <v>6</v>
      </c>
      <c r="L16" s="62">
        <v>0</v>
      </c>
      <c r="M16" s="63">
        <v>1</v>
      </c>
      <c r="N16" s="62" t="s">
        <v>128</v>
      </c>
      <c r="O16" s="102" t="s">
        <v>15</v>
      </c>
      <c r="P16" s="103"/>
      <c r="Q16" s="75">
        <v>100000</v>
      </c>
      <c r="S16" s="78"/>
    </row>
    <row r="17" spans="1:20" ht="17.25" customHeight="1" thickBot="1" x14ac:dyDescent="0.3">
      <c r="A17" s="61">
        <v>3</v>
      </c>
      <c r="B17" s="62">
        <v>0</v>
      </c>
      <c r="C17" s="62">
        <v>0</v>
      </c>
      <c r="D17" s="62">
        <v>1</v>
      </c>
      <c r="E17" s="62">
        <v>0</v>
      </c>
      <c r="F17" s="62">
        <v>4901</v>
      </c>
      <c r="G17" s="62">
        <v>1</v>
      </c>
      <c r="H17" s="62">
        <v>3</v>
      </c>
      <c r="I17" s="62">
        <v>2</v>
      </c>
      <c r="J17" s="62">
        <v>5</v>
      </c>
      <c r="K17" s="62">
        <v>6</v>
      </c>
      <c r="L17" s="62">
        <v>0</v>
      </c>
      <c r="M17" s="63">
        <v>1</v>
      </c>
      <c r="N17" s="62" t="s">
        <v>128</v>
      </c>
      <c r="O17" s="102" t="s">
        <v>15</v>
      </c>
      <c r="P17" s="103"/>
      <c r="Q17" s="75">
        <v>50000</v>
      </c>
    </row>
    <row r="18" spans="1:20" ht="17.25" customHeight="1" thickBot="1" x14ac:dyDescent="0.3">
      <c r="A18" s="61">
        <v>4</v>
      </c>
      <c r="B18" s="62">
        <v>0</v>
      </c>
      <c r="C18" s="62">
        <v>0</v>
      </c>
      <c r="D18" s="62">
        <v>1</v>
      </c>
      <c r="E18" s="62">
        <v>0</v>
      </c>
      <c r="F18" s="62">
        <v>4901</v>
      </c>
      <c r="G18" s="62">
        <v>3</v>
      </c>
      <c r="H18" s="62">
        <v>4</v>
      </c>
      <c r="I18" s="62">
        <v>2</v>
      </c>
      <c r="J18" s="62">
        <v>5</v>
      </c>
      <c r="K18" s="62">
        <v>6</v>
      </c>
      <c r="L18" s="62">
        <v>0</v>
      </c>
      <c r="M18" s="63">
        <v>1</v>
      </c>
      <c r="N18" s="62" t="s">
        <v>128</v>
      </c>
      <c r="O18" s="95" t="s">
        <v>15</v>
      </c>
      <c r="P18" s="96"/>
      <c r="Q18" s="75">
        <v>50000</v>
      </c>
    </row>
    <row r="19" spans="1:20" ht="17.25" customHeight="1" thickBot="1" x14ac:dyDescent="0.3">
      <c r="A19" s="61">
        <v>5</v>
      </c>
      <c r="B19" s="62">
        <v>0</v>
      </c>
      <c r="C19" s="62">
        <v>0</v>
      </c>
      <c r="D19" s="62">
        <v>1</v>
      </c>
      <c r="E19" s="62">
        <v>0</v>
      </c>
      <c r="F19" s="62">
        <v>4901</v>
      </c>
      <c r="G19" s="62">
        <v>3</v>
      </c>
      <c r="H19" s="62">
        <v>6</v>
      </c>
      <c r="I19" s="62">
        <v>2</v>
      </c>
      <c r="J19" s="62">
        <v>5</v>
      </c>
      <c r="K19" s="62">
        <v>6</v>
      </c>
      <c r="L19" s="62">
        <v>0</v>
      </c>
      <c r="M19" s="63">
        <v>1</v>
      </c>
      <c r="N19" s="62" t="s">
        <v>128</v>
      </c>
      <c r="O19" s="102" t="s">
        <v>15</v>
      </c>
      <c r="P19" s="103"/>
      <c r="Q19" s="75">
        <v>100000</v>
      </c>
    </row>
    <row r="20" spans="1:20" ht="17.25" customHeight="1" thickBot="1" x14ac:dyDescent="0.3">
      <c r="A20" s="61">
        <v>6</v>
      </c>
      <c r="B20" s="62">
        <v>0</v>
      </c>
      <c r="C20" s="62">
        <v>0</v>
      </c>
      <c r="D20" s="62">
        <v>2</v>
      </c>
      <c r="E20" s="62">
        <v>0</v>
      </c>
      <c r="F20" s="62">
        <v>4901</v>
      </c>
      <c r="G20" s="62">
        <v>1</v>
      </c>
      <c r="H20" s="62">
        <v>3</v>
      </c>
      <c r="I20" s="62">
        <v>2</v>
      </c>
      <c r="J20" s="62">
        <v>5</v>
      </c>
      <c r="K20" s="62">
        <v>6</v>
      </c>
      <c r="L20" s="62">
        <v>0</v>
      </c>
      <c r="M20" s="63">
        <v>1</v>
      </c>
      <c r="N20" s="62" t="s">
        <v>128</v>
      </c>
      <c r="O20" s="102" t="s">
        <v>15</v>
      </c>
      <c r="P20" s="103"/>
      <c r="Q20" s="75">
        <v>100000</v>
      </c>
    </row>
    <row r="21" spans="1:20" ht="17.25" customHeight="1" thickBot="1" x14ac:dyDescent="0.3">
      <c r="A21" s="61">
        <v>7</v>
      </c>
      <c r="B21" s="62">
        <v>0</v>
      </c>
      <c r="C21" s="62">
        <v>0</v>
      </c>
      <c r="D21" s="62">
        <v>1</v>
      </c>
      <c r="E21" s="62">
        <v>0</v>
      </c>
      <c r="F21" s="62">
        <v>4901</v>
      </c>
      <c r="G21" s="62">
        <v>1</v>
      </c>
      <c r="H21" s="62">
        <v>3</v>
      </c>
      <c r="I21" s="62">
        <v>2</v>
      </c>
      <c r="J21" s="62">
        <v>5</v>
      </c>
      <c r="K21" s="62">
        <v>6</v>
      </c>
      <c r="L21" s="62">
        <v>0</v>
      </c>
      <c r="M21" s="63">
        <v>1</v>
      </c>
      <c r="N21" s="62" t="s">
        <v>128</v>
      </c>
      <c r="O21" s="102" t="s">
        <v>15</v>
      </c>
      <c r="P21" s="103"/>
      <c r="Q21" s="75">
        <v>100000</v>
      </c>
    </row>
    <row r="22" spans="1:20" ht="17.25" customHeight="1" thickBot="1" x14ac:dyDescent="0.3">
      <c r="A22" s="61">
        <v>9</v>
      </c>
      <c r="B22" s="62">
        <v>0</v>
      </c>
      <c r="C22" s="62">
        <v>0</v>
      </c>
      <c r="D22" s="62">
        <v>1</v>
      </c>
      <c r="E22" s="62">
        <v>0</v>
      </c>
      <c r="F22" s="62">
        <v>4901</v>
      </c>
      <c r="G22" s="62">
        <v>1</v>
      </c>
      <c r="H22" s="62">
        <v>3</v>
      </c>
      <c r="I22" s="62">
        <v>2</v>
      </c>
      <c r="J22" s="62">
        <v>5</v>
      </c>
      <c r="K22" s="62">
        <v>6</v>
      </c>
      <c r="L22" s="62">
        <v>0</v>
      </c>
      <c r="M22" s="63">
        <v>1</v>
      </c>
      <c r="N22" s="62" t="s">
        <v>128</v>
      </c>
      <c r="O22" s="95" t="s">
        <v>15</v>
      </c>
      <c r="P22" s="96"/>
      <c r="Q22" s="75">
        <v>51600</v>
      </c>
      <c r="S22" s="64"/>
    </row>
    <row r="23" spans="1:20" ht="28.5" customHeight="1" thickBot="1" x14ac:dyDescent="0.3">
      <c r="A23" s="88" t="s">
        <v>156</v>
      </c>
      <c r="B23" s="88"/>
      <c r="C23" s="88"/>
      <c r="D23" s="88"/>
      <c r="E23" s="88"/>
      <c r="F23" s="88"/>
      <c r="G23" s="88"/>
      <c r="H23" s="88"/>
      <c r="I23" s="88"/>
      <c r="J23" s="88"/>
      <c r="K23" s="88"/>
      <c r="L23" s="88"/>
      <c r="M23" s="88"/>
      <c r="N23" s="88"/>
      <c r="O23" s="88"/>
      <c r="P23" s="88"/>
      <c r="Q23" s="65">
        <f>SUM(Q15:Q22)</f>
        <v>801600</v>
      </c>
      <c r="S23" s="64"/>
      <c r="T23" s="64"/>
    </row>
    <row r="24" spans="1:20" ht="18" customHeight="1" thickBot="1" x14ac:dyDescent="0.3">
      <c r="A24" s="89"/>
      <c r="B24" s="89"/>
      <c r="C24" s="89"/>
      <c r="D24" s="89"/>
      <c r="E24" s="89"/>
      <c r="F24" s="89"/>
      <c r="G24" s="89"/>
      <c r="H24" s="89"/>
      <c r="I24" s="89"/>
      <c r="J24" s="89"/>
      <c r="K24" s="89"/>
      <c r="L24" s="89"/>
      <c r="M24" s="89"/>
      <c r="N24" s="89"/>
      <c r="O24" s="89"/>
      <c r="P24" s="89"/>
      <c r="Q24" s="89"/>
    </row>
    <row r="25" spans="1:20" ht="17.25" customHeight="1" thickBot="1" x14ac:dyDescent="0.3">
      <c r="A25" s="90" t="s">
        <v>129</v>
      </c>
      <c r="B25" s="91"/>
      <c r="C25" s="91"/>
      <c r="D25" s="91"/>
      <c r="E25" s="91"/>
      <c r="F25" s="92"/>
      <c r="G25" s="93"/>
      <c r="H25" s="93"/>
      <c r="I25" s="93"/>
      <c r="J25" s="93"/>
      <c r="K25" s="93"/>
      <c r="L25" s="93"/>
      <c r="M25" s="93"/>
      <c r="N25" s="93"/>
      <c r="O25" s="93"/>
      <c r="P25" s="93"/>
      <c r="Q25" s="93"/>
    </row>
    <row r="26" spans="1:20" ht="18" customHeight="1" thickBot="1" x14ac:dyDescent="0.3">
      <c r="A26" s="94" t="str">
        <f>'[3] NotaPedido'!D8</f>
        <v>Adquisición de combustible para el parque automotor de este Ministerio.</v>
      </c>
      <c r="B26" s="94"/>
      <c r="C26" s="94"/>
      <c r="D26" s="94"/>
      <c r="E26" s="94"/>
      <c r="F26" s="94"/>
      <c r="G26" s="94"/>
      <c r="H26" s="94"/>
      <c r="I26" s="94"/>
      <c r="J26" s="94"/>
      <c r="K26" s="94"/>
      <c r="L26" s="94"/>
      <c r="M26" s="94"/>
      <c r="N26" s="94"/>
      <c r="O26" s="94"/>
      <c r="P26" s="94"/>
      <c r="Q26" s="94"/>
    </row>
    <row r="27" spans="1:20" ht="14.25" customHeight="1" thickBot="1" x14ac:dyDescent="0.3">
      <c r="A27" s="94"/>
      <c r="B27" s="94"/>
      <c r="C27" s="94"/>
      <c r="D27" s="94"/>
      <c r="E27" s="94"/>
      <c r="F27" s="94"/>
      <c r="G27" s="94"/>
      <c r="H27" s="94"/>
      <c r="I27" s="94"/>
      <c r="J27" s="94"/>
      <c r="K27" s="94"/>
      <c r="L27" s="94"/>
      <c r="M27" s="94"/>
      <c r="N27" s="94"/>
      <c r="O27" s="94"/>
      <c r="P27" s="94"/>
      <c r="Q27" s="94"/>
    </row>
  </sheetData>
  <mergeCells count="31">
    <mergeCell ref="A9:N9"/>
    <mergeCell ref="A1:C1"/>
    <mergeCell ref="D1:E1"/>
    <mergeCell ref="P1:Q2"/>
    <mergeCell ref="A4:F4"/>
    <mergeCell ref="G4:Q4"/>
    <mergeCell ref="A5:F5"/>
    <mergeCell ref="G5:Q5"/>
    <mergeCell ref="A6:F6"/>
    <mergeCell ref="G6:Q6"/>
    <mergeCell ref="A7:F7"/>
    <mergeCell ref="G7:Q7"/>
    <mergeCell ref="A8:Q8"/>
    <mergeCell ref="O22:P22"/>
    <mergeCell ref="A10:Q10"/>
    <mergeCell ref="A12:Q12"/>
    <mergeCell ref="A13:N13"/>
    <mergeCell ref="O13:P14"/>
    <mergeCell ref="Q13:Q14"/>
    <mergeCell ref="O16:P16"/>
    <mergeCell ref="O15:P15"/>
    <mergeCell ref="O17:P17"/>
    <mergeCell ref="O18:P18"/>
    <mergeCell ref="O19:P19"/>
    <mergeCell ref="O20:P20"/>
    <mergeCell ref="O21:P21"/>
    <mergeCell ref="A23:P23"/>
    <mergeCell ref="A24:Q24"/>
    <mergeCell ref="A25:F25"/>
    <mergeCell ref="G25:Q25"/>
    <mergeCell ref="A26:Q27"/>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E27" sqref="E27"/>
    </sheetView>
  </sheetViews>
  <sheetFormatPr baseColWidth="10" defaultRowHeight="15" x14ac:dyDescent="0.25"/>
  <cols>
    <col min="1" max="1" width="7.42578125" style="50" customWidth="1"/>
    <col min="2" max="2" width="17.7109375" style="50" customWidth="1"/>
    <col min="3" max="3" width="11.42578125" style="50"/>
    <col min="4" max="4" width="25" style="50" customWidth="1"/>
    <col min="5" max="5" width="15.7109375" style="50" customWidth="1"/>
    <col min="6" max="6" width="20" style="50" customWidth="1"/>
    <col min="7" max="7" width="6.5703125" style="50" customWidth="1"/>
    <col min="8" max="8" width="8.7109375" style="50" customWidth="1"/>
    <col min="9" max="9" width="35" style="41" customWidth="1"/>
    <col min="10" max="16384" width="11.42578125" style="41"/>
  </cols>
  <sheetData>
    <row r="1" spans="1:8" ht="52.5" customHeight="1" x14ac:dyDescent="0.25">
      <c r="A1" s="119" t="s">
        <v>27</v>
      </c>
      <c r="B1" s="119"/>
      <c r="C1" s="119"/>
      <c r="D1" s="119"/>
      <c r="E1" s="119"/>
      <c r="F1" s="119"/>
      <c r="G1" s="119"/>
      <c r="H1" s="119"/>
    </row>
    <row r="2" spans="1:8" ht="30" customHeight="1" x14ac:dyDescent="0.25">
      <c r="A2" s="42" t="s">
        <v>28</v>
      </c>
      <c r="B2" s="42" t="s">
        <v>29</v>
      </c>
      <c r="C2" s="42" t="s">
        <v>30</v>
      </c>
      <c r="D2" s="42" t="s">
        <v>31</v>
      </c>
      <c r="E2" s="42" t="s">
        <v>32</v>
      </c>
      <c r="F2" s="42" t="s">
        <v>33</v>
      </c>
      <c r="G2" s="42" t="s">
        <v>34</v>
      </c>
      <c r="H2" s="42" t="s">
        <v>35</v>
      </c>
    </row>
    <row r="3" spans="1:8" s="45" customFormat="1" x14ac:dyDescent="0.2">
      <c r="A3" s="43">
        <v>1</v>
      </c>
      <c r="B3" s="43" t="s">
        <v>36</v>
      </c>
      <c r="C3" s="43" t="s">
        <v>37</v>
      </c>
      <c r="D3" s="43" t="s">
        <v>38</v>
      </c>
      <c r="E3" s="43" t="s">
        <v>39</v>
      </c>
      <c r="F3" s="43" t="s">
        <v>40</v>
      </c>
      <c r="G3" s="43" t="s">
        <v>41</v>
      </c>
      <c r="H3" s="44">
        <v>2019</v>
      </c>
    </row>
    <row r="4" spans="1:8" x14ac:dyDescent="0.25">
      <c r="A4" s="42">
        <v>2</v>
      </c>
      <c r="B4" s="42" t="s">
        <v>36</v>
      </c>
      <c r="C4" s="42" t="s">
        <v>42</v>
      </c>
      <c r="D4" s="43" t="s">
        <v>43</v>
      </c>
      <c r="E4" s="42" t="s">
        <v>44</v>
      </c>
      <c r="F4" s="42" t="s">
        <v>45</v>
      </c>
      <c r="G4" s="42" t="s">
        <v>41</v>
      </c>
      <c r="H4" s="46">
        <v>2020</v>
      </c>
    </row>
    <row r="5" spans="1:8" x14ac:dyDescent="0.25">
      <c r="A5" s="42">
        <v>3</v>
      </c>
      <c r="B5" s="42" t="s">
        <v>36</v>
      </c>
      <c r="C5" s="42" t="s">
        <v>46</v>
      </c>
      <c r="D5" s="43" t="s">
        <v>47</v>
      </c>
      <c r="E5" s="42" t="s">
        <v>48</v>
      </c>
      <c r="F5" s="42" t="s">
        <v>49</v>
      </c>
      <c r="G5" s="42" t="s">
        <v>41</v>
      </c>
      <c r="H5" s="46">
        <v>2013</v>
      </c>
    </row>
    <row r="6" spans="1:8" x14ac:dyDescent="0.25">
      <c r="A6" s="47">
        <v>4</v>
      </c>
      <c r="B6" s="42" t="s">
        <v>36</v>
      </c>
      <c r="C6" s="47" t="s">
        <v>50</v>
      </c>
      <c r="D6" s="43" t="s">
        <v>51</v>
      </c>
      <c r="E6" s="47" t="s">
        <v>52</v>
      </c>
      <c r="F6" s="47" t="s">
        <v>53</v>
      </c>
      <c r="G6" s="47" t="s">
        <v>41</v>
      </c>
      <c r="H6" s="46">
        <v>2013</v>
      </c>
    </row>
    <row r="7" spans="1:8" x14ac:dyDescent="0.25">
      <c r="A7" s="47">
        <v>5</v>
      </c>
      <c r="B7" s="42" t="s">
        <v>36</v>
      </c>
      <c r="C7" s="42" t="s">
        <v>54</v>
      </c>
      <c r="D7" s="43" t="s">
        <v>47</v>
      </c>
      <c r="E7" s="47" t="s">
        <v>55</v>
      </c>
      <c r="F7" s="47" t="s">
        <v>56</v>
      </c>
      <c r="G7" s="47" t="s">
        <v>41</v>
      </c>
      <c r="H7" s="46">
        <v>2013</v>
      </c>
    </row>
    <row r="8" spans="1:8" x14ac:dyDescent="0.25">
      <c r="A8" s="47">
        <v>6</v>
      </c>
      <c r="B8" s="42" t="s">
        <v>36</v>
      </c>
      <c r="C8" s="47" t="s">
        <v>57</v>
      </c>
      <c r="D8" s="43" t="s">
        <v>58</v>
      </c>
      <c r="E8" s="47" t="s">
        <v>59</v>
      </c>
      <c r="F8" s="47" t="s">
        <v>60</v>
      </c>
      <c r="G8" s="47" t="s">
        <v>41</v>
      </c>
      <c r="H8" s="46">
        <v>2009</v>
      </c>
    </row>
    <row r="9" spans="1:8" x14ac:dyDescent="0.25">
      <c r="A9" s="47">
        <v>7</v>
      </c>
      <c r="B9" s="42" t="s">
        <v>36</v>
      </c>
      <c r="C9" s="47" t="s">
        <v>61</v>
      </c>
      <c r="D9" s="43" t="s">
        <v>62</v>
      </c>
      <c r="E9" s="47" t="s">
        <v>63</v>
      </c>
      <c r="F9" s="47" t="s">
        <v>64</v>
      </c>
      <c r="G9" s="47" t="s">
        <v>41</v>
      </c>
      <c r="H9" s="46">
        <v>2005</v>
      </c>
    </row>
    <row r="10" spans="1:8" x14ac:dyDescent="0.25">
      <c r="A10" s="47">
        <v>8</v>
      </c>
      <c r="B10" s="42" t="s">
        <v>36</v>
      </c>
      <c r="C10" s="47" t="s">
        <v>65</v>
      </c>
      <c r="D10" s="43" t="s">
        <v>62</v>
      </c>
      <c r="E10" s="47" t="s">
        <v>66</v>
      </c>
      <c r="F10" s="47" t="s">
        <v>67</v>
      </c>
      <c r="G10" s="47" t="s">
        <v>41</v>
      </c>
      <c r="H10" s="46">
        <v>2010</v>
      </c>
    </row>
    <row r="11" spans="1:8" x14ac:dyDescent="0.25">
      <c r="A11" s="47">
        <v>9</v>
      </c>
      <c r="B11" s="42" t="s">
        <v>36</v>
      </c>
      <c r="C11" s="47" t="s">
        <v>68</v>
      </c>
      <c r="D11" s="43" t="s">
        <v>69</v>
      </c>
      <c r="E11" s="47" t="s">
        <v>70</v>
      </c>
      <c r="F11" s="47" t="s">
        <v>71</v>
      </c>
      <c r="G11" s="47" t="s">
        <v>41</v>
      </c>
      <c r="H11" s="46">
        <v>2013</v>
      </c>
    </row>
    <row r="12" spans="1:8" x14ac:dyDescent="0.25">
      <c r="A12" s="47">
        <v>10</v>
      </c>
      <c r="B12" s="42" t="s">
        <v>36</v>
      </c>
      <c r="C12" s="47" t="s">
        <v>72</v>
      </c>
      <c r="D12" s="43" t="s">
        <v>73</v>
      </c>
      <c r="E12" s="47" t="s">
        <v>74</v>
      </c>
      <c r="F12" s="47" t="s">
        <v>75</v>
      </c>
      <c r="G12" s="47" t="s">
        <v>41</v>
      </c>
      <c r="H12" s="46">
        <v>2014</v>
      </c>
    </row>
    <row r="13" spans="1:8" x14ac:dyDescent="0.25">
      <c r="A13" s="47">
        <v>11</v>
      </c>
      <c r="B13" s="42" t="s">
        <v>36</v>
      </c>
      <c r="C13" s="47" t="s">
        <v>76</v>
      </c>
      <c r="D13" s="43" t="s">
        <v>73</v>
      </c>
      <c r="E13" s="47" t="s">
        <v>77</v>
      </c>
      <c r="F13" s="47" t="s">
        <v>78</v>
      </c>
      <c r="G13" s="47" t="s">
        <v>41</v>
      </c>
      <c r="H13" s="46">
        <v>2014</v>
      </c>
    </row>
    <row r="14" spans="1:8" x14ac:dyDescent="0.25">
      <c r="A14" s="48">
        <v>12</v>
      </c>
      <c r="B14" s="48" t="s">
        <v>36</v>
      </c>
      <c r="C14" s="48" t="s">
        <v>79</v>
      </c>
      <c r="D14" s="48" t="s">
        <v>80</v>
      </c>
      <c r="E14" s="48" t="s">
        <v>81</v>
      </c>
      <c r="F14" s="48" t="s">
        <v>82</v>
      </c>
      <c r="G14" s="48" t="s">
        <v>41</v>
      </c>
      <c r="H14" s="48">
        <v>2005</v>
      </c>
    </row>
    <row r="15" spans="1:8" x14ac:dyDescent="0.25">
      <c r="A15" s="48">
        <v>13</v>
      </c>
      <c r="B15" s="48" t="s">
        <v>83</v>
      </c>
      <c r="C15" s="48" t="s">
        <v>84</v>
      </c>
      <c r="D15" s="48" t="s">
        <v>85</v>
      </c>
      <c r="E15" s="48" t="s">
        <v>86</v>
      </c>
      <c r="F15" s="48" t="s">
        <v>87</v>
      </c>
      <c r="G15" s="48" t="s">
        <v>41</v>
      </c>
      <c r="H15" s="48">
        <v>2018</v>
      </c>
    </row>
    <row r="16" spans="1:8" x14ac:dyDescent="0.25">
      <c r="A16" s="47">
        <v>14</v>
      </c>
      <c r="B16" s="48" t="s">
        <v>88</v>
      </c>
      <c r="C16" s="48" t="s">
        <v>89</v>
      </c>
      <c r="D16" s="48" t="s">
        <v>90</v>
      </c>
      <c r="E16" s="48" t="s">
        <v>91</v>
      </c>
      <c r="F16" s="48" t="s">
        <v>92</v>
      </c>
      <c r="G16" s="48" t="s">
        <v>41</v>
      </c>
      <c r="H16" s="49">
        <v>2006</v>
      </c>
    </row>
    <row r="17" spans="1:9" x14ac:dyDescent="0.25">
      <c r="A17" s="48">
        <v>15</v>
      </c>
      <c r="B17" s="48" t="s">
        <v>36</v>
      </c>
      <c r="C17" s="48" t="s">
        <v>93</v>
      </c>
      <c r="D17" s="48" t="s">
        <v>94</v>
      </c>
      <c r="E17" s="48" t="s">
        <v>95</v>
      </c>
      <c r="F17" s="48" t="s">
        <v>96</v>
      </c>
      <c r="G17" s="48" t="s">
        <v>41</v>
      </c>
      <c r="H17" s="49">
        <v>2007</v>
      </c>
    </row>
    <row r="18" spans="1:9" x14ac:dyDescent="0.25">
      <c r="A18" s="48">
        <v>16</v>
      </c>
      <c r="B18" s="48" t="s">
        <v>36</v>
      </c>
      <c r="C18" s="48" t="s">
        <v>97</v>
      </c>
      <c r="D18" s="48" t="s">
        <v>98</v>
      </c>
      <c r="E18" s="48" t="s">
        <v>99</v>
      </c>
      <c r="F18" s="48" t="s">
        <v>100</v>
      </c>
      <c r="G18" s="48" t="s">
        <v>41</v>
      </c>
      <c r="H18" s="49">
        <v>2008</v>
      </c>
    </row>
    <row r="19" spans="1:9" x14ac:dyDescent="0.25">
      <c r="A19" s="120">
        <v>17</v>
      </c>
      <c r="B19" s="121" t="s">
        <v>36</v>
      </c>
      <c r="C19" s="121" t="s">
        <v>101</v>
      </c>
      <c r="D19" s="121" t="s">
        <v>98</v>
      </c>
      <c r="E19" s="121" t="s">
        <v>102</v>
      </c>
      <c r="F19" s="121" t="s">
        <v>103</v>
      </c>
      <c r="G19" s="121" t="s">
        <v>41</v>
      </c>
      <c r="H19" s="122">
        <v>2008</v>
      </c>
    </row>
    <row r="20" spans="1:9" x14ac:dyDescent="0.25">
      <c r="A20" s="48">
        <v>18</v>
      </c>
      <c r="B20" s="48" t="s">
        <v>36</v>
      </c>
      <c r="C20" s="48" t="s">
        <v>135</v>
      </c>
      <c r="D20" s="48" t="s">
        <v>136</v>
      </c>
      <c r="E20" s="48" t="s">
        <v>137</v>
      </c>
      <c r="F20" s="48" t="s">
        <v>138</v>
      </c>
      <c r="G20" s="48"/>
      <c r="H20" s="48"/>
      <c r="I20" s="123" t="s">
        <v>139</v>
      </c>
    </row>
    <row r="21" spans="1:9" x14ac:dyDescent="0.25">
      <c r="A21" s="48">
        <v>19</v>
      </c>
      <c r="B21" s="48" t="s">
        <v>36</v>
      </c>
      <c r="C21" s="48" t="s">
        <v>140</v>
      </c>
      <c r="D21" s="48" t="s">
        <v>141</v>
      </c>
      <c r="E21" s="48" t="s">
        <v>142</v>
      </c>
      <c r="F21" s="48" t="s">
        <v>143</v>
      </c>
      <c r="G21" s="48"/>
      <c r="H21" s="48"/>
      <c r="I21" s="123" t="s">
        <v>144</v>
      </c>
    </row>
    <row r="22" spans="1:9" x14ac:dyDescent="0.25">
      <c r="A22" s="48">
        <v>20</v>
      </c>
      <c r="B22" s="48" t="s">
        <v>36</v>
      </c>
      <c r="C22" s="48" t="s">
        <v>140</v>
      </c>
      <c r="D22" s="48" t="s">
        <v>145</v>
      </c>
      <c r="E22" s="48" t="s">
        <v>146</v>
      </c>
      <c r="F22" s="48" t="s">
        <v>147</v>
      </c>
      <c r="G22" s="48"/>
      <c r="H22" s="48"/>
      <c r="I22" s="123" t="s">
        <v>144</v>
      </c>
    </row>
    <row r="23" spans="1:9" x14ac:dyDescent="0.25">
      <c r="A23" s="48">
        <v>21</v>
      </c>
      <c r="B23" s="48" t="s">
        <v>36</v>
      </c>
      <c r="C23" s="48" t="s">
        <v>148</v>
      </c>
      <c r="D23" s="48" t="s">
        <v>149</v>
      </c>
      <c r="E23" s="48" t="s">
        <v>150</v>
      </c>
      <c r="F23" s="48" t="s">
        <v>151</v>
      </c>
      <c r="G23" s="48"/>
      <c r="H23" s="48"/>
      <c r="I23" s="123" t="s">
        <v>139</v>
      </c>
    </row>
    <row r="24" spans="1:9" x14ac:dyDescent="0.25">
      <c r="A24" s="48">
        <v>22</v>
      </c>
      <c r="B24" s="48" t="s">
        <v>36</v>
      </c>
      <c r="C24" s="48" t="s">
        <v>152</v>
      </c>
      <c r="D24" s="48" t="s">
        <v>153</v>
      </c>
      <c r="E24" s="48" t="s">
        <v>154</v>
      </c>
      <c r="F24" s="48" t="s">
        <v>155</v>
      </c>
      <c r="G24" s="48"/>
      <c r="H24" s="48"/>
      <c r="I24" s="123" t="s">
        <v>139</v>
      </c>
    </row>
  </sheetData>
  <mergeCells count="1">
    <mergeCell ref="A1:H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COMBUSTIBLE</vt:lpstr>
      <vt:lpstr>Autor Gastar</vt:lpstr>
      <vt:lpstr>PARQUE AUTOMOTOR</vt:lpstr>
      <vt:lpstr>'Autor Gastar'!Área_de_impresión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compras_rrhh@autolock.com</dc:creator>
  <cp:lastModifiedBy>compras_rrhh@autolock.com</cp:lastModifiedBy>
  <dcterms:created xsi:type="dcterms:W3CDTF">2022-02-08T12:44:30Z</dcterms:created>
  <dcterms:modified xsi:type="dcterms:W3CDTF">2022-02-10T15:27:51Z</dcterms:modified>
</cp:coreProperties>
</file>