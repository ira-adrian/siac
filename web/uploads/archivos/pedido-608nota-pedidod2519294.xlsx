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1">NotaPedido!$A$1:$K$25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K17" i="2"/>
  <c r="K18" i="2"/>
  <c r="K19" i="2"/>
  <c r="K20" i="2"/>
  <c r="K21" i="2"/>
  <c r="K22" i="2"/>
  <c r="K23" i="2"/>
  <c r="K24" i="2"/>
  <c r="C16" i="2"/>
  <c r="C17" i="2"/>
  <c r="C18" i="2"/>
  <c r="C19" i="2"/>
  <c r="C20" i="2"/>
  <c r="C21" i="2"/>
  <c r="C22" i="2"/>
  <c r="C23" i="2"/>
  <c r="C24" i="2"/>
  <c r="J18" i="2"/>
  <c r="J19" i="2"/>
  <c r="J20" i="2"/>
  <c r="J21" i="2"/>
  <c r="J22" i="2"/>
  <c r="J23" i="2"/>
  <c r="J24" i="2"/>
  <c r="I17" i="2"/>
  <c r="I18" i="2"/>
  <c r="I19" i="2"/>
  <c r="I20" i="2"/>
  <c r="I21" i="2"/>
  <c r="I22" i="2"/>
  <c r="I23" i="2"/>
  <c r="I24" i="2"/>
  <c r="A25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25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<sst xmlns="http://schemas.openxmlformats.org/spreadsheetml/2006/main" count="129" uniqueCount="88">
  <si>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</si>
  <si>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</si>
  <si>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</si>
  <si>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</si>
  <si>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</si>
  <si>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</si>
  <si>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</si>
  <si>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</si>
  <si>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</si>
  <si>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</si>
  <si>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</si>
  <si>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</si>
  <si>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</si>
  <si>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</si>
  <si>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</si>
  <si>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</si>
  <si>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</si>
  <si>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</si>
  <si>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</si>
  <si>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</si>
  <si>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</si>
  <si>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</si>
  <si>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</si>
  <si>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</si>
  <si>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</si>
  <si>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</si>
  <si>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</si>
  <si>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</si>
  <si>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</si>
  <si>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</si>
  <si>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</si>
  <si>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</si>
  <si>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</si>
  <si>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</si>
  <si>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</si>
  <si>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</si>
  <si>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</si>
  <si>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</si>
  <si>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</si>
  <si>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</si>
  <si>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</si>
  <si>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</si>
  <si>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</si>
  <si>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</si>
  <si>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</si>
  <si>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</si>
  <si>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</si>
  <si>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</si>
  <si>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</si>
  <si>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</si>
  <si>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</si>
  <si>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</si>
  <si>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</si>
  <si>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</si>
  <si>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</si>
  <si>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</si>
  <si>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</si>
  <si>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</si>
  <si>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</si>
  <si>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</si>
  <si>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</si>
  <si>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</si>
  <si>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</si>
  <si>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</si>
  <si>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Adquisición de NUTRICION Y SOLUCIONES QUE AFECTAN EL EQUILIBRIO HIDROELECTROLITICO Y SOLUCIONES PARA DIALISIS</t>
  </si>
  <si>
    <t>AGUA DESTILADA DE IRRIGACION QUIRURGICA X 2000 ML SACHET</t>
  </si>
  <si>
    <t>BICARBONATO 1 MOLAR SACHET X 100 ML</t>
  </si>
  <si>
    <t>SOLUCION A CONCENTRADO ACIDO PARA HEMODIALISIS , FORMULA GLUCOSADOS Y NO GLUCOSADAS X 10 LITROS TIPO K-DIAL</t>
  </si>
  <si>
    <t>SOLUCION B CONCENTRADO BASICO, FORMULA DE BICARBONATO EN SOLUCION X 10 LITROS TIPO K-DIAL</t>
  </si>
  <si>
    <t>SOLUCION DEXTROSA 50%SACHET X 500ML</t>
  </si>
  <si>
    <t>SOLUCION DEXTROSA AL 10% SACHET DE 500 ML</t>
  </si>
  <si>
    <t>SOLUCION DEXTROSA AL 25% SACHET DE 500 ML</t>
  </si>
  <si>
    <t xml:space="preserve">SOLUCION DEXTROSA AL 5 % SACHET DE 500 ML SISTEMA CERRADO , DOBLE PUERTO DE INYECCION </t>
  </si>
  <si>
    <t>SOLUCION FISIOLOGICA 0,9 % SACHET X 500 ML SISTEMA CERRADO DOBLE PUERTO DE INYECCION</t>
  </si>
  <si>
    <t>SOLUCION GLUCOSADA AL 25 % AMPOLLAS X 10 ML</t>
  </si>
  <si>
    <t>SOLUCION MANITOL DE SACHET 500 ML</t>
  </si>
  <si>
    <t>SOLUCION RINGER LACTATO DE 500 ML</t>
  </si>
  <si>
    <t>SULFATO DE MAGNESIO 25%  AMPOLLAS X 5 ML</t>
  </si>
  <si>
    <t>UNIDAD</t>
  </si>
  <si>
    <t xml:space="preserve">PRODUC. FARMAC. Y MEDICINALES </t>
  </si>
  <si>
    <t xml:space="preserve">20 dias corridos  - Servicio de Farmacia del HISJB - Avda. Illia y Mariano Moreno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</si>
  <si>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</si>
  <si>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</si>
  <si>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 xml:space="preserve">PLAZO DE ENTREGA: 20 DIAS CORRIDOS EN EL SERVICIO DE FARMACIA - AVDA. ILLIA Y MARIANO MORENO </t>
  </si>
  <si>
    <t>Costo total estimado: Cinco millones trescientos treinta y seis mil cien con 00/100.--</t>
  </si>
  <si>
    <t>TOTAL DE PESOS: CINCO MILLONES TRESCIENTOS TREINTA Y SEIS MIL CIEN CON 00/100.--</t>
  </si>
  <si>
    <t xml:space="preserve">Especificiones Tecnicas </t>
  </si>
  <si>
    <t>090 - 2021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</si>
</sst>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sz val="2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166" fontId="13" fillId="0" borderId="40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6" fontId="0" fillId="0" borderId="0" xfId="0" applyNumberFormat="1"/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169" fontId="14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4" borderId="0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 wrapText="1"/>
    </xf>
    <xf numFmtId="0" fontId="15" fillId="6" borderId="20" xfId="0" applyFont="1" applyFill="1" applyBorder="1" applyAlignment="1">
      <alignment horizontal="center" vertical="center"/>
    </xf>
    <xf numFmtId="0" fontId="15" fillId="6" borderId="44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1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0" xfId="0" applyFont="1" applyFill="1" applyBorder="1" applyAlignment="1">
      <alignment horizontal="left" vertical="center" wrapText="1" indent="1"/>
    </xf>
    <xf numFmtId="0" fontId="0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3" fillId="5" borderId="40" xfId="0" applyFont="1" applyFill="1" applyBorder="1" applyAlignment="1">
      <alignment horizontal="left" vertical="center" wrapText="1"/>
    </xf>
    <xf numFmtId="0" fontId="0" fillId="0" borderId="22" xfId="0" applyBorder="1"/>
    <xf numFmtId="0" fontId="25" fillId="0" borderId="34" xfId="0" applyFont="1" applyBorder="1" applyAlignment="1">
      <alignment horizontal="left" vertical="center"/>
    </xf>
    <xf numFmtId="0" fontId="24" fillId="0" borderId="34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1"/>
  <sheetViews>
    <sheetView tabSelected="1" zoomScale="85" zoomScaleNormal="85" workbookViewId="0">
      <selection activeCell="G33" sqref="G33"/>
    </sheetView>
  </sheetViews>
  <sheetFormatPr baseColWidth="10" defaultColWidth="11" defaultRowHeight="12.75" x14ac:dyDescent="0.2"/>
  <cols>
    <col min="1" max="1" width="4.5703125" style="38" customWidth="1"/>
    <col min="2" max="2" width="12.85546875" style="38" customWidth="1"/>
    <col min="3" max="3" width="32.42578125" style="38" customWidth="1"/>
    <col min="4" max="4" width="8.42578125" style="38" customWidth="1"/>
    <col min="5" max="5" width="79" style="38" customWidth="1"/>
    <col min="6" max="6" width="11" style="38"/>
    <col min="7" max="7" width="12.7109375" style="70" customWidth="1"/>
    <col min="8" max="8" width="13.85546875" style="38" customWidth="1"/>
    <col min="9" max="9" width="18.5703125" style="38" customWidth="1"/>
    <col min="10" max="16384" width="11" style="38"/>
  </cols>
  <sheetData>
    <row r="2" spans="1:9" ht="27" x14ac:dyDescent="0.35">
      <c r="B2" s="92" t="s">
        <v>0</v>
      </c>
      <c r="C2" s="92"/>
      <c r="D2" s="92"/>
      <c r="E2" s="92"/>
      <c r="F2" s="92"/>
      <c r="G2" s="92"/>
      <c r="H2" s="92"/>
    </row>
    <row r="4" spans="1:9" ht="18" customHeight="1" x14ac:dyDescent="0.25">
      <c r="A4" s="83" t="s">
        <v>1</v>
      </c>
      <c r="B4" s="83"/>
      <c r="C4" s="93" t="s">
        <v>56</v>
      </c>
      <c r="D4" s="93"/>
      <c r="E4" s="93"/>
      <c r="F4" s="39"/>
      <c r="G4" s="69"/>
      <c r="H4" s="39"/>
    </row>
    <row r="5" spans="1:9" ht="18" customHeight="1" x14ac:dyDescent="0.25">
      <c r="A5" s="83" t="s">
        <v>2</v>
      </c>
      <c r="B5" s="83"/>
      <c r="C5" s="93" t="s">
        <v>57</v>
      </c>
      <c r="D5" s="93"/>
      <c r="E5" s="93"/>
      <c r="F5" s="39"/>
      <c r="G5" s="69"/>
      <c r="H5" s="39"/>
    </row>
    <row r="6" spans="1:9" ht="16.5" customHeight="1" x14ac:dyDescent="0.25">
      <c r="A6" s="83" t="s">
        <v>3</v>
      </c>
      <c r="B6" s="83"/>
      <c r="C6" s="59">
        <v>2021</v>
      </c>
      <c r="D6" s="60"/>
      <c r="E6" s="60"/>
      <c r="F6" s="39"/>
      <c r="G6" s="69"/>
      <c r="H6" s="39"/>
    </row>
    <row r="7" spans="1:9" ht="16.5" customHeight="1" x14ac:dyDescent="0.25">
      <c r="A7" s="83" t="s">
        <v>4</v>
      </c>
      <c r="B7" s="83"/>
      <c r="C7" s="59">
        <v>4</v>
      </c>
      <c r="D7" s="60"/>
      <c r="E7" s="60"/>
      <c r="F7" s="39"/>
      <c r="G7" s="69"/>
      <c r="H7" s="39"/>
    </row>
    <row r="8" spans="1:9" ht="13.5" thickBot="1" x14ac:dyDescent="0.25">
      <c r="B8" s="39"/>
      <c r="C8" s="40"/>
      <c r="D8" s="39"/>
      <c r="E8" s="39"/>
      <c r="F8" s="39"/>
      <c r="G8" s="69"/>
      <c r="H8" s="39"/>
    </row>
    <row r="9" spans="1:9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9</v>
      </c>
      <c r="F9" s="54" t="s">
        <v>10</v>
      </c>
      <c r="G9" s="54" t="s">
        <v>11</v>
      </c>
      <c r="H9" s="54" t="s">
        <v>12</v>
      </c>
      <c r="I9" s="54" t="s">
        <v>13</v>
      </c>
    </row>
    <row r="10" spans="1:9" ht="31.9" customHeight="1" thickBot="1" x14ac:dyDescent="0.25">
      <c r="A10" s="55">
        <v>1</v>
      </c>
      <c r="B10" s="57"/>
      <c r="C10" s="56" t="s">
        <v>79</v>
      </c>
      <c r="D10" s="71">
        <v>252</v>
      </c>
      <c r="E10" s="72" t="s">
        <v>65</v>
      </c>
      <c r="F10" s="71" t="s">
        <v>78</v>
      </c>
      <c r="G10" s="73">
        <v>400</v>
      </c>
      <c r="H10" s="74">
        <v>260</v>
      </c>
      <c r="I10" s="58">
        <f t="shared" ref="I10:I22" si="0">G10*H10</f>
        <v>104000</v>
      </c>
    </row>
    <row r="11" spans="1:9" ht="31.9" customHeight="1" thickBot="1" x14ac:dyDescent="0.25">
      <c r="A11" s="55">
        <v>2</v>
      </c>
      <c r="B11" s="57"/>
      <c r="C11" s="56" t="s">
        <v>79</v>
      </c>
      <c r="D11" s="71">
        <v>252</v>
      </c>
      <c r="E11" s="72" t="s">
        <v>66</v>
      </c>
      <c r="F11" s="71" t="s">
        <v>78</v>
      </c>
      <c r="G11" s="73">
        <v>200</v>
      </c>
      <c r="H11" s="74">
        <v>256</v>
      </c>
      <c r="I11" s="58">
        <f t="shared" si="0"/>
        <v>51200</v>
      </c>
    </row>
    <row r="12" spans="1:9" ht="51.75" customHeight="1" thickBot="1" x14ac:dyDescent="0.25">
      <c r="A12" s="55">
        <v>3</v>
      </c>
      <c r="B12" s="57"/>
      <c r="C12" s="56" t="s">
        <v>79</v>
      </c>
      <c r="D12" s="71">
        <v>252</v>
      </c>
      <c r="E12" s="75" t="s">
        <v>67</v>
      </c>
      <c r="F12" s="71" t="s">
        <v>78</v>
      </c>
      <c r="G12" s="73">
        <v>500</v>
      </c>
      <c r="H12" s="74">
        <v>703</v>
      </c>
      <c r="I12" s="58">
        <f t="shared" si="0"/>
        <v>351500</v>
      </c>
    </row>
    <row r="13" spans="1:9" ht="50.25" customHeight="1" thickBot="1" x14ac:dyDescent="0.25">
      <c r="A13" s="55">
        <v>4</v>
      </c>
      <c r="B13" s="57"/>
      <c r="C13" s="56" t="s">
        <v>79</v>
      </c>
      <c r="D13" s="71">
        <v>252</v>
      </c>
      <c r="E13" s="75" t="s">
        <v>68</v>
      </c>
      <c r="F13" s="71" t="s">
        <v>78</v>
      </c>
      <c r="G13" s="73">
        <v>720</v>
      </c>
      <c r="H13" s="74">
        <v>635</v>
      </c>
      <c r="I13" s="58">
        <f t="shared" si="0"/>
        <v>457200</v>
      </c>
    </row>
    <row r="14" spans="1:9" ht="31.9" customHeight="1" thickBot="1" x14ac:dyDescent="0.25">
      <c r="A14" s="55">
        <v>5</v>
      </c>
      <c r="B14" s="57"/>
      <c r="C14" s="56" t="s">
        <v>79</v>
      </c>
      <c r="D14" s="71">
        <v>252</v>
      </c>
      <c r="E14" s="72" t="s">
        <v>69</v>
      </c>
      <c r="F14" s="71" t="s">
        <v>78</v>
      </c>
      <c r="G14" s="73">
        <v>30</v>
      </c>
      <c r="H14" s="74">
        <v>225</v>
      </c>
      <c r="I14" s="58">
        <f t="shared" si="0"/>
        <v>6750</v>
      </c>
    </row>
    <row r="15" spans="1:9" ht="31.9" customHeight="1" thickBot="1" x14ac:dyDescent="0.25">
      <c r="A15" s="55">
        <v>6</v>
      </c>
      <c r="B15" s="57"/>
      <c r="C15" s="56" t="s">
        <v>79</v>
      </c>
      <c r="D15" s="71">
        <v>252</v>
      </c>
      <c r="E15" s="72" t="s">
        <v>70</v>
      </c>
      <c r="F15" s="71" t="s">
        <v>78</v>
      </c>
      <c r="G15" s="73">
        <v>100</v>
      </c>
      <c r="H15" s="74">
        <v>119</v>
      </c>
      <c r="I15" s="58">
        <f t="shared" si="0"/>
        <v>11900</v>
      </c>
    </row>
    <row r="16" spans="1:9" ht="31.9" customHeight="1" thickBot="1" x14ac:dyDescent="0.25">
      <c r="A16" s="55">
        <v>7</v>
      </c>
      <c r="B16" s="57"/>
      <c r="C16" s="56" t="s">
        <v>79</v>
      </c>
      <c r="D16" s="71">
        <v>252</v>
      </c>
      <c r="E16" s="72" t="s">
        <v>71</v>
      </c>
      <c r="F16" s="71" t="s">
        <v>78</v>
      </c>
      <c r="G16" s="73">
        <v>50</v>
      </c>
      <c r="H16" s="74">
        <v>179</v>
      </c>
      <c r="I16" s="58">
        <f t="shared" si="0"/>
        <v>8950</v>
      </c>
    </row>
    <row r="17" spans="1:9" ht="31.9" customHeight="1" thickBot="1" x14ac:dyDescent="0.25">
      <c r="A17" s="55">
        <v>8</v>
      </c>
      <c r="B17" s="57"/>
      <c r="C17" s="56" t="s">
        <v>79</v>
      </c>
      <c r="D17" s="71">
        <v>252</v>
      </c>
      <c r="E17" s="75" t="s">
        <v>72</v>
      </c>
      <c r="F17" s="71" t="s">
        <v>78</v>
      </c>
      <c r="G17" s="73">
        <v>5000</v>
      </c>
      <c r="H17" s="74">
        <v>86</v>
      </c>
      <c r="I17" s="58">
        <f t="shared" si="0"/>
        <v>430000</v>
      </c>
    </row>
    <row r="18" spans="1:9" ht="31.9" customHeight="1" thickBot="1" x14ac:dyDescent="0.25">
      <c r="A18" s="55">
        <v>9</v>
      </c>
      <c r="B18" s="57"/>
      <c r="C18" s="56" t="s">
        <v>79</v>
      </c>
      <c r="D18" s="71">
        <v>252</v>
      </c>
      <c r="E18" s="75" t="s">
        <v>73</v>
      </c>
      <c r="F18" s="71" t="s">
        <v>78</v>
      </c>
      <c r="G18" s="73">
        <v>48000</v>
      </c>
      <c r="H18" s="74">
        <v>80</v>
      </c>
      <c r="I18" s="58">
        <f t="shared" si="0"/>
        <v>3840000</v>
      </c>
    </row>
    <row r="19" spans="1:9" ht="31.9" customHeight="1" thickBot="1" x14ac:dyDescent="0.25">
      <c r="A19" s="55">
        <v>10</v>
      </c>
      <c r="B19" s="57"/>
      <c r="C19" s="56" t="s">
        <v>79</v>
      </c>
      <c r="D19" s="71">
        <v>252</v>
      </c>
      <c r="E19" s="76" t="s">
        <v>74</v>
      </c>
      <c r="F19" s="71" t="s">
        <v>78</v>
      </c>
      <c r="G19" s="77">
        <v>500</v>
      </c>
      <c r="H19" s="74">
        <v>62</v>
      </c>
      <c r="I19" s="58">
        <f t="shared" si="0"/>
        <v>31000</v>
      </c>
    </row>
    <row r="20" spans="1:9" ht="31.9" customHeight="1" thickBot="1" x14ac:dyDescent="0.25">
      <c r="A20" s="55">
        <v>11</v>
      </c>
      <c r="B20" s="57"/>
      <c r="C20" s="56" t="s">
        <v>79</v>
      </c>
      <c r="D20" s="71">
        <v>252</v>
      </c>
      <c r="E20" s="76" t="s">
        <v>75</v>
      </c>
      <c r="F20" s="71" t="s">
        <v>78</v>
      </c>
      <c r="G20" s="77">
        <v>50</v>
      </c>
      <c r="H20" s="74">
        <v>286</v>
      </c>
      <c r="I20" s="58">
        <f t="shared" si="0"/>
        <v>14300</v>
      </c>
    </row>
    <row r="21" spans="1:9" ht="31.9" customHeight="1" thickBot="1" x14ac:dyDescent="0.25">
      <c r="A21" s="55">
        <v>12</v>
      </c>
      <c r="B21" s="57"/>
      <c r="C21" s="56" t="s">
        <v>79</v>
      </c>
      <c r="D21" s="71">
        <v>252</v>
      </c>
      <c r="E21" s="76" t="s">
        <v>76</v>
      </c>
      <c r="F21" s="71" t="s">
        <v>78</v>
      </c>
      <c r="G21" s="77">
        <v>100</v>
      </c>
      <c r="H21" s="74">
        <v>114</v>
      </c>
      <c r="I21" s="58">
        <f t="shared" si="0"/>
        <v>11400</v>
      </c>
    </row>
    <row r="22" spans="1:9" ht="31.9" customHeight="1" thickBot="1" x14ac:dyDescent="0.25">
      <c r="A22" s="55">
        <v>13</v>
      </c>
      <c r="B22" s="57"/>
      <c r="C22" s="56" t="s">
        <v>79</v>
      </c>
      <c r="D22" s="71">
        <v>252</v>
      </c>
      <c r="E22" s="76" t="s">
        <v>77</v>
      </c>
      <c r="F22" s="57" t="s">
        <v>78</v>
      </c>
      <c r="G22" s="77">
        <v>500</v>
      </c>
      <c r="H22" s="74">
        <v>35.799999999999997</v>
      </c>
      <c r="I22" s="58">
        <f t="shared" si="0"/>
        <v>17900</v>
      </c>
    </row>
    <row r="23" spans="1:9" ht="13.5" thickBot="1" x14ac:dyDescent="0.25"/>
    <row r="24" spans="1:9" ht="55.5" customHeight="1" thickBot="1" x14ac:dyDescent="0.25">
      <c r="C24" s="87" t="s">
        <v>81</v>
      </c>
      <c r="D24" s="88"/>
      <c r="E24" s="88"/>
    </row>
    <row r="25" spans="1:9" ht="25.5" customHeight="1" thickBot="1" x14ac:dyDescent="0.25">
      <c r="C25" s="89" t="s">
        <v>82</v>
      </c>
      <c r="D25" s="90"/>
      <c r="E25" s="91"/>
    </row>
    <row r="26" spans="1:9" ht="28.5" customHeight="1" thickBot="1" x14ac:dyDescent="0.25">
      <c r="C26" s="89" t="s">
        <v>83</v>
      </c>
      <c r="D26" s="90"/>
      <c r="E26" s="91"/>
    </row>
    <row r="28" spans="1:9" ht="13.5" thickBot="1" x14ac:dyDescent="0.25"/>
    <row r="29" spans="1:9" ht="19.5" customHeight="1" x14ac:dyDescent="0.2">
      <c r="B29" s="41" t="s">
        <v>86</v>
      </c>
      <c r="C29" s="42"/>
      <c r="D29" s="42"/>
      <c r="E29" s="43"/>
    </row>
    <row r="30" spans="1:9" ht="5.25" customHeight="1" x14ac:dyDescent="0.2">
      <c r="B30" s="44"/>
      <c r="C30" s="45"/>
      <c r="D30" s="45"/>
      <c r="E30" s="46"/>
    </row>
    <row r="31" spans="1:9" x14ac:dyDescent="0.2">
      <c r="B31" s="47"/>
      <c r="C31" s="45"/>
      <c r="D31" s="45"/>
      <c r="E31" s="46"/>
    </row>
    <row r="32" spans="1:9" x14ac:dyDescent="0.2">
      <c r="B32" s="47" t="s">
        <v>14</v>
      </c>
      <c r="C32" s="45"/>
      <c r="D32" s="45"/>
      <c r="E32" s="46"/>
    </row>
    <row r="33" spans="2:5" ht="27" customHeight="1" x14ac:dyDescent="0.2">
      <c r="B33" s="48"/>
      <c r="C33" s="84" t="s">
        <v>80</v>
      </c>
      <c r="D33" s="84"/>
      <c r="E33" s="85"/>
    </row>
    <row r="34" spans="2:5" x14ac:dyDescent="0.2">
      <c r="B34" s="48"/>
      <c r="C34" s="86"/>
      <c r="D34" s="86"/>
      <c r="E34" s="86"/>
    </row>
    <row r="35" spans="2:5" x14ac:dyDescent="0.2">
      <c r="B35" s="47" t="s">
        <v>15</v>
      </c>
      <c r="C35" s="45"/>
      <c r="D35" s="45"/>
      <c r="E35" s="46"/>
    </row>
    <row r="36" spans="2:5" ht="26.25" customHeight="1" x14ac:dyDescent="0.2">
      <c r="B36" s="48"/>
      <c r="C36" s="80"/>
      <c r="D36" s="80"/>
      <c r="E36" s="80"/>
    </row>
    <row r="37" spans="2:5" x14ac:dyDescent="0.2">
      <c r="B37" s="47" t="s">
        <v>16</v>
      </c>
      <c r="C37" s="49"/>
      <c r="D37" s="49"/>
      <c r="E37" s="50"/>
    </row>
    <row r="38" spans="2:5" ht="26.25" customHeight="1" x14ac:dyDescent="0.2">
      <c r="B38" s="48"/>
      <c r="C38" s="81" t="s">
        <v>61</v>
      </c>
      <c r="D38" s="81"/>
      <c r="E38" s="81"/>
    </row>
    <row r="39" spans="2:5" x14ac:dyDescent="0.2">
      <c r="B39" s="47" t="s">
        <v>17</v>
      </c>
      <c r="C39" s="45"/>
      <c r="D39" s="45"/>
      <c r="E39" s="46"/>
    </row>
    <row r="40" spans="2:5" ht="23.25" customHeight="1" x14ac:dyDescent="0.2">
      <c r="B40" s="47"/>
      <c r="C40" s="82"/>
      <c r="D40" s="82"/>
      <c r="E40" s="82"/>
    </row>
    <row r="41" spans="2:5" x14ac:dyDescent="0.2">
      <c r="B41" s="51"/>
      <c r="C41" s="52"/>
      <c r="D41" s="52"/>
      <c r="E41" s="53"/>
    </row>
  </sheetData>
  <mergeCells count="15">
    <mergeCell ref="B2:H2"/>
    <mergeCell ref="A4:B4"/>
    <mergeCell ref="C4:E4"/>
    <mergeCell ref="A5:B5"/>
    <mergeCell ref="C5:E5"/>
    <mergeCell ref="C36:E36"/>
    <mergeCell ref="C38:E38"/>
    <mergeCell ref="C40:E40"/>
    <mergeCell ref="A6:B6"/>
    <mergeCell ref="A7:B7"/>
    <mergeCell ref="C33:E33"/>
    <mergeCell ref="C34:E34"/>
    <mergeCell ref="C24:E24"/>
    <mergeCell ref="C25:E25"/>
    <mergeCell ref="C26:E2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5"/>
  <sheetViews>
    <sheetView topLeftCell="A7" zoomScale="70" zoomScaleNormal="70" workbookViewId="0">
      <selection activeCell="P14" sqref="P14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2" t="s">
        <v>18</v>
      </c>
      <c r="B1" s="102"/>
      <c r="C1" s="102"/>
      <c r="D1" s="102"/>
      <c r="E1" s="102"/>
      <c r="F1" s="102"/>
      <c r="G1" s="102"/>
      <c r="H1" s="102"/>
      <c r="I1" s="102"/>
      <c r="J1" s="3" t="s">
        <v>19</v>
      </c>
      <c r="K1" s="79" t="s">
        <v>87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3" t="s">
        <v>52</v>
      </c>
      <c r="B3" s="103"/>
      <c r="C3" s="103"/>
      <c r="D3" s="104" t="str">
        <f>'Necesidades Trimestrales'!C4</f>
        <v>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5" t="s">
        <v>53</v>
      </c>
      <c r="B4" s="105"/>
      <c r="C4" s="105"/>
      <c r="D4" s="104" t="str">
        <f>'Necesidades Trimestrales'!C5</f>
        <v>23 - Hospital Interzonal San Juan Bautista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5" t="s">
        <v>31</v>
      </c>
      <c r="B5" s="105"/>
      <c r="C5" s="105"/>
      <c r="D5" s="104" t="s">
        <v>58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3" t="s">
        <v>54</v>
      </c>
      <c r="B6" s="103"/>
      <c r="C6" s="103"/>
      <c r="D6" s="104" t="s">
        <v>59</v>
      </c>
      <c r="E6" s="104"/>
      <c r="F6" s="104"/>
      <c r="G6" s="104"/>
      <c r="H6" s="104"/>
      <c r="I6" s="104"/>
      <c r="J6" s="104"/>
      <c r="K6" s="104"/>
    </row>
    <row r="7" spans="1:11" ht="21" customHeight="1" x14ac:dyDescent="0.2">
      <c r="A7" s="105" t="s">
        <v>20</v>
      </c>
      <c r="B7" s="105"/>
      <c r="C7" s="105"/>
      <c r="D7" s="104" t="str">
        <f>'Necesidades Trimestrales'!C7 &amp; "° Trimestre - Año " &amp; 'Necesidades Trimestrales'!C6</f>
        <v>4° Trimestre - Año 2021</v>
      </c>
      <c r="E7" s="104"/>
      <c r="F7" s="104"/>
      <c r="G7" s="104"/>
      <c r="H7" s="104"/>
      <c r="I7" s="104"/>
      <c r="J7" s="104"/>
      <c r="K7" s="104"/>
    </row>
    <row r="8" spans="1:11" ht="51.75" customHeight="1" x14ac:dyDescent="0.2">
      <c r="A8" s="97" t="s">
        <v>21</v>
      </c>
      <c r="B8" s="97"/>
      <c r="C8" s="97"/>
      <c r="D8" s="98" t="s">
        <v>64</v>
      </c>
      <c r="E8" s="98"/>
      <c r="F8" s="98"/>
      <c r="G8" s="98"/>
      <c r="H8" s="98"/>
      <c r="I8" s="98"/>
      <c r="J8" s="98"/>
      <c r="K8" s="9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9" t="s">
        <v>22</v>
      </c>
      <c r="B10" s="100" t="s">
        <v>23</v>
      </c>
      <c r="C10" s="100" t="s">
        <v>24</v>
      </c>
      <c r="D10" s="100"/>
      <c r="E10" s="100"/>
      <c r="F10" s="100"/>
      <c r="G10" s="100"/>
      <c r="H10" s="100" t="s">
        <v>25</v>
      </c>
      <c r="I10" s="100" t="s">
        <v>26</v>
      </c>
      <c r="J10" s="100" t="s">
        <v>27</v>
      </c>
      <c r="K10" s="101" t="s">
        <v>28</v>
      </c>
    </row>
    <row r="11" spans="1:11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1" ht="20.25" customHeight="1" thickBot="1" x14ac:dyDescent="0.25">
      <c r="A12" s="8">
        <v>1</v>
      </c>
      <c r="B12" s="61">
        <f>'Necesidades Trimestrales'!B10</f>
        <v>0</v>
      </c>
      <c r="C12" s="94" t="str">
        <f>'Necesidades Trimestrales'!E10</f>
        <v>AGUA DESTILADA DE IRRIGACION QUIRURGICA X 2000 ML SACHET</v>
      </c>
      <c r="D12" s="94"/>
      <c r="E12" s="94"/>
      <c r="F12" s="94"/>
      <c r="G12" s="94"/>
      <c r="H12" s="62" t="s">
        <v>55</v>
      </c>
      <c r="I12" s="63" t="str">
        <f>'Necesidades Trimestrales'!F10</f>
        <v>UNIDAD</v>
      </c>
      <c r="J12" s="64">
        <f>'Necesidades Trimestrales'!H10</f>
        <v>260</v>
      </c>
      <c r="K12" s="65">
        <f>'Necesidades Trimestrales'!G10</f>
        <v>400</v>
      </c>
    </row>
    <row r="13" spans="1:11" ht="33" customHeight="1" thickBot="1" x14ac:dyDescent="0.25">
      <c r="A13" s="8">
        <v>2</v>
      </c>
      <c r="B13" s="61">
        <f>'Necesidades Trimestrales'!B11</f>
        <v>0</v>
      </c>
      <c r="C13" s="94" t="str">
        <f>'Necesidades Trimestrales'!E11</f>
        <v>BICARBONATO 1 MOLAR SACHET X 100 ML</v>
      </c>
      <c r="D13" s="94"/>
      <c r="E13" s="94"/>
      <c r="F13" s="94"/>
      <c r="G13" s="94"/>
      <c r="H13" s="62" t="s">
        <v>55</v>
      </c>
      <c r="I13" s="63" t="str">
        <f>'Necesidades Trimestrales'!F11</f>
        <v>UNIDAD</v>
      </c>
      <c r="J13" s="64">
        <f>'Necesidades Trimestrales'!H11</f>
        <v>256</v>
      </c>
      <c r="K13" s="65">
        <f>'Necesidades Trimestrales'!G11</f>
        <v>200</v>
      </c>
    </row>
    <row r="14" spans="1:11" ht="43.5" customHeight="1" thickBot="1" x14ac:dyDescent="0.25">
      <c r="A14" s="8">
        <v>3</v>
      </c>
      <c r="B14" s="61">
        <f>'Necesidades Trimestrales'!B12</f>
        <v>0</v>
      </c>
      <c r="C14" s="94" t="str">
        <f>'Necesidades Trimestrales'!E12</f>
        <v>SOLUCION A CONCENTRADO ACIDO PARA HEMODIALISIS , FORMULA GLUCOSADOS Y NO GLUCOSADAS X 10 LITROS TIPO K-DIAL</v>
      </c>
      <c r="D14" s="94"/>
      <c r="E14" s="94"/>
      <c r="F14" s="94"/>
      <c r="G14" s="94"/>
      <c r="H14" s="62" t="s">
        <v>55</v>
      </c>
      <c r="I14" s="63" t="str">
        <f>'Necesidades Trimestrales'!F12</f>
        <v>UNIDAD</v>
      </c>
      <c r="J14" s="64">
        <f>'Necesidades Trimestrales'!H12</f>
        <v>703</v>
      </c>
      <c r="K14" s="65">
        <f>'Necesidades Trimestrales'!G12</f>
        <v>500</v>
      </c>
    </row>
    <row r="15" spans="1:11" ht="42.75" customHeight="1" thickBot="1" x14ac:dyDescent="0.25">
      <c r="A15" s="8">
        <v>4</v>
      </c>
      <c r="B15" s="61">
        <f>'Necesidades Trimestrales'!B13</f>
        <v>0</v>
      </c>
      <c r="C15" s="94" t="str">
        <f>'Necesidades Trimestrales'!E13</f>
        <v>SOLUCION B CONCENTRADO BASICO, FORMULA DE BICARBONATO EN SOLUCION X 10 LITROS TIPO K-DIAL</v>
      </c>
      <c r="D15" s="94"/>
      <c r="E15" s="94"/>
      <c r="F15" s="94"/>
      <c r="G15" s="94"/>
      <c r="H15" s="62" t="s">
        <v>55</v>
      </c>
      <c r="I15" s="63" t="str">
        <f>'Necesidades Trimestrales'!F13</f>
        <v>UNIDAD</v>
      </c>
      <c r="J15" s="64">
        <f>'Necesidades Trimestrales'!H13</f>
        <v>635</v>
      </c>
      <c r="K15" s="65">
        <f>'Necesidades Trimestrales'!G13</f>
        <v>720</v>
      </c>
    </row>
    <row r="16" spans="1:11" ht="20.25" customHeight="1" thickBot="1" x14ac:dyDescent="0.25">
      <c r="A16" s="8">
        <v>5</v>
      </c>
      <c r="B16" s="61">
        <f>'Necesidades Trimestrales'!B14</f>
        <v>0</v>
      </c>
      <c r="C16" s="94" t="str">
        <f>'Necesidades Trimestrales'!E14</f>
        <v>SOLUCION DEXTROSA 50%SACHET X 500ML</v>
      </c>
      <c r="D16" s="94"/>
      <c r="E16" s="94"/>
      <c r="F16" s="94"/>
      <c r="G16" s="94"/>
      <c r="H16" s="62" t="s">
        <v>55</v>
      </c>
      <c r="I16" s="63" t="str">
        <f>'Necesidades Trimestrales'!F14</f>
        <v>UNIDAD</v>
      </c>
      <c r="J16" s="64">
        <f>'Necesidades Trimestrales'!H14</f>
        <v>225</v>
      </c>
      <c r="K16" s="65">
        <f>'Necesidades Trimestrales'!G14</f>
        <v>30</v>
      </c>
    </row>
    <row r="17" spans="1:1024" ht="20.25" customHeight="1" thickBot="1" x14ac:dyDescent="0.25">
      <c r="A17" s="8">
        <v>6</v>
      </c>
      <c r="B17" s="61">
        <f>'Necesidades Trimestrales'!B15</f>
        <v>0</v>
      </c>
      <c r="C17" s="94" t="str">
        <f>'Necesidades Trimestrales'!E15</f>
        <v>SOLUCION DEXTROSA AL 10% SACHET DE 500 ML</v>
      </c>
      <c r="D17" s="94"/>
      <c r="E17" s="94"/>
      <c r="F17" s="94"/>
      <c r="G17" s="94"/>
      <c r="H17" s="62" t="s">
        <v>55</v>
      </c>
      <c r="I17" s="63" t="str">
        <f>'Necesidades Trimestrales'!F15</f>
        <v>UNIDAD</v>
      </c>
      <c r="J17" s="64">
        <f>'Necesidades Trimestrales'!H15</f>
        <v>119</v>
      </c>
      <c r="K17" s="65">
        <f>'Necesidades Trimestrales'!G15</f>
        <v>100</v>
      </c>
    </row>
    <row r="18" spans="1:1024" ht="20.25" customHeight="1" thickBot="1" x14ac:dyDescent="0.25">
      <c r="A18" s="8">
        <v>7</v>
      </c>
      <c r="B18" s="61">
        <f>'Necesidades Trimestrales'!B16</f>
        <v>0</v>
      </c>
      <c r="C18" s="94" t="str">
        <f>'Necesidades Trimestrales'!E16</f>
        <v>SOLUCION DEXTROSA AL 25% SACHET DE 500 ML</v>
      </c>
      <c r="D18" s="94"/>
      <c r="E18" s="94"/>
      <c r="F18" s="94"/>
      <c r="G18" s="94"/>
      <c r="H18" s="62" t="s">
        <v>55</v>
      </c>
      <c r="I18" s="63" t="str">
        <f>'Necesidades Trimestrales'!F16</f>
        <v>UNIDAD</v>
      </c>
      <c r="J18" s="64">
        <f>'Necesidades Trimestrales'!H16</f>
        <v>179</v>
      </c>
      <c r="K18" s="65">
        <f>'Necesidades Trimestrales'!G16</f>
        <v>50</v>
      </c>
    </row>
    <row r="19" spans="1:1024" ht="20.25" customHeight="1" thickBot="1" x14ac:dyDescent="0.25">
      <c r="A19" s="8">
        <v>8</v>
      </c>
      <c r="B19" s="61">
        <f>'Necesidades Trimestrales'!B17</f>
        <v>0</v>
      </c>
      <c r="C19" s="94" t="str">
        <f>'Necesidades Trimestrales'!E17</f>
        <v xml:space="preserve">SOLUCION DEXTROSA AL 5 % SACHET DE 500 ML SISTEMA CERRADO , DOBLE PUERTO DE INYECCION </v>
      </c>
      <c r="D19" s="94"/>
      <c r="E19" s="94"/>
      <c r="F19" s="94"/>
      <c r="G19" s="94"/>
      <c r="H19" s="62" t="s">
        <v>55</v>
      </c>
      <c r="I19" s="63" t="str">
        <f>'Necesidades Trimestrales'!F17</f>
        <v>UNIDAD</v>
      </c>
      <c r="J19" s="64">
        <f>'Necesidades Trimestrales'!H17</f>
        <v>86</v>
      </c>
      <c r="K19" s="65">
        <f>'Necesidades Trimestrales'!G17</f>
        <v>5000</v>
      </c>
    </row>
    <row r="20" spans="1:1024" ht="20.25" customHeight="1" thickBot="1" x14ac:dyDescent="0.25">
      <c r="A20" s="8">
        <v>9</v>
      </c>
      <c r="B20" s="61">
        <f>'Necesidades Trimestrales'!B18</f>
        <v>0</v>
      </c>
      <c r="C20" s="94" t="str">
        <f>'Necesidades Trimestrales'!E18</f>
        <v>SOLUCION FISIOLOGICA 0,9 % SACHET X 500 ML SISTEMA CERRADO DOBLE PUERTO DE INYECCION</v>
      </c>
      <c r="D20" s="94"/>
      <c r="E20" s="94"/>
      <c r="F20" s="94"/>
      <c r="G20" s="94"/>
      <c r="H20" s="62" t="s">
        <v>55</v>
      </c>
      <c r="I20" s="63" t="str">
        <f>'Necesidades Trimestrales'!F18</f>
        <v>UNIDAD</v>
      </c>
      <c r="J20" s="64">
        <f>'Necesidades Trimestrales'!H18</f>
        <v>80</v>
      </c>
      <c r="K20" s="65">
        <f>'Necesidades Trimestrales'!G18</f>
        <v>48000</v>
      </c>
    </row>
    <row r="21" spans="1:1024" ht="20.25" customHeight="1" thickBot="1" x14ac:dyDescent="0.25">
      <c r="A21" s="8">
        <v>10</v>
      </c>
      <c r="B21" s="61">
        <f>'Necesidades Trimestrales'!B19</f>
        <v>0</v>
      </c>
      <c r="C21" s="94" t="str">
        <f>'Necesidades Trimestrales'!E19</f>
        <v>SOLUCION GLUCOSADA AL 25 % AMPOLLAS X 10 ML</v>
      </c>
      <c r="D21" s="94"/>
      <c r="E21" s="94"/>
      <c r="F21" s="94"/>
      <c r="G21" s="94"/>
      <c r="H21" s="62" t="s">
        <v>55</v>
      </c>
      <c r="I21" s="63" t="str">
        <f>'Necesidades Trimestrales'!F19</f>
        <v>UNIDAD</v>
      </c>
      <c r="J21" s="64">
        <f>'Necesidades Trimestrales'!H19</f>
        <v>62</v>
      </c>
      <c r="K21" s="65">
        <f>'Necesidades Trimestrales'!G19</f>
        <v>500</v>
      </c>
    </row>
    <row r="22" spans="1:1024" ht="20.25" customHeight="1" thickBot="1" x14ac:dyDescent="0.25">
      <c r="A22" s="8">
        <v>11</v>
      </c>
      <c r="B22" s="61">
        <f>'Necesidades Trimestrales'!B20</f>
        <v>0</v>
      </c>
      <c r="C22" s="94" t="str">
        <f>'Necesidades Trimestrales'!E20</f>
        <v>SOLUCION MANITOL DE SACHET 500 ML</v>
      </c>
      <c r="D22" s="94"/>
      <c r="E22" s="94"/>
      <c r="F22" s="94"/>
      <c r="G22" s="94"/>
      <c r="H22" s="62" t="s">
        <v>55</v>
      </c>
      <c r="I22" s="63" t="str">
        <f>'Necesidades Trimestrales'!F20</f>
        <v>UNIDAD</v>
      </c>
      <c r="J22" s="64">
        <f>'Necesidades Trimestrales'!H20</f>
        <v>286</v>
      </c>
      <c r="K22" s="65">
        <f>'Necesidades Trimestrales'!G20</f>
        <v>50</v>
      </c>
    </row>
    <row r="23" spans="1:1024" ht="20.25" customHeight="1" thickBot="1" x14ac:dyDescent="0.25">
      <c r="A23" s="8">
        <v>12</v>
      </c>
      <c r="B23" s="61">
        <f>'Necesidades Trimestrales'!B21</f>
        <v>0</v>
      </c>
      <c r="C23" s="94" t="str">
        <f>'Necesidades Trimestrales'!E21</f>
        <v>SOLUCION RINGER LACTATO DE 500 ML</v>
      </c>
      <c r="D23" s="94"/>
      <c r="E23" s="94"/>
      <c r="F23" s="94"/>
      <c r="G23" s="94"/>
      <c r="H23" s="62" t="s">
        <v>55</v>
      </c>
      <c r="I23" s="63" t="str">
        <f>'Necesidades Trimestrales'!F21</f>
        <v>UNIDAD</v>
      </c>
      <c r="J23" s="64">
        <f>'Necesidades Trimestrales'!H21</f>
        <v>114</v>
      </c>
      <c r="K23" s="65">
        <f>'Necesidades Trimestrales'!G21</f>
        <v>100</v>
      </c>
    </row>
    <row r="24" spans="1:1024" ht="20.25" customHeight="1" thickBot="1" x14ac:dyDescent="0.25">
      <c r="A24" s="8">
        <v>13</v>
      </c>
      <c r="B24" s="61">
        <f>'Necesidades Trimestrales'!B22</f>
        <v>0</v>
      </c>
      <c r="C24" s="94" t="str">
        <f>'Necesidades Trimestrales'!E22</f>
        <v>SULFATO DE MAGNESIO 25%  AMPOLLAS X 5 ML</v>
      </c>
      <c r="D24" s="94"/>
      <c r="E24" s="94"/>
      <c r="F24" s="94"/>
      <c r="G24" s="94"/>
      <c r="H24" s="62" t="s">
        <v>55</v>
      </c>
      <c r="I24" s="63" t="str">
        <f>'Necesidades Trimestrales'!F22</f>
        <v>UNIDAD</v>
      </c>
      <c r="J24" s="64">
        <f>'Necesidades Trimestrales'!H22</f>
        <v>35.799999999999997</v>
      </c>
      <c r="K24" s="65">
        <f>'Necesidades Trimestrales'!G22</f>
        <v>500</v>
      </c>
    </row>
    <row r="25" spans="1:1024" ht="27" customHeight="1" thickBot="1" x14ac:dyDescent="0.25">
      <c r="A25" s="95" t="s">
        <v>84</v>
      </c>
      <c r="B25" s="95"/>
      <c r="C25" s="95"/>
      <c r="D25" s="95"/>
      <c r="E25" s="95"/>
      <c r="F25" s="95"/>
      <c r="G25" s="95"/>
      <c r="H25" s="95"/>
      <c r="I25" s="95"/>
      <c r="J25" s="96">
        <f>SUMPRODUCT(J12:J24,K12:K24)</f>
        <v>5336100</v>
      </c>
      <c r="K25" s="96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</sheetData>
  <mergeCells count="3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5:I25"/>
    <mergeCell ref="J25:K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  <mergeCell ref="C16:G16"/>
    <mergeCell ref="C22:G22"/>
    <mergeCell ref="C23:G23"/>
    <mergeCell ref="C24:G24"/>
    <mergeCell ref="C17:G17"/>
    <mergeCell ref="C18:G18"/>
    <mergeCell ref="C19:G19"/>
    <mergeCell ref="C20:G20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topLeftCell="A13" zoomScale="130" zoomScaleNormal="130" workbookViewId="0">
      <selection activeCell="T17" sqref="T17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9" ht="15.75" customHeight="1" x14ac:dyDescent="0.25">
      <c r="A1" s="130" t="s">
        <v>3</v>
      </c>
      <c r="B1" s="130"/>
      <c r="C1" s="130"/>
      <c r="D1" s="131">
        <f>'Necesidades Trimestrales'!C6</f>
        <v>2021</v>
      </c>
      <c r="E1" s="131"/>
      <c r="F1" s="10"/>
      <c r="G1" s="10"/>
      <c r="H1" s="11"/>
      <c r="I1" s="11"/>
      <c r="J1" s="11"/>
      <c r="K1" s="11"/>
      <c r="L1" s="11"/>
      <c r="M1" s="11"/>
      <c r="N1" s="11"/>
      <c r="P1" s="132" t="s">
        <v>29</v>
      </c>
      <c r="Q1" s="132"/>
    </row>
    <row r="2" spans="1:19" ht="15.75" customHeight="1" x14ac:dyDescent="0.2">
      <c r="H2" s="11"/>
      <c r="I2" s="11"/>
      <c r="J2" s="11"/>
      <c r="K2" s="11"/>
      <c r="L2" s="11"/>
      <c r="M2" s="11"/>
      <c r="N2" s="11"/>
      <c r="P2" s="132"/>
      <c r="Q2" s="132"/>
    </row>
    <row r="4" spans="1:19" s="12" customFormat="1" ht="18" customHeight="1" thickBot="1" x14ac:dyDescent="0.25">
      <c r="A4" s="133" t="s">
        <v>30</v>
      </c>
      <c r="B4" s="133"/>
      <c r="C4" s="133"/>
      <c r="D4" s="133"/>
      <c r="E4" s="133"/>
      <c r="F4" s="133"/>
      <c r="G4" s="128" t="str">
        <f>NotaPedido!D3</f>
        <v>40 - Ministerio de Salud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9" s="12" customFormat="1" ht="18" customHeight="1" thickBot="1" x14ac:dyDescent="0.25">
      <c r="A5" s="125" t="s">
        <v>53</v>
      </c>
      <c r="B5" s="126"/>
      <c r="C5" s="126"/>
      <c r="D5" s="126"/>
      <c r="E5" s="126"/>
      <c r="F5" s="127"/>
      <c r="G5" s="128" t="str">
        <f>NotaPedido!D4</f>
        <v>23 - Hospital Interzonal San Juan Bautista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9" s="12" customFormat="1" ht="18" customHeight="1" thickBot="1" x14ac:dyDescent="0.25">
      <c r="A6" s="125" t="s">
        <v>31</v>
      </c>
      <c r="B6" s="126"/>
      <c r="C6" s="126"/>
      <c r="D6" s="126"/>
      <c r="E6" s="126"/>
      <c r="F6" s="127"/>
      <c r="G6" s="128" t="str">
        <f>NotaPedido!D5</f>
        <v>168 - Direccion Asistencial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9" s="12" customFormat="1" ht="18" customHeight="1" thickBot="1" x14ac:dyDescent="0.25">
      <c r="A7" s="125" t="s">
        <v>54</v>
      </c>
      <c r="B7" s="126"/>
      <c r="C7" s="126"/>
      <c r="D7" s="126"/>
      <c r="E7" s="126"/>
      <c r="F7" s="127"/>
      <c r="G7" s="128" t="str">
        <f>NotaPedido!D6</f>
        <v>Servicio de Farmacia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9" ht="18" customHeight="1" thickBot="1" x14ac:dyDescent="0.25">
      <c r="A8" s="129" t="s">
        <v>32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9" ht="18" customHeight="1" x14ac:dyDescent="0.2">
      <c r="A9" s="119" t="s">
        <v>33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13"/>
    </row>
    <row r="10" spans="1:19" ht="54.75" customHeight="1" x14ac:dyDescent="0.2">
      <c r="A10" s="120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090 - 2021,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9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9" ht="15.75" customHeight="1" x14ac:dyDescent="0.2">
      <c r="A12" s="121" t="s">
        <v>34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9" ht="15.75" customHeight="1" x14ac:dyDescent="0.2">
      <c r="A13" s="122" t="s">
        <v>35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36</v>
      </c>
      <c r="P13" s="123"/>
      <c r="Q13" s="124" t="s">
        <v>37</v>
      </c>
    </row>
    <row r="14" spans="1:19" ht="15.75" customHeight="1" x14ac:dyDescent="0.2">
      <c r="A14" s="18" t="s">
        <v>38</v>
      </c>
      <c r="B14" s="19" t="s">
        <v>39</v>
      </c>
      <c r="C14" s="19" t="s">
        <v>40</v>
      </c>
      <c r="D14" s="19" t="s">
        <v>41</v>
      </c>
      <c r="E14" s="19" t="s">
        <v>42</v>
      </c>
      <c r="F14" s="19" t="s">
        <v>43</v>
      </c>
      <c r="G14" s="20" t="s">
        <v>44</v>
      </c>
      <c r="H14" s="19" t="s">
        <v>45</v>
      </c>
      <c r="I14" s="19" t="s">
        <v>46</v>
      </c>
      <c r="J14" s="19" t="s">
        <v>47</v>
      </c>
      <c r="K14" s="19" t="s">
        <v>47</v>
      </c>
      <c r="L14" s="19" t="s">
        <v>48</v>
      </c>
      <c r="M14" s="21" t="s">
        <v>49</v>
      </c>
      <c r="N14" s="22" t="s">
        <v>50</v>
      </c>
      <c r="O14" s="123"/>
      <c r="P14" s="123"/>
      <c r="Q14" s="124"/>
    </row>
    <row r="15" spans="1:19" ht="17.25" customHeight="1" x14ac:dyDescent="0.2">
      <c r="A15" s="78">
        <v>33</v>
      </c>
      <c r="B15" s="26"/>
      <c r="C15" s="26"/>
      <c r="D15" s="26">
        <v>2</v>
      </c>
      <c r="E15" s="26"/>
      <c r="F15" s="26">
        <v>4901</v>
      </c>
      <c r="G15" s="26">
        <v>3</v>
      </c>
      <c r="H15" s="67" t="s">
        <v>62</v>
      </c>
      <c r="I15" s="26">
        <v>2</v>
      </c>
      <c r="J15" s="26">
        <v>5</v>
      </c>
      <c r="K15" s="26">
        <v>2</v>
      </c>
      <c r="L15" s="26"/>
      <c r="M15" s="26">
        <v>1</v>
      </c>
      <c r="N15" s="67" t="s">
        <v>63</v>
      </c>
      <c r="O15" s="116" t="s">
        <v>60</v>
      </c>
      <c r="P15" s="116"/>
      <c r="Q15" s="27">
        <v>5336100</v>
      </c>
    </row>
    <row r="16" spans="1:19" ht="17.25" customHeight="1" x14ac:dyDescent="0.2">
      <c r="A16" s="23"/>
      <c r="B16" s="24"/>
      <c r="C16" s="24"/>
      <c r="D16" s="24"/>
      <c r="E16" s="24"/>
      <c r="F16" s="26"/>
      <c r="G16" s="24"/>
      <c r="H16" s="66"/>
      <c r="I16" s="24"/>
      <c r="J16" s="24"/>
      <c r="K16" s="24"/>
      <c r="L16" s="24"/>
      <c r="M16" s="25"/>
      <c r="N16" s="67"/>
      <c r="O16" s="117"/>
      <c r="P16" s="117"/>
      <c r="Q16" s="27"/>
      <c r="S16" s="68"/>
    </row>
    <row r="17" spans="1:18" ht="17.25" customHeight="1" x14ac:dyDescent="0.2">
      <c r="A17" s="23"/>
      <c r="B17" s="24"/>
      <c r="C17" s="24"/>
      <c r="D17" s="24"/>
      <c r="E17" s="24"/>
      <c r="F17" s="24"/>
      <c r="G17" s="24"/>
      <c r="H17" s="66"/>
      <c r="I17" s="24"/>
      <c r="J17" s="24"/>
      <c r="K17" s="24"/>
      <c r="L17" s="24"/>
      <c r="M17" s="25"/>
      <c r="N17" s="67"/>
      <c r="O17" s="118"/>
      <c r="P17" s="111"/>
      <c r="Q17" s="27"/>
    </row>
    <row r="18" spans="1:18" ht="17.25" customHeight="1" x14ac:dyDescent="0.2">
      <c r="A18" s="23"/>
      <c r="B18" s="24"/>
      <c r="C18" s="24"/>
      <c r="D18" s="24"/>
      <c r="E18" s="24"/>
      <c r="F18" s="26"/>
      <c r="G18" s="24"/>
      <c r="H18" s="24"/>
      <c r="I18" s="24"/>
      <c r="J18" s="24"/>
      <c r="K18" s="24"/>
      <c r="L18" s="24"/>
      <c r="M18" s="25"/>
      <c r="N18" s="26"/>
      <c r="O18" s="111"/>
      <c r="P18" s="111"/>
      <c r="Q18" s="27"/>
    </row>
    <row r="19" spans="1:18" ht="17.25" customHeight="1" x14ac:dyDescent="0.2">
      <c r="A19" s="23"/>
      <c r="B19" s="24"/>
      <c r="C19" s="24"/>
      <c r="D19" s="24"/>
      <c r="E19" s="24"/>
      <c r="F19" s="26"/>
      <c r="G19" s="24"/>
      <c r="H19" s="24"/>
      <c r="I19" s="24"/>
      <c r="J19" s="24"/>
      <c r="K19" s="24"/>
      <c r="L19" s="24"/>
      <c r="M19" s="25"/>
      <c r="N19" s="26"/>
      <c r="O19" s="111"/>
      <c r="P19" s="111"/>
      <c r="Q19" s="27"/>
    </row>
    <row r="20" spans="1:18" ht="17.25" customHeight="1" x14ac:dyDescent="0.2">
      <c r="A20" s="28"/>
      <c r="B20" s="29"/>
      <c r="C20" s="29"/>
      <c r="D20" s="29"/>
      <c r="E20" s="29"/>
      <c r="F20" s="30"/>
      <c r="G20" s="29"/>
      <c r="H20" s="29"/>
      <c r="I20" s="29"/>
      <c r="J20" s="29"/>
      <c r="K20" s="29"/>
      <c r="L20" s="29"/>
      <c r="M20" s="31"/>
      <c r="N20" s="32"/>
      <c r="O20" s="112"/>
      <c r="P20" s="112"/>
      <c r="Q20" s="27"/>
      <c r="R20" s="1"/>
    </row>
    <row r="21" spans="1:18" ht="17.25" customHeight="1" x14ac:dyDescent="0.2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5"/>
      <c r="N21" s="34"/>
      <c r="O21" s="113"/>
      <c r="P21" s="113"/>
      <c r="Q21" s="36"/>
    </row>
    <row r="22" spans="1:18" ht="20.25" customHeight="1" x14ac:dyDescent="0.2">
      <c r="A22" s="114" t="s">
        <v>85</v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37">
        <f>SUM(Q15:Q21)</f>
        <v>5336100</v>
      </c>
    </row>
    <row r="23" spans="1:18" ht="18" customHeight="1" thickBot="1" x14ac:dyDescent="0.25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</row>
    <row r="24" spans="1:18" ht="17.25" customHeight="1" thickBot="1" x14ac:dyDescent="0.25">
      <c r="A24" s="106" t="s">
        <v>51</v>
      </c>
      <c r="B24" s="107"/>
      <c r="C24" s="107"/>
      <c r="D24" s="107"/>
      <c r="E24" s="107"/>
      <c r="F24" s="108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</row>
    <row r="25" spans="1:18" ht="18" customHeight="1" thickBot="1" x14ac:dyDescent="0.25">
      <c r="A25" s="110" t="str">
        <f>"Para la "&amp; NotaPedido!D8 &amp;" para ser destinados al " &amp; NotaPedido!D6 &amp;"  del HISJB del Ministerio de Salud."</f>
        <v>Para la Adquisición de NUTRICION Y SOLUCIONES QUE AFECTAN EL EQUILIBRIO HIDROELECTROLITICO Y SOLUCIONES PARA DIALISIS para ser destinados al Servicio de Farmacia  del HISJB del Ministerio de Salud.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</row>
    <row r="26" spans="1:18" ht="32.25" customHeight="1" x14ac:dyDescent="0.2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2021-11-04T16:08:10Z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