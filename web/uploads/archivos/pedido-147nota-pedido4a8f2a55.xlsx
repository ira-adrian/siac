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DESARROLLO SOCIAL\modulos alimentarios\"/>
    </mc:Choice>
  </mc:AlternateContent>
  <xr:revisionPtr revIDLastSave="0" documentId="13_ncr:1_{1656652C-0943-4BE8-AA84-32967ABD6E0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NotaPedido'!$A$1:$K$28</definedName>
    <definedName name="_xlnm.Print_Area" localSheetId="2">'Autor Gastar'!$A$1:$Q$27</definedName>
    <definedName name="_xlnm.Print_Area" localSheetId="0">'Necesidades Trimestrales'!$A$1:$J$41</definedName>
  </definedNames>
  <calcPr calcId="181029"/>
</workbook>
</file>

<file path=xl/calcChain.xml><?xml version="1.0" encoding="utf-8"?>
<calcChain xmlns="http://schemas.openxmlformats.org/spreadsheetml/2006/main">
  <c r="O13" i="2" l="1"/>
  <c r="O14" i="2"/>
  <c r="O15" i="2"/>
  <c r="O16" i="2"/>
  <c r="O17" i="2"/>
  <c r="O18" i="2"/>
  <c r="O19" i="2"/>
  <c r="O20" i="2"/>
  <c r="O21" i="2"/>
  <c r="O22" i="2"/>
  <c r="O23" i="2"/>
  <c r="O24" i="2"/>
  <c r="O25" i="2"/>
  <c r="O12" i="2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10" i="1"/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12" i="2"/>
  <c r="I22" i="1"/>
  <c r="I21" i="1"/>
  <c r="B24" i="2"/>
  <c r="B25" i="2"/>
  <c r="B23" i="2"/>
  <c r="C23" i="2"/>
  <c r="C24" i="2"/>
  <c r="C25" i="2"/>
  <c r="J26" i="2" l="1"/>
  <c r="D16" i="1"/>
  <c r="D17" i="1"/>
  <c r="I11" i="1"/>
  <c r="I12" i="1"/>
  <c r="I13" i="1"/>
  <c r="I14" i="1"/>
  <c r="I15" i="1"/>
  <c r="I16" i="1"/>
  <c r="I17" i="1"/>
  <c r="I18" i="1"/>
  <c r="I19" i="1"/>
  <c r="I20" i="1"/>
  <c r="I23" i="1"/>
  <c r="I10" i="1"/>
  <c r="D15" i="1" l="1"/>
  <c r="I17" i="2" l="1"/>
  <c r="D13" i="1"/>
  <c r="D12" i="1" l="1"/>
  <c r="C20" i="2" l="1"/>
  <c r="C21" i="2"/>
  <c r="C22" i="2"/>
  <c r="B20" i="2"/>
  <c r="B21" i="2"/>
  <c r="B22" i="2"/>
  <c r="C19" i="2" l="1"/>
  <c r="C18" i="2"/>
  <c r="C17" i="2"/>
  <c r="B19" i="2"/>
  <c r="B18" i="2"/>
  <c r="B17" i="2"/>
  <c r="I15" i="3" l="1"/>
  <c r="Q23" i="3" l="1"/>
  <c r="I13" i="2"/>
  <c r="I14" i="2"/>
  <c r="I15" i="2"/>
  <c r="I16" i="2"/>
  <c r="C13" i="2"/>
  <c r="C14" i="2"/>
  <c r="C15" i="2"/>
  <c r="C16" i="2"/>
  <c r="B13" i="2"/>
  <c r="B14" i="2"/>
  <c r="B15" i="2"/>
  <c r="B16" i="2"/>
  <c r="D11" i="1"/>
  <c r="D7" i="2" l="1"/>
  <c r="D3" i="2"/>
  <c r="G4" i="3" s="1"/>
  <c r="D4" i="2"/>
  <c r="G5" i="3" s="1"/>
  <c r="A10" i="3" l="1"/>
  <c r="D1" i="3"/>
  <c r="I12" i="2"/>
  <c r="C12" i="2"/>
  <c r="B12" i="2"/>
</calcChain>
</file>

<file path=xl/sharedStrings.xml><?xml version="1.0" encoding="utf-8"?>
<sst xmlns="http://schemas.openxmlformats.org/spreadsheetml/2006/main" count="323" uniqueCount="120">
  <si>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</si>
  <si>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</si>
  <si>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</si>
  <si>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</si>
  <si>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</si>
  <si>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</si>
  <si>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</si>
  <si>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</si>
  <si>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</si>
  <si>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</si>
  <si>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</si>
  <si>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</si>
  <si>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</si>
  <si>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</si>
  <si>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</si>
  <si>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</si>
  <si>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</si>
  <si>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</si>
  <si>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</si>
  <si>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</si>
  <si>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</si>
  <si>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</si>
  <si>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</si>
  <si>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</si>
  <si>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</si>
  <si>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</si>
  <si>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</si>
  <si>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</si>
  <si>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</si>
  <si>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</si>
  <si>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</si>
  <si>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</si>
  <si>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</si>
  <si>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</si>
  <si>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</si>
  <si>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</si>
  <si>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</si>
  <si>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</si>
  <si>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</si>
  <si>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</si>
  <si>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</si>
  <si>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</si>
  <si>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</si>
  <si>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</si>
  <si>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</si>
  <si>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</si>
  <si>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</si>
  <si>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</si>
  <si>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</si>
  <si>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</si>
  <si>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</si>
  <si>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</si>
  <si>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</si>
  <si>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</si>
  <si>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</si>
  <si>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</si>
  <si>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</si>
  <si>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</si>
  <si>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</si>
  <si>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</si>
  <si>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</si>
  <si>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MEDIA</t>
  </si>
  <si>
    <t>2.1.1</t>
  </si>
  <si>
    <t>2.1.1-439.67</t>
  </si>
  <si>
    <t>ACEITES COMESTIBLES; TIPO: GIRASOL, PRESENTACION: ENVASE X 900 CM3, MATERIAL ENVASE: PLASTICO 1 (PET), ELEM. TRANSPORTE: SIN, MATERIAL ELEM. TRANSPORTE : SIN, LIBRE DE GLUTEN: 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</si>
  <si>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</si>
  <si>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</si>
  <si>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</si>
  <si>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2.1.1-435.60</t>
  </si>
  <si>
    <t>AZUCARES; TIPO: "A" COMUN, ESTADO: MOLIDA, PESO: 1 Kg, MATERIAL ENVASE: PLASTICO, CERTIFICADO FORESTAL (GFS): SIN, ELEM. TRANSPORTE: SIN, MATERIAL ELEM. TRANSPORTE: SIN</t>
  </si>
  <si>
    <t>2.1.1-481.38</t>
  </si>
  <si>
    <t>60DIAS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</si>
  <si>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</si>
  <si>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</si>
  <si>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</si>
  <si>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</si>
  <si>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</si>
  <si>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</si>
  <si>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2.1.1-454.25</t>
  </si>
  <si>
    <t>YERBAS; PALO: CON, PESO: 1 Kg, MATERIAL ENVASE : PAPEL, CERTIFICADO FORESTAL (GFS): CON, ELEM. TRANSPORTE: SIN, MATERIAL ELEM. TRANSPORTE: SIN, LIBRE DE GLUTEN: SI</t>
  </si>
  <si>
    <t>2.1.1-6546.260</t>
  </si>
  <si>
    <t>VERDURAS Y HORTALIZAS; VARIEDAD: TOMATE, ESTADO: PURE, PRESENTACION: TETRABRIK, PESO: 520 GR</t>
  </si>
  <si>
    <t>2.1.1-6547.80</t>
  </si>
  <si>
    <t>LEGUMBRES; VARIEDAD: LENTEJA, ESTADO: SECO, PRESENTACION: SIN VALOR, PESO: ENVASE X 400 GR</t>
  </si>
  <si>
    <t>Adquisición de Alimentos  que seran destinadas a personas de escasos recursos, en el armado de modulos alimentarios, en el Marco del Programa Vivir Mejor</t>
  </si>
  <si>
    <t>16- Direccion Provincial de Accion Social Directa</t>
  </si>
  <si>
    <t>02- Programa Vivir Mejor PRO.VI.ME.</t>
  </si>
  <si>
    <t>02- PRO.VI.ME. Programa Vivir Mejor</t>
  </si>
  <si>
    <t>2.1.1-482.70</t>
  </si>
  <si>
    <t>HARINAS; TIPO: 000, PRESENTACION: ENVASE X 1 Kg, MATERIAL ENVASE: PAPEL, CERTICADO FORESTAL (GFS): SI, ELEM. TRANSPORTE: SIN, MATERIAL ELEM. TRANSPORTE: SIN, LIBRE DE GLUTEN: NO</t>
  </si>
  <si>
    <t>SI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</si>
  <si>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</si>
  <si>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</si>
  <si>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</si>
  <si>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</si>
  <si>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</si>
  <si>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</si>
  <si>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</si>
  <si>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</si>
  <si>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</si>
  <si>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</si>
  <si>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</si>
  <si>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</si>
  <si>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120/2022</t>
  </si>
  <si>
    <r>
      <rPr>
        <u/>
        <sz val="12"/>
        <rFont val="Times New Roman"/>
        <family val="1"/>
      </rPr>
      <t>Lugar y Forma de Entrega</t>
    </r>
    <r>
      <rPr>
        <sz val="12"/>
        <rFont val="Times New Roman"/>
        <family val="1"/>
      </rPr>
      <t>: Se Entregara en el Area Industrial El Pantanillo Deposito perteneciente al Ministerio de Desarrollo Social y Deporte- San Fernando del Valle de Catamarca (CP 4700) , corriendo los gastos de flete, acarreo, carga, descarga y seguros por cuenta del adjudicatario.-</t>
    </r>
  </si>
  <si>
    <t>45- Ministerio de Desarrollo Social.-</t>
  </si>
  <si>
    <r>
      <rPr>
        <u/>
        <sz val="12"/>
        <rFont val="Times New Roman"/>
        <family val="1"/>
      </rPr>
      <t>PRIMERA ENTREGA (50.000 UNIDADES)</t>
    </r>
    <r>
      <rPr>
        <sz val="12"/>
        <rFont val="Times New Roman"/>
        <family val="1"/>
      </rPr>
      <t xml:space="preserve">: DENTRO DE LOS 5 (CINCO) DIAS HABILES DE NOTIFICADA LA ORDEN DE COMPRA. - </t>
    </r>
    <r>
      <rPr>
        <u/>
        <sz val="12"/>
        <rFont val="Times New Roman"/>
        <family val="1"/>
      </rPr>
      <t>SEGUNDA ENTREGA (50.000 UNIDADES):</t>
    </r>
    <r>
      <rPr>
        <sz val="12"/>
        <rFont val="Times New Roman"/>
        <family val="1"/>
      </rPr>
      <t xml:space="preserve"> A LOS 30 (TREINTA) DIAS HABILES DE NOTIFICADA LA ORDEN DE COMPRA.-</t>
    </r>
  </si>
  <si>
    <r>
      <rPr>
        <u/>
        <sz val="12"/>
        <rFont val="Times New Roman"/>
        <family val="1"/>
      </rPr>
      <t>PRIMERA ENTREGA (50.000 UNIDADES)</t>
    </r>
    <r>
      <rPr>
        <sz val="12"/>
        <rFont val="Times New Roman"/>
        <family val="1"/>
      </rPr>
      <t xml:space="preserve">: DENTRO DE LOS 5 (CINCO) DIAS HABILES DE NOTIFICADA LA ORDEN DE COMPRA. - </t>
    </r>
    <r>
      <rPr>
        <u/>
        <sz val="12"/>
        <rFont val="Times New Roman"/>
        <family val="1"/>
      </rPr>
      <t>SEGUNDA ENTREGA (50.000 UNIDADES):</t>
    </r>
    <r>
      <rPr>
        <sz val="12"/>
        <rFont val="Times New Roman"/>
        <family val="1"/>
      </rPr>
      <t xml:space="preserve">  A LOS 30 (TREINTA) DIAS HABILES DE NOTIFICADA LA ORDEN DE COMPRA.-</t>
    </r>
  </si>
  <si>
    <t>ARROZ - GRANO LARGO FINO - BLANCO SIN CASCARA 00000 X 1 KG - SIN T.A.A.C - EN ENVASE PLASTICO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</si>
  <si>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</si>
  <si>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</si>
  <si>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2.1.1-6547.83</t>
  </si>
  <si>
    <t>LEGUMBRES; VARIEDAD: POROTOS PALLARES, ESTADO: EN CONSERVA, PRESENTACION: LATA, PESO: 350 GR, MATERIAL ENVASE: METAL, ELEM. TRANSPORTE: SIN, MATERIAL ELEM. TRANSPORTE: SIN</t>
  </si>
  <si>
    <t>2.1.1-482.89</t>
  </si>
  <si>
    <t>Especificidades Item N° 13:</t>
  </si>
  <si>
    <t>Especificidades Item N° 14:</t>
  </si>
  <si>
    <t>TOTAL DE PESOS: DOSCIENTOS NUEVE MILLONES DOSCIENTOS OCHENTA MIL  CON 00/100.-</t>
  </si>
  <si>
    <t>Costo total estimado:DOSCIENTOS NUEVE MILLONES DOSCIENTOS OCHENTA MIL  CON 00/100.-</t>
  </si>
  <si>
    <t>HARINAS; TIPO: MAIZ PRECOCIDA O DE COCCION RAPIDA. PRESENTACION: ENVASE POR 500 GR. LIBRE DE GLUTEN: SI</t>
  </si>
  <si>
    <t>HARINAS.TIPO: MAIZ PRECOCIDA O DE COCCION RAPIDA. PRESENTACION: ENVASE 500 GR. LIBRE DE GLUTEN:SI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</si>
</sst>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b/>
      <sz val="14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8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30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1" xfId="0" applyBorder="1"/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/>
    </xf>
    <xf numFmtId="0" fontId="14" fillId="0" borderId="35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4" fillId="0" borderId="45" xfId="0" applyNumberFormat="1" applyFont="1" applyBorder="1" applyAlignment="1">
      <alignment horizontal="center" vertical="center"/>
    </xf>
    <xf numFmtId="0" fontId="16" fillId="0" borderId="0" xfId="0" applyFont="1"/>
    <xf numFmtId="166" fontId="0" fillId="0" borderId="53" xfId="3" applyNumberFormat="1" applyFont="1" applyBorder="1" applyAlignment="1" applyProtection="1">
      <alignment horizontal="center" vertical="center"/>
    </xf>
    <xf numFmtId="166" fontId="0" fillId="0" borderId="57" xfId="3" applyNumberFormat="1" applyFont="1" applyBorder="1" applyAlignment="1" applyProtection="1">
      <alignment horizontal="center" vertical="center"/>
    </xf>
    <xf numFmtId="0" fontId="0" fillId="0" borderId="0" xfId="0"/>
    <xf numFmtId="0" fontId="0" fillId="0" borderId="54" xfId="0" applyFont="1" applyFill="1" applyBorder="1" applyAlignment="1">
      <alignment horizontal="center" vertical="center"/>
    </xf>
    <xf numFmtId="0" fontId="0" fillId="0" borderId="55" xfId="0" applyFont="1" applyFill="1" applyBorder="1" applyAlignment="1">
      <alignment horizontal="center" vertical="center"/>
    </xf>
    <xf numFmtId="0" fontId="22" fillId="0" borderId="55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right" vertical="center"/>
    </xf>
    <xf numFmtId="0" fontId="6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3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center" vertical="center" wrapText="1"/>
    </xf>
    <xf numFmtId="3" fontId="4" fillId="0" borderId="23" xfId="0" applyNumberFormat="1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 wrapText="1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0" fillId="0" borderId="0" xfId="0" applyFont="1" applyFill="1" applyAlignment="1">
      <alignment horizontal="left" wrapText="1" indent="1"/>
    </xf>
    <xf numFmtId="165" fontId="15" fillId="0" borderId="0" xfId="1" applyBorder="1"/>
    <xf numFmtId="166" fontId="4" fillId="0" borderId="23" xfId="1" applyNumberFormat="1" applyFont="1" applyFill="1" applyBorder="1" applyAlignment="1" applyProtection="1">
      <alignment horizontal="center" vertical="center" wrapText="1"/>
    </xf>
    <xf numFmtId="165" fontId="15" fillId="0" borderId="0" xfId="1"/>
    <xf numFmtId="0" fontId="24" fillId="0" borderId="0" xfId="0" applyFont="1" applyFill="1" applyAlignment="1">
      <alignment horizontal="left" wrapText="1"/>
    </xf>
    <xf numFmtId="0" fontId="24" fillId="0" borderId="0" xfId="0" applyFont="1" applyFill="1" applyAlignment="1">
      <alignment horizontal="center" wrapText="1"/>
    </xf>
    <xf numFmtId="0" fontId="25" fillId="0" borderId="0" xfId="0" applyFont="1"/>
    <xf numFmtId="0" fontId="20" fillId="0" borderId="0" xfId="0" applyFont="1" applyFill="1" applyAlignment="1">
      <alignment horizontal="left" wrapText="1"/>
    </xf>
    <xf numFmtId="0" fontId="25" fillId="0" borderId="0" xfId="0" applyFont="1" applyFill="1"/>
    <xf numFmtId="0" fontId="20" fillId="0" borderId="25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center" vertical="center" wrapText="1"/>
    </xf>
    <xf numFmtId="0" fontId="20" fillId="0" borderId="66" xfId="0" applyFont="1" applyFill="1" applyBorder="1" applyAlignment="1">
      <alignment horizontal="center" vertical="center" wrapText="1"/>
    </xf>
    <xf numFmtId="0" fontId="20" fillId="0" borderId="67" xfId="0" applyFont="1" applyFill="1" applyBorder="1" applyAlignment="1">
      <alignment horizontal="center" vertical="center" wrapText="1"/>
    </xf>
    <xf numFmtId="0" fontId="25" fillId="0" borderId="58" xfId="0" applyFont="1" applyFill="1" applyBorder="1" applyAlignment="1">
      <alignment horizontal="center" vertical="center"/>
    </xf>
    <xf numFmtId="0" fontId="24" fillId="0" borderId="51" xfId="0" applyFont="1" applyFill="1" applyBorder="1" applyAlignment="1">
      <alignment horizontal="center" vertical="center" wrapText="1"/>
    </xf>
    <xf numFmtId="0" fontId="25" fillId="0" borderId="61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0" xfId="0" applyFont="1" applyFill="1" applyBorder="1"/>
    <xf numFmtId="0" fontId="24" fillId="0" borderId="62" xfId="0" applyFont="1" applyFill="1" applyBorder="1" applyAlignment="1">
      <alignment horizontal="center" vertical="center" wrapText="1"/>
    </xf>
    <xf numFmtId="0" fontId="25" fillId="0" borderId="49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 wrapText="1"/>
    </xf>
    <xf numFmtId="0" fontId="24" fillId="0" borderId="59" xfId="0" applyFont="1" applyFill="1" applyBorder="1" applyAlignment="1">
      <alignment horizontal="center" vertical="center" wrapText="1"/>
    </xf>
    <xf numFmtId="0" fontId="25" fillId="0" borderId="5" xfId="0" applyFont="1" applyFill="1" applyBorder="1"/>
    <xf numFmtId="0" fontId="25" fillId="0" borderId="52" xfId="0" applyFont="1" applyFill="1" applyBorder="1"/>
    <xf numFmtId="0" fontId="24" fillId="0" borderId="52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/>
    </xf>
    <xf numFmtId="0" fontId="24" fillId="0" borderId="63" xfId="0" applyFont="1" applyFill="1" applyBorder="1" applyAlignment="1">
      <alignment horizontal="center" vertical="center" wrapText="1"/>
    </xf>
    <xf numFmtId="0" fontId="25" fillId="0" borderId="64" xfId="0" applyFont="1" applyFill="1" applyBorder="1"/>
    <xf numFmtId="0" fontId="24" fillId="0" borderId="68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wrapText="1"/>
    </xf>
    <xf numFmtId="169" fontId="25" fillId="0" borderId="26" xfId="1" applyNumberFormat="1" applyFont="1" applyFill="1" applyBorder="1" applyAlignment="1" applyProtection="1">
      <alignment horizontal="right" vertical="center" wrapText="1"/>
    </xf>
    <xf numFmtId="169" fontId="25" fillId="0" borderId="65" xfId="0" applyNumberFormat="1" applyFont="1" applyFill="1" applyBorder="1"/>
    <xf numFmtId="166" fontId="25" fillId="0" borderId="0" xfId="0" applyNumberFormat="1" applyFont="1"/>
    <xf numFmtId="166" fontId="25" fillId="0" borderId="0" xfId="0" applyNumberFormat="1" applyFont="1" applyFill="1"/>
    <xf numFmtId="0" fontId="26" fillId="0" borderId="6" xfId="0" applyFont="1" applyFill="1" applyBorder="1"/>
    <xf numFmtId="0" fontId="25" fillId="0" borderId="7" xfId="0" applyFont="1" applyFill="1" applyBorder="1"/>
    <xf numFmtId="0" fontId="25" fillId="0" borderId="8" xfId="0" applyFont="1" applyFill="1" applyBorder="1"/>
    <xf numFmtId="166" fontId="25" fillId="0" borderId="3" xfId="1" applyNumberFormat="1" applyFont="1" applyFill="1" applyBorder="1" applyAlignment="1" applyProtection="1">
      <alignment horizontal="right" vertical="center" wrapText="1"/>
    </xf>
    <xf numFmtId="167" fontId="25" fillId="0" borderId="0" xfId="0" applyNumberFormat="1" applyFont="1"/>
    <xf numFmtId="0" fontId="25" fillId="0" borderId="9" xfId="0" applyFont="1" applyFill="1" applyBorder="1"/>
    <xf numFmtId="0" fontId="25" fillId="0" borderId="10" xfId="0" applyFont="1" applyFill="1" applyBorder="1"/>
    <xf numFmtId="0" fontId="26" fillId="0" borderId="9" xfId="0" applyFont="1" applyFill="1" applyBorder="1" applyAlignment="1">
      <alignment horizontal="left" indent="3"/>
    </xf>
    <xf numFmtId="0" fontId="25" fillId="0" borderId="9" xfId="0" applyFont="1" applyFill="1" applyBorder="1" applyAlignment="1">
      <alignment horizontal="left" indent="3"/>
    </xf>
    <xf numFmtId="0" fontId="25" fillId="0" borderId="0" xfId="0" applyFont="1" applyFill="1" applyBorder="1" applyAlignment="1">
      <alignment horizontal="center" wrapText="1"/>
    </xf>
    <xf numFmtId="0" fontId="25" fillId="0" borderId="10" xfId="0" applyFont="1" applyFill="1" applyBorder="1" applyAlignment="1">
      <alignment horizontal="center" wrapText="1"/>
    </xf>
    <xf numFmtId="0" fontId="25" fillId="0" borderId="11" xfId="0" applyFont="1" applyFill="1" applyBorder="1" applyAlignment="1">
      <alignment horizontal="left" indent="3"/>
    </xf>
    <xf numFmtId="0" fontId="25" fillId="0" borderId="12" xfId="0" applyFont="1" applyFill="1" applyBorder="1"/>
    <xf numFmtId="0" fontId="25" fillId="0" borderId="13" xfId="0" applyFont="1" applyFill="1" applyBorder="1"/>
    <xf numFmtId="0" fontId="25" fillId="0" borderId="0" xfId="0" applyFont="1" applyFill="1" applyAlignment="1">
      <alignment horizontal="left" vertical="center" wrapText="1"/>
    </xf>
    <xf numFmtId="0" fontId="25" fillId="0" borderId="3" xfId="0" applyFont="1" applyFill="1" applyBorder="1" applyAlignment="1">
      <alignment horizontal="left" vertical="center" wrapText="1"/>
    </xf>
    <xf numFmtId="0" fontId="25" fillId="0" borderId="59" xfId="0" applyFont="1" applyFill="1" applyBorder="1" applyAlignment="1">
      <alignment horizontal="left" vertical="center" wrapText="1"/>
    </xf>
    <xf numFmtId="0" fontId="25" fillId="0" borderId="5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0" borderId="52" xfId="0" applyFont="1" applyFill="1" applyBorder="1" applyAlignment="1">
      <alignment horizontal="center" vertical="center"/>
    </xf>
    <xf numFmtId="169" fontId="25" fillId="0" borderId="61" xfId="0" applyNumberFormat="1" applyFont="1" applyFill="1" applyBorder="1" applyAlignment="1">
      <alignment horizontal="center" vertical="center"/>
    </xf>
    <xf numFmtId="169" fontId="25" fillId="0" borderId="49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wrapText="1"/>
    </xf>
    <xf numFmtId="169" fontId="25" fillId="0" borderId="0" xfId="1" applyNumberFormat="1" applyFont="1" applyFill="1" applyBorder="1" applyAlignment="1" applyProtection="1">
      <alignment horizontal="right" vertical="center" wrapText="1"/>
    </xf>
    <xf numFmtId="169" fontId="25" fillId="0" borderId="0" xfId="0" applyNumberFormat="1" applyFont="1" applyFill="1" applyBorder="1"/>
    <xf numFmtId="0" fontId="25" fillId="0" borderId="0" xfId="0" applyFont="1" applyFill="1" applyBorder="1" applyAlignment="1">
      <alignment horizontal="center" wrapText="1"/>
    </xf>
    <xf numFmtId="0" fontId="25" fillId="0" borderId="10" xfId="0" applyFont="1" applyFill="1" applyBorder="1" applyAlignment="1">
      <alignment horizontal="center" wrapText="1"/>
    </xf>
    <xf numFmtId="0" fontId="25" fillId="0" borderId="51" xfId="0" applyFont="1" applyFill="1" applyBorder="1" applyAlignment="1">
      <alignment horizontal="center" vertical="center"/>
    </xf>
    <xf numFmtId="0" fontId="25" fillId="0" borderId="59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wrapText="1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25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 indent="1"/>
    </xf>
    <xf numFmtId="0" fontId="20" fillId="0" borderId="0" xfId="0" applyFont="1" applyFill="1" applyBorder="1" applyAlignment="1">
      <alignment horizontal="left" vertical="center" wrapText="1"/>
    </xf>
    <xf numFmtId="0" fontId="25" fillId="0" borderId="10" xfId="0" applyFont="1" applyFill="1" applyBorder="1" applyAlignment="1">
      <alignment horizontal="center" wrapText="1"/>
    </xf>
    <xf numFmtId="0" fontId="25" fillId="0" borderId="10" xfId="0" applyFont="1" applyFill="1" applyBorder="1" applyAlignment="1">
      <alignment horizontal="center"/>
    </xf>
    <xf numFmtId="0" fontId="25" fillId="0" borderId="10" xfId="0" applyFont="1" applyFill="1" applyBorder="1" applyAlignment="1">
      <alignment horizontal="left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wrapText="1"/>
    </xf>
    <xf numFmtId="0" fontId="25" fillId="0" borderId="0" xfId="0" applyFont="1" applyAlignment="1">
      <alignment horizontal="center" wrapText="1"/>
    </xf>
    <xf numFmtId="0" fontId="25" fillId="0" borderId="10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 wrapText="1"/>
    </xf>
    <xf numFmtId="0" fontId="27" fillId="0" borderId="18" xfId="0" applyFont="1" applyFill="1" applyBorder="1" applyAlignment="1">
      <alignment horizontal="left" vertical="center" wrapText="1" indent="1"/>
    </xf>
    <xf numFmtId="0" fontId="7" fillId="0" borderId="19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left" vertical="center"/>
    </xf>
    <xf numFmtId="0" fontId="27" fillId="0" borderId="21" xfId="0" applyFont="1" applyFill="1" applyBorder="1" applyAlignment="1">
      <alignment horizontal="left" vertical="center" wrapText="1" indent="1"/>
    </xf>
    <xf numFmtId="0" fontId="8" fillId="0" borderId="20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left" vertical="center" wrapText="1"/>
    </xf>
    <xf numFmtId="0" fontId="4" fillId="0" borderId="68" xfId="0" applyFont="1" applyFill="1" applyBorder="1" applyAlignment="1">
      <alignment horizontal="left" vertical="center" wrapText="1"/>
    </xf>
    <xf numFmtId="0" fontId="4" fillId="0" borderId="26" xfId="0" applyFont="1" applyFill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 wrapText="1" indent="1"/>
    </xf>
    <xf numFmtId="167" fontId="21" fillId="0" borderId="18" xfId="0" applyNumberFormat="1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left" vertical="center" wrapText="1"/>
    </xf>
    <xf numFmtId="0" fontId="0" fillId="0" borderId="25" xfId="0" applyFont="1" applyBorder="1" applyAlignment="1">
      <alignment horizontal="center"/>
    </xf>
    <xf numFmtId="3" fontId="10" fillId="0" borderId="26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12" fillId="0" borderId="15" xfId="0" applyFont="1" applyBorder="1" applyAlignment="1">
      <alignment horizontal="left" indent="1"/>
    </xf>
    <xf numFmtId="0" fontId="4" fillId="0" borderId="17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/>
    </xf>
    <xf numFmtId="0" fontId="12" fillId="0" borderId="28" xfId="0" applyFont="1" applyBorder="1"/>
    <xf numFmtId="0" fontId="12" fillId="0" borderId="29" xfId="0" applyFont="1" applyBorder="1" applyAlignment="1">
      <alignment horizontal="left" vertical="center" wrapText="1" indent="1"/>
    </xf>
    <xf numFmtId="0" fontId="14" fillId="0" borderId="2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22" fillId="0" borderId="55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0" fillId="0" borderId="37" xfId="0" applyFont="1" applyBorder="1" applyAlignment="1">
      <alignment horizontal="left" vertical="center"/>
    </xf>
    <xf numFmtId="0" fontId="0" fillId="0" borderId="39" xfId="0" applyFont="1" applyBorder="1" applyAlignment="1">
      <alignment horizontal="left" vertical="center"/>
    </xf>
    <xf numFmtId="0" fontId="10" fillId="0" borderId="25" xfId="0" applyFont="1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23" fillId="0" borderId="45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0" fillId="0" borderId="27" xfId="0" applyBorder="1"/>
    <xf numFmtId="0" fontId="25" fillId="3" borderId="0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uario\Downloads\2021%20DESCARGAS\COMBUSTIB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7"/>
  <sheetViews>
    <sheetView tabSelected="1" topLeftCell="B25" zoomScale="90" zoomScaleNormal="90" workbookViewId="0">
      <selection activeCell="H38" sqref="H38"/>
    </sheetView>
  </sheetViews>
  <sheetFormatPr baseColWidth="10" defaultColWidth="11" defaultRowHeight="12.75" x14ac:dyDescent="0.2"/>
  <cols>
    <col min="1" max="1" width="3.7109375" style="32" customWidth="1"/>
    <col min="2" max="2" width="15" style="32" customWidth="1"/>
    <col min="3" max="3" width="17.7109375" style="32" customWidth="1"/>
    <col min="4" max="4" width="8.42578125" style="32" customWidth="1"/>
    <col min="5" max="5" width="163.42578125" style="32" customWidth="1"/>
    <col min="6" max="6" width="12.140625" style="32" customWidth="1"/>
    <col min="7" max="7" width="13.85546875" style="32" customWidth="1"/>
    <col min="8" max="8" width="17.7109375" style="32" bestFit="1" customWidth="1"/>
    <col min="9" max="9" width="18.85546875" style="32" bestFit="1" customWidth="1"/>
    <col min="10" max="10" width="15" style="32" customWidth="1"/>
    <col min="11" max="11" width="12.85546875" style="32" bestFit="1" customWidth="1"/>
    <col min="12" max="12" width="17.5703125" style="32" bestFit="1" customWidth="1"/>
    <col min="13" max="13" width="12.85546875" style="32" bestFit="1" customWidth="1"/>
    <col min="14" max="16384" width="11" style="32"/>
  </cols>
  <sheetData>
    <row r="1" spans="1:13" x14ac:dyDescent="0.2">
      <c r="A1" s="52"/>
      <c r="B1" s="52"/>
      <c r="C1" s="52"/>
      <c r="D1" s="52"/>
      <c r="E1" s="52"/>
      <c r="F1" s="52"/>
      <c r="G1" s="52"/>
      <c r="H1" s="52"/>
    </row>
    <row r="2" spans="1:13" ht="27" x14ac:dyDescent="0.35">
      <c r="A2" s="52"/>
      <c r="B2" s="127" t="s">
        <v>0</v>
      </c>
      <c r="C2" s="127"/>
      <c r="D2" s="127"/>
      <c r="E2" s="127"/>
      <c r="F2" s="127"/>
      <c r="G2" s="127"/>
      <c r="H2" s="127"/>
    </row>
    <row r="3" spans="1:13" x14ac:dyDescent="0.2">
      <c r="A3" s="52"/>
      <c r="B3" s="52"/>
      <c r="C3" s="52"/>
      <c r="D3" s="52"/>
      <c r="E3" s="52"/>
      <c r="F3" s="52"/>
      <c r="G3" s="52"/>
      <c r="H3" s="52"/>
    </row>
    <row r="4" spans="1:13" ht="18" customHeight="1" x14ac:dyDescent="0.25">
      <c r="A4" s="128" t="s">
        <v>1</v>
      </c>
      <c r="B4" s="128"/>
      <c r="C4" s="129" t="s">
        <v>105</v>
      </c>
      <c r="D4" s="129"/>
      <c r="E4" s="129"/>
      <c r="F4" s="53"/>
      <c r="G4" s="54"/>
      <c r="H4" s="53"/>
    </row>
    <row r="5" spans="1:13" ht="18" customHeight="1" x14ac:dyDescent="0.25">
      <c r="A5" s="130" t="s">
        <v>2</v>
      </c>
      <c r="B5" s="130"/>
      <c r="C5" s="129" t="s">
        <v>59</v>
      </c>
      <c r="D5" s="129"/>
      <c r="E5" s="129"/>
      <c r="F5" s="59"/>
      <c r="G5" s="60"/>
      <c r="H5" s="59"/>
      <c r="I5" s="61"/>
      <c r="J5" s="61"/>
    </row>
    <row r="6" spans="1:13" ht="16.5" customHeight="1" x14ac:dyDescent="0.25">
      <c r="A6" s="130" t="s">
        <v>3</v>
      </c>
      <c r="B6" s="130"/>
      <c r="C6" s="55">
        <v>2022</v>
      </c>
      <c r="D6" s="62"/>
      <c r="E6" s="62"/>
      <c r="F6" s="59"/>
      <c r="G6" s="60"/>
      <c r="H6" s="59"/>
      <c r="I6" s="61"/>
      <c r="J6" s="61"/>
    </row>
    <row r="7" spans="1:13" ht="16.5" customHeight="1" x14ac:dyDescent="0.25">
      <c r="A7" s="130" t="s">
        <v>4</v>
      </c>
      <c r="B7" s="130"/>
      <c r="C7" s="55">
        <v>1</v>
      </c>
      <c r="D7" s="62"/>
      <c r="E7" s="62"/>
      <c r="F7" s="59"/>
      <c r="G7" s="60"/>
      <c r="H7" s="59"/>
      <c r="I7" s="61"/>
      <c r="J7" s="61"/>
    </row>
    <row r="8" spans="1:13" ht="16.5" thickBot="1" x14ac:dyDescent="0.3">
      <c r="A8" s="63"/>
      <c r="B8" s="59"/>
      <c r="C8" s="60"/>
      <c r="D8" s="59"/>
      <c r="E8" s="59"/>
      <c r="F8" s="59"/>
      <c r="G8" s="60"/>
      <c r="H8" s="59"/>
      <c r="I8" s="61"/>
      <c r="J8" s="61"/>
    </row>
    <row r="9" spans="1:13" ht="48" thickBot="1" x14ac:dyDescent="0.3">
      <c r="A9" s="64" t="s">
        <v>5</v>
      </c>
      <c r="B9" s="65" t="s">
        <v>6</v>
      </c>
      <c r="C9" s="65" t="s">
        <v>7</v>
      </c>
      <c r="D9" s="66" t="s">
        <v>8</v>
      </c>
      <c r="E9" s="65" t="s">
        <v>9</v>
      </c>
      <c r="F9" s="64" t="s">
        <v>10</v>
      </c>
      <c r="G9" s="65" t="s">
        <v>11</v>
      </c>
      <c r="H9" s="67" t="s">
        <v>12</v>
      </c>
      <c r="I9" s="68" t="s">
        <v>13</v>
      </c>
      <c r="J9" s="61"/>
    </row>
    <row r="10" spans="1:13" ht="47.25" customHeight="1" x14ac:dyDescent="0.25">
      <c r="A10" s="69">
        <v>1</v>
      </c>
      <c r="B10" s="107" t="s">
        <v>66</v>
      </c>
      <c r="C10" s="107" t="s">
        <v>57</v>
      </c>
      <c r="D10" s="70" t="s">
        <v>62</v>
      </c>
      <c r="E10" s="104" t="s">
        <v>65</v>
      </c>
      <c r="F10" s="71" t="s">
        <v>14</v>
      </c>
      <c r="G10" s="71">
        <v>100000</v>
      </c>
      <c r="H10" s="112">
        <v>619</v>
      </c>
      <c r="I10" s="112">
        <f>+G10*H10</f>
        <v>61900000</v>
      </c>
      <c r="J10" s="125" t="s">
        <v>65</v>
      </c>
      <c r="K10" s="32" t="b">
        <f>E10=J10</f>
        <v>1</v>
      </c>
      <c r="L10" s="35"/>
    </row>
    <row r="11" spans="1:13" ht="61.5" customHeight="1" x14ac:dyDescent="0.25">
      <c r="A11" s="72">
        <v>2</v>
      </c>
      <c r="B11" s="107" t="s">
        <v>63</v>
      </c>
      <c r="C11" s="107" t="s">
        <v>57</v>
      </c>
      <c r="D11" s="70" t="str">
        <f t="shared" ref="D11:D17" si="0">LEFT(B11,5)</f>
        <v>2.1.1</v>
      </c>
      <c r="E11" s="104" t="s">
        <v>64</v>
      </c>
      <c r="F11" s="71" t="s">
        <v>14</v>
      </c>
      <c r="G11" s="71">
        <v>100000</v>
      </c>
      <c r="H11" s="112">
        <v>214</v>
      </c>
      <c r="I11" s="112">
        <f t="shared" ref="I11:I23" si="1">+G11*H11</f>
        <v>21400000</v>
      </c>
      <c r="J11" s="125" t="s">
        <v>64</v>
      </c>
      <c r="K11" s="32" t="b">
        <f t="shared" ref="K11:K23" si="2">E11=J11</f>
        <v>1</v>
      </c>
      <c r="L11" s="58"/>
    </row>
    <row r="12" spans="1:13" ht="52.5" customHeight="1" x14ac:dyDescent="0.2">
      <c r="A12" s="72">
        <v>3</v>
      </c>
      <c r="B12" s="109" t="s">
        <v>78</v>
      </c>
      <c r="C12" s="120" t="s">
        <v>57</v>
      </c>
      <c r="D12" s="76" t="str">
        <f t="shared" si="0"/>
        <v>2.1.1</v>
      </c>
      <c r="E12" s="105" t="s">
        <v>79</v>
      </c>
      <c r="F12" s="75" t="s">
        <v>14</v>
      </c>
      <c r="G12" s="75">
        <v>100000</v>
      </c>
      <c r="H12" s="113">
        <v>400</v>
      </c>
      <c r="I12" s="113">
        <f t="shared" si="1"/>
        <v>40000000</v>
      </c>
      <c r="J12" s="124" t="s">
        <v>79</v>
      </c>
      <c r="K12" s="32" t="b">
        <f t="shared" si="2"/>
        <v>1</v>
      </c>
      <c r="L12" s="58"/>
    </row>
    <row r="13" spans="1:13" s="52" customFormat="1" ht="29.25" customHeight="1" x14ac:dyDescent="0.25">
      <c r="A13" s="72">
        <v>4</v>
      </c>
      <c r="B13" s="123" t="s">
        <v>109</v>
      </c>
      <c r="C13" s="120" t="s">
        <v>57</v>
      </c>
      <c r="D13" s="74" t="str">
        <f t="shared" si="0"/>
        <v>2.1.1</v>
      </c>
      <c r="E13" s="122" t="s">
        <v>110</v>
      </c>
      <c r="F13" s="75" t="s">
        <v>14</v>
      </c>
      <c r="G13" s="75">
        <v>100000</v>
      </c>
      <c r="H13" s="113">
        <v>47</v>
      </c>
      <c r="I13" s="113">
        <f t="shared" si="1"/>
        <v>4700000</v>
      </c>
      <c r="J13" s="124" t="s">
        <v>110</v>
      </c>
      <c r="K13" s="32" t="b">
        <f t="shared" si="2"/>
        <v>1</v>
      </c>
      <c r="L13" s="124"/>
    </row>
    <row r="14" spans="1:13" ht="70.5" customHeight="1" x14ac:dyDescent="0.2">
      <c r="A14" s="69">
        <v>5</v>
      </c>
      <c r="B14" s="109" t="s">
        <v>68</v>
      </c>
      <c r="C14" s="120" t="s">
        <v>57</v>
      </c>
      <c r="D14" s="70" t="s">
        <v>62</v>
      </c>
      <c r="E14" s="105" t="s">
        <v>67</v>
      </c>
      <c r="F14" s="75" t="s">
        <v>14</v>
      </c>
      <c r="G14" s="75">
        <v>100000</v>
      </c>
      <c r="H14" s="113">
        <v>108</v>
      </c>
      <c r="I14" s="113">
        <f t="shared" si="1"/>
        <v>10800000</v>
      </c>
      <c r="J14" s="124" t="s">
        <v>67</v>
      </c>
      <c r="K14" s="32" t="b">
        <f t="shared" si="2"/>
        <v>1</v>
      </c>
      <c r="L14" s="58"/>
      <c r="M14" s="52"/>
    </row>
    <row r="15" spans="1:13" ht="60" customHeight="1" x14ac:dyDescent="0.2">
      <c r="A15" s="72">
        <v>6</v>
      </c>
      <c r="B15" s="109" t="s">
        <v>88</v>
      </c>
      <c r="C15" s="120" t="s">
        <v>57</v>
      </c>
      <c r="D15" s="76" t="str">
        <f t="shared" si="0"/>
        <v>2.1.1</v>
      </c>
      <c r="E15" s="105" t="s">
        <v>89</v>
      </c>
      <c r="F15" s="75" t="s">
        <v>14</v>
      </c>
      <c r="G15" s="75">
        <v>100000</v>
      </c>
      <c r="H15" s="113">
        <v>94</v>
      </c>
      <c r="I15" s="113">
        <f t="shared" si="1"/>
        <v>9400000</v>
      </c>
      <c r="J15" s="126" t="s">
        <v>89</v>
      </c>
      <c r="K15" s="32" t="b">
        <f t="shared" si="2"/>
        <v>1</v>
      </c>
      <c r="L15" s="58"/>
      <c r="M15" s="52"/>
    </row>
    <row r="16" spans="1:13" ht="60.75" customHeight="1" x14ac:dyDescent="0.2">
      <c r="A16" s="72">
        <v>7</v>
      </c>
      <c r="B16" s="109" t="s">
        <v>80</v>
      </c>
      <c r="C16" s="120" t="s">
        <v>57</v>
      </c>
      <c r="D16" s="76" t="str">
        <f t="shared" si="0"/>
        <v>2.1.1</v>
      </c>
      <c r="E16" s="105" t="s">
        <v>81</v>
      </c>
      <c r="F16" s="75" t="s">
        <v>14</v>
      </c>
      <c r="G16" s="75">
        <v>100000</v>
      </c>
      <c r="H16" s="113">
        <v>65</v>
      </c>
      <c r="I16" s="113">
        <f t="shared" si="1"/>
        <v>6500000</v>
      </c>
      <c r="J16" s="124" t="s">
        <v>81</v>
      </c>
      <c r="K16" s="32" t="b">
        <f t="shared" si="2"/>
        <v>1</v>
      </c>
      <c r="L16" s="58"/>
      <c r="M16" s="52"/>
    </row>
    <row r="17" spans="1:13" ht="79.5" customHeight="1" x14ac:dyDescent="0.2">
      <c r="A17" s="72">
        <v>8</v>
      </c>
      <c r="B17" s="109" t="s">
        <v>70</v>
      </c>
      <c r="C17" s="121" t="s">
        <v>57</v>
      </c>
      <c r="D17" s="76" t="str">
        <f t="shared" si="0"/>
        <v>2.1.1</v>
      </c>
      <c r="E17" s="105" t="s">
        <v>69</v>
      </c>
      <c r="F17" s="75" t="s">
        <v>14</v>
      </c>
      <c r="G17" s="75">
        <v>100000</v>
      </c>
      <c r="H17" s="113">
        <v>94</v>
      </c>
      <c r="I17" s="113">
        <f t="shared" si="1"/>
        <v>9400000</v>
      </c>
      <c r="J17" s="124" t="s">
        <v>69</v>
      </c>
      <c r="K17" s="32" t="b">
        <f t="shared" si="2"/>
        <v>1</v>
      </c>
      <c r="L17" s="58"/>
      <c r="M17" s="52"/>
    </row>
    <row r="18" spans="1:13" ht="60.75" customHeight="1" x14ac:dyDescent="0.2">
      <c r="A18" s="69">
        <v>9</v>
      </c>
      <c r="B18" s="109" t="s">
        <v>72</v>
      </c>
      <c r="C18" s="120" t="s">
        <v>57</v>
      </c>
      <c r="D18" s="77" t="s">
        <v>62</v>
      </c>
      <c r="E18" s="105" t="s">
        <v>73</v>
      </c>
      <c r="F18" s="75" t="s">
        <v>14</v>
      </c>
      <c r="G18" s="75">
        <v>100000</v>
      </c>
      <c r="H18" s="113">
        <v>59</v>
      </c>
      <c r="I18" s="113">
        <f t="shared" si="1"/>
        <v>5900000</v>
      </c>
      <c r="J18" s="124" t="s">
        <v>73</v>
      </c>
      <c r="K18" s="32" t="b">
        <f t="shared" si="2"/>
        <v>1</v>
      </c>
      <c r="L18" s="58"/>
      <c r="M18" s="52"/>
    </row>
    <row r="19" spans="1:13" ht="67.5" customHeight="1" x14ac:dyDescent="0.2">
      <c r="A19" s="72">
        <v>10</v>
      </c>
      <c r="B19" s="109" t="s">
        <v>74</v>
      </c>
      <c r="C19" s="120" t="s">
        <v>57</v>
      </c>
      <c r="D19" s="77" t="s">
        <v>62</v>
      </c>
      <c r="E19" s="105" t="s">
        <v>75</v>
      </c>
      <c r="F19" s="75" t="s">
        <v>14</v>
      </c>
      <c r="G19" s="75">
        <v>100000</v>
      </c>
      <c r="H19" s="113">
        <v>59</v>
      </c>
      <c r="I19" s="113">
        <f t="shared" si="1"/>
        <v>5900000</v>
      </c>
      <c r="J19" s="124" t="s">
        <v>75</v>
      </c>
      <c r="K19" s="32" t="b">
        <f t="shared" si="2"/>
        <v>1</v>
      </c>
      <c r="L19" s="58"/>
      <c r="M19" s="52"/>
    </row>
    <row r="20" spans="1:13" ht="54.75" customHeight="1" x14ac:dyDescent="0.2">
      <c r="A20" s="69">
        <v>11</v>
      </c>
      <c r="B20" s="109" t="s">
        <v>76</v>
      </c>
      <c r="C20" s="121" t="s">
        <v>57</v>
      </c>
      <c r="D20" s="77" t="s">
        <v>62</v>
      </c>
      <c r="E20" s="105" t="s">
        <v>77</v>
      </c>
      <c r="F20" s="75" t="s">
        <v>14</v>
      </c>
      <c r="G20" s="75">
        <v>100000</v>
      </c>
      <c r="H20" s="113">
        <v>59</v>
      </c>
      <c r="I20" s="113">
        <f>+G22*H20</f>
        <v>5900000</v>
      </c>
      <c r="J20" s="124" t="s">
        <v>77</v>
      </c>
      <c r="K20" s="32" t="b">
        <f t="shared" si="2"/>
        <v>1</v>
      </c>
      <c r="L20" s="58"/>
      <c r="M20" s="52"/>
    </row>
    <row r="21" spans="1:13" s="52" customFormat="1" ht="92.25" customHeight="1" x14ac:dyDescent="0.25">
      <c r="A21" s="72">
        <v>12</v>
      </c>
      <c r="B21" s="109" t="s">
        <v>111</v>
      </c>
      <c r="C21" s="121" t="s">
        <v>57</v>
      </c>
      <c r="D21" s="77" t="s">
        <v>62</v>
      </c>
      <c r="E21" s="122" t="s">
        <v>112</v>
      </c>
      <c r="F21" s="75" t="s">
        <v>14</v>
      </c>
      <c r="G21" s="75">
        <v>100000</v>
      </c>
      <c r="H21" s="113">
        <v>51.8</v>
      </c>
      <c r="I21" s="113">
        <f t="shared" ref="I21" si="3">+G23*H21</f>
        <v>5180000</v>
      </c>
      <c r="J21" s="125" t="s">
        <v>112</v>
      </c>
      <c r="K21" s="32" t="b">
        <f t="shared" si="2"/>
        <v>1</v>
      </c>
      <c r="L21"/>
    </row>
    <row r="22" spans="1:13" s="52" customFormat="1" ht="71.25" customHeight="1" x14ac:dyDescent="0.25">
      <c r="A22" s="69">
        <v>13</v>
      </c>
      <c r="B22" s="109" t="s">
        <v>113</v>
      </c>
      <c r="C22" s="121" t="s">
        <v>57</v>
      </c>
      <c r="D22" s="77" t="s">
        <v>62</v>
      </c>
      <c r="E22" s="105" t="s">
        <v>119</v>
      </c>
      <c r="F22" s="75" t="s">
        <v>14</v>
      </c>
      <c r="G22" s="75">
        <v>100000</v>
      </c>
      <c r="H22" s="113">
        <v>108</v>
      </c>
      <c r="I22" s="113">
        <f>+G22*H22</f>
        <v>10800000</v>
      </c>
      <c r="J22" s="125" t="s">
        <v>118</v>
      </c>
      <c r="K22" s="32" t="b">
        <f t="shared" si="2"/>
        <v>0</v>
      </c>
      <c r="L22"/>
    </row>
    <row r="23" spans="1:13" ht="60.75" customHeight="1" thickBot="1" x14ac:dyDescent="0.3">
      <c r="A23" s="72">
        <v>14</v>
      </c>
      <c r="B23" s="110" t="s">
        <v>82</v>
      </c>
      <c r="C23" s="111" t="s">
        <v>57</v>
      </c>
      <c r="D23" s="80" t="s">
        <v>62</v>
      </c>
      <c r="E23" s="106" t="s">
        <v>83</v>
      </c>
      <c r="F23" s="75" t="s">
        <v>14</v>
      </c>
      <c r="G23" s="75">
        <v>100000</v>
      </c>
      <c r="H23" s="113">
        <v>115</v>
      </c>
      <c r="I23" s="113">
        <f t="shared" si="1"/>
        <v>11500000</v>
      </c>
      <c r="J23" s="125" t="s">
        <v>83</v>
      </c>
      <c r="K23" s="32" t="b">
        <f t="shared" si="2"/>
        <v>1</v>
      </c>
      <c r="L23" s="58"/>
      <c r="M23" s="52"/>
    </row>
    <row r="24" spans="1:13" ht="16.5" thickBot="1" x14ac:dyDescent="0.3">
      <c r="A24" s="81"/>
      <c r="B24" s="78"/>
      <c r="C24" s="79"/>
      <c r="D24" s="82"/>
      <c r="E24" s="83"/>
      <c r="F24" s="84"/>
      <c r="G24" s="85"/>
      <c r="H24" s="86"/>
      <c r="I24" s="87"/>
      <c r="J24" s="61"/>
      <c r="L24" s="58"/>
    </row>
    <row r="25" spans="1:13" ht="15.75" x14ac:dyDescent="0.25">
      <c r="A25" s="108"/>
      <c r="B25" s="73"/>
      <c r="C25" s="73"/>
      <c r="D25" s="114"/>
      <c r="E25" s="73"/>
      <c r="F25" s="114"/>
      <c r="G25" s="115"/>
      <c r="H25" s="116"/>
      <c r="I25" s="117"/>
      <c r="J25" s="61"/>
      <c r="L25" s="58"/>
    </row>
    <row r="26" spans="1:13" ht="16.5" thickBot="1" x14ac:dyDescent="0.3">
      <c r="A26" s="63"/>
      <c r="B26" s="63"/>
      <c r="C26" s="63"/>
      <c r="D26" s="63"/>
      <c r="E26" s="63"/>
      <c r="F26" s="63"/>
      <c r="G26" s="63"/>
      <c r="H26" s="89"/>
      <c r="I26" s="61"/>
      <c r="J26" s="88"/>
    </row>
    <row r="27" spans="1:13" ht="15.75" x14ac:dyDescent="0.25">
      <c r="A27" s="63"/>
      <c r="B27" s="90" t="s">
        <v>91</v>
      </c>
      <c r="C27" s="91"/>
      <c r="D27" s="91"/>
      <c r="E27" s="92"/>
      <c r="F27" s="63"/>
      <c r="G27" s="63"/>
      <c r="H27" s="93"/>
      <c r="I27" s="94"/>
      <c r="J27" s="61"/>
    </row>
    <row r="28" spans="1:13" ht="5.25" customHeight="1" x14ac:dyDescent="0.25">
      <c r="A28" s="63"/>
      <c r="B28" s="95"/>
      <c r="C28" s="73"/>
      <c r="D28" s="73"/>
      <c r="E28" s="96"/>
      <c r="F28" s="63"/>
      <c r="G28" s="63"/>
      <c r="H28" s="63"/>
      <c r="I28" s="61"/>
      <c r="J28" s="61"/>
    </row>
    <row r="29" spans="1:13" ht="15.75" x14ac:dyDescent="0.25">
      <c r="A29" s="63"/>
      <c r="B29" s="97" t="s">
        <v>15</v>
      </c>
      <c r="C29" s="73"/>
      <c r="D29" s="73"/>
      <c r="E29" s="96"/>
      <c r="F29" s="63"/>
      <c r="G29" s="63"/>
      <c r="H29" s="63"/>
      <c r="I29" s="61"/>
      <c r="J29" s="61"/>
    </row>
    <row r="30" spans="1:13" ht="41.25" customHeight="1" x14ac:dyDescent="0.25">
      <c r="A30" s="63"/>
      <c r="B30" s="97"/>
      <c r="C30" s="131"/>
      <c r="D30" s="131"/>
      <c r="E30" s="131"/>
      <c r="F30" s="63"/>
      <c r="G30" s="63"/>
      <c r="H30" s="63"/>
      <c r="I30" s="61"/>
      <c r="J30" s="61"/>
    </row>
    <row r="31" spans="1:13" ht="15.75" x14ac:dyDescent="0.25">
      <c r="A31" s="63"/>
      <c r="B31" s="97" t="s">
        <v>16</v>
      </c>
      <c r="C31" s="73"/>
      <c r="D31" s="73"/>
      <c r="E31" s="96"/>
      <c r="F31" s="63"/>
      <c r="G31" s="63"/>
      <c r="H31" s="63"/>
      <c r="I31" s="61"/>
      <c r="J31" s="61"/>
    </row>
    <row r="32" spans="1:13" ht="31.5" customHeight="1" x14ac:dyDescent="0.25">
      <c r="A32" s="63"/>
      <c r="B32" s="98"/>
      <c r="C32" s="183" t="s">
        <v>106</v>
      </c>
      <c r="D32" s="183"/>
      <c r="E32" s="184"/>
      <c r="F32" s="185"/>
      <c r="G32" s="186"/>
      <c r="H32" s="63"/>
      <c r="I32" s="61"/>
      <c r="J32" s="61"/>
    </row>
    <row r="33" spans="1:10" ht="31.5" customHeight="1" x14ac:dyDescent="0.25">
      <c r="A33" s="63"/>
      <c r="B33" s="98"/>
      <c r="C33" s="133" t="s">
        <v>104</v>
      </c>
      <c r="D33" s="133"/>
      <c r="E33" s="133"/>
      <c r="F33" s="63"/>
      <c r="G33" s="63"/>
      <c r="H33" s="63"/>
      <c r="I33" s="61"/>
      <c r="J33" s="61"/>
    </row>
    <row r="34" spans="1:10" ht="15.75" x14ac:dyDescent="0.25">
      <c r="A34" s="63"/>
      <c r="B34" s="97" t="s">
        <v>17</v>
      </c>
      <c r="C34" s="73"/>
      <c r="D34" s="73"/>
      <c r="E34" s="96"/>
      <c r="F34" s="63"/>
      <c r="G34" s="63"/>
      <c r="H34" s="63"/>
      <c r="I34" s="61"/>
      <c r="J34" s="61"/>
    </row>
    <row r="35" spans="1:10" ht="26.25" customHeight="1" x14ac:dyDescent="0.25">
      <c r="A35" s="63"/>
      <c r="B35" s="98"/>
      <c r="C35" s="131" t="s">
        <v>61</v>
      </c>
      <c r="D35" s="131"/>
      <c r="E35" s="131"/>
      <c r="F35" s="63"/>
      <c r="G35" s="63"/>
      <c r="H35" s="63"/>
      <c r="I35" s="61"/>
      <c r="J35" s="61"/>
    </row>
    <row r="36" spans="1:10" ht="15.75" x14ac:dyDescent="0.25">
      <c r="A36" s="63"/>
      <c r="B36" s="97" t="s">
        <v>18</v>
      </c>
      <c r="C36" s="99"/>
      <c r="D36" s="99"/>
      <c r="E36" s="100"/>
      <c r="F36" s="63"/>
      <c r="G36" s="63"/>
      <c r="H36" s="63"/>
      <c r="I36" s="61"/>
      <c r="J36" s="61"/>
    </row>
    <row r="37" spans="1:10" ht="26.25" customHeight="1" x14ac:dyDescent="0.25">
      <c r="A37" s="63"/>
      <c r="B37" s="98"/>
      <c r="C37" s="131" t="s">
        <v>71</v>
      </c>
      <c r="D37" s="131"/>
      <c r="E37" s="131"/>
      <c r="F37" s="63"/>
      <c r="G37" s="63"/>
      <c r="H37" s="63"/>
      <c r="I37" s="61"/>
      <c r="J37" s="61"/>
    </row>
    <row r="38" spans="1:10" ht="15.75" x14ac:dyDescent="0.25">
      <c r="A38" s="63"/>
      <c r="B38" s="97" t="s">
        <v>19</v>
      </c>
      <c r="C38" s="73"/>
      <c r="D38" s="73"/>
      <c r="E38" s="96"/>
      <c r="F38" s="63"/>
      <c r="G38" s="63"/>
      <c r="H38" s="63"/>
      <c r="I38" s="61"/>
      <c r="J38" s="61"/>
    </row>
    <row r="39" spans="1:10" ht="23.25" customHeight="1" x14ac:dyDescent="0.25">
      <c r="A39" s="63"/>
      <c r="B39" s="97"/>
      <c r="C39" s="132" t="s">
        <v>60</v>
      </c>
      <c r="D39" s="132"/>
      <c r="E39" s="132"/>
      <c r="F39" s="63"/>
      <c r="G39" s="63"/>
      <c r="H39" s="63"/>
      <c r="I39" s="61"/>
      <c r="J39" s="61"/>
    </row>
    <row r="40" spans="1:10" ht="16.5" thickBot="1" x14ac:dyDescent="0.3">
      <c r="A40" s="63"/>
      <c r="B40" s="101"/>
      <c r="C40" s="102"/>
      <c r="D40" s="102"/>
      <c r="E40" s="103"/>
      <c r="F40" s="63"/>
      <c r="G40" s="63"/>
      <c r="H40" s="63"/>
      <c r="I40" s="61"/>
      <c r="J40" s="61"/>
    </row>
    <row r="41" spans="1:10" ht="16.5" thickBot="1" x14ac:dyDescent="0.3">
      <c r="A41" s="63"/>
      <c r="B41" s="63"/>
      <c r="C41" s="63"/>
      <c r="D41" s="63"/>
      <c r="E41" s="63"/>
      <c r="F41" s="63"/>
      <c r="G41" s="63"/>
      <c r="H41" s="63"/>
      <c r="I41" s="61"/>
      <c r="J41" s="61"/>
    </row>
    <row r="42" spans="1:10" ht="15.75" x14ac:dyDescent="0.25">
      <c r="A42" s="61"/>
      <c r="B42" s="90" t="s">
        <v>92</v>
      </c>
      <c r="C42" s="91"/>
      <c r="D42" s="91"/>
      <c r="E42" s="92"/>
      <c r="F42" s="61"/>
      <c r="G42" s="61"/>
      <c r="H42" s="61"/>
      <c r="I42" s="61"/>
      <c r="J42" s="61"/>
    </row>
    <row r="43" spans="1:10" ht="15.75" x14ac:dyDescent="0.25">
      <c r="A43" s="61"/>
      <c r="B43" s="95"/>
      <c r="C43" s="73"/>
      <c r="D43" s="73"/>
      <c r="E43" s="96"/>
      <c r="F43" s="61"/>
      <c r="G43" s="61"/>
      <c r="H43" s="61"/>
      <c r="I43" s="61"/>
      <c r="J43" s="61"/>
    </row>
    <row r="44" spans="1:10" ht="15.75" x14ac:dyDescent="0.25">
      <c r="A44" s="61"/>
      <c r="B44" s="97" t="s">
        <v>15</v>
      </c>
      <c r="C44" s="73"/>
      <c r="D44" s="73"/>
      <c r="E44" s="96"/>
      <c r="F44" s="61"/>
      <c r="G44" s="61"/>
      <c r="H44" s="61"/>
      <c r="I44" s="61"/>
      <c r="J44" s="61"/>
    </row>
    <row r="45" spans="1:10" ht="15.75" x14ac:dyDescent="0.25">
      <c r="A45" s="61"/>
      <c r="B45" s="97"/>
      <c r="C45" s="131"/>
      <c r="D45" s="131"/>
      <c r="E45" s="131"/>
      <c r="F45" s="61"/>
      <c r="G45" s="61"/>
      <c r="H45" s="61"/>
      <c r="I45" s="61"/>
      <c r="J45" s="61"/>
    </row>
    <row r="46" spans="1:10" ht="15.75" x14ac:dyDescent="0.25">
      <c r="A46" s="61"/>
      <c r="B46" s="97" t="s">
        <v>16</v>
      </c>
      <c r="C46" s="73"/>
      <c r="D46" s="73"/>
      <c r="E46" s="96"/>
      <c r="F46" s="61"/>
      <c r="G46" s="61"/>
      <c r="H46" s="61"/>
      <c r="I46" s="61"/>
      <c r="J46" s="61"/>
    </row>
    <row r="47" spans="1:10" ht="33.75" customHeight="1" x14ac:dyDescent="0.25">
      <c r="A47" s="61"/>
      <c r="B47" s="98"/>
      <c r="C47" s="134" t="s">
        <v>106</v>
      </c>
      <c r="D47" s="134"/>
      <c r="E47" s="135"/>
      <c r="F47" s="61"/>
      <c r="G47" s="61"/>
      <c r="H47" s="61"/>
      <c r="I47" s="61"/>
      <c r="J47" s="61"/>
    </row>
    <row r="48" spans="1:10" ht="32.25" customHeight="1" x14ac:dyDescent="0.25">
      <c r="A48" s="61"/>
      <c r="B48" s="98"/>
      <c r="C48" s="133" t="s">
        <v>104</v>
      </c>
      <c r="D48" s="133"/>
      <c r="E48" s="133"/>
      <c r="F48" s="61"/>
      <c r="G48" s="61"/>
      <c r="H48" s="61"/>
      <c r="I48" s="61"/>
      <c r="J48" s="61"/>
    </row>
    <row r="49" spans="1:10" ht="15.75" x14ac:dyDescent="0.25">
      <c r="A49" s="61"/>
      <c r="B49" s="97" t="s">
        <v>17</v>
      </c>
      <c r="C49" s="73"/>
      <c r="D49" s="73"/>
      <c r="E49" s="96"/>
      <c r="F49" s="61"/>
      <c r="G49" s="61"/>
      <c r="H49" s="61"/>
      <c r="I49" s="61"/>
      <c r="J49" s="61"/>
    </row>
    <row r="50" spans="1:10" ht="15.75" x14ac:dyDescent="0.25">
      <c r="A50" s="61"/>
      <c r="B50" s="98"/>
      <c r="C50" s="131" t="s">
        <v>61</v>
      </c>
      <c r="D50" s="131"/>
      <c r="E50" s="131"/>
      <c r="F50" s="61"/>
      <c r="G50" s="61"/>
      <c r="H50" s="61"/>
      <c r="I50" s="61"/>
      <c r="J50" s="61"/>
    </row>
    <row r="51" spans="1:10" ht="15.75" x14ac:dyDescent="0.25">
      <c r="A51" s="61"/>
      <c r="B51" s="97" t="s">
        <v>18</v>
      </c>
      <c r="C51" s="99"/>
      <c r="D51" s="99"/>
      <c r="E51" s="100"/>
      <c r="F51" s="61"/>
      <c r="G51" s="61"/>
      <c r="H51" s="61"/>
      <c r="I51" s="61"/>
      <c r="J51" s="61"/>
    </row>
    <row r="52" spans="1:10" ht="15.75" x14ac:dyDescent="0.25">
      <c r="A52" s="61"/>
      <c r="B52" s="98"/>
      <c r="C52" s="131" t="s">
        <v>71</v>
      </c>
      <c r="D52" s="131"/>
      <c r="E52" s="131"/>
      <c r="F52" s="61"/>
      <c r="G52" s="61"/>
      <c r="H52" s="61"/>
      <c r="I52" s="61"/>
      <c r="J52" s="61"/>
    </row>
    <row r="53" spans="1:10" ht="15.75" x14ac:dyDescent="0.25">
      <c r="A53" s="61"/>
      <c r="B53" s="97" t="s">
        <v>19</v>
      </c>
      <c r="C53" s="73"/>
      <c r="D53" s="73"/>
      <c r="E53" s="96"/>
      <c r="F53" s="61"/>
      <c r="G53" s="61"/>
      <c r="H53" s="61"/>
      <c r="I53" s="61"/>
      <c r="J53" s="61"/>
    </row>
    <row r="54" spans="1:10" ht="15.75" x14ac:dyDescent="0.25">
      <c r="A54" s="61"/>
      <c r="B54" s="97"/>
      <c r="C54" s="132" t="s">
        <v>60</v>
      </c>
      <c r="D54" s="132"/>
      <c r="E54" s="132"/>
      <c r="F54" s="61"/>
      <c r="G54" s="61"/>
      <c r="H54" s="61"/>
      <c r="I54" s="61"/>
      <c r="J54" s="61"/>
    </row>
    <row r="55" spans="1:10" ht="16.5" thickBot="1" x14ac:dyDescent="0.3">
      <c r="A55" s="61"/>
      <c r="B55" s="101"/>
      <c r="C55" s="102"/>
      <c r="D55" s="102"/>
      <c r="E55" s="103"/>
      <c r="F55" s="61"/>
      <c r="G55" s="61"/>
      <c r="H55" s="61"/>
      <c r="I55" s="61"/>
      <c r="J55" s="61"/>
    </row>
    <row r="56" spans="1:10" ht="16.5" thickBot="1" x14ac:dyDescent="0.3">
      <c r="A56" s="61"/>
      <c r="B56" s="61"/>
      <c r="C56" s="61"/>
      <c r="D56" s="61"/>
      <c r="E56" s="61"/>
      <c r="F56" s="61"/>
      <c r="G56" s="61"/>
      <c r="H56" s="61"/>
      <c r="I56" s="61"/>
      <c r="J56" s="61"/>
    </row>
    <row r="57" spans="1:10" ht="15.75" x14ac:dyDescent="0.25">
      <c r="A57" s="61"/>
      <c r="B57" s="90" t="s">
        <v>93</v>
      </c>
      <c r="C57" s="91"/>
      <c r="D57" s="91"/>
      <c r="E57" s="92"/>
      <c r="F57" s="61"/>
      <c r="G57" s="61"/>
      <c r="H57" s="61"/>
      <c r="I57" s="61"/>
      <c r="J57" s="61"/>
    </row>
    <row r="58" spans="1:10" ht="15.75" x14ac:dyDescent="0.25">
      <c r="A58" s="61"/>
      <c r="B58" s="95"/>
      <c r="C58" s="73"/>
      <c r="D58" s="73"/>
      <c r="E58" s="96"/>
      <c r="F58" s="61"/>
      <c r="G58" s="61"/>
      <c r="H58" s="61"/>
      <c r="I58" s="61"/>
      <c r="J58" s="61"/>
    </row>
    <row r="59" spans="1:10" ht="15.75" x14ac:dyDescent="0.25">
      <c r="A59" s="61"/>
      <c r="B59" s="97" t="s">
        <v>15</v>
      </c>
      <c r="C59" s="73"/>
      <c r="D59" s="73"/>
      <c r="E59" s="96"/>
      <c r="F59" s="61"/>
      <c r="G59" s="61"/>
      <c r="H59" s="61"/>
      <c r="I59" s="61"/>
      <c r="J59" s="61"/>
    </row>
    <row r="60" spans="1:10" ht="15.75" x14ac:dyDescent="0.25">
      <c r="A60" s="61"/>
      <c r="B60" s="97"/>
      <c r="C60" s="131"/>
      <c r="D60" s="131"/>
      <c r="E60" s="131"/>
      <c r="F60" s="61"/>
      <c r="G60" s="61"/>
      <c r="H60" s="61"/>
      <c r="I60" s="61"/>
      <c r="J60" s="61"/>
    </row>
    <row r="61" spans="1:10" ht="15.75" x14ac:dyDescent="0.25">
      <c r="A61" s="61"/>
      <c r="B61" s="97" t="s">
        <v>16</v>
      </c>
      <c r="C61" s="73"/>
      <c r="D61" s="73"/>
      <c r="E61" s="96"/>
      <c r="F61" s="61"/>
      <c r="G61" s="61"/>
      <c r="H61" s="61"/>
      <c r="I61" s="61"/>
      <c r="J61" s="61"/>
    </row>
    <row r="62" spans="1:10" ht="40.5" customHeight="1" x14ac:dyDescent="0.25">
      <c r="A62" s="61"/>
      <c r="B62" s="98"/>
      <c r="C62" s="134" t="s">
        <v>106</v>
      </c>
      <c r="D62" s="134"/>
      <c r="E62" s="135"/>
      <c r="F62" s="61"/>
      <c r="G62" s="61"/>
      <c r="H62" s="61"/>
      <c r="I62" s="61"/>
      <c r="J62" s="61"/>
    </row>
    <row r="63" spans="1:10" ht="37.5" customHeight="1" x14ac:dyDescent="0.25">
      <c r="A63" s="61"/>
      <c r="B63" s="98"/>
      <c r="C63" s="133" t="s">
        <v>104</v>
      </c>
      <c r="D63" s="133"/>
      <c r="E63" s="133"/>
      <c r="F63" s="61"/>
      <c r="G63" s="61"/>
      <c r="H63" s="61"/>
      <c r="I63" s="61"/>
      <c r="J63" s="61"/>
    </row>
    <row r="64" spans="1:10" ht="15.75" x14ac:dyDescent="0.25">
      <c r="A64" s="61"/>
      <c r="B64" s="97" t="s">
        <v>17</v>
      </c>
      <c r="C64" s="73"/>
      <c r="D64" s="73"/>
      <c r="E64" s="96"/>
      <c r="F64" s="61"/>
      <c r="G64" s="61"/>
      <c r="H64" s="61"/>
      <c r="I64" s="61"/>
      <c r="J64" s="61"/>
    </row>
    <row r="65" spans="1:10" ht="15.75" x14ac:dyDescent="0.25">
      <c r="A65" s="61"/>
      <c r="B65" s="98"/>
      <c r="C65" s="131" t="s">
        <v>61</v>
      </c>
      <c r="D65" s="131"/>
      <c r="E65" s="131"/>
      <c r="F65" s="61"/>
      <c r="G65" s="61"/>
      <c r="H65" s="61"/>
      <c r="I65" s="61"/>
      <c r="J65" s="61"/>
    </row>
    <row r="66" spans="1:10" ht="15.75" x14ac:dyDescent="0.25">
      <c r="A66" s="61"/>
      <c r="B66" s="97" t="s">
        <v>18</v>
      </c>
      <c r="C66" s="99"/>
      <c r="D66" s="99"/>
      <c r="E66" s="100"/>
      <c r="F66" s="61"/>
      <c r="G66" s="61"/>
      <c r="H66" s="61"/>
      <c r="I66" s="61"/>
      <c r="J66" s="61"/>
    </row>
    <row r="67" spans="1:10" ht="15.75" x14ac:dyDescent="0.25">
      <c r="A67" s="61"/>
      <c r="B67" s="98"/>
      <c r="C67" s="131" t="s">
        <v>71</v>
      </c>
      <c r="D67" s="131"/>
      <c r="E67" s="131"/>
      <c r="F67" s="61"/>
      <c r="G67" s="61"/>
      <c r="H67" s="61"/>
      <c r="I67" s="61"/>
      <c r="J67" s="61"/>
    </row>
    <row r="68" spans="1:10" ht="15.75" x14ac:dyDescent="0.25">
      <c r="A68" s="61"/>
      <c r="B68" s="97" t="s">
        <v>19</v>
      </c>
      <c r="C68" s="73"/>
      <c r="D68" s="73"/>
      <c r="E68" s="96"/>
      <c r="F68" s="61"/>
      <c r="G68" s="61"/>
      <c r="H68" s="61"/>
      <c r="I68" s="61"/>
      <c r="J68" s="61"/>
    </row>
    <row r="69" spans="1:10" ht="15.75" x14ac:dyDescent="0.25">
      <c r="A69" s="61"/>
      <c r="B69" s="97"/>
      <c r="C69" s="132" t="s">
        <v>60</v>
      </c>
      <c r="D69" s="132"/>
      <c r="E69" s="132"/>
      <c r="F69" s="61"/>
      <c r="G69" s="61"/>
      <c r="H69" s="61"/>
      <c r="I69" s="61"/>
      <c r="J69" s="61"/>
    </row>
    <row r="70" spans="1:10" ht="16.5" thickBot="1" x14ac:dyDescent="0.3">
      <c r="A70" s="61"/>
      <c r="B70" s="101"/>
      <c r="C70" s="102"/>
      <c r="D70" s="102"/>
      <c r="E70" s="103"/>
      <c r="F70" s="61"/>
      <c r="G70" s="61"/>
      <c r="H70" s="61"/>
      <c r="I70" s="61"/>
      <c r="J70" s="61"/>
    </row>
    <row r="71" spans="1:10" ht="16.5" thickBot="1" x14ac:dyDescent="0.3">
      <c r="A71" s="61"/>
      <c r="B71" s="61"/>
      <c r="C71" s="61"/>
      <c r="D71" s="61"/>
      <c r="E71" s="61"/>
      <c r="F71" s="61"/>
      <c r="G71" s="61"/>
      <c r="H71" s="61"/>
      <c r="I71" s="61"/>
      <c r="J71" s="61"/>
    </row>
    <row r="72" spans="1:10" ht="15.75" x14ac:dyDescent="0.25">
      <c r="A72" s="61"/>
      <c r="B72" s="90" t="s">
        <v>94</v>
      </c>
      <c r="C72" s="91"/>
      <c r="D72" s="91"/>
      <c r="E72" s="92"/>
      <c r="F72" s="61"/>
      <c r="G72" s="61"/>
      <c r="H72" s="61"/>
      <c r="I72" s="61"/>
      <c r="J72" s="61"/>
    </row>
    <row r="73" spans="1:10" ht="15.75" x14ac:dyDescent="0.25">
      <c r="A73" s="61"/>
      <c r="B73" s="95"/>
      <c r="C73" s="73"/>
      <c r="D73" s="73"/>
      <c r="E73" s="96"/>
      <c r="F73" s="61"/>
      <c r="G73" s="61"/>
      <c r="H73" s="61"/>
      <c r="I73" s="61"/>
      <c r="J73" s="61"/>
    </row>
    <row r="74" spans="1:10" ht="15.75" x14ac:dyDescent="0.25">
      <c r="A74" s="61"/>
      <c r="B74" s="97" t="s">
        <v>15</v>
      </c>
      <c r="C74" s="73"/>
      <c r="D74" s="73"/>
      <c r="E74" s="96"/>
      <c r="F74" s="61"/>
      <c r="G74" s="61"/>
      <c r="H74" s="61"/>
      <c r="I74" s="61"/>
      <c r="J74" s="61"/>
    </row>
    <row r="75" spans="1:10" ht="15.75" x14ac:dyDescent="0.25">
      <c r="A75" s="61"/>
      <c r="B75" s="97"/>
      <c r="C75" s="131"/>
      <c r="D75" s="131"/>
      <c r="E75" s="131"/>
      <c r="F75" s="61"/>
      <c r="G75" s="61"/>
      <c r="H75" s="61"/>
      <c r="I75" s="61"/>
      <c r="J75" s="61"/>
    </row>
    <row r="76" spans="1:10" ht="15.75" x14ac:dyDescent="0.25">
      <c r="A76" s="61"/>
      <c r="B76" s="97" t="s">
        <v>16</v>
      </c>
      <c r="C76" s="73"/>
      <c r="D76" s="73"/>
      <c r="E76" s="96"/>
      <c r="F76" s="61"/>
      <c r="G76" s="61"/>
      <c r="H76" s="61"/>
      <c r="I76" s="61"/>
      <c r="J76" s="61"/>
    </row>
    <row r="77" spans="1:10" ht="43.5" customHeight="1" x14ac:dyDescent="0.25">
      <c r="A77" s="61"/>
      <c r="B77" s="98"/>
      <c r="C77" s="134" t="s">
        <v>107</v>
      </c>
      <c r="D77" s="134"/>
      <c r="E77" s="135"/>
      <c r="F77" s="61"/>
      <c r="G77" s="61"/>
      <c r="H77" s="61"/>
      <c r="I77" s="61"/>
      <c r="J77" s="61"/>
    </row>
    <row r="78" spans="1:10" ht="33" customHeight="1" x14ac:dyDescent="0.25">
      <c r="A78" s="61"/>
      <c r="B78" s="98"/>
      <c r="C78" s="133" t="s">
        <v>104</v>
      </c>
      <c r="D78" s="133"/>
      <c r="E78" s="133"/>
      <c r="F78" s="61"/>
      <c r="G78" s="61"/>
      <c r="H78" s="61"/>
      <c r="I78" s="61"/>
      <c r="J78" s="61"/>
    </row>
    <row r="79" spans="1:10" ht="15.75" x14ac:dyDescent="0.25">
      <c r="A79" s="61"/>
      <c r="B79" s="97" t="s">
        <v>17</v>
      </c>
      <c r="C79" s="73"/>
      <c r="D79" s="73"/>
      <c r="E79" s="96"/>
      <c r="F79" s="61"/>
      <c r="G79" s="61"/>
      <c r="H79" s="61"/>
      <c r="I79" s="61"/>
      <c r="J79" s="61"/>
    </row>
    <row r="80" spans="1:10" ht="15.75" x14ac:dyDescent="0.25">
      <c r="A80" s="61"/>
      <c r="B80" s="98"/>
      <c r="C80" s="131" t="s">
        <v>61</v>
      </c>
      <c r="D80" s="131"/>
      <c r="E80" s="131"/>
      <c r="F80" s="61"/>
      <c r="G80" s="61"/>
      <c r="H80" s="61"/>
      <c r="I80" s="61"/>
      <c r="J80" s="61"/>
    </row>
    <row r="81" spans="1:10" ht="15.75" x14ac:dyDescent="0.25">
      <c r="A81" s="61"/>
      <c r="B81" s="97" t="s">
        <v>18</v>
      </c>
      <c r="C81" s="99"/>
      <c r="D81" s="99"/>
      <c r="E81" s="100"/>
      <c r="F81" s="61"/>
      <c r="G81" s="61"/>
      <c r="H81" s="61"/>
      <c r="I81" s="61"/>
      <c r="J81" s="61"/>
    </row>
    <row r="82" spans="1:10" ht="15.75" x14ac:dyDescent="0.25">
      <c r="A82" s="61"/>
      <c r="B82" s="98"/>
      <c r="C82" s="131" t="s">
        <v>71</v>
      </c>
      <c r="D82" s="131"/>
      <c r="E82" s="131"/>
      <c r="F82" s="61"/>
      <c r="G82" s="61"/>
      <c r="H82" s="61"/>
      <c r="I82" s="61"/>
      <c r="J82" s="61"/>
    </row>
    <row r="83" spans="1:10" ht="15.75" x14ac:dyDescent="0.25">
      <c r="A83" s="61"/>
      <c r="B83" s="97" t="s">
        <v>19</v>
      </c>
      <c r="C83" s="73"/>
      <c r="D83" s="73"/>
      <c r="E83" s="96"/>
      <c r="F83" s="61"/>
      <c r="G83" s="61"/>
      <c r="H83" s="61"/>
      <c r="I83" s="61"/>
      <c r="J83" s="61"/>
    </row>
    <row r="84" spans="1:10" ht="15.75" x14ac:dyDescent="0.25">
      <c r="A84" s="61"/>
      <c r="B84" s="97"/>
      <c r="C84" s="132" t="s">
        <v>60</v>
      </c>
      <c r="D84" s="132"/>
      <c r="E84" s="132"/>
      <c r="F84" s="61"/>
      <c r="G84" s="61"/>
      <c r="H84" s="61"/>
      <c r="I84" s="61"/>
      <c r="J84" s="61"/>
    </row>
    <row r="85" spans="1:10" ht="16.5" thickBot="1" x14ac:dyDescent="0.3">
      <c r="A85" s="61"/>
      <c r="B85" s="101"/>
      <c r="C85" s="102"/>
      <c r="D85" s="102"/>
      <c r="E85" s="103"/>
      <c r="F85" s="61"/>
      <c r="G85" s="61"/>
      <c r="H85" s="61"/>
      <c r="I85" s="61"/>
      <c r="J85" s="61"/>
    </row>
    <row r="86" spans="1:10" ht="16.5" thickBot="1" x14ac:dyDescent="0.3">
      <c r="A86" s="61"/>
      <c r="B86" s="61"/>
      <c r="C86" s="61"/>
      <c r="D86" s="61"/>
      <c r="E86" s="61"/>
      <c r="F86" s="61"/>
      <c r="G86" s="61"/>
      <c r="H86" s="61"/>
      <c r="I86" s="61"/>
      <c r="J86" s="61"/>
    </row>
    <row r="87" spans="1:10" ht="15.75" x14ac:dyDescent="0.25">
      <c r="A87" s="61"/>
      <c r="B87" s="90" t="s">
        <v>95</v>
      </c>
      <c r="C87" s="91"/>
      <c r="D87" s="91"/>
      <c r="E87" s="92"/>
      <c r="F87" s="61"/>
      <c r="G87" s="61"/>
      <c r="H87" s="61"/>
      <c r="I87" s="61"/>
      <c r="J87" s="61"/>
    </row>
    <row r="88" spans="1:10" ht="15.75" x14ac:dyDescent="0.25">
      <c r="A88" s="61"/>
      <c r="B88" s="95"/>
      <c r="C88" s="73"/>
      <c r="D88" s="73"/>
      <c r="E88" s="96"/>
      <c r="F88" s="61"/>
      <c r="G88" s="61"/>
      <c r="H88" s="61"/>
      <c r="I88" s="61"/>
      <c r="J88" s="61"/>
    </row>
    <row r="89" spans="1:10" ht="15.75" x14ac:dyDescent="0.25">
      <c r="A89" s="61"/>
      <c r="B89" s="97" t="s">
        <v>15</v>
      </c>
      <c r="C89" s="136" t="s">
        <v>108</v>
      </c>
      <c r="D89" s="137"/>
      <c r="E89" s="138"/>
      <c r="F89" s="61"/>
      <c r="G89" s="61"/>
      <c r="H89" s="61"/>
      <c r="I89" s="61"/>
      <c r="J89" s="61"/>
    </row>
    <row r="90" spans="1:10" ht="15.75" x14ac:dyDescent="0.25">
      <c r="A90" s="61"/>
      <c r="B90" s="97"/>
      <c r="C90" s="131"/>
      <c r="D90" s="131"/>
      <c r="E90" s="131"/>
      <c r="F90" s="61"/>
      <c r="G90" s="61"/>
      <c r="H90" s="61"/>
      <c r="I90" s="61"/>
      <c r="J90" s="61"/>
    </row>
    <row r="91" spans="1:10" ht="15.75" x14ac:dyDescent="0.25">
      <c r="A91" s="61"/>
      <c r="B91" s="97" t="s">
        <v>16</v>
      </c>
      <c r="C91" s="73"/>
      <c r="D91" s="73"/>
      <c r="E91" s="96"/>
      <c r="F91" s="61"/>
      <c r="G91" s="61"/>
      <c r="H91" s="61"/>
      <c r="I91" s="61"/>
      <c r="J91" s="61"/>
    </row>
    <row r="92" spans="1:10" ht="32.25" customHeight="1" x14ac:dyDescent="0.25">
      <c r="A92" s="61"/>
      <c r="B92" s="98"/>
      <c r="C92" s="134" t="s">
        <v>107</v>
      </c>
      <c r="D92" s="134"/>
      <c r="E92" s="135"/>
      <c r="F92" s="61"/>
      <c r="G92" s="61"/>
      <c r="H92" s="61"/>
      <c r="I92" s="61"/>
      <c r="J92" s="61"/>
    </row>
    <row r="93" spans="1:10" ht="37.5" customHeight="1" x14ac:dyDescent="0.25">
      <c r="A93" s="61"/>
      <c r="B93" s="98"/>
      <c r="C93" s="133" t="s">
        <v>104</v>
      </c>
      <c r="D93" s="133"/>
      <c r="E93" s="133"/>
      <c r="F93" s="61"/>
      <c r="G93" s="61"/>
      <c r="H93" s="61"/>
      <c r="I93" s="61"/>
      <c r="J93" s="61"/>
    </row>
    <row r="94" spans="1:10" ht="15.75" x14ac:dyDescent="0.25">
      <c r="A94" s="61"/>
      <c r="B94" s="97" t="s">
        <v>17</v>
      </c>
      <c r="C94" s="73"/>
      <c r="D94" s="73"/>
      <c r="E94" s="96"/>
      <c r="F94" s="61"/>
      <c r="G94" s="61"/>
      <c r="H94" s="61"/>
      <c r="I94" s="61"/>
      <c r="J94" s="61"/>
    </row>
    <row r="95" spans="1:10" ht="15.75" x14ac:dyDescent="0.25">
      <c r="A95" s="61"/>
      <c r="B95" s="98"/>
      <c r="C95" s="131" t="s">
        <v>61</v>
      </c>
      <c r="D95" s="131"/>
      <c r="E95" s="131"/>
      <c r="F95" s="61"/>
      <c r="G95" s="61"/>
      <c r="H95" s="61"/>
      <c r="I95" s="61"/>
      <c r="J95" s="61"/>
    </row>
    <row r="96" spans="1:10" ht="15.75" x14ac:dyDescent="0.25">
      <c r="A96" s="61"/>
      <c r="B96" s="97" t="s">
        <v>18</v>
      </c>
      <c r="C96" s="99"/>
      <c r="D96" s="99"/>
      <c r="E96" s="100"/>
      <c r="F96" s="61"/>
      <c r="G96" s="61"/>
      <c r="H96" s="61"/>
      <c r="I96" s="61"/>
      <c r="J96" s="61"/>
    </row>
    <row r="97" spans="1:10" ht="15.75" x14ac:dyDescent="0.25">
      <c r="A97" s="61"/>
      <c r="B97" s="98"/>
      <c r="C97" s="131" t="s">
        <v>71</v>
      </c>
      <c r="D97" s="131"/>
      <c r="E97" s="131"/>
      <c r="F97" s="61"/>
      <c r="G97" s="61"/>
      <c r="H97" s="61"/>
      <c r="I97" s="61"/>
      <c r="J97" s="61"/>
    </row>
    <row r="98" spans="1:10" ht="15.75" x14ac:dyDescent="0.25">
      <c r="A98" s="61"/>
      <c r="B98" s="97" t="s">
        <v>19</v>
      </c>
      <c r="C98" s="73"/>
      <c r="D98" s="73"/>
      <c r="E98" s="96"/>
      <c r="F98" s="61"/>
      <c r="G98" s="61"/>
      <c r="H98" s="61"/>
      <c r="I98" s="61"/>
      <c r="J98" s="61"/>
    </row>
    <row r="99" spans="1:10" ht="15.75" x14ac:dyDescent="0.25">
      <c r="A99" s="61"/>
      <c r="B99" s="97"/>
      <c r="C99" s="132" t="s">
        <v>60</v>
      </c>
      <c r="D99" s="132"/>
      <c r="E99" s="132"/>
      <c r="F99" s="61"/>
      <c r="G99" s="61"/>
      <c r="H99" s="61"/>
      <c r="I99" s="61"/>
      <c r="J99" s="61"/>
    </row>
    <row r="100" spans="1:10" ht="16.5" thickBot="1" x14ac:dyDescent="0.3">
      <c r="A100" s="61"/>
      <c r="B100" s="101"/>
      <c r="C100" s="102"/>
      <c r="D100" s="102"/>
      <c r="E100" s="103"/>
      <c r="F100" s="61"/>
      <c r="G100" s="61"/>
      <c r="H100" s="61"/>
      <c r="I100" s="61"/>
      <c r="J100" s="61"/>
    </row>
    <row r="101" spans="1:10" ht="16.5" thickBot="1" x14ac:dyDescent="0.3">
      <c r="A101" s="61"/>
      <c r="B101" s="61"/>
      <c r="C101" s="61"/>
      <c r="D101" s="61"/>
      <c r="E101" s="61"/>
      <c r="F101" s="61"/>
      <c r="G101" s="61"/>
      <c r="H101" s="61"/>
      <c r="I101" s="61"/>
      <c r="J101" s="61"/>
    </row>
    <row r="102" spans="1:10" ht="15.75" x14ac:dyDescent="0.25">
      <c r="A102" s="61"/>
      <c r="B102" s="90" t="s">
        <v>96</v>
      </c>
      <c r="C102" s="91"/>
      <c r="D102" s="91"/>
      <c r="E102" s="92"/>
      <c r="F102" s="61"/>
      <c r="G102" s="61"/>
      <c r="H102" s="61"/>
      <c r="I102" s="61"/>
      <c r="J102" s="61"/>
    </row>
    <row r="103" spans="1:10" ht="15.75" x14ac:dyDescent="0.25">
      <c r="A103" s="61"/>
      <c r="B103" s="95"/>
      <c r="C103" s="73"/>
      <c r="D103" s="73"/>
      <c r="E103" s="96"/>
      <c r="F103" s="61"/>
      <c r="G103" s="61"/>
      <c r="H103" s="61"/>
      <c r="I103" s="61"/>
      <c r="J103" s="61"/>
    </row>
    <row r="104" spans="1:10" ht="15.75" x14ac:dyDescent="0.25">
      <c r="A104" s="61"/>
      <c r="B104" s="97" t="s">
        <v>15</v>
      </c>
      <c r="C104" s="73"/>
      <c r="D104" s="73"/>
      <c r="E104" s="96"/>
      <c r="F104" s="61"/>
      <c r="G104" s="61"/>
      <c r="H104" s="61"/>
      <c r="I104" s="61"/>
      <c r="J104" s="61"/>
    </row>
    <row r="105" spans="1:10" ht="15.75" x14ac:dyDescent="0.25">
      <c r="A105" s="61"/>
      <c r="B105" s="97"/>
      <c r="C105" s="131"/>
      <c r="D105" s="131"/>
      <c r="E105" s="131"/>
      <c r="F105" s="61"/>
      <c r="G105" s="61"/>
      <c r="H105" s="61"/>
      <c r="I105" s="61"/>
      <c r="J105" s="61"/>
    </row>
    <row r="106" spans="1:10" ht="15.75" x14ac:dyDescent="0.25">
      <c r="A106" s="61"/>
      <c r="B106" s="97" t="s">
        <v>16</v>
      </c>
      <c r="C106" s="73"/>
      <c r="D106" s="73"/>
      <c r="E106" s="96"/>
      <c r="F106" s="61"/>
      <c r="G106" s="61"/>
      <c r="H106" s="61"/>
      <c r="I106" s="61"/>
      <c r="J106" s="61"/>
    </row>
    <row r="107" spans="1:10" ht="39.75" customHeight="1" x14ac:dyDescent="0.25">
      <c r="A107" s="61"/>
      <c r="B107" s="98"/>
      <c r="C107" s="134" t="s">
        <v>106</v>
      </c>
      <c r="D107" s="134"/>
      <c r="E107" s="135"/>
      <c r="F107" s="61"/>
      <c r="G107" s="61"/>
      <c r="H107" s="61"/>
      <c r="I107" s="61"/>
      <c r="J107" s="61"/>
    </row>
    <row r="108" spans="1:10" ht="33" customHeight="1" x14ac:dyDescent="0.25">
      <c r="A108" s="61"/>
      <c r="B108" s="98"/>
      <c r="C108" s="133" t="s">
        <v>104</v>
      </c>
      <c r="D108" s="133"/>
      <c r="E108" s="133"/>
      <c r="F108" s="61"/>
      <c r="G108" s="61"/>
      <c r="H108" s="61"/>
      <c r="I108" s="61"/>
      <c r="J108" s="61"/>
    </row>
    <row r="109" spans="1:10" ht="15.75" x14ac:dyDescent="0.25">
      <c r="A109" s="61"/>
      <c r="B109" s="97" t="s">
        <v>17</v>
      </c>
      <c r="C109" s="73"/>
      <c r="D109" s="73"/>
      <c r="E109" s="96"/>
      <c r="F109" s="61"/>
      <c r="G109" s="61"/>
      <c r="H109" s="61"/>
      <c r="I109" s="61"/>
      <c r="J109" s="61"/>
    </row>
    <row r="110" spans="1:10" ht="15.75" x14ac:dyDescent="0.25">
      <c r="A110" s="61"/>
      <c r="B110" s="98"/>
      <c r="C110" s="131" t="s">
        <v>61</v>
      </c>
      <c r="D110" s="131"/>
      <c r="E110" s="131"/>
      <c r="F110" s="61"/>
      <c r="G110" s="61"/>
      <c r="H110" s="61"/>
      <c r="I110" s="61"/>
      <c r="J110" s="61"/>
    </row>
    <row r="111" spans="1:10" ht="15.75" x14ac:dyDescent="0.25">
      <c r="A111" s="61"/>
      <c r="B111" s="97" t="s">
        <v>18</v>
      </c>
      <c r="C111" s="99"/>
      <c r="D111" s="99"/>
      <c r="E111" s="100"/>
      <c r="F111" s="61"/>
      <c r="G111" s="61"/>
      <c r="H111" s="61"/>
      <c r="I111" s="61"/>
      <c r="J111" s="61"/>
    </row>
    <row r="112" spans="1:10" ht="15.75" x14ac:dyDescent="0.25">
      <c r="A112" s="61"/>
      <c r="B112" s="98"/>
      <c r="C112" s="131" t="s">
        <v>71</v>
      </c>
      <c r="D112" s="131"/>
      <c r="E112" s="131"/>
      <c r="F112" s="61"/>
      <c r="G112" s="61"/>
      <c r="H112" s="61"/>
      <c r="I112" s="61"/>
      <c r="J112" s="61"/>
    </row>
    <row r="113" spans="1:10" ht="15.75" x14ac:dyDescent="0.25">
      <c r="A113" s="61"/>
      <c r="B113" s="97" t="s">
        <v>19</v>
      </c>
      <c r="C113" s="73"/>
      <c r="D113" s="73"/>
      <c r="E113" s="96"/>
      <c r="F113" s="61"/>
      <c r="G113" s="61"/>
      <c r="H113" s="61"/>
      <c r="I113" s="61"/>
      <c r="J113" s="61"/>
    </row>
    <row r="114" spans="1:10" ht="15.75" x14ac:dyDescent="0.25">
      <c r="A114" s="61"/>
      <c r="B114" s="97"/>
      <c r="C114" s="132" t="s">
        <v>60</v>
      </c>
      <c r="D114" s="132"/>
      <c r="E114" s="132"/>
      <c r="F114" s="61"/>
      <c r="G114" s="61"/>
      <c r="H114" s="61"/>
      <c r="I114" s="61"/>
      <c r="J114" s="61"/>
    </row>
    <row r="115" spans="1:10" ht="16.5" thickBot="1" x14ac:dyDescent="0.3">
      <c r="A115" s="61"/>
      <c r="B115" s="101"/>
      <c r="C115" s="102"/>
      <c r="D115" s="102"/>
      <c r="E115" s="103"/>
      <c r="F115" s="61"/>
      <c r="G115" s="61"/>
      <c r="H115" s="61"/>
      <c r="I115" s="61"/>
      <c r="J115" s="61"/>
    </row>
    <row r="116" spans="1:10" ht="16.5" thickBot="1" x14ac:dyDescent="0.3">
      <c r="A116" s="61"/>
      <c r="B116" s="61"/>
      <c r="C116" s="61"/>
      <c r="D116" s="61"/>
      <c r="E116" s="61"/>
      <c r="F116" s="61"/>
      <c r="G116" s="61"/>
      <c r="H116" s="61"/>
      <c r="I116" s="61"/>
      <c r="J116" s="61"/>
    </row>
    <row r="117" spans="1:10" ht="15.75" x14ac:dyDescent="0.25">
      <c r="A117" s="61"/>
      <c r="B117" s="90" t="s">
        <v>97</v>
      </c>
      <c r="C117" s="91"/>
      <c r="D117" s="91"/>
      <c r="E117" s="92"/>
      <c r="F117" s="61"/>
      <c r="G117" s="61"/>
      <c r="H117" s="61"/>
      <c r="I117" s="61"/>
      <c r="J117" s="61"/>
    </row>
    <row r="118" spans="1:10" ht="15.75" x14ac:dyDescent="0.25">
      <c r="A118" s="61"/>
      <c r="B118" s="95"/>
      <c r="C118" s="73"/>
      <c r="D118" s="73"/>
      <c r="E118" s="96"/>
      <c r="F118" s="61"/>
      <c r="G118" s="61"/>
      <c r="H118" s="61"/>
      <c r="I118" s="61"/>
      <c r="J118" s="61"/>
    </row>
    <row r="119" spans="1:10" ht="15.75" x14ac:dyDescent="0.25">
      <c r="A119" s="61"/>
      <c r="B119" s="97" t="s">
        <v>15</v>
      </c>
      <c r="C119" s="73"/>
      <c r="D119" s="73"/>
      <c r="E119" s="96"/>
      <c r="F119" s="61"/>
      <c r="G119" s="61"/>
      <c r="H119" s="61"/>
      <c r="I119" s="61"/>
      <c r="J119" s="61"/>
    </row>
    <row r="120" spans="1:10" ht="15.75" x14ac:dyDescent="0.25">
      <c r="A120" s="61"/>
      <c r="B120" s="97"/>
      <c r="C120" s="131"/>
      <c r="D120" s="131"/>
      <c r="E120" s="131"/>
      <c r="F120" s="61"/>
      <c r="G120" s="61"/>
      <c r="H120" s="61"/>
      <c r="I120" s="61"/>
      <c r="J120" s="61"/>
    </row>
    <row r="121" spans="1:10" ht="15.75" x14ac:dyDescent="0.25">
      <c r="A121" s="61"/>
      <c r="B121" s="97" t="s">
        <v>16</v>
      </c>
      <c r="C121" s="73"/>
      <c r="D121" s="73"/>
      <c r="E121" s="96"/>
      <c r="F121" s="61"/>
      <c r="G121" s="61"/>
      <c r="H121" s="61"/>
      <c r="I121" s="61"/>
      <c r="J121" s="61"/>
    </row>
    <row r="122" spans="1:10" ht="41.25" customHeight="1" x14ac:dyDescent="0.25">
      <c r="A122" s="61"/>
      <c r="B122" s="98"/>
      <c r="C122" s="134" t="s">
        <v>107</v>
      </c>
      <c r="D122" s="134"/>
      <c r="E122" s="135"/>
      <c r="F122" s="61"/>
      <c r="G122" s="61"/>
      <c r="H122" s="61"/>
      <c r="I122" s="61"/>
      <c r="J122" s="61"/>
    </row>
    <row r="123" spans="1:10" ht="15.75" x14ac:dyDescent="0.25">
      <c r="A123" s="61"/>
      <c r="B123" s="98"/>
      <c r="C123" s="133" t="s">
        <v>104</v>
      </c>
      <c r="D123" s="133"/>
      <c r="E123" s="133"/>
      <c r="F123" s="61"/>
      <c r="G123" s="61"/>
      <c r="H123" s="61"/>
      <c r="I123" s="61"/>
      <c r="J123" s="61"/>
    </row>
    <row r="124" spans="1:10" ht="15.75" x14ac:dyDescent="0.25">
      <c r="A124" s="61"/>
      <c r="B124" s="97" t="s">
        <v>17</v>
      </c>
      <c r="C124" s="73"/>
      <c r="D124" s="73"/>
      <c r="E124" s="96"/>
      <c r="F124" s="61"/>
      <c r="G124" s="61"/>
      <c r="H124" s="61"/>
      <c r="I124" s="61"/>
      <c r="J124" s="61"/>
    </row>
    <row r="125" spans="1:10" ht="15.75" x14ac:dyDescent="0.25">
      <c r="A125" s="61"/>
      <c r="B125" s="98"/>
      <c r="C125" s="131" t="s">
        <v>61</v>
      </c>
      <c r="D125" s="131"/>
      <c r="E125" s="131"/>
      <c r="F125" s="61"/>
      <c r="G125" s="61"/>
      <c r="H125" s="61"/>
      <c r="I125" s="61"/>
      <c r="J125" s="61"/>
    </row>
    <row r="126" spans="1:10" ht="15.75" x14ac:dyDescent="0.25">
      <c r="A126" s="61"/>
      <c r="B126" s="97" t="s">
        <v>18</v>
      </c>
      <c r="C126" s="99"/>
      <c r="D126" s="99"/>
      <c r="E126" s="100"/>
      <c r="F126" s="61"/>
      <c r="G126" s="61"/>
      <c r="H126" s="61"/>
      <c r="I126" s="61"/>
      <c r="J126" s="61"/>
    </row>
    <row r="127" spans="1:10" ht="15.75" x14ac:dyDescent="0.25">
      <c r="A127" s="61"/>
      <c r="B127" s="98"/>
      <c r="C127" s="131" t="s">
        <v>71</v>
      </c>
      <c r="D127" s="131"/>
      <c r="E127" s="131"/>
      <c r="F127" s="61"/>
      <c r="G127" s="61"/>
      <c r="H127" s="61"/>
      <c r="I127" s="61"/>
      <c r="J127" s="61"/>
    </row>
    <row r="128" spans="1:10" ht="15.75" x14ac:dyDescent="0.25">
      <c r="A128" s="61"/>
      <c r="B128" s="97" t="s">
        <v>19</v>
      </c>
      <c r="C128" s="73"/>
      <c r="D128" s="73"/>
      <c r="E128" s="96"/>
      <c r="F128" s="61"/>
      <c r="G128" s="61"/>
      <c r="H128" s="61"/>
      <c r="I128" s="61"/>
      <c r="J128" s="61"/>
    </row>
    <row r="129" spans="1:10" ht="15.75" x14ac:dyDescent="0.25">
      <c r="A129" s="61"/>
      <c r="B129" s="97"/>
      <c r="C129" s="132" t="s">
        <v>60</v>
      </c>
      <c r="D129" s="132"/>
      <c r="E129" s="132"/>
      <c r="F129" s="61"/>
      <c r="G129" s="61"/>
      <c r="H129" s="61"/>
      <c r="I129" s="61"/>
      <c r="J129" s="61"/>
    </row>
    <row r="130" spans="1:10" ht="16.5" thickBot="1" x14ac:dyDescent="0.3">
      <c r="A130" s="61"/>
      <c r="B130" s="101"/>
      <c r="C130" s="102"/>
      <c r="D130" s="102"/>
      <c r="E130" s="103"/>
      <c r="F130" s="61"/>
      <c r="G130" s="61"/>
      <c r="H130" s="61"/>
      <c r="I130" s="61"/>
      <c r="J130" s="61"/>
    </row>
    <row r="131" spans="1:10" ht="16.5" thickBot="1" x14ac:dyDescent="0.3">
      <c r="A131" s="61"/>
      <c r="B131" s="61"/>
      <c r="C131" s="61"/>
      <c r="D131" s="61"/>
      <c r="E131" s="61"/>
      <c r="F131" s="61"/>
      <c r="G131" s="61"/>
      <c r="H131" s="61"/>
      <c r="I131" s="61"/>
      <c r="J131" s="61"/>
    </row>
    <row r="132" spans="1:10" ht="15.75" x14ac:dyDescent="0.25">
      <c r="A132" s="61"/>
      <c r="B132" s="90" t="s">
        <v>98</v>
      </c>
      <c r="C132" s="91"/>
      <c r="D132" s="91"/>
      <c r="E132" s="92"/>
      <c r="F132" s="61"/>
      <c r="G132" s="61"/>
      <c r="H132" s="61"/>
      <c r="I132" s="61"/>
      <c r="J132" s="61"/>
    </row>
    <row r="133" spans="1:10" ht="15.75" x14ac:dyDescent="0.25">
      <c r="A133" s="61"/>
      <c r="B133" s="95"/>
      <c r="C133" s="73"/>
      <c r="D133" s="73"/>
      <c r="E133" s="96"/>
      <c r="F133" s="61"/>
      <c r="G133" s="61"/>
      <c r="H133" s="61"/>
      <c r="I133" s="61"/>
      <c r="J133" s="61"/>
    </row>
    <row r="134" spans="1:10" ht="15.75" x14ac:dyDescent="0.25">
      <c r="A134" s="61"/>
      <c r="B134" s="97" t="s">
        <v>15</v>
      </c>
      <c r="C134" s="73"/>
      <c r="D134" s="73"/>
      <c r="E134" s="96"/>
      <c r="F134" s="61"/>
      <c r="G134" s="61"/>
      <c r="H134" s="61"/>
      <c r="I134" s="61"/>
      <c r="J134" s="61"/>
    </row>
    <row r="135" spans="1:10" ht="15.75" x14ac:dyDescent="0.25">
      <c r="A135" s="61"/>
      <c r="B135" s="97"/>
      <c r="C135" s="131"/>
      <c r="D135" s="131"/>
      <c r="E135" s="131"/>
      <c r="F135" s="61"/>
      <c r="G135" s="61"/>
      <c r="H135" s="61"/>
      <c r="I135" s="61"/>
      <c r="J135" s="61"/>
    </row>
    <row r="136" spans="1:10" ht="15.75" x14ac:dyDescent="0.25">
      <c r="A136" s="61"/>
      <c r="B136" s="97" t="s">
        <v>16</v>
      </c>
      <c r="C136" s="73"/>
      <c r="D136" s="73"/>
      <c r="E136" s="96"/>
      <c r="F136" s="61"/>
      <c r="G136" s="61"/>
      <c r="H136" s="61"/>
      <c r="I136" s="61"/>
      <c r="J136" s="61"/>
    </row>
    <row r="137" spans="1:10" ht="43.5" customHeight="1" x14ac:dyDescent="0.25">
      <c r="A137" s="61"/>
      <c r="B137" s="98"/>
      <c r="C137" s="134" t="s">
        <v>107</v>
      </c>
      <c r="D137" s="134"/>
      <c r="E137" s="135"/>
      <c r="F137" s="61"/>
      <c r="G137" s="61"/>
      <c r="H137" s="61"/>
      <c r="I137" s="61"/>
      <c r="J137" s="61"/>
    </row>
    <row r="138" spans="1:10" ht="15.75" x14ac:dyDescent="0.25">
      <c r="A138" s="61"/>
      <c r="B138" s="98"/>
      <c r="C138" s="133" t="s">
        <v>104</v>
      </c>
      <c r="D138" s="133"/>
      <c r="E138" s="133"/>
      <c r="F138" s="61"/>
      <c r="G138" s="61"/>
      <c r="H138" s="61"/>
      <c r="I138" s="61"/>
      <c r="J138" s="61"/>
    </row>
    <row r="139" spans="1:10" ht="15.75" x14ac:dyDescent="0.25">
      <c r="A139" s="61"/>
      <c r="B139" s="97" t="s">
        <v>17</v>
      </c>
      <c r="C139" s="73"/>
      <c r="D139" s="73"/>
      <c r="E139" s="96"/>
      <c r="F139" s="61"/>
      <c r="G139" s="61"/>
      <c r="H139" s="61"/>
      <c r="I139" s="61"/>
      <c r="J139" s="61"/>
    </row>
    <row r="140" spans="1:10" ht="15.75" x14ac:dyDescent="0.25">
      <c r="A140" s="61"/>
      <c r="B140" s="98"/>
      <c r="C140" s="131" t="s">
        <v>61</v>
      </c>
      <c r="D140" s="131"/>
      <c r="E140" s="131"/>
      <c r="F140" s="61"/>
      <c r="G140" s="61"/>
      <c r="H140" s="61"/>
      <c r="I140" s="61"/>
      <c r="J140" s="61"/>
    </row>
    <row r="141" spans="1:10" ht="15.75" x14ac:dyDescent="0.25">
      <c r="A141" s="61"/>
      <c r="B141" s="97" t="s">
        <v>18</v>
      </c>
      <c r="C141" s="99"/>
      <c r="D141" s="99"/>
      <c r="E141" s="100"/>
      <c r="F141" s="61"/>
      <c r="G141" s="61"/>
      <c r="H141" s="61"/>
      <c r="I141" s="61"/>
      <c r="J141" s="61"/>
    </row>
    <row r="142" spans="1:10" ht="15.75" x14ac:dyDescent="0.25">
      <c r="A142" s="61"/>
      <c r="B142" s="98"/>
      <c r="C142" s="131" t="s">
        <v>71</v>
      </c>
      <c r="D142" s="131"/>
      <c r="E142" s="131"/>
      <c r="F142" s="61"/>
      <c r="G142" s="61"/>
      <c r="H142" s="61"/>
      <c r="I142" s="61"/>
      <c r="J142" s="61"/>
    </row>
    <row r="143" spans="1:10" ht="15.75" x14ac:dyDescent="0.25">
      <c r="A143" s="61"/>
      <c r="B143" s="97" t="s">
        <v>19</v>
      </c>
      <c r="C143" s="73"/>
      <c r="D143" s="73"/>
      <c r="E143" s="96"/>
      <c r="F143" s="61"/>
      <c r="G143" s="61"/>
      <c r="H143" s="61"/>
      <c r="I143" s="61"/>
      <c r="J143" s="61"/>
    </row>
    <row r="144" spans="1:10" ht="15.75" x14ac:dyDescent="0.25">
      <c r="A144" s="61"/>
      <c r="B144" s="97"/>
      <c r="C144" s="132" t="s">
        <v>60</v>
      </c>
      <c r="D144" s="132"/>
      <c r="E144" s="132"/>
      <c r="F144" s="61"/>
      <c r="G144" s="61"/>
      <c r="H144" s="61"/>
      <c r="I144" s="61"/>
      <c r="J144" s="61"/>
    </row>
    <row r="145" spans="1:10" ht="16.5" thickBot="1" x14ac:dyDescent="0.3">
      <c r="A145" s="61"/>
      <c r="B145" s="101"/>
      <c r="C145" s="102"/>
      <c r="D145" s="102"/>
      <c r="E145" s="103"/>
      <c r="F145" s="61"/>
      <c r="G145" s="61"/>
      <c r="H145" s="61"/>
      <c r="I145" s="61"/>
      <c r="J145" s="61"/>
    </row>
    <row r="146" spans="1:10" ht="16.5" thickBot="1" x14ac:dyDescent="0.3">
      <c r="A146" s="61"/>
      <c r="B146" s="61"/>
      <c r="C146" s="61"/>
      <c r="D146" s="61"/>
      <c r="E146" s="61"/>
      <c r="F146" s="61"/>
      <c r="G146" s="61"/>
      <c r="H146" s="61"/>
      <c r="I146" s="61"/>
      <c r="J146" s="61"/>
    </row>
    <row r="147" spans="1:10" ht="15.75" x14ac:dyDescent="0.25">
      <c r="A147" s="61"/>
      <c r="B147" s="90" t="s">
        <v>99</v>
      </c>
      <c r="C147" s="91"/>
      <c r="D147" s="91"/>
      <c r="E147" s="92"/>
      <c r="F147" s="61"/>
      <c r="G147" s="61"/>
      <c r="H147" s="61"/>
      <c r="I147" s="61"/>
      <c r="J147" s="61"/>
    </row>
    <row r="148" spans="1:10" ht="15.75" x14ac:dyDescent="0.25">
      <c r="A148" s="61"/>
      <c r="B148" s="95"/>
      <c r="C148" s="73"/>
      <c r="D148" s="73"/>
      <c r="E148" s="96"/>
      <c r="F148" s="61"/>
      <c r="G148" s="61"/>
      <c r="H148" s="61"/>
      <c r="I148" s="61"/>
      <c r="J148" s="61"/>
    </row>
    <row r="149" spans="1:10" ht="15.75" x14ac:dyDescent="0.25">
      <c r="A149" s="61"/>
      <c r="B149" s="97" t="s">
        <v>15</v>
      </c>
      <c r="C149" s="73"/>
      <c r="D149" s="73"/>
      <c r="E149" s="96"/>
      <c r="F149" s="61"/>
      <c r="G149" s="61"/>
      <c r="H149" s="61"/>
      <c r="I149" s="61"/>
      <c r="J149" s="61"/>
    </row>
    <row r="150" spans="1:10" ht="15.75" x14ac:dyDescent="0.25">
      <c r="A150" s="61"/>
      <c r="B150" s="97"/>
      <c r="C150" s="131"/>
      <c r="D150" s="131"/>
      <c r="E150" s="131"/>
      <c r="F150" s="61"/>
      <c r="G150" s="61"/>
      <c r="H150" s="61"/>
      <c r="I150" s="61"/>
      <c r="J150" s="61"/>
    </row>
    <row r="151" spans="1:10" ht="15.75" x14ac:dyDescent="0.25">
      <c r="A151" s="61"/>
      <c r="B151" s="97" t="s">
        <v>16</v>
      </c>
      <c r="C151" s="73"/>
      <c r="D151" s="73"/>
      <c r="E151" s="96"/>
      <c r="F151" s="61"/>
      <c r="G151" s="61"/>
      <c r="H151" s="61"/>
      <c r="I151" s="61"/>
      <c r="J151" s="61"/>
    </row>
    <row r="152" spans="1:10" ht="33" customHeight="1" x14ac:dyDescent="0.25">
      <c r="A152" s="61"/>
      <c r="B152" s="98"/>
      <c r="C152" s="134" t="s">
        <v>107</v>
      </c>
      <c r="D152" s="134"/>
      <c r="E152" s="135"/>
      <c r="F152" s="61"/>
      <c r="G152" s="61"/>
      <c r="H152" s="61"/>
      <c r="I152" s="61"/>
      <c r="J152" s="61"/>
    </row>
    <row r="153" spans="1:10" ht="31.5" customHeight="1" x14ac:dyDescent="0.25">
      <c r="A153" s="61"/>
      <c r="B153" s="98"/>
      <c r="C153" s="133" t="s">
        <v>104</v>
      </c>
      <c r="D153" s="133"/>
      <c r="E153" s="133"/>
      <c r="F153" s="61"/>
      <c r="G153" s="61"/>
      <c r="H153" s="61"/>
      <c r="I153" s="61"/>
      <c r="J153" s="61"/>
    </row>
    <row r="154" spans="1:10" ht="15.75" x14ac:dyDescent="0.25">
      <c r="A154" s="61"/>
      <c r="B154" s="97" t="s">
        <v>17</v>
      </c>
      <c r="C154" s="73"/>
      <c r="D154" s="73"/>
      <c r="E154" s="96"/>
      <c r="F154" s="61"/>
      <c r="G154" s="61"/>
      <c r="H154" s="61"/>
      <c r="I154" s="61"/>
      <c r="J154" s="61"/>
    </row>
    <row r="155" spans="1:10" ht="15.75" x14ac:dyDescent="0.25">
      <c r="A155" s="61"/>
      <c r="B155" s="98"/>
      <c r="C155" s="131" t="s">
        <v>61</v>
      </c>
      <c r="D155" s="131"/>
      <c r="E155" s="131"/>
      <c r="F155" s="61"/>
      <c r="G155" s="61"/>
      <c r="H155" s="61"/>
      <c r="I155" s="61"/>
      <c r="J155" s="61"/>
    </row>
    <row r="156" spans="1:10" ht="15.75" x14ac:dyDescent="0.25">
      <c r="A156" s="61"/>
      <c r="B156" s="97" t="s">
        <v>18</v>
      </c>
      <c r="C156" s="99"/>
      <c r="D156" s="99"/>
      <c r="E156" s="100"/>
      <c r="F156" s="61"/>
      <c r="G156" s="61"/>
      <c r="H156" s="61"/>
      <c r="I156" s="61"/>
      <c r="J156" s="61"/>
    </row>
    <row r="157" spans="1:10" ht="15.75" x14ac:dyDescent="0.25">
      <c r="A157" s="61"/>
      <c r="B157" s="98"/>
      <c r="C157" s="131" t="s">
        <v>71</v>
      </c>
      <c r="D157" s="131"/>
      <c r="E157" s="131"/>
      <c r="F157" s="61"/>
      <c r="G157" s="61"/>
      <c r="H157" s="61"/>
      <c r="I157" s="61"/>
      <c r="J157" s="61"/>
    </row>
    <row r="158" spans="1:10" ht="15.75" x14ac:dyDescent="0.25">
      <c r="A158" s="61"/>
      <c r="B158" s="97" t="s">
        <v>19</v>
      </c>
      <c r="C158" s="73"/>
      <c r="D158" s="73"/>
      <c r="E158" s="96"/>
      <c r="F158" s="61"/>
      <c r="G158" s="61"/>
      <c r="H158" s="61"/>
      <c r="I158" s="61"/>
      <c r="J158" s="61"/>
    </row>
    <row r="159" spans="1:10" ht="15.75" x14ac:dyDescent="0.25">
      <c r="A159" s="61"/>
      <c r="B159" s="97"/>
      <c r="C159" s="132" t="s">
        <v>60</v>
      </c>
      <c r="D159" s="132"/>
      <c r="E159" s="132"/>
      <c r="F159" s="61"/>
      <c r="G159" s="61"/>
      <c r="H159" s="61"/>
      <c r="I159" s="61"/>
      <c r="J159" s="61"/>
    </row>
    <row r="160" spans="1:10" ht="16.5" thickBot="1" x14ac:dyDescent="0.3">
      <c r="A160" s="61"/>
      <c r="B160" s="101"/>
      <c r="C160" s="102"/>
      <c r="D160" s="102"/>
      <c r="E160" s="103"/>
      <c r="F160" s="61"/>
      <c r="G160" s="61"/>
      <c r="H160" s="61"/>
      <c r="I160" s="61"/>
      <c r="J160" s="61"/>
    </row>
    <row r="161" spans="1:10" ht="16.5" thickBot="1" x14ac:dyDescent="0.3">
      <c r="A161" s="61"/>
      <c r="B161" s="61"/>
      <c r="C161" s="61"/>
      <c r="D161" s="61"/>
      <c r="E161" s="61"/>
      <c r="F161" s="61"/>
      <c r="G161" s="61"/>
      <c r="H161" s="61"/>
      <c r="I161" s="61"/>
      <c r="J161" s="61"/>
    </row>
    <row r="162" spans="1:10" ht="15.75" x14ac:dyDescent="0.25">
      <c r="A162" s="61"/>
      <c r="B162" s="90" t="s">
        <v>100</v>
      </c>
      <c r="C162" s="91"/>
      <c r="D162" s="91"/>
      <c r="E162" s="92"/>
      <c r="F162" s="61"/>
      <c r="G162" s="61"/>
      <c r="H162" s="61"/>
      <c r="I162" s="61"/>
      <c r="J162" s="61"/>
    </row>
    <row r="163" spans="1:10" ht="15.75" x14ac:dyDescent="0.25">
      <c r="A163" s="61"/>
      <c r="B163" s="95"/>
      <c r="C163" s="73"/>
      <c r="D163" s="73"/>
      <c r="E163" s="96"/>
      <c r="F163" s="61"/>
      <c r="G163" s="61"/>
      <c r="H163" s="61"/>
      <c r="I163" s="61"/>
      <c r="J163" s="61"/>
    </row>
    <row r="164" spans="1:10" ht="15.75" x14ac:dyDescent="0.25">
      <c r="A164" s="61"/>
      <c r="B164" s="97" t="s">
        <v>15</v>
      </c>
      <c r="C164" s="73"/>
      <c r="D164" s="73"/>
      <c r="E164" s="96"/>
      <c r="F164" s="61"/>
      <c r="G164" s="61"/>
      <c r="H164" s="61"/>
      <c r="I164" s="61"/>
      <c r="J164" s="61"/>
    </row>
    <row r="165" spans="1:10" ht="15.75" x14ac:dyDescent="0.25">
      <c r="A165" s="61"/>
      <c r="B165" s="97"/>
      <c r="C165" s="131"/>
      <c r="D165" s="131"/>
      <c r="E165" s="131"/>
      <c r="F165" s="61"/>
      <c r="G165" s="61"/>
      <c r="H165" s="61"/>
      <c r="I165" s="61"/>
      <c r="J165" s="61"/>
    </row>
    <row r="166" spans="1:10" ht="15.75" x14ac:dyDescent="0.25">
      <c r="A166" s="61"/>
      <c r="B166" s="97" t="s">
        <v>16</v>
      </c>
      <c r="C166" s="73"/>
      <c r="D166" s="73"/>
      <c r="E166" s="96"/>
      <c r="F166" s="61"/>
      <c r="G166" s="61"/>
      <c r="H166" s="61"/>
      <c r="I166" s="61"/>
      <c r="J166" s="61"/>
    </row>
    <row r="167" spans="1:10" ht="33" customHeight="1" x14ac:dyDescent="0.25">
      <c r="A167" s="61"/>
      <c r="B167" s="98"/>
      <c r="C167" s="134" t="s">
        <v>107</v>
      </c>
      <c r="D167" s="134"/>
      <c r="E167" s="135"/>
      <c r="F167" s="61"/>
      <c r="G167" s="61"/>
      <c r="H167" s="61"/>
      <c r="I167" s="61"/>
      <c r="J167" s="61"/>
    </row>
    <row r="168" spans="1:10" ht="36" customHeight="1" x14ac:dyDescent="0.25">
      <c r="A168" s="61"/>
      <c r="B168" s="98"/>
      <c r="C168" s="133" t="s">
        <v>104</v>
      </c>
      <c r="D168" s="133"/>
      <c r="E168" s="133"/>
      <c r="F168" s="61"/>
      <c r="G168" s="61"/>
      <c r="H168" s="61"/>
      <c r="I168" s="61"/>
      <c r="J168" s="61"/>
    </row>
    <row r="169" spans="1:10" ht="15.75" x14ac:dyDescent="0.25">
      <c r="A169" s="61"/>
      <c r="B169" s="97" t="s">
        <v>17</v>
      </c>
      <c r="C169" s="73"/>
      <c r="D169" s="73"/>
      <c r="E169" s="96"/>
      <c r="F169" s="61"/>
      <c r="G169" s="61"/>
      <c r="H169" s="61"/>
      <c r="I169" s="61"/>
      <c r="J169" s="61"/>
    </row>
    <row r="170" spans="1:10" ht="15.75" x14ac:dyDescent="0.25">
      <c r="A170" s="61"/>
      <c r="B170" s="98"/>
      <c r="C170" s="131" t="s">
        <v>61</v>
      </c>
      <c r="D170" s="131"/>
      <c r="E170" s="131"/>
      <c r="F170" s="61"/>
      <c r="G170" s="61"/>
      <c r="H170" s="61"/>
      <c r="I170" s="61"/>
      <c r="J170" s="61"/>
    </row>
    <row r="171" spans="1:10" ht="15.75" x14ac:dyDescent="0.25">
      <c r="A171" s="61"/>
      <c r="B171" s="97" t="s">
        <v>18</v>
      </c>
      <c r="C171" s="99"/>
      <c r="D171" s="99"/>
      <c r="E171" s="100"/>
      <c r="F171" s="61"/>
      <c r="G171" s="61"/>
      <c r="H171" s="61"/>
      <c r="I171" s="61"/>
      <c r="J171" s="61"/>
    </row>
    <row r="172" spans="1:10" ht="15.75" x14ac:dyDescent="0.25">
      <c r="A172" s="61"/>
      <c r="B172" s="98"/>
      <c r="C172" s="131" t="s">
        <v>71</v>
      </c>
      <c r="D172" s="131"/>
      <c r="E172" s="131"/>
      <c r="F172" s="61"/>
      <c r="G172" s="61"/>
      <c r="H172" s="61"/>
      <c r="I172" s="61"/>
      <c r="J172" s="61"/>
    </row>
    <row r="173" spans="1:10" ht="15.75" x14ac:dyDescent="0.25">
      <c r="A173" s="61"/>
      <c r="B173" s="97" t="s">
        <v>19</v>
      </c>
      <c r="C173" s="73"/>
      <c r="D173" s="73"/>
      <c r="E173" s="96"/>
      <c r="F173" s="61"/>
      <c r="G173" s="61"/>
      <c r="H173" s="61"/>
      <c r="I173" s="61"/>
      <c r="J173" s="61"/>
    </row>
    <row r="174" spans="1:10" ht="15.75" x14ac:dyDescent="0.25">
      <c r="A174" s="61"/>
      <c r="B174" s="97"/>
      <c r="C174" s="132" t="s">
        <v>60</v>
      </c>
      <c r="D174" s="132"/>
      <c r="E174" s="132"/>
      <c r="F174" s="61"/>
      <c r="G174" s="61"/>
      <c r="H174" s="61"/>
      <c r="I174" s="61"/>
      <c r="J174" s="61"/>
    </row>
    <row r="175" spans="1:10" ht="16.5" thickBot="1" x14ac:dyDescent="0.3">
      <c r="A175" s="61"/>
      <c r="B175" s="101"/>
      <c r="C175" s="102"/>
      <c r="D175" s="102"/>
      <c r="E175" s="103"/>
      <c r="F175" s="61"/>
      <c r="G175" s="61"/>
      <c r="H175" s="61"/>
      <c r="I175" s="61"/>
      <c r="J175" s="61"/>
    </row>
    <row r="176" spans="1:10" ht="16.5" thickBot="1" x14ac:dyDescent="0.3">
      <c r="A176" s="61"/>
      <c r="B176" s="61"/>
      <c r="C176" s="61"/>
      <c r="D176" s="61"/>
      <c r="E176" s="61"/>
      <c r="F176" s="61"/>
      <c r="G176" s="61"/>
      <c r="H176" s="61"/>
      <c r="I176" s="61"/>
      <c r="J176" s="61"/>
    </row>
    <row r="177" spans="1:10" ht="15.75" x14ac:dyDescent="0.25">
      <c r="A177" s="61"/>
      <c r="B177" s="90" t="s">
        <v>101</v>
      </c>
      <c r="C177" s="91"/>
      <c r="D177" s="91"/>
      <c r="E177" s="92"/>
      <c r="F177" s="61"/>
      <c r="G177" s="61"/>
      <c r="H177" s="61"/>
      <c r="I177" s="61"/>
      <c r="J177" s="61"/>
    </row>
    <row r="178" spans="1:10" ht="15.75" x14ac:dyDescent="0.25">
      <c r="A178" s="61"/>
      <c r="B178" s="95"/>
      <c r="C178" s="73"/>
      <c r="D178" s="73"/>
      <c r="E178" s="96"/>
      <c r="F178" s="61"/>
      <c r="G178" s="61"/>
      <c r="H178" s="61"/>
      <c r="I178" s="61"/>
      <c r="J178" s="61"/>
    </row>
    <row r="179" spans="1:10" ht="15.75" x14ac:dyDescent="0.25">
      <c r="A179" s="61"/>
      <c r="B179" s="97" t="s">
        <v>15</v>
      </c>
      <c r="C179" s="73"/>
      <c r="D179" s="73"/>
      <c r="E179" s="96"/>
      <c r="F179" s="61"/>
      <c r="G179" s="61"/>
      <c r="H179" s="61"/>
      <c r="I179" s="61"/>
      <c r="J179" s="61"/>
    </row>
    <row r="180" spans="1:10" ht="15.75" x14ac:dyDescent="0.25">
      <c r="A180" s="61"/>
      <c r="B180" s="97"/>
      <c r="C180" s="131"/>
      <c r="D180" s="131"/>
      <c r="E180" s="131"/>
      <c r="F180" s="61"/>
      <c r="G180" s="61"/>
      <c r="H180" s="61"/>
      <c r="I180" s="61"/>
      <c r="J180" s="61"/>
    </row>
    <row r="181" spans="1:10" ht="15.75" x14ac:dyDescent="0.25">
      <c r="A181" s="61"/>
      <c r="B181" s="97" t="s">
        <v>16</v>
      </c>
      <c r="C181" s="73"/>
      <c r="D181" s="73"/>
      <c r="E181" s="96"/>
      <c r="F181" s="61"/>
      <c r="G181" s="61"/>
      <c r="H181" s="61"/>
      <c r="I181" s="61"/>
      <c r="J181" s="61"/>
    </row>
    <row r="182" spans="1:10" ht="31.5" customHeight="1" x14ac:dyDescent="0.25">
      <c r="A182" s="61"/>
      <c r="B182" s="98"/>
      <c r="C182" s="134" t="s">
        <v>107</v>
      </c>
      <c r="D182" s="134"/>
      <c r="E182" s="135"/>
      <c r="F182" s="61"/>
      <c r="G182" s="61"/>
      <c r="H182" s="61"/>
      <c r="I182" s="61"/>
      <c r="J182" s="61"/>
    </row>
    <row r="183" spans="1:10" ht="39" customHeight="1" x14ac:dyDescent="0.25">
      <c r="A183" s="61"/>
      <c r="B183" s="98"/>
      <c r="C183" s="133" t="s">
        <v>104</v>
      </c>
      <c r="D183" s="133"/>
      <c r="E183" s="133"/>
      <c r="F183" s="61"/>
      <c r="G183" s="61"/>
      <c r="H183" s="61"/>
      <c r="I183" s="61"/>
      <c r="J183" s="61"/>
    </row>
    <row r="184" spans="1:10" ht="15.75" x14ac:dyDescent="0.25">
      <c r="A184" s="61"/>
      <c r="B184" s="97" t="s">
        <v>17</v>
      </c>
      <c r="C184" s="73"/>
      <c r="D184" s="73"/>
      <c r="E184" s="96"/>
      <c r="F184" s="61"/>
      <c r="G184" s="61"/>
      <c r="H184" s="61"/>
      <c r="I184" s="61"/>
      <c r="J184" s="61"/>
    </row>
    <row r="185" spans="1:10" ht="15.75" x14ac:dyDescent="0.25">
      <c r="A185" s="61"/>
      <c r="B185" s="98"/>
      <c r="C185" s="131" t="s">
        <v>61</v>
      </c>
      <c r="D185" s="131"/>
      <c r="E185" s="131"/>
      <c r="F185" s="61"/>
      <c r="G185" s="61"/>
      <c r="H185" s="61"/>
      <c r="I185" s="61"/>
      <c r="J185" s="61"/>
    </row>
    <row r="186" spans="1:10" ht="15.75" x14ac:dyDescent="0.25">
      <c r="A186" s="61"/>
      <c r="B186" s="97" t="s">
        <v>18</v>
      </c>
      <c r="C186" s="99"/>
      <c r="D186" s="99"/>
      <c r="E186" s="100"/>
      <c r="F186" s="61"/>
      <c r="G186" s="61"/>
      <c r="H186" s="61"/>
      <c r="I186" s="61"/>
      <c r="J186" s="61"/>
    </row>
    <row r="187" spans="1:10" ht="15.75" x14ac:dyDescent="0.25">
      <c r="A187" s="61"/>
      <c r="B187" s="98"/>
      <c r="C187" s="131" t="s">
        <v>71</v>
      </c>
      <c r="D187" s="131"/>
      <c r="E187" s="131"/>
      <c r="F187" s="61"/>
      <c r="G187" s="61"/>
      <c r="H187" s="61"/>
      <c r="I187" s="61"/>
      <c r="J187" s="61"/>
    </row>
    <row r="188" spans="1:10" ht="15.75" x14ac:dyDescent="0.25">
      <c r="A188" s="61"/>
      <c r="B188" s="97" t="s">
        <v>19</v>
      </c>
      <c r="C188" s="73"/>
      <c r="D188" s="73"/>
      <c r="E188" s="96"/>
      <c r="F188" s="61"/>
      <c r="G188" s="61"/>
      <c r="H188" s="61"/>
      <c r="I188" s="61"/>
      <c r="J188" s="61"/>
    </row>
    <row r="189" spans="1:10" ht="15.75" x14ac:dyDescent="0.25">
      <c r="A189" s="61"/>
      <c r="B189" s="97"/>
      <c r="C189" s="132" t="s">
        <v>60</v>
      </c>
      <c r="D189" s="132"/>
      <c r="E189" s="132"/>
      <c r="F189" s="61"/>
      <c r="G189" s="61"/>
      <c r="H189" s="61"/>
      <c r="I189" s="61"/>
      <c r="J189" s="61"/>
    </row>
    <row r="190" spans="1:10" ht="16.5" thickBot="1" x14ac:dyDescent="0.3">
      <c r="A190" s="61"/>
      <c r="B190" s="101"/>
      <c r="C190" s="102"/>
      <c r="D190" s="102"/>
      <c r="E190" s="103"/>
      <c r="F190" s="61"/>
      <c r="G190" s="61"/>
      <c r="H190" s="61"/>
      <c r="I190" s="61"/>
      <c r="J190" s="61"/>
    </row>
    <row r="191" spans="1:10" ht="16.5" thickBot="1" x14ac:dyDescent="0.3">
      <c r="A191" s="61"/>
      <c r="B191" s="61"/>
      <c r="C191" s="61"/>
      <c r="D191" s="61"/>
      <c r="E191" s="61"/>
      <c r="F191" s="61"/>
      <c r="G191" s="61"/>
      <c r="H191" s="61"/>
      <c r="I191" s="61"/>
      <c r="J191" s="61"/>
    </row>
    <row r="192" spans="1:10" ht="15.75" x14ac:dyDescent="0.25">
      <c r="A192" s="61"/>
      <c r="B192" s="90" t="s">
        <v>102</v>
      </c>
      <c r="C192" s="91"/>
      <c r="D192" s="91"/>
      <c r="E192" s="92"/>
      <c r="F192" s="61"/>
      <c r="G192" s="61"/>
      <c r="H192" s="61"/>
      <c r="I192" s="61"/>
      <c r="J192" s="61"/>
    </row>
    <row r="193" spans="1:10" ht="15.75" x14ac:dyDescent="0.25">
      <c r="A193" s="61"/>
      <c r="B193" s="95"/>
      <c r="C193" s="73"/>
      <c r="D193" s="73"/>
      <c r="E193" s="96"/>
      <c r="F193" s="61"/>
      <c r="G193" s="61"/>
      <c r="H193" s="61"/>
      <c r="I193" s="61"/>
      <c r="J193" s="61"/>
    </row>
    <row r="194" spans="1:10" ht="15.75" x14ac:dyDescent="0.25">
      <c r="A194" s="61"/>
      <c r="B194" s="97" t="s">
        <v>15</v>
      </c>
      <c r="C194" s="73"/>
      <c r="D194" s="73"/>
      <c r="E194" s="96"/>
      <c r="F194" s="61"/>
      <c r="G194" s="61"/>
      <c r="H194" s="61"/>
      <c r="I194" s="61"/>
      <c r="J194" s="61"/>
    </row>
    <row r="195" spans="1:10" ht="15.75" x14ac:dyDescent="0.25">
      <c r="A195" s="61"/>
      <c r="B195" s="97"/>
      <c r="C195" s="131"/>
      <c r="D195" s="131"/>
      <c r="E195" s="131"/>
      <c r="F195" s="61"/>
      <c r="G195" s="61"/>
      <c r="H195" s="61"/>
      <c r="I195" s="61"/>
      <c r="J195" s="61"/>
    </row>
    <row r="196" spans="1:10" ht="15.75" x14ac:dyDescent="0.25">
      <c r="A196" s="61"/>
      <c r="B196" s="97" t="s">
        <v>16</v>
      </c>
      <c r="C196" s="73"/>
      <c r="D196" s="73"/>
      <c r="E196" s="96"/>
      <c r="F196" s="61"/>
      <c r="G196" s="61"/>
      <c r="H196" s="61"/>
      <c r="I196" s="61"/>
      <c r="J196" s="61"/>
    </row>
    <row r="197" spans="1:10" ht="30" customHeight="1" x14ac:dyDescent="0.25">
      <c r="A197" s="61"/>
      <c r="B197" s="98"/>
      <c r="C197" s="134" t="s">
        <v>107</v>
      </c>
      <c r="D197" s="134"/>
      <c r="E197" s="135"/>
      <c r="F197" s="61"/>
      <c r="G197" s="61"/>
      <c r="H197" s="61"/>
      <c r="I197" s="61"/>
      <c r="J197" s="61"/>
    </row>
    <row r="198" spans="1:10" ht="36.75" customHeight="1" x14ac:dyDescent="0.25">
      <c r="A198" s="61"/>
      <c r="B198" s="98"/>
      <c r="C198" s="133" t="s">
        <v>104</v>
      </c>
      <c r="D198" s="133"/>
      <c r="E198" s="133"/>
      <c r="F198" s="61"/>
      <c r="G198" s="61"/>
      <c r="H198" s="61"/>
      <c r="I198" s="61"/>
      <c r="J198" s="61"/>
    </row>
    <row r="199" spans="1:10" ht="15.75" x14ac:dyDescent="0.25">
      <c r="A199" s="61"/>
      <c r="B199" s="97" t="s">
        <v>17</v>
      </c>
      <c r="C199" s="73"/>
      <c r="D199" s="73"/>
      <c r="E199" s="96"/>
      <c r="F199" s="61"/>
      <c r="G199" s="61"/>
      <c r="H199" s="61"/>
      <c r="I199" s="61"/>
      <c r="J199" s="61"/>
    </row>
    <row r="200" spans="1:10" ht="15.75" x14ac:dyDescent="0.25">
      <c r="A200" s="61"/>
      <c r="B200" s="98"/>
      <c r="C200" s="131" t="s">
        <v>61</v>
      </c>
      <c r="D200" s="131"/>
      <c r="E200" s="131"/>
      <c r="F200" s="61"/>
      <c r="G200" s="61"/>
      <c r="H200" s="61"/>
      <c r="I200" s="61"/>
      <c r="J200" s="61"/>
    </row>
    <row r="201" spans="1:10" ht="15.75" x14ac:dyDescent="0.25">
      <c r="A201" s="61"/>
      <c r="B201" s="97" t="s">
        <v>18</v>
      </c>
      <c r="C201" s="99"/>
      <c r="D201" s="99"/>
      <c r="E201" s="100"/>
      <c r="F201" s="61"/>
      <c r="G201" s="61"/>
      <c r="H201" s="61"/>
      <c r="I201" s="61"/>
      <c r="J201" s="61"/>
    </row>
    <row r="202" spans="1:10" ht="15.75" x14ac:dyDescent="0.25">
      <c r="A202" s="61"/>
      <c r="B202" s="98"/>
      <c r="C202" s="131" t="s">
        <v>71</v>
      </c>
      <c r="D202" s="131"/>
      <c r="E202" s="131"/>
      <c r="F202" s="61"/>
      <c r="G202" s="61"/>
      <c r="H202" s="61"/>
      <c r="I202" s="61"/>
      <c r="J202" s="61"/>
    </row>
    <row r="203" spans="1:10" ht="15.75" x14ac:dyDescent="0.25">
      <c r="A203" s="61"/>
      <c r="B203" s="97" t="s">
        <v>19</v>
      </c>
      <c r="C203" s="73"/>
      <c r="D203" s="73"/>
      <c r="E203" s="96"/>
      <c r="F203" s="61"/>
      <c r="G203" s="61"/>
      <c r="H203" s="61"/>
      <c r="I203" s="61"/>
      <c r="J203" s="61"/>
    </row>
    <row r="204" spans="1:10" ht="15.75" x14ac:dyDescent="0.25">
      <c r="A204" s="61"/>
      <c r="B204" s="97"/>
      <c r="C204" s="132" t="s">
        <v>60</v>
      </c>
      <c r="D204" s="132"/>
      <c r="E204" s="132"/>
      <c r="F204" s="61"/>
      <c r="G204" s="61"/>
      <c r="H204" s="61"/>
      <c r="I204" s="61"/>
      <c r="J204" s="61"/>
    </row>
    <row r="205" spans="1:10" ht="16.5" thickBot="1" x14ac:dyDescent="0.3">
      <c r="A205" s="61"/>
      <c r="B205" s="101"/>
      <c r="C205" s="102"/>
      <c r="D205" s="102"/>
      <c r="E205" s="103"/>
      <c r="F205" s="61"/>
      <c r="G205" s="61"/>
      <c r="H205" s="61"/>
      <c r="I205" s="61"/>
      <c r="J205" s="61"/>
    </row>
    <row r="206" spans="1:10" ht="15.7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</row>
    <row r="207" spans="1:10" ht="16.5" thickBot="1" x14ac:dyDescent="0.3">
      <c r="A207" s="61"/>
      <c r="B207" s="61"/>
      <c r="C207" s="61"/>
      <c r="D207" s="61"/>
      <c r="E207" s="61"/>
      <c r="F207" s="61"/>
      <c r="G207" s="61"/>
      <c r="H207" s="61"/>
      <c r="I207" s="61"/>
      <c r="J207" s="61"/>
    </row>
    <row r="208" spans="1:10" ht="15.75" x14ac:dyDescent="0.25">
      <c r="B208" s="90" t="s">
        <v>114</v>
      </c>
      <c r="C208" s="91"/>
      <c r="D208" s="91"/>
      <c r="E208" s="92"/>
    </row>
    <row r="209" spans="2:5" ht="15.75" x14ac:dyDescent="0.25">
      <c r="B209" s="95"/>
      <c r="C209" s="73"/>
      <c r="D209" s="73"/>
      <c r="E209" s="96"/>
    </row>
    <row r="210" spans="2:5" ht="15.75" x14ac:dyDescent="0.25">
      <c r="B210" s="97" t="s">
        <v>15</v>
      </c>
      <c r="C210" s="73"/>
      <c r="D210" s="73"/>
      <c r="E210" s="96"/>
    </row>
    <row r="211" spans="2:5" ht="15.75" x14ac:dyDescent="0.25">
      <c r="B211" s="97"/>
      <c r="C211" s="131"/>
      <c r="D211" s="131"/>
      <c r="E211" s="131"/>
    </row>
    <row r="212" spans="2:5" ht="15.75" x14ac:dyDescent="0.25">
      <c r="B212" s="97" t="s">
        <v>16</v>
      </c>
      <c r="C212" s="73"/>
      <c r="D212" s="73"/>
      <c r="E212" s="96"/>
    </row>
    <row r="213" spans="2:5" ht="33" customHeight="1" x14ac:dyDescent="0.25">
      <c r="B213" s="98"/>
      <c r="C213" s="134" t="s">
        <v>107</v>
      </c>
      <c r="D213" s="134"/>
      <c r="E213" s="135"/>
    </row>
    <row r="214" spans="2:5" ht="36.75" customHeight="1" x14ac:dyDescent="0.25">
      <c r="B214" s="98"/>
      <c r="C214" s="133" t="s">
        <v>104</v>
      </c>
      <c r="D214" s="133"/>
      <c r="E214" s="133"/>
    </row>
    <row r="215" spans="2:5" ht="15.75" x14ac:dyDescent="0.25">
      <c r="B215" s="97" t="s">
        <v>17</v>
      </c>
      <c r="C215" s="73"/>
      <c r="D215" s="73"/>
      <c r="E215" s="96"/>
    </row>
    <row r="216" spans="2:5" ht="15.75" x14ac:dyDescent="0.25">
      <c r="B216" s="98"/>
      <c r="C216" s="131" t="s">
        <v>61</v>
      </c>
      <c r="D216" s="131"/>
      <c r="E216" s="131"/>
    </row>
    <row r="217" spans="2:5" ht="15.75" x14ac:dyDescent="0.25">
      <c r="B217" s="97" t="s">
        <v>18</v>
      </c>
      <c r="C217" s="118"/>
      <c r="D217" s="118"/>
      <c r="E217" s="119"/>
    </row>
    <row r="218" spans="2:5" ht="15.75" x14ac:dyDescent="0.25">
      <c r="B218" s="98"/>
      <c r="C218" s="131" t="s">
        <v>71</v>
      </c>
      <c r="D218" s="131"/>
      <c r="E218" s="131"/>
    </row>
    <row r="219" spans="2:5" ht="15.75" x14ac:dyDescent="0.25">
      <c r="B219" s="97" t="s">
        <v>19</v>
      </c>
      <c r="C219" s="73"/>
      <c r="D219" s="73"/>
      <c r="E219" s="96"/>
    </row>
    <row r="220" spans="2:5" ht="15.75" x14ac:dyDescent="0.25">
      <c r="B220" s="97"/>
      <c r="C220" s="132" t="s">
        <v>60</v>
      </c>
      <c r="D220" s="132"/>
      <c r="E220" s="132"/>
    </row>
    <row r="221" spans="2:5" ht="16.5" thickBot="1" x14ac:dyDescent="0.3">
      <c r="B221" s="101"/>
      <c r="C221" s="102"/>
      <c r="D221" s="102"/>
      <c r="E221" s="103"/>
    </row>
    <row r="223" spans="2:5" ht="13.5" thickBot="1" x14ac:dyDescent="0.25"/>
    <row r="224" spans="2:5" ht="15.75" x14ac:dyDescent="0.25">
      <c r="B224" s="90" t="s">
        <v>115</v>
      </c>
      <c r="C224" s="91"/>
      <c r="D224" s="91"/>
      <c r="E224" s="92"/>
    </row>
    <row r="225" spans="2:5" ht="15.75" x14ac:dyDescent="0.25">
      <c r="B225" s="95"/>
      <c r="C225" s="73"/>
      <c r="D225" s="73"/>
      <c r="E225" s="96"/>
    </row>
    <row r="226" spans="2:5" ht="15.75" x14ac:dyDescent="0.25">
      <c r="B226" s="97" t="s">
        <v>15</v>
      </c>
      <c r="C226" s="73"/>
      <c r="D226" s="73"/>
      <c r="E226" s="96"/>
    </row>
    <row r="227" spans="2:5" ht="15.75" x14ac:dyDescent="0.25">
      <c r="B227" s="97"/>
      <c r="C227" s="131"/>
      <c r="D227" s="131"/>
      <c r="E227" s="131"/>
    </row>
    <row r="228" spans="2:5" ht="15.75" x14ac:dyDescent="0.25">
      <c r="B228" s="97" t="s">
        <v>16</v>
      </c>
      <c r="C228" s="73"/>
      <c r="D228" s="73"/>
      <c r="E228" s="96"/>
    </row>
    <row r="229" spans="2:5" ht="31.5" customHeight="1" x14ac:dyDescent="0.25">
      <c r="B229" s="98"/>
      <c r="C229" s="134" t="s">
        <v>107</v>
      </c>
      <c r="D229" s="134"/>
      <c r="E229" s="135"/>
    </row>
    <row r="230" spans="2:5" ht="36" customHeight="1" x14ac:dyDescent="0.25">
      <c r="B230" s="98"/>
      <c r="C230" s="133" t="s">
        <v>104</v>
      </c>
      <c r="D230" s="133"/>
      <c r="E230" s="133"/>
    </row>
    <row r="231" spans="2:5" ht="15.75" x14ac:dyDescent="0.25">
      <c r="B231" s="97" t="s">
        <v>17</v>
      </c>
      <c r="C231" s="73"/>
      <c r="D231" s="73"/>
      <c r="E231" s="96"/>
    </row>
    <row r="232" spans="2:5" ht="15.75" x14ac:dyDescent="0.25">
      <c r="B232" s="98"/>
      <c r="C232" s="131" t="s">
        <v>61</v>
      </c>
      <c r="D232" s="131"/>
      <c r="E232" s="131"/>
    </row>
    <row r="233" spans="2:5" ht="15.75" x14ac:dyDescent="0.25">
      <c r="B233" s="97" t="s">
        <v>18</v>
      </c>
      <c r="C233" s="118"/>
      <c r="D233" s="118"/>
      <c r="E233" s="119"/>
    </row>
    <row r="234" spans="2:5" ht="15.75" x14ac:dyDescent="0.25">
      <c r="B234" s="98"/>
      <c r="C234" s="131" t="s">
        <v>71</v>
      </c>
      <c r="D234" s="131"/>
      <c r="E234" s="131"/>
    </row>
    <row r="235" spans="2:5" ht="15.75" x14ac:dyDescent="0.25">
      <c r="B235" s="97" t="s">
        <v>19</v>
      </c>
      <c r="C235" s="73"/>
      <c r="D235" s="73"/>
      <c r="E235" s="96"/>
    </row>
    <row r="236" spans="2:5" ht="15.75" x14ac:dyDescent="0.25">
      <c r="B236" s="97"/>
      <c r="C236" s="132" t="s">
        <v>60</v>
      </c>
      <c r="D236" s="132"/>
      <c r="E236" s="132"/>
    </row>
    <row r="237" spans="2:5" ht="16.5" thickBot="1" x14ac:dyDescent="0.3">
      <c r="B237" s="101"/>
      <c r="C237" s="102"/>
      <c r="D237" s="102"/>
      <c r="E237" s="103"/>
    </row>
  </sheetData>
  <mergeCells count="93">
    <mergeCell ref="C234:E234"/>
    <mergeCell ref="C236:E236"/>
    <mergeCell ref="C220:E220"/>
    <mergeCell ref="C227:E227"/>
    <mergeCell ref="C229:E229"/>
    <mergeCell ref="C230:E230"/>
    <mergeCell ref="C232:E232"/>
    <mergeCell ref="C211:E211"/>
    <mergeCell ref="C213:E213"/>
    <mergeCell ref="C214:E214"/>
    <mergeCell ref="C216:E216"/>
    <mergeCell ref="C218:E218"/>
    <mergeCell ref="C204:E204"/>
    <mergeCell ref="C89:E89"/>
    <mergeCell ref="C195:E195"/>
    <mergeCell ref="C197:E197"/>
    <mergeCell ref="C198:E198"/>
    <mergeCell ref="C200:E200"/>
    <mergeCell ref="C202:E202"/>
    <mergeCell ref="C182:E182"/>
    <mergeCell ref="C183:E183"/>
    <mergeCell ref="C185:E185"/>
    <mergeCell ref="C187:E187"/>
    <mergeCell ref="C189:E189"/>
    <mergeCell ref="C168:E168"/>
    <mergeCell ref="C170:E170"/>
    <mergeCell ref="C172:E172"/>
    <mergeCell ref="C174:E174"/>
    <mergeCell ref="C180:E180"/>
    <mergeCell ref="C155:E155"/>
    <mergeCell ref="C157:E157"/>
    <mergeCell ref="C159:E159"/>
    <mergeCell ref="C165:E165"/>
    <mergeCell ref="C167:E167"/>
    <mergeCell ref="C142:E142"/>
    <mergeCell ref="C144:E144"/>
    <mergeCell ref="C150:E150"/>
    <mergeCell ref="C152:E152"/>
    <mergeCell ref="C153:E153"/>
    <mergeCell ref="C129:E129"/>
    <mergeCell ref="C135:E135"/>
    <mergeCell ref="C137:E137"/>
    <mergeCell ref="C138:E138"/>
    <mergeCell ref="C140:E140"/>
    <mergeCell ref="C120:E120"/>
    <mergeCell ref="C122:E122"/>
    <mergeCell ref="C123:E123"/>
    <mergeCell ref="C125:E125"/>
    <mergeCell ref="C127:E127"/>
    <mergeCell ref="C107:E107"/>
    <mergeCell ref="C108:E108"/>
    <mergeCell ref="C110:E110"/>
    <mergeCell ref="C112:E112"/>
    <mergeCell ref="C114:E114"/>
    <mergeCell ref="C93:E93"/>
    <mergeCell ref="C95:E95"/>
    <mergeCell ref="C97:E97"/>
    <mergeCell ref="C99:E99"/>
    <mergeCell ref="C105:E105"/>
    <mergeCell ref="C80:E80"/>
    <mergeCell ref="C82:E82"/>
    <mergeCell ref="C84:E84"/>
    <mergeCell ref="C90:E90"/>
    <mergeCell ref="C92:E92"/>
    <mergeCell ref="C67:E67"/>
    <mergeCell ref="C69:E69"/>
    <mergeCell ref="C75:E75"/>
    <mergeCell ref="C77:E77"/>
    <mergeCell ref="C78:E78"/>
    <mergeCell ref="C54:E54"/>
    <mergeCell ref="C60:E60"/>
    <mergeCell ref="C62:E62"/>
    <mergeCell ref="C63:E63"/>
    <mergeCell ref="C65:E65"/>
    <mergeCell ref="C45:E45"/>
    <mergeCell ref="C47:E47"/>
    <mergeCell ref="C48:E48"/>
    <mergeCell ref="C50:E50"/>
    <mergeCell ref="C52:E52"/>
    <mergeCell ref="C35:E35"/>
    <mergeCell ref="C37:E37"/>
    <mergeCell ref="C39:E39"/>
    <mergeCell ref="A6:B6"/>
    <mergeCell ref="A7:B7"/>
    <mergeCell ref="C30:E30"/>
    <mergeCell ref="C33:E33"/>
    <mergeCell ref="C32:E32"/>
    <mergeCell ref="F32:G32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G28"/>
  <sheetViews>
    <sheetView topLeftCell="A13" zoomScaleNormal="100" workbookViewId="0">
      <selection activeCell="D5" sqref="D5:K5"/>
    </sheetView>
  </sheetViews>
  <sheetFormatPr baseColWidth="10" defaultColWidth="9.140625" defaultRowHeight="28.5" customHeight="1" x14ac:dyDescent="0.2"/>
  <cols>
    <col min="1" max="1" width="5.28515625" style="2" customWidth="1"/>
    <col min="2" max="2" width="14" style="2" customWidth="1"/>
    <col min="3" max="3" width="14.140625" style="2" customWidth="1"/>
    <col min="4" max="4" width="26" style="2" customWidth="1"/>
    <col min="5" max="5" width="13" style="2" customWidth="1"/>
    <col min="6" max="6" width="7.85546875" style="2" customWidth="1"/>
    <col min="7" max="7" width="66.42578125" style="2" customWidth="1"/>
    <col min="8" max="8" width="9.28515625" style="2" customWidth="1"/>
    <col min="9" max="9" width="15.5703125" style="2" customWidth="1"/>
    <col min="10" max="10" width="24.7109375" style="2" customWidth="1"/>
    <col min="11" max="11" width="15.5703125" style="2" customWidth="1"/>
    <col min="12" max="12" width="5.85546875" style="2" customWidth="1"/>
    <col min="13" max="1021" width="9.140625" style="2"/>
  </cols>
  <sheetData>
    <row r="1" spans="1:15" ht="28.5" customHeight="1" thickBot="1" x14ac:dyDescent="0.25">
      <c r="A1" s="139" t="s">
        <v>20</v>
      </c>
      <c r="B1" s="139"/>
      <c r="C1" s="139"/>
      <c r="D1" s="139"/>
      <c r="E1" s="139"/>
      <c r="F1" s="139"/>
      <c r="G1" s="139"/>
      <c r="H1" s="139"/>
      <c r="I1" s="139"/>
      <c r="J1" s="40" t="s">
        <v>21</v>
      </c>
      <c r="K1" s="41" t="s">
        <v>103</v>
      </c>
    </row>
    <row r="2" spans="1:15" ht="28.5" customHeight="1" thickBot="1" x14ac:dyDescent="0.25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</row>
    <row r="3" spans="1:15" ht="28.5" customHeight="1" thickBot="1" x14ac:dyDescent="0.25">
      <c r="A3" s="140" t="s">
        <v>54</v>
      </c>
      <c r="B3" s="140"/>
      <c r="C3" s="140"/>
      <c r="D3" s="141" t="str">
        <f>'Necesidades Trimestrales'!C4</f>
        <v>45- Ministerio de Desarrollo Social.-</v>
      </c>
      <c r="E3" s="141"/>
      <c r="F3" s="141"/>
      <c r="G3" s="141"/>
      <c r="H3" s="141"/>
      <c r="I3" s="141"/>
      <c r="J3" s="141"/>
      <c r="K3" s="141"/>
    </row>
    <row r="4" spans="1:15" ht="28.5" customHeight="1" thickBot="1" x14ac:dyDescent="0.25">
      <c r="A4" s="142" t="s">
        <v>55</v>
      </c>
      <c r="B4" s="142"/>
      <c r="C4" s="142"/>
      <c r="D4" s="141" t="str">
        <f>'Necesidades Trimestrales'!C5</f>
        <v>25- Direccion Provincial de Gestion Administracion y RRHH</v>
      </c>
      <c r="E4" s="141"/>
      <c r="F4" s="141"/>
      <c r="G4" s="141"/>
      <c r="H4" s="141"/>
      <c r="I4" s="141"/>
      <c r="J4" s="141"/>
      <c r="K4" s="141"/>
    </row>
    <row r="5" spans="1:15" ht="28.5" customHeight="1" thickBot="1" x14ac:dyDescent="0.25">
      <c r="A5" s="142" t="s">
        <v>33</v>
      </c>
      <c r="B5" s="142"/>
      <c r="C5" s="142"/>
      <c r="D5" s="141" t="s">
        <v>85</v>
      </c>
      <c r="E5" s="141"/>
      <c r="F5" s="141"/>
      <c r="G5" s="141"/>
      <c r="H5" s="141"/>
      <c r="I5" s="141"/>
      <c r="J5" s="141"/>
      <c r="K5" s="141"/>
    </row>
    <row r="6" spans="1:15" ht="28.5" customHeight="1" thickBot="1" x14ac:dyDescent="0.25">
      <c r="A6" s="140" t="s">
        <v>56</v>
      </c>
      <c r="B6" s="140"/>
      <c r="C6" s="140"/>
      <c r="D6" s="141" t="s">
        <v>86</v>
      </c>
      <c r="E6" s="141"/>
      <c r="F6" s="141"/>
      <c r="G6" s="141"/>
      <c r="H6" s="141"/>
      <c r="I6" s="141"/>
      <c r="J6" s="141"/>
      <c r="K6" s="141"/>
    </row>
    <row r="7" spans="1:15" ht="28.5" customHeight="1" thickBot="1" x14ac:dyDescent="0.25">
      <c r="A7" s="142" t="s">
        <v>22</v>
      </c>
      <c r="B7" s="142"/>
      <c r="C7" s="142"/>
      <c r="D7" s="141" t="str">
        <f>'Necesidades Trimestrales'!C7 &amp; "° Trimestre - Año " &amp; 'Necesidades Trimestrales'!C6</f>
        <v>1° Trimestre - Año 2022</v>
      </c>
      <c r="E7" s="141"/>
      <c r="F7" s="141"/>
      <c r="G7" s="141"/>
      <c r="H7" s="141"/>
      <c r="I7" s="141"/>
      <c r="J7" s="141"/>
      <c r="K7" s="141"/>
    </row>
    <row r="8" spans="1:15" ht="42" customHeight="1" thickBot="1" x14ac:dyDescent="0.25">
      <c r="A8" s="143" t="s">
        <v>23</v>
      </c>
      <c r="B8" s="143"/>
      <c r="C8" s="143"/>
      <c r="D8" s="144" t="s">
        <v>84</v>
      </c>
      <c r="E8" s="144"/>
      <c r="F8" s="144"/>
      <c r="G8" s="144"/>
      <c r="H8" s="144"/>
      <c r="I8" s="144"/>
      <c r="J8" s="144"/>
      <c r="K8" s="144"/>
    </row>
    <row r="9" spans="1:15" ht="28.5" customHeight="1" thickBot="1" x14ac:dyDescent="0.25">
      <c r="A9" s="44"/>
      <c r="B9" s="44"/>
      <c r="C9" s="44"/>
      <c r="D9" s="45"/>
      <c r="E9" s="45"/>
      <c r="F9" s="45"/>
      <c r="G9" s="45"/>
      <c r="H9" s="45"/>
      <c r="I9" s="45"/>
      <c r="J9" s="45"/>
      <c r="K9" s="45"/>
    </row>
    <row r="10" spans="1:15" ht="28.5" customHeight="1" thickBot="1" x14ac:dyDescent="0.25">
      <c r="A10" s="145" t="s">
        <v>24</v>
      </c>
      <c r="B10" s="146" t="s">
        <v>25</v>
      </c>
      <c r="C10" s="146" t="s">
        <v>26</v>
      </c>
      <c r="D10" s="146"/>
      <c r="E10" s="146"/>
      <c r="F10" s="146"/>
      <c r="G10" s="146"/>
      <c r="H10" s="146" t="s">
        <v>27</v>
      </c>
      <c r="I10" s="146" t="s">
        <v>28</v>
      </c>
      <c r="J10" s="146" t="s">
        <v>29</v>
      </c>
      <c r="K10" s="147" t="s">
        <v>30</v>
      </c>
    </row>
    <row r="11" spans="1:15" ht="28.5" customHeight="1" thickBot="1" x14ac:dyDescent="0.25">
      <c r="A11" s="145"/>
      <c r="B11" s="146"/>
      <c r="C11" s="146"/>
      <c r="D11" s="146"/>
      <c r="E11" s="146"/>
      <c r="F11" s="146"/>
      <c r="G11" s="146"/>
      <c r="H11" s="146"/>
      <c r="I11" s="146"/>
      <c r="J11" s="146"/>
      <c r="K11" s="147"/>
    </row>
    <row r="12" spans="1:15" ht="28.5" customHeight="1" thickBot="1" x14ac:dyDescent="0.25">
      <c r="A12" s="46">
        <v>1</v>
      </c>
      <c r="B12" s="47" t="str">
        <f>'Necesidades Trimestrales'!B10</f>
        <v>2.1.1-705.93</v>
      </c>
      <c r="C12" s="153" t="str">
        <f>'Necesidades Trimestrales'!E10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12" s="153"/>
      <c r="E12" s="153"/>
      <c r="F12" s="153"/>
      <c r="G12" s="153"/>
      <c r="H12" s="46" t="s">
        <v>90</v>
      </c>
      <c r="I12" s="48" t="str">
        <f>'Necesidades Trimestrales'!F10</f>
        <v>UNIDAD</v>
      </c>
      <c r="J12" s="57">
        <f>+'Necesidades Trimestrales'!H10</f>
        <v>619</v>
      </c>
      <c r="K12" s="49">
        <v>100000</v>
      </c>
      <c r="M12" s="2">
        <v>619</v>
      </c>
      <c r="N12" s="2">
        <v>100000</v>
      </c>
      <c r="O12" s="2">
        <f>M12*N12</f>
        <v>61900000</v>
      </c>
    </row>
    <row r="13" spans="1:15" ht="28.5" customHeight="1" thickBot="1" x14ac:dyDescent="0.25">
      <c r="A13" s="50">
        <v>2</v>
      </c>
      <c r="B13" s="47" t="str">
        <f>'Necesidades Trimestrales'!B11</f>
        <v>2.1.1-439.67</v>
      </c>
      <c r="C13" s="153" t="str">
        <f>'Necesidades Trimestrales'!E11</f>
        <v>ACEITES COMESTIBLES; TIPO: GIRASOL, PRESENTACION: ENVASE X 900 CM3, MATERIAL ENVASE: PLASTICO 1 (PET), ELEM. TRANSPORTE: SIN, MATERIAL ELEM. TRANSPORTE : SIN, LIBRE DE GLUTEN: NO</v>
      </c>
      <c r="D13" s="153"/>
      <c r="E13" s="153"/>
      <c r="F13" s="153"/>
      <c r="G13" s="153"/>
      <c r="H13" s="46" t="s">
        <v>90</v>
      </c>
      <c r="I13" s="48" t="str">
        <f>'Necesidades Trimestrales'!F11</f>
        <v>UNIDAD</v>
      </c>
      <c r="J13" s="57">
        <f>+'Necesidades Trimestrales'!H11</f>
        <v>214</v>
      </c>
      <c r="K13" s="49">
        <v>100000</v>
      </c>
      <c r="M13" s="2">
        <v>214</v>
      </c>
      <c r="N13" s="2">
        <v>100000</v>
      </c>
      <c r="O13" s="2">
        <f t="shared" ref="O13:O25" si="0">M13*N13</f>
        <v>21400000</v>
      </c>
    </row>
    <row r="14" spans="1:15" ht="28.5" customHeight="1" thickBot="1" x14ac:dyDescent="0.25">
      <c r="A14" s="50">
        <v>3</v>
      </c>
      <c r="B14" s="47" t="str">
        <f>'Necesidades Trimestrales'!B12</f>
        <v>2.1.1-454.25</v>
      </c>
      <c r="C14" s="153" t="str">
        <f>'Necesidades Trimestrales'!E12</f>
        <v>YERBAS; PALO: CON, PESO: 1 Kg, MATERIAL ENVASE : PAPEL, CERTIFICADO FORESTAL (GFS): CON, ELEM. TRANSPORTE: SIN, MATERIAL ELEM. TRANSPORTE: SIN, LIBRE DE GLUTEN: SI</v>
      </c>
      <c r="D14" s="153"/>
      <c r="E14" s="153"/>
      <c r="F14" s="153"/>
      <c r="G14" s="153"/>
      <c r="H14" s="46" t="s">
        <v>90</v>
      </c>
      <c r="I14" s="48" t="str">
        <f>'Necesidades Trimestrales'!F12</f>
        <v>UNIDAD</v>
      </c>
      <c r="J14" s="57">
        <f>+'Necesidades Trimestrales'!H12</f>
        <v>400</v>
      </c>
      <c r="K14" s="49">
        <v>100000</v>
      </c>
      <c r="M14" s="2">
        <v>400</v>
      </c>
      <c r="N14" s="2">
        <v>100000</v>
      </c>
      <c r="O14" s="2">
        <f t="shared" si="0"/>
        <v>40000000</v>
      </c>
    </row>
    <row r="15" spans="1:15" ht="28.5" customHeight="1" thickBot="1" x14ac:dyDescent="0.25">
      <c r="A15" s="50">
        <v>4</v>
      </c>
      <c r="B15" s="47" t="str">
        <f>'Necesidades Trimestrales'!B13</f>
        <v>2.1.1-6547.84</v>
      </c>
      <c r="C15" s="153" t="str">
        <f>'Necesidades Trimestrales'!E13</f>
        <v>LEGUMBRES; VARIEDAD: ARVEJAS, ESTADO: CONSERVA, PRESENTACION: LATA, PESO: 350 GR, MATERIAL ENVASE: METAL, ELEM. TRANSPORTE: SIN, MATERIAL ELEM. TRANSPORTE: SIN, LIBRE DE GLUTEN: NO</v>
      </c>
      <c r="D15" s="153"/>
      <c r="E15" s="153"/>
      <c r="F15" s="153"/>
      <c r="G15" s="153"/>
      <c r="H15" s="46" t="s">
        <v>90</v>
      </c>
      <c r="I15" s="48" t="str">
        <f>'Necesidades Trimestrales'!F13</f>
        <v>UNIDAD</v>
      </c>
      <c r="J15" s="57">
        <f>+'Necesidades Trimestrales'!H13</f>
        <v>47</v>
      </c>
      <c r="K15" s="49">
        <v>100000</v>
      </c>
      <c r="M15" s="2">
        <v>47</v>
      </c>
      <c r="N15" s="2">
        <v>100000</v>
      </c>
      <c r="O15" s="2">
        <f t="shared" si="0"/>
        <v>4700000</v>
      </c>
    </row>
    <row r="16" spans="1:15" ht="28.5" customHeight="1" thickBot="1" x14ac:dyDescent="0.25">
      <c r="A16" s="50">
        <v>5</v>
      </c>
      <c r="B16" s="47" t="str">
        <f>'Necesidades Trimestrales'!B14</f>
        <v>2.1.1-435.60</v>
      </c>
      <c r="C16" s="153" t="str">
        <f>'Necesidades Trimestrales'!E14</f>
        <v>ARROZ; TIPO GRANO: LARGO-FINO, TIPO: BLANCO, PROCESO: SIN CASCARA, PRESENTACION: BOLSA X 1 Kg, MATERIAL ENVASE: PLASTICO, CERTIFICADO FORESTAL (GFS): SIN, ELEM. TRANSPORTE: SIN, MATERIAL ELEM. TRANSPORTE: SIN, LIBRE DE GLUTEN: SI</v>
      </c>
      <c r="D16" s="153"/>
      <c r="E16" s="153"/>
      <c r="F16" s="153"/>
      <c r="G16" s="153"/>
      <c r="H16" s="46" t="s">
        <v>90</v>
      </c>
      <c r="I16" s="48" t="str">
        <f>'Necesidades Trimestrales'!F14</f>
        <v>UNIDAD</v>
      </c>
      <c r="J16" s="57">
        <f>+'Necesidades Trimestrales'!H14</f>
        <v>108</v>
      </c>
      <c r="K16" s="49">
        <v>100000</v>
      </c>
      <c r="M16" s="2">
        <v>108</v>
      </c>
      <c r="N16" s="2">
        <v>100000</v>
      </c>
      <c r="O16" s="2">
        <f t="shared" si="0"/>
        <v>10800000</v>
      </c>
    </row>
    <row r="17" spans="1:1021" ht="28.5" customHeight="1" thickBot="1" x14ac:dyDescent="0.25">
      <c r="A17" s="50">
        <v>6</v>
      </c>
      <c r="B17" s="47" t="str">
        <f>'Necesidades Trimestrales'!B15</f>
        <v>2.1.1-482.70</v>
      </c>
      <c r="C17" s="153" t="str">
        <f>'Necesidades Trimestrales'!E15</f>
        <v>HARINAS; TIPO: 000, PRESENTACION: ENVASE X 1 Kg, MATERIAL ENVASE: PAPEL, CERTICADO FORESTAL (GFS): SI, ELEM. TRANSPORTE: SIN, MATERIAL ELEM. TRANSPORTE: SIN, LIBRE DE GLUTEN: NO</v>
      </c>
      <c r="D17" s="153"/>
      <c r="E17" s="153"/>
      <c r="F17" s="153"/>
      <c r="G17" s="153"/>
      <c r="H17" s="46" t="s">
        <v>90</v>
      </c>
      <c r="I17" s="48" t="str">
        <f>'Necesidades Trimestrales'!F15</f>
        <v>UNIDAD</v>
      </c>
      <c r="J17" s="57">
        <f>+'Necesidades Trimestrales'!H15</f>
        <v>94</v>
      </c>
      <c r="K17" s="49">
        <v>100000</v>
      </c>
      <c r="M17" s="2">
        <v>94</v>
      </c>
      <c r="N17" s="2">
        <v>100000</v>
      </c>
      <c r="O17" s="2">
        <f t="shared" si="0"/>
        <v>9400000</v>
      </c>
    </row>
    <row r="18" spans="1:1021" ht="28.5" customHeight="1" thickBot="1" x14ac:dyDescent="0.25">
      <c r="A18" s="50">
        <v>7</v>
      </c>
      <c r="B18" s="47" t="str">
        <f>'Necesidades Trimestrales'!B16</f>
        <v>2.1.1-6546.260</v>
      </c>
      <c r="C18" s="153" t="str">
        <f>'Necesidades Trimestrales'!E16</f>
        <v>VERDURAS Y HORTALIZAS; VARIEDAD: TOMATE, ESTADO: PURE, PRESENTACION: TETRABRIK, PESO: 520 GR</v>
      </c>
      <c r="D18" s="153"/>
      <c r="E18" s="153"/>
      <c r="F18" s="153"/>
      <c r="G18" s="153"/>
      <c r="H18" s="46" t="s">
        <v>90</v>
      </c>
      <c r="I18" s="51" t="s">
        <v>14</v>
      </c>
      <c r="J18" s="57">
        <f>+'Necesidades Trimestrales'!H16</f>
        <v>65</v>
      </c>
      <c r="K18" s="49">
        <v>100000</v>
      </c>
      <c r="M18" s="2">
        <v>65</v>
      </c>
      <c r="N18" s="2">
        <v>100000</v>
      </c>
      <c r="O18" s="2">
        <f t="shared" si="0"/>
        <v>6500000</v>
      </c>
    </row>
    <row r="19" spans="1:1021" ht="28.5" customHeight="1" thickBot="1" x14ac:dyDescent="0.25">
      <c r="A19" s="50">
        <v>8</v>
      </c>
      <c r="B19" s="47" t="str">
        <f>'Necesidades Trimestrales'!B17</f>
        <v>2.1.1-481.38</v>
      </c>
      <c r="C19" s="153" t="str">
        <f>'Necesidades Trimestrales'!E17</f>
        <v>AZUCARES; TIPO: "A" COMUN, ESTADO: MOLIDA, PESO: 1 Kg, MATERIAL ENVASE: PLASTICO, CERTIFICADO FORESTAL (GFS): SIN, ELEM. TRANSPORTE: SIN, MATERIAL ELEM. TRANSPORTE: SIN</v>
      </c>
      <c r="D19" s="153"/>
      <c r="E19" s="153"/>
      <c r="F19" s="153"/>
      <c r="G19" s="153"/>
      <c r="H19" s="46" t="s">
        <v>90</v>
      </c>
      <c r="I19" s="51" t="s">
        <v>14</v>
      </c>
      <c r="J19" s="57">
        <f>+'Necesidades Trimestrales'!H17</f>
        <v>94</v>
      </c>
      <c r="K19" s="49">
        <v>100000</v>
      </c>
      <c r="M19" s="2">
        <v>94</v>
      </c>
      <c r="N19" s="2">
        <v>100000</v>
      </c>
      <c r="O19" s="2">
        <f t="shared" si="0"/>
        <v>9400000</v>
      </c>
    </row>
    <row r="20" spans="1:1021" ht="28.5" customHeight="1" thickBot="1" x14ac:dyDescent="0.25">
      <c r="A20" s="50">
        <v>9</v>
      </c>
      <c r="B20" s="47" t="str">
        <f>'Necesidades Trimestrales'!B18</f>
        <v>2.1.1-2868.54</v>
      </c>
      <c r="C20" s="153" t="str">
        <f>'Necesidades Trimestrales'!E18</f>
        <v>FIDEOS SECOS; VARIEDAD: SOPERO, RELLENO: SIN, PRESENTACION: ENVASE X 500 GR, MATERIAL ENVASE: PLASTICO 1 (PET), ELEM. TRANSPORTE: SIN, MATERIAL ELEM. TRANSPORTE: SIN, CERTIFICADO FORESTAL (GFS): SIN, LIBRE DE GLUTEN: NO</v>
      </c>
      <c r="D20" s="153"/>
      <c r="E20" s="153"/>
      <c r="F20" s="153"/>
      <c r="G20" s="153"/>
      <c r="H20" s="46" t="s">
        <v>90</v>
      </c>
      <c r="I20" s="51" t="s">
        <v>14</v>
      </c>
      <c r="J20" s="57">
        <f>+'Necesidades Trimestrales'!H18</f>
        <v>59</v>
      </c>
      <c r="K20" s="49">
        <v>100000</v>
      </c>
      <c r="M20" s="2">
        <v>59</v>
      </c>
      <c r="N20" s="2">
        <v>100000</v>
      </c>
      <c r="O20" s="2">
        <f t="shared" si="0"/>
        <v>5900000</v>
      </c>
    </row>
    <row r="21" spans="1:1021" s="35" customFormat="1" ht="28.5" customHeight="1" thickBot="1" x14ac:dyDescent="0.25">
      <c r="A21" s="50">
        <v>10</v>
      </c>
      <c r="B21" s="47" t="str">
        <f>'Necesidades Trimestrales'!B19</f>
        <v>2.1.1-2868.55</v>
      </c>
      <c r="C21" s="153" t="str">
        <f>'Necesidades Trimestrales'!E19</f>
        <v>FIDEOS SECOS; VARIEDAD: TALLARIN, RELLENO: SIN, PRESENTACION: ENVASE X 500 GR, MATERIAL ENVASE: PLASTICO 1 (PET), ELEM. TRANSPORTE: SIN, MATERIAL ELEM. TRANSPORTE: SIN, CERTIFICADO FORESTAL (GFS): SIN, LIBRE DE GLUTEN: NO</v>
      </c>
      <c r="D21" s="153"/>
      <c r="E21" s="153"/>
      <c r="F21" s="153"/>
      <c r="G21" s="153"/>
      <c r="H21" s="46" t="s">
        <v>90</v>
      </c>
      <c r="I21" s="51" t="s">
        <v>14</v>
      </c>
      <c r="J21" s="57">
        <f>+'Necesidades Trimestrales'!H19</f>
        <v>59</v>
      </c>
      <c r="K21" s="49">
        <v>100000</v>
      </c>
      <c r="L21" s="2"/>
      <c r="M21" s="2">
        <v>59</v>
      </c>
      <c r="N21" s="2">
        <v>100000</v>
      </c>
      <c r="O21" s="2">
        <f t="shared" si="0"/>
        <v>5900000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</row>
    <row r="22" spans="1:1021" s="35" customFormat="1" ht="28.5" customHeight="1" thickBot="1" x14ac:dyDescent="0.25">
      <c r="A22" s="50">
        <v>11</v>
      </c>
      <c r="B22" s="47" t="str">
        <f>'Necesidades Trimestrales'!B20</f>
        <v>2.1.1-2868.71</v>
      </c>
      <c r="C22" s="153" t="str">
        <f>'Necesidades Trimestrales'!E20</f>
        <v>FIDEOS SECOS; VARIEDAD: GUISERO, RELLENO: SIN, PRESENTACION: ENVASE X 500 GR, MATERIAL ENVASE: PLASTICO 1 (PET), ELEM. TRANSPORTE: SIN, MATERIAL ELEM. TRANSPORTE: SIN, CERTIFICADO FORESTAL (GFS): SIN, LIBRE DE GLUTEN: NO</v>
      </c>
      <c r="D22" s="153"/>
      <c r="E22" s="153"/>
      <c r="F22" s="153"/>
      <c r="G22" s="153"/>
      <c r="H22" s="46" t="s">
        <v>90</v>
      </c>
      <c r="I22" s="51" t="s">
        <v>14</v>
      </c>
      <c r="J22" s="57">
        <f>+'Necesidades Trimestrales'!H20</f>
        <v>59</v>
      </c>
      <c r="K22" s="49">
        <v>100000</v>
      </c>
      <c r="L22" s="2"/>
      <c r="M22" s="2">
        <v>59</v>
      </c>
      <c r="N22" s="2">
        <v>100000</v>
      </c>
      <c r="O22" s="2">
        <f t="shared" si="0"/>
        <v>5900000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</row>
    <row r="23" spans="1:1021" s="35" customFormat="1" ht="28.5" customHeight="1" thickBot="1" x14ac:dyDescent="0.25">
      <c r="A23" s="50">
        <v>12</v>
      </c>
      <c r="B23" s="47" t="str">
        <f>+'Necesidades Trimestrales'!B21</f>
        <v>2.1.1-6547.83</v>
      </c>
      <c r="C23" s="148" t="str">
        <f>+'Necesidades Trimestrales'!E21</f>
        <v>LEGUMBRES; VARIEDAD: POROTOS PALLARES, ESTADO: EN CONSERVA, PRESENTACION: LATA, PESO: 350 GR, MATERIAL ENVASE: METAL, ELEM. TRANSPORTE: SIN, MATERIAL ELEM. TRANSPORTE: SIN</v>
      </c>
      <c r="D23" s="149"/>
      <c r="E23" s="149"/>
      <c r="F23" s="149"/>
      <c r="G23" s="150"/>
      <c r="H23" s="46" t="s">
        <v>90</v>
      </c>
      <c r="I23" s="51" t="s">
        <v>14</v>
      </c>
      <c r="J23" s="57">
        <f>+'Necesidades Trimestrales'!H21</f>
        <v>51.8</v>
      </c>
      <c r="K23" s="49">
        <v>100000</v>
      </c>
      <c r="L23" s="2"/>
      <c r="M23" s="2">
        <v>51.8</v>
      </c>
      <c r="N23" s="2">
        <v>100000</v>
      </c>
      <c r="O23" s="2">
        <f t="shared" si="0"/>
        <v>5180000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</row>
    <row r="24" spans="1:1021" s="35" customFormat="1" ht="28.5" customHeight="1" thickBot="1" x14ac:dyDescent="0.25">
      <c r="A24" s="50">
        <v>13</v>
      </c>
      <c r="B24" s="47" t="str">
        <f>+'Necesidades Trimestrales'!B22</f>
        <v>2.1.1-482.89</v>
      </c>
      <c r="C24" s="148" t="str">
        <f>+'Necesidades Trimestrales'!E22</f>
        <v>HARINAS.TIPO: MAIZ PRECOCIDA O DE COCCION RAPIDA. PRESENTACION: ENVASE 500 GR. LIBRE DE GLUTEN:SI</v>
      </c>
      <c r="D24" s="149"/>
      <c r="E24" s="149"/>
      <c r="F24" s="149"/>
      <c r="G24" s="150"/>
      <c r="H24" s="46" t="s">
        <v>90</v>
      </c>
      <c r="I24" s="51" t="s">
        <v>14</v>
      </c>
      <c r="J24" s="57">
        <f>+'Necesidades Trimestrales'!H22</f>
        <v>108</v>
      </c>
      <c r="K24" s="49">
        <v>100000</v>
      </c>
      <c r="L24" s="2"/>
      <c r="M24" s="2">
        <v>108</v>
      </c>
      <c r="N24" s="2">
        <v>100000</v>
      </c>
      <c r="O24" s="2">
        <f t="shared" si="0"/>
        <v>10800000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</row>
    <row r="25" spans="1:1021" s="35" customFormat="1" ht="28.5" customHeight="1" thickBot="1" x14ac:dyDescent="0.25">
      <c r="A25" s="50">
        <v>14</v>
      </c>
      <c r="B25" s="47" t="str">
        <f>+'Necesidades Trimestrales'!B23</f>
        <v>2.1.1-6547.80</v>
      </c>
      <c r="C25" s="153" t="str">
        <f>+'Necesidades Trimestrales'!E23</f>
        <v>LEGUMBRES; VARIEDAD: LENTEJA, ESTADO: SECO, PRESENTACION: SIN VALOR, PESO: ENVASE X 400 GR</v>
      </c>
      <c r="D25" s="153"/>
      <c r="E25" s="153"/>
      <c r="F25" s="153"/>
      <c r="G25" s="153"/>
      <c r="H25" s="46" t="s">
        <v>90</v>
      </c>
      <c r="I25" s="51" t="s">
        <v>14</v>
      </c>
      <c r="J25" s="57">
        <f>+'Necesidades Trimestrales'!H23</f>
        <v>115</v>
      </c>
      <c r="K25" s="49">
        <v>100000</v>
      </c>
      <c r="L25" s="2"/>
      <c r="M25" s="2">
        <v>115</v>
      </c>
      <c r="N25" s="2">
        <v>100000</v>
      </c>
      <c r="O25" s="2">
        <f t="shared" si="0"/>
        <v>11500000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</row>
    <row r="26" spans="1:1021" ht="28.5" customHeight="1" thickBot="1" x14ac:dyDescent="0.25">
      <c r="A26" s="151" t="s">
        <v>117</v>
      </c>
      <c r="B26" s="151"/>
      <c r="C26" s="151"/>
      <c r="D26" s="151"/>
      <c r="E26" s="151"/>
      <c r="F26" s="151"/>
      <c r="G26" s="151"/>
      <c r="H26" s="151"/>
      <c r="I26" s="151"/>
      <c r="J26" s="152">
        <f>+J12*K12+J13*K13+J14*K14+J15*K15+J16*K16+J17*K17+J18*K18+J19*K19+J20*K20+J21*K21+J22*K22+J23*K23+J24*K24+J25*K25</f>
        <v>209280000</v>
      </c>
      <c r="K26" s="152"/>
    </row>
    <row r="28" spans="1:1021" ht="28.5" customHeight="1" x14ac:dyDescent="0.2">
      <c r="J28" s="56"/>
    </row>
  </sheetData>
  <mergeCells count="36">
    <mergeCell ref="C24:G24"/>
    <mergeCell ref="A26:I26"/>
    <mergeCell ref="J26:K2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5:G25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" right="0" top="1.1399999999999999" bottom="0" header="2.13" footer="0.51181102362204722"/>
  <pageSetup paperSize="5" scale="75"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6" zoomScale="130" zoomScaleNormal="130" workbookViewId="0">
      <selection activeCell="P31" sqref="P3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154" t="s">
        <v>3</v>
      </c>
      <c r="B1" s="154"/>
      <c r="C1" s="154"/>
      <c r="D1" s="155">
        <f>'Necesidades Trimestrales'!C6</f>
        <v>2022</v>
      </c>
      <c r="E1" s="155"/>
      <c r="F1" s="4"/>
      <c r="G1" s="4"/>
      <c r="H1" s="5"/>
      <c r="I1" s="5"/>
      <c r="J1" s="5"/>
      <c r="K1" s="5"/>
      <c r="L1" s="5"/>
      <c r="M1" s="5"/>
      <c r="N1" s="5"/>
      <c r="P1" s="156" t="s">
        <v>31</v>
      </c>
      <c r="Q1" s="156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56"/>
      <c r="Q2" s="156"/>
    </row>
    <row r="4" spans="1:17" s="6" customFormat="1" ht="18" customHeight="1" thickBot="1" x14ac:dyDescent="0.25">
      <c r="A4" s="157" t="s">
        <v>32</v>
      </c>
      <c r="B4" s="157"/>
      <c r="C4" s="157"/>
      <c r="D4" s="157"/>
      <c r="E4" s="157"/>
      <c r="F4" s="157"/>
      <c r="G4" s="158" t="str">
        <f>' NotaPedido'!D3</f>
        <v>45- Ministerio de Desarrollo Social.-</v>
      </c>
      <c r="H4" s="158"/>
      <c r="I4" s="158"/>
      <c r="J4" s="158"/>
      <c r="K4" s="158"/>
      <c r="L4" s="158"/>
      <c r="M4" s="158"/>
      <c r="N4" s="158"/>
      <c r="O4" s="158"/>
      <c r="P4" s="158"/>
      <c r="Q4" s="158"/>
    </row>
    <row r="5" spans="1:17" s="6" customFormat="1" ht="18" customHeight="1" thickBot="1" x14ac:dyDescent="0.25">
      <c r="A5" s="159" t="s">
        <v>55</v>
      </c>
      <c r="B5" s="160"/>
      <c r="C5" s="160"/>
      <c r="D5" s="160"/>
      <c r="E5" s="160"/>
      <c r="F5" s="161"/>
      <c r="G5" s="158" t="str">
        <f>' NotaPedido'!D4</f>
        <v>25- Direccion Provincial de Gestion Administracion y RRHH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</row>
    <row r="6" spans="1:17" s="6" customFormat="1" ht="18" customHeight="1" thickBot="1" x14ac:dyDescent="0.25">
      <c r="A6" s="159" t="s">
        <v>33</v>
      </c>
      <c r="B6" s="160"/>
      <c r="C6" s="160"/>
      <c r="D6" s="160"/>
      <c r="E6" s="160"/>
      <c r="F6" s="161"/>
      <c r="G6" s="158" t="s">
        <v>85</v>
      </c>
      <c r="H6" s="158"/>
      <c r="I6" s="158"/>
      <c r="J6" s="158"/>
      <c r="K6" s="158"/>
      <c r="L6" s="158"/>
      <c r="M6" s="158"/>
      <c r="N6" s="158"/>
      <c r="O6" s="158"/>
      <c r="P6" s="158"/>
      <c r="Q6" s="158"/>
    </row>
    <row r="7" spans="1:17" s="6" customFormat="1" ht="18" customHeight="1" thickBot="1" x14ac:dyDescent="0.25">
      <c r="A7" s="159" t="s">
        <v>56</v>
      </c>
      <c r="B7" s="160"/>
      <c r="C7" s="160"/>
      <c r="D7" s="160"/>
      <c r="E7" s="160"/>
      <c r="F7" s="161"/>
      <c r="G7" s="158" t="s">
        <v>87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1:17" ht="18" customHeight="1" thickBot="1" x14ac:dyDescent="0.25">
      <c r="A8" s="162" t="s">
        <v>34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1:17" ht="18" customHeight="1" x14ac:dyDescent="0.2">
      <c r="A9" s="163" t="s">
        <v>35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"/>
      <c r="P9" s="1"/>
      <c r="Q9" s="7"/>
    </row>
    <row r="10" spans="1:17" ht="54.75" customHeight="1" x14ac:dyDescent="0.2">
      <c r="A10" s="16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120/2022,  afectando la erogación resultante a los créditos presupuestarios aprobados a favor de esta Unidad Ejecutora, conforme al siguiente detalle: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65" t="s">
        <v>36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spans="1:17" ht="15.75" customHeight="1" x14ac:dyDescent="0.2">
      <c r="A13" s="166" t="s">
        <v>37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7" t="s">
        <v>38</v>
      </c>
      <c r="P13" s="167"/>
      <c r="Q13" s="168" t="s">
        <v>39</v>
      </c>
    </row>
    <row r="14" spans="1:17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67"/>
      <c r="P14" s="167"/>
      <c r="Q14" s="168"/>
    </row>
    <row r="15" spans="1:17" ht="17.25" customHeight="1" x14ac:dyDescent="0.2">
      <c r="A15" s="36">
        <v>16</v>
      </c>
      <c r="B15" s="37"/>
      <c r="C15" s="37"/>
      <c r="D15" s="37">
        <v>2</v>
      </c>
      <c r="E15" s="37"/>
      <c r="F15" s="37">
        <v>4901</v>
      </c>
      <c r="G15" s="38">
        <v>3</v>
      </c>
      <c r="H15" s="38">
        <v>2</v>
      </c>
      <c r="I15" s="37" t="str">
        <f>LEFT('[1]Necesidades Trimestrales'!D10,1)</f>
        <v>2</v>
      </c>
      <c r="J15" s="37">
        <v>1</v>
      </c>
      <c r="K15" s="37">
        <v>1</v>
      </c>
      <c r="L15" s="37"/>
      <c r="M15" s="39">
        <v>1</v>
      </c>
      <c r="N15" s="37">
        <v>1.1000000000000001</v>
      </c>
      <c r="O15" s="169" t="s">
        <v>58</v>
      </c>
      <c r="P15" s="170"/>
      <c r="Q15" s="34">
        <v>209280000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171"/>
      <c r="P16" s="171"/>
      <c r="Q16" s="33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72"/>
      <c r="P17" s="172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72"/>
      <c r="P18" s="172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72"/>
      <c r="P19" s="172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72"/>
      <c r="P20" s="172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78"/>
      <c r="P21" s="178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79"/>
      <c r="P22" s="179"/>
      <c r="Q22" s="30"/>
    </row>
    <row r="23" spans="1:18" ht="32.25" customHeight="1" x14ac:dyDescent="0.2">
      <c r="A23" s="180" t="s">
        <v>116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31">
        <f>SUM(Q15:Q22)</f>
        <v>209280000</v>
      </c>
    </row>
    <row r="24" spans="1:18" ht="18" customHeight="1" thickBot="1" x14ac:dyDescent="0.25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</row>
    <row r="25" spans="1:18" ht="17.25" customHeight="1" thickBot="1" x14ac:dyDescent="0.25">
      <c r="A25" s="173" t="s">
        <v>53</v>
      </c>
      <c r="B25" s="174"/>
      <c r="C25" s="174"/>
      <c r="D25" s="174"/>
      <c r="E25" s="174"/>
      <c r="F25" s="175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</row>
    <row r="26" spans="1:18" ht="18" customHeight="1" thickBot="1" x14ac:dyDescent="0.25">
      <c r="A26" s="177" t="s">
        <v>84</v>
      </c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</row>
    <row r="27" spans="1:18" ht="15" customHeight="1" x14ac:dyDescent="0.2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2022-03-09T21:12:04Z</cp:lastPrinted>
  <dcterms:created xsi:type="dcterms:W3CDTF">2020-07-17T23:44:49Z</dcterms:created>
  <dcterms:modified xsi:type="dcterms:W3CDTF">2022-03-11T15:52:00Z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