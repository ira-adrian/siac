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iertos y Fracasados\Equipos Sanitarios y Laboratorio\"/>
    </mc:Choice>
  </mc:AlternateContent>
  <xr:revisionPtr revIDLastSave="0" documentId="13_ncr:1_{1B24A323-5AB5-424C-A214-9E20CB9E1A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TRIMESTRAL'!$A$9:$I$14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3" i="2" l="1"/>
  <c r="M13" i="2"/>
  <c r="N13" i="2"/>
  <c r="L14" i="2"/>
  <c r="M14" i="2"/>
  <c r="N14" i="2"/>
  <c r="L15" i="2"/>
  <c r="M15" i="2"/>
  <c r="N15" i="2"/>
  <c r="N12" i="2"/>
  <c r="M12" i="2"/>
  <c r="L12" i="2"/>
  <c r="A41" i="3" l="1"/>
  <c r="G7" i="3"/>
  <c r="G6" i="3"/>
  <c r="G5" i="3"/>
  <c r="G4" i="3"/>
  <c r="I15" i="2"/>
  <c r="C15" i="2"/>
  <c r="B15" i="2"/>
  <c r="I14" i="2"/>
  <c r="C14" i="2"/>
  <c r="B14" i="2"/>
  <c r="I13" i="2"/>
  <c r="C13" i="2"/>
  <c r="B13" i="2"/>
  <c r="I12" i="2"/>
  <c r="C12" i="2"/>
  <c r="B12" i="2"/>
  <c r="I13" i="1"/>
  <c r="I12" i="1"/>
  <c r="I11" i="1"/>
  <c r="I10" i="1"/>
  <c r="I14" i="1" l="1"/>
  <c r="J17" i="2"/>
  <c r="Q38" i="3" s="1"/>
</calcChain>
</file>

<file path=xl/sharedStrings.xml><?xml version="1.0" encoding="utf-8"?>
<sst xmlns="http://schemas.openxmlformats.org/spreadsheetml/2006/main" count="115" uniqueCount="97">
  <si>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</si>
  <si>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</si>
  <si>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</si>
  <si>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</si>
  <si>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</si>
  <si>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</si>
  <si>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</si>
  <si>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</si>
  <si>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</si>
  <si>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</si>
  <si>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</si>
  <si>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</si>
  <si>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</si>
  <si>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</si>
  <si>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</si>
  <si>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</si>
  <si>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PROD. MEDICO/FARMACEUTICOS/LAB</t>
  </si>
  <si>
    <t>4.3.3</t>
  </si>
  <si>
    <t>UNIDAD</t>
  </si>
  <si>
    <t>4.3.3-1719.21</t>
  </si>
  <si>
    <t>EQUIPOS</t>
  </si>
  <si>
    <t>CAMILLAS; ANCHO: 50 Cm, LARGO: 200 Cm, ALTO: 75 Cm, ARNESES: SIN, TIPO: EXAMEN</t>
  </si>
  <si>
    <t>4.3.3-1719.14</t>
  </si>
  <si>
    <t>CAMILLAS; ANCHO: 55 Cm, LARGO: 180 Cm, ALTO: 70 Cm, ARNESES: SIN VALOR, TIPO: GINECOLOGICA</t>
  </si>
  <si>
    <t>4.3.3-7797.2</t>
  </si>
  <si>
    <t>FOTOSFOROS; TIPO: RODANTE, USO: MEDICO</t>
  </si>
  <si>
    <t>4.3.3-1711.9</t>
  </si>
  <si>
    <t>SILLAS DE RUEDAS; ANCHO: 61 Cm, APOYABRAZO: DESMONTABLE, PIERNERA: DESMONTABLE, FRENO: CON, MATERIAL: METALICA CROMADA</t>
  </si>
  <si>
    <t>TOTAL RUBRO EQUIPOS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</si>
  <si>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</si>
  <si>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</si>
  <si>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</si>
  <si>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</si>
  <si>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</si>
  <si>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</si>
  <si>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</si>
  <si>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ESPECIFICIDADES ITEM 2</t>
  </si>
  <si>
    <t>ESPECIFICIDADES ITEM 3</t>
  </si>
  <si>
    <t>ESPECIFICIDADES ITEM 4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</si>
  <si>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</si>
  <si>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</si>
  <si>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</si>
  <si>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</si>
  <si>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</si>
  <si>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</si>
  <si>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</si>
  <si>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</si>
  <si>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</si>
  <si>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</si>
  <si>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</si>
  <si>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</si>
  <si>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</si>
  <si>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</si>
  <si>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</si>
  <si>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</si>
  <si>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</si>
  <si>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</si>
  <si>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</si>
  <si>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</si>
  <si>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</si>
  <si>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</si>
  <si>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</si>
  <si>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</si>
  <si>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</si>
  <si>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</si>
  <si>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</si>
  <si>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</si>
  <si>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</si>
  <si>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</si>
  <si>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</si>
  <si>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</si>
  <si>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</si>
  <si>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</si>
  <si>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</si>
  <si>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</si>
  <si>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</si>
  <si>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</si>
  <si>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</si>
  <si>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</si>
  <si>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SANITARIOS Y DE LABORATORIO</t>
  </si>
  <si>
    <t>JUSTIFICACIÓN:</t>
  </si>
  <si>
    <t xml:space="preserve">Construido de caño de hierro cromado. Sólido y liviano, con secciones y espesores que soporten los esfuerzos a los que habitualmente están sometidos. Cabezal de iluminación pintado con pintura Epoxi. Integrado aproximadamente por 4 Leds de alta intensidad con mínima emisión de calor. Altura y ángulo de iluminación regulables a través de una articulación con freno a perilla. Tecla de encendido y cables normalizados. Base plástica de 5 ramas en estrella de 50 cm. con 5 ruedas giratorias duales. Altura aproximada: 140 mm  </t>
  </si>
  <si>
    <t>Garantia:</t>
  </si>
  <si>
    <t>veinte (20) dias habiles</t>
  </si>
  <si>
    <t>TERCERO</t>
  </si>
  <si>
    <t>ESPECIFICIDADES ITEM 1</t>
  </si>
  <si>
    <t>Estructura de caño de 25 x 25, esmaltado en Epoxi. Reforzada, 4 patas fijas con refuerzo perimetral, tapizado en cuerina de gran espesor. Que soporte hasta 150 kg.</t>
  </si>
  <si>
    <t>De tres planos, con estribos cromados y cajon, acolchado en cuero vinilico lavable. Estructura en caño fuerte de 3 cm de diámetro, con tratamiento epoxi, estribos removibles y con cabecera y piernera regulables manualmente. Bandeja debajo del cuerpo central de 20x20cm medidas mínimas. Sin arneses.</t>
  </si>
  <si>
    <t>Acero cromada, peso 100 kg , pedanas y apoya brazos desmontables. Respaldo/asiento: cuerina gruesa. -Ancho asiento-respaldo abierto: 61 cm; -Ancho cerrado: 28 cm aprox. Ruedas de goma maciza. Cantidad de ruedas: 4.</t>
  </si>
  <si>
    <t>* ADJUNTAR FOLLETERIA, MANUALES Y/O CUALQUIER OTRA DOCUMENTACION QUE EL PROVEEDOR ESTIME NECESARIO PARA ACLARAR EL BIEN COTIZADO</t>
  </si>
  <si>
    <t>3er TRIMESTRE 2022</t>
  </si>
  <si>
    <t>minima de un (1) año</t>
  </si>
  <si>
    <t>DESIERTOS Y FRACASADOS DE EQUIPOS SANITARIOS Y DE LABORATORIO CON DESTINO A HOSPITALES DE LA PROVINCIA</t>
  </si>
  <si>
    <t>XX/2022</t>
  </si>
  <si>
    <t>Costo total estimado: PESOS CUATRO MILLONES OCHOCIENTOS SESENTA Y CUATRO MIL CON 00/100.-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</si>
  <si>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</si>
  <si>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TOTAL DE PESOS: CUATRO MILLONES OCHOCIENTOS SESENTA Y CUATRO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</si>
</sst>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34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000000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medium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14" fillId="0" borderId="27" xfId="0" applyNumberFormat="1" applyFont="1" applyBorder="1" applyAlignment="1">
      <alignment horizontal="right" vertical="center"/>
    </xf>
    <xf numFmtId="0" fontId="16" fillId="0" borderId="29" xfId="0" applyFont="1" applyBorder="1" applyAlignment="1">
      <alignment vertical="center"/>
    </xf>
    <xf numFmtId="0" fontId="17" fillId="0" borderId="30" xfId="0" applyFont="1" applyBorder="1" applyAlignment="1">
      <alignment horizontal="center" vertical="center"/>
    </xf>
    <xf numFmtId="0" fontId="18" fillId="0" borderId="30" xfId="0" applyFont="1" applyBorder="1" applyAlignment="1">
      <alignment vertical="center"/>
    </xf>
    <xf numFmtId="0" fontId="19" fillId="0" borderId="0" xfId="0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17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165" fontId="15" fillId="0" borderId="34" xfId="0" applyNumberFormat="1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22" fillId="0" borderId="16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165" fontId="15" fillId="0" borderId="0" xfId="0" applyNumberFormat="1" applyFont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24" fillId="0" borderId="4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65" fontId="24" fillId="0" borderId="1" xfId="0" applyNumberFormat="1" applyFont="1" applyBorder="1" applyAlignment="1">
      <alignment horizontal="center" vertical="center" wrapText="1"/>
    </xf>
    <xf numFmtId="3" fontId="24" fillId="0" borderId="45" xfId="0" applyNumberFormat="1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165" fontId="24" fillId="0" borderId="9" xfId="0" applyNumberFormat="1" applyFont="1" applyBorder="1" applyAlignment="1">
      <alignment horizontal="center" vertical="center" wrapText="1"/>
    </xf>
    <xf numFmtId="3" fontId="24" fillId="0" borderId="4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3" fontId="25" fillId="0" borderId="14" xfId="0" applyNumberFormat="1" applyFont="1" applyBorder="1"/>
    <xf numFmtId="167" fontId="0" fillId="0" borderId="14" xfId="0" applyNumberFormat="1" applyBorder="1" applyAlignment="1">
      <alignment horizontal="left"/>
    </xf>
    <xf numFmtId="0" fontId="0" fillId="0" borderId="14" xfId="0" applyBorder="1"/>
    <xf numFmtId="0" fontId="0" fillId="0" borderId="16" xfId="0" applyBorder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5" fontId="0" fillId="0" borderId="17" xfId="0" applyNumberFormat="1" applyBorder="1"/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left"/>
    </xf>
    <xf numFmtId="165" fontId="0" fillId="0" borderId="51" xfId="0" applyNumberFormat="1" applyBorder="1"/>
    <xf numFmtId="0" fontId="30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0" borderId="59" xfId="0" applyFont="1" applyBorder="1" applyAlignment="1">
      <alignment horizontal="left" vertical="center"/>
    </xf>
    <xf numFmtId="0" fontId="30" fillId="0" borderId="60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65" fontId="0" fillId="0" borderId="65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65" fontId="0" fillId="0" borderId="72" xfId="0" applyNumberFormat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65" fontId="0" fillId="0" borderId="77" xfId="0" applyNumberFormat="1" applyBorder="1" applyAlignment="1">
      <alignment horizontal="center" vertical="center"/>
    </xf>
    <xf numFmtId="165" fontId="30" fillId="0" borderId="7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7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165" fontId="24" fillId="0" borderId="6" xfId="0" applyNumberFormat="1" applyFont="1" applyBorder="1" applyAlignment="1">
      <alignment horizontal="center" vertical="center" wrapText="1"/>
    </xf>
    <xf numFmtId="3" fontId="24" fillId="0" borderId="8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7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11" fillId="0" borderId="17" xfId="0" applyFont="1" applyBorder="1"/>
    <xf numFmtId="0" fontId="0" fillId="0" borderId="19" xfId="0" applyBorder="1" applyAlignment="1">
      <alignment horizontal="center" vertical="center"/>
    </xf>
    <xf numFmtId="0" fontId="11" fillId="0" borderId="20" xfId="0" applyFont="1" applyBorder="1"/>
    <xf numFmtId="0" fontId="3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1" fillId="0" borderId="17" xfId="0" applyFont="1" applyBorder="1" applyAlignment="1">
      <alignment horizontal="left" vertical="center"/>
    </xf>
    <xf numFmtId="0" fontId="33" fillId="0" borderId="16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33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24" fillId="0" borderId="81" xfId="0" applyFont="1" applyBorder="1" applyAlignment="1">
      <alignment horizontal="left" vertical="center" wrapText="1"/>
    </xf>
    <xf numFmtId="0" fontId="11" fillId="0" borderId="82" xfId="0" applyFont="1" applyBorder="1"/>
    <xf numFmtId="0" fontId="11" fillId="0" borderId="83" xfId="0" applyFont="1" applyBorder="1"/>
    <xf numFmtId="166" fontId="15" fillId="0" borderId="33" xfId="0" applyNumberFormat="1" applyFont="1" applyBorder="1" applyAlignment="1">
      <alignment horizontal="center" vertical="center"/>
    </xf>
    <xf numFmtId="0" fontId="11" fillId="0" borderId="35" xfId="0" applyFont="1" applyBorder="1"/>
    <xf numFmtId="0" fontId="2" fillId="0" borderId="18" xfId="0" applyFont="1" applyBorder="1" applyAlignment="1">
      <alignment horizontal="left" vertical="center" wrapText="1"/>
    </xf>
    <xf numFmtId="0" fontId="11" fillId="0" borderId="19" xfId="0" applyFont="1" applyBorder="1"/>
    <xf numFmtId="0" fontId="24" fillId="0" borderId="7" xfId="0" applyFont="1" applyBorder="1" applyAlignment="1">
      <alignment horizontal="left" vertical="center" wrapText="1"/>
    </xf>
    <xf numFmtId="0" fontId="11" fillId="0" borderId="8" xfId="0" applyFont="1" applyBorder="1"/>
    <xf numFmtId="0" fontId="11" fillId="0" borderId="12" xfId="0" applyFont="1" applyBorder="1"/>
    <xf numFmtId="0" fontId="24" fillId="0" borderId="47" xfId="0" applyFont="1" applyBorder="1" applyAlignment="1">
      <alignment horizontal="center" vertical="center" wrapText="1"/>
    </xf>
    <xf numFmtId="0" fontId="11" fillId="0" borderId="25" xfId="0" applyFont="1" applyBorder="1"/>
    <xf numFmtId="0" fontId="11" fillId="0" borderId="48" xfId="0" applyFont="1" applyBorder="1"/>
    <xf numFmtId="0" fontId="23" fillId="0" borderId="90" xfId="0" applyFont="1" applyBorder="1" applyAlignment="1">
      <alignment horizontal="center" vertical="center" wrapText="1"/>
    </xf>
    <xf numFmtId="0" fontId="11" fillId="0" borderId="96" xfId="0" applyFont="1" applyBorder="1"/>
    <xf numFmtId="165" fontId="23" fillId="0" borderId="86" xfId="0" applyNumberFormat="1" applyFont="1" applyBorder="1" applyAlignment="1">
      <alignment horizontal="center" vertical="center" wrapText="1"/>
    </xf>
    <xf numFmtId="0" fontId="11" fillId="0" borderId="92" xfId="0" applyFont="1" applyBorder="1"/>
    <xf numFmtId="0" fontId="23" fillId="0" borderId="86" xfId="0" applyFont="1" applyBorder="1" applyAlignment="1">
      <alignment horizontal="center" vertical="center" wrapText="1"/>
    </xf>
    <xf numFmtId="0" fontId="23" fillId="0" borderId="87" xfId="0" applyFont="1" applyBorder="1" applyAlignment="1">
      <alignment horizontal="center" vertical="center" wrapText="1"/>
    </xf>
    <xf numFmtId="0" fontId="11" fillId="0" borderId="88" xfId="0" applyFont="1" applyBorder="1"/>
    <xf numFmtId="0" fontId="11" fillId="0" borderId="89" xfId="0" applyFont="1" applyBorder="1"/>
    <xf numFmtId="0" fontId="11" fillId="0" borderId="93" xfId="0" applyFont="1" applyBorder="1"/>
    <xf numFmtId="0" fontId="0" fillId="0" borderId="94" xfId="0" applyBorder="1"/>
    <xf numFmtId="0" fontId="11" fillId="0" borderId="95" xfId="0" applyFont="1" applyBorder="1"/>
    <xf numFmtId="0" fontId="23" fillId="0" borderId="85" xfId="0" applyFont="1" applyBorder="1" applyAlignment="1">
      <alignment horizontal="center" vertical="center"/>
    </xf>
    <xf numFmtId="0" fontId="11" fillId="0" borderId="91" xfId="0" applyFont="1" applyBorder="1"/>
    <xf numFmtId="0" fontId="22" fillId="0" borderId="31" xfId="0" applyFont="1" applyBorder="1" applyAlignment="1">
      <alignment horizontal="left" vertical="center" wrapText="1"/>
    </xf>
    <xf numFmtId="0" fontId="11" fillId="0" borderId="32" xfId="0" applyFont="1" applyBorder="1"/>
    <xf numFmtId="0" fontId="22" fillId="0" borderId="36" xfId="0" applyFont="1" applyBorder="1" applyAlignment="1">
      <alignment horizontal="left" vertical="center" wrapText="1"/>
    </xf>
    <xf numFmtId="0" fontId="11" fillId="0" borderId="37" xfId="0" applyFont="1" applyBorder="1"/>
    <xf numFmtId="0" fontId="22" fillId="0" borderId="33" xfId="0" applyFont="1" applyBorder="1" applyAlignment="1">
      <alignment horizontal="left" vertical="center"/>
    </xf>
    <xf numFmtId="0" fontId="11" fillId="0" borderId="34" xfId="0" applyFont="1" applyBorder="1"/>
    <xf numFmtId="0" fontId="11" fillId="0" borderId="38" xfId="0" applyFont="1" applyBorder="1"/>
    <xf numFmtId="0" fontId="13" fillId="0" borderId="13" xfId="0" applyFont="1" applyBorder="1" applyAlignment="1">
      <alignment horizontal="center" vertical="center"/>
    </xf>
    <xf numFmtId="0" fontId="11" fillId="0" borderId="14" xfId="0" applyFont="1" applyBorder="1"/>
    <xf numFmtId="0" fontId="0" fillId="0" borderId="70" xfId="0" applyBorder="1" applyAlignment="1">
      <alignment horizontal="center" vertical="center"/>
    </xf>
    <xf numFmtId="0" fontId="11" fillId="0" borderId="71" xfId="0" applyFont="1" applyBorder="1"/>
    <xf numFmtId="0" fontId="0" fillId="0" borderId="70" xfId="0" applyBorder="1" applyAlignment="1">
      <alignment horizontal="left" vertical="center"/>
    </xf>
    <xf numFmtId="0" fontId="0" fillId="0" borderId="75" xfId="0" applyBorder="1" applyAlignment="1">
      <alignment horizontal="left" vertical="center"/>
    </xf>
    <xf numFmtId="0" fontId="11" fillId="0" borderId="76" xfId="0" applyFont="1" applyBorder="1"/>
    <xf numFmtId="0" fontId="25" fillId="0" borderId="29" xfId="0" applyFont="1" applyBorder="1" applyAlignment="1">
      <alignment horizontal="left" vertical="center" wrapText="1"/>
    </xf>
    <xf numFmtId="0" fontId="11" fillId="0" borderId="30" xfId="0" applyFont="1" applyBorder="1"/>
    <xf numFmtId="0" fontId="11" fillId="0" borderId="78" xfId="0" applyFont="1" applyBorder="1"/>
    <xf numFmtId="0" fontId="0" fillId="0" borderId="36" xfId="0" applyBorder="1"/>
    <xf numFmtId="0" fontId="11" fillId="0" borderId="55" xfId="0" applyFont="1" applyBorder="1"/>
    <xf numFmtId="0" fontId="25" fillId="0" borderId="33" xfId="0" applyFont="1" applyBorder="1" applyAlignment="1">
      <alignment vertical="center" wrapText="1"/>
    </xf>
    <xf numFmtId="0" fontId="28" fillId="0" borderId="37" xfId="0" applyFont="1" applyBorder="1" applyAlignment="1">
      <alignment vertical="center" wrapText="1"/>
    </xf>
    <xf numFmtId="0" fontId="28" fillId="0" borderId="16" xfId="0" applyFont="1" applyBorder="1" applyAlignment="1">
      <alignment horizontal="left" vertical="center" wrapText="1"/>
    </xf>
    <xf numFmtId="0" fontId="11" fillId="0" borderId="18" xfId="0" applyFont="1" applyBorder="1"/>
    <xf numFmtId="0" fontId="0" fillId="0" borderId="33" xfId="0" applyBorder="1" applyAlignment="1">
      <alignment horizontal="center"/>
    </xf>
    <xf numFmtId="3" fontId="25" fillId="0" borderId="34" xfId="0" applyNumberFormat="1" applyFont="1" applyBorder="1" applyAlignment="1">
      <alignment horizontal="center"/>
    </xf>
    <xf numFmtId="0" fontId="26" fillId="0" borderId="40" xfId="0" applyFont="1" applyBorder="1" applyAlignment="1">
      <alignment horizontal="center" vertical="center" wrapText="1"/>
    </xf>
    <xf numFmtId="0" fontId="11" fillId="0" borderId="15" xfId="0" applyFont="1" applyBorder="1"/>
    <xf numFmtId="0" fontId="11" fillId="0" borderId="50" xfId="0" applyFont="1" applyBorder="1"/>
    <xf numFmtId="0" fontId="11" fillId="0" borderId="51" xfId="0" applyFont="1" applyBorder="1"/>
    <xf numFmtId="0" fontId="28" fillId="0" borderId="53" xfId="0" applyFont="1" applyBorder="1" applyAlignment="1">
      <alignment horizontal="left"/>
    </xf>
    <xf numFmtId="0" fontId="11" fillId="0" borderId="54" xfId="0" applyFont="1" applyBorder="1"/>
    <xf numFmtId="0" fontId="1" fillId="0" borderId="31" xfId="0" applyFont="1" applyBorder="1" applyAlignment="1">
      <alignment horizontal="left" vertical="center" wrapText="1"/>
    </xf>
    <xf numFmtId="0" fontId="11" fillId="0" borderId="52" xfId="0" applyFont="1" applyBorder="1"/>
    <xf numFmtId="0" fontId="27" fillId="0" borderId="31" xfId="0" applyFont="1" applyBorder="1"/>
    <xf numFmtId="0" fontId="28" fillId="0" borderId="36" xfId="0" applyFont="1" applyBorder="1" applyAlignment="1">
      <alignment horizontal="left" vertical="center"/>
    </xf>
    <xf numFmtId="0" fontId="11" fillId="0" borderId="37" xfId="0" applyFont="1" applyBorder="1" applyAlignment="1">
      <alignment vertical="center"/>
    </xf>
    <xf numFmtId="0" fontId="11" fillId="0" borderId="55" xfId="0" applyFont="1" applyBorder="1" applyAlignment="1">
      <alignment vertical="center"/>
    </xf>
    <xf numFmtId="0" fontId="29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vertical="center"/>
    </xf>
    <xf numFmtId="0" fontId="11" fillId="0" borderId="54" xfId="0" applyFont="1" applyBorder="1" applyAlignment="1">
      <alignment vertical="center"/>
    </xf>
    <xf numFmtId="49" fontId="28" fillId="0" borderId="16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1" fillId="0" borderId="17" xfId="0" applyFont="1" applyBorder="1" applyAlignment="1">
      <alignment vertical="center"/>
    </xf>
    <xf numFmtId="0" fontId="30" fillId="0" borderId="36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1" fillId="0" borderId="57" xfId="0" applyFont="1" applyBorder="1"/>
    <xf numFmtId="0" fontId="11" fillId="0" borderId="42" xfId="0" applyFont="1" applyBorder="1"/>
    <xf numFmtId="0" fontId="11" fillId="0" borderId="43" xfId="0" applyFont="1" applyBorder="1"/>
    <xf numFmtId="165" fontId="30" fillId="0" borderId="55" xfId="0" applyNumberFormat="1" applyFont="1" applyBorder="1" applyAlignment="1">
      <alignment horizontal="center" vertical="center"/>
    </xf>
    <xf numFmtId="0" fontId="0" fillId="0" borderId="63" xfId="0" applyBorder="1" applyAlignment="1">
      <alignment horizontal="left" vertical="center" wrapText="1"/>
    </xf>
    <xf numFmtId="0" fontId="11" fillId="0" borderId="64" xfId="0" applyFont="1" applyBorder="1"/>
    <xf numFmtId="0" fontId="0" fillId="0" borderId="70" xfId="0" applyBorder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"/>
  <sheetViews>
    <sheetView tabSelected="1" topLeftCell="D1" zoomScaleNormal="100" workbookViewId="0">
      <selection activeCell="E11" sqref="E11"/>
    </sheetView>
  </sheetViews>
  <sheetFormatPr baseColWidth="10" defaultColWidth="14.42578125" defaultRowHeight="15" customHeight="1" x14ac:dyDescent="0.25"/>
  <cols>
    <col min="1" max="1" width="5.42578125" bestFit="1" customWidth="1"/>
    <col min="2" max="2" width="16.7109375" customWidth="1"/>
    <col min="3" max="3" width="42.42578125" customWidth="1"/>
    <col min="4" max="4" width="5.5703125" customWidth="1"/>
    <col min="5" max="5" width="116.85546875" customWidth="1"/>
    <col min="6" max="6" width="13.5703125" customWidth="1"/>
    <col min="7" max="7" width="12.140625" customWidth="1"/>
    <col min="8" max="8" width="12.7109375" bestFit="1" customWidth="1"/>
    <col min="9" max="9" width="16.5703125" bestFit="1" customWidth="1"/>
    <col min="10" max="10" width="14.42578125" customWidth="1"/>
  </cols>
  <sheetData>
    <row r="1" spans="1:9" x14ac:dyDescent="0.25">
      <c r="A1" s="1">
        <v>2022</v>
      </c>
      <c r="B1" s="2"/>
      <c r="C1" s="3"/>
      <c r="D1" s="3"/>
      <c r="E1" s="4"/>
      <c r="F1" s="3"/>
      <c r="G1" s="8"/>
      <c r="H1" s="6"/>
      <c r="I1" s="6"/>
    </row>
    <row r="2" spans="1:9" ht="18.75" x14ac:dyDescent="0.25">
      <c r="A2" s="3"/>
      <c r="B2" s="144" t="s">
        <v>0</v>
      </c>
      <c r="C2" s="143"/>
      <c r="D2" s="143"/>
      <c r="E2" s="143"/>
      <c r="F2" s="143"/>
      <c r="G2" s="143"/>
      <c r="H2" s="143"/>
      <c r="I2" s="6"/>
    </row>
    <row r="3" spans="1:9" x14ac:dyDescent="0.25">
      <c r="A3" s="3"/>
      <c r="B3" s="2"/>
      <c r="C3" s="3"/>
      <c r="D3" s="3"/>
      <c r="E3" s="4"/>
      <c r="F3" s="3"/>
      <c r="G3" s="8"/>
      <c r="H3" s="6"/>
      <c r="I3" s="6"/>
    </row>
    <row r="4" spans="1:9" x14ac:dyDescent="0.25">
      <c r="A4" s="142" t="s">
        <v>1</v>
      </c>
      <c r="B4" s="143"/>
      <c r="C4" s="145" t="s">
        <v>2</v>
      </c>
      <c r="D4" s="143"/>
      <c r="E4" s="143"/>
      <c r="F4" s="10"/>
      <c r="G4" s="8"/>
      <c r="H4" s="6"/>
      <c r="I4" s="6"/>
    </row>
    <row r="5" spans="1:9" x14ac:dyDescent="0.25">
      <c r="A5" s="142" t="s">
        <v>3</v>
      </c>
      <c r="B5" s="143"/>
      <c r="C5" s="146" t="s">
        <v>4</v>
      </c>
      <c r="D5" s="143"/>
      <c r="E5" s="143"/>
      <c r="F5" s="10"/>
      <c r="G5" s="11"/>
      <c r="H5" s="5"/>
      <c r="I5" s="5"/>
    </row>
    <row r="6" spans="1:9" x14ac:dyDescent="0.25">
      <c r="A6" s="142" t="s">
        <v>5</v>
      </c>
      <c r="B6" s="143"/>
      <c r="C6" s="12">
        <v>2022</v>
      </c>
      <c r="D6" s="9"/>
      <c r="E6" s="12"/>
      <c r="F6" s="10"/>
      <c r="G6" s="11"/>
      <c r="H6" s="5"/>
      <c r="I6" s="5"/>
    </row>
    <row r="7" spans="1:9" x14ac:dyDescent="0.25">
      <c r="A7" s="142" t="s">
        <v>6</v>
      </c>
      <c r="B7" s="143"/>
      <c r="C7" s="98" t="s">
        <v>84</v>
      </c>
      <c r="D7" s="9"/>
      <c r="E7" s="12"/>
      <c r="F7" s="10"/>
      <c r="G7" s="11"/>
      <c r="H7" s="5"/>
      <c r="I7" s="5"/>
    </row>
    <row r="8" spans="1:9" ht="15.75" thickBot="1" x14ac:dyDescent="0.3">
      <c r="A8" s="3"/>
      <c r="B8" s="10"/>
      <c r="C8" s="10"/>
      <c r="D8" s="10"/>
      <c r="E8" s="13"/>
      <c r="F8" s="10"/>
      <c r="G8" s="11"/>
      <c r="H8" s="5"/>
      <c r="I8" s="5"/>
    </row>
    <row r="9" spans="1:9" ht="39" thickBot="1" x14ac:dyDescent="0.3">
      <c r="A9" s="99" t="s">
        <v>7</v>
      </c>
      <c r="B9" s="100" t="s">
        <v>8</v>
      </c>
      <c r="C9" s="101" t="s">
        <v>9</v>
      </c>
      <c r="D9" s="100" t="s">
        <v>10</v>
      </c>
      <c r="E9" s="102" t="s">
        <v>11</v>
      </c>
      <c r="F9" s="101" t="s">
        <v>12</v>
      </c>
      <c r="G9" s="103" t="s">
        <v>13</v>
      </c>
      <c r="H9" s="105" t="s">
        <v>14</v>
      </c>
      <c r="I9" s="104" t="s">
        <v>15</v>
      </c>
    </row>
    <row r="10" spans="1:9" ht="42" customHeight="1" x14ac:dyDescent="0.25">
      <c r="A10" s="106">
        <v>1</v>
      </c>
      <c r="B10" s="93" t="s">
        <v>19</v>
      </c>
      <c r="C10" s="92" t="s">
        <v>20</v>
      </c>
      <c r="D10" s="92" t="s">
        <v>17</v>
      </c>
      <c r="E10" s="108" t="s">
        <v>21</v>
      </c>
      <c r="F10" s="92" t="s">
        <v>18</v>
      </c>
      <c r="G10" s="94">
        <v>80</v>
      </c>
      <c r="H10" s="95">
        <v>32000</v>
      </c>
      <c r="I10" s="107">
        <f t="shared" ref="I10:I13" si="0">+G10*H10</f>
        <v>2560000</v>
      </c>
    </row>
    <row r="11" spans="1:9" ht="28.9" customHeight="1" x14ac:dyDescent="0.25">
      <c r="A11" s="106">
        <v>2</v>
      </c>
      <c r="B11" s="93" t="s">
        <v>22</v>
      </c>
      <c r="C11" s="92" t="s">
        <v>20</v>
      </c>
      <c r="D11" s="92" t="s">
        <v>17</v>
      </c>
      <c r="E11" s="108" t="s">
        <v>23</v>
      </c>
      <c r="F11" s="92" t="s">
        <v>18</v>
      </c>
      <c r="G11" s="94">
        <v>10</v>
      </c>
      <c r="H11" s="95">
        <v>53000</v>
      </c>
      <c r="I11" s="107">
        <f t="shared" si="0"/>
        <v>530000</v>
      </c>
    </row>
    <row r="12" spans="1:9" ht="46.9" customHeight="1" x14ac:dyDescent="0.25">
      <c r="A12" s="106">
        <v>3</v>
      </c>
      <c r="B12" s="93" t="s">
        <v>24</v>
      </c>
      <c r="C12" s="92" t="s">
        <v>16</v>
      </c>
      <c r="D12" s="92" t="s">
        <v>17</v>
      </c>
      <c r="E12" s="108" t="s">
        <v>25</v>
      </c>
      <c r="F12" s="92" t="s">
        <v>18</v>
      </c>
      <c r="G12" s="94">
        <v>30</v>
      </c>
      <c r="H12" s="95">
        <v>19000</v>
      </c>
      <c r="I12" s="96">
        <f t="shared" si="0"/>
        <v>570000</v>
      </c>
    </row>
    <row r="13" spans="1:9" ht="32.450000000000003" customHeight="1" thickBot="1" x14ac:dyDescent="0.3">
      <c r="A13" s="106">
        <v>4</v>
      </c>
      <c r="B13" s="93" t="s">
        <v>26</v>
      </c>
      <c r="C13" s="92" t="s">
        <v>20</v>
      </c>
      <c r="D13" s="92" t="s">
        <v>17</v>
      </c>
      <c r="E13" s="108" t="s">
        <v>27</v>
      </c>
      <c r="F13" s="92" t="s">
        <v>18</v>
      </c>
      <c r="G13" s="117">
        <v>28</v>
      </c>
      <c r="H13" s="95">
        <v>43000</v>
      </c>
      <c r="I13" s="118">
        <f t="shared" si="0"/>
        <v>1204000</v>
      </c>
    </row>
    <row r="14" spans="1:9" ht="25.5" customHeight="1" thickBot="1" x14ac:dyDescent="0.3">
      <c r="A14" s="109"/>
      <c r="B14" s="110"/>
      <c r="C14" s="110"/>
      <c r="D14" s="110"/>
      <c r="E14" s="111" t="s">
        <v>28</v>
      </c>
      <c r="F14" s="110"/>
      <c r="G14" s="113"/>
      <c r="H14" s="112"/>
      <c r="I14" s="114">
        <f>+SUM(I10:I13)</f>
        <v>4864000</v>
      </c>
    </row>
    <row r="15" spans="1:9" ht="15.75" customHeight="1" x14ac:dyDescent="0.25">
      <c r="A15" s="14"/>
      <c r="B15" s="14"/>
      <c r="C15" s="14"/>
      <c r="D15" s="14"/>
      <c r="E15" s="15"/>
      <c r="F15" s="14"/>
      <c r="G15" s="16"/>
      <c r="H15" s="17"/>
      <c r="I15" s="17"/>
    </row>
    <row r="16" spans="1:9" ht="15.75" customHeight="1" thickBot="1" x14ac:dyDescent="0.3">
      <c r="A16" s="14"/>
      <c r="B16" s="14"/>
      <c r="C16" s="14"/>
      <c r="D16" s="14"/>
      <c r="E16" s="15"/>
      <c r="F16" s="14"/>
      <c r="G16" s="16"/>
      <c r="H16" s="17"/>
      <c r="I16" s="17"/>
    </row>
    <row r="17" spans="1:9" ht="33.75" customHeight="1" x14ac:dyDescent="0.25">
      <c r="A17" s="14"/>
      <c r="B17" s="14"/>
      <c r="C17" s="150" t="s">
        <v>29</v>
      </c>
      <c r="D17" s="151"/>
      <c r="E17" s="152"/>
      <c r="F17" s="14"/>
      <c r="G17" s="16"/>
      <c r="H17" s="17"/>
      <c r="I17" s="17"/>
    </row>
    <row r="18" spans="1:9" ht="35.25" customHeight="1" x14ac:dyDescent="0.25">
      <c r="A18" s="14"/>
      <c r="B18" s="14"/>
      <c r="C18" s="139" t="s">
        <v>89</v>
      </c>
      <c r="D18" s="140"/>
      <c r="E18" s="141"/>
      <c r="F18" s="14"/>
      <c r="G18" s="16"/>
      <c r="H18" s="17"/>
      <c r="I18" s="17"/>
    </row>
    <row r="19" spans="1:9" ht="15.75" customHeight="1" x14ac:dyDescent="0.25">
      <c r="A19" s="14"/>
      <c r="B19" s="14"/>
      <c r="C19" s="18"/>
      <c r="D19" s="147"/>
      <c r="E19" s="133"/>
      <c r="F19" s="14"/>
      <c r="G19" s="16"/>
      <c r="H19" s="17"/>
      <c r="I19" s="17"/>
    </row>
    <row r="20" spans="1:9" ht="15.75" customHeight="1" x14ac:dyDescent="0.25">
      <c r="A20" s="14"/>
      <c r="B20" s="14"/>
      <c r="C20" s="18" t="s">
        <v>30</v>
      </c>
      <c r="D20" s="148" t="s">
        <v>83</v>
      </c>
      <c r="E20" s="149"/>
      <c r="F20" s="14"/>
      <c r="G20" s="16"/>
      <c r="H20" s="17"/>
      <c r="I20" s="17"/>
    </row>
    <row r="21" spans="1:9" ht="15.75" customHeight="1" x14ac:dyDescent="0.25">
      <c r="A21" s="14"/>
      <c r="B21" s="14"/>
      <c r="C21" s="18"/>
      <c r="D21" s="132"/>
      <c r="E21" s="133"/>
      <c r="F21" s="14"/>
      <c r="G21" s="16"/>
      <c r="H21" s="17"/>
      <c r="I21" s="17"/>
    </row>
    <row r="22" spans="1:9" ht="15.75" customHeight="1" x14ac:dyDescent="0.25">
      <c r="A22" s="14"/>
      <c r="B22" s="14"/>
      <c r="C22" s="18" t="s">
        <v>31</v>
      </c>
      <c r="D22" s="136" t="s">
        <v>32</v>
      </c>
      <c r="E22" s="133"/>
      <c r="F22" s="14"/>
      <c r="G22" s="16"/>
      <c r="H22" s="17"/>
      <c r="I22" s="17"/>
    </row>
    <row r="23" spans="1:9" ht="15.75" customHeight="1" x14ac:dyDescent="0.25">
      <c r="A23" s="14"/>
      <c r="B23" s="14"/>
      <c r="C23" s="18"/>
      <c r="D23" s="132"/>
      <c r="E23" s="133"/>
      <c r="F23" s="14"/>
      <c r="G23" s="16"/>
      <c r="H23" s="17"/>
      <c r="I23" s="17"/>
    </row>
    <row r="24" spans="1:9" ht="15.75" customHeight="1" x14ac:dyDescent="0.25">
      <c r="A24" s="14"/>
      <c r="B24" s="14"/>
      <c r="C24" s="18" t="s">
        <v>33</v>
      </c>
      <c r="D24" s="132"/>
      <c r="E24" s="133"/>
      <c r="F24" s="14"/>
      <c r="G24" s="16"/>
      <c r="H24" s="17"/>
      <c r="I24" s="17"/>
    </row>
    <row r="25" spans="1:9" ht="15.75" customHeight="1" x14ac:dyDescent="0.25">
      <c r="A25" s="14"/>
      <c r="B25" s="14"/>
      <c r="C25" s="18"/>
      <c r="D25" s="90"/>
      <c r="E25" s="91"/>
      <c r="F25" s="14"/>
      <c r="G25" s="16"/>
      <c r="H25" s="17"/>
      <c r="I25" s="17"/>
    </row>
    <row r="26" spans="1:9" ht="15.75" customHeight="1" x14ac:dyDescent="0.25">
      <c r="A26" s="14"/>
      <c r="B26" s="14"/>
      <c r="C26" s="97" t="s">
        <v>82</v>
      </c>
      <c r="D26" s="137" t="s">
        <v>91</v>
      </c>
      <c r="E26" s="138"/>
      <c r="F26" s="14"/>
      <c r="G26" s="16"/>
      <c r="H26" s="17"/>
      <c r="I26" s="17"/>
    </row>
    <row r="27" spans="1:9" ht="15.75" customHeight="1" x14ac:dyDescent="0.25">
      <c r="A27" s="14"/>
      <c r="B27" s="14"/>
      <c r="C27" s="18"/>
      <c r="D27" s="132"/>
      <c r="E27" s="133"/>
      <c r="F27" s="14"/>
      <c r="G27" s="16"/>
      <c r="H27" s="17"/>
      <c r="I27" s="17"/>
    </row>
    <row r="28" spans="1:9" ht="15.75" customHeight="1" x14ac:dyDescent="0.25">
      <c r="A28" s="14"/>
      <c r="B28" s="14"/>
      <c r="C28" s="18" t="s">
        <v>34</v>
      </c>
      <c r="D28" s="19" t="s">
        <v>35</v>
      </c>
      <c r="E28" s="20"/>
      <c r="F28" s="14"/>
      <c r="G28" s="16"/>
      <c r="H28" s="17"/>
      <c r="I28" s="17"/>
    </row>
    <row r="29" spans="1:9" ht="15.75" customHeight="1" thickBot="1" x14ac:dyDescent="0.3">
      <c r="A29" s="14"/>
      <c r="B29" s="14"/>
      <c r="C29" s="21"/>
      <c r="D29" s="134"/>
      <c r="E29" s="135"/>
      <c r="F29" s="14"/>
      <c r="G29" s="16"/>
      <c r="H29" s="17"/>
      <c r="I29" s="17"/>
    </row>
    <row r="30" spans="1:9" ht="15.75" customHeight="1" thickBot="1" x14ac:dyDescent="0.3">
      <c r="A30" s="14"/>
      <c r="B30" s="14"/>
      <c r="C30" s="14"/>
      <c r="D30" s="14"/>
      <c r="E30" s="15"/>
      <c r="F30" s="14"/>
      <c r="G30" s="16"/>
      <c r="H30" s="17"/>
      <c r="I30" s="17"/>
    </row>
    <row r="31" spans="1:9" ht="15.75" customHeight="1" x14ac:dyDescent="0.25">
      <c r="A31" s="22"/>
      <c r="B31" s="22"/>
      <c r="C31" s="126" t="s">
        <v>85</v>
      </c>
      <c r="D31" s="127"/>
      <c r="E31" s="128"/>
      <c r="F31" s="22"/>
      <c r="G31" s="23"/>
      <c r="H31" s="24"/>
      <c r="I31" s="24"/>
    </row>
    <row r="32" spans="1:9" ht="27" customHeight="1" thickBot="1" x14ac:dyDescent="0.3">
      <c r="A32" s="7"/>
      <c r="B32" s="7"/>
      <c r="C32" s="129" t="s">
        <v>86</v>
      </c>
      <c r="D32" s="130"/>
      <c r="E32" s="131"/>
      <c r="F32" s="7"/>
      <c r="G32" s="8"/>
      <c r="H32" s="6"/>
      <c r="I32" s="6"/>
    </row>
    <row r="33" spans="1:9" ht="15.75" customHeight="1" thickBot="1" x14ac:dyDescent="0.3">
      <c r="A33" s="7"/>
      <c r="B33" s="7"/>
      <c r="C33" s="115"/>
      <c r="D33" s="25"/>
      <c r="E33" s="25"/>
      <c r="F33" s="7"/>
      <c r="G33" s="8"/>
      <c r="H33" s="6"/>
      <c r="I33" s="6"/>
    </row>
    <row r="34" spans="1:9" ht="15.75" customHeight="1" x14ac:dyDescent="0.25">
      <c r="A34" s="22"/>
      <c r="B34" s="22"/>
      <c r="C34" s="126" t="s">
        <v>36</v>
      </c>
      <c r="D34" s="127"/>
      <c r="E34" s="128"/>
      <c r="F34" s="22"/>
      <c r="G34" s="23"/>
      <c r="H34" s="24"/>
      <c r="I34" s="24"/>
    </row>
    <row r="35" spans="1:9" ht="33.75" customHeight="1" thickBot="1" x14ac:dyDescent="0.3">
      <c r="A35" s="7"/>
      <c r="B35" s="7"/>
      <c r="C35" s="129" t="s">
        <v>87</v>
      </c>
      <c r="D35" s="130"/>
      <c r="E35" s="131"/>
      <c r="F35" s="7"/>
      <c r="G35" s="8"/>
      <c r="H35" s="6"/>
      <c r="I35" s="6"/>
    </row>
    <row r="36" spans="1:9" ht="15.75" customHeight="1" thickBot="1" x14ac:dyDescent="0.3">
      <c r="A36" s="7"/>
      <c r="B36" s="7"/>
      <c r="C36" s="115"/>
      <c r="D36" s="25"/>
      <c r="E36" s="25"/>
      <c r="F36" s="7"/>
      <c r="G36" s="8"/>
      <c r="H36" s="6"/>
      <c r="I36" s="6"/>
    </row>
    <row r="37" spans="1:9" ht="15.75" customHeight="1" x14ac:dyDescent="0.25">
      <c r="A37" s="7"/>
      <c r="B37" s="7"/>
      <c r="C37" s="126" t="s">
        <v>37</v>
      </c>
      <c r="D37" s="127"/>
      <c r="E37" s="128"/>
      <c r="F37" s="7"/>
      <c r="G37" s="8"/>
      <c r="H37" s="6"/>
      <c r="I37" s="6"/>
    </row>
    <row r="38" spans="1:9" ht="49.15" customHeight="1" thickBot="1" x14ac:dyDescent="0.3">
      <c r="A38" s="7"/>
      <c r="B38" s="7"/>
      <c r="C38" s="129" t="s">
        <v>81</v>
      </c>
      <c r="D38" s="130"/>
      <c r="E38" s="131"/>
      <c r="F38" s="7"/>
      <c r="G38" s="8"/>
      <c r="H38" s="6"/>
      <c r="I38" s="6"/>
    </row>
    <row r="39" spans="1:9" ht="15.75" customHeight="1" thickBot="1" x14ac:dyDescent="0.3">
      <c r="A39" s="7"/>
      <c r="B39" s="7"/>
      <c r="C39" s="116"/>
      <c r="D39" s="116"/>
      <c r="E39" s="25"/>
      <c r="F39" s="7"/>
      <c r="G39" s="8"/>
      <c r="H39" s="6"/>
      <c r="I39" s="6"/>
    </row>
    <row r="40" spans="1:9" ht="15.75" customHeight="1" x14ac:dyDescent="0.25">
      <c r="A40" s="7"/>
      <c r="B40" s="7"/>
      <c r="C40" s="126" t="s">
        <v>38</v>
      </c>
      <c r="D40" s="127"/>
      <c r="E40" s="128"/>
      <c r="F40" s="7"/>
      <c r="G40" s="8"/>
      <c r="H40" s="6"/>
      <c r="I40" s="6"/>
    </row>
    <row r="41" spans="1:9" ht="40.15" customHeight="1" thickBot="1" x14ac:dyDescent="0.3">
      <c r="A41" s="7"/>
      <c r="B41" s="7"/>
      <c r="C41" s="129" t="s">
        <v>88</v>
      </c>
      <c r="D41" s="130"/>
      <c r="E41" s="131"/>
      <c r="F41" s="7"/>
      <c r="G41" s="8"/>
      <c r="H41" s="6"/>
      <c r="I41" s="6"/>
    </row>
    <row r="42" spans="1:9" ht="15.75" customHeight="1" x14ac:dyDescent="0.25">
      <c r="A42" s="7"/>
      <c r="B42" s="7"/>
      <c r="C42" s="7"/>
      <c r="D42" s="7"/>
      <c r="E42" s="25"/>
      <c r="F42" s="7"/>
      <c r="G42" s="8"/>
      <c r="H42" s="6"/>
      <c r="I42" s="6"/>
    </row>
    <row r="43" spans="1:9" ht="15.75" customHeight="1" x14ac:dyDescent="0.25">
      <c r="A43" s="7"/>
      <c r="B43" s="7"/>
      <c r="C43" s="7"/>
      <c r="D43" s="7"/>
      <c r="E43" s="25"/>
      <c r="F43" s="7"/>
      <c r="G43" s="8"/>
      <c r="H43" s="6"/>
      <c r="I43" s="6"/>
    </row>
    <row r="44" spans="1:9" ht="15.75" customHeight="1" x14ac:dyDescent="0.25">
      <c r="A44" s="7"/>
      <c r="B44" s="7"/>
      <c r="C44" s="7"/>
      <c r="D44" s="7"/>
      <c r="E44" s="25"/>
      <c r="F44" s="7"/>
      <c r="G44" s="8"/>
      <c r="H44" s="6"/>
      <c r="I44" s="6"/>
    </row>
    <row r="45" spans="1:9" ht="15.75" customHeight="1" x14ac:dyDescent="0.25">
      <c r="A45" s="7"/>
      <c r="B45" s="7"/>
      <c r="C45" s="7"/>
      <c r="D45" s="7"/>
      <c r="E45" s="25"/>
      <c r="F45" s="7"/>
      <c r="G45" s="8"/>
      <c r="H45" s="6"/>
      <c r="I45" s="6"/>
    </row>
  </sheetData>
  <mergeCells count="26">
    <mergeCell ref="D22:E22"/>
    <mergeCell ref="D26:E26"/>
    <mergeCell ref="C18:E18"/>
    <mergeCell ref="A6:B6"/>
    <mergeCell ref="B2:H2"/>
    <mergeCell ref="A4:B4"/>
    <mergeCell ref="C4:E4"/>
    <mergeCell ref="A5:B5"/>
    <mergeCell ref="C5:E5"/>
    <mergeCell ref="A7:B7"/>
    <mergeCell ref="D19:E19"/>
    <mergeCell ref="D21:E21"/>
    <mergeCell ref="D20:E20"/>
    <mergeCell ref="C17:E17"/>
    <mergeCell ref="C40:E40"/>
    <mergeCell ref="C41:E41"/>
    <mergeCell ref="C37:E37"/>
    <mergeCell ref="C38:E38"/>
    <mergeCell ref="D23:E23"/>
    <mergeCell ref="D24:E24"/>
    <mergeCell ref="D27:E27"/>
    <mergeCell ref="D29:E29"/>
    <mergeCell ref="C31:E31"/>
    <mergeCell ref="C32:E32"/>
    <mergeCell ref="C35:E35"/>
    <mergeCell ref="C34:E34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5"/>
  <sheetViews>
    <sheetView zoomScaleNormal="100" workbookViewId="0">
      <selection activeCell="C12" sqref="C12:G12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89.28515625" customWidth="1"/>
    <col min="8" max="8" width="9.28515625" customWidth="1"/>
    <col min="9" max="9" width="15.5703125" customWidth="1"/>
    <col min="10" max="10" width="16.28515625" customWidth="1"/>
    <col min="11" max="11" width="15.5703125" customWidth="1"/>
  </cols>
  <sheetData>
    <row r="1" spans="1:14" ht="30" x14ac:dyDescent="0.25">
      <c r="A1" s="186" t="s">
        <v>39</v>
      </c>
      <c r="B1" s="187"/>
      <c r="C1" s="187"/>
      <c r="D1" s="187"/>
      <c r="E1" s="187"/>
      <c r="F1" s="187"/>
      <c r="G1" s="187"/>
      <c r="H1" s="187"/>
      <c r="I1" s="187"/>
      <c r="J1" s="26" t="s">
        <v>40</v>
      </c>
      <c r="K1" s="119" t="s">
        <v>93</v>
      </c>
    </row>
    <row r="2" spans="1:14" ht="15.75" x14ac:dyDescent="0.25">
      <c r="A2" s="27"/>
      <c r="B2" s="28"/>
      <c r="C2" s="29"/>
      <c r="D2" s="30"/>
      <c r="E2" s="30"/>
      <c r="F2" s="30"/>
      <c r="G2" s="30"/>
      <c r="H2" s="30"/>
      <c r="I2" s="30"/>
      <c r="J2" s="31"/>
      <c r="K2" s="32"/>
    </row>
    <row r="3" spans="1:14" ht="22.5" customHeight="1" x14ac:dyDescent="0.25">
      <c r="A3" s="179" t="s">
        <v>41</v>
      </c>
      <c r="B3" s="180"/>
      <c r="C3" s="180"/>
      <c r="D3" s="33" t="s">
        <v>2</v>
      </c>
      <c r="E3" s="34"/>
      <c r="F3" s="34"/>
      <c r="G3" s="34"/>
      <c r="H3" s="34"/>
      <c r="I3" s="34"/>
      <c r="J3" s="35"/>
      <c r="K3" s="36"/>
    </row>
    <row r="4" spans="1:14" ht="22.5" customHeight="1" x14ac:dyDescent="0.25">
      <c r="A4" s="181" t="s">
        <v>42</v>
      </c>
      <c r="B4" s="182"/>
      <c r="C4" s="182"/>
      <c r="D4" s="33" t="s">
        <v>43</v>
      </c>
      <c r="E4" s="34"/>
      <c r="F4" s="34"/>
      <c r="G4" s="34"/>
      <c r="H4" s="34"/>
      <c r="I4" s="34"/>
      <c r="J4" s="35"/>
      <c r="K4" s="36"/>
    </row>
    <row r="5" spans="1:14" ht="22.5" customHeight="1" x14ac:dyDescent="0.25">
      <c r="A5" s="181" t="s">
        <v>44</v>
      </c>
      <c r="B5" s="182"/>
      <c r="C5" s="182"/>
      <c r="D5" s="33" t="s">
        <v>45</v>
      </c>
      <c r="E5" s="34"/>
      <c r="F5" s="34"/>
      <c r="G5" s="34"/>
      <c r="H5" s="34"/>
      <c r="I5" s="34"/>
      <c r="J5" s="35"/>
      <c r="K5" s="36"/>
    </row>
    <row r="6" spans="1:14" ht="22.5" customHeight="1" x14ac:dyDescent="0.25">
      <c r="A6" s="179" t="s">
        <v>46</v>
      </c>
      <c r="B6" s="180"/>
      <c r="C6" s="180"/>
      <c r="D6" s="33" t="s">
        <v>45</v>
      </c>
      <c r="E6" s="34"/>
      <c r="F6" s="34"/>
      <c r="G6" s="34"/>
      <c r="H6" s="34"/>
      <c r="I6" s="34"/>
      <c r="J6" s="35"/>
      <c r="K6" s="36"/>
    </row>
    <row r="7" spans="1:14" ht="22.5" customHeight="1" x14ac:dyDescent="0.25">
      <c r="A7" s="181" t="s">
        <v>47</v>
      </c>
      <c r="B7" s="182"/>
      <c r="C7" s="182"/>
      <c r="D7" s="33" t="s">
        <v>90</v>
      </c>
      <c r="E7" s="34"/>
      <c r="F7" s="34"/>
      <c r="G7" s="34"/>
      <c r="H7" s="34"/>
      <c r="I7" s="34"/>
      <c r="J7" s="35"/>
      <c r="K7" s="36"/>
    </row>
    <row r="8" spans="1:14" ht="22.5" customHeight="1" x14ac:dyDescent="0.25">
      <c r="A8" s="183" t="s">
        <v>48</v>
      </c>
      <c r="B8" s="184"/>
      <c r="C8" s="185"/>
      <c r="D8" s="37" t="s">
        <v>92</v>
      </c>
      <c r="E8" s="34"/>
      <c r="F8" s="34"/>
      <c r="G8" s="34"/>
      <c r="H8" s="34"/>
      <c r="I8" s="34"/>
      <c r="J8" s="35"/>
      <c r="K8" s="36"/>
    </row>
    <row r="9" spans="1:14" ht="16.5" thickBot="1" x14ac:dyDescent="0.3">
      <c r="A9" s="38"/>
      <c r="B9" s="39"/>
      <c r="C9" s="40"/>
      <c r="D9" s="41"/>
      <c r="E9" s="41"/>
      <c r="F9" s="41"/>
      <c r="G9" s="41"/>
      <c r="H9" s="41"/>
      <c r="I9" s="41"/>
      <c r="J9" s="42"/>
      <c r="K9" s="43"/>
    </row>
    <row r="10" spans="1:14" x14ac:dyDescent="0.25">
      <c r="A10" s="177" t="s">
        <v>49</v>
      </c>
      <c r="B10" s="170" t="s">
        <v>50</v>
      </c>
      <c r="C10" s="171" t="s">
        <v>51</v>
      </c>
      <c r="D10" s="172"/>
      <c r="E10" s="172"/>
      <c r="F10" s="172"/>
      <c r="G10" s="173"/>
      <c r="H10" s="170" t="s">
        <v>52</v>
      </c>
      <c r="I10" s="170" t="s">
        <v>53</v>
      </c>
      <c r="J10" s="168" t="s">
        <v>54</v>
      </c>
      <c r="K10" s="166" t="s">
        <v>55</v>
      </c>
    </row>
    <row r="11" spans="1:14" ht="36.75" customHeight="1" thickBot="1" x14ac:dyDescent="0.3">
      <c r="A11" s="178"/>
      <c r="B11" s="169"/>
      <c r="C11" s="174"/>
      <c r="D11" s="175"/>
      <c r="E11" s="175"/>
      <c r="F11" s="175"/>
      <c r="G11" s="176"/>
      <c r="H11" s="169"/>
      <c r="I11" s="169"/>
      <c r="J11" s="169"/>
      <c r="K11" s="167"/>
    </row>
    <row r="12" spans="1:14" ht="37.5" customHeight="1" x14ac:dyDescent="0.25">
      <c r="A12" s="120">
        <v>1</v>
      </c>
      <c r="B12" s="121" t="str">
        <f>'SAF 011 - NECESIDAD TRIMESTRAL'!B10</f>
        <v>4.3.3-1719.21</v>
      </c>
      <c r="C12" s="153" t="str">
        <f>'SAF 011 - NECESIDAD TRIMESTRAL'!E10</f>
        <v>CAMILLAS; ANCHO: 50 Cm, LARGO: 200 Cm, ALTO: 75 Cm, ARNESES: SIN, TIPO: EXAMEN</v>
      </c>
      <c r="D12" s="154"/>
      <c r="E12" s="154"/>
      <c r="F12" s="154"/>
      <c r="G12" s="155"/>
      <c r="H12" s="121" t="s">
        <v>56</v>
      </c>
      <c r="I12" s="122" t="str">
        <f>'SAF 011 - NECESIDAD TRIMESTRAL'!F10</f>
        <v>UNIDAD</v>
      </c>
      <c r="J12" s="123">
        <v>32000</v>
      </c>
      <c r="K12" s="124">
        <v>80</v>
      </c>
      <c r="L12" t="b">
        <f>B12='SAF 011 - NECESIDAD TRIMESTRAL'!B10</f>
        <v>1</v>
      </c>
      <c r="M12" t="b">
        <f>C12='SAF 011 - NECESIDAD TRIMESTRAL'!E10</f>
        <v>1</v>
      </c>
      <c r="N12" s="232">
        <f>J12*K12-'SAF 011 - NECESIDAD TRIMESTRAL'!I10</f>
        <v>0</v>
      </c>
    </row>
    <row r="13" spans="1:14" ht="37.5" customHeight="1" x14ac:dyDescent="0.25">
      <c r="A13" s="44">
        <v>2</v>
      </c>
      <c r="B13" s="45" t="str">
        <f>'SAF 011 - NECESIDAD TRIMESTRAL'!B11</f>
        <v>4.3.3-1719.14</v>
      </c>
      <c r="C13" s="160" t="str">
        <f>'SAF 011 - NECESIDAD TRIMESTRAL'!E11</f>
        <v>CAMILLAS; ANCHO: 55 Cm, LARGO: 180 Cm, ALTO: 70 Cm, ARNESES: SIN VALOR, TIPO: GINECOLOGICA</v>
      </c>
      <c r="D13" s="161"/>
      <c r="E13" s="161"/>
      <c r="F13" s="161"/>
      <c r="G13" s="162"/>
      <c r="H13" s="45" t="s">
        <v>56</v>
      </c>
      <c r="I13" s="46" t="str">
        <f>'SAF 011 - NECESIDAD TRIMESTRAL'!F11</f>
        <v>UNIDAD</v>
      </c>
      <c r="J13" s="47">
        <v>53000</v>
      </c>
      <c r="K13" s="48">
        <v>10</v>
      </c>
      <c r="L13" t="b">
        <f>B13='SAF 011 - NECESIDAD TRIMESTRAL'!B11</f>
        <v>1</v>
      </c>
      <c r="M13" t="b">
        <f>C13='SAF 011 - NECESIDAD TRIMESTRAL'!E11</f>
        <v>1</v>
      </c>
      <c r="N13" s="232">
        <f>J13*K13-'SAF 011 - NECESIDAD TRIMESTRAL'!I11</f>
        <v>0</v>
      </c>
    </row>
    <row r="14" spans="1:14" ht="37.5" customHeight="1" x14ac:dyDescent="0.25">
      <c r="A14" s="44">
        <v>3</v>
      </c>
      <c r="B14" s="45" t="str">
        <f>'SAF 011 - NECESIDAD TRIMESTRAL'!B12</f>
        <v>4.3.3-7797.2</v>
      </c>
      <c r="C14" s="160" t="str">
        <f>'SAF 011 - NECESIDAD TRIMESTRAL'!E12</f>
        <v>FOTOSFOROS; TIPO: RODANTE, USO: MEDICO</v>
      </c>
      <c r="D14" s="161"/>
      <c r="E14" s="161"/>
      <c r="F14" s="161"/>
      <c r="G14" s="162"/>
      <c r="H14" s="45" t="s">
        <v>56</v>
      </c>
      <c r="I14" s="46" t="str">
        <f>'SAF 011 - NECESIDAD TRIMESTRAL'!F12</f>
        <v>UNIDAD</v>
      </c>
      <c r="J14" s="47">
        <v>19000</v>
      </c>
      <c r="K14" s="48">
        <v>30</v>
      </c>
      <c r="L14" t="b">
        <f>B14='SAF 011 - NECESIDAD TRIMESTRAL'!B12</f>
        <v>1</v>
      </c>
      <c r="M14" t="b">
        <f>C14='SAF 011 - NECESIDAD TRIMESTRAL'!E12</f>
        <v>1</v>
      </c>
      <c r="N14" s="232">
        <f>J14*K14-'SAF 011 - NECESIDAD TRIMESTRAL'!I12</f>
        <v>0</v>
      </c>
    </row>
    <row r="15" spans="1:14" ht="37.5" customHeight="1" x14ac:dyDescent="0.25">
      <c r="A15" s="44">
        <v>4</v>
      </c>
      <c r="B15" s="45" t="str">
        <f>'SAF 011 - NECESIDAD TRIMESTRAL'!B13</f>
        <v>4.3.3-1711.9</v>
      </c>
      <c r="C15" s="160" t="str">
        <f>'SAF 011 - NECESIDAD TRIMESTRAL'!E13</f>
        <v>SILLAS DE RUEDAS; ANCHO: 61 Cm, APOYABRAZO: DESMONTABLE, PIERNERA: DESMONTABLE, FRENO: CON, MATERIAL: METALICA CROMADA</v>
      </c>
      <c r="D15" s="161"/>
      <c r="E15" s="161"/>
      <c r="F15" s="161"/>
      <c r="G15" s="162"/>
      <c r="H15" s="45" t="s">
        <v>56</v>
      </c>
      <c r="I15" s="46" t="str">
        <f>'SAF 011 - NECESIDAD TRIMESTRAL'!F13</f>
        <v>UNIDAD</v>
      </c>
      <c r="J15" s="47">
        <v>43000</v>
      </c>
      <c r="K15" s="48">
        <v>28</v>
      </c>
      <c r="L15" t="b">
        <f>B15='SAF 011 - NECESIDAD TRIMESTRAL'!B13</f>
        <v>1</v>
      </c>
      <c r="M15" t="b">
        <f>C15='SAF 011 - NECESIDAD TRIMESTRAL'!E13</f>
        <v>1</v>
      </c>
      <c r="N15" s="232">
        <f>J15*K15-'SAF 011 - NECESIDAD TRIMESTRAL'!I13</f>
        <v>0</v>
      </c>
    </row>
    <row r="16" spans="1:14" ht="15.75" customHeight="1" x14ac:dyDescent="0.25">
      <c r="A16" s="49"/>
      <c r="B16" s="50"/>
      <c r="C16" s="163"/>
      <c r="D16" s="164"/>
      <c r="E16" s="164"/>
      <c r="F16" s="164"/>
      <c r="G16" s="165"/>
      <c r="H16" s="50"/>
      <c r="I16" s="51"/>
      <c r="J16" s="52"/>
      <c r="K16" s="53"/>
    </row>
    <row r="17" spans="1:11" ht="31.5" customHeight="1" x14ac:dyDescent="0.25">
      <c r="A17" s="158" t="s">
        <v>94</v>
      </c>
      <c r="B17" s="159"/>
      <c r="C17" s="159"/>
      <c r="D17" s="159"/>
      <c r="E17" s="159"/>
      <c r="F17" s="159"/>
      <c r="G17" s="159"/>
      <c r="H17" s="159"/>
      <c r="I17" s="135"/>
      <c r="J17" s="156">
        <f>SUMPRODUCT(J12:J15,K12:K15)</f>
        <v>4864000</v>
      </c>
      <c r="K17" s="157"/>
    </row>
    <row r="18" spans="1:11" ht="15.75" customHeight="1" x14ac:dyDescent="0.25">
      <c r="B18" s="54"/>
      <c r="J18" s="55"/>
    </row>
    <row r="19" spans="1:11" ht="15.75" customHeight="1" x14ac:dyDescent="0.25">
      <c r="B19" s="54"/>
      <c r="J19" s="55"/>
    </row>
    <row r="20" spans="1:11" ht="15.75" customHeight="1" x14ac:dyDescent="0.25">
      <c r="B20" s="54"/>
      <c r="J20" s="55"/>
    </row>
    <row r="21" spans="1:11" ht="15.75" customHeight="1" x14ac:dyDescent="0.25">
      <c r="B21" s="54"/>
      <c r="J21" s="55"/>
    </row>
    <row r="22" spans="1:11" ht="15.75" customHeight="1" x14ac:dyDescent="0.25">
      <c r="B22" s="54"/>
      <c r="J22" s="55"/>
    </row>
    <row r="23" spans="1:11" ht="15.75" customHeight="1" x14ac:dyDescent="0.25">
      <c r="B23" s="54"/>
      <c r="J23" s="55"/>
    </row>
    <row r="24" spans="1:11" ht="15.75" customHeight="1" x14ac:dyDescent="0.25">
      <c r="B24" s="54"/>
      <c r="J24" s="55"/>
    </row>
    <row r="25" spans="1:11" ht="15.75" customHeight="1" x14ac:dyDescent="0.25">
      <c r="B25" s="54"/>
      <c r="J25" s="55"/>
    </row>
    <row r="26" spans="1:11" ht="15.75" customHeight="1" x14ac:dyDescent="0.25">
      <c r="B26" s="54"/>
      <c r="J26" s="55"/>
    </row>
    <row r="27" spans="1:11" ht="15.75" customHeight="1" x14ac:dyDescent="0.25">
      <c r="B27" s="54"/>
      <c r="J27" s="55"/>
    </row>
    <row r="28" spans="1:11" ht="15.75" customHeight="1" x14ac:dyDescent="0.25">
      <c r="B28" s="54"/>
      <c r="J28" s="55"/>
    </row>
    <row r="29" spans="1:11" ht="15.75" customHeight="1" x14ac:dyDescent="0.25">
      <c r="B29" s="54"/>
      <c r="J29" s="55"/>
    </row>
    <row r="30" spans="1:11" ht="15.75" customHeight="1" x14ac:dyDescent="0.25">
      <c r="B30" s="54"/>
      <c r="J30" s="55"/>
    </row>
    <row r="31" spans="1:11" ht="15.75" customHeight="1" x14ac:dyDescent="0.25">
      <c r="B31" s="54"/>
      <c r="J31" s="55"/>
    </row>
    <row r="32" spans="1:11" ht="15.75" customHeight="1" x14ac:dyDescent="0.25">
      <c r="B32" s="54"/>
      <c r="J32" s="55"/>
    </row>
    <row r="33" spans="2:10" ht="15.75" customHeight="1" x14ac:dyDescent="0.25">
      <c r="B33" s="54"/>
      <c r="J33" s="55"/>
    </row>
    <row r="34" spans="2:10" ht="15.75" customHeight="1" x14ac:dyDescent="0.25">
      <c r="B34" s="54"/>
      <c r="J34" s="55"/>
    </row>
    <row r="35" spans="2:10" ht="15.75" customHeight="1" x14ac:dyDescent="0.25">
      <c r="B35" s="54"/>
      <c r="J35" s="55"/>
    </row>
    <row r="36" spans="2:10" ht="15.75" customHeight="1" x14ac:dyDescent="0.25">
      <c r="B36" s="54"/>
      <c r="J36" s="55"/>
    </row>
    <row r="37" spans="2:10" ht="15.75" customHeight="1" x14ac:dyDescent="0.25">
      <c r="B37" s="54"/>
      <c r="J37" s="55"/>
    </row>
    <row r="38" spans="2:10" ht="15.75" customHeight="1" x14ac:dyDescent="0.25">
      <c r="B38" s="54"/>
      <c r="J38" s="55"/>
    </row>
    <row r="39" spans="2:10" ht="15.75" customHeight="1" x14ac:dyDescent="0.25">
      <c r="B39" s="54"/>
      <c r="J39" s="55"/>
    </row>
    <row r="40" spans="2:10" ht="15.75" customHeight="1" x14ac:dyDescent="0.25">
      <c r="B40" s="54"/>
      <c r="J40" s="55"/>
    </row>
    <row r="41" spans="2:10" ht="15.75" customHeight="1" x14ac:dyDescent="0.25">
      <c r="B41" s="54"/>
      <c r="J41" s="55"/>
    </row>
    <row r="42" spans="2:10" ht="15.75" customHeight="1" x14ac:dyDescent="0.25">
      <c r="B42" s="54"/>
      <c r="J42" s="55"/>
    </row>
    <row r="43" spans="2:10" ht="15.75" customHeight="1" x14ac:dyDescent="0.25">
      <c r="B43" s="54"/>
      <c r="J43" s="55"/>
    </row>
    <row r="44" spans="2:10" ht="15.75" customHeight="1" x14ac:dyDescent="0.25">
      <c r="B44" s="54"/>
      <c r="J44" s="55"/>
    </row>
    <row r="45" spans="2:10" ht="15.75" customHeight="1" x14ac:dyDescent="0.25">
      <c r="B45" s="54"/>
      <c r="J45" s="55"/>
    </row>
    <row r="46" spans="2:10" ht="15.75" customHeight="1" x14ac:dyDescent="0.25">
      <c r="B46" s="54"/>
      <c r="J46" s="55"/>
    </row>
    <row r="47" spans="2:10" ht="15.75" customHeight="1" x14ac:dyDescent="0.25">
      <c r="B47" s="54"/>
      <c r="J47" s="55"/>
    </row>
    <row r="48" spans="2:10" ht="15.75" customHeight="1" x14ac:dyDescent="0.25">
      <c r="B48" s="54"/>
      <c r="J48" s="55"/>
    </row>
    <row r="49" spans="2:10" ht="15.75" customHeight="1" x14ac:dyDescent="0.25">
      <c r="B49" s="54"/>
      <c r="J49" s="55"/>
    </row>
    <row r="50" spans="2:10" ht="15.75" customHeight="1" x14ac:dyDescent="0.25">
      <c r="B50" s="54"/>
      <c r="J50" s="55"/>
    </row>
    <row r="51" spans="2:10" ht="15.75" customHeight="1" x14ac:dyDescent="0.25">
      <c r="B51" s="54"/>
      <c r="J51" s="55"/>
    </row>
    <row r="52" spans="2:10" ht="15.75" customHeight="1" x14ac:dyDescent="0.25">
      <c r="B52" s="54"/>
      <c r="J52" s="55"/>
    </row>
    <row r="53" spans="2:10" ht="15.75" customHeight="1" x14ac:dyDescent="0.25">
      <c r="B53" s="54"/>
      <c r="J53" s="55"/>
    </row>
    <row r="54" spans="2:10" ht="15.75" customHeight="1" x14ac:dyDescent="0.25">
      <c r="B54" s="54"/>
      <c r="J54" s="55"/>
    </row>
    <row r="55" spans="2:10" ht="15.75" customHeight="1" x14ac:dyDescent="0.25">
      <c r="B55" s="54"/>
      <c r="J55" s="55"/>
    </row>
    <row r="56" spans="2:10" ht="15.75" customHeight="1" x14ac:dyDescent="0.25">
      <c r="B56" s="54"/>
      <c r="J56" s="55"/>
    </row>
    <row r="57" spans="2:10" ht="15.75" customHeight="1" x14ac:dyDescent="0.25">
      <c r="B57" s="54"/>
      <c r="J57" s="55"/>
    </row>
    <row r="58" spans="2:10" ht="15.75" customHeight="1" x14ac:dyDescent="0.25">
      <c r="B58" s="54"/>
      <c r="J58" s="55"/>
    </row>
    <row r="59" spans="2:10" ht="15.75" customHeight="1" x14ac:dyDescent="0.25">
      <c r="B59" s="54"/>
      <c r="J59" s="55"/>
    </row>
    <row r="60" spans="2:10" ht="15.75" customHeight="1" x14ac:dyDescent="0.25">
      <c r="B60" s="54"/>
      <c r="J60" s="55"/>
    </row>
    <row r="61" spans="2:10" ht="15.75" customHeight="1" x14ac:dyDescent="0.25">
      <c r="B61" s="54"/>
      <c r="J61" s="55"/>
    </row>
    <row r="62" spans="2:10" ht="15.75" customHeight="1" x14ac:dyDescent="0.25">
      <c r="B62" s="54"/>
      <c r="J62" s="55"/>
    </row>
    <row r="63" spans="2:10" ht="15.75" customHeight="1" x14ac:dyDescent="0.25">
      <c r="B63" s="54"/>
      <c r="J63" s="55"/>
    </row>
    <row r="64" spans="2:10" ht="15.75" customHeight="1" x14ac:dyDescent="0.25">
      <c r="B64" s="54"/>
      <c r="J64" s="55"/>
    </row>
    <row r="65" spans="2:10" ht="15.75" customHeight="1" x14ac:dyDescent="0.25">
      <c r="B65" s="54"/>
      <c r="J65" s="55"/>
    </row>
    <row r="66" spans="2:10" ht="15.75" customHeight="1" x14ac:dyDescent="0.25">
      <c r="B66" s="54"/>
      <c r="J66" s="55"/>
    </row>
    <row r="67" spans="2:10" ht="15.75" customHeight="1" x14ac:dyDescent="0.25">
      <c r="B67" s="54"/>
      <c r="J67" s="55"/>
    </row>
    <row r="68" spans="2:10" ht="15.75" customHeight="1" x14ac:dyDescent="0.25">
      <c r="B68" s="54"/>
      <c r="J68" s="55"/>
    </row>
    <row r="69" spans="2:10" ht="15.75" customHeight="1" x14ac:dyDescent="0.25">
      <c r="B69" s="54"/>
      <c r="J69" s="55"/>
    </row>
    <row r="70" spans="2:10" ht="15.75" customHeight="1" x14ac:dyDescent="0.25">
      <c r="B70" s="54"/>
      <c r="J70" s="55"/>
    </row>
    <row r="71" spans="2:10" ht="15.75" customHeight="1" x14ac:dyDescent="0.25">
      <c r="B71" s="54"/>
      <c r="J71" s="55"/>
    </row>
    <row r="72" spans="2:10" ht="15.75" customHeight="1" x14ac:dyDescent="0.25">
      <c r="B72" s="54"/>
      <c r="J72" s="55"/>
    </row>
    <row r="73" spans="2:10" ht="15.75" customHeight="1" x14ac:dyDescent="0.25">
      <c r="B73" s="54"/>
      <c r="J73" s="55"/>
    </row>
    <row r="74" spans="2:10" ht="15.75" customHeight="1" x14ac:dyDescent="0.25">
      <c r="B74" s="54"/>
      <c r="J74" s="55"/>
    </row>
    <row r="75" spans="2:10" ht="15.75" customHeight="1" x14ac:dyDescent="0.25">
      <c r="B75" s="54"/>
      <c r="J75" s="55"/>
    </row>
    <row r="76" spans="2:10" ht="15.75" customHeight="1" x14ac:dyDescent="0.25">
      <c r="B76" s="54"/>
      <c r="J76" s="55"/>
    </row>
    <row r="77" spans="2:10" ht="15.75" customHeight="1" x14ac:dyDescent="0.25">
      <c r="B77" s="54"/>
      <c r="J77" s="55"/>
    </row>
    <row r="78" spans="2:10" ht="15.75" customHeight="1" x14ac:dyDescent="0.25">
      <c r="B78" s="54"/>
      <c r="J78" s="55"/>
    </row>
    <row r="79" spans="2:10" ht="15.75" customHeight="1" x14ac:dyDescent="0.25">
      <c r="B79" s="54"/>
      <c r="J79" s="55"/>
    </row>
    <row r="80" spans="2:10" ht="15.75" customHeight="1" x14ac:dyDescent="0.25">
      <c r="B80" s="54"/>
      <c r="J80" s="55"/>
    </row>
    <row r="81" spans="2:10" ht="15.75" customHeight="1" x14ac:dyDescent="0.25">
      <c r="B81" s="54"/>
      <c r="J81" s="55"/>
    </row>
    <row r="82" spans="2:10" ht="15.75" customHeight="1" x14ac:dyDescent="0.25">
      <c r="B82" s="54"/>
      <c r="J82" s="55"/>
    </row>
    <row r="83" spans="2:10" ht="15.75" customHeight="1" x14ac:dyDescent="0.25">
      <c r="B83" s="54"/>
      <c r="J83" s="55"/>
    </row>
    <row r="84" spans="2:10" ht="15.75" customHeight="1" x14ac:dyDescent="0.25">
      <c r="B84" s="54"/>
      <c r="J84" s="55"/>
    </row>
    <row r="85" spans="2:10" ht="15.75" customHeight="1" x14ac:dyDescent="0.25">
      <c r="B85" s="54"/>
      <c r="J85" s="55"/>
    </row>
  </sheetData>
  <mergeCells count="21">
    <mergeCell ref="A10:A11"/>
    <mergeCell ref="A6:C6"/>
    <mergeCell ref="A7:C7"/>
    <mergeCell ref="A8:C8"/>
    <mergeCell ref="A1:I1"/>
    <mergeCell ref="A3:C3"/>
    <mergeCell ref="B10:B11"/>
    <mergeCell ref="A4:C4"/>
    <mergeCell ref="A5:C5"/>
    <mergeCell ref="K10:K11"/>
    <mergeCell ref="J10:J11"/>
    <mergeCell ref="H10:H11"/>
    <mergeCell ref="I10:I11"/>
    <mergeCell ref="C10:G11"/>
    <mergeCell ref="C12:G12"/>
    <mergeCell ref="J17:K17"/>
    <mergeCell ref="A17:I17"/>
    <mergeCell ref="C14:G14"/>
    <mergeCell ref="C15:G15"/>
    <mergeCell ref="C16:G16"/>
    <mergeCell ref="C13:G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"/>
  <sheetViews>
    <sheetView topLeftCell="A10" workbookViewId="0">
      <selection activeCell="Q15" sqref="Q15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42578125" customWidth="1"/>
    <col min="17" max="17" width="15.5703125" customWidth="1"/>
  </cols>
  <sheetData>
    <row r="1" spans="1:17" x14ac:dyDescent="0.25">
      <c r="A1" s="202" t="s">
        <v>5</v>
      </c>
      <c r="B1" s="184"/>
      <c r="C1" s="184"/>
      <c r="D1" s="203">
        <v>2022</v>
      </c>
      <c r="E1" s="157"/>
      <c r="F1" s="56"/>
      <c r="G1" s="56"/>
      <c r="H1" s="57"/>
      <c r="I1" s="57"/>
      <c r="J1" s="57"/>
      <c r="K1" s="57"/>
      <c r="L1" s="57"/>
      <c r="M1" s="57"/>
      <c r="N1" s="57"/>
      <c r="O1" s="58"/>
      <c r="P1" s="204" t="s">
        <v>57</v>
      </c>
      <c r="Q1" s="205"/>
    </row>
    <row r="2" spans="1:17" x14ac:dyDescent="0.25">
      <c r="A2" s="59"/>
      <c r="G2" s="60"/>
      <c r="H2" s="61"/>
      <c r="I2" s="61"/>
      <c r="J2" s="61"/>
      <c r="K2" s="61"/>
      <c r="L2" s="61"/>
      <c r="M2" s="61"/>
      <c r="N2" s="61"/>
      <c r="P2" s="206"/>
      <c r="Q2" s="207"/>
    </row>
    <row r="3" spans="1:17" x14ac:dyDescent="0.25">
      <c r="A3" s="59"/>
      <c r="G3" s="60"/>
      <c r="Q3" s="62"/>
    </row>
    <row r="4" spans="1:17" x14ac:dyDescent="0.25">
      <c r="A4" s="212" t="s">
        <v>58</v>
      </c>
      <c r="B4" s="180"/>
      <c r="C4" s="180"/>
      <c r="D4" s="180"/>
      <c r="E4" s="180"/>
      <c r="F4" s="211"/>
      <c r="G4" s="208" t="str">
        <f>NP!D3</f>
        <v>040 - MINISTERIO DE SALUD</v>
      </c>
      <c r="H4" s="180"/>
      <c r="I4" s="180"/>
      <c r="J4" s="180"/>
      <c r="K4" s="180"/>
      <c r="L4" s="180"/>
      <c r="M4" s="180"/>
      <c r="N4" s="180"/>
      <c r="O4" s="180"/>
      <c r="P4" s="180"/>
      <c r="Q4" s="209"/>
    </row>
    <row r="5" spans="1:17" x14ac:dyDescent="0.25">
      <c r="A5" s="210" t="s">
        <v>42</v>
      </c>
      <c r="B5" s="180"/>
      <c r="C5" s="180"/>
      <c r="D5" s="180"/>
      <c r="E5" s="180"/>
      <c r="F5" s="211"/>
      <c r="G5" s="208" t="str">
        <f>NP!D4</f>
        <v>011 - DIRECCION PROVINCIAL DE ADMINISTRACION DEL MINISTERIO DE SALUD</v>
      </c>
      <c r="H5" s="180"/>
      <c r="I5" s="180"/>
      <c r="J5" s="180"/>
      <c r="K5" s="180"/>
      <c r="L5" s="180"/>
      <c r="M5" s="180"/>
      <c r="N5" s="180"/>
      <c r="O5" s="180"/>
      <c r="P5" s="180"/>
      <c r="Q5" s="209"/>
    </row>
    <row r="6" spans="1:17" x14ac:dyDescent="0.25">
      <c r="A6" s="210" t="s">
        <v>44</v>
      </c>
      <c r="B6" s="180"/>
      <c r="C6" s="180"/>
      <c r="D6" s="180"/>
      <c r="E6" s="180"/>
      <c r="F6" s="211"/>
      <c r="G6" s="208" t="str">
        <f>NP!D5</f>
        <v>352 - MINISTERIO DE SALUD</v>
      </c>
      <c r="H6" s="180"/>
      <c r="I6" s="180"/>
      <c r="J6" s="180"/>
      <c r="K6" s="180"/>
      <c r="L6" s="180"/>
      <c r="M6" s="180"/>
      <c r="N6" s="180"/>
      <c r="O6" s="180"/>
      <c r="P6" s="180"/>
      <c r="Q6" s="209"/>
    </row>
    <row r="7" spans="1:17" x14ac:dyDescent="0.25">
      <c r="A7" s="210" t="s">
        <v>46</v>
      </c>
      <c r="B7" s="180"/>
      <c r="C7" s="180"/>
      <c r="D7" s="180"/>
      <c r="E7" s="180"/>
      <c r="F7" s="211"/>
      <c r="G7" s="208" t="str">
        <f>NP!D6</f>
        <v>352 - MINISTERIO DE SALUD</v>
      </c>
      <c r="H7" s="180"/>
      <c r="I7" s="180"/>
      <c r="J7" s="180"/>
      <c r="K7" s="180"/>
      <c r="L7" s="180"/>
      <c r="M7" s="180"/>
      <c r="N7" s="180"/>
      <c r="O7" s="180"/>
      <c r="P7" s="180"/>
      <c r="Q7" s="209"/>
    </row>
    <row r="8" spans="1:17" s="125" customFormat="1" ht="21.75" customHeight="1" x14ac:dyDescent="0.25">
      <c r="A8" s="216" t="s">
        <v>59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8"/>
    </row>
    <row r="9" spans="1:17" s="125" customFormat="1" ht="21.75" customHeight="1" x14ac:dyDescent="0.25">
      <c r="A9" s="213" t="s">
        <v>60</v>
      </c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5"/>
    </row>
    <row r="10" spans="1:17" s="125" customFormat="1" ht="61.5" customHeight="1" x14ac:dyDescent="0.25">
      <c r="A10" s="219" t="s">
        <v>95</v>
      </c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1"/>
    </row>
    <row r="11" spans="1:17" x14ac:dyDescent="0.25">
      <c r="A11" s="63"/>
      <c r="B11" s="64"/>
      <c r="C11" s="64"/>
      <c r="D11" s="64"/>
      <c r="E11" s="64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6"/>
    </row>
    <row r="12" spans="1:17" x14ac:dyDescent="0.25">
      <c r="A12" s="222" t="s">
        <v>61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97"/>
    </row>
    <row r="13" spans="1:17" x14ac:dyDescent="0.25">
      <c r="A13" s="223" t="s">
        <v>62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211"/>
      <c r="O13" s="224" t="s">
        <v>63</v>
      </c>
      <c r="P13" s="225"/>
      <c r="Q13" s="228" t="s">
        <v>64</v>
      </c>
    </row>
    <row r="14" spans="1:17" x14ac:dyDescent="0.25">
      <c r="A14" s="67" t="s">
        <v>65</v>
      </c>
      <c r="B14" s="68" t="s">
        <v>66</v>
      </c>
      <c r="C14" s="68" t="s">
        <v>67</v>
      </c>
      <c r="D14" s="68" t="s">
        <v>68</v>
      </c>
      <c r="E14" s="68" t="s">
        <v>69</v>
      </c>
      <c r="F14" s="68" t="s">
        <v>70</v>
      </c>
      <c r="G14" s="69" t="s">
        <v>71</v>
      </c>
      <c r="H14" s="68" t="s">
        <v>72</v>
      </c>
      <c r="I14" s="68" t="s">
        <v>73</v>
      </c>
      <c r="J14" s="68" t="s">
        <v>74</v>
      </c>
      <c r="K14" s="68" t="s">
        <v>74</v>
      </c>
      <c r="L14" s="68" t="s">
        <v>75</v>
      </c>
      <c r="M14" s="70" t="s">
        <v>76</v>
      </c>
      <c r="N14" s="71" t="s">
        <v>77</v>
      </c>
      <c r="O14" s="226"/>
      <c r="P14" s="227"/>
      <c r="Q14" s="133"/>
    </row>
    <row r="15" spans="1:17" x14ac:dyDescent="0.25">
      <c r="A15" s="72">
        <v>1</v>
      </c>
      <c r="B15" s="73"/>
      <c r="C15" s="73"/>
      <c r="D15" s="73">
        <v>1</v>
      </c>
      <c r="E15" s="73"/>
      <c r="F15" s="73">
        <v>4901</v>
      </c>
      <c r="G15" s="73">
        <v>3</v>
      </c>
      <c r="H15" s="73">
        <v>1</v>
      </c>
      <c r="I15" s="73">
        <v>4</v>
      </c>
      <c r="J15" s="73">
        <v>3</v>
      </c>
      <c r="K15" s="73">
        <v>3</v>
      </c>
      <c r="L15" s="73"/>
      <c r="M15" s="74">
        <v>1</v>
      </c>
      <c r="N15" s="73" t="s">
        <v>78</v>
      </c>
      <c r="O15" s="229" t="s">
        <v>79</v>
      </c>
      <c r="P15" s="230"/>
      <c r="Q15" s="75">
        <v>4864000</v>
      </c>
    </row>
    <row r="16" spans="1:17" x14ac:dyDescent="0.25">
      <c r="A16" s="76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8"/>
      <c r="N16" s="79"/>
      <c r="O16" s="190"/>
      <c r="P16" s="189"/>
      <c r="Q16" s="80"/>
    </row>
    <row r="17" spans="1:17" x14ac:dyDescent="0.25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8"/>
      <c r="N17" s="79"/>
      <c r="O17" s="231"/>
      <c r="P17" s="189"/>
      <c r="Q17" s="80"/>
    </row>
    <row r="18" spans="1:17" x14ac:dyDescent="0.25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79"/>
      <c r="O18" s="188"/>
      <c r="P18" s="189"/>
      <c r="Q18" s="80"/>
    </row>
    <row r="19" spans="1:17" x14ac:dyDescent="0.25">
      <c r="A19" s="76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  <c r="N19" s="79"/>
      <c r="O19" s="188"/>
      <c r="P19" s="189"/>
      <c r="Q19" s="80"/>
    </row>
    <row r="20" spans="1:17" x14ac:dyDescent="0.2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8"/>
      <c r="N20" s="79"/>
      <c r="O20" s="188"/>
      <c r="P20" s="189"/>
      <c r="Q20" s="80"/>
    </row>
    <row r="21" spans="1:17" ht="15.75" customHeight="1" x14ac:dyDescent="0.25">
      <c r="A21" s="76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8"/>
      <c r="N21" s="79"/>
      <c r="O21" s="188"/>
      <c r="P21" s="189"/>
      <c r="Q21" s="80"/>
    </row>
    <row r="22" spans="1:17" ht="15.75" customHeight="1" x14ac:dyDescent="0.25">
      <c r="A22" s="76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79"/>
      <c r="O22" s="188"/>
      <c r="P22" s="189"/>
      <c r="Q22" s="80"/>
    </row>
    <row r="23" spans="1:17" ht="15.75" customHeight="1" x14ac:dyDescent="0.2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  <c r="N23" s="79"/>
      <c r="O23" s="188"/>
      <c r="P23" s="189"/>
      <c r="Q23" s="80"/>
    </row>
    <row r="24" spans="1:17" ht="15.75" customHeight="1" x14ac:dyDescent="0.25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188"/>
      <c r="P24" s="189"/>
      <c r="Q24" s="80"/>
    </row>
    <row r="25" spans="1:17" ht="15.75" customHeight="1" x14ac:dyDescent="0.25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188"/>
      <c r="P25" s="189"/>
      <c r="Q25" s="80"/>
    </row>
    <row r="26" spans="1:17" ht="15.75" customHeight="1" x14ac:dyDescent="0.25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8"/>
      <c r="N26" s="79"/>
      <c r="O26" s="188"/>
      <c r="P26" s="189"/>
      <c r="Q26" s="80"/>
    </row>
    <row r="27" spans="1:17" ht="15.75" customHeight="1" x14ac:dyDescent="0.25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  <c r="N27" s="79"/>
      <c r="O27" s="188"/>
      <c r="P27" s="189"/>
      <c r="Q27" s="80"/>
    </row>
    <row r="28" spans="1:17" ht="15.75" customHeight="1" x14ac:dyDescent="0.25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8"/>
      <c r="N28" s="79"/>
      <c r="O28" s="188"/>
      <c r="P28" s="189"/>
      <c r="Q28" s="80"/>
    </row>
    <row r="29" spans="1:17" ht="15.75" customHeight="1" x14ac:dyDescent="0.2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8"/>
      <c r="N29" s="79"/>
      <c r="O29" s="188"/>
      <c r="P29" s="189"/>
      <c r="Q29" s="80"/>
    </row>
    <row r="30" spans="1:17" ht="15.75" customHeight="1" x14ac:dyDescent="0.2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8"/>
      <c r="N30" s="79"/>
      <c r="O30" s="188"/>
      <c r="P30" s="189"/>
      <c r="Q30" s="80"/>
    </row>
    <row r="31" spans="1:17" ht="15.75" customHeight="1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  <c r="N31" s="79"/>
      <c r="O31" s="188"/>
      <c r="P31" s="189"/>
      <c r="Q31" s="80"/>
    </row>
    <row r="32" spans="1:17" ht="15.75" customHeight="1" x14ac:dyDescent="0.25">
      <c r="A32" s="76"/>
      <c r="B32" s="77"/>
      <c r="C32" s="77"/>
      <c r="D32" s="77"/>
      <c r="E32" s="77"/>
      <c r="F32" s="79"/>
      <c r="G32" s="77"/>
      <c r="H32" s="77"/>
      <c r="I32" s="77"/>
      <c r="J32" s="77"/>
      <c r="K32" s="77"/>
      <c r="L32" s="77"/>
      <c r="M32" s="78"/>
      <c r="N32" s="79"/>
      <c r="O32" s="190"/>
      <c r="P32" s="189"/>
      <c r="Q32" s="80"/>
    </row>
    <row r="33" spans="1:17" ht="15.75" customHeight="1" x14ac:dyDescent="0.2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8"/>
      <c r="N33" s="79"/>
      <c r="O33" s="190"/>
      <c r="P33" s="189"/>
      <c r="Q33" s="80"/>
    </row>
    <row r="34" spans="1:17" ht="15.75" customHeight="1" x14ac:dyDescent="0.25">
      <c r="A34" s="76"/>
      <c r="B34" s="77"/>
      <c r="C34" s="77"/>
      <c r="D34" s="77"/>
      <c r="E34" s="77"/>
      <c r="F34" s="79"/>
      <c r="G34" s="77"/>
      <c r="H34" s="77"/>
      <c r="I34" s="77"/>
      <c r="J34" s="77"/>
      <c r="K34" s="77"/>
      <c r="L34" s="77"/>
      <c r="M34" s="78"/>
      <c r="N34" s="79"/>
      <c r="O34" s="190"/>
      <c r="P34" s="189"/>
      <c r="Q34" s="80"/>
    </row>
    <row r="35" spans="1:17" ht="15.75" customHeight="1" x14ac:dyDescent="0.25">
      <c r="A35" s="76"/>
      <c r="B35" s="77"/>
      <c r="C35" s="77"/>
      <c r="D35" s="77"/>
      <c r="E35" s="77"/>
      <c r="F35" s="79"/>
      <c r="G35" s="77"/>
      <c r="H35" s="77"/>
      <c r="I35" s="77"/>
      <c r="J35" s="77"/>
      <c r="K35" s="77"/>
      <c r="L35" s="77"/>
      <c r="M35" s="78"/>
      <c r="N35" s="79"/>
      <c r="O35" s="190"/>
      <c r="P35" s="189"/>
      <c r="Q35" s="80"/>
    </row>
    <row r="36" spans="1:17" ht="15.75" customHeight="1" x14ac:dyDescent="0.25">
      <c r="A36" s="81"/>
      <c r="B36" s="82"/>
      <c r="C36" s="82"/>
      <c r="D36" s="82"/>
      <c r="E36" s="82"/>
      <c r="F36" s="79"/>
      <c r="G36" s="82"/>
      <c r="H36" s="82"/>
      <c r="I36" s="82"/>
      <c r="J36" s="82"/>
      <c r="K36" s="82"/>
      <c r="L36" s="82"/>
      <c r="M36" s="83"/>
      <c r="N36" s="84"/>
      <c r="O36" s="190"/>
      <c r="P36" s="189"/>
      <c r="Q36" s="80"/>
    </row>
    <row r="37" spans="1:17" ht="15.75" customHeight="1" x14ac:dyDescent="0.25">
      <c r="A37" s="8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6"/>
      <c r="O37" s="191"/>
      <c r="P37" s="192"/>
      <c r="Q37" s="88"/>
    </row>
    <row r="38" spans="1:17" ht="50.25" customHeight="1" x14ac:dyDescent="0.25">
      <c r="A38" s="193" t="s">
        <v>96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5"/>
      <c r="Q38" s="89">
        <f>SUM(Q15:Q37)</f>
        <v>4864000</v>
      </c>
    </row>
    <row r="39" spans="1:17" ht="15.75" customHeight="1" x14ac:dyDescent="0.25">
      <c r="A39" s="19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97"/>
    </row>
    <row r="40" spans="1:17" ht="15.75" customHeight="1" x14ac:dyDescent="0.25">
      <c r="A40" s="198" t="s">
        <v>80</v>
      </c>
      <c r="B40" s="184"/>
      <c r="C40" s="184"/>
      <c r="D40" s="184"/>
      <c r="E40" s="184"/>
      <c r="F40" s="157"/>
      <c r="G40" s="199"/>
      <c r="H40" s="182"/>
      <c r="I40" s="182"/>
      <c r="J40" s="182"/>
      <c r="K40" s="182"/>
      <c r="L40" s="182"/>
      <c r="M40" s="182"/>
      <c r="N40" s="182"/>
      <c r="O40" s="182"/>
      <c r="P40" s="182"/>
      <c r="Q40" s="197"/>
    </row>
    <row r="41" spans="1:17" ht="15.75" customHeight="1" x14ac:dyDescent="0.25">
      <c r="A41" s="200" t="str">
        <f>NP!D8</f>
        <v>DESIERTOS Y FRACASADOS DE EQUIPOS SANITARIOS Y DE LABORATORIO CON DESTINO A HOSPITALES DE LA PROVINCIA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33"/>
    </row>
    <row r="42" spans="1:17" ht="24.75" customHeight="1" x14ac:dyDescent="0.25">
      <c r="A42" s="201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35"/>
    </row>
    <row r="43" spans="1:17" ht="15.75" customHeight="1" x14ac:dyDescent="0.25">
      <c r="Q43" s="55"/>
    </row>
    <row r="44" spans="1:17" ht="15.75" customHeight="1" x14ac:dyDescent="0.25">
      <c r="Q44" s="55"/>
    </row>
    <row r="45" spans="1:17" ht="15.75" customHeight="1" x14ac:dyDescent="0.25">
      <c r="Q45" s="55"/>
    </row>
    <row r="46" spans="1:17" ht="15.75" customHeight="1" x14ac:dyDescent="0.25">
      <c r="Q46" s="55"/>
    </row>
    <row r="47" spans="1:17" ht="15.75" customHeight="1" x14ac:dyDescent="0.25">
      <c r="Q47" s="55"/>
    </row>
    <row r="48" spans="1:17" ht="15.75" customHeight="1" x14ac:dyDescent="0.25">
      <c r="Q48" s="55"/>
    </row>
    <row r="49" spans="17:17" ht="15.75" customHeight="1" x14ac:dyDescent="0.25">
      <c r="Q49" s="55"/>
    </row>
    <row r="50" spans="17:17" ht="15.75" customHeight="1" x14ac:dyDescent="0.25">
      <c r="Q50" s="55"/>
    </row>
    <row r="51" spans="17:17" ht="15.75" customHeight="1" x14ac:dyDescent="0.25">
      <c r="Q51" s="55"/>
    </row>
    <row r="52" spans="17:17" ht="15.75" customHeight="1" x14ac:dyDescent="0.25">
      <c r="Q52" s="55"/>
    </row>
    <row r="53" spans="17:17" ht="15.75" customHeight="1" x14ac:dyDescent="0.25">
      <c r="Q53" s="55"/>
    </row>
    <row r="54" spans="17:17" ht="15.75" customHeight="1" x14ac:dyDescent="0.25">
      <c r="Q54" s="55"/>
    </row>
    <row r="55" spans="17:17" ht="15.75" customHeight="1" x14ac:dyDescent="0.25">
      <c r="Q55" s="55"/>
    </row>
    <row r="56" spans="17:17" ht="15.75" customHeight="1" x14ac:dyDescent="0.25">
      <c r="Q56" s="55"/>
    </row>
    <row r="57" spans="17:17" ht="15.75" customHeight="1" x14ac:dyDescent="0.25">
      <c r="Q57" s="55"/>
    </row>
    <row r="58" spans="17:17" ht="15.75" customHeight="1" x14ac:dyDescent="0.25">
      <c r="Q58" s="55"/>
    </row>
    <row r="59" spans="17:17" ht="15.75" customHeight="1" x14ac:dyDescent="0.25">
      <c r="Q59" s="55"/>
    </row>
    <row r="60" spans="17:17" ht="15.75" customHeight="1" x14ac:dyDescent="0.25">
      <c r="Q60" s="55"/>
    </row>
    <row r="61" spans="17:17" ht="15.75" customHeight="1" x14ac:dyDescent="0.25">
      <c r="Q61" s="55"/>
    </row>
    <row r="62" spans="17:17" ht="15.75" customHeight="1" x14ac:dyDescent="0.25">
      <c r="Q62" s="55"/>
    </row>
    <row r="63" spans="17:17" ht="15.75" customHeight="1" x14ac:dyDescent="0.25">
      <c r="Q63" s="55"/>
    </row>
    <row r="64" spans="17:17" ht="15.75" customHeight="1" x14ac:dyDescent="0.25">
      <c r="Q64" s="55"/>
    </row>
    <row r="65" spans="17:17" ht="15.75" customHeight="1" x14ac:dyDescent="0.25">
      <c r="Q65" s="55"/>
    </row>
    <row r="66" spans="17:17" ht="15.75" customHeight="1" x14ac:dyDescent="0.25">
      <c r="Q66" s="55"/>
    </row>
    <row r="67" spans="17:17" ht="15.75" customHeight="1" x14ac:dyDescent="0.25">
      <c r="Q67" s="55"/>
    </row>
    <row r="68" spans="17:17" ht="15.75" customHeight="1" x14ac:dyDescent="0.25">
      <c r="Q68" s="55"/>
    </row>
    <row r="69" spans="17:17" ht="15.75" customHeight="1" x14ac:dyDescent="0.25">
      <c r="Q69" s="55"/>
    </row>
    <row r="70" spans="17:17" ht="15.75" customHeight="1" x14ac:dyDescent="0.25">
      <c r="Q70" s="55"/>
    </row>
    <row r="71" spans="17:17" ht="15.75" customHeight="1" x14ac:dyDescent="0.25">
      <c r="Q71" s="55"/>
    </row>
    <row r="72" spans="17:17" ht="15.75" customHeight="1" x14ac:dyDescent="0.25">
      <c r="Q72" s="55"/>
    </row>
    <row r="73" spans="17:17" ht="15.75" customHeight="1" x14ac:dyDescent="0.25">
      <c r="Q73" s="55"/>
    </row>
    <row r="74" spans="17:17" ht="15.75" customHeight="1" x14ac:dyDescent="0.25">
      <c r="Q74" s="55"/>
    </row>
    <row r="75" spans="17:17" ht="15.75" customHeight="1" x14ac:dyDescent="0.25">
      <c r="Q75" s="55"/>
    </row>
    <row r="76" spans="17:17" ht="15.75" customHeight="1" x14ac:dyDescent="0.25">
      <c r="Q76" s="55"/>
    </row>
    <row r="77" spans="17:17" ht="15.75" customHeight="1" x14ac:dyDescent="0.25">
      <c r="Q77" s="55"/>
    </row>
    <row r="78" spans="17:17" ht="15.75" customHeight="1" x14ac:dyDescent="0.25">
      <c r="Q78" s="55"/>
    </row>
    <row r="79" spans="17:17" ht="15.75" customHeight="1" x14ac:dyDescent="0.25">
      <c r="Q79" s="55"/>
    </row>
    <row r="80" spans="17:17" ht="15.75" customHeight="1" x14ac:dyDescent="0.25">
      <c r="Q80" s="55"/>
    </row>
    <row r="81" spans="17:17" ht="15.75" customHeight="1" x14ac:dyDescent="0.25">
      <c r="Q81" s="55"/>
    </row>
    <row r="82" spans="17:17" ht="15.75" customHeight="1" x14ac:dyDescent="0.25">
      <c r="Q82" s="55"/>
    </row>
    <row r="83" spans="17:17" ht="15.75" customHeight="1" x14ac:dyDescent="0.25">
      <c r="Q83" s="55"/>
    </row>
    <row r="84" spans="17:17" ht="15.75" customHeight="1" x14ac:dyDescent="0.25">
      <c r="Q84" s="55"/>
    </row>
    <row r="85" spans="17:17" ht="15.75" customHeight="1" x14ac:dyDescent="0.25">
      <c r="Q85" s="55"/>
    </row>
    <row r="86" spans="17:17" ht="15.75" customHeight="1" x14ac:dyDescent="0.25">
      <c r="Q86" s="55"/>
    </row>
    <row r="87" spans="17:17" ht="15.75" customHeight="1" x14ac:dyDescent="0.25">
      <c r="Q87" s="55"/>
    </row>
    <row r="88" spans="17:17" ht="15.75" customHeight="1" x14ac:dyDescent="0.25">
      <c r="Q88" s="55"/>
    </row>
    <row r="89" spans="17:17" ht="15.75" customHeight="1" x14ac:dyDescent="0.25">
      <c r="Q89" s="55"/>
    </row>
    <row r="90" spans="17:17" ht="15.75" customHeight="1" x14ac:dyDescent="0.25">
      <c r="Q90" s="55"/>
    </row>
    <row r="91" spans="17:17" ht="15.75" customHeight="1" x14ac:dyDescent="0.25">
      <c r="Q91" s="55"/>
    </row>
    <row r="92" spans="17:17" ht="15.75" customHeight="1" x14ac:dyDescent="0.25">
      <c r="Q92" s="55"/>
    </row>
    <row r="93" spans="17:17" ht="15.75" customHeight="1" x14ac:dyDescent="0.25">
      <c r="Q93" s="55"/>
    </row>
    <row r="94" spans="17:17" ht="15.75" customHeight="1" x14ac:dyDescent="0.25">
      <c r="Q94" s="55"/>
    </row>
    <row r="95" spans="17:17" ht="15.75" customHeight="1" x14ac:dyDescent="0.25">
      <c r="Q95" s="55"/>
    </row>
    <row r="96" spans="17:17" ht="15.75" customHeight="1" x14ac:dyDescent="0.25">
      <c r="Q96" s="55"/>
    </row>
    <row r="97" spans="17:17" ht="15.75" customHeight="1" x14ac:dyDescent="0.25">
      <c r="Q97" s="55"/>
    </row>
    <row r="98" spans="17:17" ht="15.75" customHeight="1" x14ac:dyDescent="0.25">
      <c r="Q98" s="55"/>
    </row>
    <row r="99" spans="17:17" ht="15.75" customHeight="1" x14ac:dyDescent="0.25">
      <c r="Q99" s="55"/>
    </row>
    <row r="100" spans="17:17" ht="15.75" customHeight="1" x14ac:dyDescent="0.25">
      <c r="Q100" s="55"/>
    </row>
  </sheetData>
  <mergeCells count="46">
    <mergeCell ref="O19:P19"/>
    <mergeCell ref="O20:P20"/>
    <mergeCell ref="O22:P2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6:F6"/>
    <mergeCell ref="A4:F4"/>
    <mergeCell ref="A7:F7"/>
    <mergeCell ref="A9:Q9"/>
    <mergeCell ref="A8:Q8"/>
    <mergeCell ref="G6:Q6"/>
    <mergeCell ref="G7:Q7"/>
    <mergeCell ref="A1:C1"/>
    <mergeCell ref="D1:E1"/>
    <mergeCell ref="P1:Q2"/>
    <mergeCell ref="G4:Q4"/>
    <mergeCell ref="G5:Q5"/>
    <mergeCell ref="A5:F5"/>
    <mergeCell ref="A38:P38"/>
    <mergeCell ref="A39:Q39"/>
    <mergeCell ref="A40:F40"/>
    <mergeCell ref="G40:Q40"/>
    <mergeCell ref="A41:Q42"/>
    <mergeCell ref="O34:P34"/>
    <mergeCell ref="O35:P35"/>
    <mergeCell ref="O36:P36"/>
    <mergeCell ref="O37:P37"/>
    <mergeCell ref="O28:P28"/>
    <mergeCell ref="O29:P29"/>
    <mergeCell ref="O30:P30"/>
    <mergeCell ref="O31:P31"/>
    <mergeCell ref="O33:P33"/>
    <mergeCell ref="O32:P32"/>
    <mergeCell ref="O23:P23"/>
    <mergeCell ref="O24:P24"/>
    <mergeCell ref="O25:P25"/>
    <mergeCell ref="O26:P26"/>
    <mergeCell ref="O27:P2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2022-08-26T14:23:40Z</dcterms:modified>
</cp:coreProperties>
</file>