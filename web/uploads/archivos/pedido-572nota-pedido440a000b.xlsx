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05" yWindow="-105" windowWidth="19410" windowHeight="11010" tabRatio="500"/>
  </bookViews>
  <sheets>
    <sheet name="Necesidades Trimestrales" sheetId="1" r:id="rId1"/>
    <sheet name="NotaPedido" sheetId="2" r:id="rId2"/>
    <sheet name="Autor Gastar" sheetId="3" r:id="rId3"/>
  </sheets>
  <definedNames>
    <definedName name="_xlnm.Print_Area" localSheetId="2">'Autor Gastar'!$A$1:$Q$25</definedName>
    <definedName name="_xlnm.Print_Area" localSheetId="1">NotaPedido!$A$1:$K$18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11" i="1" l="1"/>
  <c r="D12" i="1"/>
  <c r="D13" i="1"/>
  <c r="D14" i="1"/>
  <c r="D15" i="1"/>
  <c r="D10" i="1"/>
  <c r="B15" i="2"/>
  <c r="B16" i="2"/>
  <c r="B17" i="2"/>
  <c r="K17" i="2"/>
  <c r="C16" i="2"/>
  <c r="C17" i="2"/>
  <c r="I17" i="2"/>
  <c r="A24" i="3"/>
  <c r="A10" i="3"/>
  <c r="J17" i="2"/>
  <c r="K16" i="2"/>
  <c r="J16" i="2"/>
  <c r="I16" i="2"/>
  <c r="K15" i="2"/>
  <c r="J15" i="2"/>
  <c r="I15" i="2"/>
  <c r="C15" i="2"/>
  <c r="K14" i="2"/>
  <c r="J14" i="2"/>
  <c r="I14" i="2"/>
  <c r="C14" i="2"/>
  <c r="B14" i="2"/>
  <c r="K13" i="2"/>
  <c r="J13" i="2"/>
  <c r="I13" i="2"/>
  <c r="C13" i="2"/>
  <c r="B13" i="2"/>
  <c r="K12" i="2"/>
  <c r="J12" i="2"/>
  <c r="I12" i="2"/>
  <c r="C12" i="2"/>
  <c r="B12" i="2"/>
  <c r="I15" i="1"/>
  <c r="I14" i="1"/>
  <c r="I13" i="1"/>
  <c r="I12" i="1"/>
  <c r="I11" i="1"/>
  <c r="I10" i="1"/>
  <c r="J18" i="2" l="1"/>
  <c r="G6" i="3" l="1"/>
  <c r="G7" i="3"/>
  <c r="D7" i="2"/>
  <c r="D3" i="2"/>
  <c r="G4" i="3" s="1"/>
  <c r="D4" i="2"/>
  <c r="G5" i="3" s="1"/>
  <c r="D1" i="3" l="1"/>
  <c r="Q21" i="3"/>
</calcChain>
</file>

<file path=xl/sharedStrings.xml><?xml version="1.0" encoding="utf-8"?>
<sst xmlns="http://schemas.openxmlformats.org/spreadsheetml/2006/main" count="142" uniqueCount="97">
  <si>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</si>
  <si>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</si>
  <si>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</si>
  <si>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</si>
  <si>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</si>
  <si>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</si>
  <si>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</si>
  <si>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</si>
  <si>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</si>
  <si>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</si>
  <si>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</si>
  <si>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</si>
  <si>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</si>
  <si>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</si>
  <si>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Especificidades Item N° 1:</t>
  </si>
  <si>
    <t>Descripción técnica</t>
  </si>
  <si>
    <t>Plazos y lugares de entrega</t>
  </si>
  <si>
    <t>Calidad Minima esperada</t>
  </si>
  <si>
    <t>Mantenimiento</t>
  </si>
  <si>
    <t>Garantia</t>
  </si>
  <si>
    <t>Especificidades Item N° 2: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</si>
  <si>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</si>
  <si>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</si>
  <si>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</si>
  <si>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</si>
  <si>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</si>
  <si>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</si>
  <si>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</si>
  <si>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</si>
  <si>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</si>
  <si>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</si>
  <si>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</si>
  <si>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</si>
  <si>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</si>
  <si>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</si>
  <si>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</si>
  <si>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</si>
  <si>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</si>
  <si>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</si>
  <si>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</si>
  <si>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</si>
  <si>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</si>
  <si>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</si>
  <si>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</si>
  <si>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</si>
  <si>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</si>
  <si>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</si>
  <si>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</si>
  <si>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</si>
  <si>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</si>
  <si>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</si>
  <si>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</si>
  <si>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</si>
  <si>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</si>
  <si>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</si>
  <si>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</si>
  <si>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</si>
  <si>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NO</t>
  </si>
  <si>
    <t>40 - Ministerio de Salud</t>
  </si>
  <si>
    <t>23 - Hospital Interzonal San Juan Bautista</t>
  </si>
  <si>
    <t>168 - Direccion Asistencial</t>
  </si>
  <si>
    <t>Productos Farmaceuticos y Medicinales</t>
  </si>
  <si>
    <t>3.1</t>
  </si>
  <si>
    <t>1.1</t>
  </si>
  <si>
    <t>2.5.2-1903.103</t>
  </si>
  <si>
    <t>RECONSTITUYENTE GENERAL; DROGA GENERICA: ALIMENTO ENTERAL PARA SONDA FORTIFICADO CON FIBRAS, FORMA FARMACEUTICA: ENVASE, PRESENTACION: 1 L, TIPO: ASOCIACION</t>
  </si>
  <si>
    <t>UNIDAD</t>
  </si>
  <si>
    <t xml:space="preserve">Alimentacion Enteral completa x 1000 ml - Tipo Fresubin Original </t>
  </si>
  <si>
    <t>PROD. MEDICO/FARMACEUTICOS/LAB</t>
  </si>
  <si>
    <t>2.5.2-1903.106</t>
  </si>
  <si>
    <t>RECONSTITUYENTE GENERAL; TIPO: ASOCIACION, DROGA GENERICA: ALIMENTO ENTERAL PARA SONDA SIN FIBRA ,NORMOCALORICO ,INCREMENTADO EN GLUTAMINA Y ARGININA CON APORTE DE ACIDOS GRASOS YTRIGLICERIDOS , FORMA FARMACEUTICA: SOLUCION, PRESENTACION: ENVASE X 500 CM3</t>
  </si>
  <si>
    <t>2.5.2-1903.104</t>
  </si>
  <si>
    <t>RECONSTITUYENTE GENERAL; DROGA GENERICA: ALIMENTO ENTERAL PARA SONDA BAJO INDICE GLUCEMICO, FORMA FARMACEUTICA: ENVASE, PRESENTACION: 1 L, TIPO: ASOCIACION</t>
  </si>
  <si>
    <t>RECONSTITUYENTE GENERAL; TIPO: ASOCIACIÓN; DROGA GENÉRICA: ALIMENTO ENTERAL PARA SONDA FORTIFICADO CON FIBRAS 1,5 KCAL/ ML + EPA + DHA; FORMA FARMACEÚTICA: ENVASE; PRESENTACIÓN: 500 ML</t>
  </si>
  <si>
    <t>RECONSTITUYENTE GENERAL; TIPO: ASOCIACION, DROGA GENERICA: ALIMENTO ENTERAL PARA SONDA BAJO INDICE GLUCEMICO, FORMA FARMACEUTICA: SOLUCION, PRESENTACION: ENVASE X 500 CM3</t>
  </si>
  <si>
    <t>2.5.2-1903.107</t>
  </si>
  <si>
    <t>2.5.2-1903.105</t>
  </si>
  <si>
    <t>2.5.2-1903.108</t>
  </si>
  <si>
    <t>Alimentacion Enteral completa x 500 ml - Tipo Reconvan x 500 cc</t>
  </si>
  <si>
    <t>Especificidades Item N° 3:</t>
  </si>
  <si>
    <t>Alimentacion Enteral completa x 1000 cc para DBT - Tipo Diason o Glucerna x 1000 cc</t>
  </si>
  <si>
    <t>Especificidades Item N° 4:</t>
  </si>
  <si>
    <t>Alimentacion Enteral completa de alta densidad calorica x 500 cc - Tipo Suportan o Fresubin Energy x 500cc</t>
  </si>
  <si>
    <t>Especificidades Item N° 5:</t>
  </si>
  <si>
    <t>Especificidades Item N° 6:</t>
  </si>
  <si>
    <t xml:space="preserve">Alimentacion Enteral completa x 500 cc - Tipo Diben x 500cc </t>
  </si>
  <si>
    <t xml:space="preserve">Suplemento Oral Bebible botella x 200 ml tipo Diben Drink </t>
  </si>
  <si>
    <t xml:space="preserve">PLAZO DE MANTENIMIENTO DE OFERTA: 45 DIAS HABILES </t>
  </si>
  <si>
    <t>PLAZO DE ENTREGA: 20 DIAS HABILES EN EL SERVICIO DE NUTRICION - AVDA. ILLIA Y MARIANO MORENO - DEBIENDO CORRER LOS GASTOS DE FLETES, ACARREO, CARGA, DESCARGA Y SEGURO A CARGO DEL ADJUDICATARIO.</t>
  </si>
  <si>
    <r>
      <t>Presentar copia certificada de Resolución de Habilitación expedida por la Subsecretaria de Asistencia en Salud  Publica o copia certificada de Certificado de Habilitación de Establecimiento y/o copia certificada de Certificado de Transito Interjurisdiccional emitido por A.N.M.A.T, el que correspondiere conforme a la situación de cada establecimiento cotizante (Laboratorio, Droguería, etc.), en caso de corresponder. Indicar Marca y Numero de Certificado de ANMAT por ítem.</t>
    </r>
    <r>
      <rPr>
        <u/>
        <sz val="10"/>
        <rFont val="Times New Roman"/>
        <family val="1"/>
      </rPr>
      <t>VENCIMIENTO DE MEDICAMENTOS: UN PLAZO NO MENOR A 12 MESES DE LA FECHA DE RECEPCION.</t>
    </r>
  </si>
  <si>
    <t>NOTA DE PEDIDO 119</t>
  </si>
  <si>
    <t>Servicio de Nutrición</t>
  </si>
  <si>
    <t xml:space="preserve">Adquisición de Alimentos Enterales </t>
  </si>
  <si>
    <t>Costo total estimado: QUINCE MILLONES NOVECIENTOS CINCUENTA Y OCHO MIL CON 00/100.----</t>
  </si>
  <si>
    <t>TOTAL DE PESOS: QUINCE MILLONES NOVECIENTOS CINCUENTA Y OCHO MIL CON 00/100.---</t>
  </si>
  <si>
    <t>RECONSTITUYENTE GENERAL; TIPO: ASOCIACIÓN; DROGA GENÉRICA: CON FIBRAS 4GRS/ BOTELLA , 1,5 KCAL/ ML HIPERCALÓRICO E HIPERPROTEICO; FORMA FARMACEÚTICA: LÍQUIDO; PRESENTACIÓN: BOTELLA X 200 ML</t>
  </si>
  <si>
    <t>DOCFI-2022-02055360-CAT-DASIS#HSJB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</si>
</sst>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</numFmts>
  <fonts count="29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sz val="12"/>
      <name val="Calibri"/>
      <family val="2"/>
    </font>
    <font>
      <sz val="9"/>
      <name val="Arial"/>
      <family val="2"/>
    </font>
    <font>
      <sz val="9"/>
      <color rgb="FF000000"/>
      <name val="TimesNewRomanPSMT"/>
    </font>
    <font>
      <sz val="20"/>
      <name val="Times New Roman"/>
      <family val="1"/>
    </font>
    <font>
      <sz val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51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5">
    <xf numFmtId="0" fontId="0" fillId="0" borderId="0"/>
    <xf numFmtId="165" fontId="14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</cellStyleXfs>
  <cellXfs count="143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vertical="center"/>
    </xf>
    <xf numFmtId="0" fontId="5" fillId="0" borderId="10" xfId="0" applyFont="1" applyBorder="1" applyAlignment="1">
      <alignment horizontal="right" vertical="center"/>
    </xf>
    <xf numFmtId="0" fontId="5" fillId="0" borderId="12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7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 wrapText="1" indent="1"/>
    </xf>
    <xf numFmtId="0" fontId="4" fillId="0" borderId="19" xfId="0" applyFont="1" applyBorder="1" applyAlignment="1">
      <alignment horizontal="center" vertical="center"/>
    </xf>
    <xf numFmtId="0" fontId="0" fillId="0" borderId="0" xfId="0" applyAlignment="1">
      <alignment horizontal="left"/>
    </xf>
    <xf numFmtId="3" fontId="9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10" xfId="0" applyBorder="1"/>
    <xf numFmtId="0" fontId="0" fillId="0" borderId="25" xfId="0" applyBorder="1"/>
    <xf numFmtId="0" fontId="0" fillId="0" borderId="12" xfId="0" applyBorder="1"/>
    <xf numFmtId="0" fontId="0" fillId="0" borderId="12" xfId="0" applyBorder="1" applyAlignment="1">
      <alignment horizontal="left"/>
    </xf>
    <xf numFmtId="0" fontId="0" fillId="0" borderId="26" xfId="0" applyBorder="1"/>
    <xf numFmtId="0" fontId="13" fillId="0" borderId="28" xfId="0" applyFont="1" applyBorder="1" applyAlignment="1">
      <alignment horizontal="center" vertical="center"/>
    </xf>
    <xf numFmtId="0" fontId="13" fillId="0" borderId="29" xfId="0" applyFont="1" applyBorder="1" applyAlignment="1">
      <alignment horizontal="center" vertical="center"/>
    </xf>
    <xf numFmtId="0" fontId="13" fillId="0" borderId="29" xfId="0" applyFont="1" applyBorder="1" applyAlignment="1">
      <alignment horizontal="left" vertical="center"/>
    </xf>
    <xf numFmtId="0" fontId="13" fillId="0" borderId="30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166" fontId="0" fillId="0" borderId="34" xfId="3" applyNumberFormat="1" applyFont="1" applyBorder="1" applyAlignment="1" applyProtection="1">
      <alignment horizontal="center" vertical="center"/>
    </xf>
    <xf numFmtId="0" fontId="0" fillId="0" borderId="35" xfId="0" applyFont="1" applyBorder="1" applyAlignment="1">
      <alignment horizontal="center" vertical="center"/>
    </xf>
    <xf numFmtId="0" fontId="0" fillId="0" borderId="36" xfId="0" applyFont="1" applyBorder="1" applyAlignment="1">
      <alignment horizontal="center" vertical="center"/>
    </xf>
    <xf numFmtId="0" fontId="0" fillId="0" borderId="37" xfId="0" applyFont="1" applyBorder="1" applyAlignment="1">
      <alignment horizontal="center" vertical="center"/>
    </xf>
    <xf numFmtId="0" fontId="0" fillId="0" borderId="38" xfId="0" applyFont="1" applyBorder="1" applyAlignment="1">
      <alignment horizontal="center" vertical="center"/>
    </xf>
    <xf numFmtId="166" fontId="0" fillId="0" borderId="39" xfId="3" applyNumberFormat="1" applyFont="1" applyBorder="1" applyAlignment="1" applyProtection="1">
      <alignment horizontal="center" vertical="center"/>
    </xf>
    <xf numFmtId="0" fontId="11" fillId="0" borderId="35" xfId="0" applyFont="1" applyBorder="1" applyAlignment="1">
      <alignment horizontal="center" vertical="center"/>
    </xf>
    <xf numFmtId="0" fontId="11" fillId="0" borderId="36" xfId="0" applyFont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11" fillId="0" borderId="37" xfId="0" applyFont="1" applyBorder="1" applyAlignment="1">
      <alignment horizontal="center" vertical="center"/>
    </xf>
    <xf numFmtId="0" fontId="11" fillId="0" borderId="38" xfId="0" applyFont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166" fontId="0" fillId="0" borderId="43" xfId="3" applyNumberFormat="1" applyFont="1" applyBorder="1" applyAlignment="1" applyProtection="1">
      <alignment horizontal="center" vertical="center"/>
    </xf>
    <xf numFmtId="166" fontId="13" fillId="0" borderId="44" xfId="0" applyNumberFormat="1" applyFont="1" applyBorder="1" applyAlignment="1">
      <alignment horizontal="center" vertical="center"/>
    </xf>
    <xf numFmtId="0" fontId="15" fillId="0" borderId="0" xfId="0" applyFont="1"/>
    <xf numFmtId="0" fontId="18" fillId="0" borderId="0" xfId="0" applyFont="1" applyAlignment="1">
      <alignment horizontal="left" wrapText="1"/>
    </xf>
    <xf numFmtId="0" fontId="18" fillId="0" borderId="0" xfId="0" applyFont="1" applyAlignment="1">
      <alignment horizontal="center" wrapText="1"/>
    </xf>
    <xf numFmtId="0" fontId="22" fillId="0" borderId="2" xfId="0" applyFont="1" applyBorder="1"/>
    <xf numFmtId="0" fontId="15" fillId="0" borderId="3" xfId="0" applyFont="1" applyBorder="1"/>
    <xf numFmtId="0" fontId="15" fillId="0" borderId="4" xfId="0" applyFont="1" applyBorder="1"/>
    <xf numFmtId="0" fontId="15" fillId="0" borderId="5" xfId="0" applyFont="1" applyBorder="1"/>
    <xf numFmtId="0" fontId="15" fillId="0" borderId="0" xfId="0" applyFont="1" applyBorder="1"/>
    <xf numFmtId="0" fontId="15" fillId="0" borderId="6" xfId="0" applyFont="1" applyBorder="1"/>
    <xf numFmtId="0" fontId="22" fillId="0" borderId="5" xfId="0" applyFont="1" applyBorder="1" applyAlignment="1">
      <alignment horizontal="left" indent="3"/>
    </xf>
    <xf numFmtId="0" fontId="15" fillId="0" borderId="5" xfId="0" applyFont="1" applyBorder="1" applyAlignment="1">
      <alignment horizontal="left" indent="3"/>
    </xf>
    <xf numFmtId="0" fontId="15" fillId="0" borderId="0" xfId="0" applyFont="1" applyBorder="1" applyAlignment="1">
      <alignment horizontal="center" wrapText="1"/>
    </xf>
    <xf numFmtId="0" fontId="15" fillId="0" borderId="6" xfId="0" applyFont="1" applyBorder="1" applyAlignment="1">
      <alignment horizontal="center" wrapText="1"/>
    </xf>
    <xf numFmtId="0" fontId="15" fillId="0" borderId="7" xfId="0" applyFont="1" applyBorder="1" applyAlignment="1">
      <alignment horizontal="left" indent="3"/>
    </xf>
    <xf numFmtId="0" fontId="15" fillId="0" borderId="8" xfId="0" applyFont="1" applyBorder="1"/>
    <xf numFmtId="0" fontId="15" fillId="0" borderId="9" xfId="0" applyFont="1" applyBorder="1"/>
    <xf numFmtId="0" fontId="19" fillId="0" borderId="14" xfId="0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/>
    </xf>
    <xf numFmtId="0" fontId="21" fillId="0" borderId="14" xfId="0" applyFont="1" applyBorder="1" applyAlignment="1">
      <alignment horizontal="left" vertical="center" wrapText="1"/>
    </xf>
    <xf numFmtId="0" fontId="21" fillId="0" borderId="14" xfId="0" applyFont="1" applyBorder="1" applyAlignment="1">
      <alignment horizontal="center" vertical="center" wrapText="1"/>
    </xf>
    <xf numFmtId="0" fontId="24" fillId="0" borderId="14" xfId="0" applyFont="1" applyFill="1" applyBorder="1" applyAlignment="1">
      <alignment vertical="center" wrapText="1"/>
    </xf>
    <xf numFmtId="0" fontId="21" fillId="4" borderId="14" xfId="0" applyFont="1" applyFill="1" applyBorder="1" applyAlignment="1">
      <alignment horizontal="center" vertical="center" wrapText="1"/>
    </xf>
    <xf numFmtId="166" fontId="20" fillId="4" borderId="14" xfId="1" applyNumberFormat="1" applyFont="1" applyFill="1" applyBorder="1" applyAlignment="1" applyProtection="1">
      <alignment horizontal="right" vertical="center" wrapText="1"/>
    </xf>
    <xf numFmtId="0" fontId="23" fillId="4" borderId="0" xfId="0" applyFont="1" applyFill="1" applyAlignment="1">
      <alignment horizontal="left" wrapText="1" indent="1"/>
    </xf>
    <xf numFmtId="0" fontId="19" fillId="5" borderId="0" xfId="0" applyFont="1" applyFill="1" applyAlignment="1">
      <alignment horizontal="left" wrapText="1"/>
    </xf>
    <xf numFmtId="0" fontId="6" fillId="4" borderId="11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left" vertical="center"/>
    </xf>
    <xf numFmtId="0" fontId="4" fillId="4" borderId="19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center" vertical="center" wrapText="1"/>
    </xf>
    <xf numFmtId="166" fontId="4" fillId="5" borderId="19" xfId="1" applyNumberFormat="1" applyFont="1" applyFill="1" applyBorder="1" applyAlignment="1" applyProtection="1">
      <alignment horizontal="right" vertical="center" wrapText="1"/>
    </xf>
    <xf numFmtId="3" fontId="4" fillId="5" borderId="19" xfId="0" applyNumberFormat="1" applyFont="1" applyFill="1" applyBorder="1" applyAlignment="1">
      <alignment horizontal="center" vertical="center"/>
    </xf>
    <xf numFmtId="0" fontId="14" fillId="0" borderId="36" xfId="0" applyFont="1" applyBorder="1" applyAlignment="1">
      <alignment horizontal="center" vertical="center"/>
    </xf>
    <xf numFmtId="0" fontId="14" fillId="0" borderId="38" xfId="0" applyFont="1" applyBorder="1" applyAlignment="1">
      <alignment horizontal="center" vertical="center"/>
    </xf>
    <xf numFmtId="0" fontId="0" fillId="4" borderId="31" xfId="0" applyFont="1" applyFill="1" applyBorder="1" applyAlignment="1">
      <alignment horizontal="center" vertical="center"/>
    </xf>
    <xf numFmtId="0" fontId="0" fillId="4" borderId="32" xfId="0" applyFont="1" applyFill="1" applyBorder="1" applyAlignment="1">
      <alignment horizontal="center" vertical="center"/>
    </xf>
    <xf numFmtId="0" fontId="14" fillId="4" borderId="32" xfId="0" applyFont="1" applyFill="1" applyBorder="1" applyAlignment="1">
      <alignment horizontal="center" vertical="center"/>
    </xf>
    <xf numFmtId="0" fontId="0" fillId="5" borderId="32" xfId="0" applyFont="1" applyFill="1" applyBorder="1" applyAlignment="1">
      <alignment horizontal="center" vertical="center"/>
    </xf>
    <xf numFmtId="0" fontId="0" fillId="4" borderId="33" xfId="0" applyFont="1" applyFill="1" applyBorder="1" applyAlignment="1">
      <alignment horizontal="center" vertical="center"/>
    </xf>
    <xf numFmtId="166" fontId="0" fillId="0" borderId="0" xfId="0" applyNumberFormat="1"/>
    <xf numFmtId="0" fontId="24" fillId="0" borderId="48" xfId="0" applyFont="1" applyFill="1" applyBorder="1" applyAlignment="1">
      <alignment vertical="center" wrapText="1"/>
    </xf>
    <xf numFmtId="0" fontId="15" fillId="5" borderId="14" xfId="0" applyFont="1" applyFill="1" applyBorder="1" applyAlignment="1">
      <alignment vertical="center" wrapText="1"/>
    </xf>
    <xf numFmtId="0" fontId="14" fillId="5" borderId="14" xfId="0" applyFont="1" applyFill="1" applyBorder="1" applyAlignment="1">
      <alignment vertical="center" wrapText="1"/>
    </xf>
    <xf numFmtId="0" fontId="15" fillId="5" borderId="49" xfId="0" applyFont="1" applyFill="1" applyBorder="1" applyAlignment="1">
      <alignment vertical="center" wrapText="1"/>
    </xf>
    <xf numFmtId="0" fontId="20" fillId="0" borderId="20" xfId="0" applyFont="1" applyBorder="1" applyAlignment="1">
      <alignment horizontal="center" vertical="center"/>
    </xf>
    <xf numFmtId="0" fontId="21" fillId="0" borderId="21" xfId="0" applyFont="1" applyBorder="1" applyAlignment="1">
      <alignment horizontal="left" vertical="center" wrapText="1"/>
    </xf>
    <xf numFmtId="0" fontId="21" fillId="4" borderId="48" xfId="0" applyFont="1" applyFill="1" applyBorder="1" applyAlignment="1">
      <alignment horizontal="center" vertical="center" wrapText="1"/>
    </xf>
    <xf numFmtId="0" fontId="26" fillId="5" borderId="14" xfId="0" applyFont="1" applyFill="1" applyBorder="1" applyAlignment="1">
      <alignment horizontal="center" vertical="center"/>
    </xf>
    <xf numFmtId="0" fontId="21" fillId="4" borderId="20" xfId="0" applyFont="1" applyFill="1" applyBorder="1" applyAlignment="1">
      <alignment horizontal="center" vertical="center" wrapText="1"/>
    </xf>
    <xf numFmtId="0" fontId="19" fillId="0" borderId="48" xfId="0" applyFont="1" applyBorder="1" applyAlignment="1">
      <alignment horizontal="center" vertical="center" wrapText="1"/>
    </xf>
    <xf numFmtId="0" fontId="15" fillId="3" borderId="6" xfId="0" applyFont="1" applyFill="1" applyBorder="1" applyAlignment="1">
      <alignment horizontal="center"/>
    </xf>
    <xf numFmtId="0" fontId="15" fillId="3" borderId="6" xfId="0" applyFont="1" applyFill="1" applyBorder="1" applyAlignment="1">
      <alignment horizontal="center" wrapText="1"/>
    </xf>
    <xf numFmtId="0" fontId="15" fillId="3" borderId="14" xfId="0" applyFont="1" applyFill="1" applyBorder="1" applyAlignment="1">
      <alignment horizontal="center" vertical="center" wrapText="1"/>
    </xf>
    <xf numFmtId="0" fontId="27" fillId="3" borderId="21" xfId="0" applyFont="1" applyFill="1" applyBorder="1" applyAlignment="1">
      <alignment horizontal="center" vertical="center" wrapText="1"/>
    </xf>
    <xf numFmtId="0" fontId="15" fillId="6" borderId="20" xfId="0" applyFont="1" applyFill="1" applyBorder="1" applyAlignment="1">
      <alignment horizontal="center" vertical="center"/>
    </xf>
    <xf numFmtId="0" fontId="15" fillId="6" borderId="50" xfId="0" applyFont="1" applyFill="1" applyBorder="1" applyAlignment="1">
      <alignment horizontal="center" vertical="center"/>
    </xf>
    <xf numFmtId="0" fontId="15" fillId="6" borderId="21" xfId="0" applyFont="1" applyFill="1" applyBorder="1" applyAlignment="1">
      <alignment horizontal="center" vertical="center"/>
    </xf>
    <xf numFmtId="0" fontId="15" fillId="6" borderId="20" xfId="0" applyFont="1" applyFill="1" applyBorder="1" applyAlignment="1">
      <alignment horizontal="center" vertical="center" wrapText="1"/>
    </xf>
    <xf numFmtId="0" fontId="15" fillId="6" borderId="50" xfId="0" applyFont="1" applyFill="1" applyBorder="1" applyAlignment="1">
      <alignment horizontal="center" vertical="center" wrapText="1"/>
    </xf>
    <xf numFmtId="0" fontId="15" fillId="6" borderId="21" xfId="0" applyFont="1" applyFill="1" applyBorder="1" applyAlignment="1">
      <alignment horizontal="center" vertical="center" wrapText="1"/>
    </xf>
    <xf numFmtId="0" fontId="15" fillId="4" borderId="6" xfId="0" applyFont="1" applyFill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0" fontId="15" fillId="3" borderId="6" xfId="0" applyFont="1" applyFill="1" applyBorder="1" applyAlignment="1">
      <alignment horizontal="left"/>
    </xf>
    <xf numFmtId="0" fontId="15" fillId="4" borderId="6" xfId="0" applyFont="1" applyFill="1" applyBorder="1" applyAlignment="1">
      <alignment horizontal="center"/>
    </xf>
    <xf numFmtId="0" fontId="16" fillId="0" borderId="0" xfId="0" applyFont="1" applyBorder="1" applyAlignment="1">
      <alignment horizontal="center"/>
    </xf>
    <xf numFmtId="0" fontId="23" fillId="4" borderId="0" xfId="0" applyFont="1" applyFill="1" applyBorder="1" applyAlignment="1">
      <alignment horizontal="left" wrapText="1" indent="1"/>
    </xf>
    <xf numFmtId="0" fontId="4" fillId="5" borderId="19" xfId="0" applyFont="1" applyFill="1" applyBorder="1" applyAlignment="1">
      <alignment horizontal="left" vertical="center" wrapText="1"/>
    </xf>
    <xf numFmtId="0" fontId="6" fillId="0" borderId="14" xfId="0" applyFont="1" applyBorder="1" applyAlignment="1">
      <alignment horizontal="left" vertical="center" wrapText="1" indent="1"/>
    </xf>
    <xf numFmtId="167" fontId="7" fillId="0" borderId="14" xfId="0" applyNumberFormat="1" applyFont="1" applyBorder="1" applyAlignment="1">
      <alignment horizontal="center" vertical="center"/>
    </xf>
    <xf numFmtId="0" fontId="7" fillId="0" borderId="16" xfId="0" applyFont="1" applyBorder="1" applyAlignment="1">
      <alignment horizontal="left" vertical="center"/>
    </xf>
    <xf numFmtId="0" fontId="6" fillId="4" borderId="17" xfId="0" applyFont="1" applyFill="1" applyBorder="1" applyAlignment="1">
      <alignment horizontal="left" vertical="center" wrapText="1" indent="1"/>
    </xf>
    <xf numFmtId="0" fontId="8" fillId="0" borderId="16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0" fontId="7" fillId="0" borderId="13" xfId="0" applyFont="1" applyBorder="1" applyAlignment="1">
      <alignment horizontal="left" vertical="center" wrapText="1"/>
    </xf>
    <xf numFmtId="0" fontId="6" fillId="5" borderId="14" xfId="0" applyFont="1" applyFill="1" applyBorder="1" applyAlignment="1">
      <alignment horizontal="left" vertical="center" wrapText="1" indent="1"/>
    </xf>
    <xf numFmtId="0" fontId="7" fillId="0" borderId="15" xfId="0" applyFont="1" applyBorder="1" applyAlignment="1">
      <alignment horizontal="left" vertical="center" wrapText="1"/>
    </xf>
    <xf numFmtId="0" fontId="9" fillId="0" borderId="20" xfId="0" applyFont="1" applyBorder="1" applyAlignment="1">
      <alignment vertical="center" wrapText="1"/>
    </xf>
    <xf numFmtId="0" fontId="9" fillId="0" borderId="45" xfId="0" applyFont="1" applyBorder="1" applyAlignment="1">
      <alignment vertical="center" wrapText="1"/>
    </xf>
    <xf numFmtId="0" fontId="9" fillId="0" borderId="17" xfId="0" applyFont="1" applyBorder="1" applyAlignment="1">
      <alignment vertical="center" wrapText="1"/>
    </xf>
    <xf numFmtId="0" fontId="11" fillId="0" borderId="27" xfId="0" applyFont="1" applyBorder="1" applyAlignment="1">
      <alignment vertical="center" wrapText="1"/>
    </xf>
    <xf numFmtId="0" fontId="11" fillId="4" borderId="44" xfId="0" applyFont="1" applyFill="1" applyBorder="1" applyAlignment="1">
      <alignment horizontal="left" vertical="center" wrapText="1" indent="1"/>
    </xf>
    <xf numFmtId="0" fontId="0" fillId="0" borderId="38" xfId="0" applyFont="1" applyBorder="1" applyAlignment="1">
      <alignment horizontal="left" vertical="center"/>
    </xf>
    <xf numFmtId="0" fontId="0" fillId="0" borderId="38" xfId="0" applyBorder="1" applyAlignment="1">
      <alignment horizontal="left" vertical="center"/>
    </xf>
    <xf numFmtId="0" fontId="0" fillId="0" borderId="41" xfId="0" applyBorder="1" applyAlignment="1">
      <alignment horizontal="left" vertical="center"/>
    </xf>
    <xf numFmtId="0" fontId="13" fillId="0" borderId="44" xfId="0" applyFont="1" applyBorder="1" applyAlignment="1">
      <alignment horizontal="left" vertical="center" wrapText="1"/>
    </xf>
    <xf numFmtId="0" fontId="0" fillId="0" borderId="22" xfId="0" applyBorder="1"/>
    <xf numFmtId="0" fontId="28" fillId="0" borderId="32" xfId="0" applyFont="1" applyBorder="1" applyAlignment="1">
      <alignment horizontal="left" vertical="center" wrapText="1"/>
    </xf>
    <xf numFmtId="0" fontId="25" fillId="0" borderId="38" xfId="0" applyFont="1" applyBorder="1" applyAlignment="1">
      <alignment horizontal="left" vertical="center"/>
    </xf>
    <xf numFmtId="0" fontId="11" fillId="0" borderId="23" xfId="0" applyFont="1" applyBorder="1"/>
    <xf numFmtId="0" fontId="11" fillId="0" borderId="24" xfId="0" applyFont="1" applyBorder="1" applyAlignment="1">
      <alignment horizontal="left" vertical="center" wrapText="1" indent="1"/>
    </xf>
    <xf numFmtId="0" fontId="13" fillId="0" borderId="22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 wrapText="1"/>
    </xf>
    <xf numFmtId="0" fontId="13" fillId="0" borderId="27" xfId="0" applyFont="1" applyBorder="1" applyAlignment="1">
      <alignment horizontal="center" vertical="center"/>
    </xf>
    <xf numFmtId="0" fontId="4" fillId="0" borderId="13" xfId="0" applyFont="1" applyBorder="1" applyAlignment="1">
      <alignment horizontal="left" vertical="center" wrapText="1"/>
    </xf>
    <xf numFmtId="0" fontId="4" fillId="0" borderId="46" xfId="0" applyFont="1" applyBorder="1" applyAlignment="1">
      <alignment horizontal="left" vertical="center" wrapText="1"/>
    </xf>
    <xf numFmtId="0" fontId="4" fillId="0" borderId="47" xfId="0" applyFont="1" applyBorder="1" applyAlignment="1">
      <alignment horizontal="left" vertical="center" wrapText="1"/>
    </xf>
    <xf numFmtId="0" fontId="11" fillId="0" borderId="11" xfId="0" applyFont="1" applyBorder="1" applyAlignment="1">
      <alignment horizontal="left" indent="1"/>
    </xf>
    <xf numFmtId="0" fontId="12" fillId="0" borderId="11" xfId="0" applyFont="1" applyBorder="1" applyAlignment="1">
      <alignment horizontal="left"/>
    </xf>
    <xf numFmtId="0" fontId="0" fillId="0" borderId="20" xfId="0" applyFont="1" applyBorder="1" applyAlignment="1">
      <alignment horizontal="center"/>
    </xf>
    <xf numFmtId="3" fontId="9" fillId="0" borderId="21" xfId="0" applyNumberFormat="1" applyFont="1" applyBorder="1" applyAlignment="1">
      <alignment horizontal="center"/>
    </xf>
    <xf numFmtId="0" fontId="10" fillId="0" borderId="11" xfId="0" applyFont="1" applyBorder="1" applyAlignment="1">
      <alignment horizontal="center" vertical="center" wrapText="1"/>
    </xf>
    <xf numFmtId="0" fontId="2" fillId="0" borderId="11" xfId="0" applyFont="1" applyBorder="1"/>
  </cellXfs>
  <cellStyles count="5">
    <cellStyle name="Encabezado 1" xfId="2"/>
    <cellStyle name="Moneda" xfId="1" builtinId="4"/>
    <cellStyle name="Moneda_AUTORIZACION Y NOTA DE PEDIDO" xfId="3"/>
    <cellStyle name="Neutral 1" xfId="4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xmlns="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xmlns="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114"/>
  <sheetViews>
    <sheetView tabSelected="1" topLeftCell="A88" zoomScale="80" zoomScaleNormal="80" workbookViewId="0">
      <selection activeCell="C5" sqref="C5:E5"/>
    </sheetView>
  </sheetViews>
  <sheetFormatPr baseColWidth="10" defaultColWidth="11" defaultRowHeight="12.75" x14ac:dyDescent="0.2"/>
  <cols>
    <col min="1" max="1" width="4.5703125" style="39" customWidth="1"/>
    <col min="2" max="2" width="14.42578125" style="39" customWidth="1"/>
    <col min="3" max="3" width="32.42578125" style="39" customWidth="1"/>
    <col min="4" max="4" width="8.42578125" style="39" customWidth="1"/>
    <col min="5" max="5" width="79" style="39" customWidth="1"/>
    <col min="6" max="6" width="11" style="39"/>
    <col min="7" max="7" width="12.7109375" style="39" customWidth="1"/>
    <col min="8" max="8" width="13.85546875" style="39" customWidth="1"/>
    <col min="9" max="9" width="18.5703125" style="39" customWidth="1"/>
    <col min="10" max="16384" width="11" style="39"/>
  </cols>
  <sheetData>
    <row r="2" spans="1:9" ht="27" x14ac:dyDescent="0.35">
      <c r="B2" s="102" t="s">
        <v>0</v>
      </c>
      <c r="C2" s="102"/>
      <c r="D2" s="102"/>
      <c r="E2" s="102"/>
      <c r="F2" s="102"/>
      <c r="G2" s="102"/>
      <c r="H2" s="102"/>
    </row>
    <row r="4" spans="1:9" ht="18" customHeight="1" x14ac:dyDescent="0.25">
      <c r="A4" s="99" t="s">
        <v>1</v>
      </c>
      <c r="B4" s="99"/>
      <c r="C4" s="103" t="s">
        <v>58</v>
      </c>
      <c r="D4" s="103"/>
      <c r="E4" s="103"/>
      <c r="F4" s="40"/>
      <c r="G4" s="41"/>
      <c r="H4" s="40"/>
    </row>
    <row r="5" spans="1:9" ht="18" customHeight="1" x14ac:dyDescent="0.25">
      <c r="A5" s="99" t="s">
        <v>2</v>
      </c>
      <c r="B5" s="99"/>
      <c r="C5" s="103" t="s">
        <v>59</v>
      </c>
      <c r="D5" s="103"/>
      <c r="E5" s="103"/>
      <c r="F5" s="40"/>
      <c r="G5" s="41"/>
      <c r="H5" s="40"/>
    </row>
    <row r="6" spans="1:9" ht="16.5" customHeight="1" x14ac:dyDescent="0.25">
      <c r="A6" s="99" t="s">
        <v>3</v>
      </c>
      <c r="B6" s="99"/>
      <c r="C6" s="62">
        <v>2022</v>
      </c>
      <c r="D6" s="63"/>
      <c r="E6" s="63"/>
      <c r="F6" s="40"/>
      <c r="G6" s="41"/>
      <c r="H6" s="40"/>
    </row>
    <row r="7" spans="1:9" ht="16.5" customHeight="1" x14ac:dyDescent="0.25">
      <c r="A7" s="99" t="s">
        <v>4</v>
      </c>
      <c r="B7" s="99"/>
      <c r="C7" s="62">
        <v>4</v>
      </c>
      <c r="D7" s="63"/>
      <c r="E7" s="63"/>
      <c r="F7" s="40"/>
      <c r="G7" s="41"/>
      <c r="H7" s="40"/>
    </row>
    <row r="8" spans="1:9" ht="13.5" thickBot="1" x14ac:dyDescent="0.25">
      <c r="B8" s="40"/>
      <c r="C8" s="41"/>
      <c r="D8" s="40"/>
      <c r="E8" s="40"/>
      <c r="F8" s="40"/>
      <c r="G8" s="41"/>
      <c r="H8" s="40"/>
    </row>
    <row r="9" spans="1:9" ht="39" thickBot="1" x14ac:dyDescent="0.25">
      <c r="A9" s="55" t="s">
        <v>5</v>
      </c>
      <c r="B9" s="55" t="s">
        <v>6</v>
      </c>
      <c r="C9" s="55" t="s">
        <v>7</v>
      </c>
      <c r="D9" s="55" t="s">
        <v>8</v>
      </c>
      <c r="E9" s="55" t="s">
        <v>9</v>
      </c>
      <c r="F9" s="55" t="s">
        <v>10</v>
      </c>
      <c r="G9" s="55" t="s">
        <v>11</v>
      </c>
      <c r="H9" s="87" t="s">
        <v>12</v>
      </c>
      <c r="I9" s="55" t="s">
        <v>13</v>
      </c>
    </row>
    <row r="10" spans="1:9" ht="65.25" customHeight="1" thickBot="1" x14ac:dyDescent="0.25">
      <c r="A10" s="56">
        <v>1</v>
      </c>
      <c r="B10" s="60" t="s">
        <v>64</v>
      </c>
      <c r="C10" s="57" t="s">
        <v>68</v>
      </c>
      <c r="D10" s="58" t="str">
        <f>LEFT(B10,5)</f>
        <v>2.5.2</v>
      </c>
      <c r="E10" s="59" t="s">
        <v>65</v>
      </c>
      <c r="F10" s="60" t="s">
        <v>66</v>
      </c>
      <c r="G10" s="86">
        <v>2000</v>
      </c>
      <c r="H10" s="60">
        <v>1580</v>
      </c>
      <c r="I10" s="61">
        <f t="shared" ref="I10:I15" si="0">G10*H10</f>
        <v>3160000</v>
      </c>
    </row>
    <row r="11" spans="1:9" ht="75" customHeight="1" thickBot="1" x14ac:dyDescent="0.25">
      <c r="A11" s="56">
        <v>2</v>
      </c>
      <c r="B11" s="84" t="s">
        <v>69</v>
      </c>
      <c r="C11" s="57" t="s">
        <v>68</v>
      </c>
      <c r="D11" s="58" t="str">
        <f t="shared" ref="D11:D15" si="1">LEFT(B11,5)</f>
        <v>2.5.2</v>
      </c>
      <c r="E11" s="78" t="s">
        <v>70</v>
      </c>
      <c r="F11" s="60" t="s">
        <v>66</v>
      </c>
      <c r="G11" s="86">
        <v>2500</v>
      </c>
      <c r="H11" s="60">
        <v>1443</v>
      </c>
      <c r="I11" s="61">
        <f t="shared" si="0"/>
        <v>3607500</v>
      </c>
    </row>
    <row r="12" spans="1:9" ht="64.5" customHeight="1" thickBot="1" x14ac:dyDescent="0.25">
      <c r="A12" s="82">
        <v>3</v>
      </c>
      <c r="B12" s="60" t="s">
        <v>71</v>
      </c>
      <c r="C12" s="83" t="s">
        <v>68</v>
      </c>
      <c r="D12" s="58" t="str">
        <f t="shared" si="1"/>
        <v>2.5.2</v>
      </c>
      <c r="E12" s="79" t="s">
        <v>72</v>
      </c>
      <c r="F12" s="60" t="s">
        <v>66</v>
      </c>
      <c r="G12" s="86">
        <v>2000</v>
      </c>
      <c r="H12" s="60">
        <v>1536</v>
      </c>
      <c r="I12" s="61">
        <f t="shared" si="0"/>
        <v>3072000</v>
      </c>
    </row>
    <row r="13" spans="1:9" ht="54.75" customHeight="1" thickBot="1" x14ac:dyDescent="0.25">
      <c r="A13" s="82">
        <v>4</v>
      </c>
      <c r="B13" s="85" t="s">
        <v>75</v>
      </c>
      <c r="C13" s="83" t="s">
        <v>68</v>
      </c>
      <c r="D13" s="58" t="str">
        <f t="shared" si="1"/>
        <v>2.5.2</v>
      </c>
      <c r="E13" s="80" t="s">
        <v>73</v>
      </c>
      <c r="F13" s="60" t="s">
        <v>66</v>
      </c>
      <c r="G13" s="86">
        <v>1500</v>
      </c>
      <c r="H13" s="60">
        <v>1251</v>
      </c>
      <c r="I13" s="61">
        <f t="shared" si="0"/>
        <v>1876500</v>
      </c>
    </row>
    <row r="14" spans="1:9" ht="54.75" customHeight="1" thickBot="1" x14ac:dyDescent="0.25">
      <c r="A14" s="82">
        <v>5</v>
      </c>
      <c r="B14" s="60" t="s">
        <v>76</v>
      </c>
      <c r="C14" s="83" t="s">
        <v>68</v>
      </c>
      <c r="D14" s="58" t="str">
        <f t="shared" si="1"/>
        <v>2.5.2</v>
      </c>
      <c r="E14" s="79" t="s">
        <v>74</v>
      </c>
      <c r="F14" s="60" t="s">
        <v>66</v>
      </c>
      <c r="G14" s="86">
        <v>3000</v>
      </c>
      <c r="H14" s="60">
        <v>1145</v>
      </c>
      <c r="I14" s="61">
        <f t="shared" si="0"/>
        <v>3435000</v>
      </c>
    </row>
    <row r="15" spans="1:9" ht="75" customHeight="1" thickBot="1" x14ac:dyDescent="0.25">
      <c r="A15" s="82">
        <v>6</v>
      </c>
      <c r="B15" s="85" t="s">
        <v>77</v>
      </c>
      <c r="C15" s="83" t="s">
        <v>68</v>
      </c>
      <c r="D15" s="58" t="str">
        <f t="shared" si="1"/>
        <v>2.5.2</v>
      </c>
      <c r="E15" s="81" t="s">
        <v>95</v>
      </c>
      <c r="F15" s="60" t="s">
        <v>66</v>
      </c>
      <c r="G15" s="86">
        <v>1000</v>
      </c>
      <c r="H15" s="60">
        <v>807</v>
      </c>
      <c r="I15" s="61">
        <f t="shared" si="0"/>
        <v>807000</v>
      </c>
    </row>
    <row r="16" spans="1:9" ht="13.5" thickBot="1" x14ac:dyDescent="0.25"/>
    <row r="17" spans="2:5" ht="76.5" customHeight="1" thickBot="1" x14ac:dyDescent="0.25">
      <c r="C17" s="90" t="s">
        <v>89</v>
      </c>
      <c r="D17" s="91"/>
      <c r="E17" s="91"/>
    </row>
    <row r="18" spans="2:5" ht="24" customHeight="1" thickBot="1" x14ac:dyDescent="0.25">
      <c r="C18" s="92" t="s">
        <v>87</v>
      </c>
      <c r="D18" s="93"/>
      <c r="E18" s="94"/>
    </row>
    <row r="19" spans="2:5" ht="31.5" customHeight="1" thickBot="1" x14ac:dyDescent="0.25">
      <c r="C19" s="95" t="s">
        <v>88</v>
      </c>
      <c r="D19" s="96"/>
      <c r="E19" s="97"/>
    </row>
    <row r="21" spans="2:5" ht="13.5" thickBot="1" x14ac:dyDescent="0.25"/>
    <row r="22" spans="2:5" x14ac:dyDescent="0.2">
      <c r="B22" s="42" t="s">
        <v>14</v>
      </c>
      <c r="C22" s="43"/>
      <c r="D22" s="43"/>
      <c r="E22" s="44"/>
    </row>
    <row r="23" spans="2:5" ht="5.25" customHeight="1" x14ac:dyDescent="0.2">
      <c r="B23" s="45"/>
      <c r="C23" s="46"/>
      <c r="D23" s="46"/>
      <c r="E23" s="47"/>
    </row>
    <row r="24" spans="2:5" x14ac:dyDescent="0.2">
      <c r="B24" s="48" t="s">
        <v>15</v>
      </c>
      <c r="C24" s="46"/>
      <c r="D24" s="46"/>
      <c r="E24" s="47"/>
    </row>
    <row r="25" spans="2:5" ht="41.25" customHeight="1" x14ac:dyDescent="0.2">
      <c r="B25" s="48"/>
      <c r="C25" s="89" t="s">
        <v>67</v>
      </c>
      <c r="D25" s="89"/>
      <c r="E25" s="89"/>
    </row>
    <row r="26" spans="2:5" x14ac:dyDescent="0.2">
      <c r="B26" s="48" t="s">
        <v>16</v>
      </c>
      <c r="C26" s="46"/>
      <c r="D26" s="46"/>
      <c r="E26" s="47"/>
    </row>
    <row r="27" spans="2:5" ht="28.5" customHeight="1" x14ac:dyDescent="0.2">
      <c r="B27" s="49"/>
      <c r="C27" s="100"/>
      <c r="D27" s="100"/>
      <c r="E27" s="100"/>
    </row>
    <row r="28" spans="2:5" x14ac:dyDescent="0.2">
      <c r="B28" s="49"/>
      <c r="C28" s="101"/>
      <c r="D28" s="101"/>
      <c r="E28" s="101"/>
    </row>
    <row r="29" spans="2:5" x14ac:dyDescent="0.2">
      <c r="B29" s="48" t="s">
        <v>17</v>
      </c>
      <c r="C29" s="46"/>
      <c r="D29" s="46"/>
      <c r="E29" s="47"/>
    </row>
    <row r="30" spans="2:5" ht="26.25" customHeight="1" x14ac:dyDescent="0.2">
      <c r="B30" s="49"/>
      <c r="C30" s="89"/>
      <c r="D30" s="89"/>
      <c r="E30" s="89"/>
    </row>
    <row r="31" spans="2:5" x14ac:dyDescent="0.2">
      <c r="B31" s="48" t="s">
        <v>18</v>
      </c>
      <c r="C31" s="50"/>
      <c r="D31" s="50"/>
      <c r="E31" s="51"/>
    </row>
    <row r="32" spans="2:5" ht="26.25" customHeight="1" x14ac:dyDescent="0.2">
      <c r="B32" s="49"/>
      <c r="C32" s="98"/>
      <c r="D32" s="98"/>
      <c r="E32" s="98"/>
    </row>
    <row r="33" spans="2:5" x14ac:dyDescent="0.2">
      <c r="B33" s="48" t="s">
        <v>19</v>
      </c>
      <c r="C33" s="46"/>
      <c r="D33" s="46"/>
      <c r="E33" s="47"/>
    </row>
    <row r="34" spans="2:5" ht="23.25" customHeight="1" x14ac:dyDescent="0.2">
      <c r="B34" s="48"/>
      <c r="C34" s="88"/>
      <c r="D34" s="88"/>
      <c r="E34" s="88"/>
    </row>
    <row r="35" spans="2:5" x14ac:dyDescent="0.2">
      <c r="B35" s="52"/>
      <c r="C35" s="53"/>
      <c r="D35" s="53"/>
      <c r="E35" s="54"/>
    </row>
    <row r="37" spans="2:5" x14ac:dyDescent="0.2">
      <c r="B37" s="42" t="s">
        <v>20</v>
      </c>
      <c r="C37" s="43"/>
      <c r="D37" s="43"/>
      <c r="E37" s="44"/>
    </row>
    <row r="38" spans="2:5" ht="7.5" customHeight="1" x14ac:dyDescent="0.2">
      <c r="B38" s="45"/>
      <c r="C38" s="46"/>
      <c r="D38" s="46"/>
      <c r="E38" s="47"/>
    </row>
    <row r="39" spans="2:5" x14ac:dyDescent="0.2">
      <c r="B39" s="48" t="s">
        <v>15</v>
      </c>
      <c r="C39" s="46"/>
      <c r="D39" s="46"/>
      <c r="E39" s="47"/>
    </row>
    <row r="40" spans="2:5" ht="39" customHeight="1" x14ac:dyDescent="0.2">
      <c r="B40" s="48"/>
      <c r="C40" s="89" t="s">
        <v>78</v>
      </c>
      <c r="D40" s="89"/>
      <c r="E40" s="89"/>
    </row>
    <row r="41" spans="2:5" x14ac:dyDescent="0.2">
      <c r="B41" s="48" t="s">
        <v>16</v>
      </c>
      <c r="C41" s="46"/>
      <c r="D41" s="46"/>
      <c r="E41" s="47"/>
    </row>
    <row r="42" spans="2:5" x14ac:dyDescent="0.2">
      <c r="B42" s="49"/>
      <c r="C42" s="88"/>
      <c r="D42" s="88"/>
      <c r="E42" s="88"/>
    </row>
    <row r="43" spans="2:5" x14ac:dyDescent="0.2">
      <c r="B43" s="49"/>
      <c r="C43" s="88"/>
      <c r="D43" s="88"/>
      <c r="E43" s="88"/>
    </row>
    <row r="44" spans="2:5" x14ac:dyDescent="0.2">
      <c r="B44" s="48" t="s">
        <v>17</v>
      </c>
      <c r="C44" s="46"/>
      <c r="D44" s="46"/>
      <c r="E44" s="47"/>
    </row>
    <row r="45" spans="2:5" ht="23.25" customHeight="1" x14ac:dyDescent="0.2">
      <c r="B45" s="49"/>
      <c r="C45" s="89"/>
      <c r="D45" s="89"/>
      <c r="E45" s="89"/>
    </row>
    <row r="46" spans="2:5" x14ac:dyDescent="0.2">
      <c r="B46" s="48" t="s">
        <v>18</v>
      </c>
      <c r="C46" s="50"/>
      <c r="D46" s="50"/>
      <c r="E46" s="51"/>
    </row>
    <row r="47" spans="2:5" ht="26.25" customHeight="1" x14ac:dyDescent="0.2">
      <c r="B47" s="49"/>
      <c r="C47" s="89"/>
      <c r="D47" s="89"/>
      <c r="E47" s="89"/>
    </row>
    <row r="48" spans="2:5" x14ac:dyDescent="0.2">
      <c r="B48" s="48" t="s">
        <v>19</v>
      </c>
      <c r="C48" s="46"/>
      <c r="D48" s="46"/>
      <c r="E48" s="47"/>
    </row>
    <row r="49" spans="2:5" ht="42" customHeight="1" x14ac:dyDescent="0.2">
      <c r="B49" s="48"/>
      <c r="C49" s="88"/>
      <c r="D49" s="88"/>
      <c r="E49" s="88"/>
    </row>
    <row r="50" spans="2:5" x14ac:dyDescent="0.2">
      <c r="B50" s="52"/>
      <c r="C50" s="53"/>
      <c r="D50" s="53"/>
      <c r="E50" s="54"/>
    </row>
    <row r="52" spans="2:5" ht="13.5" thickBot="1" x14ac:dyDescent="0.25"/>
    <row r="53" spans="2:5" x14ac:dyDescent="0.2">
      <c r="B53" s="42" t="s">
        <v>79</v>
      </c>
      <c r="C53" s="43"/>
      <c r="D53" s="43"/>
      <c r="E53" s="44"/>
    </row>
    <row r="54" spans="2:5" x14ac:dyDescent="0.2">
      <c r="B54" s="45"/>
      <c r="C54" s="46"/>
      <c r="D54" s="46"/>
      <c r="E54" s="47"/>
    </row>
    <row r="55" spans="2:5" x14ac:dyDescent="0.2">
      <c r="B55" s="48" t="s">
        <v>15</v>
      </c>
      <c r="C55" s="46"/>
      <c r="D55" s="46"/>
      <c r="E55" s="47"/>
    </row>
    <row r="56" spans="2:5" ht="24" customHeight="1" x14ac:dyDescent="0.2">
      <c r="B56" s="48"/>
      <c r="C56" s="89" t="s">
        <v>80</v>
      </c>
      <c r="D56" s="89"/>
      <c r="E56" s="89"/>
    </row>
    <row r="57" spans="2:5" x14ac:dyDescent="0.2">
      <c r="B57" s="48" t="s">
        <v>16</v>
      </c>
      <c r="C57" s="46"/>
      <c r="D57" s="46"/>
      <c r="E57" s="47"/>
    </row>
    <row r="58" spans="2:5" x14ac:dyDescent="0.2">
      <c r="B58" s="49"/>
      <c r="C58" s="88"/>
      <c r="D58" s="88"/>
      <c r="E58" s="88"/>
    </row>
    <row r="59" spans="2:5" x14ac:dyDescent="0.2">
      <c r="B59" s="49"/>
      <c r="C59" s="88"/>
      <c r="D59" s="88"/>
      <c r="E59" s="88"/>
    </row>
    <row r="60" spans="2:5" x14ac:dyDescent="0.2">
      <c r="B60" s="48" t="s">
        <v>17</v>
      </c>
      <c r="C60" s="46"/>
      <c r="D60" s="46"/>
      <c r="E60" s="47"/>
    </row>
    <row r="61" spans="2:5" x14ac:dyDescent="0.2">
      <c r="B61" s="49"/>
      <c r="C61" s="89"/>
      <c r="D61" s="89"/>
      <c r="E61" s="89"/>
    </row>
    <row r="62" spans="2:5" x14ac:dyDescent="0.2">
      <c r="B62" s="48" t="s">
        <v>18</v>
      </c>
      <c r="C62" s="50"/>
      <c r="D62" s="50"/>
      <c r="E62" s="51"/>
    </row>
    <row r="63" spans="2:5" x14ac:dyDescent="0.2">
      <c r="B63" s="49"/>
      <c r="C63" s="89"/>
      <c r="D63" s="89"/>
      <c r="E63" s="89"/>
    </row>
    <row r="64" spans="2:5" x14ac:dyDescent="0.2">
      <c r="B64" s="48" t="s">
        <v>19</v>
      </c>
      <c r="C64" s="46"/>
      <c r="D64" s="46"/>
      <c r="E64" s="47"/>
    </row>
    <row r="65" spans="2:5" x14ac:dyDescent="0.2">
      <c r="B65" s="48"/>
      <c r="C65" s="88"/>
      <c r="D65" s="88"/>
      <c r="E65" s="88"/>
    </row>
    <row r="66" spans="2:5" ht="13.5" thickBot="1" x14ac:dyDescent="0.25">
      <c r="B66" s="52"/>
      <c r="C66" s="53"/>
      <c r="D66" s="53"/>
      <c r="E66" s="54"/>
    </row>
    <row r="68" spans="2:5" ht="13.5" thickBot="1" x14ac:dyDescent="0.25"/>
    <row r="69" spans="2:5" x14ac:dyDescent="0.2">
      <c r="B69" s="42" t="s">
        <v>81</v>
      </c>
      <c r="C69" s="43"/>
      <c r="D69" s="43"/>
      <c r="E69" s="44"/>
    </row>
    <row r="70" spans="2:5" x14ac:dyDescent="0.2">
      <c r="B70" s="45"/>
      <c r="C70" s="46"/>
      <c r="D70" s="46"/>
      <c r="E70" s="47"/>
    </row>
    <row r="71" spans="2:5" x14ac:dyDescent="0.2">
      <c r="B71" s="48" t="s">
        <v>15</v>
      </c>
      <c r="C71" s="46"/>
      <c r="D71" s="46"/>
      <c r="E71" s="47"/>
    </row>
    <row r="72" spans="2:5" ht="26.25" customHeight="1" x14ac:dyDescent="0.2">
      <c r="B72" s="48"/>
      <c r="C72" s="89" t="s">
        <v>82</v>
      </c>
      <c r="D72" s="89"/>
      <c r="E72" s="89"/>
    </row>
    <row r="73" spans="2:5" x14ac:dyDescent="0.2">
      <c r="B73" s="48" t="s">
        <v>16</v>
      </c>
      <c r="C73" s="46"/>
      <c r="D73" s="46"/>
      <c r="E73" s="47"/>
    </row>
    <row r="74" spans="2:5" x14ac:dyDescent="0.2">
      <c r="B74" s="49"/>
      <c r="C74" s="88"/>
      <c r="D74" s="88"/>
      <c r="E74" s="88"/>
    </row>
    <row r="75" spans="2:5" x14ac:dyDescent="0.2">
      <c r="B75" s="49"/>
      <c r="C75" s="88"/>
      <c r="D75" s="88"/>
      <c r="E75" s="88"/>
    </row>
    <row r="76" spans="2:5" x14ac:dyDescent="0.2">
      <c r="B76" s="48" t="s">
        <v>17</v>
      </c>
      <c r="C76" s="46"/>
      <c r="D76" s="46"/>
      <c r="E76" s="47"/>
    </row>
    <row r="77" spans="2:5" x14ac:dyDescent="0.2">
      <c r="B77" s="49"/>
      <c r="C77" s="89"/>
      <c r="D77" s="89"/>
      <c r="E77" s="89"/>
    </row>
    <row r="78" spans="2:5" x14ac:dyDescent="0.2">
      <c r="B78" s="48" t="s">
        <v>18</v>
      </c>
      <c r="C78" s="50"/>
      <c r="D78" s="50"/>
      <c r="E78" s="51"/>
    </row>
    <row r="79" spans="2:5" x14ac:dyDescent="0.2">
      <c r="B79" s="49"/>
      <c r="C79" s="89"/>
      <c r="D79" s="89"/>
      <c r="E79" s="89"/>
    </row>
    <row r="80" spans="2:5" x14ac:dyDescent="0.2">
      <c r="B80" s="48" t="s">
        <v>19</v>
      </c>
      <c r="C80" s="46"/>
      <c r="D80" s="46"/>
      <c r="E80" s="47"/>
    </row>
    <row r="81" spans="2:5" x14ac:dyDescent="0.2">
      <c r="B81" s="48"/>
      <c r="C81" s="88"/>
      <c r="D81" s="88"/>
      <c r="E81" s="88"/>
    </row>
    <row r="82" spans="2:5" ht="32.25" customHeight="1" thickBot="1" x14ac:dyDescent="0.25">
      <c r="B82" s="52"/>
      <c r="C82" s="53"/>
      <c r="D82" s="53"/>
      <c r="E82" s="54"/>
    </row>
    <row r="84" spans="2:5" ht="13.5" thickBot="1" x14ac:dyDescent="0.25"/>
    <row r="85" spans="2:5" x14ac:dyDescent="0.2">
      <c r="B85" s="42" t="s">
        <v>83</v>
      </c>
      <c r="C85" s="43"/>
      <c r="D85" s="43"/>
      <c r="E85" s="44"/>
    </row>
    <row r="86" spans="2:5" x14ac:dyDescent="0.2">
      <c r="B86" s="45"/>
      <c r="C86" s="46"/>
      <c r="D86" s="46"/>
      <c r="E86" s="47"/>
    </row>
    <row r="87" spans="2:5" x14ac:dyDescent="0.2">
      <c r="B87" s="48" t="s">
        <v>15</v>
      </c>
      <c r="C87" s="46"/>
      <c r="D87" s="46"/>
      <c r="E87" s="47"/>
    </row>
    <row r="88" spans="2:5" ht="34.5" customHeight="1" x14ac:dyDescent="0.2">
      <c r="B88" s="48"/>
      <c r="C88" s="89" t="s">
        <v>85</v>
      </c>
      <c r="D88" s="89"/>
      <c r="E88" s="89"/>
    </row>
    <row r="89" spans="2:5" x14ac:dyDescent="0.2">
      <c r="B89" s="48" t="s">
        <v>16</v>
      </c>
      <c r="C89" s="46"/>
      <c r="D89" s="46"/>
      <c r="E89" s="47"/>
    </row>
    <row r="90" spans="2:5" x14ac:dyDescent="0.2">
      <c r="B90" s="49"/>
      <c r="C90" s="88"/>
      <c r="D90" s="88"/>
      <c r="E90" s="88"/>
    </row>
    <row r="91" spans="2:5" x14ac:dyDescent="0.2">
      <c r="B91" s="49"/>
      <c r="C91" s="88"/>
      <c r="D91" s="88"/>
      <c r="E91" s="88"/>
    </row>
    <row r="92" spans="2:5" x14ac:dyDescent="0.2">
      <c r="B92" s="48" t="s">
        <v>17</v>
      </c>
      <c r="C92" s="46"/>
      <c r="D92" s="46"/>
      <c r="E92" s="47"/>
    </row>
    <row r="93" spans="2:5" x14ac:dyDescent="0.2">
      <c r="B93" s="49"/>
      <c r="C93" s="89"/>
      <c r="D93" s="89"/>
      <c r="E93" s="89"/>
    </row>
    <row r="94" spans="2:5" x14ac:dyDescent="0.2">
      <c r="B94" s="48" t="s">
        <v>18</v>
      </c>
      <c r="C94" s="50"/>
      <c r="D94" s="50"/>
      <c r="E94" s="51"/>
    </row>
    <row r="95" spans="2:5" x14ac:dyDescent="0.2">
      <c r="B95" s="49"/>
      <c r="C95" s="89"/>
      <c r="D95" s="89"/>
      <c r="E95" s="89"/>
    </row>
    <row r="96" spans="2:5" x14ac:dyDescent="0.2">
      <c r="B96" s="48" t="s">
        <v>19</v>
      </c>
      <c r="C96" s="46"/>
      <c r="D96" s="46"/>
      <c r="E96" s="47"/>
    </row>
    <row r="97" spans="2:5" x14ac:dyDescent="0.2">
      <c r="B97" s="48"/>
      <c r="C97" s="88"/>
      <c r="D97" s="88"/>
      <c r="E97" s="88"/>
    </row>
    <row r="98" spans="2:5" ht="13.5" thickBot="1" x14ac:dyDescent="0.25">
      <c r="B98" s="52"/>
      <c r="C98" s="53"/>
      <c r="D98" s="53"/>
      <c r="E98" s="54"/>
    </row>
    <row r="100" spans="2:5" ht="13.5" thickBot="1" x14ac:dyDescent="0.25"/>
    <row r="101" spans="2:5" x14ac:dyDescent="0.2">
      <c r="B101" s="42" t="s">
        <v>84</v>
      </c>
      <c r="C101" s="43"/>
      <c r="D101" s="43"/>
      <c r="E101" s="44"/>
    </row>
    <row r="102" spans="2:5" x14ac:dyDescent="0.2">
      <c r="B102" s="45"/>
      <c r="C102" s="46"/>
      <c r="D102" s="46"/>
      <c r="E102" s="47"/>
    </row>
    <row r="103" spans="2:5" x14ac:dyDescent="0.2">
      <c r="B103" s="48" t="s">
        <v>15</v>
      </c>
      <c r="C103" s="46"/>
      <c r="D103" s="46"/>
      <c r="E103" s="47"/>
    </row>
    <row r="104" spans="2:5" ht="28.5" customHeight="1" x14ac:dyDescent="0.2">
      <c r="B104" s="48"/>
      <c r="C104" s="89" t="s">
        <v>86</v>
      </c>
      <c r="D104" s="89"/>
      <c r="E104" s="89"/>
    </row>
    <row r="105" spans="2:5" x14ac:dyDescent="0.2">
      <c r="B105" s="48" t="s">
        <v>16</v>
      </c>
      <c r="C105" s="46"/>
      <c r="D105" s="46"/>
      <c r="E105" s="47"/>
    </row>
    <row r="106" spans="2:5" x14ac:dyDescent="0.2">
      <c r="B106" s="49"/>
      <c r="C106" s="88"/>
      <c r="D106" s="88"/>
      <c r="E106" s="88"/>
    </row>
    <row r="107" spans="2:5" x14ac:dyDescent="0.2">
      <c r="B107" s="49"/>
      <c r="C107" s="88"/>
      <c r="D107" s="88"/>
      <c r="E107" s="88"/>
    </row>
    <row r="108" spans="2:5" x14ac:dyDescent="0.2">
      <c r="B108" s="48" t="s">
        <v>17</v>
      </c>
      <c r="C108" s="46"/>
      <c r="D108" s="46"/>
      <c r="E108" s="47"/>
    </row>
    <row r="109" spans="2:5" x14ac:dyDescent="0.2">
      <c r="B109" s="49"/>
      <c r="C109" s="89"/>
      <c r="D109" s="89"/>
      <c r="E109" s="89"/>
    </row>
    <row r="110" spans="2:5" x14ac:dyDescent="0.2">
      <c r="B110" s="48" t="s">
        <v>18</v>
      </c>
      <c r="C110" s="50"/>
      <c r="D110" s="50"/>
      <c r="E110" s="51"/>
    </row>
    <row r="111" spans="2:5" x14ac:dyDescent="0.2">
      <c r="B111" s="49"/>
      <c r="C111" s="89"/>
      <c r="D111" s="89"/>
      <c r="E111" s="89"/>
    </row>
    <row r="112" spans="2:5" x14ac:dyDescent="0.2">
      <c r="B112" s="48" t="s">
        <v>19</v>
      </c>
      <c r="C112" s="46"/>
      <c r="D112" s="46"/>
      <c r="E112" s="47"/>
    </row>
    <row r="113" spans="2:5" x14ac:dyDescent="0.2">
      <c r="B113" s="48"/>
      <c r="C113" s="88"/>
      <c r="D113" s="88"/>
      <c r="E113" s="88"/>
    </row>
    <row r="114" spans="2:5" ht="18.75" customHeight="1" thickBot="1" x14ac:dyDescent="0.25">
      <c r="B114" s="52"/>
      <c r="C114" s="53"/>
      <c r="D114" s="53"/>
      <c r="E114" s="54"/>
    </row>
  </sheetData>
  <mergeCells count="46">
    <mergeCell ref="B2:H2"/>
    <mergeCell ref="A4:B4"/>
    <mergeCell ref="C4:E4"/>
    <mergeCell ref="A5:B5"/>
    <mergeCell ref="C5:E5"/>
    <mergeCell ref="A6:B6"/>
    <mergeCell ref="A7:B7"/>
    <mergeCell ref="C25:E25"/>
    <mergeCell ref="C27:E27"/>
    <mergeCell ref="C28:E28"/>
    <mergeCell ref="C43:E43"/>
    <mergeCell ref="C45:E45"/>
    <mergeCell ref="C47:E47"/>
    <mergeCell ref="C49:E49"/>
    <mergeCell ref="C30:E30"/>
    <mergeCell ref="C32:E32"/>
    <mergeCell ref="C34:E34"/>
    <mergeCell ref="C40:E40"/>
    <mergeCell ref="C42:E42"/>
    <mergeCell ref="C56:E56"/>
    <mergeCell ref="C58:E58"/>
    <mergeCell ref="C59:E59"/>
    <mergeCell ref="C61:E61"/>
    <mergeCell ref="C63:E63"/>
    <mergeCell ref="C91:E91"/>
    <mergeCell ref="C65:E65"/>
    <mergeCell ref="C72:E72"/>
    <mergeCell ref="C74:E74"/>
    <mergeCell ref="C75:E75"/>
    <mergeCell ref="C77:E77"/>
    <mergeCell ref="C107:E107"/>
    <mergeCell ref="C109:E109"/>
    <mergeCell ref="C111:E111"/>
    <mergeCell ref="C113:E113"/>
    <mergeCell ref="C17:E17"/>
    <mergeCell ref="C18:E18"/>
    <mergeCell ref="C19:E19"/>
    <mergeCell ref="C93:E93"/>
    <mergeCell ref="C95:E95"/>
    <mergeCell ref="C97:E97"/>
    <mergeCell ref="C104:E104"/>
    <mergeCell ref="C106:E106"/>
    <mergeCell ref="C79:E79"/>
    <mergeCell ref="C81:E81"/>
    <mergeCell ref="C88:E88"/>
    <mergeCell ref="C90:E90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18"/>
  <sheetViews>
    <sheetView zoomScale="70" zoomScaleNormal="70" workbookViewId="0">
      <selection activeCell="D5" sqref="D5:K5"/>
    </sheetView>
  </sheetViews>
  <sheetFormatPr baseColWidth="10" defaultColWidth="9.140625" defaultRowHeight="12.75" x14ac:dyDescent="0.2"/>
  <cols>
    <col min="1" max="1" width="5.5703125" style="2" customWidth="1"/>
    <col min="2" max="2" width="15.140625" style="2" customWidth="1"/>
    <col min="3" max="3" width="14.140625" style="2" customWidth="1"/>
    <col min="4" max="4" width="26" style="2" customWidth="1"/>
    <col min="5" max="5" width="8" style="2" customWidth="1"/>
    <col min="6" max="6" width="7.85546875" style="2" customWidth="1"/>
    <col min="7" max="7" width="42" style="2" customWidth="1"/>
    <col min="8" max="8" width="9.28515625" style="2" customWidth="1"/>
    <col min="9" max="9" width="15.5703125" style="2" customWidth="1"/>
    <col min="10" max="10" width="14.7109375" style="2" customWidth="1"/>
    <col min="11" max="11" width="50.28515625" style="2" customWidth="1"/>
    <col min="12" max="14" width="5.85546875" style="2" customWidth="1"/>
    <col min="15" max="15" width="12.5703125" style="2" customWidth="1"/>
    <col min="16" max="1024" width="9.140625" style="2"/>
  </cols>
  <sheetData>
    <row r="1" spans="1:11" ht="18" customHeight="1" x14ac:dyDescent="0.2">
      <c r="A1" s="112" t="s">
        <v>90</v>
      </c>
      <c r="B1" s="112"/>
      <c r="C1" s="112"/>
      <c r="D1" s="112"/>
      <c r="E1" s="112"/>
      <c r="F1" s="112"/>
      <c r="G1" s="112"/>
      <c r="H1" s="112"/>
      <c r="I1" s="112"/>
      <c r="J1" s="3" t="s">
        <v>21</v>
      </c>
      <c r="K1" s="64" t="s">
        <v>96</v>
      </c>
    </row>
    <row r="2" spans="1:11" ht="18.75" customHeight="1" thickBot="1" x14ac:dyDescent="0.25">
      <c r="A2" s="4"/>
      <c r="B2" s="4"/>
      <c r="C2" s="4"/>
      <c r="D2" s="5"/>
      <c r="E2" s="5"/>
      <c r="F2" s="5"/>
      <c r="G2" s="5"/>
      <c r="H2" s="5"/>
      <c r="I2" s="5"/>
      <c r="J2" s="5"/>
      <c r="K2" s="5"/>
    </row>
    <row r="3" spans="1:11" ht="18.75" customHeight="1" thickBot="1" x14ac:dyDescent="0.25">
      <c r="A3" s="113" t="s">
        <v>54</v>
      </c>
      <c r="B3" s="113"/>
      <c r="C3" s="113"/>
      <c r="D3" s="114" t="str">
        <f>'Necesidades Trimestrales'!C4</f>
        <v>40 - Ministerio de Salud</v>
      </c>
      <c r="E3" s="114"/>
      <c r="F3" s="114"/>
      <c r="G3" s="114"/>
      <c r="H3" s="114"/>
      <c r="I3" s="114"/>
      <c r="J3" s="114"/>
      <c r="K3" s="114"/>
    </row>
    <row r="4" spans="1:11" ht="18.75" customHeight="1" thickBot="1" x14ac:dyDescent="0.25">
      <c r="A4" s="115" t="s">
        <v>55</v>
      </c>
      <c r="B4" s="115"/>
      <c r="C4" s="115"/>
      <c r="D4" s="114" t="str">
        <f>'Necesidades Trimestrales'!C5</f>
        <v>23 - Hospital Interzonal San Juan Bautista</v>
      </c>
      <c r="E4" s="114"/>
      <c r="F4" s="114"/>
      <c r="G4" s="114"/>
      <c r="H4" s="114"/>
      <c r="I4" s="114"/>
      <c r="J4" s="114"/>
      <c r="K4" s="114"/>
    </row>
    <row r="5" spans="1:11" ht="18.75" customHeight="1" thickBot="1" x14ac:dyDescent="0.25">
      <c r="A5" s="115" t="s">
        <v>33</v>
      </c>
      <c r="B5" s="115"/>
      <c r="C5" s="115"/>
      <c r="D5" s="114" t="s">
        <v>60</v>
      </c>
      <c r="E5" s="114"/>
      <c r="F5" s="114"/>
      <c r="G5" s="114"/>
      <c r="H5" s="114"/>
      <c r="I5" s="114"/>
      <c r="J5" s="114"/>
      <c r="K5" s="114"/>
    </row>
    <row r="6" spans="1:11" ht="16.5" customHeight="1" thickBot="1" x14ac:dyDescent="0.25">
      <c r="A6" s="113" t="s">
        <v>56</v>
      </c>
      <c r="B6" s="113"/>
      <c r="C6" s="113"/>
      <c r="D6" s="114" t="s">
        <v>91</v>
      </c>
      <c r="E6" s="114"/>
      <c r="F6" s="114"/>
      <c r="G6" s="114"/>
      <c r="H6" s="114"/>
      <c r="I6" s="114"/>
      <c r="J6" s="114"/>
      <c r="K6" s="114"/>
    </row>
    <row r="7" spans="1:11" ht="16.5" customHeight="1" x14ac:dyDescent="0.2">
      <c r="A7" s="115" t="s">
        <v>22</v>
      </c>
      <c r="B7" s="115"/>
      <c r="C7" s="115"/>
      <c r="D7" s="114" t="str">
        <f>'Necesidades Trimestrales'!C7 &amp; "° Trimestre - Año " &amp; 'Necesidades Trimestrales'!C6</f>
        <v>4° Trimestre - Año 2022</v>
      </c>
      <c r="E7" s="114"/>
      <c r="F7" s="114"/>
      <c r="G7" s="114"/>
      <c r="H7" s="114"/>
      <c r="I7" s="114"/>
      <c r="J7" s="114"/>
      <c r="K7" s="114"/>
    </row>
    <row r="8" spans="1:11" ht="16.5" customHeight="1" x14ac:dyDescent="0.2">
      <c r="A8" s="107" t="s">
        <v>23</v>
      </c>
      <c r="B8" s="107"/>
      <c r="C8" s="107"/>
      <c r="D8" s="108" t="s">
        <v>92</v>
      </c>
      <c r="E8" s="108"/>
      <c r="F8" s="108"/>
      <c r="G8" s="108"/>
      <c r="H8" s="108"/>
      <c r="I8" s="108"/>
      <c r="J8" s="108"/>
      <c r="K8" s="108"/>
    </row>
    <row r="9" spans="1:11" ht="15.75" x14ac:dyDescent="0.2">
      <c r="A9" s="6"/>
      <c r="B9" s="6"/>
      <c r="C9" s="6"/>
      <c r="D9" s="7"/>
      <c r="E9" s="7"/>
      <c r="F9" s="7"/>
      <c r="G9" s="7"/>
      <c r="H9" s="7"/>
      <c r="I9" s="7"/>
      <c r="J9" s="7"/>
      <c r="K9" s="7"/>
    </row>
    <row r="10" spans="1:11" ht="18.75" customHeight="1" x14ac:dyDescent="0.2">
      <c r="A10" s="109" t="s">
        <v>24</v>
      </c>
      <c r="B10" s="110" t="s">
        <v>25</v>
      </c>
      <c r="C10" s="110" t="s">
        <v>26</v>
      </c>
      <c r="D10" s="110"/>
      <c r="E10" s="110"/>
      <c r="F10" s="110"/>
      <c r="G10" s="110"/>
      <c r="H10" s="110" t="s">
        <v>27</v>
      </c>
      <c r="I10" s="110" t="s">
        <v>28</v>
      </c>
      <c r="J10" s="110" t="s">
        <v>29</v>
      </c>
      <c r="K10" s="111" t="s">
        <v>30</v>
      </c>
    </row>
    <row r="11" spans="1:11" ht="24" customHeight="1" thickBot="1" x14ac:dyDescent="0.25">
      <c r="A11" s="109"/>
      <c r="B11" s="110"/>
      <c r="C11" s="110"/>
      <c r="D11" s="110"/>
      <c r="E11" s="110"/>
      <c r="F11" s="110"/>
      <c r="G11" s="110"/>
      <c r="H11" s="110"/>
      <c r="I11" s="110"/>
      <c r="J11" s="110"/>
      <c r="K11" s="111"/>
    </row>
    <row r="12" spans="1:11" ht="45" customHeight="1" thickBot="1" x14ac:dyDescent="0.25">
      <c r="A12" s="8">
        <v>1</v>
      </c>
      <c r="B12" s="65" t="str">
        <f>'Necesidades Trimestrales'!B10</f>
        <v>2.5.2-1903.103</v>
      </c>
      <c r="C12" s="104" t="str">
        <f>'Necesidades Trimestrales'!E10</f>
        <v>RECONSTITUYENTE GENERAL; DROGA GENERICA: ALIMENTO ENTERAL PARA SONDA FORTIFICADO CON FIBRAS, FORMA FARMACEUTICA: ENVASE, PRESENTACION: 1 L, TIPO: ASOCIACION</v>
      </c>
      <c r="D12" s="104"/>
      <c r="E12" s="104"/>
      <c r="F12" s="104"/>
      <c r="G12" s="104"/>
      <c r="H12" s="66" t="s">
        <v>57</v>
      </c>
      <c r="I12" s="67" t="str">
        <f>'Necesidades Trimestrales'!F10</f>
        <v>UNIDAD</v>
      </c>
      <c r="J12" s="68">
        <f>'Necesidades Trimestrales'!H10</f>
        <v>1580</v>
      </c>
      <c r="K12" s="69">
        <f>'Necesidades Trimestrales'!G10</f>
        <v>2000</v>
      </c>
    </row>
    <row r="13" spans="1:11" ht="51.75" customHeight="1" thickBot="1" x14ac:dyDescent="0.25">
      <c r="A13" s="8">
        <v>2</v>
      </c>
      <c r="B13" s="65" t="str">
        <f>'Necesidades Trimestrales'!B11</f>
        <v>2.5.2-1903.106</v>
      </c>
      <c r="C13" s="104" t="str">
        <f>'Necesidades Trimestrales'!E11</f>
        <v>RECONSTITUYENTE GENERAL; TIPO: ASOCIACION, DROGA GENERICA: ALIMENTO ENTERAL PARA SONDA SIN FIBRA ,NORMOCALORICO ,INCREMENTADO EN GLUTAMINA Y ARGININA CON APORTE DE ACIDOS GRASOS YTRIGLICERIDOS , FORMA FARMACEUTICA: SOLUCION, PRESENTACION: ENVASE X 500 CM3</v>
      </c>
      <c r="D13" s="104"/>
      <c r="E13" s="104"/>
      <c r="F13" s="104"/>
      <c r="G13" s="104"/>
      <c r="H13" s="66" t="s">
        <v>57</v>
      </c>
      <c r="I13" s="67" t="str">
        <f>'Necesidades Trimestrales'!F11</f>
        <v>UNIDAD</v>
      </c>
      <c r="J13" s="68">
        <f>'Necesidades Trimestrales'!H11</f>
        <v>1443</v>
      </c>
      <c r="K13" s="69">
        <f>'Necesidades Trimestrales'!G11</f>
        <v>2500</v>
      </c>
    </row>
    <row r="14" spans="1:11" ht="53.25" customHeight="1" thickBot="1" x14ac:dyDescent="0.25">
      <c r="A14" s="8">
        <v>3</v>
      </c>
      <c r="B14" s="65" t="str">
        <f>'Necesidades Trimestrales'!B12</f>
        <v>2.5.2-1903.104</v>
      </c>
      <c r="C14" s="104" t="str">
        <f>'Necesidades Trimestrales'!E12</f>
        <v>RECONSTITUYENTE GENERAL; DROGA GENERICA: ALIMENTO ENTERAL PARA SONDA BAJO INDICE GLUCEMICO, FORMA FARMACEUTICA: ENVASE, PRESENTACION: 1 L, TIPO: ASOCIACION</v>
      </c>
      <c r="D14" s="104"/>
      <c r="E14" s="104"/>
      <c r="F14" s="104"/>
      <c r="G14" s="104"/>
      <c r="H14" s="66" t="s">
        <v>57</v>
      </c>
      <c r="I14" s="67" t="str">
        <f>'Necesidades Trimestrales'!F12</f>
        <v>UNIDAD</v>
      </c>
      <c r="J14" s="68">
        <f>'Necesidades Trimestrales'!H12</f>
        <v>1536</v>
      </c>
      <c r="K14" s="69">
        <f>'Necesidades Trimestrales'!G12</f>
        <v>2000</v>
      </c>
    </row>
    <row r="15" spans="1:11" ht="48" customHeight="1" thickBot="1" x14ac:dyDescent="0.25">
      <c r="A15" s="8">
        <v>4</v>
      </c>
      <c r="B15" s="65" t="str">
        <f>'Necesidades Trimestrales'!B13</f>
        <v>2.5.2-1903.107</v>
      </c>
      <c r="C15" s="104" t="str">
        <f>'Necesidades Trimestrales'!E13</f>
        <v>RECONSTITUYENTE GENERAL; TIPO: ASOCIACIÓN; DROGA GENÉRICA: ALIMENTO ENTERAL PARA SONDA FORTIFICADO CON FIBRAS 1,5 KCAL/ ML + EPA + DHA; FORMA FARMACEÚTICA: ENVASE; PRESENTACIÓN: 500 ML</v>
      </c>
      <c r="D15" s="104"/>
      <c r="E15" s="104"/>
      <c r="F15" s="104"/>
      <c r="G15" s="104"/>
      <c r="H15" s="66" t="s">
        <v>57</v>
      </c>
      <c r="I15" s="67" t="str">
        <f>'Necesidades Trimestrales'!F13</f>
        <v>UNIDAD</v>
      </c>
      <c r="J15" s="68">
        <f>'Necesidades Trimestrales'!H13</f>
        <v>1251</v>
      </c>
      <c r="K15" s="69">
        <f>'Necesidades Trimestrales'!G13</f>
        <v>1500</v>
      </c>
    </row>
    <row r="16" spans="1:11" ht="42" customHeight="1" thickBot="1" x14ac:dyDescent="0.25">
      <c r="A16" s="8">
        <v>5</v>
      </c>
      <c r="B16" s="65" t="str">
        <f>'Necesidades Trimestrales'!B14</f>
        <v>2.5.2-1903.105</v>
      </c>
      <c r="C16" s="104" t="str">
        <f>'Necesidades Trimestrales'!E14</f>
        <v>RECONSTITUYENTE GENERAL; TIPO: ASOCIACION, DROGA GENERICA: ALIMENTO ENTERAL PARA SONDA BAJO INDICE GLUCEMICO, FORMA FARMACEUTICA: SOLUCION, PRESENTACION: ENVASE X 500 CM3</v>
      </c>
      <c r="D16" s="104"/>
      <c r="E16" s="104"/>
      <c r="F16" s="104"/>
      <c r="G16" s="104"/>
      <c r="H16" s="66" t="s">
        <v>57</v>
      </c>
      <c r="I16" s="67" t="str">
        <f>'Necesidades Trimestrales'!F14</f>
        <v>UNIDAD</v>
      </c>
      <c r="J16" s="68">
        <f>'Necesidades Trimestrales'!H14</f>
        <v>1145</v>
      </c>
      <c r="K16" s="69">
        <f>'Necesidades Trimestrales'!G14</f>
        <v>3000</v>
      </c>
    </row>
    <row r="17" spans="1:1024" ht="54.75" customHeight="1" thickBot="1" x14ac:dyDescent="0.25">
      <c r="A17" s="8">
        <v>6</v>
      </c>
      <c r="B17" s="65" t="str">
        <f>'Necesidades Trimestrales'!B15</f>
        <v>2.5.2-1903.108</v>
      </c>
      <c r="C17" s="104" t="str">
        <f>'Necesidades Trimestrales'!E15</f>
        <v>RECONSTITUYENTE GENERAL; TIPO: ASOCIACIÓN; DROGA GENÉRICA: CON FIBRAS 4GRS/ BOTELLA , 1,5 KCAL/ ML HIPERCALÓRICO E HIPERPROTEICO; FORMA FARMACEÚTICA: LÍQUIDO; PRESENTACIÓN: BOTELLA X 200 ML</v>
      </c>
      <c r="D17" s="104"/>
      <c r="E17" s="104"/>
      <c r="F17" s="104"/>
      <c r="G17" s="104"/>
      <c r="H17" s="66" t="s">
        <v>57</v>
      </c>
      <c r="I17" s="67" t="str">
        <f>'Necesidades Trimestrales'!F15</f>
        <v>UNIDAD</v>
      </c>
      <c r="J17" s="68">
        <f>'Necesidades Trimestrales'!H15</f>
        <v>807</v>
      </c>
      <c r="K17" s="69">
        <f>'Necesidades Trimestrales'!G15</f>
        <v>1000</v>
      </c>
    </row>
    <row r="18" spans="1:1024" ht="27.75" customHeight="1" thickBot="1" x14ac:dyDescent="0.25">
      <c r="A18" s="105" t="s">
        <v>93</v>
      </c>
      <c r="B18" s="105"/>
      <c r="C18" s="105"/>
      <c r="D18" s="105"/>
      <c r="E18" s="105"/>
      <c r="F18" s="105"/>
      <c r="G18" s="105"/>
      <c r="H18" s="105"/>
      <c r="I18" s="105"/>
      <c r="J18" s="106">
        <f>SUMPRODUCT(J12:J17,K12:K17)</f>
        <v>15958000</v>
      </c>
      <c r="K18" s="106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/>
      <c r="FK18"/>
      <c r="FL18"/>
      <c r="FM18"/>
      <c r="FN18"/>
      <c r="FO18"/>
      <c r="FP18"/>
      <c r="FQ18"/>
      <c r="FR18"/>
      <c r="FS18"/>
      <c r="FT18"/>
      <c r="FU18"/>
      <c r="FV18"/>
      <c r="FW18"/>
      <c r="FX18"/>
      <c r="FY18"/>
      <c r="FZ18"/>
      <c r="GA18"/>
      <c r="GB18"/>
      <c r="GC18"/>
      <c r="GD18"/>
      <c r="GE18"/>
      <c r="GF18"/>
      <c r="GG18"/>
      <c r="GH18"/>
      <c r="GI18"/>
      <c r="GJ18"/>
      <c r="GK18"/>
      <c r="GL18"/>
      <c r="GM18"/>
      <c r="GN18"/>
      <c r="GO18"/>
      <c r="GP18"/>
      <c r="GQ18"/>
      <c r="GR18"/>
      <c r="GS18"/>
      <c r="GT18"/>
      <c r="GU18"/>
      <c r="GV18"/>
      <c r="GW18"/>
      <c r="GX18"/>
      <c r="GY18"/>
      <c r="GZ18"/>
      <c r="HA18"/>
      <c r="HB18"/>
      <c r="HC18"/>
      <c r="HD18"/>
      <c r="HE18"/>
      <c r="HF18"/>
      <c r="HG18"/>
      <c r="HH18"/>
      <c r="HI18"/>
      <c r="HJ18"/>
      <c r="HK18"/>
      <c r="HL18"/>
      <c r="HM18"/>
      <c r="HN18"/>
      <c r="HO18"/>
      <c r="HP18"/>
      <c r="HQ18"/>
      <c r="HR18"/>
      <c r="HS18"/>
      <c r="HT18"/>
      <c r="HU18"/>
      <c r="HV18"/>
      <c r="HW18"/>
      <c r="HX18"/>
      <c r="HY18"/>
      <c r="HZ18"/>
      <c r="IA18"/>
      <c r="IB18"/>
      <c r="IC18"/>
      <c r="ID18"/>
      <c r="IE18"/>
      <c r="IF18"/>
      <c r="IG18"/>
      <c r="IH18"/>
      <c r="II18"/>
      <c r="IJ18"/>
      <c r="IK18"/>
      <c r="IL18"/>
      <c r="IM18"/>
      <c r="IN18"/>
      <c r="IO18"/>
      <c r="IP18"/>
      <c r="IQ18"/>
      <c r="IR18"/>
      <c r="IS18"/>
      <c r="IT18"/>
      <c r="IU18"/>
      <c r="IV18"/>
      <c r="IW18"/>
      <c r="IX18"/>
      <c r="IY18"/>
      <c r="IZ18"/>
      <c r="JA18"/>
      <c r="JB18"/>
      <c r="JC18"/>
      <c r="JD18"/>
      <c r="JE18"/>
      <c r="JF18"/>
      <c r="JG18"/>
      <c r="JH18"/>
      <c r="JI18"/>
      <c r="JJ18"/>
      <c r="JK18"/>
      <c r="JL18"/>
      <c r="JM18"/>
      <c r="JN18"/>
      <c r="JO18"/>
      <c r="JP18"/>
      <c r="JQ18"/>
      <c r="JR18"/>
      <c r="JS18"/>
      <c r="JT18"/>
      <c r="JU18"/>
      <c r="JV18"/>
      <c r="JW18"/>
      <c r="JX18"/>
      <c r="JY18"/>
      <c r="JZ18"/>
      <c r="KA18"/>
      <c r="KB18"/>
      <c r="KC18"/>
      <c r="KD18"/>
      <c r="KE18"/>
      <c r="KF18"/>
      <c r="KG18"/>
      <c r="KH18"/>
      <c r="KI18"/>
      <c r="KJ18"/>
      <c r="KK18"/>
      <c r="KL18"/>
      <c r="KM18"/>
      <c r="KN18"/>
      <c r="KO18"/>
      <c r="KP18"/>
      <c r="KQ18"/>
      <c r="KR18"/>
      <c r="KS18"/>
      <c r="KT18"/>
      <c r="KU18"/>
      <c r="KV18"/>
      <c r="KW18"/>
      <c r="KX18"/>
      <c r="KY18"/>
      <c r="KZ18"/>
      <c r="LA18"/>
      <c r="LB18"/>
      <c r="LC18"/>
      <c r="LD18"/>
      <c r="LE18"/>
      <c r="LF18"/>
      <c r="LG18"/>
      <c r="LH18"/>
      <c r="LI18"/>
      <c r="LJ18"/>
      <c r="LK18"/>
      <c r="LL18"/>
      <c r="LM18"/>
      <c r="LN18"/>
      <c r="LO18"/>
      <c r="LP18"/>
      <c r="LQ18"/>
      <c r="LR18"/>
      <c r="LS18"/>
      <c r="LT18"/>
      <c r="LU18"/>
      <c r="LV18"/>
      <c r="LW18"/>
      <c r="LX18"/>
      <c r="LY18"/>
      <c r="LZ18"/>
      <c r="MA18"/>
      <c r="MB18"/>
      <c r="MC18"/>
      <c r="MD18"/>
      <c r="ME18"/>
      <c r="MF18"/>
      <c r="MG18"/>
      <c r="MH18"/>
      <c r="MI18"/>
      <c r="MJ18"/>
      <c r="MK18"/>
      <c r="ML18"/>
      <c r="MM18"/>
      <c r="MN18"/>
      <c r="MO18"/>
      <c r="MP18"/>
      <c r="MQ18"/>
      <c r="MR18"/>
      <c r="MS18"/>
      <c r="MT18"/>
      <c r="MU18"/>
      <c r="MV18"/>
      <c r="MW18"/>
      <c r="MX18"/>
      <c r="MY18"/>
      <c r="MZ18"/>
      <c r="NA18"/>
      <c r="NB18"/>
      <c r="NC18"/>
      <c r="ND18"/>
      <c r="NE18"/>
      <c r="NF18"/>
      <c r="NG18"/>
      <c r="NH18"/>
      <c r="NI18"/>
      <c r="NJ18"/>
      <c r="NK18"/>
      <c r="NL18"/>
      <c r="NM18"/>
      <c r="NN18"/>
      <c r="NO18"/>
      <c r="NP18"/>
      <c r="NQ18"/>
      <c r="NR18"/>
      <c r="NS18"/>
      <c r="NT18"/>
      <c r="NU18"/>
      <c r="NV18"/>
      <c r="NW18"/>
      <c r="NX18"/>
      <c r="NY18"/>
      <c r="NZ18"/>
      <c r="OA18"/>
      <c r="OB18"/>
      <c r="OC18"/>
      <c r="OD18"/>
      <c r="OE18"/>
      <c r="OF18"/>
      <c r="OG18"/>
      <c r="OH18"/>
      <c r="OI18"/>
      <c r="OJ18"/>
      <c r="OK18"/>
      <c r="OL18"/>
      <c r="OM18"/>
      <c r="ON18"/>
      <c r="OO18"/>
      <c r="OP18"/>
      <c r="OQ18"/>
      <c r="OR18"/>
      <c r="OS18"/>
      <c r="OT18"/>
      <c r="OU18"/>
      <c r="OV18"/>
      <c r="OW18"/>
      <c r="OX18"/>
      <c r="OY18"/>
      <c r="OZ18"/>
      <c r="PA18"/>
      <c r="PB18"/>
      <c r="PC18"/>
      <c r="PD18"/>
      <c r="PE18"/>
      <c r="PF18"/>
      <c r="PG18"/>
      <c r="PH18"/>
      <c r="PI18"/>
      <c r="PJ18"/>
      <c r="PK18"/>
      <c r="PL18"/>
      <c r="PM18"/>
      <c r="PN18"/>
      <c r="PO18"/>
      <c r="PP18"/>
      <c r="PQ18"/>
      <c r="PR18"/>
      <c r="PS18"/>
      <c r="PT18"/>
      <c r="PU18"/>
      <c r="PV18"/>
      <c r="PW18"/>
      <c r="PX18"/>
      <c r="PY18"/>
      <c r="PZ18"/>
      <c r="QA18"/>
      <c r="QB18"/>
      <c r="QC18"/>
      <c r="QD18"/>
      <c r="QE18"/>
      <c r="QF18"/>
      <c r="QG18"/>
      <c r="QH18"/>
      <c r="QI18"/>
      <c r="QJ18"/>
      <c r="QK18"/>
      <c r="QL18"/>
      <c r="QM18"/>
      <c r="QN18"/>
      <c r="QO18"/>
      <c r="QP18"/>
      <c r="QQ18"/>
      <c r="QR18"/>
      <c r="QS18"/>
      <c r="QT18"/>
      <c r="QU18"/>
      <c r="QV18"/>
      <c r="QW18"/>
      <c r="QX18"/>
      <c r="QY18"/>
      <c r="QZ18"/>
      <c r="RA18"/>
      <c r="RB18"/>
      <c r="RC18"/>
      <c r="RD18"/>
      <c r="RE18"/>
      <c r="RF18"/>
      <c r="RG18"/>
      <c r="RH18"/>
      <c r="RI18"/>
      <c r="RJ18"/>
      <c r="RK18"/>
      <c r="RL18"/>
      <c r="RM18"/>
      <c r="RN18"/>
      <c r="RO18"/>
      <c r="RP18"/>
      <c r="RQ18"/>
      <c r="RR18"/>
      <c r="RS18"/>
      <c r="RT18"/>
      <c r="RU18"/>
      <c r="RV18"/>
      <c r="RW18"/>
      <c r="RX18"/>
      <c r="RY18"/>
      <c r="RZ18"/>
      <c r="SA18"/>
      <c r="SB18"/>
      <c r="SC18"/>
      <c r="SD18"/>
      <c r="SE18"/>
      <c r="SF18"/>
      <c r="SG18"/>
      <c r="SH18"/>
      <c r="SI18"/>
      <c r="SJ18"/>
      <c r="SK18"/>
      <c r="SL18"/>
      <c r="SM18"/>
      <c r="SN18"/>
      <c r="SO18"/>
      <c r="SP18"/>
      <c r="SQ18"/>
      <c r="SR18"/>
      <c r="SS18"/>
      <c r="ST18"/>
      <c r="SU18"/>
      <c r="SV18"/>
      <c r="SW18"/>
      <c r="SX18"/>
      <c r="SY18"/>
      <c r="SZ18"/>
      <c r="TA18"/>
      <c r="TB18"/>
      <c r="TC18"/>
      <c r="TD18"/>
      <c r="TE18"/>
      <c r="TF18"/>
      <c r="TG18"/>
      <c r="TH18"/>
      <c r="TI18"/>
      <c r="TJ18"/>
      <c r="TK18"/>
      <c r="TL18"/>
      <c r="TM18"/>
      <c r="TN18"/>
      <c r="TO18"/>
      <c r="TP18"/>
      <c r="TQ18"/>
      <c r="TR18"/>
      <c r="TS18"/>
      <c r="TT18"/>
      <c r="TU18"/>
      <c r="TV18"/>
      <c r="TW18"/>
      <c r="TX18"/>
      <c r="TY18"/>
      <c r="TZ18"/>
      <c r="UA18"/>
      <c r="UB18"/>
      <c r="UC18"/>
      <c r="UD18"/>
      <c r="UE18"/>
      <c r="UF18"/>
      <c r="UG18"/>
      <c r="UH18"/>
      <c r="UI18"/>
      <c r="UJ18"/>
      <c r="UK18"/>
      <c r="UL18"/>
      <c r="UM18"/>
      <c r="UN18"/>
      <c r="UO18"/>
      <c r="UP18"/>
      <c r="UQ18"/>
      <c r="UR18"/>
      <c r="US18"/>
      <c r="UT18"/>
      <c r="UU18"/>
      <c r="UV18"/>
      <c r="UW18"/>
      <c r="UX18"/>
      <c r="UY18"/>
      <c r="UZ18"/>
      <c r="VA18"/>
      <c r="VB18"/>
      <c r="VC18"/>
      <c r="VD18"/>
      <c r="VE18"/>
      <c r="VF18"/>
      <c r="VG18"/>
      <c r="VH18"/>
      <c r="VI18"/>
      <c r="VJ18"/>
      <c r="VK18"/>
      <c r="VL18"/>
      <c r="VM18"/>
      <c r="VN18"/>
      <c r="VO18"/>
      <c r="VP18"/>
      <c r="VQ18"/>
      <c r="VR18"/>
      <c r="VS18"/>
      <c r="VT18"/>
      <c r="VU18"/>
      <c r="VV18"/>
      <c r="VW18"/>
      <c r="VX18"/>
      <c r="VY18"/>
      <c r="VZ18"/>
      <c r="WA18"/>
      <c r="WB18"/>
      <c r="WC18"/>
      <c r="WD18"/>
      <c r="WE18"/>
      <c r="WF18"/>
      <c r="WG18"/>
      <c r="WH18"/>
      <c r="WI18"/>
      <c r="WJ18"/>
      <c r="WK18"/>
      <c r="WL18"/>
      <c r="WM18"/>
      <c r="WN18"/>
      <c r="WO18"/>
      <c r="WP18"/>
      <c r="WQ18"/>
      <c r="WR18"/>
      <c r="WS18"/>
      <c r="WT18"/>
      <c r="WU18"/>
      <c r="WV18"/>
      <c r="WW18"/>
      <c r="WX18"/>
      <c r="WY18"/>
      <c r="WZ18"/>
      <c r="XA18"/>
      <c r="XB18"/>
      <c r="XC18"/>
      <c r="XD18"/>
      <c r="XE18"/>
      <c r="XF18"/>
      <c r="XG18"/>
      <c r="XH18"/>
      <c r="XI18"/>
      <c r="XJ18"/>
      <c r="XK18"/>
      <c r="XL18"/>
      <c r="XM18"/>
      <c r="XN18"/>
      <c r="XO18"/>
      <c r="XP18"/>
      <c r="XQ18"/>
      <c r="XR18"/>
      <c r="XS18"/>
      <c r="XT18"/>
      <c r="XU18"/>
      <c r="XV18"/>
      <c r="XW18"/>
      <c r="XX18"/>
      <c r="XY18"/>
      <c r="XZ18"/>
      <c r="YA18"/>
      <c r="YB18"/>
      <c r="YC18"/>
      <c r="YD18"/>
      <c r="YE18"/>
      <c r="YF18"/>
      <c r="YG18"/>
      <c r="YH18"/>
      <c r="YI18"/>
      <c r="YJ18"/>
      <c r="YK18"/>
      <c r="YL18"/>
      <c r="YM18"/>
      <c r="YN18"/>
      <c r="YO18"/>
      <c r="YP18"/>
      <c r="YQ18"/>
      <c r="YR18"/>
      <c r="YS18"/>
      <c r="YT18"/>
      <c r="YU18"/>
      <c r="YV18"/>
      <c r="YW18"/>
      <c r="YX18"/>
      <c r="YY18"/>
      <c r="YZ18"/>
      <c r="ZA18"/>
      <c r="ZB18"/>
      <c r="ZC18"/>
      <c r="ZD18"/>
      <c r="ZE18"/>
      <c r="ZF18"/>
      <c r="ZG18"/>
      <c r="ZH18"/>
      <c r="ZI18"/>
      <c r="ZJ18"/>
      <c r="ZK18"/>
      <c r="ZL18"/>
      <c r="ZM18"/>
      <c r="ZN18"/>
      <c r="ZO18"/>
      <c r="ZP18"/>
      <c r="ZQ18"/>
      <c r="ZR18"/>
      <c r="ZS18"/>
      <c r="ZT18"/>
      <c r="ZU18"/>
      <c r="ZV18"/>
      <c r="ZW18"/>
      <c r="ZX18"/>
      <c r="ZY18"/>
      <c r="ZZ18"/>
      <c r="AAA18"/>
      <c r="AAB18"/>
      <c r="AAC18"/>
      <c r="AAD18"/>
      <c r="AAE18"/>
      <c r="AAF18"/>
      <c r="AAG18"/>
      <c r="AAH18"/>
      <c r="AAI18"/>
      <c r="AAJ18"/>
      <c r="AAK18"/>
      <c r="AAL18"/>
      <c r="AAM18"/>
      <c r="AAN18"/>
      <c r="AAO18"/>
      <c r="AAP18"/>
      <c r="AAQ18"/>
      <c r="AAR18"/>
      <c r="AAS18"/>
      <c r="AAT18"/>
      <c r="AAU18"/>
      <c r="AAV18"/>
      <c r="AAW18"/>
      <c r="AAX18"/>
      <c r="AAY18"/>
      <c r="AAZ18"/>
      <c r="ABA18"/>
      <c r="ABB18"/>
      <c r="ABC18"/>
      <c r="ABD18"/>
      <c r="ABE18"/>
      <c r="ABF18"/>
      <c r="ABG18"/>
      <c r="ABH18"/>
      <c r="ABI18"/>
      <c r="ABJ18"/>
      <c r="ABK18"/>
      <c r="ABL18"/>
      <c r="ABM18"/>
      <c r="ABN18"/>
      <c r="ABO18"/>
      <c r="ABP18"/>
      <c r="ABQ18"/>
      <c r="ABR18"/>
      <c r="ABS18"/>
      <c r="ABT18"/>
      <c r="ABU18"/>
      <c r="ABV18"/>
      <c r="ABW18"/>
      <c r="ABX18"/>
      <c r="ABY18"/>
      <c r="ABZ18"/>
      <c r="ACA18"/>
      <c r="ACB18"/>
      <c r="ACC18"/>
      <c r="ACD18"/>
      <c r="ACE18"/>
      <c r="ACF18"/>
      <c r="ACG18"/>
      <c r="ACH18"/>
      <c r="ACI18"/>
      <c r="ACJ18"/>
      <c r="ACK18"/>
      <c r="ACL18"/>
      <c r="ACM18"/>
      <c r="ACN18"/>
      <c r="ACO18"/>
      <c r="ACP18"/>
      <c r="ACQ18"/>
      <c r="ACR18"/>
      <c r="ACS18"/>
      <c r="ACT18"/>
      <c r="ACU18"/>
      <c r="ACV18"/>
      <c r="ACW18"/>
      <c r="ACX18"/>
      <c r="ACY18"/>
      <c r="ACZ18"/>
      <c r="ADA18"/>
      <c r="ADB18"/>
      <c r="ADC18"/>
      <c r="ADD18"/>
      <c r="ADE18"/>
      <c r="ADF18"/>
      <c r="ADG18"/>
      <c r="ADH18"/>
      <c r="ADI18"/>
      <c r="ADJ18"/>
      <c r="ADK18"/>
      <c r="ADL18"/>
      <c r="ADM18"/>
      <c r="ADN18"/>
      <c r="ADO18"/>
      <c r="ADP18"/>
      <c r="ADQ18"/>
      <c r="ADR18"/>
      <c r="ADS18"/>
      <c r="ADT18"/>
      <c r="ADU18"/>
      <c r="ADV18"/>
      <c r="ADW18"/>
      <c r="ADX18"/>
      <c r="ADY18"/>
      <c r="ADZ18"/>
      <c r="AEA18"/>
      <c r="AEB18"/>
      <c r="AEC18"/>
      <c r="AED18"/>
      <c r="AEE18"/>
      <c r="AEF18"/>
      <c r="AEG18"/>
      <c r="AEH18"/>
      <c r="AEI18"/>
      <c r="AEJ18"/>
      <c r="AEK18"/>
      <c r="AEL18"/>
      <c r="AEM18"/>
      <c r="AEN18"/>
      <c r="AEO18"/>
      <c r="AEP18"/>
      <c r="AEQ18"/>
      <c r="AER18"/>
      <c r="AES18"/>
      <c r="AET18"/>
      <c r="AEU18"/>
      <c r="AEV18"/>
      <c r="AEW18"/>
      <c r="AEX18"/>
      <c r="AEY18"/>
      <c r="AEZ18"/>
      <c r="AFA18"/>
      <c r="AFB18"/>
      <c r="AFC18"/>
      <c r="AFD18"/>
      <c r="AFE18"/>
      <c r="AFF18"/>
      <c r="AFG18"/>
      <c r="AFH18"/>
      <c r="AFI18"/>
      <c r="AFJ18"/>
      <c r="AFK18"/>
      <c r="AFL18"/>
      <c r="AFM18"/>
      <c r="AFN18"/>
      <c r="AFO18"/>
      <c r="AFP18"/>
      <c r="AFQ18"/>
      <c r="AFR18"/>
      <c r="AFS18"/>
      <c r="AFT18"/>
      <c r="AFU18"/>
      <c r="AFV18"/>
      <c r="AFW18"/>
      <c r="AFX18"/>
      <c r="AFY18"/>
      <c r="AFZ18"/>
      <c r="AGA18"/>
      <c r="AGB18"/>
      <c r="AGC18"/>
      <c r="AGD18"/>
      <c r="AGE18"/>
      <c r="AGF18"/>
      <c r="AGG18"/>
      <c r="AGH18"/>
      <c r="AGI18"/>
      <c r="AGJ18"/>
      <c r="AGK18"/>
      <c r="AGL18"/>
      <c r="AGM18"/>
      <c r="AGN18"/>
      <c r="AGO18"/>
      <c r="AGP18"/>
      <c r="AGQ18"/>
      <c r="AGR18"/>
      <c r="AGS18"/>
      <c r="AGT18"/>
      <c r="AGU18"/>
      <c r="AGV18"/>
      <c r="AGW18"/>
      <c r="AGX18"/>
      <c r="AGY18"/>
      <c r="AGZ18"/>
      <c r="AHA18"/>
      <c r="AHB18"/>
      <c r="AHC18"/>
      <c r="AHD18"/>
      <c r="AHE18"/>
      <c r="AHF18"/>
      <c r="AHG18"/>
      <c r="AHH18"/>
      <c r="AHI18"/>
      <c r="AHJ18"/>
      <c r="AHK18"/>
      <c r="AHL18"/>
      <c r="AHM18"/>
      <c r="AHN18"/>
      <c r="AHO18"/>
      <c r="AHP18"/>
      <c r="AHQ18"/>
      <c r="AHR18"/>
      <c r="AHS18"/>
      <c r="AHT18"/>
      <c r="AHU18"/>
      <c r="AHV18"/>
      <c r="AHW18"/>
      <c r="AHX18"/>
      <c r="AHY18"/>
      <c r="AHZ18"/>
      <c r="AIA18"/>
      <c r="AIB18"/>
      <c r="AIC18"/>
      <c r="AID18"/>
      <c r="AIE18"/>
      <c r="AIF18"/>
      <c r="AIG18"/>
      <c r="AIH18"/>
      <c r="AII18"/>
      <c r="AIJ18"/>
      <c r="AIK18"/>
      <c r="AIL18"/>
      <c r="AIM18"/>
      <c r="AIN18"/>
      <c r="AIO18"/>
      <c r="AIP18"/>
      <c r="AIQ18"/>
      <c r="AIR18"/>
      <c r="AIS18"/>
      <c r="AIT18"/>
      <c r="AIU18"/>
      <c r="AIV18"/>
      <c r="AIW18"/>
      <c r="AIX18"/>
      <c r="AIY18"/>
      <c r="AIZ18"/>
      <c r="AJA18"/>
      <c r="AJB18"/>
      <c r="AJC18"/>
      <c r="AJD18"/>
      <c r="AJE18"/>
      <c r="AJF18"/>
      <c r="AJG18"/>
      <c r="AJH18"/>
      <c r="AJI18"/>
      <c r="AJJ18"/>
      <c r="AJK18"/>
      <c r="AJL18"/>
      <c r="AJM18"/>
      <c r="AJN18"/>
      <c r="AJO18"/>
      <c r="AJP18"/>
      <c r="AJQ18"/>
      <c r="AJR18"/>
      <c r="AJS18"/>
      <c r="AJT18"/>
      <c r="AJU18"/>
      <c r="AJV18"/>
      <c r="AJW18"/>
      <c r="AJX18"/>
      <c r="AJY18"/>
      <c r="AJZ18"/>
      <c r="AKA18"/>
      <c r="AKB18"/>
      <c r="AKC18"/>
      <c r="AKD18"/>
      <c r="AKE18"/>
      <c r="AKF18"/>
      <c r="AKG18"/>
      <c r="AKH18"/>
      <c r="AKI18"/>
      <c r="AKJ18"/>
      <c r="AKK18"/>
      <c r="AKL18"/>
      <c r="AKM18"/>
      <c r="AKN18"/>
      <c r="AKO18"/>
      <c r="AKP18"/>
      <c r="AKQ18"/>
      <c r="AKR18"/>
      <c r="AKS18"/>
      <c r="AKT18"/>
      <c r="AKU18"/>
      <c r="AKV18"/>
      <c r="AKW18"/>
      <c r="AKX18"/>
      <c r="AKY18"/>
      <c r="AKZ18"/>
      <c r="ALA18"/>
      <c r="ALB18"/>
      <c r="ALC18"/>
      <c r="ALD18"/>
      <c r="ALE18"/>
      <c r="ALF18"/>
      <c r="ALG18"/>
      <c r="ALH18"/>
      <c r="ALI18"/>
      <c r="ALJ18"/>
      <c r="ALK18"/>
      <c r="ALL18"/>
      <c r="ALM18"/>
      <c r="ALN18"/>
      <c r="ALO18"/>
      <c r="ALP18"/>
      <c r="ALQ18"/>
      <c r="ALR18"/>
      <c r="ALS18"/>
      <c r="ALT18"/>
      <c r="ALU18"/>
      <c r="ALV18"/>
      <c r="ALW18"/>
      <c r="ALX18"/>
      <c r="ALY18"/>
      <c r="ALZ18"/>
      <c r="AMA18"/>
      <c r="AMB18"/>
      <c r="AMC18"/>
      <c r="AMD18"/>
      <c r="AME18"/>
      <c r="AMF18"/>
      <c r="AMG18"/>
      <c r="AMH18"/>
      <c r="AMI18"/>
      <c r="AMJ18"/>
    </row>
  </sheetData>
  <mergeCells count="28">
    <mergeCell ref="C15:G15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C16:G16"/>
    <mergeCell ref="C17:G17"/>
    <mergeCell ref="A18:I18"/>
    <mergeCell ref="J18:K18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C12:G12"/>
    <mergeCell ref="C13:G13"/>
    <mergeCell ref="C14:G14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5"/>
  <sheetViews>
    <sheetView topLeftCell="A7" zoomScale="130" zoomScaleNormal="130" workbookViewId="0">
      <selection activeCell="I28" sqref="I28"/>
    </sheetView>
  </sheetViews>
  <sheetFormatPr baseColWidth="10" defaultColWidth="11" defaultRowHeight="12.75" x14ac:dyDescent="0.2"/>
  <cols>
    <col min="1" max="4" width="4.42578125" customWidth="1"/>
    <col min="5" max="5" width="4.140625" customWidth="1"/>
    <col min="6" max="6" width="5.140625" customWidth="1"/>
    <col min="7" max="7" width="4.42578125" style="9" customWidth="1"/>
    <col min="8" max="14" width="4.42578125" customWidth="1"/>
    <col min="15" max="16" width="14.85546875" customWidth="1"/>
    <col min="17" max="17" width="14.7109375" customWidth="1"/>
    <col min="19" max="19" width="13.28515625" bestFit="1" customWidth="1"/>
  </cols>
  <sheetData>
    <row r="1" spans="1:17" ht="15.75" customHeight="1" x14ac:dyDescent="0.25">
      <c r="A1" s="139" t="s">
        <v>3</v>
      </c>
      <c r="B1" s="139"/>
      <c r="C1" s="139"/>
      <c r="D1" s="140">
        <f>'Necesidades Trimestrales'!C6</f>
        <v>2022</v>
      </c>
      <c r="E1" s="140"/>
      <c r="F1" s="10"/>
      <c r="G1" s="10"/>
      <c r="H1" s="11"/>
      <c r="I1" s="11"/>
      <c r="J1" s="11"/>
      <c r="K1" s="11"/>
      <c r="L1" s="11"/>
      <c r="M1" s="11"/>
      <c r="N1" s="11"/>
      <c r="P1" s="141" t="s">
        <v>31</v>
      </c>
      <c r="Q1" s="141"/>
    </row>
    <row r="2" spans="1:17" ht="15.75" customHeight="1" x14ac:dyDescent="0.2">
      <c r="H2" s="11"/>
      <c r="I2" s="11"/>
      <c r="J2" s="11"/>
      <c r="K2" s="11"/>
      <c r="L2" s="11"/>
      <c r="M2" s="11"/>
      <c r="N2" s="11"/>
      <c r="P2" s="141"/>
      <c r="Q2" s="141"/>
    </row>
    <row r="4" spans="1:17" s="12" customFormat="1" ht="18" customHeight="1" thickBot="1" x14ac:dyDescent="0.25">
      <c r="A4" s="142" t="s">
        <v>32</v>
      </c>
      <c r="B4" s="142"/>
      <c r="C4" s="142"/>
      <c r="D4" s="142"/>
      <c r="E4" s="142"/>
      <c r="F4" s="142"/>
      <c r="G4" s="137" t="str">
        <f>NotaPedido!D3</f>
        <v>40 - Ministerio de Salud</v>
      </c>
      <c r="H4" s="137"/>
      <c r="I4" s="137"/>
      <c r="J4" s="137"/>
      <c r="K4" s="137"/>
      <c r="L4" s="137"/>
      <c r="M4" s="137"/>
      <c r="N4" s="137"/>
      <c r="O4" s="137"/>
      <c r="P4" s="137"/>
      <c r="Q4" s="137"/>
    </row>
    <row r="5" spans="1:17" s="12" customFormat="1" ht="18" customHeight="1" thickBot="1" x14ac:dyDescent="0.25">
      <c r="A5" s="134" t="s">
        <v>55</v>
      </c>
      <c r="B5" s="135"/>
      <c r="C5" s="135"/>
      <c r="D5" s="135"/>
      <c r="E5" s="135"/>
      <c r="F5" s="136"/>
      <c r="G5" s="137" t="str">
        <f>NotaPedido!D4</f>
        <v>23 - Hospital Interzonal San Juan Bautista</v>
      </c>
      <c r="H5" s="137"/>
      <c r="I5" s="137"/>
      <c r="J5" s="137"/>
      <c r="K5" s="137"/>
      <c r="L5" s="137"/>
      <c r="M5" s="137"/>
      <c r="N5" s="137"/>
      <c r="O5" s="137"/>
      <c r="P5" s="137"/>
      <c r="Q5" s="137"/>
    </row>
    <row r="6" spans="1:17" s="12" customFormat="1" ht="18" customHeight="1" thickBot="1" x14ac:dyDescent="0.25">
      <c r="A6" s="134" t="s">
        <v>33</v>
      </c>
      <c r="B6" s="135"/>
      <c r="C6" s="135"/>
      <c r="D6" s="135"/>
      <c r="E6" s="135"/>
      <c r="F6" s="136"/>
      <c r="G6" s="137" t="str">
        <f>NotaPedido!D5</f>
        <v>168 - Direccion Asistencial</v>
      </c>
      <c r="H6" s="137"/>
      <c r="I6" s="137"/>
      <c r="J6" s="137"/>
      <c r="K6" s="137"/>
      <c r="L6" s="137"/>
      <c r="M6" s="137"/>
      <c r="N6" s="137"/>
      <c r="O6" s="137"/>
      <c r="P6" s="137"/>
      <c r="Q6" s="137"/>
    </row>
    <row r="7" spans="1:17" s="12" customFormat="1" ht="18" customHeight="1" thickBot="1" x14ac:dyDescent="0.25">
      <c r="A7" s="134" t="s">
        <v>56</v>
      </c>
      <c r="B7" s="135"/>
      <c r="C7" s="135"/>
      <c r="D7" s="135"/>
      <c r="E7" s="135"/>
      <c r="F7" s="136"/>
      <c r="G7" s="137" t="str">
        <f>NotaPedido!D6</f>
        <v>Servicio de Nutrición</v>
      </c>
      <c r="H7" s="137"/>
      <c r="I7" s="137"/>
      <c r="J7" s="137"/>
      <c r="K7" s="137"/>
      <c r="L7" s="137"/>
      <c r="M7" s="137"/>
      <c r="N7" s="137"/>
      <c r="O7" s="137"/>
      <c r="P7" s="137"/>
      <c r="Q7" s="137"/>
    </row>
    <row r="8" spans="1:17" ht="18" customHeight="1" thickBot="1" x14ac:dyDescent="0.25">
      <c r="A8" s="138" t="s">
        <v>34</v>
      </c>
      <c r="B8" s="138"/>
      <c r="C8" s="138"/>
      <c r="D8" s="138"/>
      <c r="E8" s="138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  <c r="Q8" s="138"/>
    </row>
    <row r="9" spans="1:17" ht="18" customHeight="1" x14ac:dyDescent="0.2">
      <c r="A9" s="128" t="s">
        <v>35</v>
      </c>
      <c r="B9" s="128"/>
      <c r="C9" s="128"/>
      <c r="D9" s="128"/>
      <c r="E9" s="128"/>
      <c r="F9" s="128"/>
      <c r="G9" s="128"/>
      <c r="H9" s="128"/>
      <c r="I9" s="128"/>
      <c r="J9" s="128"/>
      <c r="K9" s="128"/>
      <c r="L9" s="128"/>
      <c r="M9" s="128"/>
      <c r="N9" s="128"/>
      <c r="O9" s="1"/>
      <c r="P9" s="1"/>
      <c r="Q9" s="13"/>
    </row>
    <row r="10" spans="1:17" ht="54.75" customHeight="1" x14ac:dyDescent="0.2">
      <c r="A10" s="129" t="str">
        <f>"Autorizo la realización de los  trámites correspondientes, a fin de proveer a  este Organismo los bienes y/o servicios que se detallan en Nota de Pedido N° " &amp; NotaPedido!K1&amp;",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de Pedido N° DOCFI-2022-02055360-CAT-DASIS#HSJB,  afectando la erogación resultante a los créditos presupuestarios aprobados a favor de esta Unidad Ejecutora, conforme al siguiente detalle:</v>
      </c>
      <c r="B10" s="129"/>
      <c r="C10" s="129"/>
      <c r="D10" s="129"/>
      <c r="E10" s="129"/>
      <c r="F10" s="129"/>
      <c r="G10" s="129"/>
      <c r="H10" s="129"/>
      <c r="I10" s="129"/>
      <c r="J10" s="129"/>
      <c r="K10" s="129"/>
      <c r="L10" s="129"/>
      <c r="M10" s="129"/>
      <c r="N10" s="129"/>
      <c r="O10" s="129"/>
      <c r="P10" s="129"/>
      <c r="Q10" s="129"/>
    </row>
    <row r="11" spans="1:17" ht="9" customHeight="1" x14ac:dyDescent="0.2">
      <c r="A11" s="14"/>
      <c r="B11" s="15"/>
      <c r="C11" s="15"/>
      <c r="D11" s="15"/>
      <c r="E11" s="15"/>
      <c r="F11" s="15"/>
      <c r="G11" s="16"/>
      <c r="H11" s="15"/>
      <c r="I11" s="15"/>
      <c r="J11" s="15"/>
      <c r="K11" s="15"/>
      <c r="L11" s="15"/>
      <c r="M11" s="15"/>
      <c r="N11" s="15"/>
      <c r="O11" s="15"/>
      <c r="P11" s="15"/>
      <c r="Q11" s="17"/>
    </row>
    <row r="12" spans="1:17" ht="15.75" customHeight="1" x14ac:dyDescent="0.2">
      <c r="A12" s="130" t="s">
        <v>36</v>
      </c>
      <c r="B12" s="130"/>
      <c r="C12" s="130"/>
      <c r="D12" s="130"/>
      <c r="E12" s="130"/>
      <c r="F12" s="130"/>
      <c r="G12" s="130"/>
      <c r="H12" s="130"/>
      <c r="I12" s="130"/>
      <c r="J12" s="130"/>
      <c r="K12" s="130"/>
      <c r="L12" s="130"/>
      <c r="M12" s="130"/>
      <c r="N12" s="130"/>
      <c r="O12" s="130"/>
      <c r="P12" s="130"/>
      <c r="Q12" s="130"/>
    </row>
    <row r="13" spans="1:17" ht="15.75" customHeight="1" x14ac:dyDescent="0.2">
      <c r="A13" s="131" t="s">
        <v>37</v>
      </c>
      <c r="B13" s="131"/>
      <c r="C13" s="131"/>
      <c r="D13" s="131"/>
      <c r="E13" s="131"/>
      <c r="F13" s="131"/>
      <c r="G13" s="131"/>
      <c r="H13" s="131"/>
      <c r="I13" s="131"/>
      <c r="J13" s="131"/>
      <c r="K13" s="131"/>
      <c r="L13" s="131"/>
      <c r="M13" s="131"/>
      <c r="N13" s="131"/>
      <c r="O13" s="132" t="s">
        <v>38</v>
      </c>
      <c r="P13" s="132"/>
      <c r="Q13" s="133" t="s">
        <v>39</v>
      </c>
    </row>
    <row r="14" spans="1:17" ht="15.75" customHeight="1" x14ac:dyDescent="0.2">
      <c r="A14" s="18" t="s">
        <v>40</v>
      </c>
      <c r="B14" s="19" t="s">
        <v>41</v>
      </c>
      <c r="C14" s="19" t="s">
        <v>42</v>
      </c>
      <c r="D14" s="19" t="s">
        <v>43</v>
      </c>
      <c r="E14" s="19" t="s">
        <v>44</v>
      </c>
      <c r="F14" s="19" t="s">
        <v>45</v>
      </c>
      <c r="G14" s="20" t="s">
        <v>46</v>
      </c>
      <c r="H14" s="19" t="s">
        <v>47</v>
      </c>
      <c r="I14" s="19" t="s">
        <v>48</v>
      </c>
      <c r="J14" s="19" t="s">
        <v>49</v>
      </c>
      <c r="K14" s="19" t="s">
        <v>49</v>
      </c>
      <c r="L14" s="19" t="s">
        <v>50</v>
      </c>
      <c r="M14" s="21" t="s">
        <v>51</v>
      </c>
      <c r="N14" s="22" t="s">
        <v>52</v>
      </c>
      <c r="O14" s="132"/>
      <c r="P14" s="132"/>
      <c r="Q14" s="133"/>
    </row>
    <row r="15" spans="1:17" ht="17.25" customHeight="1" x14ac:dyDescent="0.2">
      <c r="A15" s="72">
        <v>33</v>
      </c>
      <c r="B15" s="73"/>
      <c r="C15" s="73"/>
      <c r="D15" s="73">
        <v>2</v>
      </c>
      <c r="E15" s="73"/>
      <c r="F15" s="73">
        <v>4901</v>
      </c>
      <c r="G15" s="73">
        <v>3</v>
      </c>
      <c r="H15" s="74" t="s">
        <v>62</v>
      </c>
      <c r="I15" s="75">
        <v>2</v>
      </c>
      <c r="J15" s="75">
        <v>5</v>
      </c>
      <c r="K15" s="75">
        <v>2</v>
      </c>
      <c r="L15" s="73"/>
      <c r="M15" s="76">
        <v>1</v>
      </c>
      <c r="N15" s="74" t="s">
        <v>63</v>
      </c>
      <c r="O15" s="126" t="s">
        <v>61</v>
      </c>
      <c r="P15" s="126"/>
      <c r="Q15" s="23">
        <v>15958000</v>
      </c>
    </row>
    <row r="16" spans="1:17" ht="17.25" customHeight="1" x14ac:dyDescent="0.2">
      <c r="A16" s="24"/>
      <c r="B16" s="25"/>
      <c r="C16" s="25"/>
      <c r="D16" s="25"/>
      <c r="E16" s="25"/>
      <c r="F16" s="25"/>
      <c r="G16" s="25"/>
      <c r="H16" s="70"/>
      <c r="I16" s="25"/>
      <c r="J16" s="25"/>
      <c r="K16" s="25"/>
      <c r="L16" s="25"/>
      <c r="M16" s="26"/>
      <c r="N16" s="71"/>
      <c r="O16" s="127"/>
      <c r="P16" s="127"/>
      <c r="Q16" s="28"/>
    </row>
    <row r="17" spans="1:19" ht="17.25" customHeight="1" x14ac:dyDescent="0.2">
      <c r="A17" s="24"/>
      <c r="B17" s="25"/>
      <c r="C17" s="25"/>
      <c r="D17" s="25"/>
      <c r="E17" s="25"/>
      <c r="F17" s="27"/>
      <c r="G17" s="25"/>
      <c r="H17" s="70"/>
      <c r="I17" s="25"/>
      <c r="J17" s="25"/>
      <c r="K17" s="25"/>
      <c r="L17" s="25"/>
      <c r="M17" s="26"/>
      <c r="N17" s="71"/>
      <c r="O17" s="127"/>
      <c r="P17" s="127"/>
      <c r="Q17" s="28"/>
      <c r="S17" s="77"/>
    </row>
    <row r="18" spans="1:19" ht="17.25" customHeight="1" x14ac:dyDescent="0.2">
      <c r="A18" s="24"/>
      <c r="B18" s="25"/>
      <c r="C18" s="25"/>
      <c r="D18" s="25"/>
      <c r="E18" s="25"/>
      <c r="F18" s="27"/>
      <c r="G18" s="25"/>
      <c r="H18" s="25"/>
      <c r="I18" s="25"/>
      <c r="J18" s="25"/>
      <c r="K18" s="25"/>
      <c r="L18" s="25"/>
      <c r="M18" s="26"/>
      <c r="N18" s="27"/>
      <c r="O18" s="121"/>
      <c r="P18" s="121"/>
      <c r="Q18" s="28"/>
    </row>
    <row r="19" spans="1:19" ht="17.25" customHeight="1" x14ac:dyDescent="0.2">
      <c r="A19" s="29"/>
      <c r="B19" s="30"/>
      <c r="C19" s="30"/>
      <c r="D19" s="30"/>
      <c r="E19" s="30"/>
      <c r="F19" s="31"/>
      <c r="G19" s="30"/>
      <c r="H19" s="30"/>
      <c r="I19" s="30"/>
      <c r="J19" s="30"/>
      <c r="K19" s="30"/>
      <c r="L19" s="30"/>
      <c r="M19" s="32"/>
      <c r="N19" s="33"/>
      <c r="O19" s="122"/>
      <c r="P19" s="122"/>
      <c r="Q19" s="28"/>
      <c r="R19" s="1"/>
    </row>
    <row r="20" spans="1:19" ht="17.25" customHeight="1" x14ac:dyDescent="0.2">
      <c r="A20" s="34"/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6"/>
      <c r="N20" s="35"/>
      <c r="O20" s="123"/>
      <c r="P20" s="123"/>
      <c r="Q20" s="37"/>
    </row>
    <row r="21" spans="1:19" ht="20.25" customHeight="1" x14ac:dyDescent="0.2">
      <c r="A21" s="124" t="s">
        <v>94</v>
      </c>
      <c r="B21" s="124"/>
      <c r="C21" s="124"/>
      <c r="D21" s="124"/>
      <c r="E21" s="124"/>
      <c r="F21" s="124"/>
      <c r="G21" s="124"/>
      <c r="H21" s="124"/>
      <c r="I21" s="124"/>
      <c r="J21" s="124"/>
      <c r="K21" s="124"/>
      <c r="L21" s="124"/>
      <c r="M21" s="124"/>
      <c r="N21" s="124"/>
      <c r="O21" s="124"/>
      <c r="P21" s="124"/>
      <c r="Q21" s="38">
        <f>SUM(Q15:Q20)</f>
        <v>15958000</v>
      </c>
    </row>
    <row r="22" spans="1:19" ht="18" customHeight="1" thickBot="1" x14ac:dyDescent="0.25">
      <c r="A22" s="125"/>
      <c r="B22" s="125"/>
      <c r="C22" s="125"/>
      <c r="D22" s="125"/>
      <c r="E22" s="125"/>
      <c r="F22" s="125"/>
      <c r="G22" s="125"/>
      <c r="H22" s="125"/>
      <c r="I22" s="125"/>
      <c r="J22" s="125"/>
      <c r="K22" s="125"/>
      <c r="L22" s="125"/>
      <c r="M22" s="125"/>
      <c r="N22" s="125"/>
      <c r="O22" s="125"/>
      <c r="P22" s="125"/>
      <c r="Q22" s="125"/>
    </row>
    <row r="23" spans="1:19" ht="17.25" customHeight="1" thickBot="1" x14ac:dyDescent="0.25">
      <c r="A23" s="116" t="s">
        <v>53</v>
      </c>
      <c r="B23" s="117"/>
      <c r="C23" s="117"/>
      <c r="D23" s="117"/>
      <c r="E23" s="117"/>
      <c r="F23" s="118"/>
      <c r="G23" s="119"/>
      <c r="H23" s="119"/>
      <c r="I23" s="119"/>
      <c r="J23" s="119"/>
      <c r="K23" s="119"/>
      <c r="L23" s="119"/>
      <c r="M23" s="119"/>
      <c r="N23" s="119"/>
      <c r="O23" s="119"/>
      <c r="P23" s="119"/>
      <c r="Q23" s="119"/>
    </row>
    <row r="24" spans="1:19" ht="18" customHeight="1" thickBot="1" x14ac:dyDescent="0.25">
      <c r="A24" s="120" t="str">
        <f>"Para la "&amp; NotaPedido!D8 &amp;" para ser destinados al " &amp; NotaPedido!D6 &amp;"  del HISJB del Ministerio de Salud."</f>
        <v>Para la Adquisición de Alimentos Enterales  para ser destinados al Servicio de Nutrición  del HISJB del Ministerio de Salud.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</row>
    <row r="25" spans="1:19" ht="15" customHeight="1" x14ac:dyDescent="0.2">
      <c r="A25" s="120"/>
      <c r="B25" s="120"/>
      <c r="C25" s="120"/>
      <c r="D25" s="120"/>
      <c r="E25" s="120"/>
      <c r="F25" s="120"/>
      <c r="G25" s="120"/>
      <c r="H25" s="120"/>
      <c r="I25" s="120"/>
      <c r="J25" s="120"/>
      <c r="K25" s="120"/>
      <c r="L25" s="120"/>
      <c r="M25" s="120"/>
      <c r="N25" s="120"/>
      <c r="O25" s="120"/>
      <c r="P25" s="120"/>
      <c r="Q25" s="120"/>
    </row>
  </sheetData>
  <mergeCells count="29"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A9:N9"/>
    <mergeCell ref="A10:Q10"/>
    <mergeCell ref="A12:Q12"/>
    <mergeCell ref="A13:N13"/>
    <mergeCell ref="O13:P14"/>
    <mergeCell ref="Q13:Q14"/>
    <mergeCell ref="O15:P15"/>
    <mergeCell ref="O16:P16"/>
    <mergeCell ref="O17:P17"/>
    <mergeCell ref="A23:F23"/>
    <mergeCell ref="G23:Q23"/>
    <mergeCell ref="A24:Q25"/>
    <mergeCell ref="O18:P18"/>
    <mergeCell ref="O19:P19"/>
    <mergeCell ref="O20:P20"/>
    <mergeCell ref="A21:P21"/>
    <mergeCell ref="A22:Q22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NotaPedido</vt:lpstr>
      <vt:lpstr>Autor Gastar</vt:lpstr>
      <vt:lpstr>'Autor Gastar'!Área_de_impresión</vt:lpstr>
      <vt:lpstr>NotaPedido!Área_de_impresión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llicta6</dc:creator>
  <cp:lastModifiedBy>LICITACION23</cp:lastModifiedBy>
  <cp:revision>2</cp:revision>
  <cp:lastPrinted>2020-07-17T22:18:48Z</cp:lastPrinted>
  <dcterms:created xsi:type="dcterms:W3CDTF">2020-07-17T23:44:49Z</dcterms:created>
  <dcterms:modified xsi:type="dcterms:W3CDTF">2022-10-25T16:19:14Z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