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Johana\PEDIDOS 3 TRIMESTRE\PLANIF SCA 3 TRIM\"/>
    </mc:Choice>
  </mc:AlternateContent>
  <xr:revisionPtr revIDLastSave="0" documentId="13_ncr:1_{7BF52E5F-3065-49D0-AE1D-E78DC680F4BF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0" hidden="1">'Necesidades Trimestrales'!$A$9:$I$40</definedName>
    <definedName name="_xlnm.Print_Area" localSheetId="1">' NotaPedido'!$A$1:$H$9</definedName>
    <definedName name="_xlnm.Print_Area" localSheetId="2">'Autor Gastar'!$A$1:$Q$28</definedName>
  </definedNames>
  <calcPr calcId="181029"/>
</workbook>
</file>

<file path=xl/calcChain.xml><?xml version="1.0" encoding="utf-8"?>
<calcChain xmlns="http://schemas.openxmlformats.org/spreadsheetml/2006/main">
  <c r="Q24" i="3" l="1"/>
  <c r="A10" i="3"/>
  <c r="C4" i="2"/>
  <c r="C3" i="2"/>
  <c r="A32" i="2"/>
  <c r="A12" i="2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10" i="1"/>
  <c r="A31" i="1"/>
  <c r="D36" i="1"/>
  <c r="D35" i="1"/>
  <c r="D34" i="1"/>
  <c r="D33" i="1"/>
  <c r="D32" i="1"/>
  <c r="D31" i="1"/>
  <c r="D24" i="1"/>
  <c r="D23" i="1"/>
  <c r="D20" i="1"/>
  <c r="D19" i="1"/>
  <c r="D18" i="1"/>
  <c r="D17" i="1"/>
  <c r="D16" i="1"/>
  <c r="D15" i="1"/>
  <c r="D14" i="1"/>
  <c r="D13" i="1"/>
  <c r="D12" i="1"/>
  <c r="D11" i="1"/>
  <c r="A11" i="1"/>
  <c r="D10" i="1"/>
  <c r="I40" i="1" l="1"/>
  <c r="D1" i="3"/>
</calcChain>
</file>

<file path=xl/sharedStrings.xml><?xml version="1.0" encoding="utf-8"?>
<sst xmlns="http://schemas.openxmlformats.org/spreadsheetml/2006/main" count="331" uniqueCount="132">
  <si>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</si>
  <si>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</si>
  <si>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</si>
  <si>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</si>
  <si>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</si>
  <si>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</si>
  <si>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</si>
  <si>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</si>
  <si>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</si>
  <si>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</si>
  <si>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</si>
  <si>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</si>
  <si>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</si>
  <si>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</si>
  <si>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NOTA DE PEDIDO</t>
  </si>
  <si>
    <t>N°</t>
  </si>
  <si>
    <t>PERIODO UTILIZACIÓN:</t>
  </si>
  <si>
    <t>OBJETO: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</si>
  <si>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</si>
  <si>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</si>
  <si>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</si>
  <si>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</si>
  <si>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</si>
  <si>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</si>
  <si>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</si>
  <si>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</si>
  <si>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</si>
  <si>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</si>
  <si>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</si>
  <si>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</si>
  <si>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</si>
  <si>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</si>
  <si>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</si>
  <si>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</si>
  <si>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</si>
  <si>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</si>
  <si>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</si>
  <si>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</si>
  <si>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</si>
  <si>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</si>
  <si>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</si>
  <si>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</si>
  <si>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</si>
  <si>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</si>
  <si>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1.1</t>
  </si>
  <si>
    <t>OBSERVACIONES:</t>
  </si>
  <si>
    <t>9 - Direccion Provincial de Administracion de la Secretaria de Finanzas Publicas</t>
  </si>
  <si>
    <t>30 - Ministerio de Hacienda Publica</t>
  </si>
  <si>
    <t>3°</t>
  </si>
  <si>
    <t>2.9.2-261.14</t>
  </si>
  <si>
    <t>LIBRERIA,PAP. Y UTILES OFICINA</t>
  </si>
  <si>
    <t>ABROCHADORAS DE PAPEL; TIPO: PINZA, P/BROCHES: 10/50, MATERIAL: METALICA, MEDIDA: 10/50</t>
  </si>
  <si>
    <t>UNIDAD</t>
  </si>
  <si>
    <t>2.9.2-272.2</t>
  </si>
  <si>
    <t>BANDEJAS PORTAPAPELES; MATERIAL: ACRILICO, TIPO: SIMPLE, TAMAÑO: SIN VALOR</t>
  </si>
  <si>
    <t>2.9.2-274.26</t>
  </si>
  <si>
    <t>BIBLIORATOS; ANCHO: 80 mm, ANILLO: ANILLO Y PALANCA, TAMAÑO: OFICIO, LOMO: CARTON, TAPAS: CARTON FORRADO PLASTICO, COLOR: NEGRO AZUL, MATERIAL: CARTON</t>
  </si>
  <si>
    <t>2.9.2-317.5</t>
  </si>
  <si>
    <t>BOLIGRAFOS; TRAZO 1,0mm</t>
  </si>
  <si>
    <t>2.9.2-317.33</t>
  </si>
  <si>
    <t>BOLIGRAFOS; TRAZO: 0,6 mm</t>
  </si>
  <si>
    <t>2.9.2-700.28</t>
  </si>
  <si>
    <t>BROCHES P/ABROCHADORA; NUMERO: 10/50, PRESENTACION: CAJA X 1000 UNIDADES</t>
  </si>
  <si>
    <t>2.9.2-1358.34</t>
  </si>
  <si>
    <t>CARPETAS; MATERIAL PVC - TAMAÑO OFICIO</t>
  </si>
  <si>
    <t>2.9.2-322.7</t>
  </si>
  <si>
    <t>CESTOS P/PAPELES; SECCION: CIRCULAR, MEDIDA: DIAMETRO 22 Cm, TAPA: SIN, MATERIAL DEL CUERPO: ALAMBRE TEJIDO, MATERIAL CUERPO: ALAMBRE TEJIDO, MATERIAL: ALAMBRE TEJIDO</t>
  </si>
  <si>
    <t>2.9.2-1153.30</t>
  </si>
  <si>
    <t>CINTAS ADHESIVAS; TIPO: EMBALAR, ANCHO: 48 mm, LARGO ROLLO: 50 M, MATERIAL: POLIPROPILENO, ACCESORIO: SIN, LARGO: 50 M</t>
  </si>
  <si>
    <t>2.9.2-660.13</t>
  </si>
  <si>
    <t>CLIPS P/PAPEL; NUMERO: 5, CANT. X CAJA: 100, MATERIAL: METAL, PRESENTACION: CAJA X 100</t>
  </si>
  <si>
    <t>2.9.2-323.4</t>
  </si>
  <si>
    <t>CORRECTORES DE ESCRITURA; CAPACIDAD: 7 mL, ENVASE: LAPIZ (PUNTA METAL), PRESENTACION: LAPIZ (PUNTA METAL) X 7 mL</t>
  </si>
  <si>
    <t>2.9.2-675.20</t>
  </si>
  <si>
    <t>2.3.4</t>
  </si>
  <si>
    <t>ETIQUETAS AUTOADHESIVAS; MEDIDA: 59 X 288 mm, CANT. X CAJA: 20 UN, PAPEL BASE: LOMO DE BIBLIORATOS OFICIO, PRESENTACION: CAJA X 20 UN</t>
  </si>
  <si>
    <t>2.9.2-661.56</t>
  </si>
  <si>
    <t>2.9.2</t>
  </si>
  <si>
    <t>GOMAS DE BORRAR; USO: LAPIZ, DIMENSION: 2,5 X 3,5 X 1 Cm, MATERIAL: CAUCHO, PRESENTACION: UNIDAD</t>
  </si>
  <si>
    <t>2.9.2-848.11</t>
  </si>
  <si>
    <t>LAPIZ; TIPO: HB, COLOR: NEGRO</t>
  </si>
  <si>
    <t>2.9.2-1951.11</t>
  </si>
  <si>
    <t>ORGANIZADORES DE ESCRITORIO; CANTIDAD FUNCIONES: 3, MATERIAL: ALUMINIO</t>
  </si>
  <si>
    <t>2.9.2-1063.8</t>
  </si>
  <si>
    <t>PAD P/MOUSE; LARGO X ANCHO: 20 X 20 Cm</t>
  </si>
  <si>
    <t>2.9.2-1062.12</t>
  </si>
  <si>
    <t>2.3.1</t>
  </si>
  <si>
    <t>PAPELES ANOTADOR AUTOADHESIVOS; PRESENTACION: 100 HOJAS, LARGO X ANCHO: 76 X 76 mm</t>
  </si>
  <si>
    <t>2.3.1-6563.1105</t>
  </si>
  <si>
    <t>PAPELES EN HOJA; TIPO DE PAPEL: EXTRA BLANCO, DIMENSION: A4, GRAMAJE: 80 GR, PRESENTACION: RESMA X 500 HOJAS, CERTIFICADO FORESTAL (GFS): SIN, PORC. FIBRAS RECICLADAS: 0 %, CERT. FIBRA ALTERNATIVA (FCA): SIN</t>
  </si>
  <si>
    <t>2.3.1-6563.979</t>
  </si>
  <si>
    <t>PAPELES EN HOJA; TIPO DE PAPEL: OBRA , DIMENSION: OFICIO Cm, GRAMAJE: 80 GR, PRESENTACION: RESMA X 500 HOJAS, CERTIFICADO FORESTAL (GFS): SIN, PORC. FIBRAS RECICLADAS: 0 %, CERT. FIBRA ALTERNATIVA (FCA): SIN</t>
  </si>
  <si>
    <t>2.3.1-6587.346</t>
  </si>
  <si>
    <t>PAPELES ENCUADERNADOS; CANT. DE HOJAS: 100, TAMAÑO: A4, TIPO: CUADERNO ESPIRALADO TAPA DURA, CERTIFICADO FORESTAL (GFS): SIN, PORC. FIBRAS RECICLADAS: 0 %, CERT. FIBRA ALTERNATIVA (FCA): SIN</t>
  </si>
  <si>
    <t>2.3.1-6587.334</t>
  </si>
  <si>
    <t>PAPELES ENCUADERNADOS; CANT. DE HOJAS: 84 HOJAS, TAMAÑO: 16 X 21 Cm, TIPO: RAYADO ESPIRALADO, CERTIFICADO FORESTAL (GFS): CON, PORC. FIBRAS RECICLADAS: 0 %, CERT. FIBRA ALTERNATIVA (FCA): SIN</t>
  </si>
  <si>
    <t>2.9.2-858.16</t>
  </si>
  <si>
    <t>PERFORADORAS; TAMAÑO: MEDIANA, N° PERFORACIONES: 2, DIST. ENTRE AGUJ.: SIN VALOR, GUIA POSICION PAPEL: SIN VALOR, MATERIAL ESTRUCTURA: MADERA, MATERIAL: MADERA</t>
  </si>
  <si>
    <t>2.9.2-753.11</t>
  </si>
  <si>
    <t>PORTA SELLOS; CANT. DE SELLOS: 12, MATERIAL: METAL</t>
  </si>
  <si>
    <t>2.9.2-674.11</t>
  </si>
  <si>
    <t>REGLAS GRADUADAS; TIPO: PLANA, LONG.DE CUERPO: 50 Cm, MATERIAL: PLASTICO</t>
  </si>
  <si>
    <t>2.9.2-674.9</t>
  </si>
  <si>
    <t>REGLAS GRADUADAS; TIPO: PLANA, MATERIAL: PLASTICO, LONG.DE CUERPO: 30 Cm</t>
  </si>
  <si>
    <t>2.9.2-1354.21</t>
  </si>
  <si>
    <t>RESALTADORES; PUNTA: BISELADA, ACCESORIO: SIN, COLOR: SIN VALOR, TIPO PUNTA: BISELADA</t>
  </si>
  <si>
    <t>2.9.2-673.22</t>
  </si>
  <si>
    <t>SEÑALADORES; MATERIAL: PLASTICO, MEDIDA: 25,4 X 43,7 mm, TIPO: BANDERA ADHESIVA</t>
  </si>
  <si>
    <t>2.3.1-6590.458</t>
  </si>
  <si>
    <t>SOBRES DE PAPEL; TIPO: BOLSA DE PAPEL MADERA, TAMAÑO: 37 X 45 Cm, GRAMAJE: 80 GR/CM2, PRESENTACION: PAQUETE X 250, CERTIFICADO FORESTAL (GFS): NO, PORC. FIBRAS RECICLADAS: 0 %</t>
  </si>
  <si>
    <t>2.3.1-6590.476</t>
  </si>
  <si>
    <t>SOBRES DE PAPEL; TIPO: MANILA, TAMAÑO: 30 X 40 Cm, GRAMAJE: 80 GR/M2, PRESENTACION: ENVASE X 250 UN, CERTIFICADO FORESTAL (GFS): SIN, PORC. FIBRAS RECICLADAS: SIN VALOR</t>
  </si>
  <si>
    <t>2.9.2-758.25</t>
  </si>
  <si>
    <t>TIJERAS P/CORTAR PAPELES; LONG.DE CUERPO: 22 Cm, MATERIAL: ACERO INOXIDABLE, CUCHILLA: REDONDEADAS, MANGO: ERGONOMETRICO DE PLASTICO</t>
  </si>
  <si>
    <t>Costo total estimado Rubro:</t>
  </si>
  <si>
    <t>Papel de escritorio y carton</t>
  </si>
  <si>
    <t>Utiles de escritorio,oficina y enseñanza</t>
  </si>
  <si>
    <t>ADJUNTA DETALLE TECNICO</t>
  </si>
  <si>
    <t>NO</t>
  </si>
  <si>
    <t>Secretaria de Compras y Abastecimiento</t>
  </si>
  <si>
    <t>3° trimestre</t>
  </si>
  <si>
    <t>Adquisicion de art. de librería.</t>
  </si>
  <si>
    <t>Productos de papel y carton</t>
  </si>
  <si>
    <t>ADQUISICION DE ART. DE LIBRERÍA DESTINADOS AL FUNCIONAMIENTO DE LA S.C.A.- MHP</t>
  </si>
  <si>
    <t>TOTAL DE PESOS: Ciento cincuenta y nueve mil doscientos cincuenta y cinco con 00/100.-</t>
  </si>
  <si>
    <r>
      <rPr>
        <u/>
        <sz val="11"/>
        <rFont val="Arial"/>
        <family val="2"/>
      </rPr>
      <t>Plazos y lugares de entrega</t>
    </r>
    <r>
      <rPr>
        <sz val="11"/>
        <rFont val="Arial"/>
        <family val="2"/>
      </rPr>
      <t>: 10 DIAS HABILES EN LA SECRETARIA DE COMPRAS Y ABASTECIMIENTO. CITO EN PABELLON N° 21 - CAPE - SAN FERNANDO DEL VALLE DE CATAMARCA.-</t>
    </r>
  </si>
  <si>
    <r>
      <t>Mantenimiento:</t>
    </r>
    <r>
      <rPr>
        <sz val="11"/>
        <rFont val="Arial"/>
        <family val="2"/>
      </rPr>
      <t xml:space="preserve"> 45 DIAS.</t>
    </r>
  </si>
  <si>
    <t xml:space="preserve">CODIGO </t>
  </si>
  <si>
    <t>95/2021</t>
  </si>
  <si>
    <t>CAJA</t>
  </si>
  <si>
    <t>RESMA</t>
  </si>
  <si>
    <t>PAQUETE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</si>
</sst>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dd\-mm\-yy;@"/>
    <numFmt numFmtId="168" formatCode="&quot;$&quot;\ #,##0.00"/>
    <numFmt numFmtId="169" formatCode="_-[$$-2C0A]\ * #,##0.00_-;\-[$$-2C0A]\ * #,##0.00_-;_-[$$-2C0A]\ * &quot;-&quot;??_-;_-@"/>
    <numFmt numFmtId="170" formatCode="_-[$$-2C0A]\ * #,##0.00_-;\-[$$-2C0A]\ * #,##0.00_-;_-[$$-2C0A]\ * &quot;-&quot;??_-;_-@_-"/>
  </numFmts>
  <fonts count="31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name val="Arial"/>
      <family val="2"/>
    </font>
    <font>
      <sz val="8"/>
      <name val="Arial"/>
      <family val="2"/>
    </font>
    <font>
      <b/>
      <sz val="11"/>
      <color rgb="FF333333"/>
      <name val="Arial"/>
      <family val="2"/>
    </font>
    <font>
      <sz val="10"/>
      <color rgb="FF333333"/>
      <name val="Times New Roman"/>
      <family val="1"/>
    </font>
    <font>
      <b/>
      <sz val="10"/>
      <color rgb="FF333333"/>
      <name val="Times New Roman"/>
      <family val="1"/>
    </font>
    <font>
      <sz val="11"/>
      <color theme="1"/>
      <name val="Calibri"/>
      <family val="2"/>
    </font>
    <font>
      <b/>
      <sz val="11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u/>
      <sz val="1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8" tint="0.79998168889431442"/>
        <bgColor rgb="FFCCFFFF"/>
      </patternFill>
    </fill>
    <fill>
      <patternFill patternType="solid">
        <fgColor theme="0"/>
        <bgColor rgb="FFC0C0C0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FF"/>
        <bgColor rgb="FFCCFFFF"/>
      </patternFill>
    </fill>
    <fill>
      <patternFill patternType="solid">
        <fgColor theme="0"/>
        <bgColor rgb="FFFFFF00"/>
      </patternFill>
    </fill>
  </fills>
  <borders count="53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indexed="64"/>
      </left>
      <right style="thick">
        <color rgb="FF000000"/>
      </right>
      <top style="medium">
        <color indexed="64"/>
      </top>
      <bottom style="medium">
        <color indexed="64"/>
      </bottom>
      <diagonal/>
    </border>
    <border>
      <left style="thick">
        <color rgb="FF000000"/>
      </left>
      <right style="thick">
        <color rgb="FF000000"/>
      </right>
      <top style="medium">
        <color indexed="64"/>
      </top>
      <bottom style="medium">
        <color indexed="64"/>
      </bottom>
      <diagonal/>
    </border>
    <border>
      <left style="thick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3D3D3D"/>
      </left>
      <right style="medium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 style="thin">
        <color rgb="FF3D3D3D"/>
      </top>
      <bottom style="thin">
        <color rgb="FF3D3D3D"/>
      </bottom>
      <diagonal/>
    </border>
    <border>
      <left/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5">
    <xf numFmtId="0" fontId="0" fillId="0" borderId="0"/>
    <xf numFmtId="165" fontId="13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38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2" xfId="0" applyFont="1" applyBorder="1" applyAlignment="1">
      <alignment horizontal="right" vertical="center"/>
    </xf>
    <xf numFmtId="0" fontId="5" fillId="0" borderId="4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0" fillId="0" borderId="0" xfId="0" applyAlignment="1">
      <alignment horizontal="left"/>
    </xf>
    <xf numFmtId="3" fontId="8" fillId="0" borderId="0" xfId="0" applyNumberFormat="1" applyFont="1" applyBorder="1" applyAlignment="1"/>
    <xf numFmtId="167" fontId="0" fillId="0" borderId="0" xfId="0" applyNumberFormat="1" applyAlignment="1">
      <alignment horizontal="left"/>
    </xf>
    <xf numFmtId="0" fontId="2" fillId="0" borderId="0" xfId="0" applyFont="1"/>
    <xf numFmtId="0" fontId="0" fillId="0" borderId="2" xfId="0" applyBorder="1"/>
    <xf numFmtId="0" fontId="0" fillId="0" borderId="15" xfId="0" applyBorder="1"/>
    <xf numFmtId="0" fontId="0" fillId="0" borderId="4" xfId="0" applyBorder="1"/>
    <xf numFmtId="0" fontId="0" fillId="0" borderId="4" xfId="0" applyBorder="1" applyAlignment="1">
      <alignment horizontal="left"/>
    </xf>
    <xf numFmtId="0" fontId="0" fillId="0" borderId="16" xfId="0" applyBorder="1"/>
    <xf numFmtId="0" fontId="12" fillId="0" borderId="18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2" fillId="0" borderId="19" xfId="0" applyFont="1" applyBorder="1" applyAlignment="1">
      <alignment horizontal="left" vertical="center"/>
    </xf>
    <xf numFmtId="0" fontId="12" fillId="0" borderId="20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0" fillId="0" borderId="25" xfId="0" applyFont="1" applyBorder="1" applyAlignment="1">
      <alignment horizontal="center" vertical="center"/>
    </xf>
    <xf numFmtId="0" fontId="0" fillId="0" borderId="26" xfId="0" applyFont="1" applyBorder="1" applyAlignment="1">
      <alignment horizontal="center" vertical="center"/>
    </xf>
    <xf numFmtId="0" fontId="0" fillId="0" borderId="27" xfId="0" applyFont="1" applyBorder="1" applyAlignment="1">
      <alignment horizontal="center" vertical="center"/>
    </xf>
    <xf numFmtId="0" fontId="0" fillId="0" borderId="28" xfId="0" applyFont="1" applyBorder="1" applyAlignment="1">
      <alignment horizontal="center" vertical="center"/>
    </xf>
    <xf numFmtId="166" fontId="0" fillId="0" borderId="29" xfId="3" applyNumberFormat="1" applyFont="1" applyBorder="1" applyAlignment="1" applyProtection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166" fontId="0" fillId="0" borderId="33" xfId="3" applyNumberFormat="1" applyFont="1" applyBorder="1" applyAlignment="1" applyProtection="1">
      <alignment horizontal="center" vertical="center"/>
    </xf>
    <xf numFmtId="166" fontId="12" fillId="0" borderId="34" xfId="0" applyNumberFormat="1" applyFont="1" applyBorder="1" applyAlignment="1">
      <alignment horizontal="center" vertical="center"/>
    </xf>
    <xf numFmtId="0" fontId="14" fillId="0" borderId="0" xfId="0" applyFont="1"/>
    <xf numFmtId="0" fontId="17" fillId="0" borderId="0" xfId="0" applyFont="1" applyAlignment="1">
      <alignment horizontal="left" wrapText="1"/>
    </xf>
    <xf numFmtId="0" fontId="17" fillId="0" borderId="0" xfId="0" applyFont="1" applyAlignment="1">
      <alignment horizontal="center" wrapText="1"/>
    </xf>
    <xf numFmtId="0" fontId="19" fillId="0" borderId="0" xfId="0" applyFont="1" applyFill="1" applyAlignment="1">
      <alignment horizontal="left" wrapText="1" indent="1"/>
    </xf>
    <xf numFmtId="0" fontId="18" fillId="0" borderId="0" xfId="0" applyFont="1" applyFill="1" applyAlignment="1">
      <alignment horizontal="left" wrapText="1"/>
    </xf>
    <xf numFmtId="0" fontId="0" fillId="0" borderId="21" xfId="0" applyFont="1" applyFill="1" applyBorder="1" applyAlignment="1">
      <alignment horizontal="center" vertical="center"/>
    </xf>
    <xf numFmtId="0" fontId="0" fillId="0" borderId="22" xfId="0" applyFont="1" applyFill="1" applyBorder="1" applyAlignment="1">
      <alignment horizontal="center" vertical="center"/>
    </xf>
    <xf numFmtId="0" fontId="0" fillId="0" borderId="23" xfId="0" applyFont="1" applyFill="1" applyBorder="1" applyAlignment="1">
      <alignment horizontal="center" vertical="center"/>
    </xf>
    <xf numFmtId="0" fontId="0" fillId="0" borderId="25" xfId="0" applyFont="1" applyFill="1" applyBorder="1" applyAlignment="1">
      <alignment horizontal="center" vertical="center"/>
    </xf>
    <xf numFmtId="0" fontId="0" fillId="0" borderId="26" xfId="0" applyFont="1" applyFill="1" applyBorder="1" applyAlignment="1">
      <alignment horizontal="center" vertical="center"/>
    </xf>
    <xf numFmtId="0" fontId="0" fillId="0" borderId="27" xfId="0" applyFont="1" applyFill="1" applyBorder="1" applyAlignment="1">
      <alignment horizontal="center" vertical="center"/>
    </xf>
    <xf numFmtId="0" fontId="0" fillId="0" borderId="28" xfId="0" applyFont="1" applyFill="1" applyBorder="1" applyAlignment="1">
      <alignment horizontal="center" vertical="center"/>
    </xf>
    <xf numFmtId="0" fontId="22" fillId="3" borderId="38" xfId="0" applyFont="1" applyFill="1" applyBorder="1" applyAlignment="1">
      <alignment horizontal="center" vertical="center" wrapText="1"/>
    </xf>
    <xf numFmtId="0" fontId="22" fillId="3" borderId="39" xfId="0" applyFont="1" applyFill="1" applyBorder="1" applyAlignment="1">
      <alignment horizontal="center" vertical="center" wrapText="1"/>
    </xf>
    <xf numFmtId="0" fontId="22" fillId="3" borderId="40" xfId="0" applyFont="1" applyFill="1" applyBorder="1" applyAlignment="1">
      <alignment horizontal="center" vertical="center" wrapText="1"/>
    </xf>
    <xf numFmtId="0" fontId="22" fillId="3" borderId="6" xfId="0" applyFont="1" applyFill="1" applyBorder="1" applyAlignment="1">
      <alignment horizontal="center" vertical="center" wrapText="1"/>
    </xf>
    <xf numFmtId="168" fontId="22" fillId="3" borderId="39" xfId="0" applyNumberFormat="1" applyFont="1" applyFill="1" applyBorder="1" applyAlignment="1">
      <alignment horizontal="center" vertical="center" wrapText="1"/>
    </xf>
    <xf numFmtId="0" fontId="14" fillId="4" borderId="41" xfId="0" applyFont="1" applyFill="1" applyBorder="1" applyAlignment="1">
      <alignment horizontal="center" vertical="center"/>
    </xf>
    <xf numFmtId="0" fontId="17" fillId="0" borderId="42" xfId="0" applyFont="1" applyBorder="1" applyAlignment="1">
      <alignment horizontal="center" vertical="center" wrapText="1"/>
    </xf>
    <xf numFmtId="0" fontId="17" fillId="0" borderId="42" xfId="0" applyFont="1" applyBorder="1" applyAlignment="1">
      <alignment vertical="center" wrapText="1"/>
    </xf>
    <xf numFmtId="0" fontId="23" fillId="0" borderId="42" xfId="0" applyFont="1" applyBorder="1" applyAlignment="1">
      <alignment horizontal="center" vertical="center" wrapText="1"/>
    </xf>
    <xf numFmtId="0" fontId="17" fillId="5" borderId="42" xfId="0" applyFont="1" applyFill="1" applyBorder="1" applyAlignment="1">
      <alignment vertical="center" wrapText="1"/>
    </xf>
    <xf numFmtId="0" fontId="24" fillId="0" borderId="42" xfId="0" applyFont="1" applyBorder="1" applyAlignment="1">
      <alignment horizontal="center" vertical="center" wrapText="1"/>
    </xf>
    <xf numFmtId="3" fontId="14" fillId="0" borderId="42" xfId="0" applyNumberFormat="1" applyFont="1" applyBorder="1" applyAlignment="1">
      <alignment horizontal="center" vertical="center"/>
    </xf>
    <xf numFmtId="169" fontId="14" fillId="0" borderId="42" xfId="0" applyNumberFormat="1" applyFont="1" applyBorder="1" applyAlignment="1">
      <alignment horizontal="center" vertical="center"/>
    </xf>
    <xf numFmtId="0" fontId="14" fillId="4" borderId="43" xfId="0" applyFont="1" applyFill="1" applyBorder="1" applyAlignment="1">
      <alignment horizontal="center" vertical="center"/>
    </xf>
    <xf numFmtId="0" fontId="17" fillId="0" borderId="44" xfId="0" applyFont="1" applyBorder="1" applyAlignment="1">
      <alignment horizontal="center" vertical="center" wrapText="1"/>
    </xf>
    <xf numFmtId="0" fontId="17" fillId="0" borderId="44" xfId="0" applyFont="1" applyBorder="1" applyAlignment="1">
      <alignment vertical="center" wrapText="1"/>
    </xf>
    <xf numFmtId="0" fontId="23" fillId="0" borderId="44" xfId="0" applyFont="1" applyBorder="1" applyAlignment="1">
      <alignment horizontal="center" vertical="center" wrapText="1"/>
    </xf>
    <xf numFmtId="0" fontId="24" fillId="0" borderId="44" xfId="0" applyFont="1" applyBorder="1" applyAlignment="1">
      <alignment horizontal="center" vertical="center" wrapText="1"/>
    </xf>
    <xf numFmtId="3" fontId="14" fillId="0" borderId="44" xfId="0" applyNumberFormat="1" applyFont="1" applyBorder="1" applyAlignment="1">
      <alignment horizontal="center" vertical="center"/>
    </xf>
    <xf numFmtId="0" fontId="17" fillId="5" borderId="44" xfId="0" applyFont="1" applyFill="1" applyBorder="1" applyAlignment="1">
      <alignment vertical="center" wrapText="1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 wrapText="1"/>
    </xf>
    <xf numFmtId="0" fontId="23" fillId="6" borderId="44" xfId="0" applyFont="1" applyFill="1" applyBorder="1" applyAlignment="1">
      <alignment horizontal="center" vertical="center" wrapText="1"/>
    </xf>
    <xf numFmtId="0" fontId="25" fillId="0" borderId="44" xfId="0" applyFont="1" applyBorder="1" applyAlignment="1">
      <alignment horizontal="center" wrapText="1"/>
    </xf>
    <xf numFmtId="0" fontId="14" fillId="0" borderId="44" xfId="0" applyFont="1" applyBorder="1" applyAlignment="1">
      <alignment horizontal="left" vertical="center" wrapText="1"/>
    </xf>
    <xf numFmtId="0" fontId="17" fillId="0" borderId="44" xfId="0" applyFont="1" applyBorder="1" applyAlignment="1">
      <alignment horizontal="center" vertical="center"/>
    </xf>
    <xf numFmtId="0" fontId="17" fillId="6" borderId="44" xfId="0" applyFont="1" applyFill="1" applyBorder="1" applyAlignment="1">
      <alignment vertical="center" wrapText="1"/>
    </xf>
    <xf numFmtId="0" fontId="14" fillId="0" borderId="44" xfId="0" applyFont="1" applyBorder="1" applyAlignment="1">
      <alignment horizontal="center" vertical="center"/>
    </xf>
    <xf numFmtId="0" fontId="17" fillId="0" borderId="42" xfId="0" applyFont="1" applyBorder="1" applyAlignment="1">
      <alignment horizontal="center" vertical="center"/>
    </xf>
    <xf numFmtId="169" fontId="28" fillId="7" borderId="47" xfId="0" applyNumberFormat="1" applyFont="1" applyFill="1" applyBorder="1"/>
    <xf numFmtId="170" fontId="14" fillId="0" borderId="42" xfId="1" applyNumberFormat="1" applyFont="1" applyBorder="1" applyAlignment="1">
      <alignment horizontal="center" vertical="center" wrapText="1"/>
    </xf>
    <xf numFmtId="170" fontId="13" fillId="0" borderId="44" xfId="1" applyNumberFormat="1" applyBorder="1"/>
    <xf numFmtId="170" fontId="13" fillId="0" borderId="42" xfId="1" applyNumberFormat="1" applyBorder="1"/>
    <xf numFmtId="170" fontId="13" fillId="0" borderId="29" xfId="1" applyNumberFormat="1" applyBorder="1" applyProtection="1"/>
    <xf numFmtId="170" fontId="0" fillId="0" borderId="24" xfId="3" applyNumberFormat="1" applyFont="1" applyBorder="1" applyAlignment="1" applyProtection="1">
      <alignment horizontal="center" vertical="center"/>
    </xf>
    <xf numFmtId="0" fontId="17" fillId="5" borderId="42" xfId="0" applyFont="1" applyFill="1" applyBorder="1" applyAlignment="1">
      <alignment horizontal="center" vertical="center" wrapText="1"/>
    </xf>
    <xf numFmtId="170" fontId="13" fillId="0" borderId="48" xfId="1" applyNumberFormat="1" applyBorder="1" applyProtection="1"/>
    <xf numFmtId="0" fontId="0" fillId="0" borderId="0" xfId="0" applyAlignment="1">
      <alignment vertical="center"/>
    </xf>
    <xf numFmtId="0" fontId="14" fillId="0" borderId="52" xfId="0" applyFont="1" applyBorder="1"/>
    <xf numFmtId="0" fontId="29" fillId="0" borderId="51" xfId="0" applyFont="1" applyBorder="1" applyAlignment="1">
      <alignment vertical="center"/>
    </xf>
    <xf numFmtId="0" fontId="2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20" fillId="0" borderId="0" xfId="0" applyFont="1"/>
    <xf numFmtId="0" fontId="30" fillId="0" borderId="51" xfId="0" applyFont="1" applyBorder="1" applyAlignment="1">
      <alignment vertical="center"/>
    </xf>
    <xf numFmtId="0" fontId="29" fillId="0" borderId="0" xfId="0" applyFont="1" applyAlignment="1">
      <alignment vertical="center" wrapText="1"/>
    </xf>
    <xf numFmtId="0" fontId="6" fillId="8" borderId="3" xfId="0" applyFont="1" applyFill="1" applyBorder="1" applyAlignment="1">
      <alignment horizontal="center" vertical="center"/>
    </xf>
    <xf numFmtId="169" fontId="14" fillId="6" borderId="42" xfId="0" applyNumberFormat="1" applyFont="1" applyFill="1" applyBorder="1" applyAlignment="1">
      <alignment horizontal="center" vertical="center"/>
    </xf>
    <xf numFmtId="0" fontId="14" fillId="6" borderId="0" xfId="0" applyFont="1" applyFill="1"/>
    <xf numFmtId="0" fontId="26" fillId="7" borderId="10" xfId="0" applyFont="1" applyFill="1" applyBorder="1" applyAlignment="1">
      <alignment horizontal="center" vertical="center" wrapText="1"/>
    </xf>
    <xf numFmtId="0" fontId="27" fillId="0" borderId="45" xfId="0" applyFont="1" applyBorder="1"/>
    <xf numFmtId="0" fontId="27" fillId="0" borderId="46" xfId="0" applyFont="1" applyBorder="1"/>
    <xf numFmtId="0" fontId="16" fillId="0" borderId="0" xfId="0" applyFont="1" applyBorder="1" applyAlignment="1">
      <alignment horizontal="left" vertical="center" wrapText="1"/>
    </xf>
    <xf numFmtId="0" fontId="15" fillId="0" borderId="0" xfId="0" applyFont="1" applyBorder="1" applyAlignment="1">
      <alignment horizontal="center"/>
    </xf>
    <xf numFmtId="0" fontId="19" fillId="0" borderId="0" xfId="0" applyFont="1" applyFill="1" applyBorder="1" applyAlignment="1">
      <alignment horizontal="left" wrapText="1" indent="1"/>
    </xf>
    <xf numFmtId="0" fontId="7" fillId="0" borderId="8" xfId="0" applyFont="1" applyBorder="1" applyAlignment="1">
      <alignment horizontal="left" vertical="center"/>
    </xf>
    <xf numFmtId="0" fontId="6" fillId="0" borderId="9" xfId="0" applyFont="1" applyFill="1" applyBorder="1" applyAlignment="1">
      <alignment horizontal="left" vertical="center" wrapText="1" indent="1"/>
    </xf>
    <xf numFmtId="0" fontId="5" fillId="0" borderId="0" xfId="0" applyFont="1" applyBorder="1" applyAlignment="1">
      <alignment horizontal="center" vertical="center"/>
    </xf>
    <xf numFmtId="0" fontId="7" fillId="0" borderId="5" xfId="0" applyFont="1" applyBorder="1" applyAlignment="1">
      <alignment horizontal="left" vertical="center" wrapText="1"/>
    </xf>
    <xf numFmtId="0" fontId="6" fillId="0" borderId="6" xfId="0" applyFont="1" applyFill="1" applyBorder="1" applyAlignment="1">
      <alignment horizontal="left" vertical="center" wrapText="1" indent="1"/>
    </xf>
    <xf numFmtId="0" fontId="7" fillId="0" borderId="7" xfId="0" applyFont="1" applyBorder="1" applyAlignment="1">
      <alignment horizontal="left" vertical="center" wrapText="1"/>
    </xf>
    <xf numFmtId="0" fontId="8" fillId="0" borderId="10" xfId="0" applyFont="1" applyBorder="1" applyAlignment="1">
      <alignment vertical="center" wrapText="1"/>
    </xf>
    <xf numFmtId="0" fontId="8" fillId="0" borderId="35" xfId="0" applyFont="1" applyBorder="1" applyAlignment="1">
      <alignment vertical="center" wrapText="1"/>
    </xf>
    <xf numFmtId="0" fontId="8" fillId="0" borderId="9" xfId="0" applyFont="1" applyBorder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0" fontId="10" fillId="0" borderId="34" xfId="0" applyFont="1" applyFill="1" applyBorder="1" applyAlignment="1">
      <alignment horizontal="left" vertical="center" wrapText="1" indent="1"/>
    </xf>
    <xf numFmtId="0" fontId="0" fillId="0" borderId="28" xfId="0" applyFont="1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0" fillId="0" borderId="31" xfId="0" applyBorder="1" applyAlignment="1">
      <alignment horizontal="left" vertical="center"/>
    </xf>
    <xf numFmtId="0" fontId="8" fillId="0" borderId="34" xfId="0" applyFont="1" applyBorder="1" applyAlignment="1">
      <alignment horizontal="left" vertical="center" wrapText="1"/>
    </xf>
    <xf numFmtId="0" fontId="0" fillId="0" borderId="12" xfId="0" applyBorder="1"/>
    <xf numFmtId="0" fontId="20" fillId="0" borderId="22" xfId="0" applyFont="1" applyBorder="1" applyAlignment="1">
      <alignment horizontal="left" vertical="center" wrapText="1"/>
    </xf>
    <xf numFmtId="0" fontId="0" fillId="0" borderId="28" xfId="0" applyFont="1" applyBorder="1" applyAlignment="1">
      <alignment horizontal="left" vertical="center" wrapText="1"/>
    </xf>
    <xf numFmtId="0" fontId="20" fillId="0" borderId="49" xfId="0" applyFont="1" applyBorder="1" applyAlignment="1">
      <alignment horizontal="left" vertical="center" wrapText="1"/>
    </xf>
    <xf numFmtId="0" fontId="20" fillId="0" borderId="50" xfId="0" applyFont="1" applyBorder="1" applyAlignment="1">
      <alignment horizontal="left" vertical="center" wrapText="1"/>
    </xf>
    <xf numFmtId="0" fontId="10" fillId="0" borderId="14" xfId="0" applyFont="1" applyBorder="1" applyAlignment="1">
      <alignment horizontal="left" vertical="center" wrapText="1" indent="1"/>
    </xf>
    <xf numFmtId="0" fontId="12" fillId="0" borderId="1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/>
    </xf>
    <xf numFmtId="3" fontId="8" fillId="0" borderId="11" xfId="0" applyNumberFormat="1" applyFont="1" applyBorder="1" applyAlignment="1">
      <alignment horizontal="center"/>
    </xf>
    <xf numFmtId="0" fontId="9" fillId="0" borderId="3" xfId="0" applyFont="1" applyBorder="1" applyAlignment="1">
      <alignment horizontal="center" vertical="center" wrapText="1"/>
    </xf>
    <xf numFmtId="0" fontId="2" fillId="0" borderId="3" xfId="0" applyFont="1" applyBorder="1"/>
    <xf numFmtId="0" fontId="10" fillId="0" borderId="3" xfId="0" applyFont="1" applyBorder="1" applyAlignment="1">
      <alignment horizontal="left" indent="1"/>
    </xf>
    <xf numFmtId="0" fontId="4" fillId="0" borderId="5" xfId="0" applyFont="1" applyBorder="1" applyAlignment="1">
      <alignment horizontal="left" vertical="center" wrapText="1"/>
    </xf>
    <xf numFmtId="0" fontId="4" fillId="0" borderId="36" xfId="0" applyFont="1" applyBorder="1" applyAlignment="1">
      <alignment horizontal="left" vertical="center" wrapText="1"/>
    </xf>
    <xf numFmtId="0" fontId="4" fillId="0" borderId="37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left"/>
    </xf>
    <xf numFmtId="0" fontId="10" fillId="0" borderId="13" xfId="0" applyFont="1" applyBorder="1"/>
  </cellXfs>
  <cellStyles count="5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45"/>
  <sheetViews>
    <sheetView tabSelected="1" workbookViewId="0">
      <selection activeCell="E19" sqref="E19"/>
    </sheetView>
  </sheetViews>
  <sheetFormatPr baseColWidth="10" defaultColWidth="11" defaultRowHeight="12.75" x14ac:dyDescent="0.2"/>
  <cols>
    <col min="1" max="1" width="4.5703125" style="37" customWidth="1"/>
    <col min="2" max="2" width="12.85546875" style="37" customWidth="1"/>
    <col min="3" max="3" width="32.42578125" style="37" customWidth="1"/>
    <col min="4" max="4" width="8.42578125" style="37" customWidth="1"/>
    <col min="5" max="5" width="78.42578125" style="37" bestFit="1" customWidth="1"/>
    <col min="6" max="6" width="11" style="37"/>
    <col min="7" max="7" width="12.7109375" style="37" customWidth="1"/>
    <col min="8" max="8" width="13.85546875" style="37" customWidth="1"/>
    <col min="9" max="9" width="18.5703125" style="37" customWidth="1"/>
    <col min="10" max="16384" width="11" style="37"/>
  </cols>
  <sheetData>
    <row r="2" spans="1:9" ht="27" x14ac:dyDescent="0.35">
      <c r="B2" s="101" t="s">
        <v>0</v>
      </c>
      <c r="C2" s="101"/>
      <c r="D2" s="101"/>
      <c r="E2" s="101"/>
      <c r="F2" s="101"/>
      <c r="G2" s="101"/>
      <c r="H2" s="101"/>
    </row>
    <row r="4" spans="1:9" ht="18" customHeight="1" x14ac:dyDescent="0.25">
      <c r="A4" s="100" t="s">
        <v>1</v>
      </c>
      <c r="B4" s="100"/>
      <c r="C4" s="102" t="s">
        <v>47</v>
      </c>
      <c r="D4" s="102"/>
      <c r="E4" s="102"/>
      <c r="F4" s="38"/>
      <c r="G4" s="39"/>
      <c r="H4" s="38"/>
    </row>
    <row r="5" spans="1:9" ht="18" customHeight="1" x14ac:dyDescent="0.25">
      <c r="A5" s="100" t="s">
        <v>2</v>
      </c>
      <c r="B5" s="100"/>
      <c r="C5" s="102" t="s">
        <v>46</v>
      </c>
      <c r="D5" s="102"/>
      <c r="E5" s="102"/>
      <c r="F5" s="38"/>
      <c r="G5" s="39"/>
      <c r="H5" s="38"/>
    </row>
    <row r="6" spans="1:9" ht="16.5" customHeight="1" x14ac:dyDescent="0.25">
      <c r="A6" s="100" t="s">
        <v>3</v>
      </c>
      <c r="B6" s="100"/>
      <c r="C6" s="40">
        <v>2021</v>
      </c>
      <c r="D6" s="41"/>
      <c r="E6" s="41"/>
      <c r="F6" s="38"/>
      <c r="G6" s="39"/>
      <c r="H6" s="38"/>
    </row>
    <row r="7" spans="1:9" ht="16.5" customHeight="1" x14ac:dyDescent="0.25">
      <c r="A7" s="100" t="s">
        <v>4</v>
      </c>
      <c r="B7" s="100"/>
      <c r="C7" s="40" t="s">
        <v>48</v>
      </c>
      <c r="D7" s="41"/>
      <c r="E7" s="41"/>
      <c r="F7" s="38"/>
      <c r="G7" s="39"/>
      <c r="H7" s="38"/>
    </row>
    <row r="8" spans="1:9" ht="13.5" thickBot="1" x14ac:dyDescent="0.25">
      <c r="B8" s="38"/>
      <c r="C8" s="39"/>
      <c r="D8" s="38"/>
      <c r="E8" s="38"/>
      <c r="F8" s="38"/>
      <c r="G8" s="39"/>
      <c r="H8" s="38"/>
    </row>
    <row r="9" spans="1:9" ht="45.75" thickBot="1" x14ac:dyDescent="0.25">
      <c r="A9" s="49" t="s">
        <v>5</v>
      </c>
      <c r="B9" s="50" t="s">
        <v>6</v>
      </c>
      <c r="C9" s="50" t="s">
        <v>7</v>
      </c>
      <c r="D9" s="51" t="s">
        <v>8</v>
      </c>
      <c r="E9" s="52" t="s">
        <v>9</v>
      </c>
      <c r="F9" s="49" t="s">
        <v>10</v>
      </c>
      <c r="G9" s="50" t="s">
        <v>11</v>
      </c>
      <c r="H9" s="53" t="s">
        <v>12</v>
      </c>
      <c r="I9" s="51" t="s">
        <v>13</v>
      </c>
    </row>
    <row r="10" spans="1:9" ht="25.5" x14ac:dyDescent="0.2">
      <c r="A10" s="54">
        <v>1</v>
      </c>
      <c r="B10" s="55" t="s">
        <v>49</v>
      </c>
      <c r="C10" s="56" t="s">
        <v>50</v>
      </c>
      <c r="D10" s="57" t="str">
        <f t="shared" ref="D10:D20" si="0">LEFT(B10,5)</f>
        <v>2.9.2</v>
      </c>
      <c r="E10" s="58" t="s">
        <v>51</v>
      </c>
      <c r="F10" s="59" t="s">
        <v>52</v>
      </c>
      <c r="G10" s="60">
        <v>10</v>
      </c>
      <c r="H10" s="79">
        <v>1450</v>
      </c>
      <c r="I10" s="61">
        <f>+G10*H10</f>
        <v>14500</v>
      </c>
    </row>
    <row r="11" spans="1:9" x14ac:dyDescent="0.2">
      <c r="A11" s="62">
        <f>1+A10</f>
        <v>2</v>
      </c>
      <c r="B11" s="63" t="s">
        <v>53</v>
      </c>
      <c r="C11" s="64" t="s">
        <v>50</v>
      </c>
      <c r="D11" s="65" t="str">
        <f t="shared" si="0"/>
        <v>2.9.2</v>
      </c>
      <c r="E11" s="64" t="s">
        <v>54</v>
      </c>
      <c r="F11" s="66" t="s">
        <v>52</v>
      </c>
      <c r="G11" s="67">
        <v>2</v>
      </c>
      <c r="H11" s="80">
        <v>150</v>
      </c>
      <c r="I11" s="61">
        <f t="shared" ref="I11:I39" si="1">+G11*H11</f>
        <v>300</v>
      </c>
    </row>
    <row r="12" spans="1:9" ht="38.25" x14ac:dyDescent="0.2">
      <c r="A12" s="54">
        <v>3</v>
      </c>
      <c r="B12" s="63" t="s">
        <v>55</v>
      </c>
      <c r="C12" s="64" t="s">
        <v>50</v>
      </c>
      <c r="D12" s="65" t="str">
        <f t="shared" si="0"/>
        <v>2.9.2</v>
      </c>
      <c r="E12" s="64" t="s">
        <v>56</v>
      </c>
      <c r="F12" s="66" t="s">
        <v>52</v>
      </c>
      <c r="G12" s="67">
        <v>20</v>
      </c>
      <c r="H12" s="80">
        <v>320</v>
      </c>
      <c r="I12" s="61">
        <f t="shared" si="1"/>
        <v>6400</v>
      </c>
    </row>
    <row r="13" spans="1:9" x14ac:dyDescent="0.2">
      <c r="A13" s="62">
        <v>4</v>
      </c>
      <c r="B13" s="63" t="s">
        <v>57</v>
      </c>
      <c r="C13" s="64" t="s">
        <v>50</v>
      </c>
      <c r="D13" s="65" t="str">
        <f t="shared" si="0"/>
        <v>2.9.2</v>
      </c>
      <c r="E13" s="64" t="s">
        <v>58</v>
      </c>
      <c r="F13" s="66" t="s">
        <v>52</v>
      </c>
      <c r="G13" s="67">
        <v>210</v>
      </c>
      <c r="H13" s="80">
        <v>50</v>
      </c>
      <c r="I13" s="61">
        <f t="shared" si="1"/>
        <v>10500</v>
      </c>
    </row>
    <row r="14" spans="1:9" x14ac:dyDescent="0.2">
      <c r="A14" s="54">
        <v>5</v>
      </c>
      <c r="B14" s="63" t="s">
        <v>59</v>
      </c>
      <c r="C14" s="64" t="s">
        <v>50</v>
      </c>
      <c r="D14" s="65" t="str">
        <f t="shared" si="0"/>
        <v>2.9.2</v>
      </c>
      <c r="E14" s="64" t="s">
        <v>60</v>
      </c>
      <c r="F14" s="66" t="s">
        <v>52</v>
      </c>
      <c r="G14" s="67">
        <v>200</v>
      </c>
      <c r="H14" s="80">
        <v>50</v>
      </c>
      <c r="I14" s="61">
        <f t="shared" si="1"/>
        <v>10000</v>
      </c>
    </row>
    <row r="15" spans="1:9" x14ac:dyDescent="0.2">
      <c r="A15" s="62">
        <v>6</v>
      </c>
      <c r="B15" s="63" t="s">
        <v>61</v>
      </c>
      <c r="C15" s="64" t="s">
        <v>50</v>
      </c>
      <c r="D15" s="65" t="str">
        <f t="shared" si="0"/>
        <v>2.9.2</v>
      </c>
      <c r="E15" s="68" t="s">
        <v>62</v>
      </c>
      <c r="F15" s="66" t="s">
        <v>129</v>
      </c>
      <c r="G15" s="67">
        <v>10</v>
      </c>
      <c r="H15" s="80">
        <v>60</v>
      </c>
      <c r="I15" s="61">
        <f t="shared" si="1"/>
        <v>600</v>
      </c>
    </row>
    <row r="16" spans="1:9" x14ac:dyDescent="0.2">
      <c r="A16" s="54">
        <v>7</v>
      </c>
      <c r="B16" s="63" t="s">
        <v>63</v>
      </c>
      <c r="C16" s="64" t="s">
        <v>50</v>
      </c>
      <c r="D16" s="65" t="str">
        <f t="shared" si="0"/>
        <v>2.9.2</v>
      </c>
      <c r="E16" s="68" t="s">
        <v>64</v>
      </c>
      <c r="F16" s="66" t="s">
        <v>52</v>
      </c>
      <c r="G16" s="67">
        <v>10</v>
      </c>
      <c r="H16" s="80">
        <v>80</v>
      </c>
      <c r="I16" s="61">
        <f t="shared" si="1"/>
        <v>800</v>
      </c>
    </row>
    <row r="17" spans="1:10" ht="38.25" x14ac:dyDescent="0.2">
      <c r="A17" s="62">
        <v>8</v>
      </c>
      <c r="B17" s="69" t="s">
        <v>65</v>
      </c>
      <c r="C17" s="64" t="s">
        <v>50</v>
      </c>
      <c r="D17" s="71" t="str">
        <f t="shared" si="0"/>
        <v>2.9.2</v>
      </c>
      <c r="E17" s="70" t="s">
        <v>66</v>
      </c>
      <c r="F17" s="66" t="s">
        <v>52</v>
      </c>
      <c r="G17" s="67">
        <v>5</v>
      </c>
      <c r="H17" s="80">
        <v>700</v>
      </c>
      <c r="I17" s="61">
        <f t="shared" si="1"/>
        <v>3500</v>
      </c>
    </row>
    <row r="18" spans="1:10" ht="25.5" x14ac:dyDescent="0.2">
      <c r="A18" s="54">
        <v>9</v>
      </c>
      <c r="B18" s="63" t="s">
        <v>67</v>
      </c>
      <c r="C18" s="64" t="s">
        <v>50</v>
      </c>
      <c r="D18" s="65" t="str">
        <f t="shared" si="0"/>
        <v>2.9.2</v>
      </c>
      <c r="E18" s="64" t="s">
        <v>68</v>
      </c>
      <c r="F18" s="66" t="s">
        <v>52</v>
      </c>
      <c r="G18" s="67">
        <v>5</v>
      </c>
      <c r="H18" s="80">
        <v>170</v>
      </c>
      <c r="I18" s="61">
        <f t="shared" si="1"/>
        <v>850</v>
      </c>
    </row>
    <row r="19" spans="1:10" ht="25.5" x14ac:dyDescent="0.2">
      <c r="A19" s="62">
        <v>10</v>
      </c>
      <c r="B19" s="63" t="s">
        <v>69</v>
      </c>
      <c r="C19" s="64" t="s">
        <v>50</v>
      </c>
      <c r="D19" s="65" t="str">
        <f t="shared" si="0"/>
        <v>2.9.2</v>
      </c>
      <c r="E19" s="64" t="s">
        <v>70</v>
      </c>
      <c r="F19" s="66" t="s">
        <v>129</v>
      </c>
      <c r="G19" s="67">
        <v>5</v>
      </c>
      <c r="H19" s="80">
        <v>78</v>
      </c>
      <c r="I19" s="61">
        <f t="shared" si="1"/>
        <v>390</v>
      </c>
    </row>
    <row r="20" spans="1:10" ht="25.5" x14ac:dyDescent="0.2">
      <c r="A20" s="54">
        <v>11</v>
      </c>
      <c r="B20" s="63" t="s">
        <v>71</v>
      </c>
      <c r="C20" s="64" t="s">
        <v>50</v>
      </c>
      <c r="D20" s="65" t="str">
        <f t="shared" si="0"/>
        <v>2.9.2</v>
      </c>
      <c r="E20" s="68" t="s">
        <v>72</v>
      </c>
      <c r="F20" s="66" t="s">
        <v>52</v>
      </c>
      <c r="G20" s="67">
        <v>24</v>
      </c>
      <c r="H20" s="80">
        <v>80</v>
      </c>
      <c r="I20" s="61">
        <f t="shared" si="1"/>
        <v>1920</v>
      </c>
    </row>
    <row r="21" spans="1:10" ht="25.5" x14ac:dyDescent="0.2">
      <c r="A21" s="62">
        <v>12</v>
      </c>
      <c r="B21" s="63" t="s">
        <v>73</v>
      </c>
      <c r="C21" s="68" t="s">
        <v>50</v>
      </c>
      <c r="D21" s="71" t="s">
        <v>74</v>
      </c>
      <c r="E21" s="64" t="s">
        <v>75</v>
      </c>
      <c r="F21" s="66" t="s">
        <v>129</v>
      </c>
      <c r="G21" s="67">
        <v>1</v>
      </c>
      <c r="H21" s="80">
        <v>300</v>
      </c>
      <c r="I21" s="61">
        <f t="shared" si="1"/>
        <v>300</v>
      </c>
    </row>
    <row r="22" spans="1:10" ht="25.5" x14ac:dyDescent="0.25">
      <c r="A22" s="54">
        <v>13</v>
      </c>
      <c r="B22" s="72" t="s">
        <v>76</v>
      </c>
      <c r="C22" s="64" t="s">
        <v>50</v>
      </c>
      <c r="D22" s="65" t="s">
        <v>77</v>
      </c>
      <c r="E22" s="73" t="s">
        <v>78</v>
      </c>
      <c r="F22" s="66" t="s">
        <v>52</v>
      </c>
      <c r="G22" s="74">
        <v>12</v>
      </c>
      <c r="H22" s="80">
        <v>50</v>
      </c>
      <c r="I22" s="61">
        <f t="shared" si="1"/>
        <v>600</v>
      </c>
    </row>
    <row r="23" spans="1:10" x14ac:dyDescent="0.2">
      <c r="A23" s="62">
        <v>14</v>
      </c>
      <c r="B23" s="63" t="s">
        <v>79</v>
      </c>
      <c r="C23" s="64" t="s">
        <v>50</v>
      </c>
      <c r="D23" s="71" t="str">
        <f>LEFT(B22,5)</f>
        <v>2.9.2</v>
      </c>
      <c r="E23" s="64" t="s">
        <v>80</v>
      </c>
      <c r="F23" s="66" t="s">
        <v>52</v>
      </c>
      <c r="G23" s="67">
        <v>25</v>
      </c>
      <c r="H23" s="80">
        <v>45</v>
      </c>
      <c r="I23" s="61">
        <f t="shared" si="1"/>
        <v>1125</v>
      </c>
    </row>
    <row r="24" spans="1:10" x14ac:dyDescent="0.2">
      <c r="A24" s="54">
        <v>15</v>
      </c>
      <c r="B24" s="63" t="s">
        <v>81</v>
      </c>
      <c r="C24" s="64" t="s">
        <v>50</v>
      </c>
      <c r="D24" s="71" t="str">
        <f>LEFT(B23,5)</f>
        <v>2.9.2</v>
      </c>
      <c r="E24" s="64" t="s">
        <v>82</v>
      </c>
      <c r="F24" s="66" t="s">
        <v>52</v>
      </c>
      <c r="G24" s="67">
        <v>1</v>
      </c>
      <c r="H24" s="80">
        <v>3000</v>
      </c>
      <c r="I24" s="61">
        <f t="shared" si="1"/>
        <v>3000</v>
      </c>
    </row>
    <row r="25" spans="1:10" x14ac:dyDescent="0.2">
      <c r="A25" s="62">
        <v>16</v>
      </c>
      <c r="B25" s="63" t="s">
        <v>83</v>
      </c>
      <c r="C25" s="64" t="s">
        <v>50</v>
      </c>
      <c r="D25" s="71" t="s">
        <v>77</v>
      </c>
      <c r="E25" s="64" t="s">
        <v>84</v>
      </c>
      <c r="F25" s="66" t="s">
        <v>52</v>
      </c>
      <c r="G25" s="74">
        <v>5</v>
      </c>
      <c r="H25" s="80">
        <v>150</v>
      </c>
      <c r="I25" s="61">
        <f t="shared" si="1"/>
        <v>750</v>
      </c>
    </row>
    <row r="26" spans="1:10" ht="25.5" x14ac:dyDescent="0.2">
      <c r="A26" s="54">
        <v>17</v>
      </c>
      <c r="B26" s="63" t="s">
        <v>85</v>
      </c>
      <c r="C26" s="64" t="s">
        <v>50</v>
      </c>
      <c r="D26" s="71" t="s">
        <v>77</v>
      </c>
      <c r="E26" s="64" t="s">
        <v>87</v>
      </c>
      <c r="F26" s="66" t="s">
        <v>52</v>
      </c>
      <c r="G26" s="74">
        <v>30</v>
      </c>
      <c r="H26" s="80">
        <v>120</v>
      </c>
      <c r="I26" s="95">
        <f t="shared" si="1"/>
        <v>3600</v>
      </c>
      <c r="J26" s="96"/>
    </row>
    <row r="27" spans="1:10" ht="38.25" x14ac:dyDescent="0.2">
      <c r="A27" s="62">
        <v>18</v>
      </c>
      <c r="B27" s="63" t="s">
        <v>88</v>
      </c>
      <c r="C27" s="64" t="s">
        <v>50</v>
      </c>
      <c r="D27" s="65" t="s">
        <v>86</v>
      </c>
      <c r="E27" s="64" t="s">
        <v>89</v>
      </c>
      <c r="F27" s="66" t="s">
        <v>130</v>
      </c>
      <c r="G27" s="74">
        <v>50</v>
      </c>
      <c r="H27" s="80">
        <v>550</v>
      </c>
      <c r="I27" s="61">
        <f t="shared" si="1"/>
        <v>27500</v>
      </c>
    </row>
    <row r="28" spans="1:10" ht="38.25" x14ac:dyDescent="0.2">
      <c r="A28" s="54">
        <v>19</v>
      </c>
      <c r="B28" s="63" t="s">
        <v>90</v>
      </c>
      <c r="C28" s="64" t="s">
        <v>50</v>
      </c>
      <c r="D28" s="65" t="s">
        <v>86</v>
      </c>
      <c r="E28" s="64" t="s">
        <v>91</v>
      </c>
      <c r="F28" s="66" t="s">
        <v>130</v>
      </c>
      <c r="G28" s="74">
        <v>50</v>
      </c>
      <c r="H28" s="80">
        <v>650</v>
      </c>
      <c r="I28" s="61">
        <f t="shared" si="1"/>
        <v>32500</v>
      </c>
    </row>
    <row r="29" spans="1:10" ht="38.25" x14ac:dyDescent="0.2">
      <c r="A29" s="62">
        <v>20</v>
      </c>
      <c r="B29" s="63" t="s">
        <v>92</v>
      </c>
      <c r="C29" s="64" t="s">
        <v>50</v>
      </c>
      <c r="D29" s="71" t="s">
        <v>86</v>
      </c>
      <c r="E29" s="68" t="s">
        <v>93</v>
      </c>
      <c r="F29" s="66" t="s">
        <v>52</v>
      </c>
      <c r="G29" s="74">
        <v>20</v>
      </c>
      <c r="H29" s="80">
        <v>700</v>
      </c>
      <c r="I29" s="61">
        <f t="shared" si="1"/>
        <v>14000</v>
      </c>
    </row>
    <row r="30" spans="1:10" ht="38.25" x14ac:dyDescent="0.2">
      <c r="A30" s="54">
        <v>21</v>
      </c>
      <c r="B30" s="63" t="s">
        <v>94</v>
      </c>
      <c r="C30" s="64" t="s">
        <v>50</v>
      </c>
      <c r="D30" s="71" t="s">
        <v>86</v>
      </c>
      <c r="E30" s="64" t="s">
        <v>95</v>
      </c>
      <c r="F30" s="66" t="s">
        <v>52</v>
      </c>
      <c r="G30" s="74">
        <v>20</v>
      </c>
      <c r="H30" s="80">
        <v>150</v>
      </c>
      <c r="I30" s="61">
        <f t="shared" si="1"/>
        <v>3000</v>
      </c>
    </row>
    <row r="31" spans="1:10" ht="38.25" x14ac:dyDescent="0.2">
      <c r="A31" s="62">
        <f t="shared" ref="A31" si="2">1+A30</f>
        <v>22</v>
      </c>
      <c r="B31" s="63" t="s">
        <v>96</v>
      </c>
      <c r="C31" s="64" t="s">
        <v>50</v>
      </c>
      <c r="D31" s="65" t="str">
        <f t="shared" ref="D31:D36" si="3">LEFT(B31,5)</f>
        <v>2.9.2</v>
      </c>
      <c r="E31" s="64" t="s">
        <v>97</v>
      </c>
      <c r="F31" s="66" t="s">
        <v>52</v>
      </c>
      <c r="G31" s="74">
        <v>4</v>
      </c>
      <c r="H31" s="80">
        <v>2000</v>
      </c>
      <c r="I31" s="61">
        <f t="shared" si="1"/>
        <v>8000</v>
      </c>
    </row>
    <row r="32" spans="1:10" x14ac:dyDescent="0.2">
      <c r="A32" s="54">
        <v>23</v>
      </c>
      <c r="B32" s="63" t="s">
        <v>98</v>
      </c>
      <c r="C32" s="64" t="s">
        <v>50</v>
      </c>
      <c r="D32" s="65" t="str">
        <f t="shared" si="3"/>
        <v>2.9.2</v>
      </c>
      <c r="E32" s="64" t="s">
        <v>99</v>
      </c>
      <c r="F32" s="66" t="s">
        <v>52</v>
      </c>
      <c r="G32" s="74">
        <v>1</v>
      </c>
      <c r="H32" s="80">
        <v>1000</v>
      </c>
      <c r="I32" s="61">
        <f t="shared" si="1"/>
        <v>1000</v>
      </c>
    </row>
    <row r="33" spans="1:9" x14ac:dyDescent="0.2">
      <c r="A33" s="62">
        <v>24</v>
      </c>
      <c r="B33" s="63" t="s">
        <v>100</v>
      </c>
      <c r="C33" s="64" t="s">
        <v>50</v>
      </c>
      <c r="D33" s="65" t="str">
        <f t="shared" si="3"/>
        <v>2.9.2</v>
      </c>
      <c r="E33" s="75" t="s">
        <v>101</v>
      </c>
      <c r="F33" s="66" t="s">
        <v>52</v>
      </c>
      <c r="G33" s="74">
        <v>10</v>
      </c>
      <c r="H33" s="80">
        <v>100</v>
      </c>
      <c r="I33" s="61">
        <f t="shared" si="1"/>
        <v>1000</v>
      </c>
    </row>
    <row r="34" spans="1:9" x14ac:dyDescent="0.2">
      <c r="A34" s="54">
        <v>25</v>
      </c>
      <c r="B34" s="63" t="s">
        <v>102</v>
      </c>
      <c r="C34" s="64" t="s">
        <v>50</v>
      </c>
      <c r="D34" s="65" t="str">
        <f t="shared" si="3"/>
        <v>2.9.2</v>
      </c>
      <c r="E34" s="68" t="s">
        <v>103</v>
      </c>
      <c r="F34" s="66" t="s">
        <v>52</v>
      </c>
      <c r="G34" s="74">
        <v>10</v>
      </c>
      <c r="H34" s="80">
        <v>70</v>
      </c>
      <c r="I34" s="61">
        <f t="shared" si="1"/>
        <v>700</v>
      </c>
    </row>
    <row r="35" spans="1:9" ht="25.5" x14ac:dyDescent="0.2">
      <c r="A35" s="62">
        <v>26</v>
      </c>
      <c r="B35" s="63" t="s">
        <v>104</v>
      </c>
      <c r="C35" s="64" t="s">
        <v>50</v>
      </c>
      <c r="D35" s="65" t="str">
        <f t="shared" si="3"/>
        <v>2.9.2</v>
      </c>
      <c r="E35" s="64" t="s">
        <v>105</v>
      </c>
      <c r="F35" s="66" t="s">
        <v>52</v>
      </c>
      <c r="G35" s="74">
        <v>40</v>
      </c>
      <c r="H35" s="80">
        <v>70</v>
      </c>
      <c r="I35" s="61">
        <f t="shared" si="1"/>
        <v>2800</v>
      </c>
    </row>
    <row r="36" spans="1:9" ht="25.5" x14ac:dyDescent="0.2">
      <c r="A36" s="54">
        <v>27</v>
      </c>
      <c r="B36" s="63" t="s">
        <v>106</v>
      </c>
      <c r="C36" s="64" t="s">
        <v>50</v>
      </c>
      <c r="D36" s="65" t="str">
        <f t="shared" si="3"/>
        <v>2.9.2</v>
      </c>
      <c r="E36" s="64" t="s">
        <v>107</v>
      </c>
      <c r="F36" s="66" t="s">
        <v>52</v>
      </c>
      <c r="G36" s="74">
        <v>30</v>
      </c>
      <c r="H36" s="80">
        <v>162</v>
      </c>
      <c r="I36" s="61">
        <f t="shared" si="1"/>
        <v>4860</v>
      </c>
    </row>
    <row r="37" spans="1:9" ht="38.25" x14ac:dyDescent="0.2">
      <c r="A37" s="62">
        <v>28</v>
      </c>
      <c r="B37" s="76" t="s">
        <v>108</v>
      </c>
      <c r="C37" s="64" t="s">
        <v>50</v>
      </c>
      <c r="D37" s="71" t="s">
        <v>86</v>
      </c>
      <c r="E37" s="73" t="s">
        <v>109</v>
      </c>
      <c r="F37" s="66" t="s">
        <v>131</v>
      </c>
      <c r="G37" s="74">
        <v>1</v>
      </c>
      <c r="H37" s="80">
        <v>2500</v>
      </c>
      <c r="I37" s="61">
        <f t="shared" si="1"/>
        <v>2500</v>
      </c>
    </row>
    <row r="38" spans="1:9" ht="38.25" x14ac:dyDescent="0.2">
      <c r="A38" s="54">
        <v>29</v>
      </c>
      <c r="B38" s="76" t="s">
        <v>110</v>
      </c>
      <c r="C38" s="64" t="s">
        <v>50</v>
      </c>
      <c r="D38" s="71" t="s">
        <v>86</v>
      </c>
      <c r="E38" s="73" t="s">
        <v>111</v>
      </c>
      <c r="F38" s="66" t="s">
        <v>131</v>
      </c>
      <c r="G38" s="74">
        <v>1</v>
      </c>
      <c r="H38" s="80">
        <v>1500</v>
      </c>
      <c r="I38" s="61">
        <f t="shared" si="1"/>
        <v>1500</v>
      </c>
    </row>
    <row r="39" spans="1:9" ht="26.25" thickBot="1" x14ac:dyDescent="0.25">
      <c r="A39" s="62">
        <v>30</v>
      </c>
      <c r="B39" s="55" t="s">
        <v>112</v>
      </c>
      <c r="C39" s="56" t="s">
        <v>50</v>
      </c>
      <c r="D39" s="55" t="s">
        <v>77</v>
      </c>
      <c r="E39" s="56" t="s">
        <v>113</v>
      </c>
      <c r="F39" s="59" t="s">
        <v>52</v>
      </c>
      <c r="G39" s="77">
        <v>4</v>
      </c>
      <c r="H39" s="81">
        <v>190</v>
      </c>
      <c r="I39" s="61">
        <f t="shared" si="1"/>
        <v>760</v>
      </c>
    </row>
    <row r="40" spans="1:9" ht="15.75" thickBot="1" x14ac:dyDescent="0.3">
      <c r="A40" s="97" t="s">
        <v>114</v>
      </c>
      <c r="B40" s="98"/>
      <c r="C40" s="98"/>
      <c r="D40" s="98"/>
      <c r="E40" s="98"/>
      <c r="F40" s="98"/>
      <c r="G40" s="98"/>
      <c r="H40" s="99"/>
      <c r="I40" s="78">
        <f>SUM(I10:I39)</f>
        <v>159255</v>
      </c>
    </row>
    <row r="43" spans="1:9" ht="14.25" x14ac:dyDescent="0.2">
      <c r="A43" s="88" t="s">
        <v>125</v>
      </c>
      <c r="B43" s="89"/>
      <c r="C43" s="90"/>
      <c r="D43" s="91"/>
      <c r="I43" s="87"/>
    </row>
    <row r="45" spans="1:9" ht="14.25" x14ac:dyDescent="0.2">
      <c r="A45" s="92" t="s">
        <v>126</v>
      </c>
      <c r="B45" s="93"/>
      <c r="C45" s="86"/>
      <c r="D45"/>
    </row>
  </sheetData>
  <autoFilter ref="A9:I40" xr:uid="{4768B196-67F6-470F-BB6E-4A646BC32837}"/>
  <mergeCells count="8">
    <mergeCell ref="A40:H40"/>
    <mergeCell ref="A6:B6"/>
    <mergeCell ref="A7:B7"/>
    <mergeCell ref="B2:H2"/>
    <mergeCell ref="A4:B4"/>
    <mergeCell ref="C4:E4"/>
    <mergeCell ref="A5:B5"/>
    <mergeCell ref="C5:E5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G40"/>
  <sheetViews>
    <sheetView topLeftCell="A16" workbookViewId="0">
      <selection activeCell="M6" sqref="M6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92.28515625" style="2" customWidth="1"/>
    <col min="4" max="4" width="17.85546875" style="2" customWidth="1"/>
    <col min="5" max="5" width="16.28515625" style="2" customWidth="1"/>
    <col min="6" max="6" width="12.140625" style="2" customWidth="1"/>
    <col min="7" max="7" width="12.28515625" style="2" customWidth="1"/>
    <col min="8" max="8" width="13.140625" style="2" customWidth="1"/>
    <col min="9" max="11" width="5.85546875" style="2" customWidth="1"/>
    <col min="12" max="12" width="12.5703125" style="2" customWidth="1"/>
    <col min="13" max="1021" width="9.140625" style="2"/>
  </cols>
  <sheetData>
    <row r="1" spans="1:8" ht="18" customHeight="1" thickBot="1" x14ac:dyDescent="0.25">
      <c r="A1" s="105" t="s">
        <v>14</v>
      </c>
      <c r="B1" s="105"/>
      <c r="C1" s="105"/>
      <c r="D1" s="105"/>
      <c r="E1" s="105"/>
      <c r="F1" s="105"/>
      <c r="G1" s="3" t="s">
        <v>15</v>
      </c>
      <c r="H1" s="94" t="s">
        <v>128</v>
      </c>
    </row>
    <row r="2" spans="1:8" ht="18.75" customHeight="1" thickBot="1" x14ac:dyDescent="0.25">
      <c r="A2" s="4"/>
      <c r="B2" s="4"/>
      <c r="C2" s="5"/>
      <c r="D2" s="5"/>
      <c r="E2" s="5"/>
      <c r="F2" s="5"/>
      <c r="G2" s="5"/>
      <c r="H2" s="5"/>
    </row>
    <row r="3" spans="1:8" ht="18.75" customHeight="1" thickBot="1" x14ac:dyDescent="0.25">
      <c r="A3" s="106" t="s">
        <v>41</v>
      </c>
      <c r="B3" s="106"/>
      <c r="C3" s="107" t="str">
        <f>+'Necesidades Trimestrales'!C4:E4</f>
        <v>30 - Ministerio de Hacienda Publica</v>
      </c>
      <c r="D3" s="107"/>
      <c r="E3" s="107"/>
      <c r="F3" s="107"/>
      <c r="G3" s="107"/>
      <c r="H3" s="107"/>
    </row>
    <row r="4" spans="1:8" ht="18.75" customHeight="1" thickBot="1" x14ac:dyDescent="0.25">
      <c r="A4" s="108" t="s">
        <v>42</v>
      </c>
      <c r="B4" s="108"/>
      <c r="C4" s="107" t="str">
        <f>+'Necesidades Trimestrales'!C5:E5</f>
        <v>9 - Direccion Provincial de Administracion de la Secretaria de Finanzas Publicas</v>
      </c>
      <c r="D4" s="107"/>
      <c r="E4" s="107"/>
      <c r="F4" s="107"/>
      <c r="G4" s="107"/>
      <c r="H4" s="107"/>
    </row>
    <row r="5" spans="1:8" ht="37.5" customHeight="1" thickBot="1" x14ac:dyDescent="0.25">
      <c r="A5" s="108" t="s">
        <v>20</v>
      </c>
      <c r="B5" s="108"/>
      <c r="C5" s="107" t="s">
        <v>119</v>
      </c>
      <c r="D5" s="107"/>
      <c r="E5" s="107"/>
      <c r="F5" s="107"/>
      <c r="G5" s="107"/>
      <c r="H5" s="107"/>
    </row>
    <row r="6" spans="1:8" ht="16.5" customHeight="1" thickBot="1" x14ac:dyDescent="0.25">
      <c r="A6" s="106" t="s">
        <v>43</v>
      </c>
      <c r="B6" s="106"/>
      <c r="C6" s="107" t="s">
        <v>119</v>
      </c>
      <c r="D6" s="107"/>
      <c r="E6" s="107"/>
      <c r="F6" s="107"/>
      <c r="G6" s="107"/>
      <c r="H6" s="107"/>
    </row>
    <row r="7" spans="1:8" ht="16.5" customHeight="1" thickBot="1" x14ac:dyDescent="0.25">
      <c r="A7" s="108" t="s">
        <v>16</v>
      </c>
      <c r="B7" s="108"/>
      <c r="C7" s="107" t="s">
        <v>120</v>
      </c>
      <c r="D7" s="107"/>
      <c r="E7" s="107"/>
      <c r="F7" s="107"/>
      <c r="G7" s="107"/>
      <c r="H7" s="107"/>
    </row>
    <row r="8" spans="1:8" ht="16.5" customHeight="1" thickBot="1" x14ac:dyDescent="0.25">
      <c r="A8" s="103" t="s">
        <v>17</v>
      </c>
      <c r="B8" s="103"/>
      <c r="C8" s="104" t="s">
        <v>121</v>
      </c>
      <c r="D8" s="104"/>
      <c r="E8" s="104"/>
      <c r="F8" s="104"/>
      <c r="G8" s="104"/>
      <c r="H8" s="104"/>
    </row>
    <row r="9" spans="1:8" ht="16.5" thickBot="1" x14ac:dyDescent="0.25">
      <c r="A9" s="6"/>
      <c r="B9" s="6"/>
      <c r="C9" s="7"/>
      <c r="D9" s="7"/>
      <c r="E9" s="7"/>
      <c r="F9" s="7"/>
      <c r="G9" s="7"/>
      <c r="H9" s="7"/>
    </row>
    <row r="10" spans="1:8" ht="48" customHeight="1" thickBot="1" x14ac:dyDescent="0.25">
      <c r="A10" s="49" t="s">
        <v>5</v>
      </c>
      <c r="B10" s="50" t="s">
        <v>127</v>
      </c>
      <c r="C10" s="52" t="s">
        <v>9</v>
      </c>
      <c r="D10" s="49" t="s">
        <v>117</v>
      </c>
      <c r="E10" s="49" t="s">
        <v>10</v>
      </c>
      <c r="F10" s="53" t="s">
        <v>12</v>
      </c>
      <c r="G10" s="50" t="s">
        <v>11</v>
      </c>
    </row>
    <row r="11" spans="1:8" ht="35.25" customHeight="1" x14ac:dyDescent="0.2">
      <c r="A11" s="54">
        <v>1</v>
      </c>
      <c r="B11" s="55" t="s">
        <v>49</v>
      </c>
      <c r="C11" s="58" t="s">
        <v>51</v>
      </c>
      <c r="D11" s="84" t="s">
        <v>118</v>
      </c>
      <c r="E11" s="59" t="s">
        <v>52</v>
      </c>
      <c r="F11" s="79">
        <v>1450</v>
      </c>
      <c r="G11" s="60">
        <v>10</v>
      </c>
    </row>
    <row r="12" spans="1:8" x14ac:dyDescent="0.2">
      <c r="A12" s="54">
        <f>1+A11</f>
        <v>2</v>
      </c>
      <c r="B12" s="55" t="s">
        <v>53</v>
      </c>
      <c r="C12" s="58" t="s">
        <v>54</v>
      </c>
      <c r="D12" s="84" t="s">
        <v>118</v>
      </c>
      <c r="E12" s="66" t="s">
        <v>52</v>
      </c>
      <c r="F12" s="79">
        <v>150</v>
      </c>
      <c r="G12" s="60">
        <v>2</v>
      </c>
    </row>
    <row r="13" spans="1:8" ht="25.5" x14ac:dyDescent="0.2">
      <c r="A13" s="54">
        <v>3</v>
      </c>
      <c r="B13" s="55" t="s">
        <v>55</v>
      </c>
      <c r="C13" s="58" t="s">
        <v>56</v>
      </c>
      <c r="D13" s="84" t="s">
        <v>118</v>
      </c>
      <c r="E13" s="66" t="s">
        <v>52</v>
      </c>
      <c r="F13" s="79">
        <v>320</v>
      </c>
      <c r="G13" s="60">
        <v>20</v>
      </c>
    </row>
    <row r="14" spans="1:8" x14ac:dyDescent="0.2">
      <c r="A14" s="54">
        <v>4</v>
      </c>
      <c r="B14" s="55" t="s">
        <v>57</v>
      </c>
      <c r="C14" s="58" t="s">
        <v>58</v>
      </c>
      <c r="D14" s="84" t="s">
        <v>118</v>
      </c>
      <c r="E14" s="66" t="s">
        <v>52</v>
      </c>
      <c r="F14" s="79">
        <v>50</v>
      </c>
      <c r="G14" s="60">
        <v>210</v>
      </c>
    </row>
    <row r="15" spans="1:8" x14ac:dyDescent="0.2">
      <c r="A15" s="54">
        <v>5</v>
      </c>
      <c r="B15" s="55" t="s">
        <v>59</v>
      </c>
      <c r="C15" s="58" t="s">
        <v>60</v>
      </c>
      <c r="D15" s="84" t="s">
        <v>118</v>
      </c>
      <c r="E15" s="66" t="s">
        <v>52</v>
      </c>
      <c r="F15" s="79">
        <v>50</v>
      </c>
      <c r="G15" s="60">
        <v>200</v>
      </c>
    </row>
    <row r="16" spans="1:8" x14ac:dyDescent="0.2">
      <c r="A16" s="54">
        <v>6</v>
      </c>
      <c r="B16" s="55" t="s">
        <v>61</v>
      </c>
      <c r="C16" s="58" t="s">
        <v>62</v>
      </c>
      <c r="D16" s="84" t="s">
        <v>118</v>
      </c>
      <c r="E16" s="66" t="s">
        <v>129</v>
      </c>
      <c r="F16" s="79">
        <v>60</v>
      </c>
      <c r="G16" s="60">
        <v>10</v>
      </c>
    </row>
    <row r="17" spans="1:7" x14ac:dyDescent="0.2">
      <c r="A17" s="54">
        <v>7</v>
      </c>
      <c r="B17" s="55" t="s">
        <v>63</v>
      </c>
      <c r="C17" s="58" t="s">
        <v>64</v>
      </c>
      <c r="D17" s="84" t="s">
        <v>118</v>
      </c>
      <c r="E17" s="66" t="s">
        <v>52</v>
      </c>
      <c r="F17" s="79">
        <v>80</v>
      </c>
      <c r="G17" s="60">
        <v>10</v>
      </c>
    </row>
    <row r="18" spans="1:7" ht="25.5" x14ac:dyDescent="0.2">
      <c r="A18" s="54">
        <v>8</v>
      </c>
      <c r="B18" s="55" t="s">
        <v>65</v>
      </c>
      <c r="C18" s="58" t="s">
        <v>66</v>
      </c>
      <c r="D18" s="84" t="s">
        <v>118</v>
      </c>
      <c r="E18" s="66" t="s">
        <v>52</v>
      </c>
      <c r="F18" s="79">
        <v>700</v>
      </c>
      <c r="G18" s="60">
        <v>5</v>
      </c>
    </row>
    <row r="19" spans="1:7" ht="25.5" x14ac:dyDescent="0.2">
      <c r="A19" s="54">
        <v>9</v>
      </c>
      <c r="B19" s="55" t="s">
        <v>67</v>
      </c>
      <c r="C19" s="58" t="s">
        <v>68</v>
      </c>
      <c r="D19" s="84" t="s">
        <v>118</v>
      </c>
      <c r="E19" s="66" t="s">
        <v>52</v>
      </c>
      <c r="F19" s="79">
        <v>170</v>
      </c>
      <c r="G19" s="60">
        <v>5</v>
      </c>
    </row>
    <row r="20" spans="1:7" x14ac:dyDescent="0.2">
      <c r="A20" s="54">
        <v>10</v>
      </c>
      <c r="B20" s="55" t="s">
        <v>69</v>
      </c>
      <c r="C20" s="58" t="s">
        <v>70</v>
      </c>
      <c r="D20" s="84" t="s">
        <v>118</v>
      </c>
      <c r="E20" s="66" t="s">
        <v>129</v>
      </c>
      <c r="F20" s="79">
        <v>78</v>
      </c>
      <c r="G20" s="60">
        <v>5</v>
      </c>
    </row>
    <row r="21" spans="1:7" ht="25.5" x14ac:dyDescent="0.2">
      <c r="A21" s="54">
        <v>11</v>
      </c>
      <c r="B21" s="55" t="s">
        <v>71</v>
      </c>
      <c r="C21" s="58" t="s">
        <v>72</v>
      </c>
      <c r="D21" s="84" t="s">
        <v>118</v>
      </c>
      <c r="E21" s="66" t="s">
        <v>52</v>
      </c>
      <c r="F21" s="79">
        <v>80</v>
      </c>
      <c r="G21" s="60">
        <v>24</v>
      </c>
    </row>
    <row r="22" spans="1:7" ht="25.5" x14ac:dyDescent="0.2">
      <c r="A22" s="54">
        <v>12</v>
      </c>
      <c r="B22" s="55" t="s">
        <v>73</v>
      </c>
      <c r="C22" s="58" t="s">
        <v>75</v>
      </c>
      <c r="D22" s="84" t="s">
        <v>118</v>
      </c>
      <c r="E22" s="66" t="s">
        <v>129</v>
      </c>
      <c r="F22" s="79">
        <v>300</v>
      </c>
      <c r="G22" s="60">
        <v>1</v>
      </c>
    </row>
    <row r="23" spans="1:7" ht="25.5" x14ac:dyDescent="0.2">
      <c r="A23" s="54">
        <v>13</v>
      </c>
      <c r="B23" s="55" t="s">
        <v>76</v>
      </c>
      <c r="C23" s="58" t="s">
        <v>78</v>
      </c>
      <c r="D23" s="84" t="s">
        <v>118</v>
      </c>
      <c r="E23" s="66" t="s">
        <v>52</v>
      </c>
      <c r="F23" s="79">
        <v>50</v>
      </c>
      <c r="G23" s="60">
        <v>12</v>
      </c>
    </row>
    <row r="24" spans="1:7" x14ac:dyDescent="0.2">
      <c r="A24" s="54">
        <v>14</v>
      </c>
      <c r="B24" s="55" t="s">
        <v>79</v>
      </c>
      <c r="C24" s="58" t="s">
        <v>80</v>
      </c>
      <c r="D24" s="84" t="s">
        <v>118</v>
      </c>
      <c r="E24" s="66" t="s">
        <v>52</v>
      </c>
      <c r="F24" s="79">
        <v>45</v>
      </c>
      <c r="G24" s="60">
        <v>25</v>
      </c>
    </row>
    <row r="25" spans="1:7" x14ac:dyDescent="0.2">
      <c r="A25" s="54">
        <v>15</v>
      </c>
      <c r="B25" s="55" t="s">
        <v>81</v>
      </c>
      <c r="C25" s="58" t="s">
        <v>82</v>
      </c>
      <c r="D25" s="84" t="s">
        <v>118</v>
      </c>
      <c r="E25" s="66" t="s">
        <v>52</v>
      </c>
      <c r="F25" s="79">
        <v>3000</v>
      </c>
      <c r="G25" s="60">
        <v>1</v>
      </c>
    </row>
    <row r="26" spans="1:7" x14ac:dyDescent="0.2">
      <c r="A26" s="54">
        <v>16</v>
      </c>
      <c r="B26" s="55" t="s">
        <v>83</v>
      </c>
      <c r="C26" s="58" t="s">
        <v>84</v>
      </c>
      <c r="D26" s="84" t="s">
        <v>118</v>
      </c>
      <c r="E26" s="66" t="s">
        <v>52</v>
      </c>
      <c r="F26" s="79">
        <v>150</v>
      </c>
      <c r="G26" s="60">
        <v>5</v>
      </c>
    </row>
    <row r="27" spans="1:7" x14ac:dyDescent="0.2">
      <c r="A27" s="54">
        <v>17</v>
      </c>
      <c r="B27" s="55" t="s">
        <v>85</v>
      </c>
      <c r="C27" s="58" t="s">
        <v>87</v>
      </c>
      <c r="D27" s="84" t="s">
        <v>118</v>
      </c>
      <c r="E27" s="66" t="s">
        <v>52</v>
      </c>
      <c r="F27" s="79">
        <v>120</v>
      </c>
      <c r="G27" s="60">
        <v>30</v>
      </c>
    </row>
    <row r="28" spans="1:7" ht="38.25" x14ac:dyDescent="0.2">
      <c r="A28" s="54">
        <v>18</v>
      </c>
      <c r="B28" s="55" t="s">
        <v>88</v>
      </c>
      <c r="C28" s="58" t="s">
        <v>89</v>
      </c>
      <c r="D28" s="84" t="s">
        <v>118</v>
      </c>
      <c r="E28" s="66" t="s">
        <v>130</v>
      </c>
      <c r="F28" s="79">
        <v>550</v>
      </c>
      <c r="G28" s="60">
        <v>50</v>
      </c>
    </row>
    <row r="29" spans="1:7" ht="38.25" x14ac:dyDescent="0.2">
      <c r="A29" s="54">
        <v>19</v>
      </c>
      <c r="B29" s="55" t="s">
        <v>90</v>
      </c>
      <c r="C29" s="58" t="s">
        <v>91</v>
      </c>
      <c r="D29" s="84" t="s">
        <v>118</v>
      </c>
      <c r="E29" s="66" t="s">
        <v>130</v>
      </c>
      <c r="F29" s="79">
        <v>650</v>
      </c>
      <c r="G29" s="60">
        <v>50</v>
      </c>
    </row>
    <row r="30" spans="1:7" ht="38.25" x14ac:dyDescent="0.2">
      <c r="A30" s="54">
        <v>20</v>
      </c>
      <c r="B30" s="55" t="s">
        <v>92</v>
      </c>
      <c r="C30" s="58" t="s">
        <v>93</v>
      </c>
      <c r="D30" s="84" t="s">
        <v>118</v>
      </c>
      <c r="E30" s="66" t="s">
        <v>52</v>
      </c>
      <c r="F30" s="79">
        <v>700</v>
      </c>
      <c r="G30" s="60">
        <v>20</v>
      </c>
    </row>
    <row r="31" spans="1:7" ht="38.25" x14ac:dyDescent="0.2">
      <c r="A31" s="54">
        <v>21</v>
      </c>
      <c r="B31" s="55" t="s">
        <v>94</v>
      </c>
      <c r="C31" s="58" t="s">
        <v>95</v>
      </c>
      <c r="D31" s="84" t="s">
        <v>118</v>
      </c>
      <c r="E31" s="66" t="s">
        <v>52</v>
      </c>
      <c r="F31" s="79">
        <v>150</v>
      </c>
      <c r="G31" s="60">
        <v>20</v>
      </c>
    </row>
    <row r="32" spans="1:7" ht="25.5" x14ac:dyDescent="0.2">
      <c r="A32" s="54">
        <f t="shared" ref="A32" si="0">1+A31</f>
        <v>22</v>
      </c>
      <c r="B32" s="55" t="s">
        <v>96</v>
      </c>
      <c r="C32" s="58" t="s">
        <v>97</v>
      </c>
      <c r="D32" s="84" t="s">
        <v>118</v>
      </c>
      <c r="E32" s="66" t="s">
        <v>52</v>
      </c>
      <c r="F32" s="79">
        <v>2000</v>
      </c>
      <c r="G32" s="60">
        <v>4</v>
      </c>
    </row>
    <row r="33" spans="1:7" x14ac:dyDescent="0.2">
      <c r="A33" s="54">
        <v>23</v>
      </c>
      <c r="B33" s="55" t="s">
        <v>98</v>
      </c>
      <c r="C33" s="58" t="s">
        <v>99</v>
      </c>
      <c r="D33" s="84" t="s">
        <v>118</v>
      </c>
      <c r="E33" s="66" t="s">
        <v>52</v>
      </c>
      <c r="F33" s="79">
        <v>1000</v>
      </c>
      <c r="G33" s="60">
        <v>1</v>
      </c>
    </row>
    <row r="34" spans="1:7" x14ac:dyDescent="0.2">
      <c r="A34" s="54">
        <v>24</v>
      </c>
      <c r="B34" s="55" t="s">
        <v>100</v>
      </c>
      <c r="C34" s="58" t="s">
        <v>101</v>
      </c>
      <c r="D34" s="84" t="s">
        <v>118</v>
      </c>
      <c r="E34" s="66" t="s">
        <v>52</v>
      </c>
      <c r="F34" s="79">
        <v>100</v>
      </c>
      <c r="G34" s="60">
        <v>10</v>
      </c>
    </row>
    <row r="35" spans="1:7" x14ac:dyDescent="0.2">
      <c r="A35" s="54">
        <v>25</v>
      </c>
      <c r="B35" s="55" t="s">
        <v>102</v>
      </c>
      <c r="C35" s="58" t="s">
        <v>103</v>
      </c>
      <c r="D35" s="84" t="s">
        <v>118</v>
      </c>
      <c r="E35" s="66" t="s">
        <v>52</v>
      </c>
      <c r="F35" s="79">
        <v>70</v>
      </c>
      <c r="G35" s="60">
        <v>10</v>
      </c>
    </row>
    <row r="36" spans="1:7" x14ac:dyDescent="0.2">
      <c r="A36" s="54">
        <v>26</v>
      </c>
      <c r="B36" s="55" t="s">
        <v>104</v>
      </c>
      <c r="C36" s="58" t="s">
        <v>105</v>
      </c>
      <c r="D36" s="84" t="s">
        <v>118</v>
      </c>
      <c r="E36" s="66" t="s">
        <v>52</v>
      </c>
      <c r="F36" s="79">
        <v>70</v>
      </c>
      <c r="G36" s="60">
        <v>40</v>
      </c>
    </row>
    <row r="37" spans="1:7" x14ac:dyDescent="0.2">
      <c r="A37" s="54">
        <v>27</v>
      </c>
      <c r="B37" s="55" t="s">
        <v>106</v>
      </c>
      <c r="C37" s="58" t="s">
        <v>107</v>
      </c>
      <c r="D37" s="84" t="s">
        <v>118</v>
      </c>
      <c r="E37" s="66" t="s">
        <v>52</v>
      </c>
      <c r="F37" s="79">
        <v>162</v>
      </c>
      <c r="G37" s="60">
        <v>30</v>
      </c>
    </row>
    <row r="38" spans="1:7" ht="25.5" x14ac:dyDescent="0.2">
      <c r="A38" s="54">
        <v>28</v>
      </c>
      <c r="B38" s="55" t="s">
        <v>108</v>
      </c>
      <c r="C38" s="58" t="s">
        <v>109</v>
      </c>
      <c r="D38" s="84" t="s">
        <v>118</v>
      </c>
      <c r="E38" s="66" t="s">
        <v>131</v>
      </c>
      <c r="F38" s="79">
        <v>2500</v>
      </c>
      <c r="G38" s="60">
        <v>1</v>
      </c>
    </row>
    <row r="39" spans="1:7" ht="25.5" x14ac:dyDescent="0.2">
      <c r="A39" s="54">
        <v>29</v>
      </c>
      <c r="B39" s="55" t="s">
        <v>110</v>
      </c>
      <c r="C39" s="58" t="s">
        <v>111</v>
      </c>
      <c r="D39" s="84" t="s">
        <v>118</v>
      </c>
      <c r="E39" s="66" t="s">
        <v>131</v>
      </c>
      <c r="F39" s="79">
        <v>1500</v>
      </c>
      <c r="G39" s="60">
        <v>1</v>
      </c>
    </row>
    <row r="40" spans="1:7" ht="25.5" x14ac:dyDescent="0.2">
      <c r="A40" s="54">
        <v>30</v>
      </c>
      <c r="B40" s="55" t="s">
        <v>112</v>
      </c>
      <c r="C40" s="58" t="s">
        <v>113</v>
      </c>
      <c r="D40" s="84" t="s">
        <v>118</v>
      </c>
      <c r="E40" s="59" t="s">
        <v>52</v>
      </c>
      <c r="F40" s="79">
        <v>190</v>
      </c>
      <c r="G40" s="60">
        <v>4</v>
      </c>
    </row>
  </sheetData>
  <mergeCells count="13">
    <mergeCell ref="A8:B8"/>
    <mergeCell ref="C8:H8"/>
    <mergeCell ref="A1:F1"/>
    <mergeCell ref="A6:B6"/>
    <mergeCell ref="C6:H6"/>
    <mergeCell ref="A7:B7"/>
    <mergeCell ref="C7:H7"/>
    <mergeCell ref="A3:B3"/>
    <mergeCell ref="C3:H3"/>
    <mergeCell ref="A4:B4"/>
    <mergeCell ref="C4:H4"/>
    <mergeCell ref="A5:B5"/>
    <mergeCell ref="C5:H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31"/>
  <sheetViews>
    <sheetView topLeftCell="A13" zoomScale="130" zoomScaleNormal="130" workbookViewId="0">
      <selection activeCell="T19" sqref="T18:T19"/>
    </sheetView>
  </sheetViews>
  <sheetFormatPr baseColWidth="10" defaultColWidth="11" defaultRowHeight="12.75" x14ac:dyDescent="0.2"/>
  <cols>
    <col min="1" max="5" width="4.42578125" customWidth="1"/>
    <col min="6" max="6" width="5" bestFit="1" customWidth="1"/>
    <col min="7" max="7" width="4.42578125" style="8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28" t="s">
        <v>3</v>
      </c>
      <c r="B1" s="128"/>
      <c r="C1" s="128"/>
      <c r="D1" s="129">
        <f>'Necesidades Trimestrales'!C6</f>
        <v>2021</v>
      </c>
      <c r="E1" s="129"/>
      <c r="F1" s="9"/>
      <c r="G1" s="9"/>
      <c r="H1" s="10"/>
      <c r="I1" s="10"/>
      <c r="J1" s="10"/>
      <c r="K1" s="10"/>
      <c r="L1" s="10"/>
      <c r="M1" s="10"/>
      <c r="N1" s="10"/>
      <c r="P1" s="130" t="s">
        <v>18</v>
      </c>
      <c r="Q1" s="130"/>
    </row>
    <row r="2" spans="1:17" ht="15.75" customHeight="1" x14ac:dyDescent="0.2">
      <c r="H2" s="10"/>
      <c r="I2" s="10"/>
      <c r="J2" s="10"/>
      <c r="K2" s="10"/>
      <c r="L2" s="10"/>
      <c r="M2" s="10"/>
      <c r="N2" s="10"/>
      <c r="P2" s="130"/>
      <c r="Q2" s="130"/>
    </row>
    <row r="4" spans="1:17" s="11" customFormat="1" ht="18" customHeight="1" thickBot="1" x14ac:dyDescent="0.25">
      <c r="A4" s="131" t="s">
        <v>19</v>
      </c>
      <c r="B4" s="131"/>
      <c r="C4" s="131"/>
      <c r="D4" s="131"/>
      <c r="E4" s="131"/>
      <c r="F4" s="131"/>
      <c r="G4" s="132" t="s">
        <v>47</v>
      </c>
      <c r="H4" s="132"/>
      <c r="I4" s="132"/>
      <c r="J4" s="132"/>
      <c r="K4" s="132"/>
      <c r="L4" s="132"/>
      <c r="M4" s="132"/>
      <c r="N4" s="132"/>
      <c r="O4" s="132"/>
      <c r="P4" s="132"/>
      <c r="Q4" s="132"/>
    </row>
    <row r="5" spans="1:17" s="11" customFormat="1" ht="18" customHeight="1" thickBot="1" x14ac:dyDescent="0.25">
      <c r="A5" s="133" t="s">
        <v>42</v>
      </c>
      <c r="B5" s="134"/>
      <c r="C5" s="134"/>
      <c r="D5" s="134"/>
      <c r="E5" s="134"/>
      <c r="F5" s="135"/>
      <c r="G5" s="132" t="s">
        <v>46</v>
      </c>
      <c r="H5" s="132"/>
      <c r="I5" s="132"/>
      <c r="J5" s="132"/>
      <c r="K5" s="132"/>
      <c r="L5" s="132"/>
      <c r="M5" s="132"/>
      <c r="N5" s="132"/>
      <c r="O5" s="132"/>
      <c r="P5" s="132"/>
      <c r="Q5" s="132"/>
    </row>
    <row r="6" spans="1:17" s="11" customFormat="1" ht="18" customHeight="1" thickBot="1" x14ac:dyDescent="0.25">
      <c r="A6" s="133" t="s">
        <v>20</v>
      </c>
      <c r="B6" s="134"/>
      <c r="C6" s="134"/>
      <c r="D6" s="134"/>
      <c r="E6" s="134"/>
      <c r="F6" s="135"/>
      <c r="G6" s="132" t="s">
        <v>119</v>
      </c>
      <c r="H6" s="132"/>
      <c r="I6" s="132"/>
      <c r="J6" s="132"/>
      <c r="K6" s="132"/>
      <c r="L6" s="132"/>
      <c r="M6" s="132"/>
      <c r="N6" s="132"/>
      <c r="O6" s="132"/>
      <c r="P6" s="132"/>
      <c r="Q6" s="132"/>
    </row>
    <row r="7" spans="1:17" s="11" customFormat="1" ht="18" customHeight="1" thickBot="1" x14ac:dyDescent="0.25">
      <c r="A7" s="133" t="s">
        <v>43</v>
      </c>
      <c r="B7" s="134"/>
      <c r="C7" s="134"/>
      <c r="D7" s="134"/>
      <c r="E7" s="134"/>
      <c r="F7" s="135"/>
      <c r="G7" s="132" t="s">
        <v>119</v>
      </c>
      <c r="H7" s="132"/>
      <c r="I7" s="132"/>
      <c r="J7" s="132"/>
      <c r="K7" s="132"/>
      <c r="L7" s="132"/>
      <c r="M7" s="132"/>
      <c r="N7" s="132"/>
      <c r="O7" s="132"/>
      <c r="P7" s="132"/>
      <c r="Q7" s="132"/>
    </row>
    <row r="8" spans="1:17" ht="18" customHeight="1" thickBot="1" x14ac:dyDescent="0.25">
      <c r="A8" s="136" t="s">
        <v>21</v>
      </c>
      <c r="B8" s="136"/>
      <c r="C8" s="136"/>
      <c r="D8" s="136"/>
      <c r="E8" s="136"/>
      <c r="F8" s="136"/>
      <c r="G8" s="136"/>
      <c r="H8" s="136"/>
      <c r="I8" s="136"/>
      <c r="J8" s="136"/>
      <c r="K8" s="136"/>
      <c r="L8" s="136"/>
      <c r="M8" s="136"/>
      <c r="N8" s="136"/>
      <c r="O8" s="136"/>
      <c r="P8" s="136"/>
      <c r="Q8" s="136"/>
    </row>
    <row r="9" spans="1:17" ht="18" customHeight="1" x14ac:dyDescent="0.2">
      <c r="A9" s="137" t="s">
        <v>22</v>
      </c>
      <c r="B9" s="137"/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"/>
      <c r="P9" s="1"/>
      <c r="Q9" s="12"/>
    </row>
    <row r="10" spans="1:17" ht="54.75" customHeight="1" x14ac:dyDescent="0.2">
      <c r="A10" s="123" t="str">
        <f>"Autorizo la realización de los  trámites correspondientes, a fin de proveer a  este Organismo los bienes y/o servicios que se detallan en Nota  de Pedido N° " &amp; ' NotaPedido'!H1&amp;",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95/2021,  afectando la erogación resultante a los créditos presupuestarios aprobados a favor de esta Unidad Ejecutora, conforme al siguiente detalle:</v>
      </c>
      <c r="B10" s="123"/>
      <c r="C10" s="123"/>
      <c r="D10" s="123"/>
      <c r="E10" s="123"/>
      <c r="F10" s="123"/>
      <c r="G10" s="123"/>
      <c r="H10" s="123"/>
      <c r="I10" s="123"/>
      <c r="J10" s="123"/>
      <c r="K10" s="123"/>
      <c r="L10" s="123"/>
      <c r="M10" s="123"/>
      <c r="N10" s="123"/>
      <c r="O10" s="123"/>
      <c r="P10" s="123"/>
      <c r="Q10" s="123"/>
    </row>
    <row r="11" spans="1:17" ht="9" customHeight="1" x14ac:dyDescent="0.2">
      <c r="A11" s="13"/>
      <c r="B11" s="14"/>
      <c r="C11" s="14"/>
      <c r="D11" s="14"/>
      <c r="E11" s="14"/>
      <c r="F11" s="14"/>
      <c r="G11" s="15"/>
      <c r="H11" s="14"/>
      <c r="I11" s="14"/>
      <c r="J11" s="14"/>
      <c r="K11" s="14"/>
      <c r="L11" s="14"/>
      <c r="M11" s="14"/>
      <c r="N11" s="14"/>
      <c r="O11" s="14"/>
      <c r="P11" s="14"/>
      <c r="Q11" s="16"/>
    </row>
    <row r="12" spans="1:17" ht="15.75" customHeight="1" x14ac:dyDescent="0.2">
      <c r="A12" s="124" t="s">
        <v>23</v>
      </c>
      <c r="B12" s="124"/>
      <c r="C12" s="124"/>
      <c r="D12" s="124"/>
      <c r="E12" s="124"/>
      <c r="F12" s="124"/>
      <c r="G12" s="124"/>
      <c r="H12" s="124"/>
      <c r="I12" s="124"/>
      <c r="J12" s="124"/>
      <c r="K12" s="124"/>
      <c r="L12" s="124"/>
      <c r="M12" s="124"/>
      <c r="N12" s="124"/>
      <c r="O12" s="124"/>
      <c r="P12" s="124"/>
      <c r="Q12" s="124"/>
    </row>
    <row r="13" spans="1:17" ht="15.75" customHeight="1" x14ac:dyDescent="0.2">
      <c r="A13" s="125" t="s">
        <v>24</v>
      </c>
      <c r="B13" s="125"/>
      <c r="C13" s="125"/>
      <c r="D13" s="125"/>
      <c r="E13" s="125"/>
      <c r="F13" s="125"/>
      <c r="G13" s="125"/>
      <c r="H13" s="125"/>
      <c r="I13" s="125"/>
      <c r="J13" s="125"/>
      <c r="K13" s="125"/>
      <c r="L13" s="125"/>
      <c r="M13" s="125"/>
      <c r="N13" s="125"/>
      <c r="O13" s="126" t="s">
        <v>25</v>
      </c>
      <c r="P13" s="126"/>
      <c r="Q13" s="127" t="s">
        <v>26</v>
      </c>
    </row>
    <row r="14" spans="1:17" ht="15.75" customHeight="1" thickBot="1" x14ac:dyDescent="0.25">
      <c r="A14" s="17" t="s">
        <v>27</v>
      </c>
      <c r="B14" s="18" t="s">
        <v>28</v>
      </c>
      <c r="C14" s="18" t="s">
        <v>29</v>
      </c>
      <c r="D14" s="18" t="s">
        <v>30</v>
      </c>
      <c r="E14" s="18" t="s">
        <v>31</v>
      </c>
      <c r="F14" s="18" t="s">
        <v>32</v>
      </c>
      <c r="G14" s="19" t="s">
        <v>33</v>
      </c>
      <c r="H14" s="18" t="s">
        <v>34</v>
      </c>
      <c r="I14" s="18" t="s">
        <v>35</v>
      </c>
      <c r="J14" s="18" t="s">
        <v>36</v>
      </c>
      <c r="K14" s="18" t="s">
        <v>36</v>
      </c>
      <c r="L14" s="18" t="s">
        <v>37</v>
      </c>
      <c r="M14" s="20" t="s">
        <v>38</v>
      </c>
      <c r="N14" s="21" t="s">
        <v>39</v>
      </c>
      <c r="O14" s="126"/>
      <c r="P14" s="126"/>
      <c r="Q14" s="127"/>
    </row>
    <row r="15" spans="1:17" ht="24.75" customHeight="1" x14ac:dyDescent="0.2">
      <c r="A15" s="42">
        <v>4</v>
      </c>
      <c r="B15" s="43">
        <v>0</v>
      </c>
      <c r="C15" s="43">
        <v>0</v>
      </c>
      <c r="D15" s="43">
        <v>1</v>
      </c>
      <c r="E15" s="43">
        <v>0</v>
      </c>
      <c r="F15" s="43">
        <v>4901</v>
      </c>
      <c r="G15" s="43">
        <v>1</v>
      </c>
      <c r="H15" s="43">
        <v>7</v>
      </c>
      <c r="I15" s="43">
        <v>2</v>
      </c>
      <c r="J15" s="43">
        <v>3</v>
      </c>
      <c r="K15" s="43">
        <v>1</v>
      </c>
      <c r="L15" s="43">
        <v>0</v>
      </c>
      <c r="M15" s="44">
        <v>1</v>
      </c>
      <c r="N15" s="43" t="s">
        <v>44</v>
      </c>
      <c r="O15" s="119" t="s">
        <v>115</v>
      </c>
      <c r="P15" s="119"/>
      <c r="Q15" s="83">
        <v>81000</v>
      </c>
    </row>
    <row r="16" spans="1:17" ht="24.75" customHeight="1" x14ac:dyDescent="0.2">
      <c r="A16" s="45">
        <v>4</v>
      </c>
      <c r="B16" s="46">
        <v>0</v>
      </c>
      <c r="C16" s="46">
        <v>0</v>
      </c>
      <c r="D16" s="46">
        <v>1</v>
      </c>
      <c r="E16" s="46">
        <v>0</v>
      </c>
      <c r="F16" s="46">
        <v>4901</v>
      </c>
      <c r="G16" s="46">
        <v>1</v>
      </c>
      <c r="H16" s="46">
        <v>7</v>
      </c>
      <c r="I16" s="46">
        <v>2</v>
      </c>
      <c r="J16" s="46">
        <v>3</v>
      </c>
      <c r="K16" s="46">
        <v>4</v>
      </c>
      <c r="L16" s="46">
        <v>0</v>
      </c>
      <c r="M16" s="47">
        <v>1</v>
      </c>
      <c r="N16" s="46" t="s">
        <v>44</v>
      </c>
      <c r="O16" s="121" t="s">
        <v>122</v>
      </c>
      <c r="P16" s="122"/>
      <c r="Q16" s="85">
        <v>300</v>
      </c>
    </row>
    <row r="17" spans="1:18" ht="29.25" customHeight="1" x14ac:dyDescent="0.2">
      <c r="A17" s="45">
        <v>4</v>
      </c>
      <c r="B17" s="46">
        <v>0</v>
      </c>
      <c r="C17" s="46">
        <v>0</v>
      </c>
      <c r="D17" s="46">
        <v>1</v>
      </c>
      <c r="E17" s="46">
        <v>0</v>
      </c>
      <c r="F17" s="46">
        <v>4901</v>
      </c>
      <c r="G17" s="46">
        <v>1</v>
      </c>
      <c r="H17" s="46">
        <v>7</v>
      </c>
      <c r="I17" s="46">
        <v>2</v>
      </c>
      <c r="J17" s="46">
        <v>9</v>
      </c>
      <c r="K17" s="46">
        <v>2</v>
      </c>
      <c r="L17" s="46">
        <v>0</v>
      </c>
      <c r="M17" s="47">
        <v>1</v>
      </c>
      <c r="N17" s="48" t="s">
        <v>44</v>
      </c>
      <c r="O17" s="120" t="s">
        <v>116</v>
      </c>
      <c r="P17" s="120"/>
      <c r="Q17" s="82">
        <v>77955</v>
      </c>
    </row>
    <row r="18" spans="1:18" ht="17.25" customHeight="1" x14ac:dyDescent="0.2">
      <c r="A18" s="45"/>
      <c r="B18" s="46"/>
      <c r="C18" s="46"/>
      <c r="D18" s="46"/>
      <c r="E18" s="46"/>
      <c r="F18" s="48"/>
      <c r="G18" s="46"/>
      <c r="H18" s="46"/>
      <c r="I18" s="46"/>
      <c r="J18" s="46"/>
      <c r="K18" s="46"/>
      <c r="L18" s="46"/>
      <c r="M18" s="47"/>
      <c r="N18" s="48"/>
      <c r="O18" s="114"/>
      <c r="P18" s="114"/>
      <c r="Q18" s="26"/>
    </row>
    <row r="19" spans="1:18" ht="17.25" customHeight="1" x14ac:dyDescent="0.2">
      <c r="A19" s="45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7"/>
      <c r="N19" s="48"/>
      <c r="O19" s="114"/>
      <c r="P19" s="114"/>
      <c r="Q19" s="26"/>
    </row>
    <row r="20" spans="1:18" ht="17.25" customHeight="1" x14ac:dyDescent="0.2">
      <c r="A20" s="45"/>
      <c r="B20" s="46"/>
      <c r="C20" s="46"/>
      <c r="D20" s="46"/>
      <c r="E20" s="46"/>
      <c r="F20" s="48"/>
      <c r="G20" s="46"/>
      <c r="H20" s="46"/>
      <c r="I20" s="46"/>
      <c r="J20" s="46"/>
      <c r="K20" s="46"/>
      <c r="L20" s="46"/>
      <c r="M20" s="47"/>
      <c r="N20" s="48"/>
      <c r="O20" s="114"/>
      <c r="P20" s="114"/>
      <c r="Q20" s="26"/>
    </row>
    <row r="21" spans="1:18" ht="17.25" customHeight="1" x14ac:dyDescent="0.2">
      <c r="A21" s="22"/>
      <c r="B21" s="23"/>
      <c r="C21" s="23"/>
      <c r="D21" s="23"/>
      <c r="E21" s="23"/>
      <c r="F21" s="25"/>
      <c r="G21" s="23"/>
      <c r="H21" s="23"/>
      <c r="I21" s="23"/>
      <c r="J21" s="23"/>
      <c r="K21" s="23"/>
      <c r="L21" s="23"/>
      <c r="M21" s="24"/>
      <c r="N21" s="25"/>
      <c r="O21" s="114"/>
      <c r="P21" s="114"/>
      <c r="Q21" s="26"/>
    </row>
    <row r="22" spans="1:18" ht="17.25" customHeight="1" x14ac:dyDescent="0.2">
      <c r="A22" s="27"/>
      <c r="B22" s="28"/>
      <c r="C22" s="28"/>
      <c r="D22" s="28"/>
      <c r="E22" s="28"/>
      <c r="F22" s="29"/>
      <c r="G22" s="28"/>
      <c r="H22" s="28"/>
      <c r="I22" s="28"/>
      <c r="J22" s="28"/>
      <c r="K22" s="28"/>
      <c r="L22" s="28"/>
      <c r="M22" s="30"/>
      <c r="N22" s="31"/>
      <c r="O22" s="115"/>
      <c r="P22" s="115"/>
      <c r="Q22" s="26"/>
      <c r="R22" s="1"/>
    </row>
    <row r="23" spans="1:18" ht="17.25" customHeight="1" x14ac:dyDescent="0.2">
      <c r="A23" s="32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4"/>
      <c r="N23" s="33"/>
      <c r="O23" s="116"/>
      <c r="P23" s="116"/>
      <c r="Q23" s="35"/>
    </row>
    <row r="24" spans="1:18" ht="33.75" customHeight="1" x14ac:dyDescent="0.2">
      <c r="A24" s="117" t="s">
        <v>124</v>
      </c>
      <c r="B24" s="117"/>
      <c r="C24" s="117"/>
      <c r="D24" s="117"/>
      <c r="E24" s="117"/>
      <c r="F24" s="117"/>
      <c r="G24" s="117"/>
      <c r="H24" s="117"/>
      <c r="I24" s="117"/>
      <c r="J24" s="117"/>
      <c r="K24" s="117"/>
      <c r="L24" s="117"/>
      <c r="M24" s="117"/>
      <c r="N24" s="117"/>
      <c r="O24" s="117"/>
      <c r="P24" s="117"/>
      <c r="Q24" s="36">
        <f>+Q15+Q16+Q17</f>
        <v>159255</v>
      </c>
    </row>
    <row r="25" spans="1:18" ht="18" customHeight="1" thickBot="1" x14ac:dyDescent="0.25">
      <c r="A25" s="118"/>
      <c r="B25" s="118"/>
      <c r="C25" s="118"/>
      <c r="D25" s="118"/>
      <c r="E25" s="118"/>
      <c r="F25" s="118"/>
      <c r="G25" s="118"/>
      <c r="H25" s="118"/>
      <c r="I25" s="118"/>
      <c r="J25" s="118"/>
      <c r="K25" s="118"/>
      <c r="L25" s="118"/>
      <c r="M25" s="118"/>
      <c r="N25" s="118"/>
      <c r="O25" s="118"/>
      <c r="P25" s="118"/>
      <c r="Q25" s="118"/>
    </row>
    <row r="26" spans="1:18" ht="17.25" customHeight="1" thickBot="1" x14ac:dyDescent="0.25">
      <c r="A26" s="109" t="s">
        <v>40</v>
      </c>
      <c r="B26" s="110"/>
      <c r="C26" s="110"/>
      <c r="D26" s="110"/>
      <c r="E26" s="110"/>
      <c r="F26" s="111"/>
      <c r="G26" s="112"/>
      <c r="H26" s="112"/>
      <c r="I26" s="112"/>
      <c r="J26" s="112"/>
      <c r="K26" s="112"/>
      <c r="L26" s="112"/>
      <c r="M26" s="112"/>
      <c r="N26" s="112"/>
      <c r="O26" s="112"/>
      <c r="P26" s="112"/>
      <c r="Q26" s="112"/>
    </row>
    <row r="27" spans="1:18" ht="18" customHeight="1" thickBot="1" x14ac:dyDescent="0.25">
      <c r="A27" s="113" t="s">
        <v>123</v>
      </c>
      <c r="B27" s="113"/>
      <c r="C27" s="113"/>
      <c r="D27" s="113"/>
      <c r="E27" s="113"/>
      <c r="F27" s="113"/>
      <c r="G27" s="113"/>
      <c r="H27" s="113"/>
      <c r="I27" s="113"/>
      <c r="J27" s="113"/>
      <c r="K27" s="113"/>
      <c r="L27" s="113"/>
      <c r="M27" s="113"/>
      <c r="N27" s="113"/>
      <c r="O27" s="113"/>
      <c r="P27" s="113"/>
      <c r="Q27" s="113"/>
    </row>
    <row r="28" spans="1:18" ht="15" customHeight="1" thickBot="1" x14ac:dyDescent="0.25">
      <c r="A28" s="113"/>
      <c r="B28" s="113"/>
      <c r="C28" s="113"/>
      <c r="D28" s="113"/>
      <c r="E28" s="113"/>
      <c r="F28" s="113"/>
      <c r="G28" s="113"/>
      <c r="H28" s="113"/>
      <c r="I28" s="113"/>
      <c r="J28" s="113"/>
      <c r="K28" s="113"/>
      <c r="L28" s="113"/>
      <c r="M28" s="113"/>
      <c r="N28" s="113"/>
      <c r="O28" s="113"/>
      <c r="P28" s="113"/>
      <c r="Q28" s="113"/>
    </row>
    <row r="29" spans="1:18" ht="15.75" thickBot="1" x14ac:dyDescent="0.25">
      <c r="A29" s="109" t="s">
        <v>45</v>
      </c>
      <c r="B29" s="110"/>
      <c r="C29" s="110"/>
      <c r="D29" s="110"/>
      <c r="E29" s="110"/>
      <c r="F29" s="111"/>
      <c r="G29" s="112"/>
      <c r="H29" s="112"/>
      <c r="I29" s="112"/>
      <c r="J29" s="112"/>
      <c r="K29" s="112"/>
      <c r="L29" s="112"/>
      <c r="M29" s="112"/>
      <c r="N29" s="112"/>
      <c r="O29" s="112"/>
      <c r="P29" s="112"/>
      <c r="Q29" s="112"/>
    </row>
    <row r="30" spans="1:18" ht="13.5" thickBot="1" x14ac:dyDescent="0.25">
      <c r="A30" s="113"/>
      <c r="B30" s="113"/>
      <c r="C30" s="113"/>
      <c r="D30" s="113"/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</row>
    <row r="31" spans="1:18" ht="13.5" thickBot="1" x14ac:dyDescent="0.25">
      <c r="A31" s="113"/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</row>
  </sheetData>
  <mergeCells count="35">
    <mergeCell ref="A29:F29"/>
    <mergeCell ref="G29:Q29"/>
    <mergeCell ref="A30:Q31"/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7:P17"/>
    <mergeCell ref="O18:P18"/>
    <mergeCell ref="O19:P19"/>
    <mergeCell ref="O20:P20"/>
    <mergeCell ref="O16:P16"/>
    <mergeCell ref="A26:F26"/>
    <mergeCell ref="G26:Q26"/>
    <mergeCell ref="A27:Q28"/>
    <mergeCell ref="O21:P21"/>
    <mergeCell ref="O22:P22"/>
    <mergeCell ref="O23:P23"/>
    <mergeCell ref="A24:P24"/>
    <mergeCell ref="A25:Q25"/>
  </mergeCells>
  <phoneticPr fontId="21" type="noConversion"/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</dc:creator>
  <dc:description/>
  <cp:lastModifiedBy>JOHANA AYBAR</cp:lastModifiedBy>
  <cp:revision>2</cp:revision>
  <cp:lastPrinted>2020-07-17T22:18:48Z</cp:lastPrinted>
  <dcterms:created xsi:type="dcterms:W3CDTF">2020-07-17T23:44:49Z</dcterms:created>
  <dcterms:modified xsi:type="dcterms:W3CDTF">2021-07-01T16:38:57Z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