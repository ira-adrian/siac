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839489-CAT-DPPR#MHP\"/>
    </mc:Choice>
  </mc:AlternateContent>
  <xr:revisionPtr revIDLastSave="0" documentId="8_{BA093749-4048-45FB-8BBC-D651036011C2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NP" sheetId="5" r:id="rId2"/>
    <sheet name="APG" sheetId="4" r:id="rId3"/>
  </sheets>
  <definedNames>
    <definedName name="_xlnm._FilterDatabase" localSheetId="0" hidden="1">'Necesidades Trimestrales (2)'!$A$9:$AU$14</definedName>
  </definedNames>
  <calcPr calcId="181029"/>
</workbook>
</file>

<file path=xl/calcChain.xml><?xml version="1.0" encoding="utf-8"?>
<calcChain xmlns="http://schemas.openxmlformats.org/spreadsheetml/2006/main">
  <c r="C22" i="3" l="1"/>
  <c r="C21" i="3"/>
  <c r="C20" i="3"/>
  <c r="C19" i="3"/>
  <c r="A26" i="4" l="1"/>
  <c r="G5" i="4"/>
  <c r="G6" i="4"/>
  <c r="G7" i="4"/>
  <c r="G4" i="4"/>
  <c r="J13" i="5"/>
  <c r="J14" i="5"/>
  <c r="J15" i="5"/>
  <c r="J12" i="5"/>
  <c r="I13" i="5"/>
  <c r="I14" i="5"/>
  <c r="I15" i="5"/>
  <c r="I12" i="5"/>
  <c r="C13" i="5"/>
  <c r="C12" i="5"/>
  <c r="B13" i="5"/>
  <c r="B14" i="5"/>
  <c r="B15" i="5"/>
  <c r="B12" i="5"/>
  <c r="AS10" i="3" l="1"/>
  <c r="AS11" i="3"/>
  <c r="AS12" i="3"/>
  <c r="AS13" i="3"/>
  <c r="AN10" i="3"/>
  <c r="AN11" i="3"/>
  <c r="AN12" i="3"/>
  <c r="AN13" i="3"/>
  <c r="C15" i="5"/>
  <c r="C14" i="5"/>
  <c r="AU13" i="3" l="1"/>
  <c r="K15" i="5"/>
  <c r="M15" i="5" s="1"/>
  <c r="AU12" i="3"/>
  <c r="K14" i="5"/>
  <c r="M14" i="5" s="1"/>
  <c r="AU11" i="3"/>
  <c r="K13" i="5"/>
  <c r="M13" i="5" s="1"/>
  <c r="AU10" i="3"/>
  <c r="K12" i="5"/>
  <c r="M12" i="5" s="1"/>
  <c r="AU14" i="3"/>
  <c r="M17" i="5" l="1"/>
  <c r="Q15" i="4" l="1"/>
  <c r="Q23" i="4" s="1"/>
  <c r="J17" i="5"/>
</calcChain>
</file>

<file path=xl/sharedStrings.xml><?xml version="1.0" encoding="utf-8"?>
<sst xmlns="http://schemas.openxmlformats.org/spreadsheetml/2006/main" count="150" uniqueCount="135">
  <si>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</si>
  <si>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</si>
  <si>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</si>
  <si>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</si>
  <si>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</si>
  <si>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</si>
  <si>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</si>
  <si>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</si>
  <si>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</si>
  <si>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</si>
  <si>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</si>
  <si>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</si>
  <si>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</si>
  <si>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</si>
  <si>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</si>
  <si>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</si>
  <si>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</si>
  <si>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</si>
  <si>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</si>
  <si>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</si>
  <si>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</si>
  <si>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</si>
  <si>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</si>
  <si>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</si>
  <si>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</si>
  <si>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</si>
  <si>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</si>
  <si>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</si>
  <si>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</si>
  <si>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</si>
  <si>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</si>
  <si>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</si>
  <si>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</si>
  <si>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</si>
  <si>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</si>
  <si>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</si>
  <si>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</si>
  <si>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</si>
  <si>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</si>
  <si>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</si>
  <si>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</si>
  <si>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</si>
  <si>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</si>
  <si>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</si>
  <si>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</si>
  <si>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</si>
  <si>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</si>
  <si>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</si>
  <si>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</si>
  <si>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</si>
  <si>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4.3.6-6160.221</t>
  </si>
  <si>
    <t>INFORMATICA</t>
  </si>
  <si>
    <t>COMPUTADORAS; TIPO: DE ESCRITORIO, CODIGO ETAP: PC-002-00, VERSION ETAP: 23.0</t>
  </si>
  <si>
    <t>4.3.6-6169.98</t>
  </si>
  <si>
    <t>MONITORES; TIPO: TFT/LCD/LED ESTANDAR, CODIGO ETAP: MN-005, VERSION ETAP: 21.0</t>
  </si>
  <si>
    <t>4.3.6-6160.225</t>
  </si>
  <si>
    <t>4.3.6-6191.81</t>
  </si>
  <si>
    <t>TOTAL</t>
  </si>
  <si>
    <t xml:space="preserve">Procesador Intel Core I3, 4 nucleos (4hilos), 6 Mb smartcache 4,20 Ghz, modelo 9100 0 superior. Memoria Ram de 6 Gb o superior tipo DDR4. Disco de estado solido de SSD 500Gb o superior. Fuente de poder 550 watts o superior.  Placa Madre con salida de video HDMI y VGA. Sistema Operativo Gratuito (OS FREE, Libre). Kit de Teclado, Mouse y parlante.                </t>
  </si>
  <si>
    <t xml:space="preserve">Monitor 19" tecnología LED tamaño de pantalla 18.5". Resolución Maxima:1366 x 768. Relación de Aspecto: 16:9, Angulo de Visión: 170° / 160° (H/V), Colores Despegables: 16.7 Millones de Colores Contraste Dinámico: 50,000,000:1, Brillo: 250 cd/m2, Tiempo de Respuesta: 5 ms Frecuencia de Actualización: 60 Hz Entradas: VGA y HDMI.     </t>
  </si>
  <si>
    <t xml:space="preserve">Procesador Intel Core I3, 4 nucleos (4hilos), 6 Mb smartcache 4,20 Ghz, modelo 9100 0 superior. Memoria Ram de 8 Gb o superior tipo DDR4. Disco de estado solido de HDD 1TB. Sistema Operativo Windows 10 Home, Tamaño de pantalla 14,1 pulgadas resolucion de pantalla 1366x768, placa de video Intel Conectividad Wi-Fi, puertos 2 usb 3.1 de primera generacion 1 usb 2.0, puerto hdmi, Bluetooth, placa de red, Camara, Teclado numerico, bateria 3 celdas.              </t>
  </si>
  <si>
    <t xml:space="preserve">Voltaje de entrada: 110V/220V, Potencia pico: 500VA, Autonomía máxima de la batería: 18 m, Cantidad de tomas: 4, Tipo de UPS: Interactiva.            
Rango de estabilización de salida 10%, Tipos de alarma sonora Modo de batería,Sobrecarga,Falla, Dispositivos aptos Faxes,Módems,Computadoras, Teléfonos,Routers, Con botón de encendido/apagado Sí, Con indicador LED Sí, Nivel máximo de ruido 40 dB
Potencia pico 500VA, Potencia nominal 500 VA, Voltaje de entrada 110V/220V, Voltaje de salida 220, Denominación de voltaje Monovolt
Rango de voltaje de entrada 250w, Rango de voltaje de entrada CA 220; Batería: Autonomía máxima de la batería 18 m
Tiempo máximo de carga 4 h. </t>
  </si>
  <si>
    <t>SEC PREV</t>
  </si>
  <si>
    <t>TOTAL SEC PREVEN</t>
  </si>
  <si>
    <t>DIR DE ADM</t>
  </si>
  <si>
    <t>TOTAL DIR ADM</t>
  </si>
  <si>
    <t>TOTAL DE EQUIPAMIENTO INFORMATICO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</si>
  <si>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</si>
  <si>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</si>
  <si>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</si>
  <si>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</si>
  <si>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</si>
  <si>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</si>
  <si>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</si>
  <si>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</si>
  <si>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</si>
  <si>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</si>
  <si>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</si>
  <si>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</si>
  <si>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</si>
  <si>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</si>
  <si>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</si>
  <si>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</si>
  <si>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</si>
  <si>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</si>
  <si>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</si>
  <si>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</si>
  <si>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</si>
  <si>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</si>
  <si>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</si>
  <si>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</si>
  <si>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</si>
  <si>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</si>
  <si>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</si>
  <si>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</si>
  <si>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</si>
  <si>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</si>
  <si>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</si>
  <si>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</si>
  <si>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</si>
  <si>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</si>
  <si>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</si>
  <si>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</si>
  <si>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</si>
  <si>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</si>
  <si>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</si>
  <si>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</si>
  <si>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</si>
  <si>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040 - MINISTERIO DE SALUD</t>
  </si>
  <si>
    <t>011 - DIRECCION PROVINCIAL DE ADMINISTRACION - MINISTERIO DE SALUD</t>
  </si>
  <si>
    <t>TERCER TRIMESTRE</t>
  </si>
  <si>
    <t>Adquisicion del  RUBRO EQUIPAMIENTO INFORMATICO</t>
  </si>
  <si>
    <t>382 - SECRETARIA DE PLANIFICACION Y GESTION EN SALUD</t>
  </si>
  <si>
    <t>3° TRIMESTRE</t>
  </si>
  <si>
    <t>TOTAL DE PESOS:  DIECISIETE MILLONES CUATROCIENTOS TREINTA Y CUATRO MIL QUINIENTOS con 00/100</t>
  </si>
  <si>
    <t>Costo total estimado: DIECISIETE MILLONES CUATROCIENTOS TREINTA Y CUATRO MIL QUINIENTOS con 00/100</t>
  </si>
  <si>
    <t xml:space="preserve">diez (10) días hábiles </t>
  </si>
  <si>
    <t>MINISTERIO DE SALUD - Chacabuco N° 169</t>
  </si>
  <si>
    <t>Calidad Minima esperada</t>
  </si>
  <si>
    <t>Mantenimiento</t>
  </si>
  <si>
    <t>45 días habiles, renovables por igual periodo automáticamente</t>
  </si>
  <si>
    <t>Garantia</t>
  </si>
  <si>
    <t>un (1) año</t>
  </si>
  <si>
    <t>Plazos de entrega:</t>
  </si>
  <si>
    <t>Lugar de entrega:</t>
  </si>
  <si>
    <t>Item 1:</t>
  </si>
  <si>
    <t>Especificidades y Descripcion Tecnica</t>
  </si>
  <si>
    <t>Item 2:</t>
  </si>
  <si>
    <t>Item 3:</t>
  </si>
  <si>
    <t>Item 4:</t>
  </si>
  <si>
    <t>EQUIPOS PARA COMPUTACION</t>
  </si>
  <si>
    <t xml:space="preserve"> 41/2021</t>
  </si>
  <si>
    <t>Autorizo la realización de los  trámites correspondientes, a fin de proveer a  este Organismo los bienes que se detallan en Nota de pedido y Entrega N° 41/2021,  afectando la erogación resultante a los créditos presupuestarios aprobados a favor de esta Unidad Ejecutora, conforme al siguiente detalle:</t>
  </si>
  <si>
    <t>COMPUTADORAS; TIPO: NOTEBOOK, CODIGO: ETAP PC-006, VERSION: ETAP 24.0</t>
  </si>
  <si>
    <t>UPS; TIPO: P/ESTACIONES DE TRABAJO, CODIGO ETAP: UPS-001, VERSION ETAP: 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</si>
</sst>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_-&quot;$&quot;\ * #,##0.000_-;\-&quot;$&quot;\ * #,##0.000_-;_-&quot;$&quot;\ * &quot;-&quot;??_-;_-@_-"/>
    <numFmt numFmtId="171" formatCode="dd\-mm\-yy;@"/>
    <numFmt numFmtId="172" formatCode="_(\$* #,##0.00_);_(\$* \(#,##0.00\);_(\$* \-??_);_(@_)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333333"/>
      <name val="Times New Roman"/>
      <family val="1"/>
    </font>
    <font>
      <sz val="10"/>
      <color theme="0"/>
      <name val="Arial"/>
      <family val="2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5" fontId="6" fillId="0" borderId="0" applyBorder="0" applyProtection="0"/>
    <xf numFmtId="0" fontId="4" fillId="0" borderId="1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5" fontId="6" fillId="0" borderId="0" applyBorder="0" applyProtection="0"/>
    <xf numFmtId="0" fontId="2" fillId="0" borderId="0"/>
    <xf numFmtId="0" fontId="2" fillId="0" borderId="0"/>
    <xf numFmtId="0" fontId="1" fillId="0" borderId="0"/>
    <xf numFmtId="172" fontId="24" fillId="0" borderId="0" applyBorder="0" applyProtection="0"/>
  </cellStyleXfs>
  <cellXfs count="246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8" fontId="7" fillId="0" borderId="0" xfId="0" applyNumberFormat="1" applyFont="1" applyAlignment="1">
      <alignment horizontal="center"/>
    </xf>
    <xf numFmtId="0" fontId="15" fillId="0" borderId="6" xfId="0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0" fontId="15" fillId="0" borderId="6" xfId="13" applyFont="1" applyBorder="1" applyAlignment="1">
      <alignment horizontal="center" vertical="center"/>
    </xf>
    <xf numFmtId="0" fontId="15" fillId="0" borderId="6" xfId="13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169" fontId="15" fillId="0" borderId="6" xfId="0" applyNumberFormat="1" applyFont="1" applyBorder="1" applyAlignment="1">
      <alignment horizontal="center" vertical="center"/>
    </xf>
    <xf numFmtId="166" fontId="15" fillId="4" borderId="6" xfId="0" applyNumberFormat="1" applyFont="1" applyFill="1" applyBorder="1" applyAlignment="1">
      <alignment vertical="center"/>
    </xf>
    <xf numFmtId="0" fontId="16" fillId="0" borderId="6" xfId="13" applyFont="1" applyBorder="1" applyAlignment="1">
      <alignment horizontal="center" vertical="center" wrapText="1"/>
    </xf>
    <xf numFmtId="0" fontId="15" fillId="0" borderId="9" xfId="13" applyFont="1" applyBorder="1" applyAlignment="1">
      <alignment horizontal="center" vertical="center"/>
    </xf>
    <xf numFmtId="0" fontId="15" fillId="0" borderId="6" xfId="13" applyFont="1" applyBorder="1" applyAlignment="1">
      <alignment horizontal="left" vertical="center" wrapText="1"/>
    </xf>
    <xf numFmtId="0" fontId="16" fillId="3" borderId="6" xfId="13" applyFont="1" applyFill="1" applyBorder="1" applyAlignment="1">
      <alignment horizontal="center" vertical="center" wrapText="1"/>
    </xf>
    <xf numFmtId="0" fontId="15" fillId="0" borderId="10" xfId="13" applyFont="1" applyBorder="1" applyAlignment="1">
      <alignment horizontal="center" vertical="center"/>
    </xf>
    <xf numFmtId="0" fontId="15" fillId="0" borderId="11" xfId="13" applyFont="1" applyBorder="1" applyAlignment="1">
      <alignment horizontal="left" vertical="center" wrapText="1"/>
    </xf>
    <xf numFmtId="0" fontId="15" fillId="0" borderId="12" xfId="13" applyFont="1" applyBorder="1" applyAlignment="1">
      <alignment horizontal="center" vertical="center"/>
    </xf>
    <xf numFmtId="0" fontId="15" fillId="0" borderId="8" xfId="13" applyFont="1" applyBorder="1" applyAlignment="1">
      <alignment horizontal="center" vertical="center"/>
    </xf>
    <xf numFmtId="0" fontId="16" fillId="0" borderId="8" xfId="13" applyFont="1" applyBorder="1" applyAlignment="1">
      <alignment horizontal="center" vertical="center" wrapText="1"/>
    </xf>
    <xf numFmtId="0" fontId="16" fillId="3" borderId="8" xfId="13" applyFont="1" applyFill="1" applyBorder="1" applyAlignment="1">
      <alignment horizontal="center" vertical="center" wrapText="1"/>
    </xf>
    <xf numFmtId="168" fontId="9" fillId="0" borderId="0" xfId="0" applyNumberFormat="1" applyFont="1" applyAlignment="1">
      <alignment horizontal="center" wrapText="1"/>
    </xf>
    <xf numFmtId="0" fontId="18" fillId="0" borderId="0" xfId="0" applyFont="1" applyAlignment="1">
      <alignment wrapText="1"/>
    </xf>
    <xf numFmtId="0" fontId="15" fillId="0" borderId="0" xfId="0" applyFont="1"/>
    <xf numFmtId="0" fontId="18" fillId="0" borderId="0" xfId="0" applyFont="1"/>
    <xf numFmtId="0" fontId="15" fillId="0" borderId="11" xfId="0" applyFont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166" fontId="22" fillId="0" borderId="0" xfId="0" applyNumberFormat="1" applyFont="1"/>
    <xf numFmtId="166" fontId="7" fillId="0" borderId="28" xfId="13" applyNumberFormat="1" applyFont="1" applyBorder="1" applyAlignment="1">
      <alignment horizontal="center" vertical="center"/>
    </xf>
    <xf numFmtId="3" fontId="26" fillId="0" borderId="0" xfId="13" applyNumberFormat="1" applyFont="1" applyBorder="1" applyAlignment="1"/>
    <xf numFmtId="171" fontId="6" fillId="0" borderId="0" xfId="13" applyNumberFormat="1" applyAlignment="1">
      <alignment horizontal="left"/>
    </xf>
    <xf numFmtId="0" fontId="6" fillId="0" borderId="0" xfId="13"/>
    <xf numFmtId="0" fontId="6" fillId="0" borderId="0" xfId="13" applyAlignment="1">
      <alignment horizontal="left"/>
    </xf>
    <xf numFmtId="0" fontId="28" fillId="4" borderId="18" xfId="13" applyFont="1" applyFill="1" applyBorder="1" applyAlignment="1">
      <alignment vertical="center"/>
    </xf>
    <xf numFmtId="0" fontId="28" fillId="4" borderId="36" xfId="13" applyFont="1" applyFill="1" applyBorder="1" applyAlignment="1">
      <alignment vertical="center"/>
    </xf>
    <xf numFmtId="0" fontId="28" fillId="4" borderId="37" xfId="13" applyFont="1" applyFill="1" applyBorder="1" applyAlignment="1">
      <alignment vertical="center"/>
    </xf>
    <xf numFmtId="0" fontId="6" fillId="0" borderId="0" xfId="13" applyBorder="1"/>
    <xf numFmtId="0" fontId="6" fillId="0" borderId="15" xfId="13" applyBorder="1"/>
    <xf numFmtId="0" fontId="6" fillId="0" borderId="39" xfId="13" applyBorder="1"/>
    <xf numFmtId="0" fontId="6" fillId="0" borderId="17" xfId="13" applyBorder="1"/>
    <xf numFmtId="0" fontId="6" fillId="0" borderId="17" xfId="13" applyBorder="1" applyAlignment="1">
      <alignment horizontal="left"/>
    </xf>
    <xf numFmtId="0" fontId="6" fillId="0" borderId="40" xfId="13" applyBorder="1"/>
    <xf numFmtId="0" fontId="30" fillId="0" borderId="43" xfId="13" applyFont="1" applyBorder="1" applyAlignment="1">
      <alignment horizontal="center" vertical="center"/>
    </xf>
    <xf numFmtId="0" fontId="30" fillId="0" borderId="44" xfId="13" applyFont="1" applyBorder="1" applyAlignment="1">
      <alignment horizontal="center" vertical="center"/>
    </xf>
    <xf numFmtId="0" fontId="30" fillId="0" borderId="44" xfId="13" applyFont="1" applyBorder="1" applyAlignment="1">
      <alignment horizontal="left" vertical="center"/>
    </xf>
    <xf numFmtId="0" fontId="30" fillId="0" borderId="45" xfId="13" applyFont="1" applyBorder="1" applyAlignment="1">
      <alignment horizontal="center" vertical="center"/>
    </xf>
    <xf numFmtId="0" fontId="30" fillId="0" borderId="46" xfId="13" applyFont="1" applyBorder="1" applyAlignment="1">
      <alignment horizontal="center" vertical="center"/>
    </xf>
    <xf numFmtId="0" fontId="6" fillId="3" borderId="47" xfId="13" applyFont="1" applyFill="1" applyBorder="1" applyAlignment="1">
      <alignment horizontal="center" vertical="center"/>
    </xf>
    <xf numFmtId="0" fontId="6" fillId="3" borderId="48" xfId="13" applyFont="1" applyFill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3" borderId="49" xfId="13" applyFont="1" applyFill="1" applyBorder="1" applyAlignment="1">
      <alignment horizontal="center" vertical="center"/>
    </xf>
    <xf numFmtId="0" fontId="6" fillId="3" borderId="48" xfId="13" applyFill="1" applyBorder="1" applyAlignment="1">
      <alignment horizontal="center" vertical="center"/>
    </xf>
    <xf numFmtId="167" fontId="0" fillId="0" borderId="50" xfId="25" applyNumberFormat="1" applyFont="1" applyBorder="1" applyAlignment="1" applyProtection="1">
      <alignment horizontal="center" vertical="center"/>
    </xf>
    <xf numFmtId="0" fontId="6" fillId="0" borderId="51" xfId="13" applyFont="1" applyBorder="1" applyAlignment="1">
      <alignment horizontal="center" vertical="center"/>
    </xf>
    <xf numFmtId="0" fontId="6" fillId="0" borderId="52" xfId="13" applyFont="1" applyBorder="1" applyAlignment="1">
      <alignment horizontal="center" vertical="center"/>
    </xf>
    <xf numFmtId="0" fontId="6" fillId="0" borderId="53" xfId="13" applyFont="1" applyBorder="1" applyAlignment="1">
      <alignment horizontal="center" vertical="center"/>
    </xf>
    <xf numFmtId="0" fontId="6" fillId="0" borderId="54" xfId="13" applyFont="1" applyBorder="1" applyAlignment="1">
      <alignment horizontal="center" vertical="center"/>
    </xf>
    <xf numFmtId="167" fontId="0" fillId="0" borderId="55" xfId="25" applyNumberFormat="1" applyFont="1" applyBorder="1" applyAlignment="1" applyProtection="1">
      <alignment horizontal="center" vertical="center"/>
    </xf>
    <xf numFmtId="0" fontId="28" fillId="0" borderId="51" xfId="13" applyFont="1" applyBorder="1" applyAlignment="1">
      <alignment horizontal="center" vertical="center"/>
    </xf>
    <xf numFmtId="0" fontId="28" fillId="0" borderId="52" xfId="13" applyFont="1" applyBorder="1" applyAlignment="1">
      <alignment horizontal="center" vertical="center"/>
    </xf>
    <xf numFmtId="0" fontId="6" fillId="0" borderId="54" xfId="13" applyBorder="1" applyAlignment="1">
      <alignment horizontal="center" vertical="center"/>
    </xf>
    <xf numFmtId="0" fontId="28" fillId="0" borderId="53" xfId="13" applyFont="1" applyBorder="1" applyAlignment="1">
      <alignment horizontal="center" vertical="center"/>
    </xf>
    <xf numFmtId="0" fontId="28" fillId="0" borderId="54" xfId="13" applyFont="1" applyBorder="1" applyAlignment="1">
      <alignment horizontal="center" vertical="center"/>
    </xf>
    <xf numFmtId="0" fontId="6" fillId="0" borderId="56" xfId="13" applyBorder="1" applyAlignment="1">
      <alignment horizontal="center" vertical="center"/>
    </xf>
    <xf numFmtId="0" fontId="6" fillId="0" borderId="57" xfId="13" applyBorder="1" applyAlignment="1">
      <alignment horizontal="center" vertical="center"/>
    </xf>
    <xf numFmtId="0" fontId="6" fillId="0" borderId="58" xfId="13" applyBorder="1" applyAlignment="1">
      <alignment horizontal="center" vertical="center"/>
    </xf>
    <xf numFmtId="167" fontId="0" fillId="0" borderId="59" xfId="25" applyNumberFormat="1" applyFont="1" applyBorder="1" applyAlignment="1" applyProtection="1">
      <alignment horizontal="center" vertical="center"/>
    </xf>
    <xf numFmtId="167" fontId="30" fillId="0" borderId="60" xfId="13" applyNumberFormat="1" applyFont="1" applyBorder="1" applyAlignment="1">
      <alignment horizontal="center" vertical="center"/>
    </xf>
    <xf numFmtId="0" fontId="28" fillId="3" borderId="38" xfId="13" applyFont="1" applyFill="1" applyBorder="1" applyAlignment="1">
      <alignment vertical="center"/>
    </xf>
    <xf numFmtId="0" fontId="28" fillId="3" borderId="0" xfId="13" applyFont="1" applyFill="1" applyBorder="1" applyAlignment="1">
      <alignment vertical="center" wrapText="1"/>
    </xf>
    <xf numFmtId="0" fontId="28" fillId="3" borderId="15" xfId="13" applyFont="1" applyFill="1" applyBorder="1" applyAlignment="1">
      <alignment vertical="center" wrapText="1"/>
    </xf>
    <xf numFmtId="0" fontId="28" fillId="3" borderId="39" xfId="13" applyFont="1" applyFill="1" applyBorder="1" applyAlignment="1">
      <alignment vertical="center" wrapText="1"/>
    </xf>
    <xf numFmtId="0" fontId="28" fillId="3" borderId="17" xfId="13" applyFont="1" applyFill="1" applyBorder="1" applyAlignment="1">
      <alignment vertical="center" wrapText="1"/>
    </xf>
    <xf numFmtId="0" fontId="28" fillId="3" borderId="40" xfId="13" applyFont="1" applyFill="1" applyBorder="1" applyAlignment="1">
      <alignment vertical="center" wrapText="1"/>
    </xf>
    <xf numFmtId="166" fontId="13" fillId="0" borderId="0" xfId="1" applyNumberFormat="1" applyFont="1" applyAlignment="1">
      <alignment vertical="center"/>
    </xf>
    <xf numFmtId="166" fontId="15" fillId="3" borderId="6" xfId="11" applyNumberFormat="1" applyFont="1" applyFill="1" applyBorder="1" applyAlignment="1" applyProtection="1">
      <alignment horizontal="center" vertical="center" wrapText="1"/>
    </xf>
    <xf numFmtId="166" fontId="15" fillId="3" borderId="8" xfId="11" applyNumberFormat="1" applyFont="1" applyFill="1" applyBorder="1" applyAlignment="1" applyProtection="1">
      <alignment horizontal="center" vertical="center" wrapText="1"/>
    </xf>
    <xf numFmtId="0" fontId="15" fillId="0" borderId="8" xfId="13" applyFont="1" applyBorder="1" applyAlignment="1">
      <alignment vertical="center" wrapText="1"/>
    </xf>
    <xf numFmtId="168" fontId="15" fillId="0" borderId="6" xfId="0" applyNumberFormat="1" applyFont="1" applyBorder="1" applyAlignment="1">
      <alignment horizontal="center" vertical="center"/>
    </xf>
    <xf numFmtId="0" fontId="15" fillId="0" borderId="6" xfId="13" applyFont="1" applyBorder="1" applyAlignment="1">
      <alignment vertical="center" wrapText="1"/>
    </xf>
    <xf numFmtId="1" fontId="15" fillId="0" borderId="11" xfId="0" applyNumberFormat="1" applyFont="1" applyBorder="1" applyAlignment="1">
      <alignment horizontal="center" vertical="center"/>
    </xf>
    <xf numFmtId="169" fontId="15" fillId="0" borderId="11" xfId="0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0" fontId="15" fillId="0" borderId="61" xfId="0" applyNumberFormat="1" applyFont="1" applyBorder="1" applyAlignment="1">
      <alignment vertical="center" wrapText="1"/>
    </xf>
    <xf numFmtId="0" fontId="17" fillId="0" borderId="11" xfId="0" applyFont="1" applyBorder="1" applyAlignment="1">
      <alignment horizontal="center" vertical="center" wrapText="1"/>
    </xf>
    <xf numFmtId="0" fontId="15" fillId="0" borderId="11" xfId="13" applyFont="1" applyBorder="1" applyAlignment="1">
      <alignment horizontal="center" vertical="center" wrapText="1"/>
    </xf>
    <xf numFmtId="0" fontId="16" fillId="0" borderId="11" xfId="13" applyFont="1" applyBorder="1" applyAlignment="1">
      <alignment horizontal="center" vertical="center" wrapText="1"/>
    </xf>
    <xf numFmtId="0" fontId="16" fillId="3" borderId="11" xfId="13" applyFont="1" applyFill="1" applyBorder="1" applyAlignment="1">
      <alignment horizontal="center" vertical="center" wrapText="1"/>
    </xf>
    <xf numFmtId="166" fontId="15" fillId="3" borderId="11" xfId="11" applyNumberFormat="1" applyFont="1" applyFill="1" applyBorder="1" applyAlignment="1" applyProtection="1">
      <alignment horizontal="center" vertical="center" wrapText="1"/>
    </xf>
    <xf numFmtId="166" fontId="15" fillId="4" borderId="11" xfId="0" applyNumberFormat="1" applyFont="1" applyFill="1" applyBorder="1" applyAlignment="1">
      <alignment vertical="center"/>
    </xf>
    <xf numFmtId="0" fontId="15" fillId="0" borderId="62" xfId="0" applyNumberFormat="1" applyFont="1" applyBorder="1" applyAlignment="1">
      <alignment vertical="center" wrapText="1"/>
    </xf>
    <xf numFmtId="0" fontId="15" fillId="0" borderId="6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3" fontId="17" fillId="0" borderId="13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166" fontId="15" fillId="0" borderId="13" xfId="1" applyNumberFormat="1" applyFont="1" applyBorder="1" applyAlignment="1">
      <alignment vertical="center"/>
    </xf>
    <xf numFmtId="166" fontId="19" fillId="0" borderId="13" xfId="0" applyNumberFormat="1" applyFont="1" applyBorder="1" applyAlignment="1">
      <alignment vertical="center"/>
    </xf>
    <xf numFmtId="166" fontId="15" fillId="0" borderId="14" xfId="0" applyNumberFormat="1" applyFont="1" applyBorder="1" applyAlignment="1">
      <alignment horizontal="right" vertical="center"/>
    </xf>
    <xf numFmtId="0" fontId="15" fillId="0" borderId="8" xfId="0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169" fontId="15" fillId="0" borderId="8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center" vertical="center"/>
    </xf>
    <xf numFmtId="166" fontId="15" fillId="4" borderId="8" xfId="0" applyNumberFormat="1" applyFont="1" applyFill="1" applyBorder="1" applyAlignment="1">
      <alignment vertical="center"/>
    </xf>
    <xf numFmtId="0" fontId="15" fillId="0" borderId="64" xfId="0" applyNumberFormat="1" applyFont="1" applyBorder="1" applyAlignment="1">
      <alignment vertical="center" wrapText="1"/>
    </xf>
    <xf numFmtId="0" fontId="8" fillId="0" borderId="6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169" fontId="8" fillId="0" borderId="13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168" fontId="8" fillId="0" borderId="13" xfId="0" applyNumberFormat="1" applyFont="1" applyBorder="1" applyAlignment="1">
      <alignment horizontal="center" vertical="center" wrapText="1"/>
    </xf>
    <xf numFmtId="3" fontId="8" fillId="5" borderId="13" xfId="0" applyNumberFormat="1" applyFont="1" applyFill="1" applyBorder="1" applyAlignment="1">
      <alignment horizontal="center" vertical="center" wrapText="1"/>
    </xf>
    <xf numFmtId="166" fontId="8" fillId="0" borderId="14" xfId="0" applyNumberFormat="1" applyFont="1" applyBorder="1" applyAlignment="1">
      <alignment horizontal="center" vertical="center" wrapText="1"/>
    </xf>
    <xf numFmtId="0" fontId="31" fillId="0" borderId="15" xfId="13" applyFont="1" applyBorder="1" applyAlignment="1">
      <alignment horizontal="right" vertical="center"/>
    </xf>
    <xf numFmtId="17" fontId="32" fillId="3" borderId="16" xfId="13" applyNumberFormat="1" applyFont="1" applyFill="1" applyBorder="1" applyAlignment="1">
      <alignment horizontal="center" vertical="center"/>
    </xf>
    <xf numFmtId="0" fontId="31" fillId="0" borderId="17" xfId="13" applyFont="1" applyBorder="1" applyAlignment="1">
      <alignment vertical="center"/>
    </xf>
    <xf numFmtId="0" fontId="31" fillId="0" borderId="0" xfId="13" applyFont="1" applyBorder="1" applyAlignment="1">
      <alignment vertical="center"/>
    </xf>
    <xf numFmtId="0" fontId="32" fillId="0" borderId="19" xfId="13" applyFont="1" applyBorder="1" applyAlignment="1">
      <alignment vertical="center"/>
    </xf>
    <xf numFmtId="0" fontId="32" fillId="0" borderId="20" xfId="13" applyFont="1" applyBorder="1" applyAlignment="1">
      <alignment vertical="center"/>
    </xf>
    <xf numFmtId="0" fontId="32" fillId="0" borderId="21" xfId="13" applyFont="1" applyBorder="1" applyAlignment="1">
      <alignment vertical="center"/>
    </xf>
    <xf numFmtId="0" fontId="32" fillId="0" borderId="20" xfId="13" applyFont="1" applyBorder="1" applyAlignment="1">
      <alignment vertical="center" wrapText="1"/>
    </xf>
    <xf numFmtId="0" fontId="32" fillId="0" borderId="21" xfId="13" applyFont="1" applyBorder="1" applyAlignment="1">
      <alignment vertical="center" wrapText="1"/>
    </xf>
    <xf numFmtId="0" fontId="33" fillId="0" borderId="0" xfId="13" applyFont="1" applyBorder="1" applyAlignment="1">
      <alignment horizontal="left" vertical="center"/>
    </xf>
    <xf numFmtId="0" fontId="32" fillId="0" borderId="0" xfId="13" applyFont="1" applyBorder="1" applyAlignment="1">
      <alignment horizontal="left" vertical="center" wrapText="1" indent="1"/>
    </xf>
    <xf numFmtId="0" fontId="7" fillId="4" borderId="28" xfId="13" applyFont="1" applyFill="1" applyBorder="1" applyAlignment="1">
      <alignment horizontal="center" vertical="center"/>
    </xf>
    <xf numFmtId="0" fontId="7" fillId="0" borderId="65" xfId="13" applyFont="1" applyBorder="1" applyAlignment="1">
      <alignment vertical="center"/>
    </xf>
    <xf numFmtId="0" fontId="7" fillId="0" borderId="0" xfId="13" applyFont="1" applyBorder="1" applyAlignment="1">
      <alignment vertical="center"/>
    </xf>
    <xf numFmtId="0" fontId="7" fillId="3" borderId="29" xfId="13" applyFont="1" applyFill="1" applyBorder="1" applyAlignment="1">
      <alignment horizontal="center" vertical="center"/>
    </xf>
    <xf numFmtId="0" fontId="7" fillId="0" borderId="28" xfId="13" applyFont="1" applyBorder="1" applyAlignment="1">
      <alignment horizontal="center" vertical="center"/>
    </xf>
    <xf numFmtId="3" fontId="7" fillId="4" borderId="28" xfId="13" applyNumberFormat="1" applyFont="1" applyFill="1" applyBorder="1" applyAlignment="1">
      <alignment horizontal="center" vertical="center"/>
    </xf>
    <xf numFmtId="0" fontId="7" fillId="0" borderId="30" xfId="13" applyFont="1" applyBorder="1" applyAlignment="1">
      <alignment vertical="center"/>
    </xf>
    <xf numFmtId="0" fontId="7" fillId="4" borderId="7" xfId="13" applyFont="1" applyFill="1" applyBorder="1" applyAlignment="1">
      <alignment vertical="center"/>
    </xf>
    <xf numFmtId="0" fontId="7" fillId="4" borderId="5" xfId="13" applyFont="1" applyFill="1" applyBorder="1" applyAlignment="1">
      <alignment vertical="center"/>
    </xf>
    <xf numFmtId="0" fontId="7" fillId="3" borderId="30" xfId="13" applyFont="1" applyFill="1" applyBorder="1" applyAlignment="1">
      <alignment horizontal="center" vertical="center"/>
    </xf>
    <xf numFmtId="0" fontId="7" fillId="4" borderId="7" xfId="13" applyFont="1" applyFill="1" applyBorder="1" applyAlignment="1">
      <alignment vertical="center" wrapText="1"/>
    </xf>
    <xf numFmtId="0" fontId="7" fillId="4" borderId="5" xfId="13" applyFont="1" applyFill="1" applyBorder="1" applyAlignment="1">
      <alignment vertical="center" wrapText="1"/>
    </xf>
    <xf numFmtId="0" fontId="15" fillId="0" borderId="31" xfId="13" applyFont="1" applyBorder="1" applyAlignment="1">
      <alignment horizontal="center" vertical="center"/>
    </xf>
    <xf numFmtId="0" fontId="15" fillId="0" borderId="31" xfId="13" applyFont="1" applyBorder="1" applyAlignment="1">
      <alignment horizontal="left" vertical="center"/>
    </xf>
    <xf numFmtId="0" fontId="7" fillId="4" borderId="32" xfId="13" applyFont="1" applyFill="1" applyBorder="1" applyAlignment="1">
      <alignment vertical="center"/>
    </xf>
    <xf numFmtId="0" fontId="7" fillId="4" borderId="33" xfId="13" applyFont="1" applyFill="1" applyBorder="1" applyAlignment="1">
      <alignment vertical="center"/>
    </xf>
    <xf numFmtId="0" fontId="7" fillId="4" borderId="34" xfId="13" applyFont="1" applyFill="1" applyBorder="1" applyAlignment="1">
      <alignment vertical="center"/>
    </xf>
    <xf numFmtId="0" fontId="7" fillId="0" borderId="35" xfId="13" applyFont="1" applyBorder="1" applyAlignment="1">
      <alignment horizontal="center" vertical="center"/>
    </xf>
    <xf numFmtId="0" fontId="7" fillId="0" borderId="31" xfId="13" applyFont="1" applyBorder="1" applyAlignment="1">
      <alignment horizontal="center" vertical="center" wrapText="1"/>
    </xf>
    <xf numFmtId="44" fontId="7" fillId="0" borderId="31" xfId="13" applyNumberFormat="1" applyFont="1" applyBorder="1" applyAlignment="1">
      <alignment horizontal="center" vertical="center" wrapText="1"/>
    </xf>
    <xf numFmtId="3" fontId="7" fillId="0" borderId="31" xfId="13" applyNumberFormat="1" applyFont="1" applyBorder="1" applyAlignment="1">
      <alignment horizontal="center" vertical="center"/>
    </xf>
    <xf numFmtId="3" fontId="15" fillId="4" borderId="2" xfId="0" applyNumberFormat="1" applyFont="1" applyFill="1" applyBorder="1" applyAlignment="1">
      <alignment horizontal="center" vertical="center" wrapText="1"/>
    </xf>
    <xf numFmtId="166" fontId="15" fillId="0" borderId="0" xfId="1" applyNumberFormat="1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 wrapText="1"/>
    </xf>
    <xf numFmtId="0" fontId="34" fillId="0" borderId="69" xfId="0" applyFont="1" applyBorder="1" applyAlignment="1">
      <alignment horizontal="left" vertical="center" wrapText="1"/>
    </xf>
    <xf numFmtId="0" fontId="7" fillId="0" borderId="70" xfId="0" applyFont="1" applyBorder="1" applyAlignment="1">
      <alignment horizontal="center" vertical="center" wrapText="1"/>
    </xf>
    <xf numFmtId="166" fontId="18" fillId="0" borderId="13" xfId="1" applyNumberFormat="1" applyFont="1" applyBorder="1" applyAlignment="1">
      <alignment horizontal="center" vertical="center" wrapText="1"/>
    </xf>
    <xf numFmtId="166" fontId="8" fillId="0" borderId="13" xfId="0" applyNumberFormat="1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7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34" fillId="0" borderId="66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0" fontId="34" fillId="0" borderId="68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 wrapText="1"/>
    </xf>
    <xf numFmtId="0" fontId="33" fillId="0" borderId="22" xfId="13" applyFont="1" applyBorder="1" applyAlignment="1">
      <alignment horizontal="left" vertical="center" wrapText="1"/>
    </xf>
    <xf numFmtId="0" fontId="32" fillId="0" borderId="23" xfId="13" applyFont="1" applyBorder="1" applyAlignment="1">
      <alignment horizontal="left" vertical="center" wrapText="1" indent="1"/>
    </xf>
    <xf numFmtId="0" fontId="31" fillId="0" borderId="0" xfId="13" applyFont="1" applyBorder="1" applyAlignment="1">
      <alignment horizontal="center" vertical="center"/>
    </xf>
    <xf numFmtId="0" fontId="33" fillId="0" borderId="18" xfId="13" applyFont="1" applyBorder="1" applyAlignment="1">
      <alignment horizontal="left" vertical="center" wrapText="1"/>
    </xf>
    <xf numFmtId="0" fontId="25" fillId="0" borderId="19" xfId="13" applyFont="1" applyBorder="1" applyAlignment="1">
      <alignment horizontal="left" vertical="center"/>
    </xf>
    <xf numFmtId="0" fontId="25" fillId="0" borderId="20" xfId="13" applyFont="1" applyBorder="1" applyAlignment="1">
      <alignment horizontal="left" vertical="center"/>
    </xf>
    <xf numFmtId="0" fontId="25" fillId="0" borderId="21" xfId="13" applyFont="1" applyBorder="1" applyAlignment="1">
      <alignment horizontal="left" vertical="center"/>
    </xf>
    <xf numFmtId="170" fontId="25" fillId="0" borderId="20" xfId="13" applyNumberFormat="1" applyFont="1" applyBorder="1" applyAlignment="1">
      <alignment horizontal="center" vertical="center" wrapText="1"/>
    </xf>
    <xf numFmtId="170" fontId="25" fillId="0" borderId="21" xfId="13" applyNumberFormat="1" applyFont="1" applyBorder="1" applyAlignment="1">
      <alignment horizontal="center" vertical="center" wrapText="1"/>
    </xf>
    <xf numFmtId="0" fontId="33" fillId="0" borderId="24" xfId="13" applyFont="1" applyBorder="1" applyAlignment="1">
      <alignment horizontal="left" vertical="center"/>
    </xf>
    <xf numFmtId="0" fontId="32" fillId="0" borderId="25" xfId="13" applyFont="1" applyBorder="1" applyAlignment="1">
      <alignment horizontal="left" vertical="center" wrapText="1" indent="1"/>
    </xf>
    <xf numFmtId="0" fontId="18" fillId="0" borderId="24" xfId="13" applyFont="1" applyBorder="1" applyAlignment="1">
      <alignment horizontal="center" vertical="center"/>
    </xf>
    <xf numFmtId="0" fontId="18" fillId="0" borderId="26" xfId="13" applyFont="1" applyBorder="1" applyAlignment="1">
      <alignment horizontal="center" vertical="center" wrapText="1"/>
    </xf>
    <xf numFmtId="0" fontId="18" fillId="0" borderId="27" xfId="13" applyFont="1" applyBorder="1" applyAlignment="1">
      <alignment horizontal="center" vertical="center" wrapText="1"/>
    </xf>
    <xf numFmtId="0" fontId="18" fillId="0" borderId="23" xfId="13" applyFont="1" applyBorder="1" applyAlignment="1">
      <alignment horizontal="center" vertical="center" wrapText="1"/>
    </xf>
    <xf numFmtId="0" fontId="23" fillId="0" borderId="18" xfId="13" applyFont="1" applyBorder="1" applyAlignment="1">
      <alignment horizontal="left" vertical="center" wrapText="1"/>
    </xf>
    <xf numFmtId="0" fontId="23" fillId="0" borderId="36" xfId="13" applyFont="1" applyBorder="1" applyAlignment="1">
      <alignment horizontal="left" vertical="center" wrapText="1"/>
    </xf>
    <xf numFmtId="0" fontId="23" fillId="0" borderId="37" xfId="13" applyFont="1" applyBorder="1" applyAlignment="1">
      <alignment horizontal="left" vertical="center" wrapText="1"/>
    </xf>
    <xf numFmtId="0" fontId="6" fillId="0" borderId="19" xfId="13" applyFont="1" applyBorder="1" applyAlignment="1">
      <alignment horizontal="center"/>
    </xf>
    <xf numFmtId="0" fontId="26" fillId="0" borderId="21" xfId="13" applyNumberFormat="1" applyFont="1" applyBorder="1" applyAlignment="1">
      <alignment horizontal="center"/>
    </xf>
    <xf numFmtId="0" fontId="27" fillId="0" borderId="16" xfId="13" applyFont="1" applyBorder="1" applyAlignment="1">
      <alignment horizontal="center" vertical="center" wrapText="1"/>
    </xf>
    <xf numFmtId="0" fontId="24" fillId="0" borderId="16" xfId="13" applyFont="1" applyBorder="1" applyAlignment="1">
      <alignment vertical="center"/>
    </xf>
    <xf numFmtId="0" fontId="6" fillId="0" borderId="54" xfId="13" applyFont="1" applyBorder="1" applyAlignment="1">
      <alignment horizontal="left" vertical="center"/>
    </xf>
    <xf numFmtId="0" fontId="29" fillId="0" borderId="16" xfId="13" applyFont="1" applyBorder="1" applyAlignment="1">
      <alignment horizontal="left" vertical="center"/>
    </xf>
    <xf numFmtId="0" fontId="28" fillId="0" borderId="38" xfId="13" applyFont="1" applyBorder="1"/>
    <xf numFmtId="0" fontId="28" fillId="4" borderId="38" xfId="13" applyNumberFormat="1" applyFont="1" applyFill="1" applyBorder="1" applyAlignment="1">
      <alignment horizontal="left" vertical="justify" wrapText="1" indent="1"/>
    </xf>
    <xf numFmtId="0" fontId="28" fillId="4" borderId="0" xfId="13" applyNumberFormat="1" applyFont="1" applyFill="1" applyBorder="1" applyAlignment="1">
      <alignment horizontal="left" vertical="justify" wrapText="1" indent="1"/>
    </xf>
    <xf numFmtId="0" fontId="28" fillId="4" borderId="15" xfId="13" applyNumberFormat="1" applyFont="1" applyFill="1" applyBorder="1" applyAlignment="1">
      <alignment horizontal="left" vertical="justify" wrapText="1" indent="1"/>
    </xf>
    <xf numFmtId="0" fontId="30" fillId="0" borderId="41" xfId="13" applyFont="1" applyBorder="1" applyAlignment="1">
      <alignment horizontal="center" vertical="center"/>
    </xf>
    <xf numFmtId="0" fontId="30" fillId="0" borderId="16" xfId="13" applyFont="1" applyBorder="1" applyAlignment="1">
      <alignment horizontal="center" vertical="center"/>
    </xf>
    <xf numFmtId="0" fontId="30" fillId="0" borderId="41" xfId="13" applyFont="1" applyBorder="1" applyAlignment="1">
      <alignment horizontal="center" vertical="center" wrapText="1"/>
    </xf>
    <xf numFmtId="0" fontId="30" fillId="0" borderId="42" xfId="13" applyFont="1" applyBorder="1" applyAlignment="1">
      <alignment horizontal="center" vertical="center"/>
    </xf>
    <xf numFmtId="0" fontId="6" fillId="0" borderId="48" xfId="13" applyBorder="1" applyAlignment="1">
      <alignment horizontal="left" vertical="center" wrapText="1"/>
    </xf>
    <xf numFmtId="0" fontId="6" fillId="0" borderId="48" xfId="13" applyFont="1" applyBorder="1" applyAlignment="1">
      <alignment horizontal="left" vertical="center" wrapText="1"/>
    </xf>
    <xf numFmtId="0" fontId="6" fillId="0" borderId="54" xfId="13" applyBorder="1" applyAlignment="1">
      <alignment horizontal="left" vertical="center"/>
    </xf>
    <xf numFmtId="0" fontId="6" fillId="0" borderId="57" xfId="13" applyBorder="1" applyAlignment="1">
      <alignment horizontal="left" vertical="center"/>
    </xf>
    <xf numFmtId="0" fontId="26" fillId="0" borderId="60" xfId="13" applyFont="1" applyBorder="1" applyAlignment="1">
      <alignment horizontal="left" vertical="center" wrapText="1"/>
    </xf>
    <xf numFmtId="0" fontId="6" fillId="0" borderId="41" xfId="13" applyBorder="1"/>
    <xf numFmtId="0" fontId="26" fillId="0" borderId="19" xfId="13" applyFont="1" applyBorder="1" applyAlignment="1">
      <alignment vertical="center" wrapText="1"/>
    </xf>
    <xf numFmtId="0" fontId="26" fillId="0" borderId="27" xfId="13" applyFont="1" applyBorder="1" applyAlignment="1">
      <alignment vertical="center" wrapText="1"/>
    </xf>
    <xf numFmtId="0" fontId="26" fillId="0" borderId="25" xfId="13" applyFont="1" applyBorder="1" applyAlignment="1">
      <alignment vertical="center" wrapText="1"/>
    </xf>
    <xf numFmtId="0" fontId="28" fillId="0" borderId="42" xfId="13" applyFont="1" applyBorder="1" applyAlignment="1">
      <alignment vertical="center" wrapText="1"/>
    </xf>
  </cellXfs>
  <cellStyles count="26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2"/>
  <sheetViews>
    <sheetView tabSelected="1" zoomScale="80" zoomScaleNormal="80" workbookViewId="0">
      <selection activeCell="D37" sqref="D37"/>
    </sheetView>
  </sheetViews>
  <sheetFormatPr baseColWidth="10" defaultColWidth="10.85546875" defaultRowHeight="15" x14ac:dyDescent="0.25"/>
  <cols>
    <col min="1" max="1" width="9.140625" style="15" customWidth="1"/>
    <col min="2" max="2" width="16" style="14" customWidth="1"/>
    <col min="3" max="3" width="38.42578125" style="15" customWidth="1"/>
    <col min="4" max="4" width="8.42578125" style="3" customWidth="1"/>
    <col min="5" max="5" width="58.5703125" style="18" customWidth="1"/>
    <col min="6" max="6" width="11" style="3" customWidth="1"/>
    <col min="7" max="7" width="11" style="3" hidden="1" customWidth="1"/>
    <col min="8" max="8" width="14.85546875" style="3" hidden="1" customWidth="1"/>
    <col min="9" max="9" width="11" style="3" hidden="1" customWidth="1"/>
    <col min="10" max="11" width="14.85546875" style="3" hidden="1" customWidth="1"/>
    <col min="12" max="12" width="24" style="3" hidden="1" customWidth="1"/>
    <col min="13" max="13" width="12.85546875" style="6" hidden="1" customWidth="1"/>
    <col min="14" max="14" width="18.85546875" style="7" hidden="1" customWidth="1"/>
    <col min="15" max="15" width="18.85546875" style="9" hidden="1" customWidth="1"/>
    <col min="16" max="16" width="28.5703125" style="3" hidden="1" customWidth="1"/>
    <col min="17" max="17" width="18.85546875" style="6" hidden="1" customWidth="1"/>
    <col min="18" max="18" width="18.85546875" style="3" hidden="1" customWidth="1"/>
    <col min="19" max="19" width="18.85546875" style="9" hidden="1" customWidth="1"/>
    <col min="20" max="20" width="18.85546875" style="19" hidden="1" customWidth="1"/>
    <col min="21" max="21" width="18.85546875" style="6" hidden="1" customWidth="1"/>
    <col min="22" max="22" width="18.85546875" style="3" hidden="1" customWidth="1"/>
    <col min="23" max="23" width="18.85546875" style="9" hidden="1" customWidth="1"/>
    <col min="24" max="24" width="18.85546875" style="3" hidden="1" customWidth="1"/>
    <col min="25" max="25" width="18.85546875" style="9" hidden="1" customWidth="1"/>
    <col min="26" max="26" width="18.85546875" style="3" hidden="1" customWidth="1"/>
    <col min="27" max="27" width="18.85546875" style="9" hidden="1" customWidth="1"/>
    <col min="28" max="28" width="18.85546875" style="3" hidden="1" customWidth="1"/>
    <col min="29" max="29" width="18.85546875" style="9" hidden="1" customWidth="1"/>
    <col min="30" max="30" width="18.85546875" style="3" hidden="1" customWidth="1"/>
    <col min="31" max="31" width="19.85546875" style="9" hidden="1" customWidth="1"/>
    <col min="32" max="32" width="19.85546875" style="3" hidden="1" customWidth="1"/>
    <col min="33" max="33" width="19.85546875" style="9" hidden="1" customWidth="1"/>
    <col min="34" max="34" width="19.85546875" style="3" hidden="1" customWidth="1"/>
    <col min="35" max="35" width="19.85546875" style="9" hidden="1" customWidth="1"/>
    <col min="36" max="36" width="19.85546875" style="3" hidden="1" customWidth="1"/>
    <col min="37" max="37" width="18.85546875" style="9" hidden="1" customWidth="1"/>
    <col min="38" max="38" width="18.85546875" style="3" hidden="1" customWidth="1"/>
    <col min="39" max="39" width="18.85546875" style="9" hidden="1" customWidth="1"/>
    <col min="40" max="40" width="18.85546875" style="3" hidden="1" customWidth="1"/>
    <col min="41" max="41" width="18.85546875" style="9" hidden="1" customWidth="1"/>
    <col min="42" max="42" width="18.85546875" style="3" hidden="1" customWidth="1"/>
    <col min="43" max="43" width="18.85546875" style="9" hidden="1" customWidth="1"/>
    <col min="44" max="44" width="18.85546875" style="3" hidden="1" customWidth="1"/>
    <col min="45" max="45" width="16.42578125" style="11" customWidth="1"/>
    <col min="46" max="46" width="16.5703125" style="92" bestFit="1" customWidth="1"/>
    <col min="47" max="47" width="22.5703125" style="13" customWidth="1"/>
    <col min="48" max="48" width="66" style="4" hidden="1" customWidth="1"/>
    <col min="49" max="49" width="23.5703125" style="1" customWidth="1"/>
    <col min="50" max="16384" width="10.85546875" style="1"/>
  </cols>
  <sheetData>
    <row r="1" spans="1:49" x14ac:dyDescent="0.25">
      <c r="A1" s="172">
        <v>2021</v>
      </c>
      <c r="AT1" s="173"/>
    </row>
    <row r="2" spans="1:49" ht="25.5" x14ac:dyDescent="0.35">
      <c r="B2" s="200" t="s">
        <v>13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0"/>
      <c r="AP2" s="200"/>
      <c r="AQ2" s="200"/>
      <c r="AR2" s="200"/>
      <c r="AS2" s="201"/>
      <c r="AT2" s="202"/>
    </row>
    <row r="3" spans="1:49" x14ac:dyDescent="0.25">
      <c r="AT3" s="173"/>
    </row>
    <row r="4" spans="1:49" ht="18" customHeight="1" x14ac:dyDescent="0.2">
      <c r="A4" s="199" t="s">
        <v>0</v>
      </c>
      <c r="B4" s="199"/>
      <c r="C4" s="203" t="s">
        <v>108</v>
      </c>
      <c r="D4" s="203"/>
      <c r="E4" s="203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38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  <c r="AT4" s="173"/>
    </row>
    <row r="5" spans="1:49" ht="18" customHeight="1" x14ac:dyDescent="0.2">
      <c r="A5" s="199" t="s">
        <v>1</v>
      </c>
      <c r="B5" s="199"/>
      <c r="C5" s="203" t="s">
        <v>109</v>
      </c>
      <c r="D5" s="203"/>
      <c r="E5" s="203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38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  <c r="AT5" s="173"/>
    </row>
    <row r="6" spans="1:49" ht="16.5" customHeight="1" x14ac:dyDescent="0.2">
      <c r="A6" s="199" t="s">
        <v>2</v>
      </c>
      <c r="B6" s="199"/>
      <c r="C6" s="43">
        <v>2021</v>
      </c>
      <c r="D6" s="44"/>
      <c r="E6" s="44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38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  <c r="AT6" s="173"/>
    </row>
    <row r="7" spans="1:49" ht="31.5" customHeight="1" x14ac:dyDescent="0.2">
      <c r="A7" s="199" t="s">
        <v>3</v>
      </c>
      <c r="B7" s="199"/>
      <c r="C7" s="43" t="s">
        <v>110</v>
      </c>
      <c r="D7" s="44"/>
      <c r="E7" s="44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38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  <c r="AT7" s="173"/>
    </row>
    <row r="8" spans="1:49" ht="2.25" customHeight="1" thickBot="1" x14ac:dyDescent="0.3">
      <c r="B8" s="16"/>
      <c r="C8" s="17"/>
      <c r="D8" s="2"/>
      <c r="E8" s="17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38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  <c r="AT8" s="173"/>
    </row>
    <row r="9" spans="1:49" s="41" customFormat="1" ht="43.5" thickBot="1" x14ac:dyDescent="0.25">
      <c r="A9" s="131" t="s">
        <v>4</v>
      </c>
      <c r="B9" s="132" t="s">
        <v>5</v>
      </c>
      <c r="C9" s="133" t="s">
        <v>6</v>
      </c>
      <c r="D9" s="132" t="s">
        <v>7</v>
      </c>
      <c r="E9" s="133" t="s">
        <v>8</v>
      </c>
      <c r="F9" s="133" t="s">
        <v>9</v>
      </c>
      <c r="G9" s="133" t="s">
        <v>64</v>
      </c>
      <c r="H9" s="133" t="s">
        <v>65</v>
      </c>
      <c r="I9" s="133" t="s">
        <v>62</v>
      </c>
      <c r="J9" s="133" t="s">
        <v>63</v>
      </c>
      <c r="K9" s="133" t="s">
        <v>15</v>
      </c>
      <c r="L9" s="133" t="s">
        <v>16</v>
      </c>
      <c r="M9" s="134" t="s">
        <v>17</v>
      </c>
      <c r="N9" s="135" t="s">
        <v>18</v>
      </c>
      <c r="O9" s="136" t="s">
        <v>20</v>
      </c>
      <c r="P9" s="133" t="s">
        <v>21</v>
      </c>
      <c r="Q9" s="134" t="s">
        <v>22</v>
      </c>
      <c r="R9" s="133" t="s">
        <v>23</v>
      </c>
      <c r="S9" s="136" t="s">
        <v>24</v>
      </c>
      <c r="T9" s="137" t="s">
        <v>25</v>
      </c>
      <c r="U9" s="134" t="s">
        <v>26</v>
      </c>
      <c r="V9" s="133" t="s">
        <v>27</v>
      </c>
      <c r="W9" s="136" t="s">
        <v>28</v>
      </c>
      <c r="X9" s="133" t="s">
        <v>29</v>
      </c>
      <c r="Y9" s="136" t="s">
        <v>30</v>
      </c>
      <c r="Z9" s="133" t="s">
        <v>31</v>
      </c>
      <c r="AA9" s="136" t="s">
        <v>32</v>
      </c>
      <c r="AB9" s="133" t="s">
        <v>33</v>
      </c>
      <c r="AC9" s="138" t="s">
        <v>34</v>
      </c>
      <c r="AD9" s="133" t="s">
        <v>35</v>
      </c>
      <c r="AE9" s="136" t="s">
        <v>36</v>
      </c>
      <c r="AF9" s="133" t="s">
        <v>37</v>
      </c>
      <c r="AG9" s="136" t="s">
        <v>38</v>
      </c>
      <c r="AH9" s="133" t="s">
        <v>39</v>
      </c>
      <c r="AI9" s="136" t="s">
        <v>40</v>
      </c>
      <c r="AJ9" s="133" t="s">
        <v>41</v>
      </c>
      <c r="AK9" s="136" t="s">
        <v>42</v>
      </c>
      <c r="AL9" s="133" t="s">
        <v>43</v>
      </c>
      <c r="AM9" s="138" t="s">
        <v>44</v>
      </c>
      <c r="AN9" s="133" t="s">
        <v>45</v>
      </c>
      <c r="AO9" s="136" t="s">
        <v>46</v>
      </c>
      <c r="AP9" s="133" t="s">
        <v>47</v>
      </c>
      <c r="AQ9" s="136" t="s">
        <v>48</v>
      </c>
      <c r="AR9" s="133" t="s">
        <v>49</v>
      </c>
      <c r="AS9" s="136" t="s">
        <v>14</v>
      </c>
      <c r="AT9" s="180" t="s">
        <v>10</v>
      </c>
      <c r="AU9" s="181" t="s">
        <v>11</v>
      </c>
      <c r="AV9" s="139" t="s">
        <v>19</v>
      </c>
      <c r="AW9" s="39"/>
    </row>
    <row r="10" spans="1:49" s="40" customFormat="1" ht="97.5" customHeight="1" x14ac:dyDescent="0.25">
      <c r="A10" s="34">
        <v>1</v>
      </c>
      <c r="B10" s="35" t="s">
        <v>50</v>
      </c>
      <c r="C10" s="35" t="s">
        <v>51</v>
      </c>
      <c r="D10" s="36">
        <v>436</v>
      </c>
      <c r="E10" s="95" t="s">
        <v>52</v>
      </c>
      <c r="F10" s="37" t="s">
        <v>12</v>
      </c>
      <c r="G10" s="124"/>
      <c r="H10" s="124"/>
      <c r="I10" s="124"/>
      <c r="J10" s="124"/>
      <c r="K10" s="124"/>
      <c r="L10" s="124"/>
      <c r="M10" s="125"/>
      <c r="N10" s="126"/>
      <c r="O10" s="127"/>
      <c r="P10" s="124"/>
      <c r="Q10" s="125"/>
      <c r="R10" s="124"/>
      <c r="S10" s="127"/>
      <c r="T10" s="128"/>
      <c r="U10" s="125"/>
      <c r="V10" s="124"/>
      <c r="W10" s="127"/>
      <c r="X10" s="124"/>
      <c r="Y10" s="127"/>
      <c r="Z10" s="124"/>
      <c r="AA10" s="127"/>
      <c r="AB10" s="124"/>
      <c r="AC10" s="127"/>
      <c r="AD10" s="124"/>
      <c r="AE10" s="127"/>
      <c r="AF10" s="124"/>
      <c r="AG10" s="127"/>
      <c r="AH10" s="124"/>
      <c r="AI10" s="127"/>
      <c r="AJ10" s="124"/>
      <c r="AK10" s="127"/>
      <c r="AL10" s="124"/>
      <c r="AM10" s="37">
        <v>123</v>
      </c>
      <c r="AN10" s="126">
        <f t="shared" ref="AN10:AN13" si="0">+AM10*AT10</f>
        <v>12300000</v>
      </c>
      <c r="AO10" s="127"/>
      <c r="AP10" s="124"/>
      <c r="AQ10" s="127"/>
      <c r="AR10" s="124"/>
      <c r="AS10" s="127">
        <f t="shared" ref="AS10:AS13" si="1">+AM10</f>
        <v>123</v>
      </c>
      <c r="AT10" s="94">
        <v>100000</v>
      </c>
      <c r="AU10" s="129">
        <f>+AS10*AT10</f>
        <v>12300000</v>
      </c>
      <c r="AV10" s="130" t="s">
        <v>58</v>
      </c>
    </row>
    <row r="11" spans="1:49" s="40" customFormat="1" ht="108.75" customHeight="1" x14ac:dyDescent="0.25">
      <c r="A11" s="29">
        <v>2</v>
      </c>
      <c r="B11" s="22" t="s">
        <v>53</v>
      </c>
      <c r="C11" s="23" t="s">
        <v>51</v>
      </c>
      <c r="D11" s="28">
        <v>436</v>
      </c>
      <c r="E11" s="97" t="s">
        <v>54</v>
      </c>
      <c r="F11" s="31" t="s">
        <v>12</v>
      </c>
      <c r="G11" s="20"/>
      <c r="H11" s="20"/>
      <c r="I11" s="20"/>
      <c r="J11" s="20"/>
      <c r="K11" s="20"/>
      <c r="L11" s="20"/>
      <c r="M11" s="25"/>
      <c r="N11" s="26"/>
      <c r="O11" s="21"/>
      <c r="P11" s="20"/>
      <c r="Q11" s="25"/>
      <c r="R11" s="20"/>
      <c r="S11" s="21"/>
      <c r="T11" s="96"/>
      <c r="U11" s="25"/>
      <c r="V11" s="20"/>
      <c r="W11" s="21"/>
      <c r="X11" s="20"/>
      <c r="Y11" s="21"/>
      <c r="Z11" s="20"/>
      <c r="AA11" s="21"/>
      <c r="AB11" s="20"/>
      <c r="AC11" s="21"/>
      <c r="AD11" s="20"/>
      <c r="AE11" s="21"/>
      <c r="AF11" s="20"/>
      <c r="AG11" s="21"/>
      <c r="AH11" s="20"/>
      <c r="AI11" s="21"/>
      <c r="AJ11" s="20"/>
      <c r="AK11" s="21"/>
      <c r="AL11" s="20"/>
      <c r="AM11" s="31">
        <v>123</v>
      </c>
      <c r="AN11" s="26">
        <f t="shared" si="0"/>
        <v>2460000</v>
      </c>
      <c r="AO11" s="21"/>
      <c r="AP11" s="20"/>
      <c r="AQ11" s="21"/>
      <c r="AR11" s="20"/>
      <c r="AS11" s="21">
        <f t="shared" si="1"/>
        <v>123</v>
      </c>
      <c r="AT11" s="93">
        <v>20000</v>
      </c>
      <c r="AU11" s="27">
        <f t="shared" ref="AU11:AU13" si="2">+AS11*AT11</f>
        <v>2460000</v>
      </c>
      <c r="AV11" s="102" t="s">
        <v>59</v>
      </c>
    </row>
    <row r="12" spans="1:49" s="40" customFormat="1" ht="108.75" customHeight="1" x14ac:dyDescent="0.25">
      <c r="A12" s="29">
        <v>3</v>
      </c>
      <c r="B12" s="24" t="s">
        <v>55</v>
      </c>
      <c r="C12" s="23" t="s">
        <v>51</v>
      </c>
      <c r="D12" s="28">
        <v>436</v>
      </c>
      <c r="E12" s="30" t="s">
        <v>133</v>
      </c>
      <c r="F12" s="31" t="s">
        <v>12</v>
      </c>
      <c r="G12" s="20"/>
      <c r="H12" s="20"/>
      <c r="I12" s="20"/>
      <c r="J12" s="20"/>
      <c r="K12" s="20"/>
      <c r="L12" s="20"/>
      <c r="M12" s="25"/>
      <c r="N12" s="26"/>
      <c r="O12" s="21"/>
      <c r="P12" s="20"/>
      <c r="Q12" s="25"/>
      <c r="R12" s="20"/>
      <c r="S12" s="21"/>
      <c r="T12" s="96"/>
      <c r="U12" s="25"/>
      <c r="V12" s="20"/>
      <c r="W12" s="21"/>
      <c r="X12" s="20"/>
      <c r="Y12" s="21"/>
      <c r="Z12" s="20"/>
      <c r="AA12" s="21"/>
      <c r="AB12" s="20"/>
      <c r="AC12" s="21"/>
      <c r="AD12" s="20"/>
      <c r="AE12" s="21"/>
      <c r="AF12" s="20"/>
      <c r="AG12" s="21"/>
      <c r="AH12" s="20"/>
      <c r="AI12" s="21"/>
      <c r="AJ12" s="20"/>
      <c r="AK12" s="21"/>
      <c r="AL12" s="20"/>
      <c r="AM12" s="31">
        <v>15</v>
      </c>
      <c r="AN12" s="26">
        <f t="shared" si="0"/>
        <v>1875000</v>
      </c>
      <c r="AO12" s="21"/>
      <c r="AP12" s="20"/>
      <c r="AQ12" s="21"/>
      <c r="AR12" s="20"/>
      <c r="AS12" s="21">
        <f t="shared" si="1"/>
        <v>15</v>
      </c>
      <c r="AT12" s="93">
        <v>125000</v>
      </c>
      <c r="AU12" s="27">
        <f t="shared" si="2"/>
        <v>1875000</v>
      </c>
      <c r="AV12" s="102" t="s">
        <v>60</v>
      </c>
    </row>
    <row r="13" spans="1:49" s="40" customFormat="1" ht="177" customHeight="1" thickBot="1" x14ac:dyDescent="0.3">
      <c r="A13" s="32">
        <v>4</v>
      </c>
      <c r="B13" s="103" t="s">
        <v>56</v>
      </c>
      <c r="C13" s="104" t="s">
        <v>51</v>
      </c>
      <c r="D13" s="105">
        <v>436</v>
      </c>
      <c r="E13" s="33" t="s">
        <v>134</v>
      </c>
      <c r="F13" s="106" t="s">
        <v>12</v>
      </c>
      <c r="G13" s="42"/>
      <c r="H13" s="42"/>
      <c r="I13" s="42"/>
      <c r="J13" s="42"/>
      <c r="K13" s="42"/>
      <c r="L13" s="42"/>
      <c r="M13" s="98"/>
      <c r="N13" s="99"/>
      <c r="O13" s="100"/>
      <c r="P13" s="42"/>
      <c r="Q13" s="98"/>
      <c r="R13" s="42"/>
      <c r="S13" s="100"/>
      <c r="T13" s="101"/>
      <c r="U13" s="98"/>
      <c r="V13" s="42"/>
      <c r="W13" s="100"/>
      <c r="X13" s="42"/>
      <c r="Y13" s="100"/>
      <c r="Z13" s="42"/>
      <c r="AA13" s="100"/>
      <c r="AB13" s="42"/>
      <c r="AC13" s="100"/>
      <c r="AD13" s="42"/>
      <c r="AE13" s="100"/>
      <c r="AF13" s="42"/>
      <c r="AG13" s="100"/>
      <c r="AH13" s="42"/>
      <c r="AI13" s="100"/>
      <c r="AJ13" s="42"/>
      <c r="AK13" s="100"/>
      <c r="AL13" s="42"/>
      <c r="AM13" s="106">
        <v>123</v>
      </c>
      <c r="AN13" s="99">
        <f t="shared" si="0"/>
        <v>799500</v>
      </c>
      <c r="AO13" s="100"/>
      <c r="AP13" s="42"/>
      <c r="AQ13" s="100"/>
      <c r="AR13" s="42"/>
      <c r="AS13" s="100">
        <f t="shared" si="1"/>
        <v>123</v>
      </c>
      <c r="AT13" s="107">
        <v>6500</v>
      </c>
      <c r="AU13" s="108">
        <f t="shared" si="2"/>
        <v>799500</v>
      </c>
      <c r="AV13" s="109" t="s">
        <v>61</v>
      </c>
    </row>
    <row r="14" spans="1:49" s="40" customFormat="1" ht="15.75" thickBot="1" x14ac:dyDescent="0.3">
      <c r="A14" s="110"/>
      <c r="B14" s="111"/>
      <c r="C14" s="112"/>
      <c r="D14" s="113"/>
      <c r="E14" s="114" t="s">
        <v>66</v>
      </c>
      <c r="F14" s="115"/>
      <c r="G14" s="111"/>
      <c r="H14" s="111"/>
      <c r="I14" s="111"/>
      <c r="J14" s="111"/>
      <c r="K14" s="111"/>
      <c r="L14" s="111"/>
      <c r="M14" s="116"/>
      <c r="N14" s="117"/>
      <c r="O14" s="118"/>
      <c r="P14" s="111"/>
      <c r="Q14" s="116"/>
      <c r="R14" s="111"/>
      <c r="S14" s="118"/>
      <c r="T14" s="119"/>
      <c r="U14" s="116"/>
      <c r="V14" s="111"/>
      <c r="W14" s="118"/>
      <c r="X14" s="111"/>
      <c r="Y14" s="118"/>
      <c r="Z14" s="111"/>
      <c r="AA14" s="118"/>
      <c r="AB14" s="111"/>
      <c r="AC14" s="118"/>
      <c r="AD14" s="111"/>
      <c r="AE14" s="118"/>
      <c r="AF14" s="111"/>
      <c r="AG14" s="118"/>
      <c r="AH14" s="111"/>
      <c r="AI14" s="118"/>
      <c r="AJ14" s="111"/>
      <c r="AK14" s="118"/>
      <c r="AL14" s="111"/>
      <c r="AM14" s="118"/>
      <c r="AN14" s="111"/>
      <c r="AO14" s="118"/>
      <c r="AP14" s="111"/>
      <c r="AQ14" s="118"/>
      <c r="AR14" s="111"/>
      <c r="AS14" s="120" t="s">
        <v>57</v>
      </c>
      <c r="AT14" s="121"/>
      <c r="AU14" s="122">
        <f>SUM(AU10:AU13)</f>
        <v>17434500</v>
      </c>
      <c r="AV14" s="123"/>
    </row>
    <row r="16" spans="1:49" ht="15.75" thickBot="1" x14ac:dyDescent="0.3"/>
    <row r="17" spans="2:5" ht="38.25" customHeight="1" x14ac:dyDescent="0.2">
      <c r="B17" s="188" t="s">
        <v>126</v>
      </c>
      <c r="C17" s="189"/>
      <c r="D17" s="189"/>
      <c r="E17" s="190"/>
    </row>
    <row r="18" spans="2:5" ht="14.25" x14ac:dyDescent="0.2">
      <c r="B18" s="177"/>
      <c r="C18" s="174"/>
      <c r="D18" s="176"/>
      <c r="E18" s="175"/>
    </row>
    <row r="19" spans="2:5" ht="45.75" customHeight="1" x14ac:dyDescent="0.2">
      <c r="B19" s="178" t="s">
        <v>125</v>
      </c>
      <c r="C19" s="184" t="str">
        <f>AV10</f>
        <v xml:space="preserve">Procesador Intel Core I3, 4 nucleos (4hilos), 6 Mb smartcache 4,20 Ghz, modelo 9100 0 superior. Memoria Ram de 6 Gb o superior tipo DDR4. Disco de estado solido de SSD 500Gb o superior. Fuente de poder 550 watts o superior.  Placa Madre con salida de video HDMI y VGA. Sistema Operativo Gratuito (OS FREE, Libre). Kit de Teclado, Mouse y parlante.                </v>
      </c>
      <c r="D19" s="184"/>
      <c r="E19" s="185"/>
    </row>
    <row r="20" spans="2:5" ht="53.25" customHeight="1" x14ac:dyDescent="0.2">
      <c r="B20" s="178" t="s">
        <v>127</v>
      </c>
      <c r="C20" s="184" t="str">
        <f>AV11</f>
        <v xml:space="preserve">Monitor 19" tecnología LED tamaño de pantalla 18.5". Resolución Maxima:1366 x 768. Relación de Aspecto: 16:9, Angulo de Visión: 170° / 160° (H/V), Colores Despegables: 16.7 Millones de Colores Contraste Dinámico: 50,000,000:1, Brillo: 250 cd/m2, Tiempo de Respuesta: 5 ms Frecuencia de Actualización: 60 Hz Entradas: VGA y HDMI.     </v>
      </c>
      <c r="D20" s="184"/>
      <c r="E20" s="185"/>
    </row>
    <row r="21" spans="2:5" ht="65.25" customHeight="1" x14ac:dyDescent="0.2">
      <c r="B21" s="178" t="s">
        <v>128</v>
      </c>
      <c r="C21" s="184" t="str">
        <f>AV12</f>
        <v xml:space="preserve">Procesador Intel Core I3, 4 nucleos (4hilos), 6 Mb smartcache 4,20 Ghz, modelo 9100 0 superior. Memoria Ram de 8 Gb o superior tipo DDR4. Disco de estado solido de HDD 1TB. Sistema Operativo Windows 10 Home, Tamaño de pantalla 14,1 pulgadas resolucion de pantalla 1366x768, placa de video Intel Conectividad Wi-Fi, puertos 2 usb 3.1 de primera generacion 1 usb 2.0, puerto hdmi, Bluetooth, placa de red, Camara, Teclado numerico, bateria 3 celdas.              </v>
      </c>
      <c r="D21" s="184"/>
      <c r="E21" s="185"/>
    </row>
    <row r="22" spans="2:5" ht="129" customHeight="1" x14ac:dyDescent="0.2">
      <c r="B22" s="178" t="s">
        <v>129</v>
      </c>
      <c r="C22" s="184" t="str">
        <f>AV13</f>
        <v xml:space="preserve">Voltaje de entrada: 110V/220V, Potencia pico: 500VA, Autonomía máxima de la batería: 18 m, Cantidad de tomas: 4, Tipo de UPS: Interactiva.            
Rango de estabilización de salida 10%, Tipos de alarma sonora Modo de batería,Sobrecarga,Falla, Dispositivos aptos Faxes,Módems,Computadoras, Teléfonos,Routers, Con botón de encendido/apagado Sí, Con indicador LED Sí, Nivel máximo de ruido 40 dB
Potencia pico 500VA, Potencia nominal 500 VA, Voltaje de entrada 110V/220V, Voltaje de salida 220, Denominación de voltaje Monovolt
Rango de voltaje de entrada 250w, Rango de voltaje de entrada CA 220; Batería: Autonomía máxima de la batería 18 m
Tiempo máximo de carga 4 h. </v>
      </c>
      <c r="D22" s="186"/>
      <c r="E22" s="187"/>
    </row>
    <row r="23" spans="2:5" ht="14.25" x14ac:dyDescent="0.2">
      <c r="B23" s="178"/>
      <c r="C23" s="193"/>
      <c r="D23" s="193"/>
      <c r="E23" s="193"/>
    </row>
    <row r="24" spans="2:5" ht="41.25" customHeight="1" x14ac:dyDescent="0.2">
      <c r="B24" s="178" t="s">
        <v>123</v>
      </c>
      <c r="C24" s="194" t="s">
        <v>116</v>
      </c>
      <c r="D24" s="194"/>
      <c r="E24" s="195"/>
    </row>
    <row r="25" spans="2:5" ht="32.25" customHeight="1" x14ac:dyDescent="0.2">
      <c r="B25" s="178" t="s">
        <v>124</v>
      </c>
      <c r="C25" s="197" t="s">
        <v>117</v>
      </c>
      <c r="D25" s="197"/>
      <c r="E25" s="198"/>
    </row>
    <row r="26" spans="2:5" ht="14.25" x14ac:dyDescent="0.2">
      <c r="B26" s="177"/>
      <c r="C26" s="192"/>
      <c r="D26" s="192"/>
      <c r="E26" s="192"/>
    </row>
    <row r="27" spans="2:5" ht="35.25" customHeight="1" x14ac:dyDescent="0.2">
      <c r="B27" s="178" t="s">
        <v>118</v>
      </c>
      <c r="C27" s="191"/>
      <c r="D27" s="191"/>
      <c r="E27" s="192"/>
    </row>
    <row r="28" spans="2:5" ht="14.25" x14ac:dyDescent="0.2">
      <c r="B28" s="177"/>
      <c r="C28" s="193"/>
      <c r="D28" s="193"/>
      <c r="E28" s="193"/>
    </row>
    <row r="29" spans="2:5" ht="14.25" x14ac:dyDescent="0.2">
      <c r="B29" s="178" t="s">
        <v>119</v>
      </c>
      <c r="C29" s="194" t="s">
        <v>120</v>
      </c>
      <c r="D29" s="194"/>
      <c r="E29" s="195"/>
    </row>
    <row r="30" spans="2:5" ht="14.25" x14ac:dyDescent="0.2">
      <c r="B30" s="177"/>
      <c r="C30" s="193"/>
      <c r="D30" s="193"/>
      <c r="E30" s="193"/>
    </row>
    <row r="31" spans="2:5" ht="14.25" x14ac:dyDescent="0.2">
      <c r="B31" s="178" t="s">
        <v>121</v>
      </c>
      <c r="C31" s="196" t="s">
        <v>122</v>
      </c>
      <c r="D31" s="196"/>
      <c r="E31" s="187"/>
    </row>
    <row r="32" spans="2:5" thickBot="1" x14ac:dyDescent="0.25">
      <c r="B32" s="179"/>
      <c r="C32" s="182"/>
      <c r="D32" s="182"/>
      <c r="E32" s="183"/>
    </row>
  </sheetData>
  <mergeCells count="22">
    <mergeCell ref="A7:B7"/>
    <mergeCell ref="A6:B6"/>
    <mergeCell ref="B2:AT2"/>
    <mergeCell ref="A4:B4"/>
    <mergeCell ref="C4:E4"/>
    <mergeCell ref="A5:B5"/>
    <mergeCell ref="C5:E5"/>
    <mergeCell ref="C32:E32"/>
    <mergeCell ref="C20:E20"/>
    <mergeCell ref="C21:E21"/>
    <mergeCell ref="C22:E22"/>
    <mergeCell ref="B17:E17"/>
    <mergeCell ref="C27:E27"/>
    <mergeCell ref="C28:E28"/>
    <mergeCell ref="C29:E29"/>
    <mergeCell ref="C30:E30"/>
    <mergeCell ref="C31:E31"/>
    <mergeCell ref="C19:E19"/>
    <mergeCell ref="C23:E23"/>
    <mergeCell ref="C24:E24"/>
    <mergeCell ref="C25:E25"/>
    <mergeCell ref="C26:E26"/>
  </mergeCells>
  <conditionalFormatting sqref="B33:B1048576 B1:B16">
    <cfRule type="duplicateValues" dxfId="5" priority="13047"/>
  </conditionalFormatting>
  <conditionalFormatting sqref="E33:E1048576 E1:E16">
    <cfRule type="duplicateValues" dxfId="4" priority="13050"/>
  </conditionalFormatting>
  <conditionalFormatting sqref="B33:B1048576 AV1:AV1048576 E1:E16 B1:B16 E33:E1048576">
    <cfRule type="duplicateValues" dxfId="3" priority="13053"/>
  </conditionalFormatting>
  <conditionalFormatting sqref="B33:B1048576 E1:E16 B1:B16 AV1:AV1048576 E33:E1048576">
    <cfRule type="duplicateValues" dxfId="2" priority="13071"/>
  </conditionalFormatting>
  <conditionalFormatting sqref="E33:E1048576 E1:E16">
    <cfRule type="duplicateValues" dxfId="1" priority="13080"/>
    <cfRule type="duplicateValues" dxfId="0" priority="13081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selection activeCell="K2" sqref="K2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0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bestFit="1" customWidth="1"/>
  </cols>
  <sheetData>
    <row r="1" spans="1:13" ht="16.5" thickBot="1" x14ac:dyDescent="0.25">
      <c r="A1" s="206" t="s">
        <v>67</v>
      </c>
      <c r="B1" s="206"/>
      <c r="C1" s="206"/>
      <c r="D1" s="206"/>
      <c r="E1" s="206"/>
      <c r="F1" s="206"/>
      <c r="G1" s="206"/>
      <c r="H1" s="206"/>
      <c r="I1" s="206"/>
      <c r="J1" s="140" t="s">
        <v>68</v>
      </c>
      <c r="K1" s="141" t="s">
        <v>131</v>
      </c>
      <c r="M1" s="45"/>
    </row>
    <row r="2" spans="1:13" ht="16.5" thickBot="1" x14ac:dyDescent="0.25">
      <c r="A2" s="142"/>
      <c r="B2" s="142"/>
      <c r="C2" s="142"/>
      <c r="D2" s="143"/>
      <c r="E2" s="143"/>
      <c r="F2" s="143"/>
      <c r="G2" s="143"/>
      <c r="H2" s="143"/>
      <c r="I2" s="143"/>
      <c r="J2" s="143"/>
      <c r="K2" s="143"/>
      <c r="M2" s="45"/>
    </row>
    <row r="3" spans="1:13" ht="16.5" thickBot="1" x14ac:dyDescent="0.25">
      <c r="A3" s="207" t="s">
        <v>69</v>
      </c>
      <c r="B3" s="207"/>
      <c r="C3" s="207"/>
      <c r="D3" s="144" t="s">
        <v>70</v>
      </c>
      <c r="E3" s="145"/>
      <c r="F3" s="145"/>
      <c r="G3" s="145"/>
      <c r="H3" s="145"/>
      <c r="I3" s="145"/>
      <c r="J3" s="145"/>
      <c r="K3" s="146"/>
      <c r="M3" s="45"/>
    </row>
    <row r="4" spans="1:13" ht="16.5" thickBot="1" x14ac:dyDescent="0.25">
      <c r="A4" s="204" t="s">
        <v>71</v>
      </c>
      <c r="B4" s="204"/>
      <c r="C4" s="204"/>
      <c r="D4" s="144" t="s">
        <v>72</v>
      </c>
      <c r="E4" s="145"/>
      <c r="F4" s="145"/>
      <c r="G4" s="145"/>
      <c r="H4" s="145"/>
      <c r="I4" s="145"/>
      <c r="J4" s="145"/>
      <c r="K4" s="146"/>
      <c r="M4" s="45"/>
    </row>
    <row r="5" spans="1:13" ht="16.5" thickBot="1" x14ac:dyDescent="0.25">
      <c r="A5" s="204" t="s">
        <v>73</v>
      </c>
      <c r="B5" s="204"/>
      <c r="C5" s="204"/>
      <c r="D5" s="144" t="s">
        <v>112</v>
      </c>
      <c r="E5" s="147"/>
      <c r="F5" s="147"/>
      <c r="G5" s="147"/>
      <c r="H5" s="147"/>
      <c r="I5" s="147"/>
      <c r="J5" s="147"/>
      <c r="K5" s="148"/>
      <c r="M5" s="45"/>
    </row>
    <row r="6" spans="1:13" ht="16.5" thickBot="1" x14ac:dyDescent="0.25">
      <c r="A6" s="207" t="s">
        <v>74</v>
      </c>
      <c r="B6" s="207"/>
      <c r="C6" s="207"/>
      <c r="D6" s="144" t="s">
        <v>112</v>
      </c>
      <c r="E6" s="147"/>
      <c r="F6" s="147"/>
      <c r="G6" s="147"/>
      <c r="H6" s="147"/>
      <c r="I6" s="147"/>
      <c r="J6" s="147"/>
      <c r="K6" s="148"/>
      <c r="M6" s="45"/>
    </row>
    <row r="7" spans="1:13" ht="16.5" thickBot="1" x14ac:dyDescent="0.25">
      <c r="A7" s="204" t="s">
        <v>75</v>
      </c>
      <c r="B7" s="204"/>
      <c r="C7" s="204"/>
      <c r="D7" s="205" t="s">
        <v>113</v>
      </c>
      <c r="E7" s="205"/>
      <c r="F7" s="205"/>
      <c r="G7" s="205"/>
      <c r="H7" s="205"/>
      <c r="I7" s="205"/>
      <c r="J7" s="205"/>
      <c r="K7" s="205"/>
      <c r="M7" s="45"/>
    </row>
    <row r="8" spans="1:13" ht="16.5" thickBot="1" x14ac:dyDescent="0.25">
      <c r="A8" s="213" t="s">
        <v>76</v>
      </c>
      <c r="B8" s="213"/>
      <c r="C8" s="213"/>
      <c r="D8" s="214" t="s">
        <v>111</v>
      </c>
      <c r="E8" s="214"/>
      <c r="F8" s="214"/>
      <c r="G8" s="214"/>
      <c r="H8" s="214"/>
      <c r="I8" s="214"/>
      <c r="J8" s="214"/>
      <c r="K8" s="214"/>
      <c r="M8" s="45"/>
    </row>
    <row r="9" spans="1:13" ht="16.5" thickBot="1" x14ac:dyDescent="0.25">
      <c r="A9" s="149"/>
      <c r="B9" s="149"/>
      <c r="C9" s="149"/>
      <c r="D9" s="150"/>
      <c r="E9" s="150"/>
      <c r="F9" s="150"/>
      <c r="G9" s="150"/>
      <c r="H9" s="150"/>
      <c r="I9" s="150"/>
      <c r="J9" s="150"/>
      <c r="K9" s="150"/>
      <c r="M9" s="45"/>
    </row>
    <row r="10" spans="1:13" ht="13.5" thickBot="1" x14ac:dyDescent="0.25">
      <c r="A10" s="215" t="s">
        <v>77</v>
      </c>
      <c r="B10" s="216" t="s">
        <v>78</v>
      </c>
      <c r="C10" s="216" t="s">
        <v>79</v>
      </c>
      <c r="D10" s="216"/>
      <c r="E10" s="216"/>
      <c r="F10" s="216"/>
      <c r="G10" s="216"/>
      <c r="H10" s="217" t="s">
        <v>80</v>
      </c>
      <c r="I10" s="218" t="s">
        <v>81</v>
      </c>
      <c r="J10" s="218" t="s">
        <v>82</v>
      </c>
      <c r="K10" s="218" t="s">
        <v>83</v>
      </c>
      <c r="M10" s="45"/>
    </row>
    <row r="11" spans="1:13" ht="13.5" thickBot="1" x14ac:dyDescent="0.25">
      <c r="A11" s="215"/>
      <c r="B11" s="216"/>
      <c r="C11" s="216"/>
      <c r="D11" s="216"/>
      <c r="E11" s="216"/>
      <c r="F11" s="216"/>
      <c r="G11" s="216"/>
      <c r="H11" s="217"/>
      <c r="I11" s="218"/>
      <c r="J11" s="218"/>
      <c r="K11" s="218"/>
      <c r="M11" s="45"/>
    </row>
    <row r="12" spans="1:13" ht="22.5" customHeight="1" x14ac:dyDescent="0.2">
      <c r="A12" s="151">
        <v>1</v>
      </c>
      <c r="B12" s="151" t="str">
        <f>'Necesidades Trimestrales (2)'!B10</f>
        <v>4.3.6-6160.221</v>
      </c>
      <c r="C12" s="152" t="str">
        <f>'Necesidades Trimestrales (2)'!E10</f>
        <v>COMPUTADORAS; TIPO: DE ESCRITORIO, CODIGO ETAP: PC-002-00, VERSION ETAP: 23.0</v>
      </c>
      <c r="D12" s="153"/>
      <c r="E12" s="153"/>
      <c r="F12" s="153"/>
      <c r="G12" s="153"/>
      <c r="H12" s="154" t="s">
        <v>84</v>
      </c>
      <c r="I12" s="155" t="str">
        <f>'Necesidades Trimestrales (2)'!F10</f>
        <v>UNIDAD</v>
      </c>
      <c r="J12" s="46">
        <f>'Necesidades Trimestrales (2)'!AT10</f>
        <v>100000</v>
      </c>
      <c r="K12" s="156">
        <f>'Necesidades Trimestrales (2)'!AS10</f>
        <v>123</v>
      </c>
      <c r="M12" s="45">
        <f>+J12*K12</f>
        <v>12300000</v>
      </c>
    </row>
    <row r="13" spans="1:13" ht="22.5" customHeight="1" x14ac:dyDescent="0.2">
      <c r="A13" s="151">
        <v>2</v>
      </c>
      <c r="B13" s="151" t="str">
        <f>'Necesidades Trimestrales (2)'!B11</f>
        <v>4.3.6-6169.98</v>
      </c>
      <c r="C13" s="157" t="str">
        <f>'Necesidades Trimestrales (2)'!E11</f>
        <v>MONITORES; TIPO: TFT/LCD/LED ESTANDAR, CODIGO ETAP: MN-005, VERSION ETAP: 21.0</v>
      </c>
      <c r="D13" s="158"/>
      <c r="E13" s="158"/>
      <c r="F13" s="158"/>
      <c r="G13" s="159"/>
      <c r="H13" s="160" t="s">
        <v>84</v>
      </c>
      <c r="I13" s="155" t="str">
        <f>'Necesidades Trimestrales (2)'!F11</f>
        <v>UNIDAD</v>
      </c>
      <c r="J13" s="46">
        <f>'Necesidades Trimestrales (2)'!AT11</f>
        <v>20000</v>
      </c>
      <c r="K13" s="156">
        <f>'Necesidades Trimestrales (2)'!AS11</f>
        <v>123</v>
      </c>
      <c r="M13" s="45">
        <f t="shared" ref="M13:M15" si="0">+J13*K13</f>
        <v>2460000</v>
      </c>
    </row>
    <row r="14" spans="1:13" ht="22.5" customHeight="1" x14ac:dyDescent="0.2">
      <c r="A14" s="151">
        <v>3</v>
      </c>
      <c r="B14" s="151" t="str">
        <f>'Necesidades Trimestrales (2)'!B12</f>
        <v>4.3.6-6160.225</v>
      </c>
      <c r="C14" s="157" t="str">
        <f>'Necesidades Trimestrales (2)'!E12</f>
        <v>COMPUTADORAS; TIPO: NOTEBOOK, CODIGO: ETAP PC-006, VERSION: ETAP 24.0</v>
      </c>
      <c r="D14" s="158"/>
      <c r="E14" s="158"/>
      <c r="F14" s="158"/>
      <c r="G14" s="159"/>
      <c r="H14" s="160" t="s">
        <v>84</v>
      </c>
      <c r="I14" s="155" t="str">
        <f>'Necesidades Trimestrales (2)'!F12</f>
        <v>UNIDAD</v>
      </c>
      <c r="J14" s="46">
        <f>'Necesidades Trimestrales (2)'!AT12</f>
        <v>125000</v>
      </c>
      <c r="K14" s="156">
        <f>'Necesidades Trimestrales (2)'!AS12</f>
        <v>15</v>
      </c>
      <c r="M14" s="45">
        <f t="shared" si="0"/>
        <v>1875000</v>
      </c>
    </row>
    <row r="15" spans="1:13" ht="22.5" customHeight="1" x14ac:dyDescent="0.2">
      <c r="A15" s="151">
        <v>4</v>
      </c>
      <c r="B15" s="151" t="str">
        <f>'Necesidades Trimestrales (2)'!B13</f>
        <v>4.3.6-6191.81</v>
      </c>
      <c r="C15" s="157" t="str">
        <f>'Necesidades Trimestrales (2)'!E13</f>
        <v>UPS; TIPO: P/ESTACIONES DE TRABAJO, CODIGO ETAP: UPS-001, VERSION ETAP: 21.0</v>
      </c>
      <c r="D15" s="161"/>
      <c r="E15" s="161"/>
      <c r="F15" s="161"/>
      <c r="G15" s="162"/>
      <c r="H15" s="160" t="s">
        <v>84</v>
      </c>
      <c r="I15" s="155" t="str">
        <f>'Necesidades Trimestrales (2)'!F13</f>
        <v>UNIDAD</v>
      </c>
      <c r="J15" s="46">
        <f>'Necesidades Trimestrales (2)'!AT13</f>
        <v>6500</v>
      </c>
      <c r="K15" s="156">
        <f>'Necesidades Trimestrales (2)'!AS13</f>
        <v>123</v>
      </c>
      <c r="M15" s="45">
        <f t="shared" si="0"/>
        <v>799500</v>
      </c>
    </row>
    <row r="16" spans="1:13" ht="22.5" customHeight="1" thickBot="1" x14ac:dyDescent="0.25">
      <c r="A16" s="163"/>
      <c r="B16" s="164"/>
      <c r="C16" s="165"/>
      <c r="D16" s="166"/>
      <c r="E16" s="166"/>
      <c r="F16" s="166"/>
      <c r="G16" s="167"/>
      <c r="H16" s="168"/>
      <c r="I16" s="169"/>
      <c r="J16" s="170"/>
      <c r="K16" s="171"/>
      <c r="M16" s="45"/>
    </row>
    <row r="17" spans="1:13" ht="22.5" customHeight="1" thickBot="1" x14ac:dyDescent="0.25">
      <c r="A17" s="208" t="s">
        <v>115</v>
      </c>
      <c r="B17" s="209"/>
      <c r="C17" s="209"/>
      <c r="D17" s="209"/>
      <c r="E17" s="209"/>
      <c r="F17" s="209"/>
      <c r="G17" s="209"/>
      <c r="H17" s="209"/>
      <c r="I17" s="210"/>
      <c r="J17" s="211">
        <f>+M17</f>
        <v>17434500</v>
      </c>
      <c r="K17" s="212"/>
      <c r="M17" s="45">
        <f>SUM(M12:M16)</f>
        <v>17434500</v>
      </c>
    </row>
  </sheetData>
  <mergeCells count="18">
    <mergeCell ref="A17:I17"/>
    <mergeCell ref="J17:K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7:C7"/>
    <mergeCell ref="D7:K7"/>
    <mergeCell ref="A1:I1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4" workbookViewId="0">
      <selection activeCell="A11" sqref="A11"/>
    </sheetView>
  </sheetViews>
  <sheetFormatPr baseColWidth="10" defaultRowHeight="12.75" x14ac:dyDescent="0.2"/>
  <cols>
    <col min="1" max="5" width="4.42578125" customWidth="1"/>
    <col min="6" max="6" width="5.5703125" customWidth="1"/>
    <col min="7" max="14" width="4.42578125" customWidth="1"/>
    <col min="15" max="16" width="14.85546875" customWidth="1"/>
    <col min="17" max="17" width="17.7109375" customWidth="1"/>
  </cols>
  <sheetData>
    <row r="1" spans="1:17" ht="18.75" customHeight="1" thickBot="1" x14ac:dyDescent="0.3">
      <c r="A1" s="222" t="s">
        <v>2</v>
      </c>
      <c r="B1" s="222"/>
      <c r="C1" s="222"/>
      <c r="D1" s="223">
        <v>2021</v>
      </c>
      <c r="E1" s="223"/>
      <c r="F1" s="47"/>
      <c r="G1" s="47"/>
      <c r="H1" s="48"/>
      <c r="I1" s="48"/>
      <c r="J1" s="48"/>
      <c r="K1" s="48"/>
      <c r="L1" s="48"/>
      <c r="M1" s="48"/>
      <c r="N1" s="48"/>
      <c r="O1" s="49"/>
      <c r="P1" s="224" t="s">
        <v>85</v>
      </c>
      <c r="Q1" s="224"/>
    </row>
    <row r="2" spans="1:17" ht="18.75" customHeight="1" thickBot="1" x14ac:dyDescent="0.25">
      <c r="A2" s="49"/>
      <c r="B2" s="49"/>
      <c r="C2" s="49"/>
      <c r="D2" s="49"/>
      <c r="E2" s="49"/>
      <c r="F2" s="49"/>
      <c r="G2" s="50"/>
      <c r="H2" s="48"/>
      <c r="I2" s="48"/>
      <c r="J2" s="48"/>
      <c r="K2" s="48"/>
      <c r="L2" s="48"/>
      <c r="M2" s="48"/>
      <c r="N2" s="48"/>
      <c r="O2" s="49"/>
      <c r="P2" s="224"/>
      <c r="Q2" s="224"/>
    </row>
    <row r="3" spans="1:17" ht="18.75" customHeight="1" thickBot="1" x14ac:dyDescent="0.25">
      <c r="A3" s="49"/>
      <c r="B3" s="49"/>
      <c r="C3" s="49"/>
      <c r="D3" s="49"/>
      <c r="E3" s="49"/>
      <c r="F3" s="49"/>
      <c r="G3" s="50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ht="18.75" customHeight="1" thickBot="1" x14ac:dyDescent="0.25">
      <c r="A4" s="225" t="s">
        <v>86</v>
      </c>
      <c r="B4" s="225"/>
      <c r="C4" s="225"/>
      <c r="D4" s="225"/>
      <c r="E4" s="225"/>
      <c r="F4" s="225"/>
      <c r="G4" s="51" t="str">
        <f>NP!D3</f>
        <v>040 - Ministerio de Salud</v>
      </c>
      <c r="H4" s="52"/>
      <c r="I4" s="52"/>
      <c r="J4" s="52"/>
      <c r="K4" s="52"/>
      <c r="L4" s="52"/>
      <c r="M4" s="52"/>
      <c r="N4" s="52"/>
      <c r="O4" s="52"/>
      <c r="P4" s="52"/>
      <c r="Q4" s="53"/>
    </row>
    <row r="5" spans="1:17" ht="18.75" customHeight="1" thickBot="1" x14ac:dyDescent="0.25">
      <c r="A5" s="219" t="s">
        <v>71</v>
      </c>
      <c r="B5" s="220"/>
      <c r="C5" s="220"/>
      <c r="D5" s="220"/>
      <c r="E5" s="220"/>
      <c r="F5" s="221"/>
      <c r="G5" s="51" t="str">
        <f>NP!D4</f>
        <v>011 - Direccion Provincial de Administración - Ministerio de Salud</v>
      </c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1:17" ht="18.75" customHeight="1" thickBot="1" x14ac:dyDescent="0.25">
      <c r="A6" s="219" t="s">
        <v>73</v>
      </c>
      <c r="B6" s="220"/>
      <c r="C6" s="220"/>
      <c r="D6" s="220"/>
      <c r="E6" s="220"/>
      <c r="F6" s="221"/>
      <c r="G6" s="51" t="str">
        <f>NP!D5</f>
        <v>382 - SECRETARIA DE PLANIFICACION Y GESTION EN SALUD</v>
      </c>
      <c r="H6" s="52"/>
      <c r="I6" s="52"/>
      <c r="J6" s="52"/>
      <c r="K6" s="52"/>
      <c r="L6" s="52"/>
      <c r="M6" s="52"/>
      <c r="N6" s="52"/>
      <c r="O6" s="52"/>
      <c r="P6" s="52"/>
      <c r="Q6" s="53"/>
    </row>
    <row r="7" spans="1:17" ht="18.75" customHeight="1" thickBot="1" x14ac:dyDescent="0.25">
      <c r="A7" s="219" t="s">
        <v>74</v>
      </c>
      <c r="B7" s="220"/>
      <c r="C7" s="220"/>
      <c r="D7" s="220"/>
      <c r="E7" s="220"/>
      <c r="F7" s="221"/>
      <c r="G7" s="51" t="str">
        <f>NP!D6</f>
        <v>382 - SECRETARIA DE PLANIFICACION Y GESTION EN SALUD</v>
      </c>
      <c r="H7" s="52"/>
      <c r="I7" s="52"/>
      <c r="J7" s="52"/>
      <c r="K7" s="52"/>
      <c r="L7" s="52"/>
      <c r="M7" s="52"/>
      <c r="N7" s="52"/>
      <c r="O7" s="52"/>
      <c r="P7" s="52"/>
      <c r="Q7" s="53"/>
    </row>
    <row r="8" spans="1:17" ht="18.75" customHeight="1" thickBot="1" x14ac:dyDescent="0.25">
      <c r="A8" s="227" t="s">
        <v>87</v>
      </c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</row>
    <row r="9" spans="1:17" ht="18.75" customHeight="1" x14ac:dyDescent="0.2">
      <c r="A9" s="228" t="s">
        <v>88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54"/>
      <c r="P9" s="54"/>
      <c r="Q9" s="55"/>
    </row>
    <row r="10" spans="1:17" ht="48.75" customHeight="1" x14ac:dyDescent="0.2">
      <c r="A10" s="229" t="s">
        <v>132</v>
      </c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1"/>
    </row>
    <row r="11" spans="1:17" ht="18.75" customHeight="1" thickBot="1" x14ac:dyDescent="0.25">
      <c r="A11" s="56"/>
      <c r="B11" s="57"/>
      <c r="C11" s="57"/>
      <c r="D11" s="57"/>
      <c r="E11" s="57"/>
      <c r="F11" s="57"/>
      <c r="G11" s="58"/>
      <c r="H11" s="57"/>
      <c r="I11" s="57"/>
      <c r="J11" s="57"/>
      <c r="K11" s="57"/>
      <c r="L11" s="57"/>
      <c r="M11" s="57"/>
      <c r="N11" s="57"/>
      <c r="O11" s="57"/>
      <c r="P11" s="57"/>
      <c r="Q11" s="59"/>
    </row>
    <row r="12" spans="1:17" ht="18.75" customHeight="1" thickBot="1" x14ac:dyDescent="0.25">
      <c r="A12" s="232" t="s">
        <v>89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</row>
    <row r="13" spans="1:17" ht="18.75" customHeight="1" thickBot="1" x14ac:dyDescent="0.25">
      <c r="A13" s="233" t="s">
        <v>90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4" t="s">
        <v>91</v>
      </c>
      <c r="P13" s="234"/>
      <c r="Q13" s="235" t="s">
        <v>92</v>
      </c>
    </row>
    <row r="14" spans="1:17" ht="18.75" customHeight="1" thickBot="1" x14ac:dyDescent="0.25">
      <c r="A14" s="60" t="s">
        <v>93</v>
      </c>
      <c r="B14" s="61" t="s">
        <v>94</v>
      </c>
      <c r="C14" s="61" t="s">
        <v>95</v>
      </c>
      <c r="D14" s="61" t="s">
        <v>96</v>
      </c>
      <c r="E14" s="61" t="s">
        <v>97</v>
      </c>
      <c r="F14" s="61" t="s">
        <v>98</v>
      </c>
      <c r="G14" s="62" t="s">
        <v>99</v>
      </c>
      <c r="H14" s="61" t="s">
        <v>100</v>
      </c>
      <c r="I14" s="61" t="s">
        <v>101</v>
      </c>
      <c r="J14" s="61" t="s">
        <v>102</v>
      </c>
      <c r="K14" s="61" t="s">
        <v>102</v>
      </c>
      <c r="L14" s="61" t="s">
        <v>103</v>
      </c>
      <c r="M14" s="63" t="s">
        <v>104</v>
      </c>
      <c r="N14" s="64" t="s">
        <v>105</v>
      </c>
      <c r="O14" s="234"/>
      <c r="P14" s="234"/>
      <c r="Q14" s="235"/>
    </row>
    <row r="15" spans="1:17" ht="37.5" customHeight="1" x14ac:dyDescent="0.2">
      <c r="A15" s="65">
        <v>2</v>
      </c>
      <c r="B15" s="66"/>
      <c r="C15" s="66"/>
      <c r="D15" s="66">
        <v>1</v>
      </c>
      <c r="E15" s="66"/>
      <c r="F15" s="66">
        <v>4901</v>
      </c>
      <c r="G15" s="66">
        <v>1</v>
      </c>
      <c r="H15" s="66">
        <v>3</v>
      </c>
      <c r="I15" s="67">
        <v>4</v>
      </c>
      <c r="J15" s="67">
        <v>3</v>
      </c>
      <c r="K15" s="67">
        <v>6</v>
      </c>
      <c r="L15" s="66"/>
      <c r="M15" s="68">
        <v>1</v>
      </c>
      <c r="N15" s="69" t="s">
        <v>106</v>
      </c>
      <c r="O15" s="236" t="s">
        <v>130</v>
      </c>
      <c r="P15" s="237"/>
      <c r="Q15" s="70">
        <f>NP!M17</f>
        <v>17434500</v>
      </c>
    </row>
    <row r="16" spans="1:17" ht="18.75" customHeight="1" x14ac:dyDescent="0.2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4"/>
      <c r="O16" s="238"/>
      <c r="P16" s="226"/>
      <c r="Q16" s="75"/>
    </row>
    <row r="17" spans="1:17" ht="18.75" customHeight="1" x14ac:dyDescent="0.2">
      <c r="A17" s="71"/>
      <c r="B17" s="72"/>
      <c r="C17" s="72"/>
      <c r="D17" s="72"/>
      <c r="E17" s="72"/>
      <c r="F17" s="74"/>
      <c r="G17" s="72"/>
      <c r="H17" s="72"/>
      <c r="I17" s="72"/>
      <c r="J17" s="72"/>
      <c r="K17" s="72"/>
      <c r="L17" s="72"/>
      <c r="M17" s="73"/>
      <c r="N17" s="74"/>
      <c r="O17" s="238"/>
      <c r="P17" s="226"/>
      <c r="Q17" s="75"/>
    </row>
    <row r="18" spans="1:17" ht="18.75" customHeight="1" x14ac:dyDescent="0.2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3"/>
      <c r="N18" s="74"/>
      <c r="O18" s="226"/>
      <c r="P18" s="226"/>
      <c r="Q18" s="75"/>
    </row>
    <row r="19" spans="1:17" ht="18.75" customHeight="1" x14ac:dyDescent="0.2">
      <c r="A19" s="71"/>
      <c r="B19" s="72"/>
      <c r="C19" s="72"/>
      <c r="D19" s="72"/>
      <c r="E19" s="72"/>
      <c r="F19" s="74"/>
      <c r="G19" s="72"/>
      <c r="H19" s="72"/>
      <c r="I19" s="72"/>
      <c r="J19" s="72"/>
      <c r="K19" s="72"/>
      <c r="L19" s="72"/>
      <c r="M19" s="73"/>
      <c r="N19" s="74"/>
      <c r="O19" s="226"/>
      <c r="P19" s="226"/>
      <c r="Q19" s="75"/>
    </row>
    <row r="20" spans="1:17" ht="18.75" customHeight="1" x14ac:dyDescent="0.2">
      <c r="A20" s="71"/>
      <c r="B20" s="72"/>
      <c r="C20" s="72"/>
      <c r="D20" s="72"/>
      <c r="E20" s="72"/>
      <c r="F20" s="74"/>
      <c r="G20" s="72"/>
      <c r="H20" s="72"/>
      <c r="I20" s="72"/>
      <c r="J20" s="72"/>
      <c r="K20" s="72"/>
      <c r="L20" s="72"/>
      <c r="M20" s="73"/>
      <c r="N20" s="74"/>
      <c r="O20" s="226"/>
      <c r="P20" s="226"/>
      <c r="Q20" s="75"/>
    </row>
    <row r="21" spans="1:17" ht="18.75" customHeight="1" x14ac:dyDescent="0.2">
      <c r="A21" s="76"/>
      <c r="B21" s="77"/>
      <c r="C21" s="77"/>
      <c r="D21" s="77"/>
      <c r="E21" s="77"/>
      <c r="F21" s="78"/>
      <c r="G21" s="77"/>
      <c r="H21" s="77"/>
      <c r="I21" s="77"/>
      <c r="J21" s="77"/>
      <c r="K21" s="77"/>
      <c r="L21" s="77"/>
      <c r="M21" s="79"/>
      <c r="N21" s="80"/>
      <c r="O21" s="238"/>
      <c r="P21" s="238"/>
      <c r="Q21" s="75"/>
    </row>
    <row r="22" spans="1:17" ht="18.75" customHeight="1" thickBot="1" x14ac:dyDescent="0.25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3"/>
      <c r="N22" s="82"/>
      <c r="O22" s="239"/>
      <c r="P22" s="239"/>
      <c r="Q22" s="84"/>
    </row>
    <row r="23" spans="1:17" ht="37.5" customHeight="1" thickBot="1" x14ac:dyDescent="0.25">
      <c r="A23" s="240" t="s">
        <v>114</v>
      </c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85">
        <f>SUM(Q15:Q22)</f>
        <v>17434500</v>
      </c>
    </row>
    <row r="24" spans="1:17" ht="18.75" customHeight="1" thickBot="1" x14ac:dyDescent="0.25">
      <c r="A24" s="241"/>
      <c r="B24" s="241"/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1"/>
    </row>
    <row r="25" spans="1:17" ht="18.75" customHeight="1" thickBot="1" x14ac:dyDescent="0.25">
      <c r="A25" s="242" t="s">
        <v>107</v>
      </c>
      <c r="B25" s="243"/>
      <c r="C25" s="243"/>
      <c r="D25" s="243"/>
      <c r="E25" s="243"/>
      <c r="F25" s="244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</row>
    <row r="26" spans="1:17" ht="18.75" customHeight="1" x14ac:dyDescent="0.2">
      <c r="A26" s="86" t="str">
        <f>NP!D8</f>
        <v>Adquisicion del  RUBRO EQUIPAMIENTO INFORMATICO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</row>
    <row r="27" spans="1:17" ht="18.75" customHeight="1" thickBot="1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1"/>
    </row>
  </sheetData>
  <mergeCells count="26">
    <mergeCell ref="O21:P21"/>
    <mergeCell ref="O22:P22"/>
    <mergeCell ref="A23:P23"/>
    <mergeCell ref="A24:Q24"/>
    <mergeCell ref="A25:F25"/>
    <mergeCell ref="G25:Q25"/>
    <mergeCell ref="O20:P20"/>
    <mergeCell ref="A7:F7"/>
    <mergeCell ref="A8:Q8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6:F6"/>
    <mergeCell ref="A1:C1"/>
    <mergeCell ref="D1:E1"/>
    <mergeCell ref="P1:Q2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 (2)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2021-08-10T12:03:41Z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