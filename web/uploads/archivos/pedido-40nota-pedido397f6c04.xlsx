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839420-CAT-DPPR#MHP\"/>
    </mc:Choice>
  </mc:AlternateContent>
  <xr:revisionPtr revIDLastSave="0" documentId="13_ncr:1_{B2DD85A1-8E69-43FF-85CA-2AEAABDAEAF1}" xr6:coauthVersionLast="46" xr6:coauthVersionMax="47" xr10:uidLastSave="{00000000-0000-0000-0000-000000000000}"/>
  <bookViews>
    <workbookView xWindow="-120" yWindow="-120" windowWidth="29040" windowHeight="15840" xr2:uid="{B0C1F4BD-6B89-4C0B-BA3C-DED3F36B2325}"/>
  </bookViews>
  <sheets>
    <sheet name="HNE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3" l="1"/>
  <c r="I42" i="3" l="1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</calcChain>
</file>

<file path=xl/sharedStrings.xml><?xml version="1.0" encoding="utf-8"?>
<sst xmlns="http://schemas.openxmlformats.org/spreadsheetml/2006/main" count="294" uniqueCount="151">
  <si>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</si>
  <si>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</si>
  <si>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</si>
  <si>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</si>
  <si>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</si>
  <si>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</si>
  <si>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</si>
  <si>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>2.9.6-1355.1044</t>
  </si>
  <si>
    <t>REPUESTOS</t>
  </si>
  <si>
    <t>2.9.2</t>
  </si>
  <si>
    <t>CARTUCHOS DE TINTA; CODIGO: HP27, DESCRIPCION: CARTUCHO TINTA, COLOR: NEGRO, USO: HEWLETT PACKARD</t>
  </si>
  <si>
    <t>Unidad</t>
  </si>
  <si>
    <t>2.9.6-1355.1045</t>
  </si>
  <si>
    <t>CARTUCHOS DE TINTA; CODIGO: HP28, DESCRIPCION: CARTUCHO TINTA, COLOR: COLOR, USO: HEWLETT PACKARD</t>
  </si>
  <si>
    <t>2.9.6-1355.1138</t>
  </si>
  <si>
    <t>CARTUCHOS DE TINTA; CODIGO: C6657AL, DESCRIPCION: CARTUCHO DE TINTA, COLOR: COLOR, USO: HEWLETT PACKARD</t>
  </si>
  <si>
    <t>2.9.6-1355.1580</t>
  </si>
  <si>
    <t>CARTUCHOS DE TINTA; CODIGO: T135120 - AL, USO: EPSON</t>
  </si>
  <si>
    <t>2.9.6-1355.1581</t>
  </si>
  <si>
    <t>CARTUCHOS DE TINTA; CODIGO: T133220 - AL, USO: EPSON</t>
  </si>
  <si>
    <t>2.9.6-1355.1582</t>
  </si>
  <si>
    <t>CARTUCHOS DE TINTA; CODIGO: T133320 - AL, USO: EPSON</t>
  </si>
  <si>
    <t>2.9.6-1355.1583</t>
  </si>
  <si>
    <t>CARTUCHOS DE TINTA; CODIGO: T133420 - AL, USO: EPSON</t>
  </si>
  <si>
    <t>2.9.6-1355.1667</t>
  </si>
  <si>
    <t>CARTUCHOS DE TINTA; CODIGO: HP675, USO: HEWLETT PACKARD</t>
  </si>
  <si>
    <t>2.9.6-1355.1750</t>
  </si>
  <si>
    <t>CARTUCHOS DE TINTA; CODIGO: 951XL, USO: HP</t>
  </si>
  <si>
    <t>2.9.6-1355.1831</t>
  </si>
  <si>
    <t xml:space="preserve">CARTUCHOS DE TINTA; CODIGO: MLT-D101S, USO: SAMSUNG </t>
  </si>
  <si>
    <t>2.9.6-1355.1854</t>
  </si>
  <si>
    <t>CARTUCHOS DE TINTA; CODIGO: CC640XL, USO: HP 3515</t>
  </si>
  <si>
    <t>2.9.6-1355.1855</t>
  </si>
  <si>
    <t>CARTUCHOS DE TINTA; CODIGO: CC643XL, USO: HP 3515</t>
  </si>
  <si>
    <t>2.9.6-1355.1950</t>
  </si>
  <si>
    <t>CARTUCHOS DE TINTA; CODIGO: 662XL, USO: HP</t>
  </si>
  <si>
    <t>2.9.6-1355.1988</t>
  </si>
  <si>
    <t>CARTUCHOS DE TINTA; CODIGO: 664, USO: HEWLET PACKARD</t>
  </si>
  <si>
    <t>2.9.6-1355.1993</t>
  </si>
  <si>
    <t>CARTUCHOS DE TINTA; USO: HP, CODIGO: 950XL</t>
  </si>
  <si>
    <t>2.9.6-1355.2063</t>
  </si>
  <si>
    <t>CARTUCHOS DE TINTA; CODIGO: 954XL, USO: HEWLETT PACKARD</t>
  </si>
  <si>
    <t>2.9.6-1355.664</t>
  </si>
  <si>
    <t>CARTUCHOS DE TINTA; CODIGO: C6656A, PRODUCTO: TINTA, COLOR: NEGRA, USO: HEWLETT PACKARD, DESCRIPCION: TINTA</t>
  </si>
  <si>
    <t>2.9.6-401.1362</t>
  </si>
  <si>
    <t>CARTUCHOS DE TONER; CODIGO: CE285A, USO: HEWLETT PACKARD</t>
  </si>
  <si>
    <t>2.9.6-401.1724</t>
  </si>
  <si>
    <t>CARTUCHOS DE TONER; CODIGO: CE411A, USO: HP</t>
  </si>
  <si>
    <t>2.9.6-401.1725</t>
  </si>
  <si>
    <t>CARTUCHOS DE TONER; CODIGO: CE412A, USO: HP</t>
  </si>
  <si>
    <t>2.9.6-401.1726</t>
  </si>
  <si>
    <t>CARTUCHOS DE TONER; CODIGO: CE413A, USO: HP</t>
  </si>
  <si>
    <t>2.9.6-401.1786</t>
  </si>
  <si>
    <t>CARTUCHOS DE TONER; CODIGO: CE410A, USO: HEWLETT PACKARD</t>
  </si>
  <si>
    <t>2.9.6-401.2138</t>
  </si>
  <si>
    <t>CARTUCHOS DE TONER; CODIGO: CF280X, USO: HEWLETT PACKARD</t>
  </si>
  <si>
    <t>2.9.6-401.2260</t>
  </si>
  <si>
    <t>CARTUCHOS DE TONER; CODIGO: 302, USO: HP</t>
  </si>
  <si>
    <t>2.9.6-401.2278</t>
  </si>
  <si>
    <t>CARTUCHOS DE TONER; CODIGO: MLT-D111L, USO: SAMSUNG</t>
  </si>
  <si>
    <t>Pedido de Necesidades Trimestrales</t>
  </si>
  <si>
    <t>JURISDICCION:</t>
  </si>
  <si>
    <t xml:space="preserve">SAF N°: </t>
  </si>
  <si>
    <t>EJERCICIO:</t>
  </si>
  <si>
    <t>TRIMESTRE:</t>
  </si>
  <si>
    <t>CANTIDAD</t>
  </si>
  <si>
    <t xml:space="preserve">IMPORTE TOTAL ESTIMADO </t>
  </si>
  <si>
    <t>040 - Ministerio de Salud</t>
  </si>
  <si>
    <t>024 - Hospital Interzonal de Niños</t>
  </si>
  <si>
    <t>2.9.6-1355.2067</t>
  </si>
  <si>
    <t>CARTUCHOS DE TINTA; CODIGO: HP 21, COLOR: SIN VALOR, USO:HEWLETT PACKARD</t>
  </si>
  <si>
    <t>2.9.6-1355.2064</t>
  </si>
  <si>
    <t>CARTUCHOS DE TINTA; CODIGO:HP 22, USO: HEWLETT PACKARD</t>
  </si>
  <si>
    <r>
      <rPr>
        <u/>
        <sz val="12"/>
        <rFont val="Times New Roman"/>
        <family val="1"/>
      </rPr>
      <t>Plazos y lugares de entrega</t>
    </r>
    <r>
      <rPr>
        <sz val="12"/>
        <rFont val="Times New Roman"/>
        <family val="1"/>
      </rPr>
      <t>:</t>
    </r>
  </si>
  <si>
    <r>
      <rPr>
        <u/>
        <sz val="12"/>
        <rFont val="Times New Roman"/>
        <family val="1"/>
      </rPr>
      <t>Lugar de Entrega</t>
    </r>
    <r>
      <rPr>
        <sz val="12"/>
        <rFont val="Times New Roman"/>
        <family val="1"/>
      </rPr>
      <t>: SERVICIO DE INFORMATICA -HOSPITAL INT. DE NIÑOS – AV. VIRGEN DEL VALLE N° 1050-CATAMARCA DE 8:00 A 12:00HS., DEBIENDO CORRER LOS GASTOS DE FLETES, ACARREO, CARGA, DESCARGA Y SEGURO A CARGO DEL ADJUDICATARIO.</t>
    </r>
  </si>
  <si>
    <r>
      <rPr>
        <u/>
        <sz val="12"/>
        <rFont val="Times New Roman"/>
        <family val="1"/>
      </rPr>
      <t>Plazo de entrega</t>
    </r>
    <r>
      <rPr>
        <sz val="12"/>
        <rFont val="Times New Roman"/>
        <family val="1"/>
      </rPr>
      <t>: Dentro de los 10 días corridos de notificada la Orden de Compra</t>
    </r>
  </si>
  <si>
    <r>
      <rPr>
        <u/>
        <sz val="12"/>
        <rFont val="Times New Roman"/>
        <family val="1"/>
      </rPr>
      <t>Mantenimiento de Oferta</t>
    </r>
    <r>
      <rPr>
        <sz val="12"/>
        <rFont val="Times New Roman"/>
        <family val="1"/>
      </rPr>
      <t xml:space="preserve">: 45 dias habiles </t>
    </r>
  </si>
  <si>
    <t xml:space="preserve">Especificaciones Técnicas: </t>
  </si>
  <si>
    <t>ITEM Nº 1:</t>
  </si>
  <si>
    <t xml:space="preserve">Cartucho Alternativo 21 XL (Negro) </t>
  </si>
  <si>
    <t>ITEM Nº 2:</t>
  </si>
  <si>
    <t xml:space="preserve">Cartucho Alternativo 22 XL (Tricolor) </t>
  </si>
  <si>
    <t>ITEM Nº 3:</t>
  </si>
  <si>
    <t xml:space="preserve">Cartucho Alternativo 27 XL (Negro) </t>
  </si>
  <si>
    <t>ITEM Nº :4</t>
  </si>
  <si>
    <t xml:space="preserve">Cartucho Alternativo 28 XL (Tricolor) </t>
  </si>
  <si>
    <t>ITEM Nº 5:</t>
  </si>
  <si>
    <t xml:space="preserve">Cartucho Alternativo 56 (Negro) </t>
  </si>
  <si>
    <t>ITEM Nº 6:</t>
  </si>
  <si>
    <t xml:space="preserve">Cartucho Alternativo 57 (Tricolor) </t>
  </si>
  <si>
    <t>ITEM Nº 7:</t>
  </si>
  <si>
    <t xml:space="preserve">Cartucho Alternativo 60 XL (Negro) </t>
  </si>
  <si>
    <t>ITEM Nº 8:</t>
  </si>
  <si>
    <t xml:space="preserve">Cartucho Alternativo 60 XL (Tricolor) </t>
  </si>
  <si>
    <t>ITEM Nº 9:</t>
  </si>
  <si>
    <t xml:space="preserve">Cartucho Alternativo 662 XL (Negro) </t>
  </si>
  <si>
    <t>ITEM Nº 10:</t>
  </si>
  <si>
    <t xml:space="preserve">Cartucho Alternativo 662 XL (Tricolor) </t>
  </si>
  <si>
    <t>ITEM Nº 11:</t>
  </si>
  <si>
    <t>Cartucho Original HP 664 (Negro)</t>
  </si>
  <si>
    <t>ITEM Nº 12:</t>
  </si>
  <si>
    <t>Cartucho Original HP 664 (Tricolor)</t>
  </si>
  <si>
    <t>ITEM Nº 13:</t>
  </si>
  <si>
    <t xml:space="preserve">Cartucho Alternativo 675 XL (Negro) </t>
  </si>
  <si>
    <t>ITEM Nº 14:</t>
  </si>
  <si>
    <t xml:space="preserve">Cartucho Alternativo 675 XL (Tricolor) </t>
  </si>
  <si>
    <t>ITEM Nº 15:</t>
  </si>
  <si>
    <t xml:space="preserve">Cartucho Alternativo 950 XL (Negro) </t>
  </si>
  <si>
    <t>ITEM Nº 16:</t>
  </si>
  <si>
    <t xml:space="preserve">Cartucho Alternativo 951 XL (Cyan) </t>
  </si>
  <si>
    <t>ITEM Nº 17:</t>
  </si>
  <si>
    <t xml:space="preserve">Cartucho Alternativo 951 XL (Magenta) </t>
  </si>
  <si>
    <t>ITEM Nº 18:</t>
  </si>
  <si>
    <t xml:space="preserve">Cartucho Alternativo 951 XL (Amarillo) </t>
  </si>
  <si>
    <t>ITEM Nº 19:</t>
  </si>
  <si>
    <t>25 un.</t>
  </si>
  <si>
    <t xml:space="preserve">Cartucho Alternativo 954 XL (Negro) </t>
  </si>
  <si>
    <t xml:space="preserve">Cartucho Alternativo 954 XL (Cyan) </t>
  </si>
  <si>
    <t xml:space="preserve">Cartucho Alternativo 954 XL (Magenta) </t>
  </si>
  <si>
    <t xml:space="preserve">Cartucho Alternativo 954 XL (Amarillo) </t>
  </si>
  <si>
    <t>ITEM Nº 20:</t>
  </si>
  <si>
    <t xml:space="preserve">Cartucho Alternativo 135 (Negro) </t>
  </si>
  <si>
    <t>ITEM Nº 21:</t>
  </si>
  <si>
    <t xml:space="preserve">Cartucho Alternativo 133 (Cyan) </t>
  </si>
  <si>
    <t>ITEM Nº 22:</t>
  </si>
  <si>
    <t xml:space="preserve">Cartucho Alternativo 133 (Magenta) </t>
  </si>
  <si>
    <t>ITEM Nº 23:</t>
  </si>
  <si>
    <t xml:space="preserve">Cartucho Alternativo 133 (Amarillo) </t>
  </si>
  <si>
    <t>ITEM Nº 24:</t>
  </si>
  <si>
    <t>Toner Alternativo 85A (Negro)</t>
  </si>
  <si>
    <t>ITEM Nº 25:</t>
  </si>
  <si>
    <t>Toner Alternativo 48A (Negro) c/chip</t>
  </si>
  <si>
    <t>ITEM Nº 26:</t>
  </si>
  <si>
    <t>Toner Alternativo D111 (Negro)</t>
  </si>
  <si>
    <t>ITEM Nº 27:</t>
  </si>
  <si>
    <t>Toner Alternativo D101 (Negro)</t>
  </si>
  <si>
    <t>ITEM Nº 28:</t>
  </si>
  <si>
    <t>Toner Alternativo CE410A(Negro)</t>
  </si>
  <si>
    <t>ITEM Nº 29:</t>
  </si>
  <si>
    <t>Toner Alternativo CE411A(Cyan)</t>
  </si>
  <si>
    <t>ITEM Nº 30:</t>
  </si>
  <si>
    <t>Toner Alternativo CE413A(Magenta)</t>
  </si>
  <si>
    <t>ITEM Nº 31:</t>
  </si>
  <si>
    <t>Toner Alternativo CE412A(Amarillo)</t>
  </si>
  <si>
    <t>ITEM Nº 32:</t>
  </si>
  <si>
    <t>Toner Alternativo 105A (Negro)</t>
  </si>
  <si>
    <t>ITEM Nº 33:</t>
  </si>
  <si>
    <t>Toner Alternativo 80X (Negro)</t>
  </si>
  <si>
    <t xml:space="preserve">25 Cartucho Alternativo 954 XL (Negro) / 25 Cartuchos Alternativos 954 XL (CYAN) / 25 Cartuchos Alternativos 954 XL (Magenta/ 25 Cartuchos Alternativos 954 XL (Amarillo) </t>
  </si>
  <si>
    <t>ESPECIFICIDADES TECNICAS HNEP</t>
  </si>
  <si>
    <t>NO-2021-00820556-CAT-HNEP#MS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</si>
</sst>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6" formatCode="&quot;$&quot;#,##0.00"/>
    <numFmt numFmtId="167" formatCode="[$$-2C0A]\ #,##0.00;[$$-2C0A]&quot; -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b/>
      <sz val="11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u/>
      <sz val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10"/>
      <name val="Times New Roman"/>
      <family val="1"/>
      <charset val="1"/>
    </font>
    <font>
      <sz val="11"/>
      <color theme="1"/>
      <name val="Bookman Old Style"/>
      <family val="1"/>
    </font>
    <font>
      <u/>
      <sz val="1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</cellStyleXfs>
  <cellXfs count="7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/>
    <xf numFmtId="0" fontId="6" fillId="0" borderId="0" xfId="0" applyFont="1"/>
    <xf numFmtId="0" fontId="6" fillId="0" borderId="5" xfId="0" applyFont="1" applyBorder="1"/>
    <xf numFmtId="0" fontId="10" fillId="0" borderId="0" xfId="0" applyFont="1"/>
    <xf numFmtId="0" fontId="6" fillId="0" borderId="7" xfId="0" applyFont="1" applyBorder="1"/>
    <xf numFmtId="0" fontId="6" fillId="0" borderId="10" xfId="0" applyFont="1" applyBorder="1"/>
    <xf numFmtId="0" fontId="6" fillId="0" borderId="6" xfId="0" applyFont="1" applyBorder="1"/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 wrapText="1"/>
    </xf>
    <xf numFmtId="0" fontId="12" fillId="3" borderId="0" xfId="0" applyFont="1" applyFill="1" applyAlignment="1">
      <alignment horizontal="left" wrapText="1" indent="1"/>
    </xf>
    <xf numFmtId="0" fontId="2" fillId="2" borderId="0" xfId="0" applyFont="1" applyFill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7" fontId="8" fillId="0" borderId="0" xfId="0" applyNumberFormat="1" applyFont="1"/>
    <xf numFmtId="0" fontId="6" fillId="0" borderId="3" xfId="0" applyFont="1" applyBorder="1"/>
    <xf numFmtId="0" fontId="6" fillId="0" borderId="4" xfId="0" applyFont="1" applyBorder="1"/>
    <xf numFmtId="0" fontId="6" fillId="0" borderId="8" xfId="0" applyFont="1" applyBorder="1"/>
    <xf numFmtId="0" fontId="6" fillId="0" borderId="9" xfId="0" applyFont="1" applyBorder="1"/>
    <xf numFmtId="0" fontId="17" fillId="0" borderId="6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7" fillId="0" borderId="6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0" fontId="18" fillId="0" borderId="6" xfId="0" applyFont="1" applyBorder="1" applyAlignment="1">
      <alignment horizontal="center"/>
    </xf>
    <xf numFmtId="0" fontId="18" fillId="0" borderId="0" xfId="0" applyFont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9" xfId="0" applyFont="1" applyBorder="1" applyAlignment="1">
      <alignment horizontal="left"/>
    </xf>
    <xf numFmtId="0" fontId="7" fillId="0" borderId="10" xfId="0" applyFont="1" applyBorder="1"/>
    <xf numFmtId="0" fontId="16" fillId="0" borderId="1" xfId="0" applyFont="1" applyFill="1" applyBorder="1" applyAlignment="1">
      <alignment horizontal="center" vertical="center"/>
    </xf>
    <xf numFmtId="166" fontId="1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vertical="center" wrapText="1"/>
    </xf>
    <xf numFmtId="0" fontId="14" fillId="0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left" wrapText="1"/>
    </xf>
    <xf numFmtId="0" fontId="16" fillId="0" borderId="16" xfId="0" applyFont="1" applyFill="1" applyBorder="1" applyAlignment="1">
      <alignment horizontal="center" vertical="center"/>
    </xf>
    <xf numFmtId="166" fontId="16" fillId="0" borderId="16" xfId="0" applyNumberFormat="1" applyFont="1" applyFill="1" applyBorder="1" applyAlignment="1">
      <alignment horizontal="center" vertical="center"/>
    </xf>
    <xf numFmtId="167" fontId="14" fillId="0" borderId="20" xfId="1" applyNumberFormat="1" applyFont="1" applyFill="1" applyBorder="1" applyAlignment="1" applyProtection="1">
      <alignment horizontal="right" vertical="center" wrapText="1"/>
    </xf>
    <xf numFmtId="0" fontId="14" fillId="0" borderId="17" xfId="0" applyFont="1" applyFill="1" applyBorder="1" applyAlignment="1">
      <alignment horizontal="center" vertical="center"/>
    </xf>
    <xf numFmtId="167" fontId="14" fillId="0" borderId="2" xfId="1" applyNumberFormat="1" applyFont="1" applyFill="1" applyBorder="1" applyAlignment="1" applyProtection="1">
      <alignment horizontal="right" vertical="center" wrapText="1"/>
    </xf>
    <xf numFmtId="0" fontId="14" fillId="0" borderId="18" xfId="0" applyFont="1" applyFill="1" applyBorder="1" applyAlignment="1">
      <alignment horizontal="center" vertical="center"/>
    </xf>
    <xf numFmtId="0" fontId="0" fillId="0" borderId="19" xfId="0" applyFill="1" applyBorder="1" applyAlignment="1">
      <alignment vertical="center"/>
    </xf>
    <xf numFmtId="0" fontId="0" fillId="0" borderId="19" xfId="0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left" wrapText="1"/>
    </xf>
    <xf numFmtId="0" fontId="16" fillId="0" borderId="19" xfId="0" applyFont="1" applyFill="1" applyBorder="1" applyAlignment="1">
      <alignment horizontal="center" vertical="center"/>
    </xf>
    <xf numFmtId="166" fontId="16" fillId="0" borderId="19" xfId="0" applyNumberFormat="1" applyFont="1" applyFill="1" applyBorder="1" applyAlignment="1">
      <alignment horizontal="center" vertical="center"/>
    </xf>
    <xf numFmtId="167" fontId="14" fillId="0" borderId="21" xfId="1" applyNumberFormat="1" applyFont="1" applyFill="1" applyBorder="1" applyAlignment="1" applyProtection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2" fillId="3" borderId="0" xfId="0" applyFont="1" applyFill="1" applyAlignment="1">
      <alignment horizontal="left" wrapText="1" indent="1"/>
    </xf>
  </cellXfs>
  <cellStyles count="4">
    <cellStyle name="Moneda" xfId="1" builtinId="4"/>
    <cellStyle name="Normal" xfId="0" builtinId="0"/>
    <cellStyle name="Normal 15" xfId="2" xr:uid="{A7D49F84-3AF9-45D9-8DD8-C54032911890}"/>
    <cellStyle name="Normal 7" xfId="3" xr:uid="{D480C124-37C1-46FF-BD62-E68C135CED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0950-C824-4F80-AC1D-DF4520311E8C}">
  <dimension ref="A1:J91"/>
  <sheetViews>
    <sheetView tabSelected="1" workbookViewId="0"/>
  </sheetViews>
  <sheetFormatPr baseColWidth="10" defaultRowHeight="15" x14ac:dyDescent="0.25"/>
  <cols>
    <col min="1" max="1" width="4.5703125" customWidth="1"/>
    <col min="2" max="2" width="18.85546875" customWidth="1"/>
    <col min="3" max="3" width="13.28515625" customWidth="1"/>
    <col min="4" max="4" width="8.42578125" customWidth="1"/>
    <col min="5" max="5" width="136.7109375" customWidth="1"/>
    <col min="6" max="6" width="11"/>
    <col min="7" max="7" width="10.42578125" bestFit="1" customWidth="1"/>
    <col min="8" max="8" width="13.85546875" customWidth="1"/>
    <col min="9" max="9" width="18.5703125" customWidth="1"/>
    <col min="10" max="10" width="27.140625" customWidth="1"/>
  </cols>
  <sheetData>
    <row r="1" spans="1:10" ht="15.75" x14ac:dyDescent="0.25">
      <c r="A1" s="6" t="s">
        <v>150</v>
      </c>
      <c r="B1" s="3"/>
      <c r="C1" s="3"/>
      <c r="D1" s="3"/>
      <c r="E1" s="3"/>
      <c r="F1" s="3"/>
      <c r="G1" s="3"/>
      <c r="H1" s="3"/>
      <c r="I1" s="3"/>
    </row>
    <row r="2" spans="1:10" ht="27" x14ac:dyDescent="0.35">
      <c r="A2" s="3"/>
      <c r="B2" s="68" t="s">
        <v>60</v>
      </c>
      <c r="C2" s="68"/>
      <c r="D2" s="68"/>
      <c r="E2" s="68"/>
      <c r="F2" s="68"/>
      <c r="G2" s="68"/>
      <c r="H2" s="68"/>
      <c r="I2" s="3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</row>
    <row r="4" spans="1:10" ht="15.75" x14ac:dyDescent="0.25">
      <c r="A4" s="62" t="s">
        <v>61</v>
      </c>
      <c r="B4" s="62"/>
      <c r="C4" s="69" t="s">
        <v>67</v>
      </c>
      <c r="D4" s="69"/>
      <c r="E4" s="69"/>
      <c r="F4" s="10"/>
      <c r="G4" s="11"/>
      <c r="H4" s="10"/>
      <c r="I4" s="3"/>
    </row>
    <row r="5" spans="1:10" ht="15.75" x14ac:dyDescent="0.25">
      <c r="A5" s="62" t="s">
        <v>62</v>
      </c>
      <c r="B5" s="62"/>
      <c r="C5" s="69" t="s">
        <v>68</v>
      </c>
      <c r="D5" s="69"/>
      <c r="E5" s="69"/>
      <c r="F5" s="10"/>
      <c r="G5" s="11"/>
      <c r="H5" s="10"/>
      <c r="I5" s="3"/>
    </row>
    <row r="6" spans="1:10" ht="15.75" x14ac:dyDescent="0.25">
      <c r="A6" s="62" t="s">
        <v>63</v>
      </c>
      <c r="B6" s="62"/>
      <c r="C6" s="12">
        <v>2021</v>
      </c>
      <c r="D6" s="13"/>
      <c r="E6" s="13"/>
      <c r="F6" s="10"/>
      <c r="G6" s="11"/>
      <c r="H6" s="10"/>
      <c r="I6" s="3"/>
    </row>
    <row r="7" spans="1:10" ht="15.75" x14ac:dyDescent="0.25">
      <c r="A7" s="62" t="s">
        <v>64</v>
      </c>
      <c r="B7" s="62"/>
      <c r="C7" s="12">
        <v>3</v>
      </c>
      <c r="D7" s="13"/>
      <c r="E7" s="13"/>
      <c r="F7" s="10"/>
      <c r="G7" s="11"/>
      <c r="H7" s="10"/>
      <c r="I7" s="3"/>
    </row>
    <row r="8" spans="1:10" ht="15.75" thickBot="1" x14ac:dyDescent="0.3">
      <c r="A8" s="3"/>
      <c r="B8" s="10"/>
      <c r="C8" s="11"/>
      <c r="D8" s="10"/>
      <c r="E8" s="10"/>
      <c r="F8" s="10"/>
      <c r="G8" s="11"/>
      <c r="H8" s="10"/>
      <c r="I8" s="3"/>
    </row>
    <row r="9" spans="1:10" ht="39.75" thickTop="1" thickBot="1" x14ac:dyDescent="0.3">
      <c r="A9" s="14" t="s">
        <v>0</v>
      </c>
      <c r="B9" s="14" t="s">
        <v>1</v>
      </c>
      <c r="C9" s="14" t="s">
        <v>2</v>
      </c>
      <c r="D9" s="15" t="s">
        <v>3</v>
      </c>
      <c r="E9" s="16" t="s">
        <v>4</v>
      </c>
      <c r="F9" s="17" t="s">
        <v>5</v>
      </c>
      <c r="G9" s="14" t="s">
        <v>65</v>
      </c>
      <c r="H9" s="14" t="s">
        <v>6</v>
      </c>
      <c r="I9" s="15" t="s">
        <v>66</v>
      </c>
      <c r="J9" s="1" t="s">
        <v>149</v>
      </c>
    </row>
    <row r="10" spans="1:10" ht="31.5" x14ac:dyDescent="0.25">
      <c r="A10" s="44">
        <v>1</v>
      </c>
      <c r="B10" s="45" t="s">
        <v>69</v>
      </c>
      <c r="C10" s="46" t="s">
        <v>8</v>
      </c>
      <c r="D10" s="47" t="s">
        <v>9</v>
      </c>
      <c r="E10" s="48" t="s">
        <v>70</v>
      </c>
      <c r="F10" s="49" t="s">
        <v>11</v>
      </c>
      <c r="G10" s="49">
        <v>16</v>
      </c>
      <c r="H10" s="50">
        <v>1290</v>
      </c>
      <c r="I10" s="51">
        <f>H10*G10</f>
        <v>20640</v>
      </c>
      <c r="J10" s="37" t="s">
        <v>79</v>
      </c>
    </row>
    <row r="11" spans="1:10" ht="31.5" x14ac:dyDescent="0.25">
      <c r="A11" s="52">
        <v>2</v>
      </c>
      <c r="B11" s="43" t="s">
        <v>71</v>
      </c>
      <c r="C11" s="40" t="s">
        <v>8</v>
      </c>
      <c r="D11" s="41" t="s">
        <v>9</v>
      </c>
      <c r="E11" s="42" t="s">
        <v>72</v>
      </c>
      <c r="F11" s="35" t="s">
        <v>11</v>
      </c>
      <c r="G11" s="35">
        <v>16</v>
      </c>
      <c r="H11" s="36">
        <v>2334</v>
      </c>
      <c r="I11" s="53">
        <f>G11*H11</f>
        <v>37344</v>
      </c>
      <c r="J11" s="37" t="s">
        <v>81</v>
      </c>
    </row>
    <row r="12" spans="1:10" ht="31.5" x14ac:dyDescent="0.25">
      <c r="A12" s="52">
        <v>3</v>
      </c>
      <c r="B12" s="39" t="s">
        <v>7</v>
      </c>
      <c r="C12" s="40" t="s">
        <v>8</v>
      </c>
      <c r="D12" s="41" t="s">
        <v>9</v>
      </c>
      <c r="E12" s="42" t="s">
        <v>10</v>
      </c>
      <c r="F12" s="35" t="s">
        <v>11</v>
      </c>
      <c r="G12" s="35">
        <v>6</v>
      </c>
      <c r="H12" s="36">
        <v>1150</v>
      </c>
      <c r="I12" s="53">
        <f t="shared" ref="I12:I42" si="0">G12*H12</f>
        <v>6900</v>
      </c>
      <c r="J12" s="37" t="s">
        <v>83</v>
      </c>
    </row>
    <row r="13" spans="1:10" ht="31.5" x14ac:dyDescent="0.25">
      <c r="A13" s="52">
        <v>4</v>
      </c>
      <c r="B13" s="39" t="s">
        <v>12</v>
      </c>
      <c r="C13" s="40" t="s">
        <v>8</v>
      </c>
      <c r="D13" s="41" t="s">
        <v>9</v>
      </c>
      <c r="E13" s="42" t="s">
        <v>13</v>
      </c>
      <c r="F13" s="35" t="s">
        <v>11</v>
      </c>
      <c r="G13" s="35">
        <v>6</v>
      </c>
      <c r="H13" s="36">
        <v>1430</v>
      </c>
      <c r="I13" s="53">
        <f t="shared" si="0"/>
        <v>8580</v>
      </c>
      <c r="J13" s="37" t="s">
        <v>85</v>
      </c>
    </row>
    <row r="14" spans="1:10" ht="31.5" x14ac:dyDescent="0.25">
      <c r="A14" s="52">
        <v>5</v>
      </c>
      <c r="B14" s="39" t="s">
        <v>42</v>
      </c>
      <c r="C14" s="40" t="s">
        <v>8</v>
      </c>
      <c r="D14" s="41" t="s">
        <v>9</v>
      </c>
      <c r="E14" s="42" t="s">
        <v>43</v>
      </c>
      <c r="F14" s="35" t="s">
        <v>11</v>
      </c>
      <c r="G14" s="35">
        <v>3</v>
      </c>
      <c r="H14" s="36">
        <v>1499</v>
      </c>
      <c r="I14" s="53">
        <f t="shared" si="0"/>
        <v>4497</v>
      </c>
      <c r="J14" s="37" t="s">
        <v>87</v>
      </c>
    </row>
    <row r="15" spans="1:10" ht="31.5" x14ac:dyDescent="0.25">
      <c r="A15" s="52">
        <v>6</v>
      </c>
      <c r="B15" s="39" t="s">
        <v>14</v>
      </c>
      <c r="C15" s="40" t="s">
        <v>8</v>
      </c>
      <c r="D15" s="41" t="s">
        <v>9</v>
      </c>
      <c r="E15" s="42" t="s">
        <v>15</v>
      </c>
      <c r="F15" s="35" t="s">
        <v>11</v>
      </c>
      <c r="G15" s="35">
        <v>3</v>
      </c>
      <c r="H15" s="36">
        <v>1699</v>
      </c>
      <c r="I15" s="53">
        <f t="shared" si="0"/>
        <v>5097</v>
      </c>
      <c r="J15" s="37" t="s">
        <v>89</v>
      </c>
    </row>
    <row r="16" spans="1:10" ht="31.5" x14ac:dyDescent="0.25">
      <c r="A16" s="52">
        <v>7</v>
      </c>
      <c r="B16" s="39" t="s">
        <v>30</v>
      </c>
      <c r="C16" s="40" t="s">
        <v>8</v>
      </c>
      <c r="D16" s="41" t="s">
        <v>9</v>
      </c>
      <c r="E16" s="42" t="s">
        <v>31</v>
      </c>
      <c r="F16" s="35" t="s">
        <v>11</v>
      </c>
      <c r="G16" s="35">
        <v>10</v>
      </c>
      <c r="H16" s="36">
        <v>2070</v>
      </c>
      <c r="I16" s="53">
        <f t="shared" si="0"/>
        <v>20700</v>
      </c>
      <c r="J16" s="37" t="s">
        <v>91</v>
      </c>
    </row>
    <row r="17" spans="1:10" ht="31.5" x14ac:dyDescent="0.25">
      <c r="A17" s="52">
        <v>8</v>
      </c>
      <c r="B17" s="39" t="s">
        <v>32</v>
      </c>
      <c r="C17" s="40" t="s">
        <v>8</v>
      </c>
      <c r="D17" s="41" t="s">
        <v>9</v>
      </c>
      <c r="E17" s="42" t="s">
        <v>33</v>
      </c>
      <c r="F17" s="35" t="s">
        <v>11</v>
      </c>
      <c r="G17" s="35">
        <v>10</v>
      </c>
      <c r="H17" s="36">
        <v>2330</v>
      </c>
      <c r="I17" s="53">
        <f t="shared" si="0"/>
        <v>23300</v>
      </c>
      <c r="J17" s="37" t="s">
        <v>93</v>
      </c>
    </row>
    <row r="18" spans="1:10" ht="31.5" x14ac:dyDescent="0.25">
      <c r="A18" s="52">
        <v>9</v>
      </c>
      <c r="B18" s="39" t="s">
        <v>34</v>
      </c>
      <c r="C18" s="40" t="s">
        <v>8</v>
      </c>
      <c r="D18" s="41" t="s">
        <v>9</v>
      </c>
      <c r="E18" s="42" t="s">
        <v>35</v>
      </c>
      <c r="F18" s="35" t="s">
        <v>11</v>
      </c>
      <c r="G18" s="35">
        <v>6</v>
      </c>
      <c r="H18" s="36">
        <v>1999</v>
      </c>
      <c r="I18" s="53">
        <f t="shared" si="0"/>
        <v>11994</v>
      </c>
      <c r="J18" s="37" t="s">
        <v>95</v>
      </c>
    </row>
    <row r="19" spans="1:10" ht="31.5" x14ac:dyDescent="0.25">
      <c r="A19" s="52">
        <v>10</v>
      </c>
      <c r="B19" s="39" t="s">
        <v>34</v>
      </c>
      <c r="C19" s="40" t="s">
        <v>8</v>
      </c>
      <c r="D19" s="41" t="s">
        <v>9</v>
      </c>
      <c r="E19" s="42" t="s">
        <v>35</v>
      </c>
      <c r="F19" s="35" t="s">
        <v>11</v>
      </c>
      <c r="G19" s="35">
        <v>6</v>
      </c>
      <c r="H19" s="36">
        <v>2325</v>
      </c>
      <c r="I19" s="53">
        <f t="shared" si="0"/>
        <v>13950</v>
      </c>
      <c r="J19" s="37" t="s">
        <v>97</v>
      </c>
    </row>
    <row r="20" spans="1:10" ht="31.5" x14ac:dyDescent="0.25">
      <c r="A20" s="52">
        <v>11</v>
      </c>
      <c r="B20" s="39" t="s">
        <v>36</v>
      </c>
      <c r="C20" s="40" t="s">
        <v>8</v>
      </c>
      <c r="D20" s="41" t="s">
        <v>9</v>
      </c>
      <c r="E20" s="42" t="s">
        <v>37</v>
      </c>
      <c r="F20" s="35" t="s">
        <v>11</v>
      </c>
      <c r="G20" s="35">
        <v>8</v>
      </c>
      <c r="H20" s="36">
        <v>1699</v>
      </c>
      <c r="I20" s="53">
        <f t="shared" si="0"/>
        <v>13592</v>
      </c>
      <c r="J20" s="37" t="s">
        <v>99</v>
      </c>
    </row>
    <row r="21" spans="1:10" ht="31.5" x14ac:dyDescent="0.25">
      <c r="A21" s="52">
        <v>12</v>
      </c>
      <c r="B21" s="39" t="s">
        <v>36</v>
      </c>
      <c r="C21" s="40" t="s">
        <v>8</v>
      </c>
      <c r="D21" s="41" t="s">
        <v>9</v>
      </c>
      <c r="E21" s="42" t="s">
        <v>37</v>
      </c>
      <c r="F21" s="35" t="s">
        <v>11</v>
      </c>
      <c r="G21" s="35">
        <v>8</v>
      </c>
      <c r="H21" s="36">
        <v>2155</v>
      </c>
      <c r="I21" s="53">
        <f t="shared" si="0"/>
        <v>17240</v>
      </c>
      <c r="J21" s="37" t="s">
        <v>101</v>
      </c>
    </row>
    <row r="22" spans="1:10" ht="31.5" x14ac:dyDescent="0.25">
      <c r="A22" s="52">
        <v>13</v>
      </c>
      <c r="B22" s="39" t="s">
        <v>24</v>
      </c>
      <c r="C22" s="40" t="s">
        <v>8</v>
      </c>
      <c r="D22" s="41" t="s">
        <v>9</v>
      </c>
      <c r="E22" s="42" t="s">
        <v>25</v>
      </c>
      <c r="F22" s="35" t="s">
        <v>11</v>
      </c>
      <c r="G22" s="35">
        <v>4</v>
      </c>
      <c r="H22" s="36">
        <v>1750</v>
      </c>
      <c r="I22" s="53">
        <f t="shared" si="0"/>
        <v>7000</v>
      </c>
      <c r="J22" s="37" t="s">
        <v>103</v>
      </c>
    </row>
    <row r="23" spans="1:10" ht="31.5" x14ac:dyDescent="0.25">
      <c r="A23" s="52">
        <v>14</v>
      </c>
      <c r="B23" s="39" t="s">
        <v>24</v>
      </c>
      <c r="C23" s="40" t="s">
        <v>8</v>
      </c>
      <c r="D23" s="41" t="s">
        <v>9</v>
      </c>
      <c r="E23" s="42" t="s">
        <v>25</v>
      </c>
      <c r="F23" s="35" t="s">
        <v>11</v>
      </c>
      <c r="G23" s="35">
        <v>4</v>
      </c>
      <c r="H23" s="36">
        <v>1750</v>
      </c>
      <c r="I23" s="53">
        <f t="shared" si="0"/>
        <v>7000</v>
      </c>
      <c r="J23" s="37" t="s">
        <v>105</v>
      </c>
    </row>
    <row r="24" spans="1:10" ht="31.5" x14ac:dyDescent="0.25">
      <c r="A24" s="52">
        <v>15</v>
      </c>
      <c r="B24" s="39" t="s">
        <v>38</v>
      </c>
      <c r="C24" s="40" t="s">
        <v>8</v>
      </c>
      <c r="D24" s="41" t="s">
        <v>9</v>
      </c>
      <c r="E24" s="42" t="s">
        <v>39</v>
      </c>
      <c r="F24" s="35" t="s">
        <v>11</v>
      </c>
      <c r="G24" s="35">
        <v>5</v>
      </c>
      <c r="H24" s="36">
        <v>799</v>
      </c>
      <c r="I24" s="53">
        <f t="shared" si="0"/>
        <v>3995</v>
      </c>
      <c r="J24" s="37" t="s">
        <v>107</v>
      </c>
    </row>
    <row r="25" spans="1:10" ht="31.5" x14ac:dyDescent="0.25">
      <c r="A25" s="52">
        <v>16</v>
      </c>
      <c r="B25" s="39" t="s">
        <v>26</v>
      </c>
      <c r="C25" s="40" t="s">
        <v>8</v>
      </c>
      <c r="D25" s="41" t="s">
        <v>9</v>
      </c>
      <c r="E25" s="42" t="s">
        <v>27</v>
      </c>
      <c r="F25" s="35" t="s">
        <v>11</v>
      </c>
      <c r="G25" s="35">
        <v>5</v>
      </c>
      <c r="H25" s="36">
        <v>799</v>
      </c>
      <c r="I25" s="53">
        <f t="shared" si="0"/>
        <v>3995</v>
      </c>
      <c r="J25" s="37" t="s">
        <v>109</v>
      </c>
    </row>
    <row r="26" spans="1:10" ht="31.5" x14ac:dyDescent="0.25">
      <c r="A26" s="52">
        <v>17</v>
      </c>
      <c r="B26" s="39" t="s">
        <v>26</v>
      </c>
      <c r="C26" s="40" t="s">
        <v>8</v>
      </c>
      <c r="D26" s="41" t="s">
        <v>9</v>
      </c>
      <c r="E26" s="42" t="s">
        <v>27</v>
      </c>
      <c r="F26" s="35" t="s">
        <v>11</v>
      </c>
      <c r="G26" s="35">
        <v>5</v>
      </c>
      <c r="H26" s="36">
        <v>799</v>
      </c>
      <c r="I26" s="53">
        <f t="shared" si="0"/>
        <v>3995</v>
      </c>
      <c r="J26" s="37" t="s">
        <v>111</v>
      </c>
    </row>
    <row r="27" spans="1:10" ht="31.5" x14ac:dyDescent="0.25">
      <c r="A27" s="52">
        <v>18</v>
      </c>
      <c r="B27" s="39" t="s">
        <v>26</v>
      </c>
      <c r="C27" s="40" t="s">
        <v>8</v>
      </c>
      <c r="D27" s="41" t="s">
        <v>9</v>
      </c>
      <c r="E27" s="42" t="s">
        <v>27</v>
      </c>
      <c r="F27" s="35" t="s">
        <v>11</v>
      </c>
      <c r="G27" s="35">
        <v>5</v>
      </c>
      <c r="H27" s="36">
        <v>799</v>
      </c>
      <c r="I27" s="53">
        <f t="shared" si="0"/>
        <v>3995</v>
      </c>
      <c r="J27" s="37" t="s">
        <v>113</v>
      </c>
    </row>
    <row r="28" spans="1:10" ht="105" x14ac:dyDescent="0.25">
      <c r="A28" s="52">
        <v>19</v>
      </c>
      <c r="B28" s="39" t="s">
        <v>40</v>
      </c>
      <c r="C28" s="40" t="s">
        <v>8</v>
      </c>
      <c r="D28" s="41" t="s">
        <v>9</v>
      </c>
      <c r="E28" s="42" t="s">
        <v>41</v>
      </c>
      <c r="F28" s="35" t="s">
        <v>11</v>
      </c>
      <c r="G28" s="35">
        <v>100</v>
      </c>
      <c r="H28" s="36">
        <v>1985</v>
      </c>
      <c r="I28" s="53">
        <f t="shared" si="0"/>
        <v>198500</v>
      </c>
      <c r="J28" s="38" t="s">
        <v>148</v>
      </c>
    </row>
    <row r="29" spans="1:10" ht="31.5" x14ac:dyDescent="0.25">
      <c r="A29" s="52">
        <v>20</v>
      </c>
      <c r="B29" s="39" t="s">
        <v>16</v>
      </c>
      <c r="C29" s="40" t="s">
        <v>8</v>
      </c>
      <c r="D29" s="41" t="s">
        <v>9</v>
      </c>
      <c r="E29" s="42" t="s">
        <v>17</v>
      </c>
      <c r="F29" s="35" t="s">
        <v>11</v>
      </c>
      <c r="G29" s="35">
        <v>10</v>
      </c>
      <c r="H29" s="36">
        <v>80</v>
      </c>
      <c r="I29" s="53">
        <f t="shared" si="0"/>
        <v>800</v>
      </c>
      <c r="J29" s="37" t="s">
        <v>121</v>
      </c>
    </row>
    <row r="30" spans="1:10" ht="31.5" x14ac:dyDescent="0.25">
      <c r="A30" s="52">
        <v>21</v>
      </c>
      <c r="B30" s="39" t="s">
        <v>18</v>
      </c>
      <c r="C30" s="40" t="s">
        <v>8</v>
      </c>
      <c r="D30" s="41" t="s">
        <v>9</v>
      </c>
      <c r="E30" s="42" t="s">
        <v>19</v>
      </c>
      <c r="F30" s="35" t="s">
        <v>11</v>
      </c>
      <c r="G30" s="35">
        <v>10</v>
      </c>
      <c r="H30" s="36">
        <v>80</v>
      </c>
      <c r="I30" s="53">
        <f t="shared" si="0"/>
        <v>800</v>
      </c>
      <c r="J30" s="37" t="s">
        <v>123</v>
      </c>
    </row>
    <row r="31" spans="1:10" ht="31.5" x14ac:dyDescent="0.25">
      <c r="A31" s="52">
        <v>22</v>
      </c>
      <c r="B31" s="39" t="s">
        <v>20</v>
      </c>
      <c r="C31" s="40" t="s">
        <v>8</v>
      </c>
      <c r="D31" s="41" t="s">
        <v>9</v>
      </c>
      <c r="E31" s="42" t="s">
        <v>21</v>
      </c>
      <c r="F31" s="35" t="s">
        <v>11</v>
      </c>
      <c r="G31" s="35">
        <v>10</v>
      </c>
      <c r="H31" s="36">
        <v>80</v>
      </c>
      <c r="I31" s="53">
        <f t="shared" si="0"/>
        <v>800</v>
      </c>
      <c r="J31" s="37" t="s">
        <v>125</v>
      </c>
    </row>
    <row r="32" spans="1:10" ht="31.5" x14ac:dyDescent="0.25">
      <c r="A32" s="52">
        <v>23</v>
      </c>
      <c r="B32" s="39" t="s">
        <v>22</v>
      </c>
      <c r="C32" s="40" t="s">
        <v>8</v>
      </c>
      <c r="D32" s="41" t="s">
        <v>9</v>
      </c>
      <c r="E32" s="42" t="s">
        <v>23</v>
      </c>
      <c r="F32" s="35" t="s">
        <v>11</v>
      </c>
      <c r="G32" s="35">
        <v>10</v>
      </c>
      <c r="H32" s="36">
        <v>80</v>
      </c>
      <c r="I32" s="53">
        <f t="shared" si="0"/>
        <v>800</v>
      </c>
      <c r="J32" s="37" t="s">
        <v>127</v>
      </c>
    </row>
    <row r="33" spans="1:10" ht="31.5" x14ac:dyDescent="0.25">
      <c r="A33" s="52">
        <v>24</v>
      </c>
      <c r="B33" s="39" t="s">
        <v>44</v>
      </c>
      <c r="C33" s="40" t="s">
        <v>8</v>
      </c>
      <c r="D33" s="41" t="s">
        <v>9</v>
      </c>
      <c r="E33" s="42" t="s">
        <v>45</v>
      </c>
      <c r="F33" s="35" t="s">
        <v>11</v>
      </c>
      <c r="G33" s="35">
        <v>60</v>
      </c>
      <c r="H33" s="36">
        <v>495</v>
      </c>
      <c r="I33" s="53">
        <f t="shared" si="0"/>
        <v>29700</v>
      </c>
      <c r="J33" s="37" t="s">
        <v>129</v>
      </c>
    </row>
    <row r="34" spans="1:10" ht="31.5" x14ac:dyDescent="0.25">
      <c r="A34" s="52">
        <v>25</v>
      </c>
      <c r="B34" s="39" t="s">
        <v>56</v>
      </c>
      <c r="C34" s="40" t="s">
        <v>8</v>
      </c>
      <c r="D34" s="41" t="s">
        <v>9</v>
      </c>
      <c r="E34" s="42" t="s">
        <v>57</v>
      </c>
      <c r="F34" s="35" t="s">
        <v>11</v>
      </c>
      <c r="G34" s="35">
        <v>20</v>
      </c>
      <c r="H34" s="36">
        <v>735</v>
      </c>
      <c r="I34" s="53">
        <f t="shared" si="0"/>
        <v>14700</v>
      </c>
      <c r="J34" s="37" t="s">
        <v>131</v>
      </c>
    </row>
    <row r="35" spans="1:10" ht="31.5" x14ac:dyDescent="0.25">
      <c r="A35" s="52">
        <v>26</v>
      </c>
      <c r="B35" s="39" t="s">
        <v>58</v>
      </c>
      <c r="C35" s="40" t="s">
        <v>8</v>
      </c>
      <c r="D35" s="41" t="s">
        <v>9</v>
      </c>
      <c r="E35" s="42" t="s">
        <v>59</v>
      </c>
      <c r="F35" s="35" t="s">
        <v>11</v>
      </c>
      <c r="G35" s="35">
        <v>70</v>
      </c>
      <c r="H35" s="36">
        <v>1380</v>
      </c>
      <c r="I35" s="53">
        <f t="shared" si="0"/>
        <v>96600</v>
      </c>
      <c r="J35" s="37" t="s">
        <v>133</v>
      </c>
    </row>
    <row r="36" spans="1:10" ht="31.5" x14ac:dyDescent="0.25">
      <c r="A36" s="52">
        <v>27</v>
      </c>
      <c r="B36" s="39" t="s">
        <v>28</v>
      </c>
      <c r="C36" s="40" t="s">
        <v>8</v>
      </c>
      <c r="D36" s="41" t="s">
        <v>9</v>
      </c>
      <c r="E36" s="42" t="s">
        <v>29</v>
      </c>
      <c r="F36" s="35" t="s">
        <v>11</v>
      </c>
      <c r="G36" s="35">
        <v>30</v>
      </c>
      <c r="H36" s="36">
        <v>1249</v>
      </c>
      <c r="I36" s="53">
        <f t="shared" si="0"/>
        <v>37470</v>
      </c>
      <c r="J36" s="37" t="s">
        <v>135</v>
      </c>
    </row>
    <row r="37" spans="1:10" ht="31.5" x14ac:dyDescent="0.25">
      <c r="A37" s="52">
        <v>28</v>
      </c>
      <c r="B37" s="39" t="s">
        <v>52</v>
      </c>
      <c r="C37" s="40" t="s">
        <v>8</v>
      </c>
      <c r="D37" s="41" t="s">
        <v>9</v>
      </c>
      <c r="E37" s="42" t="s">
        <v>53</v>
      </c>
      <c r="F37" s="35" t="s">
        <v>11</v>
      </c>
      <c r="G37" s="35">
        <v>3</v>
      </c>
      <c r="H37" s="36">
        <v>1135</v>
      </c>
      <c r="I37" s="53">
        <f t="shared" si="0"/>
        <v>3405</v>
      </c>
      <c r="J37" s="37" t="s">
        <v>137</v>
      </c>
    </row>
    <row r="38" spans="1:10" ht="31.5" x14ac:dyDescent="0.25">
      <c r="A38" s="52">
        <v>29</v>
      </c>
      <c r="B38" s="39" t="s">
        <v>46</v>
      </c>
      <c r="C38" s="40" t="s">
        <v>8</v>
      </c>
      <c r="D38" s="41" t="s">
        <v>9</v>
      </c>
      <c r="E38" s="42" t="s">
        <v>47</v>
      </c>
      <c r="F38" s="35" t="s">
        <v>11</v>
      </c>
      <c r="G38" s="35">
        <v>3</v>
      </c>
      <c r="H38" s="36">
        <v>1135</v>
      </c>
      <c r="I38" s="53">
        <f t="shared" si="0"/>
        <v>3405</v>
      </c>
      <c r="J38" s="37" t="s">
        <v>139</v>
      </c>
    </row>
    <row r="39" spans="1:10" ht="31.5" x14ac:dyDescent="0.25">
      <c r="A39" s="52">
        <v>30</v>
      </c>
      <c r="B39" s="39" t="s">
        <v>50</v>
      </c>
      <c r="C39" s="40" t="s">
        <v>8</v>
      </c>
      <c r="D39" s="41" t="s">
        <v>9</v>
      </c>
      <c r="E39" s="42" t="s">
        <v>51</v>
      </c>
      <c r="F39" s="35" t="s">
        <v>11</v>
      </c>
      <c r="G39" s="35">
        <v>3</v>
      </c>
      <c r="H39" s="36">
        <v>1135</v>
      </c>
      <c r="I39" s="53">
        <f t="shared" si="0"/>
        <v>3405</v>
      </c>
      <c r="J39" s="37" t="s">
        <v>141</v>
      </c>
    </row>
    <row r="40" spans="1:10" ht="31.5" x14ac:dyDescent="0.25">
      <c r="A40" s="52">
        <v>31</v>
      </c>
      <c r="B40" s="39" t="s">
        <v>48</v>
      </c>
      <c r="C40" s="40" t="s">
        <v>8</v>
      </c>
      <c r="D40" s="41" t="s">
        <v>9</v>
      </c>
      <c r="E40" s="42" t="s">
        <v>49</v>
      </c>
      <c r="F40" s="35" t="s">
        <v>11</v>
      </c>
      <c r="G40" s="35">
        <v>3</v>
      </c>
      <c r="H40" s="36">
        <v>1135</v>
      </c>
      <c r="I40" s="53">
        <f t="shared" si="0"/>
        <v>3405</v>
      </c>
      <c r="J40" s="37" t="s">
        <v>143</v>
      </c>
    </row>
    <row r="41" spans="1:10" ht="31.5" x14ac:dyDescent="0.25">
      <c r="A41" s="52">
        <v>32</v>
      </c>
      <c r="B41" s="39" t="s">
        <v>56</v>
      </c>
      <c r="C41" s="40" t="s">
        <v>8</v>
      </c>
      <c r="D41" s="41" t="s">
        <v>9</v>
      </c>
      <c r="E41" s="42" t="s">
        <v>57</v>
      </c>
      <c r="F41" s="35" t="s">
        <v>11</v>
      </c>
      <c r="G41" s="35">
        <v>15</v>
      </c>
      <c r="H41" s="36">
        <v>1199</v>
      </c>
      <c r="I41" s="53">
        <f t="shared" si="0"/>
        <v>17985</v>
      </c>
      <c r="J41" s="37" t="s">
        <v>145</v>
      </c>
    </row>
    <row r="42" spans="1:10" ht="32.25" thickBot="1" x14ac:dyDescent="0.3">
      <c r="A42" s="54">
        <v>33</v>
      </c>
      <c r="B42" s="55" t="s">
        <v>54</v>
      </c>
      <c r="C42" s="56" t="s">
        <v>8</v>
      </c>
      <c r="D42" s="57" t="s">
        <v>9</v>
      </c>
      <c r="E42" s="58" t="s">
        <v>55</v>
      </c>
      <c r="F42" s="59" t="s">
        <v>11</v>
      </c>
      <c r="G42" s="59">
        <v>2</v>
      </c>
      <c r="H42" s="60">
        <v>910</v>
      </c>
      <c r="I42" s="61">
        <f t="shared" si="0"/>
        <v>1820</v>
      </c>
      <c r="J42" s="37" t="s">
        <v>147</v>
      </c>
    </row>
    <row r="43" spans="1:10" ht="15.75" thickBot="1" x14ac:dyDescent="0.3">
      <c r="A43" s="3"/>
      <c r="B43" s="3"/>
      <c r="C43" s="3"/>
      <c r="D43" s="3"/>
      <c r="E43" s="3"/>
      <c r="F43" s="3"/>
      <c r="G43" s="3"/>
      <c r="H43" s="3"/>
      <c r="I43" s="18">
        <f>SUM(I10:I42)</f>
        <v>627409</v>
      </c>
    </row>
    <row r="44" spans="1:10" ht="15.75" x14ac:dyDescent="0.25">
      <c r="A44" s="3"/>
      <c r="B44" s="19" t="s">
        <v>73</v>
      </c>
      <c r="C44" s="20"/>
      <c r="D44" s="20"/>
      <c r="E44" s="5"/>
      <c r="F44" s="3"/>
      <c r="G44" s="3"/>
      <c r="H44" s="3"/>
      <c r="I44" s="3"/>
    </row>
    <row r="45" spans="1:10" ht="15.75" x14ac:dyDescent="0.25">
      <c r="A45" s="3"/>
      <c r="B45" s="63" t="s">
        <v>74</v>
      </c>
      <c r="C45" s="64"/>
      <c r="D45" s="64"/>
      <c r="E45" s="65"/>
      <c r="F45" s="3"/>
      <c r="G45" s="3"/>
      <c r="H45" s="3"/>
      <c r="I45" s="3"/>
    </row>
    <row r="46" spans="1:10" ht="15.75" x14ac:dyDescent="0.25">
      <c r="A46" s="3"/>
      <c r="B46" s="9" t="s">
        <v>75</v>
      </c>
      <c r="C46" s="4"/>
      <c r="D46" s="4"/>
      <c r="E46" s="7"/>
      <c r="F46" s="3"/>
      <c r="G46" s="3"/>
      <c r="H46" s="3"/>
      <c r="I46" s="3"/>
    </row>
    <row r="47" spans="1:10" ht="16.5" thickBot="1" x14ac:dyDescent="0.3">
      <c r="A47" s="3"/>
      <c r="B47" s="21" t="s">
        <v>76</v>
      </c>
      <c r="C47" s="22"/>
      <c r="D47" s="22"/>
      <c r="E47" s="8"/>
      <c r="F47" s="3"/>
      <c r="G47" s="3"/>
      <c r="H47" s="3"/>
      <c r="I47" s="3"/>
    </row>
    <row r="48" spans="1:10" ht="15.75" thickBot="1" x14ac:dyDescent="0.3">
      <c r="A48" s="3"/>
      <c r="B48" s="3"/>
      <c r="C48" s="3"/>
      <c r="D48" s="3"/>
      <c r="E48" s="3"/>
      <c r="F48" s="3"/>
      <c r="G48" s="3"/>
      <c r="H48" s="3"/>
      <c r="I48" s="3"/>
    </row>
    <row r="49" spans="1:9" ht="15.75" x14ac:dyDescent="0.25">
      <c r="A49" s="3"/>
      <c r="B49" s="66" t="s">
        <v>77</v>
      </c>
      <c r="C49" s="67"/>
      <c r="D49" s="67"/>
      <c r="E49" s="67"/>
      <c r="F49" s="23"/>
      <c r="G49" s="24"/>
      <c r="H49" s="3"/>
      <c r="I49" s="3"/>
    </row>
    <row r="50" spans="1:9" ht="15.75" x14ac:dyDescent="0.25">
      <c r="A50" s="3"/>
      <c r="B50" s="25" t="s">
        <v>78</v>
      </c>
      <c r="C50" s="26"/>
      <c r="D50" s="27" t="s">
        <v>79</v>
      </c>
      <c r="E50" s="28"/>
      <c r="F50" s="29"/>
      <c r="G50" s="30"/>
      <c r="H50" s="3"/>
      <c r="I50" s="3"/>
    </row>
    <row r="51" spans="1:9" ht="15.75" x14ac:dyDescent="0.25">
      <c r="A51" s="3"/>
      <c r="B51" s="25" t="s">
        <v>80</v>
      </c>
      <c r="C51" s="26"/>
      <c r="D51" s="27" t="s">
        <v>81</v>
      </c>
      <c r="E51" s="28"/>
      <c r="F51" s="29"/>
      <c r="G51" s="30"/>
      <c r="H51" s="3"/>
      <c r="I51" s="3"/>
    </row>
    <row r="52" spans="1:9" ht="15.75" x14ac:dyDescent="0.25">
      <c r="A52" s="3"/>
      <c r="B52" s="25" t="s">
        <v>82</v>
      </c>
      <c r="C52" s="26"/>
      <c r="D52" s="27" t="s">
        <v>83</v>
      </c>
      <c r="E52" s="28"/>
      <c r="F52" s="29"/>
      <c r="G52" s="30"/>
      <c r="H52" s="3"/>
      <c r="I52" s="3"/>
    </row>
    <row r="53" spans="1:9" ht="15.75" x14ac:dyDescent="0.25">
      <c r="A53" s="3"/>
      <c r="B53" s="25" t="s">
        <v>84</v>
      </c>
      <c r="C53" s="26"/>
      <c r="D53" s="27" t="s">
        <v>85</v>
      </c>
      <c r="E53" s="28"/>
      <c r="F53" s="29"/>
      <c r="G53" s="30"/>
      <c r="H53" s="3"/>
      <c r="I53" s="3"/>
    </row>
    <row r="54" spans="1:9" ht="15.75" x14ac:dyDescent="0.25">
      <c r="A54" s="3"/>
      <c r="B54" s="25" t="s">
        <v>86</v>
      </c>
      <c r="C54" s="26"/>
      <c r="D54" s="27" t="s">
        <v>87</v>
      </c>
      <c r="E54" s="28"/>
      <c r="F54" s="29"/>
      <c r="G54" s="30"/>
      <c r="H54" s="3"/>
      <c r="I54" s="3"/>
    </row>
    <row r="55" spans="1:9" ht="15.75" x14ac:dyDescent="0.25">
      <c r="A55" s="3"/>
      <c r="B55" s="25" t="s">
        <v>88</v>
      </c>
      <c r="C55" s="26"/>
      <c r="D55" s="27" t="s">
        <v>89</v>
      </c>
      <c r="E55" s="28"/>
      <c r="F55" s="29"/>
      <c r="G55" s="30"/>
      <c r="H55" s="3"/>
      <c r="I55" s="3"/>
    </row>
    <row r="56" spans="1:9" ht="15.75" x14ac:dyDescent="0.25">
      <c r="A56" s="3"/>
      <c r="B56" s="25" t="s">
        <v>90</v>
      </c>
      <c r="C56" s="26"/>
      <c r="D56" s="27" t="s">
        <v>91</v>
      </c>
      <c r="E56" s="28"/>
      <c r="F56" s="29"/>
      <c r="G56" s="30"/>
      <c r="H56" s="3"/>
      <c r="I56" s="3"/>
    </row>
    <row r="57" spans="1:9" ht="15.75" x14ac:dyDescent="0.25">
      <c r="A57" s="3"/>
      <c r="B57" s="25" t="s">
        <v>92</v>
      </c>
      <c r="C57" s="26"/>
      <c r="D57" s="27" t="s">
        <v>93</v>
      </c>
      <c r="E57" s="28"/>
      <c r="F57" s="29"/>
      <c r="G57" s="30"/>
      <c r="H57" s="3"/>
      <c r="I57" s="3"/>
    </row>
    <row r="58" spans="1:9" ht="15.75" x14ac:dyDescent="0.25">
      <c r="A58" s="3"/>
      <c r="B58" s="25" t="s">
        <v>94</v>
      </c>
      <c r="C58" s="26"/>
      <c r="D58" s="27" t="s">
        <v>95</v>
      </c>
      <c r="E58" s="28"/>
      <c r="F58" s="29"/>
      <c r="G58" s="30"/>
      <c r="H58" s="3"/>
      <c r="I58" s="3"/>
    </row>
    <row r="59" spans="1:9" ht="15.75" x14ac:dyDescent="0.25">
      <c r="A59" s="3"/>
      <c r="B59" s="25" t="s">
        <v>96</v>
      </c>
      <c r="C59" s="26"/>
      <c r="D59" s="27" t="s">
        <v>97</v>
      </c>
      <c r="E59" s="28"/>
      <c r="F59" s="29"/>
      <c r="G59" s="30"/>
      <c r="H59" s="3"/>
      <c r="I59" s="3"/>
    </row>
    <row r="60" spans="1:9" ht="15.75" x14ac:dyDescent="0.25">
      <c r="A60" s="3"/>
      <c r="B60" s="25" t="s">
        <v>98</v>
      </c>
      <c r="C60" s="26"/>
      <c r="D60" s="27" t="s">
        <v>99</v>
      </c>
      <c r="E60" s="28"/>
      <c r="F60" s="29"/>
      <c r="G60" s="30"/>
      <c r="H60" s="3"/>
      <c r="I60" s="3"/>
    </row>
    <row r="61" spans="1:9" ht="15.75" x14ac:dyDescent="0.25">
      <c r="A61" s="3"/>
      <c r="B61" s="25" t="s">
        <v>100</v>
      </c>
      <c r="C61" s="26"/>
      <c r="D61" s="27" t="s">
        <v>101</v>
      </c>
      <c r="E61" s="28"/>
      <c r="F61" s="29"/>
      <c r="G61" s="30"/>
      <c r="H61" s="3"/>
      <c r="I61" s="3"/>
    </row>
    <row r="62" spans="1:9" ht="15.75" x14ac:dyDescent="0.25">
      <c r="A62" s="3"/>
      <c r="B62" s="25" t="s">
        <v>102</v>
      </c>
      <c r="C62" s="26"/>
      <c r="D62" s="27" t="s">
        <v>103</v>
      </c>
      <c r="E62" s="28"/>
      <c r="F62" s="29"/>
      <c r="G62" s="30"/>
      <c r="H62" s="3"/>
      <c r="I62" s="3"/>
    </row>
    <row r="63" spans="1:9" ht="15.75" x14ac:dyDescent="0.25">
      <c r="A63" s="3"/>
      <c r="B63" s="25" t="s">
        <v>104</v>
      </c>
      <c r="C63" s="26"/>
      <c r="D63" s="27" t="s">
        <v>105</v>
      </c>
      <c r="E63" s="28"/>
      <c r="F63" s="29"/>
      <c r="G63" s="30"/>
      <c r="H63" s="3"/>
      <c r="I63" s="3"/>
    </row>
    <row r="64" spans="1:9" ht="15.75" x14ac:dyDescent="0.25">
      <c r="A64" s="3"/>
      <c r="B64" s="25" t="s">
        <v>106</v>
      </c>
      <c r="C64" s="26"/>
      <c r="D64" s="27" t="s">
        <v>107</v>
      </c>
      <c r="E64" s="28"/>
      <c r="F64" s="29"/>
      <c r="G64" s="30"/>
      <c r="H64" s="3"/>
      <c r="I64" s="3"/>
    </row>
    <row r="65" spans="1:9" ht="15.75" x14ac:dyDescent="0.25">
      <c r="A65" s="3"/>
      <c r="B65" s="25" t="s">
        <v>108</v>
      </c>
      <c r="C65" s="26"/>
      <c r="D65" s="27" t="s">
        <v>109</v>
      </c>
      <c r="E65" s="28"/>
      <c r="F65" s="29"/>
      <c r="G65" s="30"/>
      <c r="H65" s="3"/>
      <c r="I65" s="3"/>
    </row>
    <row r="66" spans="1:9" ht="15.75" x14ac:dyDescent="0.25">
      <c r="A66" s="3"/>
      <c r="B66" s="25" t="s">
        <v>110</v>
      </c>
      <c r="C66" s="26"/>
      <c r="D66" s="27" t="s">
        <v>111</v>
      </c>
      <c r="E66" s="28"/>
      <c r="F66" s="29"/>
      <c r="G66" s="30"/>
      <c r="H66" s="3"/>
      <c r="I66" s="3"/>
    </row>
    <row r="67" spans="1:9" ht="15.75" x14ac:dyDescent="0.25">
      <c r="A67" s="3"/>
      <c r="B67" s="25" t="s">
        <v>112</v>
      </c>
      <c r="C67" s="26"/>
      <c r="D67" s="27" t="s">
        <v>113</v>
      </c>
      <c r="E67" s="28"/>
      <c r="F67" s="29"/>
      <c r="G67" s="30"/>
      <c r="H67" s="3"/>
      <c r="I67" s="3"/>
    </row>
    <row r="68" spans="1:9" ht="15.75" x14ac:dyDescent="0.25">
      <c r="A68" s="3"/>
      <c r="B68" s="25" t="s">
        <v>114</v>
      </c>
      <c r="C68" s="26" t="s">
        <v>115</v>
      </c>
      <c r="D68" s="27" t="s">
        <v>116</v>
      </c>
      <c r="E68" s="28"/>
      <c r="F68" s="29"/>
      <c r="G68" s="30"/>
      <c r="H68" s="3"/>
      <c r="I68" s="3"/>
    </row>
    <row r="69" spans="1:9" ht="15.75" x14ac:dyDescent="0.25">
      <c r="A69" s="3"/>
      <c r="B69" s="25"/>
      <c r="C69" s="26" t="s">
        <v>115</v>
      </c>
      <c r="D69" s="27" t="s">
        <v>117</v>
      </c>
      <c r="E69" s="28"/>
      <c r="F69" s="29"/>
      <c r="G69" s="30"/>
      <c r="H69" s="3"/>
      <c r="I69" s="3"/>
    </row>
    <row r="70" spans="1:9" ht="15.75" x14ac:dyDescent="0.25">
      <c r="A70" s="3"/>
      <c r="B70" s="25"/>
      <c r="C70" s="26" t="s">
        <v>115</v>
      </c>
      <c r="D70" s="27" t="s">
        <v>118</v>
      </c>
      <c r="E70" s="28"/>
      <c r="F70" s="29"/>
      <c r="G70" s="30"/>
      <c r="H70" s="3"/>
      <c r="I70" s="3"/>
    </row>
    <row r="71" spans="1:9" ht="15.75" x14ac:dyDescent="0.25">
      <c r="A71" s="3"/>
      <c r="B71" s="25"/>
      <c r="C71" s="26" t="s">
        <v>115</v>
      </c>
      <c r="D71" s="27" t="s">
        <v>119</v>
      </c>
      <c r="E71" s="28"/>
      <c r="F71" s="29"/>
      <c r="G71" s="30"/>
      <c r="H71" s="3"/>
      <c r="I71" s="3"/>
    </row>
    <row r="72" spans="1:9" ht="15.75" x14ac:dyDescent="0.25">
      <c r="A72" s="3"/>
      <c r="B72" s="25" t="s">
        <v>120</v>
      </c>
      <c r="C72" s="26"/>
      <c r="D72" s="27" t="s">
        <v>121</v>
      </c>
      <c r="E72" s="28"/>
      <c r="F72" s="29"/>
      <c r="G72" s="30"/>
      <c r="H72" s="3"/>
      <c r="I72" s="3"/>
    </row>
    <row r="73" spans="1:9" ht="15.75" x14ac:dyDescent="0.25">
      <c r="A73" s="3"/>
      <c r="B73" s="25" t="s">
        <v>122</v>
      </c>
      <c r="C73" s="26"/>
      <c r="D73" s="27" t="s">
        <v>123</v>
      </c>
      <c r="E73" s="28"/>
      <c r="F73" s="29"/>
      <c r="G73" s="30"/>
      <c r="H73" s="3"/>
      <c r="I73" s="3"/>
    </row>
    <row r="74" spans="1:9" ht="15.75" x14ac:dyDescent="0.25">
      <c r="A74" s="3"/>
      <c r="B74" s="25" t="s">
        <v>124</v>
      </c>
      <c r="C74" s="26"/>
      <c r="D74" s="27" t="s">
        <v>125</v>
      </c>
      <c r="E74" s="28"/>
      <c r="F74" s="29"/>
      <c r="G74" s="30"/>
      <c r="H74" s="3"/>
      <c r="I74" s="3"/>
    </row>
    <row r="75" spans="1:9" ht="15.75" x14ac:dyDescent="0.25">
      <c r="A75" s="3"/>
      <c r="B75" s="25" t="s">
        <v>126</v>
      </c>
      <c r="C75" s="26"/>
      <c r="D75" s="27" t="s">
        <v>127</v>
      </c>
      <c r="E75" s="28"/>
      <c r="F75" s="29"/>
      <c r="G75" s="30"/>
      <c r="H75" s="3"/>
      <c r="I75" s="3"/>
    </row>
    <row r="76" spans="1:9" ht="15.75" x14ac:dyDescent="0.25">
      <c r="A76" s="3"/>
      <c r="B76" s="25" t="s">
        <v>128</v>
      </c>
      <c r="C76" s="26"/>
      <c r="D76" s="27" t="s">
        <v>129</v>
      </c>
      <c r="E76" s="28"/>
      <c r="F76" s="29"/>
      <c r="G76" s="30"/>
      <c r="H76" s="3"/>
      <c r="I76" s="3"/>
    </row>
    <row r="77" spans="1:9" ht="15.75" x14ac:dyDescent="0.25">
      <c r="A77" s="3"/>
      <c r="B77" s="25" t="s">
        <v>130</v>
      </c>
      <c r="C77" s="26"/>
      <c r="D77" s="27" t="s">
        <v>131</v>
      </c>
      <c r="E77" s="28"/>
      <c r="F77" s="29"/>
      <c r="G77" s="30"/>
      <c r="H77" s="3"/>
      <c r="I77" s="3"/>
    </row>
    <row r="78" spans="1:9" ht="15.75" x14ac:dyDescent="0.25">
      <c r="A78" s="3"/>
      <c r="B78" s="25" t="s">
        <v>132</v>
      </c>
      <c r="C78" s="26"/>
      <c r="D78" s="27" t="s">
        <v>133</v>
      </c>
      <c r="E78" s="28"/>
      <c r="F78" s="29"/>
      <c r="G78" s="30"/>
      <c r="H78" s="3"/>
      <c r="I78" s="3"/>
    </row>
    <row r="79" spans="1:9" ht="15.75" x14ac:dyDescent="0.25">
      <c r="A79" s="3"/>
      <c r="B79" s="25" t="s">
        <v>134</v>
      </c>
      <c r="C79" s="26"/>
      <c r="D79" s="27" t="s">
        <v>135</v>
      </c>
      <c r="E79" s="28"/>
      <c r="F79" s="29"/>
      <c r="G79" s="30"/>
      <c r="H79" s="3"/>
      <c r="I79" s="3"/>
    </row>
    <row r="80" spans="1:9" ht="15.75" x14ac:dyDescent="0.25">
      <c r="A80" s="3"/>
      <c r="B80" s="25" t="s">
        <v>136</v>
      </c>
      <c r="C80" s="26"/>
      <c r="D80" s="27" t="s">
        <v>137</v>
      </c>
      <c r="E80" s="28"/>
      <c r="F80" s="29"/>
      <c r="G80" s="30"/>
      <c r="H80" s="3"/>
      <c r="I80" s="3"/>
    </row>
    <row r="81" spans="1:9" ht="15.75" x14ac:dyDescent="0.25">
      <c r="A81" s="3"/>
      <c r="B81" s="25" t="s">
        <v>138</v>
      </c>
      <c r="C81" s="26"/>
      <c r="D81" s="27" t="s">
        <v>139</v>
      </c>
      <c r="E81" s="28"/>
      <c r="F81" s="29"/>
      <c r="G81" s="30"/>
      <c r="H81" s="3"/>
      <c r="I81" s="3"/>
    </row>
    <row r="82" spans="1:9" ht="15.75" x14ac:dyDescent="0.25">
      <c r="A82" s="3"/>
      <c r="B82" s="25" t="s">
        <v>140</v>
      </c>
      <c r="C82" s="26"/>
      <c r="D82" s="27" t="s">
        <v>141</v>
      </c>
      <c r="E82" s="28"/>
      <c r="F82" s="29"/>
      <c r="G82" s="30"/>
      <c r="H82" s="3"/>
      <c r="I82" s="3"/>
    </row>
    <row r="83" spans="1:9" ht="15.75" x14ac:dyDescent="0.25">
      <c r="A83" s="3"/>
      <c r="B83" s="25" t="s">
        <v>142</v>
      </c>
      <c r="C83" s="26"/>
      <c r="D83" s="27" t="s">
        <v>143</v>
      </c>
      <c r="E83" s="28"/>
      <c r="F83" s="29"/>
      <c r="G83" s="30"/>
      <c r="H83" s="3"/>
      <c r="I83" s="3"/>
    </row>
    <row r="84" spans="1:9" ht="15.75" x14ac:dyDescent="0.25">
      <c r="A84" s="3"/>
      <c r="B84" s="25" t="s">
        <v>144</v>
      </c>
      <c r="C84" s="26"/>
      <c r="D84" s="27" t="s">
        <v>145</v>
      </c>
      <c r="E84" s="28"/>
      <c r="F84" s="29"/>
      <c r="G84" s="30"/>
      <c r="H84" s="3"/>
      <c r="I84" s="3"/>
    </row>
    <row r="85" spans="1:9" ht="16.5" thickBot="1" x14ac:dyDescent="0.3">
      <c r="A85" s="3"/>
      <c r="B85" s="31" t="s">
        <v>146</v>
      </c>
      <c r="C85" s="32"/>
      <c r="D85" s="33" t="s">
        <v>147</v>
      </c>
      <c r="E85" s="34"/>
      <c r="F85" s="29"/>
      <c r="G85" s="30"/>
      <c r="H85" s="3"/>
      <c r="I85" s="3"/>
    </row>
    <row r="86" spans="1:9" x14ac:dyDescent="0.25">
      <c r="A86" s="3"/>
      <c r="F86" s="2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</sheetData>
  <mergeCells count="9">
    <mergeCell ref="A7:B7"/>
    <mergeCell ref="B45:E45"/>
    <mergeCell ref="B49:E49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COMPRAS</cp:lastModifiedBy>
  <dcterms:created xsi:type="dcterms:W3CDTF">2021-08-06T14:22:50Z</dcterms:created>
  <dcterms:modified xsi:type="dcterms:W3CDTF">2021-08-10T11:40:25Z</dcterms:modified>
</cp:coreProperties>
</file>