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2570EAFA-A6F8-498C-949E-987BB6D5025F}"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NotaPedido" sheetId="2" r:id="rId2"/>
    <sheet name="Autor Gastar" sheetId="3" r:id="rId3"/>
  </sheets>
  <definedNames>
    <definedName name="_xlnm._FilterDatabase" localSheetId="0" hidden="1">'Necesidades Trimestrales'!$A$9:$I$31</definedName>
    <definedName name="_xlnm.Print_Area" localSheetId="2">'Autor Gastar'!$A$1:$Q$27</definedName>
    <definedName name="_xlnm.Print_Area" localSheetId="1">NotaPedido!$A$1:$K$34</definedName>
  </definedNames>
  <calcPr calcId="181029"/>
</workbook>
</file>

<file path=xl/calcChain.xml><?xml version="1.0" encoding="utf-8"?>
<calcChain xmlns="http://schemas.openxmlformats.org/spreadsheetml/2006/main">
  <c r="I18" i="1" l="1"/>
  <c r="I31" i="1" l="1"/>
  <c r="I17" i="1"/>
  <c r="I25" i="1"/>
  <c r="I19" i="1"/>
  <c r="I23" i="1"/>
  <c r="I14" i="1"/>
  <c r="I15" i="1"/>
  <c r="I24" i="1"/>
  <c r="B15" i="2" l="1"/>
  <c r="B16" i="2"/>
  <c r="B17" i="2"/>
  <c r="B18" i="2"/>
  <c r="B19" i="2"/>
  <c r="B20" i="2"/>
  <c r="B21" i="2"/>
  <c r="B22" i="2"/>
  <c r="B23" i="2"/>
  <c r="B24" i="2"/>
  <c r="B25" i="2"/>
  <c r="B26" i="2"/>
  <c r="B27" i="2"/>
  <c r="B28" i="2"/>
  <c r="B29" i="2"/>
  <c r="B30" i="2"/>
  <c r="B31" i="2"/>
  <c r="B32" i="2"/>
  <c r="B33" i="2"/>
  <c r="K17" i="2"/>
  <c r="K18" i="2"/>
  <c r="K19" i="2"/>
  <c r="K20" i="2"/>
  <c r="K21" i="2"/>
  <c r="K22" i="2"/>
  <c r="K23" i="2"/>
  <c r="K24" i="2"/>
  <c r="K25" i="2"/>
  <c r="K26" i="2"/>
  <c r="K27" i="2"/>
  <c r="K28" i="2"/>
  <c r="K29" i="2"/>
  <c r="K30" i="2"/>
  <c r="K31" i="2"/>
  <c r="K32" i="2"/>
  <c r="K33" i="2"/>
  <c r="C16" i="2"/>
  <c r="C17" i="2"/>
  <c r="C18" i="2"/>
  <c r="C19" i="2"/>
  <c r="C20" i="2"/>
  <c r="C21" i="2"/>
  <c r="C22" i="2"/>
  <c r="C23" i="2"/>
  <c r="C24" i="2"/>
  <c r="C25" i="2"/>
  <c r="C26" i="2"/>
  <c r="C27" i="2"/>
  <c r="C28" i="2"/>
  <c r="C29" i="2"/>
  <c r="C30" i="2"/>
  <c r="C31" i="2"/>
  <c r="C32" i="2"/>
  <c r="C33" i="2"/>
  <c r="J18" i="2"/>
  <c r="J19" i="2"/>
  <c r="J20" i="2"/>
  <c r="J21" i="2"/>
  <c r="J22" i="2"/>
  <c r="J23" i="2"/>
  <c r="J24" i="2"/>
  <c r="J25" i="2"/>
  <c r="J26" i="2"/>
  <c r="J27" i="2"/>
  <c r="J28" i="2"/>
  <c r="J29" i="2"/>
  <c r="J30" i="2"/>
  <c r="J31" i="2"/>
  <c r="J32" i="2"/>
  <c r="J33" i="2"/>
  <c r="I17" i="2"/>
  <c r="I18" i="2"/>
  <c r="I19" i="2"/>
  <c r="I20" i="2"/>
  <c r="I21" i="2"/>
  <c r="I22" i="2"/>
  <c r="I23" i="2"/>
  <c r="I24" i="2"/>
  <c r="I25" i="2"/>
  <c r="I26" i="2"/>
  <c r="I27" i="2"/>
  <c r="I28" i="2"/>
  <c r="I29" i="2"/>
  <c r="I30" i="2"/>
  <c r="I31" i="2"/>
  <c r="I32" i="2"/>
  <c r="I33" i="2"/>
  <c r="A26" i="3"/>
  <c r="A10" i="3"/>
  <c r="J17" i="2"/>
  <c r="K16" i="2"/>
  <c r="J16" i="2"/>
  <c r="I16" i="2"/>
  <c r="K15" i="2"/>
  <c r="J15" i="2"/>
  <c r="I15" i="2"/>
  <c r="C15" i="2"/>
  <c r="K14" i="2"/>
  <c r="J14" i="2"/>
  <c r="I14" i="2"/>
  <c r="C14" i="2"/>
  <c r="B14" i="2"/>
  <c r="K13" i="2"/>
  <c r="J13" i="2"/>
  <c r="I13" i="2"/>
  <c r="C13" i="2"/>
  <c r="B13" i="2"/>
  <c r="K12" i="2"/>
  <c r="J12" i="2"/>
  <c r="I12" i="2"/>
  <c r="C12" i="2"/>
  <c r="B12" i="2"/>
  <c r="I16" i="1"/>
  <c r="I13" i="1"/>
  <c r="I12" i="1"/>
  <c r="I28" i="1"/>
  <c r="I30" i="1"/>
  <c r="I29" i="1"/>
  <c r="I27" i="1"/>
  <c r="I26" i="1"/>
  <c r="I22" i="1"/>
  <c r="I21" i="1"/>
  <c r="I20" i="1"/>
  <c r="I10" i="1"/>
  <c r="I11" i="1"/>
  <c r="J34" i="2" l="1"/>
  <c r="G6" i="3" l="1"/>
  <c r="G7" i="3"/>
  <c r="D7" i="2"/>
  <c r="D3" i="2"/>
  <c r="G4" i="3" s="1"/>
  <c r="D4" i="2"/>
  <c r="G5" i="3" s="1"/>
  <c r="D1" i="3" l="1"/>
  <c r="Q23" i="3"/>
</calcChain>
</file>

<file path=xl/sharedStrings.xml><?xml version="1.0" encoding="utf-8"?>
<sst xmlns="http://schemas.openxmlformats.org/spreadsheetml/2006/main" count="222" uniqueCount="114">
  <si>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</si>
  <si>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</si>
  <si>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</si>
  <si>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</si>
  <si>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</si>
  <si>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</si>
  <si>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</si>
  <si>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</si>
  <si>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</si>
  <si>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</si>
  <si>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</si>
  <si>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</si>
  <si>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</si>
  <si>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</si>
  <si>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</si>
  <si>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</si>
  <si>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</si>
  <si>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</si>
  <si>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</si>
  <si>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</si>
  <si>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</si>
  <si>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</si>
  <si>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</si>
  <si>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</si>
  <si>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</si>
  <si>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</si>
  <si>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</si>
  <si>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</si>
  <si>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</si>
  <si>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</si>
  <si>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</si>
  <si>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</si>
  <si>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</si>
  <si>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</si>
  <si>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</si>
  <si>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</si>
  <si>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</si>
  <si>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</si>
  <si>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</si>
  <si>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</si>
  <si>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</si>
  <si>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</si>
  <si>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</si>
  <si>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</si>
  <si>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</si>
  <si>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</si>
  <si>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</si>
  <si>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</si>
  <si>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</si>
  <si>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</si>
  <si>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</si>
  <si>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</si>
  <si>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</si>
  <si>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</si>
  <si>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</si>
  <si>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</si>
  <si>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</si>
  <si>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</si>
  <si>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</si>
  <si>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</si>
  <si>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</si>
  <si>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</si>
  <si>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 xml:space="preserve">45 dias habiles </t>
  </si>
  <si>
    <t xml:space="preserve">Otros NEP </t>
  </si>
  <si>
    <t>3.1</t>
  </si>
  <si>
    <t>1.1</t>
  </si>
  <si>
    <t>Utiles Menores Med. Quir. y de Lab.</t>
  </si>
  <si>
    <t>2.9.5</t>
  </si>
  <si>
    <t>ERLENMEYER; TIPO: RESISTENTE AL CALOR, CAPACIDAD: 500 mL, GRADUADO: SI, GRADUACION: SI</t>
  </si>
  <si>
    <t>Unidad</t>
  </si>
  <si>
    <t>ERLENMEYER; TIPO: RESISTENTE AL CALOR, CAPACIDAD: 250 mL, GRADUADO: SI, GRADUACION: SI</t>
  </si>
  <si>
    <t>PIPETAS DE VIDRIO; USO: LABORATORIO, TIPO: GRADUADA DE 25 ML mL</t>
  </si>
  <si>
    <t>HISOPOS; MATERIAL DE EXTREMOS: DACRON, PRESENTACION: UNIDAD</t>
  </si>
  <si>
    <t>PROBETAS; MATERIAL: VIDRIO, CAPACIDAD: 100 mL, GRADUACION: 1 mL, TAPA: SIN, BASE: PLASTICA</t>
  </si>
  <si>
    <t>Frascos hemocultivo BD BACTEC  Plus/Aerobic/F culture vials x 30ml, presentación: Caja por 50 frascos</t>
  </si>
  <si>
    <t>Caja</t>
  </si>
  <si>
    <t xml:space="preserve">Tubos de centrífuga cónicos con tapa a rosca estériles de 15 ml autoclavables. Presentación: individual </t>
  </si>
  <si>
    <t>HISOPOS; MATERIAL DE EXTREMOS: ALGODON, PRESENTACION: CAJA X 100</t>
  </si>
  <si>
    <t>JERINGAS DESCARTABLES; CAPACIDAD: 10 ML, SIN AGUJA  USO: EXTRACCION</t>
  </si>
  <si>
    <t>JERINGAS DESCARTABLES; CAPACIDAD: 5 mL, SIN AGUJA, USO: EXTRACCION</t>
  </si>
  <si>
    <t>MICROTUBO EPPENDORF AUTOCLAVE - 1.5 ML TIPO DELTALAB - BOLSA X 1000 UNIDADES</t>
  </si>
  <si>
    <t xml:space="preserve">TIP AMARILLO 5-200 UL - CON CORONA CHICA - TIPO DELTALAB - PRESENTACION: BOLSA X 1000 UNIDADES </t>
  </si>
  <si>
    <t xml:space="preserve">TIP AZUL 100-1000 UL PP AUTOCLAVE - CON CORONA - TIPO DELTALAB - PRESENTACIÓN: BOLSA X 1000 UNIDADES </t>
  </si>
  <si>
    <t>TUBO PARA HEMOGRAMA EDTA 2 ML (LILA)</t>
  </si>
  <si>
    <t>TUBO PARA SUERO CON GEL 3,5 ML (AMARILLO)</t>
  </si>
  <si>
    <t>TUBO CITRATO SODIO 3,2% 2,7ML (CELESTE)</t>
  </si>
  <si>
    <t>UNIDAD</t>
  </si>
  <si>
    <t>ETIQUETAS ROLLO TIPO ITECARP</t>
  </si>
  <si>
    <t>ROLLO</t>
  </si>
  <si>
    <t xml:space="preserve">CUCHILLAS DESCARTABLES LOW PROFILE TIPO LEICA </t>
  </si>
  <si>
    <t>2.5.9</t>
  </si>
  <si>
    <t>2.9.6</t>
  </si>
  <si>
    <t>Ut. Menores Med. Med. Quirurg. Y de Lab.</t>
  </si>
  <si>
    <t xml:space="preserve">Repuestos y Accesorios </t>
  </si>
  <si>
    <t>CONTENEDOR DE RESIDUOS PARA COBAS B221 CAJA X 2 UNIDADES</t>
  </si>
  <si>
    <t xml:space="preserve">AGUJAS DESCARTABLES - 25X8 (21GX1) TERUMO - CAJA X 100 UNIDADES </t>
  </si>
  <si>
    <t xml:space="preserve">AGUJAS DESCARTABLES - 16X5 (25G 5/8")  TERUMO - CAJA X 100 UNIDADES </t>
  </si>
  <si>
    <t>Especificidades Item N° 11:</t>
  </si>
  <si>
    <t>Especificidades Item N° 12:</t>
  </si>
  <si>
    <t xml:space="preserve">Adquisición de Descartables para Laboratorios del HISJB </t>
  </si>
  <si>
    <t xml:space="preserve">Servicio de Laboratorio </t>
  </si>
  <si>
    <t>Costo total estimado: UN MILLON SEISCIENTOS OCHENTA Y CINCO MIL SEISCIENTOS OCHENTA Y SIETE CON 00/100.-</t>
  </si>
  <si>
    <t xml:space="preserve">AGUJAS DESCARTABLES - 16X5 (25G 5/8") TERUMO - CAJA X 100 UNIDADES -  SE SOLICITA MARCA TERUMO -NO SE ACEPTA ALTERNATIVA- NECESARIAS PARA CUBRIR LAS NECESIDADES DEL SERVICIO </t>
  </si>
  <si>
    <t xml:space="preserve">AGUJAS DESCARTABLES - 25X8 (21GX1) TERUMO - CAJA X 100 UNIDADES - SE SOLICITA MARCA TERUMO -NO SE ACEPTA ALTERNATIVA-, NECESARIAS PARA CUBRIR LAS NECESIDADES DEL SERVICIO </t>
  </si>
  <si>
    <t>JERINGAS DESCARTABLES; CAPACIDAD: 10 ML, SIN AGUJA  USO: EXTRACCION - SE SOLICITA MARCA WEBEST O SAFE -NO SE ACEPTA MARCA ALTERNATIVA A AMBAS DOS MENCIONADAS-, NECESARIAS PARA CUBRIR LAS NECESIDADES DE SERVICIO.</t>
  </si>
  <si>
    <t>JERINGAS DESCARTABLES; CAPACIDAD: 5 mL, SIN AGUJA, USO: EXTRACCION - SE SOLICITA MARCA WEBEST O SAFE -NO SE ACEPTA MARCA ALTERNATIVA A AMBAS MENCIONADAS-, NECESARIAS PARA CUBRIR LAS NECESIDADES DE SERVICIO.</t>
  </si>
  <si>
    <t>033 - 2021</t>
  </si>
  <si>
    <t>TOTAL DE PESOS: UN MILLON SEISCIENTOS OCHENTA Y CINCO MIL SEISCIENTOS OCHENTA Y SIETE CON 00/100.--</t>
  </si>
  <si>
    <t>10 dias - Servicio de Laboratorio del HISJB - Avda. Illia y mariano Moreno</t>
  </si>
  <si>
    <t xml:space="preserve">10 dias - Servicio de Laboratorio del HISJB - Avda. Illia y mariano Moreno </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</si>
  <si>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</si>
  <si>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 xml:space="preserve">PLAZO DE MANTENIMIENTO DE OFERTA: 45 DIAS HABILES </t>
  </si>
  <si>
    <t xml:space="preserve">PLAZO Y LUGAR DE ENTREGA: 10 DIAS - SERVICIO DE LABORATORIO DEL HISJB - AVDA. Mariano Moreno e Illia  </t>
  </si>
  <si>
    <t xml:space="preserve">PLACAS DE PETRI; MATERIAL: PLASTICO ESTERIL, DIAMETRO: 90 mm, ALTURA: 14 mm - BOLSA X 20 UNIDADES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</si>
</sst>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30"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2"/>
      <name val="Calibri"/>
      <family val="2"/>
    </font>
    <font>
      <sz val="9"/>
      <name val="Arial"/>
      <family val="2"/>
    </font>
    <font>
      <sz val="10"/>
      <color theme="1"/>
      <name val="Arial"/>
      <family val="2"/>
    </font>
    <font>
      <sz val="12"/>
      <color theme="1"/>
      <name val="Arial"/>
      <family val="2"/>
    </font>
    <font>
      <b/>
      <sz val="8"/>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49">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top style="medium">
        <color auto="1"/>
      </top>
      <bottom style="medium">
        <color auto="1"/>
      </bottom>
      <diagonal/>
    </border>
  </borders>
  <cellStyleXfs count="8">
    <xf numFmtId="0" fontId="0" fillId="0" borderId="0"/>
    <xf numFmtId="165" fontId="15" fillId="0" borderId="0" applyBorder="0" applyProtection="0"/>
    <xf numFmtId="0" fontId="2" fillId="0" borderId="1" applyProtection="0"/>
    <xf numFmtId="164" fontId="3" fillId="0" borderId="0" applyBorder="0" applyProtection="0"/>
    <xf numFmtId="0" fontId="4" fillId="2" borderId="0" applyBorder="0" applyProtection="0"/>
    <xf numFmtId="0" fontId="1" fillId="0" borderId="0"/>
    <xf numFmtId="0" fontId="15" fillId="0" borderId="0"/>
    <xf numFmtId="0" fontId="15" fillId="0" borderId="0"/>
  </cellStyleXfs>
  <cellXfs count="150">
    <xf numFmtId="0" fontId="0" fillId="0" borderId="0" xfId="0"/>
    <xf numFmtId="0" fontId="0" fillId="0" borderId="0" xfId="0" applyBorder="1"/>
    <xf numFmtId="0" fontId="3" fillId="0" borderId="0" xfId="0" applyFont="1" applyBorder="1" applyAlignment="1">
      <alignment vertical="center"/>
    </xf>
    <xf numFmtId="0" fontId="6" fillId="0" borderId="10" xfId="0" applyFont="1" applyBorder="1" applyAlignment="1">
      <alignment horizontal="right" vertical="center"/>
    </xf>
    <xf numFmtId="0" fontId="6" fillId="0" borderId="12" xfId="0" applyFont="1" applyBorder="1" applyAlignment="1">
      <alignment vertical="center"/>
    </xf>
    <xf numFmtId="0" fontId="6" fillId="0" borderId="0" xfId="0" applyFont="1" applyBorder="1" applyAlignment="1">
      <alignment vertical="center"/>
    </xf>
    <xf numFmtId="0" fontId="8" fillId="0" borderId="0" xfId="0" applyFont="1" applyBorder="1" applyAlignment="1">
      <alignment horizontal="left" vertical="center"/>
    </xf>
    <xf numFmtId="0" fontId="7" fillId="0" borderId="0" xfId="0" applyFont="1" applyBorder="1" applyAlignment="1">
      <alignment horizontal="left" vertical="center" wrapText="1" indent="1"/>
    </xf>
    <xf numFmtId="0" fontId="5" fillId="0" borderId="19"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3"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29" xfId="0" applyFont="1" applyBorder="1" applyAlignment="1">
      <alignment horizontal="left" vertical="center"/>
    </xf>
    <xf numFmtId="0" fontId="14" fillId="0" borderId="30" xfId="0" applyFont="1" applyBorder="1" applyAlignment="1">
      <alignment horizontal="center" vertical="center"/>
    </xf>
    <xf numFmtId="0" fontId="14" fillId="0" borderId="24"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0" fillId="0" borderId="38" xfId="0"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4" fillId="0" borderId="44"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3"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3"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20" fillId="0" borderId="14" xfId="0" applyFont="1" applyBorder="1" applyAlignment="1">
      <alignment horizontal="center" vertical="center" wrapText="1"/>
    </xf>
    <xf numFmtId="0" fontId="21" fillId="0" borderId="14" xfId="0" applyFont="1" applyBorder="1" applyAlignment="1">
      <alignment horizontal="center" vertical="center"/>
    </xf>
    <xf numFmtId="0" fontId="22" fillId="4" borderId="14" xfId="0" applyFont="1" applyFill="1" applyBorder="1" applyAlignment="1">
      <alignment horizontal="center" vertical="center" wrapText="1"/>
    </xf>
    <xf numFmtId="166" fontId="21" fillId="4" borderId="14" xfId="1" applyNumberFormat="1" applyFont="1" applyFill="1" applyBorder="1" applyAlignment="1" applyProtection="1">
      <alignment horizontal="center" vertical="center" wrapText="1"/>
    </xf>
    <xf numFmtId="166" fontId="21" fillId="4" borderId="14" xfId="1" applyNumberFormat="1" applyFont="1" applyFill="1" applyBorder="1" applyAlignment="1" applyProtection="1">
      <alignment horizontal="right" vertical="center" wrapText="1"/>
    </xf>
    <xf numFmtId="0" fontId="24" fillId="4" borderId="0" xfId="0" applyFont="1" applyFill="1" applyAlignment="1">
      <alignment horizontal="left" wrapText="1" indent="1"/>
    </xf>
    <xf numFmtId="0" fontId="20" fillId="5" borderId="0" xfId="0" applyFont="1" applyFill="1" applyAlignment="1">
      <alignment horizontal="left" wrapText="1"/>
    </xf>
    <xf numFmtId="0" fontId="7" fillId="4" borderId="11" xfId="0" applyFont="1" applyFill="1" applyBorder="1" applyAlignment="1">
      <alignment horizontal="center" vertical="center"/>
    </xf>
    <xf numFmtId="0" fontId="5" fillId="5" borderId="19" xfId="0" applyFont="1" applyFill="1" applyBorder="1" applyAlignment="1">
      <alignment horizontal="left" vertical="center"/>
    </xf>
    <xf numFmtId="0" fontId="5" fillId="4" borderId="19" xfId="0" applyFont="1" applyFill="1" applyBorder="1" applyAlignment="1">
      <alignment horizontal="center" vertical="center"/>
    </xf>
    <xf numFmtId="0" fontId="5" fillId="5" borderId="19" xfId="0" applyFont="1" applyFill="1" applyBorder="1" applyAlignment="1">
      <alignment horizontal="center" vertical="center" wrapText="1"/>
    </xf>
    <xf numFmtId="166" fontId="5" fillId="5" borderId="19" xfId="1" applyNumberFormat="1" applyFont="1" applyFill="1" applyBorder="1" applyAlignment="1" applyProtection="1">
      <alignment horizontal="right" vertical="center" wrapText="1"/>
    </xf>
    <xf numFmtId="3" fontId="5" fillId="5" borderId="19" xfId="0" applyNumberFormat="1" applyFont="1" applyFill="1" applyBorder="1" applyAlignment="1">
      <alignment horizontal="center" vertical="center"/>
    </xf>
    <xf numFmtId="0" fontId="15" fillId="0" borderId="36" xfId="0" applyFont="1" applyBorder="1" applyAlignment="1">
      <alignment horizontal="center" vertical="center"/>
    </xf>
    <xf numFmtId="0" fontId="15"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5"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166" fontId="0" fillId="0" borderId="0" xfId="0" applyNumberFormat="1"/>
    <xf numFmtId="0" fontId="22" fillId="5" borderId="14" xfId="0" applyFont="1" applyFill="1" applyBorder="1" applyAlignment="1">
      <alignment horizontal="center" vertical="center" wrapText="1"/>
    </xf>
    <xf numFmtId="0" fontId="25" fillId="5" borderId="14" xfId="0" applyFont="1" applyFill="1" applyBorder="1" applyAlignment="1">
      <alignment vertical="center" wrapText="1"/>
    </xf>
    <xf numFmtId="0" fontId="22" fillId="5" borderId="14" xfId="0" applyFont="1" applyFill="1" applyBorder="1" applyAlignment="1">
      <alignment horizontal="left" vertical="center" wrapText="1"/>
    </xf>
    <xf numFmtId="0" fontId="0" fillId="5" borderId="14" xfId="0" applyFill="1" applyBorder="1"/>
    <xf numFmtId="0" fontId="19" fillId="4" borderId="21" xfId="0" applyFont="1" applyFill="1" applyBorder="1" applyAlignment="1">
      <alignment horizontal="center" vertical="center" wrapText="1"/>
    </xf>
    <xf numFmtId="0" fontId="16" fillId="5" borderId="0" xfId="0" applyFont="1" applyFill="1"/>
    <xf numFmtId="0" fontId="15" fillId="5" borderId="14" xfId="0" applyFont="1" applyFill="1" applyBorder="1" applyAlignment="1">
      <alignment wrapText="1"/>
    </xf>
    <xf numFmtId="0" fontId="0" fillId="5" borderId="14" xfId="0" applyFill="1" applyBorder="1" applyAlignment="1">
      <alignment wrapText="1"/>
    </xf>
    <xf numFmtId="0" fontId="19" fillId="4" borderId="14" xfId="0" applyFont="1" applyFill="1" applyBorder="1" applyAlignment="1">
      <alignment horizontal="center" vertical="center" wrapText="1"/>
    </xf>
    <xf numFmtId="0" fontId="19" fillId="5" borderId="14" xfId="0" applyFont="1" applyFill="1" applyBorder="1" applyAlignment="1">
      <alignment horizontal="center" vertical="center" wrapText="1"/>
    </xf>
    <xf numFmtId="0" fontId="15" fillId="5" borderId="14" xfId="6" applyFont="1" applyFill="1" applyBorder="1" applyAlignment="1">
      <alignment horizontal="left" vertical="center" wrapText="1"/>
    </xf>
    <xf numFmtId="0" fontId="15" fillId="5" borderId="14" xfId="7" applyFont="1" applyFill="1" applyBorder="1" applyAlignment="1">
      <alignment horizontal="center" vertical="center" wrapText="1"/>
    </xf>
    <xf numFmtId="3" fontId="27" fillId="5" borderId="14" xfId="0" applyNumberFormat="1" applyFont="1" applyFill="1" applyBorder="1" applyAlignment="1">
      <alignment horizontal="center" vertical="center" wrapText="1"/>
    </xf>
    <xf numFmtId="167" fontId="27" fillId="5" borderId="14" xfId="0" applyNumberFormat="1" applyFont="1" applyFill="1" applyBorder="1" applyAlignment="1">
      <alignment horizontal="center" vertical="center" wrapText="1"/>
    </xf>
    <xf numFmtId="0" fontId="15" fillId="5" borderId="14" xfId="0" applyFont="1" applyFill="1" applyBorder="1" applyAlignment="1">
      <alignment horizontal="center" vertical="center" wrapText="1"/>
    </xf>
    <xf numFmtId="3" fontId="28" fillId="5" borderId="14" xfId="0" applyNumberFormat="1" applyFont="1" applyFill="1" applyBorder="1" applyAlignment="1">
      <alignment horizontal="center" vertical="center" wrapText="1"/>
    </xf>
    <xf numFmtId="167" fontId="28" fillId="5" borderId="14" xfId="0" applyNumberFormat="1" applyFont="1" applyFill="1" applyBorder="1" applyAlignment="1">
      <alignment horizontal="center" vertical="center" wrapText="1"/>
    </xf>
    <xf numFmtId="0" fontId="15" fillId="5" borderId="21" xfId="7" applyFont="1" applyFill="1" applyBorder="1" applyAlignment="1">
      <alignment horizontal="center" vertical="center" wrapText="1"/>
    </xf>
    <xf numFmtId="0" fontId="15" fillId="5" borderId="21" xfId="0" applyFont="1" applyFill="1" applyBorder="1" applyAlignment="1">
      <alignment horizontal="center" vertical="center" wrapText="1"/>
    </xf>
    <xf numFmtId="0" fontId="16" fillId="6" borderId="20" xfId="0" applyFont="1" applyFill="1" applyBorder="1"/>
    <xf numFmtId="0" fontId="16" fillId="6" borderId="48" xfId="0" applyFont="1" applyFill="1" applyBorder="1"/>
    <xf numFmtId="0" fontId="16" fillId="6" borderId="21" xfId="0" applyFont="1" applyFill="1" applyBorder="1"/>
    <xf numFmtId="0" fontId="15" fillId="0" borderId="14" xfId="0" applyFont="1" applyFill="1" applyBorder="1" applyAlignment="1">
      <alignment horizontal="left" wrapText="1"/>
    </xf>
    <xf numFmtId="0" fontId="16" fillId="3" borderId="6" xfId="0" applyFont="1" applyFill="1" applyBorder="1" applyAlignment="1">
      <alignment horizontal="left"/>
    </xf>
    <xf numFmtId="0" fontId="16" fillId="3" borderId="6" xfId="0" applyFont="1" applyFill="1" applyBorder="1" applyAlignment="1">
      <alignment horizontal="center" wrapText="1"/>
    </xf>
    <xf numFmtId="0" fontId="16" fillId="4" borderId="6" xfId="0" applyFont="1" applyFill="1" applyBorder="1" applyAlignment="1">
      <alignment horizontal="left" wrapText="1"/>
    </xf>
    <xf numFmtId="0" fontId="16" fillId="3" borderId="6" xfId="0" applyFont="1" applyFill="1" applyBorder="1" applyAlignment="1">
      <alignment horizontal="center"/>
    </xf>
    <xf numFmtId="0" fontId="18" fillId="0" borderId="0" xfId="0" applyFont="1" applyBorder="1" applyAlignment="1">
      <alignment horizontal="left" vertical="center" wrapText="1"/>
    </xf>
    <xf numFmtId="0" fontId="16" fillId="4" borderId="6" xfId="0" applyFont="1" applyFill="1" applyBorder="1" applyAlignment="1">
      <alignment horizontal="left"/>
    </xf>
    <xf numFmtId="0" fontId="16" fillId="4" borderId="6" xfId="0" applyFont="1" applyFill="1" applyBorder="1" applyAlignment="1">
      <alignment horizontal="center"/>
    </xf>
    <xf numFmtId="0" fontId="16" fillId="3" borderId="14" xfId="0" applyFont="1" applyFill="1" applyBorder="1" applyAlignment="1">
      <alignment horizontal="center" vertical="top" wrapText="1"/>
    </xf>
    <xf numFmtId="0" fontId="16" fillId="3" borderId="21" xfId="0" applyFont="1" applyFill="1" applyBorder="1" applyAlignment="1">
      <alignment horizontal="center" vertical="top"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5" fillId="5" borderId="19" xfId="0" applyFont="1" applyFill="1" applyBorder="1" applyAlignment="1">
      <alignment horizontal="left" vertical="center" wrapText="1"/>
    </xf>
    <xf numFmtId="0" fontId="7" fillId="0" borderId="14" xfId="0" applyFont="1" applyBorder="1" applyAlignment="1">
      <alignment horizontal="left" vertical="center" wrapText="1" indent="1"/>
    </xf>
    <xf numFmtId="167" fontId="8" fillId="0" borderId="14" xfId="0" applyNumberFormat="1" applyFont="1" applyBorder="1" applyAlignment="1">
      <alignment horizontal="center" vertical="center"/>
    </xf>
    <xf numFmtId="0" fontId="8" fillId="0" borderId="16" xfId="0" applyFont="1" applyBorder="1" applyAlignment="1">
      <alignment horizontal="left" vertical="center"/>
    </xf>
    <xf numFmtId="0" fontId="7" fillId="4" borderId="17" xfId="0" applyFont="1" applyFill="1" applyBorder="1" applyAlignment="1">
      <alignment horizontal="left" vertical="center" wrapText="1" indent="1"/>
    </xf>
    <xf numFmtId="0" fontId="9" fillId="0" borderId="16" xfId="0" applyFont="1" applyBorder="1" applyAlignment="1">
      <alignment horizontal="center" vertical="center"/>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6" fillId="0" borderId="0" xfId="0" applyFont="1" applyBorder="1" applyAlignment="1">
      <alignment horizontal="center" vertical="center"/>
    </xf>
    <xf numFmtId="0" fontId="8" fillId="0" borderId="13" xfId="0" applyFont="1" applyBorder="1" applyAlignment="1">
      <alignment horizontal="left" vertical="center" wrapText="1"/>
    </xf>
    <xf numFmtId="0" fontId="7" fillId="5" borderId="14" xfId="0" applyFont="1" applyFill="1" applyBorder="1" applyAlignment="1">
      <alignment horizontal="left" vertical="center" wrapText="1" indent="1"/>
    </xf>
    <xf numFmtId="0" fontId="8" fillId="0" borderId="15" xfId="0" applyFont="1" applyBorder="1" applyAlignment="1">
      <alignment horizontal="left" vertical="center" wrapText="1"/>
    </xf>
    <xf numFmtId="0" fontId="10" fillId="0" borderId="20" xfId="0" applyFont="1" applyBorder="1" applyAlignment="1">
      <alignment vertical="center" wrapText="1"/>
    </xf>
    <xf numFmtId="0" fontId="10" fillId="0" borderId="45" xfId="0" applyFont="1" applyBorder="1" applyAlignment="1">
      <alignment vertical="center" wrapText="1"/>
    </xf>
    <xf numFmtId="0" fontId="10" fillId="0" borderId="17" xfId="0" applyFont="1" applyBorder="1" applyAlignment="1">
      <alignment vertical="center" wrapText="1"/>
    </xf>
    <xf numFmtId="0" fontId="12" fillId="0" borderId="27" xfId="0" applyFont="1" applyBorder="1" applyAlignment="1">
      <alignment vertical="center" wrapText="1"/>
    </xf>
    <xf numFmtId="0" fontId="12" fillId="4" borderId="44" xfId="0" applyFont="1" applyFill="1" applyBorder="1" applyAlignment="1">
      <alignment horizontal="left" vertical="center" wrapText="1" indent="1"/>
    </xf>
    <xf numFmtId="0" fontId="0" fillId="0" borderId="38" xfId="0" applyFont="1" applyBorder="1" applyAlignment="1">
      <alignment horizontal="left" vertical="center"/>
    </xf>
    <xf numFmtId="0" fontId="0" fillId="0" borderId="38" xfId="0" applyBorder="1" applyAlignment="1">
      <alignment horizontal="left" vertical="center"/>
    </xf>
    <xf numFmtId="0" fontId="0" fillId="0" borderId="41" xfId="0" applyBorder="1" applyAlignment="1">
      <alignment horizontal="left" vertical="center"/>
    </xf>
    <xf numFmtId="0" fontId="29" fillId="0" borderId="44" xfId="0" applyFont="1" applyBorder="1" applyAlignment="1">
      <alignment horizontal="left" vertical="center" wrapText="1"/>
    </xf>
    <xf numFmtId="0" fontId="0" fillId="0" borderId="22" xfId="0" applyBorder="1"/>
    <xf numFmtId="0" fontId="26" fillId="0" borderId="32" xfId="0" applyFont="1" applyBorder="1" applyAlignment="1">
      <alignment horizontal="left" vertical="center" wrapText="1"/>
    </xf>
    <xf numFmtId="0" fontId="26" fillId="0" borderId="38" xfId="0" applyFont="1" applyBorder="1" applyAlignment="1">
      <alignment horizontal="left" vertical="center"/>
    </xf>
    <xf numFmtId="0" fontId="15" fillId="0" borderId="38" xfId="0" applyFont="1" applyBorder="1" applyAlignment="1">
      <alignment horizontal="left" vertical="center"/>
    </xf>
    <xf numFmtId="0" fontId="12" fillId="0" borderId="23" xfId="0" applyFont="1" applyBorder="1"/>
    <xf numFmtId="0" fontId="12" fillId="0" borderId="24" xfId="0" applyFont="1" applyBorder="1" applyAlignment="1">
      <alignment horizontal="left" vertical="center" wrapText="1" indent="1"/>
    </xf>
    <xf numFmtId="0" fontId="14" fillId="0" borderId="22" xfId="0" applyFont="1" applyBorder="1" applyAlignment="1">
      <alignment horizontal="center" vertical="center"/>
    </xf>
    <xf numFmtId="0" fontId="14" fillId="0" borderId="11" xfId="0" applyFont="1" applyBorder="1" applyAlignment="1">
      <alignment horizontal="center" vertical="center"/>
    </xf>
    <xf numFmtId="0" fontId="14" fillId="0" borderId="22" xfId="0" applyFont="1" applyBorder="1" applyAlignment="1">
      <alignment horizontal="center" vertical="center" wrapText="1"/>
    </xf>
    <xf numFmtId="0" fontId="14" fillId="0" borderId="27" xfId="0" applyFont="1" applyBorder="1" applyAlignment="1">
      <alignment horizontal="center" vertical="center"/>
    </xf>
    <xf numFmtId="0" fontId="5" fillId="0" borderId="13" xfId="0" applyFont="1" applyBorder="1" applyAlignment="1">
      <alignment horizontal="left" vertical="center" wrapText="1"/>
    </xf>
    <xf numFmtId="0" fontId="5" fillId="0" borderId="46" xfId="0" applyFont="1" applyBorder="1" applyAlignment="1">
      <alignment horizontal="left" vertical="center" wrapText="1"/>
    </xf>
    <xf numFmtId="0" fontId="5" fillId="0" borderId="47"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0" fillId="0" borderId="20" xfId="0" applyFont="1" applyBorder="1" applyAlignment="1">
      <alignment horizontal="center"/>
    </xf>
    <xf numFmtId="3" fontId="10" fillId="0" borderId="21" xfId="0" applyNumberFormat="1" applyFont="1" applyBorder="1" applyAlignment="1">
      <alignment horizontal="center"/>
    </xf>
    <xf numFmtId="0" fontId="11" fillId="0" borderId="11" xfId="0" applyFont="1" applyBorder="1" applyAlignment="1">
      <alignment horizontal="center" vertical="center" wrapText="1"/>
    </xf>
    <xf numFmtId="0" fontId="3" fillId="0" borderId="11" xfId="0" applyFont="1" applyBorder="1"/>
  </cellXfs>
  <cellStyles count="8">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6" xr:uid="{00000000-0005-0000-0000-000005000000}"/>
    <cellStyle name="Normal 3" xfId="7" xr:uid="{00000000-0005-0000-0000-000006000000}"/>
    <cellStyle name="Normal 4" xfId="5" xr:uid="{00000000-0005-0000-0000-00000700000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9"/>
  <sheetViews>
    <sheetView tabSelected="1" zoomScale="85" zoomScaleNormal="85" workbookViewId="0">
      <selection activeCell="K28" sqref="K28"/>
    </sheetView>
  </sheetViews>
  <sheetFormatPr baseColWidth="10" defaultColWidth="11" defaultRowHeight="12.75" x14ac:dyDescent="0.2"/>
  <cols>
    <col min="1" max="1" width="4.5703125" style="39" customWidth="1"/>
    <col min="2" max="2" width="12.85546875" style="39" customWidth="1"/>
    <col min="3" max="3" width="32.42578125" style="39" customWidth="1"/>
    <col min="4" max="4" width="8.42578125" style="39" customWidth="1"/>
    <col min="5" max="5" width="79" style="39" customWidth="1"/>
    <col min="6" max="6" width="11" style="39"/>
    <col min="7" max="7" width="12.7109375" style="39" customWidth="1"/>
    <col min="8" max="8" width="13.85546875" style="39" customWidth="1"/>
    <col min="9" max="9" width="18.5703125" style="39" customWidth="1"/>
    <col min="10" max="16384" width="11" style="39"/>
  </cols>
  <sheetData>
    <row r="2" spans="1:11" ht="27" x14ac:dyDescent="0.35">
      <c r="B2" s="108" t="s">
        <v>0</v>
      </c>
      <c r="C2" s="108"/>
      <c r="D2" s="108"/>
      <c r="E2" s="108"/>
      <c r="F2" s="108"/>
      <c r="G2" s="108"/>
      <c r="H2" s="108"/>
    </row>
    <row r="4" spans="1:11" ht="18" customHeight="1" x14ac:dyDescent="0.25">
      <c r="A4" s="103" t="s">
        <v>1</v>
      </c>
      <c r="B4" s="103"/>
      <c r="C4" s="109" t="s">
        <v>59</v>
      </c>
      <c r="D4" s="109"/>
      <c r="E4" s="109"/>
      <c r="F4" s="40"/>
      <c r="G4" s="41"/>
      <c r="H4" s="40"/>
    </row>
    <row r="5" spans="1:11" ht="18" customHeight="1" x14ac:dyDescent="0.25">
      <c r="A5" s="103" t="s">
        <v>2</v>
      </c>
      <c r="B5" s="103"/>
      <c r="C5" s="109" t="s">
        <v>60</v>
      </c>
      <c r="D5" s="109"/>
      <c r="E5" s="109"/>
      <c r="F5" s="40"/>
      <c r="G5" s="41"/>
      <c r="H5" s="40"/>
    </row>
    <row r="6" spans="1:11" ht="16.5" customHeight="1" x14ac:dyDescent="0.25">
      <c r="A6" s="103" t="s">
        <v>3</v>
      </c>
      <c r="B6" s="103"/>
      <c r="C6" s="60">
        <v>2021</v>
      </c>
      <c r="D6" s="61"/>
      <c r="E6" s="61"/>
      <c r="F6" s="40"/>
      <c r="G6" s="41"/>
      <c r="H6" s="40"/>
    </row>
    <row r="7" spans="1:11" ht="16.5" customHeight="1" x14ac:dyDescent="0.25">
      <c r="A7" s="103" t="s">
        <v>4</v>
      </c>
      <c r="B7" s="103"/>
      <c r="C7" s="60">
        <v>2</v>
      </c>
      <c r="D7" s="61"/>
      <c r="E7" s="61"/>
      <c r="F7" s="40"/>
      <c r="G7" s="41"/>
      <c r="H7" s="40"/>
    </row>
    <row r="8" spans="1:11" ht="13.5" thickBot="1" x14ac:dyDescent="0.25">
      <c r="B8" s="40"/>
      <c r="C8" s="41"/>
      <c r="D8" s="40"/>
      <c r="E8" s="40"/>
      <c r="F8" s="40"/>
      <c r="G8" s="41"/>
      <c r="H8" s="40"/>
    </row>
    <row r="9" spans="1:11" ht="39" thickBot="1" x14ac:dyDescent="0.25">
      <c r="A9" s="55" t="s">
        <v>5</v>
      </c>
      <c r="B9" s="55" t="s">
        <v>6</v>
      </c>
      <c r="C9" s="55" t="s">
        <v>7</v>
      </c>
      <c r="D9" s="55" t="s">
        <v>8</v>
      </c>
      <c r="E9" s="55" t="s">
        <v>9</v>
      </c>
      <c r="F9" s="55" t="s">
        <v>10</v>
      </c>
      <c r="G9" s="55" t="s">
        <v>11</v>
      </c>
      <c r="H9" s="55" t="s">
        <v>12</v>
      </c>
      <c r="I9" s="55" t="s">
        <v>13</v>
      </c>
    </row>
    <row r="10" spans="1:11" ht="31.9" customHeight="1" thickBot="1" x14ac:dyDescent="0.25">
      <c r="A10" s="56">
        <v>1</v>
      </c>
      <c r="B10" s="57"/>
      <c r="C10" s="78" t="s">
        <v>92</v>
      </c>
      <c r="D10" s="76" t="s">
        <v>67</v>
      </c>
      <c r="E10" s="86" t="s">
        <v>96</v>
      </c>
      <c r="F10" s="93" t="s">
        <v>69</v>
      </c>
      <c r="G10" s="88">
        <v>20</v>
      </c>
      <c r="H10" s="89">
        <v>1485</v>
      </c>
      <c r="I10" s="59">
        <f t="shared" ref="I10:I31" si="0">G10*H10</f>
        <v>29700</v>
      </c>
      <c r="J10" s="81"/>
      <c r="K10" s="81"/>
    </row>
    <row r="11" spans="1:11" ht="31.9" customHeight="1" thickBot="1" x14ac:dyDescent="0.25">
      <c r="A11" s="56">
        <v>2</v>
      </c>
      <c r="B11" s="57"/>
      <c r="C11" s="78" t="s">
        <v>92</v>
      </c>
      <c r="D11" s="76" t="s">
        <v>67</v>
      </c>
      <c r="E11" s="86" t="s">
        <v>95</v>
      </c>
      <c r="F11" s="93" t="s">
        <v>69</v>
      </c>
      <c r="G11" s="88">
        <v>100</v>
      </c>
      <c r="H11" s="89">
        <v>1437</v>
      </c>
      <c r="I11" s="59">
        <f t="shared" si="0"/>
        <v>143700</v>
      </c>
      <c r="J11" s="81"/>
      <c r="K11" s="81"/>
    </row>
    <row r="12" spans="1:11" ht="31.9" customHeight="1" thickBot="1" x14ac:dyDescent="0.25">
      <c r="A12" s="56">
        <v>3</v>
      </c>
      <c r="B12" s="57"/>
      <c r="C12" s="78" t="s">
        <v>93</v>
      </c>
      <c r="D12" s="76" t="s">
        <v>91</v>
      </c>
      <c r="E12" s="86" t="s">
        <v>94</v>
      </c>
      <c r="F12" s="94" t="s">
        <v>69</v>
      </c>
      <c r="G12" s="88">
        <v>3</v>
      </c>
      <c r="H12" s="89">
        <v>5139</v>
      </c>
      <c r="I12" s="59">
        <f t="shared" si="0"/>
        <v>15417</v>
      </c>
      <c r="J12" s="81"/>
      <c r="K12" s="81"/>
    </row>
    <row r="13" spans="1:11" ht="31.9" customHeight="1" thickBot="1" x14ac:dyDescent="0.25">
      <c r="A13" s="56">
        <v>4</v>
      </c>
      <c r="B13" s="57"/>
      <c r="C13" s="78" t="s">
        <v>92</v>
      </c>
      <c r="D13" s="76" t="s">
        <v>67</v>
      </c>
      <c r="E13" s="77" t="s">
        <v>89</v>
      </c>
      <c r="F13" s="93" t="s">
        <v>86</v>
      </c>
      <c r="G13" s="91">
        <v>100</v>
      </c>
      <c r="H13" s="92">
        <v>495.6</v>
      </c>
      <c r="I13" s="59">
        <f t="shared" si="0"/>
        <v>49560</v>
      </c>
      <c r="J13" s="81"/>
      <c r="K13" s="81"/>
    </row>
    <row r="14" spans="1:11" ht="31.9" customHeight="1" thickBot="1" x14ac:dyDescent="0.25">
      <c r="A14" s="56">
        <v>5</v>
      </c>
      <c r="B14" s="57"/>
      <c r="C14" s="78" t="s">
        <v>92</v>
      </c>
      <c r="D14" s="76" t="s">
        <v>67</v>
      </c>
      <c r="E14" s="83" t="s">
        <v>70</v>
      </c>
      <c r="F14" s="80" t="s">
        <v>69</v>
      </c>
      <c r="G14" s="57">
        <v>5</v>
      </c>
      <c r="H14" s="58">
        <v>500</v>
      </c>
      <c r="I14" s="59">
        <f t="shared" si="0"/>
        <v>2500</v>
      </c>
      <c r="J14" s="81"/>
      <c r="K14" s="81"/>
    </row>
    <row r="15" spans="1:11" ht="31.9" customHeight="1" thickBot="1" x14ac:dyDescent="0.25">
      <c r="A15" s="56">
        <v>6</v>
      </c>
      <c r="B15" s="57"/>
      <c r="C15" s="78" t="s">
        <v>92</v>
      </c>
      <c r="D15" s="76" t="s">
        <v>67</v>
      </c>
      <c r="E15" s="82" t="s">
        <v>68</v>
      </c>
      <c r="F15" s="80" t="s">
        <v>69</v>
      </c>
      <c r="G15" s="57">
        <v>5</v>
      </c>
      <c r="H15" s="58">
        <v>700</v>
      </c>
      <c r="I15" s="59">
        <f t="shared" si="0"/>
        <v>3500</v>
      </c>
      <c r="J15" s="81"/>
      <c r="K15" s="81"/>
    </row>
    <row r="16" spans="1:11" ht="31.9" customHeight="1" thickBot="1" x14ac:dyDescent="0.25">
      <c r="A16" s="56">
        <v>7</v>
      </c>
      <c r="B16" s="57"/>
      <c r="C16" s="78" t="s">
        <v>63</v>
      </c>
      <c r="D16" s="85" t="s">
        <v>90</v>
      </c>
      <c r="E16" s="86" t="s">
        <v>87</v>
      </c>
      <c r="F16" s="94" t="s">
        <v>88</v>
      </c>
      <c r="G16" s="88">
        <v>30</v>
      </c>
      <c r="H16" s="92">
        <v>500</v>
      </c>
      <c r="I16" s="59">
        <f t="shared" si="0"/>
        <v>15000</v>
      </c>
      <c r="J16" s="81"/>
      <c r="K16" s="81"/>
    </row>
    <row r="17" spans="1:12" ht="31.9" customHeight="1" thickBot="1" x14ac:dyDescent="0.25">
      <c r="A17" s="56">
        <v>8</v>
      </c>
      <c r="B17" s="57"/>
      <c r="C17" s="78" t="s">
        <v>92</v>
      </c>
      <c r="D17" s="76" t="s">
        <v>67</v>
      </c>
      <c r="E17" s="77" t="s">
        <v>74</v>
      </c>
      <c r="F17" s="80" t="s">
        <v>75</v>
      </c>
      <c r="G17" s="57">
        <v>8</v>
      </c>
      <c r="H17" s="58">
        <v>55195</v>
      </c>
      <c r="I17" s="59">
        <f t="shared" si="0"/>
        <v>441560</v>
      </c>
      <c r="J17" s="81"/>
      <c r="K17" s="81"/>
    </row>
    <row r="18" spans="1:12" ht="31.9" customHeight="1" thickBot="1" x14ac:dyDescent="0.25">
      <c r="A18" s="56">
        <v>9</v>
      </c>
      <c r="B18" s="57"/>
      <c r="C18" s="78" t="s">
        <v>92</v>
      </c>
      <c r="D18" s="76" t="s">
        <v>67</v>
      </c>
      <c r="E18" s="79" t="s">
        <v>77</v>
      </c>
      <c r="F18" s="84" t="s">
        <v>69</v>
      </c>
      <c r="G18" s="57">
        <v>10</v>
      </c>
      <c r="H18" s="58">
        <v>151</v>
      </c>
      <c r="I18" s="59">
        <f t="shared" si="0"/>
        <v>1510</v>
      </c>
      <c r="J18" s="81"/>
      <c r="K18" s="81"/>
    </row>
    <row r="19" spans="1:12" ht="31.9" customHeight="1" thickBot="1" x14ac:dyDescent="0.25">
      <c r="A19" s="56">
        <v>10</v>
      </c>
      <c r="B19" s="57"/>
      <c r="C19" s="78" t="s">
        <v>92</v>
      </c>
      <c r="D19" s="76" t="s">
        <v>67</v>
      </c>
      <c r="E19" s="79" t="s">
        <v>72</v>
      </c>
      <c r="F19" s="84" t="s">
        <v>69</v>
      </c>
      <c r="G19" s="57">
        <v>200</v>
      </c>
      <c r="H19" s="58">
        <v>85</v>
      </c>
      <c r="I19" s="59">
        <f t="shared" si="0"/>
        <v>17000</v>
      </c>
      <c r="J19" s="81"/>
      <c r="K19" s="81"/>
      <c r="L19" s="81"/>
    </row>
    <row r="20" spans="1:12" ht="31.9" customHeight="1" thickBot="1" x14ac:dyDescent="0.25">
      <c r="A20" s="56">
        <v>11</v>
      </c>
      <c r="B20" s="57"/>
      <c r="C20" s="78" t="s">
        <v>92</v>
      </c>
      <c r="D20" s="76" t="s">
        <v>67</v>
      </c>
      <c r="E20" s="86" t="s">
        <v>78</v>
      </c>
      <c r="F20" s="87" t="s">
        <v>86</v>
      </c>
      <c r="G20" s="88">
        <v>12000</v>
      </c>
      <c r="H20" s="89">
        <v>9.25</v>
      </c>
      <c r="I20" s="59">
        <f t="shared" si="0"/>
        <v>111000</v>
      </c>
      <c r="J20" s="81"/>
      <c r="K20" s="81"/>
    </row>
    <row r="21" spans="1:12" ht="31.9" customHeight="1" thickBot="1" x14ac:dyDescent="0.25">
      <c r="A21" s="56">
        <v>12</v>
      </c>
      <c r="B21" s="57"/>
      <c r="C21" s="78" t="s">
        <v>92</v>
      </c>
      <c r="D21" s="76" t="s">
        <v>67</v>
      </c>
      <c r="E21" s="86" t="s">
        <v>79</v>
      </c>
      <c r="F21" s="87" t="s">
        <v>86</v>
      </c>
      <c r="G21" s="88">
        <v>10000</v>
      </c>
      <c r="H21" s="89">
        <v>6.1</v>
      </c>
      <c r="I21" s="59">
        <f t="shared" si="0"/>
        <v>61000</v>
      </c>
      <c r="J21" s="81"/>
      <c r="K21" s="81"/>
    </row>
    <row r="22" spans="1:12" ht="31.9" customHeight="1" thickBot="1" x14ac:dyDescent="0.25">
      <c r="A22" s="56">
        <v>13</v>
      </c>
      <c r="B22" s="57"/>
      <c r="C22" s="78" t="s">
        <v>92</v>
      </c>
      <c r="D22" s="76" t="s">
        <v>67</v>
      </c>
      <c r="E22" s="86" t="s">
        <v>80</v>
      </c>
      <c r="F22" s="90" t="s">
        <v>69</v>
      </c>
      <c r="G22" s="88">
        <v>12</v>
      </c>
      <c r="H22" s="89">
        <v>3549</v>
      </c>
      <c r="I22" s="59">
        <f t="shared" si="0"/>
        <v>42588</v>
      </c>
      <c r="J22" s="81"/>
      <c r="K22" s="81"/>
    </row>
    <row r="23" spans="1:12" ht="31.9" customHeight="1" thickBot="1" x14ac:dyDescent="0.25">
      <c r="A23" s="56">
        <v>14</v>
      </c>
      <c r="B23" s="57"/>
      <c r="C23" s="78" t="s">
        <v>92</v>
      </c>
      <c r="D23" s="76" t="s">
        <v>67</v>
      </c>
      <c r="E23" s="83" t="s">
        <v>71</v>
      </c>
      <c r="F23" s="84" t="s">
        <v>69</v>
      </c>
      <c r="G23" s="57">
        <v>10</v>
      </c>
      <c r="H23" s="58">
        <v>471</v>
      </c>
      <c r="I23" s="59">
        <f t="shared" si="0"/>
        <v>4710</v>
      </c>
      <c r="J23" s="81"/>
      <c r="K23" s="81"/>
    </row>
    <row r="24" spans="1:12" ht="31.9" customHeight="1" thickBot="1" x14ac:dyDescent="0.25">
      <c r="A24" s="56">
        <v>15</v>
      </c>
      <c r="B24" s="57"/>
      <c r="C24" s="78" t="s">
        <v>92</v>
      </c>
      <c r="D24" s="76" t="s">
        <v>67</v>
      </c>
      <c r="E24" s="98" t="s">
        <v>113</v>
      </c>
      <c r="F24" s="84" t="s">
        <v>86</v>
      </c>
      <c r="G24" s="57">
        <v>120</v>
      </c>
      <c r="H24" s="58">
        <v>672</v>
      </c>
      <c r="I24" s="59">
        <f t="shared" si="0"/>
        <v>80640</v>
      </c>
      <c r="J24" s="81"/>
      <c r="K24" s="81"/>
    </row>
    <row r="25" spans="1:12" ht="31.9" customHeight="1" thickBot="1" x14ac:dyDescent="0.25">
      <c r="A25" s="56">
        <v>16</v>
      </c>
      <c r="B25" s="57"/>
      <c r="C25" s="78" t="s">
        <v>92</v>
      </c>
      <c r="D25" s="76" t="s">
        <v>67</v>
      </c>
      <c r="E25" s="83" t="s">
        <v>73</v>
      </c>
      <c r="F25" s="84" t="s">
        <v>69</v>
      </c>
      <c r="G25" s="57">
        <v>3</v>
      </c>
      <c r="H25" s="58">
        <v>3174</v>
      </c>
      <c r="I25" s="59">
        <f t="shared" si="0"/>
        <v>9522</v>
      </c>
      <c r="J25" s="81"/>
      <c r="K25" s="81"/>
    </row>
    <row r="26" spans="1:12" ht="31.9" customHeight="1" thickBot="1" x14ac:dyDescent="0.25">
      <c r="A26" s="56">
        <v>17</v>
      </c>
      <c r="B26" s="57"/>
      <c r="C26" s="78" t="s">
        <v>92</v>
      </c>
      <c r="D26" s="76" t="s">
        <v>67</v>
      </c>
      <c r="E26" s="86" t="s">
        <v>81</v>
      </c>
      <c r="F26" s="90" t="s">
        <v>86</v>
      </c>
      <c r="G26" s="88">
        <v>12000</v>
      </c>
      <c r="H26" s="89">
        <v>1.51</v>
      </c>
      <c r="I26" s="59">
        <f t="shared" si="0"/>
        <v>18120</v>
      </c>
      <c r="J26" s="81"/>
      <c r="K26" s="81"/>
    </row>
    <row r="27" spans="1:12" ht="31.9" customHeight="1" thickBot="1" x14ac:dyDescent="0.25">
      <c r="A27" s="56">
        <v>18</v>
      </c>
      <c r="B27" s="57"/>
      <c r="C27" s="78" t="s">
        <v>92</v>
      </c>
      <c r="D27" s="76" t="s">
        <v>67</v>
      </c>
      <c r="E27" s="86" t="s">
        <v>82</v>
      </c>
      <c r="F27" s="90" t="s">
        <v>86</v>
      </c>
      <c r="G27" s="88">
        <v>6000</v>
      </c>
      <c r="H27" s="89">
        <v>2.1</v>
      </c>
      <c r="I27" s="59">
        <f t="shared" si="0"/>
        <v>12600</v>
      </c>
      <c r="J27" s="81"/>
      <c r="K27" s="81"/>
    </row>
    <row r="28" spans="1:12" ht="31.9" customHeight="1" thickBot="1" x14ac:dyDescent="0.25">
      <c r="A28" s="56">
        <v>19</v>
      </c>
      <c r="B28" s="57"/>
      <c r="C28" s="78" t="s">
        <v>92</v>
      </c>
      <c r="D28" s="76" t="s">
        <v>67</v>
      </c>
      <c r="E28" s="86" t="s">
        <v>85</v>
      </c>
      <c r="F28" s="90" t="s">
        <v>86</v>
      </c>
      <c r="G28" s="88">
        <v>6000</v>
      </c>
      <c r="H28" s="89">
        <v>21.11</v>
      </c>
      <c r="I28" s="59">
        <f t="shared" si="0"/>
        <v>126660</v>
      </c>
      <c r="J28" s="81"/>
      <c r="K28" s="81"/>
    </row>
    <row r="29" spans="1:12" ht="31.9" customHeight="1" thickBot="1" x14ac:dyDescent="0.25">
      <c r="A29" s="56">
        <v>20</v>
      </c>
      <c r="B29" s="57"/>
      <c r="C29" s="78" t="s">
        <v>92</v>
      </c>
      <c r="D29" s="76" t="s">
        <v>67</v>
      </c>
      <c r="E29" s="86" t="s">
        <v>83</v>
      </c>
      <c r="F29" s="90" t="s">
        <v>86</v>
      </c>
      <c r="G29" s="88">
        <v>12000</v>
      </c>
      <c r="H29" s="89">
        <v>14.5</v>
      </c>
      <c r="I29" s="59">
        <f t="shared" si="0"/>
        <v>174000</v>
      </c>
      <c r="J29" s="81"/>
      <c r="K29" s="81"/>
    </row>
    <row r="30" spans="1:12" ht="31.9" customHeight="1" thickBot="1" x14ac:dyDescent="0.25">
      <c r="A30" s="56">
        <v>21</v>
      </c>
      <c r="B30" s="57"/>
      <c r="C30" s="78" t="s">
        <v>92</v>
      </c>
      <c r="D30" s="76" t="s">
        <v>67</v>
      </c>
      <c r="E30" s="86" t="s">
        <v>84</v>
      </c>
      <c r="F30" s="90" t="s">
        <v>86</v>
      </c>
      <c r="G30" s="88">
        <v>14000</v>
      </c>
      <c r="H30" s="89">
        <v>22.5</v>
      </c>
      <c r="I30" s="59">
        <f t="shared" si="0"/>
        <v>315000</v>
      </c>
      <c r="J30" s="81"/>
      <c r="K30" s="81"/>
    </row>
    <row r="31" spans="1:12" ht="31.9" customHeight="1" thickBot="1" x14ac:dyDescent="0.25">
      <c r="A31" s="56">
        <v>22</v>
      </c>
      <c r="B31" s="57"/>
      <c r="C31" s="78" t="s">
        <v>92</v>
      </c>
      <c r="D31" s="76" t="s">
        <v>67</v>
      </c>
      <c r="E31" s="77" t="s">
        <v>76</v>
      </c>
      <c r="F31" s="84" t="s">
        <v>69</v>
      </c>
      <c r="G31" s="57">
        <v>200</v>
      </c>
      <c r="H31" s="58">
        <v>52</v>
      </c>
      <c r="I31" s="59">
        <f t="shared" si="0"/>
        <v>10400</v>
      </c>
      <c r="J31" s="81"/>
      <c r="K31" s="81"/>
    </row>
    <row r="33" spans="2:5" ht="13.5" thickBot="1" x14ac:dyDescent="0.25"/>
    <row r="34" spans="2:5" ht="84.75" customHeight="1" thickBot="1" x14ac:dyDescent="0.25">
      <c r="B34" s="106" t="s">
        <v>110</v>
      </c>
      <c r="C34" s="107"/>
      <c r="D34" s="107"/>
      <c r="E34" s="107"/>
    </row>
    <row r="35" spans="2:5" ht="13.5" thickBot="1" x14ac:dyDescent="0.25"/>
    <row r="36" spans="2:5" ht="21" customHeight="1" thickBot="1" x14ac:dyDescent="0.25">
      <c r="C36" s="95" t="s">
        <v>112</v>
      </c>
      <c r="D36" s="96"/>
      <c r="E36" s="97"/>
    </row>
    <row r="37" spans="2:5" ht="18.75" customHeight="1" thickBot="1" x14ac:dyDescent="0.25">
      <c r="C37" s="95" t="s">
        <v>111</v>
      </c>
      <c r="D37" s="96"/>
      <c r="E37" s="97"/>
    </row>
    <row r="38" spans="2:5" ht="13.5" thickBot="1" x14ac:dyDescent="0.25"/>
    <row r="39" spans="2:5" x14ac:dyDescent="0.2">
      <c r="B39" s="42" t="s">
        <v>14</v>
      </c>
      <c r="C39" s="43"/>
      <c r="D39" s="43"/>
      <c r="E39" s="44"/>
    </row>
    <row r="40" spans="2:5" ht="5.25" customHeight="1" x14ac:dyDescent="0.2">
      <c r="B40" s="45"/>
      <c r="C40" s="46"/>
      <c r="D40" s="46"/>
      <c r="E40" s="47"/>
    </row>
    <row r="41" spans="2:5" x14ac:dyDescent="0.2">
      <c r="B41" s="48" t="s">
        <v>15</v>
      </c>
      <c r="C41" s="46"/>
      <c r="D41" s="46"/>
      <c r="E41" s="47"/>
    </row>
    <row r="42" spans="2:5" ht="41.25" customHeight="1" x14ac:dyDescent="0.2">
      <c r="B42" s="48"/>
      <c r="C42" s="100" t="s">
        <v>102</v>
      </c>
      <c r="D42" s="100"/>
      <c r="E42" s="100"/>
    </row>
    <row r="43" spans="2:5" x14ac:dyDescent="0.2">
      <c r="B43" s="48" t="s">
        <v>16</v>
      </c>
      <c r="C43" s="46"/>
      <c r="D43" s="46"/>
      <c r="E43" s="47"/>
    </row>
    <row r="44" spans="2:5" x14ac:dyDescent="0.2">
      <c r="B44" s="49"/>
      <c r="C44" s="104" t="s">
        <v>109</v>
      </c>
      <c r="D44" s="104"/>
      <c r="E44" s="104"/>
    </row>
    <row r="45" spans="2:5" x14ac:dyDescent="0.2">
      <c r="B45" s="49"/>
      <c r="C45" s="105"/>
      <c r="D45" s="105"/>
      <c r="E45" s="105"/>
    </row>
    <row r="46" spans="2:5" x14ac:dyDescent="0.2">
      <c r="B46" s="48" t="s">
        <v>17</v>
      </c>
      <c r="C46" s="46"/>
      <c r="D46" s="46"/>
      <c r="E46" s="47"/>
    </row>
    <row r="47" spans="2:5" ht="26.25" customHeight="1" x14ac:dyDescent="0.2">
      <c r="B47" s="49"/>
      <c r="C47" s="100"/>
      <c r="D47" s="100"/>
      <c r="E47" s="100"/>
    </row>
    <row r="48" spans="2:5" x14ac:dyDescent="0.2">
      <c r="B48" s="48" t="s">
        <v>18</v>
      </c>
      <c r="C48" s="50"/>
      <c r="D48" s="50"/>
      <c r="E48" s="51"/>
    </row>
    <row r="49" spans="2:5" ht="26.25" customHeight="1" x14ac:dyDescent="0.2">
      <c r="B49" s="49"/>
      <c r="C49" s="101" t="s">
        <v>62</v>
      </c>
      <c r="D49" s="101"/>
      <c r="E49" s="101"/>
    </row>
    <row r="50" spans="2:5" x14ac:dyDescent="0.2">
      <c r="B50" s="48" t="s">
        <v>19</v>
      </c>
      <c r="C50" s="46"/>
      <c r="D50" s="46"/>
      <c r="E50" s="47"/>
    </row>
    <row r="51" spans="2:5" ht="23.25" customHeight="1" x14ac:dyDescent="0.2">
      <c r="B51" s="48"/>
      <c r="C51" s="102"/>
      <c r="D51" s="102"/>
      <c r="E51" s="102"/>
    </row>
    <row r="52" spans="2:5" x14ac:dyDescent="0.2">
      <c r="B52" s="52"/>
      <c r="C52" s="53"/>
      <c r="D52" s="53"/>
      <c r="E52" s="54"/>
    </row>
    <row r="54" spans="2:5" x14ac:dyDescent="0.2">
      <c r="B54" s="42" t="s">
        <v>20</v>
      </c>
      <c r="C54" s="43"/>
      <c r="D54" s="43"/>
      <c r="E54" s="44"/>
    </row>
    <row r="55" spans="2:5" ht="7.5" customHeight="1" x14ac:dyDescent="0.2">
      <c r="B55" s="45"/>
      <c r="C55" s="46"/>
      <c r="D55" s="46"/>
      <c r="E55" s="47"/>
    </row>
    <row r="56" spans="2:5" x14ac:dyDescent="0.2">
      <c r="B56" s="48" t="s">
        <v>15</v>
      </c>
      <c r="C56" s="46"/>
      <c r="D56" s="46"/>
      <c r="E56" s="47"/>
    </row>
    <row r="57" spans="2:5" ht="39" customHeight="1" x14ac:dyDescent="0.2">
      <c r="B57" s="48"/>
      <c r="C57" s="100" t="s">
        <v>103</v>
      </c>
      <c r="D57" s="100"/>
      <c r="E57" s="100"/>
    </row>
    <row r="58" spans="2:5" x14ac:dyDescent="0.2">
      <c r="B58" s="48" t="s">
        <v>16</v>
      </c>
      <c r="C58" s="46"/>
      <c r="D58" s="46"/>
      <c r="E58" s="47"/>
    </row>
    <row r="59" spans="2:5" x14ac:dyDescent="0.2">
      <c r="B59" s="49"/>
      <c r="C59" s="102"/>
      <c r="D59" s="102"/>
      <c r="E59" s="102"/>
    </row>
    <row r="60" spans="2:5" x14ac:dyDescent="0.2">
      <c r="B60" s="49"/>
      <c r="C60" s="99" t="s">
        <v>108</v>
      </c>
      <c r="D60" s="99"/>
      <c r="E60" s="99"/>
    </row>
    <row r="61" spans="2:5" x14ac:dyDescent="0.2">
      <c r="B61" s="48" t="s">
        <v>17</v>
      </c>
      <c r="C61" s="46"/>
      <c r="D61" s="46"/>
      <c r="E61" s="47"/>
    </row>
    <row r="62" spans="2:5" x14ac:dyDescent="0.2">
      <c r="B62" s="49"/>
      <c r="C62" s="100"/>
      <c r="D62" s="100"/>
      <c r="E62" s="100"/>
    </row>
    <row r="63" spans="2:5" x14ac:dyDescent="0.2">
      <c r="B63" s="48" t="s">
        <v>18</v>
      </c>
      <c r="C63" s="50"/>
      <c r="D63" s="50"/>
      <c r="E63" s="51"/>
    </row>
    <row r="64" spans="2:5" ht="23.25" customHeight="1" x14ac:dyDescent="0.2">
      <c r="B64" s="49"/>
      <c r="C64" s="101" t="s">
        <v>62</v>
      </c>
      <c r="D64" s="101"/>
      <c r="E64" s="101"/>
    </row>
    <row r="65" spans="2:5" x14ac:dyDescent="0.2">
      <c r="B65" s="48" t="s">
        <v>19</v>
      </c>
      <c r="C65" s="46"/>
      <c r="D65" s="46"/>
      <c r="E65" s="47"/>
    </row>
    <row r="66" spans="2:5" x14ac:dyDescent="0.2">
      <c r="B66" s="48"/>
      <c r="C66" s="102"/>
      <c r="D66" s="102"/>
      <c r="E66" s="102"/>
    </row>
    <row r="67" spans="2:5" x14ac:dyDescent="0.2">
      <c r="B67" s="52"/>
      <c r="C67" s="53"/>
      <c r="D67" s="53"/>
      <c r="E67" s="54"/>
    </row>
    <row r="69" spans="2:5" ht="13.5" thickBot="1" x14ac:dyDescent="0.25"/>
    <row r="70" spans="2:5" x14ac:dyDescent="0.2">
      <c r="B70" s="42" t="s">
        <v>97</v>
      </c>
      <c r="C70" s="43"/>
      <c r="D70" s="43"/>
      <c r="E70" s="44"/>
    </row>
    <row r="71" spans="2:5" ht="7.5" customHeight="1" x14ac:dyDescent="0.2">
      <c r="B71" s="45"/>
      <c r="C71" s="46"/>
      <c r="D71" s="46"/>
      <c r="E71" s="47"/>
    </row>
    <row r="72" spans="2:5" x14ac:dyDescent="0.2">
      <c r="B72" s="48" t="s">
        <v>15</v>
      </c>
      <c r="C72" s="46"/>
      <c r="D72" s="46"/>
      <c r="E72" s="47"/>
    </row>
    <row r="73" spans="2:5" ht="39" customHeight="1" x14ac:dyDescent="0.2">
      <c r="B73" s="48"/>
      <c r="C73" s="100" t="s">
        <v>104</v>
      </c>
      <c r="D73" s="100"/>
      <c r="E73" s="100"/>
    </row>
    <row r="74" spans="2:5" x14ac:dyDescent="0.2">
      <c r="B74" s="48" t="s">
        <v>16</v>
      </c>
      <c r="C74" s="46"/>
      <c r="D74" s="46"/>
      <c r="E74" s="47"/>
    </row>
    <row r="75" spans="2:5" x14ac:dyDescent="0.2">
      <c r="B75" s="49"/>
      <c r="C75" s="102"/>
      <c r="D75" s="102"/>
      <c r="E75" s="102"/>
    </row>
    <row r="76" spans="2:5" x14ac:dyDescent="0.2">
      <c r="B76" s="49"/>
      <c r="C76" s="99" t="s">
        <v>108</v>
      </c>
      <c r="D76" s="99"/>
      <c r="E76" s="99"/>
    </row>
    <row r="77" spans="2:5" x14ac:dyDescent="0.2">
      <c r="B77" s="48" t="s">
        <v>17</v>
      </c>
      <c r="C77" s="46"/>
      <c r="D77" s="46"/>
      <c r="E77" s="47"/>
    </row>
    <row r="78" spans="2:5" x14ac:dyDescent="0.2">
      <c r="B78" s="49"/>
      <c r="C78" s="100"/>
      <c r="D78" s="100"/>
      <c r="E78" s="100"/>
    </row>
    <row r="79" spans="2:5" x14ac:dyDescent="0.2">
      <c r="B79" s="48" t="s">
        <v>18</v>
      </c>
      <c r="C79" s="50"/>
      <c r="D79" s="50"/>
      <c r="E79" s="51"/>
    </row>
    <row r="80" spans="2:5" ht="19.5" customHeight="1" x14ac:dyDescent="0.2">
      <c r="B80" s="49"/>
      <c r="C80" s="101" t="s">
        <v>62</v>
      </c>
      <c r="D80" s="101"/>
      <c r="E80" s="101"/>
    </row>
    <row r="81" spans="2:5" x14ac:dyDescent="0.2">
      <c r="B81" s="48" t="s">
        <v>19</v>
      </c>
      <c r="C81" s="46"/>
      <c r="D81" s="46"/>
      <c r="E81" s="47"/>
    </row>
    <row r="82" spans="2:5" x14ac:dyDescent="0.2">
      <c r="B82" s="48"/>
      <c r="C82" s="102"/>
      <c r="D82" s="102"/>
      <c r="E82" s="102"/>
    </row>
    <row r="83" spans="2:5" ht="13.5" thickBot="1" x14ac:dyDescent="0.25">
      <c r="B83" s="52"/>
      <c r="C83" s="53"/>
      <c r="D83" s="53"/>
      <c r="E83" s="54"/>
    </row>
    <row r="85" spans="2:5" ht="13.5" thickBot="1" x14ac:dyDescent="0.25"/>
    <row r="86" spans="2:5" x14ac:dyDescent="0.2">
      <c r="B86" s="42" t="s">
        <v>98</v>
      </c>
      <c r="C86" s="43"/>
      <c r="D86" s="43"/>
      <c r="E86" s="44"/>
    </row>
    <row r="87" spans="2:5" ht="7.5" customHeight="1" x14ac:dyDescent="0.2">
      <c r="B87" s="45"/>
      <c r="C87" s="46"/>
      <c r="D87" s="46"/>
      <c r="E87" s="47"/>
    </row>
    <row r="88" spans="2:5" x14ac:dyDescent="0.2">
      <c r="B88" s="48" t="s">
        <v>15</v>
      </c>
      <c r="C88" s="46"/>
      <c r="D88" s="46"/>
      <c r="E88" s="47"/>
    </row>
    <row r="89" spans="2:5" ht="39" customHeight="1" x14ac:dyDescent="0.2">
      <c r="B89" s="48"/>
      <c r="C89" s="100" t="s">
        <v>105</v>
      </c>
      <c r="D89" s="100"/>
      <c r="E89" s="100"/>
    </row>
    <row r="90" spans="2:5" x14ac:dyDescent="0.2">
      <c r="B90" s="48" t="s">
        <v>16</v>
      </c>
      <c r="C90" s="46"/>
      <c r="D90" s="46"/>
      <c r="E90" s="47"/>
    </row>
    <row r="91" spans="2:5" x14ac:dyDescent="0.2">
      <c r="B91" s="49"/>
      <c r="C91" s="102"/>
      <c r="D91" s="102"/>
      <c r="E91" s="102"/>
    </row>
    <row r="92" spans="2:5" x14ac:dyDescent="0.2">
      <c r="B92" s="49"/>
      <c r="C92" s="99" t="s">
        <v>108</v>
      </c>
      <c r="D92" s="99"/>
      <c r="E92" s="99"/>
    </row>
    <row r="93" spans="2:5" x14ac:dyDescent="0.2">
      <c r="B93" s="48" t="s">
        <v>17</v>
      </c>
      <c r="C93" s="46"/>
      <c r="D93" s="46"/>
      <c r="E93" s="47"/>
    </row>
    <row r="94" spans="2:5" x14ac:dyDescent="0.2">
      <c r="B94" s="49"/>
      <c r="C94" s="100"/>
      <c r="D94" s="100"/>
      <c r="E94" s="100"/>
    </row>
    <row r="95" spans="2:5" x14ac:dyDescent="0.2">
      <c r="B95" s="48" t="s">
        <v>18</v>
      </c>
      <c r="C95" s="50"/>
      <c r="D95" s="50"/>
      <c r="E95" s="51"/>
    </row>
    <row r="96" spans="2:5" ht="19.5" customHeight="1" x14ac:dyDescent="0.2">
      <c r="B96" s="49"/>
      <c r="C96" s="101" t="s">
        <v>62</v>
      </c>
      <c r="D96" s="101"/>
      <c r="E96" s="101"/>
    </row>
    <row r="97" spans="2:5" x14ac:dyDescent="0.2">
      <c r="B97" s="48" t="s">
        <v>19</v>
      </c>
      <c r="C97" s="46"/>
      <c r="D97" s="46"/>
      <c r="E97" s="47"/>
    </row>
    <row r="98" spans="2:5" x14ac:dyDescent="0.2">
      <c r="B98" s="48"/>
      <c r="C98" s="102"/>
      <c r="D98" s="102"/>
      <c r="E98" s="102"/>
    </row>
    <row r="99" spans="2:5" ht="13.5" thickBot="1" x14ac:dyDescent="0.25">
      <c r="B99" s="52"/>
      <c r="C99" s="53"/>
      <c r="D99" s="53"/>
      <c r="E99" s="54"/>
    </row>
  </sheetData>
  <sortState xmlns:xlrd2="http://schemas.microsoft.com/office/spreadsheetml/2017/richdata2" ref="B10:I31">
    <sortCondition ref="E10:E31"/>
  </sortState>
  <mergeCells count="32">
    <mergeCell ref="C96:E96"/>
    <mergeCell ref="C98:E98"/>
    <mergeCell ref="C82:E82"/>
    <mergeCell ref="C89:E89"/>
    <mergeCell ref="C91:E91"/>
    <mergeCell ref="C92:E92"/>
    <mergeCell ref="C94:E94"/>
    <mergeCell ref="C73:E73"/>
    <mergeCell ref="C75:E75"/>
    <mergeCell ref="C76:E76"/>
    <mergeCell ref="C78:E78"/>
    <mergeCell ref="C80:E80"/>
    <mergeCell ref="B2:H2"/>
    <mergeCell ref="A4:B4"/>
    <mergeCell ref="C4:E4"/>
    <mergeCell ref="A5:B5"/>
    <mergeCell ref="C5:E5"/>
    <mergeCell ref="A6:B6"/>
    <mergeCell ref="A7:B7"/>
    <mergeCell ref="C42:E42"/>
    <mergeCell ref="C44:E44"/>
    <mergeCell ref="C45:E45"/>
    <mergeCell ref="B34:E34"/>
    <mergeCell ref="C60:E60"/>
    <mergeCell ref="C62:E62"/>
    <mergeCell ref="C64:E64"/>
    <mergeCell ref="C66:E66"/>
    <mergeCell ref="C47:E47"/>
    <mergeCell ref="C49:E49"/>
    <mergeCell ref="C51:E51"/>
    <mergeCell ref="C57:E57"/>
    <mergeCell ref="C59:E59"/>
  </mergeCells>
  <conditionalFormatting sqref="E19:E22">
    <cfRule type="cellIs" dxfId="20" priority="18" operator="equal">
      <formula>"duplicado"</formula>
    </cfRule>
  </conditionalFormatting>
  <conditionalFormatting sqref="E19:E22">
    <cfRule type="duplicateValues" dxfId="19" priority="15"/>
    <cfRule type="duplicateValues" dxfId="18" priority="16"/>
    <cfRule type="cellIs" dxfId="17" priority="17" operator="equal">
      <formula>"calibra"</formula>
    </cfRule>
  </conditionalFormatting>
  <conditionalFormatting sqref="E19:E22">
    <cfRule type="duplicateValues" dxfId="16" priority="19"/>
    <cfRule type="duplicateValues" dxfId="15" priority="20"/>
    <cfRule type="cellIs" dxfId="14" priority="21" operator="equal">
      <formula>"calibra"</formula>
    </cfRule>
  </conditionalFormatting>
  <conditionalFormatting sqref="E23:E29">
    <cfRule type="cellIs" dxfId="13" priority="8" operator="equal">
      <formula>"duplicado"</formula>
    </cfRule>
  </conditionalFormatting>
  <conditionalFormatting sqref="E23:E29">
    <cfRule type="duplicateValues" dxfId="12" priority="9"/>
    <cfRule type="duplicateValues" dxfId="11" priority="10"/>
    <cfRule type="cellIs" dxfId="10" priority="11" operator="equal">
      <formula>"calibra"</formula>
    </cfRule>
  </conditionalFormatting>
  <conditionalFormatting sqref="E23:E29">
    <cfRule type="duplicateValues" dxfId="9" priority="12"/>
    <cfRule type="duplicateValues" dxfId="8" priority="13"/>
    <cfRule type="cellIs" dxfId="7" priority="14" operator="equal">
      <formula>"calibra"</formula>
    </cfRule>
  </conditionalFormatting>
  <conditionalFormatting sqref="E30:E31">
    <cfRule type="cellIs" dxfId="6" priority="4" operator="equal">
      <formula>"duplicado"</formula>
    </cfRule>
  </conditionalFormatting>
  <conditionalFormatting sqref="E30:E31">
    <cfRule type="duplicateValues" dxfId="5" priority="1"/>
    <cfRule type="duplicateValues" dxfId="4" priority="2"/>
    <cfRule type="cellIs" dxfId="3" priority="3" operator="equal">
      <formula>"calibra"</formula>
    </cfRule>
  </conditionalFormatting>
  <conditionalFormatting sqref="E30:E31">
    <cfRule type="duplicateValues" dxfId="2" priority="5"/>
    <cfRule type="duplicateValues" dxfId="1" priority="6"/>
    <cfRule type="cellIs" dxfId="0" priority="7" operator="equal">
      <formula>"calibra"</formula>
    </cfRule>
  </conditionalFormatting>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34"/>
  <sheetViews>
    <sheetView topLeftCell="A16" zoomScale="70" zoomScaleNormal="70" workbookViewId="0">
      <selection activeCell="Q35" sqref="Q35"/>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8" t="s">
        <v>21</v>
      </c>
      <c r="B1" s="118"/>
      <c r="C1" s="118"/>
      <c r="D1" s="118"/>
      <c r="E1" s="118"/>
      <c r="F1" s="118"/>
      <c r="G1" s="118"/>
      <c r="H1" s="118"/>
      <c r="I1" s="118"/>
      <c r="J1" s="3" t="s">
        <v>22</v>
      </c>
      <c r="K1" s="62" t="s">
        <v>106</v>
      </c>
    </row>
    <row r="2" spans="1:11" ht="18.75" customHeight="1" thickBot="1" x14ac:dyDescent="0.25">
      <c r="A2" s="4"/>
      <c r="B2" s="4"/>
      <c r="C2" s="4"/>
      <c r="D2" s="5"/>
      <c r="E2" s="5"/>
      <c r="F2" s="5"/>
      <c r="G2" s="5"/>
      <c r="H2" s="5"/>
      <c r="I2" s="5"/>
      <c r="J2" s="5"/>
      <c r="K2" s="5"/>
    </row>
    <row r="3" spans="1:11" ht="18.75" customHeight="1" thickBot="1" x14ac:dyDescent="0.25">
      <c r="A3" s="119" t="s">
        <v>55</v>
      </c>
      <c r="B3" s="119"/>
      <c r="C3" s="119"/>
      <c r="D3" s="120" t="str">
        <f>'Necesidades Trimestrales'!C4</f>
        <v>40 - Ministerio de Salud</v>
      </c>
      <c r="E3" s="120"/>
      <c r="F3" s="120"/>
      <c r="G3" s="120"/>
      <c r="H3" s="120"/>
      <c r="I3" s="120"/>
      <c r="J3" s="120"/>
      <c r="K3" s="120"/>
    </row>
    <row r="4" spans="1:11" ht="18.75" customHeight="1" thickBot="1" x14ac:dyDescent="0.25">
      <c r="A4" s="121" t="s">
        <v>56</v>
      </c>
      <c r="B4" s="121"/>
      <c r="C4" s="121"/>
      <c r="D4" s="120" t="str">
        <f>'Necesidades Trimestrales'!C5</f>
        <v>23 - Hospital Interzonal San Juan Bautista</v>
      </c>
      <c r="E4" s="120"/>
      <c r="F4" s="120"/>
      <c r="G4" s="120"/>
      <c r="H4" s="120"/>
      <c r="I4" s="120"/>
      <c r="J4" s="120"/>
      <c r="K4" s="120"/>
    </row>
    <row r="5" spans="1:11" ht="18.75" customHeight="1" thickBot="1" x14ac:dyDescent="0.25">
      <c r="A5" s="121" t="s">
        <v>34</v>
      </c>
      <c r="B5" s="121"/>
      <c r="C5" s="121"/>
      <c r="D5" s="120" t="s">
        <v>61</v>
      </c>
      <c r="E5" s="120"/>
      <c r="F5" s="120"/>
      <c r="G5" s="120"/>
      <c r="H5" s="120"/>
      <c r="I5" s="120"/>
      <c r="J5" s="120"/>
      <c r="K5" s="120"/>
    </row>
    <row r="6" spans="1:11" ht="16.5" customHeight="1" thickBot="1" x14ac:dyDescent="0.25">
      <c r="A6" s="119" t="s">
        <v>57</v>
      </c>
      <c r="B6" s="119"/>
      <c r="C6" s="119"/>
      <c r="D6" s="120" t="s">
        <v>100</v>
      </c>
      <c r="E6" s="120"/>
      <c r="F6" s="120"/>
      <c r="G6" s="120"/>
      <c r="H6" s="120"/>
      <c r="I6" s="120"/>
      <c r="J6" s="120"/>
      <c r="K6" s="120"/>
    </row>
    <row r="7" spans="1:11" ht="16.5" customHeight="1" x14ac:dyDescent="0.2">
      <c r="A7" s="121" t="s">
        <v>23</v>
      </c>
      <c r="B7" s="121"/>
      <c r="C7" s="121"/>
      <c r="D7" s="120" t="str">
        <f>'Necesidades Trimestrales'!C7 &amp; "° Trimestre - Año " &amp; 'Necesidades Trimestrales'!C6</f>
        <v>2° Trimestre - Año 2021</v>
      </c>
      <c r="E7" s="120"/>
      <c r="F7" s="120"/>
      <c r="G7" s="120"/>
      <c r="H7" s="120"/>
      <c r="I7" s="120"/>
      <c r="J7" s="120"/>
      <c r="K7" s="120"/>
    </row>
    <row r="8" spans="1:11" ht="16.5" customHeight="1" x14ac:dyDescent="0.2">
      <c r="A8" s="113" t="s">
        <v>24</v>
      </c>
      <c r="B8" s="113"/>
      <c r="C8" s="113"/>
      <c r="D8" s="114" t="s">
        <v>99</v>
      </c>
      <c r="E8" s="114"/>
      <c r="F8" s="114"/>
      <c r="G8" s="114"/>
      <c r="H8" s="114"/>
      <c r="I8" s="114"/>
      <c r="J8" s="114"/>
      <c r="K8" s="114"/>
    </row>
    <row r="9" spans="1:11" ht="15.75" x14ac:dyDescent="0.2">
      <c r="A9" s="6"/>
      <c r="B9" s="6"/>
      <c r="C9" s="6"/>
      <c r="D9" s="7"/>
      <c r="E9" s="7"/>
      <c r="F9" s="7"/>
      <c r="G9" s="7"/>
      <c r="H9" s="7"/>
      <c r="I9" s="7"/>
      <c r="J9" s="7"/>
      <c r="K9" s="7"/>
    </row>
    <row r="10" spans="1:11" ht="18.75" customHeight="1" x14ac:dyDescent="0.2">
      <c r="A10" s="115" t="s">
        <v>25</v>
      </c>
      <c r="B10" s="116" t="s">
        <v>26</v>
      </c>
      <c r="C10" s="116" t="s">
        <v>27</v>
      </c>
      <c r="D10" s="116"/>
      <c r="E10" s="116"/>
      <c r="F10" s="116"/>
      <c r="G10" s="116"/>
      <c r="H10" s="116" t="s">
        <v>28</v>
      </c>
      <c r="I10" s="116" t="s">
        <v>29</v>
      </c>
      <c r="J10" s="116" t="s">
        <v>30</v>
      </c>
      <c r="K10" s="117" t="s">
        <v>31</v>
      </c>
    </row>
    <row r="11" spans="1:11" ht="24" customHeight="1" thickBot="1" x14ac:dyDescent="0.25">
      <c r="A11" s="115"/>
      <c r="B11" s="116"/>
      <c r="C11" s="116"/>
      <c r="D11" s="116"/>
      <c r="E11" s="116"/>
      <c r="F11" s="116"/>
      <c r="G11" s="116"/>
      <c r="H11" s="116"/>
      <c r="I11" s="116"/>
      <c r="J11" s="116"/>
      <c r="K11" s="117"/>
    </row>
    <row r="12" spans="1:11" ht="20.25" customHeight="1" thickBot="1" x14ac:dyDescent="0.25">
      <c r="A12" s="8">
        <v>1</v>
      </c>
      <c r="B12" s="63">
        <f>'Necesidades Trimestrales'!B10</f>
        <v>0</v>
      </c>
      <c r="C12" s="110" t="str">
        <f>'Necesidades Trimestrales'!E10</f>
        <v xml:space="preserve">AGUJAS DESCARTABLES - 16X5 (25G 5/8")  TERUMO - CAJA X 100 UNIDADES </v>
      </c>
      <c r="D12" s="110"/>
      <c r="E12" s="110"/>
      <c r="F12" s="110"/>
      <c r="G12" s="110"/>
      <c r="H12" s="64" t="s">
        <v>58</v>
      </c>
      <c r="I12" s="65" t="str">
        <f>'Necesidades Trimestrales'!F10</f>
        <v>Unidad</v>
      </c>
      <c r="J12" s="66">
        <f>'Necesidades Trimestrales'!H10</f>
        <v>1485</v>
      </c>
      <c r="K12" s="67">
        <f>'Necesidades Trimestrales'!G10</f>
        <v>20</v>
      </c>
    </row>
    <row r="13" spans="1:11" ht="20.25" customHeight="1" thickBot="1" x14ac:dyDescent="0.25">
      <c r="A13" s="8">
        <v>2</v>
      </c>
      <c r="B13" s="63">
        <f>'Necesidades Trimestrales'!B11</f>
        <v>0</v>
      </c>
      <c r="C13" s="110" t="str">
        <f>'Necesidades Trimestrales'!E11</f>
        <v xml:space="preserve">AGUJAS DESCARTABLES - 25X8 (21GX1) TERUMO - CAJA X 100 UNIDADES </v>
      </c>
      <c r="D13" s="110"/>
      <c r="E13" s="110"/>
      <c r="F13" s="110"/>
      <c r="G13" s="110"/>
      <c r="H13" s="64" t="s">
        <v>58</v>
      </c>
      <c r="I13" s="65" t="str">
        <f>'Necesidades Trimestrales'!F11</f>
        <v>Unidad</v>
      </c>
      <c r="J13" s="66">
        <f>'Necesidades Trimestrales'!H11</f>
        <v>1437</v>
      </c>
      <c r="K13" s="67">
        <f>'Necesidades Trimestrales'!G11</f>
        <v>100</v>
      </c>
    </row>
    <row r="14" spans="1:11" ht="20.25" customHeight="1" thickBot="1" x14ac:dyDescent="0.25">
      <c r="A14" s="8">
        <v>3</v>
      </c>
      <c r="B14" s="63">
        <f>'Necesidades Trimestrales'!B12</f>
        <v>0</v>
      </c>
      <c r="C14" s="110" t="str">
        <f>'Necesidades Trimestrales'!E12</f>
        <v>CONTENEDOR DE RESIDUOS PARA COBAS B221 CAJA X 2 UNIDADES</v>
      </c>
      <c r="D14" s="110"/>
      <c r="E14" s="110"/>
      <c r="F14" s="110"/>
      <c r="G14" s="110"/>
      <c r="H14" s="64" t="s">
        <v>58</v>
      </c>
      <c r="I14" s="65" t="str">
        <f>'Necesidades Trimestrales'!F12</f>
        <v>Unidad</v>
      </c>
      <c r="J14" s="66">
        <f>'Necesidades Trimestrales'!H12</f>
        <v>5139</v>
      </c>
      <c r="K14" s="67">
        <f>'Necesidades Trimestrales'!G12</f>
        <v>3</v>
      </c>
    </row>
    <row r="15" spans="1:11" ht="20.25" customHeight="1" thickBot="1" x14ac:dyDescent="0.25">
      <c r="A15" s="8">
        <v>4</v>
      </c>
      <c r="B15" s="63">
        <f>'Necesidades Trimestrales'!B13</f>
        <v>0</v>
      </c>
      <c r="C15" s="110" t="str">
        <f>'Necesidades Trimestrales'!E13</f>
        <v xml:space="preserve">CUCHILLAS DESCARTABLES LOW PROFILE TIPO LEICA </v>
      </c>
      <c r="D15" s="110"/>
      <c r="E15" s="110"/>
      <c r="F15" s="110"/>
      <c r="G15" s="110"/>
      <c r="H15" s="64" t="s">
        <v>58</v>
      </c>
      <c r="I15" s="65" t="str">
        <f>'Necesidades Trimestrales'!F13</f>
        <v>UNIDAD</v>
      </c>
      <c r="J15" s="66">
        <f>'Necesidades Trimestrales'!H13</f>
        <v>495.6</v>
      </c>
      <c r="K15" s="67">
        <f>'Necesidades Trimestrales'!G13</f>
        <v>100</v>
      </c>
    </row>
    <row r="16" spans="1:11" ht="20.25" customHeight="1" thickBot="1" x14ac:dyDescent="0.25">
      <c r="A16" s="8">
        <v>5</v>
      </c>
      <c r="B16" s="63">
        <f>'Necesidades Trimestrales'!B14</f>
        <v>0</v>
      </c>
      <c r="C16" s="110" t="str">
        <f>'Necesidades Trimestrales'!E14</f>
        <v>ERLENMEYER; TIPO: RESISTENTE AL CALOR, CAPACIDAD: 250 mL, GRADUADO: SI, GRADUACION: SI</v>
      </c>
      <c r="D16" s="110"/>
      <c r="E16" s="110"/>
      <c r="F16" s="110"/>
      <c r="G16" s="110"/>
      <c r="H16" s="64" t="s">
        <v>58</v>
      </c>
      <c r="I16" s="65" t="str">
        <f>'Necesidades Trimestrales'!F14</f>
        <v>Unidad</v>
      </c>
      <c r="J16" s="66">
        <f>'Necesidades Trimestrales'!H14</f>
        <v>500</v>
      </c>
      <c r="K16" s="67">
        <f>'Necesidades Trimestrales'!G14</f>
        <v>5</v>
      </c>
    </row>
    <row r="17" spans="1:11" ht="20.25" customHeight="1" thickBot="1" x14ac:dyDescent="0.25">
      <c r="A17" s="8">
        <v>6</v>
      </c>
      <c r="B17" s="63">
        <f>'Necesidades Trimestrales'!B15</f>
        <v>0</v>
      </c>
      <c r="C17" s="110" t="str">
        <f>'Necesidades Trimestrales'!E15</f>
        <v>ERLENMEYER; TIPO: RESISTENTE AL CALOR, CAPACIDAD: 500 mL, GRADUADO: SI, GRADUACION: SI</v>
      </c>
      <c r="D17" s="110"/>
      <c r="E17" s="110"/>
      <c r="F17" s="110"/>
      <c r="G17" s="110"/>
      <c r="H17" s="64" t="s">
        <v>58</v>
      </c>
      <c r="I17" s="65" t="str">
        <f>'Necesidades Trimestrales'!F15</f>
        <v>Unidad</v>
      </c>
      <c r="J17" s="66">
        <f>'Necesidades Trimestrales'!H15</f>
        <v>700</v>
      </c>
      <c r="K17" s="67">
        <f>'Necesidades Trimestrales'!G15</f>
        <v>5</v>
      </c>
    </row>
    <row r="18" spans="1:11" ht="20.25" customHeight="1" thickBot="1" x14ac:dyDescent="0.25">
      <c r="A18" s="8">
        <v>7</v>
      </c>
      <c r="B18" s="63">
        <f>'Necesidades Trimestrales'!B16</f>
        <v>0</v>
      </c>
      <c r="C18" s="110" t="str">
        <f>'Necesidades Trimestrales'!E16</f>
        <v>ETIQUETAS ROLLO TIPO ITECARP</v>
      </c>
      <c r="D18" s="110"/>
      <c r="E18" s="110"/>
      <c r="F18" s="110"/>
      <c r="G18" s="110"/>
      <c r="H18" s="64" t="s">
        <v>58</v>
      </c>
      <c r="I18" s="65" t="str">
        <f>'Necesidades Trimestrales'!F16</f>
        <v>ROLLO</v>
      </c>
      <c r="J18" s="66">
        <f>'Necesidades Trimestrales'!H16</f>
        <v>500</v>
      </c>
      <c r="K18" s="67">
        <f>'Necesidades Trimestrales'!G16</f>
        <v>30</v>
      </c>
    </row>
    <row r="19" spans="1:11" ht="20.25" customHeight="1" thickBot="1" x14ac:dyDescent="0.25">
      <c r="A19" s="8">
        <v>8</v>
      </c>
      <c r="B19" s="63">
        <f>'Necesidades Trimestrales'!B17</f>
        <v>0</v>
      </c>
      <c r="C19" s="110" t="str">
        <f>'Necesidades Trimestrales'!E17</f>
        <v>Frascos hemocultivo BD BACTEC  Plus/Aerobic/F culture vials x 30ml, presentación: Caja por 50 frascos</v>
      </c>
      <c r="D19" s="110"/>
      <c r="E19" s="110"/>
      <c r="F19" s="110"/>
      <c r="G19" s="110"/>
      <c r="H19" s="64" t="s">
        <v>58</v>
      </c>
      <c r="I19" s="65" t="str">
        <f>'Necesidades Trimestrales'!F17</f>
        <v>Caja</v>
      </c>
      <c r="J19" s="66">
        <f>'Necesidades Trimestrales'!H17</f>
        <v>55195</v>
      </c>
      <c r="K19" s="67">
        <f>'Necesidades Trimestrales'!G17</f>
        <v>8</v>
      </c>
    </row>
    <row r="20" spans="1:11" ht="20.25" customHeight="1" thickBot="1" x14ac:dyDescent="0.25">
      <c r="A20" s="8">
        <v>9</v>
      </c>
      <c r="B20" s="63">
        <f>'Necesidades Trimestrales'!B18</f>
        <v>0</v>
      </c>
      <c r="C20" s="110" t="str">
        <f>'Necesidades Trimestrales'!E18</f>
        <v>HISOPOS; MATERIAL DE EXTREMOS: ALGODON, PRESENTACION: CAJA X 100</v>
      </c>
      <c r="D20" s="110"/>
      <c r="E20" s="110"/>
      <c r="F20" s="110"/>
      <c r="G20" s="110"/>
      <c r="H20" s="64" t="s">
        <v>58</v>
      </c>
      <c r="I20" s="65" t="str">
        <f>'Necesidades Trimestrales'!F18</f>
        <v>Unidad</v>
      </c>
      <c r="J20" s="66">
        <f>'Necesidades Trimestrales'!H18</f>
        <v>151</v>
      </c>
      <c r="K20" s="67">
        <f>'Necesidades Trimestrales'!G18</f>
        <v>10</v>
      </c>
    </row>
    <row r="21" spans="1:11" ht="20.25" customHeight="1" thickBot="1" x14ac:dyDescent="0.25">
      <c r="A21" s="8">
        <v>10</v>
      </c>
      <c r="B21" s="63">
        <f>'Necesidades Trimestrales'!B19</f>
        <v>0</v>
      </c>
      <c r="C21" s="110" t="str">
        <f>'Necesidades Trimestrales'!E19</f>
        <v>HISOPOS; MATERIAL DE EXTREMOS: DACRON, PRESENTACION: UNIDAD</v>
      </c>
      <c r="D21" s="110"/>
      <c r="E21" s="110"/>
      <c r="F21" s="110"/>
      <c r="G21" s="110"/>
      <c r="H21" s="64" t="s">
        <v>58</v>
      </c>
      <c r="I21" s="65" t="str">
        <f>'Necesidades Trimestrales'!F19</f>
        <v>Unidad</v>
      </c>
      <c r="J21" s="66">
        <f>'Necesidades Trimestrales'!H19</f>
        <v>85</v>
      </c>
      <c r="K21" s="67">
        <f>'Necesidades Trimestrales'!G19</f>
        <v>200</v>
      </c>
    </row>
    <row r="22" spans="1:11" ht="20.25" customHeight="1" thickBot="1" x14ac:dyDescent="0.25">
      <c r="A22" s="8">
        <v>11</v>
      </c>
      <c r="B22" s="63">
        <f>'Necesidades Trimestrales'!B20</f>
        <v>0</v>
      </c>
      <c r="C22" s="110" t="str">
        <f>'Necesidades Trimestrales'!E20</f>
        <v>JERINGAS DESCARTABLES; CAPACIDAD: 10 ML, SIN AGUJA  USO: EXTRACCION</v>
      </c>
      <c r="D22" s="110"/>
      <c r="E22" s="110"/>
      <c r="F22" s="110"/>
      <c r="G22" s="110"/>
      <c r="H22" s="64" t="s">
        <v>58</v>
      </c>
      <c r="I22" s="65" t="str">
        <f>'Necesidades Trimestrales'!F20</f>
        <v>UNIDAD</v>
      </c>
      <c r="J22" s="66">
        <f>'Necesidades Trimestrales'!H20</f>
        <v>9.25</v>
      </c>
      <c r="K22" s="67">
        <f>'Necesidades Trimestrales'!G20</f>
        <v>12000</v>
      </c>
    </row>
    <row r="23" spans="1:11" ht="20.25" customHeight="1" thickBot="1" x14ac:dyDescent="0.25">
      <c r="A23" s="8">
        <v>12</v>
      </c>
      <c r="B23" s="63">
        <f>'Necesidades Trimestrales'!B21</f>
        <v>0</v>
      </c>
      <c r="C23" s="110" t="str">
        <f>'Necesidades Trimestrales'!E21</f>
        <v>JERINGAS DESCARTABLES; CAPACIDAD: 5 mL, SIN AGUJA, USO: EXTRACCION</v>
      </c>
      <c r="D23" s="110"/>
      <c r="E23" s="110"/>
      <c r="F23" s="110"/>
      <c r="G23" s="110"/>
      <c r="H23" s="64" t="s">
        <v>58</v>
      </c>
      <c r="I23" s="65" t="str">
        <f>'Necesidades Trimestrales'!F21</f>
        <v>UNIDAD</v>
      </c>
      <c r="J23" s="66">
        <f>'Necesidades Trimestrales'!H21</f>
        <v>6.1</v>
      </c>
      <c r="K23" s="67">
        <f>'Necesidades Trimestrales'!G21</f>
        <v>10000</v>
      </c>
    </row>
    <row r="24" spans="1:11" ht="20.25" customHeight="1" thickBot="1" x14ac:dyDescent="0.25">
      <c r="A24" s="8">
        <v>13</v>
      </c>
      <c r="B24" s="63">
        <f>'Necesidades Trimestrales'!B22</f>
        <v>0</v>
      </c>
      <c r="C24" s="110" t="str">
        <f>'Necesidades Trimestrales'!E22</f>
        <v>MICROTUBO EPPENDORF AUTOCLAVE - 1.5 ML TIPO DELTALAB - BOLSA X 1000 UNIDADES</v>
      </c>
      <c r="D24" s="110"/>
      <c r="E24" s="110"/>
      <c r="F24" s="110"/>
      <c r="G24" s="110"/>
      <c r="H24" s="64" t="s">
        <v>58</v>
      </c>
      <c r="I24" s="65" t="str">
        <f>'Necesidades Trimestrales'!F22</f>
        <v>Unidad</v>
      </c>
      <c r="J24" s="66">
        <f>'Necesidades Trimestrales'!H22</f>
        <v>3549</v>
      </c>
      <c r="K24" s="67">
        <f>'Necesidades Trimestrales'!G22</f>
        <v>12</v>
      </c>
    </row>
    <row r="25" spans="1:11" ht="20.25" customHeight="1" thickBot="1" x14ac:dyDescent="0.25">
      <c r="A25" s="8">
        <v>14</v>
      </c>
      <c r="B25" s="63">
        <f>'Necesidades Trimestrales'!B23</f>
        <v>0</v>
      </c>
      <c r="C25" s="110" t="str">
        <f>'Necesidades Trimestrales'!E23</f>
        <v>PIPETAS DE VIDRIO; USO: LABORATORIO, TIPO: GRADUADA DE 25 ML mL</v>
      </c>
      <c r="D25" s="110"/>
      <c r="E25" s="110"/>
      <c r="F25" s="110"/>
      <c r="G25" s="110"/>
      <c r="H25" s="64" t="s">
        <v>58</v>
      </c>
      <c r="I25" s="65" t="str">
        <f>'Necesidades Trimestrales'!F23</f>
        <v>Unidad</v>
      </c>
      <c r="J25" s="66">
        <f>'Necesidades Trimestrales'!H23</f>
        <v>471</v>
      </c>
      <c r="K25" s="67">
        <f>'Necesidades Trimestrales'!G23</f>
        <v>10</v>
      </c>
    </row>
    <row r="26" spans="1:11" ht="34.5" customHeight="1" thickBot="1" x14ac:dyDescent="0.25">
      <c r="A26" s="8">
        <v>15</v>
      </c>
      <c r="B26" s="63">
        <f>'Necesidades Trimestrales'!B24</f>
        <v>0</v>
      </c>
      <c r="C26" s="110" t="str">
        <f>'Necesidades Trimestrales'!E24</f>
        <v xml:space="preserve">PLACAS DE PETRI; MATERIAL: PLASTICO ESTERIL, DIAMETRO: 90 mm, ALTURA: 14 mm - BOLSA X 20 UNIDADES </v>
      </c>
      <c r="D26" s="110"/>
      <c r="E26" s="110"/>
      <c r="F26" s="110"/>
      <c r="G26" s="110"/>
      <c r="H26" s="64" t="s">
        <v>58</v>
      </c>
      <c r="I26" s="65" t="str">
        <f>'Necesidades Trimestrales'!F24</f>
        <v>UNIDAD</v>
      </c>
      <c r="J26" s="66">
        <f>'Necesidades Trimestrales'!H24</f>
        <v>672</v>
      </c>
      <c r="K26" s="67">
        <f>'Necesidades Trimestrales'!G24</f>
        <v>120</v>
      </c>
    </row>
    <row r="27" spans="1:11" ht="20.25" customHeight="1" thickBot="1" x14ac:dyDescent="0.25">
      <c r="A27" s="8">
        <v>16</v>
      </c>
      <c r="B27" s="63">
        <f>'Necesidades Trimestrales'!B25</f>
        <v>0</v>
      </c>
      <c r="C27" s="110" t="str">
        <f>'Necesidades Trimestrales'!E25</f>
        <v>PROBETAS; MATERIAL: VIDRIO, CAPACIDAD: 100 mL, GRADUACION: 1 mL, TAPA: SIN, BASE: PLASTICA</v>
      </c>
      <c r="D27" s="110"/>
      <c r="E27" s="110"/>
      <c r="F27" s="110"/>
      <c r="G27" s="110"/>
      <c r="H27" s="64" t="s">
        <v>58</v>
      </c>
      <c r="I27" s="65" t="str">
        <f>'Necesidades Trimestrales'!F25</f>
        <v>Unidad</v>
      </c>
      <c r="J27" s="66">
        <f>'Necesidades Trimestrales'!H25</f>
        <v>3174</v>
      </c>
      <c r="K27" s="67">
        <f>'Necesidades Trimestrales'!G25</f>
        <v>3</v>
      </c>
    </row>
    <row r="28" spans="1:11" ht="32.25" customHeight="1" thickBot="1" x14ac:dyDescent="0.25">
      <c r="A28" s="8">
        <v>17</v>
      </c>
      <c r="B28" s="63">
        <f>'Necesidades Trimestrales'!B26</f>
        <v>0</v>
      </c>
      <c r="C28" s="110" t="str">
        <f>'Necesidades Trimestrales'!E26</f>
        <v xml:space="preserve">TIP AMARILLO 5-200 UL - CON CORONA CHICA - TIPO DELTALAB - PRESENTACION: BOLSA X 1000 UNIDADES </v>
      </c>
      <c r="D28" s="110"/>
      <c r="E28" s="110"/>
      <c r="F28" s="110"/>
      <c r="G28" s="110"/>
      <c r="H28" s="64" t="s">
        <v>58</v>
      </c>
      <c r="I28" s="65" t="str">
        <f>'Necesidades Trimestrales'!F26</f>
        <v>UNIDAD</v>
      </c>
      <c r="J28" s="66">
        <f>'Necesidades Trimestrales'!H26</f>
        <v>1.51</v>
      </c>
      <c r="K28" s="67">
        <f>'Necesidades Trimestrales'!G26</f>
        <v>12000</v>
      </c>
    </row>
    <row r="29" spans="1:11" ht="33" customHeight="1" thickBot="1" x14ac:dyDescent="0.25">
      <c r="A29" s="8">
        <v>18</v>
      </c>
      <c r="B29" s="63">
        <f>'Necesidades Trimestrales'!B27</f>
        <v>0</v>
      </c>
      <c r="C29" s="110" t="str">
        <f>'Necesidades Trimestrales'!E27</f>
        <v xml:space="preserve">TIP AZUL 100-1000 UL PP AUTOCLAVE - CON CORONA - TIPO DELTALAB - PRESENTACIÓN: BOLSA X 1000 UNIDADES </v>
      </c>
      <c r="D29" s="110"/>
      <c r="E29" s="110"/>
      <c r="F29" s="110"/>
      <c r="G29" s="110"/>
      <c r="H29" s="64" t="s">
        <v>58</v>
      </c>
      <c r="I29" s="65" t="str">
        <f>'Necesidades Trimestrales'!F27</f>
        <v>UNIDAD</v>
      </c>
      <c r="J29" s="66">
        <f>'Necesidades Trimestrales'!H27</f>
        <v>2.1</v>
      </c>
      <c r="K29" s="67">
        <f>'Necesidades Trimestrales'!G27</f>
        <v>6000</v>
      </c>
    </row>
    <row r="30" spans="1:11" ht="20.25" customHeight="1" thickBot="1" x14ac:dyDescent="0.25">
      <c r="A30" s="8">
        <v>19</v>
      </c>
      <c r="B30" s="63">
        <f>'Necesidades Trimestrales'!B28</f>
        <v>0</v>
      </c>
      <c r="C30" s="110" t="str">
        <f>'Necesidades Trimestrales'!E28</f>
        <v>TUBO CITRATO SODIO 3,2% 2,7ML (CELESTE)</v>
      </c>
      <c r="D30" s="110"/>
      <c r="E30" s="110"/>
      <c r="F30" s="110"/>
      <c r="G30" s="110"/>
      <c r="H30" s="64" t="s">
        <v>58</v>
      </c>
      <c r="I30" s="65" t="str">
        <f>'Necesidades Trimestrales'!F28</f>
        <v>UNIDAD</v>
      </c>
      <c r="J30" s="66">
        <f>'Necesidades Trimestrales'!H28</f>
        <v>21.11</v>
      </c>
      <c r="K30" s="67">
        <f>'Necesidades Trimestrales'!G28</f>
        <v>6000</v>
      </c>
    </row>
    <row r="31" spans="1:11" ht="20.25" customHeight="1" thickBot="1" x14ac:dyDescent="0.25">
      <c r="A31" s="8">
        <v>20</v>
      </c>
      <c r="B31" s="63">
        <f>'Necesidades Trimestrales'!B29</f>
        <v>0</v>
      </c>
      <c r="C31" s="110" t="str">
        <f>'Necesidades Trimestrales'!E29</f>
        <v>TUBO PARA HEMOGRAMA EDTA 2 ML (LILA)</v>
      </c>
      <c r="D31" s="110"/>
      <c r="E31" s="110"/>
      <c r="F31" s="110"/>
      <c r="G31" s="110"/>
      <c r="H31" s="64" t="s">
        <v>58</v>
      </c>
      <c r="I31" s="65" t="str">
        <f>'Necesidades Trimestrales'!F29</f>
        <v>UNIDAD</v>
      </c>
      <c r="J31" s="66">
        <f>'Necesidades Trimestrales'!H29</f>
        <v>14.5</v>
      </c>
      <c r="K31" s="67">
        <f>'Necesidades Trimestrales'!G29</f>
        <v>12000</v>
      </c>
    </row>
    <row r="32" spans="1:11" ht="20.25" customHeight="1" thickBot="1" x14ac:dyDescent="0.25">
      <c r="A32" s="8">
        <v>21</v>
      </c>
      <c r="B32" s="63">
        <f>'Necesidades Trimestrales'!B30</f>
        <v>0</v>
      </c>
      <c r="C32" s="110" t="str">
        <f>'Necesidades Trimestrales'!E30</f>
        <v>TUBO PARA SUERO CON GEL 3,5 ML (AMARILLO)</v>
      </c>
      <c r="D32" s="110"/>
      <c r="E32" s="110"/>
      <c r="F32" s="110"/>
      <c r="G32" s="110"/>
      <c r="H32" s="64" t="s">
        <v>58</v>
      </c>
      <c r="I32" s="65" t="str">
        <f>'Necesidades Trimestrales'!F30</f>
        <v>UNIDAD</v>
      </c>
      <c r="J32" s="66">
        <f>'Necesidades Trimestrales'!H30</f>
        <v>22.5</v>
      </c>
      <c r="K32" s="67">
        <f>'Necesidades Trimestrales'!G30</f>
        <v>14000</v>
      </c>
    </row>
    <row r="33" spans="1:1024" ht="20.25" customHeight="1" thickBot="1" x14ac:dyDescent="0.25">
      <c r="A33" s="8">
        <v>22</v>
      </c>
      <c r="B33" s="63">
        <f>'Necesidades Trimestrales'!B31</f>
        <v>0</v>
      </c>
      <c r="C33" s="110" t="str">
        <f>'Necesidades Trimestrales'!E31</f>
        <v xml:space="preserve">Tubos de centrífuga cónicos con tapa a rosca estériles de 15 ml autoclavables. Presentación: individual </v>
      </c>
      <c r="D33" s="110"/>
      <c r="E33" s="110"/>
      <c r="F33" s="110"/>
      <c r="G33" s="110"/>
      <c r="H33" s="64" t="s">
        <v>58</v>
      </c>
      <c r="I33" s="65" t="str">
        <f>'Necesidades Trimestrales'!F31</f>
        <v>Unidad</v>
      </c>
      <c r="J33" s="66">
        <f>'Necesidades Trimestrales'!H31</f>
        <v>52</v>
      </c>
      <c r="K33" s="67">
        <f>'Necesidades Trimestrales'!G31</f>
        <v>200</v>
      </c>
    </row>
    <row r="34" spans="1:1024" ht="20.25" customHeight="1" thickBot="1" x14ac:dyDescent="0.25">
      <c r="A34" s="111" t="s">
        <v>101</v>
      </c>
      <c r="B34" s="111"/>
      <c r="C34" s="111"/>
      <c r="D34" s="111"/>
      <c r="E34" s="111"/>
      <c r="F34" s="111"/>
      <c r="G34" s="111"/>
      <c r="H34" s="111"/>
      <c r="I34" s="111"/>
      <c r="J34" s="112">
        <f>SUMPRODUCT(J12:J33,K12:K33)</f>
        <v>1685687</v>
      </c>
      <c r="K34" s="112"/>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row>
  </sheetData>
  <mergeCells count="44">
    <mergeCell ref="A1:I1"/>
    <mergeCell ref="A6:C6"/>
    <mergeCell ref="D6:K6"/>
    <mergeCell ref="A7:C7"/>
    <mergeCell ref="D7:K7"/>
    <mergeCell ref="A3:C3"/>
    <mergeCell ref="D3:K3"/>
    <mergeCell ref="A4:C4"/>
    <mergeCell ref="D4:K4"/>
    <mergeCell ref="A5:C5"/>
    <mergeCell ref="D5:K5"/>
    <mergeCell ref="A8:C8"/>
    <mergeCell ref="D8:K8"/>
    <mergeCell ref="A10:A11"/>
    <mergeCell ref="B10:B11"/>
    <mergeCell ref="C10:G11"/>
    <mergeCell ref="H10:H11"/>
    <mergeCell ref="I10:I11"/>
    <mergeCell ref="J10:J11"/>
    <mergeCell ref="K10:K11"/>
    <mergeCell ref="A34:I34"/>
    <mergeCell ref="J34:K34"/>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31:G31"/>
    <mergeCell ref="C32:G32"/>
    <mergeCell ref="C33:G33"/>
    <mergeCell ref="C26:G26"/>
    <mergeCell ref="C27:G27"/>
    <mergeCell ref="C28:G28"/>
    <mergeCell ref="C29:G29"/>
    <mergeCell ref="C30:G30"/>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7"/>
  <sheetViews>
    <sheetView zoomScale="130" zoomScaleNormal="130" workbookViewId="0">
      <selection activeCell="T20" sqref="T20"/>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7" ht="15.75" customHeight="1" x14ac:dyDescent="0.25">
      <c r="A1" s="146" t="s">
        <v>3</v>
      </c>
      <c r="B1" s="146"/>
      <c r="C1" s="146"/>
      <c r="D1" s="147">
        <f>'Necesidades Trimestrales'!C6</f>
        <v>2021</v>
      </c>
      <c r="E1" s="147"/>
      <c r="F1" s="10"/>
      <c r="G1" s="10"/>
      <c r="H1" s="11"/>
      <c r="I1" s="11"/>
      <c r="J1" s="11"/>
      <c r="K1" s="11"/>
      <c r="L1" s="11"/>
      <c r="M1" s="11"/>
      <c r="N1" s="11"/>
      <c r="P1" s="148" t="s">
        <v>32</v>
      </c>
      <c r="Q1" s="148"/>
    </row>
    <row r="2" spans="1:17" ht="15.75" customHeight="1" x14ac:dyDescent="0.2">
      <c r="H2" s="11"/>
      <c r="I2" s="11"/>
      <c r="J2" s="11"/>
      <c r="K2" s="11"/>
      <c r="L2" s="11"/>
      <c r="M2" s="11"/>
      <c r="N2" s="11"/>
      <c r="P2" s="148"/>
      <c r="Q2" s="148"/>
    </row>
    <row r="4" spans="1:17" s="12" customFormat="1" ht="18" customHeight="1" thickBot="1" x14ac:dyDescent="0.25">
      <c r="A4" s="149" t="s">
        <v>33</v>
      </c>
      <c r="B4" s="149"/>
      <c r="C4" s="149"/>
      <c r="D4" s="149"/>
      <c r="E4" s="149"/>
      <c r="F4" s="149"/>
      <c r="G4" s="144" t="str">
        <f>NotaPedido!D3</f>
        <v>40 - Ministerio de Salud</v>
      </c>
      <c r="H4" s="144"/>
      <c r="I4" s="144"/>
      <c r="J4" s="144"/>
      <c r="K4" s="144"/>
      <c r="L4" s="144"/>
      <c r="M4" s="144"/>
      <c r="N4" s="144"/>
      <c r="O4" s="144"/>
      <c r="P4" s="144"/>
      <c r="Q4" s="144"/>
    </row>
    <row r="5" spans="1:17" s="12" customFormat="1" ht="18" customHeight="1" thickBot="1" x14ac:dyDescent="0.25">
      <c r="A5" s="141" t="s">
        <v>56</v>
      </c>
      <c r="B5" s="142"/>
      <c r="C5" s="142"/>
      <c r="D5" s="142"/>
      <c r="E5" s="142"/>
      <c r="F5" s="143"/>
      <c r="G5" s="144" t="str">
        <f>NotaPedido!D4</f>
        <v>23 - Hospital Interzonal San Juan Bautista</v>
      </c>
      <c r="H5" s="144"/>
      <c r="I5" s="144"/>
      <c r="J5" s="144"/>
      <c r="K5" s="144"/>
      <c r="L5" s="144"/>
      <c r="M5" s="144"/>
      <c r="N5" s="144"/>
      <c r="O5" s="144"/>
      <c r="P5" s="144"/>
      <c r="Q5" s="144"/>
    </row>
    <row r="6" spans="1:17" s="12" customFormat="1" ht="18" customHeight="1" thickBot="1" x14ac:dyDescent="0.25">
      <c r="A6" s="141" t="s">
        <v>34</v>
      </c>
      <c r="B6" s="142"/>
      <c r="C6" s="142"/>
      <c r="D6" s="142"/>
      <c r="E6" s="142"/>
      <c r="F6" s="143"/>
      <c r="G6" s="144" t="str">
        <f>NotaPedido!D5</f>
        <v>168 - Direccion Asistencial</v>
      </c>
      <c r="H6" s="144"/>
      <c r="I6" s="144"/>
      <c r="J6" s="144"/>
      <c r="K6" s="144"/>
      <c r="L6" s="144"/>
      <c r="M6" s="144"/>
      <c r="N6" s="144"/>
      <c r="O6" s="144"/>
      <c r="P6" s="144"/>
      <c r="Q6" s="144"/>
    </row>
    <row r="7" spans="1:17" s="12" customFormat="1" ht="18" customHeight="1" thickBot="1" x14ac:dyDescent="0.25">
      <c r="A7" s="141" t="s">
        <v>57</v>
      </c>
      <c r="B7" s="142"/>
      <c r="C7" s="142"/>
      <c r="D7" s="142"/>
      <c r="E7" s="142"/>
      <c r="F7" s="143"/>
      <c r="G7" s="144" t="str">
        <f>NotaPedido!D6</f>
        <v xml:space="preserve">Servicio de Laboratorio </v>
      </c>
      <c r="H7" s="144"/>
      <c r="I7" s="144"/>
      <c r="J7" s="144"/>
      <c r="K7" s="144"/>
      <c r="L7" s="144"/>
      <c r="M7" s="144"/>
      <c r="N7" s="144"/>
      <c r="O7" s="144"/>
      <c r="P7" s="144"/>
      <c r="Q7" s="144"/>
    </row>
    <row r="8" spans="1:17" ht="18" customHeight="1" thickBot="1" x14ac:dyDescent="0.25">
      <c r="A8" s="145" t="s">
        <v>35</v>
      </c>
      <c r="B8" s="145"/>
      <c r="C8" s="145"/>
      <c r="D8" s="145"/>
      <c r="E8" s="145"/>
      <c r="F8" s="145"/>
      <c r="G8" s="145"/>
      <c r="H8" s="145"/>
      <c r="I8" s="145"/>
      <c r="J8" s="145"/>
      <c r="K8" s="145"/>
      <c r="L8" s="145"/>
      <c r="M8" s="145"/>
      <c r="N8" s="145"/>
      <c r="O8" s="145"/>
      <c r="P8" s="145"/>
      <c r="Q8" s="145"/>
    </row>
    <row r="9" spans="1:17" ht="18" customHeight="1" x14ac:dyDescent="0.2">
      <c r="A9" s="135" t="s">
        <v>36</v>
      </c>
      <c r="B9" s="135"/>
      <c r="C9" s="135"/>
      <c r="D9" s="135"/>
      <c r="E9" s="135"/>
      <c r="F9" s="135"/>
      <c r="G9" s="135"/>
      <c r="H9" s="135"/>
      <c r="I9" s="135"/>
      <c r="J9" s="135"/>
      <c r="K9" s="135"/>
      <c r="L9" s="135"/>
      <c r="M9" s="135"/>
      <c r="N9" s="135"/>
      <c r="O9" s="1"/>
      <c r="P9" s="1"/>
      <c r="Q9" s="13"/>
    </row>
    <row r="10" spans="1:17" ht="54.75" customHeight="1" x14ac:dyDescent="0.2">
      <c r="A10" s="136"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033 - 2021,  afectando la erogación resultante a los créditos presupuestarios aprobados a favor de esta Unidad Ejecutora, conforme al siguiente detalle:</v>
      </c>
      <c r="B10" s="136"/>
      <c r="C10" s="136"/>
      <c r="D10" s="136"/>
      <c r="E10" s="136"/>
      <c r="F10" s="136"/>
      <c r="G10" s="136"/>
      <c r="H10" s="136"/>
      <c r="I10" s="136"/>
      <c r="J10" s="136"/>
      <c r="K10" s="136"/>
      <c r="L10" s="136"/>
      <c r="M10" s="136"/>
      <c r="N10" s="136"/>
      <c r="O10" s="136"/>
      <c r="P10" s="136"/>
      <c r="Q10" s="136"/>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37" t="s">
        <v>37</v>
      </c>
      <c r="B12" s="137"/>
      <c r="C12" s="137"/>
      <c r="D12" s="137"/>
      <c r="E12" s="137"/>
      <c r="F12" s="137"/>
      <c r="G12" s="137"/>
      <c r="H12" s="137"/>
      <c r="I12" s="137"/>
      <c r="J12" s="137"/>
      <c r="K12" s="137"/>
      <c r="L12" s="137"/>
      <c r="M12" s="137"/>
      <c r="N12" s="137"/>
      <c r="O12" s="137"/>
      <c r="P12" s="137"/>
      <c r="Q12" s="137"/>
    </row>
    <row r="13" spans="1:17" ht="15.75" customHeight="1" x14ac:dyDescent="0.2">
      <c r="A13" s="138" t="s">
        <v>38</v>
      </c>
      <c r="B13" s="138"/>
      <c r="C13" s="138"/>
      <c r="D13" s="138"/>
      <c r="E13" s="138"/>
      <c r="F13" s="138"/>
      <c r="G13" s="138"/>
      <c r="H13" s="138"/>
      <c r="I13" s="138"/>
      <c r="J13" s="138"/>
      <c r="K13" s="138"/>
      <c r="L13" s="138"/>
      <c r="M13" s="138"/>
      <c r="N13" s="138"/>
      <c r="O13" s="139" t="s">
        <v>39</v>
      </c>
      <c r="P13" s="139"/>
      <c r="Q13" s="140" t="s">
        <v>40</v>
      </c>
    </row>
    <row r="14" spans="1:17" ht="15.75" customHeight="1" x14ac:dyDescent="0.2">
      <c r="A14" s="18" t="s">
        <v>41</v>
      </c>
      <c r="B14" s="19" t="s">
        <v>42</v>
      </c>
      <c r="C14" s="19" t="s">
        <v>43</v>
      </c>
      <c r="D14" s="19" t="s">
        <v>44</v>
      </c>
      <c r="E14" s="19" t="s">
        <v>45</v>
      </c>
      <c r="F14" s="19" t="s">
        <v>46</v>
      </c>
      <c r="G14" s="20" t="s">
        <v>47</v>
      </c>
      <c r="H14" s="19" t="s">
        <v>48</v>
      </c>
      <c r="I14" s="19" t="s">
        <v>49</v>
      </c>
      <c r="J14" s="19" t="s">
        <v>50</v>
      </c>
      <c r="K14" s="19" t="s">
        <v>50</v>
      </c>
      <c r="L14" s="19" t="s">
        <v>51</v>
      </c>
      <c r="M14" s="21" t="s">
        <v>52</v>
      </c>
      <c r="N14" s="22" t="s">
        <v>53</v>
      </c>
      <c r="O14" s="139"/>
      <c r="P14" s="139"/>
      <c r="Q14" s="140"/>
    </row>
    <row r="15" spans="1:17" ht="17.25" customHeight="1" x14ac:dyDescent="0.2">
      <c r="A15" s="70">
        <v>33</v>
      </c>
      <c r="B15" s="71"/>
      <c r="C15" s="71"/>
      <c r="D15" s="71">
        <v>2</v>
      </c>
      <c r="E15" s="71"/>
      <c r="F15" s="71">
        <v>4901</v>
      </c>
      <c r="G15" s="71">
        <v>3</v>
      </c>
      <c r="H15" s="72" t="s">
        <v>64</v>
      </c>
      <c r="I15" s="73">
        <v>2</v>
      </c>
      <c r="J15" s="73">
        <v>5</v>
      </c>
      <c r="K15" s="73">
        <v>9</v>
      </c>
      <c r="L15" s="71"/>
      <c r="M15" s="74">
        <v>1</v>
      </c>
      <c r="N15" s="72" t="s">
        <v>65</v>
      </c>
      <c r="O15" s="132" t="s">
        <v>63</v>
      </c>
      <c r="P15" s="132"/>
      <c r="Q15" s="23">
        <v>15000</v>
      </c>
    </row>
    <row r="16" spans="1:17" ht="17.25" customHeight="1" x14ac:dyDescent="0.2">
      <c r="A16" s="24">
        <v>33</v>
      </c>
      <c r="B16" s="25"/>
      <c r="C16" s="25"/>
      <c r="D16" s="25">
        <v>2</v>
      </c>
      <c r="E16" s="25"/>
      <c r="F16" s="27">
        <v>4901</v>
      </c>
      <c r="G16" s="25">
        <v>3</v>
      </c>
      <c r="H16" s="68" t="s">
        <v>64</v>
      </c>
      <c r="I16" s="25">
        <v>2</v>
      </c>
      <c r="J16" s="25">
        <v>9</v>
      </c>
      <c r="K16" s="25">
        <v>5</v>
      </c>
      <c r="L16" s="25"/>
      <c r="M16" s="26">
        <v>1</v>
      </c>
      <c r="N16" s="69" t="s">
        <v>65</v>
      </c>
      <c r="O16" s="133" t="s">
        <v>66</v>
      </c>
      <c r="P16" s="133"/>
      <c r="Q16" s="28">
        <v>1655270</v>
      </c>
    </row>
    <row r="17" spans="1:19" ht="17.25" customHeight="1" x14ac:dyDescent="0.2">
      <c r="A17" s="24">
        <v>33</v>
      </c>
      <c r="B17" s="25"/>
      <c r="C17" s="25"/>
      <c r="D17" s="25">
        <v>2</v>
      </c>
      <c r="E17" s="25"/>
      <c r="F17" s="27">
        <v>4901</v>
      </c>
      <c r="G17" s="25">
        <v>3</v>
      </c>
      <c r="H17" s="68" t="s">
        <v>64</v>
      </c>
      <c r="I17" s="25">
        <v>2</v>
      </c>
      <c r="J17" s="25">
        <v>9</v>
      </c>
      <c r="K17" s="25">
        <v>6</v>
      </c>
      <c r="L17" s="25"/>
      <c r="M17" s="26">
        <v>1</v>
      </c>
      <c r="N17" s="69" t="s">
        <v>65</v>
      </c>
      <c r="O17" s="133" t="s">
        <v>93</v>
      </c>
      <c r="P17" s="133"/>
      <c r="Q17" s="28">
        <v>15417</v>
      </c>
      <c r="S17" s="75"/>
    </row>
    <row r="18" spans="1:19" ht="17.25" customHeight="1" x14ac:dyDescent="0.2">
      <c r="A18" s="24"/>
      <c r="B18" s="25"/>
      <c r="C18" s="25"/>
      <c r="D18" s="25"/>
      <c r="E18" s="25"/>
      <c r="F18" s="25"/>
      <c r="G18" s="25"/>
      <c r="H18" s="68"/>
      <c r="I18" s="25"/>
      <c r="J18" s="25"/>
      <c r="K18" s="25"/>
      <c r="L18" s="25"/>
      <c r="M18" s="26"/>
      <c r="N18" s="69"/>
      <c r="O18" s="134"/>
      <c r="P18" s="127"/>
      <c r="Q18" s="28"/>
    </row>
    <row r="19" spans="1:19" ht="17.25" customHeight="1" x14ac:dyDescent="0.2">
      <c r="A19" s="24"/>
      <c r="B19" s="25"/>
      <c r="C19" s="25"/>
      <c r="D19" s="25"/>
      <c r="E19" s="25"/>
      <c r="F19" s="27"/>
      <c r="G19" s="25"/>
      <c r="H19" s="25"/>
      <c r="I19" s="25"/>
      <c r="J19" s="25"/>
      <c r="K19" s="25"/>
      <c r="L19" s="25"/>
      <c r="M19" s="26"/>
      <c r="N19" s="27"/>
      <c r="O19" s="127"/>
      <c r="P19" s="127"/>
      <c r="Q19" s="28"/>
    </row>
    <row r="20" spans="1:19" ht="17.25" customHeight="1" x14ac:dyDescent="0.2">
      <c r="A20" s="24"/>
      <c r="B20" s="25"/>
      <c r="C20" s="25"/>
      <c r="D20" s="25"/>
      <c r="E20" s="25"/>
      <c r="F20" s="27"/>
      <c r="G20" s="25"/>
      <c r="H20" s="25"/>
      <c r="I20" s="25"/>
      <c r="J20" s="25"/>
      <c r="K20" s="25"/>
      <c r="L20" s="25"/>
      <c r="M20" s="26"/>
      <c r="N20" s="27"/>
      <c r="O20" s="127"/>
      <c r="P20" s="127"/>
      <c r="Q20" s="28"/>
    </row>
    <row r="21" spans="1:19" ht="17.25" customHeight="1" x14ac:dyDescent="0.2">
      <c r="A21" s="29"/>
      <c r="B21" s="30"/>
      <c r="C21" s="30"/>
      <c r="D21" s="30"/>
      <c r="E21" s="30"/>
      <c r="F21" s="31"/>
      <c r="G21" s="30"/>
      <c r="H21" s="30"/>
      <c r="I21" s="30"/>
      <c r="J21" s="30"/>
      <c r="K21" s="30"/>
      <c r="L21" s="30"/>
      <c r="M21" s="32"/>
      <c r="N21" s="33"/>
      <c r="O21" s="128"/>
      <c r="P21" s="128"/>
      <c r="Q21" s="28"/>
      <c r="R21" s="1"/>
    </row>
    <row r="22" spans="1:19" ht="17.25" customHeight="1" x14ac:dyDescent="0.2">
      <c r="A22" s="34"/>
      <c r="B22" s="35"/>
      <c r="C22" s="35"/>
      <c r="D22" s="35"/>
      <c r="E22" s="35"/>
      <c r="F22" s="35"/>
      <c r="G22" s="35"/>
      <c r="H22" s="35"/>
      <c r="I22" s="35"/>
      <c r="J22" s="35"/>
      <c r="K22" s="35"/>
      <c r="L22" s="35"/>
      <c r="M22" s="36"/>
      <c r="N22" s="35"/>
      <c r="O22" s="129"/>
      <c r="P22" s="129"/>
      <c r="Q22" s="37"/>
    </row>
    <row r="23" spans="1:19" ht="20.25" customHeight="1" x14ac:dyDescent="0.2">
      <c r="A23" s="130" t="s">
        <v>107</v>
      </c>
      <c r="B23" s="130"/>
      <c r="C23" s="130"/>
      <c r="D23" s="130"/>
      <c r="E23" s="130"/>
      <c r="F23" s="130"/>
      <c r="G23" s="130"/>
      <c r="H23" s="130"/>
      <c r="I23" s="130"/>
      <c r="J23" s="130"/>
      <c r="K23" s="130"/>
      <c r="L23" s="130"/>
      <c r="M23" s="130"/>
      <c r="N23" s="130"/>
      <c r="O23" s="130"/>
      <c r="P23" s="130"/>
      <c r="Q23" s="38">
        <f>SUM(Q15:Q22)</f>
        <v>1685687</v>
      </c>
    </row>
    <row r="24" spans="1:19" ht="18" customHeight="1" thickBot="1" x14ac:dyDescent="0.25">
      <c r="A24" s="131"/>
      <c r="B24" s="131"/>
      <c r="C24" s="131"/>
      <c r="D24" s="131"/>
      <c r="E24" s="131"/>
      <c r="F24" s="131"/>
      <c r="G24" s="131"/>
      <c r="H24" s="131"/>
      <c r="I24" s="131"/>
      <c r="J24" s="131"/>
      <c r="K24" s="131"/>
      <c r="L24" s="131"/>
      <c r="M24" s="131"/>
      <c r="N24" s="131"/>
      <c r="O24" s="131"/>
      <c r="P24" s="131"/>
      <c r="Q24" s="131"/>
    </row>
    <row r="25" spans="1:19" ht="17.25" customHeight="1" thickBot="1" x14ac:dyDescent="0.25">
      <c r="A25" s="122" t="s">
        <v>54</v>
      </c>
      <c r="B25" s="123"/>
      <c r="C25" s="123"/>
      <c r="D25" s="123"/>
      <c r="E25" s="123"/>
      <c r="F25" s="124"/>
      <c r="G25" s="125"/>
      <c r="H25" s="125"/>
      <c r="I25" s="125"/>
      <c r="J25" s="125"/>
      <c r="K25" s="125"/>
      <c r="L25" s="125"/>
      <c r="M25" s="125"/>
      <c r="N25" s="125"/>
      <c r="O25" s="125"/>
      <c r="P25" s="125"/>
      <c r="Q25" s="125"/>
    </row>
    <row r="26" spans="1:19" ht="18" customHeight="1" thickBot="1" x14ac:dyDescent="0.25">
      <c r="A26" s="126" t="str">
        <f>"Para la "&amp; NotaPedido!D8 &amp;" para ser destinados al " &amp; NotaPedido!D6 &amp;"  del HISJB del Ministerio de Salud."</f>
        <v>Para la Adquisición de Descartables para Laboratorios del HISJB  para ser destinados al Servicio de Laboratorio   del HISJB del Ministerio de Salud.</v>
      </c>
      <c r="B26" s="126"/>
      <c r="C26" s="126"/>
      <c r="D26" s="126"/>
      <c r="E26" s="126"/>
      <c r="F26" s="126"/>
      <c r="G26" s="126"/>
      <c r="H26" s="126"/>
      <c r="I26" s="126"/>
      <c r="J26" s="126"/>
      <c r="K26" s="126"/>
      <c r="L26" s="126"/>
      <c r="M26" s="126"/>
      <c r="N26" s="126"/>
      <c r="O26" s="126"/>
      <c r="P26" s="126"/>
      <c r="Q26" s="126"/>
    </row>
    <row r="27" spans="1:19" ht="15" customHeight="1" x14ac:dyDescent="0.2">
      <c r="A27" s="126"/>
      <c r="B27" s="126"/>
      <c r="C27" s="126"/>
      <c r="D27" s="126"/>
      <c r="E27" s="126"/>
      <c r="F27" s="126"/>
      <c r="G27" s="126"/>
      <c r="H27" s="126"/>
      <c r="I27" s="126"/>
      <c r="J27" s="126"/>
      <c r="K27" s="126"/>
      <c r="L27" s="126"/>
      <c r="M27" s="126"/>
      <c r="N27" s="126"/>
      <c r="O27" s="126"/>
      <c r="P27" s="126"/>
      <c r="Q27" s="126"/>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COMPRAS</cp:lastModifiedBy>
  <cp:revision>2</cp:revision>
  <cp:lastPrinted>2020-07-17T22:18:48Z</cp:lastPrinted>
  <dcterms:created xsi:type="dcterms:W3CDTF">2020-07-17T23:44:49Z</dcterms:created>
  <dcterms:modified xsi:type="dcterms:W3CDTF">2021-08-12T14:37:02Z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