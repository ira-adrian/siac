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519BBDA3-C343-4B5C-9B06-83264E3CB1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ANEXO" sheetId="4" r:id="rId2"/>
    <sheet name="NP" sheetId="2" r:id="rId3"/>
    <sheet name="APG" sheetId="3" r:id="rId4"/>
  </sheets>
  <definedNames>
    <definedName name="_xlnm._FilterDatabase" localSheetId="0" hidden="1">'SAF 011'!$A$9:$AY$9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2" l="1"/>
  <c r="B13" i="2"/>
  <c r="B14" i="2"/>
  <c r="B15" i="2"/>
  <c r="B12" i="2"/>
  <c r="A41" i="3" l="1"/>
  <c r="G6" i="3"/>
  <c r="G7" i="3"/>
  <c r="K13" i="2"/>
  <c r="K14" i="2"/>
  <c r="K15" i="2"/>
  <c r="K16" i="2"/>
  <c r="K12" i="2"/>
  <c r="J13" i="2"/>
  <c r="J14" i="2"/>
  <c r="J15" i="2"/>
  <c r="J16" i="2"/>
  <c r="J12" i="2"/>
  <c r="I13" i="2"/>
  <c r="I14" i="2"/>
  <c r="I15" i="2"/>
  <c r="I16" i="2"/>
  <c r="I12" i="2"/>
  <c r="C13" i="2"/>
  <c r="C14" i="2"/>
  <c r="C15" i="2"/>
  <c r="C16" i="2"/>
  <c r="C12" i="2"/>
  <c r="D4" i="2"/>
  <c r="G5" i="3" s="1"/>
  <c r="D3" i="2"/>
  <c r="G4" i="3" s="1"/>
  <c r="M12" i="2" l="1"/>
  <c r="M13" i="2"/>
  <c r="M15" i="2"/>
  <c r="M16" i="2"/>
  <c r="M14" i="2"/>
  <c r="AW13" i="1"/>
  <c r="AY13" i="1" s="1"/>
  <c r="AN13" i="1"/>
  <c r="AW11" i="1"/>
  <c r="AY11" i="1" s="1"/>
  <c r="AN11" i="1"/>
  <c r="AW10" i="1"/>
  <c r="AY10" i="1" s="1"/>
  <c r="AN10" i="1"/>
  <c r="AW14" i="1"/>
  <c r="AY14" i="1" s="1"/>
  <c r="AN14" i="1"/>
  <c r="AW12" i="1"/>
  <c r="AY12" i="1" s="1"/>
  <c r="AN12" i="1"/>
  <c r="M18" i="2" l="1"/>
  <c r="J18" i="2" s="1"/>
  <c r="Q38" i="3"/>
  <c r="AY15" i="1"/>
</calcChain>
</file>

<file path=xl/sharedStrings.xml><?xml version="1.0" encoding="utf-8"?>
<sst xmlns="http://schemas.openxmlformats.org/spreadsheetml/2006/main" count="172" uniqueCount="147">
  <si>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</si>
  <si>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</si>
  <si>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</si>
  <si>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</si>
  <si>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</si>
  <si>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</si>
  <si>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</si>
  <si>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</si>
  <si>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</si>
  <si>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</si>
  <si>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</si>
  <si>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</si>
  <si>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</si>
  <si>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</si>
  <si>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</si>
  <si>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</si>
  <si>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</si>
  <si>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</si>
  <si>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</si>
  <si>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</si>
  <si>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</si>
  <si>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</si>
  <si>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</si>
  <si>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</si>
  <si>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</si>
  <si>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</si>
  <si>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</si>
  <si>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</si>
  <si>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</si>
  <si>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</si>
  <si>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</si>
  <si>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</si>
  <si>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</si>
  <si>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</si>
  <si>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</si>
  <si>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</si>
  <si>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</si>
  <si>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</si>
  <si>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</si>
  <si>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</si>
  <si>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</si>
  <si>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</si>
  <si>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</si>
  <si>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</si>
  <si>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</si>
  <si>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</si>
  <si>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</si>
  <si>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</si>
  <si>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</si>
  <si>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</si>
  <si>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</si>
  <si>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</si>
  <si>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</si>
  <si>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</si>
  <si>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</si>
  <si>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</si>
  <si>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</si>
  <si>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</si>
  <si>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</si>
  <si>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</si>
  <si>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</si>
  <si>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 xml:space="preserve">UNIDAD </t>
  </si>
  <si>
    <t>2.2.2-6731.27</t>
  </si>
  <si>
    <t>INDUMENT TEXTIL Y CONFECCIONES</t>
  </si>
  <si>
    <t>2.2.2</t>
  </si>
  <si>
    <t>CAMISAS; TIPO: DE TRABAJO, TELA: GRAFA, MANGA: LARGA, COSTURA: REFORZADA, BOLSILLO: 2</t>
  </si>
  <si>
    <t>2.2.2-6738.22</t>
  </si>
  <si>
    <t>PANTALONES; TELA: GRAFA, SEXO: MASCULINO, TIPO: DE TRABAJO</t>
  </si>
  <si>
    <t>2.2.2.-836.493</t>
  </si>
  <si>
    <t>AMBO; SACO: RECTO Y PANTALON, TELA: POLIESTER - VICOSA</t>
  </si>
  <si>
    <t>2.2.2-6729.61</t>
  </si>
  <si>
    <t>CALZADOS; TIPO: BOTAS, MATERIAL: CUERO, SUELA: GOMA, SEXO: MASCULINO</t>
  </si>
  <si>
    <t>2.2.2-1721.17</t>
  </si>
  <si>
    <t>DELANTALES; TIPO: P/CONSULTORIO MEDICO, MATERIAL: ACROCEL, PROTECCION: SIN</t>
  </si>
  <si>
    <t>TOTAL RUBRO VESTIMENTA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</si>
  <si>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</si>
  <si>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</si>
  <si>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</si>
  <si>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</si>
  <si>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</si>
  <si>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</si>
  <si>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</si>
  <si>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</si>
  <si>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</si>
  <si>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</si>
  <si>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</si>
  <si>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</si>
  <si>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</si>
  <si>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</si>
  <si>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</si>
  <si>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</si>
  <si>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</si>
  <si>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</si>
  <si>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</si>
  <si>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</si>
  <si>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</si>
  <si>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</si>
  <si>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</si>
  <si>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</si>
  <si>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</si>
  <si>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</si>
  <si>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</si>
  <si>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</si>
  <si>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</si>
  <si>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</si>
  <si>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</si>
  <si>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</si>
  <si>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</si>
  <si>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</si>
  <si>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</si>
  <si>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</si>
  <si>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</si>
  <si>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</si>
  <si>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Plazos de entrega</t>
  </si>
  <si>
    <t>Lugar de Entrega:</t>
  </si>
  <si>
    <t>Calidad Minima esperada</t>
  </si>
  <si>
    <t>Mantenimiento</t>
  </si>
  <si>
    <t>cuarenta y cinco (45) días</t>
  </si>
  <si>
    <t>VER ANEXO I</t>
  </si>
  <si>
    <t>DIEZ (10) dias habiles</t>
  </si>
  <si>
    <t>SECRETARIA DE PLANIFICACION Y GESTION EN SALUD - CHACABUCO N° 169 - en el horario de 8:00hs a 12:00hs de lunes a viernes</t>
  </si>
  <si>
    <t>SECRETARIA DE PLANIFICACION Y GESTION EN SALUD</t>
  </si>
  <si>
    <t>EJERCICIO 2022</t>
  </si>
  <si>
    <t>ADQUISICION DEL RUBRO VESTIMENTA</t>
  </si>
  <si>
    <t>SI</t>
  </si>
  <si>
    <t>1.1</t>
  </si>
  <si>
    <t>PRENDAS DE VESTIR</t>
  </si>
  <si>
    <t>Costo total estimado: SIESCIENTOS CINCUENTA MIL CON 00/100.-</t>
  </si>
  <si>
    <t>TOTAL DE PESOS: SEISCIENTOS CINCUENTA MIL CON 00/100.-</t>
  </si>
  <si>
    <t>Especificidades Item N° 4:</t>
  </si>
  <si>
    <t>Especificidades Item N°5:</t>
  </si>
  <si>
    <t>ANEXO</t>
  </si>
  <si>
    <t>Descripción técnica: Ambos</t>
  </si>
  <si>
    <t>Talles:  S=5 ; M=10 ; L=10 ; XL=5 ; XXL=5 ; XXXL=5  (total: 30 Ambos)</t>
  </si>
  <si>
    <t>Descripción técnica: Botin de trabajo (Cuero y Goma)</t>
  </si>
  <si>
    <t>Talles:  T38=1 ; T39=1 ; T40=3 ; T41=5 ; T42=4 ; T43=6 ; T44=2 ; T45=2 ; T48=1  (total: 25 calzados)</t>
  </si>
  <si>
    <t>Especificidades Item N° 1</t>
  </si>
  <si>
    <t>Especificidades Item N° 2</t>
  </si>
  <si>
    <t>Especificidades Item N° 3</t>
  </si>
  <si>
    <t>Descripción técnica: Camisas de trabajo (Grafa)</t>
  </si>
  <si>
    <t>Descripción técnica: Delantales</t>
  </si>
  <si>
    <t>Talles:  S=5 ; M=5 ; L=5 ; XL=5 ; XXL=5 ; XXXL=5  (total: 30 Delantales)</t>
  </si>
  <si>
    <t>Talles:  T40=4 ; T42=3 ; T44=2 ; T46=6 ; T48=5 ; T50=3 ; T52=1  (total: 25 camisas)</t>
  </si>
  <si>
    <t>Descripción técnica: Pantalon de trabajo (Grafa)</t>
  </si>
  <si>
    <t>Talles:  T38=1 ; T40=1 ; T42=1 ; T44=1 ; T46=5 ; T48=4 ; T50=5 ; T52=4 ; T54=1 ; T60=2  (total: 25 pantalones)</t>
  </si>
  <si>
    <t xml:space="preserve"> 03/2022</t>
  </si>
  <si>
    <t>Autorizo la realización de los  trámites correspondientes, a fin de proveer a  este Organismo los bienes que se detallan en Nota  de Pedido N° 03/2022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</si>
</sst>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62" applyProtection="0"/>
    <xf numFmtId="0" fontId="25" fillId="0" borderId="62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4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1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7" xfId="2" applyNumberFormat="1" applyFont="1" applyBorder="1" applyAlignment="1">
      <alignment horizontal="center" vertical="center" wrapText="1"/>
    </xf>
    <xf numFmtId="3" fontId="7" fillId="0" borderId="6" xfId="2" applyNumberFormat="1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8" fillId="0" borderId="0" xfId="0" applyFont="1"/>
    <xf numFmtId="3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4" fillId="0" borderId="23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left" vertical="center" wrapText="1" indent="1"/>
    </xf>
    <xf numFmtId="3" fontId="19" fillId="0" borderId="34" xfId="0" applyNumberFormat="1" applyFont="1" applyBorder="1" applyAlignment="1"/>
    <xf numFmtId="168" fontId="0" fillId="0" borderId="34" xfId="0" applyNumberFormat="1" applyBorder="1" applyAlignment="1">
      <alignment horizontal="left"/>
    </xf>
    <xf numFmtId="0" fontId="0" fillId="0" borderId="34" xfId="0" applyBorder="1"/>
    <xf numFmtId="0" fontId="0" fillId="0" borderId="2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40" xfId="0" applyBorder="1"/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0" fontId="0" fillId="0" borderId="50" xfId="7" applyNumberFormat="1" applyFont="1" applyBorder="1" applyAlignment="1" applyProtection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170" fontId="0" fillId="0" borderId="55" xfId="7" applyNumberFormat="1" applyFont="1" applyBorder="1" applyAlignment="1" applyProtection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0" fontId="0" fillId="0" borderId="59" xfId="7" applyNumberFormat="1" applyFont="1" applyBorder="1" applyAlignment="1" applyProtection="1">
      <alignment horizontal="center" vertical="center"/>
    </xf>
    <xf numFmtId="170" fontId="24" fillId="0" borderId="61" xfId="0" applyNumberFormat="1" applyFont="1" applyBorder="1" applyAlignment="1">
      <alignment horizontal="center" vertical="center"/>
    </xf>
    <xf numFmtId="0" fontId="27" fillId="0" borderId="12" xfId="5" applyFont="1" applyFill="1" applyBorder="1" applyAlignment="1">
      <alignment horizontal="center" vertical="center" wrapText="1"/>
    </xf>
    <xf numFmtId="0" fontId="27" fillId="0" borderId="23" xfId="5" applyFont="1" applyFill="1" applyBorder="1" applyAlignment="1">
      <alignment horizontal="center" vertical="center" wrapText="1"/>
    </xf>
    <xf numFmtId="0" fontId="27" fillId="0" borderId="23" xfId="5" applyFont="1" applyFill="1" applyBorder="1" applyAlignment="1">
      <alignment horizontal="center" wrapText="1"/>
    </xf>
    <xf numFmtId="0" fontId="27" fillId="0" borderId="23" xfId="5" applyFont="1" applyBorder="1" applyAlignment="1">
      <alignment horizontal="center" wrapText="1"/>
    </xf>
    <xf numFmtId="0" fontId="27" fillId="0" borderId="63" xfId="5" applyFont="1" applyBorder="1" applyAlignment="1">
      <alignment horizontal="center" wrapText="1"/>
    </xf>
    <xf numFmtId="0" fontId="0" fillId="0" borderId="17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0" fontId="31" fillId="0" borderId="0" xfId="0" applyFont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32" fillId="0" borderId="27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 wrapText="1"/>
    </xf>
    <xf numFmtId="3" fontId="32" fillId="0" borderId="28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3" fontId="32" fillId="0" borderId="30" xfId="0" applyNumberFormat="1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3" fontId="17" fillId="0" borderId="70" xfId="0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32" fillId="0" borderId="11" xfId="0" applyNumberFormat="1" applyFont="1" applyBorder="1" applyAlignment="1">
      <alignment horizontal="center" vertical="center" wrapText="1"/>
    </xf>
    <xf numFmtId="165" fontId="32" fillId="0" borderId="1" xfId="0" applyNumberFormat="1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28" fillId="0" borderId="0" xfId="0" applyFont="1"/>
    <xf numFmtId="0" fontId="12" fillId="0" borderId="1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5" fillId="0" borderId="0" xfId="2" applyFont="1" applyFill="1" applyBorder="1" applyAlignment="1">
      <alignment vertical="center" wrapText="1"/>
    </xf>
    <xf numFmtId="0" fontId="33" fillId="0" borderId="0" xfId="0" applyFont="1" applyAlignment="1">
      <alignment vertical="center"/>
    </xf>
    <xf numFmtId="0" fontId="35" fillId="0" borderId="0" xfId="2" applyFont="1" applyBorder="1" applyAlignment="1">
      <alignment vertical="center"/>
    </xf>
    <xf numFmtId="0" fontId="0" fillId="0" borderId="0" xfId="0" applyAlignment="1">
      <alignment vertical="center"/>
    </xf>
    <xf numFmtId="0" fontId="35" fillId="0" borderId="0" xfId="2" applyFont="1" applyFill="1" applyBorder="1" applyAlignment="1">
      <alignment vertical="center"/>
    </xf>
    <xf numFmtId="0" fontId="34" fillId="0" borderId="0" xfId="2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36" fillId="0" borderId="2" xfId="2" applyFont="1" applyBorder="1" applyAlignment="1">
      <alignment horizontal="center" vertical="center"/>
    </xf>
    <xf numFmtId="0" fontId="36" fillId="0" borderId="5" xfId="2" applyFont="1" applyBorder="1" applyAlignment="1">
      <alignment vertical="center"/>
    </xf>
    <xf numFmtId="0" fontId="35" fillId="0" borderId="3" xfId="2" applyFont="1" applyFill="1" applyBorder="1" applyAlignment="1">
      <alignment vertical="center" wrapText="1"/>
    </xf>
    <xf numFmtId="0" fontId="36" fillId="0" borderId="5" xfId="2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" fillId="0" borderId="64" xfId="5" applyFont="1" applyBorder="1" applyAlignment="1">
      <alignment horizontal="left" vertical="center" wrapText="1"/>
    </xf>
    <xf numFmtId="0" fontId="3" fillId="0" borderId="66" xfId="5" applyFont="1" applyBorder="1" applyAlignment="1">
      <alignment horizontal="left" vertical="center" wrapText="1"/>
    </xf>
    <xf numFmtId="0" fontId="3" fillId="0" borderId="34" xfId="5" applyFont="1" applyFill="1" applyBorder="1" applyAlignment="1">
      <alignment horizontal="left" vertical="center" wrapText="1"/>
    </xf>
    <xf numFmtId="0" fontId="3" fillId="0" borderId="65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7" xfId="5" applyFont="1" applyFill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 indent="1"/>
    </xf>
    <xf numFmtId="0" fontId="11" fillId="0" borderId="12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 wrapText="1" indent="1"/>
    </xf>
    <xf numFmtId="0" fontId="18" fillId="0" borderId="19" xfId="0" applyFont="1" applyBorder="1" applyAlignment="1">
      <alignment horizontal="left" vertical="center" wrapText="1" indent="1"/>
    </xf>
    <xf numFmtId="166" fontId="14" fillId="0" borderId="1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2" fillId="0" borderId="67" xfId="0" applyFont="1" applyBorder="1" applyAlignment="1">
      <alignment horizontal="left" vertical="center" wrapText="1"/>
    </xf>
    <xf numFmtId="0" fontId="32" fillId="0" borderId="68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center" vertical="center" wrapText="1"/>
    </xf>
    <xf numFmtId="165" fontId="15" fillId="0" borderId="25" xfId="0" applyNumberFormat="1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22" fillId="0" borderId="38" xfId="0" applyFont="1" applyBorder="1" applyAlignment="1">
      <alignment horizontal="left"/>
    </xf>
    <xf numFmtId="0" fontId="0" fillId="0" borderId="32" xfId="0" applyFont="1" applyBorder="1" applyAlignment="1">
      <alignment horizontal="center"/>
    </xf>
    <xf numFmtId="3" fontId="19" fillId="0" borderId="33" xfId="0" applyNumberFormat="1" applyFont="1" applyBorder="1" applyAlignment="1">
      <alignment horizontal="center"/>
    </xf>
    <xf numFmtId="0" fontId="20" fillId="0" borderId="14" xfId="0" applyFont="1" applyBorder="1" applyAlignment="1">
      <alignment horizontal="center" vertical="center" wrapText="1"/>
    </xf>
    <xf numFmtId="0" fontId="21" fillId="0" borderId="35" xfId="0" applyFont="1" applyBorder="1"/>
    <xf numFmtId="0" fontId="22" fillId="0" borderId="36" xfId="0" applyFont="1" applyBorder="1" applyAlignment="1">
      <alignment horizontal="left" indent="1"/>
    </xf>
    <xf numFmtId="0" fontId="17" fillId="0" borderId="35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left"/>
    </xf>
    <xf numFmtId="0" fontId="0" fillId="0" borderId="54" xfId="0" applyFont="1" applyBorder="1" applyAlignment="1">
      <alignment horizontal="center" vertical="center"/>
    </xf>
    <xf numFmtId="49" fontId="22" fillId="0" borderId="39" xfId="0" applyNumberFormat="1" applyFont="1" applyBorder="1" applyAlignment="1">
      <alignment horizontal="justify" vertical="center" wrapText="1"/>
    </xf>
    <xf numFmtId="0" fontId="24" fillId="0" borderId="38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71" xfId="0" applyBorder="1" applyAlignment="1">
      <alignment horizontal="left"/>
    </xf>
    <xf numFmtId="0" fontId="0" fillId="0" borderId="72" xfId="0" applyBorder="1" applyAlignment="1">
      <alignment horizontal="left"/>
    </xf>
    <xf numFmtId="0" fontId="19" fillId="0" borderId="19" xfId="0" applyFont="1" applyBorder="1" applyAlignment="1">
      <alignment vertical="center" wrapText="1"/>
    </xf>
    <xf numFmtId="0" fontId="22" fillId="0" borderId="42" xfId="0" applyFont="1" applyBorder="1" applyAlignment="1">
      <alignment vertical="center" wrapText="1"/>
    </xf>
    <xf numFmtId="0" fontId="22" fillId="0" borderId="31" xfId="0" applyFont="1" applyBorder="1" applyAlignment="1">
      <alignment horizontal="left" vertical="center" wrapText="1" indent="1"/>
    </xf>
    <xf numFmtId="0" fontId="0" fillId="0" borderId="54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9" fillId="0" borderId="60" xfId="0" applyFont="1" applyBorder="1" applyAlignment="1">
      <alignment horizontal="left" vertical="center" wrapText="1"/>
    </xf>
    <xf numFmtId="0" fontId="0" fillId="0" borderId="38" xfId="0" applyBorder="1"/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5"/>
  <sheetViews>
    <sheetView tabSelected="1" zoomScaleNormal="100" workbookViewId="0">
      <selection activeCell="F36" sqref="F36"/>
    </sheetView>
  </sheetViews>
  <sheetFormatPr baseColWidth="10" defaultRowHeight="15" x14ac:dyDescent="0.25"/>
  <cols>
    <col min="1" max="1" width="5.42578125" style="61" bestFit="1" customWidth="1"/>
    <col min="2" max="2" width="14.42578125" style="61" bestFit="1" customWidth="1"/>
    <col min="3" max="3" width="37" style="61" bestFit="1" customWidth="1"/>
    <col min="4" max="4" width="5.85546875" style="61" bestFit="1" customWidth="1"/>
    <col min="5" max="5" width="76" style="62" customWidth="1"/>
    <col min="6" max="6" width="17.28515625" style="61" customWidth="1"/>
    <col min="7" max="7" width="19.85546875" style="61" hidden="1" customWidth="1"/>
    <col min="8" max="8" width="11.5703125" style="61" hidden="1" customWidth="1"/>
    <col min="9" max="9" width="12.42578125" style="61" hidden="1" customWidth="1"/>
    <col min="10" max="10" width="15.5703125" style="61" hidden="1" customWidth="1"/>
    <col min="11" max="11" width="12.42578125" style="61" hidden="1" customWidth="1"/>
    <col min="12" max="12" width="14.7109375" style="61" hidden="1" customWidth="1"/>
    <col min="13" max="13" width="8.85546875" style="61" hidden="1" customWidth="1"/>
    <col min="14" max="14" width="15" style="61" hidden="1" customWidth="1"/>
    <col min="15" max="15" width="14.42578125" style="61" hidden="1" customWidth="1"/>
    <col min="16" max="16" width="13.85546875" style="61" hidden="1" customWidth="1"/>
    <col min="17" max="17" width="15.85546875" style="61" hidden="1" customWidth="1"/>
    <col min="18" max="18" width="14.42578125" style="61" hidden="1" customWidth="1"/>
    <col min="19" max="19" width="11.140625" style="63" hidden="1" customWidth="1"/>
    <col min="20" max="20" width="17.140625" style="64" hidden="1" customWidth="1"/>
    <col min="21" max="21" width="16" style="61" hidden="1" customWidth="1"/>
    <col min="22" max="22" width="14.140625" style="61" hidden="1" customWidth="1"/>
    <col min="23" max="23" width="10.85546875" style="61" hidden="1" customWidth="1"/>
    <col min="24" max="24" width="13.85546875" style="61" hidden="1" customWidth="1"/>
    <col min="25" max="25" width="10.42578125" style="61" hidden="1" customWidth="1"/>
    <col min="26" max="26" width="15.42578125" style="61" hidden="1" customWidth="1"/>
    <col min="27" max="28" width="15.5703125" style="61" hidden="1" customWidth="1"/>
    <col min="29" max="29" width="6" style="61" hidden="1" customWidth="1"/>
    <col min="30" max="30" width="14.85546875" style="61" hidden="1" customWidth="1"/>
    <col min="31" max="31" width="11" style="61" hidden="1" customWidth="1"/>
    <col min="32" max="32" width="14.42578125" style="61" hidden="1" customWidth="1"/>
    <col min="33" max="33" width="13.140625" style="61" hidden="1" customWidth="1"/>
    <col min="34" max="34" width="14.140625" style="61" hidden="1" customWidth="1"/>
    <col min="35" max="35" width="11.28515625" style="61" hidden="1" customWidth="1"/>
    <col min="36" max="36" width="14.85546875" style="61" hidden="1" customWidth="1"/>
    <col min="37" max="37" width="9.28515625" style="61" hidden="1" customWidth="1"/>
    <col min="38" max="38" width="14.85546875" style="61" hidden="1" customWidth="1"/>
    <col min="39" max="39" width="6.5703125" style="61" hidden="1" customWidth="1"/>
    <col min="40" max="40" width="13.5703125" style="64" hidden="1" customWidth="1"/>
    <col min="41" max="41" width="14.85546875" style="61" hidden="1" customWidth="1"/>
    <col min="42" max="42" width="13.5703125" style="61" hidden="1" customWidth="1"/>
    <col min="43" max="43" width="13.85546875" style="61" hidden="1" customWidth="1"/>
    <col min="44" max="44" width="12.85546875" style="64" hidden="1" customWidth="1"/>
    <col min="45" max="45" width="15.28515625" style="65" hidden="1" customWidth="1"/>
    <col min="46" max="46" width="15.28515625" style="61" hidden="1" customWidth="1"/>
    <col min="47" max="47" width="7.28515625" style="65" hidden="1" customWidth="1"/>
    <col min="48" max="48" width="13.85546875" style="61" hidden="1" customWidth="1"/>
    <col min="49" max="49" width="15.5703125" style="63" customWidth="1"/>
    <col min="50" max="50" width="13.85546875" style="64" customWidth="1"/>
    <col min="51" max="51" width="17.42578125" style="64" customWidth="1"/>
    <col min="52" max="52" width="59" customWidth="1"/>
  </cols>
  <sheetData>
    <row r="1" spans="1:52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2" s="121" customFormat="1" ht="18.75" x14ac:dyDescent="0.3">
      <c r="A2" s="119"/>
      <c r="B2" s="162" t="s">
        <v>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20"/>
    </row>
    <row r="3" spans="1:52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2" x14ac:dyDescent="0.25">
      <c r="A4" s="161" t="s">
        <v>1</v>
      </c>
      <c r="B4" s="161"/>
      <c r="C4" s="122" t="s">
        <v>2</v>
      </c>
      <c r="D4" s="122"/>
      <c r="E4" s="122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2" ht="15" customHeight="1" x14ac:dyDescent="0.25">
      <c r="A5" s="161" t="s">
        <v>3</v>
      </c>
      <c r="B5" s="161"/>
      <c r="C5" s="122" t="s">
        <v>4</v>
      </c>
      <c r="D5" s="122"/>
      <c r="E5" s="122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4"/>
      <c r="Z5" s="11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2" x14ac:dyDescent="0.25">
      <c r="A6" s="161" t="s">
        <v>5</v>
      </c>
      <c r="B6" s="161"/>
      <c r="C6" s="123">
        <v>2022</v>
      </c>
      <c r="D6" s="124"/>
      <c r="E6" s="123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4"/>
      <c r="Z6" s="11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2" x14ac:dyDescent="0.25">
      <c r="A7" s="161" t="s">
        <v>6</v>
      </c>
      <c r="B7" s="161"/>
      <c r="C7" s="123" t="s">
        <v>7</v>
      </c>
      <c r="D7" s="124"/>
      <c r="E7" s="123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4"/>
      <c r="Z7" s="11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2" x14ac:dyDescent="0.25">
      <c r="A8" s="3"/>
      <c r="B8" s="11"/>
      <c r="C8" s="11"/>
      <c r="D8" s="11"/>
      <c r="E8" s="17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2" ht="38.25" x14ac:dyDescent="0.25">
      <c r="A9" s="18" t="s">
        <v>8</v>
      </c>
      <c r="B9" s="18" t="s">
        <v>9</v>
      </c>
      <c r="C9" s="19" t="s">
        <v>10</v>
      </c>
      <c r="D9" s="18" t="s">
        <v>11</v>
      </c>
      <c r="E9" s="20" t="s">
        <v>12</v>
      </c>
      <c r="F9" s="19" t="s">
        <v>13</v>
      </c>
      <c r="G9" s="19" t="s">
        <v>14</v>
      </c>
      <c r="H9" s="19" t="s">
        <v>15</v>
      </c>
      <c r="I9" s="21" t="s">
        <v>16</v>
      </c>
      <c r="J9" s="19" t="s">
        <v>17</v>
      </c>
      <c r="K9" s="19" t="s">
        <v>18</v>
      </c>
      <c r="L9" s="19" t="s">
        <v>19</v>
      </c>
      <c r="M9" s="22" t="s">
        <v>20</v>
      </c>
      <c r="N9" s="23" t="s">
        <v>21</v>
      </c>
      <c r="O9" s="24" t="s">
        <v>22</v>
      </c>
      <c r="P9" s="19" t="s">
        <v>23</v>
      </c>
      <c r="Q9" s="22" t="s">
        <v>24</v>
      </c>
      <c r="R9" s="19" t="s">
        <v>25</v>
      </c>
      <c r="S9" s="24" t="s">
        <v>26</v>
      </c>
      <c r="T9" s="25" t="s">
        <v>27</v>
      </c>
      <c r="U9" s="22" t="s">
        <v>28</v>
      </c>
      <c r="V9" s="19" t="s">
        <v>29</v>
      </c>
      <c r="W9" s="24" t="s">
        <v>30</v>
      </c>
      <c r="X9" s="19" t="s">
        <v>31</v>
      </c>
      <c r="Y9" s="24" t="s">
        <v>32</v>
      </c>
      <c r="Z9" s="19" t="s">
        <v>33</v>
      </c>
      <c r="AA9" s="24" t="s">
        <v>34</v>
      </c>
      <c r="AB9" s="19" t="s">
        <v>35</v>
      </c>
      <c r="AC9" s="26" t="s">
        <v>36</v>
      </c>
      <c r="AD9" s="19" t="s">
        <v>37</v>
      </c>
      <c r="AE9" s="24" t="s">
        <v>38</v>
      </c>
      <c r="AF9" s="19" t="s">
        <v>39</v>
      </c>
      <c r="AG9" s="24" t="s">
        <v>40</v>
      </c>
      <c r="AH9" s="19" t="s">
        <v>41</v>
      </c>
      <c r="AI9" s="24" t="s">
        <v>42</v>
      </c>
      <c r="AJ9" s="19" t="s">
        <v>43</v>
      </c>
      <c r="AK9" s="24" t="s">
        <v>44</v>
      </c>
      <c r="AL9" s="19" t="s">
        <v>45</v>
      </c>
      <c r="AM9" s="26" t="s">
        <v>46</v>
      </c>
      <c r="AN9" s="25" t="s">
        <v>47</v>
      </c>
      <c r="AO9" s="26" t="s">
        <v>48</v>
      </c>
      <c r="AP9" s="19" t="s">
        <v>49</v>
      </c>
      <c r="AQ9" s="24" t="s">
        <v>50</v>
      </c>
      <c r="AR9" s="25" t="s">
        <v>51</v>
      </c>
      <c r="AS9" s="27" t="s">
        <v>52</v>
      </c>
      <c r="AT9" s="19" t="s">
        <v>53</v>
      </c>
      <c r="AU9" s="27" t="s">
        <v>54</v>
      </c>
      <c r="AV9" s="19" t="s">
        <v>55</v>
      </c>
      <c r="AW9" s="24" t="s">
        <v>56</v>
      </c>
      <c r="AX9" s="28" t="s">
        <v>57</v>
      </c>
      <c r="AY9" s="25" t="s">
        <v>58</v>
      </c>
      <c r="AZ9" s="29" t="s">
        <v>59</v>
      </c>
    </row>
    <row r="10" spans="1:52" s="38" customFormat="1" ht="12.75" x14ac:dyDescent="0.2">
      <c r="A10" s="45">
        <v>1</v>
      </c>
      <c r="B10" s="45" t="s">
        <v>68</v>
      </c>
      <c r="C10" s="45" t="s">
        <v>63</v>
      </c>
      <c r="D10" s="45" t="s">
        <v>64</v>
      </c>
      <c r="E10" s="60" t="s">
        <v>69</v>
      </c>
      <c r="F10" s="45" t="s">
        <v>61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7"/>
      <c r="T10" s="46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>
        <v>30</v>
      </c>
      <c r="AN10" s="46">
        <f>+AM10*AX10</f>
        <v>210000</v>
      </c>
      <c r="AO10" s="45"/>
      <c r="AP10" s="45"/>
      <c r="AQ10" s="45"/>
      <c r="AR10" s="46"/>
      <c r="AS10" s="48"/>
      <c r="AT10" s="45"/>
      <c r="AU10" s="48"/>
      <c r="AV10" s="45"/>
      <c r="AW10" s="35">
        <f>+AQ10+AO10+AM10+AK10+AI10+AG10+AE10+AC10+AA10+Y10+W10+U10+S10+Q10+O10+M10+K10+I10+AS10+G10+AU10</f>
        <v>30</v>
      </c>
      <c r="AX10" s="46">
        <v>7000</v>
      </c>
      <c r="AY10" s="46">
        <f>+AW10*AX10</f>
        <v>210000</v>
      </c>
      <c r="AZ10" s="32"/>
    </row>
    <row r="11" spans="1:52" s="38" customFormat="1" ht="12.75" x14ac:dyDescent="0.2">
      <c r="A11" s="30">
        <v>2</v>
      </c>
      <c r="B11" s="30" t="s">
        <v>70</v>
      </c>
      <c r="C11" s="30" t="s">
        <v>63</v>
      </c>
      <c r="D11" s="30" t="s">
        <v>64</v>
      </c>
      <c r="E11" s="50" t="s">
        <v>71</v>
      </c>
      <c r="F11" s="30" t="s">
        <v>60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51"/>
      <c r="T11" s="52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>
        <v>25</v>
      </c>
      <c r="AN11" s="46">
        <f>+AM11*AX11</f>
        <v>100000</v>
      </c>
      <c r="AO11" s="30"/>
      <c r="AP11" s="30"/>
      <c r="AQ11" s="30"/>
      <c r="AR11" s="52"/>
      <c r="AS11" s="53"/>
      <c r="AT11" s="30"/>
      <c r="AU11" s="53"/>
      <c r="AV11" s="30"/>
      <c r="AW11" s="31">
        <f>+AQ11+AO11+AM11+AK11+AI11+AG11+AE11+AC11+AA11+Y11+W11+U11+S11+Q11+O11+M11+K11+I11+AS11+G11+AU11</f>
        <v>25</v>
      </c>
      <c r="AX11" s="52">
        <v>4000</v>
      </c>
      <c r="AY11" s="46">
        <f>+AW11*AX11</f>
        <v>100000</v>
      </c>
      <c r="AZ11" s="32"/>
    </row>
    <row r="12" spans="1:52" s="38" customFormat="1" ht="12.75" x14ac:dyDescent="0.2">
      <c r="A12" s="30">
        <v>3</v>
      </c>
      <c r="B12" s="30" t="s">
        <v>62</v>
      </c>
      <c r="C12" s="30" t="s">
        <v>63</v>
      </c>
      <c r="D12" s="30" t="s">
        <v>64</v>
      </c>
      <c r="E12" s="50" t="s">
        <v>65</v>
      </c>
      <c r="F12" s="30" t="s">
        <v>60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51"/>
      <c r="T12" s="52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>
        <v>25</v>
      </c>
      <c r="AN12" s="46">
        <f>+AM12*AX12</f>
        <v>87500</v>
      </c>
      <c r="AO12" s="30"/>
      <c r="AP12" s="30"/>
      <c r="AQ12" s="30"/>
      <c r="AR12" s="52"/>
      <c r="AS12" s="53"/>
      <c r="AT12" s="30"/>
      <c r="AU12" s="53"/>
      <c r="AV12" s="30"/>
      <c r="AW12" s="31">
        <f>+AQ12+AO12+AM12+AK12+AI12+AG12+AE12+AC12+AA12+Y12+W12+U12+S12+Q12+O12+M12+K12+I12+AS12+G12+AU12</f>
        <v>25</v>
      </c>
      <c r="AX12" s="52">
        <v>3500</v>
      </c>
      <c r="AY12" s="46">
        <f>+AW12*AX12</f>
        <v>87500</v>
      </c>
      <c r="AZ12" s="32"/>
    </row>
    <row r="13" spans="1:52" s="38" customFormat="1" ht="12.75" x14ac:dyDescent="0.2">
      <c r="A13" s="30">
        <v>4</v>
      </c>
      <c r="B13" s="30" t="s">
        <v>72</v>
      </c>
      <c r="C13" s="30" t="s">
        <v>63</v>
      </c>
      <c r="D13" s="30" t="s">
        <v>64</v>
      </c>
      <c r="E13" s="50" t="s">
        <v>73</v>
      </c>
      <c r="F13" s="30" t="s">
        <v>61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51"/>
      <c r="T13" s="52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>
        <v>30</v>
      </c>
      <c r="AN13" s="46">
        <f>+AM13*AX13</f>
        <v>165000</v>
      </c>
      <c r="AO13" s="30"/>
      <c r="AP13" s="30"/>
      <c r="AQ13" s="30"/>
      <c r="AR13" s="52"/>
      <c r="AS13" s="53"/>
      <c r="AT13" s="30"/>
      <c r="AU13" s="53"/>
      <c r="AV13" s="30"/>
      <c r="AW13" s="31">
        <f>+AQ13+AO13+AM13+AK13+AI13+AG13+AE13+AC13+AA13+Y13+W13+U13+S13+Q13+O13+M13+K13+I13+AS13+G13+AU13</f>
        <v>30</v>
      </c>
      <c r="AX13" s="52">
        <v>5500</v>
      </c>
      <c r="AY13" s="46">
        <f>+AW13*AX13</f>
        <v>165000</v>
      </c>
      <c r="AZ13" s="32"/>
    </row>
    <row r="14" spans="1:52" s="38" customFormat="1" ht="13.5" thickBot="1" x14ac:dyDescent="0.25">
      <c r="A14" s="54">
        <v>5</v>
      </c>
      <c r="B14" s="54" t="s">
        <v>66</v>
      </c>
      <c r="C14" s="54" t="s">
        <v>63</v>
      </c>
      <c r="D14" s="54" t="s">
        <v>64</v>
      </c>
      <c r="E14" s="55" t="s">
        <v>67</v>
      </c>
      <c r="F14" s="54" t="s">
        <v>61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6"/>
      <c r="T14" s="57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>
        <v>25</v>
      </c>
      <c r="AN14" s="49">
        <f>+AM14*AX14</f>
        <v>87500</v>
      </c>
      <c r="AO14" s="54"/>
      <c r="AP14" s="54"/>
      <c r="AQ14" s="54"/>
      <c r="AR14" s="57"/>
      <c r="AS14" s="58"/>
      <c r="AT14" s="54"/>
      <c r="AU14" s="58"/>
      <c r="AV14" s="54"/>
      <c r="AW14" s="33">
        <f>+AQ14+AO14+AM14+AK14+AI14+AG14+AE14+AC14+AA14+Y14+W14+U14+S14+Q14+O14+M14+K14+I14+AS14+G14+AU14</f>
        <v>25</v>
      </c>
      <c r="AX14" s="57">
        <v>3500</v>
      </c>
      <c r="AY14" s="49">
        <f>+AW14*AX14</f>
        <v>87500</v>
      </c>
      <c r="AZ14" s="32"/>
    </row>
    <row r="15" spans="1:52" s="44" customFormat="1" ht="13.5" thickBot="1" x14ac:dyDescent="0.25">
      <c r="A15" s="42"/>
      <c r="B15" s="37"/>
      <c r="C15" s="37"/>
      <c r="D15" s="37"/>
      <c r="E15" s="36" t="s">
        <v>74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9"/>
      <c r="T15" s="40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40"/>
      <c r="AO15" s="37"/>
      <c r="AP15" s="37"/>
      <c r="AQ15" s="37"/>
      <c r="AR15" s="40"/>
      <c r="AS15" s="41"/>
      <c r="AT15" s="37"/>
      <c r="AU15" s="41"/>
      <c r="AV15" s="37"/>
      <c r="AW15" s="34"/>
      <c r="AX15" s="40"/>
      <c r="AY15" s="59">
        <f>+SUM(AY10:AY14)</f>
        <v>650000</v>
      </c>
      <c r="AZ15" s="43"/>
    </row>
    <row r="16" spans="1:52" ht="15.75" thickBot="1" x14ac:dyDescent="0.3"/>
    <row r="17" spans="3:5" ht="30" x14ac:dyDescent="0.25">
      <c r="C17" s="111" t="s">
        <v>112</v>
      </c>
      <c r="D17" s="165" t="s">
        <v>118</v>
      </c>
      <c r="E17" s="166"/>
    </row>
    <row r="18" spans="3:5" x14ac:dyDescent="0.25">
      <c r="C18" s="112"/>
      <c r="D18" s="118"/>
      <c r="E18" s="116"/>
    </row>
    <row r="19" spans="3:5" ht="15" customHeight="1" x14ac:dyDescent="0.25">
      <c r="C19" s="113" t="s">
        <v>113</v>
      </c>
      <c r="D19" s="167" t="s">
        <v>119</v>
      </c>
      <c r="E19" s="168"/>
    </row>
    <row r="20" spans="3:5" x14ac:dyDescent="0.25">
      <c r="C20" s="113"/>
      <c r="D20" s="118"/>
      <c r="E20" s="116"/>
    </row>
    <row r="21" spans="3:5" ht="27" customHeight="1" x14ac:dyDescent="0.25">
      <c r="C21" s="113" t="s">
        <v>114</v>
      </c>
      <c r="D21" s="167" t="s">
        <v>120</v>
      </c>
      <c r="E21" s="168"/>
    </row>
    <row r="22" spans="3:5" x14ac:dyDescent="0.25">
      <c r="C22" s="113"/>
      <c r="D22" s="118"/>
      <c r="E22" s="116"/>
    </row>
    <row r="23" spans="3:5" x14ac:dyDescent="0.25">
      <c r="C23" s="114" t="s">
        <v>115</v>
      </c>
      <c r="D23" s="117"/>
      <c r="E23" s="116"/>
    </row>
    <row r="24" spans="3:5" x14ac:dyDescent="0.25">
      <c r="C24" s="114"/>
      <c r="D24" s="117"/>
      <c r="E24" s="116"/>
    </row>
    <row r="25" spans="3:5" ht="15.75" thickBot="1" x14ac:dyDescent="0.3">
      <c r="C25" s="115" t="s">
        <v>116</v>
      </c>
      <c r="D25" s="163" t="s">
        <v>117</v>
      </c>
      <c r="E25" s="164"/>
    </row>
  </sheetData>
  <sortState xmlns:xlrd2="http://schemas.microsoft.com/office/spreadsheetml/2017/richdata2" ref="A10:AY14">
    <sortCondition ref="E10:E14"/>
  </sortState>
  <mergeCells count="9">
    <mergeCell ref="A6:B6"/>
    <mergeCell ref="B2:AX2"/>
    <mergeCell ref="A4:B4"/>
    <mergeCell ref="A5:B5"/>
    <mergeCell ref="D25:E25"/>
    <mergeCell ref="D17:E17"/>
    <mergeCell ref="D19:E19"/>
    <mergeCell ref="D21:E21"/>
    <mergeCell ref="A7:B7"/>
  </mergeCells>
  <conditionalFormatting sqref="B1:B9 E1:E9">
    <cfRule type="duplicateValues" dxfId="7" priority="98"/>
  </conditionalFormatting>
  <conditionalFormatting sqref="E1:E9 B1:B9">
    <cfRule type="duplicateValues" dxfId="6" priority="99"/>
  </conditionalFormatting>
  <conditionalFormatting sqref="B1:B9">
    <cfRule type="duplicateValues" dxfId="5" priority="142"/>
  </conditionalFormatting>
  <conditionalFormatting sqref="E1:E9">
    <cfRule type="duplicateValues" dxfId="4" priority="143"/>
  </conditionalFormatting>
  <conditionalFormatting sqref="E1:E9">
    <cfRule type="duplicateValues" dxfId="3" priority="144"/>
    <cfRule type="duplicateValues" dxfId="2" priority="145"/>
  </conditionalFormatting>
  <conditionalFormatting sqref="C19:C25">
    <cfRule type="duplicateValues" dxfId="1" priority="1"/>
  </conditionalFormatting>
  <conditionalFormatting sqref="C19:C2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A32" sqref="A32"/>
    </sheetView>
  </sheetViews>
  <sheetFormatPr baseColWidth="10" defaultRowHeight="15" x14ac:dyDescent="0.25"/>
  <cols>
    <col min="1" max="1" width="105.5703125" customWidth="1"/>
    <col min="2" max="2" width="36.140625" customWidth="1"/>
    <col min="3" max="3" width="7.140625" customWidth="1"/>
    <col min="4" max="4" width="93.7109375" customWidth="1"/>
  </cols>
  <sheetData>
    <row r="1" spans="1:4" s="151" customFormat="1" ht="15.75" x14ac:dyDescent="0.25">
      <c r="A1" s="156" t="s">
        <v>131</v>
      </c>
    </row>
    <row r="2" spans="1:4" s="151" customFormat="1" ht="15.75" x14ac:dyDescent="0.25"/>
    <row r="3" spans="1:4" s="151" customFormat="1" ht="15.75" x14ac:dyDescent="0.25">
      <c r="A3" s="157" t="s">
        <v>136</v>
      </c>
      <c r="B3" s="152"/>
      <c r="C3" s="152"/>
      <c r="D3" s="152"/>
    </row>
    <row r="4" spans="1:4" s="153" customFormat="1" ht="15.75" x14ac:dyDescent="0.25">
      <c r="A4" s="158" t="s">
        <v>132</v>
      </c>
    </row>
    <row r="5" spans="1:4" s="153" customFormat="1" ht="15.75" x14ac:dyDescent="0.25">
      <c r="A5" s="159" t="s">
        <v>133</v>
      </c>
    </row>
    <row r="6" spans="1:4" s="151" customFormat="1" ht="15.75" x14ac:dyDescent="0.25">
      <c r="A6" s="152"/>
      <c r="B6" s="154"/>
      <c r="C6" s="154"/>
      <c r="D6" s="154"/>
    </row>
    <row r="7" spans="1:4" s="151" customFormat="1" ht="15.75" x14ac:dyDescent="0.25">
      <c r="A7" s="157" t="s">
        <v>137</v>
      </c>
      <c r="B7" s="152"/>
      <c r="C7" s="152"/>
      <c r="D7" s="152"/>
    </row>
    <row r="8" spans="1:4" s="151" customFormat="1" ht="15.75" x14ac:dyDescent="0.25">
      <c r="A8" s="158" t="s">
        <v>134</v>
      </c>
      <c r="B8" s="152"/>
      <c r="C8" s="152"/>
      <c r="D8" s="152"/>
    </row>
    <row r="9" spans="1:4" s="153" customFormat="1" ht="15.75" x14ac:dyDescent="0.25">
      <c r="A9" s="159" t="s">
        <v>135</v>
      </c>
    </row>
    <row r="10" spans="1:4" s="151" customFormat="1" ht="15.75" x14ac:dyDescent="0.25">
      <c r="A10" s="152"/>
      <c r="B10" s="154"/>
      <c r="C10" s="154"/>
      <c r="D10" s="154"/>
    </row>
    <row r="11" spans="1:4" s="151" customFormat="1" ht="15.75" x14ac:dyDescent="0.25">
      <c r="A11" s="157" t="s">
        <v>138</v>
      </c>
      <c r="B11" s="154"/>
      <c r="C11" s="154"/>
      <c r="D11" s="154"/>
    </row>
    <row r="12" spans="1:4" s="151" customFormat="1" ht="15.75" x14ac:dyDescent="0.25">
      <c r="A12" s="158" t="s">
        <v>139</v>
      </c>
      <c r="B12" s="154"/>
      <c r="C12" s="154"/>
      <c r="D12" s="154"/>
    </row>
    <row r="13" spans="1:4" s="151" customFormat="1" ht="15.75" x14ac:dyDescent="0.25">
      <c r="A13" s="159" t="s">
        <v>142</v>
      </c>
      <c r="B13" s="150"/>
      <c r="C13" s="150"/>
      <c r="D13" s="150"/>
    </row>
    <row r="14" spans="1:4" s="151" customFormat="1" ht="15.75" x14ac:dyDescent="0.25">
      <c r="A14" s="152"/>
      <c r="B14" s="152"/>
      <c r="C14" s="152"/>
      <c r="D14" s="152"/>
    </row>
    <row r="15" spans="1:4" s="151" customFormat="1" ht="15.75" x14ac:dyDescent="0.25">
      <c r="A15" s="157" t="s">
        <v>129</v>
      </c>
      <c r="B15" s="154"/>
      <c r="C15" s="154"/>
      <c r="D15" s="154"/>
    </row>
    <row r="16" spans="1:4" s="151" customFormat="1" ht="15.75" x14ac:dyDescent="0.25">
      <c r="A16" s="160" t="s">
        <v>140</v>
      </c>
      <c r="B16" s="154"/>
      <c r="C16" s="154"/>
      <c r="D16" s="154"/>
    </row>
    <row r="17" spans="1:4" s="151" customFormat="1" ht="15.75" x14ac:dyDescent="0.25">
      <c r="A17" s="159" t="s">
        <v>141</v>
      </c>
      <c r="B17" s="150"/>
      <c r="C17" s="150"/>
      <c r="D17" s="150"/>
    </row>
    <row r="18" spans="1:4" s="151" customFormat="1" ht="15.75" x14ac:dyDescent="0.25">
      <c r="A18" s="155"/>
      <c r="B18" s="155"/>
      <c r="C18" s="155"/>
      <c r="D18" s="155"/>
    </row>
    <row r="19" spans="1:4" s="151" customFormat="1" ht="15.75" x14ac:dyDescent="0.25">
      <c r="A19" s="157" t="s">
        <v>130</v>
      </c>
      <c r="B19" s="154"/>
      <c r="C19" s="154"/>
      <c r="D19" s="154"/>
    </row>
    <row r="20" spans="1:4" s="151" customFormat="1" ht="15.75" x14ac:dyDescent="0.25">
      <c r="A20" s="160" t="s">
        <v>143</v>
      </c>
      <c r="B20" s="154"/>
      <c r="C20" s="154"/>
      <c r="D20" s="154"/>
    </row>
    <row r="21" spans="1:4" s="151" customFormat="1" ht="15" customHeight="1" x14ac:dyDescent="0.25">
      <c r="A21" s="159" t="s">
        <v>144</v>
      </c>
      <c r="B21" s="150"/>
      <c r="C21" s="150"/>
      <c r="D21" s="150"/>
    </row>
    <row r="22" spans="1:4" s="153" customFormat="1" x14ac:dyDescent="0.25"/>
    <row r="23" spans="1:4" s="153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workbookViewId="0">
      <selection activeCell="K2" sqref="K2"/>
    </sheetView>
  </sheetViews>
  <sheetFormatPr baseColWidth="10" defaultRowHeight="15" x14ac:dyDescent="0.25"/>
  <cols>
    <col min="1" max="1" width="5.5703125" customWidth="1"/>
    <col min="2" max="2" width="15.140625" style="149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31.7109375" customWidth="1"/>
    <col min="8" max="8" width="9.28515625" customWidth="1"/>
    <col min="9" max="9" width="15.5703125" customWidth="1"/>
    <col min="10" max="10" width="14.7109375" style="144" customWidth="1"/>
    <col min="11" max="11" width="15.5703125" customWidth="1"/>
    <col min="13" max="13" width="11.42578125" style="145"/>
  </cols>
  <sheetData>
    <row r="1" spans="1:13" ht="30.75" thickBot="1" x14ac:dyDescent="0.3">
      <c r="A1" s="171" t="s">
        <v>75</v>
      </c>
      <c r="B1" s="171"/>
      <c r="C1" s="171"/>
      <c r="D1" s="171"/>
      <c r="E1" s="171"/>
      <c r="F1" s="171"/>
      <c r="G1" s="171"/>
      <c r="H1" s="171"/>
      <c r="I1" s="171"/>
      <c r="J1" s="138" t="s">
        <v>76</v>
      </c>
      <c r="K1" s="66" t="s">
        <v>145</v>
      </c>
    </row>
    <row r="2" spans="1:13" ht="16.5" thickBot="1" x14ac:dyDescent="0.3">
      <c r="A2" s="67"/>
      <c r="B2" s="146"/>
      <c r="C2" s="68"/>
      <c r="D2" s="69"/>
      <c r="E2" s="69"/>
      <c r="F2" s="69"/>
      <c r="G2" s="69"/>
      <c r="H2" s="69"/>
      <c r="I2" s="69"/>
      <c r="J2" s="139"/>
      <c r="K2" s="70"/>
    </row>
    <row r="3" spans="1:13" ht="16.5" thickBot="1" x14ac:dyDescent="0.3">
      <c r="A3" s="172" t="s">
        <v>77</v>
      </c>
      <c r="B3" s="172"/>
      <c r="C3" s="172"/>
      <c r="D3" s="170" t="str">
        <f>'SAF 011'!C4</f>
        <v>040 - MINISTERIO DE SALUD</v>
      </c>
      <c r="E3" s="170"/>
      <c r="F3" s="170"/>
      <c r="G3" s="170"/>
      <c r="H3" s="170"/>
      <c r="I3" s="170"/>
      <c r="J3" s="170"/>
      <c r="K3" s="170"/>
    </row>
    <row r="4" spans="1:13" ht="16.5" thickBot="1" x14ac:dyDescent="0.3">
      <c r="A4" s="169" t="s">
        <v>78</v>
      </c>
      <c r="B4" s="169"/>
      <c r="C4" s="169"/>
      <c r="D4" s="170" t="str">
        <f>'SAF 011'!C5</f>
        <v>011 - DIRECCION PROVINCIAL DE ADMINISTRACION - MINISTERIO DE SALUD</v>
      </c>
      <c r="E4" s="170"/>
      <c r="F4" s="170"/>
      <c r="G4" s="170"/>
      <c r="H4" s="170"/>
      <c r="I4" s="170"/>
      <c r="J4" s="170"/>
      <c r="K4" s="170"/>
    </row>
    <row r="5" spans="1:13" ht="16.5" thickBot="1" x14ac:dyDescent="0.3">
      <c r="A5" s="169" t="s">
        <v>79</v>
      </c>
      <c r="B5" s="169"/>
      <c r="C5" s="169"/>
      <c r="D5" s="170" t="s">
        <v>121</v>
      </c>
      <c r="E5" s="170"/>
      <c r="F5" s="170"/>
      <c r="G5" s="170"/>
      <c r="H5" s="170"/>
      <c r="I5" s="170"/>
      <c r="J5" s="170"/>
      <c r="K5" s="170"/>
    </row>
    <row r="6" spans="1:13" ht="16.5" thickBot="1" x14ac:dyDescent="0.3">
      <c r="A6" s="172" t="s">
        <v>80</v>
      </c>
      <c r="B6" s="172"/>
      <c r="C6" s="172"/>
      <c r="D6" s="170" t="s">
        <v>121</v>
      </c>
      <c r="E6" s="170"/>
      <c r="F6" s="170"/>
      <c r="G6" s="170"/>
      <c r="H6" s="170"/>
      <c r="I6" s="170"/>
      <c r="J6" s="170"/>
      <c r="K6" s="170"/>
    </row>
    <row r="7" spans="1:13" ht="16.5" thickBot="1" x14ac:dyDescent="0.3">
      <c r="A7" s="169" t="s">
        <v>81</v>
      </c>
      <c r="B7" s="169"/>
      <c r="C7" s="169"/>
      <c r="D7" s="170" t="s">
        <v>122</v>
      </c>
      <c r="E7" s="170"/>
      <c r="F7" s="170"/>
      <c r="G7" s="170"/>
      <c r="H7" s="170"/>
      <c r="I7" s="170"/>
      <c r="J7" s="170"/>
      <c r="K7" s="170"/>
    </row>
    <row r="8" spans="1:13" ht="16.5" thickBot="1" x14ac:dyDescent="0.3">
      <c r="A8" s="173" t="s">
        <v>82</v>
      </c>
      <c r="B8" s="173"/>
      <c r="C8" s="173"/>
      <c r="D8" s="174" t="s">
        <v>123</v>
      </c>
      <c r="E8" s="174"/>
      <c r="F8" s="174"/>
      <c r="G8" s="174"/>
      <c r="H8" s="174"/>
      <c r="I8" s="174"/>
      <c r="J8" s="174"/>
      <c r="K8" s="174"/>
    </row>
    <row r="9" spans="1:13" ht="16.5" thickBot="1" x14ac:dyDescent="0.3">
      <c r="A9" s="71"/>
      <c r="B9" s="147"/>
      <c r="C9" s="72"/>
      <c r="D9" s="73"/>
      <c r="E9" s="73"/>
      <c r="F9" s="73"/>
      <c r="G9" s="73"/>
      <c r="H9" s="73"/>
      <c r="I9" s="73"/>
      <c r="J9" s="140"/>
      <c r="K9" s="74"/>
    </row>
    <row r="10" spans="1:13" ht="15.75" thickBot="1" x14ac:dyDescent="0.3">
      <c r="A10" s="185" t="s">
        <v>83</v>
      </c>
      <c r="B10" s="183" t="s">
        <v>84</v>
      </c>
      <c r="C10" s="183" t="s">
        <v>85</v>
      </c>
      <c r="D10" s="183"/>
      <c r="E10" s="183"/>
      <c r="F10" s="183"/>
      <c r="G10" s="183"/>
      <c r="H10" s="183" t="s">
        <v>86</v>
      </c>
      <c r="I10" s="183" t="s">
        <v>87</v>
      </c>
      <c r="J10" s="184" t="s">
        <v>88</v>
      </c>
      <c r="K10" s="178" t="s">
        <v>89</v>
      </c>
    </row>
    <row r="11" spans="1:13" ht="27" customHeight="1" thickBot="1" x14ac:dyDescent="0.3">
      <c r="A11" s="185"/>
      <c r="B11" s="183"/>
      <c r="C11" s="183"/>
      <c r="D11" s="183"/>
      <c r="E11" s="183"/>
      <c r="F11" s="183"/>
      <c r="G11" s="183"/>
      <c r="H11" s="183"/>
      <c r="I11" s="183"/>
      <c r="J11" s="184"/>
      <c r="K11" s="178"/>
    </row>
    <row r="12" spans="1:13" s="125" customFormat="1" x14ac:dyDescent="0.25">
      <c r="A12" s="126">
        <v>1</v>
      </c>
      <c r="B12" s="128" t="str">
        <f>'SAF 011'!B10</f>
        <v>2.2.2.-836.493</v>
      </c>
      <c r="C12" s="179" t="str">
        <f>'SAF 011'!E10</f>
        <v>AMBO; SACO: RECTO Y PANTALON, TELA: POLIESTER - VICOSA</v>
      </c>
      <c r="D12" s="179"/>
      <c r="E12" s="179"/>
      <c r="F12" s="179"/>
      <c r="G12" s="179"/>
      <c r="H12" s="128" t="s">
        <v>124</v>
      </c>
      <c r="I12" s="129" t="str">
        <f>'SAF 011'!F10</f>
        <v xml:space="preserve">UNIDAD </v>
      </c>
      <c r="J12" s="141">
        <f>'SAF 011'!AX10</f>
        <v>7000</v>
      </c>
      <c r="K12" s="130">
        <f>'SAF 011'!AM10</f>
        <v>30</v>
      </c>
      <c r="M12" s="145">
        <f>+J12*K12</f>
        <v>210000</v>
      </c>
    </row>
    <row r="13" spans="1:13" s="125" customFormat="1" ht="16.5" customHeight="1" x14ac:dyDescent="0.25">
      <c r="A13" s="127">
        <v>2</v>
      </c>
      <c r="B13" s="131" t="str">
        <f>'SAF 011'!B11</f>
        <v>2.2.2-6729.61</v>
      </c>
      <c r="C13" s="180" t="str">
        <f>'SAF 011'!E11</f>
        <v>CALZADOS; TIPO: BOTAS, MATERIAL: CUERO, SUELA: GOMA, SEXO: MASCULINO</v>
      </c>
      <c r="D13" s="181"/>
      <c r="E13" s="181"/>
      <c r="F13" s="181"/>
      <c r="G13" s="182"/>
      <c r="H13" s="131" t="s">
        <v>124</v>
      </c>
      <c r="I13" s="132" t="str">
        <f>'SAF 011'!F11</f>
        <v>UNIDAD</v>
      </c>
      <c r="J13" s="142">
        <f>'SAF 011'!AX11</f>
        <v>4000</v>
      </c>
      <c r="K13" s="133">
        <f>'SAF 011'!AM11</f>
        <v>25</v>
      </c>
      <c r="M13" s="145">
        <f t="shared" ref="M13:M16" si="0">+J13*K13</f>
        <v>100000</v>
      </c>
    </row>
    <row r="14" spans="1:13" s="125" customFormat="1" ht="16.5" customHeight="1" x14ac:dyDescent="0.25">
      <c r="A14" s="127">
        <v>3</v>
      </c>
      <c r="B14" s="131" t="str">
        <f>'SAF 011'!B12</f>
        <v>2.2.2-6731.27</v>
      </c>
      <c r="C14" s="180" t="str">
        <f>'SAF 011'!E12</f>
        <v>CAMISAS; TIPO: DE TRABAJO, TELA: GRAFA, MANGA: LARGA, COSTURA: REFORZADA, BOLSILLO: 2</v>
      </c>
      <c r="D14" s="181"/>
      <c r="E14" s="181"/>
      <c r="F14" s="181"/>
      <c r="G14" s="182"/>
      <c r="H14" s="131" t="s">
        <v>124</v>
      </c>
      <c r="I14" s="132" t="str">
        <f>'SAF 011'!F12</f>
        <v>UNIDAD</v>
      </c>
      <c r="J14" s="142">
        <f>'SAF 011'!AX12</f>
        <v>3500</v>
      </c>
      <c r="K14" s="133">
        <f>'SAF 011'!AM12</f>
        <v>25</v>
      </c>
      <c r="M14" s="145">
        <f t="shared" si="0"/>
        <v>87500</v>
      </c>
    </row>
    <row r="15" spans="1:13" s="125" customFormat="1" ht="16.5" customHeight="1" x14ac:dyDescent="0.25">
      <c r="A15" s="127">
        <v>4</v>
      </c>
      <c r="B15" s="131" t="str">
        <f>'SAF 011'!B13</f>
        <v>2.2.2-1721.17</v>
      </c>
      <c r="C15" s="180" t="str">
        <f>'SAF 011'!E13</f>
        <v>DELANTALES; TIPO: P/CONSULTORIO MEDICO, MATERIAL: ACROCEL, PROTECCION: SIN</v>
      </c>
      <c r="D15" s="181"/>
      <c r="E15" s="181"/>
      <c r="F15" s="181"/>
      <c r="G15" s="182"/>
      <c r="H15" s="131" t="s">
        <v>124</v>
      </c>
      <c r="I15" s="132" t="str">
        <f>'SAF 011'!F13</f>
        <v xml:space="preserve">UNIDAD </v>
      </c>
      <c r="J15" s="142">
        <f>'SAF 011'!AX13</f>
        <v>5500</v>
      </c>
      <c r="K15" s="133">
        <f>'SAF 011'!AM13</f>
        <v>30</v>
      </c>
      <c r="M15" s="145">
        <f t="shared" si="0"/>
        <v>165000</v>
      </c>
    </row>
    <row r="16" spans="1:13" s="125" customFormat="1" ht="16.5" customHeight="1" x14ac:dyDescent="0.25">
      <c r="A16" s="127">
        <v>5</v>
      </c>
      <c r="B16" s="131" t="str">
        <f>'SAF 011'!B14</f>
        <v>2.2.2-6738.22</v>
      </c>
      <c r="C16" s="180" t="str">
        <f>'SAF 011'!E14</f>
        <v>PANTALONES; TELA: GRAFA, SEXO: MASCULINO, TIPO: DE TRABAJO</v>
      </c>
      <c r="D16" s="181"/>
      <c r="E16" s="181"/>
      <c r="F16" s="181"/>
      <c r="G16" s="182"/>
      <c r="H16" s="131" t="s">
        <v>124</v>
      </c>
      <c r="I16" s="132" t="str">
        <f>'SAF 011'!F14</f>
        <v xml:space="preserve">UNIDAD </v>
      </c>
      <c r="J16" s="142">
        <f>'SAF 011'!AX14</f>
        <v>3500</v>
      </c>
      <c r="K16" s="133">
        <f>'SAF 011'!AM14</f>
        <v>25</v>
      </c>
      <c r="M16" s="145">
        <f t="shared" si="0"/>
        <v>87500</v>
      </c>
    </row>
    <row r="17" spans="1:13" ht="16.5" thickBot="1" x14ac:dyDescent="0.3">
      <c r="A17" s="134"/>
      <c r="B17" s="148"/>
      <c r="C17" s="177"/>
      <c r="D17" s="177"/>
      <c r="E17" s="177"/>
      <c r="F17" s="177"/>
      <c r="G17" s="177"/>
      <c r="H17" s="135"/>
      <c r="I17" s="136"/>
      <c r="J17" s="143"/>
      <c r="K17" s="137"/>
    </row>
    <row r="18" spans="1:13" ht="19.5" thickBot="1" x14ac:dyDescent="0.3">
      <c r="A18" s="175" t="s">
        <v>127</v>
      </c>
      <c r="B18" s="175"/>
      <c r="C18" s="175"/>
      <c r="D18" s="175"/>
      <c r="E18" s="175"/>
      <c r="F18" s="175"/>
      <c r="G18" s="175"/>
      <c r="H18" s="175"/>
      <c r="I18" s="175"/>
      <c r="J18" s="176">
        <f>+M18</f>
        <v>650000</v>
      </c>
      <c r="K18" s="176"/>
      <c r="M18" s="145">
        <f>SUM(M12:M17)</f>
        <v>650000</v>
      </c>
    </row>
  </sheetData>
  <mergeCells count="28">
    <mergeCell ref="A18:I18"/>
    <mergeCell ref="J18:K18"/>
    <mergeCell ref="C17:G17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topLeftCell="A13" workbookViewId="0">
      <selection activeCell="A11" sqref="A11"/>
    </sheetView>
  </sheetViews>
  <sheetFormatPr baseColWidth="10" defaultRowHeight="15" x14ac:dyDescent="0.25"/>
  <cols>
    <col min="1" max="5" width="4.42578125" customWidth="1"/>
    <col min="6" max="6" width="8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7" t="s">
        <v>5</v>
      </c>
      <c r="B1" s="187"/>
      <c r="C1" s="187"/>
      <c r="D1" s="188">
        <v>2022</v>
      </c>
      <c r="E1" s="188"/>
      <c r="F1" s="75"/>
      <c r="G1" s="75"/>
      <c r="H1" s="76"/>
      <c r="I1" s="76"/>
      <c r="J1" s="76"/>
      <c r="K1" s="76"/>
      <c r="L1" s="76"/>
      <c r="M1" s="76"/>
      <c r="N1" s="76"/>
      <c r="O1" s="77"/>
      <c r="P1" s="189" t="s">
        <v>90</v>
      </c>
      <c r="Q1" s="189"/>
    </row>
    <row r="2" spans="1:17" ht="15.75" thickBot="1" x14ac:dyDescent="0.3">
      <c r="A2" s="78"/>
      <c r="B2" s="79"/>
      <c r="C2" s="79"/>
      <c r="D2" s="79"/>
      <c r="E2" s="79"/>
      <c r="F2" s="79"/>
      <c r="G2" s="80"/>
      <c r="H2" s="81"/>
      <c r="I2" s="81"/>
      <c r="J2" s="81"/>
      <c r="K2" s="81"/>
      <c r="L2" s="81"/>
      <c r="M2" s="81"/>
      <c r="N2" s="81"/>
      <c r="O2" s="79"/>
      <c r="P2" s="189"/>
      <c r="Q2" s="189"/>
    </row>
    <row r="3" spans="1:17" ht="15.75" thickBot="1" x14ac:dyDescent="0.3">
      <c r="A3" s="78"/>
      <c r="B3" s="79"/>
      <c r="C3" s="79"/>
      <c r="D3" s="79"/>
      <c r="E3" s="79"/>
      <c r="F3" s="79"/>
      <c r="G3" s="80"/>
      <c r="H3" s="79"/>
      <c r="I3" s="79"/>
      <c r="J3" s="79"/>
      <c r="K3" s="79"/>
      <c r="L3" s="79"/>
      <c r="M3" s="79"/>
      <c r="N3" s="79"/>
      <c r="O3" s="79"/>
      <c r="P3" s="79"/>
      <c r="Q3" s="82"/>
    </row>
    <row r="4" spans="1:17" ht="15.75" thickBot="1" x14ac:dyDescent="0.3">
      <c r="A4" s="190" t="s">
        <v>91</v>
      </c>
      <c r="B4" s="190"/>
      <c r="C4" s="190"/>
      <c r="D4" s="190"/>
      <c r="E4" s="190"/>
      <c r="F4" s="190"/>
      <c r="G4" s="191" t="str">
        <f>NP!D3</f>
        <v>040 - MINISTERIO DE SALUD</v>
      </c>
      <c r="H4" s="191"/>
      <c r="I4" s="191"/>
      <c r="J4" s="191"/>
      <c r="K4" s="191"/>
      <c r="L4" s="191"/>
      <c r="M4" s="191"/>
      <c r="N4" s="191"/>
      <c r="O4" s="191"/>
      <c r="P4" s="191"/>
      <c r="Q4" s="191"/>
    </row>
    <row r="5" spans="1:17" ht="15.75" thickBot="1" x14ac:dyDescent="0.3">
      <c r="A5" s="192" t="s">
        <v>78</v>
      </c>
      <c r="B5" s="192"/>
      <c r="C5" s="192"/>
      <c r="D5" s="192"/>
      <c r="E5" s="192"/>
      <c r="F5" s="192"/>
      <c r="G5" s="191" t="str">
        <f>NP!D4</f>
        <v>011 - DIRECCION PROVINCIAL DE ADMINISTRACION - MINISTERIO DE SALUD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</row>
    <row r="6" spans="1:17" ht="15.75" thickBot="1" x14ac:dyDescent="0.3">
      <c r="A6" s="192" t="s">
        <v>79</v>
      </c>
      <c r="B6" s="192"/>
      <c r="C6" s="192"/>
      <c r="D6" s="192"/>
      <c r="E6" s="192"/>
      <c r="F6" s="192"/>
      <c r="G6" s="191" t="str">
        <f>NP!D5</f>
        <v>SECRETARIA DE PLANIFICACION Y GESTION EN SALUD</v>
      </c>
      <c r="H6" s="191"/>
      <c r="I6" s="191"/>
      <c r="J6" s="191"/>
      <c r="K6" s="191"/>
      <c r="L6" s="191"/>
      <c r="M6" s="191"/>
      <c r="N6" s="191"/>
      <c r="O6" s="191"/>
      <c r="P6" s="191"/>
      <c r="Q6" s="191"/>
    </row>
    <row r="7" spans="1:17" ht="15.75" thickBot="1" x14ac:dyDescent="0.3">
      <c r="A7" s="192" t="s">
        <v>80</v>
      </c>
      <c r="B7" s="192"/>
      <c r="C7" s="192"/>
      <c r="D7" s="192"/>
      <c r="E7" s="192"/>
      <c r="F7" s="192"/>
      <c r="G7" s="191" t="str">
        <f>NP!D6</f>
        <v>SECRETARIA DE PLANIFICACION Y GESTION EN SALUD</v>
      </c>
      <c r="H7" s="191"/>
      <c r="I7" s="191"/>
      <c r="J7" s="191"/>
      <c r="K7" s="191"/>
      <c r="L7" s="191"/>
      <c r="M7" s="191"/>
      <c r="N7" s="191"/>
      <c r="O7" s="191"/>
      <c r="P7" s="191"/>
      <c r="Q7" s="191"/>
    </row>
    <row r="8" spans="1:17" ht="15.75" thickBot="1" x14ac:dyDescent="0.3">
      <c r="A8" s="193" t="s">
        <v>92</v>
      </c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</row>
    <row r="9" spans="1:17" ht="20.25" customHeight="1" x14ac:dyDescent="0.25">
      <c r="A9" s="186" t="s">
        <v>93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</row>
    <row r="10" spans="1:17" ht="69" customHeight="1" x14ac:dyDescent="0.25">
      <c r="A10" s="195" t="s">
        <v>146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</row>
    <row r="11" spans="1:17" ht="15.75" thickBot="1" x14ac:dyDescent="0.3">
      <c r="A11" s="83"/>
      <c r="B11" s="84"/>
      <c r="C11" s="84"/>
      <c r="D11" s="84"/>
      <c r="E11" s="84"/>
      <c r="F11" s="84"/>
      <c r="G11" s="85"/>
      <c r="H11" s="84"/>
      <c r="I11" s="84"/>
      <c r="J11" s="84"/>
      <c r="K11" s="84"/>
      <c r="L11" s="84"/>
      <c r="M11" s="84"/>
      <c r="N11" s="84"/>
      <c r="O11" s="84"/>
      <c r="P11" s="84"/>
      <c r="Q11" s="86"/>
    </row>
    <row r="12" spans="1:17" ht="15.75" thickBot="1" x14ac:dyDescent="0.3">
      <c r="A12" s="196" t="s">
        <v>94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</row>
    <row r="13" spans="1:17" ht="15.75" thickBot="1" x14ac:dyDescent="0.3">
      <c r="A13" s="197" t="s">
        <v>95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8" t="s">
        <v>96</v>
      </c>
      <c r="P13" s="198"/>
      <c r="Q13" s="199" t="s">
        <v>97</v>
      </c>
    </row>
    <row r="14" spans="1:17" ht="15.75" thickBot="1" x14ac:dyDescent="0.3">
      <c r="A14" s="87" t="s">
        <v>98</v>
      </c>
      <c r="B14" s="88" t="s">
        <v>99</v>
      </c>
      <c r="C14" s="88" t="s">
        <v>100</v>
      </c>
      <c r="D14" s="88" t="s">
        <v>101</v>
      </c>
      <c r="E14" s="88" t="s">
        <v>102</v>
      </c>
      <c r="F14" s="88" t="s">
        <v>103</v>
      </c>
      <c r="G14" s="89" t="s">
        <v>104</v>
      </c>
      <c r="H14" s="88" t="s">
        <v>105</v>
      </c>
      <c r="I14" s="88" t="s">
        <v>106</v>
      </c>
      <c r="J14" s="88" t="s">
        <v>107</v>
      </c>
      <c r="K14" s="88" t="s">
        <v>107</v>
      </c>
      <c r="L14" s="88" t="s">
        <v>108</v>
      </c>
      <c r="M14" s="90" t="s">
        <v>109</v>
      </c>
      <c r="N14" s="91" t="s">
        <v>110</v>
      </c>
      <c r="O14" s="198"/>
      <c r="P14" s="198"/>
      <c r="Q14" s="199"/>
    </row>
    <row r="15" spans="1:17" x14ac:dyDescent="0.25">
      <c r="A15" s="92">
        <v>2</v>
      </c>
      <c r="B15" s="93"/>
      <c r="C15" s="93"/>
      <c r="D15" s="93">
        <v>1</v>
      </c>
      <c r="E15" s="93"/>
      <c r="F15" s="93">
        <v>4901</v>
      </c>
      <c r="G15" s="93">
        <v>1</v>
      </c>
      <c r="H15" s="93">
        <v>3</v>
      </c>
      <c r="I15" s="93">
        <v>2</v>
      </c>
      <c r="J15" s="93">
        <v>2</v>
      </c>
      <c r="K15" s="93">
        <v>2</v>
      </c>
      <c r="L15" s="93"/>
      <c r="M15" s="94">
        <v>1</v>
      </c>
      <c r="N15" s="93" t="s">
        <v>125</v>
      </c>
      <c r="O15" s="200" t="s">
        <v>126</v>
      </c>
      <c r="P15" s="200"/>
      <c r="Q15" s="95">
        <v>150000</v>
      </c>
    </row>
    <row r="16" spans="1:17" x14ac:dyDescent="0.25">
      <c r="A16" s="96">
        <v>2</v>
      </c>
      <c r="B16" s="97"/>
      <c r="C16" s="97"/>
      <c r="D16" s="97">
        <v>3</v>
      </c>
      <c r="E16" s="97"/>
      <c r="F16" s="97">
        <v>4901</v>
      </c>
      <c r="G16" s="97">
        <v>1</v>
      </c>
      <c r="H16" s="97">
        <v>3</v>
      </c>
      <c r="I16" s="97">
        <v>2</v>
      </c>
      <c r="J16" s="97">
        <v>2</v>
      </c>
      <c r="K16" s="97">
        <v>2</v>
      </c>
      <c r="L16" s="97"/>
      <c r="M16" s="98">
        <v>1</v>
      </c>
      <c r="N16" s="99" t="s">
        <v>125</v>
      </c>
      <c r="O16" s="201" t="s">
        <v>126</v>
      </c>
      <c r="P16" s="201"/>
      <c r="Q16" s="100">
        <v>300000</v>
      </c>
    </row>
    <row r="17" spans="1:17" x14ac:dyDescent="0.25">
      <c r="A17" s="96">
        <v>2</v>
      </c>
      <c r="B17" s="97"/>
      <c r="C17" s="97"/>
      <c r="D17" s="97">
        <v>4</v>
      </c>
      <c r="E17" s="97"/>
      <c r="F17" s="97">
        <v>4901</v>
      </c>
      <c r="G17" s="97">
        <v>1</v>
      </c>
      <c r="H17" s="97">
        <v>3</v>
      </c>
      <c r="I17" s="97">
        <v>2</v>
      </c>
      <c r="J17" s="97">
        <v>2</v>
      </c>
      <c r="K17" s="97">
        <v>2</v>
      </c>
      <c r="L17" s="97"/>
      <c r="M17" s="98">
        <v>1</v>
      </c>
      <c r="N17" s="99" t="s">
        <v>125</v>
      </c>
      <c r="O17" s="202" t="s">
        <v>126</v>
      </c>
      <c r="P17" s="203"/>
      <c r="Q17" s="100">
        <v>200000</v>
      </c>
    </row>
    <row r="18" spans="1:17" x14ac:dyDescent="0.25">
      <c r="A18" s="96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8"/>
      <c r="N18" s="99"/>
      <c r="O18" s="194"/>
      <c r="P18" s="194"/>
      <c r="Q18" s="100"/>
    </row>
    <row r="19" spans="1:17" x14ac:dyDescent="0.25">
      <c r="A19" s="96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8"/>
      <c r="N19" s="99"/>
      <c r="O19" s="194"/>
      <c r="P19" s="194"/>
      <c r="Q19" s="100"/>
    </row>
    <row r="20" spans="1:17" x14ac:dyDescent="0.25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8"/>
      <c r="N20" s="99"/>
      <c r="O20" s="194"/>
      <c r="P20" s="194"/>
      <c r="Q20" s="100"/>
    </row>
    <row r="21" spans="1:17" x14ac:dyDescent="0.25">
      <c r="A21" s="96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8"/>
      <c r="N21" s="99"/>
      <c r="O21" s="194"/>
      <c r="P21" s="194"/>
      <c r="Q21" s="100"/>
    </row>
    <row r="22" spans="1:17" x14ac:dyDescent="0.25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8"/>
      <c r="N22" s="99"/>
      <c r="O22" s="194"/>
      <c r="P22" s="194"/>
      <c r="Q22" s="100"/>
    </row>
    <row r="23" spans="1:17" x14ac:dyDescent="0.25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8"/>
      <c r="N23" s="99"/>
      <c r="O23" s="194"/>
      <c r="P23" s="194"/>
      <c r="Q23" s="100"/>
    </row>
    <row r="24" spans="1:17" x14ac:dyDescent="0.25">
      <c r="A24" s="96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8"/>
      <c r="N24" s="99"/>
      <c r="O24" s="194"/>
      <c r="P24" s="194"/>
      <c r="Q24" s="100"/>
    </row>
    <row r="25" spans="1:17" x14ac:dyDescent="0.25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8"/>
      <c r="N25" s="99"/>
      <c r="O25" s="194"/>
      <c r="P25" s="194"/>
      <c r="Q25" s="100"/>
    </row>
    <row r="26" spans="1:17" x14ac:dyDescent="0.25">
      <c r="A26" s="96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8"/>
      <c r="N26" s="99"/>
      <c r="O26" s="194"/>
      <c r="P26" s="194"/>
      <c r="Q26" s="100"/>
    </row>
    <row r="27" spans="1:17" x14ac:dyDescent="0.25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8"/>
      <c r="N27" s="99"/>
      <c r="O27" s="194"/>
      <c r="P27" s="194"/>
      <c r="Q27" s="100"/>
    </row>
    <row r="28" spans="1:17" x14ac:dyDescent="0.25">
      <c r="A28" s="96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8"/>
      <c r="N28" s="99"/>
      <c r="O28" s="194"/>
      <c r="P28" s="194"/>
      <c r="Q28" s="100"/>
    </row>
    <row r="29" spans="1:17" x14ac:dyDescent="0.25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8"/>
      <c r="N29" s="99"/>
      <c r="O29" s="194"/>
      <c r="P29" s="194"/>
      <c r="Q29" s="100"/>
    </row>
    <row r="30" spans="1:17" x14ac:dyDescent="0.25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8"/>
      <c r="N30" s="99"/>
      <c r="O30" s="194"/>
      <c r="P30" s="194"/>
      <c r="Q30" s="100"/>
    </row>
    <row r="31" spans="1:17" x14ac:dyDescent="0.25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8"/>
      <c r="N31" s="99"/>
      <c r="O31" s="194"/>
      <c r="P31" s="194"/>
      <c r="Q31" s="100"/>
    </row>
    <row r="32" spans="1:17" x14ac:dyDescent="0.25">
      <c r="A32" s="96"/>
      <c r="B32" s="97"/>
      <c r="C32" s="97"/>
      <c r="D32" s="97"/>
      <c r="E32" s="97"/>
      <c r="F32" s="99"/>
      <c r="G32" s="97"/>
      <c r="H32" s="97"/>
      <c r="I32" s="97"/>
      <c r="J32" s="97"/>
      <c r="K32" s="97"/>
      <c r="L32" s="97"/>
      <c r="M32" s="98"/>
      <c r="N32" s="99"/>
      <c r="O32" s="201"/>
      <c r="P32" s="201"/>
      <c r="Q32" s="100"/>
    </row>
    <row r="33" spans="1:17" x14ac:dyDescent="0.25">
      <c r="A33" s="96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8"/>
      <c r="N33" s="99"/>
      <c r="O33" s="201"/>
      <c r="P33" s="201"/>
      <c r="Q33" s="100"/>
    </row>
    <row r="34" spans="1:17" x14ac:dyDescent="0.25">
      <c r="A34" s="96"/>
      <c r="B34" s="97"/>
      <c r="C34" s="97"/>
      <c r="D34" s="97"/>
      <c r="E34" s="97"/>
      <c r="F34" s="99"/>
      <c r="G34" s="97"/>
      <c r="H34" s="97"/>
      <c r="I34" s="97"/>
      <c r="J34" s="97"/>
      <c r="K34" s="97"/>
      <c r="L34" s="97"/>
      <c r="M34" s="98"/>
      <c r="N34" s="99"/>
      <c r="O34" s="201"/>
      <c r="P34" s="201"/>
      <c r="Q34" s="100"/>
    </row>
    <row r="35" spans="1:17" x14ac:dyDescent="0.25">
      <c r="A35" s="96"/>
      <c r="B35" s="97"/>
      <c r="C35" s="97"/>
      <c r="D35" s="97"/>
      <c r="E35" s="97"/>
      <c r="F35" s="99"/>
      <c r="G35" s="97"/>
      <c r="H35" s="97"/>
      <c r="I35" s="97"/>
      <c r="J35" s="97"/>
      <c r="K35" s="97"/>
      <c r="L35" s="97"/>
      <c r="M35" s="98"/>
      <c r="N35" s="99"/>
      <c r="O35" s="201"/>
      <c r="P35" s="201"/>
      <c r="Q35" s="100"/>
    </row>
    <row r="36" spans="1:17" x14ac:dyDescent="0.25">
      <c r="A36" s="101"/>
      <c r="B36" s="102"/>
      <c r="C36" s="102"/>
      <c r="D36" s="102"/>
      <c r="E36" s="102"/>
      <c r="F36" s="103"/>
      <c r="G36" s="102"/>
      <c r="H36" s="102"/>
      <c r="I36" s="102"/>
      <c r="J36" s="102"/>
      <c r="K36" s="102"/>
      <c r="L36" s="102"/>
      <c r="M36" s="104"/>
      <c r="N36" s="105"/>
      <c r="O36" s="207"/>
      <c r="P36" s="207"/>
      <c r="Q36" s="100"/>
    </row>
    <row r="37" spans="1:17" ht="15.75" thickBot="1" x14ac:dyDescent="0.3">
      <c r="A37" s="106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8"/>
      <c r="N37" s="107"/>
      <c r="O37" s="208"/>
      <c r="P37" s="208"/>
      <c r="Q37" s="109"/>
    </row>
    <row r="38" spans="1:17" ht="15.75" thickBot="1" x14ac:dyDescent="0.3">
      <c r="A38" s="209" t="s">
        <v>128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110">
        <f>SUM(Q15:Q37)</f>
        <v>650000</v>
      </c>
    </row>
    <row r="39" spans="1:17" ht="15.75" thickBot="1" x14ac:dyDescent="0.3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</row>
    <row r="40" spans="1:17" ht="15.75" thickBot="1" x14ac:dyDescent="0.3">
      <c r="A40" s="204" t="s">
        <v>111</v>
      </c>
      <c r="B40" s="204"/>
      <c r="C40" s="204"/>
      <c r="D40" s="204"/>
      <c r="E40" s="204"/>
      <c r="F40" s="204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</row>
    <row r="41" spans="1:17" ht="15.75" thickBot="1" x14ac:dyDescent="0.3">
      <c r="A41" s="206" t="str">
        <f>NP!D8</f>
        <v>ADQUISICION DEL RUBRO VESTIMENTA</v>
      </c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</row>
    <row r="42" spans="1:17" ht="15.75" thickBot="1" x14ac:dyDescent="0.3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SAF 011</vt:lpstr>
      <vt:lpstr>ANEXO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dcterms:created xsi:type="dcterms:W3CDTF">2021-12-21T17:55:07Z</dcterms:created>
  <dcterms:modified xsi:type="dcterms:W3CDTF">2022-02-14T12:08:04Z</dcterms:modified>
</cp:coreProperties>
</file>