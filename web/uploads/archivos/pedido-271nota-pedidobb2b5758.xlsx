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A38F3570-71D8-43FC-B63F-CD64B54549D6}"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NotaPedido" sheetId="2" r:id="rId2"/>
    <sheet name="Autor Gastar" sheetId="3" r:id="rId3"/>
  </sheets>
  <definedNames>
    <definedName name="_xlnm._FilterDatabase" localSheetId="0" hidden="1">'Necesidades Trimestrales'!$A$9:$I$29</definedName>
    <definedName name="_xlnm.Print_Area" localSheetId="2">'Autor Gastar'!$A$1:$Q$27</definedName>
    <definedName name="_xlnm.Print_Area" localSheetId="1">NotaPedido!$A$1:$K$32</definedName>
  </definedNames>
  <calcPr calcId="181029"/>
</workbook>
</file>

<file path=xl/calcChain.xml><?xml version="1.0" encoding="utf-8"?>
<calcChain xmlns="http://schemas.openxmlformats.org/spreadsheetml/2006/main">
  <c r="Q16" i="3" l="1"/>
  <c r="K13" i="2"/>
  <c r="K14" i="2"/>
  <c r="K15" i="2"/>
  <c r="K16" i="2"/>
  <c r="K17" i="2"/>
  <c r="K18" i="2"/>
  <c r="K19" i="2"/>
  <c r="K20" i="2"/>
  <c r="K21" i="2"/>
  <c r="K22" i="2"/>
  <c r="K23" i="2"/>
  <c r="K24" i="2"/>
  <c r="K25" i="2"/>
  <c r="K26" i="2"/>
  <c r="K27" i="2"/>
  <c r="K28" i="2"/>
  <c r="K29" i="2"/>
  <c r="K30" i="2"/>
  <c r="K31" i="2"/>
  <c r="J20" i="2"/>
  <c r="J21" i="2"/>
  <c r="J22" i="2"/>
  <c r="J23" i="2"/>
  <c r="J24" i="2"/>
  <c r="J25" i="2"/>
  <c r="J26" i="2"/>
  <c r="J27" i="2"/>
  <c r="J28" i="2"/>
  <c r="J29" i="2"/>
  <c r="J30" i="2"/>
  <c r="J31" i="2"/>
  <c r="I19" i="2"/>
  <c r="I20" i="2"/>
  <c r="I21" i="2"/>
  <c r="I22" i="2"/>
  <c r="I23" i="2"/>
  <c r="I24" i="2"/>
  <c r="I25" i="2"/>
  <c r="I26" i="2"/>
  <c r="I27" i="2"/>
  <c r="I28" i="2"/>
  <c r="I29" i="2"/>
  <c r="I30" i="2"/>
  <c r="I31" i="2"/>
  <c r="C13" i="2"/>
  <c r="C14" i="2"/>
  <c r="C15" i="2"/>
  <c r="C16" i="2"/>
  <c r="C17" i="2"/>
  <c r="C18" i="2"/>
  <c r="C19" i="2"/>
  <c r="C20" i="2"/>
  <c r="C21" i="2"/>
  <c r="C22" i="2"/>
  <c r="C23" i="2"/>
  <c r="C24" i="2"/>
  <c r="C25" i="2"/>
  <c r="C26" i="2"/>
  <c r="C27" i="2"/>
  <c r="C28" i="2"/>
  <c r="C29" i="2"/>
  <c r="C30" i="2"/>
  <c r="C31" i="2"/>
  <c r="I24" i="1"/>
  <c r="B15" i="2" l="1"/>
  <c r="B16" i="2"/>
  <c r="B17" i="2"/>
  <c r="B18" i="2"/>
  <c r="B19" i="2"/>
  <c r="B20" i="2"/>
  <c r="B21" i="2"/>
  <c r="B22" i="2"/>
  <c r="B23" i="2"/>
  <c r="B24" i="2"/>
  <c r="B25" i="2"/>
  <c r="B27" i="2"/>
  <c r="B28" i="2"/>
  <c r="B29" i="2"/>
  <c r="B30" i="2"/>
  <c r="B31" i="2"/>
  <c r="J18" i="2"/>
  <c r="J19" i="2"/>
  <c r="I17" i="2"/>
  <c r="I18" i="2"/>
  <c r="A26" i="3"/>
  <c r="A10" i="3"/>
  <c r="J17" i="2"/>
  <c r="J16" i="2"/>
  <c r="I16" i="2"/>
  <c r="J15" i="2"/>
  <c r="I15" i="2"/>
  <c r="J14" i="2"/>
  <c r="I14" i="2"/>
  <c r="B14" i="2"/>
  <c r="J13" i="2"/>
  <c r="I13" i="2"/>
  <c r="B13" i="2"/>
  <c r="K12" i="2"/>
  <c r="J12" i="2"/>
  <c r="I12" i="2"/>
  <c r="C12" i="2"/>
  <c r="B12" i="2"/>
  <c r="I29" i="1"/>
  <c r="I28" i="1"/>
  <c r="I27" i="1"/>
  <c r="I26" i="1"/>
  <c r="I25" i="1"/>
  <c r="I23" i="1"/>
  <c r="I22" i="1"/>
  <c r="I21" i="1"/>
  <c r="I20" i="1"/>
  <c r="I19" i="1"/>
  <c r="I18" i="1"/>
  <c r="I17" i="1"/>
  <c r="I16" i="1"/>
  <c r="I15" i="1"/>
  <c r="I14" i="1"/>
  <c r="I13" i="1"/>
  <c r="I12" i="1"/>
  <c r="I11" i="1"/>
  <c r="I10" i="1"/>
  <c r="J32" i="2" l="1"/>
  <c r="G6" i="3" l="1"/>
  <c r="G7" i="3"/>
  <c r="D7" i="2"/>
  <c r="D3" i="2"/>
  <c r="G4" i="3" s="1"/>
  <c r="D4" i="2"/>
  <c r="G5" i="3" s="1"/>
  <c r="D1" i="3" l="1"/>
  <c r="Q23" i="3"/>
</calcChain>
</file>

<file path=xl/sharedStrings.xml><?xml version="1.0" encoding="utf-8"?>
<sst xmlns="http://schemas.openxmlformats.org/spreadsheetml/2006/main" count="179" uniqueCount="97">
  <si>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</si>
  <si>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</si>
  <si>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</si>
  <si>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</si>
  <si>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</si>
  <si>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</si>
  <si>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</si>
  <si>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</si>
  <si>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</si>
  <si>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</si>
  <si>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</si>
  <si>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</si>
  <si>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</si>
  <si>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</si>
  <si>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</si>
  <si>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</si>
  <si>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</si>
  <si>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</si>
  <si>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</si>
  <si>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</si>
  <si>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</si>
  <si>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</si>
  <si>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</si>
  <si>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</si>
  <si>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</si>
  <si>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</si>
  <si>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</si>
  <si>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</si>
  <si>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</si>
  <si>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</si>
  <si>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</si>
  <si>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</si>
  <si>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</si>
  <si>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</si>
  <si>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</si>
  <si>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</si>
  <si>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</si>
  <si>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</si>
  <si>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</si>
  <si>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</si>
  <si>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</si>
  <si>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</si>
  <si>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</si>
  <si>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</si>
  <si>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</si>
  <si>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</si>
  <si>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</si>
  <si>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</si>
  <si>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</si>
  <si>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</si>
  <si>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</si>
  <si>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</si>
  <si>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</si>
  <si>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</si>
  <si>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</si>
  <si>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</si>
  <si>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</si>
  <si>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</si>
  <si>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</si>
  <si>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</si>
  <si>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</si>
  <si>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Servicio de Farmacia</t>
  </si>
  <si>
    <t xml:space="preserve">45 dias habiles </t>
  </si>
  <si>
    <t>3.1</t>
  </si>
  <si>
    <t>1.1</t>
  </si>
  <si>
    <t>Utiles Menores Med. Quir. y de Lab.</t>
  </si>
  <si>
    <t>AGUJA ESPINAL 25G 31/2 PUNTA LAPIZ</t>
  </si>
  <si>
    <t>Aguja ESPINAL 26 G 31/2</t>
  </si>
  <si>
    <t>Aguja ESPINAL 27 G 3 1/2</t>
  </si>
  <si>
    <t xml:space="preserve">AGUJA ESPINAL 27G 3 1/2 PUNTA LAPIZ </t>
  </si>
  <si>
    <t>Aguja espinal para obesos  25 G  punta lapiz</t>
  </si>
  <si>
    <t xml:space="preserve">Aguja espinal para obesos  27 G </t>
  </si>
  <si>
    <t>Aguja ESPINAL 21 G 3 1/2 PUNTA LAPIZ</t>
  </si>
  <si>
    <t>AGUJA PUNTA CURVA HUBER Nº 20 X 25 MM</t>
  </si>
  <si>
    <t>AGUJA PUNTA CURVA HUBER Nº 21 X 25 MM</t>
  </si>
  <si>
    <t>AGUJA PUNTA CURVA HUBER Nº 22 X 25 MM</t>
  </si>
  <si>
    <t>AGUJA TROCAR X 1 - 30/12</t>
  </si>
  <si>
    <t>Bolsa De Ileostomia 5985 (Coloplast) x unidad</t>
  </si>
  <si>
    <t xml:space="preserve">CEPILLO PARA CIRUGIA  DESCARTABLE ESTERIL </t>
  </si>
  <si>
    <t>Dosificador de soluc.sistema cerrado TB 2739 1 unidad (UNICA x 1)</t>
  </si>
  <si>
    <t>SISTEMA DE REGULACION DE FLUJO B-2763</t>
  </si>
  <si>
    <t>VENDA DE SMARCH X 15 CM.</t>
  </si>
  <si>
    <t>VENDA DE SMARCH X 20 CM</t>
  </si>
  <si>
    <t>UNIDAD</t>
  </si>
  <si>
    <t>2.9.5</t>
  </si>
  <si>
    <t>Ut. Menores med. Quirúrg. Y de Lab.</t>
  </si>
  <si>
    <t>10 dias - Servicio de Farmacia del HISJB - Avda. Illia y  Mariano Moreno</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</si>
  <si>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</si>
  <si>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 xml:space="preserve">Adquisición de Insumos Complejos para Farmacia </t>
  </si>
  <si>
    <t>027 - 2021</t>
  </si>
  <si>
    <t>2.5.9</t>
  </si>
  <si>
    <t>PLACA MAMOGRAFICA TIPO DI MI 20/25 FUJIFILM CAJA X 150 UNIDADES</t>
  </si>
  <si>
    <t>PLACA MAMOGRAFICA TIPO DI MI 26/36 FUJIFILM CAJA X 150 UNIDADES</t>
  </si>
  <si>
    <t xml:space="preserve">Otros NEP </t>
  </si>
  <si>
    <t>MANGO P/HOJA DE BISTURI Nª4 H20-24</t>
  </si>
  <si>
    <t>Costo total estimado: CINCO MILLONES CIENTO SESENTA Y TRES MIL TRESCIENTOS SETENTA Y OCHO CON 96/100.---------</t>
  </si>
  <si>
    <t>TOTAL DE PESOS: CINCO MILLONES CIENTO SESENTA Y TRES MIL TRESCIENTOS SETENTA Y OCHO CON 96/100.---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</si>
</sst>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quot;$&quot;\ #,##0.00"/>
  </numFmts>
  <fonts count="29"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font>
    <font>
      <sz val="10"/>
      <color theme="1"/>
      <name val="Arial"/>
      <family val="2"/>
    </font>
    <font>
      <sz val="11"/>
      <color theme="1"/>
      <name val="Arial"/>
      <family val="2"/>
    </font>
    <font>
      <b/>
      <sz val="8"/>
      <name val="Arial"/>
      <family val="2"/>
      <charset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s>
  <borders count="48">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s>
  <cellStyleXfs count="6">
    <xf numFmtId="0" fontId="0" fillId="0" borderId="0"/>
    <xf numFmtId="165" fontId="15" fillId="0" borderId="0" applyBorder="0" applyProtection="0"/>
    <xf numFmtId="0" fontId="2" fillId="0" borderId="1" applyProtection="0"/>
    <xf numFmtId="164" fontId="3" fillId="0" borderId="0" applyBorder="0" applyProtection="0"/>
    <xf numFmtId="0" fontId="4" fillId="2" borderId="0" applyBorder="0" applyProtection="0"/>
    <xf numFmtId="0" fontId="1" fillId="0" borderId="0"/>
  </cellStyleXfs>
  <cellXfs count="139">
    <xf numFmtId="0" fontId="0" fillId="0" borderId="0" xfId="0"/>
    <xf numFmtId="0" fontId="0" fillId="0" borderId="0" xfId="0" applyBorder="1"/>
    <xf numFmtId="0" fontId="3" fillId="0" borderId="0" xfId="0" applyFont="1" applyBorder="1" applyAlignment="1">
      <alignment vertical="center"/>
    </xf>
    <xf numFmtId="0" fontId="6" fillId="0" borderId="10" xfId="0" applyFont="1" applyBorder="1" applyAlignment="1">
      <alignment horizontal="right" vertical="center"/>
    </xf>
    <xf numFmtId="0" fontId="6" fillId="0" borderId="12" xfId="0" applyFont="1" applyBorder="1" applyAlignment="1">
      <alignment vertical="center"/>
    </xf>
    <xf numFmtId="0" fontId="6" fillId="0" borderId="0" xfId="0" applyFont="1" applyBorder="1" applyAlignment="1">
      <alignment vertical="center"/>
    </xf>
    <xf numFmtId="0" fontId="8" fillId="0" borderId="0" xfId="0" applyFont="1" applyBorder="1" applyAlignment="1">
      <alignment horizontal="left" vertical="center"/>
    </xf>
    <xf numFmtId="0" fontId="7" fillId="0" borderId="0" xfId="0" applyFont="1" applyBorder="1" applyAlignment="1">
      <alignment horizontal="left" vertical="center" wrapText="1" indent="1"/>
    </xf>
    <xf numFmtId="0" fontId="5" fillId="0" borderId="19"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3"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29" xfId="0" applyFont="1" applyBorder="1" applyAlignment="1">
      <alignment horizontal="left" vertical="center"/>
    </xf>
    <xf numFmtId="0" fontId="14" fillId="0" borderId="30" xfId="0" applyFont="1" applyBorder="1" applyAlignment="1">
      <alignment horizontal="center" vertical="center"/>
    </xf>
    <xf numFmtId="0" fontId="14" fillId="0" borderId="24" xfId="0" applyFont="1" applyBorder="1" applyAlignment="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2" fillId="0" borderId="35" xfId="0" applyFont="1" applyBorder="1" applyAlignment="1">
      <alignment horizontal="center" vertical="center"/>
    </xf>
    <xf numFmtId="0" fontId="12" fillId="0" borderId="36" xfId="0" applyFont="1" applyBorder="1" applyAlignment="1">
      <alignment horizontal="center" vertical="center"/>
    </xf>
    <xf numFmtId="0" fontId="0" fillId="0" borderId="38" xfId="0"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3"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3"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20" fillId="0" borderId="14" xfId="0" applyFont="1" applyBorder="1" applyAlignment="1">
      <alignment horizontal="center" vertical="center" wrapText="1"/>
    </xf>
    <xf numFmtId="0" fontId="21" fillId="0" borderId="14" xfId="0" applyFont="1" applyBorder="1" applyAlignment="1">
      <alignment horizontal="center" vertical="center"/>
    </xf>
    <xf numFmtId="0" fontId="22" fillId="0" borderId="14" xfId="0" applyFont="1" applyBorder="1" applyAlignment="1">
      <alignment horizontal="left" vertical="center" wrapText="1"/>
    </xf>
    <xf numFmtId="0" fontId="22" fillId="0" borderId="14" xfId="0" applyFont="1" applyBorder="1" applyAlignment="1">
      <alignment horizontal="center" vertical="center" wrapText="1"/>
    </xf>
    <xf numFmtId="0" fontId="22" fillId="4" borderId="14" xfId="0" applyFont="1" applyFill="1" applyBorder="1" applyAlignment="1">
      <alignment horizontal="center" vertical="center" wrapText="1"/>
    </xf>
    <xf numFmtId="166" fontId="21" fillId="4" borderId="14" xfId="1" applyNumberFormat="1" applyFont="1" applyFill="1" applyBorder="1" applyAlignment="1" applyProtection="1">
      <alignment horizontal="right" vertical="center" wrapText="1"/>
    </xf>
    <xf numFmtId="0" fontId="24" fillId="4" borderId="0" xfId="0" applyFont="1" applyFill="1" applyAlignment="1">
      <alignment horizontal="left" wrapText="1" indent="1"/>
    </xf>
    <xf numFmtId="0" fontId="20" fillId="5" borderId="0" xfId="0" applyFont="1" applyFill="1" applyAlignment="1">
      <alignment horizontal="left" wrapText="1"/>
    </xf>
    <xf numFmtId="0" fontId="7" fillId="4" borderId="11" xfId="0" applyFont="1" applyFill="1" applyBorder="1" applyAlignment="1">
      <alignment horizontal="center" vertical="center"/>
    </xf>
    <xf numFmtId="0" fontId="5" fillId="5" borderId="19" xfId="0" applyFont="1" applyFill="1" applyBorder="1" applyAlignment="1">
      <alignment horizontal="left" vertical="center"/>
    </xf>
    <xf numFmtId="0" fontId="5" fillId="4" borderId="19" xfId="0" applyFont="1" applyFill="1" applyBorder="1" applyAlignment="1">
      <alignment horizontal="center" vertical="center"/>
    </xf>
    <xf numFmtId="0" fontId="5" fillId="5" borderId="19" xfId="0" applyFont="1" applyFill="1" applyBorder="1" applyAlignment="1">
      <alignment horizontal="center" vertical="center" wrapText="1"/>
    </xf>
    <xf numFmtId="166" fontId="5" fillId="5" borderId="19" xfId="1" applyNumberFormat="1" applyFont="1" applyFill="1" applyBorder="1" applyAlignment="1" applyProtection="1">
      <alignment horizontal="right" vertical="center" wrapText="1"/>
    </xf>
    <xf numFmtId="3" fontId="5" fillId="5" borderId="19" xfId="0" applyNumberFormat="1" applyFont="1" applyFill="1" applyBorder="1" applyAlignment="1">
      <alignment horizontal="center" vertical="center"/>
    </xf>
    <xf numFmtId="0" fontId="15" fillId="0" borderId="36" xfId="0" applyFont="1" applyBorder="1" applyAlignment="1">
      <alignment horizontal="center" vertical="center"/>
    </xf>
    <xf numFmtId="0" fontId="15" fillId="0" borderId="38" xfId="0" applyFont="1" applyBorder="1" applyAlignment="1">
      <alignment horizontal="center" vertical="center"/>
    </xf>
    <xf numFmtId="0" fontId="0" fillId="4" borderId="31" xfId="0" applyFont="1" applyFill="1" applyBorder="1" applyAlignment="1">
      <alignment horizontal="center" vertical="center"/>
    </xf>
    <xf numFmtId="0" fontId="0" fillId="4" borderId="32" xfId="0" applyFont="1" applyFill="1" applyBorder="1" applyAlignment="1">
      <alignment horizontal="center" vertical="center"/>
    </xf>
    <xf numFmtId="0" fontId="15" fillId="4" borderId="32" xfId="0" applyFont="1" applyFill="1" applyBorder="1" applyAlignment="1">
      <alignment horizontal="center" vertical="center"/>
    </xf>
    <xf numFmtId="0" fontId="0" fillId="5" borderId="32" xfId="0" applyFont="1" applyFill="1" applyBorder="1" applyAlignment="1">
      <alignment horizontal="center" vertical="center"/>
    </xf>
    <xf numFmtId="0" fontId="0" fillId="4" borderId="33" xfId="0" applyFont="1" applyFill="1" applyBorder="1" applyAlignment="1">
      <alignment horizontal="center" vertical="center"/>
    </xf>
    <xf numFmtId="166" fontId="0" fillId="0" borderId="0" xfId="0" applyNumberFormat="1"/>
    <xf numFmtId="0" fontId="26" fillId="5" borderId="14" xfId="0" applyFont="1" applyFill="1" applyBorder="1" applyAlignment="1">
      <alignment vertical="center"/>
    </xf>
    <xf numFmtId="0" fontId="15" fillId="5" borderId="14" xfId="5" applyNumberFormat="1" applyFont="1" applyFill="1" applyBorder="1" applyAlignment="1">
      <alignment horizontal="left" vertical="center"/>
    </xf>
    <xf numFmtId="0" fontId="26" fillId="5" borderId="14" xfId="5" applyNumberFormat="1" applyFont="1" applyFill="1" applyBorder="1" applyAlignment="1">
      <alignment horizontal="left" vertical="center"/>
    </xf>
    <xf numFmtId="0" fontId="26" fillId="5" borderId="14" xfId="5" applyNumberFormat="1" applyFont="1" applyFill="1" applyBorder="1" applyAlignment="1">
      <alignment vertical="center"/>
    </xf>
    <xf numFmtId="0" fontId="27" fillId="5" borderId="14" xfId="0" applyFont="1" applyFill="1" applyBorder="1" applyAlignment="1">
      <alignment horizontal="center" vertical="center"/>
    </xf>
    <xf numFmtId="169" fontId="27" fillId="5" borderId="14" xfId="0" applyNumberFormat="1" applyFont="1" applyFill="1" applyBorder="1" applyAlignment="1">
      <alignment horizontal="center" vertical="center"/>
    </xf>
    <xf numFmtId="0" fontId="22" fillId="5" borderId="14" xfId="0" applyFont="1" applyFill="1" applyBorder="1" applyAlignment="1">
      <alignment horizontal="left" vertical="center" wrapText="1"/>
    </xf>
    <xf numFmtId="0" fontId="22" fillId="5" borderId="14" xfId="0" applyFont="1" applyFill="1" applyBorder="1" applyAlignment="1">
      <alignment horizontal="center" vertical="center" wrapText="1"/>
    </xf>
    <xf numFmtId="0" fontId="0" fillId="4" borderId="35" xfId="0" applyFont="1" applyFill="1" applyBorder="1" applyAlignment="1">
      <alignment horizontal="center" vertical="center"/>
    </xf>
    <xf numFmtId="0" fontId="0" fillId="4" borderId="36" xfId="0" applyFont="1" applyFill="1" applyBorder="1" applyAlignment="1">
      <alignment horizontal="center" vertical="center"/>
    </xf>
    <xf numFmtId="0" fontId="15" fillId="4" borderId="36" xfId="0" applyFont="1" applyFill="1" applyBorder="1" applyAlignment="1">
      <alignment horizontal="center" vertical="center"/>
    </xf>
    <xf numFmtId="0" fontId="0" fillId="5" borderId="36" xfId="0" applyFont="1" applyFill="1" applyBorder="1" applyAlignment="1">
      <alignment horizontal="center" vertical="center"/>
    </xf>
    <xf numFmtId="0" fontId="0" fillId="4" borderId="37" xfId="0" applyFont="1" applyFill="1" applyBorder="1" applyAlignment="1">
      <alignment horizontal="center" vertical="center"/>
    </xf>
    <xf numFmtId="166" fontId="0" fillId="5" borderId="34" xfId="3" applyNumberFormat="1" applyFont="1" applyFill="1" applyBorder="1" applyAlignment="1" applyProtection="1">
      <alignment horizontal="center" vertical="center"/>
    </xf>
    <xf numFmtId="166" fontId="14" fillId="5" borderId="44" xfId="0" applyNumberFormat="1" applyFont="1" applyFill="1" applyBorder="1" applyAlignment="1">
      <alignment horizontal="center" vertical="center"/>
    </xf>
    <xf numFmtId="0" fontId="17" fillId="0" borderId="0" xfId="0" applyFont="1" applyBorder="1" applyAlignment="1">
      <alignment horizontal="center"/>
    </xf>
    <xf numFmtId="0" fontId="18" fillId="0" borderId="0" xfId="0" applyFont="1" applyBorder="1" applyAlignment="1">
      <alignment horizontal="left" vertical="center" wrapText="1"/>
    </xf>
    <xf numFmtId="0" fontId="24" fillId="4" borderId="0" xfId="0" applyFont="1" applyFill="1" applyBorder="1" applyAlignment="1">
      <alignment horizontal="left" wrapText="1" indent="1"/>
    </xf>
    <xf numFmtId="0" fontId="16" fillId="3" borderId="6" xfId="0" applyFont="1" applyFill="1" applyBorder="1" applyAlignment="1">
      <alignment horizontal="center" wrapText="1"/>
    </xf>
    <xf numFmtId="0" fontId="16" fillId="4" borderId="6" xfId="0" applyFont="1" applyFill="1" applyBorder="1" applyAlignment="1">
      <alignment horizontal="left" wrapText="1"/>
    </xf>
    <xf numFmtId="0" fontId="16" fillId="3" borderId="6" xfId="0" applyFont="1" applyFill="1" applyBorder="1" applyAlignment="1">
      <alignment horizontal="center"/>
    </xf>
    <xf numFmtId="0" fontId="16" fillId="4" borderId="6" xfId="0" applyFont="1" applyFill="1" applyBorder="1" applyAlignment="1">
      <alignment horizontal="left"/>
    </xf>
    <xf numFmtId="0" fontId="16" fillId="4" borderId="6" xfId="0" applyFont="1" applyFill="1" applyBorder="1" applyAlignment="1">
      <alignment horizontal="center"/>
    </xf>
    <xf numFmtId="0" fontId="6" fillId="0" borderId="0" xfId="0" applyFont="1" applyBorder="1" applyAlignment="1">
      <alignment horizontal="center" vertical="center"/>
    </xf>
    <xf numFmtId="0" fontId="8" fillId="0" borderId="13" xfId="0" applyFont="1" applyBorder="1" applyAlignment="1">
      <alignment horizontal="left" vertical="center" wrapText="1"/>
    </xf>
    <xf numFmtId="0" fontId="7" fillId="5" borderId="14" xfId="0" applyFont="1" applyFill="1" applyBorder="1" applyAlignment="1">
      <alignment horizontal="left" vertical="center" wrapText="1" indent="1"/>
    </xf>
    <xf numFmtId="0" fontId="8" fillId="0" borderId="15" xfId="0" applyFont="1" applyBorder="1" applyAlignment="1">
      <alignment horizontal="left" vertical="center" wrapText="1"/>
    </xf>
    <xf numFmtId="0" fontId="8" fillId="0" borderId="16" xfId="0" applyFont="1" applyBorder="1" applyAlignment="1">
      <alignment horizontal="left" vertical="center"/>
    </xf>
    <xf numFmtId="0" fontId="7" fillId="4" borderId="17" xfId="0" applyFont="1" applyFill="1" applyBorder="1" applyAlignment="1">
      <alignment horizontal="left" vertical="center" wrapText="1" indent="1"/>
    </xf>
    <xf numFmtId="0" fontId="9" fillId="0" borderId="16" xfId="0" applyFont="1" applyBorder="1" applyAlignment="1">
      <alignment horizontal="center" vertical="center"/>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7" fillId="0" borderId="14" xfId="0" applyFont="1" applyBorder="1" applyAlignment="1">
      <alignment horizontal="left" vertical="center" wrapText="1" indent="1"/>
    </xf>
    <xf numFmtId="167" fontId="8" fillId="0" borderId="14" xfId="0" applyNumberFormat="1" applyFont="1" applyBorder="1" applyAlignment="1">
      <alignment horizontal="center" vertical="center"/>
    </xf>
    <xf numFmtId="0" fontId="5" fillId="5" borderId="19" xfId="0" applyFont="1" applyFill="1" applyBorder="1" applyAlignment="1">
      <alignment horizontal="left" vertical="center" wrapText="1"/>
    </xf>
    <xf numFmtId="0" fontId="0" fillId="0" borderId="20" xfId="0" applyFont="1" applyBorder="1" applyAlignment="1">
      <alignment horizontal="center"/>
    </xf>
    <xf numFmtId="3" fontId="10" fillId="0" borderId="21" xfId="0" applyNumberFormat="1" applyFont="1" applyBorder="1" applyAlignment="1">
      <alignment horizontal="center"/>
    </xf>
    <xf numFmtId="0" fontId="11" fillId="0" borderId="11" xfId="0" applyFont="1" applyBorder="1" applyAlignment="1">
      <alignment horizontal="center" vertical="center" wrapText="1"/>
    </xf>
    <xf numFmtId="0" fontId="3" fillId="0" borderId="11" xfId="0" applyFont="1" applyBorder="1"/>
    <xf numFmtId="0" fontId="12" fillId="0" borderId="11" xfId="0" applyFont="1" applyBorder="1" applyAlignment="1">
      <alignment horizontal="left" indent="1"/>
    </xf>
    <xf numFmtId="0" fontId="5" fillId="0" borderId="13" xfId="0" applyFont="1" applyBorder="1" applyAlignment="1">
      <alignment horizontal="left" vertical="center" wrapText="1"/>
    </xf>
    <xf numFmtId="0" fontId="5" fillId="0" borderId="46" xfId="0" applyFont="1" applyBorder="1" applyAlignment="1">
      <alignment horizontal="left" vertical="center" wrapText="1"/>
    </xf>
    <xf numFmtId="0" fontId="5" fillId="0" borderId="47" xfId="0" applyFont="1" applyBorder="1" applyAlignment="1">
      <alignment horizontal="left" vertical="center" wrapText="1"/>
    </xf>
    <xf numFmtId="0" fontId="13" fillId="0" borderId="11" xfId="0" applyFont="1" applyBorder="1" applyAlignment="1">
      <alignment horizontal="left"/>
    </xf>
    <xf numFmtId="0" fontId="12" fillId="0" borderId="23" xfId="0" applyFont="1" applyBorder="1"/>
    <xf numFmtId="0" fontId="12" fillId="0" borderId="24" xfId="0" applyFont="1" applyBorder="1" applyAlignment="1">
      <alignment horizontal="left" vertical="center" wrapText="1" indent="1"/>
    </xf>
    <xf numFmtId="0" fontId="14" fillId="0" borderId="22" xfId="0" applyFont="1" applyBorder="1" applyAlignment="1">
      <alignment horizontal="center" vertical="center"/>
    </xf>
    <xf numFmtId="0" fontId="14" fillId="0" borderId="11" xfId="0" applyFont="1" applyBorder="1" applyAlignment="1">
      <alignment horizontal="center" vertical="center"/>
    </xf>
    <xf numFmtId="0" fontId="14" fillId="0" borderId="22" xfId="0" applyFont="1" applyBorder="1" applyAlignment="1">
      <alignment horizontal="center" vertical="center" wrapText="1"/>
    </xf>
    <xf numFmtId="0" fontId="14" fillId="0" borderId="27" xfId="0" applyFont="1" applyBorder="1" applyAlignment="1">
      <alignment horizontal="center" vertical="center"/>
    </xf>
    <xf numFmtId="0" fontId="25" fillId="0" borderId="32" xfId="0" applyFont="1" applyBorder="1" applyAlignment="1">
      <alignment horizontal="left" vertical="center" wrapText="1"/>
    </xf>
    <xf numFmtId="0" fontId="25" fillId="0" borderId="38" xfId="0" applyFont="1" applyBorder="1" applyAlignment="1">
      <alignment horizontal="left" vertical="center"/>
    </xf>
    <xf numFmtId="0" fontId="25" fillId="0" borderId="36" xfId="0" applyFont="1" applyBorder="1" applyAlignment="1">
      <alignment horizontal="left" vertical="center" wrapText="1"/>
    </xf>
    <xf numFmtId="0" fontId="15" fillId="0" borderId="38" xfId="0" applyFont="1" applyBorder="1" applyAlignment="1">
      <alignment horizontal="left" vertical="center"/>
    </xf>
    <xf numFmtId="0" fontId="0" fillId="0" borderId="38" xfId="0" applyFont="1" applyBorder="1" applyAlignment="1">
      <alignment horizontal="left" vertical="center"/>
    </xf>
    <xf numFmtId="0" fontId="10" fillId="0" borderId="20" xfId="0" applyFont="1" applyBorder="1" applyAlignment="1">
      <alignment vertical="center" wrapText="1"/>
    </xf>
    <xf numFmtId="0" fontId="10" fillId="0" borderId="45" xfId="0" applyFont="1" applyBorder="1" applyAlignment="1">
      <alignment vertical="center" wrapText="1"/>
    </xf>
    <xf numFmtId="0" fontId="10" fillId="0" borderId="17" xfId="0" applyFont="1" applyBorder="1" applyAlignment="1">
      <alignment vertical="center" wrapText="1"/>
    </xf>
    <xf numFmtId="0" fontId="12" fillId="0" borderId="27" xfId="0" applyFont="1" applyBorder="1" applyAlignment="1">
      <alignment vertical="center" wrapText="1"/>
    </xf>
    <xf numFmtId="0" fontId="12" fillId="4" borderId="44" xfId="0" applyFont="1" applyFill="1" applyBorder="1" applyAlignment="1">
      <alignment horizontal="left" vertical="center" wrapText="1" indent="1"/>
    </xf>
    <xf numFmtId="0" fontId="0" fillId="0" borderId="38" xfId="0" applyBorder="1" applyAlignment="1">
      <alignment horizontal="left" vertical="center"/>
    </xf>
    <xf numFmtId="0" fontId="0" fillId="0" borderId="41" xfId="0" applyBorder="1" applyAlignment="1">
      <alignment horizontal="left" vertical="center"/>
    </xf>
    <xf numFmtId="0" fontId="28" fillId="5" borderId="44" xfId="0" applyFont="1" applyFill="1" applyBorder="1" applyAlignment="1">
      <alignment horizontal="left" vertical="center" wrapText="1"/>
    </xf>
    <xf numFmtId="0" fontId="0" fillId="0" borderId="22" xfId="0" applyBorder="1"/>
  </cellXfs>
  <cellStyles count="6">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4"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5"/>
  <sheetViews>
    <sheetView tabSelected="1" topLeftCell="A3" zoomScale="85" zoomScaleNormal="85" workbookViewId="0">
      <selection activeCell="J27" sqref="J27"/>
    </sheetView>
  </sheetViews>
  <sheetFormatPr baseColWidth="10" defaultColWidth="11" defaultRowHeight="12.75" x14ac:dyDescent="0.2"/>
  <cols>
    <col min="1" max="1" width="4.5703125" style="37" customWidth="1"/>
    <col min="2" max="2" width="12.85546875" style="37" customWidth="1"/>
    <col min="3" max="3" width="32.42578125" style="37" customWidth="1"/>
    <col min="4" max="4" width="8.42578125" style="37" customWidth="1"/>
    <col min="5" max="5" width="79" style="37" customWidth="1"/>
    <col min="6" max="6" width="11" style="37"/>
    <col min="7" max="7" width="12.7109375" style="37" customWidth="1"/>
    <col min="8" max="8" width="13.85546875" style="37" customWidth="1"/>
    <col min="9" max="9" width="18.5703125" style="37" customWidth="1"/>
    <col min="10" max="16384" width="11" style="37"/>
  </cols>
  <sheetData>
    <row r="2" spans="1:9" ht="27" x14ac:dyDescent="0.35">
      <c r="B2" s="90" t="s">
        <v>0</v>
      </c>
      <c r="C2" s="90"/>
      <c r="D2" s="90"/>
      <c r="E2" s="90"/>
      <c r="F2" s="90"/>
      <c r="G2" s="90"/>
      <c r="H2" s="90"/>
    </row>
    <row r="4" spans="1:9" ht="18" customHeight="1" x14ac:dyDescent="0.25">
      <c r="A4" s="91" t="s">
        <v>1</v>
      </c>
      <c r="B4" s="91"/>
      <c r="C4" s="92" t="s">
        <v>58</v>
      </c>
      <c r="D4" s="92"/>
      <c r="E4" s="92"/>
      <c r="F4" s="38"/>
      <c r="G4" s="39"/>
      <c r="H4" s="38"/>
    </row>
    <row r="5" spans="1:9" ht="18" customHeight="1" x14ac:dyDescent="0.25">
      <c r="A5" s="91" t="s">
        <v>2</v>
      </c>
      <c r="B5" s="91"/>
      <c r="C5" s="92" t="s">
        <v>59</v>
      </c>
      <c r="D5" s="92"/>
      <c r="E5" s="92"/>
      <c r="F5" s="38"/>
      <c r="G5" s="39"/>
      <c r="H5" s="38"/>
    </row>
    <row r="6" spans="1:9" ht="16.5" customHeight="1" x14ac:dyDescent="0.25">
      <c r="A6" s="91" t="s">
        <v>3</v>
      </c>
      <c r="B6" s="91"/>
      <c r="C6" s="59">
        <v>2021</v>
      </c>
      <c r="D6" s="60"/>
      <c r="E6" s="60"/>
      <c r="F6" s="38"/>
      <c r="G6" s="39"/>
      <c r="H6" s="38"/>
    </row>
    <row r="7" spans="1:9" ht="16.5" customHeight="1" x14ac:dyDescent="0.25">
      <c r="A7" s="91" t="s">
        <v>4</v>
      </c>
      <c r="B7" s="91"/>
      <c r="C7" s="59">
        <v>2</v>
      </c>
      <c r="D7" s="60"/>
      <c r="E7" s="60"/>
      <c r="F7" s="38"/>
      <c r="G7" s="39"/>
      <c r="H7" s="38"/>
    </row>
    <row r="8" spans="1:9" ht="13.5" thickBot="1" x14ac:dyDescent="0.25">
      <c r="B8" s="38"/>
      <c r="C8" s="39"/>
      <c r="D8" s="38"/>
      <c r="E8" s="38"/>
      <c r="F8" s="38"/>
      <c r="G8" s="39"/>
      <c r="H8" s="38"/>
    </row>
    <row r="9" spans="1:9" ht="39" thickBot="1" x14ac:dyDescent="0.25">
      <c r="A9" s="53" t="s">
        <v>5</v>
      </c>
      <c r="B9" s="53" t="s">
        <v>6</v>
      </c>
      <c r="C9" s="53" t="s">
        <v>7</v>
      </c>
      <c r="D9" s="53" t="s">
        <v>8</v>
      </c>
      <c r="E9" s="53" t="s">
        <v>9</v>
      </c>
      <c r="F9" s="53" t="s">
        <v>10</v>
      </c>
      <c r="G9" s="53" t="s">
        <v>11</v>
      </c>
      <c r="H9" s="53" t="s">
        <v>12</v>
      </c>
      <c r="I9" s="53" t="s">
        <v>13</v>
      </c>
    </row>
    <row r="10" spans="1:9" ht="31.9" customHeight="1" thickBot="1" x14ac:dyDescent="0.25">
      <c r="A10" s="54">
        <v>1</v>
      </c>
      <c r="B10" s="57"/>
      <c r="C10" s="55" t="s">
        <v>85</v>
      </c>
      <c r="D10" s="56" t="s">
        <v>84</v>
      </c>
      <c r="E10" s="75" t="s">
        <v>66</v>
      </c>
      <c r="F10" s="57" t="s">
        <v>83</v>
      </c>
      <c r="G10" s="79">
        <v>400</v>
      </c>
      <c r="H10" s="80">
        <v>1300</v>
      </c>
      <c r="I10" s="58">
        <f t="shared" ref="I10:I29" si="0">G10*H10</f>
        <v>520000</v>
      </c>
    </row>
    <row r="11" spans="1:9" ht="31.9" customHeight="1" thickBot="1" x14ac:dyDescent="0.25">
      <c r="A11" s="54">
        <v>2</v>
      </c>
      <c r="B11" s="57"/>
      <c r="C11" s="55" t="s">
        <v>85</v>
      </c>
      <c r="D11" s="56" t="s">
        <v>84</v>
      </c>
      <c r="E11" s="76" t="s">
        <v>67</v>
      </c>
      <c r="F11" s="57" t="s">
        <v>83</v>
      </c>
      <c r="G11" s="79">
        <v>400</v>
      </c>
      <c r="H11" s="80">
        <v>1300</v>
      </c>
      <c r="I11" s="58">
        <f t="shared" si="0"/>
        <v>520000</v>
      </c>
    </row>
    <row r="12" spans="1:9" ht="31.9" customHeight="1" thickBot="1" x14ac:dyDescent="0.25">
      <c r="A12" s="54">
        <v>3</v>
      </c>
      <c r="B12" s="57"/>
      <c r="C12" s="55" t="s">
        <v>85</v>
      </c>
      <c r="D12" s="56" t="s">
        <v>84</v>
      </c>
      <c r="E12" s="76" t="s">
        <v>68</v>
      </c>
      <c r="F12" s="57" t="s">
        <v>83</v>
      </c>
      <c r="G12" s="79">
        <v>400</v>
      </c>
      <c r="H12" s="80">
        <v>1300</v>
      </c>
      <c r="I12" s="58">
        <f t="shared" si="0"/>
        <v>520000</v>
      </c>
    </row>
    <row r="13" spans="1:9" ht="31.9" customHeight="1" thickBot="1" x14ac:dyDescent="0.25">
      <c r="A13" s="54">
        <v>4</v>
      </c>
      <c r="B13" s="57"/>
      <c r="C13" s="55" t="s">
        <v>85</v>
      </c>
      <c r="D13" s="56" t="s">
        <v>84</v>
      </c>
      <c r="E13" s="75" t="s">
        <v>69</v>
      </c>
      <c r="F13" s="57" t="s">
        <v>83</v>
      </c>
      <c r="G13" s="79">
        <v>400</v>
      </c>
      <c r="H13" s="80">
        <v>1300</v>
      </c>
      <c r="I13" s="58">
        <f t="shared" si="0"/>
        <v>520000</v>
      </c>
    </row>
    <row r="14" spans="1:9" ht="31.9" customHeight="1" thickBot="1" x14ac:dyDescent="0.25">
      <c r="A14" s="54">
        <v>5</v>
      </c>
      <c r="B14" s="57"/>
      <c r="C14" s="55" t="s">
        <v>85</v>
      </c>
      <c r="D14" s="56" t="s">
        <v>84</v>
      </c>
      <c r="E14" s="76" t="s">
        <v>70</v>
      </c>
      <c r="F14" s="57" t="s">
        <v>83</v>
      </c>
      <c r="G14" s="79">
        <v>50</v>
      </c>
      <c r="H14" s="80">
        <v>1620</v>
      </c>
      <c r="I14" s="58">
        <f t="shared" si="0"/>
        <v>81000</v>
      </c>
    </row>
    <row r="15" spans="1:9" ht="31.9" customHeight="1" thickBot="1" x14ac:dyDescent="0.25">
      <c r="A15" s="54">
        <v>6</v>
      </c>
      <c r="B15" s="57"/>
      <c r="C15" s="55" t="s">
        <v>85</v>
      </c>
      <c r="D15" s="56" t="s">
        <v>84</v>
      </c>
      <c r="E15" s="76" t="s">
        <v>71</v>
      </c>
      <c r="F15" s="57" t="s">
        <v>83</v>
      </c>
      <c r="G15" s="79">
        <v>50</v>
      </c>
      <c r="H15" s="80">
        <v>1620</v>
      </c>
      <c r="I15" s="58">
        <f t="shared" si="0"/>
        <v>81000</v>
      </c>
    </row>
    <row r="16" spans="1:9" ht="31.9" customHeight="1" thickBot="1" x14ac:dyDescent="0.25">
      <c r="A16" s="54">
        <v>7</v>
      </c>
      <c r="B16" s="57"/>
      <c r="C16" s="55" t="s">
        <v>85</v>
      </c>
      <c r="D16" s="56" t="s">
        <v>84</v>
      </c>
      <c r="E16" s="76" t="s">
        <v>72</v>
      </c>
      <c r="F16" s="57" t="s">
        <v>83</v>
      </c>
      <c r="G16" s="79">
        <v>400</v>
      </c>
      <c r="H16" s="80">
        <v>1050</v>
      </c>
      <c r="I16" s="58">
        <f t="shared" si="0"/>
        <v>420000</v>
      </c>
    </row>
    <row r="17" spans="1:9" ht="31.9" customHeight="1" thickBot="1" x14ac:dyDescent="0.25">
      <c r="A17" s="54">
        <v>8</v>
      </c>
      <c r="B17" s="57"/>
      <c r="C17" s="55" t="s">
        <v>85</v>
      </c>
      <c r="D17" s="56" t="s">
        <v>84</v>
      </c>
      <c r="E17" s="75" t="s">
        <v>73</v>
      </c>
      <c r="F17" s="57" t="s">
        <v>83</v>
      </c>
      <c r="G17" s="79">
        <v>60</v>
      </c>
      <c r="H17" s="80">
        <v>255.9</v>
      </c>
      <c r="I17" s="58">
        <f t="shared" si="0"/>
        <v>15354</v>
      </c>
    </row>
    <row r="18" spans="1:9" ht="31.9" customHeight="1" thickBot="1" x14ac:dyDescent="0.25">
      <c r="A18" s="54">
        <v>9</v>
      </c>
      <c r="B18" s="57"/>
      <c r="C18" s="55" t="s">
        <v>85</v>
      </c>
      <c r="D18" s="56" t="s">
        <v>84</v>
      </c>
      <c r="E18" s="75" t="s">
        <v>74</v>
      </c>
      <c r="F18" s="57" t="s">
        <v>83</v>
      </c>
      <c r="G18" s="79">
        <v>60</v>
      </c>
      <c r="H18" s="80">
        <v>255.9</v>
      </c>
      <c r="I18" s="58">
        <f t="shared" si="0"/>
        <v>15354</v>
      </c>
    </row>
    <row r="19" spans="1:9" ht="31.9" customHeight="1" thickBot="1" x14ac:dyDescent="0.25">
      <c r="A19" s="54">
        <v>10</v>
      </c>
      <c r="B19" s="57"/>
      <c r="C19" s="55" t="s">
        <v>85</v>
      </c>
      <c r="D19" s="56" t="s">
        <v>84</v>
      </c>
      <c r="E19" s="75" t="s">
        <v>75</v>
      </c>
      <c r="F19" s="57" t="s">
        <v>83</v>
      </c>
      <c r="G19" s="79">
        <v>60</v>
      </c>
      <c r="H19" s="80">
        <v>255.9</v>
      </c>
      <c r="I19" s="58">
        <f t="shared" si="0"/>
        <v>15354</v>
      </c>
    </row>
    <row r="20" spans="1:9" ht="31.9" customHeight="1" thickBot="1" x14ac:dyDescent="0.25">
      <c r="A20" s="54">
        <v>11</v>
      </c>
      <c r="B20" s="57"/>
      <c r="C20" s="55" t="s">
        <v>85</v>
      </c>
      <c r="D20" s="56" t="s">
        <v>84</v>
      </c>
      <c r="E20" s="75" t="s">
        <v>76</v>
      </c>
      <c r="F20" s="57" t="s">
        <v>83</v>
      </c>
      <c r="G20" s="79">
        <v>5000</v>
      </c>
      <c r="H20" s="80">
        <v>1.32</v>
      </c>
      <c r="I20" s="58">
        <f t="shared" si="0"/>
        <v>6600</v>
      </c>
    </row>
    <row r="21" spans="1:9" ht="31.9" customHeight="1" thickBot="1" x14ac:dyDescent="0.25">
      <c r="A21" s="54">
        <v>12</v>
      </c>
      <c r="B21" s="57"/>
      <c r="C21" s="55" t="s">
        <v>85</v>
      </c>
      <c r="D21" s="56" t="s">
        <v>84</v>
      </c>
      <c r="E21" s="77" t="s">
        <v>77</v>
      </c>
      <c r="F21" s="57" t="s">
        <v>83</v>
      </c>
      <c r="G21" s="79">
        <v>120</v>
      </c>
      <c r="H21" s="80">
        <v>499</v>
      </c>
      <c r="I21" s="58">
        <f t="shared" si="0"/>
        <v>59880</v>
      </c>
    </row>
    <row r="22" spans="1:9" ht="31.9" customHeight="1" thickBot="1" x14ac:dyDescent="0.25">
      <c r="A22" s="54">
        <v>13</v>
      </c>
      <c r="B22" s="57"/>
      <c r="C22" s="55" t="s">
        <v>85</v>
      </c>
      <c r="D22" s="56" t="s">
        <v>84</v>
      </c>
      <c r="E22" s="75" t="s">
        <v>78</v>
      </c>
      <c r="F22" s="57" t="s">
        <v>83</v>
      </c>
      <c r="G22" s="79">
        <v>8000</v>
      </c>
      <c r="H22" s="80">
        <v>36</v>
      </c>
      <c r="I22" s="58">
        <f t="shared" si="0"/>
        <v>288000</v>
      </c>
    </row>
    <row r="23" spans="1:9" ht="31.9" customHeight="1" thickBot="1" x14ac:dyDescent="0.25">
      <c r="A23" s="54">
        <v>14</v>
      </c>
      <c r="B23" s="57"/>
      <c r="C23" s="55" t="s">
        <v>85</v>
      </c>
      <c r="D23" s="56" t="s">
        <v>84</v>
      </c>
      <c r="E23" s="77" t="s">
        <v>79</v>
      </c>
      <c r="F23" s="57" t="s">
        <v>83</v>
      </c>
      <c r="G23" s="79">
        <v>720</v>
      </c>
      <c r="H23" s="80">
        <v>104</v>
      </c>
      <c r="I23" s="58">
        <f t="shared" si="0"/>
        <v>74880</v>
      </c>
    </row>
    <row r="24" spans="1:9" ht="31.9" customHeight="1" thickBot="1" x14ac:dyDescent="0.25">
      <c r="A24" s="54">
        <v>15</v>
      </c>
      <c r="B24" s="57"/>
      <c r="C24" s="55" t="s">
        <v>85</v>
      </c>
      <c r="D24" s="56" t="s">
        <v>84</v>
      </c>
      <c r="E24" s="78" t="s">
        <v>94</v>
      </c>
      <c r="F24" s="57" t="s">
        <v>83</v>
      </c>
      <c r="G24" s="79">
        <v>2</v>
      </c>
      <c r="H24" s="80">
        <v>699</v>
      </c>
      <c r="I24" s="58">
        <f t="shared" si="0"/>
        <v>1398</v>
      </c>
    </row>
    <row r="25" spans="1:9" ht="31.9" customHeight="1" thickBot="1" x14ac:dyDescent="0.25">
      <c r="A25" s="54">
        <v>16</v>
      </c>
      <c r="B25" s="57"/>
      <c r="C25" s="81" t="s">
        <v>93</v>
      </c>
      <c r="D25" s="82" t="s">
        <v>90</v>
      </c>
      <c r="E25" s="75" t="s">
        <v>91</v>
      </c>
      <c r="F25" s="57" t="s">
        <v>83</v>
      </c>
      <c r="G25" s="79">
        <v>12</v>
      </c>
      <c r="H25" s="80">
        <v>73818.289999999994</v>
      </c>
      <c r="I25" s="58">
        <f t="shared" si="0"/>
        <v>885819.48</v>
      </c>
    </row>
    <row r="26" spans="1:9" ht="31.9" customHeight="1" thickBot="1" x14ac:dyDescent="0.25">
      <c r="A26" s="54">
        <v>17</v>
      </c>
      <c r="B26" s="57"/>
      <c r="C26" s="81" t="s">
        <v>93</v>
      </c>
      <c r="D26" s="82" t="s">
        <v>90</v>
      </c>
      <c r="E26" s="75" t="s">
        <v>92</v>
      </c>
      <c r="F26" s="57" t="s">
        <v>83</v>
      </c>
      <c r="G26" s="79">
        <v>12</v>
      </c>
      <c r="H26" s="80">
        <v>73818.289999999994</v>
      </c>
      <c r="I26" s="58">
        <f t="shared" si="0"/>
        <v>885819.48</v>
      </c>
    </row>
    <row r="27" spans="1:9" ht="31.9" customHeight="1" thickBot="1" x14ac:dyDescent="0.25">
      <c r="A27" s="54">
        <v>18</v>
      </c>
      <c r="B27" s="57"/>
      <c r="C27" s="81" t="s">
        <v>85</v>
      </c>
      <c r="D27" s="82" t="s">
        <v>84</v>
      </c>
      <c r="E27" s="75" t="s">
        <v>80</v>
      </c>
      <c r="F27" s="57" t="s">
        <v>83</v>
      </c>
      <c r="G27" s="79">
        <v>1800</v>
      </c>
      <c r="H27" s="80">
        <v>138</v>
      </c>
      <c r="I27" s="58">
        <f t="shared" si="0"/>
        <v>248400</v>
      </c>
    </row>
    <row r="28" spans="1:9" ht="31.9" customHeight="1" thickBot="1" x14ac:dyDescent="0.25">
      <c r="A28" s="54">
        <v>19</v>
      </c>
      <c r="B28" s="57"/>
      <c r="C28" s="55" t="s">
        <v>85</v>
      </c>
      <c r="D28" s="56" t="s">
        <v>84</v>
      </c>
      <c r="E28" s="75" t="s">
        <v>81</v>
      </c>
      <c r="F28" s="57" t="s">
        <v>83</v>
      </c>
      <c r="G28" s="79">
        <v>5</v>
      </c>
      <c r="H28" s="80">
        <v>452</v>
      </c>
      <c r="I28" s="58">
        <f t="shared" si="0"/>
        <v>2260</v>
      </c>
    </row>
    <row r="29" spans="1:9" ht="31.9" customHeight="1" thickBot="1" x14ac:dyDescent="0.25">
      <c r="A29" s="54">
        <v>20</v>
      </c>
      <c r="B29" s="57"/>
      <c r="C29" s="55" t="s">
        <v>85</v>
      </c>
      <c r="D29" s="56" t="s">
        <v>84</v>
      </c>
      <c r="E29" s="75" t="s">
        <v>82</v>
      </c>
      <c r="F29" s="57" t="s">
        <v>83</v>
      </c>
      <c r="G29" s="79">
        <v>5</v>
      </c>
      <c r="H29" s="80">
        <v>452</v>
      </c>
      <c r="I29" s="58">
        <f t="shared" si="0"/>
        <v>2260</v>
      </c>
    </row>
    <row r="32" spans="1:9" x14ac:dyDescent="0.2">
      <c r="B32" s="40" t="s">
        <v>14</v>
      </c>
      <c r="C32" s="41"/>
      <c r="D32" s="41"/>
      <c r="E32" s="42"/>
    </row>
    <row r="33" spans="2:5" ht="5.25" customHeight="1" x14ac:dyDescent="0.2">
      <c r="B33" s="43"/>
      <c r="C33" s="44"/>
      <c r="D33" s="44"/>
      <c r="E33" s="45"/>
    </row>
    <row r="34" spans="2:5" x14ac:dyDescent="0.2">
      <c r="B34" s="46" t="s">
        <v>15</v>
      </c>
      <c r="C34" s="44"/>
      <c r="D34" s="44"/>
      <c r="E34" s="45"/>
    </row>
    <row r="35" spans="2:5" ht="41.25" customHeight="1" x14ac:dyDescent="0.2">
      <c r="B35" s="46"/>
      <c r="C35" s="93"/>
      <c r="D35" s="93"/>
      <c r="E35" s="93"/>
    </row>
    <row r="36" spans="2:5" x14ac:dyDescent="0.2">
      <c r="B36" s="46" t="s">
        <v>16</v>
      </c>
      <c r="C36" s="44"/>
      <c r="D36" s="44"/>
      <c r="E36" s="45"/>
    </row>
    <row r="37" spans="2:5" x14ac:dyDescent="0.2">
      <c r="B37" s="47"/>
      <c r="C37" s="96" t="s">
        <v>86</v>
      </c>
      <c r="D37" s="96"/>
      <c r="E37" s="96"/>
    </row>
    <row r="38" spans="2:5" x14ac:dyDescent="0.2">
      <c r="B38" s="47"/>
      <c r="C38" s="97"/>
      <c r="D38" s="97"/>
      <c r="E38" s="97"/>
    </row>
    <row r="39" spans="2:5" x14ac:dyDescent="0.2">
      <c r="B39" s="46" t="s">
        <v>17</v>
      </c>
      <c r="C39" s="44"/>
      <c r="D39" s="44"/>
      <c r="E39" s="45"/>
    </row>
    <row r="40" spans="2:5" ht="77.25" customHeight="1" x14ac:dyDescent="0.2">
      <c r="B40" s="47"/>
      <c r="C40" s="93" t="s">
        <v>87</v>
      </c>
      <c r="D40" s="93"/>
      <c r="E40" s="93"/>
    </row>
    <row r="41" spans="2:5" x14ac:dyDescent="0.2">
      <c r="B41" s="46" t="s">
        <v>18</v>
      </c>
      <c r="C41" s="48"/>
      <c r="D41" s="48"/>
      <c r="E41" s="49"/>
    </row>
    <row r="42" spans="2:5" ht="26.25" customHeight="1" x14ac:dyDescent="0.2">
      <c r="B42" s="47"/>
      <c r="C42" s="94" t="s">
        <v>62</v>
      </c>
      <c r="D42" s="94"/>
      <c r="E42" s="94"/>
    </row>
    <row r="43" spans="2:5" x14ac:dyDescent="0.2">
      <c r="B43" s="46" t="s">
        <v>19</v>
      </c>
      <c r="C43" s="44"/>
      <c r="D43" s="44"/>
      <c r="E43" s="45"/>
    </row>
    <row r="44" spans="2:5" ht="23.25" customHeight="1" x14ac:dyDescent="0.2">
      <c r="B44" s="46"/>
      <c r="C44" s="95"/>
      <c r="D44" s="95"/>
      <c r="E44" s="95"/>
    </row>
    <row r="45" spans="2:5" x14ac:dyDescent="0.2">
      <c r="B45" s="50"/>
      <c r="C45" s="51"/>
      <c r="D45" s="51"/>
      <c r="E45" s="52"/>
    </row>
  </sheetData>
  <mergeCells count="13">
    <mergeCell ref="C40:E40"/>
    <mergeCell ref="C42:E42"/>
    <mergeCell ref="C44:E44"/>
    <mergeCell ref="A6:B6"/>
    <mergeCell ref="A7:B7"/>
    <mergeCell ref="C35:E35"/>
    <mergeCell ref="C37:E37"/>
    <mergeCell ref="C38:E38"/>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32"/>
  <sheetViews>
    <sheetView topLeftCell="A7" zoomScale="70" zoomScaleNormal="70" workbookViewId="0">
      <selection activeCell="N30" sqref="N30"/>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8" t="s">
        <v>20</v>
      </c>
      <c r="B1" s="98"/>
      <c r="C1" s="98"/>
      <c r="D1" s="98"/>
      <c r="E1" s="98"/>
      <c r="F1" s="98"/>
      <c r="G1" s="98"/>
      <c r="H1" s="98"/>
      <c r="I1" s="98"/>
      <c r="J1" s="3" t="s">
        <v>21</v>
      </c>
      <c r="K1" s="61" t="s">
        <v>89</v>
      </c>
    </row>
    <row r="2" spans="1:11" ht="18.75" customHeight="1" thickBot="1" x14ac:dyDescent="0.25">
      <c r="A2" s="4"/>
      <c r="B2" s="4"/>
      <c r="C2" s="4"/>
      <c r="D2" s="5"/>
      <c r="E2" s="5"/>
      <c r="F2" s="5"/>
      <c r="G2" s="5"/>
      <c r="H2" s="5"/>
      <c r="I2" s="5"/>
      <c r="J2" s="5"/>
      <c r="K2" s="5"/>
    </row>
    <row r="3" spans="1:11" ht="18.75" customHeight="1" thickBot="1" x14ac:dyDescent="0.25">
      <c r="A3" s="99" t="s">
        <v>54</v>
      </c>
      <c r="B3" s="99"/>
      <c r="C3" s="99"/>
      <c r="D3" s="100" t="str">
        <f>'Necesidades Trimestrales'!C4</f>
        <v>40 - Ministerio de Salud</v>
      </c>
      <c r="E3" s="100"/>
      <c r="F3" s="100"/>
      <c r="G3" s="100"/>
      <c r="H3" s="100"/>
      <c r="I3" s="100"/>
      <c r="J3" s="100"/>
      <c r="K3" s="100"/>
    </row>
    <row r="4" spans="1:11" ht="18.75" customHeight="1" thickBot="1" x14ac:dyDescent="0.25">
      <c r="A4" s="101" t="s">
        <v>55</v>
      </c>
      <c r="B4" s="101"/>
      <c r="C4" s="101"/>
      <c r="D4" s="100" t="str">
        <f>'Necesidades Trimestrales'!C5</f>
        <v>23 - Hospital Interzonal San Juan Bautista</v>
      </c>
      <c r="E4" s="100"/>
      <c r="F4" s="100"/>
      <c r="G4" s="100"/>
      <c r="H4" s="100"/>
      <c r="I4" s="100"/>
      <c r="J4" s="100"/>
      <c r="K4" s="100"/>
    </row>
    <row r="5" spans="1:11" ht="18.75" customHeight="1" thickBot="1" x14ac:dyDescent="0.25">
      <c r="A5" s="101" t="s">
        <v>33</v>
      </c>
      <c r="B5" s="101"/>
      <c r="C5" s="101"/>
      <c r="D5" s="100" t="s">
        <v>60</v>
      </c>
      <c r="E5" s="100"/>
      <c r="F5" s="100"/>
      <c r="G5" s="100"/>
      <c r="H5" s="100"/>
      <c r="I5" s="100"/>
      <c r="J5" s="100"/>
      <c r="K5" s="100"/>
    </row>
    <row r="6" spans="1:11" ht="16.5" customHeight="1" thickBot="1" x14ac:dyDescent="0.25">
      <c r="A6" s="99" t="s">
        <v>56</v>
      </c>
      <c r="B6" s="99"/>
      <c r="C6" s="99"/>
      <c r="D6" s="100" t="s">
        <v>61</v>
      </c>
      <c r="E6" s="100"/>
      <c r="F6" s="100"/>
      <c r="G6" s="100"/>
      <c r="H6" s="100"/>
      <c r="I6" s="100"/>
      <c r="J6" s="100"/>
      <c r="K6" s="100"/>
    </row>
    <row r="7" spans="1:11" ht="16.5" customHeight="1" x14ac:dyDescent="0.2">
      <c r="A7" s="101" t="s">
        <v>22</v>
      </c>
      <c r="B7" s="101"/>
      <c r="C7" s="101"/>
      <c r="D7" s="100" t="str">
        <f>'Necesidades Trimestrales'!C7 &amp; "° Trimestre - Año " &amp; 'Necesidades Trimestrales'!C6</f>
        <v>2° Trimestre - Año 2021</v>
      </c>
      <c r="E7" s="100"/>
      <c r="F7" s="100"/>
      <c r="G7" s="100"/>
      <c r="H7" s="100"/>
      <c r="I7" s="100"/>
      <c r="J7" s="100"/>
      <c r="K7" s="100"/>
    </row>
    <row r="8" spans="1:11" ht="16.5" customHeight="1" x14ac:dyDescent="0.2">
      <c r="A8" s="102" t="s">
        <v>23</v>
      </c>
      <c r="B8" s="102"/>
      <c r="C8" s="102"/>
      <c r="D8" s="103" t="s">
        <v>88</v>
      </c>
      <c r="E8" s="103"/>
      <c r="F8" s="103"/>
      <c r="G8" s="103"/>
      <c r="H8" s="103"/>
      <c r="I8" s="103"/>
      <c r="J8" s="103"/>
      <c r="K8" s="103"/>
    </row>
    <row r="9" spans="1:11" ht="15.75" x14ac:dyDescent="0.2">
      <c r="A9" s="6"/>
      <c r="B9" s="6"/>
      <c r="C9" s="6"/>
      <c r="D9" s="7"/>
      <c r="E9" s="7"/>
      <c r="F9" s="7"/>
      <c r="G9" s="7"/>
      <c r="H9" s="7"/>
      <c r="I9" s="7"/>
      <c r="J9" s="7"/>
      <c r="K9" s="7"/>
    </row>
    <row r="10" spans="1:11" ht="18.75" customHeight="1" x14ac:dyDescent="0.2">
      <c r="A10" s="104" t="s">
        <v>24</v>
      </c>
      <c r="B10" s="105" t="s">
        <v>25</v>
      </c>
      <c r="C10" s="105" t="s">
        <v>26</v>
      </c>
      <c r="D10" s="105"/>
      <c r="E10" s="105"/>
      <c r="F10" s="105"/>
      <c r="G10" s="105"/>
      <c r="H10" s="105" t="s">
        <v>27</v>
      </c>
      <c r="I10" s="105" t="s">
        <v>28</v>
      </c>
      <c r="J10" s="105" t="s">
        <v>29</v>
      </c>
      <c r="K10" s="106" t="s">
        <v>30</v>
      </c>
    </row>
    <row r="11" spans="1:11" ht="24" customHeight="1" thickBot="1" x14ac:dyDescent="0.25">
      <c r="A11" s="104"/>
      <c r="B11" s="105"/>
      <c r="C11" s="105"/>
      <c r="D11" s="105"/>
      <c r="E11" s="105"/>
      <c r="F11" s="105"/>
      <c r="G11" s="105"/>
      <c r="H11" s="105"/>
      <c r="I11" s="105"/>
      <c r="J11" s="105"/>
      <c r="K11" s="106"/>
    </row>
    <row r="12" spans="1:11" ht="20.25" customHeight="1" thickBot="1" x14ac:dyDescent="0.25">
      <c r="A12" s="8">
        <v>1</v>
      </c>
      <c r="B12" s="62">
        <f>'Necesidades Trimestrales'!B10</f>
        <v>0</v>
      </c>
      <c r="C12" s="109" t="str">
        <f>'Necesidades Trimestrales'!E10</f>
        <v>AGUJA ESPINAL 25G 31/2 PUNTA LAPIZ</v>
      </c>
      <c r="D12" s="109"/>
      <c r="E12" s="109"/>
      <c r="F12" s="109"/>
      <c r="G12" s="109"/>
      <c r="H12" s="63" t="s">
        <v>57</v>
      </c>
      <c r="I12" s="64" t="str">
        <f>'Necesidades Trimestrales'!F10</f>
        <v>UNIDAD</v>
      </c>
      <c r="J12" s="65">
        <f>'Necesidades Trimestrales'!H10</f>
        <v>1300</v>
      </c>
      <c r="K12" s="66">
        <f>'Necesidades Trimestrales'!G10</f>
        <v>400</v>
      </c>
    </row>
    <row r="13" spans="1:11" ht="20.25" customHeight="1" thickBot="1" x14ac:dyDescent="0.25">
      <c r="A13" s="8">
        <v>2</v>
      </c>
      <c r="B13" s="62">
        <f>'Necesidades Trimestrales'!B11</f>
        <v>0</v>
      </c>
      <c r="C13" s="109" t="str">
        <f>'Necesidades Trimestrales'!E11</f>
        <v>Aguja ESPINAL 26 G 31/2</v>
      </c>
      <c r="D13" s="109"/>
      <c r="E13" s="109"/>
      <c r="F13" s="109"/>
      <c r="G13" s="109"/>
      <c r="H13" s="63" t="s">
        <v>57</v>
      </c>
      <c r="I13" s="64" t="str">
        <f>'Necesidades Trimestrales'!F11</f>
        <v>UNIDAD</v>
      </c>
      <c r="J13" s="65">
        <f>'Necesidades Trimestrales'!H11</f>
        <v>1300</v>
      </c>
      <c r="K13" s="66">
        <f>'Necesidades Trimestrales'!G11</f>
        <v>400</v>
      </c>
    </row>
    <row r="14" spans="1:11" ht="20.25" customHeight="1" thickBot="1" x14ac:dyDescent="0.25">
      <c r="A14" s="8">
        <v>3</v>
      </c>
      <c r="B14" s="62">
        <f>'Necesidades Trimestrales'!B12</f>
        <v>0</v>
      </c>
      <c r="C14" s="109" t="str">
        <f>'Necesidades Trimestrales'!E12</f>
        <v>Aguja ESPINAL 27 G 3 1/2</v>
      </c>
      <c r="D14" s="109"/>
      <c r="E14" s="109"/>
      <c r="F14" s="109"/>
      <c r="G14" s="109"/>
      <c r="H14" s="63" t="s">
        <v>57</v>
      </c>
      <c r="I14" s="64" t="str">
        <f>'Necesidades Trimestrales'!F12</f>
        <v>UNIDAD</v>
      </c>
      <c r="J14" s="65">
        <f>'Necesidades Trimestrales'!H12</f>
        <v>1300</v>
      </c>
      <c r="K14" s="66">
        <f>'Necesidades Trimestrales'!G12</f>
        <v>400</v>
      </c>
    </row>
    <row r="15" spans="1:11" ht="20.25" customHeight="1" thickBot="1" x14ac:dyDescent="0.25">
      <c r="A15" s="8">
        <v>4</v>
      </c>
      <c r="B15" s="62">
        <f>'Necesidades Trimestrales'!B13</f>
        <v>0</v>
      </c>
      <c r="C15" s="109" t="str">
        <f>'Necesidades Trimestrales'!E13</f>
        <v xml:space="preserve">AGUJA ESPINAL 27G 3 1/2 PUNTA LAPIZ </v>
      </c>
      <c r="D15" s="109"/>
      <c r="E15" s="109"/>
      <c r="F15" s="109"/>
      <c r="G15" s="109"/>
      <c r="H15" s="63" t="s">
        <v>57</v>
      </c>
      <c r="I15" s="64" t="str">
        <f>'Necesidades Trimestrales'!F13</f>
        <v>UNIDAD</v>
      </c>
      <c r="J15" s="65">
        <f>'Necesidades Trimestrales'!H13</f>
        <v>1300</v>
      </c>
      <c r="K15" s="66">
        <f>'Necesidades Trimestrales'!G13</f>
        <v>400</v>
      </c>
    </row>
    <row r="16" spans="1:11" ht="20.25" customHeight="1" thickBot="1" x14ac:dyDescent="0.25">
      <c r="A16" s="8">
        <v>5</v>
      </c>
      <c r="B16" s="62">
        <f>'Necesidades Trimestrales'!B14</f>
        <v>0</v>
      </c>
      <c r="C16" s="109" t="str">
        <f>'Necesidades Trimestrales'!E14</f>
        <v>Aguja espinal para obesos  25 G  punta lapiz</v>
      </c>
      <c r="D16" s="109"/>
      <c r="E16" s="109"/>
      <c r="F16" s="109"/>
      <c r="G16" s="109"/>
      <c r="H16" s="63" t="s">
        <v>57</v>
      </c>
      <c r="I16" s="64" t="str">
        <f>'Necesidades Trimestrales'!F14</f>
        <v>UNIDAD</v>
      </c>
      <c r="J16" s="65">
        <f>'Necesidades Trimestrales'!H14</f>
        <v>1620</v>
      </c>
      <c r="K16" s="66">
        <f>'Necesidades Trimestrales'!G14</f>
        <v>50</v>
      </c>
    </row>
    <row r="17" spans="1:1024" ht="20.25" customHeight="1" thickBot="1" x14ac:dyDescent="0.25">
      <c r="A17" s="8">
        <v>6</v>
      </c>
      <c r="B17" s="62">
        <f>'Necesidades Trimestrales'!B15</f>
        <v>0</v>
      </c>
      <c r="C17" s="109" t="str">
        <f>'Necesidades Trimestrales'!E15</f>
        <v xml:space="preserve">Aguja espinal para obesos  27 G </v>
      </c>
      <c r="D17" s="109"/>
      <c r="E17" s="109"/>
      <c r="F17" s="109"/>
      <c r="G17" s="109"/>
      <c r="H17" s="63" t="s">
        <v>57</v>
      </c>
      <c r="I17" s="64" t="str">
        <f>'Necesidades Trimestrales'!F15</f>
        <v>UNIDAD</v>
      </c>
      <c r="J17" s="65">
        <f>'Necesidades Trimestrales'!H15</f>
        <v>1620</v>
      </c>
      <c r="K17" s="66">
        <f>'Necesidades Trimestrales'!G15</f>
        <v>50</v>
      </c>
    </row>
    <row r="18" spans="1:1024" ht="20.25" customHeight="1" thickBot="1" x14ac:dyDescent="0.25">
      <c r="A18" s="8">
        <v>7</v>
      </c>
      <c r="B18" s="62">
        <f>'Necesidades Trimestrales'!B16</f>
        <v>0</v>
      </c>
      <c r="C18" s="109" t="str">
        <f>'Necesidades Trimestrales'!E16</f>
        <v>Aguja ESPINAL 21 G 3 1/2 PUNTA LAPIZ</v>
      </c>
      <c r="D18" s="109"/>
      <c r="E18" s="109"/>
      <c r="F18" s="109"/>
      <c r="G18" s="109"/>
      <c r="H18" s="63" t="s">
        <v>57</v>
      </c>
      <c r="I18" s="64" t="str">
        <f>'Necesidades Trimestrales'!F16</f>
        <v>UNIDAD</v>
      </c>
      <c r="J18" s="65">
        <f>'Necesidades Trimestrales'!H16</f>
        <v>1050</v>
      </c>
      <c r="K18" s="66">
        <f>'Necesidades Trimestrales'!G16</f>
        <v>400</v>
      </c>
    </row>
    <row r="19" spans="1:1024" ht="20.25" customHeight="1" thickBot="1" x14ac:dyDescent="0.25">
      <c r="A19" s="8">
        <v>8</v>
      </c>
      <c r="B19" s="62">
        <f>'Necesidades Trimestrales'!B17</f>
        <v>0</v>
      </c>
      <c r="C19" s="109" t="str">
        <f>'Necesidades Trimestrales'!E17</f>
        <v>AGUJA PUNTA CURVA HUBER Nº 20 X 25 MM</v>
      </c>
      <c r="D19" s="109"/>
      <c r="E19" s="109"/>
      <c r="F19" s="109"/>
      <c r="G19" s="109"/>
      <c r="H19" s="63" t="s">
        <v>57</v>
      </c>
      <c r="I19" s="64" t="str">
        <f>'Necesidades Trimestrales'!F17</f>
        <v>UNIDAD</v>
      </c>
      <c r="J19" s="65">
        <f>'Necesidades Trimestrales'!H17</f>
        <v>255.9</v>
      </c>
      <c r="K19" s="66">
        <f>'Necesidades Trimestrales'!G17</f>
        <v>60</v>
      </c>
    </row>
    <row r="20" spans="1:1024" ht="20.25" customHeight="1" thickBot="1" x14ac:dyDescent="0.25">
      <c r="A20" s="8">
        <v>9</v>
      </c>
      <c r="B20" s="62">
        <f>'Necesidades Trimestrales'!B18</f>
        <v>0</v>
      </c>
      <c r="C20" s="109" t="str">
        <f>'Necesidades Trimestrales'!E18</f>
        <v>AGUJA PUNTA CURVA HUBER Nº 21 X 25 MM</v>
      </c>
      <c r="D20" s="109"/>
      <c r="E20" s="109"/>
      <c r="F20" s="109"/>
      <c r="G20" s="109"/>
      <c r="H20" s="63" t="s">
        <v>57</v>
      </c>
      <c r="I20" s="64" t="str">
        <f>'Necesidades Trimestrales'!F18</f>
        <v>UNIDAD</v>
      </c>
      <c r="J20" s="65">
        <f>'Necesidades Trimestrales'!H18</f>
        <v>255.9</v>
      </c>
      <c r="K20" s="66">
        <f>'Necesidades Trimestrales'!G18</f>
        <v>60</v>
      </c>
    </row>
    <row r="21" spans="1:1024" ht="20.25" customHeight="1" thickBot="1" x14ac:dyDescent="0.25">
      <c r="A21" s="8">
        <v>10</v>
      </c>
      <c r="B21" s="62">
        <f>'Necesidades Trimestrales'!B19</f>
        <v>0</v>
      </c>
      <c r="C21" s="109" t="str">
        <f>'Necesidades Trimestrales'!E19</f>
        <v>AGUJA PUNTA CURVA HUBER Nº 22 X 25 MM</v>
      </c>
      <c r="D21" s="109"/>
      <c r="E21" s="109"/>
      <c r="F21" s="109"/>
      <c r="G21" s="109"/>
      <c r="H21" s="63" t="s">
        <v>57</v>
      </c>
      <c r="I21" s="64" t="str">
        <f>'Necesidades Trimestrales'!F19</f>
        <v>UNIDAD</v>
      </c>
      <c r="J21" s="65">
        <f>'Necesidades Trimestrales'!H19</f>
        <v>255.9</v>
      </c>
      <c r="K21" s="66">
        <f>'Necesidades Trimestrales'!G19</f>
        <v>60</v>
      </c>
    </row>
    <row r="22" spans="1:1024" ht="20.25" customHeight="1" thickBot="1" x14ac:dyDescent="0.25">
      <c r="A22" s="8">
        <v>11</v>
      </c>
      <c r="B22" s="62">
        <f>'Necesidades Trimestrales'!B20</f>
        <v>0</v>
      </c>
      <c r="C22" s="109" t="str">
        <f>'Necesidades Trimestrales'!E20</f>
        <v>AGUJA TROCAR X 1 - 30/12</v>
      </c>
      <c r="D22" s="109"/>
      <c r="E22" s="109"/>
      <c r="F22" s="109"/>
      <c r="G22" s="109"/>
      <c r="H22" s="63" t="s">
        <v>57</v>
      </c>
      <c r="I22" s="64" t="str">
        <f>'Necesidades Trimestrales'!F20</f>
        <v>UNIDAD</v>
      </c>
      <c r="J22" s="65">
        <f>'Necesidades Trimestrales'!H20</f>
        <v>1.32</v>
      </c>
      <c r="K22" s="66">
        <f>'Necesidades Trimestrales'!G20</f>
        <v>5000</v>
      </c>
    </row>
    <row r="23" spans="1:1024" ht="20.25" customHeight="1" thickBot="1" x14ac:dyDescent="0.25">
      <c r="A23" s="8">
        <v>12</v>
      </c>
      <c r="B23" s="62">
        <f>'Necesidades Trimestrales'!B21</f>
        <v>0</v>
      </c>
      <c r="C23" s="109" t="str">
        <f>'Necesidades Trimestrales'!E21</f>
        <v>Bolsa De Ileostomia 5985 (Coloplast) x unidad</v>
      </c>
      <c r="D23" s="109"/>
      <c r="E23" s="109"/>
      <c r="F23" s="109"/>
      <c r="G23" s="109"/>
      <c r="H23" s="63" t="s">
        <v>57</v>
      </c>
      <c r="I23" s="64" t="str">
        <f>'Necesidades Trimestrales'!F21</f>
        <v>UNIDAD</v>
      </c>
      <c r="J23" s="65">
        <f>'Necesidades Trimestrales'!H21</f>
        <v>499</v>
      </c>
      <c r="K23" s="66">
        <f>'Necesidades Trimestrales'!G21</f>
        <v>120</v>
      </c>
    </row>
    <row r="24" spans="1:1024" ht="20.25" customHeight="1" thickBot="1" x14ac:dyDescent="0.25">
      <c r="A24" s="8">
        <v>13</v>
      </c>
      <c r="B24" s="62">
        <f>'Necesidades Trimestrales'!B22</f>
        <v>0</v>
      </c>
      <c r="C24" s="109" t="str">
        <f>'Necesidades Trimestrales'!E22</f>
        <v xml:space="preserve">CEPILLO PARA CIRUGIA  DESCARTABLE ESTERIL </v>
      </c>
      <c r="D24" s="109"/>
      <c r="E24" s="109"/>
      <c r="F24" s="109"/>
      <c r="G24" s="109"/>
      <c r="H24" s="63" t="s">
        <v>57</v>
      </c>
      <c r="I24" s="64" t="str">
        <f>'Necesidades Trimestrales'!F22</f>
        <v>UNIDAD</v>
      </c>
      <c r="J24" s="65">
        <f>'Necesidades Trimestrales'!H22</f>
        <v>36</v>
      </c>
      <c r="K24" s="66">
        <f>'Necesidades Trimestrales'!G22</f>
        <v>8000</v>
      </c>
    </row>
    <row r="25" spans="1:1024" ht="20.25" customHeight="1" thickBot="1" x14ac:dyDescent="0.25">
      <c r="A25" s="8">
        <v>14</v>
      </c>
      <c r="B25" s="62">
        <f>'Necesidades Trimestrales'!B23</f>
        <v>0</v>
      </c>
      <c r="C25" s="109" t="str">
        <f>'Necesidades Trimestrales'!E23</f>
        <v>Dosificador de soluc.sistema cerrado TB 2739 1 unidad (UNICA x 1)</v>
      </c>
      <c r="D25" s="109"/>
      <c r="E25" s="109"/>
      <c r="F25" s="109"/>
      <c r="G25" s="109"/>
      <c r="H25" s="63" t="s">
        <v>57</v>
      </c>
      <c r="I25" s="64" t="str">
        <f>'Necesidades Trimestrales'!F23</f>
        <v>UNIDAD</v>
      </c>
      <c r="J25" s="65">
        <f>'Necesidades Trimestrales'!H23</f>
        <v>104</v>
      </c>
      <c r="K25" s="66">
        <f>'Necesidades Trimestrales'!G23</f>
        <v>720</v>
      </c>
    </row>
    <row r="26" spans="1:1024" ht="20.25" customHeight="1" thickBot="1" x14ac:dyDescent="0.25">
      <c r="A26" s="8">
        <v>15</v>
      </c>
      <c r="B26" s="62">
        <v>0</v>
      </c>
      <c r="C26" s="109" t="str">
        <f>'Necesidades Trimestrales'!E24</f>
        <v>MANGO P/HOJA DE BISTURI Nª4 H20-24</v>
      </c>
      <c r="D26" s="109"/>
      <c r="E26" s="109"/>
      <c r="F26" s="109"/>
      <c r="G26" s="109"/>
      <c r="H26" s="63" t="s">
        <v>57</v>
      </c>
      <c r="I26" s="64" t="str">
        <f>'Necesidades Trimestrales'!F24</f>
        <v>UNIDAD</v>
      </c>
      <c r="J26" s="65">
        <f>'Necesidades Trimestrales'!H24</f>
        <v>699</v>
      </c>
      <c r="K26" s="66">
        <f>'Necesidades Trimestrales'!G24</f>
        <v>2</v>
      </c>
    </row>
    <row r="27" spans="1:1024" ht="20.25" customHeight="1" thickBot="1" x14ac:dyDescent="0.25">
      <c r="A27" s="8">
        <v>16</v>
      </c>
      <c r="B27" s="62">
        <f>'Necesidades Trimestrales'!B25</f>
        <v>0</v>
      </c>
      <c r="C27" s="109" t="str">
        <f>'Necesidades Trimestrales'!E25</f>
        <v>PLACA MAMOGRAFICA TIPO DI MI 20/25 FUJIFILM CAJA X 150 UNIDADES</v>
      </c>
      <c r="D27" s="109"/>
      <c r="E27" s="109"/>
      <c r="F27" s="109"/>
      <c r="G27" s="109"/>
      <c r="H27" s="63" t="s">
        <v>57</v>
      </c>
      <c r="I27" s="64" t="str">
        <f>'Necesidades Trimestrales'!F25</f>
        <v>UNIDAD</v>
      </c>
      <c r="J27" s="65">
        <f>'Necesidades Trimestrales'!H25</f>
        <v>73818.289999999994</v>
      </c>
      <c r="K27" s="66">
        <f>'Necesidades Trimestrales'!G25</f>
        <v>12</v>
      </c>
    </row>
    <row r="28" spans="1:1024" ht="20.25" customHeight="1" thickBot="1" x14ac:dyDescent="0.25">
      <c r="A28" s="8">
        <v>17</v>
      </c>
      <c r="B28" s="62">
        <f>'Necesidades Trimestrales'!B26</f>
        <v>0</v>
      </c>
      <c r="C28" s="109" t="str">
        <f>'Necesidades Trimestrales'!E26</f>
        <v>PLACA MAMOGRAFICA TIPO DI MI 26/36 FUJIFILM CAJA X 150 UNIDADES</v>
      </c>
      <c r="D28" s="109"/>
      <c r="E28" s="109"/>
      <c r="F28" s="109"/>
      <c r="G28" s="109"/>
      <c r="H28" s="63" t="s">
        <v>57</v>
      </c>
      <c r="I28" s="64" t="str">
        <f>'Necesidades Trimestrales'!F26</f>
        <v>UNIDAD</v>
      </c>
      <c r="J28" s="65">
        <f>'Necesidades Trimestrales'!H26</f>
        <v>73818.289999999994</v>
      </c>
      <c r="K28" s="66">
        <f>'Necesidades Trimestrales'!G26</f>
        <v>12</v>
      </c>
    </row>
    <row r="29" spans="1:1024" ht="20.25" customHeight="1" thickBot="1" x14ac:dyDescent="0.25">
      <c r="A29" s="8">
        <v>18</v>
      </c>
      <c r="B29" s="62">
        <f>'Necesidades Trimestrales'!B27</f>
        <v>0</v>
      </c>
      <c r="C29" s="109" t="str">
        <f>'Necesidades Trimestrales'!E27</f>
        <v>SISTEMA DE REGULACION DE FLUJO B-2763</v>
      </c>
      <c r="D29" s="109"/>
      <c r="E29" s="109"/>
      <c r="F29" s="109"/>
      <c r="G29" s="109"/>
      <c r="H29" s="63" t="s">
        <v>57</v>
      </c>
      <c r="I29" s="64" t="str">
        <f>'Necesidades Trimestrales'!F27</f>
        <v>UNIDAD</v>
      </c>
      <c r="J29" s="65">
        <f>'Necesidades Trimestrales'!H27</f>
        <v>138</v>
      </c>
      <c r="K29" s="66">
        <f>'Necesidades Trimestrales'!G27</f>
        <v>1800</v>
      </c>
    </row>
    <row r="30" spans="1:1024" ht="20.25" customHeight="1" thickBot="1" x14ac:dyDescent="0.25">
      <c r="A30" s="8">
        <v>19</v>
      </c>
      <c r="B30" s="62">
        <f>'Necesidades Trimestrales'!B28</f>
        <v>0</v>
      </c>
      <c r="C30" s="109" t="str">
        <f>'Necesidades Trimestrales'!E28</f>
        <v>VENDA DE SMARCH X 15 CM.</v>
      </c>
      <c r="D30" s="109"/>
      <c r="E30" s="109"/>
      <c r="F30" s="109"/>
      <c r="G30" s="109"/>
      <c r="H30" s="63" t="s">
        <v>57</v>
      </c>
      <c r="I30" s="64" t="str">
        <f>'Necesidades Trimestrales'!F28</f>
        <v>UNIDAD</v>
      </c>
      <c r="J30" s="65">
        <f>'Necesidades Trimestrales'!H28</f>
        <v>452</v>
      </c>
      <c r="K30" s="66">
        <f>'Necesidades Trimestrales'!G28</f>
        <v>5</v>
      </c>
    </row>
    <row r="31" spans="1:1024" ht="20.25" customHeight="1" thickBot="1" x14ac:dyDescent="0.25">
      <c r="A31" s="8">
        <v>20</v>
      </c>
      <c r="B31" s="62">
        <f>'Necesidades Trimestrales'!B29</f>
        <v>0</v>
      </c>
      <c r="C31" s="109" t="str">
        <f>'Necesidades Trimestrales'!E29</f>
        <v>VENDA DE SMARCH X 20 CM</v>
      </c>
      <c r="D31" s="109"/>
      <c r="E31" s="109"/>
      <c r="F31" s="109"/>
      <c r="G31" s="109"/>
      <c r="H31" s="63" t="s">
        <v>57</v>
      </c>
      <c r="I31" s="64" t="str">
        <f>'Necesidades Trimestrales'!F29</f>
        <v>UNIDAD</v>
      </c>
      <c r="J31" s="65">
        <f>'Necesidades Trimestrales'!H29</f>
        <v>452</v>
      </c>
      <c r="K31" s="66">
        <f>'Necesidades Trimestrales'!G29</f>
        <v>5</v>
      </c>
    </row>
    <row r="32" spans="1:1024" ht="20.25" customHeight="1" thickBot="1" x14ac:dyDescent="0.25">
      <c r="A32" s="107" t="s">
        <v>95</v>
      </c>
      <c r="B32" s="107"/>
      <c r="C32" s="107"/>
      <c r="D32" s="107"/>
      <c r="E32" s="107"/>
      <c r="F32" s="107"/>
      <c r="G32" s="107"/>
      <c r="H32" s="107"/>
      <c r="I32" s="107"/>
      <c r="J32" s="108">
        <f>SUMPRODUCT(J12:J31,K12:K31)</f>
        <v>5163378.96</v>
      </c>
      <c r="K32" s="108"/>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row>
  </sheetData>
  <mergeCells count="42">
    <mergeCell ref="C26:G26"/>
    <mergeCell ref="C31:G31"/>
    <mergeCell ref="C27:G27"/>
    <mergeCell ref="C28:G28"/>
    <mergeCell ref="C29:G29"/>
    <mergeCell ref="C30:G30"/>
    <mergeCell ref="A32:I32"/>
    <mergeCell ref="J32:K32"/>
    <mergeCell ref="C12:G12"/>
    <mergeCell ref="C13:G13"/>
    <mergeCell ref="C14:G14"/>
    <mergeCell ref="C15:G15"/>
    <mergeCell ref="C16:G16"/>
    <mergeCell ref="C17:G17"/>
    <mergeCell ref="C18:G18"/>
    <mergeCell ref="C19:G19"/>
    <mergeCell ref="C20:G20"/>
    <mergeCell ref="C21:G21"/>
    <mergeCell ref="C22:G22"/>
    <mergeCell ref="C23:G23"/>
    <mergeCell ref="C24:G24"/>
    <mergeCell ref="C25:G25"/>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7"/>
  <sheetViews>
    <sheetView topLeftCell="A5" zoomScale="130" zoomScaleNormal="130" workbookViewId="0">
      <selection activeCell="S21" sqref="S21"/>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4.7109375" customWidth="1"/>
    <col min="19" max="19" width="13.28515625" bestFit="1" customWidth="1"/>
  </cols>
  <sheetData>
    <row r="1" spans="1:17" ht="15.75" customHeight="1" x14ac:dyDescent="0.25">
      <c r="A1" s="110" t="s">
        <v>3</v>
      </c>
      <c r="B1" s="110"/>
      <c r="C1" s="110"/>
      <c r="D1" s="111">
        <f>'Necesidades Trimestrales'!C6</f>
        <v>2021</v>
      </c>
      <c r="E1" s="111"/>
      <c r="F1" s="10"/>
      <c r="G1" s="10"/>
      <c r="H1" s="11"/>
      <c r="I1" s="11"/>
      <c r="J1" s="11"/>
      <c r="K1" s="11"/>
      <c r="L1" s="11"/>
      <c r="M1" s="11"/>
      <c r="N1" s="11"/>
      <c r="P1" s="112" t="s">
        <v>31</v>
      </c>
      <c r="Q1" s="112"/>
    </row>
    <row r="2" spans="1:17" ht="15.75" customHeight="1" x14ac:dyDescent="0.2">
      <c r="H2" s="11"/>
      <c r="I2" s="11"/>
      <c r="J2" s="11"/>
      <c r="K2" s="11"/>
      <c r="L2" s="11"/>
      <c r="M2" s="11"/>
      <c r="N2" s="11"/>
      <c r="P2" s="112"/>
      <c r="Q2" s="112"/>
    </row>
    <row r="4" spans="1:17" s="12" customFormat="1" ht="18" customHeight="1" thickBot="1" x14ac:dyDescent="0.25">
      <c r="A4" s="113" t="s">
        <v>32</v>
      </c>
      <c r="B4" s="113"/>
      <c r="C4" s="113"/>
      <c r="D4" s="113"/>
      <c r="E4" s="113"/>
      <c r="F4" s="113"/>
      <c r="G4" s="114" t="str">
        <f>NotaPedido!D3</f>
        <v>40 - Ministerio de Salud</v>
      </c>
      <c r="H4" s="114"/>
      <c r="I4" s="114"/>
      <c r="J4" s="114"/>
      <c r="K4" s="114"/>
      <c r="L4" s="114"/>
      <c r="M4" s="114"/>
      <c r="N4" s="114"/>
      <c r="O4" s="114"/>
      <c r="P4" s="114"/>
      <c r="Q4" s="114"/>
    </row>
    <row r="5" spans="1:17" s="12" customFormat="1" ht="18" customHeight="1" thickBot="1" x14ac:dyDescent="0.25">
      <c r="A5" s="115" t="s">
        <v>55</v>
      </c>
      <c r="B5" s="116"/>
      <c r="C5" s="116"/>
      <c r="D5" s="116"/>
      <c r="E5" s="116"/>
      <c r="F5" s="117"/>
      <c r="G5" s="114" t="str">
        <f>NotaPedido!D4</f>
        <v>23 - Hospital Interzonal San Juan Bautista</v>
      </c>
      <c r="H5" s="114"/>
      <c r="I5" s="114"/>
      <c r="J5" s="114"/>
      <c r="K5" s="114"/>
      <c r="L5" s="114"/>
      <c r="M5" s="114"/>
      <c r="N5" s="114"/>
      <c r="O5" s="114"/>
      <c r="P5" s="114"/>
      <c r="Q5" s="114"/>
    </row>
    <row r="6" spans="1:17" s="12" customFormat="1" ht="18" customHeight="1" thickBot="1" x14ac:dyDescent="0.25">
      <c r="A6" s="115" t="s">
        <v>33</v>
      </c>
      <c r="B6" s="116"/>
      <c r="C6" s="116"/>
      <c r="D6" s="116"/>
      <c r="E6" s="116"/>
      <c r="F6" s="117"/>
      <c r="G6" s="114" t="str">
        <f>NotaPedido!D5</f>
        <v>168 - Direccion Asistencial</v>
      </c>
      <c r="H6" s="114"/>
      <c r="I6" s="114"/>
      <c r="J6" s="114"/>
      <c r="K6" s="114"/>
      <c r="L6" s="114"/>
      <c r="M6" s="114"/>
      <c r="N6" s="114"/>
      <c r="O6" s="114"/>
      <c r="P6" s="114"/>
      <c r="Q6" s="114"/>
    </row>
    <row r="7" spans="1:17" s="12" customFormat="1" ht="18" customHeight="1" thickBot="1" x14ac:dyDescent="0.25">
      <c r="A7" s="115" t="s">
        <v>56</v>
      </c>
      <c r="B7" s="116"/>
      <c r="C7" s="116"/>
      <c r="D7" s="116"/>
      <c r="E7" s="116"/>
      <c r="F7" s="117"/>
      <c r="G7" s="114" t="str">
        <f>NotaPedido!D6</f>
        <v>Servicio de Farmacia</v>
      </c>
      <c r="H7" s="114"/>
      <c r="I7" s="114"/>
      <c r="J7" s="114"/>
      <c r="K7" s="114"/>
      <c r="L7" s="114"/>
      <c r="M7" s="114"/>
      <c r="N7" s="114"/>
      <c r="O7" s="114"/>
      <c r="P7" s="114"/>
      <c r="Q7" s="114"/>
    </row>
    <row r="8" spans="1:17" ht="18" customHeight="1" thickBot="1" x14ac:dyDescent="0.25">
      <c r="A8" s="118" t="s">
        <v>34</v>
      </c>
      <c r="B8" s="118"/>
      <c r="C8" s="118"/>
      <c r="D8" s="118"/>
      <c r="E8" s="118"/>
      <c r="F8" s="118"/>
      <c r="G8" s="118"/>
      <c r="H8" s="118"/>
      <c r="I8" s="118"/>
      <c r="J8" s="118"/>
      <c r="K8" s="118"/>
      <c r="L8" s="118"/>
      <c r="M8" s="118"/>
      <c r="N8" s="118"/>
      <c r="O8" s="118"/>
      <c r="P8" s="118"/>
      <c r="Q8" s="118"/>
    </row>
    <row r="9" spans="1:17" ht="18" customHeight="1" x14ac:dyDescent="0.2">
      <c r="A9" s="119" t="s">
        <v>35</v>
      </c>
      <c r="B9" s="119"/>
      <c r="C9" s="119"/>
      <c r="D9" s="119"/>
      <c r="E9" s="119"/>
      <c r="F9" s="119"/>
      <c r="G9" s="119"/>
      <c r="H9" s="119"/>
      <c r="I9" s="119"/>
      <c r="J9" s="119"/>
      <c r="K9" s="119"/>
      <c r="L9" s="119"/>
      <c r="M9" s="119"/>
      <c r="N9" s="119"/>
      <c r="O9" s="1"/>
      <c r="P9" s="1"/>
      <c r="Q9" s="13"/>
    </row>
    <row r="10" spans="1:17" ht="54.75" customHeight="1" x14ac:dyDescent="0.2">
      <c r="A10" s="120"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027 - 2021,  afectando la erogación resultante a los créditos presupuestarios aprobados a favor de esta Unidad Ejecutora, conforme al siguiente detalle:</v>
      </c>
      <c r="B10" s="120"/>
      <c r="C10" s="120"/>
      <c r="D10" s="120"/>
      <c r="E10" s="120"/>
      <c r="F10" s="120"/>
      <c r="G10" s="120"/>
      <c r="H10" s="120"/>
      <c r="I10" s="120"/>
      <c r="J10" s="120"/>
      <c r="K10" s="120"/>
      <c r="L10" s="120"/>
      <c r="M10" s="120"/>
      <c r="N10" s="120"/>
      <c r="O10" s="120"/>
      <c r="P10" s="120"/>
      <c r="Q10" s="120"/>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21" t="s">
        <v>36</v>
      </c>
      <c r="B12" s="121"/>
      <c r="C12" s="121"/>
      <c r="D12" s="121"/>
      <c r="E12" s="121"/>
      <c r="F12" s="121"/>
      <c r="G12" s="121"/>
      <c r="H12" s="121"/>
      <c r="I12" s="121"/>
      <c r="J12" s="121"/>
      <c r="K12" s="121"/>
      <c r="L12" s="121"/>
      <c r="M12" s="121"/>
      <c r="N12" s="121"/>
      <c r="O12" s="121"/>
      <c r="P12" s="121"/>
      <c r="Q12" s="121"/>
    </row>
    <row r="13" spans="1:17" ht="15.75" customHeight="1" x14ac:dyDescent="0.2">
      <c r="A13" s="122" t="s">
        <v>37</v>
      </c>
      <c r="B13" s="122"/>
      <c r="C13" s="122"/>
      <c r="D13" s="122"/>
      <c r="E13" s="122"/>
      <c r="F13" s="122"/>
      <c r="G13" s="122"/>
      <c r="H13" s="122"/>
      <c r="I13" s="122"/>
      <c r="J13" s="122"/>
      <c r="K13" s="122"/>
      <c r="L13" s="122"/>
      <c r="M13" s="122"/>
      <c r="N13" s="122"/>
      <c r="O13" s="123" t="s">
        <v>38</v>
      </c>
      <c r="P13" s="123"/>
      <c r="Q13" s="124" t="s">
        <v>39</v>
      </c>
    </row>
    <row r="14" spans="1:17" ht="15.75" customHeight="1" x14ac:dyDescent="0.2">
      <c r="A14" s="18" t="s">
        <v>40</v>
      </c>
      <c r="B14" s="19" t="s">
        <v>41</v>
      </c>
      <c r="C14" s="19" t="s">
        <v>42</v>
      </c>
      <c r="D14" s="19" t="s">
        <v>43</v>
      </c>
      <c r="E14" s="19" t="s">
        <v>44</v>
      </c>
      <c r="F14" s="19" t="s">
        <v>45</v>
      </c>
      <c r="G14" s="20" t="s">
        <v>46</v>
      </c>
      <c r="H14" s="19" t="s">
        <v>47</v>
      </c>
      <c r="I14" s="19" t="s">
        <v>48</v>
      </c>
      <c r="J14" s="19" t="s">
        <v>49</v>
      </c>
      <c r="K14" s="19" t="s">
        <v>49</v>
      </c>
      <c r="L14" s="19" t="s">
        <v>50</v>
      </c>
      <c r="M14" s="21" t="s">
        <v>51</v>
      </c>
      <c r="N14" s="22" t="s">
        <v>52</v>
      </c>
      <c r="O14" s="123"/>
      <c r="P14" s="123"/>
      <c r="Q14" s="124"/>
    </row>
    <row r="15" spans="1:17" ht="17.25" customHeight="1" x14ac:dyDescent="0.2">
      <c r="A15" s="69">
        <v>33</v>
      </c>
      <c r="B15" s="70"/>
      <c r="C15" s="70"/>
      <c r="D15" s="70">
        <v>2</v>
      </c>
      <c r="E15" s="70"/>
      <c r="F15" s="70">
        <v>4901</v>
      </c>
      <c r="G15" s="70">
        <v>3</v>
      </c>
      <c r="H15" s="71" t="s">
        <v>63</v>
      </c>
      <c r="I15" s="72">
        <v>2</v>
      </c>
      <c r="J15" s="72">
        <v>5</v>
      </c>
      <c r="K15" s="72">
        <v>9</v>
      </c>
      <c r="L15" s="70"/>
      <c r="M15" s="73">
        <v>1</v>
      </c>
      <c r="N15" s="71" t="s">
        <v>64</v>
      </c>
      <c r="O15" s="125" t="s">
        <v>93</v>
      </c>
      <c r="P15" s="125"/>
      <c r="Q15" s="88">
        <v>1771638.96</v>
      </c>
    </row>
    <row r="16" spans="1:17" ht="17.25" customHeight="1" x14ac:dyDescent="0.2">
      <c r="A16" s="83">
        <v>33</v>
      </c>
      <c r="B16" s="84"/>
      <c r="C16" s="84"/>
      <c r="D16" s="84">
        <v>2</v>
      </c>
      <c r="E16" s="84"/>
      <c r="F16" s="84">
        <v>4901</v>
      </c>
      <c r="G16" s="84">
        <v>3</v>
      </c>
      <c r="H16" s="85" t="s">
        <v>63</v>
      </c>
      <c r="I16" s="86">
        <v>2</v>
      </c>
      <c r="J16" s="86">
        <v>9</v>
      </c>
      <c r="K16" s="86">
        <v>5</v>
      </c>
      <c r="L16" s="84"/>
      <c r="M16" s="87">
        <v>1</v>
      </c>
      <c r="N16" s="85" t="s">
        <v>64</v>
      </c>
      <c r="O16" s="126" t="s">
        <v>65</v>
      </c>
      <c r="P16" s="126"/>
      <c r="Q16" s="27">
        <f>3390342+1398</f>
        <v>3391740</v>
      </c>
    </row>
    <row r="17" spans="1:19" ht="17.25" customHeight="1" x14ac:dyDescent="0.2">
      <c r="A17" s="83"/>
      <c r="B17" s="84"/>
      <c r="C17" s="84"/>
      <c r="D17" s="84"/>
      <c r="E17" s="84"/>
      <c r="F17" s="84"/>
      <c r="G17" s="84"/>
      <c r="H17" s="85"/>
      <c r="I17" s="86"/>
      <c r="J17" s="86"/>
      <c r="K17" s="86"/>
      <c r="L17" s="84"/>
      <c r="M17" s="87"/>
      <c r="N17" s="85"/>
      <c r="O17" s="127"/>
      <c r="P17" s="127"/>
      <c r="Q17" s="27"/>
      <c r="S17" s="74"/>
    </row>
    <row r="18" spans="1:19" ht="17.25" customHeight="1" x14ac:dyDescent="0.2">
      <c r="A18" s="23"/>
      <c r="B18" s="24"/>
      <c r="C18" s="24"/>
      <c r="D18" s="24"/>
      <c r="E18" s="24"/>
      <c r="F18" s="24"/>
      <c r="G18" s="24"/>
      <c r="H18" s="67"/>
      <c r="I18" s="24"/>
      <c r="J18" s="24"/>
      <c r="K18" s="24"/>
      <c r="L18" s="24"/>
      <c r="M18" s="25"/>
      <c r="N18" s="68"/>
      <c r="O18" s="128"/>
      <c r="P18" s="129"/>
      <c r="Q18" s="27"/>
    </row>
    <row r="19" spans="1:19" ht="17.25" customHeight="1" x14ac:dyDescent="0.2">
      <c r="A19" s="23"/>
      <c r="B19" s="24"/>
      <c r="C19" s="24"/>
      <c r="D19" s="24"/>
      <c r="E19" s="24"/>
      <c r="F19" s="26"/>
      <c r="G19" s="24"/>
      <c r="H19" s="24"/>
      <c r="I19" s="24"/>
      <c r="J19" s="24"/>
      <c r="K19" s="24"/>
      <c r="L19" s="24"/>
      <c r="M19" s="25"/>
      <c r="N19" s="26"/>
      <c r="O19" s="129"/>
      <c r="P19" s="129"/>
      <c r="Q19" s="27"/>
    </row>
    <row r="20" spans="1:19" ht="17.25" customHeight="1" x14ac:dyDescent="0.2">
      <c r="A20" s="23"/>
      <c r="B20" s="24"/>
      <c r="C20" s="24"/>
      <c r="D20" s="24"/>
      <c r="E20" s="24"/>
      <c r="F20" s="26"/>
      <c r="G20" s="24"/>
      <c r="H20" s="24"/>
      <c r="I20" s="24"/>
      <c r="J20" s="24"/>
      <c r="K20" s="24"/>
      <c r="L20" s="24"/>
      <c r="M20" s="25"/>
      <c r="N20" s="26"/>
      <c r="O20" s="129"/>
      <c r="P20" s="129"/>
      <c r="Q20" s="27"/>
    </row>
    <row r="21" spans="1:19" ht="17.25" customHeight="1" x14ac:dyDescent="0.2">
      <c r="A21" s="28"/>
      <c r="B21" s="29"/>
      <c r="C21" s="29"/>
      <c r="D21" s="29"/>
      <c r="E21" s="29"/>
      <c r="F21" s="30"/>
      <c r="G21" s="29"/>
      <c r="H21" s="29"/>
      <c r="I21" s="29"/>
      <c r="J21" s="29"/>
      <c r="K21" s="29"/>
      <c r="L21" s="29"/>
      <c r="M21" s="31"/>
      <c r="N21" s="32"/>
      <c r="O21" s="135"/>
      <c r="P21" s="135"/>
      <c r="Q21" s="27"/>
      <c r="R21" s="1"/>
    </row>
    <row r="22" spans="1:19" ht="17.25" customHeight="1" x14ac:dyDescent="0.2">
      <c r="A22" s="33"/>
      <c r="B22" s="34"/>
      <c r="C22" s="34"/>
      <c r="D22" s="34"/>
      <c r="E22" s="34"/>
      <c r="F22" s="34"/>
      <c r="G22" s="34"/>
      <c r="H22" s="34"/>
      <c r="I22" s="34"/>
      <c r="J22" s="34"/>
      <c r="K22" s="34"/>
      <c r="L22" s="34"/>
      <c r="M22" s="35"/>
      <c r="N22" s="34"/>
      <c r="O22" s="136"/>
      <c r="P22" s="136"/>
      <c r="Q22" s="36"/>
    </row>
    <row r="23" spans="1:19" ht="20.25" customHeight="1" x14ac:dyDescent="0.2">
      <c r="A23" s="137" t="s">
        <v>96</v>
      </c>
      <c r="B23" s="137"/>
      <c r="C23" s="137"/>
      <c r="D23" s="137"/>
      <c r="E23" s="137"/>
      <c r="F23" s="137"/>
      <c r="G23" s="137"/>
      <c r="H23" s="137"/>
      <c r="I23" s="137"/>
      <c r="J23" s="137"/>
      <c r="K23" s="137"/>
      <c r="L23" s="137"/>
      <c r="M23" s="137"/>
      <c r="N23" s="137"/>
      <c r="O23" s="137"/>
      <c r="P23" s="137"/>
      <c r="Q23" s="89">
        <f>SUM(Q15:Q22)</f>
        <v>5163378.96</v>
      </c>
    </row>
    <row r="24" spans="1:19" ht="18" customHeight="1" thickBot="1" x14ac:dyDescent="0.25">
      <c r="A24" s="138"/>
      <c r="B24" s="138"/>
      <c r="C24" s="138"/>
      <c r="D24" s="138"/>
      <c r="E24" s="138"/>
      <c r="F24" s="138"/>
      <c r="G24" s="138"/>
      <c r="H24" s="138"/>
      <c r="I24" s="138"/>
      <c r="J24" s="138"/>
      <c r="K24" s="138"/>
      <c r="L24" s="138"/>
      <c r="M24" s="138"/>
      <c r="N24" s="138"/>
      <c r="O24" s="138"/>
      <c r="P24" s="138"/>
      <c r="Q24" s="138"/>
    </row>
    <row r="25" spans="1:19" ht="17.25" customHeight="1" thickBot="1" x14ac:dyDescent="0.25">
      <c r="A25" s="130" t="s">
        <v>53</v>
      </c>
      <c r="B25" s="131"/>
      <c r="C25" s="131"/>
      <c r="D25" s="131"/>
      <c r="E25" s="131"/>
      <c r="F25" s="132"/>
      <c r="G25" s="133"/>
      <c r="H25" s="133"/>
      <c r="I25" s="133"/>
      <c r="J25" s="133"/>
      <c r="K25" s="133"/>
      <c r="L25" s="133"/>
      <c r="M25" s="133"/>
      <c r="N25" s="133"/>
      <c r="O25" s="133"/>
      <c r="P25" s="133"/>
      <c r="Q25" s="133"/>
    </row>
    <row r="26" spans="1:19" ht="18" customHeight="1" thickBot="1" x14ac:dyDescent="0.25">
      <c r="A26" s="134" t="str">
        <f>"Para la "&amp; NotaPedido!D8 &amp;" para ser destinados al " &amp; NotaPedido!D6 &amp;"  del HISJB del Ministerio de Salud."</f>
        <v>Para la Adquisición de Insumos Complejos para Farmacia  para ser destinados al Servicio de Farmacia  del HISJB del Ministerio de Salud.</v>
      </c>
      <c r="B26" s="134"/>
      <c r="C26" s="134"/>
      <c r="D26" s="134"/>
      <c r="E26" s="134"/>
      <c r="F26" s="134"/>
      <c r="G26" s="134"/>
      <c r="H26" s="134"/>
      <c r="I26" s="134"/>
      <c r="J26" s="134"/>
      <c r="K26" s="134"/>
      <c r="L26" s="134"/>
      <c r="M26" s="134"/>
      <c r="N26" s="134"/>
      <c r="O26" s="134"/>
      <c r="P26" s="134"/>
      <c r="Q26" s="134"/>
    </row>
    <row r="27" spans="1:19" ht="15" customHeight="1" x14ac:dyDescent="0.2">
      <c r="A27" s="134"/>
      <c r="B27" s="134"/>
      <c r="C27" s="134"/>
      <c r="D27" s="134"/>
      <c r="E27" s="134"/>
      <c r="F27" s="134"/>
      <c r="G27" s="134"/>
      <c r="H27" s="134"/>
      <c r="I27" s="134"/>
      <c r="J27" s="134"/>
      <c r="K27" s="134"/>
      <c r="L27" s="134"/>
      <c r="M27" s="134"/>
      <c r="N27" s="134"/>
      <c r="O27" s="134"/>
      <c r="P27" s="134"/>
      <c r="Q27" s="134"/>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COMPRAS</cp:lastModifiedBy>
  <cp:revision>2</cp:revision>
  <cp:lastPrinted>2020-07-17T22:18:48Z</cp:lastPrinted>
  <dcterms:created xsi:type="dcterms:W3CDTF">2020-07-17T23:44:49Z</dcterms:created>
  <dcterms:modified xsi:type="dcterms:W3CDTF">2021-08-13T13:20:00Z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