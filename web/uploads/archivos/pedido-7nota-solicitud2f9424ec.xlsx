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BOXSVR\Documents\SISTEMA\"/>
    </mc:Choice>
  </mc:AlternateContent>
  <xr:revisionPtr revIDLastSave="0" documentId="8_{24B81D44-5B99-44B6-B24E-F5516D87CDCD}" xr6:coauthVersionLast="47" xr6:coauthVersionMax="47" xr10:uidLastSave="{00000000-0000-0000-0000-000000000000}"/>
  <bookViews>
    <workbookView xWindow="-120" yWindow="-120" windowWidth="20640" windowHeight="11160" tabRatio="500" xr2:uid="{00000000-000D-0000-FFFF-FFFF00000000}"/>
  </bookViews>
  <sheets>
    <sheet name=" NotaPedido" sheetId="1" r:id="rId1"/>
    <sheet name="Autor Gastar" sheetId="2" r:id="rId2"/>
  </sheets>
  <definedNames>
    <definedName name="_xlnm.Print_Area" localSheetId="0">' NotaPedido'!$A$1:$K$16</definedName>
    <definedName name="_xlnm.Print_Area" localSheetId="1">'Autor Gastar'!$A$1:$Q$42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38" i="2" l="1"/>
  <c r="O14" i="1"/>
  <c r="K13" i="1"/>
  <c r="O13" i="1" s="1"/>
  <c r="K12" i="1"/>
  <c r="O12" i="1" s="1"/>
  <c r="O16" i="1" s="1"/>
  <c r="J16" i="1" l="1"/>
</calcChain>
</file>

<file path=xl/sharedStrings.xml><?xml version="1.0" encoding="utf-8"?>
<sst xmlns="http://schemas.openxmlformats.org/spreadsheetml/2006/main" count="71" uniqueCount="60">
  <si>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</si>
  <si>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</si>
  <si>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</si>
  <si>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</si>
  <si>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</si>
  <si>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</si>
  <si>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</si>
  <si>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</si>
  <si>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</si>
  <si>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</si>
  <si>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</si>
  <si>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</si>
  <si>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</si>
  <si>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</si>
  <si>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</si>
  <si>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</si>
  <si>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</si>
  <si>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</si>
  <si>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</si>
  <si>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</si>
  <si>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</si>
  <si>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</si>
  <si>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</si>
  <si>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</si>
  <si>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</si>
  <si>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</si>
  <si>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</si>
  <si>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</si>
  <si>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</si>
  <si>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</si>
  <si>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</si>
  <si>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</si>
  <si>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</si>
  <si>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</si>
  <si>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</si>
  <si>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</si>
  <si>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</si>
  <si>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040 - MINISTERIO DE SALUD</t>
  </si>
  <si>
    <t>011- DIRECCION PROVINCIAL DE ADMINISTRACION DEL MINISTERIO DE SALUD</t>
  </si>
  <si>
    <t>743 - SECRETARIA DE ASISTENCIA EN SALUD PUBLICA</t>
  </si>
  <si>
    <t>UN (1) MES</t>
  </si>
  <si>
    <t>ADQUISICION DE OXIGENO MEDICINAL MEDIANTE ACUERDO MARCO</t>
  </si>
  <si>
    <t>m3</t>
  </si>
  <si>
    <t>011 - DIRECCION PROVINCIAL DE ADMINISTRACION - M.S.</t>
  </si>
  <si>
    <t>1.1</t>
  </si>
  <si>
    <t>COMPUESTOS QUIMICOS</t>
  </si>
  <si>
    <t>Si</t>
  </si>
  <si>
    <t>unidad</t>
  </si>
  <si>
    <t xml:space="preserve"> 08/2022</t>
  </si>
  <si>
    <t>GASES; COMPUESTO QUIMICO: OXIGENO, CALIDAD: MEDICINAL,
PRESENTACION: LIQUIDA EN M3 A GRANEL</t>
  </si>
  <si>
    <t>GASES; COMPUESTO QUIMICO: OXIGENO, CALIDAD: MEDICINAL, PRESENTACION: M3 A GRANEL</t>
  </si>
  <si>
    <t>GASES; COMPUESTO QUIMICO: OXIGENO, CALIDAD: MEDICINAL, PRESENTACION: TUBO COMPAC 1M3</t>
  </si>
  <si>
    <t>Costo total estimado: VEINTICINCO MILLONES NOVECIENTOS UN MIL DOSCIENTOS CINCUENTA Y CINCO CON 70/100.-</t>
  </si>
  <si>
    <t>TOTAL DE PESOS: VEINTICINCO MILLONES NOVECIENTOS UN MIL DOSCIENTOS CINCUENTA Y CINCO CON 70/100.-</t>
  </si>
  <si>
    <t>ADQUISICION DE OXIGENO MEDICINAL PARA LOS HOSPITALES: CARLOS MALBRAN, CHAIN HERRERA (A.P. 8), HOSPITAL DE BELE (A.P. 11), SANTA MARIA (A.P. 12) Y SAME, A TRAVES DEL ACUERDO MARCO.</t>
  </si>
  <si>
    <t>Autorizo la realización de los  trámites correspondientes, a fin de proveer a  este Organismo los bienes que se detallan en Nota  de Pedido N° 08/2022, afectando la erogación resultante a los créditos presupuestarios aprobados a favor de esta Unidad Ejecutora, conforme al siguiente detalle:</t>
  </si>
  <si>
    <t>2.5.1-9018.317</t>
  </si>
  <si>
    <t>2.5.1-9018.189</t>
  </si>
  <si>
    <t>2.5.1-9018.316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</si>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</sst>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[$$-2C0A]\ #,##0.00"/>
    <numFmt numFmtId="167" formatCode="dd\-mm\-yy;@"/>
    <numFmt numFmtId="168" formatCode="[$$-2C0A]\ #,##0.00;[$$-2C0A]&quot; -&quot;#,##0.00"/>
    <numFmt numFmtId="169" formatCode="_-[$$-2C0A]\ * #,##0.00_-;\-[$$-2C0A]\ * #,##0.00_-;_-[$$-2C0A]\ * &quot;-&quot;??_-;_-@_-"/>
  </numFmts>
  <fonts count="20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theme="0"/>
      <name val="Arial"/>
      <family val="2"/>
      <charset val="1"/>
    </font>
    <font>
      <sz val="10"/>
      <name val="Arial"/>
      <family val="2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5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1" applyProtection="0"/>
    <xf numFmtId="165" fontId="2" fillId="0" borderId="0" applyBorder="0" applyProtection="0"/>
    <xf numFmtId="0" fontId="3" fillId="2" borderId="0" applyBorder="0" applyProtection="0"/>
    <xf numFmtId="164" fontId="19" fillId="0" borderId="0" applyFont="0" applyFill="0" applyBorder="0" applyAlignment="0" applyProtection="0"/>
  </cellStyleXfs>
  <cellXfs count="108">
    <xf numFmtId="0" fontId="0" fillId="0" borderId="0" xfId="0"/>
    <xf numFmtId="0" fontId="2" fillId="0" borderId="0" xfId="0" applyFont="1" applyBorder="1" applyAlignment="1">
      <alignment vertical="center"/>
    </xf>
    <xf numFmtId="0" fontId="5" fillId="0" borderId="3" xfId="0" applyFont="1" applyBorder="1" applyAlignment="1">
      <alignment horizontal="right" vertical="center"/>
    </xf>
    <xf numFmtId="0" fontId="6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7" fillId="0" borderId="13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6" fillId="0" borderId="7" xfId="0" applyFont="1" applyBorder="1" applyAlignment="1">
      <alignment horizontal="left" vertical="center" wrapText="1" indent="1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left" vertical="center"/>
    </xf>
    <xf numFmtId="0" fontId="10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3" fontId="10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/>
    </xf>
    <xf numFmtId="0" fontId="10" fillId="0" borderId="2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3" fontId="10" fillId="0" borderId="22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2" fillId="0" borderId="26" xfId="0" applyNumberFormat="1" applyFont="1" applyBorder="1" applyAlignment="1"/>
    <xf numFmtId="167" fontId="0" fillId="0" borderId="26" xfId="0" applyNumberFormat="1" applyBorder="1" applyAlignment="1">
      <alignment horizontal="left"/>
    </xf>
    <xf numFmtId="0" fontId="0" fillId="0" borderId="26" xfId="0" applyBorder="1"/>
    <xf numFmtId="0" fontId="0" fillId="0" borderId="13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7" fontId="0" fillId="0" borderId="0" xfId="0" applyNumberFormat="1" applyBorder="1" applyAlignment="1">
      <alignment horizontal="left"/>
    </xf>
    <xf numFmtId="0" fontId="0" fillId="0" borderId="7" xfId="0" applyBorder="1"/>
    <xf numFmtId="0" fontId="2" fillId="0" borderId="0" xfId="0" applyFont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32" xfId="0" applyBorder="1"/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36" xfId="0" applyFont="1" applyBorder="1" applyAlignment="1">
      <alignment horizontal="left" vertical="center"/>
    </xf>
    <xf numFmtId="0" fontId="16" fillId="0" borderId="37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168" fontId="0" fillId="0" borderId="42" xfId="2" applyNumberFormat="1" applyFont="1" applyBorder="1" applyAlignment="1" applyProtection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168" fontId="0" fillId="0" borderId="47" xfId="2" applyNumberFormat="1" applyFont="1" applyBorder="1" applyAlignment="1" applyProtection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168" fontId="0" fillId="0" borderId="51" xfId="2" applyNumberFormat="1" applyFont="1" applyBorder="1" applyAlignment="1" applyProtection="1">
      <alignment horizontal="center" vertical="center"/>
    </xf>
    <xf numFmtId="168" fontId="16" fillId="0" borderId="53" xfId="0" applyNumberFormat="1" applyFont="1" applyBorder="1" applyAlignment="1">
      <alignment horizontal="center" vertical="center"/>
    </xf>
    <xf numFmtId="169" fontId="10" fillId="0" borderId="18" xfId="0" applyNumberFormat="1" applyFont="1" applyBorder="1" applyAlignment="1">
      <alignment horizontal="center" vertical="center" wrapText="1"/>
    </xf>
    <xf numFmtId="169" fontId="10" fillId="0" borderId="21" xfId="0" applyNumberFormat="1" applyFont="1" applyBorder="1" applyAlignment="1">
      <alignment horizontal="center" vertical="center" wrapText="1"/>
    </xf>
    <xf numFmtId="169" fontId="17" fillId="0" borderId="0" xfId="0" applyNumberFormat="1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18" fillId="0" borderId="40" xfId="0" applyFont="1" applyBorder="1" applyAlignment="1">
      <alignment horizontal="center" vertical="center"/>
    </xf>
    <xf numFmtId="164" fontId="0" fillId="0" borderId="0" xfId="4" applyFont="1"/>
    <xf numFmtId="0" fontId="4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 inden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 wrapText="1" indent="1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left" vertical="center" wrapText="1" indent="1"/>
    </xf>
    <xf numFmtId="166" fontId="7" fillId="0" borderId="23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 wrapText="1"/>
    </xf>
    <xf numFmtId="0" fontId="7" fillId="0" borderId="54" xfId="0" applyFont="1" applyBorder="1" applyAlignment="1">
      <alignment horizontal="left" vertical="center" wrapText="1"/>
    </xf>
    <xf numFmtId="0" fontId="7" fillId="0" borderId="55" xfId="0" applyFont="1" applyBorder="1" applyAlignment="1">
      <alignment horizontal="left" vertical="center" wrapText="1"/>
    </xf>
    <xf numFmtId="0" fontId="7" fillId="0" borderId="56" xfId="0" applyFont="1" applyBorder="1" applyAlignment="1">
      <alignment horizontal="left" vertical="center" wrapText="1"/>
    </xf>
    <xf numFmtId="0" fontId="0" fillId="0" borderId="24" xfId="0" applyFont="1" applyBorder="1" applyAlignment="1">
      <alignment horizontal="center"/>
    </xf>
    <xf numFmtId="3" fontId="12" fillId="0" borderId="25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2" fillId="0" borderId="27" xfId="0" applyFont="1" applyBorder="1"/>
    <xf numFmtId="0" fontId="14" fillId="0" borderId="28" xfId="0" applyFont="1" applyBorder="1" applyAlignment="1">
      <alignment horizontal="left" indent="1"/>
    </xf>
    <xf numFmtId="0" fontId="10" fillId="0" borderId="27" xfId="0" applyFont="1" applyBorder="1" applyAlignment="1">
      <alignment horizontal="left" vertical="center" wrapText="1"/>
    </xf>
    <xf numFmtId="0" fontId="15" fillId="0" borderId="29" xfId="0" applyFont="1" applyBorder="1" applyAlignment="1">
      <alignment horizontal="left"/>
    </xf>
    <xf numFmtId="0" fontId="14" fillId="0" borderId="30" xfId="0" applyFont="1" applyBorder="1" applyAlignment="1">
      <alignment horizontal="left"/>
    </xf>
    <xf numFmtId="0" fontId="14" fillId="0" borderId="31" xfId="0" applyNumberFormat="1" applyFont="1" applyBorder="1" applyAlignment="1">
      <alignment horizontal="justify" vertical="center" wrapText="1"/>
    </xf>
    <xf numFmtId="0" fontId="16" fillId="0" borderId="30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/>
    </xf>
    <xf numFmtId="0" fontId="18" fillId="0" borderId="40" xfId="0" applyFont="1" applyBorder="1" applyAlignment="1">
      <alignment horizontal="left" vertical="center" wrapText="1"/>
    </xf>
    <xf numFmtId="0" fontId="0" fillId="0" borderId="40" xfId="0" applyFont="1" applyBorder="1" applyAlignment="1">
      <alignment horizontal="left" vertical="center" wrapText="1"/>
    </xf>
    <xf numFmtId="0" fontId="0" fillId="0" borderId="46" xfId="0" applyFont="1" applyBorder="1" applyAlignment="1">
      <alignment horizontal="left" vertical="center"/>
    </xf>
    <xf numFmtId="0" fontId="0" fillId="0" borderId="46" xfId="0" applyBorder="1" applyAlignment="1">
      <alignment horizontal="center"/>
    </xf>
    <xf numFmtId="0" fontId="0" fillId="0" borderId="46" xfId="0" applyFont="1" applyBorder="1" applyAlignment="1">
      <alignment horizontal="center" vertical="center"/>
    </xf>
    <xf numFmtId="0" fontId="12" fillId="0" borderId="9" xfId="0" applyFont="1" applyBorder="1" applyAlignment="1">
      <alignment vertical="center" wrapText="1"/>
    </xf>
    <xf numFmtId="0" fontId="14" fillId="0" borderId="34" xfId="0" applyFont="1" applyBorder="1" applyAlignment="1">
      <alignment vertical="center" wrapText="1"/>
    </xf>
    <xf numFmtId="0" fontId="14" fillId="0" borderId="23" xfId="0" applyFont="1" applyBorder="1" applyAlignment="1">
      <alignment horizontal="left" vertical="center" wrapText="1" indent="1"/>
    </xf>
    <xf numFmtId="0" fontId="0" fillId="0" borderId="46" xfId="0" applyBorder="1" applyAlignment="1">
      <alignment horizontal="left" vertical="center"/>
    </xf>
    <xf numFmtId="0" fontId="0" fillId="0" borderId="49" xfId="0" applyBorder="1" applyAlignment="1">
      <alignment horizontal="left" vertical="center"/>
    </xf>
    <xf numFmtId="0" fontId="12" fillId="0" borderId="52" xfId="0" applyFont="1" applyBorder="1" applyAlignment="1">
      <alignment horizontal="left" vertical="center" wrapText="1"/>
    </xf>
    <xf numFmtId="0" fontId="0" fillId="0" borderId="30" xfId="0" applyBorder="1"/>
  </cellXfs>
  <cellStyles count="5">
    <cellStyle name="Encabezado 1" xfId="1" xr:uid="{00000000-0005-0000-0000-000000000000}"/>
    <cellStyle name="Moneda" xfId="4" builtinId="4"/>
    <cellStyle name="Moneda_AUTORIZACION Y NOTA DE PEDIDO" xfId="2" xr:uid="{00000000-0005-0000-0000-000002000000}"/>
    <cellStyle name="Neutral 1" xfId="3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6"/>
  <sheetViews>
    <sheetView tabSelected="1" zoomScale="90" zoomScaleNormal="90" workbookViewId="0">
      <selection activeCell="A10" sqref="A10:A11"/>
    </sheetView>
  </sheetViews>
  <sheetFormatPr baseColWidth="10" defaultColWidth="9.140625" defaultRowHeight="12.75" x14ac:dyDescent="0.2"/>
  <cols>
    <col min="1" max="1" width="5.5703125" style="1" customWidth="1"/>
    <col min="2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28.5703125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4" width="5.85546875" style="1" customWidth="1"/>
    <col min="15" max="15" width="16.42578125" style="1" bestFit="1" customWidth="1"/>
    <col min="16" max="1024" width="9.140625" style="1"/>
  </cols>
  <sheetData>
    <row r="1" spans="1:15" ht="27" customHeight="1" x14ac:dyDescent="0.2">
      <c r="A1" s="66" t="s">
        <v>0</v>
      </c>
      <c r="B1" s="66"/>
      <c r="C1" s="66"/>
      <c r="D1" s="66"/>
      <c r="E1" s="66"/>
      <c r="F1" s="66"/>
      <c r="G1" s="66"/>
      <c r="H1" s="66"/>
      <c r="I1" s="66"/>
      <c r="J1" s="2" t="s">
        <v>1</v>
      </c>
      <c r="K1" s="3" t="s">
        <v>48</v>
      </c>
    </row>
    <row r="2" spans="1:15" ht="18.75" customHeight="1" x14ac:dyDescent="0.2">
      <c r="A2" s="4"/>
      <c r="B2" s="5"/>
      <c r="C2" s="5"/>
      <c r="D2" s="6"/>
      <c r="E2" s="6"/>
      <c r="F2" s="6"/>
      <c r="G2" s="6"/>
      <c r="H2" s="6"/>
      <c r="I2" s="6"/>
      <c r="J2" s="6"/>
      <c r="K2" s="7"/>
    </row>
    <row r="3" spans="1:15" ht="18.75" customHeight="1" x14ac:dyDescent="0.2">
      <c r="A3" s="67" t="s">
        <v>2</v>
      </c>
      <c r="B3" s="67"/>
      <c r="C3" s="67"/>
      <c r="D3" s="68" t="s">
        <v>37</v>
      </c>
      <c r="E3" s="68"/>
      <c r="F3" s="68"/>
      <c r="G3" s="68"/>
      <c r="H3" s="68"/>
      <c r="I3" s="68"/>
      <c r="J3" s="68"/>
      <c r="K3" s="68"/>
    </row>
    <row r="4" spans="1:15" ht="18.75" customHeight="1" x14ac:dyDescent="0.2">
      <c r="A4" s="69" t="s">
        <v>3</v>
      </c>
      <c r="B4" s="69"/>
      <c r="C4" s="69"/>
      <c r="D4" s="68" t="s">
        <v>38</v>
      </c>
      <c r="E4" s="68"/>
      <c r="F4" s="68"/>
      <c r="G4" s="68"/>
      <c r="H4" s="68"/>
      <c r="I4" s="68"/>
      <c r="J4" s="68"/>
      <c r="K4" s="68"/>
    </row>
    <row r="5" spans="1:15" ht="18.75" customHeight="1" x14ac:dyDescent="0.2">
      <c r="A5" s="69" t="s">
        <v>4</v>
      </c>
      <c r="B5" s="69"/>
      <c r="C5" s="69"/>
      <c r="D5" s="68" t="s">
        <v>39</v>
      </c>
      <c r="E5" s="68"/>
      <c r="F5" s="68"/>
      <c r="G5" s="68"/>
      <c r="H5" s="68"/>
      <c r="I5" s="68"/>
      <c r="J5" s="68"/>
      <c r="K5" s="68"/>
    </row>
    <row r="6" spans="1:15" ht="16.5" customHeight="1" x14ac:dyDescent="0.2">
      <c r="A6" s="67" t="s">
        <v>5</v>
      </c>
      <c r="B6" s="67"/>
      <c r="C6" s="67"/>
      <c r="D6" s="68" t="s">
        <v>39</v>
      </c>
      <c r="E6" s="68"/>
      <c r="F6" s="68"/>
      <c r="G6" s="68"/>
      <c r="H6" s="68"/>
      <c r="I6" s="68"/>
      <c r="J6" s="68"/>
      <c r="K6" s="68"/>
    </row>
    <row r="7" spans="1:15" ht="16.5" customHeight="1" x14ac:dyDescent="0.2">
      <c r="A7" s="69" t="s">
        <v>6</v>
      </c>
      <c r="B7" s="69"/>
      <c r="C7" s="69"/>
      <c r="D7" s="68" t="s">
        <v>40</v>
      </c>
      <c r="E7" s="68"/>
      <c r="F7" s="68"/>
      <c r="G7" s="68"/>
      <c r="H7" s="68"/>
      <c r="I7" s="68"/>
      <c r="J7" s="68"/>
      <c r="K7" s="68"/>
    </row>
    <row r="8" spans="1:15" ht="16.5" customHeight="1" x14ac:dyDescent="0.2">
      <c r="A8" s="70" t="s">
        <v>7</v>
      </c>
      <c r="B8" s="70"/>
      <c r="C8" s="70"/>
      <c r="D8" s="71" t="s">
        <v>41</v>
      </c>
      <c r="E8" s="71"/>
      <c r="F8" s="71"/>
      <c r="G8" s="71"/>
      <c r="H8" s="71"/>
      <c r="I8" s="71"/>
      <c r="J8" s="71"/>
      <c r="K8" s="71"/>
    </row>
    <row r="9" spans="1:15" ht="15.75" x14ac:dyDescent="0.2">
      <c r="A9" s="8"/>
      <c r="B9" s="9"/>
      <c r="C9" s="9"/>
      <c r="D9" s="10"/>
      <c r="E9" s="10"/>
      <c r="F9" s="10"/>
      <c r="G9" s="10"/>
      <c r="H9" s="10"/>
      <c r="I9" s="10"/>
      <c r="J9" s="10"/>
      <c r="K9" s="11"/>
    </row>
    <row r="10" spans="1:15" ht="18.75" customHeight="1" x14ac:dyDescent="0.2">
      <c r="A10" s="72" t="s">
        <v>59</v>
      </c>
      <c r="B10" s="73" t="s">
        <v>8</v>
      </c>
      <c r="C10" s="73" t="s">
        <v>9</v>
      </c>
      <c r="D10" s="73"/>
      <c r="E10" s="73"/>
      <c r="F10" s="73"/>
      <c r="G10" s="73"/>
      <c r="H10" s="73" t="s">
        <v>10</v>
      </c>
      <c r="I10" s="73" t="s">
        <v>11</v>
      </c>
      <c r="J10" s="73" t="s">
        <v>12</v>
      </c>
      <c r="K10" s="74" t="s">
        <v>13</v>
      </c>
    </row>
    <row r="11" spans="1:15" ht="24" customHeight="1" x14ac:dyDescent="0.2">
      <c r="A11" s="72"/>
      <c r="B11" s="73"/>
      <c r="C11" s="73"/>
      <c r="D11" s="73"/>
      <c r="E11" s="73"/>
      <c r="F11" s="73"/>
      <c r="G11" s="73"/>
      <c r="H11" s="73"/>
      <c r="I11" s="73"/>
      <c r="J11" s="73"/>
      <c r="K11" s="74"/>
    </row>
    <row r="12" spans="1:15" ht="33.75" customHeight="1" x14ac:dyDescent="0.2">
      <c r="A12" s="12">
        <v>1</v>
      </c>
      <c r="B12" s="13" t="s">
        <v>58</v>
      </c>
      <c r="C12" s="78" t="s">
        <v>49</v>
      </c>
      <c r="D12" s="78"/>
      <c r="E12" s="78"/>
      <c r="F12" s="78"/>
      <c r="G12" s="78"/>
      <c r="H12" s="14" t="s">
        <v>46</v>
      </c>
      <c r="I12" s="15" t="s">
        <v>42</v>
      </c>
      <c r="J12" s="60">
        <v>89.26</v>
      </c>
      <c r="K12" s="16">
        <f>224000+22000+30000</f>
        <v>276000</v>
      </c>
      <c r="O12" s="62">
        <f>+K12*J12</f>
        <v>24635760</v>
      </c>
    </row>
    <row r="13" spans="1:15" ht="32.25" customHeight="1" x14ac:dyDescent="0.2">
      <c r="A13" s="17">
        <v>2</v>
      </c>
      <c r="B13" s="18" t="s">
        <v>57</v>
      </c>
      <c r="C13" s="79" t="s">
        <v>50</v>
      </c>
      <c r="D13" s="79"/>
      <c r="E13" s="79"/>
      <c r="F13" s="79"/>
      <c r="G13" s="79"/>
      <c r="H13" s="19" t="s">
        <v>46</v>
      </c>
      <c r="I13" s="20" t="s">
        <v>42</v>
      </c>
      <c r="J13" s="61">
        <v>314.51</v>
      </c>
      <c r="K13" s="21">
        <f>1520+750+250</f>
        <v>2520</v>
      </c>
      <c r="O13" s="62">
        <f t="shared" ref="O13:O14" si="0">+K13*J13</f>
        <v>792565.2</v>
      </c>
    </row>
    <row r="14" spans="1:15" ht="30.75" customHeight="1" x14ac:dyDescent="0.2">
      <c r="A14" s="17">
        <v>3</v>
      </c>
      <c r="B14" s="18" t="s">
        <v>56</v>
      </c>
      <c r="C14" s="80" t="s">
        <v>51</v>
      </c>
      <c r="D14" s="81"/>
      <c r="E14" s="81"/>
      <c r="F14" s="81"/>
      <c r="G14" s="82"/>
      <c r="H14" s="19" t="s">
        <v>46</v>
      </c>
      <c r="I14" s="20" t="s">
        <v>47</v>
      </c>
      <c r="J14" s="61">
        <v>3152.87</v>
      </c>
      <c r="K14" s="21">
        <v>150</v>
      </c>
      <c r="O14" s="62">
        <f t="shared" si="0"/>
        <v>472930.5</v>
      </c>
    </row>
    <row r="15" spans="1:15" ht="24" customHeight="1" x14ac:dyDescent="0.2">
      <c r="A15" s="17"/>
      <c r="B15" s="18"/>
      <c r="C15" s="75"/>
      <c r="D15" s="75"/>
      <c r="E15" s="75"/>
      <c r="F15" s="75"/>
      <c r="G15" s="75"/>
      <c r="H15" s="19"/>
      <c r="I15" s="20"/>
      <c r="J15" s="61"/>
      <c r="K15" s="21"/>
      <c r="O15" s="63"/>
    </row>
    <row r="16" spans="1:15" ht="36" customHeight="1" x14ac:dyDescent="0.2">
      <c r="A16" s="76" t="s">
        <v>52</v>
      </c>
      <c r="B16" s="76"/>
      <c r="C16" s="76"/>
      <c r="D16" s="76"/>
      <c r="E16" s="76"/>
      <c r="F16" s="76"/>
      <c r="G16" s="76"/>
      <c r="H16" s="76"/>
      <c r="I16" s="76"/>
      <c r="J16" s="77">
        <f>+O16</f>
        <v>25901255.699999999</v>
      </c>
      <c r="K16" s="77"/>
      <c r="O16" s="62">
        <f>SUM(O12:O15)</f>
        <v>25901255.699999999</v>
      </c>
    </row>
  </sheetData>
  <mergeCells count="26">
    <mergeCell ref="C15:G15"/>
    <mergeCell ref="A16:I16"/>
    <mergeCell ref="J16:K16"/>
    <mergeCell ref="C12:G12"/>
    <mergeCell ref="C13:G13"/>
    <mergeCell ref="C14:G14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5:C5"/>
    <mergeCell ref="D5:K5"/>
    <mergeCell ref="A6:C6"/>
    <mergeCell ref="D6:K6"/>
    <mergeCell ref="A7:C7"/>
    <mergeCell ref="D7:K7"/>
    <mergeCell ref="A1:I1"/>
    <mergeCell ref="A3:C3"/>
    <mergeCell ref="D3:K3"/>
    <mergeCell ref="A4:C4"/>
    <mergeCell ref="D4:K4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2"/>
  <sheetViews>
    <sheetView zoomScale="130" zoomScaleNormal="130" workbookViewId="0">
      <selection activeCell="G7" sqref="G7:Q7"/>
    </sheetView>
  </sheetViews>
  <sheetFormatPr baseColWidth="10" defaultColWidth="11" defaultRowHeight="12.75" x14ac:dyDescent="0.2"/>
  <cols>
    <col min="1" max="5" width="4.42578125" customWidth="1"/>
    <col min="6" max="6" width="7.7109375" customWidth="1"/>
    <col min="7" max="7" width="4.42578125" style="22" customWidth="1"/>
    <col min="8" max="14" width="4.42578125" customWidth="1"/>
    <col min="15" max="15" width="14.85546875" customWidth="1"/>
    <col min="16" max="16" width="8.28515625" customWidth="1"/>
    <col min="17" max="17" width="14.7109375" customWidth="1"/>
    <col min="18" max="18" width="14.42578125" bestFit="1" customWidth="1"/>
  </cols>
  <sheetData>
    <row r="1" spans="1:18" ht="15.75" customHeight="1" x14ac:dyDescent="0.25">
      <c r="A1" s="83" t="s">
        <v>14</v>
      </c>
      <c r="B1" s="83"/>
      <c r="C1" s="83"/>
      <c r="D1" s="84">
        <v>2022</v>
      </c>
      <c r="E1" s="84"/>
      <c r="F1" s="23"/>
      <c r="G1" s="23"/>
      <c r="H1" s="24"/>
      <c r="I1" s="24"/>
      <c r="J1" s="24"/>
      <c r="K1" s="24"/>
      <c r="L1" s="24"/>
      <c r="M1" s="24"/>
      <c r="N1" s="24"/>
      <c r="O1" s="25"/>
      <c r="P1" s="85" t="s">
        <v>15</v>
      </c>
      <c r="Q1" s="85"/>
    </row>
    <row r="2" spans="1:18" ht="15.75" customHeight="1" x14ac:dyDescent="0.2">
      <c r="A2" s="26"/>
      <c r="B2" s="27"/>
      <c r="C2" s="27"/>
      <c r="D2" s="27"/>
      <c r="E2" s="27"/>
      <c r="F2" s="27"/>
      <c r="G2" s="28"/>
      <c r="H2" s="29"/>
      <c r="I2" s="29"/>
      <c r="J2" s="29"/>
      <c r="K2" s="29"/>
      <c r="L2" s="29"/>
      <c r="M2" s="29"/>
      <c r="N2" s="29"/>
      <c r="O2" s="27"/>
      <c r="P2" s="85"/>
      <c r="Q2" s="85"/>
    </row>
    <row r="3" spans="1:18" x14ac:dyDescent="0.2">
      <c r="A3" s="26"/>
      <c r="B3" s="27"/>
      <c r="C3" s="27"/>
      <c r="D3" s="27"/>
      <c r="E3" s="27"/>
      <c r="F3" s="27"/>
      <c r="G3" s="28"/>
      <c r="H3" s="27"/>
      <c r="I3" s="27"/>
      <c r="J3" s="27"/>
      <c r="K3" s="27"/>
      <c r="L3" s="27"/>
      <c r="M3" s="27"/>
      <c r="N3" s="27"/>
      <c r="O3" s="27"/>
      <c r="P3" s="27"/>
      <c r="Q3" s="30"/>
    </row>
    <row r="4" spans="1:18" s="31" customFormat="1" ht="18" customHeight="1" x14ac:dyDescent="0.2">
      <c r="A4" s="86" t="s">
        <v>16</v>
      </c>
      <c r="B4" s="86"/>
      <c r="C4" s="86"/>
      <c r="D4" s="86"/>
      <c r="E4" s="86"/>
      <c r="F4" s="86"/>
      <c r="G4" s="87" t="s">
        <v>37</v>
      </c>
      <c r="H4" s="87"/>
      <c r="I4" s="87"/>
      <c r="J4" s="87"/>
      <c r="K4" s="87"/>
      <c r="L4" s="87"/>
      <c r="M4" s="87"/>
      <c r="N4" s="87"/>
      <c r="O4" s="87"/>
      <c r="P4" s="87"/>
      <c r="Q4" s="87"/>
    </row>
    <row r="5" spans="1:18" s="31" customFormat="1" ht="18" customHeight="1" x14ac:dyDescent="0.2">
      <c r="A5" s="88" t="s">
        <v>3</v>
      </c>
      <c r="B5" s="88"/>
      <c r="C5" s="88"/>
      <c r="D5" s="88"/>
      <c r="E5" s="88"/>
      <c r="F5" s="88"/>
      <c r="G5" s="87" t="s">
        <v>43</v>
      </c>
      <c r="H5" s="87"/>
      <c r="I5" s="87"/>
      <c r="J5" s="87"/>
      <c r="K5" s="87"/>
      <c r="L5" s="87"/>
      <c r="M5" s="87"/>
      <c r="N5" s="87"/>
      <c r="O5" s="87"/>
      <c r="P5" s="87"/>
      <c r="Q5" s="87"/>
    </row>
    <row r="6" spans="1:18" s="31" customFormat="1" ht="18" customHeight="1" x14ac:dyDescent="0.2">
      <c r="A6" s="88" t="s">
        <v>4</v>
      </c>
      <c r="B6" s="88"/>
      <c r="C6" s="88"/>
      <c r="D6" s="88"/>
      <c r="E6" s="88"/>
      <c r="F6" s="88"/>
      <c r="G6" s="87" t="s">
        <v>39</v>
      </c>
      <c r="H6" s="87"/>
      <c r="I6" s="87"/>
      <c r="J6" s="87"/>
      <c r="K6" s="87"/>
      <c r="L6" s="87"/>
      <c r="M6" s="87"/>
      <c r="N6" s="87"/>
      <c r="O6" s="87"/>
      <c r="P6" s="87"/>
      <c r="Q6" s="87"/>
    </row>
    <row r="7" spans="1:18" s="31" customFormat="1" ht="18" customHeight="1" x14ac:dyDescent="0.2">
      <c r="A7" s="88" t="s">
        <v>5</v>
      </c>
      <c r="B7" s="88"/>
      <c r="C7" s="88"/>
      <c r="D7" s="88"/>
      <c r="E7" s="88"/>
      <c r="F7" s="88"/>
      <c r="G7" s="87" t="s">
        <v>39</v>
      </c>
      <c r="H7" s="87"/>
      <c r="I7" s="87"/>
      <c r="J7" s="87"/>
      <c r="K7" s="87"/>
      <c r="L7" s="87"/>
      <c r="M7" s="87"/>
      <c r="N7" s="87"/>
      <c r="O7" s="87"/>
      <c r="P7" s="87"/>
      <c r="Q7" s="87"/>
    </row>
    <row r="8" spans="1:18" ht="18" customHeight="1" x14ac:dyDescent="0.2">
      <c r="A8" s="89" t="s">
        <v>17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</row>
    <row r="9" spans="1:18" ht="18" customHeight="1" x14ac:dyDescent="0.2">
      <c r="A9" s="90" t="s">
        <v>18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</row>
    <row r="10" spans="1:18" ht="66" customHeight="1" x14ac:dyDescent="0.2">
      <c r="A10" s="91" t="s">
        <v>55</v>
      </c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</row>
    <row r="11" spans="1:18" ht="9" customHeight="1" x14ac:dyDescent="0.2">
      <c r="A11" s="32"/>
      <c r="B11" s="33"/>
      <c r="C11" s="33"/>
      <c r="D11" s="33"/>
      <c r="E11" s="33"/>
      <c r="F11" s="33"/>
      <c r="G11" s="34"/>
      <c r="H11" s="33"/>
      <c r="I11" s="33"/>
      <c r="J11" s="33"/>
      <c r="K11" s="33"/>
      <c r="L11" s="33"/>
      <c r="M11" s="33"/>
      <c r="N11" s="33"/>
      <c r="O11" s="33"/>
      <c r="P11" s="33"/>
      <c r="Q11" s="35"/>
    </row>
    <row r="12" spans="1:18" ht="15.75" customHeight="1" x14ac:dyDescent="0.2">
      <c r="A12" s="92" t="s">
        <v>19</v>
      </c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</row>
    <row r="13" spans="1:18" ht="15.75" customHeight="1" x14ac:dyDescent="0.2">
      <c r="A13" s="93" t="s">
        <v>20</v>
      </c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4" t="s">
        <v>21</v>
      </c>
      <c r="P13" s="94"/>
      <c r="Q13" s="95" t="s">
        <v>22</v>
      </c>
    </row>
    <row r="14" spans="1:18" ht="25.5" customHeight="1" thickBot="1" x14ac:dyDescent="0.25">
      <c r="A14" s="36" t="s">
        <v>23</v>
      </c>
      <c r="B14" s="37" t="s">
        <v>24</v>
      </c>
      <c r="C14" s="37" t="s">
        <v>25</v>
      </c>
      <c r="D14" s="37" t="s">
        <v>26</v>
      </c>
      <c r="E14" s="37" t="s">
        <v>27</v>
      </c>
      <c r="F14" s="37" t="s">
        <v>28</v>
      </c>
      <c r="G14" s="38" t="s">
        <v>29</v>
      </c>
      <c r="H14" s="37" t="s">
        <v>30</v>
      </c>
      <c r="I14" s="37" t="s">
        <v>31</v>
      </c>
      <c r="J14" s="37" t="s">
        <v>32</v>
      </c>
      <c r="K14" s="37" t="s">
        <v>32</v>
      </c>
      <c r="L14" s="37" t="s">
        <v>33</v>
      </c>
      <c r="M14" s="39" t="s">
        <v>34</v>
      </c>
      <c r="N14" s="40" t="s">
        <v>35</v>
      </c>
      <c r="O14" s="94"/>
      <c r="P14" s="94"/>
      <c r="Q14" s="95"/>
    </row>
    <row r="15" spans="1:18" ht="17.25" customHeight="1" x14ac:dyDescent="0.2">
      <c r="A15" s="41">
        <v>3</v>
      </c>
      <c r="B15" s="42"/>
      <c r="C15" s="42"/>
      <c r="D15" s="42">
        <v>1</v>
      </c>
      <c r="E15" s="42"/>
      <c r="F15" s="42">
        <v>4901</v>
      </c>
      <c r="G15" s="42">
        <v>3</v>
      </c>
      <c r="H15" s="42">
        <v>1</v>
      </c>
      <c r="I15" s="42">
        <v>2</v>
      </c>
      <c r="J15" s="42">
        <v>5</v>
      </c>
      <c r="K15" s="42">
        <v>1</v>
      </c>
      <c r="L15" s="42"/>
      <c r="M15" s="43">
        <v>1</v>
      </c>
      <c r="N15" s="64" t="s">
        <v>44</v>
      </c>
      <c r="O15" s="96" t="s">
        <v>45</v>
      </c>
      <c r="P15" s="97"/>
      <c r="Q15" s="44">
        <v>25901255.699999999</v>
      </c>
      <c r="R15" s="65"/>
    </row>
    <row r="16" spans="1:18" ht="17.25" customHeight="1" x14ac:dyDescent="0.2">
      <c r="A16" s="45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7"/>
      <c r="N16" s="48"/>
      <c r="O16" s="98"/>
      <c r="P16" s="98"/>
      <c r="Q16" s="49"/>
      <c r="R16" s="65"/>
    </row>
    <row r="17" spans="1:18" ht="17.25" customHeight="1" x14ac:dyDescent="0.2">
      <c r="A17" s="45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7"/>
      <c r="N17" s="48"/>
      <c r="O17" s="99"/>
      <c r="P17" s="99"/>
      <c r="Q17" s="49"/>
      <c r="R17" s="65"/>
    </row>
    <row r="18" spans="1:18" ht="17.25" customHeight="1" x14ac:dyDescent="0.2">
      <c r="A18" s="45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7"/>
      <c r="N18" s="48"/>
      <c r="O18" s="100"/>
      <c r="P18" s="100"/>
      <c r="Q18" s="49"/>
      <c r="R18" s="65"/>
    </row>
    <row r="19" spans="1:18" ht="17.25" customHeight="1" x14ac:dyDescent="0.2">
      <c r="A19" s="45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7"/>
      <c r="N19" s="48"/>
      <c r="O19" s="100"/>
      <c r="P19" s="100"/>
      <c r="Q19" s="49"/>
      <c r="R19" s="65"/>
    </row>
    <row r="20" spans="1:18" ht="17.25" customHeight="1" x14ac:dyDescent="0.2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7"/>
      <c r="N20" s="48"/>
      <c r="O20" s="100"/>
      <c r="P20" s="100"/>
      <c r="Q20" s="49"/>
      <c r="R20" s="65"/>
    </row>
    <row r="21" spans="1:18" ht="17.25" customHeight="1" x14ac:dyDescent="0.2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7"/>
      <c r="N21" s="48"/>
      <c r="O21" s="100"/>
      <c r="P21" s="100"/>
      <c r="Q21" s="49"/>
      <c r="R21" s="65"/>
    </row>
    <row r="22" spans="1:18" ht="17.25" customHeight="1" x14ac:dyDescent="0.2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7"/>
      <c r="N22" s="48"/>
      <c r="O22" s="100"/>
      <c r="P22" s="100"/>
      <c r="Q22" s="49"/>
    </row>
    <row r="23" spans="1:18" ht="17.25" customHeight="1" x14ac:dyDescent="0.2">
      <c r="A23" s="45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7"/>
      <c r="N23" s="48"/>
      <c r="O23" s="100"/>
      <c r="P23" s="100"/>
      <c r="Q23" s="49"/>
    </row>
    <row r="24" spans="1:18" ht="17.25" customHeight="1" x14ac:dyDescent="0.2">
      <c r="A24" s="45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7"/>
      <c r="N24" s="48"/>
      <c r="O24" s="100"/>
      <c r="P24" s="100"/>
      <c r="Q24" s="49"/>
    </row>
    <row r="25" spans="1:18" ht="17.25" customHeight="1" x14ac:dyDescent="0.2">
      <c r="A25" s="45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7"/>
      <c r="N25" s="48"/>
      <c r="O25" s="100"/>
      <c r="P25" s="100"/>
      <c r="Q25" s="49"/>
    </row>
    <row r="26" spans="1:18" ht="17.25" customHeight="1" x14ac:dyDescent="0.2">
      <c r="A26" s="45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7"/>
      <c r="N26" s="48"/>
      <c r="O26" s="100"/>
      <c r="P26" s="100"/>
      <c r="Q26" s="49"/>
    </row>
    <row r="27" spans="1:18" ht="17.25" customHeight="1" x14ac:dyDescent="0.2">
      <c r="A27" s="45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7"/>
      <c r="N27" s="48"/>
      <c r="O27" s="100"/>
      <c r="P27" s="100"/>
      <c r="Q27" s="49"/>
    </row>
    <row r="28" spans="1:18" ht="17.25" customHeight="1" x14ac:dyDescent="0.2">
      <c r="A28" s="45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7"/>
      <c r="N28" s="48"/>
      <c r="O28" s="100"/>
      <c r="P28" s="100"/>
      <c r="Q28" s="49"/>
    </row>
    <row r="29" spans="1:18" ht="17.25" customHeight="1" x14ac:dyDescent="0.2">
      <c r="A29" s="45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7"/>
      <c r="N29" s="48"/>
      <c r="O29" s="100"/>
      <c r="P29" s="100"/>
      <c r="Q29" s="49"/>
    </row>
    <row r="30" spans="1:18" ht="17.25" customHeight="1" x14ac:dyDescent="0.2">
      <c r="A30" s="45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7"/>
      <c r="N30" s="48"/>
      <c r="O30" s="100"/>
      <c r="P30" s="100"/>
      <c r="Q30" s="49"/>
    </row>
    <row r="31" spans="1:18" ht="17.25" customHeight="1" x14ac:dyDescent="0.2">
      <c r="A31" s="45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7"/>
      <c r="N31" s="48"/>
      <c r="O31" s="100"/>
      <c r="P31" s="100"/>
      <c r="Q31" s="49"/>
    </row>
    <row r="32" spans="1:18" ht="17.25" customHeight="1" x14ac:dyDescent="0.2">
      <c r="A32" s="45"/>
      <c r="B32" s="46"/>
      <c r="C32" s="46"/>
      <c r="D32" s="46"/>
      <c r="E32" s="46"/>
      <c r="F32" s="48"/>
      <c r="G32" s="46"/>
      <c r="H32" s="46"/>
      <c r="I32" s="46"/>
      <c r="J32" s="46"/>
      <c r="K32" s="46"/>
      <c r="L32" s="46"/>
      <c r="M32" s="47"/>
      <c r="N32" s="48"/>
      <c r="O32" s="98"/>
      <c r="P32" s="98"/>
      <c r="Q32" s="49"/>
    </row>
    <row r="33" spans="1:18" ht="17.25" customHeight="1" x14ac:dyDescent="0.2">
      <c r="A33" s="45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7"/>
      <c r="N33" s="48"/>
      <c r="O33" s="98"/>
      <c r="P33" s="98"/>
      <c r="Q33" s="49"/>
    </row>
    <row r="34" spans="1:18" ht="17.25" customHeight="1" x14ac:dyDescent="0.2">
      <c r="A34" s="45"/>
      <c r="B34" s="46"/>
      <c r="C34" s="46"/>
      <c r="D34" s="46"/>
      <c r="E34" s="46"/>
      <c r="F34" s="48"/>
      <c r="G34" s="46"/>
      <c r="H34" s="46"/>
      <c r="I34" s="46"/>
      <c r="J34" s="46"/>
      <c r="K34" s="46"/>
      <c r="L34" s="46"/>
      <c r="M34" s="47"/>
      <c r="N34" s="48"/>
      <c r="O34" s="98"/>
      <c r="P34" s="98"/>
      <c r="Q34" s="49"/>
    </row>
    <row r="35" spans="1:18" ht="17.25" customHeight="1" x14ac:dyDescent="0.2">
      <c r="A35" s="45"/>
      <c r="B35" s="46"/>
      <c r="C35" s="46"/>
      <c r="D35" s="46"/>
      <c r="E35" s="46"/>
      <c r="F35" s="48"/>
      <c r="G35" s="46"/>
      <c r="H35" s="46"/>
      <c r="I35" s="46"/>
      <c r="J35" s="46"/>
      <c r="K35" s="46"/>
      <c r="L35" s="46"/>
      <c r="M35" s="47"/>
      <c r="N35" s="48"/>
      <c r="O35" s="98"/>
      <c r="P35" s="98"/>
      <c r="Q35" s="49"/>
    </row>
    <row r="36" spans="1:18" ht="17.25" customHeight="1" x14ac:dyDescent="0.2">
      <c r="A36" s="50"/>
      <c r="B36" s="51"/>
      <c r="C36" s="51"/>
      <c r="D36" s="51"/>
      <c r="E36" s="51"/>
      <c r="F36" s="52"/>
      <c r="G36" s="51"/>
      <c r="H36" s="51"/>
      <c r="I36" s="51"/>
      <c r="J36" s="51"/>
      <c r="K36" s="51"/>
      <c r="L36" s="51"/>
      <c r="M36" s="53"/>
      <c r="N36" s="54"/>
      <c r="O36" s="104"/>
      <c r="P36" s="104"/>
      <c r="Q36" s="49"/>
      <c r="R36" s="27"/>
    </row>
    <row r="37" spans="1:18" ht="17.25" customHeight="1" x14ac:dyDescent="0.2">
      <c r="A37" s="55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7"/>
      <c r="N37" s="56"/>
      <c r="O37" s="105"/>
      <c r="P37" s="105"/>
      <c r="Q37" s="58"/>
    </row>
    <row r="38" spans="1:18" ht="41.25" customHeight="1" x14ac:dyDescent="0.2">
      <c r="A38" s="106" t="s">
        <v>53</v>
      </c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59">
        <f>SUM(Q15:Q37)</f>
        <v>25901255.699999999</v>
      </c>
    </row>
    <row r="39" spans="1:18" ht="18" customHeight="1" x14ac:dyDescent="0.2">
      <c r="A39" s="107"/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</row>
    <row r="40" spans="1:18" ht="17.25" customHeight="1" x14ac:dyDescent="0.2">
      <c r="A40" s="101" t="s">
        <v>36</v>
      </c>
      <c r="B40" s="101"/>
      <c r="C40" s="101"/>
      <c r="D40" s="101"/>
      <c r="E40" s="101"/>
      <c r="F40" s="101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</row>
    <row r="41" spans="1:18" ht="18" customHeight="1" x14ac:dyDescent="0.2">
      <c r="A41" s="103" t="s">
        <v>54</v>
      </c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</row>
    <row r="42" spans="1:18" ht="63.75" customHeight="1" x14ac:dyDescent="0.2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</row>
  </sheetData>
  <mergeCells count="46">
    <mergeCell ref="A40:F40"/>
    <mergeCell ref="G40:Q40"/>
    <mergeCell ref="A41:Q42"/>
    <mergeCell ref="O35:P35"/>
    <mergeCell ref="O36:P36"/>
    <mergeCell ref="O37:P37"/>
    <mergeCell ref="A38:P38"/>
    <mergeCell ref="A39:Q39"/>
    <mergeCell ref="O30:P30"/>
    <mergeCell ref="O31:P31"/>
    <mergeCell ref="O32:P32"/>
    <mergeCell ref="O33:P33"/>
    <mergeCell ref="O34:P34"/>
    <mergeCell ref="O25:P25"/>
    <mergeCell ref="O26:P26"/>
    <mergeCell ref="O27:P27"/>
    <mergeCell ref="O28:P28"/>
    <mergeCell ref="O29:P29"/>
    <mergeCell ref="O20:P20"/>
    <mergeCell ref="O21:P21"/>
    <mergeCell ref="O22:P22"/>
    <mergeCell ref="O23:P23"/>
    <mergeCell ref="O24:P24"/>
    <mergeCell ref="O15:P15"/>
    <mergeCell ref="O16:P16"/>
    <mergeCell ref="O17:P17"/>
    <mergeCell ref="O18:P18"/>
    <mergeCell ref="O19:P19"/>
    <mergeCell ref="A8:Q8"/>
    <mergeCell ref="A9:Q9"/>
    <mergeCell ref="A10:Q10"/>
    <mergeCell ref="A12:Q12"/>
    <mergeCell ref="A13:N13"/>
    <mergeCell ref="O13:P14"/>
    <mergeCell ref="Q13:Q14"/>
    <mergeCell ref="A5:F5"/>
    <mergeCell ref="G5:Q5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25" right="0.25" top="0.75" bottom="0.75" header="0.51180555555555496" footer="0.51180555555555496"/>
  <pageSetup paperSize="9" scale="90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USUARIO</cp:lastModifiedBy>
  <cp:revision>3</cp:revision>
  <cp:lastPrinted>2020-07-21T14:18:42Z</cp:lastPrinted>
  <dcterms:created xsi:type="dcterms:W3CDTF">2020-07-17T23:44:49Z</dcterms:created>
  <dcterms:modified xsi:type="dcterms:W3CDTF">2022-02-09T00:54:07Z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