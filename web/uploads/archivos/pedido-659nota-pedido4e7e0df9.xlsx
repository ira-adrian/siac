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heckCompatibility="1" defaultThemeVersion="124226"/>
  <mc:AlternateContent xmlns:mc="http://schemas.openxmlformats.org/markup-compatibility/2006">
    <mc:Choice Requires="x15">
      <x15ac:absPath xmlns:x15ac="http://schemas.microsoft.com/office/spreadsheetml/2010/11/ac" url="C:\Users\MARIA MALDONADO\Desktop\acuerdo marco\DESCARTABLES COMUNES\"/>
    </mc:Choice>
  </mc:AlternateContent>
  <xr:revisionPtr revIDLastSave="0" documentId="13_ncr:1_{6FDDD65B-2445-455C-AC45-12DFCC200E0C}" xr6:coauthVersionLast="47" xr6:coauthVersionMax="47" xr10:uidLastSave="{00000000-0000-0000-0000-000000000000}"/>
  <bookViews>
    <workbookView xWindow="-120" yWindow="-120" windowWidth="29040" windowHeight="15720" tabRatio="500" xr2:uid="{00000000-000D-0000-FFFF-FFFF00000000}"/>
  </bookViews>
  <sheets>
    <sheet name="Necesidades Trimestrales" sheetId="1" r:id="rId1"/>
  </sheets>
  <definedNames>
    <definedName name="_xlnm._FilterDatabase" localSheetId="0" hidden="1">'Necesidades Trimestrales'!$A$9:$Q$39</definedName>
    <definedName name="_xlnm.Print_Area" localSheetId="0">'Necesidades Trimestrales'!$E$9:$E$39</definedName>
  </definedNames>
  <calcPr calcId="181029"/>
</workbook>
</file>

<file path=xl/calcChain.xml><?xml version="1.0" encoding="utf-8"?>
<calcChain xmlns="http://schemas.openxmlformats.org/spreadsheetml/2006/main">
  <c r="L11" i="1" l="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10" i="1"/>
  <c r="J40" i="1" l="1"/>
  <c r="L40" i="1"/>
  <c r="H40" i="1"/>
  <c r="O39" i="1"/>
  <c r="O11" i="1" l="1"/>
  <c r="O12" i="1"/>
  <c r="O13" i="1"/>
  <c r="O14" i="1"/>
  <c r="O15" i="1"/>
  <c r="O16" i="1"/>
  <c r="O17" i="1"/>
  <c r="O18" i="1"/>
  <c r="O19" i="1"/>
  <c r="O20" i="1"/>
  <c r="O21" i="1"/>
  <c r="O22" i="1"/>
  <c r="O23" i="1"/>
  <c r="O24" i="1"/>
  <c r="O25" i="1"/>
  <c r="O26" i="1"/>
  <c r="O27" i="1"/>
  <c r="O28" i="1"/>
  <c r="O29" i="1"/>
  <c r="O30" i="1"/>
  <c r="O31" i="1"/>
  <c r="O32" i="1"/>
  <c r="O33" i="1"/>
  <c r="O34" i="1"/>
  <c r="O35" i="1"/>
  <c r="O36" i="1"/>
  <c r="O37" i="1"/>
  <c r="O38" i="1"/>
  <c r="O10" i="1"/>
  <c r="O40" i="1" l="1"/>
</calcChain>
</file>

<file path=xl/sharedStrings.xml><?xml version="1.0" encoding="utf-8"?>
<sst xmlns="http://schemas.openxmlformats.org/spreadsheetml/2006/main" count="156" uniqueCount="99">
  <si>
    <t>Pedido de Necesidades Trimestrales</t>
  </si>
  <si>
    <t>JURISDICCION:</t>
  </si>
  <si>
    <t xml:space="preserve">SAF N°: </t>
  </si>
  <si>
    <t>EJERCICIO:</t>
  </si>
  <si>
    <t>TRIMESTRE:</t>
  </si>
  <si>
    <t>ID</t>
  </si>
  <si>
    <t>RUBRO DE COMPRA</t>
  </si>
  <si>
    <t xml:space="preserve">I.P.P. </t>
  </si>
  <si>
    <t>DESCRIPCION</t>
  </si>
  <si>
    <t>UNIDAD DE MEDIDA</t>
  </si>
  <si>
    <t>CANTIDAD</t>
  </si>
  <si>
    <t>PRECIO UNITARIO ESTIMADO</t>
  </si>
  <si>
    <t xml:space="preserve">IMPORTE TOTAL ESTIMADO </t>
  </si>
  <si>
    <t>040 - Ministerio de Salud</t>
  </si>
  <si>
    <t>UNIDAD</t>
  </si>
  <si>
    <t>CODIGO ITEM COMPRAR</t>
  </si>
  <si>
    <t>2.9.5-441.229</t>
  </si>
  <si>
    <t>2.9.5-441.230</t>
  </si>
  <si>
    <t>2.9.5-441.228</t>
  </si>
  <si>
    <t>AGUJAS QUIRURGICAS; TIPO: BUTTERFLY, ESPECIFICACION: Nº19, UNIDAD VENTA: UNIDAD, PRESENTACION: UNIDAD</t>
  </si>
  <si>
    <t>AGUJAS QUIRURGICAS; TIPO: BUTTERFLY, ESPECIFICACION: Nº21, UNIDAD VENTA: UNIDAD, PRESENTACION: UNIDAD</t>
  </si>
  <si>
    <t>AGUJAS QUIRURGICAS; TIPO: BUTTERFLY, ESPECIFICACION: Nº23, UNIDAD VENTA: UNIDAD, PRESENTACION: UNIDAD</t>
  </si>
  <si>
    <t>PROD. MEDICO/FARMACEUTICOS/LAB</t>
  </si>
  <si>
    <t>2.9.5-427.31</t>
  </si>
  <si>
    <t>APOSITOS; TIPO: P/SUJECION DE CATETER, TAMAÑO: 10 X 12 Cm</t>
  </si>
  <si>
    <t>2.9.5-427.84</t>
  </si>
  <si>
    <t>APOSITOS; TIPO: P/SUJECION DE CATETER, TAMAÑO: 6 X 7 Cm</t>
  </si>
  <si>
    <t>CATETERES/SONDAS; NUMERO: K-33, TIPO: NASOGASTRICA</t>
  </si>
  <si>
    <t>2.9.5-2161.188</t>
  </si>
  <si>
    <t>CATETERES/SONDAS; NUMERO: K-9, TIPO: NASOGASTRICA</t>
  </si>
  <si>
    <t>CATETERES/SONDAS; NUMERO: K10, TIPO: NASOGASTRICA</t>
  </si>
  <si>
    <t>2.9.5-2161.156</t>
  </si>
  <si>
    <t>2.9.5-2161.179</t>
  </si>
  <si>
    <t>CATETERES/SONDAS; NUMERO: 20, TIPO: RECTAL</t>
  </si>
  <si>
    <t>2.9.5-2161.176</t>
  </si>
  <si>
    <t>CATETERES/SONDAS; NUMERO: 26, TIPO: RECTAL</t>
  </si>
  <si>
    <t>2.9.5-2161.228</t>
  </si>
  <si>
    <t>2.9.5-2505.6</t>
  </si>
  <si>
    <t>BOLSAS COLECTORAS; TIPO: DE ORINA C/DESAGOTE, USO: ADULTO, CAPACIDAD: 2000 mL</t>
  </si>
  <si>
    <t>CATETERES/SONDAS; NUMERO: 18, TIPO: FOLEY DOBLE VIA</t>
  </si>
  <si>
    <t>2.9.5-2161.222</t>
  </si>
  <si>
    <t>CATETERES/SONDAS; NUMERO: 16, TIPO: FOLEY DOBLE VIA</t>
  </si>
  <si>
    <t>2.9.5-2161.221</t>
  </si>
  <si>
    <t>CATETERES/SONDAS; NUMERO: 14, TIPO: FOLEY DOBLE VIA</t>
  </si>
  <si>
    <t>2.9.5-2161.224</t>
  </si>
  <si>
    <t>2.9.5-2204.25</t>
  </si>
  <si>
    <t>2.9.5-2204.51</t>
  </si>
  <si>
    <t>GUIAS DE SUERO; USO: ADMINISTRACION DE SOLUCIONES, AGUJA: SIN, MODELO: P/EQUIPO, TIPO: PARA BOMBA INFUSORA</t>
  </si>
  <si>
    <t>2.9.5-2204.55</t>
  </si>
  <si>
    <t>2.9.5-2161.2</t>
  </si>
  <si>
    <t>CATETERES/SONDAS; NUMERO: 16, TIPO: INTRAVENOSO</t>
  </si>
  <si>
    <t>2.9.5-2161.1</t>
  </si>
  <si>
    <t>2.9.5-2161.4</t>
  </si>
  <si>
    <t>CATÉTER INTRAVENOSO Nº 18; TIPO: INTRAVENOSO/CANALIZACIÓN</t>
  </si>
  <si>
    <t>CATÉTER INTRAVENOSO Nº 20; TIPO: INTRAVENOSO/CANALIZACIÓN</t>
  </si>
  <si>
    <t>2.9.5-2161.557</t>
  </si>
  <si>
    <t>CATÉTER INTRAVENOSO Nº 22; TIPO: INTRAVENOSO/CANALIZACIÓN</t>
  </si>
  <si>
    <t>GUÍA DE SUERO; USO: ADMINISTRACIÓN DE SOLUCIONES, MODELO CON BURETRA VOLUMÉTRICA; TIPO: MACROGOTERO</t>
  </si>
  <si>
    <t>2.9.5-2204.58</t>
  </si>
  <si>
    <t>GUÍAS DE SUERO; USO: ADMINISTRACIÓN DE SOLUCIONES; AGUJA: SIN; MODELO: V14, TIPO: MACROGOTERO CON ROLLER LUER SLIP</t>
  </si>
  <si>
    <t>2.9.5-2204.42</t>
  </si>
  <si>
    <t>2.9.5-2204.43</t>
  </si>
  <si>
    <t>GUÍAS DE SUERO; USO: ADMINISTRACIÓN DE SOLUCIONES; AGUJA: CON; MODELO: V13; TIPO: FOTOSENSIBLE; MACROGOTERO CON CONEXIÓN ROLLER LUER SLIP</t>
  </si>
  <si>
    <t>CATÉTERES/SONDAS; NÚMERO: 16; TIPO: FOLEY DOBLE VÍA, 100% DE SILICONA</t>
  </si>
  <si>
    <t>2.9.5-2161.562</t>
  </si>
  <si>
    <t>CATÉTERES/SONDAS; NÚMERO: 18; TIPO: FOLEY DOBLE VÍA, 100% DE SILICONA</t>
  </si>
  <si>
    <t>2.9.5-2161.563</t>
  </si>
  <si>
    <t>GUÍAS DE SUERO; USO: ADMINISTRACIÓN DE SOLUCIONES; AGUJA: CON; MODELO: V17; TIPO: FOTOSENSIBLE; MICROGOTERO CON CONEXIÓN ROLLER LUER SLIP</t>
  </si>
  <si>
    <t>GUÍAS DE SUERO; USO: ADMINISTRACIÓN DE SOLUCIONES; AGUJA: SIN; MODELO: V17, TIPO: MICROGOTERO CON ROLLER LUER SLIP</t>
  </si>
  <si>
    <t>2.9.5-2161.187</t>
  </si>
  <si>
    <t>CATETERES/SONDAS; NUMERO: K-35, TIPO: NASOGASTRICA PARA PREMATUROS</t>
  </si>
  <si>
    <t>2.9.5-5816.6</t>
  </si>
  <si>
    <t>PRESERVATIVOS; TIPO: LATEX Y GEL LUBRICANTE, PRESENTACION: KIT, MEDIDA: 160 X 52 X 0,04 A 0,08 mm</t>
  </si>
  <si>
    <t>CAJA</t>
  </si>
  <si>
    <t>CATETERES/SONDAS; NUMERO: K30, TIPO: NASOGASTRICA</t>
  </si>
  <si>
    <t>2.9.5-2161.155</t>
  </si>
  <si>
    <t>CATÉTERES/SONDAS; NÚMERO: K31; TIPO: NASOGÁSTRICA</t>
  </si>
  <si>
    <t>2.9.5-2161.198</t>
  </si>
  <si>
    <t>011 - Direccion Provincial de Administracion - MS</t>
  </si>
  <si>
    <t>DPFeI</t>
  </si>
  <si>
    <t>Total DPFeI</t>
  </si>
  <si>
    <t>DPMIA</t>
  </si>
  <si>
    <t>Total DPMIA</t>
  </si>
  <si>
    <t>DPSAME</t>
  </si>
  <si>
    <t>Total SAME</t>
  </si>
  <si>
    <r>
      <t xml:space="preserve">Especificidades Ítem 16: </t>
    </r>
    <r>
      <rPr>
        <b/>
        <u/>
        <sz val="10"/>
        <rFont val="Times New Roman"/>
        <family val="1"/>
      </rPr>
      <t>GUIA UNIVERSAL TIPO MP 1000</t>
    </r>
  </si>
  <si>
    <t>Especificidades Ítem 30: PRESERVATIVO CON LUBRICANTE CAJA X 144 UNIDADES</t>
  </si>
  <si>
    <t>Especificidades:</t>
  </si>
  <si>
    <t xml:space="preserve">Lugares de Entrega: </t>
  </si>
  <si>
    <t>*LOS GASTOS DE FLETES, ACARREO, CARGA, DESCARGA Y SEGURO CORREN A CARGO DEL ADJUDICATARIO.</t>
  </si>
  <si>
    <t xml:space="preserve">Plazo de entrega: </t>
  </si>
  <si>
    <t>veinte (20) dias habiles</t>
  </si>
  <si>
    <t>Calidad Minima esperada:</t>
  </si>
  <si>
    <t xml:space="preserve">Mantenimiento: </t>
  </si>
  <si>
    <t xml:space="preserve">45 dias habiles </t>
  </si>
  <si>
    <t>ITEMS 1 al 30</t>
  </si>
  <si>
    <t>ITEM 30 - DIR. PROV. MATERNIDAD, INFANCIA Y ADOLESCENCIA - CHACABUCO N° 169 - en el horario de 8:00hs a 12:00hs de lunes a viernes.</t>
  </si>
  <si>
    <t>ITEMS: 8 (1000 unid), 9 (1000 unid), 10 (500 unid), 11 (400 unid), 16 (50 unid), 22 (20 unid), 23 (20 unid), 24 (20 unid), 25, 26 (50 unid), 27 (50 unid) - DIR. PROV. SAME - CASEROS N° 864- en el horario de 8:00hs a 12:00hs de lunes a viernes.</t>
  </si>
  <si>
    <t>ITEMS: 1 al 7, 8 (16000 unid), 9 (30000 unid), 10 (9000 unid), 11 (500 unid), 12 al 15, 16 (300 unid), 17 al 21, 22 (400 unid), 23 (200 unid), 24 (300 unid), 26 (400 unid), 27 (300 unid), 28, 29 - DIR. PROV. DE FARMACIA E INSUMOS - CHACABUCO N° 169 - en el horario de 8:00hs a 12:00hs de lunes a viernes.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</si>
</sst>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0.00_-;\-&quot;$&quot;* #,##0.00_-;_-&quot;$&quot;* &quot;-&quot;??_-;_-@_-"/>
    <numFmt numFmtId="165" formatCode="_-* #,##0.00&quot; €&quot;_-;\-* #,##0.00&quot; €&quot;_-;_-* \-??&quot; €&quot;_-;_-@_-"/>
    <numFmt numFmtId="166" formatCode="&quot;$&quot;\ #,##0.00"/>
  </numFmts>
  <fonts count="18"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
      <b/>
      <sz val="12"/>
      <color rgb="FF000000"/>
      <name val="Times New Roman"/>
      <family val="1"/>
    </font>
    <font>
      <b/>
      <sz val="10"/>
      <color rgb="FF000000"/>
      <name val="Arial"/>
      <family val="2"/>
    </font>
    <font>
      <sz val="10"/>
      <color rgb="FF000000"/>
      <name val="Arial"/>
      <family val="2"/>
    </font>
    <font>
      <sz val="10"/>
      <color rgb="FF000000"/>
      <name val="Arial"/>
      <family val="2"/>
    </font>
    <font>
      <b/>
      <u/>
      <sz val="10"/>
      <name val="Times New Roman"/>
      <family val="1"/>
    </font>
    <font>
      <b/>
      <sz val="10"/>
      <name val="Times New Roman"/>
      <family val="1"/>
    </font>
    <font>
      <b/>
      <sz val="10"/>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11">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s>
  <cellStyleXfs count="8">
    <xf numFmtId="0" fontId="0" fillId="0" borderId="0"/>
    <xf numFmtId="165" fontId="3" fillId="0" borderId="0" applyBorder="0" applyProtection="0"/>
    <xf numFmtId="0" fontId="1" fillId="0" borderId="1" applyProtection="0"/>
    <xf numFmtId="0" fontId="2" fillId="2" borderId="0" applyBorder="0" applyProtection="0"/>
    <xf numFmtId="0" fontId="3" fillId="0" borderId="0"/>
    <xf numFmtId="0" fontId="3" fillId="0" borderId="0"/>
    <xf numFmtId="0" fontId="3" fillId="0" borderId="0"/>
    <xf numFmtId="0" fontId="14" fillId="0" borderId="0"/>
  </cellStyleXfs>
  <cellXfs count="79">
    <xf numFmtId="0" fontId="0" fillId="0" borderId="0" xfId="0"/>
    <xf numFmtId="0" fontId="8" fillId="3" borderId="0" xfId="0" applyFont="1" applyFill="1" applyAlignment="1">
      <alignment horizontal="left" wrapText="1"/>
    </xf>
    <xf numFmtId="0" fontId="4" fillId="3" borderId="0" xfId="0" applyFont="1" applyFill="1"/>
    <xf numFmtId="0" fontId="7" fillId="3" borderId="0" xfId="0" applyFont="1" applyFill="1" applyAlignment="1">
      <alignment horizontal="left" wrapText="1"/>
    </xf>
    <xf numFmtId="0" fontId="7" fillId="3" borderId="0" xfId="0" applyFont="1" applyFill="1" applyAlignment="1">
      <alignment horizontal="center" wrapText="1"/>
    </xf>
    <xf numFmtId="0" fontId="4" fillId="3" borderId="3" xfId="0" applyFont="1" applyFill="1" applyBorder="1"/>
    <xf numFmtId="0" fontId="4" fillId="3" borderId="4" xfId="0" applyFont="1" applyFill="1" applyBorder="1"/>
    <xf numFmtId="0" fontId="4" fillId="3" borderId="0" xfId="0" applyFont="1" applyFill="1" applyAlignment="1">
      <alignment horizontal="center" vertical="center"/>
    </xf>
    <xf numFmtId="166" fontId="9" fillId="3" borderId="0" xfId="0" applyNumberFormat="1" applyFont="1" applyFill="1"/>
    <xf numFmtId="0" fontId="10" fillId="3" borderId="5" xfId="0" applyFont="1" applyFill="1" applyBorder="1"/>
    <xf numFmtId="164" fontId="4" fillId="3" borderId="0" xfId="0" applyNumberFormat="1" applyFont="1" applyFill="1"/>
    <xf numFmtId="0" fontId="4" fillId="3" borderId="6" xfId="0" applyFont="1" applyFill="1" applyBorder="1"/>
    <xf numFmtId="0" fontId="4" fillId="3" borderId="7" xfId="0" applyFont="1" applyFill="1" applyBorder="1"/>
    <xf numFmtId="0" fontId="4" fillId="3" borderId="0" xfId="0" applyFont="1" applyFill="1" applyAlignment="1">
      <alignment vertical="center"/>
    </xf>
    <xf numFmtId="0" fontId="10" fillId="3" borderId="2" xfId="0" applyFont="1" applyFill="1" applyBorder="1"/>
    <xf numFmtId="0" fontId="12" fillId="3" borderId="8" xfId="0" applyFont="1" applyFill="1" applyBorder="1" applyAlignment="1">
      <alignment horizontal="center" vertical="center" wrapText="1"/>
    </xf>
    <xf numFmtId="164" fontId="12" fillId="3" borderId="8" xfId="0" applyNumberFormat="1" applyFont="1" applyFill="1" applyBorder="1" applyAlignment="1">
      <alignment horizontal="center" vertical="center" wrapText="1"/>
    </xf>
    <xf numFmtId="0" fontId="3" fillId="3" borderId="8" xfId="0" applyFont="1" applyFill="1" applyBorder="1" applyAlignment="1">
      <alignment horizontal="center" vertical="center"/>
    </xf>
    <xf numFmtId="0" fontId="0" fillId="0" borderId="8" xfId="0" applyBorder="1" applyAlignment="1">
      <alignment horizontal="left" vertical="center"/>
    </xf>
    <xf numFmtId="0" fontId="0" fillId="0" borderId="8" xfId="0" applyBorder="1" applyAlignment="1">
      <alignment horizontal="left" vertical="center" wrapText="1"/>
    </xf>
    <xf numFmtId="0" fontId="13" fillId="3" borderId="8" xfId="0" applyFont="1" applyFill="1" applyBorder="1" applyAlignment="1">
      <alignment horizontal="center" vertical="center" wrapText="1"/>
    </xf>
    <xf numFmtId="3" fontId="3" fillId="3" borderId="8" xfId="0" applyNumberFormat="1" applyFont="1" applyFill="1" applyBorder="1" applyAlignment="1">
      <alignment horizontal="center" vertical="center"/>
    </xf>
    <xf numFmtId="44" fontId="3" fillId="3" borderId="8" xfId="1" applyNumberFormat="1" applyFill="1" applyBorder="1" applyAlignment="1">
      <alignment horizontal="center" vertical="center"/>
    </xf>
    <xf numFmtId="164" fontId="3" fillId="4" borderId="8" xfId="1" applyNumberFormat="1" applyFill="1" applyBorder="1" applyAlignment="1" applyProtection="1">
      <alignment horizontal="center" vertical="center" wrapText="1"/>
    </xf>
    <xf numFmtId="0" fontId="0" fillId="3" borderId="8" xfId="0" applyFill="1" applyBorder="1" applyAlignment="1">
      <alignment horizontal="left" vertical="center"/>
    </xf>
    <xf numFmtId="0" fontId="0" fillId="3" borderId="8" xfId="0" applyFill="1" applyBorder="1" applyAlignment="1">
      <alignment horizontal="left" vertical="center" wrapText="1"/>
    </xf>
    <xf numFmtId="0" fontId="3" fillId="3" borderId="8" xfId="0" applyFont="1" applyFill="1" applyBorder="1" applyAlignment="1">
      <alignment horizontal="left" vertical="center" wrapText="1"/>
    </xf>
    <xf numFmtId="0" fontId="3" fillId="0" borderId="8" xfId="0" applyFont="1" applyBorder="1" applyAlignment="1">
      <alignment horizontal="left" vertical="center" wrapText="1"/>
    </xf>
    <xf numFmtId="0" fontId="0" fillId="3" borderId="8" xfId="0" applyFill="1" applyBorder="1" applyAlignment="1">
      <alignment horizontal="center" vertical="center"/>
    </xf>
    <xf numFmtId="0" fontId="3" fillId="0" borderId="8" xfId="0" applyFont="1" applyBorder="1" applyAlignment="1">
      <alignment horizontal="left" vertical="center"/>
    </xf>
    <xf numFmtId="0" fontId="3" fillId="0" borderId="8" xfId="0" applyFont="1" applyBorder="1" applyAlignment="1">
      <alignment wrapText="1"/>
    </xf>
    <xf numFmtId="0" fontId="0" fillId="0" borderId="8" xfId="0" applyBorder="1" applyAlignment="1">
      <alignment vertical="center"/>
    </xf>
    <xf numFmtId="0" fontId="0" fillId="3" borderId="8" xfId="0" applyFill="1" applyBorder="1" applyAlignment="1">
      <alignment vertical="center"/>
    </xf>
    <xf numFmtId="44" fontId="3" fillId="3" borderId="8" xfId="0" applyNumberFormat="1" applyFont="1" applyFill="1" applyBorder="1" applyAlignment="1">
      <alignment horizontal="center" vertical="center"/>
    </xf>
    <xf numFmtId="0" fontId="16" fillId="3" borderId="0" xfId="0" applyFont="1" applyFill="1" applyAlignment="1">
      <alignment vertical="center"/>
    </xf>
    <xf numFmtId="0" fontId="16" fillId="3" borderId="8" xfId="0" applyFont="1" applyFill="1" applyBorder="1" applyAlignment="1">
      <alignment vertical="center"/>
    </xf>
    <xf numFmtId="44" fontId="16" fillId="3" borderId="8" xfId="0" applyNumberFormat="1" applyFont="1" applyFill="1" applyBorder="1" applyAlignment="1">
      <alignment vertical="center"/>
    </xf>
    <xf numFmtId="164" fontId="16" fillId="3" borderId="8" xfId="0" applyNumberFormat="1" applyFont="1" applyFill="1" applyBorder="1" applyAlignment="1">
      <alignment vertical="center"/>
    </xf>
    <xf numFmtId="0" fontId="11" fillId="3" borderId="0" xfId="0" applyFont="1" applyFill="1" applyAlignment="1">
      <alignment horizontal="left" wrapText="1" indent="1"/>
    </xf>
    <xf numFmtId="0" fontId="4" fillId="3" borderId="5" xfId="0" applyFont="1" applyFill="1" applyBorder="1"/>
    <xf numFmtId="0" fontId="0" fillId="0" borderId="8" xfId="0" applyBorder="1" applyAlignment="1">
      <alignment horizontal="center" vertical="center"/>
    </xf>
    <xf numFmtId="0" fontId="3" fillId="3" borderId="8" xfId="0" applyFont="1" applyFill="1" applyBorder="1" applyAlignment="1">
      <alignment horizontal="center" vertical="center" wrapText="1"/>
    </xf>
    <xf numFmtId="0" fontId="0" fillId="0" borderId="0" xfId="0" applyAlignment="1">
      <alignment horizontal="center" vertical="center"/>
    </xf>
    <xf numFmtId="0" fontId="3" fillId="0" borderId="8" xfId="0" applyFont="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vertical="center"/>
    </xf>
    <xf numFmtId="0" fontId="3" fillId="3" borderId="4" xfId="0" applyFont="1" applyFill="1" applyBorder="1" applyAlignment="1">
      <alignment vertical="center"/>
    </xf>
    <xf numFmtId="0" fontId="3" fillId="3" borderId="0" xfId="5" applyFill="1" applyAlignment="1">
      <alignment vertical="center" wrapText="1"/>
    </xf>
    <xf numFmtId="0" fontId="3" fillId="3" borderId="10" xfId="5" applyFill="1" applyBorder="1" applyAlignment="1">
      <alignment vertical="center" wrapText="1"/>
    </xf>
    <xf numFmtId="0" fontId="3" fillId="3" borderId="0" xfId="5" applyFill="1" applyAlignment="1">
      <alignment horizontal="left" vertical="center" wrapText="1"/>
    </xf>
    <xf numFmtId="0" fontId="3" fillId="3" borderId="10" xfId="5" applyFill="1" applyBorder="1" applyAlignment="1">
      <alignment horizontal="left" vertical="center" wrapText="1"/>
    </xf>
    <xf numFmtId="0" fontId="3" fillId="3" borderId="9" xfId="6" applyFill="1" applyBorder="1" applyAlignment="1">
      <alignment horizontal="center" vertical="center" wrapText="1"/>
    </xf>
    <xf numFmtId="0" fontId="3" fillId="3" borderId="0" xfId="0" applyFont="1" applyFill="1" applyAlignment="1">
      <alignment horizontal="center" vertical="center" wrapText="1"/>
    </xf>
    <xf numFmtId="0" fontId="3" fillId="3" borderId="10" xfId="0" applyFont="1" applyFill="1" applyBorder="1" applyAlignment="1">
      <alignment horizontal="center" vertical="center" wrapText="1"/>
    </xf>
    <xf numFmtId="0" fontId="3" fillId="3" borderId="9" xfId="5" applyFill="1" applyBorder="1" applyAlignment="1">
      <alignment horizontal="center" vertical="center" wrapText="1"/>
    </xf>
    <xf numFmtId="0" fontId="3" fillId="3" borderId="5" xfId="0" applyFont="1" applyFill="1" applyBorder="1" applyAlignment="1">
      <alignment horizontal="center" vertical="center"/>
    </xf>
    <xf numFmtId="0" fontId="3" fillId="3" borderId="6" xfId="0" applyFont="1" applyFill="1" applyBorder="1" applyAlignment="1">
      <alignment vertical="center"/>
    </xf>
    <xf numFmtId="0" fontId="3" fillId="3" borderId="7" xfId="0" applyFont="1" applyFill="1" applyBorder="1" applyAlignment="1">
      <alignment vertical="center"/>
    </xf>
    <xf numFmtId="3" fontId="4" fillId="3" borderId="0" xfId="0" applyNumberFormat="1" applyFont="1" applyFill="1"/>
    <xf numFmtId="3" fontId="7" fillId="3" borderId="0" xfId="0" applyNumberFormat="1" applyFont="1" applyFill="1" applyAlignment="1">
      <alignment horizontal="left" wrapText="1"/>
    </xf>
    <xf numFmtId="3" fontId="12" fillId="3" borderId="8" xfId="0" applyNumberFormat="1" applyFont="1" applyFill="1" applyBorder="1" applyAlignment="1">
      <alignment horizontal="center" vertical="center" wrapText="1"/>
    </xf>
    <xf numFmtId="3" fontId="0" fillId="3" borderId="8" xfId="0" applyNumberFormat="1" applyFill="1" applyBorder="1" applyAlignment="1">
      <alignment horizontal="center" vertical="center"/>
    </xf>
    <xf numFmtId="3" fontId="16" fillId="3" borderId="8" xfId="0" applyNumberFormat="1" applyFont="1" applyFill="1" applyBorder="1" applyAlignment="1">
      <alignment vertical="center"/>
    </xf>
    <xf numFmtId="3" fontId="4" fillId="3" borderId="0" xfId="0" applyNumberFormat="1" applyFont="1" applyFill="1" applyAlignment="1">
      <alignment horizontal="center" vertical="center"/>
    </xf>
    <xf numFmtId="0" fontId="4" fillId="3" borderId="0" xfId="0" applyFont="1" applyFill="1" applyAlignment="1">
      <alignment horizontal="center" vertical="center" wrapText="1"/>
    </xf>
    <xf numFmtId="0" fontId="4" fillId="3" borderId="0" xfId="0" applyFont="1" applyFill="1" applyAlignment="1">
      <alignment vertical="center" wrapText="1"/>
    </xf>
    <xf numFmtId="0" fontId="0" fillId="3" borderId="0" xfId="0" applyFill="1" applyAlignment="1">
      <alignment vertical="center" wrapText="1"/>
    </xf>
    <xf numFmtId="0" fontId="4" fillId="3" borderId="0" xfId="0" applyFont="1" applyFill="1" applyAlignment="1">
      <alignment horizontal="center" vertical="center"/>
    </xf>
    <xf numFmtId="0" fontId="4" fillId="0" borderId="0" xfId="0" applyFont="1" applyAlignment="1">
      <alignment horizontal="center" vertical="center" wrapText="1"/>
    </xf>
    <xf numFmtId="0" fontId="6" fillId="3" borderId="0" xfId="0" applyFont="1" applyFill="1" applyAlignment="1">
      <alignment horizontal="left" vertical="center" wrapText="1"/>
    </xf>
    <xf numFmtId="0" fontId="5" fillId="3" borderId="0" xfId="0" applyFont="1" applyFill="1" applyAlignment="1">
      <alignment horizontal="center"/>
    </xf>
    <xf numFmtId="0" fontId="11" fillId="4" borderId="0" xfId="0" applyFont="1" applyFill="1" applyAlignment="1">
      <alignment horizontal="left" wrapText="1" indent="1"/>
    </xf>
    <xf numFmtId="0" fontId="11" fillId="3" borderId="0" xfId="0" applyFont="1" applyFill="1" applyAlignment="1">
      <alignment horizontal="left" wrapText="1" indent="1"/>
    </xf>
    <xf numFmtId="0" fontId="3" fillId="3" borderId="9" xfId="5" applyFill="1" applyBorder="1" applyAlignment="1">
      <alignment horizontal="center" vertical="center" wrapText="1"/>
    </xf>
    <xf numFmtId="0" fontId="3" fillId="3" borderId="0" xfId="6" applyFill="1" applyAlignment="1">
      <alignment horizontal="left" vertical="center" wrapText="1"/>
    </xf>
    <xf numFmtId="0" fontId="3" fillId="3" borderId="10" xfId="6" applyFill="1" applyBorder="1" applyAlignment="1">
      <alignment horizontal="left" vertical="center" wrapText="1"/>
    </xf>
    <xf numFmtId="0" fontId="17" fillId="3" borderId="9" xfId="5" applyFont="1" applyFill="1" applyBorder="1" applyAlignment="1">
      <alignment horizontal="center" vertical="center" wrapText="1"/>
    </xf>
    <xf numFmtId="0" fontId="17" fillId="3" borderId="0" xfId="5" applyFont="1" applyFill="1" applyAlignment="1">
      <alignment horizontal="center" vertical="center" wrapText="1"/>
    </xf>
    <xf numFmtId="0" fontId="17" fillId="3" borderId="10" xfId="5" applyFont="1" applyFill="1" applyBorder="1" applyAlignment="1">
      <alignment horizontal="center" vertical="center" wrapText="1"/>
    </xf>
  </cellXfs>
  <cellStyles count="8">
    <cellStyle name="Encabezado 1" xfId="2" xr:uid="{00000000-0005-0000-0000-000000000000}"/>
    <cellStyle name="Moneda" xfId="1" builtinId="4"/>
    <cellStyle name="Neutral 1" xfId="3" xr:uid="{00000000-0005-0000-0000-000002000000}"/>
    <cellStyle name="Normal" xfId="0" builtinId="0"/>
    <cellStyle name="Normal 2" xfId="4" xr:uid="{00000000-0005-0000-0000-000004000000}"/>
    <cellStyle name="Normal 2 2" xfId="6" xr:uid="{00000000-0005-0000-0000-000005000000}"/>
    <cellStyle name="Normal 2 3" xfId="5" xr:uid="{00000000-0005-0000-0000-000006000000}"/>
    <cellStyle name="Normal 3" xfId="7" xr:uid="{00000000-0005-0000-0000-000007000000}"/>
  </cellStyles>
  <dxfs count="4">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55"/>
  <sheetViews>
    <sheetView tabSelected="1" zoomScaleNormal="100" workbookViewId="0">
      <selection activeCell="B54" sqref="B54"/>
    </sheetView>
  </sheetViews>
  <sheetFormatPr baseColWidth="10" defaultColWidth="11" defaultRowHeight="12.75" x14ac:dyDescent="0.2"/>
  <cols>
    <col min="1" max="1" width="4.5703125" style="2" customWidth="1"/>
    <col min="2" max="2" width="16.7109375" style="2" customWidth="1"/>
    <col min="3" max="3" width="35.7109375" style="2" customWidth="1"/>
    <col min="4" max="4" width="8.7109375" style="2" customWidth="1"/>
    <col min="5" max="5" width="93.42578125" style="2" customWidth="1"/>
    <col min="6" max="6" width="11" style="2"/>
    <col min="7" max="7" width="11" style="58" customWidth="1"/>
    <col min="8" max="8" width="15.28515625" style="2" customWidth="1"/>
    <col min="9" max="9" width="11" style="58" customWidth="1"/>
    <col min="10" max="10" width="13.5703125" style="2" customWidth="1"/>
    <col min="11" max="11" width="11" style="58" customWidth="1"/>
    <col min="12" max="12" width="13.5703125" style="2" customWidth="1"/>
    <col min="13" max="13" width="10.42578125" style="2" bestFit="1" customWidth="1"/>
    <col min="14" max="14" width="15.7109375" style="2" customWidth="1"/>
    <col min="15" max="15" width="18.5703125" style="10" customWidth="1"/>
    <col min="16" max="16" width="31.42578125" style="2" customWidth="1"/>
    <col min="17" max="17" width="20.28515625" style="2" customWidth="1"/>
    <col min="18" max="16384" width="11" style="2"/>
  </cols>
  <sheetData>
    <row r="2" spans="1:17" ht="27" x14ac:dyDescent="0.35">
      <c r="B2" s="70" t="s">
        <v>0</v>
      </c>
      <c r="C2" s="70"/>
      <c r="D2" s="70"/>
      <c r="E2" s="70"/>
      <c r="F2" s="70"/>
      <c r="G2" s="70"/>
      <c r="H2" s="70"/>
      <c r="I2" s="70"/>
      <c r="J2" s="70"/>
      <c r="K2" s="70"/>
      <c r="L2" s="70"/>
      <c r="M2" s="70"/>
      <c r="N2" s="70"/>
    </row>
    <row r="3" spans="1:17" ht="12" customHeight="1" x14ac:dyDescent="0.2"/>
    <row r="4" spans="1:17" ht="18" customHeight="1" x14ac:dyDescent="0.25">
      <c r="A4" s="69" t="s">
        <v>1</v>
      </c>
      <c r="B4" s="69"/>
      <c r="C4" s="71" t="s">
        <v>13</v>
      </c>
      <c r="D4" s="71"/>
      <c r="E4" s="71"/>
      <c r="F4" s="3"/>
      <c r="G4" s="59"/>
      <c r="H4" s="3"/>
      <c r="I4" s="59"/>
      <c r="J4" s="3"/>
      <c r="K4" s="59"/>
      <c r="L4" s="3"/>
      <c r="M4" s="4"/>
      <c r="N4" s="3"/>
    </row>
    <row r="5" spans="1:17" ht="18" customHeight="1" x14ac:dyDescent="0.25">
      <c r="A5" s="69" t="s">
        <v>2</v>
      </c>
      <c r="B5" s="69"/>
      <c r="C5" s="72" t="s">
        <v>78</v>
      </c>
      <c r="D5" s="72"/>
      <c r="E5" s="72"/>
      <c r="F5" s="3"/>
      <c r="G5" s="59"/>
      <c r="H5" s="3"/>
      <c r="I5" s="59"/>
      <c r="J5" s="3"/>
      <c r="K5" s="59"/>
      <c r="L5" s="3"/>
      <c r="M5" s="4"/>
      <c r="N5" s="3"/>
    </row>
    <row r="6" spans="1:17" ht="16.5" customHeight="1" x14ac:dyDescent="0.25">
      <c r="A6" s="69" t="s">
        <v>3</v>
      </c>
      <c r="B6" s="69"/>
      <c r="C6" s="38">
        <v>2023</v>
      </c>
      <c r="D6" s="1"/>
      <c r="E6" s="1"/>
      <c r="F6" s="3"/>
      <c r="G6" s="59"/>
      <c r="H6" s="3"/>
      <c r="I6" s="59"/>
      <c r="J6" s="3"/>
      <c r="K6" s="59"/>
      <c r="L6" s="3"/>
      <c r="M6" s="4"/>
      <c r="N6" s="3"/>
    </row>
    <row r="7" spans="1:17" ht="16.5" customHeight="1" x14ac:dyDescent="0.25">
      <c r="A7" s="69" t="s">
        <v>4</v>
      </c>
      <c r="B7" s="69"/>
      <c r="C7" s="38">
        <v>1</v>
      </c>
      <c r="D7" s="1"/>
      <c r="E7" s="1"/>
      <c r="F7" s="3"/>
      <c r="G7" s="59"/>
      <c r="H7" s="3"/>
      <c r="I7" s="59"/>
      <c r="J7" s="3"/>
      <c r="K7" s="59"/>
      <c r="L7" s="3"/>
      <c r="M7" s="4"/>
      <c r="N7" s="3"/>
    </row>
    <row r="8" spans="1:17" ht="13.5" thickBot="1" x14ac:dyDescent="0.25">
      <c r="B8" s="3"/>
      <c r="C8" s="4"/>
      <c r="D8" s="3"/>
      <c r="E8" s="3"/>
      <c r="F8" s="3"/>
      <c r="G8" s="59"/>
      <c r="H8" s="3"/>
      <c r="I8" s="59"/>
      <c r="J8" s="3"/>
      <c r="K8" s="59"/>
      <c r="L8" s="3"/>
      <c r="M8" s="4"/>
      <c r="N8" s="3"/>
    </row>
    <row r="9" spans="1:17" ht="39" thickBot="1" x14ac:dyDescent="0.25">
      <c r="A9" s="15" t="s">
        <v>5</v>
      </c>
      <c r="B9" s="15" t="s">
        <v>15</v>
      </c>
      <c r="C9" s="15" t="s">
        <v>6</v>
      </c>
      <c r="D9" s="15" t="s">
        <v>7</v>
      </c>
      <c r="E9" s="15" t="s">
        <v>8</v>
      </c>
      <c r="F9" s="15" t="s">
        <v>9</v>
      </c>
      <c r="G9" s="60" t="s">
        <v>79</v>
      </c>
      <c r="H9" s="15" t="s">
        <v>80</v>
      </c>
      <c r="I9" s="60" t="s">
        <v>81</v>
      </c>
      <c r="J9" s="15" t="s">
        <v>82</v>
      </c>
      <c r="K9" s="60" t="s">
        <v>83</v>
      </c>
      <c r="L9" s="15" t="s">
        <v>84</v>
      </c>
      <c r="M9" s="15" t="s">
        <v>10</v>
      </c>
      <c r="N9" s="15" t="s">
        <v>11</v>
      </c>
      <c r="O9" s="16" t="s">
        <v>12</v>
      </c>
    </row>
    <row r="10" spans="1:17" ht="31.5" customHeight="1" thickBot="1" x14ac:dyDescent="0.25">
      <c r="A10" s="17">
        <v>1</v>
      </c>
      <c r="B10" s="40" t="s">
        <v>17</v>
      </c>
      <c r="C10" s="19" t="s">
        <v>22</v>
      </c>
      <c r="D10" s="20">
        <v>295</v>
      </c>
      <c r="E10" s="19" t="s">
        <v>19</v>
      </c>
      <c r="F10" s="17" t="s">
        <v>14</v>
      </c>
      <c r="G10" s="21">
        <v>1000</v>
      </c>
      <c r="H10" s="33">
        <f>+G10*N10</f>
        <v>13000</v>
      </c>
      <c r="I10" s="21"/>
      <c r="J10" s="33">
        <f>+I10*N10</f>
        <v>0</v>
      </c>
      <c r="K10" s="21"/>
      <c r="L10" s="33">
        <f>+K10*N10</f>
        <v>0</v>
      </c>
      <c r="M10" s="21">
        <f>+G10+I10+K10</f>
        <v>1000</v>
      </c>
      <c r="N10" s="22">
        <v>13</v>
      </c>
      <c r="O10" s="23">
        <f>+M10*N10</f>
        <v>13000</v>
      </c>
    </row>
    <row r="11" spans="1:17" ht="28.5" customHeight="1" thickBot="1" x14ac:dyDescent="0.25">
      <c r="A11" s="17">
        <v>2</v>
      </c>
      <c r="B11" s="40" t="s">
        <v>16</v>
      </c>
      <c r="C11" s="19" t="s">
        <v>22</v>
      </c>
      <c r="D11" s="20">
        <v>295</v>
      </c>
      <c r="E11" s="19" t="s">
        <v>20</v>
      </c>
      <c r="F11" s="17" t="s">
        <v>14</v>
      </c>
      <c r="G11" s="21">
        <v>1000</v>
      </c>
      <c r="H11" s="33">
        <f t="shared" ref="H11:H39" si="0">+G11*N11</f>
        <v>13000</v>
      </c>
      <c r="I11" s="21"/>
      <c r="J11" s="33">
        <f t="shared" ref="J11:J39" si="1">+I11*N11</f>
        <v>0</v>
      </c>
      <c r="K11" s="21"/>
      <c r="L11" s="33">
        <f t="shared" ref="L11:L39" si="2">+K11*N11</f>
        <v>0</v>
      </c>
      <c r="M11" s="21">
        <f t="shared" ref="M11:M39" si="3">+G11+I11+K11</f>
        <v>1000</v>
      </c>
      <c r="N11" s="22">
        <v>13</v>
      </c>
      <c r="O11" s="23">
        <f t="shared" ref="O11:O38" si="4">+M11*N11</f>
        <v>13000</v>
      </c>
    </row>
    <row r="12" spans="1:17" ht="32.25" customHeight="1" thickBot="1" x14ac:dyDescent="0.25">
      <c r="A12" s="17">
        <v>3</v>
      </c>
      <c r="B12" s="40" t="s">
        <v>18</v>
      </c>
      <c r="C12" s="19" t="s">
        <v>22</v>
      </c>
      <c r="D12" s="20">
        <v>295</v>
      </c>
      <c r="E12" s="19" t="s">
        <v>21</v>
      </c>
      <c r="F12" s="17" t="s">
        <v>14</v>
      </c>
      <c r="G12" s="21">
        <v>1000</v>
      </c>
      <c r="H12" s="33">
        <f t="shared" si="0"/>
        <v>13000</v>
      </c>
      <c r="I12" s="21"/>
      <c r="J12" s="33">
        <f t="shared" si="1"/>
        <v>0</v>
      </c>
      <c r="K12" s="21"/>
      <c r="L12" s="33">
        <f t="shared" si="2"/>
        <v>0</v>
      </c>
      <c r="M12" s="21">
        <f t="shared" si="3"/>
        <v>1000</v>
      </c>
      <c r="N12" s="22">
        <v>13</v>
      </c>
      <c r="O12" s="23">
        <f t="shared" si="4"/>
        <v>13000</v>
      </c>
    </row>
    <row r="13" spans="1:17" ht="24.95" customHeight="1" thickBot="1" x14ac:dyDescent="0.25">
      <c r="A13" s="17">
        <v>4</v>
      </c>
      <c r="B13" s="40" t="s">
        <v>23</v>
      </c>
      <c r="C13" s="19" t="s">
        <v>22</v>
      </c>
      <c r="D13" s="20">
        <v>295</v>
      </c>
      <c r="E13" s="18" t="s">
        <v>24</v>
      </c>
      <c r="F13" s="17" t="s">
        <v>14</v>
      </c>
      <c r="G13" s="21">
        <v>1000</v>
      </c>
      <c r="H13" s="33">
        <f t="shared" si="0"/>
        <v>67000</v>
      </c>
      <c r="I13" s="21"/>
      <c r="J13" s="33">
        <f t="shared" si="1"/>
        <v>0</v>
      </c>
      <c r="K13" s="21"/>
      <c r="L13" s="33">
        <f t="shared" si="2"/>
        <v>0</v>
      </c>
      <c r="M13" s="21">
        <f t="shared" si="3"/>
        <v>1000</v>
      </c>
      <c r="N13" s="22">
        <v>67</v>
      </c>
      <c r="O13" s="23">
        <f t="shared" si="4"/>
        <v>67000</v>
      </c>
    </row>
    <row r="14" spans="1:17" ht="24.95" customHeight="1" thickBot="1" x14ac:dyDescent="0.25">
      <c r="A14" s="17">
        <v>5</v>
      </c>
      <c r="B14" s="40" t="s">
        <v>25</v>
      </c>
      <c r="C14" s="19" t="s">
        <v>22</v>
      </c>
      <c r="D14" s="20">
        <v>295</v>
      </c>
      <c r="E14" s="18" t="s">
        <v>26</v>
      </c>
      <c r="F14" s="17" t="s">
        <v>14</v>
      </c>
      <c r="G14" s="21">
        <v>1000</v>
      </c>
      <c r="H14" s="33">
        <f t="shared" si="0"/>
        <v>37500</v>
      </c>
      <c r="I14" s="21"/>
      <c r="J14" s="33">
        <f t="shared" si="1"/>
        <v>0</v>
      </c>
      <c r="K14" s="21"/>
      <c r="L14" s="33">
        <f t="shared" si="2"/>
        <v>0</v>
      </c>
      <c r="M14" s="21">
        <f t="shared" si="3"/>
        <v>1000</v>
      </c>
      <c r="N14" s="22">
        <v>37.5</v>
      </c>
      <c r="O14" s="23">
        <f t="shared" si="4"/>
        <v>37500</v>
      </c>
    </row>
    <row r="15" spans="1:17" ht="24.95" customHeight="1" thickBot="1" x14ac:dyDescent="0.25">
      <c r="A15" s="17">
        <v>6</v>
      </c>
      <c r="B15" s="40" t="s">
        <v>37</v>
      </c>
      <c r="C15" s="19" t="s">
        <v>22</v>
      </c>
      <c r="D15" s="20">
        <v>295</v>
      </c>
      <c r="E15" s="18" t="s">
        <v>38</v>
      </c>
      <c r="F15" s="17" t="s">
        <v>14</v>
      </c>
      <c r="G15" s="21">
        <v>1500</v>
      </c>
      <c r="H15" s="33">
        <f t="shared" si="0"/>
        <v>112500</v>
      </c>
      <c r="I15" s="21"/>
      <c r="J15" s="33">
        <f t="shared" si="1"/>
        <v>0</v>
      </c>
      <c r="K15" s="21"/>
      <c r="L15" s="33">
        <f t="shared" si="2"/>
        <v>0</v>
      </c>
      <c r="M15" s="21">
        <f t="shared" si="3"/>
        <v>1500</v>
      </c>
      <c r="N15" s="22">
        <v>75</v>
      </c>
      <c r="O15" s="23">
        <f t="shared" si="4"/>
        <v>112500</v>
      </c>
    </row>
    <row r="16" spans="1:17" ht="24.95" customHeight="1" thickBot="1" x14ac:dyDescent="0.25">
      <c r="A16" s="17">
        <v>7</v>
      </c>
      <c r="B16" s="28" t="s">
        <v>51</v>
      </c>
      <c r="C16" s="19" t="s">
        <v>22</v>
      </c>
      <c r="D16" s="20">
        <v>295</v>
      </c>
      <c r="E16" s="24" t="s">
        <v>50</v>
      </c>
      <c r="F16" s="17" t="s">
        <v>14</v>
      </c>
      <c r="G16" s="21">
        <v>1500</v>
      </c>
      <c r="H16" s="33">
        <f t="shared" si="0"/>
        <v>180000</v>
      </c>
      <c r="I16" s="21"/>
      <c r="J16" s="33">
        <f t="shared" si="1"/>
        <v>0</v>
      </c>
      <c r="K16" s="21"/>
      <c r="L16" s="33">
        <f t="shared" si="2"/>
        <v>0</v>
      </c>
      <c r="M16" s="21">
        <f t="shared" si="3"/>
        <v>1500</v>
      </c>
      <c r="N16" s="22">
        <v>120</v>
      </c>
      <c r="O16" s="23">
        <f t="shared" si="4"/>
        <v>180000</v>
      </c>
      <c r="P16" s="13"/>
      <c r="Q16" s="13"/>
    </row>
    <row r="17" spans="1:17" ht="24.95" customHeight="1" thickBot="1" x14ac:dyDescent="0.25">
      <c r="A17" s="17">
        <v>8</v>
      </c>
      <c r="B17" s="28" t="s">
        <v>49</v>
      </c>
      <c r="C17" s="19" t="s">
        <v>22</v>
      </c>
      <c r="D17" s="20">
        <v>295</v>
      </c>
      <c r="E17" s="18" t="s">
        <v>53</v>
      </c>
      <c r="F17" s="17" t="s">
        <v>14</v>
      </c>
      <c r="G17" s="21">
        <v>16000</v>
      </c>
      <c r="H17" s="33">
        <f t="shared" si="0"/>
        <v>1920000</v>
      </c>
      <c r="I17" s="21"/>
      <c r="J17" s="33">
        <f t="shared" si="1"/>
        <v>0</v>
      </c>
      <c r="K17" s="21">
        <v>1000</v>
      </c>
      <c r="L17" s="33">
        <f t="shared" si="2"/>
        <v>120000</v>
      </c>
      <c r="M17" s="21">
        <f t="shared" si="3"/>
        <v>17000</v>
      </c>
      <c r="N17" s="22">
        <v>120</v>
      </c>
      <c r="O17" s="23">
        <f t="shared" si="4"/>
        <v>2040000</v>
      </c>
      <c r="P17" s="13"/>
      <c r="Q17" s="13"/>
    </row>
    <row r="18" spans="1:17" ht="33" customHeight="1" thickBot="1" x14ac:dyDescent="0.25">
      <c r="A18" s="17">
        <v>9</v>
      </c>
      <c r="B18" s="40" t="s">
        <v>55</v>
      </c>
      <c r="C18" s="19" t="s">
        <v>22</v>
      </c>
      <c r="D18" s="20">
        <v>295</v>
      </c>
      <c r="E18" s="18" t="s">
        <v>54</v>
      </c>
      <c r="F18" s="17" t="s">
        <v>14</v>
      </c>
      <c r="G18" s="21">
        <v>30000</v>
      </c>
      <c r="H18" s="33">
        <f t="shared" si="0"/>
        <v>3600000</v>
      </c>
      <c r="I18" s="21"/>
      <c r="J18" s="33">
        <f t="shared" si="1"/>
        <v>0</v>
      </c>
      <c r="K18" s="21">
        <v>1000</v>
      </c>
      <c r="L18" s="33">
        <f t="shared" si="2"/>
        <v>120000</v>
      </c>
      <c r="M18" s="21">
        <f t="shared" si="3"/>
        <v>31000</v>
      </c>
      <c r="N18" s="22">
        <v>120</v>
      </c>
      <c r="O18" s="23">
        <f t="shared" si="4"/>
        <v>3720000</v>
      </c>
      <c r="P18" s="64"/>
      <c r="Q18" s="64"/>
    </row>
    <row r="19" spans="1:17" ht="24.95" customHeight="1" thickBot="1" x14ac:dyDescent="0.25">
      <c r="A19" s="17">
        <v>10</v>
      </c>
      <c r="B19" s="40" t="s">
        <v>52</v>
      </c>
      <c r="C19" s="19" t="s">
        <v>22</v>
      </c>
      <c r="D19" s="20">
        <v>295</v>
      </c>
      <c r="E19" s="18" t="s">
        <v>56</v>
      </c>
      <c r="F19" s="17" t="s">
        <v>14</v>
      </c>
      <c r="G19" s="21">
        <v>9000</v>
      </c>
      <c r="H19" s="33">
        <f t="shared" si="0"/>
        <v>1080000</v>
      </c>
      <c r="I19" s="21"/>
      <c r="J19" s="33">
        <f t="shared" si="1"/>
        <v>0</v>
      </c>
      <c r="K19" s="21">
        <v>500</v>
      </c>
      <c r="L19" s="33">
        <f t="shared" si="2"/>
        <v>60000</v>
      </c>
      <c r="M19" s="21">
        <f t="shared" si="3"/>
        <v>9500</v>
      </c>
      <c r="N19" s="22">
        <v>120</v>
      </c>
      <c r="O19" s="23">
        <f t="shared" si="4"/>
        <v>1140000</v>
      </c>
      <c r="P19" s="13"/>
      <c r="Q19" s="13"/>
    </row>
    <row r="20" spans="1:17" ht="39" customHeight="1" thickBot="1" x14ac:dyDescent="0.25">
      <c r="A20" s="17">
        <v>11</v>
      </c>
      <c r="B20" s="41" t="s">
        <v>58</v>
      </c>
      <c r="C20" s="25" t="s">
        <v>22</v>
      </c>
      <c r="D20" s="20">
        <v>295</v>
      </c>
      <c r="E20" s="26" t="s">
        <v>57</v>
      </c>
      <c r="F20" s="17" t="s">
        <v>14</v>
      </c>
      <c r="G20" s="21">
        <v>500</v>
      </c>
      <c r="H20" s="33">
        <f t="shared" si="0"/>
        <v>675000</v>
      </c>
      <c r="I20" s="21"/>
      <c r="J20" s="33">
        <f t="shared" si="1"/>
        <v>0</v>
      </c>
      <c r="K20" s="21">
        <v>400</v>
      </c>
      <c r="L20" s="33">
        <f t="shared" si="2"/>
        <v>540000</v>
      </c>
      <c r="M20" s="21">
        <f t="shared" si="3"/>
        <v>900</v>
      </c>
      <c r="N20" s="22">
        <v>1350</v>
      </c>
      <c r="O20" s="23">
        <f t="shared" si="4"/>
        <v>1215000</v>
      </c>
    </row>
    <row r="21" spans="1:17" ht="34.5" customHeight="1" thickBot="1" x14ac:dyDescent="0.25">
      <c r="A21" s="17">
        <v>12</v>
      </c>
      <c r="B21" s="40" t="s">
        <v>60</v>
      </c>
      <c r="C21" s="19" t="s">
        <v>22</v>
      </c>
      <c r="D21" s="20">
        <v>295</v>
      </c>
      <c r="E21" s="27" t="s">
        <v>59</v>
      </c>
      <c r="F21" s="17" t="s">
        <v>14</v>
      </c>
      <c r="G21" s="21">
        <v>50000</v>
      </c>
      <c r="H21" s="33">
        <f t="shared" si="0"/>
        <v>3250000</v>
      </c>
      <c r="I21" s="21"/>
      <c r="J21" s="33">
        <f t="shared" si="1"/>
        <v>0</v>
      </c>
      <c r="K21" s="21"/>
      <c r="L21" s="33">
        <f t="shared" si="2"/>
        <v>0</v>
      </c>
      <c r="M21" s="21">
        <f t="shared" si="3"/>
        <v>50000</v>
      </c>
      <c r="N21" s="22">
        <v>65</v>
      </c>
      <c r="O21" s="23">
        <f t="shared" si="4"/>
        <v>3250000</v>
      </c>
      <c r="P21" s="65"/>
      <c r="Q21" s="66"/>
    </row>
    <row r="22" spans="1:17" ht="36.75" customHeight="1" thickBot="1" x14ac:dyDescent="0.25">
      <c r="A22" s="17">
        <v>13</v>
      </c>
      <c r="B22" s="17" t="s">
        <v>61</v>
      </c>
      <c r="C22" s="25" t="s">
        <v>22</v>
      </c>
      <c r="D22" s="20">
        <v>295</v>
      </c>
      <c r="E22" s="27" t="s">
        <v>68</v>
      </c>
      <c r="F22" s="17" t="s">
        <v>14</v>
      </c>
      <c r="G22" s="21">
        <v>5000</v>
      </c>
      <c r="H22" s="33">
        <f t="shared" si="0"/>
        <v>295000</v>
      </c>
      <c r="I22" s="21"/>
      <c r="J22" s="33">
        <f t="shared" si="1"/>
        <v>0</v>
      </c>
      <c r="K22" s="21"/>
      <c r="L22" s="33">
        <f t="shared" si="2"/>
        <v>0</v>
      </c>
      <c r="M22" s="21">
        <f t="shared" si="3"/>
        <v>5000</v>
      </c>
      <c r="N22" s="22">
        <v>59</v>
      </c>
      <c r="O22" s="23">
        <f t="shared" si="4"/>
        <v>295000</v>
      </c>
      <c r="P22" s="66"/>
      <c r="Q22" s="66"/>
    </row>
    <row r="23" spans="1:17" ht="34.5" customHeight="1" thickBot="1" x14ac:dyDescent="0.25">
      <c r="A23" s="17">
        <v>14</v>
      </c>
      <c r="B23" s="28" t="s">
        <v>45</v>
      </c>
      <c r="C23" s="19" t="s">
        <v>22</v>
      </c>
      <c r="D23" s="20">
        <v>295</v>
      </c>
      <c r="E23" s="27" t="s">
        <v>62</v>
      </c>
      <c r="F23" s="28" t="s">
        <v>14</v>
      </c>
      <c r="G23" s="61">
        <v>200</v>
      </c>
      <c r="H23" s="33">
        <f t="shared" si="0"/>
        <v>37200</v>
      </c>
      <c r="I23" s="61"/>
      <c r="J23" s="33">
        <f t="shared" si="1"/>
        <v>0</v>
      </c>
      <c r="K23" s="61"/>
      <c r="L23" s="33">
        <f t="shared" si="2"/>
        <v>0</v>
      </c>
      <c r="M23" s="21">
        <f t="shared" si="3"/>
        <v>200</v>
      </c>
      <c r="N23" s="22">
        <v>186</v>
      </c>
      <c r="O23" s="23">
        <f t="shared" si="4"/>
        <v>37200</v>
      </c>
      <c r="P23" s="67"/>
      <c r="Q23" s="67"/>
    </row>
    <row r="24" spans="1:17" ht="37.5" customHeight="1" thickBot="1" x14ac:dyDescent="0.25">
      <c r="A24" s="17">
        <v>15</v>
      </c>
      <c r="B24" s="17" t="s">
        <v>46</v>
      </c>
      <c r="C24" s="19" t="s">
        <v>22</v>
      </c>
      <c r="D24" s="20">
        <v>295</v>
      </c>
      <c r="E24" s="26" t="s">
        <v>67</v>
      </c>
      <c r="F24" s="17" t="s">
        <v>14</v>
      </c>
      <c r="G24" s="21">
        <v>100</v>
      </c>
      <c r="H24" s="33">
        <f t="shared" si="0"/>
        <v>18600</v>
      </c>
      <c r="I24" s="21"/>
      <c r="J24" s="33">
        <f t="shared" si="1"/>
        <v>0</v>
      </c>
      <c r="K24" s="21"/>
      <c r="L24" s="33">
        <f t="shared" si="2"/>
        <v>0</v>
      </c>
      <c r="M24" s="21">
        <f t="shared" si="3"/>
        <v>100</v>
      </c>
      <c r="N24" s="22">
        <v>186</v>
      </c>
      <c r="O24" s="23">
        <f t="shared" si="4"/>
        <v>18600</v>
      </c>
      <c r="P24" s="67"/>
      <c r="Q24" s="67"/>
    </row>
    <row r="25" spans="1:17" ht="30.75" customHeight="1" thickBot="1" x14ac:dyDescent="0.25">
      <c r="A25" s="17">
        <v>16</v>
      </c>
      <c r="B25" s="28" t="s">
        <v>48</v>
      </c>
      <c r="C25" s="25" t="s">
        <v>22</v>
      </c>
      <c r="D25" s="20">
        <v>295</v>
      </c>
      <c r="E25" s="25" t="s">
        <v>47</v>
      </c>
      <c r="F25" s="17" t="s">
        <v>14</v>
      </c>
      <c r="G25" s="21">
        <v>300</v>
      </c>
      <c r="H25" s="33">
        <f t="shared" si="0"/>
        <v>105000</v>
      </c>
      <c r="I25" s="21"/>
      <c r="J25" s="33">
        <f t="shared" si="1"/>
        <v>0</v>
      </c>
      <c r="K25" s="21">
        <v>50</v>
      </c>
      <c r="L25" s="33">
        <f t="shared" si="2"/>
        <v>17500</v>
      </c>
      <c r="M25" s="21">
        <f t="shared" si="3"/>
        <v>350</v>
      </c>
      <c r="N25" s="22">
        <v>350</v>
      </c>
      <c r="O25" s="23">
        <f t="shared" si="4"/>
        <v>122500</v>
      </c>
      <c r="P25" s="68"/>
      <c r="Q25" s="68"/>
    </row>
    <row r="26" spans="1:17" ht="24.95" customHeight="1" thickBot="1" x14ac:dyDescent="0.25">
      <c r="A26" s="17">
        <v>17</v>
      </c>
      <c r="B26" s="17" t="s">
        <v>64</v>
      </c>
      <c r="C26" s="19" t="s">
        <v>22</v>
      </c>
      <c r="D26" s="20">
        <v>295</v>
      </c>
      <c r="E26" s="29" t="s">
        <v>63</v>
      </c>
      <c r="F26" s="17" t="s">
        <v>14</v>
      </c>
      <c r="G26" s="21">
        <v>25</v>
      </c>
      <c r="H26" s="33">
        <f t="shared" si="0"/>
        <v>11500</v>
      </c>
      <c r="I26" s="21"/>
      <c r="J26" s="33">
        <f t="shared" si="1"/>
        <v>0</v>
      </c>
      <c r="K26" s="21"/>
      <c r="L26" s="33">
        <f t="shared" si="2"/>
        <v>0</v>
      </c>
      <c r="M26" s="21">
        <f t="shared" si="3"/>
        <v>25</v>
      </c>
      <c r="N26" s="22">
        <v>460</v>
      </c>
      <c r="O26" s="23">
        <f t="shared" si="4"/>
        <v>11500</v>
      </c>
    </row>
    <row r="27" spans="1:17" ht="24.95" customHeight="1" thickBot="1" x14ac:dyDescent="0.25">
      <c r="A27" s="17">
        <v>18</v>
      </c>
      <c r="B27" s="17" t="s">
        <v>66</v>
      </c>
      <c r="C27" s="19" t="s">
        <v>22</v>
      </c>
      <c r="D27" s="20">
        <v>295</v>
      </c>
      <c r="E27" s="29" t="s">
        <v>65</v>
      </c>
      <c r="F27" s="17" t="s">
        <v>14</v>
      </c>
      <c r="G27" s="21">
        <v>25</v>
      </c>
      <c r="H27" s="33">
        <f t="shared" si="0"/>
        <v>11500</v>
      </c>
      <c r="I27" s="21"/>
      <c r="J27" s="33">
        <f t="shared" si="1"/>
        <v>0</v>
      </c>
      <c r="K27" s="21"/>
      <c r="L27" s="33">
        <f t="shared" si="2"/>
        <v>0</v>
      </c>
      <c r="M27" s="21">
        <f t="shared" si="3"/>
        <v>25</v>
      </c>
      <c r="N27" s="22">
        <v>460</v>
      </c>
      <c r="O27" s="23">
        <f t="shared" si="4"/>
        <v>11500</v>
      </c>
    </row>
    <row r="28" spans="1:17" ht="24.95" customHeight="1" thickBot="1" x14ac:dyDescent="0.25">
      <c r="A28" s="17">
        <v>19</v>
      </c>
      <c r="B28" s="28" t="s">
        <v>44</v>
      </c>
      <c r="C28" s="19" t="s">
        <v>22</v>
      </c>
      <c r="D28" s="20">
        <v>295</v>
      </c>
      <c r="E28" s="18" t="s">
        <v>43</v>
      </c>
      <c r="F28" s="17" t="s">
        <v>14</v>
      </c>
      <c r="G28" s="21">
        <v>50</v>
      </c>
      <c r="H28" s="33">
        <f t="shared" si="0"/>
        <v>6000</v>
      </c>
      <c r="I28" s="21"/>
      <c r="J28" s="33">
        <f t="shared" si="1"/>
        <v>0</v>
      </c>
      <c r="K28" s="21"/>
      <c r="L28" s="33">
        <f t="shared" si="2"/>
        <v>0</v>
      </c>
      <c r="M28" s="21">
        <f t="shared" si="3"/>
        <v>50</v>
      </c>
      <c r="N28" s="22">
        <v>120</v>
      </c>
      <c r="O28" s="23">
        <f t="shared" si="4"/>
        <v>6000</v>
      </c>
    </row>
    <row r="29" spans="1:17" ht="24.95" customHeight="1" thickBot="1" x14ac:dyDescent="0.25">
      <c r="A29" s="17">
        <v>20</v>
      </c>
      <c r="B29" s="28" t="s">
        <v>42</v>
      </c>
      <c r="C29" s="19" t="s">
        <v>22</v>
      </c>
      <c r="D29" s="20">
        <v>295</v>
      </c>
      <c r="E29" s="18" t="s">
        <v>41</v>
      </c>
      <c r="F29" s="17" t="s">
        <v>14</v>
      </c>
      <c r="G29" s="21">
        <v>200</v>
      </c>
      <c r="H29" s="33">
        <f t="shared" si="0"/>
        <v>24000</v>
      </c>
      <c r="I29" s="21"/>
      <c r="J29" s="33">
        <f t="shared" si="1"/>
        <v>0</v>
      </c>
      <c r="K29" s="21"/>
      <c r="L29" s="33">
        <f t="shared" si="2"/>
        <v>0</v>
      </c>
      <c r="M29" s="21">
        <f t="shared" si="3"/>
        <v>200</v>
      </c>
      <c r="N29" s="22">
        <v>120</v>
      </c>
      <c r="O29" s="23">
        <f t="shared" si="4"/>
        <v>24000</v>
      </c>
    </row>
    <row r="30" spans="1:17" ht="24.95" customHeight="1" thickBot="1" x14ac:dyDescent="0.25">
      <c r="A30" s="17">
        <v>21</v>
      </c>
      <c r="B30" s="28" t="s">
        <v>40</v>
      </c>
      <c r="C30" s="19" t="s">
        <v>22</v>
      </c>
      <c r="D30" s="20">
        <v>295</v>
      </c>
      <c r="E30" s="24" t="s">
        <v>39</v>
      </c>
      <c r="F30" s="17" t="s">
        <v>14</v>
      </c>
      <c r="G30" s="21">
        <v>800</v>
      </c>
      <c r="H30" s="33">
        <f t="shared" si="0"/>
        <v>96000</v>
      </c>
      <c r="I30" s="21"/>
      <c r="J30" s="33">
        <f t="shared" si="1"/>
        <v>0</v>
      </c>
      <c r="K30" s="21"/>
      <c r="L30" s="33">
        <f t="shared" si="2"/>
        <v>0</v>
      </c>
      <c r="M30" s="21">
        <f t="shared" si="3"/>
        <v>800</v>
      </c>
      <c r="N30" s="22">
        <v>120</v>
      </c>
      <c r="O30" s="23">
        <f t="shared" si="4"/>
        <v>96000</v>
      </c>
    </row>
    <row r="31" spans="1:17" ht="24.95" customHeight="1" thickBot="1" x14ac:dyDescent="0.25">
      <c r="A31" s="17">
        <v>22</v>
      </c>
      <c r="B31" s="42" t="s">
        <v>75</v>
      </c>
      <c r="C31" s="19" t="s">
        <v>22</v>
      </c>
      <c r="D31" s="20">
        <v>295</v>
      </c>
      <c r="E31" s="31" t="s">
        <v>74</v>
      </c>
      <c r="F31" s="17" t="s">
        <v>14</v>
      </c>
      <c r="G31" s="21">
        <v>400</v>
      </c>
      <c r="H31" s="33">
        <f t="shared" si="0"/>
        <v>25200</v>
      </c>
      <c r="I31" s="21"/>
      <c r="J31" s="33">
        <f t="shared" si="1"/>
        <v>0</v>
      </c>
      <c r="K31" s="21">
        <v>20</v>
      </c>
      <c r="L31" s="33">
        <f t="shared" si="2"/>
        <v>1260</v>
      </c>
      <c r="M31" s="21">
        <f t="shared" si="3"/>
        <v>420</v>
      </c>
      <c r="N31" s="22">
        <v>63</v>
      </c>
      <c r="O31" s="23">
        <f t="shared" si="4"/>
        <v>26460</v>
      </c>
    </row>
    <row r="32" spans="1:17" ht="24.95" customHeight="1" thickBot="1" x14ac:dyDescent="0.25">
      <c r="A32" s="17">
        <v>23</v>
      </c>
      <c r="B32" s="28" t="s">
        <v>77</v>
      </c>
      <c r="C32" s="25" t="s">
        <v>22</v>
      </c>
      <c r="D32" s="20">
        <v>295</v>
      </c>
      <c r="E32" s="32" t="s">
        <v>76</v>
      </c>
      <c r="F32" s="17" t="s">
        <v>14</v>
      </c>
      <c r="G32" s="21">
        <v>200</v>
      </c>
      <c r="H32" s="33">
        <f t="shared" si="0"/>
        <v>12600</v>
      </c>
      <c r="I32" s="21"/>
      <c r="J32" s="33">
        <f t="shared" si="1"/>
        <v>0</v>
      </c>
      <c r="K32" s="21">
        <v>20</v>
      </c>
      <c r="L32" s="33">
        <f t="shared" si="2"/>
        <v>1260</v>
      </c>
      <c r="M32" s="21">
        <f t="shared" si="3"/>
        <v>220</v>
      </c>
      <c r="N32" s="22">
        <v>63</v>
      </c>
      <c r="O32" s="23">
        <f t="shared" si="4"/>
        <v>13860</v>
      </c>
    </row>
    <row r="33" spans="1:15" ht="24.95" customHeight="1" thickBot="1" x14ac:dyDescent="0.25">
      <c r="A33" s="17">
        <v>24</v>
      </c>
      <c r="B33" s="40" t="s">
        <v>28</v>
      </c>
      <c r="C33" s="19" t="s">
        <v>22</v>
      </c>
      <c r="D33" s="20">
        <v>295</v>
      </c>
      <c r="E33" s="18" t="s">
        <v>27</v>
      </c>
      <c r="F33" s="17" t="s">
        <v>14</v>
      </c>
      <c r="G33" s="21">
        <v>300</v>
      </c>
      <c r="H33" s="33">
        <f t="shared" si="0"/>
        <v>18900</v>
      </c>
      <c r="I33" s="21"/>
      <c r="J33" s="33">
        <f t="shared" si="1"/>
        <v>0</v>
      </c>
      <c r="K33" s="21">
        <v>20</v>
      </c>
      <c r="L33" s="33">
        <f t="shared" si="2"/>
        <v>1260</v>
      </c>
      <c r="M33" s="21">
        <f t="shared" si="3"/>
        <v>320</v>
      </c>
      <c r="N33" s="22">
        <v>63</v>
      </c>
      <c r="O33" s="23">
        <f t="shared" si="4"/>
        <v>20160</v>
      </c>
    </row>
    <row r="34" spans="1:15" ht="24.95" customHeight="1" thickBot="1" x14ac:dyDescent="0.25">
      <c r="A34" s="17">
        <v>25</v>
      </c>
      <c r="B34" s="40" t="s">
        <v>69</v>
      </c>
      <c r="C34" s="19" t="s">
        <v>22</v>
      </c>
      <c r="D34" s="20">
        <v>295</v>
      </c>
      <c r="E34" s="18" t="s">
        <v>70</v>
      </c>
      <c r="F34" s="17" t="s">
        <v>14</v>
      </c>
      <c r="G34" s="21"/>
      <c r="H34" s="33">
        <f t="shared" si="0"/>
        <v>0</v>
      </c>
      <c r="I34" s="21"/>
      <c r="J34" s="33">
        <f t="shared" si="1"/>
        <v>0</v>
      </c>
      <c r="K34" s="21">
        <v>20</v>
      </c>
      <c r="L34" s="33">
        <f t="shared" si="2"/>
        <v>1260</v>
      </c>
      <c r="M34" s="21">
        <f t="shared" si="3"/>
        <v>20</v>
      </c>
      <c r="N34" s="22">
        <v>63</v>
      </c>
      <c r="O34" s="23">
        <f t="shared" si="4"/>
        <v>1260</v>
      </c>
    </row>
    <row r="35" spans="1:15" ht="24.95" customHeight="1" thickBot="1" x14ac:dyDescent="0.25">
      <c r="A35" s="17">
        <v>26</v>
      </c>
      <c r="B35" s="40" t="s">
        <v>31</v>
      </c>
      <c r="C35" s="19" t="s">
        <v>22</v>
      </c>
      <c r="D35" s="20">
        <v>295</v>
      </c>
      <c r="E35" s="18" t="s">
        <v>30</v>
      </c>
      <c r="F35" s="17" t="s">
        <v>14</v>
      </c>
      <c r="G35" s="21">
        <v>400</v>
      </c>
      <c r="H35" s="33">
        <f t="shared" si="0"/>
        <v>30000</v>
      </c>
      <c r="I35" s="21"/>
      <c r="J35" s="33">
        <f t="shared" si="1"/>
        <v>0</v>
      </c>
      <c r="K35" s="21">
        <v>50</v>
      </c>
      <c r="L35" s="33">
        <f t="shared" si="2"/>
        <v>3750</v>
      </c>
      <c r="M35" s="21">
        <f t="shared" si="3"/>
        <v>450</v>
      </c>
      <c r="N35" s="22">
        <v>75</v>
      </c>
      <c r="O35" s="23">
        <f t="shared" si="4"/>
        <v>33750</v>
      </c>
    </row>
    <row r="36" spans="1:15" ht="24.95" customHeight="1" thickBot="1" x14ac:dyDescent="0.25">
      <c r="A36" s="17">
        <v>27</v>
      </c>
      <c r="B36" s="40" t="s">
        <v>32</v>
      </c>
      <c r="C36" s="19" t="s">
        <v>22</v>
      </c>
      <c r="D36" s="20">
        <v>295</v>
      </c>
      <c r="E36" s="18" t="s">
        <v>29</v>
      </c>
      <c r="F36" s="17" t="s">
        <v>14</v>
      </c>
      <c r="G36" s="21">
        <v>300</v>
      </c>
      <c r="H36" s="33">
        <f t="shared" si="0"/>
        <v>22500</v>
      </c>
      <c r="I36" s="21"/>
      <c r="J36" s="33">
        <f t="shared" si="1"/>
        <v>0</v>
      </c>
      <c r="K36" s="21">
        <v>50</v>
      </c>
      <c r="L36" s="33">
        <f t="shared" si="2"/>
        <v>3750</v>
      </c>
      <c r="M36" s="21">
        <f t="shared" si="3"/>
        <v>350</v>
      </c>
      <c r="N36" s="22">
        <v>75</v>
      </c>
      <c r="O36" s="23">
        <f t="shared" si="4"/>
        <v>26250</v>
      </c>
    </row>
    <row r="37" spans="1:15" ht="24.95" customHeight="1" thickBot="1" x14ac:dyDescent="0.25">
      <c r="A37" s="17">
        <v>28</v>
      </c>
      <c r="B37" s="40" t="s">
        <v>34</v>
      </c>
      <c r="C37" s="19" t="s">
        <v>22</v>
      </c>
      <c r="D37" s="20">
        <v>295</v>
      </c>
      <c r="E37" s="18" t="s">
        <v>33</v>
      </c>
      <c r="F37" s="17" t="s">
        <v>14</v>
      </c>
      <c r="G37" s="21">
        <v>50</v>
      </c>
      <c r="H37" s="33">
        <f t="shared" si="0"/>
        <v>6000</v>
      </c>
      <c r="I37" s="21"/>
      <c r="J37" s="33">
        <f t="shared" si="1"/>
        <v>0</v>
      </c>
      <c r="K37" s="21"/>
      <c r="L37" s="33">
        <f t="shared" si="2"/>
        <v>0</v>
      </c>
      <c r="M37" s="21">
        <f t="shared" si="3"/>
        <v>50</v>
      </c>
      <c r="N37" s="22">
        <v>120</v>
      </c>
      <c r="O37" s="23">
        <f t="shared" si="4"/>
        <v>6000</v>
      </c>
    </row>
    <row r="38" spans="1:15" ht="24.95" customHeight="1" thickBot="1" x14ac:dyDescent="0.25">
      <c r="A38" s="17">
        <v>29</v>
      </c>
      <c r="B38" s="40" t="s">
        <v>36</v>
      </c>
      <c r="C38" s="19" t="s">
        <v>22</v>
      </c>
      <c r="D38" s="20">
        <v>295</v>
      </c>
      <c r="E38" s="18" t="s">
        <v>35</v>
      </c>
      <c r="F38" s="17" t="s">
        <v>14</v>
      </c>
      <c r="G38" s="21">
        <v>50</v>
      </c>
      <c r="H38" s="33">
        <f t="shared" si="0"/>
        <v>6000</v>
      </c>
      <c r="I38" s="21"/>
      <c r="J38" s="33">
        <f t="shared" si="1"/>
        <v>0</v>
      </c>
      <c r="K38" s="21"/>
      <c r="L38" s="33">
        <f t="shared" si="2"/>
        <v>0</v>
      </c>
      <c r="M38" s="21">
        <f t="shared" si="3"/>
        <v>50</v>
      </c>
      <c r="N38" s="22">
        <v>120</v>
      </c>
      <c r="O38" s="23">
        <f t="shared" si="4"/>
        <v>6000</v>
      </c>
    </row>
    <row r="39" spans="1:15" ht="29.25" customHeight="1" thickBot="1" x14ac:dyDescent="0.25">
      <c r="A39" s="17">
        <v>30</v>
      </c>
      <c r="B39" s="43" t="s">
        <v>71</v>
      </c>
      <c r="C39" s="25" t="s">
        <v>22</v>
      </c>
      <c r="D39" s="20">
        <v>295</v>
      </c>
      <c r="E39" s="30" t="s">
        <v>72</v>
      </c>
      <c r="F39" s="17" t="s">
        <v>73</v>
      </c>
      <c r="G39" s="21"/>
      <c r="H39" s="33">
        <f t="shared" si="0"/>
        <v>0</v>
      </c>
      <c r="I39" s="21">
        <v>200</v>
      </c>
      <c r="J39" s="33">
        <f t="shared" si="1"/>
        <v>930000</v>
      </c>
      <c r="K39" s="21"/>
      <c r="L39" s="33">
        <f t="shared" si="2"/>
        <v>0</v>
      </c>
      <c r="M39" s="21">
        <f t="shared" si="3"/>
        <v>200</v>
      </c>
      <c r="N39" s="22">
        <v>4650</v>
      </c>
      <c r="O39" s="23">
        <f t="shared" ref="O39" si="5">+M39*N39</f>
        <v>930000</v>
      </c>
    </row>
    <row r="40" spans="1:15" s="34" customFormat="1" ht="26.25" customHeight="1" thickBot="1" x14ac:dyDescent="0.25">
      <c r="A40" s="35"/>
      <c r="B40" s="35"/>
      <c r="C40" s="35"/>
      <c r="D40" s="35"/>
      <c r="E40" s="35"/>
      <c r="F40" s="35"/>
      <c r="G40" s="62"/>
      <c r="H40" s="36">
        <f>SUM(H10:H39)</f>
        <v>11687000</v>
      </c>
      <c r="I40" s="62"/>
      <c r="J40" s="36">
        <f>SUM(J10:J39)</f>
        <v>930000</v>
      </c>
      <c r="K40" s="62"/>
      <c r="L40" s="36">
        <f>SUM(L10:L39)</f>
        <v>870040</v>
      </c>
      <c r="M40" s="35"/>
      <c r="N40" s="35"/>
      <c r="O40" s="37">
        <f>SUM(O10:O39)</f>
        <v>13487040</v>
      </c>
    </row>
    <row r="41" spans="1:15" ht="13.5" thickBot="1" x14ac:dyDescent="0.25"/>
    <row r="42" spans="1:15" ht="18.75" customHeight="1" x14ac:dyDescent="0.2">
      <c r="B42" s="44" t="s">
        <v>87</v>
      </c>
      <c r="C42" s="45" t="s">
        <v>95</v>
      </c>
      <c r="D42" s="45"/>
      <c r="E42" s="46"/>
    </row>
    <row r="43" spans="1:15" ht="30" customHeight="1" x14ac:dyDescent="0.2">
      <c r="B43" s="73" t="s">
        <v>88</v>
      </c>
      <c r="C43" s="74" t="s">
        <v>98</v>
      </c>
      <c r="D43" s="74"/>
      <c r="E43" s="75"/>
    </row>
    <row r="44" spans="1:15" ht="30" customHeight="1" x14ac:dyDescent="0.2">
      <c r="B44" s="73"/>
      <c r="C44" s="74" t="s">
        <v>97</v>
      </c>
      <c r="D44" s="74"/>
      <c r="E44" s="75"/>
    </row>
    <row r="45" spans="1:15" ht="30" customHeight="1" x14ac:dyDescent="0.2">
      <c r="B45" s="73"/>
      <c r="C45" s="74" t="s">
        <v>96</v>
      </c>
      <c r="D45" s="74"/>
      <c r="E45" s="75"/>
    </row>
    <row r="46" spans="1:15" ht="18.75" customHeight="1" x14ac:dyDescent="0.2">
      <c r="B46" s="76" t="s">
        <v>89</v>
      </c>
      <c r="C46" s="77"/>
      <c r="D46" s="77"/>
      <c r="E46" s="78"/>
    </row>
    <row r="47" spans="1:15" ht="18.75" customHeight="1" x14ac:dyDescent="0.2">
      <c r="B47" s="54" t="s">
        <v>90</v>
      </c>
      <c r="C47" s="47" t="s">
        <v>91</v>
      </c>
      <c r="D47" s="47"/>
      <c r="E47" s="48"/>
    </row>
    <row r="48" spans="1:15" ht="18.75" customHeight="1" x14ac:dyDescent="0.2">
      <c r="B48" s="54"/>
      <c r="C48" s="49"/>
      <c r="D48" s="49"/>
      <c r="E48" s="50"/>
    </row>
    <row r="49" spans="2:14" ht="18.75" customHeight="1" x14ac:dyDescent="0.2">
      <c r="B49" s="51" t="s">
        <v>92</v>
      </c>
      <c r="C49" s="52"/>
      <c r="D49" s="52"/>
      <c r="E49" s="53"/>
    </row>
    <row r="50" spans="2:14" ht="18.75" customHeight="1" x14ac:dyDescent="0.2">
      <c r="B50" s="51"/>
      <c r="C50" s="52"/>
      <c r="D50" s="52"/>
      <c r="E50" s="53"/>
    </row>
    <row r="51" spans="2:14" ht="18.75" customHeight="1" thickBot="1" x14ac:dyDescent="0.25">
      <c r="B51" s="55" t="s">
        <v>93</v>
      </c>
      <c r="C51" s="56" t="s">
        <v>94</v>
      </c>
      <c r="D51" s="56"/>
      <c r="E51" s="57"/>
    </row>
    <row r="52" spans="2:14" ht="21.75" customHeight="1" x14ac:dyDescent="0.2">
      <c r="B52" s="14" t="s">
        <v>85</v>
      </c>
      <c r="C52" s="5"/>
      <c r="D52" s="5"/>
      <c r="E52" s="6"/>
      <c r="F52" s="7"/>
      <c r="G52" s="63"/>
      <c r="H52" s="7"/>
      <c r="I52" s="63"/>
      <c r="J52" s="7"/>
      <c r="K52" s="63"/>
      <c r="L52" s="7"/>
      <c r="M52" s="7"/>
      <c r="N52" s="8"/>
    </row>
    <row r="53" spans="2:14" ht="13.5" thickBot="1" x14ac:dyDescent="0.25">
      <c r="B53" s="9"/>
      <c r="C53" s="11"/>
      <c r="D53" s="11"/>
      <c r="E53" s="12"/>
    </row>
    <row r="54" spans="2:14" x14ac:dyDescent="0.2">
      <c r="B54" s="14" t="s">
        <v>86</v>
      </c>
      <c r="C54" s="5"/>
      <c r="D54" s="5"/>
      <c r="E54" s="6"/>
    </row>
    <row r="55" spans="2:14" ht="13.5" thickBot="1" x14ac:dyDescent="0.25">
      <c r="B55" s="39"/>
      <c r="C55" s="11"/>
      <c r="D55" s="11"/>
      <c r="E55" s="12"/>
    </row>
  </sheetData>
  <mergeCells count="17">
    <mergeCell ref="B43:B45"/>
    <mergeCell ref="C43:E43"/>
    <mergeCell ref="C44:E44"/>
    <mergeCell ref="C45:E45"/>
    <mergeCell ref="B46:E46"/>
    <mergeCell ref="A6:B6"/>
    <mergeCell ref="A7:B7"/>
    <mergeCell ref="B2:N2"/>
    <mergeCell ref="A4:B4"/>
    <mergeCell ref="C4:E4"/>
    <mergeCell ref="A5:B5"/>
    <mergeCell ref="C5:E5"/>
    <mergeCell ref="P18:Q18"/>
    <mergeCell ref="P21:Q22"/>
    <mergeCell ref="P23:Q23"/>
    <mergeCell ref="P24:Q24"/>
    <mergeCell ref="P25:Q25"/>
  </mergeCells>
  <conditionalFormatting sqref="B49:B50">
    <cfRule type="duplicateValues" dxfId="3" priority="1"/>
  </conditionalFormatting>
  <conditionalFormatting sqref="B49:B50">
    <cfRule type="duplicateValues" dxfId="2" priority="2"/>
  </conditionalFormatting>
  <conditionalFormatting sqref="B49:B50">
    <cfRule type="duplicateValues" dxfId="1" priority="3"/>
  </conditionalFormatting>
  <conditionalFormatting sqref="B49:B50">
    <cfRule type="duplicateValues" dxfId="0" priority="4"/>
  </conditionalFormatting>
  <printOptions horizontalCentered="1"/>
  <pageMargins left="0.11811023622047245" right="0.11811023622047245" top="0.74803149606299213" bottom="0.35433070866141736" header="0.11811023622047245" footer="0"/>
  <pageSetup paperSize="5" firstPageNumber="0" fitToWidth="2" fitToHeight="4"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Necesidades Trimestrales</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MARIA MALDONADO</cp:lastModifiedBy>
  <cp:revision>2</cp:revision>
  <cp:lastPrinted>2020-07-23T13:47:13Z</cp:lastPrinted>
  <dcterms:created xsi:type="dcterms:W3CDTF">2020-07-17T23:44:49Z</dcterms:created>
  <dcterms:modified xsi:type="dcterms:W3CDTF">2022-12-15T12:58:25Z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