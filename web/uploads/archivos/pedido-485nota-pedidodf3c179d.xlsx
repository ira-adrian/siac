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ROGRAMACION CUARTO TRIMESTRE\CONTROL DE INFECCIONES\COMPUESTOS QUIMICOS\"/>
    </mc:Choice>
  </mc:AlternateContent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NotaPedido!$A$1:$K$18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K17" i="2"/>
  <c r="C16" i="2"/>
  <c r="C17" i="2"/>
  <c r="I17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15" i="1"/>
  <c r="I14" i="1"/>
  <c r="I13" i="1"/>
  <c r="I12" i="1"/>
  <c r="I11" i="1"/>
  <c r="I10" i="1"/>
  <c r="J18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<sst xmlns="http://schemas.openxmlformats.org/spreadsheetml/2006/main" count="163" uniqueCount="106">
  <si>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</si>
  <si>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</si>
  <si>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</si>
  <si>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</si>
  <si>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</si>
  <si>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</si>
  <si>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</si>
  <si>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</si>
  <si>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</si>
  <si>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</si>
  <si>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</si>
  <si>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</si>
  <si>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</si>
  <si>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</si>
  <si>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</si>
  <si>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</si>
  <si>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</si>
  <si>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</si>
  <si>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</si>
  <si>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</si>
  <si>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</si>
  <si>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</si>
  <si>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</si>
  <si>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</si>
  <si>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</si>
  <si>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</si>
  <si>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</si>
  <si>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</si>
  <si>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</si>
  <si>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</si>
  <si>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</si>
  <si>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</si>
  <si>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</si>
  <si>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</si>
  <si>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</si>
  <si>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</si>
  <si>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</si>
  <si>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</si>
  <si>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</si>
  <si>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</si>
  <si>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</si>
  <si>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</si>
  <si>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</si>
  <si>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</si>
  <si>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</si>
  <si>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</si>
  <si>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</si>
  <si>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</si>
  <si>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</si>
  <si>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</si>
  <si>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</si>
  <si>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</si>
  <si>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</si>
  <si>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</si>
  <si>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</si>
  <si>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</si>
  <si>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</si>
  <si>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</si>
  <si>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</si>
  <si>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</si>
  <si>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</si>
  <si>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</si>
  <si>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Compuestos Quimicos</t>
  </si>
  <si>
    <t>3.1</t>
  </si>
  <si>
    <t>1.1</t>
  </si>
  <si>
    <t>Bidon</t>
  </si>
  <si>
    <t>Caja</t>
  </si>
  <si>
    <t>Unidad</t>
  </si>
  <si>
    <t>Servicio Control de Infecciones</t>
  </si>
  <si>
    <t>10 dias - Servicio Control de Infecciones del HISJB</t>
  </si>
  <si>
    <t xml:space="preserve">30 dias habiles </t>
  </si>
  <si>
    <t>TOTAL DE PESOS: CUATROCIENTOS VEINTIDOS MIL NOVECIENTOS CINCUENTA CON 00/100.---</t>
  </si>
  <si>
    <t xml:space="preserve">Adquisición de Compuestos Quimicos </t>
  </si>
  <si>
    <t>Costo total estimado: Cuatrocientos veintidos mil novecientos cincuenta con 00/100.-</t>
  </si>
  <si>
    <t>ELEMENTOS DE LIMPIEZA</t>
  </si>
  <si>
    <t>DESINFECTANTES; PRINCIPIO ACTIVO: PEROXOSULFATO ACIDO DE POTASIO, CONTROL: VIRUS, BACTERIAS, HONGOS, PRESENTACION: ENVASE X 20 mL</t>
  </si>
  <si>
    <t>2.5.4-505.78</t>
  </si>
  <si>
    <t>2.5.4</t>
  </si>
  <si>
    <t>2.5.2</t>
  </si>
  <si>
    <t>PROD. MEDICO/FARMACEUTICOS/LAB</t>
  </si>
  <si>
    <t>Especificidades Item N° 3:</t>
  </si>
  <si>
    <t>Especificidades Item N° 4:</t>
  </si>
  <si>
    <t>Especificidades Item N° 5:</t>
  </si>
  <si>
    <t>Especificidades Item N° 6:</t>
  </si>
  <si>
    <t xml:space="preserve">Clorhexidina al 2% - presentacion envase por 250 ml con dispensador - Tipo NOVARA </t>
  </si>
  <si>
    <t>340 - 20</t>
  </si>
  <si>
    <t xml:space="preserve">Productos Farmaceuticos y Medicinales </t>
  </si>
  <si>
    <t xml:space="preserve">Insecticida, Fumigantes y Otros </t>
  </si>
  <si>
    <t>2.5.2-1723.127</t>
  </si>
  <si>
    <t>ANTISEPTICOS LOCALES P/PERSONA; TIPO: MONODROGA,
DROGA GENERICA: TRICLOSAN 1%, FORMA
FARMACEUTICA: JABON LIQUIDO, PRESENTACION:
ENVASE X 800 mL</t>
  </si>
  <si>
    <t>2.5.2-711.22</t>
  </si>
  <si>
    <t>ALCOHOL USO MEDICINAL; PUREZA: 70 %,
PRESENTACION: ENVASE X 800 CM3</t>
  </si>
  <si>
    <t xml:space="preserve">Combinacion de alcohol etilico 70% y agentes emolientes. Locion alcoholica bactericida con emolientes y suavizantes. Presentacion bolsitas por 800 ml </t>
  </si>
  <si>
    <t xml:space="preserve">Peroxosulfato acido de potasio 0.46% activo por litro. Presentacion: Monofase envase para preparar 300 litros caja x 01 unidad x 6 kg (20gr/litro). Limpiador desinfectante de alto nivel para areas criticas para un litro. </t>
  </si>
  <si>
    <t xml:space="preserve">Peroxosulfato acido de potasio 0.46% activo por litro. Presentacion: Monodosis 20gr/litro caja x 50 unidades. Limpiador desinfectante de alto nivel para areas criticas para un litro. </t>
  </si>
  <si>
    <t>DESINFECTANTES Y DETERGENTES; PRINCIPIO ACTIVO:
AMILASA, PROTEASA, LIPASA, CALIDAD: COMERCIAL,
CONCENTRACION/PUREZA: 100 %, PRESENTACION:
ENVASE X 5 L</t>
  </si>
  <si>
    <t>2.5.1-9065.16</t>
  </si>
  <si>
    <t>2.5.1</t>
  </si>
  <si>
    <t xml:space="preserve">COMPUESTOS QUIMICOS </t>
  </si>
  <si>
    <t>Detergente multienzimatico, especialmente formulado para el lavado del material quirurgico previamente a la esterilizacion o desinfeccion de alto nivel. Atoxico. Libre de fenoles (Ultraconcentrado) Tipo Marca ADOX - DM3 PLUS</t>
  </si>
  <si>
    <t>Jabon liquido con propiedades hipoalergenicas, suavizantes y humectantes;con accion reconstituyente al no utilizar aditivos que puedan irritar la piel, adicionado con glicerina, suavizante, humectante y extractos naturales. No tiene perfume, ni colorantes, no afecta la piel sensible. No tiene alcalinidad libre, al contrario de jabones comunes. Presentacion: envase aseptico descartable y sistema de dispensador se encuentran especialmente diseñados para no entrar en contacto con las manos, evitando asi las contaminaciones cruzadas. Presentacion 800 ml. Tipo JL4 Marca ADOX</t>
  </si>
  <si>
    <t>ANTISEPTICOS LOCALES P/PERSONA; TIPO: MONODROGA,
DROGA GENERICA: CLORHEXIDINA AL 4%, FORMA
FARMACEUTICA: DOSIFICADOR, PRESENTACION: ENVASE
X 250 mL</t>
  </si>
  <si>
    <t>2.5.2-1723.111</t>
  </si>
  <si>
    <t>2.5.4-505.96</t>
  </si>
  <si>
    <t xml:space="preserve">DESINFECTANTES; PRINCIPIO ACTIVO: PEROXOSULFATO ACIDO DE POTASIO, CONTROL: VIRUS, BACTERIAS, HONGOS, PRESENTACION: ENVASE X 6 KG </t>
  </si>
  <si>
    <t xml:space="preserve">INSEC, FUMIG. Y OTROS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</si>
</sst>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3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-Bold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name val="Calibri-Bold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1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1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166" fontId="0" fillId="0" borderId="34" xfId="3" applyNumberFormat="1" applyFont="1" applyBorder="1" applyAlignment="1" applyProtection="1">
      <alignment horizontal="right" vertical="center"/>
    </xf>
    <xf numFmtId="166" fontId="0" fillId="0" borderId="39" xfId="3" applyNumberFormat="1" applyFont="1" applyBorder="1" applyAlignment="1" applyProtection="1">
      <alignment horizontal="right" vertical="center"/>
    </xf>
    <xf numFmtId="166" fontId="13" fillId="0" borderId="44" xfId="0" applyNumberFormat="1" applyFont="1" applyBorder="1" applyAlignment="1">
      <alignment horizontal="right" vertical="center"/>
    </xf>
    <xf numFmtId="0" fontId="21" fillId="5" borderId="5" xfId="0" applyFont="1" applyFill="1" applyBorder="1" applyAlignment="1">
      <alignment horizontal="left" indent="3"/>
    </xf>
    <xf numFmtId="0" fontId="15" fillId="5" borderId="0" xfId="0" applyFont="1" applyFill="1" applyBorder="1"/>
    <xf numFmtId="0" fontId="15" fillId="5" borderId="6" xfId="0" applyFont="1" applyFill="1" applyBorder="1"/>
    <xf numFmtId="0" fontId="15" fillId="5" borderId="5" xfId="0" applyFont="1" applyFill="1" applyBorder="1" applyAlignment="1">
      <alignment horizontal="left" indent="3"/>
    </xf>
    <xf numFmtId="0" fontId="15" fillId="5" borderId="0" xfId="0" applyFont="1" applyFill="1" applyBorder="1" applyAlignment="1">
      <alignment horizontal="center" wrapText="1"/>
    </xf>
    <xf numFmtId="0" fontId="15" fillId="5" borderId="6" xfId="0" applyFont="1" applyFill="1" applyBorder="1" applyAlignment="1">
      <alignment horizontal="center" wrapText="1"/>
    </xf>
    <xf numFmtId="0" fontId="20" fillId="5" borderId="14" xfId="0" applyFont="1" applyFill="1" applyBorder="1" applyAlignment="1">
      <alignment horizontal="center" vertical="center"/>
    </xf>
    <xf numFmtId="0" fontId="24" fillId="5" borderId="14" xfId="0" applyFont="1" applyFill="1" applyBorder="1" applyAlignment="1">
      <alignment wrapText="1"/>
    </xf>
    <xf numFmtId="0" fontId="26" fillId="5" borderId="14" xfId="0" applyFont="1" applyFill="1" applyBorder="1" applyAlignment="1">
      <alignment vertical="center" wrapText="1"/>
    </xf>
    <xf numFmtId="0" fontId="25" fillId="5" borderId="14" xfId="0" applyFont="1" applyFill="1" applyBorder="1" applyAlignment="1">
      <alignment wrapText="1"/>
    </xf>
    <xf numFmtId="0" fontId="27" fillId="0" borderId="14" xfId="0" applyFont="1" applyBorder="1" applyAlignment="1">
      <alignment vertical="center" wrapText="1"/>
    </xf>
    <xf numFmtId="0" fontId="14" fillId="0" borderId="14" xfId="0" applyFont="1" applyBorder="1" applyAlignment="1">
      <alignment vertical="center"/>
    </xf>
    <xf numFmtId="0" fontId="18" fillId="5" borderId="14" xfId="0" applyFont="1" applyFill="1" applyBorder="1" applyAlignment="1">
      <alignment horizontal="left" vertical="center" wrapText="1"/>
    </xf>
    <xf numFmtId="0" fontId="28" fillId="0" borderId="14" xfId="0" applyFont="1" applyBorder="1" applyAlignment="1">
      <alignment vertical="center" wrapText="1"/>
    </xf>
    <xf numFmtId="0" fontId="30" fillId="5" borderId="14" xfId="0" applyFont="1" applyFill="1" applyBorder="1" applyAlignment="1">
      <alignment horizontal="center" vertical="center" wrapText="1"/>
    </xf>
    <xf numFmtId="0" fontId="31" fillId="0" borderId="14" xfId="0" applyFont="1" applyBorder="1" applyAlignment="1">
      <alignment vertical="center" wrapText="1"/>
    </xf>
    <xf numFmtId="0" fontId="30" fillId="4" borderId="14" xfId="0" applyFont="1" applyFill="1" applyBorder="1" applyAlignment="1">
      <alignment horizontal="center" vertical="center" wrapText="1"/>
    </xf>
    <xf numFmtId="166" fontId="32" fillId="4" borderId="14" xfId="1" applyNumberFormat="1" applyFont="1" applyFill="1" applyBorder="1" applyAlignment="1" applyProtection="1">
      <alignment horizontal="center" vertical="center" wrapText="1"/>
    </xf>
    <xf numFmtId="166" fontId="32" fillId="4" borderId="14" xfId="1" applyNumberFormat="1" applyFont="1" applyFill="1" applyBorder="1" applyAlignment="1" applyProtection="1">
      <alignment horizontal="right" vertical="center" wrapText="1"/>
    </xf>
    <xf numFmtId="0" fontId="29" fillId="0" borderId="14" xfId="0" applyFont="1" applyBorder="1" applyAlignment="1">
      <alignment vertical="center" wrapText="1"/>
    </xf>
    <xf numFmtId="0" fontId="30" fillId="0" borderId="14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left" vertical="center" wrapText="1"/>
    </xf>
    <xf numFmtId="0" fontId="24" fillId="5" borderId="14" xfId="0" applyFont="1" applyFill="1" applyBorder="1" applyAlignment="1">
      <alignment vertical="center"/>
    </xf>
    <xf numFmtId="0" fontId="25" fillId="5" borderId="14" xfId="0" applyFont="1" applyFill="1" applyBorder="1" applyAlignment="1">
      <alignment vertical="center"/>
    </xf>
    <xf numFmtId="0" fontId="15" fillId="4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/>
    </xf>
    <xf numFmtId="0" fontId="17" fillId="0" borderId="0" xfId="0" applyFont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wrapText="1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13" fillId="0" borderId="44" xfId="0" applyFont="1" applyBorder="1" applyAlignment="1">
      <alignment horizontal="left" vertical="center" wrapText="1"/>
    </xf>
    <xf numFmtId="0" fontId="0" fillId="0" borderId="22" xfId="0" applyBorder="1"/>
    <xf numFmtId="0" fontId="23" fillId="0" borderId="32" xfId="0" applyFont="1" applyBorder="1" applyAlignment="1">
      <alignment horizontal="left" vertical="center" wrapText="1"/>
    </xf>
    <xf numFmtId="0" fontId="23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08"/>
  <sheetViews>
    <sheetView tabSelected="1" topLeftCell="A10" zoomScale="85" zoomScaleNormal="85" workbookViewId="0">
      <selection activeCell="K14" sqref="K14"/>
    </sheetView>
  </sheetViews>
  <sheetFormatPr baseColWidth="10" defaultColWidth="11" defaultRowHeight="12.75"/>
  <cols>
    <col min="1" max="1" width="4.5703125" style="37" customWidth="1"/>
    <col min="2" max="2" width="14" style="37" customWidth="1"/>
    <col min="3" max="3" width="32.42578125" style="37" customWidth="1"/>
    <col min="4" max="4" width="8.42578125" style="37" customWidth="1"/>
    <col min="5" max="5" width="79" style="37" customWidth="1"/>
    <col min="6" max="6" width="11" style="37"/>
    <col min="7" max="7" width="12.7109375" style="37" customWidth="1"/>
    <col min="8" max="8" width="13.85546875" style="37" customWidth="1"/>
    <col min="9" max="9" width="18.5703125" style="37" customWidth="1"/>
    <col min="10" max="16384" width="11" style="37"/>
  </cols>
  <sheetData>
    <row r="2" spans="1:9" ht="27">
      <c r="B2" s="105" t="s">
        <v>0</v>
      </c>
      <c r="C2" s="105"/>
      <c r="D2" s="105"/>
      <c r="E2" s="105"/>
      <c r="F2" s="105"/>
      <c r="G2" s="105"/>
      <c r="H2" s="105"/>
    </row>
    <row r="4" spans="1:9" ht="18" customHeight="1">
      <c r="A4" s="103" t="s">
        <v>1</v>
      </c>
      <c r="B4" s="103"/>
      <c r="C4" s="106" t="s">
        <v>59</v>
      </c>
      <c r="D4" s="106"/>
      <c r="E4" s="106"/>
      <c r="F4" s="38"/>
      <c r="G4" s="39"/>
      <c r="H4" s="38"/>
    </row>
    <row r="5" spans="1:9" ht="18" customHeight="1">
      <c r="A5" s="103" t="s">
        <v>2</v>
      </c>
      <c r="B5" s="103"/>
      <c r="C5" s="106" t="s">
        <v>60</v>
      </c>
      <c r="D5" s="106"/>
      <c r="E5" s="106"/>
      <c r="F5" s="38"/>
      <c r="G5" s="39"/>
      <c r="H5" s="38"/>
    </row>
    <row r="6" spans="1:9" ht="16.5" customHeight="1">
      <c r="A6" s="103" t="s">
        <v>3</v>
      </c>
      <c r="B6" s="103"/>
      <c r="C6" s="55">
        <v>2020</v>
      </c>
      <c r="D6" s="56"/>
      <c r="E6" s="56"/>
      <c r="F6" s="38"/>
      <c r="G6" s="39"/>
      <c r="H6" s="38"/>
    </row>
    <row r="7" spans="1:9" ht="16.5" customHeight="1">
      <c r="A7" s="103" t="s">
        <v>4</v>
      </c>
      <c r="B7" s="103"/>
      <c r="C7" s="55">
        <v>4</v>
      </c>
      <c r="D7" s="56"/>
      <c r="E7" s="56"/>
      <c r="F7" s="38"/>
      <c r="G7" s="39"/>
      <c r="H7" s="38"/>
    </row>
    <row r="8" spans="1:9" ht="13.5" thickBot="1">
      <c r="B8" s="38"/>
      <c r="C8" s="39"/>
      <c r="D8" s="38"/>
      <c r="E8" s="38"/>
      <c r="F8" s="38"/>
      <c r="G8" s="39"/>
      <c r="H8" s="38"/>
    </row>
    <row r="9" spans="1:9" ht="39" thickBot="1">
      <c r="A9" s="53" t="s">
        <v>5</v>
      </c>
      <c r="B9" s="53" t="s">
        <v>6</v>
      </c>
      <c r="C9" s="53" t="s">
        <v>7</v>
      </c>
      <c r="D9" s="53" t="s">
        <v>8</v>
      </c>
      <c r="E9" s="53" t="s">
        <v>9</v>
      </c>
      <c r="F9" s="53" t="s">
        <v>10</v>
      </c>
      <c r="G9" s="53" t="s">
        <v>11</v>
      </c>
      <c r="H9" s="53" t="s">
        <v>12</v>
      </c>
      <c r="I9" s="53" t="s">
        <v>13</v>
      </c>
    </row>
    <row r="10" spans="1:9" ht="57" customHeight="1" thickBot="1">
      <c r="A10" s="54">
        <v>1</v>
      </c>
      <c r="B10" s="87" t="s">
        <v>96</v>
      </c>
      <c r="C10" s="82" t="s">
        <v>98</v>
      </c>
      <c r="D10" s="88" t="s">
        <v>97</v>
      </c>
      <c r="E10" s="89" t="s">
        <v>95</v>
      </c>
      <c r="F10" s="90" t="s">
        <v>65</v>
      </c>
      <c r="G10" s="90">
        <v>10</v>
      </c>
      <c r="H10" s="91">
        <v>3388</v>
      </c>
      <c r="I10" s="92">
        <f t="shared" ref="I10:I15" si="0">G10*H10</f>
        <v>33880</v>
      </c>
    </row>
    <row r="11" spans="1:9" ht="74.25" customHeight="1" thickBot="1">
      <c r="A11" s="54">
        <v>2</v>
      </c>
      <c r="B11" s="93" t="s">
        <v>88</v>
      </c>
      <c r="C11" s="85" t="s">
        <v>79</v>
      </c>
      <c r="D11" s="94" t="s">
        <v>78</v>
      </c>
      <c r="E11" s="95" t="s">
        <v>89</v>
      </c>
      <c r="F11" s="90" t="s">
        <v>66</v>
      </c>
      <c r="G11" s="90">
        <v>10</v>
      </c>
      <c r="H11" s="91">
        <v>7986</v>
      </c>
      <c r="I11" s="92">
        <f t="shared" si="0"/>
        <v>79860</v>
      </c>
    </row>
    <row r="12" spans="1:9" ht="31.9" customHeight="1" thickBot="1">
      <c r="A12" s="80">
        <v>3</v>
      </c>
      <c r="B12" s="96" t="s">
        <v>76</v>
      </c>
      <c r="C12" s="86" t="s">
        <v>105</v>
      </c>
      <c r="D12" s="88" t="s">
        <v>77</v>
      </c>
      <c r="E12" s="81" t="s">
        <v>75</v>
      </c>
      <c r="F12" s="90" t="s">
        <v>66</v>
      </c>
      <c r="G12" s="90">
        <v>10</v>
      </c>
      <c r="H12" s="91">
        <v>6655</v>
      </c>
      <c r="I12" s="92">
        <f t="shared" si="0"/>
        <v>66550</v>
      </c>
    </row>
    <row r="13" spans="1:9" ht="31.9" customHeight="1" thickBot="1">
      <c r="A13" s="80">
        <v>4</v>
      </c>
      <c r="B13" s="97" t="s">
        <v>103</v>
      </c>
      <c r="C13" s="86" t="s">
        <v>74</v>
      </c>
      <c r="D13" s="88" t="s">
        <v>77</v>
      </c>
      <c r="E13" s="83" t="s">
        <v>104</v>
      </c>
      <c r="F13" s="90" t="s">
        <v>66</v>
      </c>
      <c r="G13" s="90">
        <v>5</v>
      </c>
      <c r="H13" s="91">
        <v>14641</v>
      </c>
      <c r="I13" s="92">
        <f t="shared" si="0"/>
        <v>73205</v>
      </c>
    </row>
    <row r="14" spans="1:9" ht="50.25" customHeight="1" thickBot="1">
      <c r="A14" s="54">
        <v>5</v>
      </c>
      <c r="B14" s="93" t="s">
        <v>90</v>
      </c>
      <c r="C14" s="85" t="s">
        <v>79</v>
      </c>
      <c r="D14" s="94" t="s">
        <v>78</v>
      </c>
      <c r="E14" s="84" t="s">
        <v>91</v>
      </c>
      <c r="F14" s="90" t="s">
        <v>66</v>
      </c>
      <c r="G14" s="90">
        <v>15</v>
      </c>
      <c r="H14" s="91">
        <v>6897</v>
      </c>
      <c r="I14" s="92">
        <f t="shared" si="0"/>
        <v>103455</v>
      </c>
    </row>
    <row r="15" spans="1:9" ht="64.5" customHeight="1" thickBot="1">
      <c r="A15" s="54">
        <v>6</v>
      </c>
      <c r="B15" s="93" t="s">
        <v>102</v>
      </c>
      <c r="C15" s="85" t="s">
        <v>79</v>
      </c>
      <c r="D15" s="94" t="s">
        <v>78</v>
      </c>
      <c r="E15" s="84" t="s">
        <v>101</v>
      </c>
      <c r="F15" s="90" t="s">
        <v>67</v>
      </c>
      <c r="G15" s="90">
        <v>200</v>
      </c>
      <c r="H15" s="91">
        <v>330</v>
      </c>
      <c r="I15" s="92">
        <f t="shared" si="0"/>
        <v>66000</v>
      </c>
    </row>
    <row r="17" spans="2:5" ht="13.5" thickBot="1"/>
    <row r="18" spans="2:5">
      <c r="B18" s="40" t="s">
        <v>14</v>
      </c>
      <c r="C18" s="41"/>
      <c r="D18" s="41"/>
      <c r="E18" s="42"/>
    </row>
    <row r="19" spans="2:5" ht="5.25" customHeight="1">
      <c r="B19" s="43"/>
      <c r="C19" s="44"/>
      <c r="D19" s="44"/>
      <c r="E19" s="45"/>
    </row>
    <row r="20" spans="2:5">
      <c r="B20" s="46" t="s">
        <v>15</v>
      </c>
      <c r="C20" s="44"/>
      <c r="D20" s="44"/>
      <c r="E20" s="45"/>
    </row>
    <row r="21" spans="2:5" ht="41.25" customHeight="1">
      <c r="B21" s="46"/>
      <c r="C21" s="104" t="s">
        <v>99</v>
      </c>
      <c r="D21" s="104"/>
      <c r="E21" s="104"/>
    </row>
    <row r="22" spans="2:5">
      <c r="B22" s="74" t="s">
        <v>16</v>
      </c>
      <c r="C22" s="75"/>
      <c r="D22" s="75"/>
      <c r="E22" s="76"/>
    </row>
    <row r="23" spans="2:5">
      <c r="B23" s="77"/>
      <c r="C23" s="102" t="s">
        <v>69</v>
      </c>
      <c r="D23" s="102"/>
      <c r="E23" s="102"/>
    </row>
    <row r="24" spans="2:5">
      <c r="B24" s="47"/>
      <c r="C24" s="102"/>
      <c r="D24" s="102"/>
      <c r="E24" s="102"/>
    </row>
    <row r="25" spans="2:5">
      <c r="B25" s="46" t="s">
        <v>17</v>
      </c>
      <c r="C25" s="44"/>
      <c r="D25" s="44"/>
      <c r="E25" s="45"/>
    </row>
    <row r="26" spans="2:5" ht="26.25" customHeight="1">
      <c r="B26" s="47"/>
      <c r="C26" s="99"/>
      <c r="D26" s="99"/>
      <c r="E26" s="99"/>
    </row>
    <row r="27" spans="2:5">
      <c r="B27" s="46" t="s">
        <v>18</v>
      </c>
      <c r="C27" s="48"/>
      <c r="D27" s="48"/>
      <c r="E27" s="49"/>
    </row>
    <row r="28" spans="2:5" ht="26.25" customHeight="1">
      <c r="B28" s="47"/>
      <c r="C28" s="100" t="s">
        <v>70</v>
      </c>
      <c r="D28" s="100"/>
      <c r="E28" s="100"/>
    </row>
    <row r="29" spans="2:5">
      <c r="B29" s="46" t="s">
        <v>19</v>
      </c>
      <c r="C29" s="44"/>
      <c r="D29" s="44"/>
      <c r="E29" s="45"/>
    </row>
    <row r="30" spans="2:5" ht="23.25" customHeight="1">
      <c r="B30" s="46"/>
      <c r="C30" s="98"/>
      <c r="D30" s="98"/>
      <c r="E30" s="98"/>
    </row>
    <row r="31" spans="2:5" ht="13.5" thickBot="1">
      <c r="B31" s="50"/>
      <c r="C31" s="51"/>
      <c r="D31" s="51"/>
      <c r="E31" s="52"/>
    </row>
    <row r="32" spans="2:5" ht="13.5" thickBot="1"/>
    <row r="33" spans="2:5">
      <c r="B33" s="40" t="s">
        <v>20</v>
      </c>
      <c r="C33" s="41"/>
      <c r="D33" s="41"/>
      <c r="E33" s="42"/>
    </row>
    <row r="34" spans="2:5" ht="7.5" customHeight="1">
      <c r="B34" s="43"/>
      <c r="C34" s="44"/>
      <c r="D34" s="44"/>
      <c r="E34" s="45"/>
    </row>
    <row r="35" spans="2:5">
      <c r="B35" s="46" t="s">
        <v>15</v>
      </c>
      <c r="C35" s="44"/>
      <c r="D35" s="44"/>
      <c r="E35" s="45"/>
    </row>
    <row r="36" spans="2:5" ht="76.5" customHeight="1">
      <c r="B36" s="46"/>
      <c r="C36" s="101" t="s">
        <v>100</v>
      </c>
      <c r="D36" s="101"/>
      <c r="E36" s="101"/>
    </row>
    <row r="37" spans="2:5">
      <c r="B37" s="46" t="s">
        <v>16</v>
      </c>
      <c r="C37" s="75"/>
      <c r="D37" s="75"/>
      <c r="E37" s="76"/>
    </row>
    <row r="38" spans="2:5">
      <c r="B38" s="47"/>
      <c r="C38" s="102" t="s">
        <v>69</v>
      </c>
      <c r="D38" s="102"/>
      <c r="E38" s="102"/>
    </row>
    <row r="39" spans="2:5">
      <c r="B39" s="47"/>
      <c r="C39" s="98"/>
      <c r="D39" s="98"/>
      <c r="E39" s="98"/>
    </row>
    <row r="40" spans="2:5">
      <c r="B40" s="46" t="s">
        <v>17</v>
      </c>
      <c r="C40" s="75"/>
      <c r="D40" s="75"/>
      <c r="E40" s="76"/>
    </row>
    <row r="41" spans="2:5">
      <c r="B41" s="47"/>
      <c r="C41" s="99"/>
      <c r="D41" s="99"/>
      <c r="E41" s="99"/>
    </row>
    <row r="42" spans="2:5">
      <c r="B42" s="46" t="s">
        <v>18</v>
      </c>
      <c r="C42" s="78"/>
      <c r="D42" s="78"/>
      <c r="E42" s="79"/>
    </row>
    <row r="43" spans="2:5">
      <c r="B43" s="47"/>
      <c r="C43" s="100" t="s">
        <v>70</v>
      </c>
      <c r="D43" s="100"/>
      <c r="E43" s="100"/>
    </row>
    <row r="44" spans="2:5">
      <c r="B44" s="46" t="s">
        <v>19</v>
      </c>
      <c r="C44" s="75"/>
      <c r="D44" s="75"/>
      <c r="E44" s="76"/>
    </row>
    <row r="45" spans="2:5">
      <c r="B45" s="46"/>
      <c r="C45" s="98"/>
      <c r="D45" s="98"/>
      <c r="E45" s="98"/>
    </row>
    <row r="46" spans="2:5" ht="13.5" thickBot="1">
      <c r="B46" s="50"/>
      <c r="C46" s="51"/>
      <c r="D46" s="51"/>
      <c r="E46" s="52"/>
    </row>
    <row r="47" spans="2:5" ht="13.5" thickBot="1"/>
    <row r="48" spans="2:5">
      <c r="B48" s="40" t="s">
        <v>80</v>
      </c>
      <c r="C48" s="41"/>
      <c r="D48" s="41"/>
      <c r="E48" s="42"/>
    </row>
    <row r="49" spans="2:5">
      <c r="B49" s="43"/>
      <c r="C49" s="44"/>
      <c r="D49" s="44"/>
      <c r="E49" s="45"/>
    </row>
    <row r="50" spans="2:5">
      <c r="B50" s="46" t="s">
        <v>15</v>
      </c>
      <c r="C50" s="44"/>
      <c r="D50" s="44"/>
      <c r="E50" s="45"/>
    </row>
    <row r="51" spans="2:5" ht="32.25" customHeight="1">
      <c r="B51" s="46"/>
      <c r="C51" s="104" t="s">
        <v>94</v>
      </c>
      <c r="D51" s="104"/>
      <c r="E51" s="104"/>
    </row>
    <row r="52" spans="2:5">
      <c r="B52" s="46" t="s">
        <v>16</v>
      </c>
      <c r="C52" s="75"/>
      <c r="D52" s="75"/>
      <c r="E52" s="76"/>
    </row>
    <row r="53" spans="2:5">
      <c r="B53" s="47"/>
      <c r="C53" s="102" t="s">
        <v>69</v>
      </c>
      <c r="D53" s="102"/>
      <c r="E53" s="102"/>
    </row>
    <row r="54" spans="2:5">
      <c r="B54" s="47"/>
      <c r="C54" s="98"/>
      <c r="D54" s="98"/>
      <c r="E54" s="98"/>
    </row>
    <row r="55" spans="2:5">
      <c r="B55" s="46" t="s">
        <v>17</v>
      </c>
      <c r="C55" s="75"/>
      <c r="D55" s="75"/>
      <c r="E55" s="76"/>
    </row>
    <row r="56" spans="2:5">
      <c r="B56" s="47"/>
      <c r="C56" s="99"/>
      <c r="D56" s="99"/>
      <c r="E56" s="99"/>
    </row>
    <row r="57" spans="2:5">
      <c r="B57" s="46" t="s">
        <v>18</v>
      </c>
      <c r="C57" s="78"/>
      <c r="D57" s="78"/>
      <c r="E57" s="79"/>
    </row>
    <row r="58" spans="2:5">
      <c r="B58" s="47"/>
      <c r="C58" s="100" t="s">
        <v>70</v>
      </c>
      <c r="D58" s="100"/>
      <c r="E58" s="100"/>
    </row>
    <row r="59" spans="2:5">
      <c r="B59" s="46" t="s">
        <v>19</v>
      </c>
      <c r="C59" s="75"/>
      <c r="D59" s="75"/>
      <c r="E59" s="76"/>
    </row>
    <row r="60" spans="2:5">
      <c r="B60" s="46"/>
      <c r="C60" s="98"/>
      <c r="D60" s="98"/>
      <c r="E60" s="98"/>
    </row>
    <row r="61" spans="2:5" ht="13.5" thickBot="1">
      <c r="B61" s="50"/>
      <c r="C61" s="51"/>
      <c r="D61" s="51"/>
      <c r="E61" s="52"/>
    </row>
    <row r="62" spans="2:5" ht="13.5" thickBot="1"/>
    <row r="63" spans="2:5">
      <c r="B63" s="40" t="s">
        <v>81</v>
      </c>
      <c r="C63" s="41"/>
      <c r="D63" s="41"/>
      <c r="E63" s="42"/>
    </row>
    <row r="64" spans="2:5">
      <c r="B64" s="43"/>
      <c r="C64" s="44"/>
      <c r="D64" s="44"/>
      <c r="E64" s="45"/>
    </row>
    <row r="65" spans="2:5">
      <c r="B65" s="46" t="s">
        <v>15</v>
      </c>
      <c r="C65" s="44"/>
      <c r="D65" s="44"/>
      <c r="E65" s="45"/>
    </row>
    <row r="66" spans="2:5" ht="29.25" customHeight="1">
      <c r="B66" s="46"/>
      <c r="C66" s="104" t="s">
        <v>93</v>
      </c>
      <c r="D66" s="104"/>
      <c r="E66" s="104"/>
    </row>
    <row r="67" spans="2:5">
      <c r="B67" s="46" t="s">
        <v>16</v>
      </c>
      <c r="C67" s="75"/>
      <c r="D67" s="75"/>
      <c r="E67" s="76"/>
    </row>
    <row r="68" spans="2:5">
      <c r="B68" s="47"/>
      <c r="C68" s="102" t="s">
        <v>69</v>
      </c>
      <c r="D68" s="102"/>
      <c r="E68" s="102"/>
    </row>
    <row r="69" spans="2:5">
      <c r="B69" s="47"/>
      <c r="C69" s="98"/>
      <c r="D69" s="98"/>
      <c r="E69" s="98"/>
    </row>
    <row r="70" spans="2:5">
      <c r="B70" s="46" t="s">
        <v>17</v>
      </c>
      <c r="C70" s="75"/>
      <c r="D70" s="75"/>
      <c r="E70" s="76"/>
    </row>
    <row r="71" spans="2:5">
      <c r="B71" s="47"/>
      <c r="C71" s="99"/>
      <c r="D71" s="99"/>
      <c r="E71" s="99"/>
    </row>
    <row r="72" spans="2:5">
      <c r="B72" s="46" t="s">
        <v>18</v>
      </c>
      <c r="C72" s="78"/>
      <c r="D72" s="78"/>
      <c r="E72" s="79"/>
    </row>
    <row r="73" spans="2:5">
      <c r="B73" s="47"/>
      <c r="C73" s="100" t="s">
        <v>70</v>
      </c>
      <c r="D73" s="100"/>
      <c r="E73" s="100"/>
    </row>
    <row r="74" spans="2:5">
      <c r="B74" s="46" t="s">
        <v>19</v>
      </c>
      <c r="C74" s="75"/>
      <c r="D74" s="75"/>
      <c r="E74" s="76"/>
    </row>
    <row r="75" spans="2:5">
      <c r="B75" s="46"/>
      <c r="C75" s="98"/>
      <c r="D75" s="98"/>
      <c r="E75" s="98"/>
    </row>
    <row r="76" spans="2:5" ht="13.5" thickBot="1">
      <c r="B76" s="50"/>
      <c r="C76" s="51"/>
      <c r="D76" s="51"/>
      <c r="E76" s="52"/>
    </row>
    <row r="78" spans="2:5" ht="13.5" thickBot="1"/>
    <row r="79" spans="2:5">
      <c r="B79" s="40" t="s">
        <v>82</v>
      </c>
      <c r="C79" s="41"/>
      <c r="D79" s="41"/>
      <c r="E79" s="42"/>
    </row>
    <row r="80" spans="2:5">
      <c r="B80" s="43"/>
      <c r="C80" s="44"/>
      <c r="D80" s="44"/>
      <c r="E80" s="45"/>
    </row>
    <row r="81" spans="2:5">
      <c r="B81" s="46" t="s">
        <v>15</v>
      </c>
      <c r="C81" s="44"/>
      <c r="D81" s="44"/>
      <c r="E81" s="45"/>
    </row>
    <row r="82" spans="2:5" ht="31.5" customHeight="1">
      <c r="B82" s="46"/>
      <c r="C82" s="104" t="s">
        <v>92</v>
      </c>
      <c r="D82" s="104"/>
      <c r="E82" s="104"/>
    </row>
    <row r="83" spans="2:5">
      <c r="B83" s="46" t="s">
        <v>16</v>
      </c>
      <c r="C83" s="75"/>
      <c r="D83" s="75"/>
      <c r="E83" s="76"/>
    </row>
    <row r="84" spans="2:5">
      <c r="B84" s="47"/>
      <c r="C84" s="102" t="s">
        <v>69</v>
      </c>
      <c r="D84" s="102"/>
      <c r="E84" s="102"/>
    </row>
    <row r="85" spans="2:5">
      <c r="B85" s="47"/>
      <c r="C85" s="98"/>
      <c r="D85" s="98"/>
      <c r="E85" s="98"/>
    </row>
    <row r="86" spans="2:5">
      <c r="B86" s="46" t="s">
        <v>17</v>
      </c>
      <c r="C86" s="75"/>
      <c r="D86" s="75"/>
      <c r="E86" s="76"/>
    </row>
    <row r="87" spans="2:5">
      <c r="B87" s="47"/>
      <c r="C87" s="99"/>
      <c r="D87" s="99"/>
      <c r="E87" s="99"/>
    </row>
    <row r="88" spans="2:5">
      <c r="B88" s="46" t="s">
        <v>18</v>
      </c>
      <c r="C88" s="78"/>
      <c r="D88" s="78"/>
      <c r="E88" s="79"/>
    </row>
    <row r="89" spans="2:5">
      <c r="B89" s="47"/>
      <c r="C89" s="100" t="s">
        <v>70</v>
      </c>
      <c r="D89" s="100"/>
      <c r="E89" s="100"/>
    </row>
    <row r="90" spans="2:5">
      <c r="B90" s="46" t="s">
        <v>19</v>
      </c>
      <c r="C90" s="75"/>
      <c r="D90" s="75"/>
      <c r="E90" s="76"/>
    </row>
    <row r="91" spans="2:5">
      <c r="B91" s="46"/>
      <c r="C91" s="98"/>
      <c r="D91" s="98"/>
      <c r="E91" s="98"/>
    </row>
    <row r="92" spans="2:5" ht="13.5" thickBot="1">
      <c r="B92" s="50"/>
      <c r="C92" s="51"/>
      <c r="D92" s="51"/>
      <c r="E92" s="52"/>
    </row>
    <row r="94" spans="2:5" ht="13.5" thickBot="1"/>
    <row r="95" spans="2:5">
      <c r="B95" s="40" t="s">
        <v>83</v>
      </c>
      <c r="C95" s="41"/>
      <c r="D95" s="41"/>
      <c r="E95" s="42"/>
    </row>
    <row r="96" spans="2:5">
      <c r="B96" s="43"/>
      <c r="C96" s="44"/>
      <c r="D96" s="44"/>
      <c r="E96" s="45"/>
    </row>
    <row r="97" spans="2:5">
      <c r="B97" s="46" t="s">
        <v>15</v>
      </c>
      <c r="C97" s="44"/>
      <c r="D97" s="44"/>
      <c r="E97" s="45"/>
    </row>
    <row r="98" spans="2:5" ht="19.5" customHeight="1">
      <c r="B98" s="46"/>
      <c r="C98" s="104" t="s">
        <v>84</v>
      </c>
      <c r="D98" s="104"/>
      <c r="E98" s="104"/>
    </row>
    <row r="99" spans="2:5">
      <c r="B99" s="46" t="s">
        <v>16</v>
      </c>
      <c r="C99" s="75"/>
      <c r="D99" s="75"/>
      <c r="E99" s="76"/>
    </row>
    <row r="100" spans="2:5">
      <c r="B100" s="47"/>
      <c r="C100" s="102" t="s">
        <v>69</v>
      </c>
      <c r="D100" s="102"/>
      <c r="E100" s="102"/>
    </row>
    <row r="101" spans="2:5">
      <c r="B101" s="47"/>
      <c r="C101" s="98"/>
      <c r="D101" s="98"/>
      <c r="E101" s="98"/>
    </row>
    <row r="102" spans="2:5">
      <c r="B102" s="46" t="s">
        <v>17</v>
      </c>
      <c r="C102" s="75"/>
      <c r="D102" s="75"/>
      <c r="E102" s="76"/>
    </row>
    <row r="103" spans="2:5">
      <c r="B103" s="47"/>
      <c r="C103" s="99"/>
      <c r="D103" s="99"/>
      <c r="E103" s="99"/>
    </row>
    <row r="104" spans="2:5">
      <c r="B104" s="46" t="s">
        <v>18</v>
      </c>
      <c r="C104" s="78"/>
      <c r="D104" s="78"/>
      <c r="E104" s="79"/>
    </row>
    <row r="105" spans="2:5">
      <c r="B105" s="47"/>
      <c r="C105" s="100" t="s">
        <v>70</v>
      </c>
      <c r="D105" s="100"/>
      <c r="E105" s="100"/>
    </row>
    <row r="106" spans="2:5">
      <c r="B106" s="46" t="s">
        <v>19</v>
      </c>
      <c r="C106" s="75"/>
      <c r="D106" s="75"/>
      <c r="E106" s="76"/>
    </row>
    <row r="107" spans="2:5">
      <c r="B107" s="46"/>
      <c r="C107" s="98"/>
      <c r="D107" s="98"/>
      <c r="E107" s="98"/>
    </row>
    <row r="108" spans="2:5" ht="13.5" thickBot="1">
      <c r="B108" s="50"/>
      <c r="C108" s="51"/>
      <c r="D108" s="51"/>
      <c r="E108" s="52"/>
    </row>
  </sheetData>
  <mergeCells count="43">
    <mergeCell ref="C101:E101"/>
    <mergeCell ref="C103:E103"/>
    <mergeCell ref="C105:E105"/>
    <mergeCell ref="C107:E107"/>
    <mergeCell ref="C87:E87"/>
    <mergeCell ref="C89:E89"/>
    <mergeCell ref="C91:E91"/>
    <mergeCell ref="C98:E98"/>
    <mergeCell ref="C100:E100"/>
    <mergeCell ref="C73:E73"/>
    <mergeCell ref="C75:E75"/>
    <mergeCell ref="C82:E82"/>
    <mergeCell ref="C84:E84"/>
    <mergeCell ref="C85:E85"/>
    <mergeCell ref="C60:E60"/>
    <mergeCell ref="C66:E66"/>
    <mergeCell ref="C68:E68"/>
    <mergeCell ref="C69:E69"/>
    <mergeCell ref="C71:E71"/>
    <mergeCell ref="C51:E51"/>
    <mergeCell ref="C53:E53"/>
    <mergeCell ref="C54:E54"/>
    <mergeCell ref="C56:E56"/>
    <mergeCell ref="C58:E58"/>
    <mergeCell ref="B2:H2"/>
    <mergeCell ref="A4:B4"/>
    <mergeCell ref="C4:E4"/>
    <mergeCell ref="A5:B5"/>
    <mergeCell ref="C5:E5"/>
    <mergeCell ref="A6:B6"/>
    <mergeCell ref="A7:B7"/>
    <mergeCell ref="C21:E21"/>
    <mergeCell ref="C23:E23"/>
    <mergeCell ref="C24:E24"/>
    <mergeCell ref="C39:E39"/>
    <mergeCell ref="C41:E41"/>
    <mergeCell ref="C43:E43"/>
    <mergeCell ref="C45:E45"/>
    <mergeCell ref="C26:E26"/>
    <mergeCell ref="C28:E28"/>
    <mergeCell ref="C30:E30"/>
    <mergeCell ref="C36:E36"/>
    <mergeCell ref="C38:E38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8"/>
  <sheetViews>
    <sheetView zoomScale="70" zoomScaleNormal="70" workbookViewId="0">
      <selection activeCell="O19" sqref="O19"/>
    </sheetView>
  </sheetViews>
  <sheetFormatPr baseColWidth="10" defaultColWidth="9.140625" defaultRowHeight="12.75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>
      <c r="A1" s="115" t="s">
        <v>21</v>
      </c>
      <c r="B1" s="115"/>
      <c r="C1" s="115"/>
      <c r="D1" s="115"/>
      <c r="E1" s="115"/>
      <c r="F1" s="115"/>
      <c r="G1" s="115"/>
      <c r="H1" s="115"/>
      <c r="I1" s="115"/>
      <c r="J1" s="3" t="s">
        <v>22</v>
      </c>
      <c r="K1" s="57" t="s">
        <v>85</v>
      </c>
    </row>
    <row r="2" spans="1:11" ht="18.75" customHeight="1" thickBot="1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>
      <c r="A3" s="116" t="s">
        <v>55</v>
      </c>
      <c r="B3" s="116"/>
      <c r="C3" s="116"/>
      <c r="D3" s="117" t="str">
        <f>'Necesidades Trimestrales'!C4</f>
        <v>40 - Ministerio de Salud</v>
      </c>
      <c r="E3" s="117"/>
      <c r="F3" s="117"/>
      <c r="G3" s="117"/>
      <c r="H3" s="117"/>
      <c r="I3" s="117"/>
      <c r="J3" s="117"/>
      <c r="K3" s="117"/>
    </row>
    <row r="4" spans="1:11" ht="18.75" customHeight="1" thickBot="1">
      <c r="A4" s="118" t="s">
        <v>56</v>
      </c>
      <c r="B4" s="118"/>
      <c r="C4" s="118"/>
      <c r="D4" s="117" t="str">
        <f>'Necesidades Trimestrales'!C5</f>
        <v>23 - Hospital Interzonal San Juan Bautista</v>
      </c>
      <c r="E4" s="117"/>
      <c r="F4" s="117"/>
      <c r="G4" s="117"/>
      <c r="H4" s="117"/>
      <c r="I4" s="117"/>
      <c r="J4" s="117"/>
      <c r="K4" s="117"/>
    </row>
    <row r="5" spans="1:11" ht="18.75" customHeight="1" thickBot="1">
      <c r="A5" s="118" t="s">
        <v>34</v>
      </c>
      <c r="B5" s="118"/>
      <c r="C5" s="118"/>
      <c r="D5" s="117" t="s">
        <v>61</v>
      </c>
      <c r="E5" s="117"/>
      <c r="F5" s="117"/>
      <c r="G5" s="117"/>
      <c r="H5" s="117"/>
      <c r="I5" s="117"/>
      <c r="J5" s="117"/>
      <c r="K5" s="117"/>
    </row>
    <row r="6" spans="1:11" ht="16.5" customHeight="1" thickBot="1">
      <c r="A6" s="116" t="s">
        <v>57</v>
      </c>
      <c r="B6" s="116"/>
      <c r="C6" s="116"/>
      <c r="D6" s="117" t="s">
        <v>68</v>
      </c>
      <c r="E6" s="117"/>
      <c r="F6" s="117"/>
      <c r="G6" s="117"/>
      <c r="H6" s="117"/>
      <c r="I6" s="117"/>
      <c r="J6" s="117"/>
      <c r="K6" s="117"/>
    </row>
    <row r="7" spans="1:11" ht="16.5" customHeight="1">
      <c r="A7" s="118" t="s">
        <v>23</v>
      </c>
      <c r="B7" s="118"/>
      <c r="C7" s="118"/>
      <c r="D7" s="117" t="str">
        <f>'Necesidades Trimestrales'!C7 &amp; "° Trimestre - Año " &amp; 'Necesidades Trimestrales'!C6</f>
        <v>4° Trimestre - Año 2020</v>
      </c>
      <c r="E7" s="117"/>
      <c r="F7" s="117"/>
      <c r="G7" s="117"/>
      <c r="H7" s="117"/>
      <c r="I7" s="117"/>
      <c r="J7" s="117"/>
      <c r="K7" s="117"/>
    </row>
    <row r="8" spans="1:11" ht="16.5" customHeight="1">
      <c r="A8" s="110" t="s">
        <v>24</v>
      </c>
      <c r="B8" s="110"/>
      <c r="C8" s="110"/>
      <c r="D8" s="111" t="s">
        <v>72</v>
      </c>
      <c r="E8" s="111"/>
      <c r="F8" s="111"/>
      <c r="G8" s="111"/>
      <c r="H8" s="111"/>
      <c r="I8" s="111"/>
      <c r="J8" s="111"/>
      <c r="K8" s="111"/>
    </row>
    <row r="9" spans="1:11" ht="15.75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>
      <c r="A10" s="112" t="s">
        <v>25</v>
      </c>
      <c r="B10" s="113" t="s">
        <v>26</v>
      </c>
      <c r="C10" s="113" t="s">
        <v>27</v>
      </c>
      <c r="D10" s="113"/>
      <c r="E10" s="113"/>
      <c r="F10" s="113"/>
      <c r="G10" s="113"/>
      <c r="H10" s="113" t="s">
        <v>28</v>
      </c>
      <c r="I10" s="113" t="s">
        <v>29</v>
      </c>
      <c r="J10" s="113" t="s">
        <v>30</v>
      </c>
      <c r="K10" s="114" t="s">
        <v>31</v>
      </c>
    </row>
    <row r="11" spans="1:11" ht="24" customHeight="1" thickBot="1">
      <c r="A11" s="112"/>
      <c r="B11" s="113"/>
      <c r="C11" s="113"/>
      <c r="D11" s="113"/>
      <c r="E11" s="113"/>
      <c r="F11" s="113"/>
      <c r="G11" s="113"/>
      <c r="H11" s="113"/>
      <c r="I11" s="113"/>
      <c r="J11" s="113"/>
      <c r="K11" s="114"/>
    </row>
    <row r="12" spans="1:11" ht="52.5" customHeight="1" thickBot="1">
      <c r="A12" s="8">
        <v>1</v>
      </c>
      <c r="B12" s="58" t="str">
        <f>'Necesidades Trimestrales'!B10</f>
        <v>2.5.1-9065.16</v>
      </c>
      <c r="C12" s="109" t="str">
        <f>'Necesidades Trimestrales'!E10</f>
        <v>DESINFECTANTES Y DETERGENTES; PRINCIPIO ACTIVO:
AMILASA, PROTEASA, LIPASA, CALIDAD: COMERCIAL,
CONCENTRACION/PUREZA: 100 %, PRESENTACION:
ENVASE X 5 L</v>
      </c>
      <c r="D12" s="109"/>
      <c r="E12" s="109"/>
      <c r="F12" s="109"/>
      <c r="G12" s="109"/>
      <c r="H12" s="59" t="s">
        <v>58</v>
      </c>
      <c r="I12" s="60" t="str">
        <f>'Necesidades Trimestrales'!F10</f>
        <v>Bidon</v>
      </c>
      <c r="J12" s="61">
        <f>'Necesidades Trimestrales'!H10</f>
        <v>3388</v>
      </c>
      <c r="K12" s="62">
        <f>'Necesidades Trimestrales'!G10</f>
        <v>10</v>
      </c>
    </row>
    <row r="13" spans="1:11" ht="62.25" customHeight="1" thickBot="1">
      <c r="A13" s="8">
        <v>2</v>
      </c>
      <c r="B13" s="58" t="str">
        <f>'Necesidades Trimestrales'!B11</f>
        <v>2.5.2-1723.127</v>
      </c>
      <c r="C13" s="109" t="str">
        <f>'Necesidades Trimestrales'!E11</f>
        <v>ANTISEPTICOS LOCALES P/PERSONA; TIPO: MONODROGA,
DROGA GENERICA: TRICLOSAN 1%, FORMA
FARMACEUTICA: JABON LIQUIDO, PRESENTACION:
ENVASE X 800 mL</v>
      </c>
      <c r="D13" s="109"/>
      <c r="E13" s="109"/>
      <c r="F13" s="109"/>
      <c r="G13" s="109"/>
      <c r="H13" s="59" t="s">
        <v>58</v>
      </c>
      <c r="I13" s="60" t="str">
        <f>'Necesidades Trimestrales'!F11</f>
        <v>Caja</v>
      </c>
      <c r="J13" s="61">
        <f>'Necesidades Trimestrales'!H11</f>
        <v>7986</v>
      </c>
      <c r="K13" s="62">
        <f>'Necesidades Trimestrales'!G11</f>
        <v>10</v>
      </c>
    </row>
    <row r="14" spans="1:11" ht="32.25" customHeight="1" thickBot="1">
      <c r="A14" s="8">
        <v>3</v>
      </c>
      <c r="B14" s="58" t="str">
        <f>'Necesidades Trimestrales'!B12</f>
        <v>2.5.4-505.78</v>
      </c>
      <c r="C14" s="109" t="str">
        <f>'Necesidades Trimestrales'!E12</f>
        <v>DESINFECTANTES; PRINCIPIO ACTIVO: PEROXOSULFATO ACIDO DE POTASIO, CONTROL: VIRUS, BACTERIAS, HONGOS, PRESENTACION: ENVASE X 20 mL</v>
      </c>
      <c r="D14" s="109"/>
      <c r="E14" s="109"/>
      <c r="F14" s="109"/>
      <c r="G14" s="109"/>
      <c r="H14" s="59" t="s">
        <v>58</v>
      </c>
      <c r="I14" s="60" t="str">
        <f>'Necesidades Trimestrales'!F12</f>
        <v>Caja</v>
      </c>
      <c r="J14" s="61">
        <f>'Necesidades Trimestrales'!H12</f>
        <v>6655</v>
      </c>
      <c r="K14" s="62">
        <f>'Necesidades Trimestrales'!G12</f>
        <v>10</v>
      </c>
    </row>
    <row r="15" spans="1:11" ht="38.25" customHeight="1" thickBot="1">
      <c r="A15" s="8">
        <v>4</v>
      </c>
      <c r="B15" s="58" t="str">
        <f>'Necesidades Trimestrales'!B13</f>
        <v>2.5.4-505.96</v>
      </c>
      <c r="C15" s="109" t="str">
        <f>'Necesidades Trimestrales'!E13</f>
        <v xml:space="preserve">DESINFECTANTES; PRINCIPIO ACTIVO: PEROXOSULFATO ACIDO DE POTASIO, CONTROL: VIRUS, BACTERIAS, HONGOS, PRESENTACION: ENVASE X 6 KG </v>
      </c>
      <c r="D15" s="109"/>
      <c r="E15" s="109"/>
      <c r="F15" s="109"/>
      <c r="G15" s="109"/>
      <c r="H15" s="59" t="s">
        <v>58</v>
      </c>
      <c r="I15" s="60" t="str">
        <f>'Necesidades Trimestrales'!F13</f>
        <v>Caja</v>
      </c>
      <c r="J15" s="61">
        <f>'Necesidades Trimestrales'!H13</f>
        <v>14641</v>
      </c>
      <c r="K15" s="62">
        <f>'Necesidades Trimestrales'!G13</f>
        <v>5</v>
      </c>
    </row>
    <row r="16" spans="1:11" ht="32.25" customHeight="1" thickBot="1">
      <c r="A16" s="8">
        <v>5</v>
      </c>
      <c r="B16" s="58" t="str">
        <f>'Necesidades Trimestrales'!B14</f>
        <v>2.5.2-711.22</v>
      </c>
      <c r="C16" s="109" t="str">
        <f>'Necesidades Trimestrales'!E14</f>
        <v>ALCOHOL USO MEDICINAL; PUREZA: 70 %,
PRESENTACION: ENVASE X 800 CM3</v>
      </c>
      <c r="D16" s="109"/>
      <c r="E16" s="109"/>
      <c r="F16" s="109"/>
      <c r="G16" s="109"/>
      <c r="H16" s="59" t="s">
        <v>58</v>
      </c>
      <c r="I16" s="60" t="str">
        <f>'Necesidades Trimestrales'!F14</f>
        <v>Caja</v>
      </c>
      <c r="J16" s="61">
        <f>'Necesidades Trimestrales'!H14</f>
        <v>6897</v>
      </c>
      <c r="K16" s="62">
        <f>'Necesidades Trimestrales'!G14</f>
        <v>15</v>
      </c>
    </row>
    <row r="17" spans="1:1024" ht="39.75" customHeight="1" thickBot="1">
      <c r="A17" s="8">
        <v>6</v>
      </c>
      <c r="B17" s="58" t="str">
        <f>'Necesidades Trimestrales'!B15</f>
        <v>2.5.2-1723.111</v>
      </c>
      <c r="C17" s="109" t="str">
        <f>'Necesidades Trimestrales'!E15</f>
        <v>ANTISEPTICOS LOCALES P/PERSONA; TIPO: MONODROGA,
DROGA GENERICA: CLORHEXIDINA AL 4%, FORMA
FARMACEUTICA: DOSIFICADOR, PRESENTACION: ENVASE
X 250 mL</v>
      </c>
      <c r="D17" s="109"/>
      <c r="E17" s="109"/>
      <c r="F17" s="109"/>
      <c r="G17" s="109"/>
      <c r="H17" s="59" t="s">
        <v>58</v>
      </c>
      <c r="I17" s="60" t="str">
        <f>'Necesidades Trimestrales'!F15</f>
        <v>Unidad</v>
      </c>
      <c r="J17" s="61">
        <f>'Necesidades Trimestrales'!H15</f>
        <v>330</v>
      </c>
      <c r="K17" s="62">
        <f>'Necesidades Trimestrales'!G15</f>
        <v>200</v>
      </c>
    </row>
    <row r="18" spans="1:1024" ht="20.25" customHeight="1" thickBot="1">
      <c r="A18" s="107" t="s">
        <v>73</v>
      </c>
      <c r="B18" s="107"/>
      <c r="C18" s="107"/>
      <c r="D18" s="107"/>
      <c r="E18" s="107"/>
      <c r="F18" s="107"/>
      <c r="G18" s="107"/>
      <c r="H18" s="107"/>
      <c r="I18" s="107"/>
      <c r="J18" s="108">
        <f>SUMPRODUCT(J12:J17,K12:K17)</f>
        <v>422950</v>
      </c>
      <c r="K18" s="10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</sheetData>
  <mergeCells count="28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8:I18"/>
    <mergeCell ref="J18:K18"/>
    <mergeCell ref="C12:G12"/>
    <mergeCell ref="C13:G13"/>
    <mergeCell ref="C14:G14"/>
    <mergeCell ref="C15:G15"/>
    <mergeCell ref="C16:G16"/>
    <mergeCell ref="C17:G17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10" zoomScale="120" zoomScaleNormal="120" workbookViewId="0">
      <selection activeCell="S24" sqref="S24"/>
    </sheetView>
  </sheetViews>
  <sheetFormatPr baseColWidth="10" defaultColWidth="11" defaultRowHeight="12.75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5" width="14.85546875" customWidth="1"/>
    <col min="16" max="16" width="15.42578125" customWidth="1"/>
    <col min="17" max="17" width="14.28515625" customWidth="1"/>
    <col min="19" max="19" width="13.28515625" bestFit="1" customWidth="1"/>
  </cols>
  <sheetData>
    <row r="1" spans="1:17" ht="15.75" customHeight="1">
      <c r="A1" s="143" t="s">
        <v>3</v>
      </c>
      <c r="B1" s="143"/>
      <c r="C1" s="143"/>
      <c r="D1" s="144">
        <f>'Necesidades Trimestrales'!C6</f>
        <v>2020</v>
      </c>
      <c r="E1" s="144"/>
      <c r="F1" s="10"/>
      <c r="G1" s="10"/>
      <c r="H1" s="11"/>
      <c r="I1" s="11"/>
      <c r="J1" s="11"/>
      <c r="K1" s="11"/>
      <c r="L1" s="11"/>
      <c r="M1" s="11"/>
      <c r="N1" s="11"/>
      <c r="P1" s="145" t="s">
        <v>32</v>
      </c>
      <c r="Q1" s="145"/>
    </row>
    <row r="2" spans="1:17" ht="15.75" customHeight="1">
      <c r="H2" s="11"/>
      <c r="I2" s="11"/>
      <c r="J2" s="11"/>
      <c r="K2" s="11"/>
      <c r="L2" s="11"/>
      <c r="M2" s="11"/>
      <c r="N2" s="11"/>
      <c r="P2" s="145"/>
      <c r="Q2" s="145"/>
    </row>
    <row r="4" spans="1:17" s="12" customFormat="1" ht="18" customHeight="1" thickBot="1">
      <c r="A4" s="146" t="s">
        <v>33</v>
      </c>
      <c r="B4" s="146"/>
      <c r="C4" s="146"/>
      <c r="D4" s="146"/>
      <c r="E4" s="146"/>
      <c r="F4" s="146"/>
      <c r="G4" s="141" t="str">
        <f>NotaPedido!D3</f>
        <v>40 - Ministerio de Salud</v>
      </c>
      <c r="H4" s="141"/>
      <c r="I4" s="141"/>
      <c r="J4" s="141"/>
      <c r="K4" s="141"/>
      <c r="L4" s="141"/>
      <c r="M4" s="141"/>
      <c r="N4" s="141"/>
      <c r="O4" s="141"/>
      <c r="P4" s="141"/>
      <c r="Q4" s="141"/>
    </row>
    <row r="5" spans="1:17" s="12" customFormat="1" ht="18" customHeight="1" thickBot="1">
      <c r="A5" s="138" t="s">
        <v>56</v>
      </c>
      <c r="B5" s="139"/>
      <c r="C5" s="139"/>
      <c r="D5" s="139"/>
      <c r="E5" s="139"/>
      <c r="F5" s="140"/>
      <c r="G5" s="141" t="str">
        <f>NotaPedido!D4</f>
        <v>23 - Hospital Interzonal San Juan Bautista</v>
      </c>
      <c r="H5" s="141"/>
      <c r="I5" s="141"/>
      <c r="J5" s="141"/>
      <c r="K5" s="141"/>
      <c r="L5" s="141"/>
      <c r="M5" s="141"/>
      <c r="N5" s="141"/>
      <c r="O5" s="141"/>
      <c r="P5" s="141"/>
      <c r="Q5" s="141"/>
    </row>
    <row r="6" spans="1:17" s="12" customFormat="1" ht="18" customHeight="1" thickBot="1">
      <c r="A6" s="138" t="s">
        <v>34</v>
      </c>
      <c r="B6" s="139"/>
      <c r="C6" s="139"/>
      <c r="D6" s="139"/>
      <c r="E6" s="139"/>
      <c r="F6" s="140"/>
      <c r="G6" s="141" t="str">
        <f>NotaPedido!D5</f>
        <v>168 - Direccion Asistencial</v>
      </c>
      <c r="H6" s="141"/>
      <c r="I6" s="141"/>
      <c r="J6" s="141"/>
      <c r="K6" s="141"/>
      <c r="L6" s="141"/>
      <c r="M6" s="141"/>
      <c r="N6" s="141"/>
      <c r="O6" s="141"/>
      <c r="P6" s="141"/>
      <c r="Q6" s="141"/>
    </row>
    <row r="7" spans="1:17" s="12" customFormat="1" ht="18" customHeight="1" thickBot="1">
      <c r="A7" s="138" t="s">
        <v>57</v>
      </c>
      <c r="B7" s="139"/>
      <c r="C7" s="139"/>
      <c r="D7" s="139"/>
      <c r="E7" s="139"/>
      <c r="F7" s="140"/>
      <c r="G7" s="141" t="str">
        <f>NotaPedido!D6</f>
        <v>Servicio Control de Infecciones</v>
      </c>
      <c r="H7" s="141"/>
      <c r="I7" s="141"/>
      <c r="J7" s="141"/>
      <c r="K7" s="141"/>
      <c r="L7" s="141"/>
      <c r="M7" s="141"/>
      <c r="N7" s="141"/>
      <c r="O7" s="141"/>
      <c r="P7" s="141"/>
      <c r="Q7" s="141"/>
    </row>
    <row r="8" spans="1:17" ht="18" customHeight="1" thickBot="1">
      <c r="A8" s="142" t="s">
        <v>35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</row>
    <row r="9" spans="1:17" ht="18" customHeight="1">
      <c r="A9" s="132" t="s">
        <v>36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"/>
      <c r="P9" s="1"/>
      <c r="Q9" s="13"/>
    </row>
    <row r="10" spans="1:17" ht="54.75" customHeight="1">
      <c r="A10" s="133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340 - 20,  afectando la erogación resultante a los créditos presupuestarios aprobados a favor de esta Unidad Ejecutora, conforme al siguiente detalle: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</row>
    <row r="11" spans="1:17" ht="9" customHeight="1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>
      <c r="A12" s="134" t="s">
        <v>37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</row>
    <row r="13" spans="1:17" ht="15.75" customHeight="1">
      <c r="A13" s="135" t="s">
        <v>38</v>
      </c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6" t="s">
        <v>39</v>
      </c>
      <c r="P13" s="136"/>
      <c r="Q13" s="137" t="s">
        <v>40</v>
      </c>
    </row>
    <row r="14" spans="1:17" ht="15.75" customHeight="1" thickBot="1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36"/>
      <c r="P14" s="136"/>
      <c r="Q14" s="137"/>
    </row>
    <row r="15" spans="1:17" ht="17.25" customHeight="1">
      <c r="A15" s="65">
        <v>33</v>
      </c>
      <c r="B15" s="66"/>
      <c r="C15" s="66"/>
      <c r="D15" s="66">
        <v>2</v>
      </c>
      <c r="E15" s="66"/>
      <c r="F15" s="66">
        <v>4901</v>
      </c>
      <c r="G15" s="66">
        <v>3</v>
      </c>
      <c r="H15" s="67" t="s">
        <v>63</v>
      </c>
      <c r="I15" s="68">
        <v>2</v>
      </c>
      <c r="J15" s="68">
        <v>5</v>
      </c>
      <c r="K15" s="68">
        <v>1</v>
      </c>
      <c r="L15" s="66"/>
      <c r="M15" s="69">
        <v>1</v>
      </c>
      <c r="N15" s="67" t="s">
        <v>64</v>
      </c>
      <c r="O15" s="129" t="s">
        <v>62</v>
      </c>
      <c r="P15" s="129"/>
      <c r="Q15" s="71">
        <v>33880</v>
      </c>
    </row>
    <row r="16" spans="1:17" ht="17.25" customHeight="1">
      <c r="A16" s="23">
        <v>33</v>
      </c>
      <c r="B16" s="24"/>
      <c r="C16" s="24"/>
      <c r="D16" s="24">
        <v>2</v>
      </c>
      <c r="E16" s="24"/>
      <c r="F16" s="24">
        <v>4901</v>
      </c>
      <c r="G16" s="24">
        <v>3</v>
      </c>
      <c r="H16" s="63" t="s">
        <v>63</v>
      </c>
      <c r="I16" s="24">
        <v>2</v>
      </c>
      <c r="J16" s="24">
        <v>5</v>
      </c>
      <c r="K16" s="24">
        <v>2</v>
      </c>
      <c r="L16" s="24"/>
      <c r="M16" s="25">
        <v>1</v>
      </c>
      <c r="N16" s="64" t="s">
        <v>64</v>
      </c>
      <c r="O16" s="130" t="s">
        <v>86</v>
      </c>
      <c r="P16" s="130"/>
      <c r="Q16" s="72">
        <v>249315</v>
      </c>
    </row>
    <row r="17" spans="1:19" ht="17.25" customHeight="1">
      <c r="A17" s="23">
        <v>33</v>
      </c>
      <c r="B17" s="24"/>
      <c r="C17" s="24"/>
      <c r="D17" s="24">
        <v>2</v>
      </c>
      <c r="E17" s="24"/>
      <c r="F17" s="24">
        <v>4901</v>
      </c>
      <c r="G17" s="24">
        <v>3</v>
      </c>
      <c r="H17" s="63" t="s">
        <v>63</v>
      </c>
      <c r="I17" s="24">
        <v>2</v>
      </c>
      <c r="J17" s="24">
        <v>5</v>
      </c>
      <c r="K17" s="24">
        <v>4</v>
      </c>
      <c r="L17" s="24"/>
      <c r="M17" s="25">
        <v>1</v>
      </c>
      <c r="N17" s="64" t="s">
        <v>64</v>
      </c>
      <c r="O17" s="130" t="s">
        <v>87</v>
      </c>
      <c r="P17" s="130"/>
      <c r="Q17" s="72">
        <v>139755</v>
      </c>
      <c r="S17" s="70"/>
    </row>
    <row r="18" spans="1:19" ht="17.25" customHeight="1">
      <c r="A18" s="23"/>
      <c r="B18" s="24"/>
      <c r="C18" s="24"/>
      <c r="D18" s="24"/>
      <c r="E18" s="24"/>
      <c r="F18" s="24"/>
      <c r="G18" s="24"/>
      <c r="H18" s="63"/>
      <c r="I18" s="24"/>
      <c r="J18" s="24"/>
      <c r="K18" s="24"/>
      <c r="L18" s="24"/>
      <c r="M18" s="25"/>
      <c r="N18" s="64"/>
      <c r="O18" s="131"/>
      <c r="P18" s="124"/>
      <c r="Q18" s="72"/>
    </row>
    <row r="19" spans="1:19" ht="17.25" customHeight="1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24"/>
      <c r="P19" s="124"/>
      <c r="Q19" s="27"/>
    </row>
    <row r="20" spans="1:19" ht="17.25" customHeight="1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24"/>
      <c r="P20" s="124"/>
      <c r="Q20" s="27"/>
    </row>
    <row r="21" spans="1:19" ht="17.25" customHeight="1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25"/>
      <c r="P21" s="125"/>
      <c r="Q21" s="27"/>
      <c r="R21" s="1"/>
    </row>
    <row r="22" spans="1:19" ht="17.25" customHeight="1" thickBot="1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26"/>
      <c r="P22" s="126"/>
      <c r="Q22" s="36"/>
    </row>
    <row r="23" spans="1:19" ht="20.25" customHeight="1" thickBot="1">
      <c r="A23" s="127" t="s">
        <v>71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73">
        <f>SUM(Q15:Q22)</f>
        <v>422950</v>
      </c>
    </row>
    <row r="24" spans="1:19" ht="18" customHeight="1" thickBot="1">
      <c r="A24" s="128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</row>
    <row r="25" spans="1:19" ht="17.25" customHeight="1" thickBot="1">
      <c r="A25" s="119" t="s">
        <v>54</v>
      </c>
      <c r="B25" s="120"/>
      <c r="C25" s="120"/>
      <c r="D25" s="120"/>
      <c r="E25" s="120"/>
      <c r="F25" s="121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</row>
    <row r="26" spans="1:19" ht="18" customHeight="1" thickBot="1">
      <c r="A26" s="123" t="str">
        <f>"Para la "&amp; NotaPedido!D8 &amp;" para ser destinados al " &amp; NotaPedido!D6 &amp;"  del HISJB del Ministerio de Salud."</f>
        <v>Para la Adquisición de Compuestos Quimicos  para ser destinados al Servicio Control de Infecciones  del HISJB del Ministerio de Salud.</v>
      </c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</row>
    <row r="27" spans="1:19" ht="15" customHeight="1">
      <c r="A27" s="123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Usuario</cp:lastModifiedBy>
  <cp:revision>2</cp:revision>
  <cp:lastPrinted>2020-07-17T22:18:48Z</cp:lastPrinted>
  <dcterms:created xsi:type="dcterms:W3CDTF">2020-07-17T23:44:49Z</dcterms:created>
  <dcterms:modified xsi:type="dcterms:W3CDTF">2020-10-20T15:21:16Z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