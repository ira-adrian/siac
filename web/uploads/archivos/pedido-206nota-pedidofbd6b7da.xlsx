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Johana\2 TRIMESTRE  2022\DESARROLLO SOCIAL\bolsas\"/>
    </mc:Choice>
  </mc:AlternateContent>
  <xr:revisionPtr revIDLastSave="0" documentId="8_{61F36596-19C4-49D1-A487-738D3853F1AF}"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NotaPedido'!$A$1:$K$14</definedName>
    <definedName name="_xlnm.Print_Area" localSheetId="2">'Autor Gastar'!$A$1:$Q$23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12" i="2" l="1"/>
  <c r="J14" i="2" s="1"/>
  <c r="J12" i="2"/>
  <c r="I12" i="2"/>
  <c r="C12" i="2"/>
  <c r="B12" i="2"/>
  <c r="I10" i="1"/>
  <c r="Q19" i="3" l="1"/>
  <c r="D7" i="2" l="1"/>
  <c r="D3" i="2"/>
  <c r="G4" i="3" s="1"/>
  <c r="D4" i="2"/>
  <c r="G5" i="3" s="1"/>
  <c r="A10" i="3" l="1"/>
  <c r="D1" i="3"/>
</calcChain>
</file>

<file path=xl/sharedStrings.xml><?xml version="1.0" encoding="utf-8"?>
<sst xmlns="http://schemas.openxmlformats.org/spreadsheetml/2006/main" count="86" uniqueCount="79">
  <si>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</si>
  <si>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</si>
  <si>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</si>
  <si>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</si>
  <si>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</si>
  <si>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</si>
  <si>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</si>
  <si>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</si>
  <si>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</si>
  <si>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</si>
  <si>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</si>
  <si>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</si>
  <si>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</si>
  <si>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</si>
  <si>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</si>
  <si>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</si>
  <si>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</si>
  <si>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</si>
  <si>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</si>
  <si>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</si>
  <si>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</si>
  <si>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</si>
  <si>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</si>
  <si>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</si>
  <si>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</si>
  <si>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</si>
  <si>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</si>
  <si>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</si>
  <si>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</si>
  <si>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</si>
  <si>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</si>
  <si>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</si>
  <si>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</si>
  <si>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</si>
  <si>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</si>
  <si>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</si>
  <si>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</si>
  <si>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</si>
  <si>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</si>
  <si>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</si>
  <si>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</si>
  <si>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</si>
  <si>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</si>
  <si>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</si>
  <si>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</si>
  <si>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</si>
  <si>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</si>
  <si>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</si>
  <si>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</si>
  <si>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</si>
  <si>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</si>
  <si>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</si>
  <si>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</si>
  <si>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</si>
  <si>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</si>
  <si>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</si>
  <si>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</si>
  <si>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25- Direccion Provincial de Gestion Administrativa y RRHH</t>
  </si>
  <si>
    <t>Plazo de Mantinimiento 30 dias</t>
  </si>
  <si>
    <t>UNIDADES</t>
  </si>
  <si>
    <t>SI</t>
  </si>
  <si>
    <t>02- Programa Vivir Mejor (PRO.VI.ME)</t>
  </si>
  <si>
    <t>2.5.8-3977.121</t>
  </si>
  <si>
    <t>FERRETERIA</t>
  </si>
  <si>
    <t>BOLSAS DE POLIETILENO; TAMAÑO: 50 X 70 Cm, ESPESOR: 70 Mn, PRESENTACION: UNIDAD</t>
  </si>
  <si>
    <t>2.5.8</t>
  </si>
  <si>
    <t>Productos de Material Plastico</t>
  </si>
  <si>
    <t>45- Ministerio de Desarrollo Social</t>
  </si>
  <si>
    <r>
      <rPr>
        <u/>
        <sz val="10"/>
        <rFont val="Times New Roman"/>
        <family val="1"/>
      </rPr>
      <t>Lugar y Forma de Entrega:</t>
    </r>
    <r>
      <rPr>
        <sz val="10"/>
        <rFont val="Times New Roman"/>
        <family val="1"/>
      </rPr>
      <t xml:space="preserve"> La entrega de los bienes se deberá realizar en el Depósito perteneciente al Ministerio de Desarrollo Social, sitio Área Industrial "El Pantanillo" de la Ciudad de San Fernando del Valle de Catamarca.</t>
    </r>
  </si>
  <si>
    <t>1.1</t>
  </si>
  <si>
    <t>Adquisición de  bolsas para el Armado de Modulos Alimentarios - Ministerio de Desarrollo Social.</t>
  </si>
  <si>
    <t>16- Direccion Provinvial de Accion Social Directa</t>
  </si>
  <si>
    <t>Adquisición de bolsas para el Armado de Modulos Alimentarios- Ministerio de Desarrollo Social.</t>
  </si>
  <si>
    <r>
      <rPr>
        <u/>
        <sz val="10"/>
        <rFont val="Times New Roman"/>
        <family val="1"/>
      </rPr>
      <t xml:space="preserve">Plazo de Entrega: </t>
    </r>
    <r>
      <rPr>
        <sz val="10"/>
        <rFont val="Times New Roman"/>
        <family val="1"/>
      </rPr>
      <t>Dentro de los 15 (quince) dias habiles de Notificada la Orden de Compra.</t>
    </r>
  </si>
  <si>
    <t>224/2022</t>
  </si>
  <si>
    <t>TOTAL DE PESOS:  CUATRO MILLONES DOSCIENTOS OCHENTA Y OCHO MIL CON 00/100.-</t>
  </si>
  <si>
    <t>Costo total estimado: CUATRO MILLONES DOSCIENTOS OCHENTA Y OCHO MIL CON 00/100.-</t>
  </si>
  <si>
    <t>Bolsas de Polietileno Opaca, Color Celeste; Tamaño: 50x70 cm; Espesor 70 Mn; Con impresión de Logo Institucional (Anexo I)</t>
  </si>
  <si>
    <t>Alta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</si>
</sst>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55">
    <border>
      <left/>
      <right/>
      <top/>
      <bottom/>
      <diagonal/>
    </border>
    <border>
      <left/>
      <right/>
      <top/>
      <bottom style="thick">
        <color rgb="FF33CCCC"/>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medium">
        <color rgb="FF3D3D3D"/>
      </right>
      <top style="thin">
        <color rgb="FF3D3D3D"/>
      </top>
      <bottom style="thin">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rgb="FF3D3D3D"/>
      </left>
      <right style="thin">
        <color rgb="FF3D3D3D"/>
      </right>
      <top style="thin">
        <color indexed="64"/>
      </top>
      <bottom style="thin">
        <color rgb="FF3D3D3D"/>
      </bottom>
      <diagonal/>
    </border>
    <border>
      <left style="thin">
        <color rgb="FF3D3D3D"/>
      </left>
      <right/>
      <top style="thin">
        <color indexed="64"/>
      </top>
      <bottom style="thin">
        <color rgb="FF3D3D3D"/>
      </bottom>
      <diagonal/>
    </border>
    <border>
      <left/>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medium">
        <color rgb="FF3D3D3D"/>
      </left>
      <right style="thin">
        <color rgb="FF3D3D3D"/>
      </right>
      <top style="medium">
        <color rgb="FF3D3D3D"/>
      </top>
      <bottom style="thin">
        <color indexed="64"/>
      </bottom>
      <diagonal/>
    </border>
    <border>
      <left style="thin">
        <color rgb="FF3D3D3D"/>
      </left>
      <right style="thin">
        <color rgb="FF3D3D3D"/>
      </right>
      <top style="medium">
        <color rgb="FF3D3D3D"/>
      </top>
      <bottom style="thin">
        <color indexed="64"/>
      </bottom>
      <diagonal/>
    </border>
    <border>
      <left style="thin">
        <color rgb="FF3D3D3D"/>
      </left>
      <right/>
      <top style="medium">
        <color rgb="FF3D3D3D"/>
      </top>
      <bottom style="thin">
        <color indexed="64"/>
      </bottom>
      <diagonal/>
    </border>
    <border>
      <left style="thin">
        <color rgb="FF3D3D3D"/>
      </left>
      <right style="thin">
        <color rgb="FF3D3D3D"/>
      </right>
      <top style="thin">
        <color rgb="FF3D3D3D"/>
      </top>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31">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3" xfId="0" applyBorder="1"/>
    <xf numFmtId="0" fontId="0" fillId="0" borderId="29" xfId="0" applyBorder="1"/>
    <xf numFmtId="0" fontId="0" fillId="0" borderId="15" xfId="0" applyBorder="1"/>
    <xf numFmtId="0" fontId="0" fillId="0" borderId="15" xfId="0" applyBorder="1" applyAlignment="1">
      <alignment horizontal="left"/>
    </xf>
    <xf numFmtId="0" fontId="0" fillId="0" borderId="30" xfId="0" applyBorder="1"/>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33" xfId="0" applyFont="1" applyBorder="1" applyAlignment="1">
      <alignment horizontal="left" vertical="center"/>
    </xf>
    <xf numFmtId="0" fontId="14" fillId="0" borderId="34" xfId="0" applyFont="1" applyBorder="1" applyAlignment="1">
      <alignment horizontal="center" vertical="center"/>
    </xf>
    <xf numFmtId="0" fontId="14" fillId="0" borderId="28" xfId="0" applyFont="1" applyBorder="1" applyAlignment="1">
      <alignment horizontal="center" vertical="center"/>
    </xf>
    <xf numFmtId="166" fontId="0" fillId="0" borderId="35" xfId="3" applyNumberFormat="1" applyFont="1" applyBorder="1" applyAlignment="1" applyProtection="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166" fontId="0" fillId="0" borderId="40" xfId="3" applyNumberFormat="1" applyFont="1" applyBorder="1" applyAlignment="1" applyProtection="1">
      <alignment horizontal="center" vertical="center"/>
    </xf>
    <xf numFmtId="0" fontId="16" fillId="0" borderId="0" xfId="0" applyFont="1"/>
    <xf numFmtId="167" fontId="0" fillId="0" borderId="0" xfId="0" applyNumberFormat="1"/>
    <xf numFmtId="0" fontId="0" fillId="0" borderId="45" xfId="0" applyFont="1" applyFill="1" applyBorder="1" applyAlignment="1">
      <alignment horizontal="center" vertical="center"/>
    </xf>
    <xf numFmtId="0" fontId="0" fillId="0" borderId="46" xfId="0" applyFont="1" applyFill="1" applyBorder="1" applyAlignment="1">
      <alignment horizontal="center" vertical="center"/>
    </xf>
    <xf numFmtId="0" fontId="4" fillId="0" borderId="22" xfId="0" applyFont="1" applyFill="1" applyBorder="1" applyAlignment="1">
      <alignment horizontal="left" vertical="center"/>
    </xf>
    <xf numFmtId="0" fontId="4" fillId="0" borderId="22" xfId="0" applyFont="1" applyFill="1" applyBorder="1" applyAlignment="1">
      <alignment horizontal="center" vertical="center"/>
    </xf>
    <xf numFmtId="0" fontId="4" fillId="0" borderId="22" xfId="0" applyFont="1" applyFill="1" applyBorder="1" applyAlignment="1">
      <alignment horizontal="center" vertical="center" wrapText="1"/>
    </xf>
    <xf numFmtId="166" fontId="4" fillId="0" borderId="22" xfId="1" applyNumberFormat="1" applyFont="1" applyFill="1" applyBorder="1" applyAlignment="1" applyProtection="1">
      <alignment horizontal="right" vertical="center" wrapText="1"/>
    </xf>
    <xf numFmtId="3" fontId="4" fillId="0" borderId="22" xfId="0" applyNumberFormat="1" applyFont="1" applyFill="1" applyBorder="1" applyAlignment="1">
      <alignment horizontal="center" vertical="center"/>
    </xf>
    <xf numFmtId="0" fontId="20" fillId="0" borderId="50" xfId="0" applyFont="1" applyBorder="1" applyAlignment="1">
      <alignment horizontal="center" vertical="center" wrapText="1"/>
    </xf>
    <xf numFmtId="0" fontId="21" fillId="0" borderId="2" xfId="0" applyFont="1" applyFill="1" applyBorder="1" applyAlignment="1">
      <alignment horizontal="center" vertical="center"/>
    </xf>
    <xf numFmtId="0" fontId="0" fillId="0" borderId="3" xfId="0" applyFill="1" applyBorder="1"/>
    <xf numFmtId="0" fontId="0" fillId="0" borderId="3" xfId="0" applyFill="1" applyBorder="1" applyAlignment="1">
      <alignment horizontal="center"/>
    </xf>
    <xf numFmtId="0" fontId="22" fillId="0" borderId="3" xfId="0" applyFont="1" applyFill="1" applyBorder="1" applyAlignment="1">
      <alignment horizontal="center" vertical="center" wrapText="1"/>
    </xf>
    <xf numFmtId="166" fontId="21" fillId="0" borderId="3" xfId="1" applyNumberFormat="1" applyFont="1" applyFill="1" applyBorder="1" applyAlignment="1" applyProtection="1">
      <alignment horizontal="right" vertical="center" wrapText="1"/>
    </xf>
    <xf numFmtId="166" fontId="21" fillId="0" borderId="4" xfId="1" applyNumberFormat="1" applyFont="1" applyFill="1" applyBorder="1" applyAlignment="1" applyProtection="1">
      <alignment horizontal="right" vertical="center" wrapText="1"/>
    </xf>
    <xf numFmtId="0" fontId="16" fillId="0" borderId="0" xfId="0" applyFont="1" applyFill="1"/>
    <xf numFmtId="0" fontId="19" fillId="0" borderId="0" xfId="0" applyFont="1" applyFill="1" applyAlignment="1">
      <alignment horizontal="left" wrapText="1"/>
    </xf>
    <xf numFmtId="0" fontId="19" fillId="0" borderId="0" xfId="0" applyFont="1" applyFill="1" applyAlignment="1">
      <alignment horizontal="center" wrapText="1"/>
    </xf>
    <xf numFmtId="0" fontId="24" fillId="0" borderId="0" xfId="0" applyFont="1" applyFill="1" applyAlignment="1">
      <alignment horizontal="left" wrapText="1" indent="1"/>
    </xf>
    <xf numFmtId="0" fontId="20" fillId="0" borderId="0" xfId="0" applyFont="1" applyFill="1" applyAlignment="1">
      <alignment horizontal="left" wrapText="1"/>
    </xf>
    <xf numFmtId="0" fontId="20" fillId="0" borderId="24" xfId="0" applyFont="1" applyFill="1" applyBorder="1" applyAlignment="1">
      <alignment horizontal="center" vertical="center" wrapText="1"/>
    </xf>
    <xf numFmtId="0" fontId="20" fillId="0" borderId="17" xfId="0" applyFont="1" applyFill="1" applyBorder="1" applyAlignment="1">
      <alignment horizontal="center" vertical="center" wrapText="1"/>
    </xf>
    <xf numFmtId="0" fontId="20" fillId="0" borderId="47" xfId="0" applyFont="1" applyFill="1" applyBorder="1" applyAlignment="1">
      <alignment horizontal="center" vertical="center" wrapText="1"/>
    </xf>
    <xf numFmtId="0" fontId="20" fillId="0" borderId="48" xfId="0" applyFont="1" applyFill="1" applyBorder="1" applyAlignment="1">
      <alignment horizontal="center" vertical="center" wrapText="1"/>
    </xf>
    <xf numFmtId="0" fontId="20" fillId="0" borderId="49" xfId="0" applyFont="1" applyFill="1" applyBorder="1" applyAlignment="1">
      <alignment horizontal="center" vertical="center" wrapText="1"/>
    </xf>
    <xf numFmtId="0" fontId="23" fillId="0" borderId="5" xfId="0" applyFont="1" applyFill="1" applyBorder="1"/>
    <xf numFmtId="0" fontId="16" fillId="0" borderId="6" xfId="0" applyFont="1" applyFill="1" applyBorder="1"/>
    <xf numFmtId="0" fontId="16" fillId="0" borderId="7" xfId="0" applyFont="1" applyFill="1" applyBorder="1"/>
    <xf numFmtId="0" fontId="16" fillId="0" borderId="8" xfId="0" applyFont="1" applyFill="1" applyBorder="1"/>
    <xf numFmtId="0" fontId="16" fillId="0" borderId="0" xfId="0" applyFont="1" applyFill="1" applyBorder="1"/>
    <xf numFmtId="0" fontId="16" fillId="0" borderId="9" xfId="0" applyFont="1" applyFill="1" applyBorder="1"/>
    <xf numFmtId="0" fontId="23" fillId="0" borderId="8" xfId="0" applyFont="1" applyFill="1" applyBorder="1" applyAlignment="1">
      <alignment horizontal="left" indent="3"/>
    </xf>
    <xf numFmtId="0" fontId="16" fillId="0" borderId="8" xfId="0" applyFont="1" applyFill="1" applyBorder="1" applyAlignment="1">
      <alignment horizontal="left" indent="3"/>
    </xf>
    <xf numFmtId="0" fontId="16" fillId="0" borderId="0" xfId="0" applyFont="1" applyFill="1" applyBorder="1" applyAlignment="1">
      <alignment horizontal="center" wrapText="1"/>
    </xf>
    <xf numFmtId="0" fontId="16" fillId="0" borderId="9" xfId="0" applyFont="1" applyFill="1" applyBorder="1" applyAlignment="1">
      <alignment horizontal="center" wrapText="1"/>
    </xf>
    <xf numFmtId="0" fontId="16" fillId="0" borderId="10" xfId="0" applyFont="1" applyFill="1" applyBorder="1" applyAlignment="1">
      <alignment horizontal="left" indent="3"/>
    </xf>
    <xf numFmtId="0" fontId="16" fillId="0" borderId="11" xfId="0" applyFont="1" applyFill="1" applyBorder="1"/>
    <xf numFmtId="0" fontId="16" fillId="0" borderId="12" xfId="0" applyFont="1" applyFill="1" applyBorder="1"/>
    <xf numFmtId="0" fontId="5" fillId="0" borderId="13" xfId="0" applyFont="1" applyFill="1" applyBorder="1" applyAlignment="1">
      <alignment horizontal="right" vertical="center"/>
    </xf>
    <xf numFmtId="0" fontId="6" fillId="0" borderId="14" xfId="0" applyFont="1" applyFill="1" applyBorder="1" applyAlignment="1">
      <alignment horizontal="center" vertical="center"/>
    </xf>
    <xf numFmtId="0" fontId="5" fillId="0" borderId="15"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3" xfId="0" applyFont="1" applyFill="1" applyBorder="1" applyAlignment="1">
      <alignment horizontal="center" vertical="center"/>
    </xf>
    <xf numFmtId="0" fontId="0" fillId="0" borderId="51" xfId="0" applyFont="1" applyFill="1" applyBorder="1" applyAlignment="1">
      <alignment horizontal="center" vertical="center"/>
    </xf>
    <xf numFmtId="0" fontId="0" fillId="0" borderId="52" xfId="0" applyFont="1" applyFill="1" applyBorder="1" applyAlignment="1">
      <alignment horizontal="center" vertical="center"/>
    </xf>
    <xf numFmtId="0" fontId="15" fillId="0" borderId="52" xfId="0" applyFont="1" applyFill="1" applyBorder="1" applyAlignment="1">
      <alignment horizontal="center" vertical="center"/>
    </xf>
    <xf numFmtId="0" fontId="0" fillId="0" borderId="53" xfId="0" applyFont="1" applyFill="1" applyBorder="1" applyAlignment="1">
      <alignment horizontal="center" vertical="center"/>
    </xf>
    <xf numFmtId="166" fontId="14" fillId="0" borderId="30" xfId="0" applyNumberFormat="1" applyFont="1" applyBorder="1" applyAlignment="1">
      <alignment horizontal="center" vertical="center"/>
    </xf>
    <xf numFmtId="0" fontId="0" fillId="0" borderId="32" xfId="0" applyFont="1" applyBorder="1" applyAlignment="1">
      <alignment horizontal="center" vertical="center"/>
    </xf>
    <xf numFmtId="0" fontId="0" fillId="0" borderId="33" xfId="0" applyFont="1" applyBorder="1" applyAlignment="1">
      <alignment horizontal="center" vertical="center"/>
    </xf>
    <xf numFmtId="0" fontId="0" fillId="0" borderId="54" xfId="0" applyFont="1" applyBorder="1" applyAlignment="1">
      <alignment horizontal="center" vertical="center"/>
    </xf>
    <xf numFmtId="0" fontId="0" fillId="0" borderId="34" xfId="0" applyFont="1" applyBorder="1" applyAlignment="1">
      <alignment horizontal="center" vertical="center"/>
    </xf>
    <xf numFmtId="0" fontId="16" fillId="0" borderId="9" xfId="0" applyFont="1" applyFill="1" applyBorder="1" applyAlignment="1">
      <alignment horizontal="center" wrapText="1"/>
    </xf>
    <xf numFmtId="0" fontId="16" fillId="0" borderId="9" xfId="0" applyFont="1" applyFill="1" applyBorder="1" applyAlignment="1">
      <alignment horizontal="center"/>
    </xf>
    <xf numFmtId="0" fontId="18" fillId="0" borderId="0" xfId="0" applyFont="1" applyFill="1" applyBorder="1" applyAlignment="1">
      <alignment horizontal="left" vertical="center" wrapText="1"/>
    </xf>
    <xf numFmtId="0" fontId="16" fillId="0" borderId="9" xfId="0" applyFont="1" applyFill="1" applyBorder="1" applyAlignment="1">
      <alignment horizontal="center" vertical="center" wrapText="1"/>
    </xf>
    <xf numFmtId="0" fontId="16" fillId="0" borderId="0" xfId="0" applyFont="1" applyFill="1" applyBorder="1" applyAlignment="1">
      <alignment horizontal="left"/>
    </xf>
    <xf numFmtId="0" fontId="16" fillId="0" borderId="9" xfId="0" applyFont="1" applyFill="1" applyBorder="1" applyAlignment="1">
      <alignment horizontal="left"/>
    </xf>
    <xf numFmtId="0" fontId="16" fillId="0" borderId="0" xfId="0" applyFont="1" applyFill="1" applyBorder="1" applyAlignment="1">
      <alignment horizontal="left" vertical="center" wrapText="1"/>
    </xf>
    <xf numFmtId="0" fontId="16" fillId="0" borderId="9" xfId="0" applyFont="1" applyFill="1" applyBorder="1" applyAlignment="1">
      <alignment horizontal="left" vertical="center" wrapText="1"/>
    </xf>
    <xf numFmtId="0" fontId="17" fillId="0" borderId="0" xfId="0" applyFont="1" applyFill="1" applyBorder="1" applyAlignment="1">
      <alignment horizontal="center"/>
    </xf>
    <xf numFmtId="0" fontId="24" fillId="0" borderId="0" xfId="0" applyFont="1" applyFill="1" applyBorder="1" applyAlignment="1">
      <alignment horizontal="left" wrapText="1" indent="1"/>
    </xf>
    <xf numFmtId="0" fontId="6" fillId="0" borderId="17" xfId="0" applyFont="1" applyFill="1" applyBorder="1" applyAlignment="1">
      <alignment horizontal="left" vertical="center" wrapText="1" indent="1"/>
    </xf>
    <xf numFmtId="167" fontId="25" fillId="0" borderId="17" xfId="0" applyNumberFormat="1" applyFont="1" applyFill="1" applyBorder="1" applyAlignment="1">
      <alignment horizontal="center" vertical="center"/>
    </xf>
    <xf numFmtId="0" fontId="4" fillId="0" borderId="22" xfId="0" applyFont="1" applyFill="1" applyBorder="1" applyAlignment="1">
      <alignment horizontal="left" vertical="center" wrapText="1"/>
    </xf>
    <xf numFmtId="0" fontId="7" fillId="0" borderId="19" xfId="0" applyFont="1" applyFill="1" applyBorder="1" applyAlignment="1">
      <alignment horizontal="left" vertical="center"/>
    </xf>
    <xf numFmtId="0" fontId="6" fillId="0" borderId="20" xfId="0" applyFont="1" applyFill="1" applyBorder="1" applyAlignment="1">
      <alignment horizontal="left" vertical="center" wrapText="1" indent="1"/>
    </xf>
    <xf numFmtId="0" fontId="8" fillId="0" borderId="19" xfId="0" applyFont="1" applyFill="1" applyBorder="1" applyAlignment="1">
      <alignment horizontal="center" vertical="center"/>
    </xf>
    <xf numFmtId="0" fontId="8" fillId="0" borderId="21"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5" fillId="0" borderId="0" xfId="0" applyFont="1" applyFill="1" applyBorder="1" applyAlignment="1">
      <alignment horizontal="center" vertical="center"/>
    </xf>
    <xf numFmtId="0" fontId="7" fillId="0" borderId="16" xfId="0" applyFont="1" applyFill="1" applyBorder="1" applyAlignment="1">
      <alignment horizontal="left" vertical="center" wrapText="1"/>
    </xf>
    <xf numFmtId="0" fontId="7" fillId="0" borderId="18" xfId="0" applyFont="1" applyFill="1" applyBorder="1" applyAlignment="1">
      <alignment horizontal="left" vertical="center" wrapText="1"/>
    </xf>
    <xf numFmtId="0" fontId="10" fillId="0" borderId="24" xfId="0" applyFont="1" applyBorder="1" applyAlignment="1">
      <alignment vertical="center" wrapText="1"/>
    </xf>
    <xf numFmtId="0" fontId="10" fillId="0" borderId="42" xfId="0" applyFont="1" applyBorder="1" applyAlignment="1">
      <alignment vertical="center" wrapText="1"/>
    </xf>
    <xf numFmtId="0" fontId="10" fillId="0" borderId="20" xfId="0" applyFont="1" applyBorder="1" applyAlignment="1">
      <alignment vertical="center" wrapText="1"/>
    </xf>
    <xf numFmtId="0" fontId="12" fillId="0" borderId="31" xfId="0" applyFont="1" applyBorder="1" applyAlignment="1">
      <alignment vertical="center" wrapText="1"/>
    </xf>
    <xf numFmtId="0" fontId="12" fillId="0" borderId="41" xfId="0" applyFont="1" applyFill="1" applyBorder="1" applyAlignment="1">
      <alignment horizontal="left" vertical="center" wrapText="1" indent="1"/>
    </xf>
    <xf numFmtId="0" fontId="0" fillId="0" borderId="54" xfId="0" applyFont="1" applyBorder="1" applyAlignment="1">
      <alignment horizontal="left" vertical="center"/>
    </xf>
    <xf numFmtId="0" fontId="10" fillId="0" borderId="19" xfId="0" applyFont="1" applyBorder="1" applyAlignment="1">
      <alignment horizontal="left" vertical="center" wrapText="1"/>
    </xf>
    <xf numFmtId="0" fontId="10" fillId="0" borderId="21" xfId="0" applyFont="1" applyBorder="1" applyAlignment="1">
      <alignment horizontal="left" vertical="center" wrapText="1"/>
    </xf>
    <xf numFmtId="0" fontId="10" fillId="0" borderId="20" xfId="0" applyFont="1" applyBorder="1" applyAlignment="1">
      <alignment horizontal="left" vertical="center" wrapText="1"/>
    </xf>
    <xf numFmtId="0" fontId="0" fillId="0" borderId="28" xfId="0" applyBorder="1"/>
    <xf numFmtId="0" fontId="0" fillId="0" borderId="26" xfId="0" applyBorder="1"/>
    <xf numFmtId="0" fontId="15" fillId="0" borderId="52" xfId="0" applyFont="1" applyBorder="1" applyAlignment="1">
      <alignment horizontal="left" vertical="center" wrapText="1"/>
    </xf>
    <xf numFmtId="0" fontId="0" fillId="0" borderId="52" xfId="0" applyFont="1" applyBorder="1" applyAlignment="1">
      <alignment horizontal="left" vertical="center" wrapText="1"/>
    </xf>
    <xf numFmtId="0" fontId="26" fillId="0" borderId="37" xfId="0" applyFont="1" applyBorder="1" applyAlignment="1">
      <alignment horizontal="left" vertical="center" wrapText="1"/>
    </xf>
    <xf numFmtId="0" fontId="0" fillId="0" borderId="37" xfId="0" applyFont="1" applyBorder="1" applyAlignment="1">
      <alignment horizontal="left" vertical="center" wrapText="1"/>
    </xf>
    <xf numFmtId="0" fontId="26" fillId="0" borderId="45" xfId="0" applyFont="1" applyBorder="1" applyAlignment="1">
      <alignment horizontal="left" vertical="center" wrapText="1"/>
    </xf>
    <xf numFmtId="0" fontId="0" fillId="0" borderId="45" xfId="0" applyFont="1" applyBorder="1" applyAlignment="1">
      <alignment horizontal="left" vertical="center" wrapText="1"/>
    </xf>
    <xf numFmtId="0" fontId="12" fillId="0" borderId="27" xfId="0" applyFont="1" applyBorder="1"/>
    <xf numFmtId="0" fontId="12" fillId="0" borderId="28" xfId="0" applyFont="1" applyBorder="1" applyAlignment="1">
      <alignment horizontal="left" vertical="center" wrapText="1" indent="1"/>
    </xf>
    <xf numFmtId="0" fontId="14" fillId="0" borderId="26" xfId="0" applyFont="1" applyBorder="1" applyAlignment="1">
      <alignment horizontal="center" vertical="center"/>
    </xf>
    <xf numFmtId="0" fontId="14" fillId="0" borderId="14" xfId="0" applyFont="1" applyBorder="1" applyAlignment="1">
      <alignment horizontal="center" vertical="center"/>
    </xf>
    <xf numFmtId="0" fontId="14" fillId="0" borderId="26" xfId="0" applyFont="1" applyBorder="1" applyAlignment="1">
      <alignment horizontal="center" vertical="center" wrapText="1"/>
    </xf>
    <xf numFmtId="0" fontId="14" fillId="0" borderId="31" xfId="0" applyFont="1" applyBorder="1" applyAlignment="1">
      <alignment horizontal="center" vertical="center"/>
    </xf>
    <xf numFmtId="0" fontId="4" fillId="0" borderId="16" xfId="0" applyFont="1" applyBorder="1" applyAlignment="1">
      <alignment horizontal="left" vertical="center" wrapText="1"/>
    </xf>
    <xf numFmtId="0" fontId="4" fillId="0" borderId="43" xfId="0" applyFont="1" applyBorder="1" applyAlignment="1">
      <alignment horizontal="left" vertical="center" wrapText="1"/>
    </xf>
    <xf numFmtId="0" fontId="4" fillId="0" borderId="44" xfId="0" applyFont="1" applyBorder="1" applyAlignment="1">
      <alignment horizontal="left" vertical="center" wrapText="1"/>
    </xf>
    <xf numFmtId="0" fontId="12" fillId="0" borderId="14" xfId="0" applyFont="1" applyBorder="1" applyAlignment="1">
      <alignment horizontal="left" indent="1"/>
    </xf>
    <xf numFmtId="0" fontId="13" fillId="0" borderId="14" xfId="0" applyFont="1" applyBorder="1" applyAlignment="1">
      <alignment horizontal="left"/>
    </xf>
    <xf numFmtId="0" fontId="0" fillId="0" borderId="24" xfId="0" applyFont="1" applyBorder="1" applyAlignment="1">
      <alignment horizontal="center"/>
    </xf>
    <xf numFmtId="3" fontId="10" fillId="0" borderId="25" xfId="0" applyNumberFormat="1" applyFont="1" applyBorder="1" applyAlignment="1">
      <alignment horizontal="center"/>
    </xf>
    <xf numFmtId="0" fontId="11" fillId="0" borderId="14" xfId="0" applyFont="1" applyBorder="1" applyAlignment="1">
      <alignment horizontal="center" vertical="center" wrapText="1"/>
    </xf>
    <xf numFmtId="0" fontId="2" fillId="0" borderId="14"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27"/>
  <sheetViews>
    <sheetView tabSelected="1" zoomScale="130" zoomScaleNormal="130" workbookViewId="0">
      <selection activeCell="E33" sqref="E33"/>
    </sheetView>
  </sheetViews>
  <sheetFormatPr baseColWidth="10" defaultColWidth="11" defaultRowHeight="12.75" x14ac:dyDescent="0.2"/>
  <cols>
    <col min="1" max="1" width="4.5703125" style="23" customWidth="1"/>
    <col min="2" max="2" width="21.7109375" style="23" customWidth="1"/>
    <col min="3" max="3" width="32.42578125" style="23" customWidth="1"/>
    <col min="4" max="4" width="8.42578125" style="23" customWidth="1"/>
    <col min="5" max="5" width="109.42578125" style="23" customWidth="1"/>
    <col min="6" max="6" width="11" style="23"/>
    <col min="7" max="8" width="10.42578125" style="23" bestFit="1" customWidth="1"/>
    <col min="9" max="9" width="15.7109375" style="23" bestFit="1" customWidth="1"/>
    <col min="10" max="16384" width="11" style="23"/>
  </cols>
  <sheetData>
    <row r="2" spans="1:9" ht="27" x14ac:dyDescent="0.35">
      <c r="A2" s="39"/>
      <c r="B2" s="86" t="s">
        <v>0</v>
      </c>
      <c r="C2" s="86"/>
      <c r="D2" s="86"/>
      <c r="E2" s="86"/>
      <c r="F2" s="86"/>
      <c r="G2" s="86"/>
      <c r="H2" s="86"/>
    </row>
    <row r="3" spans="1:9" x14ac:dyDescent="0.2">
      <c r="A3" s="39"/>
      <c r="B3" s="39"/>
      <c r="C3" s="39"/>
      <c r="D3" s="39"/>
      <c r="E3" s="39"/>
      <c r="F3" s="39"/>
      <c r="G3" s="39"/>
      <c r="H3" s="39"/>
    </row>
    <row r="4" spans="1:9" ht="18" customHeight="1" x14ac:dyDescent="0.25">
      <c r="A4" s="80" t="s">
        <v>1</v>
      </c>
      <c r="B4" s="80"/>
      <c r="C4" s="87" t="s">
        <v>67</v>
      </c>
      <c r="D4" s="87"/>
      <c r="E4" s="87"/>
      <c r="F4" s="40"/>
      <c r="G4" s="41"/>
      <c r="H4" s="40"/>
    </row>
    <row r="5" spans="1:9" ht="18" customHeight="1" x14ac:dyDescent="0.25">
      <c r="A5" s="80" t="s">
        <v>2</v>
      </c>
      <c r="B5" s="80"/>
      <c r="C5" s="87" t="s">
        <v>57</v>
      </c>
      <c r="D5" s="87"/>
      <c r="E5" s="87"/>
      <c r="F5" s="40"/>
      <c r="G5" s="41"/>
      <c r="H5" s="40"/>
    </row>
    <row r="6" spans="1:9" ht="16.5" customHeight="1" x14ac:dyDescent="0.25">
      <c r="A6" s="80" t="s">
        <v>3</v>
      </c>
      <c r="B6" s="80"/>
      <c r="C6" s="42">
        <v>2022</v>
      </c>
      <c r="D6" s="43"/>
      <c r="E6" s="43"/>
      <c r="F6" s="40"/>
      <c r="G6" s="41"/>
      <c r="H6" s="40"/>
    </row>
    <row r="7" spans="1:9" ht="16.5" customHeight="1" x14ac:dyDescent="0.25">
      <c r="A7" s="80" t="s">
        <v>4</v>
      </c>
      <c r="B7" s="80"/>
      <c r="C7" s="42">
        <v>2</v>
      </c>
      <c r="D7" s="43"/>
      <c r="E7" s="43"/>
      <c r="F7" s="40"/>
      <c r="G7" s="41"/>
      <c r="H7" s="40"/>
    </row>
    <row r="8" spans="1:9" ht="13.5" thickBot="1" x14ac:dyDescent="0.25">
      <c r="A8" s="39"/>
      <c r="B8" s="40"/>
      <c r="C8" s="41"/>
      <c r="D8" s="40"/>
      <c r="E8" s="40"/>
      <c r="F8" s="40"/>
      <c r="G8" s="41"/>
      <c r="H8" s="40"/>
    </row>
    <row r="9" spans="1:9" ht="39" thickBot="1" x14ac:dyDescent="0.25">
      <c r="A9" s="44" t="s">
        <v>5</v>
      </c>
      <c r="B9" s="45" t="s">
        <v>6</v>
      </c>
      <c r="C9" s="45" t="s">
        <v>7</v>
      </c>
      <c r="D9" s="46" t="s">
        <v>8</v>
      </c>
      <c r="E9" s="45" t="s">
        <v>9</v>
      </c>
      <c r="F9" s="47" t="s">
        <v>10</v>
      </c>
      <c r="G9" s="48" t="s">
        <v>11</v>
      </c>
      <c r="H9" s="48" t="s">
        <v>12</v>
      </c>
      <c r="I9" s="32" t="s">
        <v>13</v>
      </c>
    </row>
    <row r="10" spans="1:9" x14ac:dyDescent="0.2">
      <c r="A10" s="33">
        <v>1</v>
      </c>
      <c r="B10" s="34" t="s">
        <v>62</v>
      </c>
      <c r="C10" s="34" t="s">
        <v>63</v>
      </c>
      <c r="D10" s="35" t="s">
        <v>65</v>
      </c>
      <c r="E10" s="34" t="s">
        <v>64</v>
      </c>
      <c r="F10" s="36" t="s">
        <v>59</v>
      </c>
      <c r="G10" s="36">
        <v>50000</v>
      </c>
      <c r="H10" s="37">
        <v>85.76</v>
      </c>
      <c r="I10" s="38">
        <f t="shared" ref="I10" si="0">+H10*G10</f>
        <v>4288000</v>
      </c>
    </row>
    <row r="11" spans="1:9" x14ac:dyDescent="0.2">
      <c r="A11" s="39"/>
      <c r="B11" s="39"/>
      <c r="C11" s="39"/>
      <c r="D11" s="39"/>
      <c r="E11" s="39"/>
      <c r="F11" s="39"/>
      <c r="G11" s="39"/>
      <c r="H11" s="39"/>
    </row>
    <row r="12" spans="1:9" x14ac:dyDescent="0.2">
      <c r="A12" s="39"/>
      <c r="B12" s="39"/>
      <c r="C12" s="39"/>
      <c r="D12" s="39"/>
      <c r="E12" s="39"/>
      <c r="F12" s="39"/>
      <c r="G12" s="39"/>
      <c r="H12" s="39"/>
    </row>
    <row r="13" spans="1:9" x14ac:dyDescent="0.2">
      <c r="A13" s="39"/>
      <c r="B13" s="49" t="s">
        <v>14</v>
      </c>
      <c r="C13" s="50"/>
      <c r="D13" s="50"/>
      <c r="E13" s="51"/>
      <c r="F13" s="39"/>
      <c r="G13" s="39"/>
      <c r="H13" s="39"/>
    </row>
    <row r="14" spans="1:9" ht="5.25" customHeight="1" x14ac:dyDescent="0.2">
      <c r="A14" s="39"/>
      <c r="B14" s="52"/>
      <c r="C14" s="53"/>
      <c r="D14" s="53"/>
      <c r="E14" s="54"/>
      <c r="F14" s="39"/>
      <c r="G14" s="39"/>
      <c r="H14" s="39"/>
    </row>
    <row r="15" spans="1:9" x14ac:dyDescent="0.2">
      <c r="A15" s="39"/>
      <c r="B15" s="55" t="s">
        <v>15</v>
      </c>
      <c r="C15" s="53"/>
      <c r="D15" s="53"/>
      <c r="E15" s="54"/>
      <c r="F15" s="39"/>
      <c r="G15" s="39"/>
      <c r="H15" s="39"/>
    </row>
    <row r="16" spans="1:9" ht="41.25" customHeight="1" x14ac:dyDescent="0.2">
      <c r="A16" s="39"/>
      <c r="B16" s="55"/>
      <c r="C16" s="81" t="s">
        <v>77</v>
      </c>
      <c r="D16" s="81"/>
      <c r="E16" s="81"/>
      <c r="F16" s="39"/>
      <c r="G16" s="39"/>
      <c r="H16" s="39"/>
    </row>
    <row r="17" spans="1:8" x14ac:dyDescent="0.2">
      <c r="A17" s="39"/>
      <c r="B17" s="55" t="s">
        <v>16</v>
      </c>
      <c r="C17" s="53"/>
      <c r="D17" s="53"/>
      <c r="E17" s="54"/>
      <c r="F17" s="39"/>
      <c r="G17" s="39"/>
      <c r="H17" s="39"/>
    </row>
    <row r="18" spans="1:8" x14ac:dyDescent="0.2">
      <c r="A18" s="39"/>
      <c r="B18" s="56"/>
      <c r="C18" s="82" t="s">
        <v>73</v>
      </c>
      <c r="D18" s="82"/>
      <c r="E18" s="83"/>
      <c r="F18" s="39"/>
      <c r="G18" s="39"/>
      <c r="H18" s="39"/>
    </row>
    <row r="19" spans="1:8" ht="50.25" customHeight="1" x14ac:dyDescent="0.2">
      <c r="A19" s="39"/>
      <c r="B19" s="56"/>
      <c r="C19" s="84" t="s">
        <v>68</v>
      </c>
      <c r="D19" s="84"/>
      <c r="E19" s="85"/>
      <c r="F19" s="39"/>
      <c r="G19" s="39"/>
      <c r="H19" s="39"/>
    </row>
    <row r="20" spans="1:8" x14ac:dyDescent="0.2">
      <c r="A20" s="39"/>
      <c r="B20" s="55" t="s">
        <v>17</v>
      </c>
      <c r="C20" s="53"/>
      <c r="D20" s="53"/>
      <c r="E20" s="54"/>
      <c r="F20" s="39"/>
      <c r="G20" s="39"/>
      <c r="H20" s="39"/>
    </row>
    <row r="21" spans="1:8" ht="26.25" customHeight="1" x14ac:dyDescent="0.2">
      <c r="A21" s="39"/>
      <c r="B21" s="56"/>
      <c r="C21" s="78" t="s">
        <v>78</v>
      </c>
      <c r="D21" s="78"/>
      <c r="E21" s="78"/>
      <c r="F21" s="39"/>
      <c r="G21" s="39"/>
      <c r="H21" s="39"/>
    </row>
    <row r="22" spans="1:8" x14ac:dyDescent="0.2">
      <c r="A22" s="39"/>
      <c r="B22" s="55" t="s">
        <v>18</v>
      </c>
      <c r="C22" s="57"/>
      <c r="D22" s="57"/>
      <c r="E22" s="58"/>
      <c r="F22" s="39"/>
      <c r="G22" s="39"/>
      <c r="H22" s="39"/>
    </row>
    <row r="23" spans="1:8" ht="26.25" customHeight="1" x14ac:dyDescent="0.2">
      <c r="A23" s="39"/>
      <c r="B23" s="56"/>
      <c r="C23" s="78" t="s">
        <v>58</v>
      </c>
      <c r="D23" s="78"/>
      <c r="E23" s="78"/>
      <c r="F23" s="39"/>
      <c r="G23" s="39"/>
      <c r="H23" s="39"/>
    </row>
    <row r="24" spans="1:8" x14ac:dyDescent="0.2">
      <c r="A24" s="39"/>
      <c r="B24" s="55" t="s">
        <v>19</v>
      </c>
      <c r="C24" s="53"/>
      <c r="D24" s="53"/>
      <c r="E24" s="54"/>
      <c r="F24" s="39"/>
      <c r="G24" s="39"/>
      <c r="H24" s="39"/>
    </row>
    <row r="25" spans="1:8" ht="23.25" customHeight="1" x14ac:dyDescent="0.2">
      <c r="A25" s="39"/>
      <c r="B25" s="55"/>
      <c r="C25" s="79"/>
      <c r="D25" s="79"/>
      <c r="E25" s="79"/>
      <c r="F25" s="39"/>
      <c r="G25" s="39"/>
      <c r="H25" s="39"/>
    </row>
    <row r="26" spans="1:8" x14ac:dyDescent="0.2">
      <c r="A26" s="39"/>
      <c r="B26" s="59"/>
      <c r="C26" s="60"/>
      <c r="D26" s="60"/>
      <c r="E26" s="61"/>
      <c r="F26" s="39"/>
      <c r="G26" s="39"/>
      <c r="H26" s="39"/>
    </row>
    <row r="27" spans="1:8" x14ac:dyDescent="0.2">
      <c r="A27" s="39"/>
      <c r="B27" s="39"/>
      <c r="C27" s="39"/>
      <c r="D27" s="39"/>
      <c r="E27" s="39"/>
      <c r="F27" s="39"/>
      <c r="G27" s="39"/>
      <c r="H27" s="39"/>
    </row>
  </sheetData>
  <mergeCells count="13">
    <mergeCell ref="B2:H2"/>
    <mergeCell ref="A4:B4"/>
    <mergeCell ref="C4:E4"/>
    <mergeCell ref="A5:B5"/>
    <mergeCell ref="C5:E5"/>
    <mergeCell ref="C21:E21"/>
    <mergeCell ref="C23:E23"/>
    <mergeCell ref="C25:E25"/>
    <mergeCell ref="A6:B6"/>
    <mergeCell ref="A7:B7"/>
    <mergeCell ref="C16:E16"/>
    <mergeCell ref="C18:E18"/>
    <mergeCell ref="C19:E19"/>
  </mergeCells>
  <pageMargins left="0" right="0" top="0.74803149606299213" bottom="0" header="0.51181102362204722" footer="0.51181102362204722"/>
  <pageSetup paperSize="5" scale="79"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topLeftCell="A4" zoomScale="110" zoomScaleNormal="110" workbookViewId="0">
      <selection activeCell="A14" sqref="A14:I14"/>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6" t="s">
        <v>20</v>
      </c>
      <c r="B1" s="96"/>
      <c r="C1" s="96"/>
      <c r="D1" s="96"/>
      <c r="E1" s="96"/>
      <c r="F1" s="96"/>
      <c r="G1" s="96"/>
      <c r="H1" s="96"/>
      <c r="I1" s="96"/>
      <c r="J1" s="62" t="s">
        <v>21</v>
      </c>
      <c r="K1" s="63" t="s">
        <v>74</v>
      </c>
    </row>
    <row r="2" spans="1:11" ht="18.75" customHeight="1" thickBot="1" x14ac:dyDescent="0.25">
      <c r="A2" s="64"/>
      <c r="B2" s="64"/>
      <c r="C2" s="64"/>
      <c r="D2" s="65"/>
      <c r="E2" s="65"/>
      <c r="F2" s="65"/>
      <c r="G2" s="65"/>
      <c r="H2" s="65"/>
      <c r="I2" s="65"/>
      <c r="J2" s="65"/>
      <c r="K2" s="65"/>
    </row>
    <row r="3" spans="1:11" ht="18.75" customHeight="1" thickBot="1" x14ac:dyDescent="0.25">
      <c r="A3" s="97" t="s">
        <v>54</v>
      </c>
      <c r="B3" s="97"/>
      <c r="C3" s="97"/>
      <c r="D3" s="88" t="str">
        <f>'Necesidades Trimestrales'!C4</f>
        <v>45- Ministerio de Desarrollo Social</v>
      </c>
      <c r="E3" s="88"/>
      <c r="F3" s="88"/>
      <c r="G3" s="88"/>
      <c r="H3" s="88"/>
      <c r="I3" s="88"/>
      <c r="J3" s="88"/>
      <c r="K3" s="88"/>
    </row>
    <row r="4" spans="1:11" ht="18.75" customHeight="1" thickBot="1" x14ac:dyDescent="0.25">
      <c r="A4" s="98" t="s">
        <v>55</v>
      </c>
      <c r="B4" s="98"/>
      <c r="C4" s="98"/>
      <c r="D4" s="88" t="str">
        <f>'Necesidades Trimestrales'!C5</f>
        <v>25- Direccion Provincial de Gestion Administrativa y RRHH</v>
      </c>
      <c r="E4" s="88"/>
      <c r="F4" s="88"/>
      <c r="G4" s="88"/>
      <c r="H4" s="88"/>
      <c r="I4" s="88"/>
      <c r="J4" s="88"/>
      <c r="K4" s="88"/>
    </row>
    <row r="5" spans="1:11" ht="18.75" customHeight="1" thickBot="1" x14ac:dyDescent="0.25">
      <c r="A5" s="98" t="s">
        <v>33</v>
      </c>
      <c r="B5" s="98"/>
      <c r="C5" s="98"/>
      <c r="D5" s="88" t="s">
        <v>71</v>
      </c>
      <c r="E5" s="88"/>
      <c r="F5" s="88"/>
      <c r="G5" s="88"/>
      <c r="H5" s="88"/>
      <c r="I5" s="88"/>
      <c r="J5" s="88"/>
      <c r="K5" s="88"/>
    </row>
    <row r="6" spans="1:11" ht="16.5" customHeight="1" thickBot="1" x14ac:dyDescent="0.25">
      <c r="A6" s="97" t="s">
        <v>56</v>
      </c>
      <c r="B6" s="97"/>
      <c r="C6" s="97"/>
      <c r="D6" s="88" t="s">
        <v>61</v>
      </c>
      <c r="E6" s="88"/>
      <c r="F6" s="88"/>
      <c r="G6" s="88"/>
      <c r="H6" s="88"/>
      <c r="I6" s="88"/>
      <c r="J6" s="88"/>
      <c r="K6" s="88"/>
    </row>
    <row r="7" spans="1:11" ht="16.5" customHeight="1" x14ac:dyDescent="0.2">
      <c r="A7" s="98" t="s">
        <v>22</v>
      </c>
      <c r="B7" s="98"/>
      <c r="C7" s="98"/>
      <c r="D7" s="88" t="str">
        <f>'Necesidades Trimestrales'!C7 &amp; "° Trimestre - Año " &amp; 'Necesidades Trimestrales'!C6</f>
        <v>2° Trimestre - Año 2022</v>
      </c>
      <c r="E7" s="88"/>
      <c r="F7" s="88"/>
      <c r="G7" s="88"/>
      <c r="H7" s="88"/>
      <c r="I7" s="88"/>
      <c r="J7" s="88"/>
      <c r="K7" s="88"/>
    </row>
    <row r="8" spans="1:11" ht="35.25" customHeight="1" x14ac:dyDescent="0.2">
      <c r="A8" s="91" t="s">
        <v>23</v>
      </c>
      <c r="B8" s="91"/>
      <c r="C8" s="91"/>
      <c r="D8" s="92" t="s">
        <v>72</v>
      </c>
      <c r="E8" s="92"/>
      <c r="F8" s="92"/>
      <c r="G8" s="92"/>
      <c r="H8" s="92"/>
      <c r="I8" s="92"/>
      <c r="J8" s="92"/>
      <c r="K8" s="92"/>
    </row>
    <row r="9" spans="1:11" ht="15.75" x14ac:dyDescent="0.2">
      <c r="A9" s="66"/>
      <c r="B9" s="66"/>
      <c r="C9" s="66"/>
      <c r="D9" s="67"/>
      <c r="E9" s="67"/>
      <c r="F9" s="67"/>
      <c r="G9" s="67"/>
      <c r="H9" s="67"/>
      <c r="I9" s="67"/>
      <c r="J9" s="67"/>
      <c r="K9" s="67"/>
    </row>
    <row r="10" spans="1:11" ht="18.75" customHeight="1" x14ac:dyDescent="0.2">
      <c r="A10" s="93" t="s">
        <v>24</v>
      </c>
      <c r="B10" s="94" t="s">
        <v>25</v>
      </c>
      <c r="C10" s="94" t="s">
        <v>26</v>
      </c>
      <c r="D10" s="94"/>
      <c r="E10" s="94"/>
      <c r="F10" s="94"/>
      <c r="G10" s="94"/>
      <c r="H10" s="94" t="s">
        <v>27</v>
      </c>
      <c r="I10" s="94" t="s">
        <v>28</v>
      </c>
      <c r="J10" s="94" t="s">
        <v>29</v>
      </c>
      <c r="K10" s="95" t="s">
        <v>30</v>
      </c>
    </row>
    <row r="11" spans="1:11" ht="24" customHeight="1" thickBot="1" x14ac:dyDescent="0.25">
      <c r="A11" s="93"/>
      <c r="B11" s="94"/>
      <c r="C11" s="94"/>
      <c r="D11" s="94"/>
      <c r="E11" s="94"/>
      <c r="F11" s="94"/>
      <c r="G11" s="94"/>
      <c r="H11" s="94"/>
      <c r="I11" s="94"/>
      <c r="J11" s="94"/>
      <c r="K11" s="95"/>
    </row>
    <row r="12" spans="1:11" ht="45" customHeight="1" thickBot="1" x14ac:dyDescent="0.25">
      <c r="A12" s="68">
        <v>1</v>
      </c>
      <c r="B12" s="27" t="str">
        <f>'Necesidades Trimestrales'!B10</f>
        <v>2.5.8-3977.121</v>
      </c>
      <c r="C12" s="90" t="str">
        <f>'Necesidades Trimestrales'!E10</f>
        <v>BOLSAS DE POLIETILENO; TAMAÑO: 50 X 70 Cm, ESPESOR: 70 Mn, PRESENTACION: UNIDAD</v>
      </c>
      <c r="D12" s="90"/>
      <c r="E12" s="90"/>
      <c r="F12" s="90"/>
      <c r="G12" s="90"/>
      <c r="H12" s="28" t="s">
        <v>60</v>
      </c>
      <c r="I12" s="29" t="str">
        <f>'Necesidades Trimestrales'!F10</f>
        <v>UNIDADES</v>
      </c>
      <c r="J12" s="30">
        <f>+'Necesidades Trimestrales'!H10</f>
        <v>85.76</v>
      </c>
      <c r="K12" s="31">
        <f>+'Necesidades Trimestrales'!G10</f>
        <v>50000</v>
      </c>
    </row>
    <row r="13" spans="1:11" ht="27.75" customHeight="1" thickBot="1" x14ac:dyDescent="0.25">
      <c r="A13" s="68"/>
      <c r="B13" s="27"/>
      <c r="C13" s="90"/>
      <c r="D13" s="90"/>
      <c r="E13" s="90"/>
      <c r="F13" s="90"/>
      <c r="G13" s="90"/>
      <c r="H13" s="28"/>
      <c r="I13" s="29"/>
      <c r="J13" s="30"/>
      <c r="K13" s="31"/>
    </row>
    <row r="14" spans="1:11" ht="26.25" customHeight="1" thickBot="1" x14ac:dyDescent="0.25">
      <c r="A14" s="88" t="s">
        <v>76</v>
      </c>
      <c r="B14" s="88"/>
      <c r="C14" s="88"/>
      <c r="D14" s="88"/>
      <c r="E14" s="88"/>
      <c r="F14" s="88"/>
      <c r="G14" s="88"/>
      <c r="H14" s="88"/>
      <c r="I14" s="88"/>
      <c r="J14" s="89">
        <f>+J12*K12</f>
        <v>4288000</v>
      </c>
      <c r="K14" s="89"/>
    </row>
  </sheetData>
  <mergeCells count="24">
    <mergeCell ref="A1:I1"/>
    <mergeCell ref="A6:C6"/>
    <mergeCell ref="D6:K6"/>
    <mergeCell ref="A7:C7"/>
    <mergeCell ref="D7:K7"/>
    <mergeCell ref="A3:C3"/>
    <mergeCell ref="D3:K3"/>
    <mergeCell ref="A4:C4"/>
    <mergeCell ref="D4:K4"/>
    <mergeCell ref="A5:C5"/>
    <mergeCell ref="D5:K5"/>
    <mergeCell ref="A14:I14"/>
    <mergeCell ref="J14:K14"/>
    <mergeCell ref="C12:G12"/>
    <mergeCell ref="C13:G13"/>
    <mergeCell ref="A8:C8"/>
    <mergeCell ref="D8:K8"/>
    <mergeCell ref="A10:A11"/>
    <mergeCell ref="B10:B11"/>
    <mergeCell ref="C10:G11"/>
    <mergeCell ref="H10:H11"/>
    <mergeCell ref="I10:I11"/>
    <mergeCell ref="J10:J11"/>
    <mergeCell ref="K10:K11"/>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
  <sheetViews>
    <sheetView topLeftCell="A7" zoomScale="130" zoomScaleNormal="130" workbookViewId="0">
      <selection activeCell="T21" sqref="T21"/>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3.28515625" bestFit="1" customWidth="1"/>
  </cols>
  <sheetData>
    <row r="1" spans="1:18" ht="15.75" customHeight="1" x14ac:dyDescent="0.25">
      <c r="A1" s="127" t="s">
        <v>3</v>
      </c>
      <c r="B1" s="127"/>
      <c r="C1" s="127"/>
      <c r="D1" s="128">
        <f>'Necesidades Trimestrales'!C6</f>
        <v>2022</v>
      </c>
      <c r="E1" s="128"/>
      <c r="F1" s="4"/>
      <c r="G1" s="4"/>
      <c r="H1" s="5"/>
      <c r="I1" s="5"/>
      <c r="J1" s="5"/>
      <c r="K1" s="5"/>
      <c r="L1" s="5"/>
      <c r="M1" s="5"/>
      <c r="N1" s="5"/>
      <c r="P1" s="129" t="s">
        <v>31</v>
      </c>
      <c r="Q1" s="129"/>
    </row>
    <row r="2" spans="1:18" ht="15.75" customHeight="1" x14ac:dyDescent="0.2">
      <c r="H2" s="5"/>
      <c r="I2" s="5"/>
      <c r="J2" s="5"/>
      <c r="K2" s="5"/>
      <c r="L2" s="5"/>
      <c r="M2" s="5"/>
      <c r="N2" s="5"/>
      <c r="P2" s="129"/>
      <c r="Q2" s="129"/>
    </row>
    <row r="4" spans="1:18" s="6" customFormat="1" ht="18" customHeight="1" thickBot="1" x14ac:dyDescent="0.25">
      <c r="A4" s="130" t="s">
        <v>32</v>
      </c>
      <c r="B4" s="130"/>
      <c r="C4" s="130"/>
      <c r="D4" s="130"/>
      <c r="E4" s="130"/>
      <c r="F4" s="130"/>
      <c r="G4" s="125" t="str">
        <f>' NotaPedido'!D3</f>
        <v>45- Ministerio de Desarrollo Social</v>
      </c>
      <c r="H4" s="125"/>
      <c r="I4" s="125"/>
      <c r="J4" s="125"/>
      <c r="K4" s="125"/>
      <c r="L4" s="125"/>
      <c r="M4" s="125"/>
      <c r="N4" s="125"/>
      <c r="O4" s="125"/>
      <c r="P4" s="125"/>
      <c r="Q4" s="125"/>
    </row>
    <row r="5" spans="1:18" s="6" customFormat="1" ht="18" customHeight="1" thickBot="1" x14ac:dyDescent="0.25">
      <c r="A5" s="122" t="s">
        <v>55</v>
      </c>
      <c r="B5" s="123"/>
      <c r="C5" s="123"/>
      <c r="D5" s="123"/>
      <c r="E5" s="123"/>
      <c r="F5" s="124"/>
      <c r="G5" s="125" t="str">
        <f>' NotaPedido'!D4</f>
        <v>25- Direccion Provincial de Gestion Administrativa y RRHH</v>
      </c>
      <c r="H5" s="125"/>
      <c r="I5" s="125"/>
      <c r="J5" s="125"/>
      <c r="K5" s="125"/>
      <c r="L5" s="125"/>
      <c r="M5" s="125"/>
      <c r="N5" s="125"/>
      <c r="O5" s="125"/>
      <c r="P5" s="125"/>
      <c r="Q5" s="125"/>
    </row>
    <row r="6" spans="1:18" s="6" customFormat="1" ht="18" customHeight="1" thickBot="1" x14ac:dyDescent="0.25">
      <c r="A6" s="122" t="s">
        <v>33</v>
      </c>
      <c r="B6" s="123"/>
      <c r="C6" s="123"/>
      <c r="D6" s="123"/>
      <c r="E6" s="123"/>
      <c r="F6" s="124"/>
      <c r="G6" s="125" t="s">
        <v>71</v>
      </c>
      <c r="H6" s="125"/>
      <c r="I6" s="125"/>
      <c r="J6" s="125"/>
      <c r="K6" s="125"/>
      <c r="L6" s="125"/>
      <c r="M6" s="125"/>
      <c r="N6" s="125"/>
      <c r="O6" s="125"/>
      <c r="P6" s="125"/>
      <c r="Q6" s="125"/>
    </row>
    <row r="7" spans="1:18" s="6" customFormat="1" ht="18" customHeight="1" thickBot="1" x14ac:dyDescent="0.25">
      <c r="A7" s="122" t="s">
        <v>56</v>
      </c>
      <c r="B7" s="123"/>
      <c r="C7" s="123"/>
      <c r="D7" s="123"/>
      <c r="E7" s="123"/>
      <c r="F7" s="124"/>
      <c r="G7" s="125" t="s">
        <v>61</v>
      </c>
      <c r="H7" s="125"/>
      <c r="I7" s="125"/>
      <c r="J7" s="125"/>
      <c r="K7" s="125"/>
      <c r="L7" s="125"/>
      <c r="M7" s="125"/>
      <c r="N7" s="125"/>
      <c r="O7" s="125"/>
      <c r="P7" s="125"/>
      <c r="Q7" s="125"/>
    </row>
    <row r="8" spans="1:18" ht="18" customHeight="1" thickBot="1" x14ac:dyDescent="0.25">
      <c r="A8" s="126" t="s">
        <v>34</v>
      </c>
      <c r="B8" s="126"/>
      <c r="C8" s="126"/>
      <c r="D8" s="126"/>
      <c r="E8" s="126"/>
      <c r="F8" s="126"/>
      <c r="G8" s="126"/>
      <c r="H8" s="126"/>
      <c r="I8" s="126"/>
      <c r="J8" s="126"/>
      <c r="K8" s="126"/>
      <c r="L8" s="126"/>
      <c r="M8" s="126"/>
      <c r="N8" s="126"/>
      <c r="O8" s="126"/>
      <c r="P8" s="126"/>
      <c r="Q8" s="126"/>
    </row>
    <row r="9" spans="1:18" ht="18" customHeight="1" x14ac:dyDescent="0.2">
      <c r="A9" s="116" t="s">
        <v>35</v>
      </c>
      <c r="B9" s="116"/>
      <c r="C9" s="116"/>
      <c r="D9" s="116"/>
      <c r="E9" s="116"/>
      <c r="F9" s="116"/>
      <c r="G9" s="116"/>
      <c r="H9" s="116"/>
      <c r="I9" s="116"/>
      <c r="J9" s="116"/>
      <c r="K9" s="116"/>
      <c r="L9" s="116"/>
      <c r="M9" s="116"/>
      <c r="N9" s="116"/>
      <c r="O9" s="1"/>
      <c r="P9" s="1"/>
      <c r="Q9" s="7"/>
    </row>
    <row r="10" spans="1:18" ht="54.75" customHeight="1" x14ac:dyDescent="0.2">
      <c r="A10" s="117"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224/2022,  afectando la erogación resultante a los créditos presupuestarios aprobados a favor de esta Unidad Ejecutora, conforme al siguiente detalle:</v>
      </c>
      <c r="B10" s="117"/>
      <c r="C10" s="117"/>
      <c r="D10" s="117"/>
      <c r="E10" s="117"/>
      <c r="F10" s="117"/>
      <c r="G10" s="117"/>
      <c r="H10" s="117"/>
      <c r="I10" s="117"/>
      <c r="J10" s="117"/>
      <c r="K10" s="117"/>
      <c r="L10" s="117"/>
      <c r="M10" s="117"/>
      <c r="N10" s="117"/>
      <c r="O10" s="117"/>
      <c r="P10" s="117"/>
      <c r="Q10" s="117"/>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18" t="s">
        <v>36</v>
      </c>
      <c r="B12" s="118"/>
      <c r="C12" s="118"/>
      <c r="D12" s="118"/>
      <c r="E12" s="118"/>
      <c r="F12" s="118"/>
      <c r="G12" s="118"/>
      <c r="H12" s="118"/>
      <c r="I12" s="118"/>
      <c r="J12" s="118"/>
      <c r="K12" s="118"/>
      <c r="L12" s="118"/>
      <c r="M12" s="118"/>
      <c r="N12" s="118"/>
      <c r="O12" s="118"/>
      <c r="P12" s="118"/>
      <c r="Q12" s="118"/>
    </row>
    <row r="13" spans="1:18" ht="15.75" customHeight="1" x14ac:dyDescent="0.2">
      <c r="A13" s="119" t="s">
        <v>37</v>
      </c>
      <c r="B13" s="119"/>
      <c r="C13" s="119"/>
      <c r="D13" s="119"/>
      <c r="E13" s="119"/>
      <c r="F13" s="119"/>
      <c r="G13" s="119"/>
      <c r="H13" s="119"/>
      <c r="I13" s="119"/>
      <c r="J13" s="119"/>
      <c r="K13" s="119"/>
      <c r="L13" s="119"/>
      <c r="M13" s="119"/>
      <c r="N13" s="119"/>
      <c r="O13" s="120" t="s">
        <v>38</v>
      </c>
      <c r="P13" s="120"/>
      <c r="Q13" s="121" t="s">
        <v>39</v>
      </c>
    </row>
    <row r="14" spans="1:18" ht="15.75" customHeight="1" x14ac:dyDescent="0.2">
      <c r="A14" s="12" t="s">
        <v>40</v>
      </c>
      <c r="B14" s="13" t="s">
        <v>41</v>
      </c>
      <c r="C14" s="13" t="s">
        <v>42</v>
      </c>
      <c r="D14" s="13" t="s">
        <v>43</v>
      </c>
      <c r="E14" s="13" t="s">
        <v>44</v>
      </c>
      <c r="F14" s="13" t="s">
        <v>45</v>
      </c>
      <c r="G14" s="14" t="s">
        <v>46</v>
      </c>
      <c r="H14" s="13" t="s">
        <v>47</v>
      </c>
      <c r="I14" s="13" t="s">
        <v>48</v>
      </c>
      <c r="J14" s="13" t="s">
        <v>49</v>
      </c>
      <c r="K14" s="13" t="s">
        <v>49</v>
      </c>
      <c r="L14" s="13" t="s">
        <v>50</v>
      </c>
      <c r="M14" s="15" t="s">
        <v>51</v>
      </c>
      <c r="N14" s="16" t="s">
        <v>52</v>
      </c>
      <c r="O14" s="120"/>
      <c r="P14" s="120"/>
      <c r="Q14" s="121"/>
    </row>
    <row r="15" spans="1:18" ht="17.25" customHeight="1" x14ac:dyDescent="0.2">
      <c r="A15" s="69">
        <v>16</v>
      </c>
      <c r="B15" s="70"/>
      <c r="C15" s="70"/>
      <c r="D15" s="70">
        <v>2</v>
      </c>
      <c r="E15" s="70"/>
      <c r="F15" s="70">
        <v>4901</v>
      </c>
      <c r="G15" s="71">
        <v>3</v>
      </c>
      <c r="H15" s="71">
        <v>2</v>
      </c>
      <c r="I15" s="70">
        <v>2</v>
      </c>
      <c r="J15" s="70">
        <v>5</v>
      </c>
      <c r="K15" s="70">
        <v>8</v>
      </c>
      <c r="L15" s="70"/>
      <c r="M15" s="72">
        <v>1</v>
      </c>
      <c r="N15" s="70" t="s">
        <v>69</v>
      </c>
      <c r="O15" s="110" t="s">
        <v>66</v>
      </c>
      <c r="P15" s="111"/>
      <c r="Q15" s="17">
        <v>4288000</v>
      </c>
      <c r="R15" s="24"/>
    </row>
    <row r="16" spans="1:18" ht="17.25" customHeight="1" x14ac:dyDescent="0.2">
      <c r="A16" s="18"/>
      <c r="B16" s="19"/>
      <c r="C16" s="19"/>
      <c r="D16" s="19"/>
      <c r="E16" s="19"/>
      <c r="F16" s="19"/>
      <c r="G16" s="19"/>
      <c r="H16" s="19"/>
      <c r="I16" s="19"/>
      <c r="J16" s="19"/>
      <c r="K16" s="19"/>
      <c r="L16" s="19"/>
      <c r="M16" s="20"/>
      <c r="N16" s="19"/>
      <c r="O16" s="112"/>
      <c r="P16" s="113"/>
      <c r="Q16" s="21"/>
    </row>
    <row r="17" spans="1:17" ht="17.25" customHeight="1" x14ac:dyDescent="0.2">
      <c r="A17" s="18"/>
      <c r="B17" s="19"/>
      <c r="C17" s="19"/>
      <c r="D17" s="19"/>
      <c r="E17" s="19"/>
      <c r="F17" s="25"/>
      <c r="G17" s="25"/>
      <c r="H17" s="25"/>
      <c r="I17" s="25"/>
      <c r="J17" s="25"/>
      <c r="K17" s="25"/>
      <c r="L17" s="19"/>
      <c r="M17" s="26"/>
      <c r="N17" s="25"/>
      <c r="O17" s="114"/>
      <c r="P17" s="115"/>
      <c r="Q17" s="21"/>
    </row>
    <row r="18" spans="1:17" ht="17.25" customHeight="1" thickBot="1" x14ac:dyDescent="0.25">
      <c r="A18" s="74"/>
      <c r="B18" s="75"/>
      <c r="C18" s="75"/>
      <c r="D18" s="75"/>
      <c r="E18" s="75"/>
      <c r="F18" s="76"/>
      <c r="G18" s="75"/>
      <c r="H18" s="75"/>
      <c r="I18" s="75"/>
      <c r="J18" s="75"/>
      <c r="K18" s="75"/>
      <c r="L18" s="75"/>
      <c r="M18" s="77"/>
      <c r="N18" s="76"/>
      <c r="O18" s="104"/>
      <c r="P18" s="104"/>
      <c r="Q18" s="22"/>
    </row>
    <row r="19" spans="1:17" ht="30" customHeight="1" thickBot="1" x14ac:dyDescent="0.25">
      <c r="A19" s="105" t="s">
        <v>75</v>
      </c>
      <c r="B19" s="106"/>
      <c r="C19" s="106"/>
      <c r="D19" s="106"/>
      <c r="E19" s="106"/>
      <c r="F19" s="106"/>
      <c r="G19" s="106"/>
      <c r="H19" s="106"/>
      <c r="I19" s="106"/>
      <c r="J19" s="106"/>
      <c r="K19" s="106"/>
      <c r="L19" s="106"/>
      <c r="M19" s="106"/>
      <c r="N19" s="106"/>
      <c r="O19" s="106"/>
      <c r="P19" s="107"/>
      <c r="Q19" s="73">
        <f>SUM(Q15:Q18)</f>
        <v>4288000</v>
      </c>
    </row>
    <row r="20" spans="1:17" ht="18" customHeight="1" thickBot="1" x14ac:dyDescent="0.25">
      <c r="A20" s="108"/>
      <c r="B20" s="108"/>
      <c r="C20" s="108"/>
      <c r="D20" s="108"/>
      <c r="E20" s="108"/>
      <c r="F20" s="108"/>
      <c r="G20" s="108"/>
      <c r="H20" s="108"/>
      <c r="I20" s="108"/>
      <c r="J20" s="108"/>
      <c r="K20" s="108"/>
      <c r="L20" s="108"/>
      <c r="M20" s="108"/>
      <c r="N20" s="108"/>
      <c r="O20" s="108"/>
      <c r="P20" s="108"/>
      <c r="Q20" s="109"/>
    </row>
    <row r="21" spans="1:17" ht="17.25" customHeight="1" thickBot="1" x14ac:dyDescent="0.25">
      <c r="A21" s="99" t="s">
        <v>53</v>
      </c>
      <c r="B21" s="100"/>
      <c r="C21" s="100"/>
      <c r="D21" s="100"/>
      <c r="E21" s="100"/>
      <c r="F21" s="101"/>
      <c r="G21" s="102"/>
      <c r="H21" s="102"/>
      <c r="I21" s="102"/>
      <c r="J21" s="102"/>
      <c r="K21" s="102"/>
      <c r="L21" s="102"/>
      <c r="M21" s="102"/>
      <c r="N21" s="102"/>
      <c r="O21" s="102"/>
      <c r="P21" s="102"/>
      <c r="Q21" s="102"/>
    </row>
    <row r="22" spans="1:17" ht="18" customHeight="1" thickBot="1" x14ac:dyDescent="0.25">
      <c r="A22" s="103" t="s">
        <v>70</v>
      </c>
      <c r="B22" s="103"/>
      <c r="C22" s="103"/>
      <c r="D22" s="103"/>
      <c r="E22" s="103"/>
      <c r="F22" s="103"/>
      <c r="G22" s="103"/>
      <c r="H22" s="103"/>
      <c r="I22" s="103"/>
      <c r="J22" s="103"/>
      <c r="K22" s="103"/>
      <c r="L22" s="103"/>
      <c r="M22" s="103"/>
      <c r="N22" s="103"/>
      <c r="O22" s="103"/>
      <c r="P22" s="103"/>
      <c r="Q22" s="103"/>
    </row>
    <row r="23" spans="1:17" ht="15" customHeight="1" x14ac:dyDescent="0.2">
      <c r="A23" s="103"/>
      <c r="B23" s="103"/>
      <c r="C23" s="103"/>
      <c r="D23" s="103"/>
      <c r="E23" s="103"/>
      <c r="F23" s="103"/>
      <c r="G23" s="103"/>
      <c r="H23" s="103"/>
      <c r="I23" s="103"/>
      <c r="J23" s="103"/>
      <c r="K23" s="103"/>
      <c r="L23" s="103"/>
      <c r="M23" s="103"/>
      <c r="N23" s="103"/>
      <c r="O23" s="103"/>
      <c r="P23" s="103"/>
      <c r="Q23" s="103"/>
    </row>
  </sheetData>
  <mergeCells count="27">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A9:N9"/>
    <mergeCell ref="A10:Q10"/>
    <mergeCell ref="A12:Q12"/>
    <mergeCell ref="A13:N13"/>
    <mergeCell ref="O13:P14"/>
    <mergeCell ref="Q13:Q14"/>
    <mergeCell ref="A21:F21"/>
    <mergeCell ref="G21:Q21"/>
    <mergeCell ref="A22:Q23"/>
    <mergeCell ref="O18:P18"/>
    <mergeCell ref="A19:P19"/>
    <mergeCell ref="A20:Q20"/>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2022-04-22T14:31:41Z</cp:lastPrinted>
  <dcterms:created xsi:type="dcterms:W3CDTF">2020-07-17T23:44:49Z</dcterms:created>
  <dcterms:modified xsi:type="dcterms:W3CDTF">2022-04-26T14:37:40Z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