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2A4DFC06-68EC-4FB8-B042-14DEACCE2F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B. CENTRAL NT " sheetId="2" r:id="rId1"/>
    <sheet name="LAB. CENTRAL NPYE" sheetId="1" r:id="rId2"/>
    <sheet name="LAB. CENTRAL APG" sheetId="3" r:id="rId3"/>
  </sheets>
  <externalReferences>
    <externalReference r:id="rId4"/>
  </externalReferences>
  <definedNames>
    <definedName name="_xlnm._FilterDatabase" localSheetId="0" hidden="1">'LAB. CENTRAL NT '!$A$9:$I$124</definedName>
    <definedName name="_xlnm.Print_Area" localSheetId="2">'LAB. CENTRAL APG'!$A$1:$Q$26</definedName>
    <definedName name="_xlnm.Print_Area" localSheetId="1">'LAB. CENTRAL NPYE'!$A$1:$K$126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3" i="1"/>
  <c r="C12" i="1"/>
  <c r="A25" i="3" l="1"/>
  <c r="Q22" i="3"/>
  <c r="A10" i="3"/>
  <c r="G7" i="3"/>
  <c r="G6" i="3"/>
  <c r="G5" i="3"/>
  <c r="G4" i="3"/>
  <c r="D1" i="3"/>
  <c r="I10" i="2"/>
  <c r="I11" i="2"/>
  <c r="I12" i="2"/>
  <c r="I124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J126" i="1" s="1"/>
  <c r="I12" i="1"/>
  <c r="D7" i="1"/>
  <c r="D4" i="1"/>
  <c r="D3" i="1"/>
</calcChain>
</file>

<file path=xl/sharedStrings.xml><?xml version="1.0" encoding="utf-8"?>
<sst xmlns="http://schemas.openxmlformats.org/spreadsheetml/2006/main" count="1555" uniqueCount="384">
  <si>
    <t>NOTA DE PEDIDO</t>
  </si>
  <si>
    <t>N°</t>
  </si>
  <si>
    <t>386 - 2020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</si>
  <si>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</si>
  <si>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</si>
  <si>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</si>
  <si>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</si>
  <si>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</si>
  <si>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 xml:space="preserve">Servicio de Laboratorio Central </t>
  </si>
  <si>
    <t>PERIODO UTILIZACIÓN:</t>
  </si>
  <si>
    <t>OBJETO:</t>
  </si>
  <si>
    <t>Adquisición de Insumos para Laboratorio del HISJB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</si>
  <si>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</si>
  <si>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</si>
  <si>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</si>
  <si>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</si>
  <si>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</si>
  <si>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</si>
  <si>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</si>
  <si>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</si>
  <si>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Ocho millones ochocientos noventa y dos mil cuatrocientos treinta y cuatro con 00/100.-----</t>
  </si>
  <si>
    <t>Garantia</t>
  </si>
  <si>
    <t xml:space="preserve">45 dias habiles </t>
  </si>
  <si>
    <t>Mantenimiento</t>
  </si>
  <si>
    <t>Calidad Minima esperada</t>
  </si>
  <si>
    <t>10 dias - Servicio de Laboratorio Central del HISJB</t>
  </si>
  <si>
    <t>Plazos y lugares de entrega</t>
  </si>
  <si>
    <t xml:space="preserve">FIBRINOGENO  KIT TIPO HEMOMEDICA </t>
  </si>
  <si>
    <t>Descripción técnica</t>
  </si>
  <si>
    <t>Especificidades Item N° 114:</t>
  </si>
  <si>
    <t>CUBETAS COATRON SERIE X 500 U -TECO</t>
  </si>
  <si>
    <t>Especificidades Item N° 113:</t>
  </si>
  <si>
    <t>CONTROL PLASMA NORMAL - 10 x 1 ml - Hemomedica</t>
  </si>
  <si>
    <t>Especificidades Item N° 112:</t>
  </si>
  <si>
    <t>CONTROL PLASMA ANORMAL - 10 x 1 ml - Hemomedica</t>
  </si>
  <si>
    <t>Especificidades Item N° 111:</t>
  </si>
  <si>
    <t>CLORURO DE CALCIO 0,025 M - 10 x 10 Hemomedica</t>
  </si>
  <si>
    <t>Especificidades Item N° 110:</t>
  </si>
  <si>
    <t>APTT-P 10 x 4 Hemo medica</t>
  </si>
  <si>
    <t>Especificidades Item N° 109:</t>
  </si>
  <si>
    <t>TROMBOPLASTINA 10X4ML HEMOMEDICA O SOLUPLASTIN</t>
  </si>
  <si>
    <t>Especificidades Item N° 108:</t>
  </si>
  <si>
    <t>ANTICUERPOS ANTITRANSGLUTAMINASA TIPO ORGENTEC</t>
  </si>
  <si>
    <t>Especificidades Item N° 107:</t>
  </si>
  <si>
    <t>HIDATEST HAI</t>
  </si>
  <si>
    <t>Especificidades Item N° 106:</t>
  </si>
  <si>
    <t>TOXO HAI X 96 DET. TIPO POLYCHACO</t>
  </si>
  <si>
    <t>Especificidades Item N° 105:</t>
  </si>
  <si>
    <t>VDRL CUALITATIVA</t>
  </si>
  <si>
    <t>Especificidades Item N° 104:</t>
  </si>
  <si>
    <t>CHAGAS HAI TIPO POLYCHACO</t>
  </si>
  <si>
    <t>Especificidades Item N° 103:</t>
  </si>
  <si>
    <t>PRECICONTROL VARIA P COBAS E 411</t>
  </si>
  <si>
    <t>Especificidades Item N° 102:</t>
  </si>
  <si>
    <t>PRECICONTROL UNIVERSAL P COBAS E 411</t>
  </si>
  <si>
    <t>Especificidades Item N° 101:</t>
  </si>
  <si>
    <t>PRECICONTROL TUMOR MARKER P COBAS E 411</t>
  </si>
  <si>
    <t>Especificidades Item N° 100:</t>
  </si>
  <si>
    <t>PRECICONTROL TOXOPLASMOSIS IGG</t>
  </si>
  <si>
    <t>Especificidades Item N° 99:</t>
  </si>
  <si>
    <t>PRECICONTROL TOXOPLASMOSIS IGM</t>
  </si>
  <si>
    <t>Especificidades Item N° 98:</t>
  </si>
  <si>
    <t>PRECICONTROL TROPONINA HS- STAT P COBAS E 411</t>
  </si>
  <si>
    <t>Especificidades Item N° 97:</t>
  </si>
  <si>
    <t>PRECICONTROL THYRO P COBAS E 411</t>
  </si>
  <si>
    <t>Especificidades Item N° 96:</t>
  </si>
  <si>
    <t>PRECICONTROL MULTIMARKER QCS P COBAS E 411</t>
  </si>
  <si>
    <t>Especificidades Item N° 95:</t>
  </si>
  <si>
    <t>PRECICONTROL  HBS ANTIGENO P/E411 HEPATITIS</t>
  </si>
  <si>
    <t>Especificidades Item N° 94:</t>
  </si>
  <si>
    <t>PRECICONTROL CITOMEGALOVIRUS IGG</t>
  </si>
  <si>
    <t>Especificidades Item N° 93:</t>
  </si>
  <si>
    <t>PRECICONTROL CITOMEGALOVIRUS IGM</t>
  </si>
  <si>
    <t>Especificidades Item N° 92:</t>
  </si>
  <si>
    <t>PRECICONTROL ANTI HVC</t>
  </si>
  <si>
    <t>Especificidades Item N° 91:</t>
  </si>
  <si>
    <t>PRECICONTROL ANTI HBS  PARA COBAS E411</t>
  </si>
  <si>
    <t>Especificidades Item N° 90:</t>
  </si>
  <si>
    <t>PRECICONTROL ANTI HBC PARA COBAS E411</t>
  </si>
  <si>
    <t>Especificidades Item N° 89:</t>
  </si>
  <si>
    <t>CALIBRADOR TSH P/COBAS E411</t>
  </si>
  <si>
    <t>Especificidades Item N° 88:</t>
  </si>
  <si>
    <t>CALIBRADOR P INMUNOGLOBULINA E P COBAS E 411</t>
  </si>
  <si>
    <t>Especificidades Item N° 87:</t>
  </si>
  <si>
    <t>CALIBRADOR T4 LIBRE P COBAS E 411</t>
  </si>
  <si>
    <t>Especificidades Item N° 86:</t>
  </si>
  <si>
    <t>CALIBRADOR CA 19-9 P COBAS E 411</t>
  </si>
  <si>
    <t>Especificidades Item N° 85:</t>
  </si>
  <si>
    <t>CALIBRADOR ANTI TIROGLOBULINA P COBAS E411</t>
  </si>
  <si>
    <t>Especificidades Item N° 84:</t>
  </si>
  <si>
    <t>TSH P/COBAS E411</t>
  </si>
  <si>
    <t>Especificidades Item N° 83:</t>
  </si>
  <si>
    <t>REACTIVO TIROGLOBULINA P COBAS E 411</t>
  </si>
  <si>
    <t>Especificidades Item N° 82:</t>
  </si>
  <si>
    <t>REACTIVO T4 TOTAL P COBAS E 411</t>
  </si>
  <si>
    <t>Especificidades Item N° 81:</t>
  </si>
  <si>
    <t>REACTIVO PROLACTINA PARA COBAS E411</t>
  </si>
  <si>
    <t>Especificidades Item N° 80:</t>
  </si>
  <si>
    <t>REACTIVO INSULINA P COBAS E411</t>
  </si>
  <si>
    <t>Especificidades Item N° 79:</t>
  </si>
  <si>
    <t>REACTIVO INMUNOGLOBULINA E P COBAS E 411</t>
  </si>
  <si>
    <t>Especificidades Item N° 78:</t>
  </si>
  <si>
    <t>REACTIVO HCG+BETA II PARA COBAS E411</t>
  </si>
  <si>
    <t>Especificidades Item N° 77:</t>
  </si>
  <si>
    <t>REACTIVO CITOMEGALOVIRUS IGG</t>
  </si>
  <si>
    <t>Especificidades Item N° 76:</t>
  </si>
  <si>
    <t>REACTIVO CITOMEGALOVIRUS IGM</t>
  </si>
  <si>
    <t>Especificidades Item N° 75:</t>
  </si>
  <si>
    <t>REACTIVO PSA P COBAS E 411</t>
  </si>
  <si>
    <t>Especificidades Item N° 74:</t>
  </si>
  <si>
    <t>REACTIVO T4 LIBRE P COBAS E 411</t>
  </si>
  <si>
    <t>Especificidades Item N° 73:</t>
  </si>
  <si>
    <t>REACTIVO FSH P COBAS E411</t>
  </si>
  <si>
    <t>Especificidades Item N° 72:</t>
  </si>
  <si>
    <t>REACTIVO ESTRADIOL P COBAS E411</t>
  </si>
  <si>
    <t>Especificidades Item N° 71:</t>
  </si>
  <si>
    <t>REACTIVO DHEA- S P COBAS E411</t>
  </si>
  <si>
    <t>Especificidades Item N° 70:</t>
  </si>
  <si>
    <t>REACTIVO CORTISOL P COBAS E 411</t>
  </si>
  <si>
    <t>Especificidades Item N° 69:</t>
  </si>
  <si>
    <t>REACTIVO CHAGAS P COBAS E 411</t>
  </si>
  <si>
    <t>Especificidades Item N° 68:</t>
  </si>
  <si>
    <t>REACTIVO CEA P COBAS E 411</t>
  </si>
  <si>
    <t>Especificidades Item N° 67:</t>
  </si>
  <si>
    <t>REACTIVO CA 19-9 P COBAS E 411</t>
  </si>
  <si>
    <t>Especificidades Item N° 66:</t>
  </si>
  <si>
    <t>REACTIVO CA 15-3 P COBAS E 411</t>
  </si>
  <si>
    <t>Especificidades Item N° 65:</t>
  </si>
  <si>
    <t>REACTIVO CA 125 P COBAS E 411</t>
  </si>
  <si>
    <t>Especificidades Item N° 64:</t>
  </si>
  <si>
    <t>REACTIVO ANTI ATPO P COBAS E411</t>
  </si>
  <si>
    <t>Especificidades Item N° 63:</t>
  </si>
  <si>
    <t>CFAS PUC P/ COBAS C311</t>
  </si>
  <si>
    <t>Especificidades Item N° 62:</t>
  </si>
  <si>
    <t>CFAS PROTEINAS  P/ COBAS C311</t>
  </si>
  <si>
    <t>Especificidades Item N° 61:</t>
  </si>
  <si>
    <t>CFAS HBA1C   P/ COBAS C311</t>
  </si>
  <si>
    <t>Especificidades Item N° 60:</t>
  </si>
  <si>
    <t>CFAS PAC VIAL X 1 ML P/COBAS C311</t>
  </si>
  <si>
    <t>Especificidades Item N° 59:</t>
  </si>
  <si>
    <t>CFAS MULTICALIBRADOR P/COBAS C311</t>
  </si>
  <si>
    <t>Especificidades Item N° 58:</t>
  </si>
  <si>
    <t>ISE CLEANING SOLUTION X 100 ML P/COBAS C311</t>
  </si>
  <si>
    <t>Especificidades Item N° 57:</t>
  </si>
  <si>
    <t>ISE ACTIVADOR X 12 ML P/COBAS C311</t>
  </si>
  <si>
    <t>Especificidades Item N° 56:</t>
  </si>
  <si>
    <t>CELL WASH SOLUTION NAOH - D BASIC WASH P/COBAS C311 2X 1800 ML</t>
  </si>
  <si>
    <t>Especificidades Item N° 55:</t>
  </si>
  <si>
    <t>ECODETERGENT P/COBAS C311</t>
  </si>
  <si>
    <t>Especificidades Item N° 54:</t>
  </si>
  <si>
    <t>MICRO COPAS DE MUESTRA P/COBAS C311</t>
  </si>
  <si>
    <t>Especificidades Item N° 53:</t>
  </si>
  <si>
    <t>PRECICONTROL LIPIDOS P/COBAS C311</t>
  </si>
  <si>
    <t>Especificidades Item N° 52:</t>
  </si>
  <si>
    <t>PRECICONTROL  HBC1 PATH P/COBAS C311</t>
  </si>
  <si>
    <t>Especificidades Item N° 51:</t>
  </si>
  <si>
    <t>PRECICONTROL  HBC1 NORM P/COBAS C311</t>
  </si>
  <si>
    <t>Especificidades Item N° 50:</t>
  </si>
  <si>
    <t>FACTOR REUMATOIDEO CONTROL SET P COBAS C 311</t>
  </si>
  <si>
    <t>Especificidades Item N° 49:</t>
  </si>
  <si>
    <t>PRECICONTROL CLINCHEM MULTI 2 QCS  P/COBAS C311</t>
  </si>
  <si>
    <t>Especificidades Item N° 48:</t>
  </si>
  <si>
    <t>PRECICONTROL CLINCHEM MULTI 1 QCS  P/COBAS C311</t>
  </si>
  <si>
    <t>Especificidades Item N° 47:</t>
  </si>
  <si>
    <t>ELECTRODO DE PH P COBAS B221</t>
  </si>
  <si>
    <t>Especificidades Item N° 46:</t>
  </si>
  <si>
    <t>ELECTRODO DE PCO2 P COBAS B221</t>
  </si>
  <si>
    <t>Especificidades Item N° 45:</t>
  </si>
  <si>
    <t>ELECTRODO DE PO2 P COBAS B221</t>
  </si>
  <si>
    <t>Especificidades Item N° 44:</t>
  </si>
  <si>
    <t>ELECTRODO DE REFERENCIA  P/COBAS B221</t>
  </si>
  <si>
    <t>Especificidades Item N° 43:</t>
  </si>
  <si>
    <t>ISE ELECTRODO DE CALCIO P/COBAS B221</t>
  </si>
  <si>
    <t>Especificidades Item N° 42:</t>
  </si>
  <si>
    <t>ISE ELECTRODO DE CLORO P/COBAS B221</t>
  </si>
  <si>
    <t>Especificidades Item N° 41:</t>
  </si>
  <si>
    <t>ISE ELECTRODO DE CLORO P/COBAS C311</t>
  </si>
  <si>
    <t>Especificidades Item N° 40:</t>
  </si>
  <si>
    <t>ISE ELECTRODO DE POTASIO P/COBAS B221</t>
  </si>
  <si>
    <t>Especificidades Item N° 39:</t>
  </si>
  <si>
    <t>ISE ELECTRODO DE POTASIO P/COBAS C311</t>
  </si>
  <si>
    <t>Especificidades Item N° 38:</t>
  </si>
  <si>
    <t>ISE ELECTRODO DE SODIO P/COBAS B221</t>
  </si>
  <si>
    <t>Especificidades Item N° 37:</t>
  </si>
  <si>
    <t>ISE ELECTRODO DE SODIO P/COBAS C311</t>
  </si>
  <si>
    <t>Especificidades Item N° 36:</t>
  </si>
  <si>
    <t>ISE STANDART LOW P/COBAS C311</t>
  </si>
  <si>
    <t>Especificidades Item N° 35:</t>
  </si>
  <si>
    <t>ISE STANDART HIGH P/COBAS C311</t>
  </si>
  <si>
    <t>Especificidades Item N° 34:</t>
  </si>
  <si>
    <t>ISE SOLUTION DE REFERENCIA P/COBAS C311</t>
  </si>
  <si>
    <t>Especificidades Item N° 33:</t>
  </si>
  <si>
    <t>ISE INTERNAL STANDART GEN2 P/COBAS C311</t>
  </si>
  <si>
    <t>Especificidades Item N° 32:</t>
  </si>
  <si>
    <t>ISE DILUENT P/COBAS C311</t>
  </si>
  <si>
    <t>Especificidades Item N° 31:</t>
  </si>
  <si>
    <t>UREA P/COBAS  C311</t>
  </si>
  <si>
    <t>Especificidades Item N° 30:</t>
  </si>
  <si>
    <t>PROTEINAS TOTALES COBAS ROCHE C311</t>
  </si>
  <si>
    <t>Especificidades Item N° 29:</t>
  </si>
  <si>
    <t>PROTEINA URINARIA P/COBAS C311</t>
  </si>
  <si>
    <t>Especificidades Item N° 28:</t>
  </si>
  <si>
    <t>Proteína C Reactiva - CRPL - P COBAS C 311</t>
  </si>
  <si>
    <t>Especificidades Item N° 27:</t>
  </si>
  <si>
    <t>GPT/ALT P COBAS C311</t>
  </si>
  <si>
    <t>Especificidades Item N° 26:</t>
  </si>
  <si>
    <t>GOT/AST P COBAS C 311</t>
  </si>
  <si>
    <t>Especificidades Item N° 25:</t>
  </si>
  <si>
    <t>GLUCOSA HK GEN 3 X 800 COBAS C311</t>
  </si>
  <si>
    <t>Especificidades Item N° 24:</t>
  </si>
  <si>
    <t>GGT P/COBAS C311</t>
  </si>
  <si>
    <t>Especificidades Item N° 23:</t>
  </si>
  <si>
    <t>FOSFORO P/COBAS C311</t>
  </si>
  <si>
    <t>Especificidades Item N° 22:</t>
  </si>
  <si>
    <t>FOSFATASA ALCALINA COBAS C311</t>
  </si>
  <si>
    <t>Especificidades Item N° 21:</t>
  </si>
  <si>
    <t>FERRITINA P COBAS C 311</t>
  </si>
  <si>
    <t>Especificidades Item N° 20:</t>
  </si>
  <si>
    <t>FACTOR REUMATOIDEO P COBAS C 311</t>
  </si>
  <si>
    <t>Especificidades Item N° 19:</t>
  </si>
  <si>
    <t>CREATININA P COBAS C311</t>
  </si>
  <si>
    <t>Especificidades Item N° 18:</t>
  </si>
  <si>
    <t>CALCIO P/COBAS C311</t>
  </si>
  <si>
    <t>Especificidades Item N° 17:</t>
  </si>
  <si>
    <t>BILIRRUBINA TOTAL GEN 3 COBAS C311</t>
  </si>
  <si>
    <t>Especificidades Item N° 16:</t>
  </si>
  <si>
    <t>BILIRRUBINA DIRECTA COBAS  C311</t>
  </si>
  <si>
    <t>Especificidades Item N° 15:</t>
  </si>
  <si>
    <t>AMPOULE ADAPTER X 150PCS P/COBAS B221</t>
  </si>
  <si>
    <t>Especificidades Item N° 14:</t>
  </si>
  <si>
    <t>SENSOR GLUCOSA LACTATO P/COBAS B221</t>
  </si>
  <si>
    <t>Especificidades Item N° 13:</t>
  </si>
  <si>
    <t>COMBITROL PLUS NIVEL 3 P/COBAS 221</t>
  </si>
  <si>
    <t>Especificidades Item N° 12:</t>
  </si>
  <si>
    <t>COMBITROL PLUS NIVEL 2 P/COBAS 221</t>
  </si>
  <si>
    <t>Especificidades Item N° 11:</t>
  </si>
  <si>
    <t>COMBITROL PLUS NIVEL 1 P/COBAS 221</t>
  </si>
  <si>
    <t>Especificidades Item N° 10:</t>
  </si>
  <si>
    <t>S3 FLUID PACK P/COBAS 221</t>
  </si>
  <si>
    <t>Especificidades Item N° 9:</t>
  </si>
  <si>
    <t>S2 FLUID PACK P/COBAS 221</t>
  </si>
  <si>
    <t>Especificidades Item N° 8:</t>
  </si>
  <si>
    <t>S1 RINSE SOLUTION 2 PCS P/COBAS B221</t>
  </si>
  <si>
    <t>Especificidades Item N° 7:</t>
  </si>
  <si>
    <t>FLUOROCELL 2 X 42 MML P/SYSMEX XN</t>
  </si>
  <si>
    <t>Especificidades Item N° 6:</t>
  </si>
  <si>
    <t>XN CHECK - TIPO SYSMEX XNL</t>
  </si>
  <si>
    <t>Especificidades Item N° 5:</t>
  </si>
  <si>
    <t>LYSERCELL WDF X 5 LTS - TIPO SYSMEX XNL</t>
  </si>
  <si>
    <t>Especificidades Item N° 4:</t>
  </si>
  <si>
    <t>CELLCLEAN AUTO X 20 VIALES -TIPO SYSMEX XNL</t>
  </si>
  <si>
    <t>Especificidades Item N° 3:</t>
  </si>
  <si>
    <t>SULFOLYSER x 5 LTS - TIPO SYSMEX XNL</t>
  </si>
  <si>
    <t>Especificidades Item N° 2:</t>
  </si>
  <si>
    <t>CELL PACK DCL x 20 LTS- TIPO SYSMEX XNL</t>
  </si>
  <si>
    <t>Especificidades Item N° 1:</t>
  </si>
  <si>
    <t>CAJA</t>
  </si>
  <si>
    <t>REACTIVOS P/LAB. TEC. MANUAL ; NOMBRE: DET. FIBRINOGENO, USO: HEMATOLOGIA, PRESENTACION: ENVASE X 100 DETERM.</t>
  </si>
  <si>
    <t>2.5.1</t>
  </si>
  <si>
    <t>CUBETAS DE REACCION; MATERIAL: PLASTICO, CELDAS: 500 C/AGITADOR, USO: COAGULOMETRO</t>
  </si>
  <si>
    <t>2.9.5</t>
  </si>
  <si>
    <t>REACTIVOS P/LAB. TEC. MANUAL ; NOMBRE: PLASMA HUMANO NORMAL LIOF., USO: ENSAYO COAGULOMETRICO, PRESENTACION: ENVASE X 10 UN</t>
  </si>
  <si>
    <t>REACTIVOS P/EQUIPO; EQUIPO: COAGULOMETRO, MARCA EQUIPO: COATRON A4, NOMBRE DEL PRODUCTO: CLORURO DE CALCIO, PRESENTACION: 10 X ENVASE X 10 Ml</t>
  </si>
  <si>
    <t>REACTIVOS P/LAB. TEC. MANUAL ; NOMBRE: APTT ACTIN FSL ACT PTT, USO: ENSAYO COAGULOMETRICO, PRESENTACION: ENVASE X 10 UN</t>
  </si>
  <si>
    <t>REACTIVOS P/EQUIPO; EQUIPO: COAGULOMETRO, MARCA EQUIPO: COATRON A4, NOMBRE DEL PRODUCTO: TROMBOPLASTINA-S, PRESENTACION: 10 X ENVASE X 4 mL</t>
  </si>
  <si>
    <t>REACTIVOS P/LAB. TEC. MANUAL ; NOMBRE: ELISA IGA ANTITRANSGLUTAMINASA, USO: DIAGNOSTICO ENFERMEDAD CELIACA, PRESENTACION: ENVASE X 96 DETERM.</t>
  </si>
  <si>
    <t>REACTIVOS P/LAB. TEC. MANUAL ; NOMBRE: KIT ELISA IGG- HIDATIDOSIS, USO: DIAGNOSTICO, PRESENTACION: ENVASE X 96 DETERM.</t>
  </si>
  <si>
    <t>REACTIVOS P/LAB. TEC. MANUAL ; NOMBRE: TOXOTEST HAI, USO: INMUNOLOGIA, PRESENTACION: ENVASE X 96 DETERM.</t>
  </si>
  <si>
    <t>REACTIVOS P/LAB. TEC. MANUAL ; NOMBRE: VDRL, USO: DIAGNOSTICO, PRESENTACION: ENVASE X 250 DETERM.</t>
  </si>
  <si>
    <t>REACTIVOS P/LAB. TEC. MANUAL ; NOMBRE: DET. CHAGAS X HEMOAGLUT., USO: DIAGNOSTICO, PRESENTACION: ENVASE X 480 DETERM.</t>
  </si>
  <si>
    <t>PATRON/ESTANDAR P/CALIBRACION; EQUIPO: AUTOANA. X QUIMIOLUMINISCENCIA, MARCA EQUIPO: ROCHE, NOMBRE DEL PRODUCTO: CALIBRADOR HORMONA TSH, PRESENTACION: ENVASE X 10 DETERM.</t>
  </si>
  <si>
    <t>PATRON/ESTANDAR P/CALIBRACION; EQUIPO: AUTOANAL. X QUIMIOLUMINISCECIA, MARCA EQUIPO: ROCHE, NOMBRE DEL PRODUCTO: CALIBRADOR INMUNOGLOBULINA E, PRESENTACION: ENVASE X 10 DETERM.</t>
  </si>
  <si>
    <t>PATRON/ESTANDAR P/CALIBRACION; EQUIPO: AUTOANA. X QUIMIOLUMINISCENCIA, MARCA EQUIPO: ROCHE, NOMBRE DEL PRODUCTO: CALIBRADOR HORMONA TIROIDE T4, PRESENTACION: ENVASE X 10 DETERM.</t>
  </si>
  <si>
    <t>PATRON/ESTANDAR P/CALIBRACION; EQUIPO: AUTOANAL. X QUIMIOLUMINISCECIA, MARCA EQUIPO: ROCHE, NOMBRE DEL PRODUCTO: CAL. MARCADOR TUMORAL CA 19-9, PRESENTACION: ENVASE X 10 DETERM.</t>
  </si>
  <si>
    <t>REACTIVOS P/EQUIPO; EQUIPO: AUTOANA. X QUIMIOLUMINISCENCIA, MARCA EQUIPO: ROCHE, NOMBRE DEL PRODUCTO: DET. ANTIC. ANTITIROGLOBULINA, PRESENTACION: ENVASE X 100 DETERM.</t>
  </si>
  <si>
    <t>REACTIVOS P/EQUIPO; EQUIPO: AUTOANA. X QUIMIOLUMINISCENCIA, MARCA EQUIPO: ROCHE, NOMBRE DEL PRODUCTO: KIT P/CUANT TIROGLOBULINA 2GEN, PRESENTACION: ENVASE X 100 DETERM.</t>
  </si>
  <si>
    <t>REACTIVOS P/EQUIPO; EQUIPO: AUTOANA. X QUIMIOLUMINISCENCIA, MARCA EQUIPO: ROCHE, NOMBRE DEL PRODUCTO: KIT P/CUANT. HORM TIROIDE T4, PRESENTACION: ENVASE X 200 DETERM.</t>
  </si>
  <si>
    <t>REACTIVOS P/EQUIPO; EQUIPO: AUTOANA. X QUIMIOLUMINISCENCIA, MARCA EQUIPO: ROCHE, NOMBRE DEL PRODUCTO: KIT P/CUANT. PROLACTINA II, PRESENTACION: ENVASE X 100 DETERM.</t>
  </si>
  <si>
    <t>REACTIVOS P/EQUIPO; EQUIPO: AUTOANA. X QUIMIOLUMINISCENCIA, MARCA EQUIPO: ROCHE, NOMBRE DEL PRODUCTO: KIT P/CUANT. HORMONA INSULINA, PRESENTACION: ENVASE X 100 DETERM.</t>
  </si>
  <si>
    <t>REACTIVOS P/EQUIPO; EQUIPO: AUTOANA. X QUIMIOLUMINISCENCIA, MARCA EQUIPO: ROCHE, NOMBRE DEL PRODUCTO: KIT P/CUANT. INMUNOGLOBULINA E, PRESENTACION: ENVASE X 100 DETERM.</t>
  </si>
  <si>
    <t>REACTIVOS P/EQUIPO; EQUIPO: AUTOANALIZADOR, MARCA EQUIPO: COBAS ROCHE, NOMBRE DEL PRODUCTO: BETA HCG, PRESENTACION: ENVASE X 100 DETERM.</t>
  </si>
  <si>
    <t>REACTIVOS P/EQUIPO; EQUIPO: ELECTROQUIMIOLUMINISCENCIA, MARCA EQUIPO: ELECSYS ROCHE, NOMBRE DEL PRODUCTO: ATC CITOMEGALOVIRUS IG G, PRESENTACION: ENVASE X 100 DETERM.</t>
  </si>
  <si>
    <t>REACTIVOS P/EQUIPO; EQUIPO: ELECTROQUIMIOLUMINISCENCIA, MARCA EQUIPO: ELECSYS ROCHE, NOMBRE DEL PRODUCTO: ATC CITOMEGALOVIRUS IG M, PRESENTACION: ENVASE X 100 DETERM.</t>
  </si>
  <si>
    <t>REACTIVOS P/EQUIPO; EQUIPO: AUTOANA. X QUIMIOLUMINISCENCIA, MARCA EQUIPO: ROCHE, NOMBRE DEL PRODUCTO: ANTIG. PROSTATICO ESPECIF. PSA, PRESENTACION: ENVASE X 100 DETERM.</t>
  </si>
  <si>
    <t>REACTIVOS P/EQUIPO; EQUIPO: AUTOANA. X QUIMIOLUMINISCENCIA, MARCA EQUIPO: ROCHE, NOMBRE DEL PRODUCTO: KIT P/CUANT. HORMONA FSH, PRESENTACION: ENVASE X 100 DETERM.</t>
  </si>
  <si>
    <t>REACTIVOS P/EQUIPO; EQUIPO: AUTOANA. X QUIMIOLUMINISCENCIA, MARCA EQUIPO: ROCHE, NOMBRE DEL PRODUCTO: KIT P/CUANT. HORMONA ESTRADIOL, PRESENTACION: ENVASE X 100 DETERM.</t>
  </si>
  <si>
    <t>REACTIVOS P/EQUIPO; EQUIPO: AUTOANA. X QUIMIOLUMINISCENCIA, MARCA EQUIPO: ROCHE, NOMBRE DEL PRODUCTO: DETER. HORMONA DHEA-S, PRESENTACION: ENVASE X 100 DETERM.</t>
  </si>
  <si>
    <t>REACTIVOS P/EQUIPO; EQUIPO: AUTOANA. X QUIMIOLUMINISCENCIA, MARCA EQUIPO: ROCHE, NOMBRE DEL PRODUCTO: KIT P/CUANT. HORMONA CORTISOL, PRESENTACION: ENVASE X 100 DETERM.</t>
  </si>
  <si>
    <t>REACTIVOS P/EQUIPO; EQUIPO: AUTOANA. X QUIMIOLUMINISCENCIA, MARCA EQUIPO: ROCHE, NOMBRE DEL PRODUCTO: ANTIG. CARCINOEMBRIONARIO CEA, PRESENTACION: ENVASE X 100 DETERM.</t>
  </si>
  <si>
    <t>REACTIVOS P/EQUIPO; EQUIPO: AUTOANA. X QUIMIOLUMINISCENCIA, MARCA EQUIPO: ROCHE, NOMBRE DEL PRODUCTO: KIT P/CUANT. MARC TUMOR CA19-9, PRESENTACION: ENVASE X 100 DETERM.</t>
  </si>
  <si>
    <t>REACTIVOS P/EQUIPO; EQUIPO: AUTOANA. X QUIMIOLUMINISCENCIA, MARCA EQUIPO: ROCHE, NOMBRE DEL PRODUCTO: KIT P/CUANT. MARC TUMOR CA15-3, PRESENTACION: ENVASE X 100 DETERM.</t>
  </si>
  <si>
    <t>REACTIVOS P/EQUIPO; EQUIPO: AUTOANA. X QUIMIOLUMINISCENCIA, MARCA EQUIPO: ROCHE, NOMBRE DEL PRODUCTO: KIT P/CUANT. MARC TUMOR. CA125, PRESENTACION: ENVASE X 100 DETERM.</t>
  </si>
  <si>
    <t>MICROCOPAS DE MUESTRA; TIPO: AUTOANALIZADOR, PRESENTACION: CAJA X  500</t>
  </si>
  <si>
    <t>REACTIVOS P/EQUIPO; EQUIPO: AUTOANA. QUIMICA CLINICA, MARCA EQUIPO: COBAS ROCHE, NOMBRE DEL PRODUCTO: FR, PRESENTACION: ENVASE X 100 DETERM.</t>
  </si>
  <si>
    <t>UNIDAD</t>
  </si>
  <si>
    <t>REACTIVOS P/EQUIPO; EQUIPO: AUTOANA. QUIMICA CLINICA, MARCA EQUIPO: COBAS ROCHE, NOMBRE DEL PRODUCTO: ESTANDAR INTERNO P/IONOGRAMAS, PRESENTACION: 5 X ENVASE X 600 Ml</t>
  </si>
  <si>
    <t>CASSETTE</t>
  </si>
  <si>
    <t>REACTIVOS P/EQUIPO; EQUIPO: ANALIZADOR MULTIPARAMETRICO, MARCA EQUIPO: COBAS ROCHE, NOMBRE DEL PRODUCTO: DET. DE UREA/BUN, PRESENTACION: UNIDAD</t>
  </si>
  <si>
    <t>REACTIVOS P/EQUIPO; EQUIPO: AUTOANA. QUIMICA CLINICA, MARCA EQUIPO: COBAS ROCHE, NOMBRE DEL PRODUCTO: PROTEINAS TOTALES, PRESENTACION: ENVASE X 400 DETERM.</t>
  </si>
  <si>
    <t>REACTIVOS P/EQUIPO; EQUIPO: ANALIZADOR MULTIPARAMETRICO, MARCA EQUIPO: COBAS ROCHE, NOMBRE DEL PRODUCTO: DET. DE PROTEINAS EN ORINA, PRESENTACION: UNIDAD</t>
  </si>
  <si>
    <t>REACTIVOS P/EQUIPO; EQUIPO: ANALIZADOR MULTIPARAMETRICO, MARCA EQUIPO: COBAS ROCHE, NOMBRE DEL PRODUCTO: DET. DE ALT/TGP, PRESENTACION: UNIDAD</t>
  </si>
  <si>
    <t>REACTIVOS P/EQUIPO; EQUIPO: ANALIZADOR MULTIPARAMETRICO, MARCA EQUIPO: COBAS ROCHE, NOMBRE DEL PRODUCTO: DET. DE AST/TGO, PRESENTACION: UNIDAD</t>
  </si>
  <si>
    <t>REACTIVOS P/EQUIPO; EQUIPO: AUTOANA. QUIMICA CLINICA, MARCA EQUIPO: COBAS ROCHE, NOMBRE DEL PRODUCTO: GLUCOSA, PRESENTACION: ENVASE X 800 DETERM.</t>
  </si>
  <si>
    <t>REACTIVOS P/EQUIPO; EQUIPO: ANALIZADOR MULTIPARAMETRICO, MARCA EQUIPO: COBAS ROCHE, NOMBRE DEL PRODUCTO: DET. DE GGT, PRESENTACION: UNIDAD</t>
  </si>
  <si>
    <t>REACTIVOS P/EQUIPO; EQUIPO: AUTOANA. QUIMICA CLINICA, MARCA EQUIPO: COBAS ROCHE, NOMBRE DEL PRODUCTO: FOSFORO, PRESENTACION: ENVASE X 250 DETERM.</t>
  </si>
  <si>
    <t>REACTIVOS P/EQUIPO; EQUIPO: ANALIZADOR MULTIPARAMETRICO, MARCA EQUIPO: COBAS ROCHE, NOMBRE DEL PRODUCTO: DET. DE FOSFATASA ALCALINA, PRESENTACION: UNIDAD</t>
  </si>
  <si>
    <t>REACTIVOS P/EQUIPO; EQUIPO: AUTOMATIZADO, MARCA EQUIPO: A DEFINIR, NOMBRE DEL PRODUCTO: FERRITINA, PRESENTACION: DETERMINACION</t>
  </si>
  <si>
    <t>REACTIVOS P/EQUIPO; EQUIPO: ANALIZADOR MULTIPARAMETRICO, MARCA EQUIPO: COBAS ROCHE, NOMBRE DEL PRODUCTO: DET. DE CREATININA, PRESENTACION: UNIDAD</t>
  </si>
  <si>
    <t>REACTIVOS P/EQUIPO; EQUIPO: AUTOANA. QUIMICA CLINICA, MARCA EQUIPO: COBAS ROCHE, NOMBRE DEL PRODUCTO: CALCIO, PRESENTACION: ENVASE X 300 DETERM.</t>
  </si>
  <si>
    <t>REACTIVOS P/EQUIPO; EQUIPO: AUTOANA. QUIMICA CLINICA, MARCA EQUIPO: COBAS ROCHE, NOMBRE DEL PRODUCTO: BILIRRUBINA TOTAL, PRESENTACION: ENVASE X 250 DETERM.</t>
  </si>
  <si>
    <t>REACTIVOS P/EQUIPO; EQUIPO: AUTOANA. QUIMICA CLINICA, MARCA EQUIPO: COBAS ROCHE, NOMBRE DEL PRODUCTO: BILIRRUBINA DIRECTA, PRESENTACION: ENVASE X 350 DETERM.</t>
  </si>
  <si>
    <t>REACTIVOS P/EQUIPO; EQUIPO: ANALIZADOR DE GASES, MARCA EQUIPO: ROCHE, NOMBRE DEL PRODUCTO: DET. DE GLUCOSA Y LACTATO, PRESENTACION: DETERMINACION</t>
  </si>
  <si>
    <t>PATRON/ESTANDAR P/CALIBRACION; PRESENTACION: 30 X ENVASE X 1,7 mL, NOMBRE DEL PRODUCTO: COMBITROL TS NIVEL 3, MARCA EQUIPO: ROCHE, EQUIPO: ANALIZADOR DE GASES</t>
  </si>
  <si>
    <t>PATRON/ESTANDAR P/CALIBRACION; PRESENTACION: 30 X ENVASE X 1,7 mL, NOMBRE DEL PRODUCTO: COMBITROL TS NIVEL 2, MARCA EQUIPO: ROCHE, EQUIPO: ANALIZADOR DE GASES</t>
  </si>
  <si>
    <t>PATRON/ESTANDAR P/CALIBRACION; PRESENTACION: 30 X ENVASE X 1,7 mL, NOMBRE DEL PRODUCTO: COMBITROL TS NIVEL 1, MARCA EQUIPO: ROCHE, EQUIPO: ANALIZADOR DE GASES</t>
  </si>
  <si>
    <t>BIDON</t>
  </si>
  <si>
    <t>REACTIVOS P/EQUIPO; EQUIPO: CONTADOR HEMATOLOGICO, MARCA EQUIPO: SYSMEX ROCHE, NOMBRE DEL PRODUCTO: REACTIVO DIFERENCIAL, PRESENTACION: ENVASE X 5 L</t>
  </si>
  <si>
    <t>2.9.9</t>
  </si>
  <si>
    <t>REACTIVOS P/EQUIPO; EQUIPO: CONTADOR HEMATOLOGICO, MARCA EQUIPO: SYSMEX ROCHE, NOMBRE DEL PRODUCTO: LISANTE, PRESENTACION: ENVASE X 5 L</t>
  </si>
  <si>
    <t>DILUYENTES P/LABORATORIOS; TIPO : BUFFER DILUYENTE, USO: LABORATORIO, PRESENTACION: ENVASE X 20 L, TIPO: BUFFER DILUYENTE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</si>
  <si>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</si>
  <si>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</si>
  <si>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</si>
  <si>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</si>
  <si>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</si>
  <si>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</si>
  <si>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</si>
  <si>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</si>
  <si>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</si>
  <si>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</si>
  <si>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</si>
  <si>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23 - Hospital Interzonal San Juan Bautista</t>
  </si>
  <si>
    <t xml:space="preserve">SAF N°: </t>
  </si>
  <si>
    <t>40 - Ministerio de Salud</t>
  </si>
  <si>
    <t>JURISDICCION:</t>
  </si>
  <si>
    <t>Pedido de Necesidades Trimestrales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</si>
  <si>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</si>
  <si>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</si>
  <si>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</si>
  <si>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</si>
  <si>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</si>
  <si>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</si>
  <si>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</si>
  <si>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</si>
  <si>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</si>
  <si>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</si>
  <si>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</si>
  <si>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</si>
  <si>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</si>
  <si>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</si>
  <si>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</si>
  <si>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</si>
  <si>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</si>
  <si>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</si>
  <si>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</si>
  <si>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</si>
  <si>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</si>
  <si>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</si>
  <si>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</si>
  <si>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Compuestos Químicos</t>
  </si>
  <si>
    <t>Utiles Menores Médico, Quirúrgico y de Laboratorio</t>
  </si>
  <si>
    <t>Otros N.E.P.</t>
  </si>
  <si>
    <t>SON PESOS: OCHO MILLONES OCHOCIENTOS NOVENTA Y DOS MIL CUATROCIENTOS TREINTA Y CUATRO CON 00/100</t>
  </si>
  <si>
    <t>JUSTIFICACIÓN:</t>
  </si>
  <si>
    <t>Proteína C Reactiva - CRPL - P COBAS C 311 x 250 det.</t>
  </si>
  <si>
    <t>ISE DILUENT P/COBAS C311 5x300 ml.</t>
  </si>
  <si>
    <t>ISE STANDART HIGH P/COBAS C311 10 x 3 ml.</t>
  </si>
  <si>
    <t>ISE STANDART LOW P/COBAS C311 10 x 3 ml.</t>
  </si>
  <si>
    <t>PRECICONTROL CLINCHEM MULTI 1 QCS  P/COBAS C311 20 x 5 ml.</t>
  </si>
  <si>
    <t>PRECICONTROL CLINCHEM MULTI 2 QCS  P/COBAS C311 20 x 5 ml.</t>
  </si>
  <si>
    <t>ISE ACTIVADOR X 12 ML P/COBAS C311 9 x 12 ml.</t>
  </si>
  <si>
    <t>CFAS PAC VIAL X 1 ML P/COBAS C311 3 x 1 ml.</t>
  </si>
  <si>
    <t>FACTOR REUMATOIDEO P COBAS C 311 - ENVASE X 100 DETERM.</t>
  </si>
  <si>
    <t>ISE SOLUTION DE REFERENCIA P/COBAS C311 - PRESENTACION: 2 X ENVASE X 115 mL</t>
  </si>
  <si>
    <t>CELLCLEAN AUTO X 20 VIALES -TIPO SYSMEX XNL - 20 X 4 ML</t>
  </si>
  <si>
    <t>XN CHECK - TIPO SYSMEX XNL - 12 X 30 ML</t>
  </si>
  <si>
    <t>S1 RINSE SOLUTION 2 PCS P/COBAS B221 - 2 U</t>
  </si>
  <si>
    <t>PRECICONTROL  HBC1 NORM P/COBAS C311 - 4 X 1 ML</t>
  </si>
  <si>
    <t>PRECICONTROL  HBC1 PATH P/COBAS C311 - 4 X 1 ML</t>
  </si>
  <si>
    <t>ISE CLEANING SOLUTION X 100 ML P/COBAS C311 5 x 100 ml.</t>
  </si>
  <si>
    <t>REACTIVO CHAGAS P COBAS E 411 - PRESENTACION: 100 DETERMINACIONES</t>
  </si>
  <si>
    <t>REACTIVO T4 LIBRE P COBAS E 411 - PRESENTACION: ENVASE X 200 DETERM.</t>
  </si>
  <si>
    <t>TSH P/COBAS E411 - PRESENTACION: ENVASE X 200 DETERM.</t>
  </si>
  <si>
    <t>PRECICONTROL MULTIMARKER QCS P COBAS E 411 - 6 x 2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</si>
</sst>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_(\$* #,##0.00_);_(\$* \(#,##0.00\);_(\$* \-??_);_(@_)"/>
    <numFmt numFmtId="168" formatCode="dd\-mm\-yy;@"/>
  </numFmts>
  <fonts count="31" x14ac:knownFonts="1">
    <font>
      <sz val="12"/>
      <color theme="1"/>
      <name val="Times New Roman"/>
      <family val="2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color theme="0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48"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Border="0" applyProtection="0"/>
    <xf numFmtId="0" fontId="1" fillId="0" borderId="0"/>
    <xf numFmtId="0" fontId="8" fillId="0" borderId="11" applyProtection="0"/>
    <xf numFmtId="167" fontId="4" fillId="0" borderId="0" applyBorder="0" applyProtection="0"/>
    <xf numFmtId="0" fontId="9" fillId="4" borderId="0" applyBorder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2" fillId="0" borderId="1" xfId="2" applyFont="1" applyBorder="1" applyAlignment="1">
      <alignment horizontal="right" vertical="center"/>
    </xf>
    <xf numFmtId="0" fontId="3" fillId="2" borderId="2" xfId="2" applyFont="1" applyFill="1" applyBorder="1" applyAlignment="1">
      <alignment horizontal="center" vertical="center"/>
    </xf>
    <xf numFmtId="0" fontId="4" fillId="0" borderId="0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0" xfId="2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 wrapText="1" indent="1"/>
    </xf>
    <xf numFmtId="0" fontId="7" fillId="0" borderId="10" xfId="2" applyFont="1" applyBorder="1" applyAlignment="1">
      <alignment horizontal="center" vertical="center"/>
    </xf>
    <xf numFmtId="0" fontId="7" fillId="3" borderId="10" xfId="2" applyFont="1" applyFill="1" applyBorder="1" applyAlignment="1">
      <alignment horizontal="left" vertical="center"/>
    </xf>
    <xf numFmtId="0" fontId="7" fillId="2" borderId="10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 wrapText="1"/>
    </xf>
    <xf numFmtId="165" fontId="7" fillId="3" borderId="10" xfId="1" applyNumberFormat="1" applyFont="1" applyFill="1" applyBorder="1" applyAlignment="1" applyProtection="1">
      <alignment horizontal="right" vertical="center" wrapText="1"/>
    </xf>
    <xf numFmtId="3" fontId="7" fillId="3" borderId="10" xfId="2" applyNumberFormat="1" applyFont="1" applyFill="1" applyBorder="1" applyAlignment="1">
      <alignment horizontal="center" vertical="center"/>
    </xf>
    <xf numFmtId="0" fontId="1" fillId="0" borderId="0" xfId="2"/>
    <xf numFmtId="0" fontId="10" fillId="0" borderId="0" xfId="2" applyFont="1"/>
    <xf numFmtId="0" fontId="11" fillId="0" borderId="0" xfId="2" applyFont="1"/>
    <xf numFmtId="0" fontId="10" fillId="3" borderId="0" xfId="2" applyFont="1" applyFill="1"/>
    <xf numFmtId="0" fontId="10" fillId="0" borderId="12" xfId="2" applyFont="1" applyBorder="1"/>
    <xf numFmtId="0" fontId="10" fillId="0" borderId="13" xfId="2" applyFont="1" applyBorder="1"/>
    <xf numFmtId="0" fontId="10" fillId="0" borderId="14" xfId="2" applyFont="1" applyBorder="1" applyAlignment="1">
      <alignment horizontal="left" indent="3"/>
    </xf>
    <xf numFmtId="0" fontId="12" fillId="0" borderId="16" xfId="2" applyFont="1" applyBorder="1" applyAlignment="1">
      <alignment horizontal="left" indent="3"/>
    </xf>
    <xf numFmtId="0" fontId="10" fillId="0" borderId="15" xfId="2" applyFont="1" applyBorder="1"/>
    <xf numFmtId="0" fontId="10" fillId="0" borderId="0" xfId="2" applyFont="1" applyBorder="1"/>
    <xf numFmtId="0" fontId="10" fillId="0" borderId="16" xfId="2" applyFont="1" applyBorder="1" applyAlignment="1">
      <alignment horizontal="left" indent="3"/>
    </xf>
    <xf numFmtId="0" fontId="10" fillId="0" borderId="15" xfId="2" applyFont="1" applyBorder="1" applyAlignment="1">
      <alignment horizontal="center" wrapText="1"/>
    </xf>
    <xf numFmtId="0" fontId="10" fillId="0" borderId="0" xfId="2" applyFont="1" applyBorder="1" applyAlignment="1">
      <alignment horizontal="center" wrapText="1"/>
    </xf>
    <xf numFmtId="0" fontId="10" fillId="0" borderId="16" xfId="2" applyFont="1" applyBorder="1"/>
    <xf numFmtId="0" fontId="10" fillId="0" borderId="17" xfId="2" applyFont="1" applyBorder="1"/>
    <xf numFmtId="0" fontId="10" fillId="0" borderId="18" xfId="2" applyFont="1" applyBorder="1"/>
    <xf numFmtId="0" fontId="12" fillId="0" borderId="19" xfId="2" applyFont="1" applyBorder="1"/>
    <xf numFmtId="165" fontId="13" fillId="0" borderId="0" xfId="2" applyNumberFormat="1" applyFont="1"/>
    <xf numFmtId="165" fontId="11" fillId="2" borderId="5" xfId="1" applyNumberFormat="1" applyFont="1" applyFill="1" applyBorder="1" applyAlignment="1" applyProtection="1">
      <alignment horizontal="right" vertical="center" wrapText="1"/>
    </xf>
    <xf numFmtId="166" fontId="14" fillId="3" borderId="20" xfId="2" applyNumberFormat="1" applyFont="1" applyFill="1" applyBorder="1" applyAlignment="1">
      <alignment horizontal="center" vertical="center"/>
    </xf>
    <xf numFmtId="0" fontId="15" fillId="3" borderId="20" xfId="2" applyFont="1" applyFill="1" applyBorder="1" applyAlignment="1">
      <alignment horizontal="center" vertical="center"/>
    </xf>
    <xf numFmtId="0" fontId="16" fillId="3" borderId="20" xfId="2" applyFont="1" applyFill="1" applyBorder="1" applyAlignment="1">
      <alignment horizontal="center" vertical="center" wrapText="1"/>
    </xf>
    <xf numFmtId="0" fontId="14" fillId="0" borderId="20" xfId="2" applyFont="1" applyFill="1" applyBorder="1" applyAlignment="1">
      <alignment horizontal="left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left" vertical="center" wrapText="1"/>
    </xf>
    <xf numFmtId="0" fontId="17" fillId="2" borderId="5" xfId="2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6" fillId="3" borderId="21" xfId="2" applyFont="1" applyFill="1" applyBorder="1" applyAlignment="1">
      <alignment horizontal="center" vertical="center" wrapText="1"/>
    </xf>
    <xf numFmtId="0" fontId="15" fillId="3" borderId="0" xfId="2" applyFont="1" applyFill="1" applyAlignment="1">
      <alignment horizontal="center" vertical="center"/>
    </xf>
    <xf numFmtId="0" fontId="14" fillId="0" borderId="21" xfId="2" applyFont="1" applyFill="1" applyBorder="1" applyAlignment="1">
      <alignment horizontal="left" vertical="center" wrapText="1"/>
    </xf>
    <xf numFmtId="3" fontId="14" fillId="3" borderId="20" xfId="2" applyNumberFormat="1" applyFont="1" applyFill="1" applyBorder="1" applyAlignment="1">
      <alignment horizontal="center" vertical="center"/>
    </xf>
    <xf numFmtId="0" fontId="16" fillId="0" borderId="20" xfId="2" applyFont="1" applyFill="1" applyBorder="1" applyAlignment="1">
      <alignment horizontal="left" wrapText="1"/>
    </xf>
    <xf numFmtId="0" fontId="16" fillId="3" borderId="20" xfId="6" applyFont="1" applyFill="1" applyBorder="1" applyAlignment="1">
      <alignment horizontal="center" vertical="center" wrapText="1"/>
    </xf>
    <xf numFmtId="0" fontId="14" fillId="3" borderId="20" xfId="2" applyFont="1" applyFill="1" applyBorder="1" applyAlignment="1">
      <alignment horizontal="center" vertical="center"/>
    </xf>
    <xf numFmtId="0" fontId="14" fillId="0" borderId="20" xfId="2" applyFont="1" applyBorder="1" applyAlignment="1">
      <alignment horizontal="center" vertical="center"/>
    </xf>
    <xf numFmtId="0" fontId="16" fillId="0" borderId="20" xfId="2" applyFont="1" applyFill="1" applyBorder="1" applyAlignment="1">
      <alignment horizontal="left" vertical="center" wrapText="1"/>
    </xf>
    <xf numFmtId="0" fontId="16" fillId="0" borderId="20" xfId="2" applyFont="1" applyBorder="1" applyAlignment="1">
      <alignment horizontal="center" vertical="center" wrapText="1"/>
    </xf>
    <xf numFmtId="0" fontId="14" fillId="0" borderId="20" xfId="2" applyFont="1" applyFill="1" applyBorder="1" applyAlignment="1">
      <alignment horizontal="left" vertical="center"/>
    </xf>
    <xf numFmtId="3" fontId="16" fillId="3" borderId="20" xfId="2" applyNumberFormat="1" applyFont="1" applyFill="1" applyBorder="1" applyAlignment="1">
      <alignment horizontal="center" vertical="center"/>
    </xf>
    <xf numFmtId="0" fontId="16" fillId="0" borderId="20" xfId="2" applyNumberFormat="1" applyFont="1" applyFill="1" applyBorder="1" applyAlignment="1">
      <alignment horizontal="left" vertical="center"/>
    </xf>
    <xf numFmtId="0" fontId="16" fillId="3" borderId="20" xfId="2" applyFont="1" applyFill="1" applyBorder="1" applyAlignment="1">
      <alignment horizontal="center" vertical="center"/>
    </xf>
    <xf numFmtId="0" fontId="16" fillId="0" borderId="20" xfId="2" applyFont="1" applyFill="1" applyBorder="1" applyAlignment="1">
      <alignment horizontal="center" vertical="center"/>
    </xf>
    <xf numFmtId="0" fontId="18" fillId="0" borderId="5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18" fillId="3" borderId="5" xfId="2" applyFont="1" applyFill="1" applyBorder="1" applyAlignment="1">
      <alignment horizontal="center" vertical="center" wrapText="1"/>
    </xf>
    <xf numFmtId="0" fontId="17" fillId="0" borderId="0" xfId="2" applyFont="1" applyAlignment="1">
      <alignment horizontal="left" wrapText="1"/>
    </xf>
    <xf numFmtId="0" fontId="20" fillId="3" borderId="0" xfId="2" applyFont="1" applyFill="1" applyAlignment="1">
      <alignment horizontal="center" wrapText="1"/>
    </xf>
    <xf numFmtId="0" fontId="20" fillId="0" borderId="0" xfId="2" applyFont="1" applyAlignment="1">
      <alignment horizontal="left" wrapText="1"/>
    </xf>
    <xf numFmtId="0" fontId="20" fillId="0" borderId="0" xfId="2" applyFont="1" applyAlignment="1">
      <alignment horizontal="center" wrapText="1"/>
    </xf>
    <xf numFmtId="0" fontId="18" fillId="3" borderId="0" xfId="2" applyFont="1" applyFill="1" applyAlignment="1">
      <alignment horizontal="left" wrapText="1"/>
    </xf>
    <xf numFmtId="0" fontId="21" fillId="2" borderId="0" xfId="2" applyFont="1" applyFill="1" applyAlignment="1">
      <alignment horizontal="left" wrapText="1" indent="1"/>
    </xf>
    <xf numFmtId="3" fontId="24" fillId="0" borderId="0" xfId="2" applyNumberFormat="1" applyFont="1" applyBorder="1" applyAlignment="1"/>
    <xf numFmtId="168" fontId="1" fillId="0" borderId="0" xfId="2" applyNumberFormat="1" applyAlignment="1">
      <alignment horizontal="left"/>
    </xf>
    <xf numFmtId="0" fontId="1" fillId="0" borderId="0" xfId="2" applyAlignment="1">
      <alignment horizontal="left"/>
    </xf>
    <xf numFmtId="0" fontId="4" fillId="0" borderId="0" xfId="2" applyFont="1"/>
    <xf numFmtId="0" fontId="1" fillId="0" borderId="0" xfId="2" applyBorder="1"/>
    <xf numFmtId="0" fontId="1" fillId="0" borderId="1" xfId="2" applyBorder="1"/>
    <xf numFmtId="0" fontId="1" fillId="0" borderId="28" xfId="2" applyBorder="1"/>
    <xf numFmtId="0" fontId="1" fillId="0" borderId="3" xfId="2" applyBorder="1"/>
    <xf numFmtId="0" fontId="1" fillId="0" borderId="3" xfId="2" applyBorder="1" applyAlignment="1">
      <alignment horizontal="left"/>
    </xf>
    <xf numFmtId="0" fontId="1" fillId="0" borderId="29" xfId="2" applyBorder="1"/>
    <xf numFmtId="0" fontId="28" fillId="0" borderId="32" xfId="2" applyFont="1" applyBorder="1" applyAlignment="1">
      <alignment horizontal="center" vertical="center"/>
    </xf>
    <xf numFmtId="0" fontId="28" fillId="0" borderId="33" xfId="2" applyFont="1" applyBorder="1" applyAlignment="1">
      <alignment horizontal="center" vertical="center"/>
    </xf>
    <xf numFmtId="0" fontId="28" fillId="0" borderId="33" xfId="2" applyFont="1" applyBorder="1" applyAlignment="1">
      <alignment horizontal="left" vertical="center"/>
    </xf>
    <xf numFmtId="0" fontId="28" fillId="0" borderId="34" xfId="2" applyFont="1" applyBorder="1" applyAlignment="1">
      <alignment horizontal="center" vertical="center"/>
    </xf>
    <xf numFmtId="0" fontId="28" fillId="0" borderId="27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165" fontId="0" fillId="0" borderId="36" xfId="4" applyNumberFormat="1" applyFont="1" applyBorder="1" applyAlignment="1" applyProtection="1">
      <alignment horizontal="center" vertical="center"/>
    </xf>
    <xf numFmtId="0" fontId="1" fillId="0" borderId="37" xfId="2" applyFont="1" applyBorder="1" applyAlignment="1">
      <alignment horizontal="center" vertical="center"/>
    </xf>
    <xf numFmtId="0" fontId="1" fillId="0" borderId="38" xfId="2" applyFont="1" applyBorder="1" applyAlignment="1">
      <alignment horizontal="center" vertical="center"/>
    </xf>
    <xf numFmtId="0" fontId="1" fillId="0" borderId="39" xfId="2" applyFont="1" applyBorder="1" applyAlignment="1">
      <alignment horizontal="center" vertical="center"/>
    </xf>
    <xf numFmtId="0" fontId="1" fillId="0" borderId="40" xfId="2" applyFont="1" applyBorder="1" applyAlignment="1">
      <alignment horizontal="center" vertical="center"/>
    </xf>
    <xf numFmtId="165" fontId="0" fillId="0" borderId="41" xfId="4" applyNumberFormat="1" applyFont="1" applyBorder="1" applyAlignment="1" applyProtection="1">
      <alignment horizontal="center" vertical="center"/>
    </xf>
    <xf numFmtId="165" fontId="1" fillId="0" borderId="0" xfId="2" applyNumberFormat="1"/>
    <xf numFmtId="0" fontId="26" fillId="0" borderId="37" xfId="2" applyFont="1" applyBorder="1" applyAlignment="1">
      <alignment horizontal="center" vertical="center"/>
    </xf>
    <xf numFmtId="0" fontId="26" fillId="0" borderId="38" xfId="2" applyFont="1" applyBorder="1" applyAlignment="1">
      <alignment horizontal="center" vertical="center"/>
    </xf>
    <xf numFmtId="0" fontId="1" fillId="0" borderId="39" xfId="2" applyBorder="1" applyAlignment="1">
      <alignment horizontal="center" vertical="center"/>
    </xf>
    <xf numFmtId="0" fontId="26" fillId="0" borderId="40" xfId="2" applyFont="1" applyBorder="1" applyAlignment="1">
      <alignment horizontal="center" vertical="center"/>
    </xf>
    <xf numFmtId="0" fontId="26" fillId="0" borderId="39" xfId="2" applyFont="1" applyBorder="1" applyAlignment="1">
      <alignment horizontal="center" vertical="center"/>
    </xf>
    <xf numFmtId="0" fontId="1" fillId="0" borderId="42" xfId="2" applyBorder="1" applyAlignment="1">
      <alignment horizontal="center" vertical="center"/>
    </xf>
    <xf numFmtId="0" fontId="1" fillId="0" borderId="43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165" fontId="0" fillId="0" borderId="45" xfId="4" applyNumberFormat="1" applyFont="1" applyBorder="1" applyAlignment="1" applyProtection="1">
      <alignment horizontal="center" vertical="center"/>
    </xf>
    <xf numFmtId="165" fontId="28" fillId="0" borderId="46" xfId="2" applyNumberFormat="1" applyFont="1" applyBorder="1" applyAlignment="1">
      <alignment horizontal="center" vertical="center"/>
    </xf>
    <xf numFmtId="0" fontId="10" fillId="2" borderId="15" xfId="2" applyFont="1" applyFill="1" applyBorder="1" applyAlignment="1">
      <alignment horizontal="center"/>
    </xf>
    <xf numFmtId="0" fontId="10" fillId="5" borderId="15" xfId="2" applyFont="1" applyFill="1" applyBorder="1" applyAlignment="1">
      <alignment horizontal="center" wrapText="1"/>
    </xf>
    <xf numFmtId="0" fontId="10" fillId="2" borderId="15" xfId="2" applyFont="1" applyFill="1" applyBorder="1" applyAlignment="1">
      <alignment horizontal="left" wrapText="1"/>
    </xf>
    <xf numFmtId="0" fontId="10" fillId="5" borderId="15" xfId="2" applyFont="1" applyFill="1" applyBorder="1" applyAlignment="1">
      <alignment horizontal="center"/>
    </xf>
    <xf numFmtId="0" fontId="10" fillId="2" borderId="15" xfId="2" applyFont="1" applyFill="1" applyBorder="1" applyAlignment="1">
      <alignment horizontal="left"/>
    </xf>
    <xf numFmtId="0" fontId="23" fillId="0" borderId="0" xfId="2" applyFont="1" applyBorder="1" applyAlignment="1">
      <alignment horizontal="center"/>
    </xf>
    <xf numFmtId="0" fontId="22" fillId="0" borderId="0" xfId="2" applyFont="1" applyBorder="1" applyAlignment="1">
      <alignment horizontal="left" vertical="center" wrapText="1"/>
    </xf>
    <xf numFmtId="0" fontId="21" fillId="2" borderId="0" xfId="2" applyFont="1" applyFill="1" applyBorder="1" applyAlignment="1">
      <alignment horizontal="left" wrapText="1" indent="1"/>
    </xf>
    <xf numFmtId="0" fontId="7" fillId="3" borderId="10" xfId="2" applyFont="1" applyFill="1" applyBorder="1" applyAlignment="1">
      <alignment horizontal="left" vertical="center" wrapText="1"/>
    </xf>
    <xf numFmtId="0" fontId="3" fillId="0" borderId="5" xfId="2" applyFont="1" applyBorder="1" applyAlignment="1">
      <alignment horizontal="left" vertical="center" wrapText="1" indent="1"/>
    </xf>
    <xf numFmtId="166" fontId="5" fillId="0" borderId="5" xfId="2" applyNumberFormat="1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3" fillId="3" borderId="5" xfId="2" applyFont="1" applyFill="1" applyBorder="1" applyAlignment="1">
      <alignment horizontal="left" vertical="center" wrapText="1" indent="1"/>
    </xf>
    <xf numFmtId="0" fontId="5" fillId="0" borderId="6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left" vertical="center"/>
    </xf>
    <xf numFmtId="0" fontId="3" fillId="2" borderId="8" xfId="2" applyFont="1" applyFill="1" applyBorder="1" applyAlignment="1">
      <alignment horizontal="left" vertical="center" wrapText="1" indent="1"/>
    </xf>
    <xf numFmtId="0" fontId="30" fillId="0" borderId="4" xfId="2" applyFont="1" applyBorder="1" applyAlignment="1">
      <alignment horizontal="left" vertical="center" wrapText="1"/>
    </xf>
    <xf numFmtId="0" fontId="30" fillId="0" borderId="24" xfId="2" applyFont="1" applyBorder="1" applyAlignment="1">
      <alignment horizontal="left" vertical="center" wrapText="1"/>
    </xf>
    <xf numFmtId="0" fontId="30" fillId="0" borderId="25" xfId="2" applyFont="1" applyBorder="1" applyAlignment="1">
      <alignment horizontal="left" vertical="center" wrapText="1"/>
    </xf>
    <xf numFmtId="0" fontId="1" fillId="0" borderId="30" xfId="2" applyBorder="1"/>
    <xf numFmtId="0" fontId="24" fillId="0" borderId="22" xfId="2" applyFont="1" applyBorder="1" applyAlignment="1">
      <alignment vertical="center" wrapText="1"/>
    </xf>
    <xf numFmtId="0" fontId="24" fillId="0" borderId="47" xfId="2" applyFont="1" applyBorder="1" applyAlignment="1">
      <alignment vertical="center" wrapText="1"/>
    </xf>
    <xf numFmtId="0" fontId="24" fillId="0" borderId="8" xfId="2" applyFont="1" applyBorder="1" applyAlignment="1">
      <alignment vertical="center" wrapText="1"/>
    </xf>
    <xf numFmtId="0" fontId="26" fillId="0" borderId="31" xfId="2" applyFont="1" applyBorder="1" applyAlignment="1">
      <alignment vertical="center" wrapText="1"/>
    </xf>
    <xf numFmtId="0" fontId="26" fillId="2" borderId="46" xfId="2" applyFont="1" applyFill="1" applyBorder="1" applyAlignment="1">
      <alignment horizontal="left" vertical="center" wrapText="1" indent="1"/>
    </xf>
    <xf numFmtId="0" fontId="1" fillId="0" borderId="43" xfId="2" applyBorder="1" applyAlignment="1">
      <alignment horizontal="left" vertical="center"/>
    </xf>
    <xf numFmtId="0" fontId="26" fillId="0" borderId="27" xfId="2" applyFont="1" applyBorder="1" applyAlignment="1">
      <alignment horizontal="left" vertical="center" wrapText="1" indent="1"/>
    </xf>
    <xf numFmtId="0" fontId="28" fillId="0" borderId="30" xfId="2" applyFont="1" applyBorder="1" applyAlignment="1">
      <alignment horizontal="center" vertical="center"/>
    </xf>
    <xf numFmtId="0" fontId="28" fillId="0" borderId="2" xfId="2" applyFont="1" applyBorder="1" applyAlignment="1">
      <alignment horizontal="center" vertical="center"/>
    </xf>
    <xf numFmtId="0" fontId="28" fillId="0" borderId="30" xfId="2" applyFont="1" applyBorder="1" applyAlignment="1">
      <alignment horizontal="center" vertical="center" wrapText="1"/>
    </xf>
    <xf numFmtId="0" fontId="28" fillId="0" borderId="31" xfId="2" applyFont="1" applyBorder="1" applyAlignment="1">
      <alignment horizontal="center" vertical="center"/>
    </xf>
    <xf numFmtId="0" fontId="29" fillId="0" borderId="35" xfId="2" applyFont="1" applyBorder="1" applyAlignment="1">
      <alignment horizontal="left" vertical="center" wrapText="1"/>
    </xf>
    <xf numFmtId="0" fontId="29" fillId="0" borderId="39" xfId="2" applyFont="1" applyBorder="1" applyAlignment="1">
      <alignment horizontal="left" vertical="center"/>
    </xf>
    <xf numFmtId="0" fontId="1" fillId="0" borderId="39" xfId="2" applyFont="1" applyBorder="1" applyAlignment="1">
      <alignment horizontal="left" vertical="center"/>
    </xf>
    <xf numFmtId="0" fontId="1" fillId="0" borderId="39" xfId="2" applyBorder="1" applyAlignment="1">
      <alignment horizontal="left" vertical="center"/>
    </xf>
    <xf numFmtId="0" fontId="26" fillId="0" borderId="26" xfId="2" applyFont="1" applyBorder="1"/>
    <xf numFmtId="0" fontId="1" fillId="0" borderId="22" xfId="2" applyFont="1" applyBorder="1" applyAlignment="1">
      <alignment horizontal="center"/>
    </xf>
    <xf numFmtId="3" fontId="24" fillId="0" borderId="23" xfId="2" applyNumberFormat="1" applyFont="1" applyBorder="1" applyAlignment="1">
      <alignment horizontal="center"/>
    </xf>
    <xf numFmtId="0" fontId="25" fillId="0" borderId="2" xfId="2" applyFont="1" applyBorder="1" applyAlignment="1">
      <alignment horizontal="center" vertical="center" wrapText="1"/>
    </xf>
    <xf numFmtId="0" fontId="4" fillId="0" borderId="2" xfId="2" applyFont="1" applyBorder="1"/>
    <xf numFmtId="0" fontId="26" fillId="0" borderId="2" xfId="2" applyFont="1" applyBorder="1" applyAlignment="1">
      <alignment horizontal="left" indent="1"/>
    </xf>
    <xf numFmtId="0" fontId="7" fillId="0" borderId="4" xfId="2" applyFont="1" applyBorder="1" applyAlignment="1">
      <alignment horizontal="left" vertical="center" wrapText="1"/>
    </xf>
    <xf numFmtId="0" fontId="7" fillId="0" borderId="24" xfId="2" applyFont="1" applyBorder="1" applyAlignment="1">
      <alignment horizontal="left" vertical="center" wrapText="1"/>
    </xf>
    <xf numFmtId="0" fontId="7" fillId="0" borderId="25" xfId="2" applyFont="1" applyBorder="1" applyAlignment="1">
      <alignment horizontal="left" vertical="center" wrapText="1"/>
    </xf>
    <xf numFmtId="0" fontId="27" fillId="0" borderId="2" xfId="2" applyFont="1" applyBorder="1" applyAlignment="1">
      <alignment horizontal="left"/>
    </xf>
  </cellXfs>
  <cellStyles count="9">
    <cellStyle name="Encabezado 1" xfId="3" xr:uid="{00000000-0005-0000-0000-000000000000}"/>
    <cellStyle name="Moneda" xfId="1" builtinId="4"/>
    <cellStyle name="Moneda_AUTORIZACION Y NOTA DE PEDIDO" xfId="4" xr:uid="{00000000-0005-0000-0000-000002000000}"/>
    <cellStyle name="Neutral 1" xfId="5" xr:uid="{00000000-0005-0000-0000-000003000000}"/>
    <cellStyle name="Normal" xfId="0" builtinId="0"/>
    <cellStyle name="Normal 2" xfId="2" xr:uid="{00000000-0005-0000-0000-000005000000}"/>
    <cellStyle name="Normal 3" xfId="6" xr:uid="{00000000-0005-0000-0000-000006000000}"/>
    <cellStyle name="Normal 4" xfId="7" xr:uid="{00000000-0005-0000-0000-000007000000}"/>
    <cellStyle name="Porcentaje 2" xfId="8" xr:uid="{00000000-0005-0000-0000-000008000000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27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27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27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27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ACION%20PRIMER%20TRIMESTRE%202021/LABORATORIO%20CENTRAL/NPYE%20LABORATORIO%20CENT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Pedido"/>
      <sheetName val="Autor Gastar"/>
    </sheetNames>
    <sheetDataSet>
      <sheetData sheetId="0">
        <row r="4">
          <cell r="C4" t="str">
            <v>40 - Ministerio de Salud</v>
          </cell>
        </row>
        <row r="5">
          <cell r="C5" t="str">
            <v>23 - Hospital Interzonal San Juan Bautista</v>
          </cell>
        </row>
        <row r="6">
          <cell r="C6">
            <v>2021</v>
          </cell>
        </row>
        <row r="7">
          <cell r="C7">
            <v>1</v>
          </cell>
        </row>
        <row r="10">
          <cell r="F10" t="str">
            <v>BIDON</v>
          </cell>
          <cell r="G10">
            <v>20</v>
          </cell>
          <cell r="H10">
            <v>6632</v>
          </cell>
        </row>
        <row r="11">
          <cell r="F11" t="str">
            <v>BIDON</v>
          </cell>
          <cell r="G11">
            <v>2</v>
          </cell>
          <cell r="H11">
            <v>47407</v>
          </cell>
        </row>
        <row r="12">
          <cell r="F12" t="str">
            <v>CAJA</v>
          </cell>
          <cell r="G12">
            <v>20</v>
          </cell>
          <cell r="H12">
            <v>7502</v>
          </cell>
        </row>
        <row r="13">
          <cell r="F13" t="str">
            <v>BIDON</v>
          </cell>
          <cell r="G13">
            <v>4</v>
          </cell>
          <cell r="H13">
            <v>14490</v>
          </cell>
        </row>
        <row r="14">
          <cell r="F14" t="str">
            <v>CAJA</v>
          </cell>
          <cell r="G14">
            <v>6</v>
          </cell>
          <cell r="H14">
            <v>71186</v>
          </cell>
        </row>
        <row r="15">
          <cell r="F15" t="str">
            <v>BIDON</v>
          </cell>
          <cell r="G15">
            <v>4</v>
          </cell>
          <cell r="H15">
            <v>60322</v>
          </cell>
        </row>
        <row r="16">
          <cell r="F16" t="str">
            <v>BIDON</v>
          </cell>
          <cell r="G16">
            <v>10</v>
          </cell>
          <cell r="H16">
            <v>21395</v>
          </cell>
        </row>
        <row r="17">
          <cell r="F17" t="str">
            <v>BIDON</v>
          </cell>
          <cell r="G17">
            <v>20</v>
          </cell>
          <cell r="H17">
            <v>35079</v>
          </cell>
        </row>
        <row r="18">
          <cell r="F18" t="str">
            <v>BIDON</v>
          </cell>
          <cell r="G18">
            <v>20</v>
          </cell>
          <cell r="H18">
            <v>46545</v>
          </cell>
        </row>
        <row r="19">
          <cell r="F19" t="str">
            <v>CAJA</v>
          </cell>
          <cell r="G19">
            <v>4</v>
          </cell>
          <cell r="H19">
            <v>14924</v>
          </cell>
        </row>
        <row r="20">
          <cell r="F20" t="str">
            <v>CAJA</v>
          </cell>
          <cell r="G20">
            <v>4</v>
          </cell>
          <cell r="H20">
            <v>14924</v>
          </cell>
        </row>
        <row r="21">
          <cell r="F21" t="str">
            <v>CAJA</v>
          </cell>
          <cell r="G21">
            <v>4</v>
          </cell>
          <cell r="H21">
            <v>14924</v>
          </cell>
        </row>
        <row r="22">
          <cell r="F22" t="str">
            <v>CAJA</v>
          </cell>
          <cell r="G22">
            <v>12</v>
          </cell>
          <cell r="H22">
            <v>9583</v>
          </cell>
        </row>
        <row r="23">
          <cell r="F23" t="str">
            <v>CAJA</v>
          </cell>
          <cell r="G23">
            <v>4</v>
          </cell>
          <cell r="H23">
            <v>4345</v>
          </cell>
        </row>
        <row r="24">
          <cell r="F24" t="str">
            <v>CASSETTE</v>
          </cell>
          <cell r="G24">
            <v>10</v>
          </cell>
          <cell r="H24">
            <v>3112</v>
          </cell>
        </row>
        <row r="25">
          <cell r="F25" t="str">
            <v>CASSETTE</v>
          </cell>
          <cell r="G25">
            <v>10</v>
          </cell>
          <cell r="H25">
            <v>3194</v>
          </cell>
        </row>
        <row r="26">
          <cell r="F26" t="str">
            <v>CASSETTE</v>
          </cell>
          <cell r="G26">
            <v>10</v>
          </cell>
          <cell r="H26">
            <v>3194</v>
          </cell>
        </row>
        <row r="27">
          <cell r="F27" t="str">
            <v>CASSETTE</v>
          </cell>
          <cell r="G27">
            <v>10</v>
          </cell>
          <cell r="H27">
            <v>3502</v>
          </cell>
        </row>
        <row r="28">
          <cell r="F28" t="str">
            <v>CASSETTE</v>
          </cell>
          <cell r="G28">
            <v>2</v>
          </cell>
          <cell r="H28">
            <v>8016</v>
          </cell>
        </row>
        <row r="29">
          <cell r="F29" t="str">
            <v>CASSETTE</v>
          </cell>
          <cell r="G29">
            <v>6</v>
          </cell>
          <cell r="H29">
            <v>41251</v>
          </cell>
        </row>
        <row r="30">
          <cell r="F30" t="str">
            <v>CASSETTE</v>
          </cell>
          <cell r="G30">
            <v>10</v>
          </cell>
          <cell r="H30">
            <v>6719</v>
          </cell>
        </row>
        <row r="31">
          <cell r="F31" t="str">
            <v>CASSETTE</v>
          </cell>
          <cell r="G31">
            <v>2</v>
          </cell>
          <cell r="H31">
            <v>2963</v>
          </cell>
        </row>
        <row r="32">
          <cell r="F32" t="str">
            <v>CASSETTE</v>
          </cell>
          <cell r="G32">
            <v>3</v>
          </cell>
          <cell r="H32">
            <v>7033</v>
          </cell>
        </row>
        <row r="33">
          <cell r="F33" t="str">
            <v>CASSETTE</v>
          </cell>
          <cell r="G33">
            <v>10</v>
          </cell>
          <cell r="H33">
            <v>7000</v>
          </cell>
        </row>
        <row r="34">
          <cell r="F34" t="str">
            <v>CASSETTE</v>
          </cell>
          <cell r="G34">
            <v>10</v>
          </cell>
          <cell r="H34">
            <v>6720</v>
          </cell>
        </row>
        <row r="35">
          <cell r="F35" t="str">
            <v>CASSETTE</v>
          </cell>
          <cell r="G35">
            <v>10</v>
          </cell>
          <cell r="H35">
            <v>6720</v>
          </cell>
        </row>
        <row r="36">
          <cell r="F36" t="str">
            <v>CASSETTE</v>
          </cell>
          <cell r="G36">
            <v>12</v>
          </cell>
          <cell r="H36">
            <v>28879</v>
          </cell>
        </row>
        <row r="37">
          <cell r="F37" t="str">
            <v>CASSETTE</v>
          </cell>
          <cell r="G37">
            <v>2</v>
          </cell>
          <cell r="H37">
            <v>4570</v>
          </cell>
        </row>
        <row r="38">
          <cell r="F38" t="str">
            <v>CASSETTE</v>
          </cell>
          <cell r="G38">
            <v>8</v>
          </cell>
          <cell r="H38">
            <v>1341</v>
          </cell>
        </row>
        <row r="39">
          <cell r="F39" t="str">
            <v>CASSETTE</v>
          </cell>
          <cell r="G39">
            <v>10</v>
          </cell>
          <cell r="H39">
            <v>4772</v>
          </cell>
        </row>
        <row r="40">
          <cell r="F40" t="str">
            <v>CAJA</v>
          </cell>
          <cell r="G40">
            <v>8</v>
          </cell>
          <cell r="H40">
            <v>12495</v>
          </cell>
        </row>
        <row r="41">
          <cell r="F41" t="str">
            <v>CAJA</v>
          </cell>
          <cell r="G41">
            <v>12</v>
          </cell>
          <cell r="H41">
            <v>15336</v>
          </cell>
        </row>
        <row r="42">
          <cell r="F42" t="str">
            <v>UNIDAD</v>
          </cell>
          <cell r="G42">
            <v>12</v>
          </cell>
          <cell r="H42">
            <v>5776</v>
          </cell>
        </row>
        <row r="43">
          <cell r="F43" t="str">
            <v>UNIDAD</v>
          </cell>
          <cell r="G43">
            <v>2</v>
          </cell>
          <cell r="H43">
            <v>2141</v>
          </cell>
        </row>
        <row r="44">
          <cell r="F44" t="str">
            <v>UNIDAD</v>
          </cell>
          <cell r="G44">
            <v>3</v>
          </cell>
          <cell r="H44">
            <v>2141</v>
          </cell>
        </row>
        <row r="45">
          <cell r="F45" t="str">
            <v>UNIDAD</v>
          </cell>
          <cell r="G45">
            <v>2</v>
          </cell>
          <cell r="H45">
            <v>23533</v>
          </cell>
        </row>
        <row r="46">
          <cell r="F46" t="str">
            <v>UNIDAD</v>
          </cell>
          <cell r="G46">
            <v>2</v>
          </cell>
          <cell r="H46">
            <v>8891</v>
          </cell>
        </row>
        <row r="47">
          <cell r="F47" t="str">
            <v>UNIDAD</v>
          </cell>
          <cell r="G47">
            <v>2</v>
          </cell>
          <cell r="H47">
            <v>23533</v>
          </cell>
        </row>
        <row r="48">
          <cell r="F48" t="str">
            <v>UNIDAD</v>
          </cell>
          <cell r="G48">
            <v>2</v>
          </cell>
          <cell r="H48">
            <v>8891</v>
          </cell>
        </row>
        <row r="49">
          <cell r="F49" t="str">
            <v>UNIDAD</v>
          </cell>
          <cell r="G49">
            <v>3</v>
          </cell>
          <cell r="H49">
            <v>37087</v>
          </cell>
        </row>
        <row r="50">
          <cell r="F50" t="str">
            <v>UNIDAD</v>
          </cell>
          <cell r="G50">
            <v>4</v>
          </cell>
          <cell r="H50">
            <v>8891</v>
          </cell>
        </row>
        <row r="51">
          <cell r="F51" t="str">
            <v>UNIDAD</v>
          </cell>
          <cell r="G51">
            <v>2</v>
          </cell>
          <cell r="H51">
            <v>8891</v>
          </cell>
        </row>
        <row r="52">
          <cell r="F52" t="str">
            <v>UNIDAD</v>
          </cell>
          <cell r="G52">
            <v>2</v>
          </cell>
          <cell r="H52">
            <v>16584</v>
          </cell>
        </row>
        <row r="53">
          <cell r="F53" t="str">
            <v>UNIDAD</v>
          </cell>
          <cell r="G53">
            <v>2</v>
          </cell>
          <cell r="H53">
            <v>33763</v>
          </cell>
        </row>
        <row r="54">
          <cell r="F54" t="str">
            <v>UNIDAD</v>
          </cell>
          <cell r="G54">
            <v>2</v>
          </cell>
          <cell r="H54">
            <v>35535</v>
          </cell>
        </row>
        <row r="55">
          <cell r="F55" t="str">
            <v>UNIDAD</v>
          </cell>
          <cell r="G55">
            <v>2</v>
          </cell>
          <cell r="H55">
            <v>14833</v>
          </cell>
        </row>
        <row r="56">
          <cell r="F56" t="str">
            <v>CAJA</v>
          </cell>
          <cell r="G56">
            <v>3</v>
          </cell>
          <cell r="H56">
            <v>53900</v>
          </cell>
        </row>
        <row r="57">
          <cell r="F57" t="str">
            <v>CAJA</v>
          </cell>
          <cell r="G57">
            <v>3</v>
          </cell>
          <cell r="H57">
            <v>53900</v>
          </cell>
        </row>
        <row r="58">
          <cell r="F58" t="str">
            <v>CAJA</v>
          </cell>
          <cell r="G58">
            <v>2</v>
          </cell>
          <cell r="H58">
            <v>17250</v>
          </cell>
        </row>
        <row r="59">
          <cell r="F59" t="str">
            <v>CAJA</v>
          </cell>
          <cell r="G59">
            <v>2</v>
          </cell>
          <cell r="H59">
            <v>9560</v>
          </cell>
        </row>
        <row r="60">
          <cell r="F60" t="str">
            <v>CAJA</v>
          </cell>
          <cell r="G60">
            <v>2</v>
          </cell>
          <cell r="H60">
            <v>12536</v>
          </cell>
        </row>
        <row r="61">
          <cell r="F61" t="str">
            <v>CAJA</v>
          </cell>
          <cell r="G61">
            <v>2</v>
          </cell>
          <cell r="H61">
            <v>14614</v>
          </cell>
        </row>
        <row r="62">
          <cell r="F62" t="str">
            <v>CAJA</v>
          </cell>
          <cell r="G62">
            <v>5</v>
          </cell>
          <cell r="H62">
            <v>5473</v>
          </cell>
        </row>
        <row r="63">
          <cell r="F63" t="str">
            <v>CAJA</v>
          </cell>
          <cell r="G63">
            <v>16</v>
          </cell>
          <cell r="H63">
            <v>4463</v>
          </cell>
        </row>
        <row r="64">
          <cell r="F64" t="str">
            <v>CAJA</v>
          </cell>
          <cell r="G64">
            <v>25</v>
          </cell>
          <cell r="H64">
            <v>4524</v>
          </cell>
        </row>
        <row r="65">
          <cell r="F65" t="str">
            <v>CAJA</v>
          </cell>
          <cell r="G65">
            <v>1</v>
          </cell>
          <cell r="H65">
            <v>11866</v>
          </cell>
        </row>
        <row r="66">
          <cell r="F66" t="str">
            <v>CAJA</v>
          </cell>
          <cell r="G66">
            <v>6</v>
          </cell>
          <cell r="H66">
            <v>8965</v>
          </cell>
        </row>
        <row r="67">
          <cell r="F67" t="str">
            <v>CAJA</v>
          </cell>
          <cell r="G67">
            <v>2</v>
          </cell>
          <cell r="H67">
            <v>7436</v>
          </cell>
        </row>
        <row r="68">
          <cell r="F68" t="str">
            <v>CAJA</v>
          </cell>
          <cell r="G68">
            <v>2</v>
          </cell>
          <cell r="H68">
            <v>24438</v>
          </cell>
        </row>
        <row r="69">
          <cell r="F69" t="str">
            <v>CAJA</v>
          </cell>
          <cell r="G69">
            <v>1</v>
          </cell>
          <cell r="H69">
            <v>16616</v>
          </cell>
        </row>
        <row r="70">
          <cell r="F70" t="str">
            <v>CAJA</v>
          </cell>
          <cell r="G70">
            <v>1</v>
          </cell>
          <cell r="H70">
            <v>18210</v>
          </cell>
        </row>
        <row r="71">
          <cell r="F71" t="str">
            <v>CAJA</v>
          </cell>
          <cell r="G71">
            <v>1</v>
          </cell>
          <cell r="H71">
            <v>19600</v>
          </cell>
        </row>
        <row r="72">
          <cell r="F72" t="str">
            <v>CAJA</v>
          </cell>
          <cell r="G72">
            <v>3</v>
          </cell>
          <cell r="H72">
            <v>17632</v>
          </cell>
        </row>
        <row r="73">
          <cell r="F73" t="str">
            <v>CAJA</v>
          </cell>
          <cell r="G73">
            <v>1</v>
          </cell>
          <cell r="H73">
            <v>26718</v>
          </cell>
        </row>
        <row r="74">
          <cell r="F74" t="str">
            <v>CAJA</v>
          </cell>
          <cell r="G74">
            <v>1</v>
          </cell>
          <cell r="H74">
            <v>33153</v>
          </cell>
        </row>
        <row r="75">
          <cell r="F75" t="str">
            <v>CAJA</v>
          </cell>
          <cell r="G75">
            <v>2</v>
          </cell>
          <cell r="H75">
            <v>31406</v>
          </cell>
        </row>
        <row r="76">
          <cell r="F76" t="str">
            <v>CAJA</v>
          </cell>
          <cell r="G76">
            <v>2</v>
          </cell>
          <cell r="H76">
            <v>18034</v>
          </cell>
        </row>
        <row r="77">
          <cell r="F77" t="str">
            <v>CAJA</v>
          </cell>
          <cell r="G77">
            <v>1</v>
          </cell>
          <cell r="H77">
            <v>28279</v>
          </cell>
        </row>
        <row r="78">
          <cell r="F78" t="str">
            <v>CAJA</v>
          </cell>
          <cell r="G78">
            <v>1</v>
          </cell>
          <cell r="H78">
            <v>13546</v>
          </cell>
        </row>
        <row r="79">
          <cell r="F79" t="str">
            <v>CAJA</v>
          </cell>
          <cell r="G79">
            <v>1</v>
          </cell>
          <cell r="H79">
            <v>20178</v>
          </cell>
        </row>
        <row r="80">
          <cell r="F80" t="str">
            <v>CAJA</v>
          </cell>
          <cell r="G80">
            <v>1</v>
          </cell>
          <cell r="H80">
            <v>15592</v>
          </cell>
        </row>
        <row r="81">
          <cell r="F81" t="str">
            <v>CAJA</v>
          </cell>
          <cell r="G81">
            <v>1</v>
          </cell>
          <cell r="H81">
            <v>14051</v>
          </cell>
        </row>
        <row r="82">
          <cell r="F82" t="str">
            <v>CAJA</v>
          </cell>
          <cell r="G82">
            <v>4</v>
          </cell>
          <cell r="H82">
            <v>19755</v>
          </cell>
        </row>
        <row r="83">
          <cell r="F83" t="str">
            <v>CAJA</v>
          </cell>
          <cell r="G83">
            <v>2</v>
          </cell>
          <cell r="H83">
            <v>22061</v>
          </cell>
        </row>
        <row r="84">
          <cell r="F84" t="str">
            <v>CAJA</v>
          </cell>
          <cell r="G84">
            <v>1</v>
          </cell>
          <cell r="H84">
            <v>56130</v>
          </cell>
        </row>
        <row r="85">
          <cell r="F85" t="str">
            <v>CAJA</v>
          </cell>
          <cell r="G85">
            <v>1</v>
          </cell>
          <cell r="H85">
            <v>41714</v>
          </cell>
        </row>
        <row r="86">
          <cell r="F86" t="str">
            <v>CAJA</v>
          </cell>
          <cell r="G86">
            <v>1</v>
          </cell>
          <cell r="H86">
            <v>14050</v>
          </cell>
        </row>
        <row r="87">
          <cell r="F87" t="str">
            <v>CAJA</v>
          </cell>
          <cell r="G87">
            <v>1</v>
          </cell>
          <cell r="H87">
            <v>13670</v>
          </cell>
        </row>
        <row r="88">
          <cell r="F88" t="str">
            <v>CAJA</v>
          </cell>
          <cell r="G88">
            <v>1</v>
          </cell>
          <cell r="H88">
            <v>18106</v>
          </cell>
        </row>
        <row r="89">
          <cell r="F89" t="str">
            <v>CAJA</v>
          </cell>
          <cell r="G89">
            <v>1</v>
          </cell>
          <cell r="H89">
            <v>14051</v>
          </cell>
        </row>
        <row r="90">
          <cell r="F90" t="str">
            <v>CAJA</v>
          </cell>
          <cell r="G90">
            <v>1</v>
          </cell>
          <cell r="H90">
            <v>19755</v>
          </cell>
        </row>
        <row r="91">
          <cell r="F91" t="str">
            <v>CAJA</v>
          </cell>
          <cell r="G91">
            <v>1</v>
          </cell>
          <cell r="H91">
            <v>17064</v>
          </cell>
        </row>
        <row r="92">
          <cell r="F92" t="str">
            <v>CAJA</v>
          </cell>
          <cell r="G92">
            <v>4</v>
          </cell>
          <cell r="H92">
            <v>18833</v>
          </cell>
        </row>
        <row r="93">
          <cell r="F93" t="str">
            <v>CAJA</v>
          </cell>
          <cell r="G93">
            <v>1</v>
          </cell>
          <cell r="H93">
            <v>12830</v>
          </cell>
        </row>
        <row r="94">
          <cell r="F94" t="str">
            <v>CAJA</v>
          </cell>
          <cell r="G94">
            <v>1</v>
          </cell>
          <cell r="H94">
            <v>15355</v>
          </cell>
        </row>
        <row r="95">
          <cell r="F95" t="str">
            <v>CAJA</v>
          </cell>
          <cell r="G95">
            <v>1</v>
          </cell>
          <cell r="H95">
            <v>9486</v>
          </cell>
        </row>
        <row r="96">
          <cell r="F96" t="str">
            <v>CAJA</v>
          </cell>
          <cell r="G96">
            <v>1</v>
          </cell>
          <cell r="H96">
            <v>9875</v>
          </cell>
        </row>
        <row r="97">
          <cell r="F97" t="str">
            <v>CAJA</v>
          </cell>
          <cell r="G97">
            <v>1</v>
          </cell>
          <cell r="H97">
            <v>9025</v>
          </cell>
        </row>
        <row r="98">
          <cell r="F98" t="str">
            <v>CAJA</v>
          </cell>
          <cell r="G98">
            <v>1</v>
          </cell>
          <cell r="H98">
            <v>22782</v>
          </cell>
        </row>
        <row r="99">
          <cell r="F99" t="str">
            <v>CAJA</v>
          </cell>
          <cell r="G99">
            <v>1</v>
          </cell>
          <cell r="H99">
            <v>9875</v>
          </cell>
        </row>
        <row r="100">
          <cell r="F100" t="str">
            <v>CAJA</v>
          </cell>
          <cell r="G100">
            <v>1</v>
          </cell>
          <cell r="H100">
            <v>18573</v>
          </cell>
        </row>
        <row r="101">
          <cell r="F101" t="str">
            <v>CAJA</v>
          </cell>
          <cell r="G101">
            <v>1</v>
          </cell>
          <cell r="H101">
            <v>24990</v>
          </cell>
        </row>
        <row r="102">
          <cell r="F102" t="str">
            <v>CAJA</v>
          </cell>
          <cell r="G102">
            <v>1</v>
          </cell>
          <cell r="H102">
            <v>23420</v>
          </cell>
        </row>
        <row r="103">
          <cell r="F103" t="str">
            <v>CAJA</v>
          </cell>
          <cell r="G103">
            <v>1</v>
          </cell>
          <cell r="H103">
            <v>9875</v>
          </cell>
        </row>
        <row r="104">
          <cell r="F104" t="str">
            <v>CAJA</v>
          </cell>
          <cell r="G104">
            <v>1</v>
          </cell>
          <cell r="H104">
            <v>20294</v>
          </cell>
        </row>
        <row r="105">
          <cell r="F105" t="str">
            <v>CAJA</v>
          </cell>
          <cell r="G105">
            <v>1</v>
          </cell>
          <cell r="H105">
            <v>34738</v>
          </cell>
        </row>
        <row r="106">
          <cell r="F106" t="str">
            <v>CAJA</v>
          </cell>
          <cell r="G106">
            <v>1</v>
          </cell>
          <cell r="H106">
            <v>5935</v>
          </cell>
        </row>
        <row r="107">
          <cell r="F107" t="str">
            <v>CAJA</v>
          </cell>
          <cell r="G107">
            <v>1</v>
          </cell>
          <cell r="H107">
            <v>24582</v>
          </cell>
        </row>
        <row r="108">
          <cell r="F108" t="str">
            <v>CAJA</v>
          </cell>
          <cell r="G108">
            <v>1</v>
          </cell>
          <cell r="H108">
            <v>24582</v>
          </cell>
        </row>
        <row r="109">
          <cell r="F109" t="str">
            <v>CAJA</v>
          </cell>
          <cell r="G109">
            <v>1</v>
          </cell>
          <cell r="H109">
            <v>21970</v>
          </cell>
        </row>
        <row r="110">
          <cell r="F110" t="str">
            <v>CAJA</v>
          </cell>
          <cell r="G110">
            <v>2</v>
          </cell>
          <cell r="H110">
            <v>8880</v>
          </cell>
        </row>
        <row r="111">
          <cell r="F111" t="str">
            <v>CAJA</v>
          </cell>
          <cell r="G111">
            <v>1</v>
          </cell>
          <cell r="H111">
            <v>22499</v>
          </cell>
        </row>
        <row r="112">
          <cell r="F112" t="str">
            <v>CAJA</v>
          </cell>
          <cell r="G112">
            <v>2</v>
          </cell>
          <cell r="H112">
            <v>10233</v>
          </cell>
        </row>
        <row r="113">
          <cell r="F113" t="str">
            <v>CAJA</v>
          </cell>
          <cell r="G113">
            <v>2</v>
          </cell>
          <cell r="H113">
            <v>1190</v>
          </cell>
        </row>
        <row r="114">
          <cell r="F114" t="str">
            <v>CAJA</v>
          </cell>
          <cell r="G114">
            <v>1</v>
          </cell>
          <cell r="H114">
            <v>15769</v>
          </cell>
        </row>
        <row r="115">
          <cell r="F115" t="str">
            <v>CAJA</v>
          </cell>
          <cell r="G115">
            <v>1</v>
          </cell>
          <cell r="H115">
            <v>14053</v>
          </cell>
        </row>
        <row r="116">
          <cell r="F116" t="str">
            <v>CAJA</v>
          </cell>
          <cell r="G116">
            <v>2</v>
          </cell>
          <cell r="H116">
            <v>32581</v>
          </cell>
        </row>
        <row r="117">
          <cell r="F117" t="str">
            <v>CAJA</v>
          </cell>
          <cell r="G117">
            <v>23</v>
          </cell>
          <cell r="H117">
            <v>16930</v>
          </cell>
        </row>
        <row r="118">
          <cell r="F118" t="str">
            <v>CAJA</v>
          </cell>
          <cell r="G118">
            <v>20</v>
          </cell>
          <cell r="H118">
            <v>16318</v>
          </cell>
        </row>
        <row r="119">
          <cell r="F119" t="str">
            <v>CAJA</v>
          </cell>
          <cell r="G119">
            <v>11</v>
          </cell>
          <cell r="H119">
            <v>17390</v>
          </cell>
        </row>
        <row r="120">
          <cell r="F120" t="str">
            <v>CAJA</v>
          </cell>
          <cell r="G120">
            <v>6</v>
          </cell>
          <cell r="H120">
            <v>13707</v>
          </cell>
        </row>
        <row r="121">
          <cell r="F121" t="str">
            <v>CAJA</v>
          </cell>
          <cell r="G121">
            <v>6</v>
          </cell>
          <cell r="H121">
            <v>11913</v>
          </cell>
        </row>
        <row r="122">
          <cell r="F122" t="str">
            <v>CAJA</v>
          </cell>
          <cell r="G122">
            <v>27</v>
          </cell>
          <cell r="H122">
            <v>19090</v>
          </cell>
        </row>
        <row r="123">
          <cell r="F123" t="str">
            <v>CAJA</v>
          </cell>
          <cell r="G123">
            <v>5</v>
          </cell>
          <cell r="H123">
            <v>21767</v>
          </cell>
        </row>
      </sheetData>
      <sheetData sheetId="1">
        <row r="1">
          <cell r="K1" t="str">
            <v>386 - 2020</v>
          </cell>
        </row>
        <row r="3">
          <cell r="D3" t="str">
            <v>40 - Ministerio de Salud</v>
          </cell>
        </row>
        <row r="4">
          <cell r="D4" t="str">
            <v>23 - Hospital Interzonal San Juan Bautista</v>
          </cell>
        </row>
        <row r="5">
          <cell r="D5" t="str">
            <v>168 - Direccion Asistencial</v>
          </cell>
        </row>
        <row r="6">
          <cell r="D6" t="str">
            <v xml:space="preserve">Servicio de Laboratorio Central </v>
          </cell>
        </row>
        <row r="8">
          <cell r="D8" t="str">
            <v>Adquisición de Insumos para Laboratorio del HISJB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834"/>
  <sheetViews>
    <sheetView tabSelected="1" zoomScale="85" zoomScaleNormal="85" workbookViewId="0">
      <selection activeCell="E105" sqref="E105"/>
    </sheetView>
  </sheetViews>
  <sheetFormatPr baseColWidth="10" defaultColWidth="9.875" defaultRowHeight="12.75" x14ac:dyDescent="0.2"/>
  <cols>
    <col min="1" max="1" width="4.125" style="15" customWidth="1"/>
    <col min="2" max="2" width="11.625" style="15" customWidth="1"/>
    <col min="3" max="3" width="29.25" style="15" customWidth="1"/>
    <col min="4" max="4" width="7.625" style="15" customWidth="1"/>
    <col min="5" max="5" width="68.375" style="15" customWidth="1"/>
    <col min="6" max="6" width="13.375" style="15" customWidth="1"/>
    <col min="7" max="7" width="11.375" style="17" customWidth="1"/>
    <col min="8" max="8" width="12.5" style="16" customWidth="1"/>
    <col min="9" max="9" width="16.75" style="15" customWidth="1"/>
    <col min="10" max="16384" width="9.875" style="15"/>
  </cols>
  <sheetData>
    <row r="2" spans="1:9" ht="27" x14ac:dyDescent="0.35">
      <c r="B2" s="103" t="s">
        <v>335</v>
      </c>
      <c r="C2" s="103"/>
      <c r="D2" s="103"/>
      <c r="E2" s="103"/>
      <c r="F2" s="103"/>
      <c r="G2" s="103"/>
      <c r="H2" s="103"/>
    </row>
    <row r="4" spans="1:9" ht="18" customHeight="1" x14ac:dyDescent="0.25">
      <c r="A4" s="104" t="s">
        <v>334</v>
      </c>
      <c r="B4" s="104"/>
      <c r="C4" s="105" t="s">
        <v>333</v>
      </c>
      <c r="D4" s="105"/>
      <c r="E4" s="105"/>
      <c r="F4" s="61"/>
      <c r="G4" s="60"/>
      <c r="H4" s="59"/>
    </row>
    <row r="5" spans="1:9" ht="18" customHeight="1" x14ac:dyDescent="0.25">
      <c r="A5" s="104" t="s">
        <v>332</v>
      </c>
      <c r="B5" s="104"/>
      <c r="C5" s="105" t="s">
        <v>331</v>
      </c>
      <c r="D5" s="105"/>
      <c r="E5" s="105"/>
      <c r="F5" s="61"/>
      <c r="G5" s="60"/>
      <c r="H5" s="59"/>
    </row>
    <row r="6" spans="1:9" ht="16.5" customHeight="1" x14ac:dyDescent="0.25">
      <c r="A6" s="104" t="s">
        <v>330</v>
      </c>
      <c r="B6" s="104"/>
      <c r="C6" s="64">
        <v>2021</v>
      </c>
      <c r="D6" s="63"/>
      <c r="E6" s="63"/>
      <c r="F6" s="61"/>
      <c r="G6" s="60"/>
      <c r="H6" s="59"/>
    </row>
    <row r="7" spans="1:9" ht="16.5" customHeight="1" x14ac:dyDescent="0.25">
      <c r="A7" s="104" t="s">
        <v>329</v>
      </c>
      <c r="B7" s="104"/>
      <c r="C7" s="64">
        <v>1</v>
      </c>
      <c r="D7" s="63"/>
      <c r="E7" s="63"/>
      <c r="F7" s="61"/>
      <c r="G7" s="60"/>
      <c r="H7" s="59"/>
    </row>
    <row r="8" spans="1:9" ht="13.5" thickBot="1" x14ac:dyDescent="0.25">
      <c r="B8" s="61"/>
      <c r="C8" s="62"/>
      <c r="D8" s="61"/>
      <c r="E8" s="61"/>
      <c r="F8" s="61"/>
      <c r="G8" s="60"/>
      <c r="H8" s="59"/>
    </row>
    <row r="9" spans="1:9" ht="36.75" thickBot="1" x14ac:dyDescent="0.25">
      <c r="A9" s="56" t="s">
        <v>328</v>
      </c>
      <c r="B9" s="56" t="s">
        <v>327</v>
      </c>
      <c r="C9" s="56" t="s">
        <v>326</v>
      </c>
      <c r="D9" s="56" t="s">
        <v>325</v>
      </c>
      <c r="E9" s="56" t="s">
        <v>324</v>
      </c>
      <c r="F9" s="56" t="s">
        <v>323</v>
      </c>
      <c r="G9" s="58" t="s">
        <v>322</v>
      </c>
      <c r="H9" s="57" t="s">
        <v>321</v>
      </c>
      <c r="I9" s="56" t="s">
        <v>320</v>
      </c>
    </row>
    <row r="10" spans="1:9" ht="31.9" customHeight="1" thickBot="1" x14ac:dyDescent="0.25">
      <c r="A10" s="40">
        <v>1</v>
      </c>
      <c r="B10" s="39"/>
      <c r="C10" s="38"/>
      <c r="D10" s="37" t="s">
        <v>260</v>
      </c>
      <c r="E10" s="45" t="s">
        <v>319</v>
      </c>
      <c r="F10" s="46" t="s">
        <v>315</v>
      </c>
      <c r="G10" s="44">
        <v>20</v>
      </c>
      <c r="H10" s="33">
        <v>6632</v>
      </c>
      <c r="I10" s="32">
        <f t="shared" ref="I10:I41" si="0">G10*H10</f>
        <v>132640</v>
      </c>
    </row>
    <row r="11" spans="1:9" ht="31.9" customHeight="1" thickBot="1" x14ac:dyDescent="0.25">
      <c r="A11" s="40">
        <v>2</v>
      </c>
      <c r="B11" s="39"/>
      <c r="C11" s="38"/>
      <c r="D11" s="37" t="s">
        <v>258</v>
      </c>
      <c r="E11" s="45" t="s">
        <v>318</v>
      </c>
      <c r="F11" s="46" t="s">
        <v>315</v>
      </c>
      <c r="G11" s="44">
        <v>2</v>
      </c>
      <c r="H11" s="33">
        <v>47407</v>
      </c>
      <c r="I11" s="32">
        <f t="shared" si="0"/>
        <v>94814</v>
      </c>
    </row>
    <row r="12" spans="1:9" ht="31.9" customHeight="1" thickBot="1" x14ac:dyDescent="0.25">
      <c r="A12" s="40">
        <v>3</v>
      </c>
      <c r="B12" s="39"/>
      <c r="C12" s="38"/>
      <c r="D12" s="37" t="s">
        <v>317</v>
      </c>
      <c r="E12" s="45" t="s">
        <v>374</v>
      </c>
      <c r="F12" s="46" t="s">
        <v>256</v>
      </c>
      <c r="G12" s="44">
        <v>20</v>
      </c>
      <c r="H12" s="33">
        <v>7502</v>
      </c>
      <c r="I12" s="32">
        <f t="shared" si="0"/>
        <v>150040</v>
      </c>
    </row>
    <row r="13" spans="1:9" ht="31.9" customHeight="1" thickBot="1" x14ac:dyDescent="0.25">
      <c r="A13" s="40">
        <v>4</v>
      </c>
      <c r="B13" s="39"/>
      <c r="C13" s="38"/>
      <c r="D13" s="37" t="s">
        <v>258</v>
      </c>
      <c r="E13" s="45" t="s">
        <v>316</v>
      </c>
      <c r="F13" s="46" t="s">
        <v>315</v>
      </c>
      <c r="G13" s="44">
        <v>4</v>
      </c>
      <c r="H13" s="33">
        <v>14490</v>
      </c>
      <c r="I13" s="32">
        <f t="shared" si="0"/>
        <v>57960</v>
      </c>
    </row>
    <row r="14" spans="1:9" ht="31.9" customHeight="1" thickBot="1" x14ac:dyDescent="0.25">
      <c r="A14" s="40">
        <v>5</v>
      </c>
      <c r="B14" s="39"/>
      <c r="C14" s="38"/>
      <c r="D14" s="37" t="s">
        <v>258</v>
      </c>
      <c r="E14" s="45" t="s">
        <v>375</v>
      </c>
      <c r="F14" s="46" t="s">
        <v>256</v>
      </c>
      <c r="G14" s="44">
        <v>6</v>
      </c>
      <c r="H14" s="33">
        <v>71186</v>
      </c>
      <c r="I14" s="32">
        <f t="shared" si="0"/>
        <v>427116</v>
      </c>
    </row>
    <row r="15" spans="1:9" ht="31.9" customHeight="1" thickBot="1" x14ac:dyDescent="0.25">
      <c r="A15" s="40">
        <v>6</v>
      </c>
      <c r="B15" s="39"/>
      <c r="C15" s="38"/>
      <c r="D15" s="37" t="s">
        <v>258</v>
      </c>
      <c r="E15" s="45" t="s">
        <v>244</v>
      </c>
      <c r="F15" s="35" t="s">
        <v>315</v>
      </c>
      <c r="G15" s="44">
        <v>4</v>
      </c>
      <c r="H15" s="33">
        <v>60322</v>
      </c>
      <c r="I15" s="32">
        <f t="shared" si="0"/>
        <v>241288</v>
      </c>
    </row>
    <row r="16" spans="1:9" ht="31.9" customHeight="1" thickBot="1" x14ac:dyDescent="0.25">
      <c r="A16" s="40">
        <v>7</v>
      </c>
      <c r="B16" s="39"/>
      <c r="C16" s="38"/>
      <c r="D16" s="37" t="s">
        <v>258</v>
      </c>
      <c r="E16" s="45" t="s">
        <v>376</v>
      </c>
      <c r="F16" s="55" t="s">
        <v>315</v>
      </c>
      <c r="G16" s="44">
        <v>10</v>
      </c>
      <c r="H16" s="33">
        <v>21395</v>
      </c>
      <c r="I16" s="32">
        <f t="shared" si="0"/>
        <v>213950</v>
      </c>
    </row>
    <row r="17" spans="1:9" ht="31.9" customHeight="1" thickBot="1" x14ac:dyDescent="0.25">
      <c r="A17" s="40">
        <v>8</v>
      </c>
      <c r="B17" s="39"/>
      <c r="C17" s="38"/>
      <c r="D17" s="37" t="s">
        <v>258</v>
      </c>
      <c r="E17" s="45" t="s">
        <v>240</v>
      </c>
      <c r="F17" s="54" t="s">
        <v>315</v>
      </c>
      <c r="G17" s="44">
        <v>20</v>
      </c>
      <c r="H17" s="33">
        <v>35079</v>
      </c>
      <c r="I17" s="32">
        <f t="shared" si="0"/>
        <v>701580</v>
      </c>
    </row>
    <row r="18" spans="1:9" ht="31.9" customHeight="1" thickBot="1" x14ac:dyDescent="0.25">
      <c r="A18" s="40">
        <v>9</v>
      </c>
      <c r="B18" s="39"/>
      <c r="C18" s="38"/>
      <c r="D18" s="37" t="s">
        <v>258</v>
      </c>
      <c r="E18" s="45" t="s">
        <v>238</v>
      </c>
      <c r="F18" s="54" t="s">
        <v>315</v>
      </c>
      <c r="G18" s="44">
        <v>20</v>
      </c>
      <c r="H18" s="33">
        <v>46545</v>
      </c>
      <c r="I18" s="32">
        <f t="shared" si="0"/>
        <v>930900</v>
      </c>
    </row>
    <row r="19" spans="1:9" ht="31.9" customHeight="1" thickBot="1" x14ac:dyDescent="0.25">
      <c r="A19" s="40">
        <v>10</v>
      </c>
      <c r="B19" s="39"/>
      <c r="C19" s="38"/>
      <c r="D19" s="37" t="s">
        <v>258</v>
      </c>
      <c r="E19" s="45" t="s">
        <v>314</v>
      </c>
      <c r="F19" s="50" t="s">
        <v>256</v>
      </c>
      <c r="G19" s="44">
        <v>4</v>
      </c>
      <c r="H19" s="33">
        <v>14924</v>
      </c>
      <c r="I19" s="32">
        <f t="shared" si="0"/>
        <v>59696</v>
      </c>
    </row>
    <row r="20" spans="1:9" ht="31.9" customHeight="1" thickBot="1" x14ac:dyDescent="0.25">
      <c r="A20" s="40">
        <v>11</v>
      </c>
      <c r="B20" s="39"/>
      <c r="C20" s="38"/>
      <c r="D20" s="37" t="s">
        <v>258</v>
      </c>
      <c r="E20" s="45" t="s">
        <v>313</v>
      </c>
      <c r="F20" s="50" t="s">
        <v>256</v>
      </c>
      <c r="G20" s="44">
        <v>4</v>
      </c>
      <c r="H20" s="33">
        <v>14924</v>
      </c>
      <c r="I20" s="32">
        <f t="shared" si="0"/>
        <v>59696</v>
      </c>
    </row>
    <row r="21" spans="1:9" ht="31.9" customHeight="1" thickBot="1" x14ac:dyDescent="0.25">
      <c r="A21" s="40">
        <v>12</v>
      </c>
      <c r="B21" s="39"/>
      <c r="C21" s="38"/>
      <c r="D21" s="37" t="s">
        <v>258</v>
      </c>
      <c r="E21" s="45" t="s">
        <v>312</v>
      </c>
      <c r="F21" s="50" t="s">
        <v>256</v>
      </c>
      <c r="G21" s="44">
        <v>4</v>
      </c>
      <c r="H21" s="33">
        <v>14924</v>
      </c>
      <c r="I21" s="32">
        <f t="shared" si="0"/>
        <v>59696</v>
      </c>
    </row>
    <row r="22" spans="1:9" ht="31.9" customHeight="1" thickBot="1" x14ac:dyDescent="0.25">
      <c r="A22" s="40">
        <v>13</v>
      </c>
      <c r="B22" s="39"/>
      <c r="C22" s="38"/>
      <c r="D22" s="37" t="s">
        <v>258</v>
      </c>
      <c r="E22" s="45" t="s">
        <v>311</v>
      </c>
      <c r="F22" s="54" t="s">
        <v>256</v>
      </c>
      <c r="G22" s="44">
        <v>12</v>
      </c>
      <c r="H22" s="33">
        <v>9583</v>
      </c>
      <c r="I22" s="32">
        <f t="shared" si="0"/>
        <v>114996</v>
      </c>
    </row>
    <row r="23" spans="1:9" ht="31.9" customHeight="1" thickBot="1" x14ac:dyDescent="0.25">
      <c r="A23" s="40">
        <v>14</v>
      </c>
      <c r="B23" s="39"/>
      <c r="C23" s="38"/>
      <c r="D23" s="37" t="s">
        <v>260</v>
      </c>
      <c r="E23" s="45" t="s">
        <v>228</v>
      </c>
      <c r="F23" s="54" t="s">
        <v>256</v>
      </c>
      <c r="G23" s="44">
        <v>4</v>
      </c>
      <c r="H23" s="33">
        <v>4345</v>
      </c>
      <c r="I23" s="32">
        <f t="shared" si="0"/>
        <v>17380</v>
      </c>
    </row>
    <row r="24" spans="1:9" ht="31.9" customHeight="1" thickBot="1" x14ac:dyDescent="0.25">
      <c r="A24" s="40">
        <v>15</v>
      </c>
      <c r="B24" s="39"/>
      <c r="C24" s="38"/>
      <c r="D24" s="37" t="s">
        <v>258</v>
      </c>
      <c r="E24" s="45" t="s">
        <v>310</v>
      </c>
      <c r="F24" s="54" t="s">
        <v>296</v>
      </c>
      <c r="G24" s="44">
        <v>10</v>
      </c>
      <c r="H24" s="33">
        <v>3112</v>
      </c>
      <c r="I24" s="32">
        <f t="shared" si="0"/>
        <v>31120</v>
      </c>
    </row>
    <row r="25" spans="1:9" ht="31.9" customHeight="1" thickBot="1" x14ac:dyDescent="0.25">
      <c r="A25" s="40">
        <v>16</v>
      </c>
      <c r="B25" s="39"/>
      <c r="C25" s="38"/>
      <c r="D25" s="37" t="s">
        <v>258</v>
      </c>
      <c r="E25" s="51" t="s">
        <v>309</v>
      </c>
      <c r="F25" s="54" t="s">
        <v>296</v>
      </c>
      <c r="G25" s="44">
        <v>10</v>
      </c>
      <c r="H25" s="33">
        <v>3194</v>
      </c>
      <c r="I25" s="32">
        <f t="shared" si="0"/>
        <v>31940</v>
      </c>
    </row>
    <row r="26" spans="1:9" ht="57.75" customHeight="1" thickBot="1" x14ac:dyDescent="0.25">
      <c r="A26" s="40">
        <v>17</v>
      </c>
      <c r="B26" s="39"/>
      <c r="C26" s="38"/>
      <c r="D26" s="37" t="s">
        <v>258</v>
      </c>
      <c r="E26" s="49" t="s">
        <v>308</v>
      </c>
      <c r="F26" s="54" t="s">
        <v>296</v>
      </c>
      <c r="G26" s="44">
        <v>10</v>
      </c>
      <c r="H26" s="33">
        <v>3194</v>
      </c>
      <c r="I26" s="32">
        <f t="shared" si="0"/>
        <v>31940</v>
      </c>
    </row>
    <row r="27" spans="1:9" ht="31.9" customHeight="1" thickBot="1" x14ac:dyDescent="0.25">
      <c r="A27" s="40">
        <v>18</v>
      </c>
      <c r="B27" s="39"/>
      <c r="C27" s="38"/>
      <c r="D27" s="37" t="s">
        <v>258</v>
      </c>
      <c r="E27" s="51" t="s">
        <v>307</v>
      </c>
      <c r="F27" s="54" t="s">
        <v>296</v>
      </c>
      <c r="G27" s="44">
        <v>10</v>
      </c>
      <c r="H27" s="33">
        <v>3502</v>
      </c>
      <c r="I27" s="32">
        <f t="shared" si="0"/>
        <v>35020</v>
      </c>
    </row>
    <row r="28" spans="1:9" ht="31.9" customHeight="1" thickBot="1" x14ac:dyDescent="0.25">
      <c r="A28" s="40">
        <v>19</v>
      </c>
      <c r="B28" s="39"/>
      <c r="C28" s="38"/>
      <c r="D28" s="37" t="s">
        <v>258</v>
      </c>
      <c r="E28" s="51" t="s">
        <v>372</v>
      </c>
      <c r="F28" s="54" t="s">
        <v>296</v>
      </c>
      <c r="G28" s="44">
        <v>2</v>
      </c>
      <c r="H28" s="33">
        <v>8016</v>
      </c>
      <c r="I28" s="32">
        <f t="shared" si="0"/>
        <v>16032</v>
      </c>
    </row>
    <row r="29" spans="1:9" ht="31.9" customHeight="1" thickBot="1" x14ac:dyDescent="0.25">
      <c r="A29" s="40">
        <v>20</v>
      </c>
      <c r="B29" s="39"/>
      <c r="C29" s="38"/>
      <c r="D29" s="37" t="s">
        <v>258</v>
      </c>
      <c r="E29" s="51" t="s">
        <v>306</v>
      </c>
      <c r="F29" s="54" t="s">
        <v>296</v>
      </c>
      <c r="G29" s="44">
        <v>6</v>
      </c>
      <c r="H29" s="33">
        <v>41251</v>
      </c>
      <c r="I29" s="32">
        <f t="shared" si="0"/>
        <v>247506</v>
      </c>
    </row>
    <row r="30" spans="1:9" ht="31.9" customHeight="1" thickBot="1" x14ac:dyDescent="0.25">
      <c r="A30" s="40">
        <v>21</v>
      </c>
      <c r="B30" s="39"/>
      <c r="C30" s="38"/>
      <c r="D30" s="37" t="s">
        <v>258</v>
      </c>
      <c r="E30" s="51" t="s">
        <v>305</v>
      </c>
      <c r="F30" s="54" t="s">
        <v>296</v>
      </c>
      <c r="G30" s="44">
        <v>10</v>
      </c>
      <c r="H30" s="33">
        <v>6719</v>
      </c>
      <c r="I30" s="32">
        <f t="shared" si="0"/>
        <v>67190</v>
      </c>
    </row>
    <row r="31" spans="1:9" ht="59.25" customHeight="1" thickBot="1" x14ac:dyDescent="0.25">
      <c r="A31" s="40">
        <v>22</v>
      </c>
      <c r="B31" s="39"/>
      <c r="C31" s="38"/>
      <c r="D31" s="37" t="s">
        <v>258</v>
      </c>
      <c r="E31" s="49" t="s">
        <v>304</v>
      </c>
      <c r="F31" s="54" t="s">
        <v>296</v>
      </c>
      <c r="G31" s="44">
        <v>2</v>
      </c>
      <c r="H31" s="33">
        <v>2963</v>
      </c>
      <c r="I31" s="32">
        <f t="shared" si="0"/>
        <v>5926</v>
      </c>
    </row>
    <row r="32" spans="1:9" ht="56.25" customHeight="1" thickBot="1" x14ac:dyDescent="0.25">
      <c r="A32" s="40">
        <v>23</v>
      </c>
      <c r="B32" s="39"/>
      <c r="C32" s="38"/>
      <c r="D32" s="37" t="s">
        <v>258</v>
      </c>
      <c r="E32" s="49" t="s">
        <v>303</v>
      </c>
      <c r="F32" s="54" t="s">
        <v>296</v>
      </c>
      <c r="G32" s="44">
        <v>3</v>
      </c>
      <c r="H32" s="33">
        <v>7033</v>
      </c>
      <c r="I32" s="32">
        <f t="shared" si="0"/>
        <v>21099</v>
      </c>
    </row>
    <row r="33" spans="1:9" ht="31.9" customHeight="1" thickBot="1" x14ac:dyDescent="0.25">
      <c r="A33" s="40">
        <v>24</v>
      </c>
      <c r="B33" s="39"/>
      <c r="C33" s="38"/>
      <c r="D33" s="37" t="s">
        <v>258</v>
      </c>
      <c r="E33" s="51" t="s">
        <v>302</v>
      </c>
      <c r="F33" s="54" t="s">
        <v>296</v>
      </c>
      <c r="G33" s="44">
        <v>10</v>
      </c>
      <c r="H33" s="33">
        <v>7000</v>
      </c>
      <c r="I33" s="32">
        <f t="shared" si="0"/>
        <v>70000</v>
      </c>
    </row>
    <row r="34" spans="1:9" ht="31.9" customHeight="1" thickBot="1" x14ac:dyDescent="0.25">
      <c r="A34" s="40">
        <v>25</v>
      </c>
      <c r="B34" s="39"/>
      <c r="C34" s="38"/>
      <c r="D34" s="37" t="s">
        <v>258</v>
      </c>
      <c r="E34" s="51" t="s">
        <v>301</v>
      </c>
      <c r="F34" s="54" t="s">
        <v>296</v>
      </c>
      <c r="G34" s="44">
        <v>10</v>
      </c>
      <c r="H34" s="33">
        <v>6720</v>
      </c>
      <c r="I34" s="32">
        <f t="shared" si="0"/>
        <v>67200</v>
      </c>
    </row>
    <row r="35" spans="1:9" ht="31.9" customHeight="1" thickBot="1" x14ac:dyDescent="0.25">
      <c r="A35" s="40">
        <v>26</v>
      </c>
      <c r="B35" s="39"/>
      <c r="C35" s="38"/>
      <c r="D35" s="37" t="s">
        <v>258</v>
      </c>
      <c r="E35" s="51" t="s">
        <v>300</v>
      </c>
      <c r="F35" s="35" t="s">
        <v>296</v>
      </c>
      <c r="G35" s="44">
        <v>10</v>
      </c>
      <c r="H35" s="33">
        <v>6720</v>
      </c>
      <c r="I35" s="32">
        <f t="shared" si="0"/>
        <v>67200</v>
      </c>
    </row>
    <row r="36" spans="1:9" ht="31.9" customHeight="1" thickBot="1" x14ac:dyDescent="0.25">
      <c r="A36" s="40">
        <v>27</v>
      </c>
      <c r="B36" s="39"/>
      <c r="C36" s="38"/>
      <c r="D36" s="37" t="s">
        <v>258</v>
      </c>
      <c r="E36" s="53" t="s">
        <v>364</v>
      </c>
      <c r="F36" s="35" t="s">
        <v>296</v>
      </c>
      <c r="G36" s="44">
        <v>12</v>
      </c>
      <c r="H36" s="33">
        <v>28879</v>
      </c>
      <c r="I36" s="32">
        <f t="shared" si="0"/>
        <v>346548</v>
      </c>
    </row>
    <row r="37" spans="1:9" ht="73.5" customHeight="1" thickBot="1" x14ac:dyDescent="0.25">
      <c r="A37" s="40">
        <v>28</v>
      </c>
      <c r="B37" s="39"/>
      <c r="C37" s="38"/>
      <c r="D37" s="37" t="s">
        <v>258</v>
      </c>
      <c r="E37" s="49" t="s">
        <v>299</v>
      </c>
      <c r="F37" s="35" t="s">
        <v>296</v>
      </c>
      <c r="G37" s="44">
        <v>2</v>
      </c>
      <c r="H37" s="33">
        <v>4570</v>
      </c>
      <c r="I37" s="32">
        <f t="shared" si="0"/>
        <v>9140</v>
      </c>
    </row>
    <row r="38" spans="1:9" ht="31.9" customHeight="1" thickBot="1" x14ac:dyDescent="0.25">
      <c r="A38" s="40">
        <v>29</v>
      </c>
      <c r="B38" s="39"/>
      <c r="C38" s="38"/>
      <c r="D38" s="37" t="s">
        <v>258</v>
      </c>
      <c r="E38" s="51" t="s">
        <v>298</v>
      </c>
      <c r="F38" s="35" t="s">
        <v>296</v>
      </c>
      <c r="G38" s="44">
        <v>8</v>
      </c>
      <c r="H38" s="33">
        <v>1341</v>
      </c>
      <c r="I38" s="32">
        <f t="shared" si="0"/>
        <v>10728</v>
      </c>
    </row>
    <row r="39" spans="1:9" ht="31.9" customHeight="1" thickBot="1" x14ac:dyDescent="0.25">
      <c r="A39" s="40">
        <v>30</v>
      </c>
      <c r="B39" s="39"/>
      <c r="C39" s="38"/>
      <c r="D39" s="37" t="s">
        <v>258</v>
      </c>
      <c r="E39" s="51" t="s">
        <v>297</v>
      </c>
      <c r="F39" s="35" t="s">
        <v>296</v>
      </c>
      <c r="G39" s="44">
        <v>10</v>
      </c>
      <c r="H39" s="33">
        <v>4772</v>
      </c>
      <c r="I39" s="32">
        <f t="shared" si="0"/>
        <v>47720</v>
      </c>
    </row>
    <row r="40" spans="1:9" ht="31.9" customHeight="1" thickBot="1" x14ac:dyDescent="0.25">
      <c r="A40" s="40">
        <v>31</v>
      </c>
      <c r="B40" s="39"/>
      <c r="C40" s="38"/>
      <c r="D40" s="37" t="s">
        <v>258</v>
      </c>
      <c r="E40" s="51" t="s">
        <v>365</v>
      </c>
      <c r="F40" s="35" t="s">
        <v>256</v>
      </c>
      <c r="G40" s="44">
        <v>8</v>
      </c>
      <c r="H40" s="33">
        <v>12495</v>
      </c>
      <c r="I40" s="32">
        <f t="shared" si="0"/>
        <v>99960</v>
      </c>
    </row>
    <row r="41" spans="1:9" ht="31.9" customHeight="1" thickBot="1" x14ac:dyDescent="0.25">
      <c r="A41" s="40">
        <v>32</v>
      </c>
      <c r="B41" s="39"/>
      <c r="C41" s="38"/>
      <c r="D41" s="37" t="s">
        <v>258</v>
      </c>
      <c r="E41" s="51" t="s">
        <v>295</v>
      </c>
      <c r="F41" s="35" t="s">
        <v>256</v>
      </c>
      <c r="G41" s="44">
        <v>12</v>
      </c>
      <c r="H41" s="33">
        <v>15336</v>
      </c>
      <c r="I41" s="32">
        <f t="shared" si="0"/>
        <v>184032</v>
      </c>
    </row>
    <row r="42" spans="1:9" ht="31.9" customHeight="1" thickBot="1" x14ac:dyDescent="0.25">
      <c r="A42" s="40">
        <v>33</v>
      </c>
      <c r="B42" s="39"/>
      <c r="C42" s="38"/>
      <c r="D42" s="37" t="s">
        <v>258</v>
      </c>
      <c r="E42" s="51" t="s">
        <v>373</v>
      </c>
      <c r="F42" s="35" t="s">
        <v>294</v>
      </c>
      <c r="G42" s="44">
        <v>12</v>
      </c>
      <c r="H42" s="33">
        <v>5776</v>
      </c>
      <c r="I42" s="32">
        <f t="shared" ref="I42:I73" si="1">G42*H42</f>
        <v>69312</v>
      </c>
    </row>
    <row r="43" spans="1:9" ht="31.9" customHeight="1" thickBot="1" x14ac:dyDescent="0.25">
      <c r="A43" s="40">
        <v>34</v>
      </c>
      <c r="B43" s="39"/>
      <c r="C43" s="38"/>
      <c r="D43" s="37" t="s">
        <v>258</v>
      </c>
      <c r="E43" s="51" t="s">
        <v>366</v>
      </c>
      <c r="F43" s="35" t="s">
        <v>294</v>
      </c>
      <c r="G43" s="44">
        <v>2</v>
      </c>
      <c r="H43" s="33">
        <v>2141</v>
      </c>
      <c r="I43" s="32">
        <f t="shared" si="1"/>
        <v>4282</v>
      </c>
    </row>
    <row r="44" spans="1:9" ht="31.9" customHeight="1" thickBot="1" x14ac:dyDescent="0.25">
      <c r="A44" s="40">
        <v>35</v>
      </c>
      <c r="B44" s="39"/>
      <c r="C44" s="38"/>
      <c r="D44" s="37" t="s">
        <v>258</v>
      </c>
      <c r="E44" s="51" t="s">
        <v>367</v>
      </c>
      <c r="F44" s="35" t="s">
        <v>294</v>
      </c>
      <c r="G44" s="44">
        <v>3</v>
      </c>
      <c r="H44" s="33">
        <v>2141</v>
      </c>
      <c r="I44" s="32">
        <f t="shared" si="1"/>
        <v>6423</v>
      </c>
    </row>
    <row r="45" spans="1:9" ht="31.9" customHeight="1" thickBot="1" x14ac:dyDescent="0.25">
      <c r="A45" s="40">
        <v>36</v>
      </c>
      <c r="B45" s="39"/>
      <c r="C45" s="38"/>
      <c r="D45" s="37" t="s">
        <v>260</v>
      </c>
      <c r="E45" s="51" t="s">
        <v>184</v>
      </c>
      <c r="F45" s="35" t="s">
        <v>294</v>
      </c>
      <c r="G45" s="52">
        <v>2</v>
      </c>
      <c r="H45" s="33">
        <v>23533</v>
      </c>
      <c r="I45" s="32">
        <f t="shared" si="1"/>
        <v>47066</v>
      </c>
    </row>
    <row r="46" spans="1:9" ht="31.9" customHeight="1" thickBot="1" x14ac:dyDescent="0.25">
      <c r="A46" s="40">
        <v>37</v>
      </c>
      <c r="B46" s="39"/>
      <c r="C46" s="38"/>
      <c r="D46" s="37" t="s">
        <v>260</v>
      </c>
      <c r="E46" s="51" t="s">
        <v>182</v>
      </c>
      <c r="F46" s="35" t="s">
        <v>294</v>
      </c>
      <c r="G46" s="44">
        <v>2</v>
      </c>
      <c r="H46" s="33">
        <v>8891</v>
      </c>
      <c r="I46" s="32">
        <f t="shared" si="1"/>
        <v>17782</v>
      </c>
    </row>
    <row r="47" spans="1:9" ht="31.9" customHeight="1" thickBot="1" x14ac:dyDescent="0.25">
      <c r="A47" s="40">
        <v>38</v>
      </c>
      <c r="B47" s="39"/>
      <c r="C47" s="38"/>
      <c r="D47" s="37" t="s">
        <v>260</v>
      </c>
      <c r="E47" s="51" t="s">
        <v>180</v>
      </c>
      <c r="F47" s="35" t="s">
        <v>294</v>
      </c>
      <c r="G47" s="52">
        <v>2</v>
      </c>
      <c r="H47" s="33">
        <v>23533</v>
      </c>
      <c r="I47" s="32">
        <f t="shared" si="1"/>
        <v>47066</v>
      </c>
    </row>
    <row r="48" spans="1:9" ht="31.9" customHeight="1" thickBot="1" x14ac:dyDescent="0.25">
      <c r="A48" s="40">
        <v>39</v>
      </c>
      <c r="B48" s="39"/>
      <c r="C48" s="38"/>
      <c r="D48" s="37" t="s">
        <v>260</v>
      </c>
      <c r="E48" s="51" t="s">
        <v>178</v>
      </c>
      <c r="F48" s="35" t="s">
        <v>294</v>
      </c>
      <c r="G48" s="44">
        <v>2</v>
      </c>
      <c r="H48" s="33">
        <v>8891</v>
      </c>
      <c r="I48" s="32">
        <f t="shared" si="1"/>
        <v>17782</v>
      </c>
    </row>
    <row r="49" spans="1:9" ht="31.9" customHeight="1" thickBot="1" x14ac:dyDescent="0.25">
      <c r="A49" s="40">
        <v>40</v>
      </c>
      <c r="B49" s="39"/>
      <c r="C49" s="38"/>
      <c r="D49" s="37" t="s">
        <v>260</v>
      </c>
      <c r="E49" s="51" t="s">
        <v>176</v>
      </c>
      <c r="F49" s="35" t="s">
        <v>294</v>
      </c>
      <c r="G49" s="44">
        <v>3</v>
      </c>
      <c r="H49" s="33">
        <v>37087</v>
      </c>
      <c r="I49" s="32">
        <f t="shared" si="1"/>
        <v>111261</v>
      </c>
    </row>
    <row r="50" spans="1:9" ht="31.9" customHeight="1" thickBot="1" x14ac:dyDescent="0.25">
      <c r="A50" s="40">
        <v>41</v>
      </c>
      <c r="B50" s="39"/>
      <c r="C50" s="38"/>
      <c r="D50" s="37" t="s">
        <v>260</v>
      </c>
      <c r="E50" s="51" t="s">
        <v>174</v>
      </c>
      <c r="F50" s="35" t="s">
        <v>294</v>
      </c>
      <c r="G50" s="44">
        <v>4</v>
      </c>
      <c r="H50" s="33">
        <v>8891</v>
      </c>
      <c r="I50" s="32">
        <f t="shared" si="1"/>
        <v>35564</v>
      </c>
    </row>
    <row r="51" spans="1:9" ht="31.9" customHeight="1" thickBot="1" x14ac:dyDescent="0.25">
      <c r="A51" s="40">
        <v>42</v>
      </c>
      <c r="B51" s="39"/>
      <c r="C51" s="38"/>
      <c r="D51" s="37" t="s">
        <v>260</v>
      </c>
      <c r="E51" s="51" t="s">
        <v>172</v>
      </c>
      <c r="F51" s="35" t="s">
        <v>294</v>
      </c>
      <c r="G51" s="44">
        <v>2</v>
      </c>
      <c r="H51" s="33">
        <v>8891</v>
      </c>
      <c r="I51" s="32">
        <f t="shared" si="1"/>
        <v>17782</v>
      </c>
    </row>
    <row r="52" spans="1:9" ht="31.9" customHeight="1" thickBot="1" x14ac:dyDescent="0.25">
      <c r="A52" s="40">
        <v>43</v>
      </c>
      <c r="B52" s="39"/>
      <c r="C52" s="38"/>
      <c r="D52" s="37" t="s">
        <v>260</v>
      </c>
      <c r="E52" s="51" t="s">
        <v>170</v>
      </c>
      <c r="F52" s="35" t="s">
        <v>294</v>
      </c>
      <c r="G52" s="44">
        <v>2</v>
      </c>
      <c r="H52" s="33">
        <v>16584</v>
      </c>
      <c r="I52" s="32">
        <f t="shared" si="1"/>
        <v>33168</v>
      </c>
    </row>
    <row r="53" spans="1:9" ht="31.9" customHeight="1" thickBot="1" x14ac:dyDescent="0.25">
      <c r="A53" s="40">
        <v>44</v>
      </c>
      <c r="B53" s="39"/>
      <c r="C53" s="38"/>
      <c r="D53" s="37" t="s">
        <v>260</v>
      </c>
      <c r="E53" s="51" t="s">
        <v>168</v>
      </c>
      <c r="F53" s="35" t="s">
        <v>294</v>
      </c>
      <c r="G53" s="44">
        <v>2</v>
      </c>
      <c r="H53" s="33">
        <v>33763</v>
      </c>
      <c r="I53" s="32">
        <f t="shared" si="1"/>
        <v>67526</v>
      </c>
    </row>
    <row r="54" spans="1:9" ht="31.9" customHeight="1" thickBot="1" x14ac:dyDescent="0.25">
      <c r="A54" s="40">
        <v>45</v>
      </c>
      <c r="B54" s="39"/>
      <c r="C54" s="38"/>
      <c r="D54" s="37" t="s">
        <v>260</v>
      </c>
      <c r="E54" s="51" t="s">
        <v>166</v>
      </c>
      <c r="F54" s="35" t="s">
        <v>294</v>
      </c>
      <c r="G54" s="44">
        <v>2</v>
      </c>
      <c r="H54" s="33">
        <v>35535</v>
      </c>
      <c r="I54" s="32">
        <f t="shared" si="1"/>
        <v>71070</v>
      </c>
    </row>
    <row r="55" spans="1:9" ht="31.9" customHeight="1" thickBot="1" x14ac:dyDescent="0.25">
      <c r="A55" s="40">
        <v>46</v>
      </c>
      <c r="B55" s="39"/>
      <c r="C55" s="38"/>
      <c r="D55" s="37" t="s">
        <v>260</v>
      </c>
      <c r="E55" s="51" t="s">
        <v>164</v>
      </c>
      <c r="F55" s="35" t="s">
        <v>294</v>
      </c>
      <c r="G55" s="44">
        <v>2</v>
      </c>
      <c r="H55" s="33">
        <v>14833</v>
      </c>
      <c r="I55" s="32">
        <f t="shared" si="1"/>
        <v>29666</v>
      </c>
    </row>
    <row r="56" spans="1:9" ht="31.9" customHeight="1" thickBot="1" x14ac:dyDescent="0.25">
      <c r="A56" s="40">
        <v>47</v>
      </c>
      <c r="B56" s="39"/>
      <c r="C56" s="38"/>
      <c r="D56" s="37" t="s">
        <v>258</v>
      </c>
      <c r="E56" s="45" t="s">
        <v>368</v>
      </c>
      <c r="F56" s="35" t="s">
        <v>256</v>
      </c>
      <c r="G56" s="44">
        <v>3</v>
      </c>
      <c r="H56" s="33">
        <v>53900</v>
      </c>
      <c r="I56" s="32">
        <f t="shared" si="1"/>
        <v>161700</v>
      </c>
    </row>
    <row r="57" spans="1:9" ht="31.9" customHeight="1" thickBot="1" x14ac:dyDescent="0.25">
      <c r="A57" s="40">
        <v>48</v>
      </c>
      <c r="B57" s="39"/>
      <c r="C57" s="38"/>
      <c r="D57" s="37" t="s">
        <v>258</v>
      </c>
      <c r="E57" s="45" t="s">
        <v>369</v>
      </c>
      <c r="F57" s="35" t="s">
        <v>256</v>
      </c>
      <c r="G57" s="44">
        <v>3</v>
      </c>
      <c r="H57" s="33">
        <v>53900</v>
      </c>
      <c r="I57" s="32">
        <f t="shared" si="1"/>
        <v>161700</v>
      </c>
    </row>
    <row r="58" spans="1:9" ht="31.9" customHeight="1" thickBot="1" x14ac:dyDescent="0.25">
      <c r="A58" s="40">
        <v>49</v>
      </c>
      <c r="B58" s="39"/>
      <c r="C58" s="38"/>
      <c r="D58" s="37" t="s">
        <v>258</v>
      </c>
      <c r="E58" s="45" t="s">
        <v>293</v>
      </c>
      <c r="F58" s="50" t="s">
        <v>256</v>
      </c>
      <c r="G58" s="44">
        <v>2</v>
      </c>
      <c r="H58" s="33">
        <v>17250</v>
      </c>
      <c r="I58" s="32">
        <f t="shared" si="1"/>
        <v>34500</v>
      </c>
    </row>
    <row r="59" spans="1:9" ht="31.9" customHeight="1" thickBot="1" x14ac:dyDescent="0.25">
      <c r="A59" s="40">
        <v>50</v>
      </c>
      <c r="B59" s="39"/>
      <c r="C59" s="38"/>
      <c r="D59" s="37" t="s">
        <v>258</v>
      </c>
      <c r="E59" s="45" t="s">
        <v>377</v>
      </c>
      <c r="F59" s="50" t="s">
        <v>256</v>
      </c>
      <c r="G59" s="44">
        <v>2</v>
      </c>
      <c r="H59" s="33">
        <v>9560</v>
      </c>
      <c r="I59" s="32">
        <f t="shared" si="1"/>
        <v>19120</v>
      </c>
    </row>
    <row r="60" spans="1:9" ht="31.9" customHeight="1" thickBot="1" x14ac:dyDescent="0.25">
      <c r="A60" s="40">
        <v>51</v>
      </c>
      <c r="B60" s="39"/>
      <c r="C60" s="38"/>
      <c r="D60" s="37" t="s">
        <v>258</v>
      </c>
      <c r="E60" s="45" t="s">
        <v>378</v>
      </c>
      <c r="F60" s="50" t="s">
        <v>256</v>
      </c>
      <c r="G60" s="44">
        <v>2</v>
      </c>
      <c r="H60" s="33">
        <v>12536</v>
      </c>
      <c r="I60" s="32">
        <f t="shared" si="1"/>
        <v>25072</v>
      </c>
    </row>
    <row r="61" spans="1:9" ht="31.9" customHeight="1" thickBot="1" x14ac:dyDescent="0.25">
      <c r="A61" s="40">
        <v>52</v>
      </c>
      <c r="B61" s="39"/>
      <c r="C61" s="38"/>
      <c r="D61" s="37" t="s">
        <v>258</v>
      </c>
      <c r="E61" s="45" t="s">
        <v>152</v>
      </c>
      <c r="F61" s="50" t="s">
        <v>256</v>
      </c>
      <c r="G61" s="44">
        <v>2</v>
      </c>
      <c r="H61" s="33">
        <v>14614</v>
      </c>
      <c r="I61" s="32">
        <f t="shared" si="1"/>
        <v>29228</v>
      </c>
    </row>
    <row r="62" spans="1:9" ht="31.9" customHeight="1" thickBot="1" x14ac:dyDescent="0.25">
      <c r="A62" s="40">
        <v>53</v>
      </c>
      <c r="B62" s="39"/>
      <c r="C62" s="38"/>
      <c r="D62" s="37" t="s">
        <v>260</v>
      </c>
      <c r="E62" s="45" t="s">
        <v>292</v>
      </c>
      <c r="F62" s="50" t="s">
        <v>256</v>
      </c>
      <c r="G62" s="44">
        <v>5</v>
      </c>
      <c r="H62" s="33">
        <v>5473</v>
      </c>
      <c r="I62" s="32">
        <f t="shared" si="1"/>
        <v>27365</v>
      </c>
    </row>
    <row r="63" spans="1:9" ht="31.9" customHeight="1" thickBot="1" x14ac:dyDescent="0.25">
      <c r="A63" s="40">
        <v>54</v>
      </c>
      <c r="B63" s="39"/>
      <c r="C63" s="38"/>
      <c r="D63" s="37" t="s">
        <v>258</v>
      </c>
      <c r="E63" s="45" t="s">
        <v>148</v>
      </c>
      <c r="F63" s="50" t="s">
        <v>256</v>
      </c>
      <c r="G63" s="44">
        <v>16</v>
      </c>
      <c r="H63" s="33">
        <v>4463</v>
      </c>
      <c r="I63" s="32">
        <f t="shared" si="1"/>
        <v>71408</v>
      </c>
    </row>
    <row r="64" spans="1:9" ht="31.9" customHeight="1" thickBot="1" x14ac:dyDescent="0.25">
      <c r="A64" s="40">
        <v>55</v>
      </c>
      <c r="B64" s="39"/>
      <c r="C64" s="38"/>
      <c r="D64" s="37" t="s">
        <v>258</v>
      </c>
      <c r="E64" s="45" t="s">
        <v>146</v>
      </c>
      <c r="F64" s="50" t="s">
        <v>256</v>
      </c>
      <c r="G64" s="44">
        <v>25</v>
      </c>
      <c r="H64" s="33">
        <v>4524</v>
      </c>
      <c r="I64" s="32">
        <f t="shared" si="1"/>
        <v>113100</v>
      </c>
    </row>
    <row r="65" spans="1:9" ht="31.9" customHeight="1" thickBot="1" x14ac:dyDescent="0.25">
      <c r="A65" s="40">
        <v>56</v>
      </c>
      <c r="B65" s="39"/>
      <c r="C65" s="38"/>
      <c r="D65" s="37" t="s">
        <v>258</v>
      </c>
      <c r="E65" s="45" t="s">
        <v>370</v>
      </c>
      <c r="F65" s="50" t="s">
        <v>256</v>
      </c>
      <c r="G65" s="44">
        <v>1</v>
      </c>
      <c r="H65" s="33">
        <v>11866</v>
      </c>
      <c r="I65" s="32">
        <f t="shared" si="1"/>
        <v>11866</v>
      </c>
    </row>
    <row r="66" spans="1:9" ht="31.9" customHeight="1" thickBot="1" x14ac:dyDescent="0.25">
      <c r="A66" s="40">
        <v>57</v>
      </c>
      <c r="B66" s="39"/>
      <c r="C66" s="38"/>
      <c r="D66" s="37" t="s">
        <v>258</v>
      </c>
      <c r="E66" s="45" t="s">
        <v>379</v>
      </c>
      <c r="F66" s="50" t="s">
        <v>256</v>
      </c>
      <c r="G66" s="44">
        <v>6</v>
      </c>
      <c r="H66" s="33">
        <v>8965</v>
      </c>
      <c r="I66" s="32">
        <f t="shared" si="1"/>
        <v>53790</v>
      </c>
    </row>
    <row r="67" spans="1:9" ht="31.9" customHeight="1" thickBot="1" x14ac:dyDescent="0.25">
      <c r="A67" s="40">
        <v>58</v>
      </c>
      <c r="B67" s="39"/>
      <c r="C67" s="38"/>
      <c r="D67" s="37" t="s">
        <v>258</v>
      </c>
      <c r="E67" s="45" t="s">
        <v>140</v>
      </c>
      <c r="F67" s="35" t="s">
        <v>256</v>
      </c>
      <c r="G67" s="44">
        <v>2</v>
      </c>
      <c r="H67" s="33">
        <v>7436</v>
      </c>
      <c r="I67" s="32">
        <f t="shared" si="1"/>
        <v>14872</v>
      </c>
    </row>
    <row r="68" spans="1:9" ht="31.9" customHeight="1" thickBot="1" x14ac:dyDescent="0.25">
      <c r="A68" s="40">
        <v>59</v>
      </c>
      <c r="B68" s="39"/>
      <c r="C68" s="38"/>
      <c r="D68" s="37" t="s">
        <v>258</v>
      </c>
      <c r="E68" s="45" t="s">
        <v>371</v>
      </c>
      <c r="F68" s="35" t="s">
        <v>256</v>
      </c>
      <c r="G68" s="44">
        <v>2</v>
      </c>
      <c r="H68" s="33">
        <v>24438</v>
      </c>
      <c r="I68" s="32">
        <f t="shared" si="1"/>
        <v>48876</v>
      </c>
    </row>
    <row r="69" spans="1:9" ht="31.9" customHeight="1" thickBot="1" x14ac:dyDescent="0.25">
      <c r="A69" s="40">
        <v>60</v>
      </c>
      <c r="B69" s="39"/>
      <c r="C69" s="38"/>
      <c r="D69" s="37" t="s">
        <v>258</v>
      </c>
      <c r="E69" s="49" t="s">
        <v>136</v>
      </c>
      <c r="F69" s="35" t="s">
        <v>256</v>
      </c>
      <c r="G69" s="44">
        <v>1</v>
      </c>
      <c r="H69" s="33">
        <v>16616</v>
      </c>
      <c r="I69" s="32">
        <f t="shared" si="1"/>
        <v>16616</v>
      </c>
    </row>
    <row r="70" spans="1:9" ht="31.9" customHeight="1" thickBot="1" x14ac:dyDescent="0.25">
      <c r="A70" s="40">
        <v>61</v>
      </c>
      <c r="B70" s="39"/>
      <c r="C70" s="38"/>
      <c r="D70" s="37" t="s">
        <v>258</v>
      </c>
      <c r="E70" s="49" t="s">
        <v>134</v>
      </c>
      <c r="F70" s="35" t="s">
        <v>256</v>
      </c>
      <c r="G70" s="44">
        <v>1</v>
      </c>
      <c r="H70" s="33">
        <v>18210</v>
      </c>
      <c r="I70" s="32">
        <f t="shared" si="1"/>
        <v>18210</v>
      </c>
    </row>
    <row r="71" spans="1:9" ht="31.9" customHeight="1" thickBot="1" x14ac:dyDescent="0.25">
      <c r="A71" s="40">
        <v>62</v>
      </c>
      <c r="B71" s="39"/>
      <c r="C71" s="38"/>
      <c r="D71" s="37" t="s">
        <v>258</v>
      </c>
      <c r="E71" s="49" t="s">
        <v>132</v>
      </c>
      <c r="F71" s="35" t="s">
        <v>256</v>
      </c>
      <c r="G71" s="44">
        <v>1</v>
      </c>
      <c r="H71" s="33">
        <v>19600</v>
      </c>
      <c r="I71" s="32">
        <f t="shared" si="1"/>
        <v>19600</v>
      </c>
    </row>
    <row r="72" spans="1:9" ht="31.9" customHeight="1" thickBot="1" x14ac:dyDescent="0.25">
      <c r="A72" s="40">
        <v>63</v>
      </c>
      <c r="B72" s="39"/>
      <c r="C72" s="38"/>
      <c r="D72" s="37" t="s">
        <v>258</v>
      </c>
      <c r="E72" s="45" t="s">
        <v>130</v>
      </c>
      <c r="F72" s="35" t="s">
        <v>256</v>
      </c>
      <c r="G72" s="44">
        <v>3</v>
      </c>
      <c r="H72" s="33">
        <v>17632</v>
      </c>
      <c r="I72" s="32">
        <f t="shared" si="1"/>
        <v>52896</v>
      </c>
    </row>
    <row r="73" spans="1:9" ht="69" customHeight="1" thickBot="1" x14ac:dyDescent="0.25">
      <c r="A73" s="40">
        <v>64</v>
      </c>
      <c r="B73" s="39"/>
      <c r="C73" s="38"/>
      <c r="D73" s="37" t="s">
        <v>258</v>
      </c>
      <c r="E73" s="45" t="s">
        <v>291</v>
      </c>
      <c r="F73" s="35" t="s">
        <v>256</v>
      </c>
      <c r="G73" s="44">
        <v>1</v>
      </c>
      <c r="H73" s="33">
        <v>26718</v>
      </c>
      <c r="I73" s="32">
        <f t="shared" si="1"/>
        <v>26718</v>
      </c>
    </row>
    <row r="74" spans="1:9" ht="73.5" customHeight="1" thickBot="1" x14ac:dyDescent="0.25">
      <c r="A74" s="40">
        <v>65</v>
      </c>
      <c r="B74" s="39"/>
      <c r="C74" s="38"/>
      <c r="D74" s="37" t="s">
        <v>258</v>
      </c>
      <c r="E74" s="45" t="s">
        <v>290</v>
      </c>
      <c r="F74" s="35" t="s">
        <v>256</v>
      </c>
      <c r="G74" s="44">
        <v>1</v>
      </c>
      <c r="H74" s="33">
        <v>33153</v>
      </c>
      <c r="I74" s="32">
        <f t="shared" ref="I74:I105" si="2">G74*H74</f>
        <v>33153</v>
      </c>
    </row>
    <row r="75" spans="1:9" ht="75.75" customHeight="1" thickBot="1" x14ac:dyDescent="0.25">
      <c r="A75" s="40">
        <v>66</v>
      </c>
      <c r="B75" s="39"/>
      <c r="C75" s="38"/>
      <c r="D75" s="37" t="s">
        <v>258</v>
      </c>
      <c r="E75" s="45" t="s">
        <v>289</v>
      </c>
      <c r="F75" s="35" t="s">
        <v>256</v>
      </c>
      <c r="G75" s="44">
        <v>2</v>
      </c>
      <c r="H75" s="33">
        <v>31406</v>
      </c>
      <c r="I75" s="32">
        <f t="shared" si="2"/>
        <v>62812</v>
      </c>
    </row>
    <row r="76" spans="1:9" ht="66.75" customHeight="1" thickBot="1" x14ac:dyDescent="0.25">
      <c r="A76" s="40">
        <v>67</v>
      </c>
      <c r="B76" s="39"/>
      <c r="C76" s="38"/>
      <c r="D76" s="37" t="s">
        <v>258</v>
      </c>
      <c r="E76" s="45" t="s">
        <v>288</v>
      </c>
      <c r="F76" s="35" t="s">
        <v>256</v>
      </c>
      <c r="G76" s="44">
        <v>2</v>
      </c>
      <c r="H76" s="33">
        <v>18034</v>
      </c>
      <c r="I76" s="32">
        <f t="shared" si="2"/>
        <v>36068</v>
      </c>
    </row>
    <row r="77" spans="1:9" ht="66.75" customHeight="1" thickBot="1" x14ac:dyDescent="0.25">
      <c r="A77" s="40">
        <v>68</v>
      </c>
      <c r="B77" s="39"/>
      <c r="C77" s="38"/>
      <c r="D77" s="37" t="s">
        <v>258</v>
      </c>
      <c r="E77" s="45" t="s">
        <v>380</v>
      </c>
      <c r="F77" s="35" t="s">
        <v>256</v>
      </c>
      <c r="G77" s="44">
        <v>1</v>
      </c>
      <c r="H77" s="33">
        <v>28279</v>
      </c>
      <c r="I77" s="32">
        <f t="shared" si="2"/>
        <v>28279</v>
      </c>
    </row>
    <row r="78" spans="1:9" ht="63" customHeight="1" thickBot="1" x14ac:dyDescent="0.25">
      <c r="A78" s="40">
        <v>69</v>
      </c>
      <c r="B78" s="39"/>
      <c r="C78" s="38"/>
      <c r="D78" s="37" t="s">
        <v>258</v>
      </c>
      <c r="E78" s="45" t="s">
        <v>287</v>
      </c>
      <c r="F78" s="35" t="s">
        <v>256</v>
      </c>
      <c r="G78" s="44">
        <v>1</v>
      </c>
      <c r="H78" s="33">
        <v>13546</v>
      </c>
      <c r="I78" s="32">
        <f t="shared" si="2"/>
        <v>13546</v>
      </c>
    </row>
    <row r="79" spans="1:9" ht="64.5" customHeight="1" thickBot="1" x14ac:dyDescent="0.25">
      <c r="A79" s="40">
        <v>70</v>
      </c>
      <c r="B79" s="39"/>
      <c r="C79" s="38"/>
      <c r="D79" s="37" t="s">
        <v>258</v>
      </c>
      <c r="E79" s="45" t="s">
        <v>286</v>
      </c>
      <c r="F79" s="35" t="s">
        <v>256</v>
      </c>
      <c r="G79" s="44">
        <v>1</v>
      </c>
      <c r="H79" s="33">
        <v>20178</v>
      </c>
      <c r="I79" s="32">
        <f t="shared" si="2"/>
        <v>20178</v>
      </c>
    </row>
    <row r="80" spans="1:9" ht="75" customHeight="1" thickBot="1" x14ac:dyDescent="0.25">
      <c r="A80" s="40">
        <v>71</v>
      </c>
      <c r="B80" s="39"/>
      <c r="C80" s="38"/>
      <c r="D80" s="37" t="s">
        <v>258</v>
      </c>
      <c r="E80" s="45" t="s">
        <v>285</v>
      </c>
      <c r="F80" s="35" t="s">
        <v>256</v>
      </c>
      <c r="G80" s="44">
        <v>1</v>
      </c>
      <c r="H80" s="33">
        <v>15592</v>
      </c>
      <c r="I80" s="32">
        <f t="shared" si="2"/>
        <v>15592</v>
      </c>
    </row>
    <row r="81" spans="1:9" ht="62.25" customHeight="1" thickBot="1" x14ac:dyDescent="0.25">
      <c r="A81" s="40">
        <v>72</v>
      </c>
      <c r="B81" s="39"/>
      <c r="C81" s="38"/>
      <c r="D81" s="37" t="s">
        <v>258</v>
      </c>
      <c r="E81" s="45" t="s">
        <v>284</v>
      </c>
      <c r="F81" s="35" t="s">
        <v>256</v>
      </c>
      <c r="G81" s="44">
        <v>1</v>
      </c>
      <c r="H81" s="33">
        <v>14051</v>
      </c>
      <c r="I81" s="32">
        <f t="shared" si="2"/>
        <v>14051</v>
      </c>
    </row>
    <row r="82" spans="1:9" ht="80.25" customHeight="1" thickBot="1" x14ac:dyDescent="0.25">
      <c r="A82" s="40">
        <v>73</v>
      </c>
      <c r="B82" s="39"/>
      <c r="C82" s="38"/>
      <c r="D82" s="37" t="s">
        <v>258</v>
      </c>
      <c r="E82" s="45" t="s">
        <v>381</v>
      </c>
      <c r="F82" s="35" t="s">
        <v>256</v>
      </c>
      <c r="G82" s="44">
        <v>4</v>
      </c>
      <c r="H82" s="33">
        <v>19755</v>
      </c>
      <c r="I82" s="32">
        <f t="shared" si="2"/>
        <v>79020</v>
      </c>
    </row>
    <row r="83" spans="1:9" ht="66" customHeight="1" thickBot="1" x14ac:dyDescent="0.25">
      <c r="A83" s="40">
        <v>74</v>
      </c>
      <c r="B83" s="39"/>
      <c r="C83" s="38"/>
      <c r="D83" s="37" t="s">
        <v>258</v>
      </c>
      <c r="E83" s="45" t="s">
        <v>283</v>
      </c>
      <c r="F83" s="35" t="s">
        <v>256</v>
      </c>
      <c r="G83" s="44">
        <v>2</v>
      </c>
      <c r="H83" s="33">
        <v>22061</v>
      </c>
      <c r="I83" s="32">
        <f t="shared" si="2"/>
        <v>44122</v>
      </c>
    </row>
    <row r="84" spans="1:9" ht="51.75" customHeight="1" thickBot="1" x14ac:dyDescent="0.25">
      <c r="A84" s="40">
        <v>75</v>
      </c>
      <c r="B84" s="39"/>
      <c r="C84" s="38"/>
      <c r="D84" s="37" t="s">
        <v>258</v>
      </c>
      <c r="E84" s="45" t="s">
        <v>282</v>
      </c>
      <c r="F84" s="35" t="s">
        <v>256</v>
      </c>
      <c r="G84" s="44">
        <v>1</v>
      </c>
      <c r="H84" s="33">
        <v>56130</v>
      </c>
      <c r="I84" s="32">
        <f t="shared" si="2"/>
        <v>56130</v>
      </c>
    </row>
    <row r="85" spans="1:9" ht="68.25" customHeight="1" thickBot="1" x14ac:dyDescent="0.25">
      <c r="A85" s="40">
        <v>76</v>
      </c>
      <c r="B85" s="39"/>
      <c r="C85" s="38"/>
      <c r="D85" s="37" t="s">
        <v>258</v>
      </c>
      <c r="E85" s="45" t="s">
        <v>281</v>
      </c>
      <c r="F85" s="35" t="s">
        <v>256</v>
      </c>
      <c r="G85" s="44">
        <v>1</v>
      </c>
      <c r="H85" s="33">
        <v>41714</v>
      </c>
      <c r="I85" s="32">
        <f t="shared" si="2"/>
        <v>41714</v>
      </c>
    </row>
    <row r="86" spans="1:9" ht="61.5" customHeight="1" thickBot="1" x14ac:dyDescent="0.25">
      <c r="A86" s="40">
        <v>77</v>
      </c>
      <c r="B86" s="39"/>
      <c r="C86" s="38"/>
      <c r="D86" s="37" t="s">
        <v>258</v>
      </c>
      <c r="E86" s="45" t="s">
        <v>280</v>
      </c>
      <c r="F86" s="35" t="s">
        <v>256</v>
      </c>
      <c r="G86" s="44">
        <v>1</v>
      </c>
      <c r="H86" s="33">
        <v>14050</v>
      </c>
      <c r="I86" s="32">
        <f t="shared" si="2"/>
        <v>14050</v>
      </c>
    </row>
    <row r="87" spans="1:9" ht="62.25" customHeight="1" thickBot="1" x14ac:dyDescent="0.25">
      <c r="A87" s="40">
        <v>78</v>
      </c>
      <c r="B87" s="39"/>
      <c r="C87" s="38"/>
      <c r="D87" s="37" t="s">
        <v>258</v>
      </c>
      <c r="E87" s="45" t="s">
        <v>279</v>
      </c>
      <c r="F87" s="35" t="s">
        <v>256</v>
      </c>
      <c r="G87" s="44">
        <v>1</v>
      </c>
      <c r="H87" s="33">
        <v>13670</v>
      </c>
      <c r="I87" s="32">
        <f t="shared" si="2"/>
        <v>13670</v>
      </c>
    </row>
    <row r="88" spans="1:9" ht="65.25" customHeight="1" thickBot="1" x14ac:dyDescent="0.25">
      <c r="A88" s="40">
        <v>79</v>
      </c>
      <c r="B88" s="39"/>
      <c r="C88" s="38"/>
      <c r="D88" s="37" t="s">
        <v>258</v>
      </c>
      <c r="E88" s="45" t="s">
        <v>278</v>
      </c>
      <c r="F88" s="35" t="s">
        <v>256</v>
      </c>
      <c r="G88" s="44">
        <v>1</v>
      </c>
      <c r="H88" s="33">
        <v>18106</v>
      </c>
      <c r="I88" s="32">
        <f t="shared" si="2"/>
        <v>18106</v>
      </c>
    </row>
    <row r="89" spans="1:9" ht="49.5" customHeight="1" thickBot="1" x14ac:dyDescent="0.25">
      <c r="A89" s="40">
        <v>80</v>
      </c>
      <c r="B89" s="39"/>
      <c r="C89" s="38"/>
      <c r="D89" s="37" t="s">
        <v>258</v>
      </c>
      <c r="E89" s="45" t="s">
        <v>277</v>
      </c>
      <c r="F89" s="35" t="s">
        <v>256</v>
      </c>
      <c r="G89" s="44">
        <v>1</v>
      </c>
      <c r="H89" s="33">
        <v>14051</v>
      </c>
      <c r="I89" s="32">
        <f t="shared" si="2"/>
        <v>14051</v>
      </c>
    </row>
    <row r="90" spans="1:9" ht="84" customHeight="1" thickBot="1" x14ac:dyDescent="0.25">
      <c r="A90" s="40">
        <v>81</v>
      </c>
      <c r="B90" s="39"/>
      <c r="C90" s="38"/>
      <c r="D90" s="37" t="s">
        <v>258</v>
      </c>
      <c r="E90" s="45" t="s">
        <v>276</v>
      </c>
      <c r="F90" s="35" t="s">
        <v>256</v>
      </c>
      <c r="G90" s="44">
        <v>1</v>
      </c>
      <c r="H90" s="33">
        <v>19755</v>
      </c>
      <c r="I90" s="32">
        <f t="shared" si="2"/>
        <v>19755</v>
      </c>
    </row>
    <row r="91" spans="1:9" ht="49.5" customHeight="1" thickBot="1" x14ac:dyDescent="0.25">
      <c r="A91" s="40">
        <v>82</v>
      </c>
      <c r="B91" s="39"/>
      <c r="C91" s="38"/>
      <c r="D91" s="37" t="s">
        <v>258</v>
      </c>
      <c r="E91" s="45" t="s">
        <v>275</v>
      </c>
      <c r="F91" s="35" t="s">
        <v>256</v>
      </c>
      <c r="G91" s="44">
        <v>1</v>
      </c>
      <c r="H91" s="33">
        <v>17064</v>
      </c>
      <c r="I91" s="32">
        <f t="shared" si="2"/>
        <v>17064</v>
      </c>
    </row>
    <row r="92" spans="1:9" ht="78.75" customHeight="1" thickBot="1" x14ac:dyDescent="0.25">
      <c r="A92" s="40">
        <v>83</v>
      </c>
      <c r="B92" s="39"/>
      <c r="C92" s="38"/>
      <c r="D92" s="37" t="s">
        <v>258</v>
      </c>
      <c r="E92" s="45" t="s">
        <v>382</v>
      </c>
      <c r="F92" s="48" t="s">
        <v>256</v>
      </c>
      <c r="G92" s="44">
        <v>4</v>
      </c>
      <c r="H92" s="33">
        <v>18833</v>
      </c>
      <c r="I92" s="32">
        <f t="shared" si="2"/>
        <v>75332</v>
      </c>
    </row>
    <row r="93" spans="1:9" ht="79.5" customHeight="1" thickBot="1" x14ac:dyDescent="0.25">
      <c r="A93" s="40">
        <v>84</v>
      </c>
      <c r="B93" s="39"/>
      <c r="C93" s="38"/>
      <c r="D93" s="37" t="s">
        <v>258</v>
      </c>
      <c r="E93" s="45" t="s">
        <v>274</v>
      </c>
      <c r="F93" s="35" t="s">
        <v>256</v>
      </c>
      <c r="G93" s="44">
        <v>1</v>
      </c>
      <c r="H93" s="33">
        <v>12830</v>
      </c>
      <c r="I93" s="32">
        <f t="shared" si="2"/>
        <v>12830</v>
      </c>
    </row>
    <row r="94" spans="1:9" ht="81" customHeight="1" thickBot="1" x14ac:dyDescent="0.25">
      <c r="A94" s="40">
        <v>85</v>
      </c>
      <c r="B94" s="39"/>
      <c r="C94" s="38"/>
      <c r="D94" s="37" t="s">
        <v>258</v>
      </c>
      <c r="E94" s="45" t="s">
        <v>273</v>
      </c>
      <c r="F94" s="35" t="s">
        <v>256</v>
      </c>
      <c r="G94" s="44">
        <v>1</v>
      </c>
      <c r="H94" s="33">
        <v>15355</v>
      </c>
      <c r="I94" s="32">
        <f t="shared" si="2"/>
        <v>15355</v>
      </c>
    </row>
    <row r="95" spans="1:9" ht="72" customHeight="1" thickBot="1" x14ac:dyDescent="0.25">
      <c r="A95" s="40">
        <v>86</v>
      </c>
      <c r="B95" s="39"/>
      <c r="C95" s="38"/>
      <c r="D95" s="37" t="s">
        <v>258</v>
      </c>
      <c r="E95" s="45" t="s">
        <v>272</v>
      </c>
      <c r="F95" s="35" t="s">
        <v>256</v>
      </c>
      <c r="G95" s="44">
        <v>1</v>
      </c>
      <c r="H95" s="33">
        <v>9486</v>
      </c>
      <c r="I95" s="32">
        <f t="shared" si="2"/>
        <v>9486</v>
      </c>
    </row>
    <row r="96" spans="1:9" ht="77.25" customHeight="1" thickBot="1" x14ac:dyDescent="0.25">
      <c r="A96" s="40">
        <v>87</v>
      </c>
      <c r="B96" s="39"/>
      <c r="C96" s="38"/>
      <c r="D96" s="37" t="s">
        <v>258</v>
      </c>
      <c r="E96" s="45" t="s">
        <v>271</v>
      </c>
      <c r="F96" s="35" t="s">
        <v>256</v>
      </c>
      <c r="G96" s="44">
        <v>1</v>
      </c>
      <c r="H96" s="33">
        <v>9875</v>
      </c>
      <c r="I96" s="32">
        <f t="shared" si="2"/>
        <v>9875</v>
      </c>
    </row>
    <row r="97" spans="1:9" ht="31.9" customHeight="1" thickBot="1" x14ac:dyDescent="0.25">
      <c r="A97" s="40">
        <v>88</v>
      </c>
      <c r="B97" s="39"/>
      <c r="C97" s="38"/>
      <c r="D97" s="37" t="s">
        <v>258</v>
      </c>
      <c r="E97" s="45" t="s">
        <v>270</v>
      </c>
      <c r="F97" s="47" t="s">
        <v>256</v>
      </c>
      <c r="G97" s="44">
        <v>1</v>
      </c>
      <c r="H97" s="33">
        <v>9025</v>
      </c>
      <c r="I97" s="32">
        <f t="shared" si="2"/>
        <v>9025</v>
      </c>
    </row>
    <row r="98" spans="1:9" ht="31.9" customHeight="1" thickBot="1" x14ac:dyDescent="0.25">
      <c r="A98" s="40">
        <v>89</v>
      </c>
      <c r="B98" s="39"/>
      <c r="C98" s="38"/>
      <c r="D98" s="37" t="s">
        <v>258</v>
      </c>
      <c r="E98" s="45" t="s">
        <v>78</v>
      </c>
      <c r="F98" s="35" t="s">
        <v>256</v>
      </c>
      <c r="G98" s="44">
        <v>1</v>
      </c>
      <c r="H98" s="33">
        <v>22782</v>
      </c>
      <c r="I98" s="32">
        <f t="shared" si="2"/>
        <v>22782</v>
      </c>
    </row>
    <row r="99" spans="1:9" ht="31.9" customHeight="1" thickBot="1" x14ac:dyDescent="0.25">
      <c r="A99" s="40">
        <v>90</v>
      </c>
      <c r="B99" s="39"/>
      <c r="C99" s="38"/>
      <c r="D99" s="37" t="s">
        <v>258</v>
      </c>
      <c r="E99" s="45" t="s">
        <v>76</v>
      </c>
      <c r="F99" s="35" t="s">
        <v>256</v>
      </c>
      <c r="G99" s="44">
        <v>1</v>
      </c>
      <c r="H99" s="33">
        <v>9875</v>
      </c>
      <c r="I99" s="32">
        <f t="shared" si="2"/>
        <v>9875</v>
      </c>
    </row>
    <row r="100" spans="1:9" ht="31.9" customHeight="1" thickBot="1" x14ac:dyDescent="0.25">
      <c r="A100" s="40">
        <v>91</v>
      </c>
      <c r="B100" s="39"/>
      <c r="C100" s="38"/>
      <c r="D100" s="37" t="s">
        <v>258</v>
      </c>
      <c r="E100" s="45" t="s">
        <v>74</v>
      </c>
      <c r="F100" s="35" t="s">
        <v>256</v>
      </c>
      <c r="G100" s="44">
        <v>1</v>
      </c>
      <c r="H100" s="33">
        <v>18573</v>
      </c>
      <c r="I100" s="32">
        <f t="shared" si="2"/>
        <v>18573</v>
      </c>
    </row>
    <row r="101" spans="1:9" ht="31.9" customHeight="1" thickBot="1" x14ac:dyDescent="0.25">
      <c r="A101" s="40">
        <v>92</v>
      </c>
      <c r="B101" s="39"/>
      <c r="C101" s="38"/>
      <c r="D101" s="37" t="s">
        <v>258</v>
      </c>
      <c r="E101" s="45" t="s">
        <v>72</v>
      </c>
      <c r="F101" s="35" t="s">
        <v>256</v>
      </c>
      <c r="G101" s="44">
        <v>1</v>
      </c>
      <c r="H101" s="33">
        <v>24990</v>
      </c>
      <c r="I101" s="32">
        <f t="shared" si="2"/>
        <v>24990</v>
      </c>
    </row>
    <row r="102" spans="1:9" ht="31.9" customHeight="1" thickBot="1" x14ac:dyDescent="0.25">
      <c r="A102" s="40">
        <v>93</v>
      </c>
      <c r="B102" s="39"/>
      <c r="C102" s="38"/>
      <c r="D102" s="37" t="s">
        <v>258</v>
      </c>
      <c r="E102" s="45" t="s">
        <v>70</v>
      </c>
      <c r="F102" s="35" t="s">
        <v>256</v>
      </c>
      <c r="G102" s="44">
        <v>1</v>
      </c>
      <c r="H102" s="33">
        <v>23420</v>
      </c>
      <c r="I102" s="32">
        <f t="shared" si="2"/>
        <v>23420</v>
      </c>
    </row>
    <row r="103" spans="1:9" ht="31.9" customHeight="1" thickBot="1" x14ac:dyDescent="0.25">
      <c r="A103" s="40">
        <v>94</v>
      </c>
      <c r="B103" s="39"/>
      <c r="C103" s="38"/>
      <c r="D103" s="37" t="s">
        <v>258</v>
      </c>
      <c r="E103" s="45" t="s">
        <v>68</v>
      </c>
      <c r="F103" s="35" t="s">
        <v>256</v>
      </c>
      <c r="G103" s="44">
        <v>1</v>
      </c>
      <c r="H103" s="33">
        <v>9875</v>
      </c>
      <c r="I103" s="32">
        <f t="shared" si="2"/>
        <v>9875</v>
      </c>
    </row>
    <row r="104" spans="1:9" ht="31.9" customHeight="1" thickBot="1" x14ac:dyDescent="0.25">
      <c r="A104" s="40">
        <v>95</v>
      </c>
      <c r="B104" s="39"/>
      <c r="C104" s="38"/>
      <c r="D104" s="37" t="s">
        <v>258</v>
      </c>
      <c r="E104" s="45" t="s">
        <v>383</v>
      </c>
      <c r="F104" s="35" t="s">
        <v>256</v>
      </c>
      <c r="G104" s="44">
        <v>1</v>
      </c>
      <c r="H104" s="33">
        <v>20294</v>
      </c>
      <c r="I104" s="32">
        <f t="shared" si="2"/>
        <v>20294</v>
      </c>
    </row>
    <row r="105" spans="1:9" ht="31.9" customHeight="1" thickBot="1" x14ac:dyDescent="0.25">
      <c r="A105" s="40">
        <v>96</v>
      </c>
      <c r="B105" s="39"/>
      <c r="C105" s="38"/>
      <c r="D105" s="37" t="s">
        <v>258</v>
      </c>
      <c r="E105" s="45" t="s">
        <v>64</v>
      </c>
      <c r="F105" s="35" t="s">
        <v>256</v>
      </c>
      <c r="G105" s="34">
        <v>1</v>
      </c>
      <c r="H105" s="33">
        <v>34738</v>
      </c>
      <c r="I105" s="32">
        <f t="shared" si="2"/>
        <v>34738</v>
      </c>
    </row>
    <row r="106" spans="1:9" ht="31.9" customHeight="1" thickBot="1" x14ac:dyDescent="0.25">
      <c r="A106" s="40">
        <v>97</v>
      </c>
      <c r="B106" s="39"/>
      <c r="C106" s="38"/>
      <c r="D106" s="37" t="s">
        <v>258</v>
      </c>
      <c r="E106" s="45" t="s">
        <v>62</v>
      </c>
      <c r="F106" s="35" t="s">
        <v>256</v>
      </c>
      <c r="G106" s="34">
        <v>1</v>
      </c>
      <c r="H106" s="33">
        <v>5935</v>
      </c>
      <c r="I106" s="32">
        <f t="shared" ref="I106:I123" si="3">G106*H106</f>
        <v>5935</v>
      </c>
    </row>
    <row r="107" spans="1:9" ht="31.9" customHeight="1" thickBot="1" x14ac:dyDescent="0.25">
      <c r="A107" s="40">
        <v>98</v>
      </c>
      <c r="B107" s="39"/>
      <c r="C107" s="38"/>
      <c r="D107" s="37" t="s">
        <v>258</v>
      </c>
      <c r="E107" s="45" t="s">
        <v>60</v>
      </c>
      <c r="F107" s="35" t="s">
        <v>256</v>
      </c>
      <c r="G107" s="34">
        <v>1</v>
      </c>
      <c r="H107" s="33">
        <v>24582</v>
      </c>
      <c r="I107" s="32">
        <f t="shared" si="3"/>
        <v>24582</v>
      </c>
    </row>
    <row r="108" spans="1:9" ht="31.9" customHeight="1" thickBot="1" x14ac:dyDescent="0.25">
      <c r="A108" s="40">
        <v>99</v>
      </c>
      <c r="B108" s="39"/>
      <c r="C108" s="38"/>
      <c r="D108" s="37" t="s">
        <v>258</v>
      </c>
      <c r="E108" s="45" t="s">
        <v>58</v>
      </c>
      <c r="F108" s="35" t="s">
        <v>256</v>
      </c>
      <c r="G108" s="34">
        <v>1</v>
      </c>
      <c r="H108" s="33">
        <v>24582</v>
      </c>
      <c r="I108" s="32">
        <f t="shared" si="3"/>
        <v>24582</v>
      </c>
    </row>
    <row r="109" spans="1:9" ht="31.9" customHeight="1" thickBot="1" x14ac:dyDescent="0.25">
      <c r="A109" s="40">
        <v>100</v>
      </c>
      <c r="B109" s="39"/>
      <c r="C109" s="38"/>
      <c r="D109" s="37" t="s">
        <v>258</v>
      </c>
      <c r="E109" s="45" t="s">
        <v>56</v>
      </c>
      <c r="F109" s="35" t="s">
        <v>256</v>
      </c>
      <c r="G109" s="34">
        <v>1</v>
      </c>
      <c r="H109" s="33">
        <v>21970</v>
      </c>
      <c r="I109" s="32">
        <f t="shared" si="3"/>
        <v>21970</v>
      </c>
    </row>
    <row r="110" spans="1:9" ht="31.9" customHeight="1" thickBot="1" x14ac:dyDescent="0.25">
      <c r="A110" s="40">
        <v>101</v>
      </c>
      <c r="B110" s="39"/>
      <c r="C110" s="38"/>
      <c r="D110" s="37" t="s">
        <v>258</v>
      </c>
      <c r="E110" s="45" t="s">
        <v>54</v>
      </c>
      <c r="F110" s="35" t="s">
        <v>256</v>
      </c>
      <c r="G110" s="44">
        <v>2</v>
      </c>
      <c r="H110" s="33">
        <v>8880</v>
      </c>
      <c r="I110" s="32">
        <f t="shared" si="3"/>
        <v>17760</v>
      </c>
    </row>
    <row r="111" spans="1:9" ht="31.9" customHeight="1" thickBot="1" x14ac:dyDescent="0.25">
      <c r="A111" s="40">
        <v>102</v>
      </c>
      <c r="B111" s="39"/>
      <c r="C111" s="38"/>
      <c r="D111" s="37" t="s">
        <v>258</v>
      </c>
      <c r="E111" s="45" t="s">
        <v>52</v>
      </c>
      <c r="F111" s="35" t="s">
        <v>256</v>
      </c>
      <c r="G111" s="44">
        <v>1</v>
      </c>
      <c r="H111" s="33">
        <v>22499</v>
      </c>
      <c r="I111" s="32">
        <f t="shared" si="3"/>
        <v>22499</v>
      </c>
    </row>
    <row r="112" spans="1:9" ht="64.5" customHeight="1" thickBot="1" x14ac:dyDescent="0.25">
      <c r="A112" s="40">
        <v>103</v>
      </c>
      <c r="B112" s="39"/>
      <c r="C112" s="38"/>
      <c r="D112" s="37" t="s">
        <v>258</v>
      </c>
      <c r="E112" s="45" t="s">
        <v>269</v>
      </c>
      <c r="F112" s="46" t="s">
        <v>256</v>
      </c>
      <c r="G112" s="44">
        <v>2</v>
      </c>
      <c r="H112" s="33">
        <v>10233</v>
      </c>
      <c r="I112" s="32">
        <f t="shared" si="3"/>
        <v>20466</v>
      </c>
    </row>
    <row r="113" spans="1:9" ht="52.5" customHeight="1" thickBot="1" x14ac:dyDescent="0.25">
      <c r="A113" s="40">
        <v>104</v>
      </c>
      <c r="B113" s="39"/>
      <c r="C113" s="38"/>
      <c r="D113" s="37" t="s">
        <v>258</v>
      </c>
      <c r="E113" s="45" t="s">
        <v>268</v>
      </c>
      <c r="F113" s="46" t="s">
        <v>256</v>
      </c>
      <c r="G113" s="44">
        <v>2</v>
      </c>
      <c r="H113" s="33">
        <v>1190</v>
      </c>
      <c r="I113" s="32">
        <f t="shared" si="3"/>
        <v>2380</v>
      </c>
    </row>
    <row r="114" spans="1:9" ht="52.5" customHeight="1" thickBot="1" x14ac:dyDescent="0.25">
      <c r="A114" s="40">
        <v>105</v>
      </c>
      <c r="B114" s="39"/>
      <c r="C114" s="38"/>
      <c r="D114" s="37" t="s">
        <v>258</v>
      </c>
      <c r="E114" s="45" t="s">
        <v>267</v>
      </c>
      <c r="F114" s="46" t="s">
        <v>256</v>
      </c>
      <c r="G114" s="44">
        <v>1</v>
      </c>
      <c r="H114" s="33">
        <v>15769</v>
      </c>
      <c r="I114" s="32">
        <f t="shared" si="3"/>
        <v>15769</v>
      </c>
    </row>
    <row r="115" spans="1:9" ht="31.9" customHeight="1" thickBot="1" x14ac:dyDescent="0.25">
      <c r="A115" s="40">
        <v>106</v>
      </c>
      <c r="B115" s="39"/>
      <c r="C115" s="38"/>
      <c r="D115" s="37" t="s">
        <v>258</v>
      </c>
      <c r="E115" s="45" t="s">
        <v>266</v>
      </c>
      <c r="F115" s="46" t="s">
        <v>256</v>
      </c>
      <c r="G115" s="44">
        <v>1</v>
      </c>
      <c r="H115" s="33">
        <v>14053</v>
      </c>
      <c r="I115" s="32">
        <f t="shared" si="3"/>
        <v>14053</v>
      </c>
    </row>
    <row r="116" spans="1:9" ht="53.25" customHeight="1" thickBot="1" x14ac:dyDescent="0.25">
      <c r="A116" s="40">
        <v>107</v>
      </c>
      <c r="B116" s="39"/>
      <c r="C116" s="38"/>
      <c r="D116" s="37" t="s">
        <v>258</v>
      </c>
      <c r="E116" s="45" t="s">
        <v>265</v>
      </c>
      <c r="F116" s="35" t="s">
        <v>256</v>
      </c>
      <c r="G116" s="44">
        <v>2</v>
      </c>
      <c r="H116" s="33">
        <v>32581</v>
      </c>
      <c r="I116" s="32">
        <f t="shared" si="3"/>
        <v>65162</v>
      </c>
    </row>
    <row r="117" spans="1:9" ht="58.5" customHeight="1" thickBot="1" x14ac:dyDescent="0.25">
      <c r="A117" s="40">
        <v>108</v>
      </c>
      <c r="B117" s="39"/>
      <c r="C117" s="38"/>
      <c r="D117" s="37" t="s">
        <v>258</v>
      </c>
      <c r="E117" s="43" t="s">
        <v>264</v>
      </c>
      <c r="F117" s="41" t="s">
        <v>256</v>
      </c>
      <c r="G117" s="42">
        <v>23</v>
      </c>
      <c r="H117" s="33">
        <v>16930</v>
      </c>
      <c r="I117" s="32">
        <f t="shared" si="3"/>
        <v>389390</v>
      </c>
    </row>
    <row r="118" spans="1:9" ht="69.75" customHeight="1" thickBot="1" x14ac:dyDescent="0.25">
      <c r="A118" s="40">
        <v>109</v>
      </c>
      <c r="B118" s="39"/>
      <c r="C118" s="38"/>
      <c r="D118" s="37" t="s">
        <v>258</v>
      </c>
      <c r="E118" s="36" t="s">
        <v>263</v>
      </c>
      <c r="F118" s="41" t="s">
        <v>256</v>
      </c>
      <c r="G118" s="34">
        <v>20</v>
      </c>
      <c r="H118" s="33">
        <v>16318</v>
      </c>
      <c r="I118" s="32">
        <f t="shared" si="3"/>
        <v>326360</v>
      </c>
    </row>
    <row r="119" spans="1:9" ht="70.5" customHeight="1" thickBot="1" x14ac:dyDescent="0.25">
      <c r="A119" s="40">
        <v>110</v>
      </c>
      <c r="B119" s="39"/>
      <c r="C119" s="38"/>
      <c r="D119" s="37" t="s">
        <v>258</v>
      </c>
      <c r="E119" s="36" t="s">
        <v>262</v>
      </c>
      <c r="F119" s="35" t="s">
        <v>256</v>
      </c>
      <c r="G119" s="34">
        <v>11</v>
      </c>
      <c r="H119" s="33">
        <v>17390</v>
      </c>
      <c r="I119" s="32">
        <f t="shared" si="3"/>
        <v>191290</v>
      </c>
    </row>
    <row r="120" spans="1:9" ht="31.9" customHeight="1" thickBot="1" x14ac:dyDescent="0.25">
      <c r="A120" s="40">
        <v>111</v>
      </c>
      <c r="B120" s="39"/>
      <c r="C120" s="38"/>
      <c r="D120" s="37" t="s">
        <v>258</v>
      </c>
      <c r="E120" s="36" t="s">
        <v>34</v>
      </c>
      <c r="F120" s="35" t="s">
        <v>256</v>
      </c>
      <c r="G120" s="34">
        <v>6</v>
      </c>
      <c r="H120" s="33">
        <v>13707</v>
      </c>
      <c r="I120" s="32">
        <f t="shared" si="3"/>
        <v>82242</v>
      </c>
    </row>
    <row r="121" spans="1:9" ht="62.25" customHeight="1" thickBot="1" x14ac:dyDescent="0.25">
      <c r="A121" s="40">
        <v>112</v>
      </c>
      <c r="B121" s="39"/>
      <c r="C121" s="38"/>
      <c r="D121" s="37" t="s">
        <v>258</v>
      </c>
      <c r="E121" s="36" t="s">
        <v>261</v>
      </c>
      <c r="F121" s="35" t="s">
        <v>256</v>
      </c>
      <c r="G121" s="34">
        <v>6</v>
      </c>
      <c r="H121" s="33">
        <v>11913</v>
      </c>
      <c r="I121" s="32">
        <f t="shared" si="3"/>
        <v>71478</v>
      </c>
    </row>
    <row r="122" spans="1:9" ht="62.25" customHeight="1" thickBot="1" x14ac:dyDescent="0.25">
      <c r="A122" s="40">
        <v>113</v>
      </c>
      <c r="B122" s="39"/>
      <c r="C122" s="38"/>
      <c r="D122" s="37" t="s">
        <v>260</v>
      </c>
      <c r="E122" s="36" t="s">
        <v>259</v>
      </c>
      <c r="F122" s="35" t="s">
        <v>256</v>
      </c>
      <c r="G122" s="34">
        <v>27</v>
      </c>
      <c r="H122" s="33">
        <v>19090</v>
      </c>
      <c r="I122" s="32">
        <f t="shared" si="3"/>
        <v>515430</v>
      </c>
    </row>
    <row r="123" spans="1:9" ht="60" customHeight="1" thickBot="1" x14ac:dyDescent="0.25">
      <c r="A123" s="40">
        <v>114</v>
      </c>
      <c r="B123" s="39"/>
      <c r="C123" s="38"/>
      <c r="D123" s="37" t="s">
        <v>258</v>
      </c>
      <c r="E123" s="36" t="s">
        <v>257</v>
      </c>
      <c r="F123" s="35" t="s">
        <v>256</v>
      </c>
      <c r="G123" s="34">
        <v>5</v>
      </c>
      <c r="H123" s="33">
        <v>21767</v>
      </c>
      <c r="I123" s="32">
        <f t="shared" si="3"/>
        <v>108835</v>
      </c>
    </row>
    <row r="124" spans="1:9" x14ac:dyDescent="0.2">
      <c r="I124" s="31">
        <f>SUM(I10:I123)</f>
        <v>8892434</v>
      </c>
    </row>
    <row r="125" spans="1:9" ht="13.5" thickBot="1" x14ac:dyDescent="0.25"/>
    <row r="126" spans="1:9" x14ac:dyDescent="0.2">
      <c r="B126" s="30" t="s">
        <v>255</v>
      </c>
      <c r="C126" s="29"/>
      <c r="D126" s="29"/>
      <c r="E126" s="28"/>
    </row>
    <row r="127" spans="1:9" ht="5.25" customHeight="1" x14ac:dyDescent="0.2">
      <c r="B127" s="27"/>
      <c r="C127" s="23"/>
      <c r="D127" s="23"/>
      <c r="E127" s="22"/>
    </row>
    <row r="128" spans="1:9" x14ac:dyDescent="0.2">
      <c r="B128" s="21" t="s">
        <v>28</v>
      </c>
      <c r="C128" s="23"/>
      <c r="D128" s="23"/>
      <c r="E128" s="22"/>
    </row>
    <row r="129" spans="2:5" s="15" customFormat="1" ht="41.25" customHeight="1" x14ac:dyDescent="0.2">
      <c r="B129" s="21"/>
      <c r="C129" s="99" t="s">
        <v>254</v>
      </c>
      <c r="D129" s="99"/>
      <c r="E129" s="99"/>
    </row>
    <row r="130" spans="2:5" s="15" customFormat="1" x14ac:dyDescent="0.2">
      <c r="B130" s="21" t="s">
        <v>26</v>
      </c>
      <c r="C130" s="23"/>
      <c r="D130" s="23"/>
      <c r="E130" s="22"/>
    </row>
    <row r="131" spans="2:5" s="15" customFormat="1" x14ac:dyDescent="0.2">
      <c r="B131" s="24"/>
      <c r="C131" s="102" t="s">
        <v>25</v>
      </c>
      <c r="D131" s="102"/>
      <c r="E131" s="102"/>
    </row>
    <row r="132" spans="2:5" s="15" customFormat="1" x14ac:dyDescent="0.2">
      <c r="B132" s="24"/>
      <c r="C132" s="98"/>
      <c r="D132" s="98"/>
      <c r="E132" s="98"/>
    </row>
    <row r="133" spans="2:5" s="15" customFormat="1" x14ac:dyDescent="0.2">
      <c r="B133" s="21" t="s">
        <v>24</v>
      </c>
      <c r="C133" s="23"/>
      <c r="D133" s="23"/>
      <c r="E133" s="22"/>
    </row>
    <row r="134" spans="2:5" s="15" customFormat="1" ht="26.25" customHeight="1" x14ac:dyDescent="0.2">
      <c r="B134" s="24"/>
      <c r="C134" s="99"/>
      <c r="D134" s="99"/>
      <c r="E134" s="99"/>
    </row>
    <row r="135" spans="2:5" s="15" customFormat="1" x14ac:dyDescent="0.2">
      <c r="B135" s="21" t="s">
        <v>23</v>
      </c>
      <c r="C135" s="26"/>
      <c r="D135" s="26"/>
      <c r="E135" s="25"/>
    </row>
    <row r="136" spans="2:5" s="15" customFormat="1" ht="26.25" customHeight="1" x14ac:dyDescent="0.2">
      <c r="B136" s="24"/>
      <c r="C136" s="100" t="s">
        <v>22</v>
      </c>
      <c r="D136" s="100"/>
      <c r="E136" s="100"/>
    </row>
    <row r="137" spans="2:5" s="15" customFormat="1" x14ac:dyDescent="0.2">
      <c r="B137" s="21" t="s">
        <v>21</v>
      </c>
      <c r="C137" s="23"/>
      <c r="D137" s="23"/>
      <c r="E137" s="22"/>
    </row>
    <row r="138" spans="2:5" s="15" customFormat="1" ht="23.25" customHeight="1" x14ac:dyDescent="0.2">
      <c r="B138" s="21"/>
      <c r="C138" s="101"/>
      <c r="D138" s="101"/>
      <c r="E138" s="101"/>
    </row>
    <row r="139" spans="2:5" s="15" customFormat="1" ht="13.5" thickBot="1" x14ac:dyDescent="0.25">
      <c r="B139" s="20"/>
      <c r="C139" s="19"/>
      <c r="D139" s="19"/>
      <c r="E139" s="18"/>
    </row>
    <row r="141" spans="2:5" s="15" customFormat="1" x14ac:dyDescent="0.2">
      <c r="B141" s="30" t="s">
        <v>253</v>
      </c>
      <c r="C141" s="29"/>
      <c r="D141" s="29"/>
      <c r="E141" s="28"/>
    </row>
    <row r="142" spans="2:5" s="15" customFormat="1" ht="7.5" customHeight="1" x14ac:dyDescent="0.2">
      <c r="B142" s="27"/>
      <c r="C142" s="23"/>
      <c r="D142" s="23"/>
      <c r="E142" s="22"/>
    </row>
    <row r="143" spans="2:5" s="15" customFormat="1" x14ac:dyDescent="0.2">
      <c r="B143" s="21" t="s">
        <v>28</v>
      </c>
      <c r="C143" s="23"/>
      <c r="D143" s="23"/>
      <c r="E143" s="22"/>
    </row>
    <row r="144" spans="2:5" s="15" customFormat="1" ht="41.25" customHeight="1" x14ac:dyDescent="0.2">
      <c r="B144" s="21"/>
      <c r="C144" s="99" t="s">
        <v>252</v>
      </c>
      <c r="D144" s="99"/>
      <c r="E144" s="99"/>
    </row>
    <row r="145" spans="2:5" s="15" customFormat="1" x14ac:dyDescent="0.2">
      <c r="B145" s="21" t="s">
        <v>26</v>
      </c>
      <c r="C145" s="23"/>
      <c r="D145" s="23"/>
      <c r="E145" s="22"/>
    </row>
    <row r="146" spans="2:5" s="15" customFormat="1" x14ac:dyDescent="0.2">
      <c r="B146" s="24"/>
      <c r="C146" s="102" t="s">
        <v>25</v>
      </c>
      <c r="D146" s="102"/>
      <c r="E146" s="102"/>
    </row>
    <row r="147" spans="2:5" s="15" customFormat="1" x14ac:dyDescent="0.2">
      <c r="B147" s="24"/>
      <c r="C147" s="98"/>
      <c r="D147" s="98"/>
      <c r="E147" s="98"/>
    </row>
    <row r="148" spans="2:5" s="15" customFormat="1" x14ac:dyDescent="0.2">
      <c r="B148" s="21" t="s">
        <v>24</v>
      </c>
      <c r="C148" s="23"/>
      <c r="D148" s="23"/>
      <c r="E148" s="22"/>
    </row>
    <row r="149" spans="2:5" s="15" customFormat="1" ht="26.25" customHeight="1" x14ac:dyDescent="0.2">
      <c r="B149" s="24"/>
      <c r="C149" s="99"/>
      <c r="D149" s="99"/>
      <c r="E149" s="99"/>
    </row>
    <row r="150" spans="2:5" s="15" customFormat="1" x14ac:dyDescent="0.2">
      <c r="B150" s="21" t="s">
        <v>23</v>
      </c>
      <c r="C150" s="26"/>
      <c r="D150" s="26"/>
      <c r="E150" s="25"/>
    </row>
    <row r="151" spans="2:5" s="15" customFormat="1" ht="26.25" customHeight="1" x14ac:dyDescent="0.2">
      <c r="B151" s="24"/>
      <c r="C151" s="100" t="s">
        <v>22</v>
      </c>
      <c r="D151" s="100"/>
      <c r="E151" s="100"/>
    </row>
    <row r="152" spans="2:5" s="15" customFormat="1" x14ac:dyDescent="0.2">
      <c r="B152" s="21" t="s">
        <v>21</v>
      </c>
      <c r="C152" s="23"/>
      <c r="D152" s="23"/>
      <c r="E152" s="22"/>
    </row>
    <row r="153" spans="2:5" s="15" customFormat="1" ht="23.25" customHeight="1" x14ac:dyDescent="0.2">
      <c r="B153" s="21"/>
      <c r="C153" s="101"/>
      <c r="D153" s="101"/>
      <c r="E153" s="101"/>
    </row>
    <row r="154" spans="2:5" s="15" customFormat="1" ht="13.5" thickBot="1" x14ac:dyDescent="0.25">
      <c r="B154" s="20"/>
      <c r="C154" s="19"/>
      <c r="D154" s="19"/>
      <c r="E154" s="18"/>
    </row>
    <row r="155" spans="2:5" s="15" customFormat="1" ht="13.5" thickBot="1" x14ac:dyDescent="0.25"/>
    <row r="156" spans="2:5" s="15" customFormat="1" x14ac:dyDescent="0.2">
      <c r="B156" s="30" t="s">
        <v>251</v>
      </c>
      <c r="C156" s="29"/>
      <c r="D156" s="29"/>
      <c r="E156" s="28"/>
    </row>
    <row r="157" spans="2:5" s="15" customFormat="1" ht="5.25" customHeight="1" x14ac:dyDescent="0.2">
      <c r="B157" s="27"/>
      <c r="C157" s="23"/>
      <c r="D157" s="23"/>
      <c r="E157" s="22"/>
    </row>
    <row r="158" spans="2:5" s="15" customFormat="1" x14ac:dyDescent="0.2">
      <c r="B158" s="21" t="s">
        <v>28</v>
      </c>
      <c r="C158" s="23"/>
      <c r="D158" s="23"/>
      <c r="E158" s="22"/>
    </row>
    <row r="159" spans="2:5" s="15" customFormat="1" ht="41.25" customHeight="1" x14ac:dyDescent="0.2">
      <c r="B159" s="21"/>
      <c r="C159" s="99" t="s">
        <v>250</v>
      </c>
      <c r="D159" s="99"/>
      <c r="E159" s="99"/>
    </row>
    <row r="160" spans="2:5" s="15" customFormat="1" x14ac:dyDescent="0.2">
      <c r="B160" s="21" t="s">
        <v>26</v>
      </c>
      <c r="C160" s="23"/>
      <c r="D160" s="23"/>
      <c r="E160" s="22"/>
    </row>
    <row r="161" spans="2:5" s="15" customFormat="1" x14ac:dyDescent="0.2">
      <c r="B161" s="24"/>
      <c r="C161" s="102" t="s">
        <v>25</v>
      </c>
      <c r="D161" s="102"/>
      <c r="E161" s="102"/>
    </row>
    <row r="162" spans="2:5" s="15" customFormat="1" x14ac:dyDescent="0.2">
      <c r="B162" s="24"/>
      <c r="C162" s="98"/>
      <c r="D162" s="98"/>
      <c r="E162" s="98"/>
    </row>
    <row r="163" spans="2:5" s="15" customFormat="1" x14ac:dyDescent="0.2">
      <c r="B163" s="21" t="s">
        <v>24</v>
      </c>
      <c r="C163" s="23"/>
      <c r="D163" s="23"/>
      <c r="E163" s="22"/>
    </row>
    <row r="164" spans="2:5" s="15" customFormat="1" ht="26.25" customHeight="1" x14ac:dyDescent="0.2">
      <c r="B164" s="24"/>
      <c r="C164" s="99"/>
      <c r="D164" s="99"/>
      <c r="E164" s="99"/>
    </row>
    <row r="165" spans="2:5" s="15" customFormat="1" x14ac:dyDescent="0.2">
      <c r="B165" s="21" t="s">
        <v>23</v>
      </c>
      <c r="C165" s="26"/>
      <c r="D165" s="26"/>
      <c r="E165" s="25"/>
    </row>
    <row r="166" spans="2:5" s="15" customFormat="1" ht="26.25" customHeight="1" x14ac:dyDescent="0.2">
      <c r="B166" s="24"/>
      <c r="C166" s="100" t="s">
        <v>22</v>
      </c>
      <c r="D166" s="100"/>
      <c r="E166" s="100"/>
    </row>
    <row r="167" spans="2:5" s="15" customFormat="1" x14ac:dyDescent="0.2">
      <c r="B167" s="21" t="s">
        <v>21</v>
      </c>
      <c r="C167" s="23"/>
      <c r="D167" s="23"/>
      <c r="E167" s="22"/>
    </row>
    <row r="168" spans="2:5" s="15" customFormat="1" ht="23.25" customHeight="1" x14ac:dyDescent="0.2">
      <c r="B168" s="21"/>
      <c r="C168" s="101"/>
      <c r="D168" s="101"/>
      <c r="E168" s="101"/>
    </row>
    <row r="169" spans="2:5" s="15" customFormat="1" ht="13.5" thickBot="1" x14ac:dyDescent="0.25">
      <c r="B169" s="20"/>
      <c r="C169" s="19"/>
      <c r="D169" s="19"/>
      <c r="E169" s="18"/>
    </row>
    <row r="170" spans="2:5" s="15" customFormat="1" ht="13.5" thickBot="1" x14ac:dyDescent="0.25"/>
    <row r="171" spans="2:5" s="15" customFormat="1" x14ac:dyDescent="0.2">
      <c r="B171" s="30" t="s">
        <v>249</v>
      </c>
      <c r="C171" s="29"/>
      <c r="D171" s="29"/>
      <c r="E171" s="28"/>
    </row>
    <row r="172" spans="2:5" s="15" customFormat="1" ht="7.5" customHeight="1" x14ac:dyDescent="0.2">
      <c r="B172" s="27"/>
      <c r="C172" s="23"/>
      <c r="D172" s="23"/>
      <c r="E172" s="22"/>
    </row>
    <row r="173" spans="2:5" s="15" customFormat="1" x14ac:dyDescent="0.2">
      <c r="B173" s="21" t="s">
        <v>28</v>
      </c>
      <c r="C173" s="23"/>
      <c r="D173" s="23"/>
      <c r="E173" s="22"/>
    </row>
    <row r="174" spans="2:5" s="15" customFormat="1" ht="41.25" customHeight="1" x14ac:dyDescent="0.2">
      <c r="B174" s="21"/>
      <c r="C174" s="99" t="s">
        <v>248</v>
      </c>
      <c r="D174" s="99"/>
      <c r="E174" s="99"/>
    </row>
    <row r="175" spans="2:5" s="15" customFormat="1" x14ac:dyDescent="0.2">
      <c r="B175" s="21" t="s">
        <v>26</v>
      </c>
      <c r="C175" s="23"/>
      <c r="D175" s="23"/>
      <c r="E175" s="22"/>
    </row>
    <row r="176" spans="2:5" s="15" customFormat="1" x14ac:dyDescent="0.2">
      <c r="B176" s="24"/>
      <c r="C176" s="102" t="s">
        <v>25</v>
      </c>
      <c r="D176" s="102"/>
      <c r="E176" s="102"/>
    </row>
    <row r="177" spans="2:5" s="15" customFormat="1" x14ac:dyDescent="0.2">
      <c r="B177" s="24"/>
      <c r="C177" s="98"/>
      <c r="D177" s="98"/>
      <c r="E177" s="98"/>
    </row>
    <row r="178" spans="2:5" s="15" customFormat="1" x14ac:dyDescent="0.2">
      <c r="B178" s="21" t="s">
        <v>24</v>
      </c>
      <c r="C178" s="23"/>
      <c r="D178" s="23"/>
      <c r="E178" s="22"/>
    </row>
    <row r="179" spans="2:5" s="15" customFormat="1" ht="26.25" customHeight="1" x14ac:dyDescent="0.2">
      <c r="B179" s="24"/>
      <c r="C179" s="99"/>
      <c r="D179" s="99"/>
      <c r="E179" s="99"/>
    </row>
    <row r="180" spans="2:5" s="15" customFormat="1" x14ac:dyDescent="0.2">
      <c r="B180" s="21" t="s">
        <v>23</v>
      </c>
      <c r="C180" s="26"/>
      <c r="D180" s="26"/>
      <c r="E180" s="25"/>
    </row>
    <row r="181" spans="2:5" s="15" customFormat="1" ht="26.25" customHeight="1" x14ac:dyDescent="0.2">
      <c r="B181" s="24"/>
      <c r="C181" s="100" t="s">
        <v>22</v>
      </c>
      <c r="D181" s="100"/>
      <c r="E181" s="100"/>
    </row>
    <row r="182" spans="2:5" s="15" customFormat="1" x14ac:dyDescent="0.2">
      <c r="B182" s="21" t="s">
        <v>21</v>
      </c>
      <c r="C182" s="23"/>
      <c r="D182" s="23"/>
      <c r="E182" s="22"/>
    </row>
    <row r="183" spans="2:5" s="15" customFormat="1" ht="23.25" customHeight="1" x14ac:dyDescent="0.2">
      <c r="B183" s="21"/>
      <c r="C183" s="101"/>
      <c r="D183" s="101"/>
      <c r="E183" s="101"/>
    </row>
    <row r="184" spans="2:5" s="15" customFormat="1" ht="13.5" thickBot="1" x14ac:dyDescent="0.25">
      <c r="B184" s="20"/>
      <c r="C184" s="19"/>
      <c r="D184" s="19"/>
      <c r="E184" s="18"/>
    </row>
    <row r="185" spans="2:5" s="15" customFormat="1" ht="13.5" thickBot="1" x14ac:dyDescent="0.25"/>
    <row r="186" spans="2:5" s="15" customFormat="1" x14ac:dyDescent="0.2">
      <c r="B186" s="30" t="s">
        <v>247</v>
      </c>
      <c r="C186" s="29"/>
      <c r="D186" s="29"/>
      <c r="E186" s="28"/>
    </row>
    <row r="187" spans="2:5" s="15" customFormat="1" ht="5.25" customHeight="1" x14ac:dyDescent="0.2">
      <c r="B187" s="27"/>
      <c r="C187" s="23"/>
      <c r="D187" s="23"/>
      <c r="E187" s="22"/>
    </row>
    <row r="188" spans="2:5" s="15" customFormat="1" x14ac:dyDescent="0.2">
      <c r="B188" s="21" t="s">
        <v>28</v>
      </c>
      <c r="C188" s="23"/>
      <c r="D188" s="23"/>
      <c r="E188" s="22"/>
    </row>
    <row r="189" spans="2:5" s="15" customFormat="1" ht="41.25" customHeight="1" x14ac:dyDescent="0.2">
      <c r="B189" s="21"/>
      <c r="C189" s="99" t="s">
        <v>246</v>
      </c>
      <c r="D189" s="99"/>
      <c r="E189" s="99"/>
    </row>
    <row r="190" spans="2:5" s="15" customFormat="1" x14ac:dyDescent="0.2">
      <c r="B190" s="21" t="s">
        <v>26</v>
      </c>
      <c r="C190" s="23"/>
      <c r="D190" s="23"/>
      <c r="E190" s="22"/>
    </row>
    <row r="191" spans="2:5" s="15" customFormat="1" x14ac:dyDescent="0.2">
      <c r="B191" s="24"/>
      <c r="C191" s="102" t="s">
        <v>25</v>
      </c>
      <c r="D191" s="102"/>
      <c r="E191" s="102"/>
    </row>
    <row r="192" spans="2:5" s="15" customFormat="1" x14ac:dyDescent="0.2">
      <c r="B192" s="24"/>
      <c r="C192" s="98"/>
      <c r="D192" s="98"/>
      <c r="E192" s="98"/>
    </row>
    <row r="193" spans="2:5" s="15" customFormat="1" x14ac:dyDescent="0.2">
      <c r="B193" s="21" t="s">
        <v>24</v>
      </c>
      <c r="C193" s="23"/>
      <c r="D193" s="23"/>
      <c r="E193" s="22"/>
    </row>
    <row r="194" spans="2:5" s="15" customFormat="1" ht="26.25" customHeight="1" x14ac:dyDescent="0.2">
      <c r="B194" s="24"/>
      <c r="C194" s="99"/>
      <c r="D194" s="99"/>
      <c r="E194" s="99"/>
    </row>
    <row r="195" spans="2:5" s="15" customFormat="1" x14ac:dyDescent="0.2">
      <c r="B195" s="21" t="s">
        <v>23</v>
      </c>
      <c r="C195" s="26"/>
      <c r="D195" s="26"/>
      <c r="E195" s="25"/>
    </row>
    <row r="196" spans="2:5" s="15" customFormat="1" ht="26.25" customHeight="1" x14ac:dyDescent="0.2">
      <c r="B196" s="24"/>
      <c r="C196" s="100" t="s">
        <v>22</v>
      </c>
      <c r="D196" s="100"/>
      <c r="E196" s="100"/>
    </row>
    <row r="197" spans="2:5" s="15" customFormat="1" x14ac:dyDescent="0.2">
      <c r="B197" s="21" t="s">
        <v>21</v>
      </c>
      <c r="C197" s="23"/>
      <c r="D197" s="23"/>
      <c r="E197" s="22"/>
    </row>
    <row r="198" spans="2:5" s="15" customFormat="1" ht="23.25" customHeight="1" x14ac:dyDescent="0.2">
      <c r="B198" s="21"/>
      <c r="C198" s="101"/>
      <c r="D198" s="101"/>
      <c r="E198" s="101"/>
    </row>
    <row r="199" spans="2:5" s="15" customFormat="1" ht="13.5" thickBot="1" x14ac:dyDescent="0.25">
      <c r="B199" s="20"/>
      <c r="C199" s="19"/>
      <c r="D199" s="19"/>
      <c r="E199" s="18"/>
    </row>
    <row r="200" spans="2:5" s="15" customFormat="1" ht="13.5" thickBot="1" x14ac:dyDescent="0.25"/>
    <row r="201" spans="2:5" s="15" customFormat="1" x14ac:dyDescent="0.2">
      <c r="B201" s="30" t="s">
        <v>245</v>
      </c>
      <c r="C201" s="29"/>
      <c r="D201" s="29"/>
      <c r="E201" s="28"/>
    </row>
    <row r="202" spans="2:5" s="15" customFormat="1" ht="7.5" customHeight="1" x14ac:dyDescent="0.2">
      <c r="B202" s="27"/>
      <c r="C202" s="23"/>
      <c r="D202" s="23"/>
      <c r="E202" s="22"/>
    </row>
    <row r="203" spans="2:5" s="15" customFormat="1" x14ac:dyDescent="0.2">
      <c r="B203" s="21" t="s">
        <v>28</v>
      </c>
      <c r="C203" s="23"/>
      <c r="D203" s="23"/>
      <c r="E203" s="22"/>
    </row>
    <row r="204" spans="2:5" s="15" customFormat="1" ht="41.25" customHeight="1" x14ac:dyDescent="0.2">
      <c r="B204" s="21"/>
      <c r="C204" s="99" t="s">
        <v>244</v>
      </c>
      <c r="D204" s="99"/>
      <c r="E204" s="99"/>
    </row>
    <row r="205" spans="2:5" s="15" customFormat="1" x14ac:dyDescent="0.2">
      <c r="B205" s="21" t="s">
        <v>26</v>
      </c>
      <c r="C205" s="23"/>
      <c r="D205" s="23"/>
      <c r="E205" s="22"/>
    </row>
    <row r="206" spans="2:5" s="15" customFormat="1" x14ac:dyDescent="0.2">
      <c r="B206" s="24"/>
      <c r="C206" s="102" t="s">
        <v>25</v>
      </c>
      <c r="D206" s="102"/>
      <c r="E206" s="102"/>
    </row>
    <row r="207" spans="2:5" s="15" customFormat="1" x14ac:dyDescent="0.2">
      <c r="B207" s="24"/>
      <c r="C207" s="98"/>
      <c r="D207" s="98"/>
      <c r="E207" s="98"/>
    </row>
    <row r="208" spans="2:5" s="15" customFormat="1" x14ac:dyDescent="0.2">
      <c r="B208" s="21" t="s">
        <v>24</v>
      </c>
      <c r="C208" s="23"/>
      <c r="D208" s="23"/>
      <c r="E208" s="22"/>
    </row>
    <row r="209" spans="2:5" s="15" customFormat="1" ht="26.25" customHeight="1" x14ac:dyDescent="0.2">
      <c r="B209" s="24"/>
      <c r="C209" s="99"/>
      <c r="D209" s="99"/>
      <c r="E209" s="99"/>
    </row>
    <row r="210" spans="2:5" s="15" customFormat="1" x14ac:dyDescent="0.2">
      <c r="B210" s="21" t="s">
        <v>23</v>
      </c>
      <c r="C210" s="26"/>
      <c r="D210" s="26"/>
      <c r="E210" s="25"/>
    </row>
    <row r="211" spans="2:5" s="15" customFormat="1" ht="26.25" customHeight="1" x14ac:dyDescent="0.2">
      <c r="B211" s="24"/>
      <c r="C211" s="100" t="s">
        <v>22</v>
      </c>
      <c r="D211" s="100"/>
      <c r="E211" s="100"/>
    </row>
    <row r="212" spans="2:5" s="15" customFormat="1" x14ac:dyDescent="0.2">
      <c r="B212" s="21" t="s">
        <v>21</v>
      </c>
      <c r="C212" s="23"/>
      <c r="D212" s="23"/>
      <c r="E212" s="22"/>
    </row>
    <row r="213" spans="2:5" s="15" customFormat="1" ht="23.25" customHeight="1" x14ac:dyDescent="0.2">
      <c r="B213" s="21"/>
      <c r="C213" s="101"/>
      <c r="D213" s="101"/>
      <c r="E213" s="101"/>
    </row>
    <row r="214" spans="2:5" s="15" customFormat="1" ht="13.5" thickBot="1" x14ac:dyDescent="0.25">
      <c r="B214" s="20"/>
      <c r="C214" s="19"/>
      <c r="D214" s="19"/>
      <c r="E214" s="18"/>
    </row>
    <row r="215" spans="2:5" s="15" customFormat="1" ht="13.5" thickBot="1" x14ac:dyDescent="0.25"/>
    <row r="216" spans="2:5" s="15" customFormat="1" x14ac:dyDescent="0.2">
      <c r="B216" s="30" t="s">
        <v>243</v>
      </c>
      <c r="C216" s="29"/>
      <c r="D216" s="29"/>
      <c r="E216" s="28"/>
    </row>
    <row r="217" spans="2:5" s="15" customFormat="1" ht="5.25" customHeight="1" x14ac:dyDescent="0.2">
      <c r="B217" s="27"/>
      <c r="C217" s="23"/>
      <c r="D217" s="23"/>
      <c r="E217" s="22"/>
    </row>
    <row r="218" spans="2:5" s="15" customFormat="1" x14ac:dyDescent="0.2">
      <c r="B218" s="21" t="s">
        <v>28</v>
      </c>
      <c r="C218" s="23"/>
      <c r="D218" s="23"/>
      <c r="E218" s="22"/>
    </row>
    <row r="219" spans="2:5" s="15" customFormat="1" ht="41.25" customHeight="1" x14ac:dyDescent="0.2">
      <c r="B219" s="21"/>
      <c r="C219" s="99" t="s">
        <v>242</v>
      </c>
      <c r="D219" s="99"/>
      <c r="E219" s="99"/>
    </row>
    <row r="220" spans="2:5" s="15" customFormat="1" x14ac:dyDescent="0.2">
      <c r="B220" s="21" t="s">
        <v>26</v>
      </c>
      <c r="C220" s="23"/>
      <c r="D220" s="23"/>
      <c r="E220" s="22"/>
    </row>
    <row r="221" spans="2:5" s="15" customFormat="1" x14ac:dyDescent="0.2">
      <c r="B221" s="24"/>
      <c r="C221" s="102" t="s">
        <v>25</v>
      </c>
      <c r="D221" s="102"/>
      <c r="E221" s="102"/>
    </row>
    <row r="222" spans="2:5" s="15" customFormat="1" x14ac:dyDescent="0.2">
      <c r="B222" s="24"/>
      <c r="C222" s="98"/>
      <c r="D222" s="98"/>
      <c r="E222" s="98"/>
    </row>
    <row r="223" spans="2:5" s="15" customFormat="1" x14ac:dyDescent="0.2">
      <c r="B223" s="21" t="s">
        <v>24</v>
      </c>
      <c r="C223" s="23"/>
      <c r="D223" s="23"/>
      <c r="E223" s="22"/>
    </row>
    <row r="224" spans="2:5" s="15" customFormat="1" ht="26.25" customHeight="1" x14ac:dyDescent="0.2">
      <c r="B224" s="24"/>
      <c r="C224" s="99"/>
      <c r="D224" s="99"/>
      <c r="E224" s="99"/>
    </row>
    <row r="225" spans="2:5" s="15" customFormat="1" x14ac:dyDescent="0.2">
      <c r="B225" s="21" t="s">
        <v>23</v>
      </c>
      <c r="C225" s="26"/>
      <c r="D225" s="26"/>
      <c r="E225" s="25"/>
    </row>
    <row r="226" spans="2:5" s="15" customFormat="1" ht="26.25" customHeight="1" x14ac:dyDescent="0.2">
      <c r="B226" s="24"/>
      <c r="C226" s="100" t="s">
        <v>22</v>
      </c>
      <c r="D226" s="100"/>
      <c r="E226" s="100"/>
    </row>
    <row r="227" spans="2:5" s="15" customFormat="1" x14ac:dyDescent="0.2">
      <c r="B227" s="21" t="s">
        <v>21</v>
      </c>
      <c r="C227" s="23"/>
      <c r="D227" s="23"/>
      <c r="E227" s="22"/>
    </row>
    <row r="228" spans="2:5" s="15" customFormat="1" ht="23.25" customHeight="1" x14ac:dyDescent="0.2">
      <c r="B228" s="21"/>
      <c r="C228" s="101"/>
      <c r="D228" s="101"/>
      <c r="E228" s="101"/>
    </row>
    <row r="229" spans="2:5" s="15" customFormat="1" ht="13.5" thickBot="1" x14ac:dyDescent="0.25">
      <c r="B229" s="20"/>
      <c r="C229" s="19"/>
      <c r="D229" s="19"/>
      <c r="E229" s="18"/>
    </row>
    <row r="230" spans="2:5" s="15" customFormat="1" ht="13.5" thickBot="1" x14ac:dyDescent="0.25"/>
    <row r="231" spans="2:5" s="15" customFormat="1" x14ac:dyDescent="0.2">
      <c r="B231" s="30" t="s">
        <v>241</v>
      </c>
      <c r="C231" s="29"/>
      <c r="D231" s="29"/>
      <c r="E231" s="28"/>
    </row>
    <row r="232" spans="2:5" s="15" customFormat="1" ht="7.5" customHeight="1" x14ac:dyDescent="0.2">
      <c r="B232" s="27"/>
      <c r="C232" s="23"/>
      <c r="D232" s="23"/>
      <c r="E232" s="22"/>
    </row>
    <row r="233" spans="2:5" s="15" customFormat="1" x14ac:dyDescent="0.2">
      <c r="B233" s="21" t="s">
        <v>28</v>
      </c>
      <c r="C233" s="23"/>
      <c r="D233" s="23"/>
      <c r="E233" s="22"/>
    </row>
    <row r="234" spans="2:5" s="15" customFormat="1" ht="41.25" customHeight="1" x14ac:dyDescent="0.2">
      <c r="B234" s="21"/>
      <c r="C234" s="99" t="s">
        <v>240</v>
      </c>
      <c r="D234" s="99"/>
      <c r="E234" s="99"/>
    </row>
    <row r="235" spans="2:5" s="15" customFormat="1" x14ac:dyDescent="0.2">
      <c r="B235" s="21" t="s">
        <v>26</v>
      </c>
      <c r="C235" s="23"/>
      <c r="D235" s="23"/>
      <c r="E235" s="22"/>
    </row>
    <row r="236" spans="2:5" s="15" customFormat="1" x14ac:dyDescent="0.2">
      <c r="B236" s="24"/>
      <c r="C236" s="102" t="s">
        <v>25</v>
      </c>
      <c r="D236" s="102"/>
      <c r="E236" s="102"/>
    </row>
    <row r="237" spans="2:5" s="15" customFormat="1" x14ac:dyDescent="0.2">
      <c r="B237" s="24"/>
      <c r="C237" s="98"/>
      <c r="D237" s="98"/>
      <c r="E237" s="98"/>
    </row>
    <row r="238" spans="2:5" s="15" customFormat="1" x14ac:dyDescent="0.2">
      <c r="B238" s="21" t="s">
        <v>24</v>
      </c>
      <c r="C238" s="23"/>
      <c r="D238" s="23"/>
      <c r="E238" s="22"/>
    </row>
    <row r="239" spans="2:5" s="15" customFormat="1" ht="26.25" customHeight="1" x14ac:dyDescent="0.2">
      <c r="B239" s="24"/>
      <c r="C239" s="99"/>
      <c r="D239" s="99"/>
      <c r="E239" s="99"/>
    </row>
    <row r="240" spans="2:5" s="15" customFormat="1" x14ac:dyDescent="0.2">
      <c r="B240" s="21" t="s">
        <v>23</v>
      </c>
      <c r="C240" s="26"/>
      <c r="D240" s="26"/>
      <c r="E240" s="25"/>
    </row>
    <row r="241" spans="2:8" ht="26.25" customHeight="1" x14ac:dyDescent="0.2">
      <c r="B241" s="24"/>
      <c r="C241" s="100" t="s">
        <v>22</v>
      </c>
      <c r="D241" s="100"/>
      <c r="E241" s="100"/>
    </row>
    <row r="242" spans="2:8" x14ac:dyDescent="0.2">
      <c r="B242" s="21" t="s">
        <v>21</v>
      </c>
      <c r="C242" s="23"/>
      <c r="D242" s="23"/>
      <c r="E242" s="22"/>
    </row>
    <row r="243" spans="2:8" ht="23.25" customHeight="1" x14ac:dyDescent="0.2">
      <c r="B243" s="21"/>
      <c r="C243" s="101"/>
      <c r="D243" s="101"/>
      <c r="E243" s="101"/>
    </row>
    <row r="244" spans="2:8" ht="13.5" thickBot="1" x14ac:dyDescent="0.25">
      <c r="B244" s="20"/>
      <c r="C244" s="19"/>
      <c r="D244" s="19"/>
      <c r="E244" s="18"/>
    </row>
    <row r="245" spans="2:8" ht="13.5" thickBot="1" x14ac:dyDescent="0.25"/>
    <row r="246" spans="2:8" x14ac:dyDescent="0.2">
      <c r="B246" s="30" t="s">
        <v>239</v>
      </c>
      <c r="C246" s="29"/>
      <c r="D246" s="29"/>
      <c r="E246" s="28"/>
      <c r="G246" s="15"/>
      <c r="H246" s="15"/>
    </row>
    <row r="247" spans="2:8" ht="5.25" customHeight="1" x14ac:dyDescent="0.2">
      <c r="B247" s="27"/>
      <c r="C247" s="23"/>
      <c r="D247" s="23"/>
      <c r="E247" s="22"/>
      <c r="G247" s="15"/>
      <c r="H247" s="15"/>
    </row>
    <row r="248" spans="2:8" x14ac:dyDescent="0.2">
      <c r="B248" s="21" t="s">
        <v>28</v>
      </c>
      <c r="C248" s="23"/>
      <c r="D248" s="23"/>
      <c r="E248" s="22"/>
      <c r="G248" s="15"/>
      <c r="H248" s="15"/>
    </row>
    <row r="249" spans="2:8" ht="41.25" customHeight="1" x14ac:dyDescent="0.2">
      <c r="B249" s="21"/>
      <c r="C249" s="99" t="s">
        <v>238</v>
      </c>
      <c r="D249" s="99"/>
      <c r="E249" s="99"/>
      <c r="G249" s="15"/>
      <c r="H249" s="15"/>
    </row>
    <row r="250" spans="2:8" x14ac:dyDescent="0.2">
      <c r="B250" s="21" t="s">
        <v>26</v>
      </c>
      <c r="C250" s="23"/>
      <c r="D250" s="23"/>
      <c r="E250" s="22"/>
      <c r="G250" s="15"/>
      <c r="H250" s="15"/>
    </row>
    <row r="251" spans="2:8" x14ac:dyDescent="0.2">
      <c r="B251" s="24"/>
      <c r="C251" s="102" t="s">
        <v>25</v>
      </c>
      <c r="D251" s="102"/>
      <c r="E251" s="102"/>
      <c r="G251" s="15"/>
      <c r="H251" s="15"/>
    </row>
    <row r="252" spans="2:8" x14ac:dyDescent="0.2">
      <c r="B252" s="24"/>
      <c r="C252" s="98"/>
      <c r="D252" s="98"/>
      <c r="E252" s="98"/>
      <c r="G252" s="15"/>
      <c r="H252" s="15"/>
    </row>
    <row r="253" spans="2:8" x14ac:dyDescent="0.2">
      <c r="B253" s="21" t="s">
        <v>24</v>
      </c>
      <c r="C253" s="23"/>
      <c r="D253" s="23"/>
      <c r="E253" s="22"/>
      <c r="G253" s="15"/>
      <c r="H253" s="15"/>
    </row>
    <row r="254" spans="2:8" ht="26.25" customHeight="1" x14ac:dyDescent="0.2">
      <c r="B254" s="24"/>
      <c r="C254" s="99"/>
      <c r="D254" s="99"/>
      <c r="E254" s="99"/>
      <c r="G254" s="15"/>
      <c r="H254" s="15"/>
    </row>
    <row r="255" spans="2:8" x14ac:dyDescent="0.2">
      <c r="B255" s="21" t="s">
        <v>23</v>
      </c>
      <c r="C255" s="26"/>
      <c r="D255" s="26"/>
      <c r="E255" s="25"/>
      <c r="G255" s="15"/>
      <c r="H255" s="15"/>
    </row>
    <row r="256" spans="2:8" ht="26.25" customHeight="1" x14ac:dyDescent="0.2">
      <c r="B256" s="24"/>
      <c r="C256" s="100" t="s">
        <v>22</v>
      </c>
      <c r="D256" s="100"/>
      <c r="E256" s="100"/>
      <c r="G256" s="15"/>
      <c r="H256" s="15"/>
    </row>
    <row r="257" spans="2:8" x14ac:dyDescent="0.2">
      <c r="B257" s="21" t="s">
        <v>21</v>
      </c>
      <c r="C257" s="23"/>
      <c r="D257" s="23"/>
      <c r="E257" s="22"/>
      <c r="G257" s="15"/>
      <c r="H257" s="15"/>
    </row>
    <row r="258" spans="2:8" ht="23.25" customHeight="1" x14ac:dyDescent="0.2">
      <c r="B258" s="21"/>
      <c r="C258" s="101"/>
      <c r="D258" s="101"/>
      <c r="E258" s="101"/>
      <c r="G258" s="15"/>
      <c r="H258" s="15"/>
    </row>
    <row r="259" spans="2:8" ht="13.5" thickBot="1" x14ac:dyDescent="0.25">
      <c r="B259" s="20"/>
      <c r="C259" s="19"/>
      <c r="D259" s="19"/>
      <c r="E259" s="18"/>
      <c r="G259" s="15"/>
      <c r="H259" s="15"/>
    </row>
    <row r="260" spans="2:8" ht="13.5" thickBot="1" x14ac:dyDescent="0.25">
      <c r="G260" s="15"/>
      <c r="H260" s="15"/>
    </row>
    <row r="261" spans="2:8" x14ac:dyDescent="0.2">
      <c r="B261" s="30" t="s">
        <v>237</v>
      </c>
      <c r="C261" s="29"/>
      <c r="D261" s="29"/>
      <c r="E261" s="28"/>
      <c r="G261" s="15"/>
      <c r="H261" s="15"/>
    </row>
    <row r="262" spans="2:8" ht="7.5" customHeight="1" x14ac:dyDescent="0.2">
      <c r="B262" s="27"/>
      <c r="C262" s="23"/>
      <c r="D262" s="23"/>
      <c r="E262" s="22"/>
      <c r="G262" s="15"/>
      <c r="H262" s="15"/>
    </row>
    <row r="263" spans="2:8" x14ac:dyDescent="0.2">
      <c r="B263" s="21" t="s">
        <v>28</v>
      </c>
      <c r="C263" s="23"/>
      <c r="D263" s="23"/>
      <c r="E263" s="22"/>
      <c r="G263" s="15"/>
      <c r="H263" s="15"/>
    </row>
    <row r="264" spans="2:8" ht="41.25" customHeight="1" x14ac:dyDescent="0.2">
      <c r="B264" s="21"/>
      <c r="C264" s="99" t="s">
        <v>236</v>
      </c>
      <c r="D264" s="99"/>
      <c r="E264" s="99"/>
      <c r="G264" s="15"/>
      <c r="H264" s="15"/>
    </row>
    <row r="265" spans="2:8" x14ac:dyDescent="0.2">
      <c r="B265" s="21" t="s">
        <v>26</v>
      </c>
      <c r="C265" s="23"/>
      <c r="D265" s="23"/>
      <c r="E265" s="22"/>
      <c r="G265" s="15"/>
      <c r="H265" s="15"/>
    </row>
    <row r="266" spans="2:8" x14ac:dyDescent="0.2">
      <c r="B266" s="24"/>
      <c r="C266" s="102" t="s">
        <v>25</v>
      </c>
      <c r="D266" s="102"/>
      <c r="E266" s="102"/>
      <c r="G266" s="15"/>
      <c r="H266" s="15"/>
    </row>
    <row r="267" spans="2:8" x14ac:dyDescent="0.2">
      <c r="B267" s="24"/>
      <c r="C267" s="98"/>
      <c r="D267" s="98"/>
      <c r="E267" s="98"/>
      <c r="G267" s="15"/>
      <c r="H267" s="15"/>
    </row>
    <row r="268" spans="2:8" x14ac:dyDescent="0.2">
      <c r="B268" s="21" t="s">
        <v>24</v>
      </c>
      <c r="C268" s="23"/>
      <c r="D268" s="23"/>
      <c r="E268" s="22"/>
      <c r="G268" s="15"/>
      <c r="H268" s="15"/>
    </row>
    <row r="269" spans="2:8" ht="26.25" customHeight="1" x14ac:dyDescent="0.2">
      <c r="B269" s="24"/>
      <c r="C269" s="99"/>
      <c r="D269" s="99"/>
      <c r="E269" s="99"/>
      <c r="G269" s="15"/>
      <c r="H269" s="15"/>
    </row>
    <row r="270" spans="2:8" x14ac:dyDescent="0.2">
      <c r="B270" s="21" t="s">
        <v>23</v>
      </c>
      <c r="C270" s="26"/>
      <c r="D270" s="26"/>
      <c r="E270" s="25"/>
      <c r="G270" s="15"/>
      <c r="H270" s="15"/>
    </row>
    <row r="271" spans="2:8" ht="26.25" customHeight="1" x14ac:dyDescent="0.2">
      <c r="B271" s="24"/>
      <c r="C271" s="100" t="s">
        <v>22</v>
      </c>
      <c r="D271" s="100"/>
      <c r="E271" s="100"/>
      <c r="G271" s="15"/>
      <c r="H271" s="15"/>
    </row>
    <row r="272" spans="2:8" x14ac:dyDescent="0.2">
      <c r="B272" s="21" t="s">
        <v>21</v>
      </c>
      <c r="C272" s="23"/>
      <c r="D272" s="23"/>
      <c r="E272" s="22"/>
      <c r="G272" s="15"/>
      <c r="H272" s="15"/>
    </row>
    <row r="273" spans="2:8" ht="23.25" customHeight="1" x14ac:dyDescent="0.2">
      <c r="B273" s="21"/>
      <c r="C273" s="101"/>
      <c r="D273" s="101"/>
      <c r="E273" s="101"/>
      <c r="G273" s="15"/>
      <c r="H273" s="15"/>
    </row>
    <row r="274" spans="2:8" ht="13.5" thickBot="1" x14ac:dyDescent="0.25">
      <c r="B274" s="20"/>
      <c r="C274" s="19"/>
      <c r="D274" s="19"/>
      <c r="E274" s="18"/>
      <c r="G274" s="15"/>
      <c r="H274" s="15"/>
    </row>
    <row r="275" spans="2:8" ht="13.5" thickBot="1" x14ac:dyDescent="0.25">
      <c r="G275" s="15"/>
      <c r="H275" s="15"/>
    </row>
    <row r="276" spans="2:8" x14ac:dyDescent="0.2">
      <c r="B276" s="30" t="s">
        <v>235</v>
      </c>
      <c r="C276" s="29"/>
      <c r="D276" s="29"/>
      <c r="E276" s="28"/>
      <c r="G276" s="15"/>
      <c r="H276" s="15"/>
    </row>
    <row r="277" spans="2:8" ht="5.25" customHeight="1" x14ac:dyDescent="0.2">
      <c r="B277" s="27"/>
      <c r="C277" s="23"/>
      <c r="D277" s="23"/>
      <c r="E277" s="22"/>
      <c r="G277" s="15"/>
      <c r="H277" s="15"/>
    </row>
    <row r="278" spans="2:8" x14ac:dyDescent="0.2">
      <c r="B278" s="21" t="s">
        <v>28</v>
      </c>
      <c r="C278" s="23"/>
      <c r="D278" s="23"/>
      <c r="E278" s="22"/>
      <c r="G278" s="15"/>
      <c r="H278" s="15"/>
    </row>
    <row r="279" spans="2:8" ht="41.25" customHeight="1" x14ac:dyDescent="0.2">
      <c r="B279" s="21"/>
      <c r="C279" s="99" t="s">
        <v>234</v>
      </c>
      <c r="D279" s="99"/>
      <c r="E279" s="99"/>
      <c r="G279" s="15"/>
      <c r="H279" s="15"/>
    </row>
    <row r="280" spans="2:8" x14ac:dyDescent="0.2">
      <c r="B280" s="21" t="s">
        <v>26</v>
      </c>
      <c r="C280" s="23"/>
      <c r="D280" s="23"/>
      <c r="E280" s="22"/>
      <c r="G280" s="15"/>
      <c r="H280" s="15"/>
    </row>
    <row r="281" spans="2:8" x14ac:dyDescent="0.2">
      <c r="B281" s="24"/>
      <c r="C281" s="102" t="s">
        <v>25</v>
      </c>
      <c r="D281" s="102"/>
      <c r="E281" s="102"/>
      <c r="G281" s="15"/>
      <c r="H281" s="15"/>
    </row>
    <row r="282" spans="2:8" x14ac:dyDescent="0.2">
      <c r="B282" s="24"/>
      <c r="C282" s="98"/>
      <c r="D282" s="98"/>
      <c r="E282" s="98"/>
      <c r="G282" s="15"/>
      <c r="H282" s="15"/>
    </row>
    <row r="283" spans="2:8" x14ac:dyDescent="0.2">
      <c r="B283" s="21" t="s">
        <v>24</v>
      </c>
      <c r="C283" s="23"/>
      <c r="D283" s="23"/>
      <c r="E283" s="22"/>
      <c r="G283" s="15"/>
      <c r="H283" s="15"/>
    </row>
    <row r="284" spans="2:8" ht="26.25" customHeight="1" x14ac:dyDescent="0.2">
      <c r="B284" s="24"/>
      <c r="C284" s="99"/>
      <c r="D284" s="99"/>
      <c r="E284" s="99"/>
      <c r="G284" s="15"/>
      <c r="H284" s="15"/>
    </row>
    <row r="285" spans="2:8" x14ac:dyDescent="0.2">
      <c r="B285" s="21" t="s">
        <v>23</v>
      </c>
      <c r="C285" s="26"/>
      <c r="D285" s="26"/>
      <c r="E285" s="25"/>
      <c r="G285" s="15"/>
      <c r="H285" s="15"/>
    </row>
    <row r="286" spans="2:8" ht="26.25" customHeight="1" x14ac:dyDescent="0.2">
      <c r="B286" s="24"/>
      <c r="C286" s="100" t="s">
        <v>22</v>
      </c>
      <c r="D286" s="100"/>
      <c r="E286" s="100"/>
      <c r="G286" s="15"/>
      <c r="H286" s="15"/>
    </row>
    <row r="287" spans="2:8" x14ac:dyDescent="0.2">
      <c r="B287" s="21" t="s">
        <v>21</v>
      </c>
      <c r="C287" s="23"/>
      <c r="D287" s="23"/>
      <c r="E287" s="22"/>
      <c r="G287" s="15"/>
      <c r="H287" s="15"/>
    </row>
    <row r="288" spans="2:8" ht="23.25" customHeight="1" x14ac:dyDescent="0.2">
      <c r="B288" s="21"/>
      <c r="C288" s="101"/>
      <c r="D288" s="101"/>
      <c r="E288" s="101"/>
      <c r="G288" s="15"/>
      <c r="H288" s="15"/>
    </row>
    <row r="289" spans="2:8" ht="13.5" thickBot="1" x14ac:dyDescent="0.25">
      <c r="B289" s="20"/>
      <c r="C289" s="19"/>
      <c r="D289" s="19"/>
      <c r="E289" s="18"/>
      <c r="G289" s="15"/>
      <c r="H289" s="15"/>
    </row>
    <row r="290" spans="2:8" ht="13.5" thickBot="1" x14ac:dyDescent="0.25">
      <c r="G290" s="15"/>
      <c r="H290" s="15"/>
    </row>
    <row r="291" spans="2:8" x14ac:dyDescent="0.2">
      <c r="B291" s="30" t="s">
        <v>233</v>
      </c>
      <c r="C291" s="29"/>
      <c r="D291" s="29"/>
      <c r="E291" s="28"/>
      <c r="G291" s="15"/>
      <c r="H291" s="15"/>
    </row>
    <row r="292" spans="2:8" ht="7.5" customHeight="1" x14ac:dyDescent="0.2">
      <c r="B292" s="27"/>
      <c r="C292" s="23"/>
      <c r="D292" s="23"/>
      <c r="E292" s="22"/>
      <c r="G292" s="15"/>
      <c r="H292" s="15"/>
    </row>
    <row r="293" spans="2:8" x14ac:dyDescent="0.2">
      <c r="B293" s="21" t="s">
        <v>28</v>
      </c>
      <c r="C293" s="23"/>
      <c r="D293" s="23"/>
      <c r="E293" s="22"/>
      <c r="G293" s="15"/>
      <c r="H293" s="15"/>
    </row>
    <row r="294" spans="2:8" ht="41.25" customHeight="1" x14ac:dyDescent="0.2">
      <c r="B294" s="21"/>
      <c r="C294" s="99" t="s">
        <v>232</v>
      </c>
      <c r="D294" s="99"/>
      <c r="E294" s="99"/>
      <c r="G294" s="15"/>
      <c r="H294" s="15"/>
    </row>
    <row r="295" spans="2:8" x14ac:dyDescent="0.2">
      <c r="B295" s="21" t="s">
        <v>26</v>
      </c>
      <c r="C295" s="23"/>
      <c r="D295" s="23"/>
      <c r="E295" s="22"/>
      <c r="G295" s="15"/>
      <c r="H295" s="15"/>
    </row>
    <row r="296" spans="2:8" x14ac:dyDescent="0.2">
      <c r="B296" s="24"/>
      <c r="C296" s="102" t="s">
        <v>25</v>
      </c>
      <c r="D296" s="102"/>
      <c r="E296" s="102"/>
      <c r="G296" s="15"/>
      <c r="H296" s="15"/>
    </row>
    <row r="297" spans="2:8" x14ac:dyDescent="0.2">
      <c r="B297" s="24"/>
      <c r="C297" s="98"/>
      <c r="D297" s="98"/>
      <c r="E297" s="98"/>
      <c r="G297" s="15"/>
      <c r="H297" s="15"/>
    </row>
    <row r="298" spans="2:8" x14ac:dyDescent="0.2">
      <c r="B298" s="21" t="s">
        <v>24</v>
      </c>
      <c r="C298" s="23"/>
      <c r="D298" s="23"/>
      <c r="E298" s="22"/>
      <c r="G298" s="15"/>
      <c r="H298" s="15"/>
    </row>
    <row r="299" spans="2:8" ht="26.25" customHeight="1" x14ac:dyDescent="0.2">
      <c r="B299" s="24"/>
      <c r="C299" s="99"/>
      <c r="D299" s="99"/>
      <c r="E299" s="99"/>
      <c r="G299" s="15"/>
      <c r="H299" s="15"/>
    </row>
    <row r="300" spans="2:8" x14ac:dyDescent="0.2">
      <c r="B300" s="21" t="s">
        <v>23</v>
      </c>
      <c r="C300" s="26"/>
      <c r="D300" s="26"/>
      <c r="E300" s="25"/>
      <c r="G300" s="15"/>
      <c r="H300" s="15"/>
    </row>
    <row r="301" spans="2:8" ht="26.25" customHeight="1" x14ac:dyDescent="0.2">
      <c r="B301" s="24"/>
      <c r="C301" s="100" t="s">
        <v>22</v>
      </c>
      <c r="D301" s="100"/>
      <c r="E301" s="100"/>
      <c r="G301" s="15"/>
      <c r="H301" s="15"/>
    </row>
    <row r="302" spans="2:8" x14ac:dyDescent="0.2">
      <c r="B302" s="21" t="s">
        <v>21</v>
      </c>
      <c r="C302" s="23"/>
      <c r="D302" s="23"/>
      <c r="E302" s="22"/>
      <c r="G302" s="15"/>
      <c r="H302" s="15"/>
    </row>
    <row r="303" spans="2:8" ht="23.25" customHeight="1" x14ac:dyDescent="0.2">
      <c r="B303" s="21"/>
      <c r="C303" s="101"/>
      <c r="D303" s="101"/>
      <c r="E303" s="101"/>
      <c r="G303" s="15"/>
      <c r="H303" s="15"/>
    </row>
    <row r="304" spans="2:8" ht="13.5" thickBot="1" x14ac:dyDescent="0.25">
      <c r="B304" s="20"/>
      <c r="C304" s="19"/>
      <c r="D304" s="19"/>
      <c r="E304" s="18"/>
      <c r="G304" s="15"/>
      <c r="H304" s="15"/>
    </row>
    <row r="305" spans="2:8" ht="13.5" thickBot="1" x14ac:dyDescent="0.25">
      <c r="G305" s="15"/>
      <c r="H305" s="15"/>
    </row>
    <row r="306" spans="2:8" x14ac:dyDescent="0.2">
      <c r="B306" s="30" t="s">
        <v>231</v>
      </c>
      <c r="C306" s="29"/>
      <c r="D306" s="29"/>
      <c r="E306" s="28"/>
      <c r="G306" s="15"/>
      <c r="H306" s="15"/>
    </row>
    <row r="307" spans="2:8" ht="5.25" customHeight="1" x14ac:dyDescent="0.2">
      <c r="B307" s="27"/>
      <c r="C307" s="23"/>
      <c r="D307" s="23"/>
      <c r="E307" s="22"/>
      <c r="G307" s="15"/>
      <c r="H307" s="15"/>
    </row>
    <row r="308" spans="2:8" x14ac:dyDescent="0.2">
      <c r="B308" s="21" t="s">
        <v>28</v>
      </c>
      <c r="C308" s="23"/>
      <c r="D308" s="23"/>
      <c r="E308" s="22"/>
      <c r="G308" s="15"/>
      <c r="H308" s="15"/>
    </row>
    <row r="309" spans="2:8" ht="41.25" customHeight="1" x14ac:dyDescent="0.2">
      <c r="B309" s="21"/>
      <c r="C309" s="99" t="s">
        <v>230</v>
      </c>
      <c r="D309" s="99"/>
      <c r="E309" s="99"/>
      <c r="G309" s="15"/>
      <c r="H309" s="15"/>
    </row>
    <row r="310" spans="2:8" x14ac:dyDescent="0.2">
      <c r="B310" s="21" t="s">
        <v>26</v>
      </c>
      <c r="C310" s="23"/>
      <c r="D310" s="23"/>
      <c r="E310" s="22"/>
      <c r="G310" s="15"/>
      <c r="H310" s="15"/>
    </row>
    <row r="311" spans="2:8" x14ac:dyDescent="0.2">
      <c r="B311" s="24"/>
      <c r="C311" s="102" t="s">
        <v>25</v>
      </c>
      <c r="D311" s="102"/>
      <c r="E311" s="102"/>
      <c r="G311" s="15"/>
      <c r="H311" s="15"/>
    </row>
    <row r="312" spans="2:8" x14ac:dyDescent="0.2">
      <c r="B312" s="24"/>
      <c r="C312" s="98"/>
      <c r="D312" s="98"/>
      <c r="E312" s="98"/>
      <c r="G312" s="15"/>
      <c r="H312" s="15"/>
    </row>
    <row r="313" spans="2:8" x14ac:dyDescent="0.2">
      <c r="B313" s="21" t="s">
        <v>24</v>
      </c>
      <c r="C313" s="23"/>
      <c r="D313" s="23"/>
      <c r="E313" s="22"/>
      <c r="G313" s="15"/>
      <c r="H313" s="15"/>
    </row>
    <row r="314" spans="2:8" ht="26.25" customHeight="1" x14ac:dyDescent="0.2">
      <c r="B314" s="24"/>
      <c r="C314" s="99"/>
      <c r="D314" s="99"/>
      <c r="E314" s="99"/>
      <c r="G314" s="15"/>
      <c r="H314" s="15"/>
    </row>
    <row r="315" spans="2:8" x14ac:dyDescent="0.2">
      <c r="B315" s="21" t="s">
        <v>23</v>
      </c>
      <c r="C315" s="26"/>
      <c r="D315" s="26"/>
      <c r="E315" s="25"/>
      <c r="G315" s="15"/>
      <c r="H315" s="15"/>
    </row>
    <row r="316" spans="2:8" ht="26.25" customHeight="1" x14ac:dyDescent="0.2">
      <c r="B316" s="24"/>
      <c r="C316" s="100" t="s">
        <v>22</v>
      </c>
      <c r="D316" s="100"/>
      <c r="E316" s="100"/>
      <c r="G316" s="15"/>
      <c r="H316" s="15"/>
    </row>
    <row r="317" spans="2:8" x14ac:dyDescent="0.2">
      <c r="B317" s="21" t="s">
        <v>21</v>
      </c>
      <c r="C317" s="23"/>
      <c r="D317" s="23"/>
      <c r="E317" s="22"/>
      <c r="G317" s="15"/>
      <c r="H317" s="15"/>
    </row>
    <row r="318" spans="2:8" ht="23.25" customHeight="1" x14ac:dyDescent="0.2">
      <c r="B318" s="21"/>
      <c r="C318" s="101"/>
      <c r="D318" s="101"/>
      <c r="E318" s="101"/>
      <c r="G318" s="15"/>
      <c r="H318" s="15"/>
    </row>
    <row r="319" spans="2:8" ht="13.5" thickBot="1" x14ac:dyDescent="0.25">
      <c r="B319" s="20"/>
      <c r="C319" s="19"/>
      <c r="D319" s="19"/>
      <c r="E319" s="18"/>
      <c r="G319" s="15"/>
      <c r="H319" s="15"/>
    </row>
    <row r="320" spans="2:8" ht="13.5" thickBot="1" x14ac:dyDescent="0.25">
      <c r="G320" s="15"/>
      <c r="H320" s="15"/>
    </row>
    <row r="321" spans="2:8" x14ac:dyDescent="0.2">
      <c r="B321" s="30" t="s">
        <v>229</v>
      </c>
      <c r="C321" s="29"/>
      <c r="D321" s="29"/>
      <c r="E321" s="28"/>
      <c r="G321" s="15"/>
      <c r="H321" s="15"/>
    </row>
    <row r="322" spans="2:8" ht="7.5" customHeight="1" x14ac:dyDescent="0.2">
      <c r="B322" s="27"/>
      <c r="C322" s="23"/>
      <c r="D322" s="23"/>
      <c r="E322" s="22"/>
      <c r="G322" s="15"/>
      <c r="H322" s="15"/>
    </row>
    <row r="323" spans="2:8" x14ac:dyDescent="0.2">
      <c r="B323" s="21" t="s">
        <v>28</v>
      </c>
      <c r="C323" s="23"/>
      <c r="D323" s="23"/>
      <c r="E323" s="22"/>
      <c r="G323" s="15"/>
      <c r="H323" s="15"/>
    </row>
    <row r="324" spans="2:8" ht="41.25" customHeight="1" x14ac:dyDescent="0.2">
      <c r="B324" s="21"/>
      <c r="C324" s="99" t="s">
        <v>228</v>
      </c>
      <c r="D324" s="99"/>
      <c r="E324" s="99"/>
      <c r="G324" s="15"/>
      <c r="H324" s="15"/>
    </row>
    <row r="325" spans="2:8" x14ac:dyDescent="0.2">
      <c r="B325" s="21" t="s">
        <v>26</v>
      </c>
      <c r="C325" s="23"/>
      <c r="D325" s="23"/>
      <c r="E325" s="22"/>
      <c r="G325" s="15"/>
      <c r="H325" s="15"/>
    </row>
    <row r="326" spans="2:8" x14ac:dyDescent="0.2">
      <c r="B326" s="24"/>
      <c r="C326" s="102" t="s">
        <v>25</v>
      </c>
      <c r="D326" s="102"/>
      <c r="E326" s="102"/>
      <c r="G326" s="15"/>
      <c r="H326" s="15"/>
    </row>
    <row r="327" spans="2:8" x14ac:dyDescent="0.2">
      <c r="B327" s="24"/>
      <c r="C327" s="98"/>
      <c r="D327" s="98"/>
      <c r="E327" s="98"/>
      <c r="G327" s="15"/>
      <c r="H327" s="15"/>
    </row>
    <row r="328" spans="2:8" x14ac:dyDescent="0.2">
      <c r="B328" s="21" t="s">
        <v>24</v>
      </c>
      <c r="C328" s="23"/>
      <c r="D328" s="23"/>
      <c r="E328" s="22"/>
      <c r="G328" s="15"/>
      <c r="H328" s="15"/>
    </row>
    <row r="329" spans="2:8" ht="26.25" customHeight="1" x14ac:dyDescent="0.2">
      <c r="B329" s="24"/>
      <c r="C329" s="99"/>
      <c r="D329" s="99"/>
      <c r="E329" s="99"/>
      <c r="G329" s="15"/>
      <c r="H329" s="15"/>
    </row>
    <row r="330" spans="2:8" x14ac:dyDescent="0.2">
      <c r="B330" s="21" t="s">
        <v>23</v>
      </c>
      <c r="C330" s="26"/>
      <c r="D330" s="26"/>
      <c r="E330" s="25"/>
      <c r="G330" s="15"/>
      <c r="H330" s="15"/>
    </row>
    <row r="331" spans="2:8" ht="26.25" customHeight="1" x14ac:dyDescent="0.2">
      <c r="B331" s="24"/>
      <c r="C331" s="100" t="s">
        <v>22</v>
      </c>
      <c r="D331" s="100"/>
      <c r="E331" s="100"/>
      <c r="G331" s="15"/>
      <c r="H331" s="15"/>
    </row>
    <row r="332" spans="2:8" x14ac:dyDescent="0.2">
      <c r="B332" s="21" t="s">
        <v>21</v>
      </c>
      <c r="C332" s="23"/>
      <c r="D332" s="23"/>
      <c r="E332" s="22"/>
      <c r="G332" s="15"/>
      <c r="H332" s="15"/>
    </row>
    <row r="333" spans="2:8" ht="23.25" customHeight="1" x14ac:dyDescent="0.2">
      <c r="B333" s="21"/>
      <c r="C333" s="101"/>
      <c r="D333" s="101"/>
      <c r="E333" s="101"/>
      <c r="G333" s="15"/>
      <c r="H333" s="15"/>
    </row>
    <row r="334" spans="2:8" ht="13.5" thickBot="1" x14ac:dyDescent="0.25">
      <c r="B334" s="20"/>
      <c r="C334" s="19"/>
      <c r="D334" s="19"/>
      <c r="E334" s="18"/>
      <c r="G334" s="15"/>
      <c r="H334" s="15"/>
    </row>
    <row r="335" spans="2:8" ht="13.5" thickBot="1" x14ac:dyDescent="0.25">
      <c r="G335" s="15"/>
      <c r="H335" s="15"/>
    </row>
    <row r="336" spans="2:8" x14ac:dyDescent="0.2">
      <c r="B336" s="30" t="s">
        <v>227</v>
      </c>
      <c r="C336" s="29"/>
      <c r="D336" s="29"/>
      <c r="E336" s="28"/>
      <c r="G336" s="15"/>
      <c r="H336" s="15"/>
    </row>
    <row r="337" spans="2:8" ht="5.25" customHeight="1" x14ac:dyDescent="0.2">
      <c r="B337" s="27"/>
      <c r="C337" s="23"/>
      <c r="D337" s="23"/>
      <c r="E337" s="22"/>
      <c r="G337" s="15"/>
      <c r="H337" s="15"/>
    </row>
    <row r="338" spans="2:8" x14ac:dyDescent="0.2">
      <c r="B338" s="21" t="s">
        <v>28</v>
      </c>
      <c r="C338" s="23"/>
      <c r="D338" s="23"/>
      <c r="E338" s="22"/>
      <c r="G338" s="15"/>
      <c r="H338" s="15"/>
    </row>
    <row r="339" spans="2:8" ht="41.25" customHeight="1" x14ac:dyDescent="0.2">
      <c r="B339" s="21"/>
      <c r="C339" s="99" t="s">
        <v>226</v>
      </c>
      <c r="D339" s="99"/>
      <c r="E339" s="99"/>
      <c r="G339" s="15"/>
      <c r="H339" s="15"/>
    </row>
    <row r="340" spans="2:8" x14ac:dyDescent="0.2">
      <c r="B340" s="21" t="s">
        <v>26</v>
      </c>
      <c r="C340" s="23"/>
      <c r="D340" s="23"/>
      <c r="E340" s="22"/>
      <c r="G340" s="15"/>
      <c r="H340" s="15"/>
    </row>
    <row r="341" spans="2:8" x14ac:dyDescent="0.2">
      <c r="B341" s="24"/>
      <c r="C341" s="102" t="s">
        <v>25</v>
      </c>
      <c r="D341" s="102"/>
      <c r="E341" s="102"/>
      <c r="G341" s="15"/>
      <c r="H341" s="15"/>
    </row>
    <row r="342" spans="2:8" x14ac:dyDescent="0.2">
      <c r="B342" s="24"/>
      <c r="C342" s="98"/>
      <c r="D342" s="98"/>
      <c r="E342" s="98"/>
      <c r="G342" s="15"/>
      <c r="H342" s="15"/>
    </row>
    <row r="343" spans="2:8" x14ac:dyDescent="0.2">
      <c r="B343" s="21" t="s">
        <v>24</v>
      </c>
      <c r="C343" s="23"/>
      <c r="D343" s="23"/>
      <c r="E343" s="22"/>
      <c r="G343" s="15"/>
      <c r="H343" s="15"/>
    </row>
    <row r="344" spans="2:8" ht="26.25" customHeight="1" x14ac:dyDescent="0.2">
      <c r="B344" s="24"/>
      <c r="C344" s="99"/>
      <c r="D344" s="99"/>
      <c r="E344" s="99"/>
      <c r="G344" s="15"/>
      <c r="H344" s="15"/>
    </row>
    <row r="345" spans="2:8" x14ac:dyDescent="0.2">
      <c r="B345" s="21" t="s">
        <v>23</v>
      </c>
      <c r="C345" s="26"/>
      <c r="D345" s="26"/>
      <c r="E345" s="25"/>
      <c r="G345" s="15"/>
      <c r="H345" s="15"/>
    </row>
    <row r="346" spans="2:8" ht="26.25" customHeight="1" x14ac:dyDescent="0.2">
      <c r="B346" s="24"/>
      <c r="C346" s="100" t="s">
        <v>22</v>
      </c>
      <c r="D346" s="100"/>
      <c r="E346" s="100"/>
      <c r="G346" s="15"/>
      <c r="H346" s="15"/>
    </row>
    <row r="347" spans="2:8" x14ac:dyDescent="0.2">
      <c r="B347" s="21" t="s">
        <v>21</v>
      </c>
      <c r="C347" s="23"/>
      <c r="D347" s="23"/>
      <c r="E347" s="22"/>
      <c r="G347" s="15"/>
      <c r="H347" s="15"/>
    </row>
    <row r="348" spans="2:8" ht="23.25" customHeight="1" x14ac:dyDescent="0.2">
      <c r="B348" s="21"/>
      <c r="C348" s="101"/>
      <c r="D348" s="101"/>
      <c r="E348" s="101"/>
      <c r="G348" s="15"/>
      <c r="H348" s="15"/>
    </row>
    <row r="349" spans="2:8" ht="13.5" thickBot="1" x14ac:dyDescent="0.25">
      <c r="B349" s="20"/>
      <c r="C349" s="19"/>
      <c r="D349" s="19"/>
      <c r="E349" s="18"/>
      <c r="G349" s="15"/>
      <c r="H349" s="15"/>
    </row>
    <row r="350" spans="2:8" ht="13.5" thickBot="1" x14ac:dyDescent="0.25">
      <c r="G350" s="15"/>
      <c r="H350" s="15"/>
    </row>
    <row r="351" spans="2:8" x14ac:dyDescent="0.2">
      <c r="B351" s="30" t="s">
        <v>225</v>
      </c>
      <c r="C351" s="29"/>
      <c r="D351" s="29"/>
      <c r="E351" s="28"/>
      <c r="G351" s="15"/>
      <c r="H351" s="15"/>
    </row>
    <row r="352" spans="2:8" ht="7.5" customHeight="1" x14ac:dyDescent="0.2">
      <c r="B352" s="27"/>
      <c r="C352" s="23"/>
      <c r="D352" s="23"/>
      <c r="E352" s="22"/>
      <c r="G352" s="15"/>
      <c r="H352" s="15"/>
    </row>
    <row r="353" spans="2:8" x14ac:dyDescent="0.2">
      <c r="B353" s="21" t="s">
        <v>28</v>
      </c>
      <c r="C353" s="23"/>
      <c r="D353" s="23"/>
      <c r="E353" s="22"/>
      <c r="G353" s="15"/>
      <c r="H353" s="15"/>
    </row>
    <row r="354" spans="2:8" ht="41.25" customHeight="1" x14ac:dyDescent="0.2">
      <c r="B354" s="21"/>
      <c r="C354" s="99" t="s">
        <v>224</v>
      </c>
      <c r="D354" s="99"/>
      <c r="E354" s="99"/>
      <c r="G354" s="15"/>
      <c r="H354" s="15"/>
    </row>
    <row r="355" spans="2:8" x14ac:dyDescent="0.2">
      <c r="B355" s="21" t="s">
        <v>26</v>
      </c>
      <c r="C355" s="23"/>
      <c r="D355" s="23"/>
      <c r="E355" s="22"/>
      <c r="G355" s="15"/>
      <c r="H355" s="15"/>
    </row>
    <row r="356" spans="2:8" x14ac:dyDescent="0.2">
      <c r="B356" s="24"/>
      <c r="C356" s="102" t="s">
        <v>25</v>
      </c>
      <c r="D356" s="102"/>
      <c r="E356" s="102"/>
      <c r="G356" s="15"/>
      <c r="H356" s="15"/>
    </row>
    <row r="357" spans="2:8" x14ac:dyDescent="0.2">
      <c r="B357" s="24"/>
      <c r="C357" s="98"/>
      <c r="D357" s="98"/>
      <c r="E357" s="98"/>
      <c r="G357" s="15"/>
      <c r="H357" s="15"/>
    </row>
    <row r="358" spans="2:8" x14ac:dyDescent="0.2">
      <c r="B358" s="21" t="s">
        <v>24</v>
      </c>
      <c r="C358" s="23"/>
      <c r="D358" s="23"/>
      <c r="E358" s="22"/>
      <c r="G358" s="15"/>
      <c r="H358" s="15"/>
    </row>
    <row r="359" spans="2:8" ht="26.25" customHeight="1" x14ac:dyDescent="0.2">
      <c r="B359" s="24"/>
      <c r="C359" s="99"/>
      <c r="D359" s="99"/>
      <c r="E359" s="99"/>
      <c r="G359" s="15"/>
      <c r="H359" s="15"/>
    </row>
    <row r="360" spans="2:8" x14ac:dyDescent="0.2">
      <c r="B360" s="21" t="s">
        <v>23</v>
      </c>
      <c r="C360" s="26"/>
      <c r="D360" s="26"/>
      <c r="E360" s="25"/>
      <c r="G360" s="15"/>
      <c r="H360" s="15"/>
    </row>
    <row r="361" spans="2:8" ht="26.25" customHeight="1" x14ac:dyDescent="0.2">
      <c r="B361" s="24"/>
      <c r="C361" s="100" t="s">
        <v>22</v>
      </c>
      <c r="D361" s="100"/>
      <c r="E361" s="100"/>
      <c r="G361" s="15"/>
      <c r="H361" s="15"/>
    </row>
    <row r="362" spans="2:8" x14ac:dyDescent="0.2">
      <c r="B362" s="21" t="s">
        <v>21</v>
      </c>
      <c r="C362" s="23"/>
      <c r="D362" s="23"/>
      <c r="E362" s="22"/>
      <c r="G362" s="15"/>
      <c r="H362" s="15"/>
    </row>
    <row r="363" spans="2:8" ht="23.25" customHeight="1" x14ac:dyDescent="0.2">
      <c r="B363" s="21"/>
      <c r="C363" s="101"/>
      <c r="D363" s="101"/>
      <c r="E363" s="101"/>
      <c r="G363" s="15"/>
      <c r="H363" s="15"/>
    </row>
    <row r="364" spans="2:8" ht="13.5" thickBot="1" x14ac:dyDescent="0.25">
      <c r="B364" s="20"/>
      <c r="C364" s="19"/>
      <c r="D364" s="19"/>
      <c r="E364" s="18"/>
      <c r="G364" s="15"/>
      <c r="H364" s="15"/>
    </row>
    <row r="365" spans="2:8" ht="13.5" thickBot="1" x14ac:dyDescent="0.25">
      <c r="G365" s="15"/>
      <c r="H365" s="15"/>
    </row>
    <row r="366" spans="2:8" x14ac:dyDescent="0.2">
      <c r="B366" s="30" t="s">
        <v>223</v>
      </c>
      <c r="C366" s="29"/>
      <c r="D366" s="29"/>
      <c r="E366" s="28"/>
      <c r="G366" s="15"/>
      <c r="H366" s="15"/>
    </row>
    <row r="367" spans="2:8" ht="5.25" customHeight="1" x14ac:dyDescent="0.2">
      <c r="B367" s="27"/>
      <c r="C367" s="23"/>
      <c r="D367" s="23"/>
      <c r="E367" s="22"/>
      <c r="G367" s="15"/>
      <c r="H367" s="15"/>
    </row>
    <row r="368" spans="2:8" x14ac:dyDescent="0.2">
      <c r="B368" s="21" t="s">
        <v>28</v>
      </c>
      <c r="C368" s="23"/>
      <c r="D368" s="23"/>
      <c r="E368" s="22"/>
      <c r="G368" s="15"/>
      <c r="H368" s="15"/>
    </row>
    <row r="369" spans="2:8" ht="41.25" customHeight="1" x14ac:dyDescent="0.2">
      <c r="B369" s="21"/>
      <c r="C369" s="99" t="s">
        <v>222</v>
      </c>
      <c r="D369" s="99"/>
      <c r="E369" s="99"/>
      <c r="G369" s="15"/>
      <c r="H369" s="15"/>
    </row>
    <row r="370" spans="2:8" x14ac:dyDescent="0.2">
      <c r="B370" s="21" t="s">
        <v>26</v>
      </c>
      <c r="C370" s="23"/>
      <c r="D370" s="23"/>
      <c r="E370" s="22"/>
      <c r="G370" s="15"/>
      <c r="H370" s="15"/>
    </row>
    <row r="371" spans="2:8" x14ac:dyDescent="0.2">
      <c r="B371" s="24"/>
      <c r="C371" s="102" t="s">
        <v>25</v>
      </c>
      <c r="D371" s="102"/>
      <c r="E371" s="102"/>
      <c r="G371" s="15"/>
      <c r="H371" s="15"/>
    </row>
    <row r="372" spans="2:8" x14ac:dyDescent="0.2">
      <c r="B372" s="24"/>
      <c r="C372" s="98"/>
      <c r="D372" s="98"/>
      <c r="E372" s="98"/>
      <c r="G372" s="15"/>
      <c r="H372" s="15"/>
    </row>
    <row r="373" spans="2:8" x14ac:dyDescent="0.2">
      <c r="B373" s="21" t="s">
        <v>24</v>
      </c>
      <c r="C373" s="23"/>
      <c r="D373" s="23"/>
      <c r="E373" s="22"/>
      <c r="G373" s="15"/>
      <c r="H373" s="15"/>
    </row>
    <row r="374" spans="2:8" ht="26.25" customHeight="1" x14ac:dyDescent="0.2">
      <c r="B374" s="24"/>
      <c r="C374" s="99"/>
      <c r="D374" s="99"/>
      <c r="E374" s="99"/>
      <c r="G374" s="15"/>
      <c r="H374" s="15"/>
    </row>
    <row r="375" spans="2:8" x14ac:dyDescent="0.2">
      <c r="B375" s="21" t="s">
        <v>23</v>
      </c>
      <c r="C375" s="26"/>
      <c r="D375" s="26"/>
      <c r="E375" s="25"/>
      <c r="G375" s="15"/>
      <c r="H375" s="15"/>
    </row>
    <row r="376" spans="2:8" ht="26.25" customHeight="1" x14ac:dyDescent="0.2">
      <c r="B376" s="24"/>
      <c r="C376" s="100" t="s">
        <v>22</v>
      </c>
      <c r="D376" s="100"/>
      <c r="E376" s="100"/>
      <c r="G376" s="15"/>
      <c r="H376" s="15"/>
    </row>
    <row r="377" spans="2:8" x14ac:dyDescent="0.2">
      <c r="B377" s="21" t="s">
        <v>21</v>
      </c>
      <c r="C377" s="23"/>
      <c r="D377" s="23"/>
      <c r="E377" s="22"/>
      <c r="G377" s="15"/>
      <c r="H377" s="15"/>
    </row>
    <row r="378" spans="2:8" ht="23.25" customHeight="1" x14ac:dyDescent="0.2">
      <c r="B378" s="21"/>
      <c r="C378" s="101"/>
      <c r="D378" s="101"/>
      <c r="E378" s="101"/>
      <c r="G378" s="15"/>
      <c r="H378" s="15"/>
    </row>
    <row r="379" spans="2:8" ht="13.5" thickBot="1" x14ac:dyDescent="0.25">
      <c r="B379" s="20"/>
      <c r="C379" s="19"/>
      <c r="D379" s="19"/>
      <c r="E379" s="18"/>
      <c r="G379" s="15"/>
      <c r="H379" s="15"/>
    </row>
    <row r="380" spans="2:8" ht="13.5" thickBot="1" x14ac:dyDescent="0.25">
      <c r="G380" s="15"/>
      <c r="H380" s="15"/>
    </row>
    <row r="381" spans="2:8" x14ac:dyDescent="0.2">
      <c r="B381" s="30" t="s">
        <v>221</v>
      </c>
      <c r="C381" s="29"/>
      <c r="D381" s="29"/>
      <c r="E381" s="28"/>
      <c r="G381" s="15"/>
      <c r="H381" s="15"/>
    </row>
    <row r="382" spans="2:8" ht="7.5" customHeight="1" x14ac:dyDescent="0.2">
      <c r="B382" s="27"/>
      <c r="C382" s="23"/>
      <c r="D382" s="23"/>
      <c r="E382" s="22"/>
      <c r="G382" s="15"/>
      <c r="H382" s="15"/>
    </row>
    <row r="383" spans="2:8" x14ac:dyDescent="0.2">
      <c r="B383" s="21" t="s">
        <v>28</v>
      </c>
      <c r="C383" s="23"/>
      <c r="D383" s="23"/>
      <c r="E383" s="22"/>
      <c r="G383" s="15"/>
      <c r="H383" s="15"/>
    </row>
    <row r="384" spans="2:8" ht="41.25" customHeight="1" x14ac:dyDescent="0.2">
      <c r="B384" s="21"/>
      <c r="C384" s="99" t="s">
        <v>220</v>
      </c>
      <c r="D384" s="99"/>
      <c r="E384" s="99"/>
      <c r="G384" s="15"/>
      <c r="H384" s="15"/>
    </row>
    <row r="385" spans="2:8" x14ac:dyDescent="0.2">
      <c r="B385" s="21" t="s">
        <v>26</v>
      </c>
      <c r="C385" s="23"/>
      <c r="D385" s="23"/>
      <c r="E385" s="22"/>
      <c r="G385" s="15"/>
      <c r="H385" s="15"/>
    </row>
    <row r="386" spans="2:8" x14ac:dyDescent="0.2">
      <c r="B386" s="24"/>
      <c r="C386" s="102" t="s">
        <v>25</v>
      </c>
      <c r="D386" s="102"/>
      <c r="E386" s="102"/>
      <c r="G386" s="15"/>
      <c r="H386" s="15"/>
    </row>
    <row r="387" spans="2:8" x14ac:dyDescent="0.2">
      <c r="B387" s="24"/>
      <c r="C387" s="98"/>
      <c r="D387" s="98"/>
      <c r="E387" s="98"/>
      <c r="G387" s="15"/>
      <c r="H387" s="15"/>
    </row>
    <row r="388" spans="2:8" x14ac:dyDescent="0.2">
      <c r="B388" s="21" t="s">
        <v>24</v>
      </c>
      <c r="C388" s="23"/>
      <c r="D388" s="23"/>
      <c r="E388" s="22"/>
      <c r="G388" s="15"/>
      <c r="H388" s="15"/>
    </row>
    <row r="389" spans="2:8" ht="26.25" customHeight="1" x14ac:dyDescent="0.2">
      <c r="B389" s="24"/>
      <c r="C389" s="99"/>
      <c r="D389" s="99"/>
      <c r="E389" s="99"/>
      <c r="G389" s="15"/>
      <c r="H389" s="15"/>
    </row>
    <row r="390" spans="2:8" x14ac:dyDescent="0.2">
      <c r="B390" s="21" t="s">
        <v>23</v>
      </c>
      <c r="C390" s="26"/>
      <c r="D390" s="26"/>
      <c r="E390" s="25"/>
      <c r="G390" s="15"/>
      <c r="H390" s="15"/>
    </row>
    <row r="391" spans="2:8" ht="26.25" customHeight="1" x14ac:dyDescent="0.2">
      <c r="B391" s="24"/>
      <c r="C391" s="100" t="s">
        <v>22</v>
      </c>
      <c r="D391" s="100"/>
      <c r="E391" s="100"/>
      <c r="G391" s="15"/>
      <c r="H391" s="15"/>
    </row>
    <row r="392" spans="2:8" x14ac:dyDescent="0.2">
      <c r="B392" s="21" t="s">
        <v>21</v>
      </c>
      <c r="C392" s="23"/>
      <c r="D392" s="23"/>
      <c r="E392" s="22"/>
      <c r="G392" s="15"/>
      <c r="H392" s="15"/>
    </row>
    <row r="393" spans="2:8" ht="23.25" customHeight="1" x14ac:dyDescent="0.2">
      <c r="B393" s="21"/>
      <c r="C393" s="101"/>
      <c r="D393" s="101"/>
      <c r="E393" s="101"/>
      <c r="G393" s="15"/>
      <c r="H393" s="15"/>
    </row>
    <row r="394" spans="2:8" ht="13.5" thickBot="1" x14ac:dyDescent="0.25">
      <c r="B394" s="20"/>
      <c r="C394" s="19"/>
      <c r="D394" s="19"/>
      <c r="E394" s="18"/>
      <c r="G394" s="15"/>
      <c r="H394" s="15"/>
    </row>
    <row r="395" spans="2:8" ht="13.5" thickBot="1" x14ac:dyDescent="0.25">
      <c r="G395" s="15"/>
      <c r="H395" s="15"/>
    </row>
    <row r="396" spans="2:8" x14ac:dyDescent="0.2">
      <c r="B396" s="30" t="s">
        <v>219</v>
      </c>
      <c r="C396" s="29"/>
      <c r="D396" s="29"/>
      <c r="E396" s="28"/>
      <c r="G396" s="15"/>
      <c r="H396" s="15"/>
    </row>
    <row r="397" spans="2:8" ht="5.25" customHeight="1" x14ac:dyDescent="0.2">
      <c r="B397" s="27"/>
      <c r="C397" s="23"/>
      <c r="D397" s="23"/>
      <c r="E397" s="22"/>
      <c r="G397" s="15"/>
      <c r="H397" s="15"/>
    </row>
    <row r="398" spans="2:8" x14ac:dyDescent="0.2">
      <c r="B398" s="21" t="s">
        <v>28</v>
      </c>
      <c r="C398" s="23"/>
      <c r="D398" s="23"/>
      <c r="E398" s="22"/>
      <c r="G398" s="15"/>
      <c r="H398" s="15"/>
    </row>
    <row r="399" spans="2:8" ht="41.25" customHeight="1" x14ac:dyDescent="0.2">
      <c r="B399" s="21"/>
      <c r="C399" s="99" t="s">
        <v>218</v>
      </c>
      <c r="D399" s="99"/>
      <c r="E399" s="99"/>
      <c r="G399" s="15"/>
      <c r="H399" s="15"/>
    </row>
    <row r="400" spans="2:8" x14ac:dyDescent="0.2">
      <c r="B400" s="21" t="s">
        <v>26</v>
      </c>
      <c r="C400" s="23"/>
      <c r="D400" s="23"/>
      <c r="E400" s="22"/>
      <c r="G400" s="15"/>
      <c r="H400" s="15"/>
    </row>
    <row r="401" spans="2:8" x14ac:dyDescent="0.2">
      <c r="B401" s="24"/>
      <c r="C401" s="102" t="s">
        <v>25</v>
      </c>
      <c r="D401" s="102"/>
      <c r="E401" s="102"/>
      <c r="G401" s="15"/>
      <c r="H401" s="15"/>
    </row>
    <row r="402" spans="2:8" x14ac:dyDescent="0.2">
      <c r="B402" s="24"/>
      <c r="C402" s="98"/>
      <c r="D402" s="98"/>
      <c r="E402" s="98"/>
      <c r="G402" s="15"/>
      <c r="H402" s="15"/>
    </row>
    <row r="403" spans="2:8" x14ac:dyDescent="0.2">
      <c r="B403" s="21" t="s">
        <v>24</v>
      </c>
      <c r="C403" s="23"/>
      <c r="D403" s="23"/>
      <c r="E403" s="22"/>
      <c r="G403" s="15"/>
      <c r="H403" s="15"/>
    </row>
    <row r="404" spans="2:8" ht="26.25" customHeight="1" x14ac:dyDescent="0.2">
      <c r="B404" s="24"/>
      <c r="C404" s="99"/>
      <c r="D404" s="99"/>
      <c r="E404" s="99"/>
      <c r="G404" s="15"/>
      <c r="H404" s="15"/>
    </row>
    <row r="405" spans="2:8" x14ac:dyDescent="0.2">
      <c r="B405" s="21" t="s">
        <v>23</v>
      </c>
      <c r="C405" s="26"/>
      <c r="D405" s="26"/>
      <c r="E405" s="25"/>
      <c r="G405" s="15"/>
      <c r="H405" s="15"/>
    </row>
    <row r="406" spans="2:8" ht="26.25" customHeight="1" x14ac:dyDescent="0.2">
      <c r="B406" s="24"/>
      <c r="C406" s="100" t="s">
        <v>22</v>
      </c>
      <c r="D406" s="100"/>
      <c r="E406" s="100"/>
      <c r="G406" s="15"/>
      <c r="H406" s="15"/>
    </row>
    <row r="407" spans="2:8" x14ac:dyDescent="0.2">
      <c r="B407" s="21" t="s">
        <v>21</v>
      </c>
      <c r="C407" s="23"/>
      <c r="D407" s="23"/>
      <c r="E407" s="22"/>
      <c r="G407" s="15"/>
      <c r="H407" s="15"/>
    </row>
    <row r="408" spans="2:8" ht="23.25" customHeight="1" x14ac:dyDescent="0.2">
      <c r="B408" s="21"/>
      <c r="C408" s="101"/>
      <c r="D408" s="101"/>
      <c r="E408" s="101"/>
      <c r="G408" s="15"/>
      <c r="H408" s="15"/>
    </row>
    <row r="409" spans="2:8" ht="13.5" thickBot="1" x14ac:dyDescent="0.25">
      <c r="B409" s="20"/>
      <c r="C409" s="19"/>
      <c r="D409" s="19"/>
      <c r="E409" s="18"/>
      <c r="G409" s="15"/>
      <c r="H409" s="15"/>
    </row>
    <row r="410" spans="2:8" ht="13.5" thickBot="1" x14ac:dyDescent="0.25">
      <c r="G410" s="15"/>
      <c r="H410" s="15"/>
    </row>
    <row r="411" spans="2:8" x14ac:dyDescent="0.2">
      <c r="B411" s="30" t="s">
        <v>217</v>
      </c>
      <c r="C411" s="29"/>
      <c r="D411" s="29"/>
      <c r="E411" s="28"/>
      <c r="G411" s="15"/>
      <c r="H411" s="15"/>
    </row>
    <row r="412" spans="2:8" ht="7.5" customHeight="1" x14ac:dyDescent="0.2">
      <c r="B412" s="27"/>
      <c r="C412" s="23"/>
      <c r="D412" s="23"/>
      <c r="E412" s="22"/>
      <c r="G412" s="15"/>
      <c r="H412" s="15"/>
    </row>
    <row r="413" spans="2:8" x14ac:dyDescent="0.2">
      <c r="B413" s="21" t="s">
        <v>28</v>
      </c>
      <c r="C413" s="23"/>
      <c r="D413" s="23"/>
      <c r="E413" s="22"/>
      <c r="G413" s="15"/>
      <c r="H413" s="15"/>
    </row>
    <row r="414" spans="2:8" ht="41.25" customHeight="1" x14ac:dyDescent="0.2">
      <c r="B414" s="21"/>
      <c r="C414" s="99" t="s">
        <v>216</v>
      </c>
      <c r="D414" s="99"/>
      <c r="E414" s="99"/>
      <c r="G414" s="15"/>
      <c r="H414" s="15"/>
    </row>
    <row r="415" spans="2:8" x14ac:dyDescent="0.2">
      <c r="B415" s="21" t="s">
        <v>26</v>
      </c>
      <c r="C415" s="23"/>
      <c r="D415" s="23"/>
      <c r="E415" s="22"/>
      <c r="G415" s="15"/>
      <c r="H415" s="15"/>
    </row>
    <row r="416" spans="2:8" x14ac:dyDescent="0.2">
      <c r="B416" s="24"/>
      <c r="C416" s="102" t="s">
        <v>25</v>
      </c>
      <c r="D416" s="102"/>
      <c r="E416" s="102"/>
      <c r="G416" s="15"/>
      <c r="H416" s="15"/>
    </row>
    <row r="417" spans="2:8" x14ac:dyDescent="0.2">
      <c r="B417" s="24"/>
      <c r="C417" s="98"/>
      <c r="D417" s="98"/>
      <c r="E417" s="98"/>
      <c r="G417" s="15"/>
      <c r="H417" s="15"/>
    </row>
    <row r="418" spans="2:8" x14ac:dyDescent="0.2">
      <c r="B418" s="21" t="s">
        <v>24</v>
      </c>
      <c r="C418" s="23"/>
      <c r="D418" s="23"/>
      <c r="E418" s="22"/>
      <c r="G418" s="15"/>
      <c r="H418" s="15"/>
    </row>
    <row r="419" spans="2:8" ht="26.25" customHeight="1" x14ac:dyDescent="0.2">
      <c r="B419" s="24"/>
      <c r="C419" s="99"/>
      <c r="D419" s="99"/>
      <c r="E419" s="99"/>
      <c r="G419" s="15"/>
      <c r="H419" s="15"/>
    </row>
    <row r="420" spans="2:8" x14ac:dyDescent="0.2">
      <c r="B420" s="21" t="s">
        <v>23</v>
      </c>
      <c r="C420" s="26"/>
      <c r="D420" s="26"/>
      <c r="E420" s="25"/>
      <c r="G420" s="15"/>
      <c r="H420" s="15"/>
    </row>
    <row r="421" spans="2:8" ht="26.25" customHeight="1" x14ac:dyDescent="0.2">
      <c r="B421" s="24"/>
      <c r="C421" s="100" t="s">
        <v>22</v>
      </c>
      <c r="D421" s="100"/>
      <c r="E421" s="100"/>
      <c r="G421" s="15"/>
      <c r="H421" s="15"/>
    </row>
    <row r="422" spans="2:8" x14ac:dyDescent="0.2">
      <c r="B422" s="21" t="s">
        <v>21</v>
      </c>
      <c r="C422" s="23"/>
      <c r="D422" s="23"/>
      <c r="E422" s="22"/>
      <c r="G422" s="15"/>
      <c r="H422" s="15"/>
    </row>
    <row r="423" spans="2:8" ht="23.25" customHeight="1" x14ac:dyDescent="0.2">
      <c r="B423" s="21"/>
      <c r="C423" s="101"/>
      <c r="D423" s="101"/>
      <c r="E423" s="101"/>
      <c r="G423" s="15"/>
      <c r="H423" s="15"/>
    </row>
    <row r="424" spans="2:8" ht="13.5" thickBot="1" x14ac:dyDescent="0.25">
      <c r="B424" s="20"/>
      <c r="C424" s="19"/>
      <c r="D424" s="19"/>
      <c r="E424" s="18"/>
      <c r="G424" s="15"/>
      <c r="H424" s="15"/>
    </row>
    <row r="425" spans="2:8" ht="13.5" thickBot="1" x14ac:dyDescent="0.25">
      <c r="G425" s="15"/>
      <c r="H425" s="15"/>
    </row>
    <row r="426" spans="2:8" x14ac:dyDescent="0.2">
      <c r="B426" s="30" t="s">
        <v>215</v>
      </c>
      <c r="C426" s="29"/>
      <c r="D426" s="29"/>
      <c r="E426" s="28"/>
      <c r="G426" s="15"/>
      <c r="H426" s="15"/>
    </row>
    <row r="427" spans="2:8" ht="5.25" customHeight="1" x14ac:dyDescent="0.2">
      <c r="B427" s="27"/>
      <c r="C427" s="23"/>
      <c r="D427" s="23"/>
      <c r="E427" s="22"/>
      <c r="G427" s="15"/>
      <c r="H427" s="15"/>
    </row>
    <row r="428" spans="2:8" x14ac:dyDescent="0.2">
      <c r="B428" s="21" t="s">
        <v>28</v>
      </c>
      <c r="C428" s="23"/>
      <c r="D428" s="23"/>
      <c r="E428" s="22"/>
      <c r="G428" s="15"/>
      <c r="H428" s="15"/>
    </row>
    <row r="429" spans="2:8" ht="41.25" customHeight="1" x14ac:dyDescent="0.2">
      <c r="B429" s="21"/>
      <c r="C429" s="99" t="s">
        <v>214</v>
      </c>
      <c r="D429" s="99"/>
      <c r="E429" s="99"/>
      <c r="G429" s="15"/>
      <c r="H429" s="15"/>
    </row>
    <row r="430" spans="2:8" x14ac:dyDescent="0.2">
      <c r="B430" s="21" t="s">
        <v>26</v>
      </c>
      <c r="C430" s="23"/>
      <c r="D430" s="23"/>
      <c r="E430" s="22"/>
      <c r="G430" s="15"/>
      <c r="H430" s="15"/>
    </row>
    <row r="431" spans="2:8" x14ac:dyDescent="0.2">
      <c r="B431" s="24"/>
      <c r="C431" s="102" t="s">
        <v>25</v>
      </c>
      <c r="D431" s="102"/>
      <c r="E431" s="102"/>
      <c r="G431" s="15"/>
      <c r="H431" s="15"/>
    </row>
    <row r="432" spans="2:8" x14ac:dyDescent="0.2">
      <c r="B432" s="24"/>
      <c r="C432" s="98"/>
      <c r="D432" s="98"/>
      <c r="E432" s="98"/>
      <c r="G432" s="15"/>
      <c r="H432" s="15"/>
    </row>
    <row r="433" spans="2:8" x14ac:dyDescent="0.2">
      <c r="B433" s="21" t="s">
        <v>24</v>
      </c>
      <c r="C433" s="23"/>
      <c r="D433" s="23"/>
      <c r="E433" s="22"/>
      <c r="G433" s="15"/>
      <c r="H433" s="15"/>
    </row>
    <row r="434" spans="2:8" ht="26.25" customHeight="1" x14ac:dyDescent="0.2">
      <c r="B434" s="24"/>
      <c r="C434" s="99"/>
      <c r="D434" s="99"/>
      <c r="E434" s="99"/>
      <c r="G434" s="15"/>
      <c r="H434" s="15"/>
    </row>
    <row r="435" spans="2:8" x14ac:dyDescent="0.2">
      <c r="B435" s="21" t="s">
        <v>23</v>
      </c>
      <c r="C435" s="26"/>
      <c r="D435" s="26"/>
      <c r="E435" s="25"/>
      <c r="G435" s="15"/>
      <c r="H435" s="15"/>
    </row>
    <row r="436" spans="2:8" ht="26.25" customHeight="1" x14ac:dyDescent="0.2">
      <c r="B436" s="24"/>
      <c r="C436" s="100" t="s">
        <v>22</v>
      </c>
      <c r="D436" s="100"/>
      <c r="E436" s="100"/>
      <c r="G436" s="15"/>
      <c r="H436" s="15"/>
    </row>
    <row r="437" spans="2:8" x14ac:dyDescent="0.2">
      <c r="B437" s="21" t="s">
        <v>21</v>
      </c>
      <c r="C437" s="23"/>
      <c r="D437" s="23"/>
      <c r="E437" s="22"/>
      <c r="G437" s="15"/>
      <c r="H437" s="15"/>
    </row>
    <row r="438" spans="2:8" ht="23.25" customHeight="1" x14ac:dyDescent="0.2">
      <c r="B438" s="21"/>
      <c r="C438" s="101"/>
      <c r="D438" s="101"/>
      <c r="E438" s="101"/>
      <c r="G438" s="15"/>
      <c r="H438" s="15"/>
    </row>
    <row r="439" spans="2:8" ht="13.5" thickBot="1" x14ac:dyDescent="0.25">
      <c r="B439" s="20"/>
      <c r="C439" s="19"/>
      <c r="D439" s="19"/>
      <c r="E439" s="18"/>
      <c r="G439" s="15"/>
      <c r="H439" s="15"/>
    </row>
    <row r="440" spans="2:8" ht="13.5" thickBot="1" x14ac:dyDescent="0.25">
      <c r="G440" s="15"/>
      <c r="H440" s="15"/>
    </row>
    <row r="441" spans="2:8" x14ac:dyDescent="0.2">
      <c r="B441" s="30" t="s">
        <v>213</v>
      </c>
      <c r="C441" s="29"/>
      <c r="D441" s="29"/>
      <c r="E441" s="28"/>
      <c r="G441" s="15"/>
      <c r="H441" s="15"/>
    </row>
    <row r="442" spans="2:8" ht="7.5" customHeight="1" x14ac:dyDescent="0.2">
      <c r="B442" s="27"/>
      <c r="C442" s="23"/>
      <c r="D442" s="23"/>
      <c r="E442" s="22"/>
      <c r="G442" s="15"/>
      <c r="H442" s="15"/>
    </row>
    <row r="443" spans="2:8" x14ac:dyDescent="0.2">
      <c r="B443" s="21" t="s">
        <v>28</v>
      </c>
      <c r="C443" s="23"/>
      <c r="D443" s="23"/>
      <c r="E443" s="22"/>
      <c r="G443" s="15"/>
      <c r="H443" s="15"/>
    </row>
    <row r="444" spans="2:8" ht="41.25" customHeight="1" x14ac:dyDescent="0.2">
      <c r="B444" s="21"/>
      <c r="C444" s="99" t="s">
        <v>212</v>
      </c>
      <c r="D444" s="99"/>
      <c r="E444" s="99"/>
      <c r="G444" s="15"/>
      <c r="H444" s="15"/>
    </row>
    <row r="445" spans="2:8" x14ac:dyDescent="0.2">
      <c r="B445" s="21" t="s">
        <v>26</v>
      </c>
      <c r="C445" s="23"/>
      <c r="D445" s="23"/>
      <c r="E445" s="22"/>
      <c r="G445" s="15"/>
      <c r="H445" s="15"/>
    </row>
    <row r="446" spans="2:8" x14ac:dyDescent="0.2">
      <c r="B446" s="24"/>
      <c r="C446" s="102" t="s">
        <v>25</v>
      </c>
      <c r="D446" s="102"/>
      <c r="E446" s="102"/>
      <c r="G446" s="15"/>
      <c r="H446" s="15"/>
    </row>
    <row r="447" spans="2:8" x14ac:dyDescent="0.2">
      <c r="B447" s="24"/>
      <c r="C447" s="98"/>
      <c r="D447" s="98"/>
      <c r="E447" s="98"/>
      <c r="G447" s="15"/>
      <c r="H447" s="15"/>
    </row>
    <row r="448" spans="2:8" x14ac:dyDescent="0.2">
      <c r="B448" s="21" t="s">
        <v>24</v>
      </c>
      <c r="C448" s="23"/>
      <c r="D448" s="23"/>
      <c r="E448" s="22"/>
      <c r="G448" s="15"/>
      <c r="H448" s="15"/>
    </row>
    <row r="449" spans="2:8" ht="26.25" customHeight="1" x14ac:dyDescent="0.2">
      <c r="B449" s="24"/>
      <c r="C449" s="99"/>
      <c r="D449" s="99"/>
      <c r="E449" s="99"/>
      <c r="G449" s="15"/>
      <c r="H449" s="15"/>
    </row>
    <row r="450" spans="2:8" x14ac:dyDescent="0.2">
      <c r="B450" s="21" t="s">
        <v>23</v>
      </c>
      <c r="C450" s="26"/>
      <c r="D450" s="26"/>
      <c r="E450" s="25"/>
      <c r="G450" s="15"/>
      <c r="H450" s="15"/>
    </row>
    <row r="451" spans="2:8" ht="26.25" customHeight="1" x14ac:dyDescent="0.2">
      <c r="B451" s="24"/>
      <c r="C451" s="100" t="s">
        <v>22</v>
      </c>
      <c r="D451" s="100"/>
      <c r="E451" s="100"/>
      <c r="G451" s="15"/>
      <c r="H451" s="15"/>
    </row>
    <row r="452" spans="2:8" x14ac:dyDescent="0.2">
      <c r="B452" s="21" t="s">
        <v>21</v>
      </c>
      <c r="C452" s="23"/>
      <c r="D452" s="23"/>
      <c r="E452" s="22"/>
      <c r="G452" s="15"/>
      <c r="H452" s="15"/>
    </row>
    <row r="453" spans="2:8" ht="23.25" customHeight="1" x14ac:dyDescent="0.2">
      <c r="B453" s="21"/>
      <c r="C453" s="101"/>
      <c r="D453" s="101"/>
      <c r="E453" s="101"/>
      <c r="G453" s="15"/>
      <c r="H453" s="15"/>
    </row>
    <row r="454" spans="2:8" ht="13.5" thickBot="1" x14ac:dyDescent="0.25">
      <c r="B454" s="20"/>
      <c r="C454" s="19"/>
      <c r="D454" s="19"/>
      <c r="E454" s="18"/>
      <c r="G454" s="15"/>
      <c r="H454" s="15"/>
    </row>
    <row r="455" spans="2:8" ht="13.5" thickBot="1" x14ac:dyDescent="0.25">
      <c r="G455" s="15"/>
      <c r="H455" s="15"/>
    </row>
    <row r="456" spans="2:8" x14ac:dyDescent="0.2">
      <c r="B456" s="30" t="s">
        <v>211</v>
      </c>
      <c r="C456" s="29"/>
      <c r="D456" s="29"/>
      <c r="E456" s="28"/>
      <c r="G456" s="15"/>
      <c r="H456" s="15"/>
    </row>
    <row r="457" spans="2:8" ht="5.25" customHeight="1" x14ac:dyDescent="0.2">
      <c r="B457" s="27"/>
      <c r="C457" s="23"/>
      <c r="D457" s="23"/>
      <c r="E457" s="22"/>
      <c r="G457" s="15"/>
      <c r="H457" s="15"/>
    </row>
    <row r="458" spans="2:8" x14ac:dyDescent="0.2">
      <c r="B458" s="21" t="s">
        <v>28</v>
      </c>
      <c r="C458" s="23"/>
      <c r="D458" s="23"/>
      <c r="E458" s="22"/>
      <c r="G458" s="15"/>
      <c r="H458" s="15"/>
    </row>
    <row r="459" spans="2:8" ht="41.25" customHeight="1" x14ac:dyDescent="0.2">
      <c r="B459" s="21"/>
      <c r="C459" s="99" t="s">
        <v>210</v>
      </c>
      <c r="D459" s="99"/>
      <c r="E459" s="99"/>
      <c r="G459" s="15"/>
      <c r="H459" s="15"/>
    </row>
    <row r="460" spans="2:8" x14ac:dyDescent="0.2">
      <c r="B460" s="21" t="s">
        <v>26</v>
      </c>
      <c r="C460" s="23"/>
      <c r="D460" s="23"/>
      <c r="E460" s="22"/>
      <c r="G460" s="15"/>
      <c r="H460" s="15"/>
    </row>
    <row r="461" spans="2:8" x14ac:dyDescent="0.2">
      <c r="B461" s="24"/>
      <c r="C461" s="102" t="s">
        <v>25</v>
      </c>
      <c r="D461" s="102"/>
      <c r="E461" s="102"/>
      <c r="G461" s="15"/>
      <c r="H461" s="15"/>
    </row>
    <row r="462" spans="2:8" x14ac:dyDescent="0.2">
      <c r="B462" s="24"/>
      <c r="C462" s="98"/>
      <c r="D462" s="98"/>
      <c r="E462" s="98"/>
      <c r="G462" s="15"/>
      <c r="H462" s="15"/>
    </row>
    <row r="463" spans="2:8" x14ac:dyDescent="0.2">
      <c r="B463" s="21" t="s">
        <v>24</v>
      </c>
      <c r="C463" s="23"/>
      <c r="D463" s="23"/>
      <c r="E463" s="22"/>
      <c r="G463" s="15"/>
      <c r="H463" s="15"/>
    </row>
    <row r="464" spans="2:8" ht="26.25" customHeight="1" x14ac:dyDescent="0.2">
      <c r="B464" s="24"/>
      <c r="C464" s="99"/>
      <c r="D464" s="99"/>
      <c r="E464" s="99"/>
      <c r="G464" s="15"/>
      <c r="H464" s="15"/>
    </row>
    <row r="465" spans="2:8" x14ac:dyDescent="0.2">
      <c r="B465" s="21" t="s">
        <v>23</v>
      </c>
      <c r="C465" s="26"/>
      <c r="D465" s="26"/>
      <c r="E465" s="25"/>
      <c r="G465" s="15"/>
      <c r="H465" s="15"/>
    </row>
    <row r="466" spans="2:8" ht="26.25" customHeight="1" x14ac:dyDescent="0.2">
      <c r="B466" s="24"/>
      <c r="C466" s="100" t="s">
        <v>22</v>
      </c>
      <c r="D466" s="100"/>
      <c r="E466" s="100"/>
      <c r="G466" s="15"/>
      <c r="H466" s="15"/>
    </row>
    <row r="467" spans="2:8" x14ac:dyDescent="0.2">
      <c r="B467" s="21" t="s">
        <v>21</v>
      </c>
      <c r="C467" s="23"/>
      <c r="D467" s="23"/>
      <c r="E467" s="22"/>
      <c r="G467" s="15"/>
      <c r="H467" s="15"/>
    </row>
    <row r="468" spans="2:8" ht="23.25" customHeight="1" x14ac:dyDescent="0.2">
      <c r="B468" s="21"/>
      <c r="C468" s="101"/>
      <c r="D468" s="101"/>
      <c r="E468" s="101"/>
      <c r="G468" s="15"/>
      <c r="H468" s="15"/>
    </row>
    <row r="469" spans="2:8" ht="13.5" thickBot="1" x14ac:dyDescent="0.25">
      <c r="B469" s="20"/>
      <c r="C469" s="19"/>
      <c r="D469" s="19"/>
      <c r="E469" s="18"/>
      <c r="G469" s="15"/>
      <c r="H469" s="15"/>
    </row>
    <row r="470" spans="2:8" ht="13.5" thickBot="1" x14ac:dyDescent="0.25">
      <c r="G470" s="15"/>
      <c r="H470" s="15"/>
    </row>
    <row r="471" spans="2:8" x14ac:dyDescent="0.2">
      <c r="B471" s="30" t="s">
        <v>209</v>
      </c>
      <c r="C471" s="29"/>
      <c r="D471" s="29"/>
      <c r="E471" s="28"/>
      <c r="G471" s="15"/>
      <c r="H471" s="15"/>
    </row>
    <row r="472" spans="2:8" ht="7.5" customHeight="1" x14ac:dyDescent="0.2">
      <c r="B472" s="27"/>
      <c r="C472" s="23"/>
      <c r="D472" s="23"/>
      <c r="E472" s="22"/>
      <c r="G472" s="15"/>
      <c r="H472" s="15"/>
    </row>
    <row r="473" spans="2:8" x14ac:dyDescent="0.2">
      <c r="B473" s="21" t="s">
        <v>28</v>
      </c>
      <c r="C473" s="23"/>
      <c r="D473" s="23"/>
      <c r="E473" s="22"/>
      <c r="G473" s="15"/>
      <c r="H473" s="15"/>
    </row>
    <row r="474" spans="2:8" ht="41.25" customHeight="1" x14ac:dyDescent="0.2">
      <c r="B474" s="21"/>
      <c r="C474" s="99" t="s">
        <v>208</v>
      </c>
      <c r="D474" s="99"/>
      <c r="E474" s="99"/>
      <c r="G474" s="15"/>
      <c r="H474" s="15"/>
    </row>
    <row r="475" spans="2:8" x14ac:dyDescent="0.2">
      <c r="B475" s="21" t="s">
        <v>26</v>
      </c>
      <c r="C475" s="23"/>
      <c r="D475" s="23"/>
      <c r="E475" s="22"/>
      <c r="G475" s="15"/>
      <c r="H475" s="15"/>
    </row>
    <row r="476" spans="2:8" x14ac:dyDescent="0.2">
      <c r="B476" s="24"/>
      <c r="C476" s="102" t="s">
        <v>25</v>
      </c>
      <c r="D476" s="102"/>
      <c r="E476" s="102"/>
      <c r="G476" s="15"/>
      <c r="H476" s="15"/>
    </row>
    <row r="477" spans="2:8" x14ac:dyDescent="0.2">
      <c r="B477" s="24"/>
      <c r="C477" s="98"/>
      <c r="D477" s="98"/>
      <c r="E477" s="98"/>
      <c r="G477" s="15"/>
      <c r="H477" s="15"/>
    </row>
    <row r="478" spans="2:8" x14ac:dyDescent="0.2">
      <c r="B478" s="21" t="s">
        <v>24</v>
      </c>
      <c r="C478" s="23"/>
      <c r="D478" s="23"/>
      <c r="E478" s="22"/>
      <c r="G478" s="15"/>
      <c r="H478" s="15"/>
    </row>
    <row r="479" spans="2:8" ht="26.25" customHeight="1" x14ac:dyDescent="0.2">
      <c r="B479" s="24"/>
      <c r="C479" s="99"/>
      <c r="D479" s="99"/>
      <c r="E479" s="99"/>
      <c r="G479" s="15"/>
      <c r="H479" s="15"/>
    </row>
    <row r="480" spans="2:8" x14ac:dyDescent="0.2">
      <c r="B480" s="21" t="s">
        <v>23</v>
      </c>
      <c r="C480" s="26"/>
      <c r="D480" s="26"/>
      <c r="E480" s="25"/>
      <c r="G480" s="15"/>
      <c r="H480" s="15"/>
    </row>
    <row r="481" spans="2:8" ht="26.25" customHeight="1" x14ac:dyDescent="0.2">
      <c r="B481" s="24"/>
      <c r="C481" s="100" t="s">
        <v>22</v>
      </c>
      <c r="D481" s="100"/>
      <c r="E481" s="100"/>
      <c r="G481" s="15"/>
      <c r="H481" s="15"/>
    </row>
    <row r="482" spans="2:8" x14ac:dyDescent="0.2">
      <c r="B482" s="21" t="s">
        <v>21</v>
      </c>
      <c r="C482" s="23"/>
      <c r="D482" s="23"/>
      <c r="E482" s="22"/>
      <c r="G482" s="15"/>
      <c r="H482" s="15"/>
    </row>
    <row r="483" spans="2:8" ht="23.25" customHeight="1" x14ac:dyDescent="0.2">
      <c r="B483" s="21"/>
      <c r="C483" s="101"/>
      <c r="D483" s="101"/>
      <c r="E483" s="101"/>
      <c r="G483" s="15"/>
      <c r="H483" s="15"/>
    </row>
    <row r="484" spans="2:8" ht="13.5" thickBot="1" x14ac:dyDescent="0.25">
      <c r="B484" s="20"/>
      <c r="C484" s="19"/>
      <c r="D484" s="19"/>
      <c r="E484" s="18"/>
      <c r="G484" s="15"/>
      <c r="H484" s="15"/>
    </row>
    <row r="485" spans="2:8" ht="13.5" thickBot="1" x14ac:dyDescent="0.25">
      <c r="G485" s="15"/>
      <c r="H485" s="15"/>
    </row>
    <row r="486" spans="2:8" x14ac:dyDescent="0.2">
      <c r="B486" s="30" t="s">
        <v>207</v>
      </c>
      <c r="C486" s="29"/>
      <c r="D486" s="29"/>
      <c r="E486" s="28"/>
      <c r="G486" s="15"/>
      <c r="H486" s="15"/>
    </row>
    <row r="487" spans="2:8" ht="5.25" customHeight="1" x14ac:dyDescent="0.2">
      <c r="B487" s="27"/>
      <c r="C487" s="23"/>
      <c r="D487" s="23"/>
      <c r="E487" s="22"/>
      <c r="G487" s="15"/>
      <c r="H487" s="15"/>
    </row>
    <row r="488" spans="2:8" x14ac:dyDescent="0.2">
      <c r="B488" s="21" t="s">
        <v>28</v>
      </c>
      <c r="C488" s="23"/>
      <c r="D488" s="23"/>
      <c r="E488" s="22"/>
      <c r="G488" s="15"/>
      <c r="H488" s="15"/>
    </row>
    <row r="489" spans="2:8" ht="41.25" customHeight="1" x14ac:dyDescent="0.2">
      <c r="B489" s="21"/>
      <c r="C489" s="99" t="s">
        <v>206</v>
      </c>
      <c r="D489" s="99"/>
      <c r="E489" s="99"/>
      <c r="G489" s="15"/>
      <c r="H489" s="15"/>
    </row>
    <row r="490" spans="2:8" x14ac:dyDescent="0.2">
      <c r="B490" s="21" t="s">
        <v>26</v>
      </c>
      <c r="C490" s="23"/>
      <c r="D490" s="23"/>
      <c r="E490" s="22"/>
      <c r="G490" s="15"/>
      <c r="H490" s="15"/>
    </row>
    <row r="491" spans="2:8" x14ac:dyDescent="0.2">
      <c r="B491" s="24"/>
      <c r="C491" s="102" t="s">
        <v>25</v>
      </c>
      <c r="D491" s="102"/>
      <c r="E491" s="102"/>
      <c r="G491" s="15"/>
      <c r="H491" s="15"/>
    </row>
    <row r="492" spans="2:8" x14ac:dyDescent="0.2">
      <c r="B492" s="24"/>
      <c r="C492" s="98"/>
      <c r="D492" s="98"/>
      <c r="E492" s="98"/>
      <c r="G492" s="15"/>
      <c r="H492" s="15"/>
    </row>
    <row r="493" spans="2:8" x14ac:dyDescent="0.2">
      <c r="B493" s="21" t="s">
        <v>24</v>
      </c>
      <c r="C493" s="23"/>
      <c r="D493" s="23"/>
      <c r="E493" s="22"/>
      <c r="G493" s="15"/>
      <c r="H493" s="15"/>
    </row>
    <row r="494" spans="2:8" ht="26.25" customHeight="1" x14ac:dyDescent="0.2">
      <c r="B494" s="24"/>
      <c r="C494" s="99"/>
      <c r="D494" s="99"/>
      <c r="E494" s="99"/>
      <c r="G494" s="15"/>
      <c r="H494" s="15"/>
    </row>
    <row r="495" spans="2:8" x14ac:dyDescent="0.2">
      <c r="B495" s="21" t="s">
        <v>23</v>
      </c>
      <c r="C495" s="26"/>
      <c r="D495" s="26"/>
      <c r="E495" s="25"/>
      <c r="G495" s="15"/>
      <c r="H495" s="15"/>
    </row>
    <row r="496" spans="2:8" ht="26.25" customHeight="1" x14ac:dyDescent="0.2">
      <c r="B496" s="24"/>
      <c r="C496" s="100" t="s">
        <v>22</v>
      </c>
      <c r="D496" s="100"/>
      <c r="E496" s="100"/>
      <c r="G496" s="15"/>
      <c r="H496" s="15"/>
    </row>
    <row r="497" spans="2:8" x14ac:dyDescent="0.2">
      <c r="B497" s="21" t="s">
        <v>21</v>
      </c>
      <c r="C497" s="23"/>
      <c r="D497" s="23"/>
      <c r="E497" s="22"/>
      <c r="G497" s="15"/>
      <c r="H497" s="15"/>
    </row>
    <row r="498" spans="2:8" ht="23.25" customHeight="1" x14ac:dyDescent="0.2">
      <c r="B498" s="21"/>
      <c r="C498" s="101"/>
      <c r="D498" s="101"/>
      <c r="E498" s="101"/>
      <c r="G498" s="15"/>
      <c r="H498" s="15"/>
    </row>
    <row r="499" spans="2:8" ht="13.5" thickBot="1" x14ac:dyDescent="0.25">
      <c r="B499" s="20"/>
      <c r="C499" s="19"/>
      <c r="D499" s="19"/>
      <c r="E499" s="18"/>
      <c r="G499" s="15"/>
      <c r="H499" s="15"/>
    </row>
    <row r="500" spans="2:8" ht="13.5" thickBot="1" x14ac:dyDescent="0.25">
      <c r="G500" s="15"/>
      <c r="H500" s="15"/>
    </row>
    <row r="501" spans="2:8" x14ac:dyDescent="0.2">
      <c r="B501" s="30" t="s">
        <v>205</v>
      </c>
      <c r="C501" s="29"/>
      <c r="D501" s="29"/>
      <c r="E501" s="28"/>
      <c r="G501" s="15"/>
      <c r="H501" s="15"/>
    </row>
    <row r="502" spans="2:8" ht="7.5" customHeight="1" x14ac:dyDescent="0.2">
      <c r="B502" s="27"/>
      <c r="C502" s="23"/>
      <c r="D502" s="23"/>
      <c r="E502" s="22"/>
      <c r="G502" s="15"/>
      <c r="H502" s="15"/>
    </row>
    <row r="503" spans="2:8" x14ac:dyDescent="0.2">
      <c r="B503" s="21" t="s">
        <v>28</v>
      </c>
      <c r="C503" s="23"/>
      <c r="D503" s="23"/>
      <c r="E503" s="22"/>
      <c r="G503" s="15"/>
      <c r="H503" s="15"/>
    </row>
    <row r="504" spans="2:8" ht="41.25" customHeight="1" x14ac:dyDescent="0.2">
      <c r="B504" s="21"/>
      <c r="C504" s="99" t="s">
        <v>204</v>
      </c>
      <c r="D504" s="99"/>
      <c r="E504" s="99"/>
      <c r="G504" s="15"/>
      <c r="H504" s="15"/>
    </row>
    <row r="505" spans="2:8" x14ac:dyDescent="0.2">
      <c r="B505" s="21" t="s">
        <v>26</v>
      </c>
      <c r="C505" s="23"/>
      <c r="D505" s="23"/>
      <c r="E505" s="22"/>
      <c r="G505" s="15"/>
      <c r="H505" s="15"/>
    </row>
    <row r="506" spans="2:8" x14ac:dyDescent="0.2">
      <c r="B506" s="24"/>
      <c r="C506" s="102" t="s">
        <v>25</v>
      </c>
      <c r="D506" s="102"/>
      <c r="E506" s="102"/>
      <c r="G506" s="15"/>
      <c r="H506" s="15"/>
    </row>
    <row r="507" spans="2:8" x14ac:dyDescent="0.2">
      <c r="B507" s="24"/>
      <c r="C507" s="98"/>
      <c r="D507" s="98"/>
      <c r="E507" s="98"/>
      <c r="G507" s="15"/>
      <c r="H507" s="15"/>
    </row>
    <row r="508" spans="2:8" x14ac:dyDescent="0.2">
      <c r="B508" s="21" t="s">
        <v>24</v>
      </c>
      <c r="C508" s="23"/>
      <c r="D508" s="23"/>
      <c r="E508" s="22"/>
      <c r="G508" s="15"/>
      <c r="H508" s="15"/>
    </row>
    <row r="509" spans="2:8" ht="26.25" customHeight="1" x14ac:dyDescent="0.2">
      <c r="B509" s="24"/>
      <c r="C509" s="99"/>
      <c r="D509" s="99"/>
      <c r="E509" s="99"/>
      <c r="G509" s="15"/>
      <c r="H509" s="15"/>
    </row>
    <row r="510" spans="2:8" x14ac:dyDescent="0.2">
      <c r="B510" s="21" t="s">
        <v>23</v>
      </c>
      <c r="C510" s="26"/>
      <c r="D510" s="26"/>
      <c r="E510" s="25"/>
      <c r="G510" s="15"/>
      <c r="H510" s="15"/>
    </row>
    <row r="511" spans="2:8" ht="26.25" customHeight="1" x14ac:dyDescent="0.2">
      <c r="B511" s="24"/>
      <c r="C511" s="100" t="s">
        <v>22</v>
      </c>
      <c r="D511" s="100"/>
      <c r="E511" s="100"/>
      <c r="G511" s="15"/>
      <c r="H511" s="15"/>
    </row>
    <row r="512" spans="2:8" x14ac:dyDescent="0.2">
      <c r="B512" s="21" t="s">
        <v>21</v>
      </c>
      <c r="C512" s="23"/>
      <c r="D512" s="23"/>
      <c r="E512" s="22"/>
      <c r="G512" s="15"/>
      <c r="H512" s="15"/>
    </row>
    <row r="513" spans="2:8" ht="23.25" customHeight="1" x14ac:dyDescent="0.2">
      <c r="B513" s="21"/>
      <c r="C513" s="101"/>
      <c r="D513" s="101"/>
      <c r="E513" s="101"/>
      <c r="G513" s="15"/>
      <c r="H513" s="15"/>
    </row>
    <row r="514" spans="2:8" ht="13.5" thickBot="1" x14ac:dyDescent="0.25">
      <c r="B514" s="20"/>
      <c r="C514" s="19"/>
      <c r="D514" s="19"/>
      <c r="E514" s="18"/>
      <c r="G514" s="15"/>
      <c r="H514" s="15"/>
    </row>
    <row r="515" spans="2:8" ht="13.5" thickBot="1" x14ac:dyDescent="0.25">
      <c r="G515" s="15"/>
      <c r="H515" s="15"/>
    </row>
    <row r="516" spans="2:8" x14ac:dyDescent="0.2">
      <c r="B516" s="30" t="s">
        <v>203</v>
      </c>
      <c r="C516" s="29"/>
      <c r="D516" s="29"/>
      <c r="E516" s="28"/>
      <c r="G516" s="15"/>
      <c r="H516" s="15"/>
    </row>
    <row r="517" spans="2:8" ht="5.25" customHeight="1" x14ac:dyDescent="0.2">
      <c r="B517" s="27"/>
      <c r="C517" s="23"/>
      <c r="D517" s="23"/>
      <c r="E517" s="22"/>
      <c r="G517" s="15"/>
      <c r="H517" s="15"/>
    </row>
    <row r="518" spans="2:8" x14ac:dyDescent="0.2">
      <c r="B518" s="21" t="s">
        <v>28</v>
      </c>
      <c r="C518" s="23"/>
      <c r="D518" s="23"/>
      <c r="E518" s="22"/>
      <c r="G518" s="15"/>
      <c r="H518" s="15"/>
    </row>
    <row r="519" spans="2:8" ht="41.25" customHeight="1" x14ac:dyDescent="0.2">
      <c r="B519" s="21"/>
      <c r="C519" s="99" t="s">
        <v>202</v>
      </c>
      <c r="D519" s="99"/>
      <c r="E519" s="99"/>
      <c r="G519" s="15"/>
      <c r="H519" s="15"/>
    </row>
    <row r="520" spans="2:8" x14ac:dyDescent="0.2">
      <c r="B520" s="21" t="s">
        <v>26</v>
      </c>
      <c r="C520" s="23"/>
      <c r="D520" s="23"/>
      <c r="E520" s="22"/>
      <c r="G520" s="15"/>
      <c r="H520" s="15"/>
    </row>
    <row r="521" spans="2:8" x14ac:dyDescent="0.2">
      <c r="B521" s="24"/>
      <c r="C521" s="102" t="s">
        <v>25</v>
      </c>
      <c r="D521" s="102"/>
      <c r="E521" s="102"/>
      <c r="G521" s="15"/>
      <c r="H521" s="15"/>
    </row>
    <row r="522" spans="2:8" x14ac:dyDescent="0.2">
      <c r="B522" s="24"/>
      <c r="C522" s="98"/>
      <c r="D522" s="98"/>
      <c r="E522" s="98"/>
      <c r="G522" s="15"/>
      <c r="H522" s="15"/>
    </row>
    <row r="523" spans="2:8" x14ac:dyDescent="0.2">
      <c r="B523" s="21" t="s">
        <v>24</v>
      </c>
      <c r="C523" s="23"/>
      <c r="D523" s="23"/>
      <c r="E523" s="22"/>
      <c r="G523" s="15"/>
      <c r="H523" s="15"/>
    </row>
    <row r="524" spans="2:8" ht="26.25" customHeight="1" x14ac:dyDescent="0.2">
      <c r="B524" s="24"/>
      <c r="C524" s="99"/>
      <c r="D524" s="99"/>
      <c r="E524" s="99"/>
      <c r="G524" s="15"/>
      <c r="H524" s="15"/>
    </row>
    <row r="525" spans="2:8" x14ac:dyDescent="0.2">
      <c r="B525" s="21" t="s">
        <v>23</v>
      </c>
      <c r="C525" s="26"/>
      <c r="D525" s="26"/>
      <c r="E525" s="25"/>
      <c r="G525" s="15"/>
      <c r="H525" s="15"/>
    </row>
    <row r="526" spans="2:8" ht="26.25" customHeight="1" x14ac:dyDescent="0.2">
      <c r="B526" s="24"/>
      <c r="C526" s="100" t="s">
        <v>22</v>
      </c>
      <c r="D526" s="100"/>
      <c r="E526" s="100"/>
      <c r="G526" s="15"/>
      <c r="H526" s="15"/>
    </row>
    <row r="527" spans="2:8" x14ac:dyDescent="0.2">
      <c r="B527" s="21" t="s">
        <v>21</v>
      </c>
      <c r="C527" s="23"/>
      <c r="D527" s="23"/>
      <c r="E527" s="22"/>
      <c r="G527" s="15"/>
      <c r="H527" s="15"/>
    </row>
    <row r="528" spans="2:8" ht="23.25" customHeight="1" x14ac:dyDescent="0.2">
      <c r="B528" s="21"/>
      <c r="C528" s="101"/>
      <c r="D528" s="101"/>
      <c r="E528" s="101"/>
      <c r="G528" s="15"/>
      <c r="H528" s="15"/>
    </row>
    <row r="529" spans="2:8" ht="13.5" thickBot="1" x14ac:dyDescent="0.25">
      <c r="B529" s="20"/>
      <c r="C529" s="19"/>
      <c r="D529" s="19"/>
      <c r="E529" s="18"/>
      <c r="G529" s="15"/>
      <c r="H529" s="15"/>
    </row>
    <row r="530" spans="2:8" ht="13.5" thickBot="1" x14ac:dyDescent="0.25">
      <c r="G530" s="15"/>
      <c r="H530" s="15"/>
    </row>
    <row r="531" spans="2:8" x14ac:dyDescent="0.2">
      <c r="B531" s="30" t="s">
        <v>201</v>
      </c>
      <c r="C531" s="29"/>
      <c r="D531" s="29"/>
      <c r="E531" s="28"/>
      <c r="G531" s="15"/>
      <c r="H531" s="15"/>
    </row>
    <row r="532" spans="2:8" ht="7.5" customHeight="1" x14ac:dyDescent="0.2">
      <c r="B532" s="27"/>
      <c r="C532" s="23"/>
      <c r="D532" s="23"/>
      <c r="E532" s="22"/>
      <c r="G532" s="15"/>
      <c r="H532" s="15"/>
    </row>
    <row r="533" spans="2:8" x14ac:dyDescent="0.2">
      <c r="B533" s="21" t="s">
        <v>28</v>
      </c>
      <c r="C533" s="23"/>
      <c r="D533" s="23"/>
      <c r="E533" s="22"/>
      <c r="G533" s="15"/>
      <c r="H533" s="15"/>
    </row>
    <row r="534" spans="2:8" ht="41.25" customHeight="1" x14ac:dyDescent="0.2">
      <c r="B534" s="21"/>
      <c r="C534" s="99" t="s">
        <v>200</v>
      </c>
      <c r="D534" s="99"/>
      <c r="E534" s="99"/>
      <c r="G534" s="15"/>
      <c r="H534" s="15"/>
    </row>
    <row r="535" spans="2:8" x14ac:dyDescent="0.2">
      <c r="B535" s="21" t="s">
        <v>26</v>
      </c>
      <c r="C535" s="23"/>
      <c r="D535" s="23"/>
      <c r="E535" s="22"/>
      <c r="G535" s="15"/>
      <c r="H535" s="15"/>
    </row>
    <row r="536" spans="2:8" x14ac:dyDescent="0.2">
      <c r="B536" s="24"/>
      <c r="C536" s="102" t="s">
        <v>25</v>
      </c>
      <c r="D536" s="102"/>
      <c r="E536" s="102"/>
      <c r="G536" s="15"/>
      <c r="H536" s="15"/>
    </row>
    <row r="537" spans="2:8" x14ac:dyDescent="0.2">
      <c r="B537" s="24"/>
      <c r="C537" s="98"/>
      <c r="D537" s="98"/>
      <c r="E537" s="98"/>
      <c r="G537" s="15"/>
      <c r="H537" s="15"/>
    </row>
    <row r="538" spans="2:8" x14ac:dyDescent="0.2">
      <c r="B538" s="21" t="s">
        <v>24</v>
      </c>
      <c r="C538" s="23"/>
      <c r="D538" s="23"/>
      <c r="E538" s="22"/>
      <c r="G538" s="15"/>
      <c r="H538" s="15"/>
    </row>
    <row r="539" spans="2:8" ht="26.25" customHeight="1" x14ac:dyDescent="0.2">
      <c r="B539" s="24"/>
      <c r="C539" s="99"/>
      <c r="D539" s="99"/>
      <c r="E539" s="99"/>
      <c r="G539" s="15"/>
      <c r="H539" s="15"/>
    </row>
    <row r="540" spans="2:8" x14ac:dyDescent="0.2">
      <c r="B540" s="21" t="s">
        <v>23</v>
      </c>
      <c r="C540" s="26"/>
      <c r="D540" s="26"/>
      <c r="E540" s="25"/>
      <c r="G540" s="15"/>
      <c r="H540" s="15"/>
    </row>
    <row r="541" spans="2:8" ht="26.25" customHeight="1" x14ac:dyDescent="0.2">
      <c r="B541" s="24"/>
      <c r="C541" s="100" t="s">
        <v>22</v>
      </c>
      <c r="D541" s="100"/>
      <c r="E541" s="100"/>
      <c r="G541" s="15"/>
      <c r="H541" s="15"/>
    </row>
    <row r="542" spans="2:8" x14ac:dyDescent="0.2">
      <c r="B542" s="21" t="s">
        <v>21</v>
      </c>
      <c r="C542" s="23"/>
      <c r="D542" s="23"/>
      <c r="E542" s="22"/>
      <c r="G542" s="15"/>
      <c r="H542" s="15"/>
    </row>
    <row r="543" spans="2:8" ht="23.25" customHeight="1" x14ac:dyDescent="0.2">
      <c r="B543" s="21"/>
      <c r="C543" s="101"/>
      <c r="D543" s="101"/>
      <c r="E543" s="101"/>
      <c r="G543" s="15"/>
      <c r="H543" s="15"/>
    </row>
    <row r="544" spans="2:8" ht="13.5" thickBot="1" x14ac:dyDescent="0.25">
      <c r="B544" s="20"/>
      <c r="C544" s="19"/>
      <c r="D544" s="19"/>
      <c r="E544" s="18"/>
      <c r="G544" s="15"/>
      <c r="H544" s="15"/>
    </row>
    <row r="545" spans="2:8" ht="13.5" thickBot="1" x14ac:dyDescent="0.25">
      <c r="G545" s="15"/>
      <c r="H545" s="15"/>
    </row>
    <row r="546" spans="2:8" x14ac:dyDescent="0.2">
      <c r="B546" s="30" t="s">
        <v>199</v>
      </c>
      <c r="C546" s="29"/>
      <c r="D546" s="29"/>
      <c r="E546" s="28"/>
      <c r="G546" s="15"/>
      <c r="H546" s="15"/>
    </row>
    <row r="547" spans="2:8" ht="5.25" customHeight="1" x14ac:dyDescent="0.2">
      <c r="B547" s="27"/>
      <c r="C547" s="23"/>
      <c r="D547" s="23"/>
      <c r="E547" s="22"/>
      <c r="G547" s="15"/>
      <c r="H547" s="15"/>
    </row>
    <row r="548" spans="2:8" x14ac:dyDescent="0.2">
      <c r="B548" s="21" t="s">
        <v>28</v>
      </c>
      <c r="C548" s="23"/>
      <c r="D548" s="23"/>
      <c r="E548" s="22"/>
      <c r="G548" s="15"/>
      <c r="H548" s="15"/>
    </row>
    <row r="549" spans="2:8" ht="41.25" customHeight="1" x14ac:dyDescent="0.2">
      <c r="B549" s="21"/>
      <c r="C549" s="99" t="s">
        <v>198</v>
      </c>
      <c r="D549" s="99"/>
      <c r="E549" s="99"/>
      <c r="G549" s="15"/>
      <c r="H549" s="15"/>
    </row>
    <row r="550" spans="2:8" x14ac:dyDescent="0.2">
      <c r="B550" s="21" t="s">
        <v>26</v>
      </c>
      <c r="C550" s="23"/>
      <c r="D550" s="23"/>
      <c r="E550" s="22"/>
      <c r="G550" s="15"/>
      <c r="H550" s="15"/>
    </row>
    <row r="551" spans="2:8" x14ac:dyDescent="0.2">
      <c r="B551" s="24"/>
      <c r="C551" s="102" t="s">
        <v>25</v>
      </c>
      <c r="D551" s="102"/>
      <c r="E551" s="102"/>
      <c r="G551" s="15"/>
      <c r="H551" s="15"/>
    </row>
    <row r="552" spans="2:8" x14ac:dyDescent="0.2">
      <c r="B552" s="24"/>
      <c r="C552" s="98"/>
      <c r="D552" s="98"/>
      <c r="E552" s="98"/>
      <c r="G552" s="15"/>
      <c r="H552" s="15"/>
    </row>
    <row r="553" spans="2:8" x14ac:dyDescent="0.2">
      <c r="B553" s="21" t="s">
        <v>24</v>
      </c>
      <c r="C553" s="23"/>
      <c r="D553" s="23"/>
      <c r="E553" s="22"/>
      <c r="G553" s="15"/>
      <c r="H553" s="15"/>
    </row>
    <row r="554" spans="2:8" ht="26.25" customHeight="1" x14ac:dyDescent="0.2">
      <c r="B554" s="24"/>
      <c r="C554" s="99"/>
      <c r="D554" s="99"/>
      <c r="E554" s="99"/>
      <c r="G554" s="15"/>
      <c r="H554" s="15"/>
    </row>
    <row r="555" spans="2:8" x14ac:dyDescent="0.2">
      <c r="B555" s="21" t="s">
        <v>23</v>
      </c>
      <c r="C555" s="26"/>
      <c r="D555" s="26"/>
      <c r="E555" s="25"/>
      <c r="G555" s="15"/>
      <c r="H555" s="15"/>
    </row>
    <row r="556" spans="2:8" ht="26.25" customHeight="1" x14ac:dyDescent="0.2">
      <c r="B556" s="24"/>
      <c r="C556" s="100" t="s">
        <v>22</v>
      </c>
      <c r="D556" s="100"/>
      <c r="E556" s="100"/>
      <c r="G556" s="15"/>
      <c r="H556" s="15"/>
    </row>
    <row r="557" spans="2:8" x14ac:dyDescent="0.2">
      <c r="B557" s="21" t="s">
        <v>21</v>
      </c>
      <c r="C557" s="23"/>
      <c r="D557" s="23"/>
      <c r="E557" s="22"/>
      <c r="G557" s="15"/>
      <c r="H557" s="15"/>
    </row>
    <row r="558" spans="2:8" ht="23.25" customHeight="1" x14ac:dyDescent="0.2">
      <c r="B558" s="21"/>
      <c r="C558" s="101"/>
      <c r="D558" s="101"/>
      <c r="E558" s="101"/>
      <c r="G558" s="15"/>
      <c r="H558" s="15"/>
    </row>
    <row r="559" spans="2:8" ht="13.5" thickBot="1" x14ac:dyDescent="0.25">
      <c r="B559" s="20"/>
      <c r="C559" s="19"/>
      <c r="D559" s="19"/>
      <c r="E559" s="18"/>
      <c r="G559" s="15"/>
      <c r="H559" s="15"/>
    </row>
    <row r="560" spans="2:8" ht="13.5" thickBot="1" x14ac:dyDescent="0.25">
      <c r="G560" s="15"/>
      <c r="H560" s="15"/>
    </row>
    <row r="561" spans="2:8" x14ac:dyDescent="0.2">
      <c r="B561" s="30" t="s">
        <v>197</v>
      </c>
      <c r="C561" s="29"/>
      <c r="D561" s="29"/>
      <c r="E561" s="28"/>
      <c r="G561" s="15"/>
      <c r="H561" s="15"/>
    </row>
    <row r="562" spans="2:8" ht="7.5" customHeight="1" x14ac:dyDescent="0.2">
      <c r="B562" s="27"/>
      <c r="C562" s="23"/>
      <c r="D562" s="23"/>
      <c r="E562" s="22"/>
      <c r="G562" s="15"/>
      <c r="H562" s="15"/>
    </row>
    <row r="563" spans="2:8" x14ac:dyDescent="0.2">
      <c r="B563" s="21" t="s">
        <v>28</v>
      </c>
      <c r="C563" s="23"/>
      <c r="D563" s="23"/>
      <c r="E563" s="22"/>
      <c r="G563" s="15"/>
      <c r="H563" s="15"/>
    </row>
    <row r="564" spans="2:8" ht="41.25" customHeight="1" x14ac:dyDescent="0.2">
      <c r="B564" s="21"/>
      <c r="C564" s="99" t="s">
        <v>196</v>
      </c>
      <c r="D564" s="99"/>
      <c r="E564" s="99"/>
      <c r="G564" s="15"/>
      <c r="H564" s="15"/>
    </row>
    <row r="565" spans="2:8" x14ac:dyDescent="0.2">
      <c r="B565" s="21" t="s">
        <v>26</v>
      </c>
      <c r="C565" s="23"/>
      <c r="D565" s="23"/>
      <c r="E565" s="22"/>
      <c r="G565" s="15"/>
      <c r="H565" s="15"/>
    </row>
    <row r="566" spans="2:8" x14ac:dyDescent="0.2">
      <c r="B566" s="24"/>
      <c r="C566" s="102" t="s">
        <v>25</v>
      </c>
      <c r="D566" s="102"/>
      <c r="E566" s="102"/>
      <c r="G566" s="15"/>
      <c r="H566" s="15"/>
    </row>
    <row r="567" spans="2:8" x14ac:dyDescent="0.2">
      <c r="B567" s="24"/>
      <c r="C567" s="98"/>
      <c r="D567" s="98"/>
      <c r="E567" s="98"/>
      <c r="G567" s="15"/>
      <c r="H567" s="15"/>
    </row>
    <row r="568" spans="2:8" x14ac:dyDescent="0.2">
      <c r="B568" s="21" t="s">
        <v>24</v>
      </c>
      <c r="C568" s="23"/>
      <c r="D568" s="23"/>
      <c r="E568" s="22"/>
      <c r="G568" s="15"/>
      <c r="H568" s="15"/>
    </row>
    <row r="569" spans="2:8" ht="26.25" customHeight="1" x14ac:dyDescent="0.2">
      <c r="B569" s="24"/>
      <c r="C569" s="99"/>
      <c r="D569" s="99"/>
      <c r="E569" s="99"/>
      <c r="G569" s="15"/>
      <c r="H569" s="15"/>
    </row>
    <row r="570" spans="2:8" x14ac:dyDescent="0.2">
      <c r="B570" s="21" t="s">
        <v>23</v>
      </c>
      <c r="C570" s="26"/>
      <c r="D570" s="26"/>
      <c r="E570" s="25"/>
      <c r="G570" s="15"/>
      <c r="H570" s="15"/>
    </row>
    <row r="571" spans="2:8" ht="26.25" customHeight="1" x14ac:dyDescent="0.2">
      <c r="B571" s="24"/>
      <c r="C571" s="100" t="s">
        <v>22</v>
      </c>
      <c r="D571" s="100"/>
      <c r="E571" s="100"/>
      <c r="G571" s="15"/>
      <c r="H571" s="15"/>
    </row>
    <row r="572" spans="2:8" x14ac:dyDescent="0.2">
      <c r="B572" s="21" t="s">
        <v>21</v>
      </c>
      <c r="C572" s="23"/>
      <c r="D572" s="23"/>
      <c r="E572" s="22"/>
      <c r="G572" s="15"/>
      <c r="H572" s="15"/>
    </row>
    <row r="573" spans="2:8" ht="23.25" customHeight="1" x14ac:dyDescent="0.2">
      <c r="B573" s="21"/>
      <c r="C573" s="101"/>
      <c r="D573" s="101"/>
      <c r="E573" s="101"/>
      <c r="G573" s="15"/>
      <c r="H573" s="15"/>
    </row>
    <row r="574" spans="2:8" ht="13.5" thickBot="1" x14ac:dyDescent="0.25">
      <c r="B574" s="20"/>
      <c r="C574" s="19"/>
      <c r="D574" s="19"/>
      <c r="E574" s="18"/>
      <c r="G574" s="15"/>
      <c r="H574" s="15"/>
    </row>
    <row r="575" spans="2:8" ht="13.5" thickBot="1" x14ac:dyDescent="0.25">
      <c r="G575" s="15"/>
      <c r="H575" s="15"/>
    </row>
    <row r="576" spans="2:8" x14ac:dyDescent="0.2">
      <c r="B576" s="30" t="s">
        <v>195</v>
      </c>
      <c r="C576" s="29"/>
      <c r="D576" s="29"/>
      <c r="E576" s="28"/>
      <c r="G576" s="15"/>
      <c r="H576" s="15"/>
    </row>
    <row r="577" spans="2:8" ht="5.25" customHeight="1" x14ac:dyDescent="0.2">
      <c r="B577" s="27"/>
      <c r="C577" s="23"/>
      <c r="D577" s="23"/>
      <c r="E577" s="22"/>
      <c r="G577" s="15"/>
      <c r="H577" s="15"/>
    </row>
    <row r="578" spans="2:8" x14ac:dyDescent="0.2">
      <c r="B578" s="21" t="s">
        <v>28</v>
      </c>
      <c r="C578" s="23"/>
      <c r="D578" s="23"/>
      <c r="E578" s="22"/>
      <c r="G578" s="15"/>
      <c r="H578" s="15"/>
    </row>
    <row r="579" spans="2:8" ht="41.25" customHeight="1" x14ac:dyDescent="0.2">
      <c r="B579" s="21"/>
      <c r="C579" s="99" t="s">
        <v>194</v>
      </c>
      <c r="D579" s="99"/>
      <c r="E579" s="99"/>
      <c r="G579" s="15"/>
      <c r="H579" s="15"/>
    </row>
    <row r="580" spans="2:8" x14ac:dyDescent="0.2">
      <c r="B580" s="21" t="s">
        <v>26</v>
      </c>
      <c r="C580" s="23"/>
      <c r="D580" s="23"/>
      <c r="E580" s="22"/>
      <c r="G580" s="15"/>
      <c r="H580" s="15"/>
    </row>
    <row r="581" spans="2:8" x14ac:dyDescent="0.2">
      <c r="B581" s="24"/>
      <c r="C581" s="102" t="s">
        <v>25</v>
      </c>
      <c r="D581" s="102"/>
      <c r="E581" s="102"/>
      <c r="G581" s="15"/>
      <c r="H581" s="15"/>
    </row>
    <row r="582" spans="2:8" x14ac:dyDescent="0.2">
      <c r="B582" s="24"/>
      <c r="C582" s="98"/>
      <c r="D582" s="98"/>
      <c r="E582" s="98"/>
      <c r="G582" s="15"/>
      <c r="H582" s="15"/>
    </row>
    <row r="583" spans="2:8" x14ac:dyDescent="0.2">
      <c r="B583" s="21" t="s">
        <v>24</v>
      </c>
      <c r="C583" s="23"/>
      <c r="D583" s="23"/>
      <c r="E583" s="22"/>
      <c r="G583" s="15"/>
      <c r="H583" s="15"/>
    </row>
    <row r="584" spans="2:8" ht="26.25" customHeight="1" x14ac:dyDescent="0.2">
      <c r="B584" s="24"/>
      <c r="C584" s="99"/>
      <c r="D584" s="99"/>
      <c r="E584" s="99"/>
      <c r="G584" s="15"/>
      <c r="H584" s="15"/>
    </row>
    <row r="585" spans="2:8" x14ac:dyDescent="0.2">
      <c r="B585" s="21" t="s">
        <v>23</v>
      </c>
      <c r="C585" s="26"/>
      <c r="D585" s="26"/>
      <c r="E585" s="25"/>
      <c r="G585" s="15"/>
      <c r="H585" s="15"/>
    </row>
    <row r="586" spans="2:8" ht="26.25" customHeight="1" x14ac:dyDescent="0.2">
      <c r="B586" s="24"/>
      <c r="C586" s="100" t="s">
        <v>22</v>
      </c>
      <c r="D586" s="100"/>
      <c r="E586" s="100"/>
      <c r="G586" s="15"/>
      <c r="H586" s="15"/>
    </row>
    <row r="587" spans="2:8" x14ac:dyDescent="0.2">
      <c r="B587" s="21" t="s">
        <v>21</v>
      </c>
      <c r="C587" s="23"/>
      <c r="D587" s="23"/>
      <c r="E587" s="22"/>
      <c r="G587" s="15"/>
      <c r="H587" s="15"/>
    </row>
    <row r="588" spans="2:8" ht="23.25" customHeight="1" x14ac:dyDescent="0.2">
      <c r="B588" s="21"/>
      <c r="C588" s="101"/>
      <c r="D588" s="101"/>
      <c r="E588" s="101"/>
      <c r="G588" s="15"/>
      <c r="H588" s="15"/>
    </row>
    <row r="589" spans="2:8" ht="13.5" thickBot="1" x14ac:dyDescent="0.25">
      <c r="B589" s="20"/>
      <c r="C589" s="19"/>
      <c r="D589" s="19"/>
      <c r="E589" s="18"/>
      <c r="G589" s="15"/>
      <c r="H589" s="15"/>
    </row>
    <row r="590" spans="2:8" ht="13.5" thickBot="1" x14ac:dyDescent="0.25">
      <c r="G590" s="15"/>
      <c r="H590" s="15"/>
    </row>
    <row r="591" spans="2:8" x14ac:dyDescent="0.2">
      <c r="B591" s="30" t="s">
        <v>193</v>
      </c>
      <c r="C591" s="29"/>
      <c r="D591" s="29"/>
      <c r="E591" s="28"/>
      <c r="G591" s="15"/>
      <c r="H591" s="15"/>
    </row>
    <row r="592" spans="2:8" ht="7.5" customHeight="1" x14ac:dyDescent="0.2">
      <c r="B592" s="27"/>
      <c r="C592" s="23"/>
      <c r="D592" s="23"/>
      <c r="E592" s="22"/>
      <c r="G592" s="15"/>
      <c r="H592" s="15"/>
    </row>
    <row r="593" spans="2:8" x14ac:dyDescent="0.2">
      <c r="B593" s="21" t="s">
        <v>28</v>
      </c>
      <c r="C593" s="23"/>
      <c r="D593" s="23"/>
      <c r="E593" s="22"/>
      <c r="G593" s="15"/>
      <c r="H593" s="15"/>
    </row>
    <row r="594" spans="2:8" ht="41.25" customHeight="1" x14ac:dyDescent="0.2">
      <c r="B594" s="21"/>
      <c r="C594" s="99" t="s">
        <v>192</v>
      </c>
      <c r="D594" s="99"/>
      <c r="E594" s="99"/>
      <c r="G594" s="15"/>
      <c r="H594" s="15"/>
    </row>
    <row r="595" spans="2:8" x14ac:dyDescent="0.2">
      <c r="B595" s="21" t="s">
        <v>26</v>
      </c>
      <c r="C595" s="23"/>
      <c r="D595" s="23"/>
      <c r="E595" s="22"/>
      <c r="G595" s="15"/>
      <c r="H595" s="15"/>
    </row>
    <row r="596" spans="2:8" x14ac:dyDescent="0.2">
      <c r="B596" s="24"/>
      <c r="C596" s="102" t="s">
        <v>25</v>
      </c>
      <c r="D596" s="102"/>
      <c r="E596" s="102"/>
      <c r="G596" s="15"/>
      <c r="H596" s="15"/>
    </row>
    <row r="597" spans="2:8" x14ac:dyDescent="0.2">
      <c r="B597" s="24"/>
      <c r="C597" s="98"/>
      <c r="D597" s="98"/>
      <c r="E597" s="98"/>
      <c r="G597" s="15"/>
      <c r="H597" s="15"/>
    </row>
    <row r="598" spans="2:8" x14ac:dyDescent="0.2">
      <c r="B598" s="21" t="s">
        <v>24</v>
      </c>
      <c r="C598" s="23"/>
      <c r="D598" s="23"/>
      <c r="E598" s="22"/>
      <c r="G598" s="15"/>
      <c r="H598" s="15"/>
    </row>
    <row r="599" spans="2:8" ht="26.25" customHeight="1" x14ac:dyDescent="0.2">
      <c r="B599" s="24"/>
      <c r="C599" s="99"/>
      <c r="D599" s="99"/>
      <c r="E599" s="99"/>
      <c r="G599" s="15"/>
      <c r="H599" s="15"/>
    </row>
    <row r="600" spans="2:8" x14ac:dyDescent="0.2">
      <c r="B600" s="21" t="s">
        <v>23</v>
      </c>
      <c r="C600" s="26"/>
      <c r="D600" s="26"/>
      <c r="E600" s="25"/>
      <c r="G600" s="15"/>
      <c r="H600" s="15"/>
    </row>
    <row r="601" spans="2:8" ht="26.25" customHeight="1" x14ac:dyDescent="0.2">
      <c r="B601" s="24"/>
      <c r="C601" s="100" t="s">
        <v>22</v>
      </c>
      <c r="D601" s="100"/>
      <c r="E601" s="100"/>
      <c r="G601" s="15"/>
      <c r="H601" s="15"/>
    </row>
    <row r="602" spans="2:8" x14ac:dyDescent="0.2">
      <c r="B602" s="21" t="s">
        <v>21</v>
      </c>
      <c r="C602" s="23"/>
      <c r="D602" s="23"/>
      <c r="E602" s="22"/>
      <c r="G602" s="15"/>
      <c r="H602" s="15"/>
    </row>
    <row r="603" spans="2:8" ht="23.25" customHeight="1" x14ac:dyDescent="0.2">
      <c r="B603" s="21"/>
      <c r="C603" s="101"/>
      <c r="D603" s="101"/>
      <c r="E603" s="101"/>
      <c r="G603" s="15"/>
      <c r="H603" s="15"/>
    </row>
    <row r="604" spans="2:8" ht="13.5" thickBot="1" x14ac:dyDescent="0.25">
      <c r="B604" s="20"/>
      <c r="C604" s="19"/>
      <c r="D604" s="19"/>
      <c r="E604" s="18"/>
      <c r="G604" s="15"/>
      <c r="H604" s="15"/>
    </row>
    <row r="605" spans="2:8" ht="13.5" thickBot="1" x14ac:dyDescent="0.25">
      <c r="G605" s="15"/>
      <c r="H605" s="15"/>
    </row>
    <row r="606" spans="2:8" x14ac:dyDescent="0.2">
      <c r="B606" s="30" t="s">
        <v>191</v>
      </c>
      <c r="C606" s="29"/>
      <c r="D606" s="29"/>
      <c r="E606" s="28"/>
      <c r="G606" s="15"/>
      <c r="H606" s="15"/>
    </row>
    <row r="607" spans="2:8" ht="5.25" customHeight="1" x14ac:dyDescent="0.2">
      <c r="B607" s="27"/>
      <c r="C607" s="23"/>
      <c r="D607" s="23"/>
      <c r="E607" s="22"/>
      <c r="G607" s="15"/>
      <c r="H607" s="15"/>
    </row>
    <row r="608" spans="2:8" x14ac:dyDescent="0.2">
      <c r="B608" s="21" t="s">
        <v>28</v>
      </c>
      <c r="C608" s="23"/>
      <c r="D608" s="23"/>
      <c r="E608" s="22"/>
      <c r="G608" s="15"/>
      <c r="H608" s="15"/>
    </row>
    <row r="609" spans="2:8" ht="41.25" customHeight="1" x14ac:dyDescent="0.2">
      <c r="B609" s="21"/>
      <c r="C609" s="99" t="s">
        <v>190</v>
      </c>
      <c r="D609" s="99"/>
      <c r="E609" s="99"/>
      <c r="G609" s="15"/>
      <c r="H609" s="15"/>
    </row>
    <row r="610" spans="2:8" x14ac:dyDescent="0.2">
      <c r="B610" s="21" t="s">
        <v>26</v>
      </c>
      <c r="C610" s="23"/>
      <c r="D610" s="23"/>
      <c r="E610" s="22"/>
      <c r="G610" s="15"/>
      <c r="H610" s="15"/>
    </row>
    <row r="611" spans="2:8" x14ac:dyDescent="0.2">
      <c r="B611" s="24"/>
      <c r="C611" s="102" t="s">
        <v>25</v>
      </c>
      <c r="D611" s="102"/>
      <c r="E611" s="102"/>
      <c r="G611" s="15"/>
      <c r="H611" s="15"/>
    </row>
    <row r="612" spans="2:8" x14ac:dyDescent="0.2">
      <c r="B612" s="24"/>
      <c r="C612" s="98"/>
      <c r="D612" s="98"/>
      <c r="E612" s="98"/>
      <c r="G612" s="15"/>
      <c r="H612" s="15"/>
    </row>
    <row r="613" spans="2:8" x14ac:dyDescent="0.2">
      <c r="B613" s="21" t="s">
        <v>24</v>
      </c>
      <c r="C613" s="23"/>
      <c r="D613" s="23"/>
      <c r="E613" s="22"/>
      <c r="G613" s="15"/>
      <c r="H613" s="15"/>
    </row>
    <row r="614" spans="2:8" ht="26.25" customHeight="1" x14ac:dyDescent="0.2">
      <c r="B614" s="24"/>
      <c r="C614" s="99"/>
      <c r="D614" s="99"/>
      <c r="E614" s="99"/>
      <c r="G614" s="15"/>
      <c r="H614" s="15"/>
    </row>
    <row r="615" spans="2:8" x14ac:dyDescent="0.2">
      <c r="B615" s="21" t="s">
        <v>23</v>
      </c>
      <c r="C615" s="26"/>
      <c r="D615" s="26"/>
      <c r="E615" s="25"/>
      <c r="G615" s="15"/>
      <c r="H615" s="15"/>
    </row>
    <row r="616" spans="2:8" ht="26.25" customHeight="1" x14ac:dyDescent="0.2">
      <c r="B616" s="24"/>
      <c r="C616" s="100" t="s">
        <v>22</v>
      </c>
      <c r="D616" s="100"/>
      <c r="E616" s="100"/>
      <c r="G616" s="15"/>
      <c r="H616" s="15"/>
    </row>
    <row r="617" spans="2:8" x14ac:dyDescent="0.2">
      <c r="B617" s="21" t="s">
        <v>21</v>
      </c>
      <c r="C617" s="23"/>
      <c r="D617" s="23"/>
      <c r="E617" s="22"/>
      <c r="G617" s="15"/>
      <c r="H617" s="15"/>
    </row>
    <row r="618" spans="2:8" ht="23.25" customHeight="1" x14ac:dyDescent="0.2">
      <c r="B618" s="21"/>
      <c r="C618" s="101"/>
      <c r="D618" s="101"/>
      <c r="E618" s="101"/>
      <c r="G618" s="15"/>
      <c r="H618" s="15"/>
    </row>
    <row r="619" spans="2:8" ht="13.5" thickBot="1" x14ac:dyDescent="0.25">
      <c r="B619" s="20"/>
      <c r="C619" s="19"/>
      <c r="D619" s="19"/>
      <c r="E619" s="18"/>
      <c r="G619" s="15"/>
      <c r="H619" s="15"/>
    </row>
    <row r="620" spans="2:8" ht="13.5" thickBot="1" x14ac:dyDescent="0.25">
      <c r="G620" s="15"/>
      <c r="H620" s="15"/>
    </row>
    <row r="621" spans="2:8" x14ac:dyDescent="0.2">
      <c r="B621" s="30" t="s">
        <v>189</v>
      </c>
      <c r="C621" s="29"/>
      <c r="D621" s="29"/>
      <c r="E621" s="28"/>
      <c r="G621" s="15"/>
      <c r="H621" s="15"/>
    </row>
    <row r="622" spans="2:8" ht="7.5" customHeight="1" x14ac:dyDescent="0.2">
      <c r="B622" s="27"/>
      <c r="C622" s="23"/>
      <c r="D622" s="23"/>
      <c r="E622" s="22"/>
      <c r="G622" s="15"/>
      <c r="H622" s="15"/>
    </row>
    <row r="623" spans="2:8" x14ac:dyDescent="0.2">
      <c r="B623" s="21" t="s">
        <v>28</v>
      </c>
      <c r="C623" s="23"/>
      <c r="D623" s="23"/>
      <c r="E623" s="22"/>
      <c r="G623" s="15"/>
      <c r="H623" s="15"/>
    </row>
    <row r="624" spans="2:8" ht="41.25" customHeight="1" x14ac:dyDescent="0.2">
      <c r="B624" s="21"/>
      <c r="C624" s="99" t="s">
        <v>188</v>
      </c>
      <c r="D624" s="99"/>
      <c r="E624" s="99"/>
      <c r="G624" s="15"/>
      <c r="H624" s="15"/>
    </row>
    <row r="625" spans="2:8" x14ac:dyDescent="0.2">
      <c r="B625" s="21" t="s">
        <v>26</v>
      </c>
      <c r="C625" s="23"/>
      <c r="D625" s="23"/>
      <c r="E625" s="22"/>
      <c r="G625" s="15"/>
      <c r="H625" s="15"/>
    </row>
    <row r="626" spans="2:8" x14ac:dyDescent="0.2">
      <c r="B626" s="24"/>
      <c r="C626" s="102" t="s">
        <v>25</v>
      </c>
      <c r="D626" s="102"/>
      <c r="E626" s="102"/>
      <c r="G626" s="15"/>
      <c r="H626" s="15"/>
    </row>
    <row r="627" spans="2:8" x14ac:dyDescent="0.2">
      <c r="B627" s="24"/>
      <c r="C627" s="98"/>
      <c r="D627" s="98"/>
      <c r="E627" s="98"/>
      <c r="G627" s="15"/>
      <c r="H627" s="15"/>
    </row>
    <row r="628" spans="2:8" x14ac:dyDescent="0.2">
      <c r="B628" s="21" t="s">
        <v>24</v>
      </c>
      <c r="C628" s="23"/>
      <c r="D628" s="23"/>
      <c r="E628" s="22"/>
      <c r="G628" s="15"/>
      <c r="H628" s="15"/>
    </row>
    <row r="629" spans="2:8" ht="26.25" customHeight="1" x14ac:dyDescent="0.2">
      <c r="B629" s="24"/>
      <c r="C629" s="99"/>
      <c r="D629" s="99"/>
      <c r="E629" s="99"/>
      <c r="G629" s="15"/>
      <c r="H629" s="15"/>
    </row>
    <row r="630" spans="2:8" x14ac:dyDescent="0.2">
      <c r="B630" s="21" t="s">
        <v>23</v>
      </c>
      <c r="C630" s="26"/>
      <c r="D630" s="26"/>
      <c r="E630" s="25"/>
      <c r="G630" s="15"/>
      <c r="H630" s="15"/>
    </row>
    <row r="631" spans="2:8" ht="26.25" customHeight="1" x14ac:dyDescent="0.2">
      <c r="B631" s="24"/>
      <c r="C631" s="100" t="s">
        <v>22</v>
      </c>
      <c r="D631" s="100"/>
      <c r="E631" s="100"/>
      <c r="G631" s="15"/>
      <c r="H631" s="15"/>
    </row>
    <row r="632" spans="2:8" x14ac:dyDescent="0.2">
      <c r="B632" s="21" t="s">
        <v>21</v>
      </c>
      <c r="C632" s="23"/>
      <c r="D632" s="23"/>
      <c r="E632" s="22"/>
      <c r="G632" s="15"/>
      <c r="H632" s="15"/>
    </row>
    <row r="633" spans="2:8" ht="23.25" customHeight="1" x14ac:dyDescent="0.2">
      <c r="B633" s="21"/>
      <c r="C633" s="101"/>
      <c r="D633" s="101"/>
      <c r="E633" s="101"/>
      <c r="G633" s="15"/>
      <c r="H633" s="15"/>
    </row>
    <row r="634" spans="2:8" ht="13.5" thickBot="1" x14ac:dyDescent="0.25">
      <c r="B634" s="20"/>
      <c r="C634" s="19"/>
      <c r="D634" s="19"/>
      <c r="E634" s="18"/>
      <c r="G634" s="15"/>
      <c r="H634" s="15"/>
    </row>
    <row r="635" spans="2:8" ht="13.5" thickBot="1" x14ac:dyDescent="0.25">
      <c r="G635" s="15"/>
      <c r="H635" s="15"/>
    </row>
    <row r="636" spans="2:8" x14ac:dyDescent="0.2">
      <c r="B636" s="30" t="s">
        <v>187</v>
      </c>
      <c r="C636" s="29"/>
      <c r="D636" s="29"/>
      <c r="E636" s="28"/>
      <c r="G636" s="15"/>
      <c r="H636" s="15"/>
    </row>
    <row r="637" spans="2:8" ht="5.25" customHeight="1" x14ac:dyDescent="0.2">
      <c r="B637" s="27"/>
      <c r="C637" s="23"/>
      <c r="D637" s="23"/>
      <c r="E637" s="22"/>
      <c r="G637" s="15"/>
      <c r="H637" s="15"/>
    </row>
    <row r="638" spans="2:8" x14ac:dyDescent="0.2">
      <c r="B638" s="21" t="s">
        <v>28</v>
      </c>
      <c r="C638" s="23"/>
      <c r="D638" s="23"/>
      <c r="E638" s="22"/>
      <c r="G638" s="15"/>
      <c r="H638" s="15"/>
    </row>
    <row r="639" spans="2:8" ht="41.25" customHeight="1" x14ac:dyDescent="0.2">
      <c r="B639" s="21"/>
      <c r="C639" s="99" t="s">
        <v>186</v>
      </c>
      <c r="D639" s="99"/>
      <c r="E639" s="99"/>
      <c r="G639" s="15"/>
      <c r="H639" s="15"/>
    </row>
    <row r="640" spans="2:8" x14ac:dyDescent="0.2">
      <c r="B640" s="21" t="s">
        <v>26</v>
      </c>
      <c r="C640" s="23"/>
      <c r="D640" s="23"/>
      <c r="E640" s="22"/>
      <c r="G640" s="15"/>
      <c r="H640" s="15"/>
    </row>
    <row r="641" spans="2:8" x14ac:dyDescent="0.2">
      <c r="B641" s="24"/>
      <c r="C641" s="102" t="s">
        <v>25</v>
      </c>
      <c r="D641" s="102"/>
      <c r="E641" s="102"/>
      <c r="G641" s="15"/>
      <c r="H641" s="15"/>
    </row>
    <row r="642" spans="2:8" x14ac:dyDescent="0.2">
      <c r="B642" s="24"/>
      <c r="C642" s="98"/>
      <c r="D642" s="98"/>
      <c r="E642" s="98"/>
      <c r="G642" s="15"/>
      <c r="H642" s="15"/>
    </row>
    <row r="643" spans="2:8" x14ac:dyDescent="0.2">
      <c r="B643" s="21" t="s">
        <v>24</v>
      </c>
      <c r="C643" s="23"/>
      <c r="D643" s="23"/>
      <c r="E643" s="22"/>
      <c r="G643" s="15"/>
      <c r="H643" s="15"/>
    </row>
    <row r="644" spans="2:8" ht="26.25" customHeight="1" x14ac:dyDescent="0.2">
      <c r="B644" s="24"/>
      <c r="C644" s="99"/>
      <c r="D644" s="99"/>
      <c r="E644" s="99"/>
      <c r="G644" s="15"/>
      <c r="H644" s="15"/>
    </row>
    <row r="645" spans="2:8" x14ac:dyDescent="0.2">
      <c r="B645" s="21" t="s">
        <v>23</v>
      </c>
      <c r="C645" s="26"/>
      <c r="D645" s="26"/>
      <c r="E645" s="25"/>
      <c r="G645" s="15"/>
      <c r="H645" s="15"/>
    </row>
    <row r="646" spans="2:8" ht="26.25" customHeight="1" x14ac:dyDescent="0.2">
      <c r="B646" s="24"/>
      <c r="C646" s="100" t="s">
        <v>22</v>
      </c>
      <c r="D646" s="100"/>
      <c r="E646" s="100"/>
      <c r="G646" s="15"/>
      <c r="H646" s="15"/>
    </row>
    <row r="647" spans="2:8" x14ac:dyDescent="0.2">
      <c r="B647" s="21" t="s">
        <v>21</v>
      </c>
      <c r="C647" s="23"/>
      <c r="D647" s="23"/>
      <c r="E647" s="22"/>
      <c r="G647" s="15"/>
      <c r="H647" s="15"/>
    </row>
    <row r="648" spans="2:8" ht="23.25" customHeight="1" x14ac:dyDescent="0.2">
      <c r="B648" s="21"/>
      <c r="C648" s="101"/>
      <c r="D648" s="101"/>
      <c r="E648" s="101"/>
      <c r="G648" s="15"/>
      <c r="H648" s="15"/>
    </row>
    <row r="649" spans="2:8" ht="13.5" thickBot="1" x14ac:dyDescent="0.25">
      <c r="B649" s="20"/>
      <c r="C649" s="19"/>
      <c r="D649" s="19"/>
      <c r="E649" s="18"/>
      <c r="G649" s="15"/>
      <c r="H649" s="15"/>
    </row>
    <row r="650" spans="2:8" ht="13.5" thickBot="1" x14ac:dyDescent="0.25">
      <c r="G650" s="15"/>
      <c r="H650" s="15"/>
    </row>
    <row r="651" spans="2:8" x14ac:dyDescent="0.2">
      <c r="B651" s="30" t="s">
        <v>185</v>
      </c>
      <c r="C651" s="29"/>
      <c r="D651" s="29"/>
      <c r="E651" s="28"/>
      <c r="G651" s="15"/>
      <c r="H651" s="15"/>
    </row>
    <row r="652" spans="2:8" ht="7.5" customHeight="1" x14ac:dyDescent="0.2">
      <c r="B652" s="27"/>
      <c r="C652" s="23"/>
      <c r="D652" s="23"/>
      <c r="E652" s="22"/>
      <c r="G652" s="15"/>
      <c r="H652" s="15"/>
    </row>
    <row r="653" spans="2:8" x14ac:dyDescent="0.2">
      <c r="B653" s="21" t="s">
        <v>28</v>
      </c>
      <c r="C653" s="23"/>
      <c r="D653" s="23"/>
      <c r="E653" s="22"/>
      <c r="G653" s="15"/>
      <c r="H653" s="15"/>
    </row>
    <row r="654" spans="2:8" ht="41.25" customHeight="1" x14ac:dyDescent="0.2">
      <c r="B654" s="21"/>
      <c r="C654" s="99" t="s">
        <v>184</v>
      </c>
      <c r="D654" s="99"/>
      <c r="E654" s="99"/>
      <c r="G654" s="15"/>
      <c r="H654" s="15"/>
    </row>
    <row r="655" spans="2:8" x14ac:dyDescent="0.2">
      <c r="B655" s="21" t="s">
        <v>26</v>
      </c>
      <c r="C655" s="23"/>
      <c r="D655" s="23"/>
      <c r="E655" s="22"/>
      <c r="G655" s="15"/>
      <c r="H655" s="15"/>
    </row>
    <row r="656" spans="2:8" x14ac:dyDescent="0.2">
      <c r="B656" s="24"/>
      <c r="C656" s="102" t="s">
        <v>25</v>
      </c>
      <c r="D656" s="102"/>
      <c r="E656" s="102"/>
      <c r="G656" s="15"/>
      <c r="H656" s="15"/>
    </row>
    <row r="657" spans="2:8" x14ac:dyDescent="0.2">
      <c r="B657" s="24"/>
      <c r="C657" s="98"/>
      <c r="D657" s="98"/>
      <c r="E657" s="98"/>
      <c r="G657" s="15"/>
      <c r="H657" s="15"/>
    </row>
    <row r="658" spans="2:8" x14ac:dyDescent="0.2">
      <c r="B658" s="21" t="s">
        <v>24</v>
      </c>
      <c r="C658" s="23"/>
      <c r="D658" s="23"/>
      <c r="E658" s="22"/>
      <c r="G658" s="15"/>
      <c r="H658" s="15"/>
    </row>
    <row r="659" spans="2:8" ht="26.25" customHeight="1" x14ac:dyDescent="0.2">
      <c r="B659" s="24"/>
      <c r="C659" s="99"/>
      <c r="D659" s="99"/>
      <c r="E659" s="99"/>
      <c r="G659" s="15"/>
      <c r="H659" s="15"/>
    </row>
    <row r="660" spans="2:8" x14ac:dyDescent="0.2">
      <c r="B660" s="21" t="s">
        <v>23</v>
      </c>
      <c r="C660" s="26"/>
      <c r="D660" s="26"/>
      <c r="E660" s="25"/>
      <c r="G660" s="15"/>
      <c r="H660" s="15"/>
    </row>
    <row r="661" spans="2:8" ht="26.25" customHeight="1" x14ac:dyDescent="0.2">
      <c r="B661" s="24"/>
      <c r="C661" s="100" t="s">
        <v>22</v>
      </c>
      <c r="D661" s="100"/>
      <c r="E661" s="100"/>
      <c r="G661" s="15"/>
      <c r="H661" s="15"/>
    </row>
    <row r="662" spans="2:8" x14ac:dyDescent="0.2">
      <c r="B662" s="21" t="s">
        <v>21</v>
      </c>
      <c r="C662" s="23"/>
      <c r="D662" s="23"/>
      <c r="E662" s="22"/>
      <c r="G662" s="15"/>
      <c r="H662" s="15"/>
    </row>
    <row r="663" spans="2:8" ht="23.25" customHeight="1" x14ac:dyDescent="0.2">
      <c r="B663" s="21"/>
      <c r="C663" s="101"/>
      <c r="D663" s="101"/>
      <c r="E663" s="101"/>
      <c r="G663" s="15"/>
      <c r="H663" s="15"/>
    </row>
    <row r="664" spans="2:8" ht="13.5" thickBot="1" x14ac:dyDescent="0.25">
      <c r="B664" s="20"/>
      <c r="C664" s="19"/>
      <c r="D664" s="19"/>
      <c r="E664" s="18"/>
      <c r="G664" s="15"/>
      <c r="H664" s="15"/>
    </row>
    <row r="665" spans="2:8" ht="13.5" thickBot="1" x14ac:dyDescent="0.25">
      <c r="G665" s="15"/>
      <c r="H665" s="15"/>
    </row>
    <row r="666" spans="2:8" x14ac:dyDescent="0.2">
      <c r="B666" s="30" t="s">
        <v>183</v>
      </c>
      <c r="C666" s="29"/>
      <c r="D666" s="29"/>
      <c r="E666" s="28"/>
      <c r="G666" s="15"/>
      <c r="H666" s="15"/>
    </row>
    <row r="667" spans="2:8" ht="5.25" customHeight="1" x14ac:dyDescent="0.2">
      <c r="B667" s="27"/>
      <c r="C667" s="23"/>
      <c r="D667" s="23"/>
      <c r="E667" s="22"/>
      <c r="G667" s="15"/>
      <c r="H667" s="15"/>
    </row>
    <row r="668" spans="2:8" x14ac:dyDescent="0.2">
      <c r="B668" s="21" t="s">
        <v>28</v>
      </c>
      <c r="C668" s="23"/>
      <c r="D668" s="23"/>
      <c r="E668" s="22"/>
      <c r="G668" s="15"/>
      <c r="H668" s="15"/>
    </row>
    <row r="669" spans="2:8" ht="41.25" customHeight="1" x14ac:dyDescent="0.2">
      <c r="B669" s="21"/>
      <c r="C669" s="99" t="s">
        <v>182</v>
      </c>
      <c r="D669" s="99"/>
      <c r="E669" s="99"/>
      <c r="G669" s="15"/>
      <c r="H669" s="15"/>
    </row>
    <row r="670" spans="2:8" x14ac:dyDescent="0.2">
      <c r="B670" s="21" t="s">
        <v>26</v>
      </c>
      <c r="C670" s="23"/>
      <c r="D670" s="23"/>
      <c r="E670" s="22"/>
      <c r="G670" s="15"/>
      <c r="H670" s="15"/>
    </row>
    <row r="671" spans="2:8" x14ac:dyDescent="0.2">
      <c r="B671" s="24"/>
      <c r="C671" s="102" t="s">
        <v>25</v>
      </c>
      <c r="D671" s="102"/>
      <c r="E671" s="102"/>
      <c r="G671" s="15"/>
      <c r="H671" s="15"/>
    </row>
    <row r="672" spans="2:8" x14ac:dyDescent="0.2">
      <c r="B672" s="24"/>
      <c r="C672" s="98"/>
      <c r="D672" s="98"/>
      <c r="E672" s="98"/>
      <c r="G672" s="15"/>
      <c r="H672" s="15"/>
    </row>
    <row r="673" spans="2:8" x14ac:dyDescent="0.2">
      <c r="B673" s="21" t="s">
        <v>24</v>
      </c>
      <c r="C673" s="23"/>
      <c r="D673" s="23"/>
      <c r="E673" s="22"/>
      <c r="G673" s="15"/>
      <c r="H673" s="15"/>
    </row>
    <row r="674" spans="2:8" ht="26.25" customHeight="1" x14ac:dyDescent="0.2">
      <c r="B674" s="24"/>
      <c r="C674" s="99"/>
      <c r="D674" s="99"/>
      <c r="E674" s="99"/>
      <c r="G674" s="15"/>
      <c r="H674" s="15"/>
    </row>
    <row r="675" spans="2:8" x14ac:dyDescent="0.2">
      <c r="B675" s="21" t="s">
        <v>23</v>
      </c>
      <c r="C675" s="26"/>
      <c r="D675" s="26"/>
      <c r="E675" s="25"/>
      <c r="G675" s="15"/>
      <c r="H675" s="15"/>
    </row>
    <row r="676" spans="2:8" ht="26.25" customHeight="1" x14ac:dyDescent="0.2">
      <c r="B676" s="24"/>
      <c r="C676" s="100" t="s">
        <v>22</v>
      </c>
      <c r="D676" s="100"/>
      <c r="E676" s="100"/>
      <c r="G676" s="15"/>
      <c r="H676" s="15"/>
    </row>
    <row r="677" spans="2:8" x14ac:dyDescent="0.2">
      <c r="B677" s="21" t="s">
        <v>21</v>
      </c>
      <c r="C677" s="23"/>
      <c r="D677" s="23"/>
      <c r="E677" s="22"/>
      <c r="G677" s="15"/>
      <c r="H677" s="15"/>
    </row>
    <row r="678" spans="2:8" ht="23.25" customHeight="1" x14ac:dyDescent="0.2">
      <c r="B678" s="21"/>
      <c r="C678" s="101"/>
      <c r="D678" s="101"/>
      <c r="E678" s="101"/>
      <c r="G678" s="15"/>
      <c r="H678" s="15"/>
    </row>
    <row r="679" spans="2:8" ht="13.5" thickBot="1" x14ac:dyDescent="0.25">
      <c r="B679" s="20"/>
      <c r="C679" s="19"/>
      <c r="D679" s="19"/>
      <c r="E679" s="18"/>
      <c r="G679" s="15"/>
      <c r="H679" s="15"/>
    </row>
    <row r="680" spans="2:8" ht="13.5" thickBot="1" x14ac:dyDescent="0.25">
      <c r="G680" s="15"/>
      <c r="H680" s="15"/>
    </row>
    <row r="681" spans="2:8" x14ac:dyDescent="0.2">
      <c r="B681" s="30" t="s">
        <v>181</v>
      </c>
      <c r="C681" s="29"/>
      <c r="D681" s="29"/>
      <c r="E681" s="28"/>
      <c r="G681" s="15"/>
      <c r="H681" s="15"/>
    </row>
    <row r="682" spans="2:8" ht="7.5" customHeight="1" x14ac:dyDescent="0.2">
      <c r="B682" s="27"/>
      <c r="C682" s="23"/>
      <c r="D682" s="23"/>
      <c r="E682" s="22"/>
      <c r="G682" s="15"/>
      <c r="H682" s="15"/>
    </row>
    <row r="683" spans="2:8" x14ac:dyDescent="0.2">
      <c r="B683" s="21" t="s">
        <v>28</v>
      </c>
      <c r="C683" s="23"/>
      <c r="D683" s="23"/>
      <c r="E683" s="22"/>
      <c r="G683" s="15"/>
      <c r="H683" s="15"/>
    </row>
    <row r="684" spans="2:8" ht="41.25" customHeight="1" x14ac:dyDescent="0.2">
      <c r="B684" s="21"/>
      <c r="C684" s="99" t="s">
        <v>180</v>
      </c>
      <c r="D684" s="99"/>
      <c r="E684" s="99"/>
      <c r="G684" s="15"/>
      <c r="H684" s="15"/>
    </row>
    <row r="685" spans="2:8" x14ac:dyDescent="0.2">
      <c r="B685" s="21" t="s">
        <v>26</v>
      </c>
      <c r="C685" s="23"/>
      <c r="D685" s="23"/>
      <c r="E685" s="22"/>
      <c r="G685" s="15"/>
      <c r="H685" s="15"/>
    </row>
    <row r="686" spans="2:8" x14ac:dyDescent="0.2">
      <c r="B686" s="24"/>
      <c r="C686" s="102" t="s">
        <v>25</v>
      </c>
      <c r="D686" s="102"/>
      <c r="E686" s="102"/>
      <c r="G686" s="15"/>
      <c r="H686" s="15"/>
    </row>
    <row r="687" spans="2:8" x14ac:dyDescent="0.2">
      <c r="B687" s="24"/>
      <c r="C687" s="98"/>
      <c r="D687" s="98"/>
      <c r="E687" s="98"/>
      <c r="G687" s="15"/>
      <c r="H687" s="15"/>
    </row>
    <row r="688" spans="2:8" x14ac:dyDescent="0.2">
      <c r="B688" s="21" t="s">
        <v>24</v>
      </c>
      <c r="C688" s="23"/>
      <c r="D688" s="23"/>
      <c r="E688" s="22"/>
      <c r="G688" s="15"/>
      <c r="H688" s="15"/>
    </row>
    <row r="689" spans="2:8" ht="26.25" customHeight="1" x14ac:dyDescent="0.2">
      <c r="B689" s="24"/>
      <c r="C689" s="99"/>
      <c r="D689" s="99"/>
      <c r="E689" s="99"/>
      <c r="G689" s="15"/>
      <c r="H689" s="15"/>
    </row>
    <row r="690" spans="2:8" x14ac:dyDescent="0.2">
      <c r="B690" s="21" t="s">
        <v>23</v>
      </c>
      <c r="C690" s="26"/>
      <c r="D690" s="26"/>
      <c r="E690" s="25"/>
      <c r="G690" s="15"/>
      <c r="H690" s="15"/>
    </row>
    <row r="691" spans="2:8" ht="26.25" customHeight="1" x14ac:dyDescent="0.2">
      <c r="B691" s="24"/>
      <c r="C691" s="100" t="s">
        <v>22</v>
      </c>
      <c r="D691" s="100"/>
      <c r="E691" s="100"/>
      <c r="G691" s="15"/>
      <c r="H691" s="15"/>
    </row>
    <row r="692" spans="2:8" x14ac:dyDescent="0.2">
      <c r="B692" s="21" t="s">
        <v>21</v>
      </c>
      <c r="C692" s="23"/>
      <c r="D692" s="23"/>
      <c r="E692" s="22"/>
      <c r="G692" s="15"/>
      <c r="H692" s="15"/>
    </row>
    <row r="693" spans="2:8" ht="23.25" customHeight="1" x14ac:dyDescent="0.2">
      <c r="B693" s="21"/>
      <c r="C693" s="101"/>
      <c r="D693" s="101"/>
      <c r="E693" s="101"/>
      <c r="G693" s="15"/>
      <c r="H693" s="15"/>
    </row>
    <row r="694" spans="2:8" ht="13.5" thickBot="1" x14ac:dyDescent="0.25">
      <c r="B694" s="20"/>
      <c r="C694" s="19"/>
      <c r="D694" s="19"/>
      <c r="E694" s="18"/>
      <c r="G694" s="15"/>
      <c r="H694" s="15"/>
    </row>
    <row r="695" spans="2:8" ht="13.5" thickBot="1" x14ac:dyDescent="0.25">
      <c r="G695" s="15"/>
      <c r="H695" s="15"/>
    </row>
    <row r="696" spans="2:8" x14ac:dyDescent="0.2">
      <c r="B696" s="30" t="s">
        <v>179</v>
      </c>
      <c r="C696" s="29"/>
      <c r="D696" s="29"/>
      <c r="E696" s="28"/>
      <c r="G696" s="15"/>
      <c r="H696" s="15"/>
    </row>
    <row r="697" spans="2:8" ht="5.25" customHeight="1" x14ac:dyDescent="0.2">
      <c r="B697" s="27"/>
      <c r="C697" s="23"/>
      <c r="D697" s="23"/>
      <c r="E697" s="22"/>
      <c r="G697" s="15"/>
      <c r="H697" s="15"/>
    </row>
    <row r="698" spans="2:8" x14ac:dyDescent="0.2">
      <c r="B698" s="21" t="s">
        <v>28</v>
      </c>
      <c r="C698" s="23"/>
      <c r="D698" s="23"/>
      <c r="E698" s="22"/>
      <c r="G698" s="15"/>
      <c r="H698" s="15"/>
    </row>
    <row r="699" spans="2:8" ht="41.25" customHeight="1" x14ac:dyDescent="0.2">
      <c r="B699" s="21"/>
      <c r="C699" s="99" t="s">
        <v>178</v>
      </c>
      <c r="D699" s="99"/>
      <c r="E699" s="99"/>
      <c r="G699" s="15"/>
      <c r="H699" s="15"/>
    </row>
    <row r="700" spans="2:8" x14ac:dyDescent="0.2">
      <c r="B700" s="21" t="s">
        <v>26</v>
      </c>
      <c r="C700" s="23"/>
      <c r="D700" s="23"/>
      <c r="E700" s="22"/>
      <c r="G700" s="15"/>
      <c r="H700" s="15"/>
    </row>
    <row r="701" spans="2:8" x14ac:dyDescent="0.2">
      <c r="B701" s="24"/>
      <c r="C701" s="102" t="s">
        <v>25</v>
      </c>
      <c r="D701" s="102"/>
      <c r="E701" s="102"/>
      <c r="G701" s="15"/>
      <c r="H701" s="15"/>
    </row>
    <row r="702" spans="2:8" x14ac:dyDescent="0.2">
      <c r="B702" s="24"/>
      <c r="C702" s="98"/>
      <c r="D702" s="98"/>
      <c r="E702" s="98"/>
      <c r="G702" s="15"/>
      <c r="H702" s="15"/>
    </row>
    <row r="703" spans="2:8" x14ac:dyDescent="0.2">
      <c r="B703" s="21" t="s">
        <v>24</v>
      </c>
      <c r="C703" s="23"/>
      <c r="D703" s="23"/>
      <c r="E703" s="22"/>
      <c r="G703" s="15"/>
      <c r="H703" s="15"/>
    </row>
    <row r="704" spans="2:8" ht="26.25" customHeight="1" x14ac:dyDescent="0.2">
      <c r="B704" s="24"/>
      <c r="C704" s="99"/>
      <c r="D704" s="99"/>
      <c r="E704" s="99"/>
      <c r="G704" s="15"/>
      <c r="H704" s="15"/>
    </row>
    <row r="705" spans="2:8" x14ac:dyDescent="0.2">
      <c r="B705" s="21" t="s">
        <v>23</v>
      </c>
      <c r="C705" s="26"/>
      <c r="D705" s="26"/>
      <c r="E705" s="25"/>
      <c r="G705" s="15"/>
      <c r="H705" s="15"/>
    </row>
    <row r="706" spans="2:8" ht="26.25" customHeight="1" x14ac:dyDescent="0.2">
      <c r="B706" s="24"/>
      <c r="C706" s="100" t="s">
        <v>22</v>
      </c>
      <c r="D706" s="100"/>
      <c r="E706" s="100"/>
      <c r="G706" s="15"/>
      <c r="H706" s="15"/>
    </row>
    <row r="707" spans="2:8" x14ac:dyDescent="0.2">
      <c r="B707" s="21" t="s">
        <v>21</v>
      </c>
      <c r="C707" s="23"/>
      <c r="D707" s="23"/>
      <c r="E707" s="22"/>
      <c r="G707" s="15"/>
      <c r="H707" s="15"/>
    </row>
    <row r="708" spans="2:8" ht="23.25" customHeight="1" x14ac:dyDescent="0.2">
      <c r="B708" s="21"/>
      <c r="C708" s="101"/>
      <c r="D708" s="101"/>
      <c r="E708" s="101"/>
      <c r="G708" s="15"/>
      <c r="H708" s="15"/>
    </row>
    <row r="709" spans="2:8" ht="13.5" thickBot="1" x14ac:dyDescent="0.25">
      <c r="B709" s="20"/>
      <c r="C709" s="19"/>
      <c r="D709" s="19"/>
      <c r="E709" s="18"/>
      <c r="G709" s="15"/>
      <c r="H709" s="15"/>
    </row>
    <row r="710" spans="2:8" ht="13.5" thickBot="1" x14ac:dyDescent="0.25">
      <c r="G710" s="15"/>
      <c r="H710" s="15"/>
    </row>
    <row r="711" spans="2:8" x14ac:dyDescent="0.2">
      <c r="B711" s="30" t="s">
        <v>177</v>
      </c>
      <c r="C711" s="29"/>
      <c r="D711" s="29"/>
      <c r="E711" s="28"/>
      <c r="G711" s="15"/>
      <c r="H711" s="15"/>
    </row>
    <row r="712" spans="2:8" ht="7.5" customHeight="1" x14ac:dyDescent="0.2">
      <c r="B712" s="27"/>
      <c r="C712" s="23"/>
      <c r="D712" s="23"/>
      <c r="E712" s="22"/>
      <c r="G712" s="15"/>
      <c r="H712" s="15"/>
    </row>
    <row r="713" spans="2:8" x14ac:dyDescent="0.2">
      <c r="B713" s="21" t="s">
        <v>28</v>
      </c>
      <c r="C713" s="23"/>
      <c r="D713" s="23"/>
      <c r="E713" s="22"/>
      <c r="G713" s="15"/>
      <c r="H713" s="15"/>
    </row>
    <row r="714" spans="2:8" ht="41.25" customHeight="1" x14ac:dyDescent="0.2">
      <c r="B714" s="21"/>
      <c r="C714" s="99" t="s">
        <v>176</v>
      </c>
      <c r="D714" s="99"/>
      <c r="E714" s="99"/>
      <c r="G714" s="15"/>
      <c r="H714" s="15"/>
    </row>
    <row r="715" spans="2:8" x14ac:dyDescent="0.2">
      <c r="B715" s="21" t="s">
        <v>26</v>
      </c>
      <c r="C715" s="23"/>
      <c r="D715" s="23"/>
      <c r="E715" s="22"/>
      <c r="G715" s="15"/>
      <c r="H715" s="15"/>
    </row>
    <row r="716" spans="2:8" x14ac:dyDescent="0.2">
      <c r="B716" s="24"/>
      <c r="C716" s="102" t="s">
        <v>25</v>
      </c>
      <c r="D716" s="102"/>
      <c r="E716" s="102"/>
      <c r="G716" s="15"/>
      <c r="H716" s="15"/>
    </row>
    <row r="717" spans="2:8" x14ac:dyDescent="0.2">
      <c r="B717" s="24"/>
      <c r="C717" s="98"/>
      <c r="D717" s="98"/>
      <c r="E717" s="98"/>
      <c r="G717" s="15"/>
      <c r="H717" s="15"/>
    </row>
    <row r="718" spans="2:8" x14ac:dyDescent="0.2">
      <c r="B718" s="21" t="s">
        <v>24</v>
      </c>
      <c r="C718" s="23"/>
      <c r="D718" s="23"/>
      <c r="E718" s="22"/>
      <c r="G718" s="15"/>
      <c r="H718" s="15"/>
    </row>
    <row r="719" spans="2:8" ht="26.25" customHeight="1" x14ac:dyDescent="0.2">
      <c r="B719" s="24"/>
      <c r="C719" s="99"/>
      <c r="D719" s="99"/>
      <c r="E719" s="99"/>
      <c r="G719" s="15"/>
      <c r="H719" s="15"/>
    </row>
    <row r="720" spans="2:8" x14ac:dyDescent="0.2">
      <c r="B720" s="21" t="s">
        <v>23</v>
      </c>
      <c r="C720" s="26"/>
      <c r="D720" s="26"/>
      <c r="E720" s="25"/>
      <c r="G720" s="15"/>
      <c r="H720" s="15"/>
    </row>
    <row r="721" spans="2:8" ht="26.25" customHeight="1" x14ac:dyDescent="0.2">
      <c r="B721" s="24"/>
      <c r="C721" s="100" t="s">
        <v>22</v>
      </c>
      <c r="D721" s="100"/>
      <c r="E721" s="100"/>
      <c r="G721" s="15"/>
      <c r="H721" s="15"/>
    </row>
    <row r="722" spans="2:8" x14ac:dyDescent="0.2">
      <c r="B722" s="21" t="s">
        <v>21</v>
      </c>
      <c r="C722" s="23"/>
      <c r="D722" s="23"/>
      <c r="E722" s="22"/>
      <c r="G722" s="15"/>
      <c r="H722" s="15"/>
    </row>
    <row r="723" spans="2:8" ht="23.25" customHeight="1" x14ac:dyDescent="0.2">
      <c r="B723" s="21"/>
      <c r="C723" s="101"/>
      <c r="D723" s="101"/>
      <c r="E723" s="101"/>
      <c r="G723" s="15"/>
      <c r="H723" s="15"/>
    </row>
    <row r="724" spans="2:8" ht="13.5" thickBot="1" x14ac:dyDescent="0.25">
      <c r="B724" s="20"/>
      <c r="C724" s="19"/>
      <c r="D724" s="19"/>
      <c r="E724" s="18"/>
      <c r="G724" s="15"/>
      <c r="H724" s="15"/>
    </row>
    <row r="725" spans="2:8" ht="13.5" thickBot="1" x14ac:dyDescent="0.25">
      <c r="G725" s="15"/>
      <c r="H725" s="15"/>
    </row>
    <row r="726" spans="2:8" x14ac:dyDescent="0.2">
      <c r="B726" s="30" t="s">
        <v>175</v>
      </c>
      <c r="C726" s="29"/>
      <c r="D726" s="29"/>
      <c r="E726" s="28"/>
      <c r="G726" s="15"/>
      <c r="H726" s="15"/>
    </row>
    <row r="727" spans="2:8" ht="5.25" customHeight="1" x14ac:dyDescent="0.2">
      <c r="B727" s="27"/>
      <c r="C727" s="23"/>
      <c r="D727" s="23"/>
      <c r="E727" s="22"/>
      <c r="G727" s="15"/>
      <c r="H727" s="15"/>
    </row>
    <row r="728" spans="2:8" x14ac:dyDescent="0.2">
      <c r="B728" s="21" t="s">
        <v>28</v>
      </c>
      <c r="C728" s="23"/>
      <c r="D728" s="23"/>
      <c r="E728" s="22"/>
      <c r="G728" s="15"/>
      <c r="H728" s="15"/>
    </row>
    <row r="729" spans="2:8" ht="41.25" customHeight="1" x14ac:dyDescent="0.2">
      <c r="B729" s="21"/>
      <c r="C729" s="99" t="s">
        <v>174</v>
      </c>
      <c r="D729" s="99"/>
      <c r="E729" s="99"/>
      <c r="G729" s="15"/>
      <c r="H729" s="15"/>
    </row>
    <row r="730" spans="2:8" x14ac:dyDescent="0.2">
      <c r="B730" s="21" t="s">
        <v>26</v>
      </c>
      <c r="C730" s="23"/>
      <c r="D730" s="23"/>
      <c r="E730" s="22"/>
      <c r="G730" s="15"/>
      <c r="H730" s="15"/>
    </row>
    <row r="731" spans="2:8" x14ac:dyDescent="0.2">
      <c r="B731" s="24"/>
      <c r="C731" s="102" t="s">
        <v>25</v>
      </c>
      <c r="D731" s="102"/>
      <c r="E731" s="102"/>
      <c r="G731" s="15"/>
      <c r="H731" s="15"/>
    </row>
    <row r="732" spans="2:8" x14ac:dyDescent="0.2">
      <c r="B732" s="24"/>
      <c r="C732" s="98"/>
      <c r="D732" s="98"/>
      <c r="E732" s="98"/>
      <c r="G732" s="15"/>
      <c r="H732" s="15"/>
    </row>
    <row r="733" spans="2:8" x14ac:dyDescent="0.2">
      <c r="B733" s="21" t="s">
        <v>24</v>
      </c>
      <c r="C733" s="23"/>
      <c r="D733" s="23"/>
      <c r="E733" s="22"/>
      <c r="G733" s="15"/>
      <c r="H733" s="15"/>
    </row>
    <row r="734" spans="2:8" ht="26.25" customHeight="1" x14ac:dyDescent="0.2">
      <c r="B734" s="24"/>
      <c r="C734" s="99"/>
      <c r="D734" s="99"/>
      <c r="E734" s="99"/>
      <c r="G734" s="15"/>
      <c r="H734" s="15"/>
    </row>
    <row r="735" spans="2:8" x14ac:dyDescent="0.2">
      <c r="B735" s="21" t="s">
        <v>23</v>
      </c>
      <c r="C735" s="26"/>
      <c r="D735" s="26"/>
      <c r="E735" s="25"/>
      <c r="G735" s="15"/>
      <c r="H735" s="15"/>
    </row>
    <row r="736" spans="2:8" ht="26.25" customHeight="1" x14ac:dyDescent="0.2">
      <c r="B736" s="24"/>
      <c r="C736" s="100" t="s">
        <v>22</v>
      </c>
      <c r="D736" s="100"/>
      <c r="E736" s="100"/>
      <c r="G736" s="15"/>
      <c r="H736" s="15"/>
    </row>
    <row r="737" spans="2:8" x14ac:dyDescent="0.2">
      <c r="B737" s="21" t="s">
        <v>21</v>
      </c>
      <c r="C737" s="23"/>
      <c r="D737" s="23"/>
      <c r="E737" s="22"/>
      <c r="G737" s="15"/>
      <c r="H737" s="15"/>
    </row>
    <row r="738" spans="2:8" ht="23.25" customHeight="1" x14ac:dyDescent="0.2">
      <c r="B738" s="21"/>
      <c r="C738" s="101"/>
      <c r="D738" s="101"/>
      <c r="E738" s="101"/>
      <c r="G738" s="15"/>
      <c r="H738" s="15"/>
    </row>
    <row r="739" spans="2:8" ht="13.5" thickBot="1" x14ac:dyDescent="0.25">
      <c r="B739" s="20"/>
      <c r="C739" s="19"/>
      <c r="D739" s="19"/>
      <c r="E739" s="18"/>
      <c r="G739" s="15"/>
      <c r="H739" s="15"/>
    </row>
    <row r="740" spans="2:8" ht="13.5" thickBot="1" x14ac:dyDescent="0.25">
      <c r="G740" s="15"/>
      <c r="H740" s="15"/>
    </row>
    <row r="741" spans="2:8" x14ac:dyDescent="0.2">
      <c r="B741" s="30" t="s">
        <v>173</v>
      </c>
      <c r="C741" s="29"/>
      <c r="D741" s="29"/>
      <c r="E741" s="28"/>
      <c r="G741" s="15"/>
      <c r="H741" s="15"/>
    </row>
    <row r="742" spans="2:8" ht="7.5" customHeight="1" x14ac:dyDescent="0.2">
      <c r="B742" s="27"/>
      <c r="C742" s="23"/>
      <c r="D742" s="23"/>
      <c r="E742" s="22"/>
      <c r="G742" s="15"/>
      <c r="H742" s="15"/>
    </row>
    <row r="743" spans="2:8" x14ac:dyDescent="0.2">
      <c r="B743" s="21" t="s">
        <v>28</v>
      </c>
      <c r="C743" s="23"/>
      <c r="D743" s="23"/>
      <c r="E743" s="22"/>
      <c r="G743" s="15"/>
      <c r="H743" s="15"/>
    </row>
    <row r="744" spans="2:8" ht="41.25" customHeight="1" x14ac:dyDescent="0.2">
      <c r="B744" s="21"/>
      <c r="C744" s="99" t="s">
        <v>172</v>
      </c>
      <c r="D744" s="99"/>
      <c r="E744" s="99"/>
      <c r="G744" s="15"/>
      <c r="H744" s="15"/>
    </row>
    <row r="745" spans="2:8" x14ac:dyDescent="0.2">
      <c r="B745" s="21" t="s">
        <v>26</v>
      </c>
      <c r="C745" s="23"/>
      <c r="D745" s="23"/>
      <c r="E745" s="22"/>
      <c r="G745" s="15"/>
      <c r="H745" s="15"/>
    </row>
    <row r="746" spans="2:8" x14ac:dyDescent="0.2">
      <c r="B746" s="24"/>
      <c r="C746" s="102" t="s">
        <v>25</v>
      </c>
      <c r="D746" s="102"/>
      <c r="E746" s="102"/>
      <c r="G746" s="15"/>
      <c r="H746" s="15"/>
    </row>
    <row r="747" spans="2:8" x14ac:dyDescent="0.2">
      <c r="B747" s="24"/>
      <c r="C747" s="98"/>
      <c r="D747" s="98"/>
      <c r="E747" s="98"/>
      <c r="G747" s="15"/>
      <c r="H747" s="15"/>
    </row>
    <row r="748" spans="2:8" x14ac:dyDescent="0.2">
      <c r="B748" s="21" t="s">
        <v>24</v>
      </c>
      <c r="C748" s="23"/>
      <c r="D748" s="23"/>
      <c r="E748" s="22"/>
      <c r="G748" s="15"/>
      <c r="H748" s="15"/>
    </row>
    <row r="749" spans="2:8" ht="26.25" customHeight="1" x14ac:dyDescent="0.2">
      <c r="B749" s="24"/>
      <c r="C749" s="99"/>
      <c r="D749" s="99"/>
      <c r="E749" s="99"/>
      <c r="G749" s="15"/>
      <c r="H749" s="15"/>
    </row>
    <row r="750" spans="2:8" x14ac:dyDescent="0.2">
      <c r="B750" s="21" t="s">
        <v>23</v>
      </c>
      <c r="C750" s="26"/>
      <c r="D750" s="26"/>
      <c r="E750" s="25"/>
      <c r="G750" s="15"/>
      <c r="H750" s="15"/>
    </row>
    <row r="751" spans="2:8" ht="26.25" customHeight="1" x14ac:dyDescent="0.2">
      <c r="B751" s="24"/>
      <c r="C751" s="100" t="s">
        <v>22</v>
      </c>
      <c r="D751" s="100"/>
      <c r="E751" s="100"/>
      <c r="G751" s="15"/>
      <c r="H751" s="15"/>
    </row>
    <row r="752" spans="2:8" x14ac:dyDescent="0.2">
      <c r="B752" s="21" t="s">
        <v>21</v>
      </c>
      <c r="C752" s="23"/>
      <c r="D752" s="23"/>
      <c r="E752" s="22"/>
      <c r="G752" s="15"/>
      <c r="H752" s="15"/>
    </row>
    <row r="753" spans="2:8" ht="23.25" customHeight="1" x14ac:dyDescent="0.2">
      <c r="B753" s="21"/>
      <c r="C753" s="101"/>
      <c r="D753" s="101"/>
      <c r="E753" s="101"/>
      <c r="G753" s="15"/>
      <c r="H753" s="15"/>
    </row>
    <row r="754" spans="2:8" ht="13.5" thickBot="1" x14ac:dyDescent="0.25">
      <c r="B754" s="20"/>
      <c r="C754" s="19"/>
      <c r="D754" s="19"/>
      <c r="E754" s="18"/>
      <c r="G754" s="15"/>
      <c r="H754" s="15"/>
    </row>
    <row r="755" spans="2:8" ht="13.5" thickBot="1" x14ac:dyDescent="0.25">
      <c r="G755" s="15"/>
      <c r="H755" s="15"/>
    </row>
    <row r="756" spans="2:8" x14ac:dyDescent="0.2">
      <c r="B756" s="30" t="s">
        <v>171</v>
      </c>
      <c r="C756" s="29"/>
      <c r="D756" s="29"/>
      <c r="E756" s="28"/>
      <c r="G756" s="15"/>
      <c r="H756" s="15"/>
    </row>
    <row r="757" spans="2:8" ht="5.25" customHeight="1" x14ac:dyDescent="0.2">
      <c r="B757" s="27"/>
      <c r="C757" s="23"/>
      <c r="D757" s="23"/>
      <c r="E757" s="22"/>
      <c r="G757" s="15"/>
      <c r="H757" s="15"/>
    </row>
    <row r="758" spans="2:8" x14ac:dyDescent="0.2">
      <c r="B758" s="21" t="s">
        <v>28</v>
      </c>
      <c r="C758" s="23"/>
      <c r="D758" s="23"/>
      <c r="E758" s="22"/>
      <c r="G758" s="15"/>
      <c r="H758" s="15"/>
    </row>
    <row r="759" spans="2:8" ht="41.25" customHeight="1" x14ac:dyDescent="0.2">
      <c r="B759" s="21"/>
      <c r="C759" s="99" t="s">
        <v>170</v>
      </c>
      <c r="D759" s="99"/>
      <c r="E759" s="99"/>
      <c r="G759" s="15"/>
      <c r="H759" s="15"/>
    </row>
    <row r="760" spans="2:8" x14ac:dyDescent="0.2">
      <c r="B760" s="21" t="s">
        <v>26</v>
      </c>
      <c r="C760" s="23"/>
      <c r="D760" s="23"/>
      <c r="E760" s="22"/>
      <c r="G760" s="15"/>
      <c r="H760" s="15"/>
    </row>
    <row r="761" spans="2:8" x14ac:dyDescent="0.2">
      <c r="B761" s="24"/>
      <c r="C761" s="102" t="s">
        <v>25</v>
      </c>
      <c r="D761" s="102"/>
      <c r="E761" s="102"/>
      <c r="G761" s="15"/>
      <c r="H761" s="15"/>
    </row>
    <row r="762" spans="2:8" x14ac:dyDescent="0.2">
      <c r="B762" s="24"/>
      <c r="C762" s="98"/>
      <c r="D762" s="98"/>
      <c r="E762" s="98"/>
      <c r="G762" s="15"/>
      <c r="H762" s="15"/>
    </row>
    <row r="763" spans="2:8" x14ac:dyDescent="0.2">
      <c r="B763" s="21" t="s">
        <v>24</v>
      </c>
      <c r="C763" s="23"/>
      <c r="D763" s="23"/>
      <c r="E763" s="22"/>
      <c r="G763" s="15"/>
      <c r="H763" s="15"/>
    </row>
    <row r="764" spans="2:8" ht="26.25" customHeight="1" x14ac:dyDescent="0.2">
      <c r="B764" s="24"/>
      <c r="C764" s="99"/>
      <c r="D764" s="99"/>
      <c r="E764" s="99"/>
      <c r="G764" s="15"/>
      <c r="H764" s="15"/>
    </row>
    <row r="765" spans="2:8" x14ac:dyDescent="0.2">
      <c r="B765" s="21" t="s">
        <v>23</v>
      </c>
      <c r="C765" s="26"/>
      <c r="D765" s="26"/>
      <c r="E765" s="25"/>
      <c r="G765" s="15"/>
      <c r="H765" s="15"/>
    </row>
    <row r="766" spans="2:8" ht="26.25" customHeight="1" x14ac:dyDescent="0.2">
      <c r="B766" s="24"/>
      <c r="C766" s="100" t="s">
        <v>22</v>
      </c>
      <c r="D766" s="100"/>
      <c r="E766" s="100"/>
      <c r="G766" s="15"/>
      <c r="H766" s="15"/>
    </row>
    <row r="767" spans="2:8" x14ac:dyDescent="0.2">
      <c r="B767" s="21" t="s">
        <v>21</v>
      </c>
      <c r="C767" s="23"/>
      <c r="D767" s="23"/>
      <c r="E767" s="22"/>
      <c r="G767" s="15"/>
      <c r="H767" s="15"/>
    </row>
    <row r="768" spans="2:8" ht="23.25" customHeight="1" x14ac:dyDescent="0.2">
      <c r="B768" s="21"/>
      <c r="C768" s="101"/>
      <c r="D768" s="101"/>
      <c r="E768" s="101"/>
      <c r="G768" s="15"/>
      <c r="H768" s="15"/>
    </row>
    <row r="769" spans="2:8" ht="13.5" thickBot="1" x14ac:dyDescent="0.25">
      <c r="B769" s="20"/>
      <c r="C769" s="19"/>
      <c r="D769" s="19"/>
      <c r="E769" s="18"/>
      <c r="G769" s="15"/>
      <c r="H769" s="15"/>
    </row>
    <row r="770" spans="2:8" ht="13.5" thickBot="1" x14ac:dyDescent="0.25">
      <c r="G770" s="15"/>
      <c r="H770" s="15"/>
    </row>
    <row r="771" spans="2:8" x14ac:dyDescent="0.2">
      <c r="B771" s="30" t="s">
        <v>169</v>
      </c>
      <c r="C771" s="29"/>
      <c r="D771" s="29"/>
      <c r="E771" s="28"/>
      <c r="G771" s="15"/>
      <c r="H771" s="15"/>
    </row>
    <row r="772" spans="2:8" ht="7.5" customHeight="1" x14ac:dyDescent="0.2">
      <c r="B772" s="27"/>
      <c r="C772" s="23"/>
      <c r="D772" s="23"/>
      <c r="E772" s="22"/>
      <c r="G772" s="15"/>
      <c r="H772" s="15"/>
    </row>
    <row r="773" spans="2:8" x14ac:dyDescent="0.2">
      <c r="B773" s="21" t="s">
        <v>28</v>
      </c>
      <c r="C773" s="23"/>
      <c r="D773" s="23"/>
      <c r="E773" s="22"/>
      <c r="G773" s="15"/>
      <c r="H773" s="15"/>
    </row>
    <row r="774" spans="2:8" ht="41.25" customHeight="1" x14ac:dyDescent="0.2">
      <c r="B774" s="21"/>
      <c r="C774" s="99" t="s">
        <v>168</v>
      </c>
      <c r="D774" s="99"/>
      <c r="E774" s="99"/>
      <c r="G774" s="15"/>
      <c r="H774" s="15"/>
    </row>
    <row r="775" spans="2:8" x14ac:dyDescent="0.2">
      <c r="B775" s="21" t="s">
        <v>26</v>
      </c>
      <c r="C775" s="23"/>
      <c r="D775" s="23"/>
      <c r="E775" s="22"/>
      <c r="G775" s="15"/>
      <c r="H775" s="15"/>
    </row>
    <row r="776" spans="2:8" x14ac:dyDescent="0.2">
      <c r="B776" s="24"/>
      <c r="C776" s="102" t="s">
        <v>25</v>
      </c>
      <c r="D776" s="102"/>
      <c r="E776" s="102"/>
      <c r="G776" s="15"/>
      <c r="H776" s="15"/>
    </row>
    <row r="777" spans="2:8" x14ac:dyDescent="0.2">
      <c r="B777" s="24"/>
      <c r="C777" s="98"/>
      <c r="D777" s="98"/>
      <c r="E777" s="98"/>
      <c r="G777" s="15"/>
      <c r="H777" s="15"/>
    </row>
    <row r="778" spans="2:8" x14ac:dyDescent="0.2">
      <c r="B778" s="21" t="s">
        <v>24</v>
      </c>
      <c r="C778" s="23"/>
      <c r="D778" s="23"/>
      <c r="E778" s="22"/>
      <c r="G778" s="15"/>
      <c r="H778" s="15"/>
    </row>
    <row r="779" spans="2:8" ht="26.25" customHeight="1" x14ac:dyDescent="0.2">
      <c r="B779" s="24"/>
      <c r="C779" s="99"/>
      <c r="D779" s="99"/>
      <c r="E779" s="99"/>
      <c r="G779" s="15"/>
      <c r="H779" s="15"/>
    </row>
    <row r="780" spans="2:8" x14ac:dyDescent="0.2">
      <c r="B780" s="21" t="s">
        <v>23</v>
      </c>
      <c r="C780" s="26"/>
      <c r="D780" s="26"/>
      <c r="E780" s="25"/>
      <c r="G780" s="15"/>
      <c r="H780" s="15"/>
    </row>
    <row r="781" spans="2:8" ht="26.25" customHeight="1" x14ac:dyDescent="0.2">
      <c r="B781" s="24"/>
      <c r="C781" s="100" t="s">
        <v>22</v>
      </c>
      <c r="D781" s="100"/>
      <c r="E781" s="100"/>
      <c r="G781" s="15"/>
      <c r="H781" s="15"/>
    </row>
    <row r="782" spans="2:8" x14ac:dyDescent="0.2">
      <c r="B782" s="21" t="s">
        <v>21</v>
      </c>
      <c r="C782" s="23"/>
      <c r="D782" s="23"/>
      <c r="E782" s="22"/>
      <c r="G782" s="15"/>
      <c r="H782" s="15"/>
    </row>
    <row r="783" spans="2:8" ht="23.25" customHeight="1" x14ac:dyDescent="0.2">
      <c r="B783" s="21"/>
      <c r="C783" s="101"/>
      <c r="D783" s="101"/>
      <c r="E783" s="101"/>
      <c r="G783" s="15"/>
      <c r="H783" s="15"/>
    </row>
    <row r="784" spans="2:8" ht="13.5" thickBot="1" x14ac:dyDescent="0.25">
      <c r="B784" s="20"/>
      <c r="C784" s="19"/>
      <c r="D784" s="19"/>
      <c r="E784" s="18"/>
      <c r="G784" s="15"/>
      <c r="H784" s="15"/>
    </row>
    <row r="785" spans="2:8" ht="13.5" thickBot="1" x14ac:dyDescent="0.25">
      <c r="G785" s="15"/>
      <c r="H785" s="15"/>
    </row>
    <row r="786" spans="2:8" x14ac:dyDescent="0.2">
      <c r="B786" s="30" t="s">
        <v>167</v>
      </c>
      <c r="C786" s="29"/>
      <c r="D786" s="29"/>
      <c r="E786" s="28"/>
      <c r="G786" s="15"/>
      <c r="H786" s="15"/>
    </row>
    <row r="787" spans="2:8" ht="5.25" customHeight="1" x14ac:dyDescent="0.2">
      <c r="B787" s="27"/>
      <c r="C787" s="23"/>
      <c r="D787" s="23"/>
      <c r="E787" s="22"/>
      <c r="G787" s="15"/>
      <c r="H787" s="15"/>
    </row>
    <row r="788" spans="2:8" x14ac:dyDescent="0.2">
      <c r="B788" s="21" t="s">
        <v>28</v>
      </c>
      <c r="C788" s="23"/>
      <c r="D788" s="23"/>
      <c r="E788" s="22"/>
      <c r="G788" s="15"/>
      <c r="H788" s="15"/>
    </row>
    <row r="789" spans="2:8" ht="41.25" customHeight="1" x14ac:dyDescent="0.2">
      <c r="B789" s="21"/>
      <c r="C789" s="99" t="s">
        <v>166</v>
      </c>
      <c r="D789" s="99"/>
      <c r="E789" s="99"/>
      <c r="G789" s="15"/>
      <c r="H789" s="15"/>
    </row>
    <row r="790" spans="2:8" x14ac:dyDescent="0.2">
      <c r="B790" s="21" t="s">
        <v>26</v>
      </c>
      <c r="C790" s="23"/>
      <c r="D790" s="23"/>
      <c r="E790" s="22"/>
      <c r="G790" s="15"/>
      <c r="H790" s="15"/>
    </row>
    <row r="791" spans="2:8" x14ac:dyDescent="0.2">
      <c r="B791" s="24"/>
      <c r="C791" s="102" t="s">
        <v>25</v>
      </c>
      <c r="D791" s="102"/>
      <c r="E791" s="102"/>
      <c r="G791" s="15"/>
      <c r="H791" s="15"/>
    </row>
    <row r="792" spans="2:8" x14ac:dyDescent="0.2">
      <c r="B792" s="24"/>
      <c r="C792" s="98"/>
      <c r="D792" s="98"/>
      <c r="E792" s="98"/>
      <c r="G792" s="15"/>
      <c r="H792" s="15"/>
    </row>
    <row r="793" spans="2:8" x14ac:dyDescent="0.2">
      <c r="B793" s="21" t="s">
        <v>24</v>
      </c>
      <c r="C793" s="23"/>
      <c r="D793" s="23"/>
      <c r="E793" s="22"/>
      <c r="G793" s="15"/>
      <c r="H793" s="15"/>
    </row>
    <row r="794" spans="2:8" ht="26.25" customHeight="1" x14ac:dyDescent="0.2">
      <c r="B794" s="24"/>
      <c r="C794" s="99"/>
      <c r="D794" s="99"/>
      <c r="E794" s="99"/>
      <c r="G794" s="15"/>
      <c r="H794" s="15"/>
    </row>
    <row r="795" spans="2:8" x14ac:dyDescent="0.2">
      <c r="B795" s="21" t="s">
        <v>23</v>
      </c>
      <c r="C795" s="26"/>
      <c r="D795" s="26"/>
      <c r="E795" s="25"/>
      <c r="G795" s="15"/>
      <c r="H795" s="15"/>
    </row>
    <row r="796" spans="2:8" ht="26.25" customHeight="1" x14ac:dyDescent="0.2">
      <c r="B796" s="24"/>
      <c r="C796" s="100" t="s">
        <v>22</v>
      </c>
      <c r="D796" s="100"/>
      <c r="E796" s="100"/>
      <c r="G796" s="15"/>
      <c r="H796" s="15"/>
    </row>
    <row r="797" spans="2:8" x14ac:dyDescent="0.2">
      <c r="B797" s="21" t="s">
        <v>21</v>
      </c>
      <c r="C797" s="23"/>
      <c r="D797" s="23"/>
      <c r="E797" s="22"/>
      <c r="G797" s="15"/>
      <c r="H797" s="15"/>
    </row>
    <row r="798" spans="2:8" ht="23.25" customHeight="1" x14ac:dyDescent="0.2">
      <c r="B798" s="21"/>
      <c r="C798" s="101"/>
      <c r="D798" s="101"/>
      <c r="E798" s="101"/>
      <c r="G798" s="15"/>
      <c r="H798" s="15"/>
    </row>
    <row r="799" spans="2:8" ht="13.5" thickBot="1" x14ac:dyDescent="0.25">
      <c r="B799" s="20"/>
      <c r="C799" s="19"/>
      <c r="D799" s="19"/>
      <c r="E799" s="18"/>
      <c r="G799" s="15"/>
      <c r="H799" s="15"/>
    </row>
    <row r="800" spans="2:8" ht="13.5" thickBot="1" x14ac:dyDescent="0.25">
      <c r="G800" s="15"/>
      <c r="H800" s="15"/>
    </row>
    <row r="801" spans="2:8" x14ac:dyDescent="0.2">
      <c r="B801" s="30" t="s">
        <v>165</v>
      </c>
      <c r="C801" s="29"/>
      <c r="D801" s="29"/>
      <c r="E801" s="28"/>
      <c r="G801" s="15"/>
      <c r="H801" s="15"/>
    </row>
    <row r="802" spans="2:8" ht="7.5" customHeight="1" x14ac:dyDescent="0.2">
      <c r="B802" s="27"/>
      <c r="C802" s="23"/>
      <c r="D802" s="23"/>
      <c r="E802" s="22"/>
      <c r="G802" s="15"/>
      <c r="H802" s="15"/>
    </row>
    <row r="803" spans="2:8" x14ac:dyDescent="0.2">
      <c r="B803" s="21" t="s">
        <v>28</v>
      </c>
      <c r="C803" s="23"/>
      <c r="D803" s="23"/>
      <c r="E803" s="22"/>
      <c r="G803" s="15"/>
      <c r="H803" s="15"/>
    </row>
    <row r="804" spans="2:8" ht="41.25" customHeight="1" x14ac:dyDescent="0.2">
      <c r="B804" s="21"/>
      <c r="C804" s="99" t="s">
        <v>164</v>
      </c>
      <c r="D804" s="99"/>
      <c r="E804" s="99"/>
      <c r="G804" s="15"/>
      <c r="H804" s="15"/>
    </row>
    <row r="805" spans="2:8" x14ac:dyDescent="0.2">
      <c r="B805" s="21" t="s">
        <v>26</v>
      </c>
      <c r="C805" s="23"/>
      <c r="D805" s="23"/>
      <c r="E805" s="22"/>
      <c r="G805" s="15"/>
      <c r="H805" s="15"/>
    </row>
    <row r="806" spans="2:8" x14ac:dyDescent="0.2">
      <c r="B806" s="24"/>
      <c r="C806" s="102" t="s">
        <v>25</v>
      </c>
      <c r="D806" s="102"/>
      <c r="E806" s="102"/>
      <c r="G806" s="15"/>
      <c r="H806" s="15"/>
    </row>
    <row r="807" spans="2:8" x14ac:dyDescent="0.2">
      <c r="B807" s="24"/>
      <c r="C807" s="98"/>
      <c r="D807" s="98"/>
      <c r="E807" s="98"/>
      <c r="G807" s="15"/>
      <c r="H807" s="15"/>
    </row>
    <row r="808" spans="2:8" x14ac:dyDescent="0.2">
      <c r="B808" s="21" t="s">
        <v>24</v>
      </c>
      <c r="C808" s="23"/>
      <c r="D808" s="23"/>
      <c r="E808" s="22"/>
      <c r="G808" s="15"/>
      <c r="H808" s="15"/>
    </row>
    <row r="809" spans="2:8" ht="26.25" customHeight="1" x14ac:dyDescent="0.2">
      <c r="B809" s="24"/>
      <c r="C809" s="99"/>
      <c r="D809" s="99"/>
      <c r="E809" s="99"/>
      <c r="G809" s="15"/>
      <c r="H809" s="15"/>
    </row>
    <row r="810" spans="2:8" x14ac:dyDescent="0.2">
      <c r="B810" s="21" t="s">
        <v>23</v>
      </c>
      <c r="C810" s="26"/>
      <c r="D810" s="26"/>
      <c r="E810" s="25"/>
      <c r="G810" s="15"/>
      <c r="H810" s="15"/>
    </row>
    <row r="811" spans="2:8" ht="26.25" customHeight="1" x14ac:dyDescent="0.2">
      <c r="B811" s="24"/>
      <c r="C811" s="100" t="s">
        <v>22</v>
      </c>
      <c r="D811" s="100"/>
      <c r="E811" s="100"/>
      <c r="G811" s="15"/>
      <c r="H811" s="15"/>
    </row>
    <row r="812" spans="2:8" x14ac:dyDescent="0.2">
      <c r="B812" s="21" t="s">
        <v>21</v>
      </c>
      <c r="C812" s="23"/>
      <c r="D812" s="23"/>
      <c r="E812" s="22"/>
      <c r="G812" s="15"/>
      <c r="H812" s="15"/>
    </row>
    <row r="813" spans="2:8" ht="23.25" customHeight="1" x14ac:dyDescent="0.2">
      <c r="B813" s="21"/>
      <c r="C813" s="101"/>
      <c r="D813" s="101"/>
      <c r="E813" s="101"/>
      <c r="G813" s="15"/>
      <c r="H813" s="15"/>
    </row>
    <row r="814" spans="2:8" ht="13.5" thickBot="1" x14ac:dyDescent="0.25">
      <c r="B814" s="20"/>
      <c r="C814" s="19"/>
      <c r="D814" s="19"/>
      <c r="E814" s="18"/>
      <c r="G814" s="15"/>
      <c r="H814" s="15"/>
    </row>
    <row r="815" spans="2:8" ht="13.5" thickBot="1" x14ac:dyDescent="0.25">
      <c r="G815" s="15"/>
      <c r="H815" s="15"/>
    </row>
    <row r="816" spans="2:8" x14ac:dyDescent="0.2">
      <c r="B816" s="30" t="s">
        <v>163</v>
      </c>
      <c r="C816" s="29"/>
      <c r="D816" s="29"/>
      <c r="E816" s="28"/>
      <c r="G816" s="15"/>
      <c r="H816" s="15"/>
    </row>
    <row r="817" spans="2:8" ht="5.25" customHeight="1" x14ac:dyDescent="0.2">
      <c r="B817" s="27"/>
      <c r="C817" s="23"/>
      <c r="D817" s="23"/>
      <c r="E817" s="22"/>
      <c r="G817" s="15"/>
      <c r="H817" s="15"/>
    </row>
    <row r="818" spans="2:8" x14ac:dyDescent="0.2">
      <c r="B818" s="21" t="s">
        <v>28</v>
      </c>
      <c r="C818" s="23"/>
      <c r="D818" s="23"/>
      <c r="E818" s="22"/>
      <c r="G818" s="15"/>
      <c r="H818" s="15"/>
    </row>
    <row r="819" spans="2:8" ht="41.25" customHeight="1" x14ac:dyDescent="0.2">
      <c r="B819" s="21"/>
      <c r="C819" s="99" t="s">
        <v>162</v>
      </c>
      <c r="D819" s="99"/>
      <c r="E819" s="99"/>
      <c r="G819" s="15"/>
      <c r="H819" s="15"/>
    </row>
    <row r="820" spans="2:8" x14ac:dyDescent="0.2">
      <c r="B820" s="21" t="s">
        <v>26</v>
      </c>
      <c r="C820" s="23"/>
      <c r="D820" s="23"/>
      <c r="E820" s="22"/>
      <c r="G820" s="15"/>
      <c r="H820" s="15"/>
    </row>
    <row r="821" spans="2:8" x14ac:dyDescent="0.2">
      <c r="B821" s="24"/>
      <c r="C821" s="102" t="s">
        <v>25</v>
      </c>
      <c r="D821" s="102"/>
      <c r="E821" s="102"/>
      <c r="G821" s="15"/>
      <c r="H821" s="15"/>
    </row>
    <row r="822" spans="2:8" x14ac:dyDescent="0.2">
      <c r="B822" s="24"/>
      <c r="C822" s="98"/>
      <c r="D822" s="98"/>
      <c r="E822" s="98"/>
      <c r="G822" s="15"/>
      <c r="H822" s="15"/>
    </row>
    <row r="823" spans="2:8" x14ac:dyDescent="0.2">
      <c r="B823" s="21" t="s">
        <v>24</v>
      </c>
      <c r="C823" s="23"/>
      <c r="D823" s="23"/>
      <c r="E823" s="22"/>
      <c r="G823" s="15"/>
      <c r="H823" s="15"/>
    </row>
    <row r="824" spans="2:8" ht="26.25" customHeight="1" x14ac:dyDescent="0.2">
      <c r="B824" s="24"/>
      <c r="C824" s="99"/>
      <c r="D824" s="99"/>
      <c r="E824" s="99"/>
      <c r="G824" s="15"/>
      <c r="H824" s="15"/>
    </row>
    <row r="825" spans="2:8" x14ac:dyDescent="0.2">
      <c r="B825" s="21" t="s">
        <v>23</v>
      </c>
      <c r="C825" s="26"/>
      <c r="D825" s="26"/>
      <c r="E825" s="25"/>
      <c r="G825" s="15"/>
      <c r="H825" s="15"/>
    </row>
    <row r="826" spans="2:8" ht="26.25" customHeight="1" x14ac:dyDescent="0.2">
      <c r="B826" s="24"/>
      <c r="C826" s="100" t="s">
        <v>22</v>
      </c>
      <c r="D826" s="100"/>
      <c r="E826" s="100"/>
      <c r="G826" s="15"/>
      <c r="H826" s="15"/>
    </row>
    <row r="827" spans="2:8" x14ac:dyDescent="0.2">
      <c r="B827" s="21" t="s">
        <v>21</v>
      </c>
      <c r="C827" s="23"/>
      <c r="D827" s="23"/>
      <c r="E827" s="22"/>
      <c r="G827" s="15"/>
      <c r="H827" s="15"/>
    </row>
    <row r="828" spans="2:8" ht="23.25" customHeight="1" x14ac:dyDescent="0.2">
      <c r="B828" s="21"/>
      <c r="C828" s="101"/>
      <c r="D828" s="101"/>
      <c r="E828" s="101"/>
      <c r="G828" s="15"/>
      <c r="H828" s="15"/>
    </row>
    <row r="829" spans="2:8" ht="13.5" thickBot="1" x14ac:dyDescent="0.25">
      <c r="B829" s="20"/>
      <c r="C829" s="19"/>
      <c r="D829" s="19"/>
      <c r="E829" s="18"/>
      <c r="G829" s="15"/>
      <c r="H829" s="15"/>
    </row>
    <row r="830" spans="2:8" ht="13.5" thickBot="1" x14ac:dyDescent="0.25">
      <c r="G830" s="15"/>
      <c r="H830" s="15"/>
    </row>
    <row r="831" spans="2:8" x14ac:dyDescent="0.2">
      <c r="B831" s="30" t="s">
        <v>161</v>
      </c>
      <c r="C831" s="29"/>
      <c r="D831" s="29"/>
      <c r="E831" s="28"/>
      <c r="G831" s="15"/>
      <c r="H831" s="15"/>
    </row>
    <row r="832" spans="2:8" ht="7.5" customHeight="1" x14ac:dyDescent="0.2">
      <c r="B832" s="27"/>
      <c r="C832" s="23"/>
      <c r="D832" s="23"/>
      <c r="E832" s="22"/>
      <c r="G832" s="15"/>
      <c r="H832" s="15"/>
    </row>
    <row r="833" spans="2:8" x14ac:dyDescent="0.2">
      <c r="B833" s="21" t="s">
        <v>28</v>
      </c>
      <c r="C833" s="23"/>
      <c r="D833" s="23"/>
      <c r="E833" s="22"/>
      <c r="G833" s="15"/>
      <c r="H833" s="15"/>
    </row>
    <row r="834" spans="2:8" ht="41.25" customHeight="1" x14ac:dyDescent="0.2">
      <c r="B834" s="21"/>
      <c r="C834" s="99" t="s">
        <v>160</v>
      </c>
      <c r="D834" s="99"/>
      <c r="E834" s="99"/>
      <c r="G834" s="15"/>
      <c r="H834" s="15"/>
    </row>
    <row r="835" spans="2:8" x14ac:dyDescent="0.2">
      <c r="B835" s="21" t="s">
        <v>26</v>
      </c>
      <c r="C835" s="23"/>
      <c r="D835" s="23"/>
      <c r="E835" s="22"/>
      <c r="G835" s="15"/>
      <c r="H835" s="15"/>
    </row>
    <row r="836" spans="2:8" x14ac:dyDescent="0.2">
      <c r="B836" s="24"/>
      <c r="C836" s="102" t="s">
        <v>25</v>
      </c>
      <c r="D836" s="102"/>
      <c r="E836" s="102"/>
      <c r="G836" s="15"/>
      <c r="H836" s="15"/>
    </row>
    <row r="837" spans="2:8" x14ac:dyDescent="0.2">
      <c r="B837" s="24"/>
      <c r="C837" s="98"/>
      <c r="D837" s="98"/>
      <c r="E837" s="98"/>
      <c r="G837" s="15"/>
      <c r="H837" s="15"/>
    </row>
    <row r="838" spans="2:8" x14ac:dyDescent="0.2">
      <c r="B838" s="21" t="s">
        <v>24</v>
      </c>
      <c r="C838" s="23"/>
      <c r="D838" s="23"/>
      <c r="E838" s="22"/>
      <c r="G838" s="15"/>
      <c r="H838" s="15"/>
    </row>
    <row r="839" spans="2:8" ht="26.25" customHeight="1" x14ac:dyDescent="0.2">
      <c r="B839" s="24"/>
      <c r="C839" s="99"/>
      <c r="D839" s="99"/>
      <c r="E839" s="99"/>
      <c r="G839" s="15"/>
      <c r="H839" s="15"/>
    </row>
    <row r="840" spans="2:8" x14ac:dyDescent="0.2">
      <c r="B840" s="21" t="s">
        <v>23</v>
      </c>
      <c r="C840" s="26"/>
      <c r="D840" s="26"/>
      <c r="E840" s="25"/>
      <c r="G840" s="15"/>
      <c r="H840" s="15"/>
    </row>
    <row r="841" spans="2:8" ht="26.25" customHeight="1" x14ac:dyDescent="0.2">
      <c r="B841" s="24"/>
      <c r="C841" s="100" t="s">
        <v>22</v>
      </c>
      <c r="D841" s="100"/>
      <c r="E841" s="100"/>
      <c r="G841" s="15"/>
      <c r="H841" s="15"/>
    </row>
    <row r="842" spans="2:8" x14ac:dyDescent="0.2">
      <c r="B842" s="21" t="s">
        <v>21</v>
      </c>
      <c r="C842" s="23"/>
      <c r="D842" s="23"/>
      <c r="E842" s="22"/>
      <c r="G842" s="15"/>
      <c r="H842" s="15"/>
    </row>
    <row r="843" spans="2:8" ht="23.25" customHeight="1" x14ac:dyDescent="0.2">
      <c r="B843" s="21"/>
      <c r="C843" s="101"/>
      <c r="D843" s="101"/>
      <c r="E843" s="101"/>
      <c r="G843" s="15"/>
      <c r="H843" s="15"/>
    </row>
    <row r="844" spans="2:8" ht="13.5" thickBot="1" x14ac:dyDescent="0.25">
      <c r="B844" s="20"/>
      <c r="C844" s="19"/>
      <c r="D844" s="19"/>
      <c r="E844" s="18"/>
      <c r="G844" s="15"/>
      <c r="H844" s="15"/>
    </row>
    <row r="845" spans="2:8" ht="13.5" thickBot="1" x14ac:dyDescent="0.25">
      <c r="G845" s="15"/>
      <c r="H845" s="15"/>
    </row>
    <row r="846" spans="2:8" x14ac:dyDescent="0.2">
      <c r="B846" s="30" t="s">
        <v>159</v>
      </c>
      <c r="C846" s="29"/>
      <c r="D846" s="29"/>
      <c r="E846" s="28"/>
      <c r="G846" s="15"/>
      <c r="H846" s="15"/>
    </row>
    <row r="847" spans="2:8" ht="5.25" customHeight="1" x14ac:dyDescent="0.2">
      <c r="B847" s="27"/>
      <c r="C847" s="23"/>
      <c r="D847" s="23"/>
      <c r="E847" s="22"/>
      <c r="G847" s="15"/>
      <c r="H847" s="15"/>
    </row>
    <row r="848" spans="2:8" x14ac:dyDescent="0.2">
      <c r="B848" s="21" t="s">
        <v>28</v>
      </c>
      <c r="C848" s="23"/>
      <c r="D848" s="23"/>
      <c r="E848" s="22"/>
      <c r="G848" s="15"/>
      <c r="H848" s="15"/>
    </row>
    <row r="849" spans="2:8" ht="41.25" customHeight="1" x14ac:dyDescent="0.2">
      <c r="B849" s="21"/>
      <c r="C849" s="99" t="s">
        <v>158</v>
      </c>
      <c r="D849" s="99"/>
      <c r="E849" s="99"/>
      <c r="G849" s="15"/>
      <c r="H849" s="15"/>
    </row>
    <row r="850" spans="2:8" x14ac:dyDescent="0.2">
      <c r="B850" s="21" t="s">
        <v>26</v>
      </c>
      <c r="C850" s="23"/>
      <c r="D850" s="23"/>
      <c r="E850" s="22"/>
      <c r="G850" s="15"/>
      <c r="H850" s="15"/>
    </row>
    <row r="851" spans="2:8" x14ac:dyDescent="0.2">
      <c r="B851" s="24"/>
      <c r="C851" s="102" t="s">
        <v>25</v>
      </c>
      <c r="D851" s="102"/>
      <c r="E851" s="102"/>
      <c r="G851" s="15"/>
      <c r="H851" s="15"/>
    </row>
    <row r="852" spans="2:8" x14ac:dyDescent="0.2">
      <c r="B852" s="24"/>
      <c r="C852" s="98"/>
      <c r="D852" s="98"/>
      <c r="E852" s="98"/>
      <c r="G852" s="15"/>
      <c r="H852" s="15"/>
    </row>
    <row r="853" spans="2:8" x14ac:dyDescent="0.2">
      <c r="B853" s="21" t="s">
        <v>24</v>
      </c>
      <c r="C853" s="23"/>
      <c r="D853" s="23"/>
      <c r="E853" s="22"/>
      <c r="G853" s="15"/>
      <c r="H853" s="15"/>
    </row>
    <row r="854" spans="2:8" ht="26.25" customHeight="1" x14ac:dyDescent="0.2">
      <c r="B854" s="24"/>
      <c r="C854" s="99"/>
      <c r="D854" s="99"/>
      <c r="E854" s="99"/>
      <c r="G854" s="15"/>
      <c r="H854" s="15"/>
    </row>
    <row r="855" spans="2:8" x14ac:dyDescent="0.2">
      <c r="B855" s="21" t="s">
        <v>23</v>
      </c>
      <c r="C855" s="26"/>
      <c r="D855" s="26"/>
      <c r="E855" s="25"/>
      <c r="G855" s="15"/>
      <c r="H855" s="15"/>
    </row>
    <row r="856" spans="2:8" ht="26.25" customHeight="1" x14ac:dyDescent="0.2">
      <c r="B856" s="24"/>
      <c r="C856" s="100" t="s">
        <v>22</v>
      </c>
      <c r="D856" s="100"/>
      <c r="E856" s="100"/>
      <c r="G856" s="15"/>
      <c r="H856" s="15"/>
    </row>
    <row r="857" spans="2:8" x14ac:dyDescent="0.2">
      <c r="B857" s="21" t="s">
        <v>21</v>
      </c>
      <c r="C857" s="23"/>
      <c r="D857" s="23"/>
      <c r="E857" s="22"/>
      <c r="G857" s="15"/>
      <c r="H857" s="15"/>
    </row>
    <row r="858" spans="2:8" ht="23.25" customHeight="1" x14ac:dyDescent="0.2">
      <c r="B858" s="21"/>
      <c r="C858" s="101"/>
      <c r="D858" s="101"/>
      <c r="E858" s="101"/>
      <c r="G858" s="15"/>
      <c r="H858" s="15"/>
    </row>
    <row r="859" spans="2:8" ht="13.5" thickBot="1" x14ac:dyDescent="0.25">
      <c r="B859" s="20"/>
      <c r="C859" s="19"/>
      <c r="D859" s="19"/>
      <c r="E859" s="18"/>
      <c r="G859" s="15"/>
      <c r="H859" s="15"/>
    </row>
    <row r="860" spans="2:8" ht="13.5" thickBot="1" x14ac:dyDescent="0.25">
      <c r="G860" s="15"/>
      <c r="H860" s="15"/>
    </row>
    <row r="861" spans="2:8" x14ac:dyDescent="0.2">
      <c r="B861" s="30" t="s">
        <v>157</v>
      </c>
      <c r="C861" s="29"/>
      <c r="D861" s="29"/>
      <c r="E861" s="28"/>
      <c r="G861" s="15"/>
      <c r="H861" s="15"/>
    </row>
    <row r="862" spans="2:8" ht="7.5" customHeight="1" x14ac:dyDescent="0.2">
      <c r="B862" s="27"/>
      <c r="C862" s="23"/>
      <c r="D862" s="23"/>
      <c r="E862" s="22"/>
      <c r="G862" s="15"/>
      <c r="H862" s="15"/>
    </row>
    <row r="863" spans="2:8" x14ac:dyDescent="0.2">
      <c r="B863" s="21" t="s">
        <v>28</v>
      </c>
      <c r="C863" s="23"/>
      <c r="D863" s="23"/>
      <c r="E863" s="22"/>
      <c r="G863" s="15"/>
      <c r="H863" s="15"/>
    </row>
    <row r="864" spans="2:8" ht="41.25" customHeight="1" x14ac:dyDescent="0.2">
      <c r="B864" s="21"/>
      <c r="C864" s="99" t="s">
        <v>156</v>
      </c>
      <c r="D864" s="99"/>
      <c r="E864" s="99"/>
      <c r="G864" s="15"/>
      <c r="H864" s="15"/>
    </row>
    <row r="865" spans="2:8" x14ac:dyDescent="0.2">
      <c r="B865" s="21" t="s">
        <v>26</v>
      </c>
      <c r="C865" s="23"/>
      <c r="D865" s="23"/>
      <c r="E865" s="22"/>
      <c r="G865" s="15"/>
      <c r="H865" s="15"/>
    </row>
    <row r="866" spans="2:8" x14ac:dyDescent="0.2">
      <c r="B866" s="24"/>
      <c r="C866" s="102" t="s">
        <v>25</v>
      </c>
      <c r="D866" s="102"/>
      <c r="E866" s="102"/>
      <c r="G866" s="15"/>
      <c r="H866" s="15"/>
    </row>
    <row r="867" spans="2:8" x14ac:dyDescent="0.2">
      <c r="B867" s="24"/>
      <c r="C867" s="98"/>
      <c r="D867" s="98"/>
      <c r="E867" s="98"/>
      <c r="G867" s="15"/>
      <c r="H867" s="15"/>
    </row>
    <row r="868" spans="2:8" x14ac:dyDescent="0.2">
      <c r="B868" s="21" t="s">
        <v>24</v>
      </c>
      <c r="C868" s="23"/>
      <c r="D868" s="23"/>
      <c r="E868" s="22"/>
      <c r="G868" s="15"/>
      <c r="H868" s="15"/>
    </row>
    <row r="869" spans="2:8" ht="26.25" customHeight="1" x14ac:dyDescent="0.2">
      <c r="B869" s="24"/>
      <c r="C869" s="99"/>
      <c r="D869" s="99"/>
      <c r="E869" s="99"/>
      <c r="G869" s="15"/>
      <c r="H869" s="15"/>
    </row>
    <row r="870" spans="2:8" x14ac:dyDescent="0.2">
      <c r="B870" s="21" t="s">
        <v>23</v>
      </c>
      <c r="C870" s="26"/>
      <c r="D870" s="26"/>
      <c r="E870" s="25"/>
      <c r="G870" s="15"/>
      <c r="H870" s="15"/>
    </row>
    <row r="871" spans="2:8" ht="26.25" customHeight="1" x14ac:dyDescent="0.2">
      <c r="B871" s="24"/>
      <c r="C871" s="100" t="s">
        <v>22</v>
      </c>
      <c r="D871" s="100"/>
      <c r="E871" s="100"/>
      <c r="G871" s="15"/>
      <c r="H871" s="15"/>
    </row>
    <row r="872" spans="2:8" x14ac:dyDescent="0.2">
      <c r="B872" s="21" t="s">
        <v>21</v>
      </c>
      <c r="C872" s="23"/>
      <c r="D872" s="23"/>
      <c r="E872" s="22"/>
      <c r="G872" s="15"/>
      <c r="H872" s="15"/>
    </row>
    <row r="873" spans="2:8" ht="23.25" customHeight="1" x14ac:dyDescent="0.2">
      <c r="B873" s="21"/>
      <c r="C873" s="101"/>
      <c r="D873" s="101"/>
      <c r="E873" s="101"/>
      <c r="G873" s="15"/>
      <c r="H873" s="15"/>
    </row>
    <row r="874" spans="2:8" ht="13.5" thickBot="1" x14ac:dyDescent="0.25">
      <c r="B874" s="20"/>
      <c r="C874" s="19"/>
      <c r="D874" s="19"/>
      <c r="E874" s="18"/>
      <c r="G874" s="15"/>
      <c r="H874" s="15"/>
    </row>
    <row r="875" spans="2:8" ht="13.5" thickBot="1" x14ac:dyDescent="0.25">
      <c r="G875" s="15"/>
      <c r="H875" s="15"/>
    </row>
    <row r="876" spans="2:8" x14ac:dyDescent="0.2">
      <c r="B876" s="30" t="s">
        <v>155</v>
      </c>
      <c r="C876" s="29"/>
      <c r="D876" s="29"/>
      <c r="E876" s="28"/>
      <c r="G876" s="15"/>
      <c r="H876" s="15"/>
    </row>
    <row r="877" spans="2:8" ht="5.25" customHeight="1" x14ac:dyDescent="0.2">
      <c r="B877" s="27"/>
      <c r="C877" s="23"/>
      <c r="D877" s="23"/>
      <c r="E877" s="22"/>
      <c r="G877" s="15"/>
      <c r="H877" s="15"/>
    </row>
    <row r="878" spans="2:8" x14ac:dyDescent="0.2">
      <c r="B878" s="21" t="s">
        <v>28</v>
      </c>
      <c r="C878" s="23"/>
      <c r="D878" s="23"/>
      <c r="E878" s="22"/>
      <c r="G878" s="15"/>
      <c r="H878" s="15"/>
    </row>
    <row r="879" spans="2:8" ht="41.25" customHeight="1" x14ac:dyDescent="0.2">
      <c r="B879" s="21"/>
      <c r="C879" s="99" t="s">
        <v>154</v>
      </c>
      <c r="D879" s="99"/>
      <c r="E879" s="99"/>
      <c r="G879" s="15"/>
      <c r="H879" s="15"/>
    </row>
    <row r="880" spans="2:8" x14ac:dyDescent="0.2">
      <c r="B880" s="21" t="s">
        <v>26</v>
      </c>
      <c r="C880" s="23"/>
      <c r="D880" s="23"/>
      <c r="E880" s="22"/>
      <c r="G880" s="15"/>
      <c r="H880" s="15"/>
    </row>
    <row r="881" spans="2:8" x14ac:dyDescent="0.2">
      <c r="B881" s="24"/>
      <c r="C881" s="102" t="s">
        <v>25</v>
      </c>
      <c r="D881" s="102"/>
      <c r="E881" s="102"/>
      <c r="G881" s="15"/>
      <c r="H881" s="15"/>
    </row>
    <row r="882" spans="2:8" x14ac:dyDescent="0.2">
      <c r="B882" s="24"/>
      <c r="C882" s="98"/>
      <c r="D882" s="98"/>
      <c r="E882" s="98"/>
      <c r="G882" s="15"/>
      <c r="H882" s="15"/>
    </row>
    <row r="883" spans="2:8" x14ac:dyDescent="0.2">
      <c r="B883" s="21" t="s">
        <v>24</v>
      </c>
      <c r="C883" s="23"/>
      <c r="D883" s="23"/>
      <c r="E883" s="22"/>
      <c r="G883" s="15"/>
      <c r="H883" s="15"/>
    </row>
    <row r="884" spans="2:8" ht="26.25" customHeight="1" x14ac:dyDescent="0.2">
      <c r="B884" s="24"/>
      <c r="C884" s="99"/>
      <c r="D884" s="99"/>
      <c r="E884" s="99"/>
      <c r="G884" s="15"/>
      <c r="H884" s="15"/>
    </row>
    <row r="885" spans="2:8" x14ac:dyDescent="0.2">
      <c r="B885" s="21" t="s">
        <v>23</v>
      </c>
      <c r="C885" s="26"/>
      <c r="D885" s="26"/>
      <c r="E885" s="25"/>
      <c r="G885" s="15"/>
      <c r="H885" s="15"/>
    </row>
    <row r="886" spans="2:8" ht="26.25" customHeight="1" x14ac:dyDescent="0.2">
      <c r="B886" s="24"/>
      <c r="C886" s="100" t="s">
        <v>22</v>
      </c>
      <c r="D886" s="100"/>
      <c r="E886" s="100"/>
      <c r="G886" s="15"/>
      <c r="H886" s="15"/>
    </row>
    <row r="887" spans="2:8" x14ac:dyDescent="0.2">
      <c r="B887" s="21" t="s">
        <v>21</v>
      </c>
      <c r="C887" s="23"/>
      <c r="D887" s="23"/>
      <c r="E887" s="22"/>
      <c r="G887" s="15"/>
      <c r="H887" s="15"/>
    </row>
    <row r="888" spans="2:8" ht="23.25" customHeight="1" x14ac:dyDescent="0.2">
      <c r="B888" s="21"/>
      <c r="C888" s="101"/>
      <c r="D888" s="101"/>
      <c r="E888" s="101"/>
      <c r="G888" s="15"/>
      <c r="H888" s="15"/>
    </row>
    <row r="889" spans="2:8" ht="13.5" thickBot="1" x14ac:dyDescent="0.25">
      <c r="B889" s="20"/>
      <c r="C889" s="19"/>
      <c r="D889" s="19"/>
      <c r="E889" s="18"/>
      <c r="G889" s="15"/>
      <c r="H889" s="15"/>
    </row>
    <row r="890" spans="2:8" ht="13.5" thickBot="1" x14ac:dyDescent="0.25">
      <c r="G890" s="15"/>
      <c r="H890" s="15"/>
    </row>
    <row r="891" spans="2:8" x14ac:dyDescent="0.2">
      <c r="B891" s="30" t="s">
        <v>153</v>
      </c>
      <c r="C891" s="29"/>
      <c r="D891" s="29"/>
      <c r="E891" s="28"/>
      <c r="G891" s="15"/>
      <c r="H891" s="15"/>
    </row>
    <row r="892" spans="2:8" ht="7.5" customHeight="1" x14ac:dyDescent="0.2">
      <c r="B892" s="27"/>
      <c r="C892" s="23"/>
      <c r="D892" s="23"/>
      <c r="E892" s="22"/>
      <c r="G892" s="15"/>
      <c r="H892" s="15"/>
    </row>
    <row r="893" spans="2:8" x14ac:dyDescent="0.2">
      <c r="B893" s="21" t="s">
        <v>28</v>
      </c>
      <c r="C893" s="23"/>
      <c r="D893" s="23"/>
      <c r="E893" s="22"/>
      <c r="G893" s="15"/>
      <c r="H893" s="15"/>
    </row>
    <row r="894" spans="2:8" ht="41.25" customHeight="1" x14ac:dyDescent="0.2">
      <c r="B894" s="21"/>
      <c r="C894" s="99" t="s">
        <v>152</v>
      </c>
      <c r="D894" s="99"/>
      <c r="E894" s="99"/>
      <c r="G894" s="15"/>
      <c r="H894" s="15"/>
    </row>
    <row r="895" spans="2:8" x14ac:dyDescent="0.2">
      <c r="B895" s="21" t="s">
        <v>26</v>
      </c>
      <c r="C895" s="23"/>
      <c r="D895" s="23"/>
      <c r="E895" s="22"/>
      <c r="G895" s="15"/>
      <c r="H895" s="15"/>
    </row>
    <row r="896" spans="2:8" x14ac:dyDescent="0.2">
      <c r="B896" s="24"/>
      <c r="C896" s="102" t="s">
        <v>25</v>
      </c>
      <c r="D896" s="102"/>
      <c r="E896" s="102"/>
      <c r="G896" s="15"/>
      <c r="H896" s="15"/>
    </row>
    <row r="897" spans="2:8" x14ac:dyDescent="0.2">
      <c r="B897" s="24"/>
      <c r="C897" s="98"/>
      <c r="D897" s="98"/>
      <c r="E897" s="98"/>
      <c r="G897" s="15"/>
      <c r="H897" s="15"/>
    </row>
    <row r="898" spans="2:8" x14ac:dyDescent="0.2">
      <c r="B898" s="21" t="s">
        <v>24</v>
      </c>
      <c r="C898" s="23"/>
      <c r="D898" s="23"/>
      <c r="E898" s="22"/>
      <c r="G898" s="15"/>
      <c r="H898" s="15"/>
    </row>
    <row r="899" spans="2:8" ht="26.25" customHeight="1" x14ac:dyDescent="0.2">
      <c r="B899" s="24"/>
      <c r="C899" s="99"/>
      <c r="D899" s="99"/>
      <c r="E899" s="99"/>
      <c r="G899" s="15"/>
      <c r="H899" s="15"/>
    </row>
    <row r="900" spans="2:8" x14ac:dyDescent="0.2">
      <c r="B900" s="21" t="s">
        <v>23</v>
      </c>
      <c r="C900" s="26"/>
      <c r="D900" s="26"/>
      <c r="E900" s="25"/>
      <c r="G900" s="15"/>
      <c r="H900" s="15"/>
    </row>
    <row r="901" spans="2:8" ht="26.25" customHeight="1" x14ac:dyDescent="0.2">
      <c r="B901" s="24"/>
      <c r="C901" s="100" t="s">
        <v>22</v>
      </c>
      <c r="D901" s="100"/>
      <c r="E901" s="100"/>
      <c r="G901" s="15"/>
      <c r="H901" s="15"/>
    </row>
    <row r="902" spans="2:8" x14ac:dyDescent="0.2">
      <c r="B902" s="21" t="s">
        <v>21</v>
      </c>
      <c r="C902" s="23"/>
      <c r="D902" s="23"/>
      <c r="E902" s="22"/>
      <c r="G902" s="15"/>
      <c r="H902" s="15"/>
    </row>
    <row r="903" spans="2:8" ht="23.25" customHeight="1" x14ac:dyDescent="0.2">
      <c r="B903" s="21"/>
      <c r="C903" s="101"/>
      <c r="D903" s="101"/>
      <c r="E903" s="101"/>
      <c r="G903" s="15"/>
      <c r="H903" s="15"/>
    </row>
    <row r="904" spans="2:8" ht="13.5" thickBot="1" x14ac:dyDescent="0.25">
      <c r="B904" s="20"/>
      <c r="C904" s="19"/>
      <c r="D904" s="19"/>
      <c r="E904" s="18"/>
      <c r="G904" s="15"/>
      <c r="H904" s="15"/>
    </row>
    <row r="905" spans="2:8" ht="13.5" thickBot="1" x14ac:dyDescent="0.25">
      <c r="G905" s="15"/>
      <c r="H905" s="15"/>
    </row>
    <row r="906" spans="2:8" x14ac:dyDescent="0.2">
      <c r="B906" s="30" t="s">
        <v>151</v>
      </c>
      <c r="C906" s="29"/>
      <c r="D906" s="29"/>
      <c r="E906" s="28"/>
      <c r="G906" s="15"/>
      <c r="H906" s="15"/>
    </row>
    <row r="907" spans="2:8" ht="5.25" customHeight="1" x14ac:dyDescent="0.2">
      <c r="B907" s="27"/>
      <c r="C907" s="23"/>
      <c r="D907" s="23"/>
      <c r="E907" s="22"/>
      <c r="G907" s="15"/>
      <c r="H907" s="15"/>
    </row>
    <row r="908" spans="2:8" x14ac:dyDescent="0.2">
      <c r="B908" s="21" t="s">
        <v>28</v>
      </c>
      <c r="C908" s="23"/>
      <c r="D908" s="23"/>
      <c r="E908" s="22"/>
      <c r="G908" s="15"/>
      <c r="H908" s="15"/>
    </row>
    <row r="909" spans="2:8" ht="41.25" customHeight="1" x14ac:dyDescent="0.2">
      <c r="B909" s="21"/>
      <c r="C909" s="99" t="s">
        <v>150</v>
      </c>
      <c r="D909" s="99"/>
      <c r="E909" s="99"/>
      <c r="G909" s="15"/>
      <c r="H909" s="15"/>
    </row>
    <row r="910" spans="2:8" x14ac:dyDescent="0.2">
      <c r="B910" s="21" t="s">
        <v>26</v>
      </c>
      <c r="C910" s="23"/>
      <c r="D910" s="23"/>
      <c r="E910" s="22"/>
      <c r="G910" s="15"/>
      <c r="H910" s="15"/>
    </row>
    <row r="911" spans="2:8" x14ac:dyDescent="0.2">
      <c r="B911" s="24"/>
      <c r="C911" s="102" t="s">
        <v>25</v>
      </c>
      <c r="D911" s="102"/>
      <c r="E911" s="102"/>
      <c r="G911" s="15"/>
      <c r="H911" s="15"/>
    </row>
    <row r="912" spans="2:8" x14ac:dyDescent="0.2">
      <c r="B912" s="24"/>
      <c r="C912" s="98"/>
      <c r="D912" s="98"/>
      <c r="E912" s="98"/>
      <c r="G912" s="15"/>
      <c r="H912" s="15"/>
    </row>
    <row r="913" spans="2:8" x14ac:dyDescent="0.2">
      <c r="B913" s="21" t="s">
        <v>24</v>
      </c>
      <c r="C913" s="23"/>
      <c r="D913" s="23"/>
      <c r="E913" s="22"/>
      <c r="G913" s="15"/>
      <c r="H913" s="15"/>
    </row>
    <row r="914" spans="2:8" ht="26.25" customHeight="1" x14ac:dyDescent="0.2">
      <c r="B914" s="24"/>
      <c r="C914" s="99"/>
      <c r="D914" s="99"/>
      <c r="E914" s="99"/>
      <c r="G914" s="15"/>
      <c r="H914" s="15"/>
    </row>
    <row r="915" spans="2:8" x14ac:dyDescent="0.2">
      <c r="B915" s="21" t="s">
        <v>23</v>
      </c>
      <c r="C915" s="26"/>
      <c r="D915" s="26"/>
      <c r="E915" s="25"/>
      <c r="G915" s="15"/>
      <c r="H915" s="15"/>
    </row>
    <row r="916" spans="2:8" ht="26.25" customHeight="1" x14ac:dyDescent="0.2">
      <c r="B916" s="24"/>
      <c r="C916" s="100" t="s">
        <v>22</v>
      </c>
      <c r="D916" s="100"/>
      <c r="E916" s="100"/>
      <c r="G916" s="15"/>
      <c r="H916" s="15"/>
    </row>
    <row r="917" spans="2:8" x14ac:dyDescent="0.2">
      <c r="B917" s="21" t="s">
        <v>21</v>
      </c>
      <c r="C917" s="23"/>
      <c r="D917" s="23"/>
      <c r="E917" s="22"/>
      <c r="G917" s="15"/>
      <c r="H917" s="15"/>
    </row>
    <row r="918" spans="2:8" ht="23.25" customHeight="1" x14ac:dyDescent="0.2">
      <c r="B918" s="21"/>
      <c r="C918" s="101"/>
      <c r="D918" s="101"/>
      <c r="E918" s="101"/>
      <c r="G918" s="15"/>
      <c r="H918" s="15"/>
    </row>
    <row r="919" spans="2:8" ht="13.5" thickBot="1" x14ac:dyDescent="0.25">
      <c r="B919" s="20"/>
      <c r="C919" s="19"/>
      <c r="D919" s="19"/>
      <c r="E919" s="18"/>
      <c r="G919" s="15"/>
      <c r="H919" s="15"/>
    </row>
    <row r="920" spans="2:8" ht="13.5" thickBot="1" x14ac:dyDescent="0.25">
      <c r="G920" s="15"/>
      <c r="H920" s="15"/>
    </row>
    <row r="921" spans="2:8" x14ac:dyDescent="0.2">
      <c r="B921" s="30" t="s">
        <v>149</v>
      </c>
      <c r="C921" s="29"/>
      <c r="D921" s="29"/>
      <c r="E921" s="28"/>
      <c r="G921" s="15"/>
      <c r="H921" s="15"/>
    </row>
    <row r="922" spans="2:8" ht="7.5" customHeight="1" x14ac:dyDescent="0.2">
      <c r="B922" s="27"/>
      <c r="C922" s="23"/>
      <c r="D922" s="23"/>
      <c r="E922" s="22"/>
      <c r="G922" s="15"/>
      <c r="H922" s="15"/>
    </row>
    <row r="923" spans="2:8" x14ac:dyDescent="0.2">
      <c r="B923" s="21" t="s">
        <v>28</v>
      </c>
      <c r="C923" s="23"/>
      <c r="D923" s="23"/>
      <c r="E923" s="22"/>
      <c r="G923" s="15"/>
      <c r="H923" s="15"/>
    </row>
    <row r="924" spans="2:8" ht="41.25" customHeight="1" x14ac:dyDescent="0.2">
      <c r="B924" s="21"/>
      <c r="C924" s="99" t="s">
        <v>148</v>
      </c>
      <c r="D924" s="99"/>
      <c r="E924" s="99"/>
      <c r="G924" s="15"/>
      <c r="H924" s="15"/>
    </row>
    <row r="925" spans="2:8" x14ac:dyDescent="0.2">
      <c r="B925" s="21" t="s">
        <v>26</v>
      </c>
      <c r="C925" s="23"/>
      <c r="D925" s="23"/>
      <c r="E925" s="22"/>
      <c r="G925" s="15"/>
      <c r="H925" s="15"/>
    </row>
    <row r="926" spans="2:8" x14ac:dyDescent="0.2">
      <c r="B926" s="24"/>
      <c r="C926" s="102" t="s">
        <v>25</v>
      </c>
      <c r="D926" s="102"/>
      <c r="E926" s="102"/>
      <c r="G926" s="15"/>
      <c r="H926" s="15"/>
    </row>
    <row r="927" spans="2:8" x14ac:dyDescent="0.2">
      <c r="B927" s="24"/>
      <c r="C927" s="98"/>
      <c r="D927" s="98"/>
      <c r="E927" s="98"/>
      <c r="G927" s="15"/>
      <c r="H927" s="15"/>
    </row>
    <row r="928" spans="2:8" x14ac:dyDescent="0.2">
      <c r="B928" s="21" t="s">
        <v>24</v>
      </c>
      <c r="C928" s="23"/>
      <c r="D928" s="23"/>
      <c r="E928" s="22"/>
      <c r="G928" s="15"/>
      <c r="H928" s="15"/>
    </row>
    <row r="929" spans="2:8" ht="26.25" customHeight="1" x14ac:dyDescent="0.2">
      <c r="B929" s="24"/>
      <c r="C929" s="99"/>
      <c r="D929" s="99"/>
      <c r="E929" s="99"/>
      <c r="G929" s="15"/>
      <c r="H929" s="15"/>
    </row>
    <row r="930" spans="2:8" x14ac:dyDescent="0.2">
      <c r="B930" s="21" t="s">
        <v>23</v>
      </c>
      <c r="C930" s="26"/>
      <c r="D930" s="26"/>
      <c r="E930" s="25"/>
      <c r="G930" s="15"/>
      <c r="H930" s="15"/>
    </row>
    <row r="931" spans="2:8" ht="26.25" customHeight="1" x14ac:dyDescent="0.2">
      <c r="B931" s="24"/>
      <c r="C931" s="100" t="s">
        <v>22</v>
      </c>
      <c r="D931" s="100"/>
      <c r="E931" s="100"/>
      <c r="G931" s="15"/>
      <c r="H931" s="15"/>
    </row>
    <row r="932" spans="2:8" x14ac:dyDescent="0.2">
      <c r="B932" s="21" t="s">
        <v>21</v>
      </c>
      <c r="C932" s="23"/>
      <c r="D932" s="23"/>
      <c r="E932" s="22"/>
      <c r="G932" s="15"/>
      <c r="H932" s="15"/>
    </row>
    <row r="933" spans="2:8" ht="23.25" customHeight="1" x14ac:dyDescent="0.2">
      <c r="B933" s="21"/>
      <c r="C933" s="101"/>
      <c r="D933" s="101"/>
      <c r="E933" s="101"/>
      <c r="G933" s="15"/>
      <c r="H933" s="15"/>
    </row>
    <row r="934" spans="2:8" ht="13.5" thickBot="1" x14ac:dyDescent="0.25">
      <c r="B934" s="20"/>
      <c r="C934" s="19"/>
      <c r="D934" s="19"/>
      <c r="E934" s="18"/>
      <c r="G934" s="15"/>
      <c r="H934" s="15"/>
    </row>
    <row r="935" spans="2:8" ht="13.5" thickBot="1" x14ac:dyDescent="0.25">
      <c r="G935" s="15"/>
      <c r="H935" s="15"/>
    </row>
    <row r="936" spans="2:8" x14ac:dyDescent="0.2">
      <c r="B936" s="30" t="s">
        <v>147</v>
      </c>
      <c r="C936" s="29"/>
      <c r="D936" s="29"/>
      <c r="E936" s="28"/>
      <c r="G936" s="15"/>
      <c r="H936" s="15"/>
    </row>
    <row r="937" spans="2:8" ht="5.25" customHeight="1" x14ac:dyDescent="0.2">
      <c r="B937" s="27"/>
      <c r="C937" s="23"/>
      <c r="D937" s="23"/>
      <c r="E937" s="22"/>
      <c r="G937" s="15"/>
      <c r="H937" s="15"/>
    </row>
    <row r="938" spans="2:8" x14ac:dyDescent="0.2">
      <c r="B938" s="21" t="s">
        <v>28</v>
      </c>
      <c r="C938" s="23"/>
      <c r="D938" s="23"/>
      <c r="E938" s="22"/>
      <c r="G938" s="15"/>
      <c r="H938" s="15"/>
    </row>
    <row r="939" spans="2:8" ht="41.25" customHeight="1" x14ac:dyDescent="0.2">
      <c r="B939" s="21"/>
      <c r="C939" s="99" t="s">
        <v>146</v>
      </c>
      <c r="D939" s="99"/>
      <c r="E939" s="99"/>
      <c r="G939" s="15"/>
      <c r="H939" s="15"/>
    </row>
    <row r="940" spans="2:8" x14ac:dyDescent="0.2">
      <c r="B940" s="21" t="s">
        <v>26</v>
      </c>
      <c r="C940" s="23"/>
      <c r="D940" s="23"/>
      <c r="E940" s="22"/>
      <c r="G940" s="15"/>
      <c r="H940" s="15"/>
    </row>
    <row r="941" spans="2:8" x14ac:dyDescent="0.2">
      <c r="B941" s="24"/>
      <c r="C941" s="102" t="s">
        <v>25</v>
      </c>
      <c r="D941" s="102"/>
      <c r="E941" s="102"/>
      <c r="G941" s="15"/>
      <c r="H941" s="15"/>
    </row>
    <row r="942" spans="2:8" x14ac:dyDescent="0.2">
      <c r="B942" s="24"/>
      <c r="C942" s="98"/>
      <c r="D942" s="98"/>
      <c r="E942" s="98"/>
      <c r="G942" s="15"/>
      <c r="H942" s="15"/>
    </row>
    <row r="943" spans="2:8" x14ac:dyDescent="0.2">
      <c r="B943" s="21" t="s">
        <v>24</v>
      </c>
      <c r="C943" s="23"/>
      <c r="D943" s="23"/>
      <c r="E943" s="22"/>
      <c r="G943" s="15"/>
      <c r="H943" s="15"/>
    </row>
    <row r="944" spans="2:8" ht="26.25" customHeight="1" x14ac:dyDescent="0.2">
      <c r="B944" s="24"/>
      <c r="C944" s="99"/>
      <c r="D944" s="99"/>
      <c r="E944" s="99"/>
      <c r="G944" s="15"/>
      <c r="H944" s="15"/>
    </row>
    <row r="945" spans="2:8" x14ac:dyDescent="0.2">
      <c r="B945" s="21" t="s">
        <v>23</v>
      </c>
      <c r="C945" s="26"/>
      <c r="D945" s="26"/>
      <c r="E945" s="25"/>
      <c r="G945" s="15"/>
      <c r="H945" s="15"/>
    </row>
    <row r="946" spans="2:8" ht="26.25" customHeight="1" x14ac:dyDescent="0.2">
      <c r="B946" s="24"/>
      <c r="C946" s="100" t="s">
        <v>22</v>
      </c>
      <c r="D946" s="100"/>
      <c r="E946" s="100"/>
      <c r="G946" s="15"/>
      <c r="H946" s="15"/>
    </row>
    <row r="947" spans="2:8" x14ac:dyDescent="0.2">
      <c r="B947" s="21" t="s">
        <v>21</v>
      </c>
      <c r="C947" s="23"/>
      <c r="D947" s="23"/>
      <c r="E947" s="22"/>
      <c r="G947" s="15"/>
      <c r="H947" s="15"/>
    </row>
    <row r="948" spans="2:8" ht="23.25" customHeight="1" x14ac:dyDescent="0.2">
      <c r="B948" s="21"/>
      <c r="C948" s="101"/>
      <c r="D948" s="101"/>
      <c r="E948" s="101"/>
      <c r="G948" s="15"/>
      <c r="H948" s="15"/>
    </row>
    <row r="949" spans="2:8" ht="13.5" thickBot="1" x14ac:dyDescent="0.25">
      <c r="B949" s="20"/>
      <c r="C949" s="19"/>
      <c r="D949" s="19"/>
      <c r="E949" s="18"/>
      <c r="G949" s="15"/>
      <c r="H949" s="15"/>
    </row>
    <row r="950" spans="2:8" ht="13.5" thickBot="1" x14ac:dyDescent="0.25">
      <c r="G950" s="15"/>
      <c r="H950" s="15"/>
    </row>
    <row r="951" spans="2:8" x14ac:dyDescent="0.2">
      <c r="B951" s="30" t="s">
        <v>145</v>
      </c>
      <c r="C951" s="29"/>
      <c r="D951" s="29"/>
      <c r="E951" s="28"/>
      <c r="G951" s="15"/>
      <c r="H951" s="15"/>
    </row>
    <row r="952" spans="2:8" ht="7.5" customHeight="1" x14ac:dyDescent="0.2">
      <c r="B952" s="27"/>
      <c r="C952" s="23"/>
      <c r="D952" s="23"/>
      <c r="E952" s="22"/>
      <c r="G952" s="15"/>
      <c r="H952" s="15"/>
    </row>
    <row r="953" spans="2:8" x14ac:dyDescent="0.2">
      <c r="B953" s="21" t="s">
        <v>28</v>
      </c>
      <c r="C953" s="23"/>
      <c r="D953" s="23"/>
      <c r="E953" s="22"/>
      <c r="G953" s="15"/>
      <c r="H953" s="15"/>
    </row>
    <row r="954" spans="2:8" ht="41.25" customHeight="1" x14ac:dyDescent="0.2">
      <c r="B954" s="21"/>
      <c r="C954" s="99" t="s">
        <v>144</v>
      </c>
      <c r="D954" s="99"/>
      <c r="E954" s="99"/>
      <c r="G954" s="15"/>
      <c r="H954" s="15"/>
    </row>
    <row r="955" spans="2:8" x14ac:dyDescent="0.2">
      <c r="B955" s="21" t="s">
        <v>26</v>
      </c>
      <c r="C955" s="23"/>
      <c r="D955" s="23"/>
      <c r="E955" s="22"/>
      <c r="G955" s="15"/>
      <c r="H955" s="15"/>
    </row>
    <row r="956" spans="2:8" x14ac:dyDescent="0.2">
      <c r="B956" s="24"/>
      <c r="C956" s="102" t="s">
        <v>25</v>
      </c>
      <c r="D956" s="102"/>
      <c r="E956" s="102"/>
      <c r="G956" s="15"/>
      <c r="H956" s="15"/>
    </row>
    <row r="957" spans="2:8" x14ac:dyDescent="0.2">
      <c r="B957" s="24"/>
      <c r="C957" s="98"/>
      <c r="D957" s="98"/>
      <c r="E957" s="98"/>
      <c r="G957" s="15"/>
      <c r="H957" s="15"/>
    </row>
    <row r="958" spans="2:8" x14ac:dyDescent="0.2">
      <c r="B958" s="21" t="s">
        <v>24</v>
      </c>
      <c r="C958" s="23"/>
      <c r="D958" s="23"/>
      <c r="E958" s="22"/>
      <c r="G958" s="15"/>
      <c r="H958" s="15"/>
    </row>
    <row r="959" spans="2:8" ht="26.25" customHeight="1" x14ac:dyDescent="0.2">
      <c r="B959" s="24"/>
      <c r="C959" s="99"/>
      <c r="D959" s="99"/>
      <c r="E959" s="99"/>
      <c r="G959" s="15"/>
      <c r="H959" s="15"/>
    </row>
    <row r="960" spans="2:8" x14ac:dyDescent="0.2">
      <c r="B960" s="21" t="s">
        <v>23</v>
      </c>
      <c r="C960" s="26"/>
      <c r="D960" s="26"/>
      <c r="E960" s="25"/>
      <c r="G960" s="15"/>
      <c r="H960" s="15"/>
    </row>
    <row r="961" spans="2:8" ht="26.25" customHeight="1" x14ac:dyDescent="0.2">
      <c r="B961" s="24"/>
      <c r="C961" s="100" t="s">
        <v>22</v>
      </c>
      <c r="D961" s="100"/>
      <c r="E961" s="100"/>
      <c r="G961" s="15"/>
      <c r="H961" s="15"/>
    </row>
    <row r="962" spans="2:8" x14ac:dyDescent="0.2">
      <c r="B962" s="21" t="s">
        <v>21</v>
      </c>
      <c r="C962" s="23"/>
      <c r="D962" s="23"/>
      <c r="E962" s="22"/>
      <c r="G962" s="15"/>
      <c r="H962" s="15"/>
    </row>
    <row r="963" spans="2:8" ht="23.25" customHeight="1" x14ac:dyDescent="0.2">
      <c r="B963" s="21"/>
      <c r="C963" s="101"/>
      <c r="D963" s="101"/>
      <c r="E963" s="101"/>
      <c r="G963" s="15"/>
      <c r="H963" s="15"/>
    </row>
    <row r="964" spans="2:8" ht="13.5" thickBot="1" x14ac:dyDescent="0.25">
      <c r="B964" s="20"/>
      <c r="C964" s="19"/>
      <c r="D964" s="19"/>
      <c r="E964" s="18"/>
      <c r="G964" s="15"/>
      <c r="H964" s="15"/>
    </row>
    <row r="965" spans="2:8" ht="13.5" thickBot="1" x14ac:dyDescent="0.25">
      <c r="G965" s="15"/>
      <c r="H965" s="15"/>
    </row>
    <row r="966" spans="2:8" x14ac:dyDescent="0.2">
      <c r="B966" s="30" t="s">
        <v>143</v>
      </c>
      <c r="C966" s="29"/>
      <c r="D966" s="29"/>
      <c r="E966" s="28"/>
      <c r="G966" s="15"/>
      <c r="H966" s="15"/>
    </row>
    <row r="967" spans="2:8" ht="5.25" customHeight="1" x14ac:dyDescent="0.2">
      <c r="B967" s="27"/>
      <c r="C967" s="23"/>
      <c r="D967" s="23"/>
      <c r="E967" s="22"/>
      <c r="G967" s="15"/>
      <c r="H967" s="15"/>
    </row>
    <row r="968" spans="2:8" x14ac:dyDescent="0.2">
      <c r="B968" s="21" t="s">
        <v>28</v>
      </c>
      <c r="C968" s="23"/>
      <c r="D968" s="23"/>
      <c r="E968" s="22"/>
      <c r="G968" s="15"/>
      <c r="H968" s="15"/>
    </row>
    <row r="969" spans="2:8" ht="41.25" customHeight="1" x14ac:dyDescent="0.2">
      <c r="B969" s="21"/>
      <c r="C969" s="99" t="s">
        <v>142</v>
      </c>
      <c r="D969" s="99"/>
      <c r="E969" s="99"/>
      <c r="G969" s="15"/>
      <c r="H969" s="15"/>
    </row>
    <row r="970" spans="2:8" x14ac:dyDescent="0.2">
      <c r="B970" s="21" t="s">
        <v>26</v>
      </c>
      <c r="C970" s="23"/>
      <c r="D970" s="23"/>
      <c r="E970" s="22"/>
      <c r="G970" s="15"/>
      <c r="H970" s="15"/>
    </row>
    <row r="971" spans="2:8" x14ac:dyDescent="0.2">
      <c r="B971" s="24"/>
      <c r="C971" s="102" t="s">
        <v>25</v>
      </c>
      <c r="D971" s="102"/>
      <c r="E971" s="102"/>
      <c r="G971" s="15"/>
      <c r="H971" s="15"/>
    </row>
    <row r="972" spans="2:8" x14ac:dyDescent="0.2">
      <c r="B972" s="24"/>
      <c r="C972" s="98"/>
      <c r="D972" s="98"/>
      <c r="E972" s="98"/>
      <c r="G972" s="15"/>
      <c r="H972" s="15"/>
    </row>
    <row r="973" spans="2:8" x14ac:dyDescent="0.2">
      <c r="B973" s="21" t="s">
        <v>24</v>
      </c>
      <c r="C973" s="23"/>
      <c r="D973" s="23"/>
      <c r="E973" s="22"/>
      <c r="G973" s="15"/>
      <c r="H973" s="15"/>
    </row>
    <row r="974" spans="2:8" ht="26.25" customHeight="1" x14ac:dyDescent="0.2">
      <c r="B974" s="24"/>
      <c r="C974" s="99"/>
      <c r="D974" s="99"/>
      <c r="E974" s="99"/>
      <c r="G974" s="15"/>
      <c r="H974" s="15"/>
    </row>
    <row r="975" spans="2:8" x14ac:dyDescent="0.2">
      <c r="B975" s="21" t="s">
        <v>23</v>
      </c>
      <c r="C975" s="26"/>
      <c r="D975" s="26"/>
      <c r="E975" s="25"/>
      <c r="G975" s="15"/>
      <c r="H975" s="15"/>
    </row>
    <row r="976" spans="2:8" ht="26.25" customHeight="1" x14ac:dyDescent="0.2">
      <c r="B976" s="24"/>
      <c r="C976" s="100" t="s">
        <v>22</v>
      </c>
      <c r="D976" s="100"/>
      <c r="E976" s="100"/>
      <c r="G976" s="15"/>
      <c r="H976" s="15"/>
    </row>
    <row r="977" spans="2:8" x14ac:dyDescent="0.2">
      <c r="B977" s="21" t="s">
        <v>21</v>
      </c>
      <c r="C977" s="23"/>
      <c r="D977" s="23"/>
      <c r="E977" s="22"/>
      <c r="G977" s="15"/>
      <c r="H977" s="15"/>
    </row>
    <row r="978" spans="2:8" ht="23.25" customHeight="1" x14ac:dyDescent="0.2">
      <c r="B978" s="21"/>
      <c r="C978" s="101"/>
      <c r="D978" s="101"/>
      <c r="E978" s="101"/>
      <c r="G978" s="15"/>
      <c r="H978" s="15"/>
    </row>
    <row r="979" spans="2:8" ht="13.5" thickBot="1" x14ac:dyDescent="0.25">
      <c r="B979" s="20"/>
      <c r="C979" s="19"/>
      <c r="D979" s="19"/>
      <c r="E979" s="18"/>
      <c r="G979" s="15"/>
      <c r="H979" s="15"/>
    </row>
    <row r="980" spans="2:8" ht="13.5" thickBot="1" x14ac:dyDescent="0.25">
      <c r="G980" s="15"/>
      <c r="H980" s="15"/>
    </row>
    <row r="981" spans="2:8" x14ac:dyDescent="0.2">
      <c r="B981" s="30" t="s">
        <v>141</v>
      </c>
      <c r="C981" s="29"/>
      <c r="D981" s="29"/>
      <c r="E981" s="28"/>
      <c r="G981" s="15"/>
      <c r="H981" s="15"/>
    </row>
    <row r="982" spans="2:8" ht="7.5" customHeight="1" x14ac:dyDescent="0.2">
      <c r="B982" s="27"/>
      <c r="C982" s="23"/>
      <c r="D982" s="23"/>
      <c r="E982" s="22"/>
      <c r="G982" s="15"/>
      <c r="H982" s="15"/>
    </row>
    <row r="983" spans="2:8" x14ac:dyDescent="0.2">
      <c r="B983" s="21" t="s">
        <v>28</v>
      </c>
      <c r="C983" s="23"/>
      <c r="D983" s="23"/>
      <c r="E983" s="22"/>
      <c r="G983" s="15"/>
      <c r="H983" s="15"/>
    </row>
    <row r="984" spans="2:8" ht="41.25" customHeight="1" x14ac:dyDescent="0.2">
      <c r="B984" s="21"/>
      <c r="C984" s="99" t="s">
        <v>140</v>
      </c>
      <c r="D984" s="99"/>
      <c r="E984" s="99"/>
      <c r="G984" s="15"/>
      <c r="H984" s="15"/>
    </row>
    <row r="985" spans="2:8" x14ac:dyDescent="0.2">
      <c r="B985" s="21" t="s">
        <v>26</v>
      </c>
      <c r="C985" s="23"/>
      <c r="D985" s="23"/>
      <c r="E985" s="22"/>
      <c r="G985" s="15"/>
      <c r="H985" s="15"/>
    </row>
    <row r="986" spans="2:8" x14ac:dyDescent="0.2">
      <c r="B986" s="24"/>
      <c r="C986" s="102" t="s">
        <v>25</v>
      </c>
      <c r="D986" s="102"/>
      <c r="E986" s="102"/>
      <c r="G986" s="15"/>
      <c r="H986" s="15"/>
    </row>
    <row r="987" spans="2:8" x14ac:dyDescent="0.2">
      <c r="B987" s="24"/>
      <c r="C987" s="98"/>
      <c r="D987" s="98"/>
      <c r="E987" s="98"/>
      <c r="G987" s="15"/>
      <c r="H987" s="15"/>
    </row>
    <row r="988" spans="2:8" x14ac:dyDescent="0.2">
      <c r="B988" s="21" t="s">
        <v>24</v>
      </c>
      <c r="C988" s="23"/>
      <c r="D988" s="23"/>
      <c r="E988" s="22"/>
      <c r="G988" s="15"/>
      <c r="H988" s="15"/>
    </row>
    <row r="989" spans="2:8" ht="26.25" customHeight="1" x14ac:dyDescent="0.2">
      <c r="B989" s="24"/>
      <c r="C989" s="99"/>
      <c r="D989" s="99"/>
      <c r="E989" s="99"/>
      <c r="G989" s="15"/>
      <c r="H989" s="15"/>
    </row>
    <row r="990" spans="2:8" x14ac:dyDescent="0.2">
      <c r="B990" s="21" t="s">
        <v>23</v>
      </c>
      <c r="C990" s="26"/>
      <c r="D990" s="26"/>
      <c r="E990" s="25"/>
      <c r="G990" s="15"/>
      <c r="H990" s="15"/>
    </row>
    <row r="991" spans="2:8" ht="26.25" customHeight="1" x14ac:dyDescent="0.2">
      <c r="B991" s="24"/>
      <c r="C991" s="100" t="s">
        <v>22</v>
      </c>
      <c r="D991" s="100"/>
      <c r="E991" s="100"/>
      <c r="G991" s="15"/>
      <c r="H991" s="15"/>
    </row>
    <row r="992" spans="2:8" x14ac:dyDescent="0.2">
      <c r="B992" s="21" t="s">
        <v>21</v>
      </c>
      <c r="C992" s="23"/>
      <c r="D992" s="23"/>
      <c r="E992" s="22"/>
      <c r="G992" s="15"/>
      <c r="H992" s="15"/>
    </row>
    <row r="993" spans="2:8" ht="23.25" customHeight="1" x14ac:dyDescent="0.2">
      <c r="B993" s="21"/>
      <c r="C993" s="101"/>
      <c r="D993" s="101"/>
      <c r="E993" s="101"/>
      <c r="G993" s="15"/>
      <c r="H993" s="15"/>
    </row>
    <row r="994" spans="2:8" ht="13.5" thickBot="1" x14ac:dyDescent="0.25">
      <c r="B994" s="20"/>
      <c r="C994" s="19"/>
      <c r="D994" s="19"/>
      <c r="E994" s="18"/>
      <c r="G994" s="15"/>
      <c r="H994" s="15"/>
    </row>
    <row r="995" spans="2:8" ht="13.5" thickBot="1" x14ac:dyDescent="0.25">
      <c r="G995" s="15"/>
      <c r="H995" s="15"/>
    </row>
    <row r="996" spans="2:8" x14ac:dyDescent="0.2">
      <c r="B996" s="30" t="s">
        <v>139</v>
      </c>
      <c r="C996" s="29"/>
      <c r="D996" s="29"/>
      <c r="E996" s="28"/>
      <c r="G996" s="15"/>
      <c r="H996" s="15"/>
    </row>
    <row r="997" spans="2:8" ht="5.25" customHeight="1" x14ac:dyDescent="0.2">
      <c r="B997" s="27"/>
      <c r="C997" s="23"/>
      <c r="D997" s="23"/>
      <c r="E997" s="22"/>
      <c r="G997" s="15"/>
      <c r="H997" s="15"/>
    </row>
    <row r="998" spans="2:8" x14ac:dyDescent="0.2">
      <c r="B998" s="21" t="s">
        <v>28</v>
      </c>
      <c r="C998" s="23"/>
      <c r="D998" s="23"/>
      <c r="E998" s="22"/>
      <c r="G998" s="15"/>
      <c r="H998" s="15"/>
    </row>
    <row r="999" spans="2:8" ht="41.25" customHeight="1" x14ac:dyDescent="0.2">
      <c r="B999" s="21"/>
      <c r="C999" s="99" t="s">
        <v>138</v>
      </c>
      <c r="D999" s="99"/>
      <c r="E999" s="99"/>
      <c r="G999" s="15"/>
      <c r="H999" s="15"/>
    </row>
    <row r="1000" spans="2:8" x14ac:dyDescent="0.2">
      <c r="B1000" s="21" t="s">
        <v>26</v>
      </c>
      <c r="C1000" s="23"/>
      <c r="D1000" s="23"/>
      <c r="E1000" s="22"/>
      <c r="G1000" s="15"/>
      <c r="H1000" s="15"/>
    </row>
    <row r="1001" spans="2:8" x14ac:dyDescent="0.2">
      <c r="B1001" s="24"/>
      <c r="C1001" s="102" t="s">
        <v>25</v>
      </c>
      <c r="D1001" s="102"/>
      <c r="E1001" s="102"/>
      <c r="G1001" s="15"/>
      <c r="H1001" s="15"/>
    </row>
    <row r="1002" spans="2:8" x14ac:dyDescent="0.2">
      <c r="B1002" s="24"/>
      <c r="C1002" s="98"/>
      <c r="D1002" s="98"/>
      <c r="E1002" s="98"/>
      <c r="G1002" s="15"/>
      <c r="H1002" s="15"/>
    </row>
    <row r="1003" spans="2:8" x14ac:dyDescent="0.2">
      <c r="B1003" s="21" t="s">
        <v>24</v>
      </c>
      <c r="C1003" s="23"/>
      <c r="D1003" s="23"/>
      <c r="E1003" s="22"/>
      <c r="G1003" s="15"/>
      <c r="H1003" s="15"/>
    </row>
    <row r="1004" spans="2:8" ht="26.25" customHeight="1" x14ac:dyDescent="0.2">
      <c r="B1004" s="24"/>
      <c r="C1004" s="99"/>
      <c r="D1004" s="99"/>
      <c r="E1004" s="99"/>
      <c r="G1004" s="15"/>
      <c r="H1004" s="15"/>
    </row>
    <row r="1005" spans="2:8" x14ac:dyDescent="0.2">
      <c r="B1005" s="21" t="s">
        <v>23</v>
      </c>
      <c r="C1005" s="26"/>
      <c r="D1005" s="26"/>
      <c r="E1005" s="25"/>
      <c r="G1005" s="15"/>
      <c r="H1005" s="15"/>
    </row>
    <row r="1006" spans="2:8" ht="26.25" customHeight="1" x14ac:dyDescent="0.2">
      <c r="B1006" s="24"/>
      <c r="C1006" s="100" t="s">
        <v>22</v>
      </c>
      <c r="D1006" s="100"/>
      <c r="E1006" s="100"/>
      <c r="G1006" s="15"/>
      <c r="H1006" s="15"/>
    </row>
    <row r="1007" spans="2:8" x14ac:dyDescent="0.2">
      <c r="B1007" s="21" t="s">
        <v>21</v>
      </c>
      <c r="C1007" s="23"/>
      <c r="D1007" s="23"/>
      <c r="E1007" s="22"/>
      <c r="G1007" s="15"/>
      <c r="H1007" s="15"/>
    </row>
    <row r="1008" spans="2:8" ht="23.25" customHeight="1" x14ac:dyDescent="0.2">
      <c r="B1008" s="21"/>
      <c r="C1008" s="101"/>
      <c r="D1008" s="101"/>
      <c r="E1008" s="101"/>
      <c r="G1008" s="15"/>
      <c r="H1008" s="15"/>
    </row>
    <row r="1009" spans="2:8" ht="13.5" thickBot="1" x14ac:dyDescent="0.25">
      <c r="B1009" s="20"/>
      <c r="C1009" s="19"/>
      <c r="D1009" s="19"/>
      <c r="E1009" s="18"/>
      <c r="G1009" s="15"/>
      <c r="H1009" s="15"/>
    </row>
    <row r="1010" spans="2:8" ht="13.5" thickBot="1" x14ac:dyDescent="0.25">
      <c r="G1010" s="15"/>
      <c r="H1010" s="15"/>
    </row>
    <row r="1011" spans="2:8" x14ac:dyDescent="0.2">
      <c r="B1011" s="30" t="s">
        <v>137</v>
      </c>
      <c r="C1011" s="29"/>
      <c r="D1011" s="29"/>
      <c r="E1011" s="28"/>
      <c r="G1011" s="15"/>
      <c r="H1011" s="15"/>
    </row>
    <row r="1012" spans="2:8" ht="7.5" customHeight="1" x14ac:dyDescent="0.2">
      <c r="B1012" s="27"/>
      <c r="C1012" s="23"/>
      <c r="D1012" s="23"/>
      <c r="E1012" s="22"/>
      <c r="G1012" s="15"/>
      <c r="H1012" s="15"/>
    </row>
    <row r="1013" spans="2:8" x14ac:dyDescent="0.2">
      <c r="B1013" s="21" t="s">
        <v>28</v>
      </c>
      <c r="C1013" s="23"/>
      <c r="D1013" s="23"/>
      <c r="E1013" s="22"/>
      <c r="G1013" s="15"/>
      <c r="H1013" s="15"/>
    </row>
    <row r="1014" spans="2:8" ht="41.25" customHeight="1" x14ac:dyDescent="0.2">
      <c r="B1014" s="21"/>
      <c r="C1014" s="99" t="s">
        <v>136</v>
      </c>
      <c r="D1014" s="99"/>
      <c r="E1014" s="99"/>
      <c r="G1014" s="15"/>
      <c r="H1014" s="15"/>
    </row>
    <row r="1015" spans="2:8" x14ac:dyDescent="0.2">
      <c r="B1015" s="21" t="s">
        <v>26</v>
      </c>
      <c r="C1015" s="23"/>
      <c r="D1015" s="23"/>
      <c r="E1015" s="22"/>
      <c r="G1015" s="15"/>
      <c r="H1015" s="15"/>
    </row>
    <row r="1016" spans="2:8" x14ac:dyDescent="0.2">
      <c r="B1016" s="24"/>
      <c r="C1016" s="102" t="s">
        <v>25</v>
      </c>
      <c r="D1016" s="102"/>
      <c r="E1016" s="102"/>
      <c r="G1016" s="15"/>
      <c r="H1016" s="15"/>
    </row>
    <row r="1017" spans="2:8" x14ac:dyDescent="0.2">
      <c r="B1017" s="24"/>
      <c r="C1017" s="98"/>
      <c r="D1017" s="98"/>
      <c r="E1017" s="98"/>
      <c r="G1017" s="15"/>
      <c r="H1017" s="15"/>
    </row>
    <row r="1018" spans="2:8" x14ac:dyDescent="0.2">
      <c r="B1018" s="21" t="s">
        <v>24</v>
      </c>
      <c r="C1018" s="23"/>
      <c r="D1018" s="23"/>
      <c r="E1018" s="22"/>
      <c r="G1018" s="15"/>
      <c r="H1018" s="15"/>
    </row>
    <row r="1019" spans="2:8" ht="26.25" customHeight="1" x14ac:dyDescent="0.2">
      <c r="B1019" s="24"/>
      <c r="C1019" s="99"/>
      <c r="D1019" s="99"/>
      <c r="E1019" s="99"/>
      <c r="G1019" s="15"/>
      <c r="H1019" s="15"/>
    </row>
    <row r="1020" spans="2:8" x14ac:dyDescent="0.2">
      <c r="B1020" s="21" t="s">
        <v>23</v>
      </c>
      <c r="C1020" s="26"/>
      <c r="D1020" s="26"/>
      <c r="E1020" s="25"/>
      <c r="G1020" s="15"/>
      <c r="H1020" s="15"/>
    </row>
    <row r="1021" spans="2:8" ht="26.25" customHeight="1" x14ac:dyDescent="0.2">
      <c r="B1021" s="24"/>
      <c r="C1021" s="100" t="s">
        <v>22</v>
      </c>
      <c r="D1021" s="100"/>
      <c r="E1021" s="100"/>
      <c r="G1021" s="15"/>
      <c r="H1021" s="15"/>
    </row>
    <row r="1022" spans="2:8" x14ac:dyDescent="0.2">
      <c r="B1022" s="21" t="s">
        <v>21</v>
      </c>
      <c r="C1022" s="23"/>
      <c r="D1022" s="23"/>
      <c r="E1022" s="22"/>
      <c r="G1022" s="15"/>
      <c r="H1022" s="15"/>
    </row>
    <row r="1023" spans="2:8" ht="23.25" customHeight="1" x14ac:dyDescent="0.2">
      <c r="B1023" s="21"/>
      <c r="C1023" s="101"/>
      <c r="D1023" s="101"/>
      <c r="E1023" s="101"/>
      <c r="G1023" s="15"/>
      <c r="H1023" s="15"/>
    </row>
    <row r="1024" spans="2:8" ht="13.5" thickBot="1" x14ac:dyDescent="0.25">
      <c r="B1024" s="20"/>
      <c r="C1024" s="19"/>
      <c r="D1024" s="19"/>
      <c r="E1024" s="18"/>
      <c r="G1024" s="15"/>
      <c r="H1024" s="15"/>
    </row>
    <row r="1025" spans="2:8" ht="13.5" thickBot="1" x14ac:dyDescent="0.25">
      <c r="G1025" s="15"/>
      <c r="H1025" s="15"/>
    </row>
    <row r="1026" spans="2:8" x14ac:dyDescent="0.2">
      <c r="B1026" s="30" t="s">
        <v>135</v>
      </c>
      <c r="C1026" s="29"/>
      <c r="D1026" s="29"/>
      <c r="E1026" s="28"/>
      <c r="G1026" s="15"/>
      <c r="H1026" s="15"/>
    </row>
    <row r="1027" spans="2:8" ht="5.25" customHeight="1" x14ac:dyDescent="0.2">
      <c r="B1027" s="27"/>
      <c r="C1027" s="23"/>
      <c r="D1027" s="23"/>
      <c r="E1027" s="22"/>
      <c r="G1027" s="15"/>
      <c r="H1027" s="15"/>
    </row>
    <row r="1028" spans="2:8" x14ac:dyDescent="0.2">
      <c r="B1028" s="21" t="s">
        <v>28</v>
      </c>
      <c r="C1028" s="23"/>
      <c r="D1028" s="23"/>
      <c r="E1028" s="22"/>
      <c r="G1028" s="15"/>
      <c r="H1028" s="15"/>
    </row>
    <row r="1029" spans="2:8" ht="41.25" customHeight="1" x14ac:dyDescent="0.2">
      <c r="B1029" s="21"/>
      <c r="C1029" s="99" t="s">
        <v>134</v>
      </c>
      <c r="D1029" s="99"/>
      <c r="E1029" s="99"/>
      <c r="G1029" s="15"/>
      <c r="H1029" s="15"/>
    </row>
    <row r="1030" spans="2:8" x14ac:dyDescent="0.2">
      <c r="B1030" s="21" t="s">
        <v>26</v>
      </c>
      <c r="C1030" s="23"/>
      <c r="D1030" s="23"/>
      <c r="E1030" s="22"/>
      <c r="G1030" s="15"/>
      <c r="H1030" s="15"/>
    </row>
    <row r="1031" spans="2:8" x14ac:dyDescent="0.2">
      <c r="B1031" s="24"/>
      <c r="C1031" s="102" t="s">
        <v>25</v>
      </c>
      <c r="D1031" s="102"/>
      <c r="E1031" s="102"/>
      <c r="G1031" s="15"/>
      <c r="H1031" s="15"/>
    </row>
    <row r="1032" spans="2:8" x14ac:dyDescent="0.2">
      <c r="B1032" s="24"/>
      <c r="C1032" s="98"/>
      <c r="D1032" s="98"/>
      <c r="E1032" s="98"/>
      <c r="G1032" s="15"/>
      <c r="H1032" s="15"/>
    </row>
    <row r="1033" spans="2:8" x14ac:dyDescent="0.2">
      <c r="B1033" s="21" t="s">
        <v>24</v>
      </c>
      <c r="C1033" s="23"/>
      <c r="D1033" s="23"/>
      <c r="E1033" s="22"/>
      <c r="G1033" s="15"/>
      <c r="H1033" s="15"/>
    </row>
    <row r="1034" spans="2:8" ht="26.25" customHeight="1" x14ac:dyDescent="0.2">
      <c r="B1034" s="24"/>
      <c r="C1034" s="99"/>
      <c r="D1034" s="99"/>
      <c r="E1034" s="99"/>
      <c r="G1034" s="15"/>
      <c r="H1034" s="15"/>
    </row>
    <row r="1035" spans="2:8" x14ac:dyDescent="0.2">
      <c r="B1035" s="21" t="s">
        <v>23</v>
      </c>
      <c r="C1035" s="26"/>
      <c r="D1035" s="26"/>
      <c r="E1035" s="25"/>
      <c r="G1035" s="15"/>
      <c r="H1035" s="15"/>
    </row>
    <row r="1036" spans="2:8" ht="26.25" customHeight="1" x14ac:dyDescent="0.2">
      <c r="B1036" s="24"/>
      <c r="C1036" s="100" t="s">
        <v>22</v>
      </c>
      <c r="D1036" s="100"/>
      <c r="E1036" s="100"/>
      <c r="G1036" s="15"/>
      <c r="H1036" s="15"/>
    </row>
    <row r="1037" spans="2:8" x14ac:dyDescent="0.2">
      <c r="B1037" s="21" t="s">
        <v>21</v>
      </c>
      <c r="C1037" s="23"/>
      <c r="D1037" s="23"/>
      <c r="E1037" s="22"/>
      <c r="G1037" s="15"/>
      <c r="H1037" s="15"/>
    </row>
    <row r="1038" spans="2:8" ht="23.25" customHeight="1" x14ac:dyDescent="0.2">
      <c r="B1038" s="21"/>
      <c r="C1038" s="101"/>
      <c r="D1038" s="101"/>
      <c r="E1038" s="101"/>
      <c r="G1038" s="15"/>
      <c r="H1038" s="15"/>
    </row>
    <row r="1039" spans="2:8" ht="13.5" thickBot="1" x14ac:dyDescent="0.25">
      <c r="B1039" s="20"/>
      <c r="C1039" s="19"/>
      <c r="D1039" s="19"/>
      <c r="E1039" s="18"/>
      <c r="G1039" s="15"/>
      <c r="H1039" s="15"/>
    </row>
    <row r="1040" spans="2:8" ht="13.5" thickBot="1" x14ac:dyDescent="0.25">
      <c r="G1040" s="15"/>
      <c r="H1040" s="15"/>
    </row>
    <row r="1041" spans="2:8" x14ac:dyDescent="0.2">
      <c r="B1041" s="30" t="s">
        <v>133</v>
      </c>
      <c r="C1041" s="29"/>
      <c r="D1041" s="29"/>
      <c r="E1041" s="28"/>
      <c r="G1041" s="15"/>
      <c r="H1041" s="15"/>
    </row>
    <row r="1042" spans="2:8" ht="7.5" customHeight="1" x14ac:dyDescent="0.2">
      <c r="B1042" s="27"/>
      <c r="C1042" s="23"/>
      <c r="D1042" s="23"/>
      <c r="E1042" s="22"/>
      <c r="G1042" s="15"/>
      <c r="H1042" s="15"/>
    </row>
    <row r="1043" spans="2:8" x14ac:dyDescent="0.2">
      <c r="B1043" s="21" t="s">
        <v>28</v>
      </c>
      <c r="C1043" s="23"/>
      <c r="D1043" s="23"/>
      <c r="E1043" s="22"/>
      <c r="G1043" s="15"/>
      <c r="H1043" s="15"/>
    </row>
    <row r="1044" spans="2:8" ht="41.25" customHeight="1" x14ac:dyDescent="0.2">
      <c r="B1044" s="21"/>
      <c r="C1044" s="99" t="s">
        <v>132</v>
      </c>
      <c r="D1044" s="99"/>
      <c r="E1044" s="99"/>
      <c r="G1044" s="15"/>
      <c r="H1044" s="15"/>
    </row>
    <row r="1045" spans="2:8" x14ac:dyDescent="0.2">
      <c r="B1045" s="21" t="s">
        <v>26</v>
      </c>
      <c r="C1045" s="23"/>
      <c r="D1045" s="23"/>
      <c r="E1045" s="22"/>
      <c r="G1045" s="15"/>
      <c r="H1045" s="15"/>
    </row>
    <row r="1046" spans="2:8" x14ac:dyDescent="0.2">
      <c r="B1046" s="24"/>
      <c r="C1046" s="102" t="s">
        <v>25</v>
      </c>
      <c r="D1046" s="102"/>
      <c r="E1046" s="102"/>
      <c r="G1046" s="15"/>
      <c r="H1046" s="15"/>
    </row>
    <row r="1047" spans="2:8" x14ac:dyDescent="0.2">
      <c r="B1047" s="24"/>
      <c r="C1047" s="98"/>
      <c r="D1047" s="98"/>
      <c r="E1047" s="98"/>
      <c r="G1047" s="15"/>
      <c r="H1047" s="15"/>
    </row>
    <row r="1048" spans="2:8" x14ac:dyDescent="0.2">
      <c r="B1048" s="21" t="s">
        <v>24</v>
      </c>
      <c r="C1048" s="23"/>
      <c r="D1048" s="23"/>
      <c r="E1048" s="22"/>
      <c r="G1048" s="15"/>
      <c r="H1048" s="15"/>
    </row>
    <row r="1049" spans="2:8" ht="26.25" customHeight="1" x14ac:dyDescent="0.2">
      <c r="B1049" s="24"/>
      <c r="C1049" s="99"/>
      <c r="D1049" s="99"/>
      <c r="E1049" s="99"/>
      <c r="G1049" s="15"/>
      <c r="H1049" s="15"/>
    </row>
    <row r="1050" spans="2:8" x14ac:dyDescent="0.2">
      <c r="B1050" s="21" t="s">
        <v>23</v>
      </c>
      <c r="C1050" s="26"/>
      <c r="D1050" s="26"/>
      <c r="E1050" s="25"/>
      <c r="G1050" s="15"/>
      <c r="H1050" s="15"/>
    </row>
    <row r="1051" spans="2:8" ht="26.25" customHeight="1" x14ac:dyDescent="0.2">
      <c r="B1051" s="24"/>
      <c r="C1051" s="100" t="s">
        <v>22</v>
      </c>
      <c r="D1051" s="100"/>
      <c r="E1051" s="100"/>
      <c r="G1051" s="15"/>
      <c r="H1051" s="15"/>
    </row>
    <row r="1052" spans="2:8" x14ac:dyDescent="0.2">
      <c r="B1052" s="21" t="s">
        <v>21</v>
      </c>
      <c r="C1052" s="23"/>
      <c r="D1052" s="23"/>
      <c r="E1052" s="22"/>
      <c r="G1052" s="15"/>
      <c r="H1052" s="15"/>
    </row>
    <row r="1053" spans="2:8" ht="23.25" customHeight="1" x14ac:dyDescent="0.2">
      <c r="B1053" s="21"/>
      <c r="C1053" s="101"/>
      <c r="D1053" s="101"/>
      <c r="E1053" s="101"/>
      <c r="G1053" s="15"/>
      <c r="H1053" s="15"/>
    </row>
    <row r="1054" spans="2:8" ht="13.5" thickBot="1" x14ac:dyDescent="0.25">
      <c r="B1054" s="20"/>
      <c r="C1054" s="19"/>
      <c r="D1054" s="19"/>
      <c r="E1054" s="18"/>
      <c r="G1054" s="15"/>
      <c r="H1054" s="15"/>
    </row>
    <row r="1055" spans="2:8" ht="13.5" thickBot="1" x14ac:dyDescent="0.25">
      <c r="G1055" s="15"/>
      <c r="H1055" s="15"/>
    </row>
    <row r="1056" spans="2:8" x14ac:dyDescent="0.2">
      <c r="B1056" s="30" t="s">
        <v>131</v>
      </c>
      <c r="C1056" s="29"/>
      <c r="D1056" s="29"/>
      <c r="E1056" s="28"/>
      <c r="G1056" s="15"/>
      <c r="H1056" s="15"/>
    </row>
    <row r="1057" spans="2:8" ht="5.25" customHeight="1" x14ac:dyDescent="0.2">
      <c r="B1057" s="27"/>
      <c r="C1057" s="23"/>
      <c r="D1057" s="23"/>
      <c r="E1057" s="22"/>
      <c r="G1057" s="15"/>
      <c r="H1057" s="15"/>
    </row>
    <row r="1058" spans="2:8" x14ac:dyDescent="0.2">
      <c r="B1058" s="21" t="s">
        <v>28</v>
      </c>
      <c r="C1058" s="23"/>
      <c r="D1058" s="23"/>
      <c r="E1058" s="22"/>
      <c r="G1058" s="15"/>
      <c r="H1058" s="15"/>
    </row>
    <row r="1059" spans="2:8" ht="41.25" customHeight="1" x14ac:dyDescent="0.2">
      <c r="B1059" s="21"/>
      <c r="C1059" s="99" t="s">
        <v>130</v>
      </c>
      <c r="D1059" s="99"/>
      <c r="E1059" s="99"/>
      <c r="G1059" s="15"/>
      <c r="H1059" s="15"/>
    </row>
    <row r="1060" spans="2:8" x14ac:dyDescent="0.2">
      <c r="B1060" s="21" t="s">
        <v>26</v>
      </c>
      <c r="C1060" s="23"/>
      <c r="D1060" s="23"/>
      <c r="E1060" s="22"/>
      <c r="G1060" s="15"/>
      <c r="H1060" s="15"/>
    </row>
    <row r="1061" spans="2:8" x14ac:dyDescent="0.2">
      <c r="B1061" s="24"/>
      <c r="C1061" s="102" t="s">
        <v>25</v>
      </c>
      <c r="D1061" s="102"/>
      <c r="E1061" s="102"/>
      <c r="G1061" s="15"/>
      <c r="H1061" s="15"/>
    </row>
    <row r="1062" spans="2:8" x14ac:dyDescent="0.2">
      <c r="B1062" s="24"/>
      <c r="C1062" s="98"/>
      <c r="D1062" s="98"/>
      <c r="E1062" s="98"/>
      <c r="G1062" s="15"/>
      <c r="H1062" s="15"/>
    </row>
    <row r="1063" spans="2:8" x14ac:dyDescent="0.2">
      <c r="B1063" s="21" t="s">
        <v>24</v>
      </c>
      <c r="C1063" s="23"/>
      <c r="D1063" s="23"/>
      <c r="E1063" s="22"/>
      <c r="G1063" s="15"/>
      <c r="H1063" s="15"/>
    </row>
    <row r="1064" spans="2:8" ht="26.25" customHeight="1" x14ac:dyDescent="0.2">
      <c r="B1064" s="24"/>
      <c r="C1064" s="99"/>
      <c r="D1064" s="99"/>
      <c r="E1064" s="99"/>
      <c r="G1064" s="15"/>
      <c r="H1064" s="15"/>
    </row>
    <row r="1065" spans="2:8" x14ac:dyDescent="0.2">
      <c r="B1065" s="21" t="s">
        <v>23</v>
      </c>
      <c r="C1065" s="26"/>
      <c r="D1065" s="26"/>
      <c r="E1065" s="25"/>
      <c r="G1065" s="15"/>
      <c r="H1065" s="15"/>
    </row>
    <row r="1066" spans="2:8" ht="26.25" customHeight="1" x14ac:dyDescent="0.2">
      <c r="B1066" s="24"/>
      <c r="C1066" s="100" t="s">
        <v>22</v>
      </c>
      <c r="D1066" s="100"/>
      <c r="E1066" s="100"/>
      <c r="G1066" s="15"/>
      <c r="H1066" s="15"/>
    </row>
    <row r="1067" spans="2:8" x14ac:dyDescent="0.2">
      <c r="B1067" s="21" t="s">
        <v>21</v>
      </c>
      <c r="C1067" s="23"/>
      <c r="D1067" s="23"/>
      <c r="E1067" s="22"/>
      <c r="G1067" s="15"/>
      <c r="H1067" s="15"/>
    </row>
    <row r="1068" spans="2:8" ht="23.25" customHeight="1" x14ac:dyDescent="0.2">
      <c r="B1068" s="21"/>
      <c r="C1068" s="101"/>
      <c r="D1068" s="101"/>
      <c r="E1068" s="101"/>
      <c r="G1068" s="15"/>
      <c r="H1068" s="15"/>
    </row>
    <row r="1069" spans="2:8" ht="13.5" thickBot="1" x14ac:dyDescent="0.25">
      <c r="B1069" s="20"/>
      <c r="C1069" s="19"/>
      <c r="D1069" s="19"/>
      <c r="E1069" s="18"/>
      <c r="G1069" s="15"/>
      <c r="H1069" s="15"/>
    </row>
    <row r="1070" spans="2:8" ht="13.5" thickBot="1" x14ac:dyDescent="0.25">
      <c r="G1070" s="15"/>
      <c r="H1070" s="15"/>
    </row>
    <row r="1071" spans="2:8" x14ac:dyDescent="0.2">
      <c r="B1071" s="30" t="s">
        <v>129</v>
      </c>
      <c r="C1071" s="29"/>
      <c r="D1071" s="29"/>
      <c r="E1071" s="28"/>
      <c r="G1071" s="15"/>
      <c r="H1071" s="15"/>
    </row>
    <row r="1072" spans="2:8" ht="7.5" customHeight="1" x14ac:dyDescent="0.2">
      <c r="B1072" s="27"/>
      <c r="C1072" s="23"/>
      <c r="D1072" s="23"/>
      <c r="E1072" s="22"/>
      <c r="G1072" s="15"/>
      <c r="H1072" s="15"/>
    </row>
    <row r="1073" spans="2:8" x14ac:dyDescent="0.2">
      <c r="B1073" s="21" t="s">
        <v>28</v>
      </c>
      <c r="C1073" s="23"/>
      <c r="D1073" s="23"/>
      <c r="E1073" s="22"/>
      <c r="G1073" s="15"/>
      <c r="H1073" s="15"/>
    </row>
    <row r="1074" spans="2:8" ht="41.25" customHeight="1" x14ac:dyDescent="0.2">
      <c r="B1074" s="21"/>
      <c r="C1074" s="99" t="s">
        <v>128</v>
      </c>
      <c r="D1074" s="99"/>
      <c r="E1074" s="99"/>
      <c r="G1074" s="15"/>
      <c r="H1074" s="15"/>
    </row>
    <row r="1075" spans="2:8" x14ac:dyDescent="0.2">
      <c r="B1075" s="21" t="s">
        <v>26</v>
      </c>
      <c r="C1075" s="23"/>
      <c r="D1075" s="23"/>
      <c r="E1075" s="22"/>
      <c r="G1075" s="15"/>
      <c r="H1075" s="15"/>
    </row>
    <row r="1076" spans="2:8" x14ac:dyDescent="0.2">
      <c r="B1076" s="24"/>
      <c r="C1076" s="102" t="s">
        <v>25</v>
      </c>
      <c r="D1076" s="102"/>
      <c r="E1076" s="102"/>
      <c r="G1076" s="15"/>
      <c r="H1076" s="15"/>
    </row>
    <row r="1077" spans="2:8" x14ac:dyDescent="0.2">
      <c r="B1077" s="24"/>
      <c r="C1077" s="98"/>
      <c r="D1077" s="98"/>
      <c r="E1077" s="98"/>
      <c r="G1077" s="15"/>
      <c r="H1077" s="15"/>
    </row>
    <row r="1078" spans="2:8" x14ac:dyDescent="0.2">
      <c r="B1078" s="21" t="s">
        <v>24</v>
      </c>
      <c r="C1078" s="23"/>
      <c r="D1078" s="23"/>
      <c r="E1078" s="22"/>
      <c r="G1078" s="15"/>
      <c r="H1078" s="15"/>
    </row>
    <row r="1079" spans="2:8" ht="26.25" customHeight="1" x14ac:dyDescent="0.2">
      <c r="B1079" s="24"/>
      <c r="C1079" s="99"/>
      <c r="D1079" s="99"/>
      <c r="E1079" s="99"/>
      <c r="G1079" s="15"/>
      <c r="H1079" s="15"/>
    </row>
    <row r="1080" spans="2:8" x14ac:dyDescent="0.2">
      <c r="B1080" s="21" t="s">
        <v>23</v>
      </c>
      <c r="C1080" s="26"/>
      <c r="D1080" s="26"/>
      <c r="E1080" s="25"/>
      <c r="G1080" s="15"/>
      <c r="H1080" s="15"/>
    </row>
    <row r="1081" spans="2:8" ht="26.25" customHeight="1" x14ac:dyDescent="0.2">
      <c r="B1081" s="24"/>
      <c r="C1081" s="100" t="s">
        <v>22</v>
      </c>
      <c r="D1081" s="100"/>
      <c r="E1081" s="100"/>
      <c r="G1081" s="15"/>
      <c r="H1081" s="15"/>
    </row>
    <row r="1082" spans="2:8" x14ac:dyDescent="0.2">
      <c r="B1082" s="21" t="s">
        <v>21</v>
      </c>
      <c r="C1082" s="23"/>
      <c r="D1082" s="23"/>
      <c r="E1082" s="22"/>
      <c r="G1082" s="15"/>
      <c r="H1082" s="15"/>
    </row>
    <row r="1083" spans="2:8" ht="23.25" customHeight="1" x14ac:dyDescent="0.2">
      <c r="B1083" s="21"/>
      <c r="C1083" s="101"/>
      <c r="D1083" s="101"/>
      <c r="E1083" s="101"/>
      <c r="G1083" s="15"/>
      <c r="H1083" s="15"/>
    </row>
    <row r="1084" spans="2:8" ht="13.5" thickBot="1" x14ac:dyDescent="0.25">
      <c r="B1084" s="20"/>
      <c r="C1084" s="19"/>
      <c r="D1084" s="19"/>
      <c r="E1084" s="18"/>
      <c r="G1084" s="15"/>
      <c r="H1084" s="15"/>
    </row>
    <row r="1085" spans="2:8" ht="13.5" thickBot="1" x14ac:dyDescent="0.25">
      <c r="G1085" s="15"/>
      <c r="H1085" s="15"/>
    </row>
    <row r="1086" spans="2:8" x14ac:dyDescent="0.2">
      <c r="B1086" s="30" t="s">
        <v>127</v>
      </c>
      <c r="C1086" s="29"/>
      <c r="D1086" s="29"/>
      <c r="E1086" s="28"/>
      <c r="G1086" s="15"/>
      <c r="H1086" s="15"/>
    </row>
    <row r="1087" spans="2:8" ht="5.25" customHeight="1" x14ac:dyDescent="0.2">
      <c r="B1087" s="27"/>
      <c r="C1087" s="23"/>
      <c r="D1087" s="23"/>
      <c r="E1087" s="22"/>
      <c r="G1087" s="15"/>
      <c r="H1087" s="15"/>
    </row>
    <row r="1088" spans="2:8" x14ac:dyDescent="0.2">
      <c r="B1088" s="21" t="s">
        <v>28</v>
      </c>
      <c r="C1088" s="23"/>
      <c r="D1088" s="23"/>
      <c r="E1088" s="22"/>
      <c r="G1088" s="15"/>
      <c r="H1088" s="15"/>
    </row>
    <row r="1089" spans="2:8" ht="41.25" customHeight="1" x14ac:dyDescent="0.2">
      <c r="B1089" s="21"/>
      <c r="C1089" s="99" t="s">
        <v>126</v>
      </c>
      <c r="D1089" s="99"/>
      <c r="E1089" s="99"/>
      <c r="G1089" s="15"/>
      <c r="H1089" s="15"/>
    </row>
    <row r="1090" spans="2:8" x14ac:dyDescent="0.2">
      <c r="B1090" s="21" t="s">
        <v>26</v>
      </c>
      <c r="C1090" s="23"/>
      <c r="D1090" s="23"/>
      <c r="E1090" s="22"/>
      <c r="G1090" s="15"/>
      <c r="H1090" s="15"/>
    </row>
    <row r="1091" spans="2:8" x14ac:dyDescent="0.2">
      <c r="B1091" s="24"/>
      <c r="C1091" s="102" t="s">
        <v>25</v>
      </c>
      <c r="D1091" s="102"/>
      <c r="E1091" s="102"/>
      <c r="G1091" s="15"/>
      <c r="H1091" s="15"/>
    </row>
    <row r="1092" spans="2:8" x14ac:dyDescent="0.2">
      <c r="B1092" s="24"/>
      <c r="C1092" s="98"/>
      <c r="D1092" s="98"/>
      <c r="E1092" s="98"/>
      <c r="G1092" s="15"/>
      <c r="H1092" s="15"/>
    </row>
    <row r="1093" spans="2:8" x14ac:dyDescent="0.2">
      <c r="B1093" s="21" t="s">
        <v>24</v>
      </c>
      <c r="C1093" s="23"/>
      <c r="D1093" s="23"/>
      <c r="E1093" s="22"/>
      <c r="G1093" s="15"/>
      <c r="H1093" s="15"/>
    </row>
    <row r="1094" spans="2:8" ht="26.25" customHeight="1" x14ac:dyDescent="0.2">
      <c r="B1094" s="24"/>
      <c r="C1094" s="99"/>
      <c r="D1094" s="99"/>
      <c r="E1094" s="99"/>
      <c r="G1094" s="15"/>
      <c r="H1094" s="15"/>
    </row>
    <row r="1095" spans="2:8" x14ac:dyDescent="0.2">
      <c r="B1095" s="21" t="s">
        <v>23</v>
      </c>
      <c r="C1095" s="26"/>
      <c r="D1095" s="26"/>
      <c r="E1095" s="25"/>
      <c r="G1095" s="15"/>
      <c r="H1095" s="15"/>
    </row>
    <row r="1096" spans="2:8" ht="26.25" customHeight="1" x14ac:dyDescent="0.2">
      <c r="B1096" s="24"/>
      <c r="C1096" s="100" t="s">
        <v>22</v>
      </c>
      <c r="D1096" s="100"/>
      <c r="E1096" s="100"/>
      <c r="G1096" s="15"/>
      <c r="H1096" s="15"/>
    </row>
    <row r="1097" spans="2:8" x14ac:dyDescent="0.2">
      <c r="B1097" s="21" t="s">
        <v>21</v>
      </c>
      <c r="C1097" s="23"/>
      <c r="D1097" s="23"/>
      <c r="E1097" s="22"/>
      <c r="G1097" s="15"/>
      <c r="H1097" s="15"/>
    </row>
    <row r="1098" spans="2:8" ht="23.25" customHeight="1" x14ac:dyDescent="0.2">
      <c r="B1098" s="21"/>
      <c r="C1098" s="101"/>
      <c r="D1098" s="101"/>
      <c r="E1098" s="101"/>
      <c r="G1098" s="15"/>
      <c r="H1098" s="15"/>
    </row>
    <row r="1099" spans="2:8" ht="13.5" thickBot="1" x14ac:dyDescent="0.25">
      <c r="B1099" s="20"/>
      <c r="C1099" s="19"/>
      <c r="D1099" s="19"/>
      <c r="E1099" s="18"/>
      <c r="G1099" s="15"/>
      <c r="H1099" s="15"/>
    </row>
    <row r="1100" spans="2:8" ht="13.5" thickBot="1" x14ac:dyDescent="0.25">
      <c r="G1100" s="15"/>
      <c r="H1100" s="15"/>
    </row>
    <row r="1101" spans="2:8" x14ac:dyDescent="0.2">
      <c r="B1101" s="30" t="s">
        <v>125</v>
      </c>
      <c r="C1101" s="29"/>
      <c r="D1101" s="29"/>
      <c r="E1101" s="28"/>
      <c r="G1101" s="15"/>
      <c r="H1101" s="15"/>
    </row>
    <row r="1102" spans="2:8" ht="7.5" customHeight="1" x14ac:dyDescent="0.2">
      <c r="B1102" s="27"/>
      <c r="C1102" s="23"/>
      <c r="D1102" s="23"/>
      <c r="E1102" s="22"/>
      <c r="G1102" s="15"/>
      <c r="H1102" s="15"/>
    </row>
    <row r="1103" spans="2:8" x14ac:dyDescent="0.2">
      <c r="B1103" s="21" t="s">
        <v>28</v>
      </c>
      <c r="C1103" s="23"/>
      <c r="D1103" s="23"/>
      <c r="E1103" s="22"/>
      <c r="G1103" s="15"/>
      <c r="H1103" s="15"/>
    </row>
    <row r="1104" spans="2:8" ht="41.25" customHeight="1" x14ac:dyDescent="0.2">
      <c r="B1104" s="21"/>
      <c r="C1104" s="99" t="s">
        <v>124</v>
      </c>
      <c r="D1104" s="99"/>
      <c r="E1104" s="99"/>
      <c r="G1104" s="15"/>
      <c r="H1104" s="15"/>
    </row>
    <row r="1105" spans="2:8" x14ac:dyDescent="0.2">
      <c r="B1105" s="21" t="s">
        <v>26</v>
      </c>
      <c r="C1105" s="23"/>
      <c r="D1105" s="23"/>
      <c r="E1105" s="22"/>
      <c r="G1105" s="15"/>
      <c r="H1105" s="15"/>
    </row>
    <row r="1106" spans="2:8" x14ac:dyDescent="0.2">
      <c r="B1106" s="24"/>
      <c r="C1106" s="102" t="s">
        <v>25</v>
      </c>
      <c r="D1106" s="102"/>
      <c r="E1106" s="102"/>
      <c r="G1106" s="15"/>
      <c r="H1106" s="15"/>
    </row>
    <row r="1107" spans="2:8" x14ac:dyDescent="0.2">
      <c r="B1107" s="24"/>
      <c r="C1107" s="98"/>
      <c r="D1107" s="98"/>
      <c r="E1107" s="98"/>
      <c r="G1107" s="15"/>
      <c r="H1107" s="15"/>
    </row>
    <row r="1108" spans="2:8" x14ac:dyDescent="0.2">
      <c r="B1108" s="21" t="s">
        <v>24</v>
      </c>
      <c r="C1108" s="23"/>
      <c r="D1108" s="23"/>
      <c r="E1108" s="22"/>
      <c r="G1108" s="15"/>
      <c r="H1108" s="15"/>
    </row>
    <row r="1109" spans="2:8" ht="26.25" customHeight="1" x14ac:dyDescent="0.2">
      <c r="B1109" s="24"/>
      <c r="C1109" s="99"/>
      <c r="D1109" s="99"/>
      <c r="E1109" s="99"/>
      <c r="G1109" s="15"/>
      <c r="H1109" s="15"/>
    </row>
    <row r="1110" spans="2:8" x14ac:dyDescent="0.2">
      <c r="B1110" s="21" t="s">
        <v>23</v>
      </c>
      <c r="C1110" s="26"/>
      <c r="D1110" s="26"/>
      <c r="E1110" s="25"/>
      <c r="G1110" s="15"/>
      <c r="H1110" s="15"/>
    </row>
    <row r="1111" spans="2:8" ht="26.25" customHeight="1" x14ac:dyDescent="0.2">
      <c r="B1111" s="24"/>
      <c r="C1111" s="100" t="s">
        <v>22</v>
      </c>
      <c r="D1111" s="100"/>
      <c r="E1111" s="100"/>
      <c r="G1111" s="15"/>
      <c r="H1111" s="15"/>
    </row>
    <row r="1112" spans="2:8" x14ac:dyDescent="0.2">
      <c r="B1112" s="21" t="s">
        <v>21</v>
      </c>
      <c r="C1112" s="23"/>
      <c r="D1112" s="23"/>
      <c r="E1112" s="22"/>
      <c r="G1112" s="15"/>
      <c r="H1112" s="15"/>
    </row>
    <row r="1113" spans="2:8" ht="23.25" customHeight="1" x14ac:dyDescent="0.2">
      <c r="B1113" s="21"/>
      <c r="C1113" s="101"/>
      <c r="D1113" s="101"/>
      <c r="E1113" s="101"/>
      <c r="G1113" s="15"/>
      <c r="H1113" s="15"/>
    </row>
    <row r="1114" spans="2:8" ht="13.5" thickBot="1" x14ac:dyDescent="0.25">
      <c r="B1114" s="20"/>
      <c r="C1114" s="19"/>
      <c r="D1114" s="19"/>
      <c r="E1114" s="18"/>
      <c r="G1114" s="15"/>
      <c r="H1114" s="15"/>
    </row>
    <row r="1115" spans="2:8" ht="13.5" thickBot="1" x14ac:dyDescent="0.25">
      <c r="G1115" s="15"/>
      <c r="H1115" s="15"/>
    </row>
    <row r="1116" spans="2:8" x14ac:dyDescent="0.2">
      <c r="B1116" s="30" t="s">
        <v>123</v>
      </c>
      <c r="C1116" s="29"/>
      <c r="D1116" s="29"/>
      <c r="E1116" s="28"/>
      <c r="G1116" s="15"/>
      <c r="H1116" s="15"/>
    </row>
    <row r="1117" spans="2:8" ht="5.25" customHeight="1" x14ac:dyDescent="0.2">
      <c r="B1117" s="27"/>
      <c r="C1117" s="23"/>
      <c r="D1117" s="23"/>
      <c r="E1117" s="22"/>
      <c r="G1117" s="15"/>
      <c r="H1117" s="15"/>
    </row>
    <row r="1118" spans="2:8" x14ac:dyDescent="0.2">
      <c r="B1118" s="21" t="s">
        <v>28</v>
      </c>
      <c r="C1118" s="23"/>
      <c r="D1118" s="23"/>
      <c r="E1118" s="22"/>
      <c r="G1118" s="15"/>
      <c r="H1118" s="15"/>
    </row>
    <row r="1119" spans="2:8" ht="41.25" customHeight="1" x14ac:dyDescent="0.2">
      <c r="B1119" s="21"/>
      <c r="C1119" s="99" t="s">
        <v>122</v>
      </c>
      <c r="D1119" s="99"/>
      <c r="E1119" s="99"/>
      <c r="G1119" s="15"/>
      <c r="H1119" s="15"/>
    </row>
    <row r="1120" spans="2:8" x14ac:dyDescent="0.2">
      <c r="B1120" s="21" t="s">
        <v>26</v>
      </c>
      <c r="C1120" s="23"/>
      <c r="D1120" s="23"/>
      <c r="E1120" s="22"/>
      <c r="G1120" s="15"/>
      <c r="H1120" s="15"/>
    </row>
    <row r="1121" spans="2:8" x14ac:dyDescent="0.2">
      <c r="B1121" s="24"/>
      <c r="C1121" s="102" t="s">
        <v>25</v>
      </c>
      <c r="D1121" s="102"/>
      <c r="E1121" s="102"/>
      <c r="G1121" s="15"/>
      <c r="H1121" s="15"/>
    </row>
    <row r="1122" spans="2:8" x14ac:dyDescent="0.2">
      <c r="B1122" s="24"/>
      <c r="C1122" s="98"/>
      <c r="D1122" s="98"/>
      <c r="E1122" s="98"/>
      <c r="G1122" s="15"/>
      <c r="H1122" s="15"/>
    </row>
    <row r="1123" spans="2:8" x14ac:dyDescent="0.2">
      <c r="B1123" s="21" t="s">
        <v>24</v>
      </c>
      <c r="C1123" s="23"/>
      <c r="D1123" s="23"/>
      <c r="E1123" s="22"/>
      <c r="G1123" s="15"/>
      <c r="H1123" s="15"/>
    </row>
    <row r="1124" spans="2:8" ht="26.25" customHeight="1" x14ac:dyDescent="0.2">
      <c r="B1124" s="24"/>
      <c r="C1124" s="99"/>
      <c r="D1124" s="99"/>
      <c r="E1124" s="99"/>
      <c r="G1124" s="15"/>
      <c r="H1124" s="15"/>
    </row>
    <row r="1125" spans="2:8" x14ac:dyDescent="0.2">
      <c r="B1125" s="21" t="s">
        <v>23</v>
      </c>
      <c r="C1125" s="26"/>
      <c r="D1125" s="26"/>
      <c r="E1125" s="25"/>
      <c r="G1125" s="15"/>
      <c r="H1125" s="15"/>
    </row>
    <row r="1126" spans="2:8" ht="26.25" customHeight="1" x14ac:dyDescent="0.2">
      <c r="B1126" s="24"/>
      <c r="C1126" s="100" t="s">
        <v>22</v>
      </c>
      <c r="D1126" s="100"/>
      <c r="E1126" s="100"/>
      <c r="G1126" s="15"/>
      <c r="H1126" s="15"/>
    </row>
    <row r="1127" spans="2:8" x14ac:dyDescent="0.2">
      <c r="B1127" s="21" t="s">
        <v>21</v>
      </c>
      <c r="C1127" s="23"/>
      <c r="D1127" s="23"/>
      <c r="E1127" s="22"/>
      <c r="G1127" s="15"/>
      <c r="H1127" s="15"/>
    </row>
    <row r="1128" spans="2:8" ht="23.25" customHeight="1" x14ac:dyDescent="0.2">
      <c r="B1128" s="21"/>
      <c r="C1128" s="101"/>
      <c r="D1128" s="101"/>
      <c r="E1128" s="101"/>
      <c r="G1128" s="15"/>
      <c r="H1128" s="15"/>
    </row>
    <row r="1129" spans="2:8" ht="13.5" thickBot="1" x14ac:dyDescent="0.25">
      <c r="B1129" s="20"/>
      <c r="C1129" s="19"/>
      <c r="D1129" s="19"/>
      <c r="E1129" s="18"/>
      <c r="G1129" s="15"/>
      <c r="H1129" s="15"/>
    </row>
    <row r="1130" spans="2:8" ht="13.5" thickBot="1" x14ac:dyDescent="0.25">
      <c r="G1130" s="15"/>
      <c r="H1130" s="15"/>
    </row>
    <row r="1131" spans="2:8" x14ac:dyDescent="0.2">
      <c r="B1131" s="30" t="s">
        <v>121</v>
      </c>
      <c r="C1131" s="29"/>
      <c r="D1131" s="29"/>
      <c r="E1131" s="28"/>
      <c r="G1131" s="15"/>
      <c r="H1131" s="15"/>
    </row>
    <row r="1132" spans="2:8" ht="7.5" customHeight="1" x14ac:dyDescent="0.2">
      <c r="B1132" s="27"/>
      <c r="C1132" s="23"/>
      <c r="D1132" s="23"/>
      <c r="E1132" s="22"/>
      <c r="G1132" s="15"/>
      <c r="H1132" s="15"/>
    </row>
    <row r="1133" spans="2:8" x14ac:dyDescent="0.2">
      <c r="B1133" s="21" t="s">
        <v>28</v>
      </c>
      <c r="C1133" s="23"/>
      <c r="D1133" s="23"/>
      <c r="E1133" s="22"/>
      <c r="G1133" s="15"/>
      <c r="H1133" s="15"/>
    </row>
    <row r="1134" spans="2:8" ht="41.25" customHeight="1" x14ac:dyDescent="0.2">
      <c r="B1134" s="21"/>
      <c r="C1134" s="99" t="s">
        <v>120</v>
      </c>
      <c r="D1134" s="99"/>
      <c r="E1134" s="99"/>
      <c r="G1134" s="15"/>
      <c r="H1134" s="15"/>
    </row>
    <row r="1135" spans="2:8" x14ac:dyDescent="0.2">
      <c r="B1135" s="21" t="s">
        <v>26</v>
      </c>
      <c r="C1135" s="23"/>
      <c r="D1135" s="23"/>
      <c r="E1135" s="22"/>
      <c r="G1135" s="15"/>
      <c r="H1135" s="15"/>
    </row>
    <row r="1136" spans="2:8" x14ac:dyDescent="0.2">
      <c r="B1136" s="24"/>
      <c r="C1136" s="102" t="s">
        <v>25</v>
      </c>
      <c r="D1136" s="102"/>
      <c r="E1136" s="102"/>
      <c r="G1136" s="15"/>
      <c r="H1136" s="15"/>
    </row>
    <row r="1137" spans="2:8" x14ac:dyDescent="0.2">
      <c r="B1137" s="24"/>
      <c r="C1137" s="98"/>
      <c r="D1137" s="98"/>
      <c r="E1137" s="98"/>
      <c r="G1137" s="15"/>
      <c r="H1137" s="15"/>
    </row>
    <row r="1138" spans="2:8" x14ac:dyDescent="0.2">
      <c r="B1138" s="21" t="s">
        <v>24</v>
      </c>
      <c r="C1138" s="23"/>
      <c r="D1138" s="23"/>
      <c r="E1138" s="22"/>
      <c r="G1138" s="15"/>
      <c r="H1138" s="15"/>
    </row>
    <row r="1139" spans="2:8" ht="26.25" customHeight="1" x14ac:dyDescent="0.2">
      <c r="B1139" s="24"/>
      <c r="C1139" s="99"/>
      <c r="D1139" s="99"/>
      <c r="E1139" s="99"/>
      <c r="G1139" s="15"/>
      <c r="H1139" s="15"/>
    </row>
    <row r="1140" spans="2:8" x14ac:dyDescent="0.2">
      <c r="B1140" s="21" t="s">
        <v>23</v>
      </c>
      <c r="C1140" s="26"/>
      <c r="D1140" s="26"/>
      <c r="E1140" s="25"/>
      <c r="G1140" s="15"/>
      <c r="H1140" s="15"/>
    </row>
    <row r="1141" spans="2:8" ht="26.25" customHeight="1" x14ac:dyDescent="0.2">
      <c r="B1141" s="24"/>
      <c r="C1141" s="100" t="s">
        <v>22</v>
      </c>
      <c r="D1141" s="100"/>
      <c r="E1141" s="100"/>
      <c r="G1141" s="15"/>
      <c r="H1141" s="15"/>
    </row>
    <row r="1142" spans="2:8" x14ac:dyDescent="0.2">
      <c r="B1142" s="21" t="s">
        <v>21</v>
      </c>
      <c r="C1142" s="23"/>
      <c r="D1142" s="23"/>
      <c r="E1142" s="22"/>
      <c r="G1142" s="15"/>
      <c r="H1142" s="15"/>
    </row>
    <row r="1143" spans="2:8" ht="23.25" customHeight="1" x14ac:dyDescent="0.2">
      <c r="B1143" s="21"/>
      <c r="C1143" s="101"/>
      <c r="D1143" s="101"/>
      <c r="E1143" s="101"/>
      <c r="G1143" s="15"/>
      <c r="H1143" s="15"/>
    </row>
    <row r="1144" spans="2:8" ht="13.5" thickBot="1" x14ac:dyDescent="0.25">
      <c r="B1144" s="20"/>
      <c r="C1144" s="19"/>
      <c r="D1144" s="19"/>
      <c r="E1144" s="18"/>
      <c r="G1144" s="15"/>
      <c r="H1144" s="15"/>
    </row>
    <row r="1145" spans="2:8" ht="13.5" thickBot="1" x14ac:dyDescent="0.25">
      <c r="G1145" s="15"/>
      <c r="H1145" s="15"/>
    </row>
    <row r="1146" spans="2:8" x14ac:dyDescent="0.2">
      <c r="B1146" s="30" t="s">
        <v>119</v>
      </c>
      <c r="C1146" s="29"/>
      <c r="D1146" s="29"/>
      <c r="E1146" s="28"/>
      <c r="G1146" s="15"/>
      <c r="H1146" s="15"/>
    </row>
    <row r="1147" spans="2:8" ht="5.25" customHeight="1" x14ac:dyDescent="0.2">
      <c r="B1147" s="27"/>
      <c r="C1147" s="23"/>
      <c r="D1147" s="23"/>
      <c r="E1147" s="22"/>
      <c r="G1147" s="15"/>
      <c r="H1147" s="15"/>
    </row>
    <row r="1148" spans="2:8" x14ac:dyDescent="0.2">
      <c r="B1148" s="21" t="s">
        <v>28</v>
      </c>
      <c r="C1148" s="23"/>
      <c r="D1148" s="23"/>
      <c r="E1148" s="22"/>
      <c r="G1148" s="15"/>
      <c r="H1148" s="15"/>
    </row>
    <row r="1149" spans="2:8" ht="41.25" customHeight="1" x14ac:dyDescent="0.2">
      <c r="B1149" s="21"/>
      <c r="C1149" s="99" t="s">
        <v>118</v>
      </c>
      <c r="D1149" s="99"/>
      <c r="E1149" s="99"/>
      <c r="G1149" s="15"/>
      <c r="H1149" s="15"/>
    </row>
    <row r="1150" spans="2:8" x14ac:dyDescent="0.2">
      <c r="B1150" s="21" t="s">
        <v>26</v>
      </c>
      <c r="C1150" s="23"/>
      <c r="D1150" s="23"/>
      <c r="E1150" s="22"/>
      <c r="G1150" s="15"/>
      <c r="H1150" s="15"/>
    </row>
    <row r="1151" spans="2:8" x14ac:dyDescent="0.2">
      <c r="B1151" s="24"/>
      <c r="C1151" s="102" t="s">
        <v>25</v>
      </c>
      <c r="D1151" s="102"/>
      <c r="E1151" s="102"/>
      <c r="G1151" s="15"/>
      <c r="H1151" s="15"/>
    </row>
    <row r="1152" spans="2:8" x14ac:dyDescent="0.2">
      <c r="B1152" s="24"/>
      <c r="C1152" s="98"/>
      <c r="D1152" s="98"/>
      <c r="E1152" s="98"/>
      <c r="G1152" s="15"/>
      <c r="H1152" s="15"/>
    </row>
    <row r="1153" spans="2:8" x14ac:dyDescent="0.2">
      <c r="B1153" s="21" t="s">
        <v>24</v>
      </c>
      <c r="C1153" s="23"/>
      <c r="D1153" s="23"/>
      <c r="E1153" s="22"/>
      <c r="G1153" s="15"/>
      <c r="H1153" s="15"/>
    </row>
    <row r="1154" spans="2:8" ht="26.25" customHeight="1" x14ac:dyDescent="0.2">
      <c r="B1154" s="24"/>
      <c r="C1154" s="99"/>
      <c r="D1154" s="99"/>
      <c r="E1154" s="99"/>
      <c r="G1154" s="15"/>
      <c r="H1154" s="15"/>
    </row>
    <row r="1155" spans="2:8" x14ac:dyDescent="0.2">
      <c r="B1155" s="21" t="s">
        <v>23</v>
      </c>
      <c r="C1155" s="26"/>
      <c r="D1155" s="26"/>
      <c r="E1155" s="25"/>
      <c r="G1155" s="15"/>
      <c r="H1155" s="15"/>
    </row>
    <row r="1156" spans="2:8" ht="26.25" customHeight="1" x14ac:dyDescent="0.2">
      <c r="B1156" s="24"/>
      <c r="C1156" s="100" t="s">
        <v>22</v>
      </c>
      <c r="D1156" s="100"/>
      <c r="E1156" s="100"/>
      <c r="G1156" s="15"/>
      <c r="H1156" s="15"/>
    </row>
    <row r="1157" spans="2:8" x14ac:dyDescent="0.2">
      <c r="B1157" s="21" t="s">
        <v>21</v>
      </c>
      <c r="C1157" s="23"/>
      <c r="D1157" s="23"/>
      <c r="E1157" s="22"/>
      <c r="G1157" s="15"/>
      <c r="H1157" s="15"/>
    </row>
    <row r="1158" spans="2:8" ht="23.25" customHeight="1" x14ac:dyDescent="0.2">
      <c r="B1158" s="21"/>
      <c r="C1158" s="101"/>
      <c r="D1158" s="101"/>
      <c r="E1158" s="101"/>
      <c r="G1158" s="15"/>
      <c r="H1158" s="15"/>
    </row>
    <row r="1159" spans="2:8" ht="13.5" thickBot="1" x14ac:dyDescent="0.25">
      <c r="B1159" s="20"/>
      <c r="C1159" s="19"/>
      <c r="D1159" s="19"/>
      <c r="E1159" s="18"/>
      <c r="G1159" s="15"/>
      <c r="H1159" s="15"/>
    </row>
    <row r="1160" spans="2:8" ht="13.5" thickBot="1" x14ac:dyDescent="0.25">
      <c r="G1160" s="15"/>
      <c r="H1160" s="15"/>
    </row>
    <row r="1161" spans="2:8" x14ac:dyDescent="0.2">
      <c r="B1161" s="30" t="s">
        <v>117</v>
      </c>
      <c r="C1161" s="29"/>
      <c r="D1161" s="29"/>
      <c r="E1161" s="28"/>
      <c r="G1161" s="15"/>
      <c r="H1161" s="15"/>
    </row>
    <row r="1162" spans="2:8" ht="7.5" customHeight="1" x14ac:dyDescent="0.2">
      <c r="B1162" s="27"/>
      <c r="C1162" s="23"/>
      <c r="D1162" s="23"/>
      <c r="E1162" s="22"/>
      <c r="G1162" s="15"/>
      <c r="H1162" s="15"/>
    </row>
    <row r="1163" spans="2:8" x14ac:dyDescent="0.2">
      <c r="B1163" s="21" t="s">
        <v>28</v>
      </c>
      <c r="C1163" s="23"/>
      <c r="D1163" s="23"/>
      <c r="E1163" s="22"/>
      <c r="G1163" s="15"/>
      <c r="H1163" s="15"/>
    </row>
    <row r="1164" spans="2:8" ht="41.25" customHeight="1" x14ac:dyDescent="0.2">
      <c r="B1164" s="21"/>
      <c r="C1164" s="99" t="s">
        <v>116</v>
      </c>
      <c r="D1164" s="99"/>
      <c r="E1164" s="99"/>
      <c r="G1164" s="15"/>
      <c r="H1164" s="15"/>
    </row>
    <row r="1165" spans="2:8" x14ac:dyDescent="0.2">
      <c r="B1165" s="21" t="s">
        <v>26</v>
      </c>
      <c r="C1165" s="23"/>
      <c r="D1165" s="23"/>
      <c r="E1165" s="22"/>
      <c r="G1165" s="15"/>
      <c r="H1165" s="15"/>
    </row>
    <row r="1166" spans="2:8" x14ac:dyDescent="0.2">
      <c r="B1166" s="24"/>
      <c r="C1166" s="102" t="s">
        <v>25</v>
      </c>
      <c r="D1166" s="102"/>
      <c r="E1166" s="102"/>
      <c r="G1166" s="15"/>
      <c r="H1166" s="15"/>
    </row>
    <row r="1167" spans="2:8" x14ac:dyDescent="0.2">
      <c r="B1167" s="24"/>
      <c r="C1167" s="98"/>
      <c r="D1167" s="98"/>
      <c r="E1167" s="98"/>
      <c r="G1167" s="15"/>
      <c r="H1167" s="15"/>
    </row>
    <row r="1168" spans="2:8" x14ac:dyDescent="0.2">
      <c r="B1168" s="21" t="s">
        <v>24</v>
      </c>
      <c r="C1168" s="23"/>
      <c r="D1168" s="23"/>
      <c r="E1168" s="22"/>
      <c r="G1168" s="15"/>
      <c r="H1168" s="15"/>
    </row>
    <row r="1169" spans="2:8" ht="26.25" customHeight="1" x14ac:dyDescent="0.2">
      <c r="B1169" s="24"/>
      <c r="C1169" s="99"/>
      <c r="D1169" s="99"/>
      <c r="E1169" s="99"/>
      <c r="G1169" s="15"/>
      <c r="H1169" s="15"/>
    </row>
    <row r="1170" spans="2:8" x14ac:dyDescent="0.2">
      <c r="B1170" s="21" t="s">
        <v>23</v>
      </c>
      <c r="C1170" s="26"/>
      <c r="D1170" s="26"/>
      <c r="E1170" s="25"/>
      <c r="G1170" s="15"/>
      <c r="H1170" s="15"/>
    </row>
    <row r="1171" spans="2:8" ht="26.25" customHeight="1" x14ac:dyDescent="0.2">
      <c r="B1171" s="24"/>
      <c r="C1171" s="100" t="s">
        <v>22</v>
      </c>
      <c r="D1171" s="100"/>
      <c r="E1171" s="100"/>
      <c r="G1171" s="15"/>
      <c r="H1171" s="15"/>
    </row>
    <row r="1172" spans="2:8" x14ac:dyDescent="0.2">
      <c r="B1172" s="21" t="s">
        <v>21</v>
      </c>
      <c r="C1172" s="23"/>
      <c r="D1172" s="23"/>
      <c r="E1172" s="22"/>
      <c r="G1172" s="15"/>
      <c r="H1172" s="15"/>
    </row>
    <row r="1173" spans="2:8" ht="23.25" customHeight="1" x14ac:dyDescent="0.2">
      <c r="B1173" s="21"/>
      <c r="C1173" s="101"/>
      <c r="D1173" s="101"/>
      <c r="E1173" s="101"/>
      <c r="G1173" s="15"/>
      <c r="H1173" s="15"/>
    </row>
    <row r="1174" spans="2:8" ht="13.5" thickBot="1" x14ac:dyDescent="0.25">
      <c r="B1174" s="20"/>
      <c r="C1174" s="19"/>
      <c r="D1174" s="19"/>
      <c r="E1174" s="18"/>
      <c r="G1174" s="15"/>
      <c r="H1174" s="15"/>
    </row>
    <row r="1175" spans="2:8" ht="13.5" thickBot="1" x14ac:dyDescent="0.25">
      <c r="G1175" s="15"/>
      <c r="H1175" s="15"/>
    </row>
    <row r="1176" spans="2:8" x14ac:dyDescent="0.2">
      <c r="B1176" s="30" t="s">
        <v>115</v>
      </c>
      <c r="C1176" s="29"/>
      <c r="D1176" s="29"/>
      <c r="E1176" s="28"/>
      <c r="G1176" s="15"/>
      <c r="H1176" s="15"/>
    </row>
    <row r="1177" spans="2:8" ht="5.25" customHeight="1" x14ac:dyDescent="0.2">
      <c r="B1177" s="27"/>
      <c r="C1177" s="23"/>
      <c r="D1177" s="23"/>
      <c r="E1177" s="22"/>
      <c r="G1177" s="15"/>
      <c r="H1177" s="15"/>
    </row>
    <row r="1178" spans="2:8" x14ac:dyDescent="0.2">
      <c r="B1178" s="21" t="s">
        <v>28</v>
      </c>
      <c r="C1178" s="23"/>
      <c r="D1178" s="23"/>
      <c r="E1178" s="22"/>
      <c r="G1178" s="15"/>
      <c r="H1178" s="15"/>
    </row>
    <row r="1179" spans="2:8" ht="41.25" customHeight="1" x14ac:dyDescent="0.2">
      <c r="B1179" s="21"/>
      <c r="C1179" s="99" t="s">
        <v>114</v>
      </c>
      <c r="D1179" s="99"/>
      <c r="E1179" s="99"/>
      <c r="G1179" s="15"/>
      <c r="H1179" s="15"/>
    </row>
    <row r="1180" spans="2:8" x14ac:dyDescent="0.2">
      <c r="B1180" s="21" t="s">
        <v>26</v>
      </c>
      <c r="C1180" s="23"/>
      <c r="D1180" s="23"/>
      <c r="E1180" s="22"/>
      <c r="G1180" s="15"/>
      <c r="H1180" s="15"/>
    </row>
    <row r="1181" spans="2:8" x14ac:dyDescent="0.2">
      <c r="B1181" s="24"/>
      <c r="C1181" s="102" t="s">
        <v>25</v>
      </c>
      <c r="D1181" s="102"/>
      <c r="E1181" s="102"/>
      <c r="G1181" s="15"/>
      <c r="H1181" s="15"/>
    </row>
    <row r="1182" spans="2:8" x14ac:dyDescent="0.2">
      <c r="B1182" s="24"/>
      <c r="C1182" s="98"/>
      <c r="D1182" s="98"/>
      <c r="E1182" s="98"/>
      <c r="G1182" s="15"/>
      <c r="H1182" s="15"/>
    </row>
    <row r="1183" spans="2:8" x14ac:dyDescent="0.2">
      <c r="B1183" s="21" t="s">
        <v>24</v>
      </c>
      <c r="C1183" s="23"/>
      <c r="D1183" s="23"/>
      <c r="E1183" s="22"/>
      <c r="G1183" s="15"/>
      <c r="H1183" s="15"/>
    </row>
    <row r="1184" spans="2:8" ht="26.25" customHeight="1" x14ac:dyDescent="0.2">
      <c r="B1184" s="24"/>
      <c r="C1184" s="99"/>
      <c r="D1184" s="99"/>
      <c r="E1184" s="99"/>
      <c r="G1184" s="15"/>
      <c r="H1184" s="15"/>
    </row>
    <row r="1185" spans="2:8" x14ac:dyDescent="0.2">
      <c r="B1185" s="21" t="s">
        <v>23</v>
      </c>
      <c r="C1185" s="26"/>
      <c r="D1185" s="26"/>
      <c r="E1185" s="25"/>
      <c r="G1185" s="15"/>
      <c r="H1185" s="15"/>
    </row>
    <row r="1186" spans="2:8" ht="26.25" customHeight="1" x14ac:dyDescent="0.2">
      <c r="B1186" s="24"/>
      <c r="C1186" s="100" t="s">
        <v>22</v>
      </c>
      <c r="D1186" s="100"/>
      <c r="E1186" s="100"/>
      <c r="G1186" s="15"/>
      <c r="H1186" s="15"/>
    </row>
    <row r="1187" spans="2:8" x14ac:dyDescent="0.2">
      <c r="B1187" s="21" t="s">
        <v>21</v>
      </c>
      <c r="C1187" s="23"/>
      <c r="D1187" s="23"/>
      <c r="E1187" s="22"/>
      <c r="G1187" s="15"/>
      <c r="H1187" s="15"/>
    </row>
    <row r="1188" spans="2:8" ht="23.25" customHeight="1" x14ac:dyDescent="0.2">
      <c r="B1188" s="21"/>
      <c r="C1188" s="101"/>
      <c r="D1188" s="101"/>
      <c r="E1188" s="101"/>
      <c r="G1188" s="15"/>
      <c r="H1188" s="15"/>
    </row>
    <row r="1189" spans="2:8" ht="13.5" thickBot="1" x14ac:dyDescent="0.25">
      <c r="B1189" s="20"/>
      <c r="C1189" s="19"/>
      <c r="D1189" s="19"/>
      <c r="E1189" s="18"/>
      <c r="G1189" s="15"/>
      <c r="H1189" s="15"/>
    </row>
    <row r="1190" spans="2:8" ht="13.5" thickBot="1" x14ac:dyDescent="0.25">
      <c r="G1190" s="15"/>
      <c r="H1190" s="15"/>
    </row>
    <row r="1191" spans="2:8" x14ac:dyDescent="0.2">
      <c r="B1191" s="30" t="s">
        <v>113</v>
      </c>
      <c r="C1191" s="29"/>
      <c r="D1191" s="29"/>
      <c r="E1191" s="28"/>
      <c r="G1191" s="15"/>
      <c r="H1191" s="15"/>
    </row>
    <row r="1192" spans="2:8" ht="7.5" customHeight="1" x14ac:dyDescent="0.2">
      <c r="B1192" s="27"/>
      <c r="C1192" s="23"/>
      <c r="D1192" s="23"/>
      <c r="E1192" s="22"/>
      <c r="G1192" s="15"/>
      <c r="H1192" s="15"/>
    </row>
    <row r="1193" spans="2:8" x14ac:dyDescent="0.2">
      <c r="B1193" s="21" t="s">
        <v>28</v>
      </c>
      <c r="C1193" s="23"/>
      <c r="D1193" s="23"/>
      <c r="E1193" s="22"/>
      <c r="G1193" s="15"/>
      <c r="H1193" s="15"/>
    </row>
    <row r="1194" spans="2:8" ht="41.25" customHeight="1" x14ac:dyDescent="0.2">
      <c r="B1194" s="21"/>
      <c r="C1194" s="99" t="s">
        <v>112</v>
      </c>
      <c r="D1194" s="99"/>
      <c r="E1194" s="99"/>
      <c r="G1194" s="15"/>
      <c r="H1194" s="15"/>
    </row>
    <row r="1195" spans="2:8" x14ac:dyDescent="0.2">
      <c r="B1195" s="21" t="s">
        <v>26</v>
      </c>
      <c r="C1195" s="23"/>
      <c r="D1195" s="23"/>
      <c r="E1195" s="22"/>
      <c r="G1195" s="15"/>
      <c r="H1195" s="15"/>
    </row>
    <row r="1196" spans="2:8" x14ac:dyDescent="0.2">
      <c r="B1196" s="24"/>
      <c r="C1196" s="102" t="s">
        <v>25</v>
      </c>
      <c r="D1196" s="102"/>
      <c r="E1196" s="102"/>
      <c r="G1196" s="15"/>
      <c r="H1196" s="15"/>
    </row>
    <row r="1197" spans="2:8" x14ac:dyDescent="0.2">
      <c r="B1197" s="24"/>
      <c r="C1197" s="98"/>
      <c r="D1197" s="98"/>
      <c r="E1197" s="98"/>
      <c r="G1197" s="15"/>
      <c r="H1197" s="15"/>
    </row>
    <row r="1198" spans="2:8" x14ac:dyDescent="0.2">
      <c r="B1198" s="21" t="s">
        <v>24</v>
      </c>
      <c r="C1198" s="23"/>
      <c r="D1198" s="23"/>
      <c r="E1198" s="22"/>
      <c r="G1198" s="15"/>
      <c r="H1198" s="15"/>
    </row>
    <row r="1199" spans="2:8" ht="26.25" customHeight="1" x14ac:dyDescent="0.2">
      <c r="B1199" s="24"/>
      <c r="C1199" s="99"/>
      <c r="D1199" s="99"/>
      <c r="E1199" s="99"/>
      <c r="G1199" s="15"/>
      <c r="H1199" s="15"/>
    </row>
    <row r="1200" spans="2:8" x14ac:dyDescent="0.2">
      <c r="B1200" s="21" t="s">
        <v>23</v>
      </c>
      <c r="C1200" s="26"/>
      <c r="D1200" s="26"/>
      <c r="E1200" s="25"/>
      <c r="G1200" s="15"/>
      <c r="H1200" s="15"/>
    </row>
    <row r="1201" spans="2:8" ht="26.25" customHeight="1" x14ac:dyDescent="0.2">
      <c r="B1201" s="24"/>
      <c r="C1201" s="100" t="s">
        <v>22</v>
      </c>
      <c r="D1201" s="100"/>
      <c r="E1201" s="100"/>
      <c r="G1201" s="15"/>
      <c r="H1201" s="15"/>
    </row>
    <row r="1202" spans="2:8" x14ac:dyDescent="0.2">
      <c r="B1202" s="21" t="s">
        <v>21</v>
      </c>
      <c r="C1202" s="23"/>
      <c r="D1202" s="23"/>
      <c r="E1202" s="22"/>
      <c r="G1202" s="15"/>
      <c r="H1202" s="15"/>
    </row>
    <row r="1203" spans="2:8" ht="23.25" customHeight="1" x14ac:dyDescent="0.2">
      <c r="B1203" s="21"/>
      <c r="C1203" s="101"/>
      <c r="D1203" s="101"/>
      <c r="E1203" s="101"/>
      <c r="G1203" s="15"/>
      <c r="H1203" s="15"/>
    </row>
    <row r="1204" spans="2:8" ht="13.5" thickBot="1" x14ac:dyDescent="0.25">
      <c r="B1204" s="20"/>
      <c r="C1204" s="19"/>
      <c r="D1204" s="19"/>
      <c r="E1204" s="18"/>
      <c r="G1204" s="15"/>
      <c r="H1204" s="15"/>
    </row>
    <row r="1205" spans="2:8" ht="13.5" thickBot="1" x14ac:dyDescent="0.25">
      <c r="G1205" s="15"/>
      <c r="H1205" s="15"/>
    </row>
    <row r="1206" spans="2:8" x14ac:dyDescent="0.2">
      <c r="B1206" s="30" t="s">
        <v>111</v>
      </c>
      <c r="C1206" s="29"/>
      <c r="D1206" s="29"/>
      <c r="E1206" s="28"/>
      <c r="G1206" s="15"/>
      <c r="H1206" s="15"/>
    </row>
    <row r="1207" spans="2:8" ht="5.25" customHeight="1" x14ac:dyDescent="0.2">
      <c r="B1207" s="27"/>
      <c r="C1207" s="23"/>
      <c r="D1207" s="23"/>
      <c r="E1207" s="22"/>
      <c r="G1207" s="15"/>
      <c r="H1207" s="15"/>
    </row>
    <row r="1208" spans="2:8" x14ac:dyDescent="0.2">
      <c r="B1208" s="21" t="s">
        <v>28</v>
      </c>
      <c r="C1208" s="23"/>
      <c r="D1208" s="23"/>
      <c r="E1208" s="22"/>
      <c r="G1208" s="15"/>
      <c r="H1208" s="15"/>
    </row>
    <row r="1209" spans="2:8" ht="41.25" customHeight="1" x14ac:dyDescent="0.2">
      <c r="B1209" s="21"/>
      <c r="C1209" s="99" t="s">
        <v>110</v>
      </c>
      <c r="D1209" s="99"/>
      <c r="E1209" s="99"/>
      <c r="G1209" s="15"/>
      <c r="H1209" s="15"/>
    </row>
    <row r="1210" spans="2:8" x14ac:dyDescent="0.2">
      <c r="B1210" s="21" t="s">
        <v>26</v>
      </c>
      <c r="C1210" s="23"/>
      <c r="D1210" s="23"/>
      <c r="E1210" s="22"/>
      <c r="G1210" s="15"/>
      <c r="H1210" s="15"/>
    </row>
    <row r="1211" spans="2:8" x14ac:dyDescent="0.2">
      <c r="B1211" s="24"/>
      <c r="C1211" s="102" t="s">
        <v>25</v>
      </c>
      <c r="D1211" s="102"/>
      <c r="E1211" s="102"/>
      <c r="G1211" s="15"/>
      <c r="H1211" s="15"/>
    </row>
    <row r="1212" spans="2:8" x14ac:dyDescent="0.2">
      <c r="B1212" s="24"/>
      <c r="C1212" s="98"/>
      <c r="D1212" s="98"/>
      <c r="E1212" s="98"/>
      <c r="G1212" s="15"/>
      <c r="H1212" s="15"/>
    </row>
    <row r="1213" spans="2:8" x14ac:dyDescent="0.2">
      <c r="B1213" s="21" t="s">
        <v>24</v>
      </c>
      <c r="C1213" s="23"/>
      <c r="D1213" s="23"/>
      <c r="E1213" s="22"/>
      <c r="G1213" s="15"/>
      <c r="H1213" s="15"/>
    </row>
    <row r="1214" spans="2:8" ht="26.25" customHeight="1" x14ac:dyDescent="0.2">
      <c r="B1214" s="24"/>
      <c r="C1214" s="99"/>
      <c r="D1214" s="99"/>
      <c r="E1214" s="99"/>
      <c r="G1214" s="15"/>
      <c r="H1214" s="15"/>
    </row>
    <row r="1215" spans="2:8" x14ac:dyDescent="0.2">
      <c r="B1215" s="21" t="s">
        <v>23</v>
      </c>
      <c r="C1215" s="26"/>
      <c r="D1215" s="26"/>
      <c r="E1215" s="25"/>
      <c r="G1215" s="15"/>
      <c r="H1215" s="15"/>
    </row>
    <row r="1216" spans="2:8" ht="26.25" customHeight="1" x14ac:dyDescent="0.2">
      <c r="B1216" s="24"/>
      <c r="C1216" s="100" t="s">
        <v>22</v>
      </c>
      <c r="D1216" s="100"/>
      <c r="E1216" s="100"/>
      <c r="G1216" s="15"/>
      <c r="H1216" s="15"/>
    </row>
    <row r="1217" spans="2:8" x14ac:dyDescent="0.2">
      <c r="B1217" s="21" t="s">
        <v>21</v>
      </c>
      <c r="C1217" s="23"/>
      <c r="D1217" s="23"/>
      <c r="E1217" s="22"/>
      <c r="G1217" s="15"/>
      <c r="H1217" s="15"/>
    </row>
    <row r="1218" spans="2:8" ht="23.25" customHeight="1" x14ac:dyDescent="0.2">
      <c r="B1218" s="21"/>
      <c r="C1218" s="101"/>
      <c r="D1218" s="101"/>
      <c r="E1218" s="101"/>
      <c r="G1218" s="15"/>
      <c r="H1218" s="15"/>
    </row>
    <row r="1219" spans="2:8" ht="13.5" thickBot="1" x14ac:dyDescent="0.25">
      <c r="B1219" s="20"/>
      <c r="C1219" s="19"/>
      <c r="D1219" s="19"/>
      <c r="E1219" s="18"/>
      <c r="G1219" s="15"/>
      <c r="H1219" s="15"/>
    </row>
    <row r="1220" spans="2:8" ht="13.5" thickBot="1" x14ac:dyDescent="0.25">
      <c r="G1220" s="15"/>
      <c r="H1220" s="15"/>
    </row>
    <row r="1221" spans="2:8" x14ac:dyDescent="0.2">
      <c r="B1221" s="30" t="s">
        <v>109</v>
      </c>
      <c r="C1221" s="29"/>
      <c r="D1221" s="29"/>
      <c r="E1221" s="28"/>
      <c r="G1221" s="15"/>
      <c r="H1221" s="15"/>
    </row>
    <row r="1222" spans="2:8" ht="7.5" customHeight="1" x14ac:dyDescent="0.2">
      <c r="B1222" s="27"/>
      <c r="C1222" s="23"/>
      <c r="D1222" s="23"/>
      <c r="E1222" s="22"/>
      <c r="G1222" s="15"/>
      <c r="H1222" s="15"/>
    </row>
    <row r="1223" spans="2:8" x14ac:dyDescent="0.2">
      <c r="B1223" s="21" t="s">
        <v>28</v>
      </c>
      <c r="C1223" s="23"/>
      <c r="D1223" s="23"/>
      <c r="E1223" s="22"/>
      <c r="G1223" s="15"/>
      <c r="H1223" s="15"/>
    </row>
    <row r="1224" spans="2:8" ht="41.25" customHeight="1" x14ac:dyDescent="0.2">
      <c r="B1224" s="21"/>
      <c r="C1224" s="99" t="s">
        <v>108</v>
      </c>
      <c r="D1224" s="99"/>
      <c r="E1224" s="99"/>
      <c r="G1224" s="15"/>
      <c r="H1224" s="15"/>
    </row>
    <row r="1225" spans="2:8" x14ac:dyDescent="0.2">
      <c r="B1225" s="21" t="s">
        <v>26</v>
      </c>
      <c r="C1225" s="23"/>
      <c r="D1225" s="23"/>
      <c r="E1225" s="22"/>
      <c r="G1225" s="15"/>
      <c r="H1225" s="15"/>
    </row>
    <row r="1226" spans="2:8" x14ac:dyDescent="0.2">
      <c r="B1226" s="24"/>
      <c r="C1226" s="102" t="s">
        <v>25</v>
      </c>
      <c r="D1226" s="102"/>
      <c r="E1226" s="102"/>
      <c r="G1226" s="15"/>
      <c r="H1226" s="15"/>
    </row>
    <row r="1227" spans="2:8" x14ac:dyDescent="0.2">
      <c r="B1227" s="24"/>
      <c r="C1227" s="98"/>
      <c r="D1227" s="98"/>
      <c r="E1227" s="98"/>
      <c r="G1227" s="15"/>
      <c r="H1227" s="15"/>
    </row>
    <row r="1228" spans="2:8" x14ac:dyDescent="0.2">
      <c r="B1228" s="21" t="s">
        <v>24</v>
      </c>
      <c r="C1228" s="23"/>
      <c r="D1228" s="23"/>
      <c r="E1228" s="22"/>
      <c r="G1228" s="15"/>
      <c r="H1228" s="15"/>
    </row>
    <row r="1229" spans="2:8" ht="26.25" customHeight="1" x14ac:dyDescent="0.2">
      <c r="B1229" s="24"/>
      <c r="C1229" s="99"/>
      <c r="D1229" s="99"/>
      <c r="E1229" s="99"/>
      <c r="G1229" s="15"/>
      <c r="H1229" s="15"/>
    </row>
    <row r="1230" spans="2:8" x14ac:dyDescent="0.2">
      <c r="B1230" s="21" t="s">
        <v>23</v>
      </c>
      <c r="C1230" s="26"/>
      <c r="D1230" s="26"/>
      <c r="E1230" s="25"/>
      <c r="G1230" s="15"/>
      <c r="H1230" s="15"/>
    </row>
    <row r="1231" spans="2:8" ht="26.25" customHeight="1" x14ac:dyDescent="0.2">
      <c r="B1231" s="24"/>
      <c r="C1231" s="100" t="s">
        <v>22</v>
      </c>
      <c r="D1231" s="100"/>
      <c r="E1231" s="100"/>
      <c r="G1231" s="15"/>
      <c r="H1231" s="15"/>
    </row>
    <row r="1232" spans="2:8" x14ac:dyDescent="0.2">
      <c r="B1232" s="21" t="s">
        <v>21</v>
      </c>
      <c r="C1232" s="23"/>
      <c r="D1232" s="23"/>
      <c r="E1232" s="22"/>
      <c r="G1232" s="15"/>
      <c r="H1232" s="15"/>
    </row>
    <row r="1233" spans="2:8" ht="23.25" customHeight="1" x14ac:dyDescent="0.2">
      <c r="B1233" s="21"/>
      <c r="C1233" s="101"/>
      <c r="D1233" s="101"/>
      <c r="E1233" s="101"/>
      <c r="G1233" s="15"/>
      <c r="H1233" s="15"/>
    </row>
    <row r="1234" spans="2:8" ht="13.5" thickBot="1" x14ac:dyDescent="0.25">
      <c r="B1234" s="20"/>
      <c r="C1234" s="19"/>
      <c r="D1234" s="19"/>
      <c r="E1234" s="18"/>
      <c r="G1234" s="15"/>
      <c r="H1234" s="15"/>
    </row>
    <row r="1235" spans="2:8" ht="13.5" thickBot="1" x14ac:dyDescent="0.25">
      <c r="G1235" s="15"/>
      <c r="H1235" s="15"/>
    </row>
    <row r="1236" spans="2:8" x14ac:dyDescent="0.2">
      <c r="B1236" s="30" t="s">
        <v>107</v>
      </c>
      <c r="C1236" s="29"/>
      <c r="D1236" s="29"/>
      <c r="E1236" s="28"/>
      <c r="G1236" s="15"/>
      <c r="H1236" s="15"/>
    </row>
    <row r="1237" spans="2:8" ht="5.25" customHeight="1" x14ac:dyDescent="0.2">
      <c r="B1237" s="27"/>
      <c r="C1237" s="23"/>
      <c r="D1237" s="23"/>
      <c r="E1237" s="22"/>
      <c r="G1237" s="15"/>
      <c r="H1237" s="15"/>
    </row>
    <row r="1238" spans="2:8" x14ac:dyDescent="0.2">
      <c r="B1238" s="21" t="s">
        <v>28</v>
      </c>
      <c r="C1238" s="23"/>
      <c r="D1238" s="23"/>
      <c r="E1238" s="22"/>
      <c r="G1238" s="15"/>
      <c r="H1238" s="15"/>
    </row>
    <row r="1239" spans="2:8" ht="41.25" customHeight="1" x14ac:dyDescent="0.2">
      <c r="B1239" s="21"/>
      <c r="C1239" s="99" t="s">
        <v>106</v>
      </c>
      <c r="D1239" s="99"/>
      <c r="E1239" s="99"/>
      <c r="G1239" s="15"/>
      <c r="H1239" s="15"/>
    </row>
    <row r="1240" spans="2:8" x14ac:dyDescent="0.2">
      <c r="B1240" s="21" t="s">
        <v>26</v>
      </c>
      <c r="C1240" s="23"/>
      <c r="D1240" s="23"/>
      <c r="E1240" s="22"/>
      <c r="G1240" s="15"/>
      <c r="H1240" s="15"/>
    </row>
    <row r="1241" spans="2:8" x14ac:dyDescent="0.2">
      <c r="B1241" s="24"/>
      <c r="C1241" s="102" t="s">
        <v>25</v>
      </c>
      <c r="D1241" s="102"/>
      <c r="E1241" s="102"/>
      <c r="G1241" s="15"/>
      <c r="H1241" s="15"/>
    </row>
    <row r="1242" spans="2:8" x14ac:dyDescent="0.2">
      <c r="B1242" s="24"/>
      <c r="C1242" s="98"/>
      <c r="D1242" s="98"/>
      <c r="E1242" s="98"/>
      <c r="G1242" s="15"/>
      <c r="H1242" s="15"/>
    </row>
    <row r="1243" spans="2:8" x14ac:dyDescent="0.2">
      <c r="B1243" s="21" t="s">
        <v>24</v>
      </c>
      <c r="C1243" s="23"/>
      <c r="D1243" s="23"/>
      <c r="E1243" s="22"/>
      <c r="G1243" s="15"/>
      <c r="H1243" s="15"/>
    </row>
    <row r="1244" spans="2:8" ht="26.25" customHeight="1" x14ac:dyDescent="0.2">
      <c r="B1244" s="24"/>
      <c r="C1244" s="99"/>
      <c r="D1244" s="99"/>
      <c r="E1244" s="99"/>
      <c r="G1244" s="15"/>
      <c r="H1244" s="15"/>
    </row>
    <row r="1245" spans="2:8" x14ac:dyDescent="0.2">
      <c r="B1245" s="21" t="s">
        <v>23</v>
      </c>
      <c r="C1245" s="26"/>
      <c r="D1245" s="26"/>
      <c r="E1245" s="25"/>
      <c r="G1245" s="15"/>
      <c r="H1245" s="15"/>
    </row>
    <row r="1246" spans="2:8" ht="26.25" customHeight="1" x14ac:dyDescent="0.2">
      <c r="B1246" s="24"/>
      <c r="C1246" s="100" t="s">
        <v>22</v>
      </c>
      <c r="D1246" s="100"/>
      <c r="E1246" s="100"/>
      <c r="G1246" s="15"/>
      <c r="H1246" s="15"/>
    </row>
    <row r="1247" spans="2:8" x14ac:dyDescent="0.2">
      <c r="B1247" s="21" t="s">
        <v>21</v>
      </c>
      <c r="C1247" s="23"/>
      <c r="D1247" s="23"/>
      <c r="E1247" s="22"/>
      <c r="G1247" s="15"/>
      <c r="H1247" s="15"/>
    </row>
    <row r="1248" spans="2:8" ht="23.25" customHeight="1" x14ac:dyDescent="0.2">
      <c r="B1248" s="21"/>
      <c r="C1248" s="101"/>
      <c r="D1248" s="101"/>
      <c r="E1248" s="101"/>
      <c r="G1248" s="15"/>
      <c r="H1248" s="15"/>
    </row>
    <row r="1249" spans="2:8" ht="13.5" thickBot="1" x14ac:dyDescent="0.25">
      <c r="B1249" s="20"/>
      <c r="C1249" s="19"/>
      <c r="D1249" s="19"/>
      <c r="E1249" s="18"/>
      <c r="G1249" s="15"/>
      <c r="H1249" s="15"/>
    </row>
    <row r="1250" spans="2:8" ht="13.5" thickBot="1" x14ac:dyDescent="0.25">
      <c r="G1250" s="15"/>
      <c r="H1250" s="15"/>
    </row>
    <row r="1251" spans="2:8" x14ac:dyDescent="0.2">
      <c r="B1251" s="30" t="s">
        <v>105</v>
      </c>
      <c r="C1251" s="29"/>
      <c r="D1251" s="29"/>
      <c r="E1251" s="28"/>
      <c r="G1251" s="15"/>
      <c r="H1251" s="15"/>
    </row>
    <row r="1252" spans="2:8" ht="7.5" customHeight="1" x14ac:dyDescent="0.2">
      <c r="B1252" s="27"/>
      <c r="C1252" s="23"/>
      <c r="D1252" s="23"/>
      <c r="E1252" s="22"/>
      <c r="G1252" s="15"/>
      <c r="H1252" s="15"/>
    </row>
    <row r="1253" spans="2:8" x14ac:dyDescent="0.2">
      <c r="B1253" s="21" t="s">
        <v>28</v>
      </c>
      <c r="C1253" s="23"/>
      <c r="D1253" s="23"/>
      <c r="E1253" s="22"/>
      <c r="G1253" s="15"/>
      <c r="H1253" s="15"/>
    </row>
    <row r="1254" spans="2:8" ht="41.25" customHeight="1" x14ac:dyDescent="0.2">
      <c r="B1254" s="21"/>
      <c r="C1254" s="99" t="s">
        <v>104</v>
      </c>
      <c r="D1254" s="99"/>
      <c r="E1254" s="99"/>
      <c r="G1254" s="15"/>
      <c r="H1254" s="15"/>
    </row>
    <row r="1255" spans="2:8" x14ac:dyDescent="0.2">
      <c r="B1255" s="21" t="s">
        <v>26</v>
      </c>
      <c r="C1255" s="23"/>
      <c r="D1255" s="23"/>
      <c r="E1255" s="22"/>
      <c r="G1255" s="15"/>
      <c r="H1255" s="15"/>
    </row>
    <row r="1256" spans="2:8" x14ac:dyDescent="0.2">
      <c r="B1256" s="24"/>
      <c r="C1256" s="102" t="s">
        <v>25</v>
      </c>
      <c r="D1256" s="102"/>
      <c r="E1256" s="102"/>
      <c r="G1256" s="15"/>
      <c r="H1256" s="15"/>
    </row>
    <row r="1257" spans="2:8" x14ac:dyDescent="0.2">
      <c r="B1257" s="24"/>
      <c r="C1257" s="98"/>
      <c r="D1257" s="98"/>
      <c r="E1257" s="98"/>
      <c r="G1257" s="15"/>
      <c r="H1257" s="15"/>
    </row>
    <row r="1258" spans="2:8" x14ac:dyDescent="0.2">
      <c r="B1258" s="21" t="s">
        <v>24</v>
      </c>
      <c r="C1258" s="23"/>
      <c r="D1258" s="23"/>
      <c r="E1258" s="22"/>
      <c r="G1258" s="15"/>
      <c r="H1258" s="15"/>
    </row>
    <row r="1259" spans="2:8" ht="26.25" customHeight="1" x14ac:dyDescent="0.2">
      <c r="B1259" s="24"/>
      <c r="C1259" s="99"/>
      <c r="D1259" s="99"/>
      <c r="E1259" s="99"/>
      <c r="G1259" s="15"/>
      <c r="H1259" s="15"/>
    </row>
    <row r="1260" spans="2:8" x14ac:dyDescent="0.2">
      <c r="B1260" s="21" t="s">
        <v>23</v>
      </c>
      <c r="C1260" s="26"/>
      <c r="D1260" s="26"/>
      <c r="E1260" s="25"/>
      <c r="G1260" s="15"/>
      <c r="H1260" s="15"/>
    </row>
    <row r="1261" spans="2:8" ht="26.25" customHeight="1" x14ac:dyDescent="0.2">
      <c r="B1261" s="24"/>
      <c r="C1261" s="100" t="s">
        <v>22</v>
      </c>
      <c r="D1261" s="100"/>
      <c r="E1261" s="100"/>
      <c r="G1261" s="15"/>
      <c r="H1261" s="15"/>
    </row>
    <row r="1262" spans="2:8" x14ac:dyDescent="0.2">
      <c r="B1262" s="21" t="s">
        <v>21</v>
      </c>
      <c r="C1262" s="23"/>
      <c r="D1262" s="23"/>
      <c r="E1262" s="22"/>
      <c r="G1262" s="15"/>
      <c r="H1262" s="15"/>
    </row>
    <row r="1263" spans="2:8" ht="23.25" customHeight="1" x14ac:dyDescent="0.2">
      <c r="B1263" s="21"/>
      <c r="C1263" s="101"/>
      <c r="D1263" s="101"/>
      <c r="E1263" s="101"/>
      <c r="G1263" s="15"/>
      <c r="H1263" s="15"/>
    </row>
    <row r="1264" spans="2:8" ht="13.5" thickBot="1" x14ac:dyDescent="0.25">
      <c r="B1264" s="20"/>
      <c r="C1264" s="19"/>
      <c r="D1264" s="19"/>
      <c r="E1264" s="18"/>
      <c r="G1264" s="15"/>
      <c r="H1264" s="15"/>
    </row>
    <row r="1265" spans="2:8" ht="13.5" thickBot="1" x14ac:dyDescent="0.25">
      <c r="G1265" s="15"/>
      <c r="H1265" s="15"/>
    </row>
    <row r="1266" spans="2:8" x14ac:dyDescent="0.2">
      <c r="B1266" s="30" t="s">
        <v>103</v>
      </c>
      <c r="C1266" s="29"/>
      <c r="D1266" s="29"/>
      <c r="E1266" s="28"/>
      <c r="G1266" s="15"/>
      <c r="H1266" s="15"/>
    </row>
    <row r="1267" spans="2:8" ht="5.25" customHeight="1" x14ac:dyDescent="0.2">
      <c r="B1267" s="27"/>
      <c r="C1267" s="23"/>
      <c r="D1267" s="23"/>
      <c r="E1267" s="22"/>
      <c r="G1267" s="15"/>
      <c r="H1267" s="15"/>
    </row>
    <row r="1268" spans="2:8" x14ac:dyDescent="0.2">
      <c r="B1268" s="21" t="s">
        <v>28</v>
      </c>
      <c r="C1268" s="23"/>
      <c r="D1268" s="23"/>
      <c r="E1268" s="22"/>
      <c r="G1268" s="15"/>
      <c r="H1268" s="15"/>
    </row>
    <row r="1269" spans="2:8" ht="41.25" customHeight="1" x14ac:dyDescent="0.2">
      <c r="B1269" s="21"/>
      <c r="C1269" s="99" t="s">
        <v>102</v>
      </c>
      <c r="D1269" s="99"/>
      <c r="E1269" s="99"/>
      <c r="G1269" s="15"/>
      <c r="H1269" s="15"/>
    </row>
    <row r="1270" spans="2:8" x14ac:dyDescent="0.2">
      <c r="B1270" s="21" t="s">
        <v>26</v>
      </c>
      <c r="C1270" s="23"/>
      <c r="D1270" s="23"/>
      <c r="E1270" s="22"/>
      <c r="G1270" s="15"/>
      <c r="H1270" s="15"/>
    </row>
    <row r="1271" spans="2:8" x14ac:dyDescent="0.2">
      <c r="B1271" s="24"/>
      <c r="C1271" s="102" t="s">
        <v>25</v>
      </c>
      <c r="D1271" s="102"/>
      <c r="E1271" s="102"/>
      <c r="G1271" s="15"/>
      <c r="H1271" s="15"/>
    </row>
    <row r="1272" spans="2:8" x14ac:dyDescent="0.2">
      <c r="B1272" s="24"/>
      <c r="C1272" s="98"/>
      <c r="D1272" s="98"/>
      <c r="E1272" s="98"/>
      <c r="G1272" s="15"/>
      <c r="H1272" s="15"/>
    </row>
    <row r="1273" spans="2:8" x14ac:dyDescent="0.2">
      <c r="B1273" s="21" t="s">
        <v>24</v>
      </c>
      <c r="C1273" s="23"/>
      <c r="D1273" s="23"/>
      <c r="E1273" s="22"/>
      <c r="G1273" s="15"/>
      <c r="H1273" s="15"/>
    </row>
    <row r="1274" spans="2:8" ht="26.25" customHeight="1" x14ac:dyDescent="0.2">
      <c r="B1274" s="24"/>
      <c r="C1274" s="99"/>
      <c r="D1274" s="99"/>
      <c r="E1274" s="99"/>
      <c r="G1274" s="15"/>
      <c r="H1274" s="15"/>
    </row>
    <row r="1275" spans="2:8" x14ac:dyDescent="0.2">
      <c r="B1275" s="21" t="s">
        <v>23</v>
      </c>
      <c r="C1275" s="26"/>
      <c r="D1275" s="26"/>
      <c r="E1275" s="25"/>
      <c r="G1275" s="15"/>
      <c r="H1275" s="15"/>
    </row>
    <row r="1276" spans="2:8" ht="26.25" customHeight="1" x14ac:dyDescent="0.2">
      <c r="B1276" s="24"/>
      <c r="C1276" s="100" t="s">
        <v>22</v>
      </c>
      <c r="D1276" s="100"/>
      <c r="E1276" s="100"/>
      <c r="G1276" s="15"/>
      <c r="H1276" s="15"/>
    </row>
    <row r="1277" spans="2:8" x14ac:dyDescent="0.2">
      <c r="B1277" s="21" t="s">
        <v>21</v>
      </c>
      <c r="C1277" s="23"/>
      <c r="D1277" s="23"/>
      <c r="E1277" s="22"/>
      <c r="G1277" s="15"/>
      <c r="H1277" s="15"/>
    </row>
    <row r="1278" spans="2:8" ht="23.25" customHeight="1" x14ac:dyDescent="0.2">
      <c r="B1278" s="21"/>
      <c r="C1278" s="101"/>
      <c r="D1278" s="101"/>
      <c r="E1278" s="101"/>
      <c r="G1278" s="15"/>
      <c r="H1278" s="15"/>
    </row>
    <row r="1279" spans="2:8" ht="13.5" thickBot="1" x14ac:dyDescent="0.25">
      <c r="B1279" s="20"/>
      <c r="C1279" s="19"/>
      <c r="D1279" s="19"/>
      <c r="E1279" s="18"/>
      <c r="G1279" s="15"/>
      <c r="H1279" s="15"/>
    </row>
    <row r="1280" spans="2:8" ht="13.5" thickBot="1" x14ac:dyDescent="0.25">
      <c r="G1280" s="15"/>
      <c r="H1280" s="15"/>
    </row>
    <row r="1281" spans="2:8" x14ac:dyDescent="0.2">
      <c r="B1281" s="30" t="s">
        <v>101</v>
      </c>
      <c r="C1281" s="29"/>
      <c r="D1281" s="29"/>
      <c r="E1281" s="28"/>
      <c r="G1281" s="15"/>
      <c r="H1281" s="15"/>
    </row>
    <row r="1282" spans="2:8" ht="7.5" customHeight="1" x14ac:dyDescent="0.2">
      <c r="B1282" s="27"/>
      <c r="C1282" s="23"/>
      <c r="D1282" s="23"/>
      <c r="E1282" s="22"/>
      <c r="G1282" s="15"/>
      <c r="H1282" s="15"/>
    </row>
    <row r="1283" spans="2:8" x14ac:dyDescent="0.2">
      <c r="B1283" s="21" t="s">
        <v>28</v>
      </c>
      <c r="C1283" s="23"/>
      <c r="D1283" s="23"/>
      <c r="E1283" s="22"/>
      <c r="G1283" s="15"/>
      <c r="H1283" s="15"/>
    </row>
    <row r="1284" spans="2:8" ht="41.25" customHeight="1" x14ac:dyDescent="0.2">
      <c r="B1284" s="21"/>
      <c r="C1284" s="99" t="s">
        <v>100</v>
      </c>
      <c r="D1284" s="99"/>
      <c r="E1284" s="99"/>
      <c r="G1284" s="15"/>
      <c r="H1284" s="15"/>
    </row>
    <row r="1285" spans="2:8" x14ac:dyDescent="0.2">
      <c r="B1285" s="21" t="s">
        <v>26</v>
      </c>
      <c r="C1285" s="23"/>
      <c r="D1285" s="23"/>
      <c r="E1285" s="22"/>
      <c r="G1285" s="15"/>
      <c r="H1285" s="15"/>
    </row>
    <row r="1286" spans="2:8" x14ac:dyDescent="0.2">
      <c r="B1286" s="24"/>
      <c r="C1286" s="102" t="s">
        <v>25</v>
      </c>
      <c r="D1286" s="102"/>
      <c r="E1286" s="102"/>
      <c r="G1286" s="15"/>
      <c r="H1286" s="15"/>
    </row>
    <row r="1287" spans="2:8" x14ac:dyDescent="0.2">
      <c r="B1287" s="24"/>
      <c r="C1287" s="98"/>
      <c r="D1287" s="98"/>
      <c r="E1287" s="98"/>
      <c r="G1287" s="15"/>
      <c r="H1287" s="15"/>
    </row>
    <row r="1288" spans="2:8" x14ac:dyDescent="0.2">
      <c r="B1288" s="21" t="s">
        <v>24</v>
      </c>
      <c r="C1288" s="23"/>
      <c r="D1288" s="23"/>
      <c r="E1288" s="22"/>
      <c r="G1288" s="15"/>
      <c r="H1288" s="15"/>
    </row>
    <row r="1289" spans="2:8" ht="26.25" customHeight="1" x14ac:dyDescent="0.2">
      <c r="B1289" s="24"/>
      <c r="C1289" s="99"/>
      <c r="D1289" s="99"/>
      <c r="E1289" s="99"/>
      <c r="G1289" s="15"/>
      <c r="H1289" s="15"/>
    </row>
    <row r="1290" spans="2:8" x14ac:dyDescent="0.2">
      <c r="B1290" s="21" t="s">
        <v>23</v>
      </c>
      <c r="C1290" s="26"/>
      <c r="D1290" s="26"/>
      <c r="E1290" s="25"/>
      <c r="G1290" s="15"/>
      <c r="H1290" s="15"/>
    </row>
    <row r="1291" spans="2:8" ht="26.25" customHeight="1" x14ac:dyDescent="0.2">
      <c r="B1291" s="24"/>
      <c r="C1291" s="100" t="s">
        <v>22</v>
      </c>
      <c r="D1291" s="100"/>
      <c r="E1291" s="100"/>
      <c r="G1291" s="15"/>
      <c r="H1291" s="15"/>
    </row>
    <row r="1292" spans="2:8" x14ac:dyDescent="0.2">
      <c r="B1292" s="21" t="s">
        <v>21</v>
      </c>
      <c r="C1292" s="23"/>
      <c r="D1292" s="23"/>
      <c r="E1292" s="22"/>
      <c r="G1292" s="15"/>
      <c r="H1292" s="15"/>
    </row>
    <row r="1293" spans="2:8" ht="23.25" customHeight="1" x14ac:dyDescent="0.2">
      <c r="B1293" s="21"/>
      <c r="C1293" s="101"/>
      <c r="D1293" s="101"/>
      <c r="E1293" s="101"/>
      <c r="G1293" s="15"/>
      <c r="H1293" s="15"/>
    </row>
    <row r="1294" spans="2:8" ht="13.5" thickBot="1" x14ac:dyDescent="0.25">
      <c r="B1294" s="20"/>
      <c r="C1294" s="19"/>
      <c r="D1294" s="19"/>
      <c r="E1294" s="18"/>
      <c r="G1294" s="15"/>
      <c r="H1294" s="15"/>
    </row>
    <row r="1295" spans="2:8" ht="13.5" thickBot="1" x14ac:dyDescent="0.25">
      <c r="G1295" s="15"/>
      <c r="H1295" s="15"/>
    </row>
    <row r="1296" spans="2:8" x14ac:dyDescent="0.2">
      <c r="B1296" s="30" t="s">
        <v>99</v>
      </c>
      <c r="C1296" s="29"/>
      <c r="D1296" s="29"/>
      <c r="E1296" s="28"/>
      <c r="G1296" s="15"/>
      <c r="H1296" s="15"/>
    </row>
    <row r="1297" spans="2:8" ht="5.25" customHeight="1" x14ac:dyDescent="0.2">
      <c r="B1297" s="27"/>
      <c r="C1297" s="23"/>
      <c r="D1297" s="23"/>
      <c r="E1297" s="22"/>
      <c r="G1297" s="15"/>
      <c r="H1297" s="15"/>
    </row>
    <row r="1298" spans="2:8" x14ac:dyDescent="0.2">
      <c r="B1298" s="21" t="s">
        <v>28</v>
      </c>
      <c r="C1298" s="23"/>
      <c r="D1298" s="23"/>
      <c r="E1298" s="22"/>
      <c r="G1298" s="15"/>
      <c r="H1298" s="15"/>
    </row>
    <row r="1299" spans="2:8" ht="41.25" customHeight="1" x14ac:dyDescent="0.2">
      <c r="B1299" s="21"/>
      <c r="C1299" s="99" t="s">
        <v>98</v>
      </c>
      <c r="D1299" s="99"/>
      <c r="E1299" s="99"/>
      <c r="G1299" s="15"/>
      <c r="H1299" s="15"/>
    </row>
    <row r="1300" spans="2:8" x14ac:dyDescent="0.2">
      <c r="B1300" s="21" t="s">
        <v>26</v>
      </c>
      <c r="C1300" s="23"/>
      <c r="D1300" s="23"/>
      <c r="E1300" s="22"/>
      <c r="G1300" s="15"/>
      <c r="H1300" s="15"/>
    </row>
    <row r="1301" spans="2:8" x14ac:dyDescent="0.2">
      <c r="B1301" s="24"/>
      <c r="C1301" s="102" t="s">
        <v>25</v>
      </c>
      <c r="D1301" s="102"/>
      <c r="E1301" s="102"/>
      <c r="G1301" s="15"/>
      <c r="H1301" s="15"/>
    </row>
    <row r="1302" spans="2:8" x14ac:dyDescent="0.2">
      <c r="B1302" s="24"/>
      <c r="C1302" s="98"/>
      <c r="D1302" s="98"/>
      <c r="E1302" s="98"/>
      <c r="G1302" s="15"/>
      <c r="H1302" s="15"/>
    </row>
    <row r="1303" spans="2:8" x14ac:dyDescent="0.2">
      <c r="B1303" s="21" t="s">
        <v>24</v>
      </c>
      <c r="C1303" s="23"/>
      <c r="D1303" s="23"/>
      <c r="E1303" s="22"/>
      <c r="G1303" s="15"/>
      <c r="H1303" s="15"/>
    </row>
    <row r="1304" spans="2:8" ht="26.25" customHeight="1" x14ac:dyDescent="0.2">
      <c r="B1304" s="24"/>
      <c r="C1304" s="99"/>
      <c r="D1304" s="99"/>
      <c r="E1304" s="99"/>
      <c r="G1304" s="15"/>
      <c r="H1304" s="15"/>
    </row>
    <row r="1305" spans="2:8" x14ac:dyDescent="0.2">
      <c r="B1305" s="21" t="s">
        <v>23</v>
      </c>
      <c r="C1305" s="26"/>
      <c r="D1305" s="26"/>
      <c r="E1305" s="25"/>
      <c r="G1305" s="15"/>
      <c r="H1305" s="15"/>
    </row>
    <row r="1306" spans="2:8" ht="26.25" customHeight="1" x14ac:dyDescent="0.2">
      <c r="B1306" s="24"/>
      <c r="C1306" s="100" t="s">
        <v>22</v>
      </c>
      <c r="D1306" s="100"/>
      <c r="E1306" s="100"/>
      <c r="G1306" s="15"/>
      <c r="H1306" s="15"/>
    </row>
    <row r="1307" spans="2:8" x14ac:dyDescent="0.2">
      <c r="B1307" s="21" t="s">
        <v>21</v>
      </c>
      <c r="C1307" s="23"/>
      <c r="D1307" s="23"/>
      <c r="E1307" s="22"/>
      <c r="G1307" s="15"/>
      <c r="H1307" s="15"/>
    </row>
    <row r="1308" spans="2:8" ht="23.25" customHeight="1" x14ac:dyDescent="0.2">
      <c r="B1308" s="21"/>
      <c r="C1308" s="101"/>
      <c r="D1308" s="101"/>
      <c r="E1308" s="101"/>
      <c r="G1308" s="15"/>
      <c r="H1308" s="15"/>
    </row>
    <row r="1309" spans="2:8" ht="13.5" thickBot="1" x14ac:dyDescent="0.25">
      <c r="B1309" s="20"/>
      <c r="C1309" s="19"/>
      <c r="D1309" s="19"/>
      <c r="E1309" s="18"/>
      <c r="G1309" s="15"/>
      <c r="H1309" s="15"/>
    </row>
    <row r="1310" spans="2:8" ht="13.5" thickBot="1" x14ac:dyDescent="0.25">
      <c r="G1310" s="15"/>
      <c r="H1310" s="15"/>
    </row>
    <row r="1311" spans="2:8" x14ac:dyDescent="0.2">
      <c r="B1311" s="30" t="s">
        <v>97</v>
      </c>
      <c r="C1311" s="29"/>
      <c r="D1311" s="29"/>
      <c r="E1311" s="28"/>
      <c r="G1311" s="15"/>
      <c r="H1311" s="15"/>
    </row>
    <row r="1312" spans="2:8" ht="7.5" customHeight="1" x14ac:dyDescent="0.2">
      <c r="B1312" s="27"/>
      <c r="C1312" s="23"/>
      <c r="D1312" s="23"/>
      <c r="E1312" s="22"/>
      <c r="G1312" s="15"/>
      <c r="H1312" s="15"/>
    </row>
    <row r="1313" spans="2:8" x14ac:dyDescent="0.2">
      <c r="B1313" s="21" t="s">
        <v>28</v>
      </c>
      <c r="C1313" s="23"/>
      <c r="D1313" s="23"/>
      <c r="E1313" s="22"/>
      <c r="G1313" s="15"/>
      <c r="H1313" s="15"/>
    </row>
    <row r="1314" spans="2:8" ht="41.25" customHeight="1" x14ac:dyDescent="0.2">
      <c r="B1314" s="21"/>
      <c r="C1314" s="99" t="s">
        <v>96</v>
      </c>
      <c r="D1314" s="99"/>
      <c r="E1314" s="99"/>
      <c r="G1314" s="15"/>
      <c r="H1314" s="15"/>
    </row>
    <row r="1315" spans="2:8" x14ac:dyDescent="0.2">
      <c r="B1315" s="21" t="s">
        <v>26</v>
      </c>
      <c r="C1315" s="23"/>
      <c r="D1315" s="23"/>
      <c r="E1315" s="22"/>
      <c r="G1315" s="15"/>
      <c r="H1315" s="15"/>
    </row>
    <row r="1316" spans="2:8" x14ac:dyDescent="0.2">
      <c r="B1316" s="24"/>
      <c r="C1316" s="102" t="s">
        <v>25</v>
      </c>
      <c r="D1316" s="102"/>
      <c r="E1316" s="102"/>
      <c r="G1316" s="15"/>
      <c r="H1316" s="15"/>
    </row>
    <row r="1317" spans="2:8" x14ac:dyDescent="0.2">
      <c r="B1317" s="24"/>
      <c r="C1317" s="98"/>
      <c r="D1317" s="98"/>
      <c r="E1317" s="98"/>
      <c r="G1317" s="15"/>
      <c r="H1317" s="15"/>
    </row>
    <row r="1318" spans="2:8" x14ac:dyDescent="0.2">
      <c r="B1318" s="21" t="s">
        <v>24</v>
      </c>
      <c r="C1318" s="23"/>
      <c r="D1318" s="23"/>
      <c r="E1318" s="22"/>
      <c r="G1318" s="15"/>
      <c r="H1318" s="15"/>
    </row>
    <row r="1319" spans="2:8" ht="26.25" customHeight="1" x14ac:dyDescent="0.2">
      <c r="B1319" s="24"/>
      <c r="C1319" s="99"/>
      <c r="D1319" s="99"/>
      <c r="E1319" s="99"/>
      <c r="G1319" s="15"/>
      <c r="H1319" s="15"/>
    </row>
    <row r="1320" spans="2:8" x14ac:dyDescent="0.2">
      <c r="B1320" s="21" t="s">
        <v>23</v>
      </c>
      <c r="C1320" s="26"/>
      <c r="D1320" s="26"/>
      <c r="E1320" s="25"/>
      <c r="G1320" s="15"/>
      <c r="H1320" s="15"/>
    </row>
    <row r="1321" spans="2:8" ht="26.25" customHeight="1" x14ac:dyDescent="0.2">
      <c r="B1321" s="24"/>
      <c r="C1321" s="100" t="s">
        <v>22</v>
      </c>
      <c r="D1321" s="100"/>
      <c r="E1321" s="100"/>
      <c r="G1321" s="15"/>
      <c r="H1321" s="15"/>
    </row>
    <row r="1322" spans="2:8" x14ac:dyDescent="0.2">
      <c r="B1322" s="21" t="s">
        <v>21</v>
      </c>
      <c r="C1322" s="23"/>
      <c r="D1322" s="23"/>
      <c r="E1322" s="22"/>
      <c r="G1322" s="15"/>
      <c r="H1322" s="15"/>
    </row>
    <row r="1323" spans="2:8" ht="23.25" customHeight="1" x14ac:dyDescent="0.2">
      <c r="B1323" s="21"/>
      <c r="C1323" s="101"/>
      <c r="D1323" s="101"/>
      <c r="E1323" s="101"/>
      <c r="G1323" s="15"/>
      <c r="H1323" s="15"/>
    </row>
    <row r="1324" spans="2:8" ht="13.5" thickBot="1" x14ac:dyDescent="0.25">
      <c r="B1324" s="20"/>
      <c r="C1324" s="19"/>
      <c r="D1324" s="19"/>
      <c r="E1324" s="18"/>
      <c r="G1324" s="15"/>
      <c r="H1324" s="15"/>
    </row>
    <row r="1325" spans="2:8" ht="13.5" thickBot="1" x14ac:dyDescent="0.25">
      <c r="G1325" s="15"/>
      <c r="H1325" s="15"/>
    </row>
    <row r="1326" spans="2:8" x14ac:dyDescent="0.2">
      <c r="B1326" s="30" t="s">
        <v>95</v>
      </c>
      <c r="C1326" s="29"/>
      <c r="D1326" s="29"/>
      <c r="E1326" s="28"/>
      <c r="G1326" s="15"/>
      <c r="H1326" s="15"/>
    </row>
    <row r="1327" spans="2:8" ht="5.25" customHeight="1" x14ac:dyDescent="0.2">
      <c r="B1327" s="27"/>
      <c r="C1327" s="23"/>
      <c r="D1327" s="23"/>
      <c r="E1327" s="22"/>
      <c r="G1327" s="15"/>
      <c r="H1327" s="15"/>
    </row>
    <row r="1328" spans="2:8" x14ac:dyDescent="0.2">
      <c r="B1328" s="21" t="s">
        <v>28</v>
      </c>
      <c r="C1328" s="23"/>
      <c r="D1328" s="23"/>
      <c r="E1328" s="22"/>
      <c r="G1328" s="15"/>
      <c r="H1328" s="15"/>
    </row>
    <row r="1329" spans="2:8" ht="41.25" customHeight="1" x14ac:dyDescent="0.2">
      <c r="B1329" s="21"/>
      <c r="C1329" s="99" t="s">
        <v>94</v>
      </c>
      <c r="D1329" s="99"/>
      <c r="E1329" s="99"/>
      <c r="G1329" s="15"/>
      <c r="H1329" s="15"/>
    </row>
    <row r="1330" spans="2:8" x14ac:dyDescent="0.2">
      <c r="B1330" s="21" t="s">
        <v>26</v>
      </c>
      <c r="C1330" s="23"/>
      <c r="D1330" s="23"/>
      <c r="E1330" s="22"/>
      <c r="G1330" s="15"/>
      <c r="H1330" s="15"/>
    </row>
    <row r="1331" spans="2:8" x14ac:dyDescent="0.2">
      <c r="B1331" s="24"/>
      <c r="C1331" s="102" t="s">
        <v>25</v>
      </c>
      <c r="D1331" s="102"/>
      <c r="E1331" s="102"/>
      <c r="G1331" s="15"/>
      <c r="H1331" s="15"/>
    </row>
    <row r="1332" spans="2:8" x14ac:dyDescent="0.2">
      <c r="B1332" s="24"/>
      <c r="C1332" s="98"/>
      <c r="D1332" s="98"/>
      <c r="E1332" s="98"/>
      <c r="G1332" s="15"/>
      <c r="H1332" s="15"/>
    </row>
    <row r="1333" spans="2:8" x14ac:dyDescent="0.2">
      <c r="B1333" s="21" t="s">
        <v>24</v>
      </c>
      <c r="C1333" s="23"/>
      <c r="D1333" s="23"/>
      <c r="E1333" s="22"/>
      <c r="G1333" s="15"/>
      <c r="H1333" s="15"/>
    </row>
    <row r="1334" spans="2:8" ht="26.25" customHeight="1" x14ac:dyDescent="0.2">
      <c r="B1334" s="24"/>
      <c r="C1334" s="99"/>
      <c r="D1334" s="99"/>
      <c r="E1334" s="99"/>
      <c r="G1334" s="15"/>
      <c r="H1334" s="15"/>
    </row>
    <row r="1335" spans="2:8" x14ac:dyDescent="0.2">
      <c r="B1335" s="21" t="s">
        <v>23</v>
      </c>
      <c r="C1335" s="26"/>
      <c r="D1335" s="26"/>
      <c r="E1335" s="25"/>
      <c r="G1335" s="15"/>
      <c r="H1335" s="15"/>
    </row>
    <row r="1336" spans="2:8" ht="26.25" customHeight="1" x14ac:dyDescent="0.2">
      <c r="B1336" s="24"/>
      <c r="C1336" s="100" t="s">
        <v>22</v>
      </c>
      <c r="D1336" s="100"/>
      <c r="E1336" s="100"/>
      <c r="G1336" s="15"/>
      <c r="H1336" s="15"/>
    </row>
    <row r="1337" spans="2:8" x14ac:dyDescent="0.2">
      <c r="B1337" s="21" t="s">
        <v>21</v>
      </c>
      <c r="C1337" s="23"/>
      <c r="D1337" s="23"/>
      <c r="E1337" s="22"/>
      <c r="G1337" s="15"/>
      <c r="H1337" s="15"/>
    </row>
    <row r="1338" spans="2:8" ht="23.25" customHeight="1" x14ac:dyDescent="0.2">
      <c r="B1338" s="21"/>
      <c r="C1338" s="101"/>
      <c r="D1338" s="101"/>
      <c r="E1338" s="101"/>
      <c r="G1338" s="15"/>
      <c r="H1338" s="15"/>
    </row>
    <row r="1339" spans="2:8" ht="13.5" thickBot="1" x14ac:dyDescent="0.25">
      <c r="B1339" s="20"/>
      <c r="C1339" s="19"/>
      <c r="D1339" s="19"/>
      <c r="E1339" s="18"/>
      <c r="G1339" s="15"/>
      <c r="H1339" s="15"/>
    </row>
    <row r="1340" spans="2:8" ht="13.5" thickBot="1" x14ac:dyDescent="0.25">
      <c r="G1340" s="15"/>
      <c r="H1340" s="15"/>
    </row>
    <row r="1341" spans="2:8" x14ac:dyDescent="0.2">
      <c r="B1341" s="30" t="s">
        <v>93</v>
      </c>
      <c r="C1341" s="29"/>
      <c r="D1341" s="29"/>
      <c r="E1341" s="28"/>
      <c r="G1341" s="15"/>
      <c r="H1341" s="15"/>
    </row>
    <row r="1342" spans="2:8" ht="7.5" customHeight="1" x14ac:dyDescent="0.2">
      <c r="B1342" s="27"/>
      <c r="C1342" s="23"/>
      <c r="D1342" s="23"/>
      <c r="E1342" s="22"/>
      <c r="G1342" s="15"/>
      <c r="H1342" s="15"/>
    </row>
    <row r="1343" spans="2:8" x14ac:dyDescent="0.2">
      <c r="B1343" s="21" t="s">
        <v>28</v>
      </c>
      <c r="C1343" s="23"/>
      <c r="D1343" s="23"/>
      <c r="E1343" s="22"/>
      <c r="G1343" s="15"/>
      <c r="H1343" s="15"/>
    </row>
    <row r="1344" spans="2:8" ht="41.25" customHeight="1" x14ac:dyDescent="0.2">
      <c r="B1344" s="21"/>
      <c r="C1344" s="99" t="s">
        <v>92</v>
      </c>
      <c r="D1344" s="99"/>
      <c r="E1344" s="99"/>
      <c r="G1344" s="15"/>
      <c r="H1344" s="15"/>
    </row>
    <row r="1345" spans="2:8" x14ac:dyDescent="0.2">
      <c r="B1345" s="21" t="s">
        <v>26</v>
      </c>
      <c r="C1345" s="23"/>
      <c r="D1345" s="23"/>
      <c r="E1345" s="22"/>
      <c r="G1345" s="15"/>
      <c r="H1345" s="15"/>
    </row>
    <row r="1346" spans="2:8" x14ac:dyDescent="0.2">
      <c r="B1346" s="24"/>
      <c r="C1346" s="102" t="s">
        <v>25</v>
      </c>
      <c r="D1346" s="102"/>
      <c r="E1346" s="102"/>
      <c r="G1346" s="15"/>
      <c r="H1346" s="15"/>
    </row>
    <row r="1347" spans="2:8" x14ac:dyDescent="0.2">
      <c r="B1347" s="24"/>
      <c r="C1347" s="98"/>
      <c r="D1347" s="98"/>
      <c r="E1347" s="98"/>
      <c r="G1347" s="15"/>
      <c r="H1347" s="15"/>
    </row>
    <row r="1348" spans="2:8" x14ac:dyDescent="0.2">
      <c r="B1348" s="21" t="s">
        <v>24</v>
      </c>
      <c r="C1348" s="23"/>
      <c r="D1348" s="23"/>
      <c r="E1348" s="22"/>
      <c r="G1348" s="15"/>
      <c r="H1348" s="15"/>
    </row>
    <row r="1349" spans="2:8" ht="26.25" customHeight="1" x14ac:dyDescent="0.2">
      <c r="B1349" s="24"/>
      <c r="C1349" s="99"/>
      <c r="D1349" s="99"/>
      <c r="E1349" s="99"/>
      <c r="G1349" s="15"/>
      <c r="H1349" s="15"/>
    </row>
    <row r="1350" spans="2:8" x14ac:dyDescent="0.2">
      <c r="B1350" s="21" t="s">
        <v>23</v>
      </c>
      <c r="C1350" s="26"/>
      <c r="D1350" s="26"/>
      <c r="E1350" s="25"/>
      <c r="G1350" s="15"/>
      <c r="H1350" s="15"/>
    </row>
    <row r="1351" spans="2:8" ht="26.25" customHeight="1" x14ac:dyDescent="0.2">
      <c r="B1351" s="24"/>
      <c r="C1351" s="100" t="s">
        <v>22</v>
      </c>
      <c r="D1351" s="100"/>
      <c r="E1351" s="100"/>
      <c r="G1351" s="15"/>
      <c r="H1351" s="15"/>
    </row>
    <row r="1352" spans="2:8" x14ac:dyDescent="0.2">
      <c r="B1352" s="21" t="s">
        <v>21</v>
      </c>
      <c r="C1352" s="23"/>
      <c r="D1352" s="23"/>
      <c r="E1352" s="22"/>
      <c r="G1352" s="15"/>
      <c r="H1352" s="15"/>
    </row>
    <row r="1353" spans="2:8" ht="23.25" customHeight="1" x14ac:dyDescent="0.2">
      <c r="B1353" s="21"/>
      <c r="C1353" s="101"/>
      <c r="D1353" s="101"/>
      <c r="E1353" s="101"/>
      <c r="G1353" s="15"/>
      <c r="H1353" s="15"/>
    </row>
    <row r="1354" spans="2:8" ht="13.5" thickBot="1" x14ac:dyDescent="0.25">
      <c r="B1354" s="20"/>
      <c r="C1354" s="19"/>
      <c r="D1354" s="19"/>
      <c r="E1354" s="18"/>
      <c r="G1354" s="15"/>
      <c r="H1354" s="15"/>
    </row>
    <row r="1355" spans="2:8" ht="13.5" thickBot="1" x14ac:dyDescent="0.25">
      <c r="G1355" s="15"/>
      <c r="H1355" s="15"/>
    </row>
    <row r="1356" spans="2:8" x14ac:dyDescent="0.2">
      <c r="B1356" s="30" t="s">
        <v>91</v>
      </c>
      <c r="C1356" s="29"/>
      <c r="D1356" s="29"/>
      <c r="E1356" s="28"/>
      <c r="G1356" s="15"/>
      <c r="H1356" s="15"/>
    </row>
    <row r="1357" spans="2:8" ht="5.25" customHeight="1" x14ac:dyDescent="0.2">
      <c r="B1357" s="27"/>
      <c r="C1357" s="23"/>
      <c r="D1357" s="23"/>
      <c r="E1357" s="22"/>
      <c r="G1357" s="15"/>
      <c r="H1357" s="15"/>
    </row>
    <row r="1358" spans="2:8" x14ac:dyDescent="0.2">
      <c r="B1358" s="21" t="s">
        <v>28</v>
      </c>
      <c r="C1358" s="23"/>
      <c r="D1358" s="23"/>
      <c r="E1358" s="22"/>
      <c r="G1358" s="15"/>
      <c r="H1358" s="15"/>
    </row>
    <row r="1359" spans="2:8" ht="41.25" customHeight="1" x14ac:dyDescent="0.2">
      <c r="B1359" s="21"/>
      <c r="C1359" s="99" t="s">
        <v>90</v>
      </c>
      <c r="D1359" s="99"/>
      <c r="E1359" s="99"/>
      <c r="G1359" s="15"/>
      <c r="H1359" s="15"/>
    </row>
    <row r="1360" spans="2:8" x14ac:dyDescent="0.2">
      <c r="B1360" s="21" t="s">
        <v>26</v>
      </c>
      <c r="C1360" s="23"/>
      <c r="D1360" s="23"/>
      <c r="E1360" s="22"/>
      <c r="G1360" s="15"/>
      <c r="H1360" s="15"/>
    </row>
    <row r="1361" spans="2:8" x14ac:dyDescent="0.2">
      <c r="B1361" s="24"/>
      <c r="C1361" s="102" t="s">
        <v>25</v>
      </c>
      <c r="D1361" s="102"/>
      <c r="E1361" s="102"/>
      <c r="G1361" s="15"/>
      <c r="H1361" s="15"/>
    </row>
    <row r="1362" spans="2:8" x14ac:dyDescent="0.2">
      <c r="B1362" s="24"/>
      <c r="C1362" s="98"/>
      <c r="D1362" s="98"/>
      <c r="E1362" s="98"/>
      <c r="G1362" s="15"/>
      <c r="H1362" s="15"/>
    </row>
    <row r="1363" spans="2:8" x14ac:dyDescent="0.2">
      <c r="B1363" s="21" t="s">
        <v>24</v>
      </c>
      <c r="C1363" s="23"/>
      <c r="D1363" s="23"/>
      <c r="E1363" s="22"/>
      <c r="G1363" s="15"/>
      <c r="H1363" s="15"/>
    </row>
    <row r="1364" spans="2:8" ht="26.25" customHeight="1" x14ac:dyDescent="0.2">
      <c r="B1364" s="24"/>
      <c r="C1364" s="99"/>
      <c r="D1364" s="99"/>
      <c r="E1364" s="99"/>
      <c r="G1364" s="15"/>
      <c r="H1364" s="15"/>
    </row>
    <row r="1365" spans="2:8" x14ac:dyDescent="0.2">
      <c r="B1365" s="21" t="s">
        <v>23</v>
      </c>
      <c r="C1365" s="26"/>
      <c r="D1365" s="26"/>
      <c r="E1365" s="25"/>
      <c r="G1365" s="15"/>
      <c r="H1365" s="15"/>
    </row>
    <row r="1366" spans="2:8" ht="26.25" customHeight="1" x14ac:dyDescent="0.2">
      <c r="B1366" s="24"/>
      <c r="C1366" s="100" t="s">
        <v>22</v>
      </c>
      <c r="D1366" s="100"/>
      <c r="E1366" s="100"/>
      <c r="G1366" s="15"/>
      <c r="H1366" s="15"/>
    </row>
    <row r="1367" spans="2:8" x14ac:dyDescent="0.2">
      <c r="B1367" s="21" t="s">
        <v>21</v>
      </c>
      <c r="C1367" s="23"/>
      <c r="D1367" s="23"/>
      <c r="E1367" s="22"/>
      <c r="G1367" s="15"/>
      <c r="H1367" s="15"/>
    </row>
    <row r="1368" spans="2:8" ht="23.25" customHeight="1" x14ac:dyDescent="0.2">
      <c r="B1368" s="21"/>
      <c r="C1368" s="101"/>
      <c r="D1368" s="101"/>
      <c r="E1368" s="101"/>
      <c r="G1368" s="15"/>
      <c r="H1368" s="15"/>
    </row>
    <row r="1369" spans="2:8" ht="13.5" thickBot="1" x14ac:dyDescent="0.25">
      <c r="B1369" s="20"/>
      <c r="C1369" s="19"/>
      <c r="D1369" s="19"/>
      <c r="E1369" s="18"/>
      <c r="G1369" s="15"/>
      <c r="H1369" s="15"/>
    </row>
    <row r="1370" spans="2:8" ht="13.5" thickBot="1" x14ac:dyDescent="0.25">
      <c r="G1370" s="15"/>
      <c r="H1370" s="15"/>
    </row>
    <row r="1371" spans="2:8" x14ac:dyDescent="0.2">
      <c r="B1371" s="30" t="s">
        <v>89</v>
      </c>
      <c r="C1371" s="29"/>
      <c r="D1371" s="29"/>
      <c r="E1371" s="28"/>
      <c r="G1371" s="15"/>
      <c r="H1371" s="15"/>
    </row>
    <row r="1372" spans="2:8" ht="7.5" customHeight="1" x14ac:dyDescent="0.2">
      <c r="B1372" s="27"/>
      <c r="C1372" s="23"/>
      <c r="D1372" s="23"/>
      <c r="E1372" s="22"/>
      <c r="G1372" s="15"/>
      <c r="H1372" s="15"/>
    </row>
    <row r="1373" spans="2:8" x14ac:dyDescent="0.2">
      <c r="B1373" s="21" t="s">
        <v>28</v>
      </c>
      <c r="C1373" s="23"/>
      <c r="D1373" s="23"/>
      <c r="E1373" s="22"/>
      <c r="G1373" s="15"/>
      <c r="H1373" s="15"/>
    </row>
    <row r="1374" spans="2:8" ht="41.25" customHeight="1" x14ac:dyDescent="0.2">
      <c r="B1374" s="21"/>
      <c r="C1374" s="99" t="s">
        <v>88</v>
      </c>
      <c r="D1374" s="99"/>
      <c r="E1374" s="99"/>
      <c r="G1374" s="15"/>
      <c r="H1374" s="15"/>
    </row>
    <row r="1375" spans="2:8" x14ac:dyDescent="0.2">
      <c r="B1375" s="21" t="s">
        <v>26</v>
      </c>
      <c r="C1375" s="23"/>
      <c r="D1375" s="23"/>
      <c r="E1375" s="22"/>
      <c r="G1375" s="15"/>
      <c r="H1375" s="15"/>
    </row>
    <row r="1376" spans="2:8" x14ac:dyDescent="0.2">
      <c r="B1376" s="24"/>
      <c r="C1376" s="102" t="s">
        <v>25</v>
      </c>
      <c r="D1376" s="102"/>
      <c r="E1376" s="102"/>
      <c r="G1376" s="15"/>
      <c r="H1376" s="15"/>
    </row>
    <row r="1377" spans="2:8" x14ac:dyDescent="0.2">
      <c r="B1377" s="24"/>
      <c r="C1377" s="98"/>
      <c r="D1377" s="98"/>
      <c r="E1377" s="98"/>
      <c r="G1377" s="15"/>
      <c r="H1377" s="15"/>
    </row>
    <row r="1378" spans="2:8" x14ac:dyDescent="0.2">
      <c r="B1378" s="21" t="s">
        <v>24</v>
      </c>
      <c r="C1378" s="23"/>
      <c r="D1378" s="23"/>
      <c r="E1378" s="22"/>
      <c r="G1378" s="15"/>
      <c r="H1378" s="15"/>
    </row>
    <row r="1379" spans="2:8" ht="26.25" customHeight="1" x14ac:dyDescent="0.2">
      <c r="B1379" s="24"/>
      <c r="C1379" s="99"/>
      <c r="D1379" s="99"/>
      <c r="E1379" s="99"/>
      <c r="G1379" s="15"/>
      <c r="H1379" s="15"/>
    </row>
    <row r="1380" spans="2:8" x14ac:dyDescent="0.2">
      <c r="B1380" s="21" t="s">
        <v>23</v>
      </c>
      <c r="C1380" s="26"/>
      <c r="D1380" s="26"/>
      <c r="E1380" s="25"/>
      <c r="G1380" s="15"/>
      <c r="H1380" s="15"/>
    </row>
    <row r="1381" spans="2:8" ht="26.25" customHeight="1" x14ac:dyDescent="0.2">
      <c r="B1381" s="24"/>
      <c r="C1381" s="100" t="s">
        <v>22</v>
      </c>
      <c r="D1381" s="100"/>
      <c r="E1381" s="100"/>
      <c r="G1381" s="15"/>
      <c r="H1381" s="15"/>
    </row>
    <row r="1382" spans="2:8" x14ac:dyDescent="0.2">
      <c r="B1382" s="21" t="s">
        <v>21</v>
      </c>
      <c r="C1382" s="23"/>
      <c r="D1382" s="23"/>
      <c r="E1382" s="22"/>
      <c r="G1382" s="15"/>
      <c r="H1382" s="15"/>
    </row>
    <row r="1383" spans="2:8" ht="23.25" customHeight="1" x14ac:dyDescent="0.2">
      <c r="B1383" s="21"/>
      <c r="C1383" s="101"/>
      <c r="D1383" s="101"/>
      <c r="E1383" s="101"/>
      <c r="G1383" s="15"/>
      <c r="H1383" s="15"/>
    </row>
    <row r="1384" spans="2:8" ht="13.5" thickBot="1" x14ac:dyDescent="0.25">
      <c r="B1384" s="20"/>
      <c r="C1384" s="19"/>
      <c r="D1384" s="19"/>
      <c r="E1384" s="18"/>
      <c r="G1384" s="15"/>
      <c r="H1384" s="15"/>
    </row>
    <row r="1385" spans="2:8" ht="13.5" thickBot="1" x14ac:dyDescent="0.25">
      <c r="G1385" s="15"/>
      <c r="H1385" s="15"/>
    </row>
    <row r="1386" spans="2:8" x14ac:dyDescent="0.2">
      <c r="B1386" s="30" t="s">
        <v>87</v>
      </c>
      <c r="C1386" s="29"/>
      <c r="D1386" s="29"/>
      <c r="E1386" s="28"/>
      <c r="G1386" s="15"/>
      <c r="H1386" s="15"/>
    </row>
    <row r="1387" spans="2:8" ht="5.25" customHeight="1" x14ac:dyDescent="0.2">
      <c r="B1387" s="27"/>
      <c r="C1387" s="23"/>
      <c r="D1387" s="23"/>
      <c r="E1387" s="22"/>
      <c r="G1387" s="15"/>
      <c r="H1387" s="15"/>
    </row>
    <row r="1388" spans="2:8" x14ac:dyDescent="0.2">
      <c r="B1388" s="21" t="s">
        <v>28</v>
      </c>
      <c r="C1388" s="23"/>
      <c r="D1388" s="23"/>
      <c r="E1388" s="22"/>
      <c r="G1388" s="15"/>
      <c r="H1388" s="15"/>
    </row>
    <row r="1389" spans="2:8" ht="41.25" customHeight="1" x14ac:dyDescent="0.2">
      <c r="B1389" s="21"/>
      <c r="C1389" s="99" t="s">
        <v>86</v>
      </c>
      <c r="D1389" s="99"/>
      <c r="E1389" s="99"/>
      <c r="G1389" s="15"/>
      <c r="H1389" s="15"/>
    </row>
    <row r="1390" spans="2:8" x14ac:dyDescent="0.2">
      <c r="B1390" s="21" t="s">
        <v>26</v>
      </c>
      <c r="C1390" s="23"/>
      <c r="D1390" s="23"/>
      <c r="E1390" s="22"/>
      <c r="G1390" s="15"/>
      <c r="H1390" s="15"/>
    </row>
    <row r="1391" spans="2:8" x14ac:dyDescent="0.2">
      <c r="B1391" s="24"/>
      <c r="C1391" s="102" t="s">
        <v>25</v>
      </c>
      <c r="D1391" s="102"/>
      <c r="E1391" s="102"/>
      <c r="G1391" s="15"/>
      <c r="H1391" s="15"/>
    </row>
    <row r="1392" spans="2:8" x14ac:dyDescent="0.2">
      <c r="B1392" s="24"/>
      <c r="C1392" s="98"/>
      <c r="D1392" s="98"/>
      <c r="E1392" s="98"/>
      <c r="G1392" s="15"/>
      <c r="H1392" s="15"/>
    </row>
    <row r="1393" spans="2:8" x14ac:dyDescent="0.2">
      <c r="B1393" s="21" t="s">
        <v>24</v>
      </c>
      <c r="C1393" s="23"/>
      <c r="D1393" s="23"/>
      <c r="E1393" s="22"/>
      <c r="G1393" s="15"/>
      <c r="H1393" s="15"/>
    </row>
    <row r="1394" spans="2:8" ht="26.25" customHeight="1" x14ac:dyDescent="0.2">
      <c r="B1394" s="24"/>
      <c r="C1394" s="99"/>
      <c r="D1394" s="99"/>
      <c r="E1394" s="99"/>
      <c r="G1394" s="15"/>
      <c r="H1394" s="15"/>
    </row>
    <row r="1395" spans="2:8" x14ac:dyDescent="0.2">
      <c r="B1395" s="21" t="s">
        <v>23</v>
      </c>
      <c r="C1395" s="26"/>
      <c r="D1395" s="26"/>
      <c r="E1395" s="25"/>
      <c r="G1395" s="15"/>
      <c r="H1395" s="15"/>
    </row>
    <row r="1396" spans="2:8" ht="26.25" customHeight="1" x14ac:dyDescent="0.2">
      <c r="B1396" s="24"/>
      <c r="C1396" s="100" t="s">
        <v>22</v>
      </c>
      <c r="D1396" s="100"/>
      <c r="E1396" s="100"/>
      <c r="G1396" s="15"/>
      <c r="H1396" s="15"/>
    </row>
    <row r="1397" spans="2:8" x14ac:dyDescent="0.2">
      <c r="B1397" s="21" t="s">
        <v>21</v>
      </c>
      <c r="C1397" s="23"/>
      <c r="D1397" s="23"/>
      <c r="E1397" s="22"/>
      <c r="G1397" s="15"/>
      <c r="H1397" s="15"/>
    </row>
    <row r="1398" spans="2:8" ht="23.25" customHeight="1" x14ac:dyDescent="0.2">
      <c r="B1398" s="21"/>
      <c r="C1398" s="101"/>
      <c r="D1398" s="101"/>
      <c r="E1398" s="101"/>
      <c r="G1398" s="15"/>
      <c r="H1398" s="15"/>
    </row>
    <row r="1399" spans="2:8" ht="13.5" thickBot="1" x14ac:dyDescent="0.25">
      <c r="B1399" s="20"/>
      <c r="C1399" s="19"/>
      <c r="D1399" s="19"/>
      <c r="E1399" s="18"/>
      <c r="G1399" s="15"/>
      <c r="H1399" s="15"/>
    </row>
    <row r="1400" spans="2:8" ht="13.5" thickBot="1" x14ac:dyDescent="0.25">
      <c r="G1400" s="15"/>
      <c r="H1400" s="15"/>
    </row>
    <row r="1401" spans="2:8" x14ac:dyDescent="0.2">
      <c r="B1401" s="30" t="s">
        <v>85</v>
      </c>
      <c r="C1401" s="29"/>
      <c r="D1401" s="29"/>
      <c r="E1401" s="28"/>
      <c r="G1401" s="15"/>
      <c r="H1401" s="15"/>
    </row>
    <row r="1402" spans="2:8" ht="7.5" customHeight="1" x14ac:dyDescent="0.2">
      <c r="B1402" s="27"/>
      <c r="C1402" s="23"/>
      <c r="D1402" s="23"/>
      <c r="E1402" s="22"/>
      <c r="G1402" s="15"/>
      <c r="H1402" s="15"/>
    </row>
    <row r="1403" spans="2:8" x14ac:dyDescent="0.2">
      <c r="B1403" s="21" t="s">
        <v>28</v>
      </c>
      <c r="C1403" s="23"/>
      <c r="D1403" s="23"/>
      <c r="E1403" s="22"/>
      <c r="G1403" s="15"/>
      <c r="H1403" s="15"/>
    </row>
    <row r="1404" spans="2:8" ht="41.25" customHeight="1" x14ac:dyDescent="0.2">
      <c r="B1404" s="21"/>
      <c r="C1404" s="99" t="s">
        <v>84</v>
      </c>
      <c r="D1404" s="99"/>
      <c r="E1404" s="99"/>
      <c r="G1404" s="15"/>
      <c r="H1404" s="15"/>
    </row>
    <row r="1405" spans="2:8" x14ac:dyDescent="0.2">
      <c r="B1405" s="21" t="s">
        <v>26</v>
      </c>
      <c r="C1405" s="23"/>
      <c r="D1405" s="23"/>
      <c r="E1405" s="22"/>
      <c r="G1405" s="15"/>
      <c r="H1405" s="15"/>
    </row>
    <row r="1406" spans="2:8" x14ac:dyDescent="0.2">
      <c r="B1406" s="24"/>
      <c r="C1406" s="102" t="s">
        <v>25</v>
      </c>
      <c r="D1406" s="102"/>
      <c r="E1406" s="102"/>
      <c r="G1406" s="15"/>
      <c r="H1406" s="15"/>
    </row>
    <row r="1407" spans="2:8" x14ac:dyDescent="0.2">
      <c r="B1407" s="24"/>
      <c r="C1407" s="98"/>
      <c r="D1407" s="98"/>
      <c r="E1407" s="98"/>
      <c r="G1407" s="15"/>
      <c r="H1407" s="15"/>
    </row>
    <row r="1408" spans="2:8" x14ac:dyDescent="0.2">
      <c r="B1408" s="21" t="s">
        <v>24</v>
      </c>
      <c r="C1408" s="23"/>
      <c r="D1408" s="23"/>
      <c r="E1408" s="22"/>
      <c r="G1408" s="15"/>
      <c r="H1408" s="15"/>
    </row>
    <row r="1409" spans="2:8" ht="26.25" customHeight="1" x14ac:dyDescent="0.2">
      <c r="B1409" s="24"/>
      <c r="C1409" s="99"/>
      <c r="D1409" s="99"/>
      <c r="E1409" s="99"/>
      <c r="G1409" s="15"/>
      <c r="H1409" s="15"/>
    </row>
    <row r="1410" spans="2:8" x14ac:dyDescent="0.2">
      <c r="B1410" s="21" t="s">
        <v>23</v>
      </c>
      <c r="C1410" s="26"/>
      <c r="D1410" s="26"/>
      <c r="E1410" s="25"/>
      <c r="G1410" s="15"/>
      <c r="H1410" s="15"/>
    </row>
    <row r="1411" spans="2:8" ht="26.25" customHeight="1" x14ac:dyDescent="0.2">
      <c r="B1411" s="24"/>
      <c r="C1411" s="100" t="s">
        <v>22</v>
      </c>
      <c r="D1411" s="100"/>
      <c r="E1411" s="100"/>
      <c r="G1411" s="15"/>
      <c r="H1411" s="15"/>
    </row>
    <row r="1412" spans="2:8" x14ac:dyDescent="0.2">
      <c r="B1412" s="21" t="s">
        <v>21</v>
      </c>
      <c r="C1412" s="23"/>
      <c r="D1412" s="23"/>
      <c r="E1412" s="22"/>
      <c r="G1412" s="15"/>
      <c r="H1412" s="15"/>
    </row>
    <row r="1413" spans="2:8" ht="23.25" customHeight="1" x14ac:dyDescent="0.2">
      <c r="B1413" s="21"/>
      <c r="C1413" s="101"/>
      <c r="D1413" s="101"/>
      <c r="E1413" s="101"/>
      <c r="G1413" s="15"/>
      <c r="H1413" s="15"/>
    </row>
    <row r="1414" spans="2:8" ht="13.5" thickBot="1" x14ac:dyDescent="0.25">
      <c r="B1414" s="20"/>
      <c r="C1414" s="19"/>
      <c r="D1414" s="19"/>
      <c r="E1414" s="18"/>
      <c r="G1414" s="15"/>
      <c r="H1414" s="15"/>
    </row>
    <row r="1415" spans="2:8" ht="13.5" thickBot="1" x14ac:dyDescent="0.25">
      <c r="G1415" s="15"/>
      <c r="H1415" s="15"/>
    </row>
    <row r="1416" spans="2:8" x14ac:dyDescent="0.2">
      <c r="B1416" s="30" t="s">
        <v>83</v>
      </c>
      <c r="C1416" s="29"/>
      <c r="D1416" s="29"/>
      <c r="E1416" s="28"/>
      <c r="G1416" s="15"/>
      <c r="H1416" s="15"/>
    </row>
    <row r="1417" spans="2:8" ht="5.25" customHeight="1" x14ac:dyDescent="0.2">
      <c r="B1417" s="27"/>
      <c r="C1417" s="23"/>
      <c r="D1417" s="23"/>
      <c r="E1417" s="22"/>
      <c r="G1417" s="15"/>
      <c r="H1417" s="15"/>
    </row>
    <row r="1418" spans="2:8" x14ac:dyDescent="0.2">
      <c r="B1418" s="21" t="s">
        <v>28</v>
      </c>
      <c r="C1418" s="23"/>
      <c r="D1418" s="23"/>
      <c r="E1418" s="22"/>
      <c r="G1418" s="15"/>
      <c r="H1418" s="15"/>
    </row>
    <row r="1419" spans="2:8" ht="41.25" customHeight="1" x14ac:dyDescent="0.2">
      <c r="B1419" s="21"/>
      <c r="C1419" s="99" t="s">
        <v>82</v>
      </c>
      <c r="D1419" s="99"/>
      <c r="E1419" s="99"/>
      <c r="G1419" s="15"/>
      <c r="H1419" s="15"/>
    </row>
    <row r="1420" spans="2:8" x14ac:dyDescent="0.2">
      <c r="B1420" s="21" t="s">
        <v>26</v>
      </c>
      <c r="C1420" s="23"/>
      <c r="D1420" s="23"/>
      <c r="E1420" s="22"/>
      <c r="G1420" s="15"/>
      <c r="H1420" s="15"/>
    </row>
    <row r="1421" spans="2:8" x14ac:dyDescent="0.2">
      <c r="B1421" s="24"/>
      <c r="C1421" s="102" t="s">
        <v>25</v>
      </c>
      <c r="D1421" s="102"/>
      <c r="E1421" s="102"/>
      <c r="G1421" s="15"/>
      <c r="H1421" s="15"/>
    </row>
    <row r="1422" spans="2:8" x14ac:dyDescent="0.2">
      <c r="B1422" s="24"/>
      <c r="C1422" s="98"/>
      <c r="D1422" s="98"/>
      <c r="E1422" s="98"/>
      <c r="G1422" s="15"/>
      <c r="H1422" s="15"/>
    </row>
    <row r="1423" spans="2:8" x14ac:dyDescent="0.2">
      <c r="B1423" s="21" t="s">
        <v>24</v>
      </c>
      <c r="C1423" s="23"/>
      <c r="D1423" s="23"/>
      <c r="E1423" s="22"/>
      <c r="G1423" s="15"/>
      <c r="H1423" s="15"/>
    </row>
    <row r="1424" spans="2:8" ht="26.25" customHeight="1" x14ac:dyDescent="0.2">
      <c r="B1424" s="24"/>
      <c r="C1424" s="99"/>
      <c r="D1424" s="99"/>
      <c r="E1424" s="99"/>
      <c r="G1424" s="15"/>
      <c r="H1424" s="15"/>
    </row>
    <row r="1425" spans="2:8" x14ac:dyDescent="0.2">
      <c r="B1425" s="21" t="s">
        <v>23</v>
      </c>
      <c r="C1425" s="26"/>
      <c r="D1425" s="26"/>
      <c r="E1425" s="25"/>
      <c r="G1425" s="15"/>
      <c r="H1425" s="15"/>
    </row>
    <row r="1426" spans="2:8" ht="26.25" customHeight="1" x14ac:dyDescent="0.2">
      <c r="B1426" s="24"/>
      <c r="C1426" s="100" t="s">
        <v>22</v>
      </c>
      <c r="D1426" s="100"/>
      <c r="E1426" s="100"/>
      <c r="G1426" s="15"/>
      <c r="H1426" s="15"/>
    </row>
    <row r="1427" spans="2:8" x14ac:dyDescent="0.2">
      <c r="B1427" s="21" t="s">
        <v>21</v>
      </c>
      <c r="C1427" s="23"/>
      <c r="D1427" s="23"/>
      <c r="E1427" s="22"/>
      <c r="G1427" s="15"/>
      <c r="H1427" s="15"/>
    </row>
    <row r="1428" spans="2:8" ht="23.25" customHeight="1" x14ac:dyDescent="0.2">
      <c r="B1428" s="21"/>
      <c r="C1428" s="101"/>
      <c r="D1428" s="101"/>
      <c r="E1428" s="101"/>
      <c r="G1428" s="15"/>
      <c r="H1428" s="15"/>
    </row>
    <row r="1429" spans="2:8" ht="13.5" thickBot="1" x14ac:dyDescent="0.25">
      <c r="B1429" s="20"/>
      <c r="C1429" s="19"/>
      <c r="D1429" s="19"/>
      <c r="E1429" s="18"/>
      <c r="G1429" s="15"/>
      <c r="H1429" s="15"/>
    </row>
    <row r="1430" spans="2:8" ht="13.5" thickBot="1" x14ac:dyDescent="0.25">
      <c r="G1430" s="15"/>
      <c r="H1430" s="15"/>
    </row>
    <row r="1431" spans="2:8" x14ac:dyDescent="0.2">
      <c r="B1431" s="30" t="s">
        <v>81</v>
      </c>
      <c r="C1431" s="29"/>
      <c r="D1431" s="29"/>
      <c r="E1431" s="28"/>
      <c r="G1431" s="15"/>
      <c r="H1431" s="15"/>
    </row>
    <row r="1432" spans="2:8" ht="7.5" customHeight="1" x14ac:dyDescent="0.2">
      <c r="B1432" s="27"/>
      <c r="C1432" s="23"/>
      <c r="D1432" s="23"/>
      <c r="E1432" s="22"/>
      <c r="G1432" s="15"/>
      <c r="H1432" s="15"/>
    </row>
    <row r="1433" spans="2:8" x14ac:dyDescent="0.2">
      <c r="B1433" s="21" t="s">
        <v>28</v>
      </c>
      <c r="C1433" s="23"/>
      <c r="D1433" s="23"/>
      <c r="E1433" s="22"/>
      <c r="G1433" s="15"/>
      <c r="H1433" s="15"/>
    </row>
    <row r="1434" spans="2:8" ht="41.25" customHeight="1" x14ac:dyDescent="0.2">
      <c r="B1434" s="21"/>
      <c r="C1434" s="99" t="s">
        <v>80</v>
      </c>
      <c r="D1434" s="99"/>
      <c r="E1434" s="99"/>
      <c r="G1434" s="15"/>
      <c r="H1434" s="15"/>
    </row>
    <row r="1435" spans="2:8" x14ac:dyDescent="0.2">
      <c r="B1435" s="21" t="s">
        <v>26</v>
      </c>
      <c r="C1435" s="23"/>
      <c r="D1435" s="23"/>
      <c r="E1435" s="22"/>
      <c r="G1435" s="15"/>
      <c r="H1435" s="15"/>
    </row>
    <row r="1436" spans="2:8" x14ac:dyDescent="0.2">
      <c r="B1436" s="24"/>
      <c r="C1436" s="102" t="s">
        <v>25</v>
      </c>
      <c r="D1436" s="102"/>
      <c r="E1436" s="102"/>
      <c r="G1436" s="15"/>
      <c r="H1436" s="15"/>
    </row>
    <row r="1437" spans="2:8" x14ac:dyDescent="0.2">
      <c r="B1437" s="24"/>
      <c r="C1437" s="98"/>
      <c r="D1437" s="98"/>
      <c r="E1437" s="98"/>
      <c r="G1437" s="15"/>
      <c r="H1437" s="15"/>
    </row>
    <row r="1438" spans="2:8" x14ac:dyDescent="0.2">
      <c r="B1438" s="21" t="s">
        <v>24</v>
      </c>
      <c r="C1438" s="23"/>
      <c r="D1438" s="23"/>
      <c r="E1438" s="22"/>
      <c r="G1438" s="15"/>
      <c r="H1438" s="15"/>
    </row>
    <row r="1439" spans="2:8" ht="26.25" customHeight="1" x14ac:dyDescent="0.2">
      <c r="B1439" s="24"/>
      <c r="C1439" s="99"/>
      <c r="D1439" s="99"/>
      <c r="E1439" s="99"/>
      <c r="G1439" s="15"/>
      <c r="H1439" s="15"/>
    </row>
    <row r="1440" spans="2:8" x14ac:dyDescent="0.2">
      <c r="B1440" s="21" t="s">
        <v>23</v>
      </c>
      <c r="C1440" s="26"/>
      <c r="D1440" s="26"/>
      <c r="E1440" s="25"/>
      <c r="G1440" s="15"/>
      <c r="H1440" s="15"/>
    </row>
    <row r="1441" spans="2:8" ht="26.25" customHeight="1" x14ac:dyDescent="0.2">
      <c r="B1441" s="24"/>
      <c r="C1441" s="100" t="s">
        <v>22</v>
      </c>
      <c r="D1441" s="100"/>
      <c r="E1441" s="100"/>
      <c r="G1441" s="15"/>
      <c r="H1441" s="15"/>
    </row>
    <row r="1442" spans="2:8" x14ac:dyDescent="0.2">
      <c r="B1442" s="21" t="s">
        <v>21</v>
      </c>
      <c r="C1442" s="23"/>
      <c r="D1442" s="23"/>
      <c r="E1442" s="22"/>
      <c r="G1442" s="15"/>
      <c r="H1442" s="15"/>
    </row>
    <row r="1443" spans="2:8" ht="23.25" customHeight="1" x14ac:dyDescent="0.2">
      <c r="B1443" s="21"/>
      <c r="C1443" s="101"/>
      <c r="D1443" s="101"/>
      <c r="E1443" s="101"/>
      <c r="G1443" s="15"/>
      <c r="H1443" s="15"/>
    </row>
    <row r="1444" spans="2:8" ht="13.5" thickBot="1" x14ac:dyDescent="0.25">
      <c r="B1444" s="20"/>
      <c r="C1444" s="19"/>
      <c r="D1444" s="19"/>
      <c r="E1444" s="18"/>
      <c r="G1444" s="15"/>
      <c r="H1444" s="15"/>
    </row>
    <row r="1445" spans="2:8" ht="13.5" thickBot="1" x14ac:dyDescent="0.25">
      <c r="G1445" s="15"/>
      <c r="H1445" s="15"/>
    </row>
    <row r="1446" spans="2:8" x14ac:dyDescent="0.2">
      <c r="B1446" s="30" t="s">
        <v>79</v>
      </c>
      <c r="C1446" s="29"/>
      <c r="D1446" s="29"/>
      <c r="E1446" s="28"/>
      <c r="G1446" s="15"/>
      <c r="H1446" s="15"/>
    </row>
    <row r="1447" spans="2:8" ht="5.25" customHeight="1" x14ac:dyDescent="0.2">
      <c r="B1447" s="27"/>
      <c r="C1447" s="23"/>
      <c r="D1447" s="23"/>
      <c r="E1447" s="22"/>
      <c r="G1447" s="15"/>
      <c r="H1447" s="15"/>
    </row>
    <row r="1448" spans="2:8" x14ac:dyDescent="0.2">
      <c r="B1448" s="21" t="s">
        <v>28</v>
      </c>
      <c r="C1448" s="23"/>
      <c r="D1448" s="23"/>
      <c r="E1448" s="22"/>
      <c r="G1448" s="15"/>
      <c r="H1448" s="15"/>
    </row>
    <row r="1449" spans="2:8" ht="41.25" customHeight="1" x14ac:dyDescent="0.2">
      <c r="B1449" s="21"/>
      <c r="C1449" s="99" t="s">
        <v>78</v>
      </c>
      <c r="D1449" s="99"/>
      <c r="E1449" s="99"/>
      <c r="G1449" s="15"/>
      <c r="H1449" s="15"/>
    </row>
    <row r="1450" spans="2:8" x14ac:dyDescent="0.2">
      <c r="B1450" s="21" t="s">
        <v>26</v>
      </c>
      <c r="C1450" s="23"/>
      <c r="D1450" s="23"/>
      <c r="E1450" s="22"/>
      <c r="G1450" s="15"/>
      <c r="H1450" s="15"/>
    </row>
    <row r="1451" spans="2:8" x14ac:dyDescent="0.2">
      <c r="B1451" s="24"/>
      <c r="C1451" s="102" t="s">
        <v>25</v>
      </c>
      <c r="D1451" s="102"/>
      <c r="E1451" s="102"/>
      <c r="G1451" s="15"/>
      <c r="H1451" s="15"/>
    </row>
    <row r="1452" spans="2:8" x14ac:dyDescent="0.2">
      <c r="B1452" s="24"/>
      <c r="C1452" s="98"/>
      <c r="D1452" s="98"/>
      <c r="E1452" s="98"/>
      <c r="G1452" s="15"/>
      <c r="H1452" s="15"/>
    </row>
    <row r="1453" spans="2:8" x14ac:dyDescent="0.2">
      <c r="B1453" s="21" t="s">
        <v>24</v>
      </c>
      <c r="C1453" s="23"/>
      <c r="D1453" s="23"/>
      <c r="E1453" s="22"/>
      <c r="G1453" s="15"/>
      <c r="H1453" s="15"/>
    </row>
    <row r="1454" spans="2:8" ht="26.25" customHeight="1" x14ac:dyDescent="0.2">
      <c r="B1454" s="24"/>
      <c r="C1454" s="99"/>
      <c r="D1454" s="99"/>
      <c r="E1454" s="99"/>
      <c r="G1454" s="15"/>
      <c r="H1454" s="15"/>
    </row>
    <row r="1455" spans="2:8" x14ac:dyDescent="0.2">
      <c r="B1455" s="21" t="s">
        <v>23</v>
      </c>
      <c r="C1455" s="26"/>
      <c r="D1455" s="26"/>
      <c r="E1455" s="25"/>
      <c r="G1455" s="15"/>
      <c r="H1455" s="15"/>
    </row>
    <row r="1456" spans="2:8" ht="26.25" customHeight="1" x14ac:dyDescent="0.2">
      <c r="B1456" s="24"/>
      <c r="C1456" s="100" t="s">
        <v>22</v>
      </c>
      <c r="D1456" s="100"/>
      <c r="E1456" s="100"/>
      <c r="G1456" s="15"/>
      <c r="H1456" s="15"/>
    </row>
    <row r="1457" spans="2:8" x14ac:dyDescent="0.2">
      <c r="B1457" s="21" t="s">
        <v>21</v>
      </c>
      <c r="C1457" s="23"/>
      <c r="D1457" s="23"/>
      <c r="E1457" s="22"/>
      <c r="G1457" s="15"/>
      <c r="H1457" s="15"/>
    </row>
    <row r="1458" spans="2:8" ht="23.25" customHeight="1" x14ac:dyDescent="0.2">
      <c r="B1458" s="21"/>
      <c r="C1458" s="101"/>
      <c r="D1458" s="101"/>
      <c r="E1458" s="101"/>
      <c r="G1458" s="15"/>
      <c r="H1458" s="15"/>
    </row>
    <row r="1459" spans="2:8" ht="13.5" thickBot="1" x14ac:dyDescent="0.25">
      <c r="B1459" s="20"/>
      <c r="C1459" s="19"/>
      <c r="D1459" s="19"/>
      <c r="E1459" s="18"/>
      <c r="G1459" s="15"/>
      <c r="H1459" s="15"/>
    </row>
    <row r="1460" spans="2:8" ht="13.5" thickBot="1" x14ac:dyDescent="0.25">
      <c r="G1460" s="15"/>
      <c r="H1460" s="15"/>
    </row>
    <row r="1461" spans="2:8" x14ac:dyDescent="0.2">
      <c r="B1461" s="30" t="s">
        <v>77</v>
      </c>
      <c r="C1461" s="29"/>
      <c r="D1461" s="29"/>
      <c r="E1461" s="28"/>
      <c r="G1461" s="15"/>
      <c r="H1461" s="15"/>
    </row>
    <row r="1462" spans="2:8" ht="7.5" customHeight="1" x14ac:dyDescent="0.2">
      <c r="B1462" s="27"/>
      <c r="C1462" s="23"/>
      <c r="D1462" s="23"/>
      <c r="E1462" s="22"/>
      <c r="G1462" s="15"/>
      <c r="H1462" s="15"/>
    </row>
    <row r="1463" spans="2:8" x14ac:dyDescent="0.2">
      <c r="B1463" s="21" t="s">
        <v>28</v>
      </c>
      <c r="C1463" s="23"/>
      <c r="D1463" s="23"/>
      <c r="E1463" s="22"/>
      <c r="G1463" s="15"/>
      <c r="H1463" s="15"/>
    </row>
    <row r="1464" spans="2:8" ht="41.25" customHeight="1" x14ac:dyDescent="0.2">
      <c r="B1464" s="21"/>
      <c r="C1464" s="99" t="s">
        <v>76</v>
      </c>
      <c r="D1464" s="99"/>
      <c r="E1464" s="99"/>
      <c r="G1464" s="15"/>
      <c r="H1464" s="15"/>
    </row>
    <row r="1465" spans="2:8" x14ac:dyDescent="0.2">
      <c r="B1465" s="21" t="s">
        <v>26</v>
      </c>
      <c r="C1465" s="23"/>
      <c r="D1465" s="23"/>
      <c r="E1465" s="22"/>
      <c r="G1465" s="15"/>
      <c r="H1465" s="15"/>
    </row>
    <row r="1466" spans="2:8" x14ac:dyDescent="0.2">
      <c r="B1466" s="24"/>
      <c r="C1466" s="102" t="s">
        <v>25</v>
      </c>
      <c r="D1466" s="102"/>
      <c r="E1466" s="102"/>
      <c r="G1466" s="15"/>
      <c r="H1466" s="15"/>
    </row>
    <row r="1467" spans="2:8" x14ac:dyDescent="0.2">
      <c r="B1467" s="24"/>
      <c r="C1467" s="98"/>
      <c r="D1467" s="98"/>
      <c r="E1467" s="98"/>
      <c r="G1467" s="15"/>
      <c r="H1467" s="15"/>
    </row>
    <row r="1468" spans="2:8" x14ac:dyDescent="0.2">
      <c r="B1468" s="21" t="s">
        <v>24</v>
      </c>
      <c r="C1468" s="23"/>
      <c r="D1468" s="23"/>
      <c r="E1468" s="22"/>
      <c r="G1468" s="15"/>
      <c r="H1468" s="15"/>
    </row>
    <row r="1469" spans="2:8" ht="26.25" customHeight="1" x14ac:dyDescent="0.2">
      <c r="B1469" s="24"/>
      <c r="C1469" s="99"/>
      <c r="D1469" s="99"/>
      <c r="E1469" s="99"/>
      <c r="G1469" s="15"/>
      <c r="H1469" s="15"/>
    </row>
    <row r="1470" spans="2:8" x14ac:dyDescent="0.2">
      <c r="B1470" s="21" t="s">
        <v>23</v>
      </c>
      <c r="C1470" s="26"/>
      <c r="D1470" s="26"/>
      <c r="E1470" s="25"/>
      <c r="G1470" s="15"/>
      <c r="H1470" s="15"/>
    </row>
    <row r="1471" spans="2:8" ht="26.25" customHeight="1" x14ac:dyDescent="0.2">
      <c r="B1471" s="24"/>
      <c r="C1471" s="100" t="s">
        <v>22</v>
      </c>
      <c r="D1471" s="100"/>
      <c r="E1471" s="100"/>
      <c r="G1471" s="15"/>
      <c r="H1471" s="15"/>
    </row>
    <row r="1472" spans="2:8" x14ac:dyDescent="0.2">
      <c r="B1472" s="21" t="s">
        <v>21</v>
      </c>
      <c r="C1472" s="23"/>
      <c r="D1472" s="23"/>
      <c r="E1472" s="22"/>
      <c r="G1472" s="15"/>
      <c r="H1472" s="15"/>
    </row>
    <row r="1473" spans="2:8" ht="23.25" customHeight="1" x14ac:dyDescent="0.2">
      <c r="B1473" s="21"/>
      <c r="C1473" s="101"/>
      <c r="D1473" s="101"/>
      <c r="E1473" s="101"/>
      <c r="G1473" s="15"/>
      <c r="H1473" s="15"/>
    </row>
    <row r="1474" spans="2:8" ht="13.5" thickBot="1" x14ac:dyDescent="0.25">
      <c r="B1474" s="20"/>
      <c r="C1474" s="19"/>
      <c r="D1474" s="19"/>
      <c r="E1474" s="18"/>
      <c r="G1474" s="15"/>
      <c r="H1474" s="15"/>
    </row>
    <row r="1475" spans="2:8" ht="13.5" thickBot="1" x14ac:dyDescent="0.25">
      <c r="G1475" s="15"/>
      <c r="H1475" s="15"/>
    </row>
    <row r="1476" spans="2:8" x14ac:dyDescent="0.2">
      <c r="B1476" s="30" t="s">
        <v>75</v>
      </c>
      <c r="C1476" s="29"/>
      <c r="D1476" s="29"/>
      <c r="E1476" s="28"/>
      <c r="G1476" s="15"/>
      <c r="H1476" s="15"/>
    </row>
    <row r="1477" spans="2:8" ht="5.25" customHeight="1" x14ac:dyDescent="0.2">
      <c r="B1477" s="27"/>
      <c r="C1477" s="23"/>
      <c r="D1477" s="23"/>
      <c r="E1477" s="22"/>
      <c r="G1477" s="15"/>
      <c r="H1477" s="15"/>
    </row>
    <row r="1478" spans="2:8" x14ac:dyDescent="0.2">
      <c r="B1478" s="21" t="s">
        <v>28</v>
      </c>
      <c r="C1478" s="23"/>
      <c r="D1478" s="23"/>
      <c r="E1478" s="22"/>
      <c r="G1478" s="15"/>
      <c r="H1478" s="15"/>
    </row>
    <row r="1479" spans="2:8" ht="41.25" customHeight="1" x14ac:dyDescent="0.2">
      <c r="B1479" s="21"/>
      <c r="C1479" s="99" t="s">
        <v>74</v>
      </c>
      <c r="D1479" s="99"/>
      <c r="E1479" s="99"/>
      <c r="G1479" s="15"/>
      <c r="H1479" s="15"/>
    </row>
    <row r="1480" spans="2:8" x14ac:dyDescent="0.2">
      <c r="B1480" s="21" t="s">
        <v>26</v>
      </c>
      <c r="C1480" s="23"/>
      <c r="D1480" s="23"/>
      <c r="E1480" s="22"/>
      <c r="G1480" s="15"/>
      <c r="H1480" s="15"/>
    </row>
    <row r="1481" spans="2:8" x14ac:dyDescent="0.2">
      <c r="B1481" s="24"/>
      <c r="C1481" s="102" t="s">
        <v>25</v>
      </c>
      <c r="D1481" s="102"/>
      <c r="E1481" s="102"/>
      <c r="G1481" s="15"/>
      <c r="H1481" s="15"/>
    </row>
    <row r="1482" spans="2:8" x14ac:dyDescent="0.2">
      <c r="B1482" s="24"/>
      <c r="C1482" s="98"/>
      <c r="D1482" s="98"/>
      <c r="E1482" s="98"/>
      <c r="G1482" s="15"/>
      <c r="H1482" s="15"/>
    </row>
    <row r="1483" spans="2:8" x14ac:dyDescent="0.2">
      <c r="B1483" s="21" t="s">
        <v>24</v>
      </c>
      <c r="C1483" s="23"/>
      <c r="D1483" s="23"/>
      <c r="E1483" s="22"/>
      <c r="G1483" s="15"/>
      <c r="H1483" s="15"/>
    </row>
    <row r="1484" spans="2:8" ht="26.25" customHeight="1" x14ac:dyDescent="0.2">
      <c r="B1484" s="24"/>
      <c r="C1484" s="99"/>
      <c r="D1484" s="99"/>
      <c r="E1484" s="99"/>
      <c r="G1484" s="15"/>
      <c r="H1484" s="15"/>
    </row>
    <row r="1485" spans="2:8" x14ac:dyDescent="0.2">
      <c r="B1485" s="21" t="s">
        <v>23</v>
      </c>
      <c r="C1485" s="26"/>
      <c r="D1485" s="26"/>
      <c r="E1485" s="25"/>
      <c r="G1485" s="15"/>
      <c r="H1485" s="15"/>
    </row>
    <row r="1486" spans="2:8" ht="26.25" customHeight="1" x14ac:dyDescent="0.2">
      <c r="B1486" s="24"/>
      <c r="C1486" s="100" t="s">
        <v>22</v>
      </c>
      <c r="D1486" s="100"/>
      <c r="E1486" s="100"/>
      <c r="G1486" s="15"/>
      <c r="H1486" s="15"/>
    </row>
    <row r="1487" spans="2:8" x14ac:dyDescent="0.2">
      <c r="B1487" s="21" t="s">
        <v>21</v>
      </c>
      <c r="C1487" s="23"/>
      <c r="D1487" s="23"/>
      <c r="E1487" s="22"/>
      <c r="G1487" s="15"/>
      <c r="H1487" s="15"/>
    </row>
    <row r="1488" spans="2:8" ht="23.25" customHeight="1" x14ac:dyDescent="0.2">
      <c r="B1488" s="21"/>
      <c r="C1488" s="101"/>
      <c r="D1488" s="101"/>
      <c r="E1488" s="101"/>
      <c r="G1488" s="15"/>
      <c r="H1488" s="15"/>
    </row>
    <row r="1489" spans="2:8" ht="13.5" thickBot="1" x14ac:dyDescent="0.25">
      <c r="B1489" s="20"/>
      <c r="C1489" s="19"/>
      <c r="D1489" s="19"/>
      <c r="E1489" s="18"/>
      <c r="G1489" s="15"/>
      <c r="H1489" s="15"/>
    </row>
    <row r="1490" spans="2:8" ht="13.5" thickBot="1" x14ac:dyDescent="0.25">
      <c r="G1490" s="15"/>
      <c r="H1490" s="15"/>
    </row>
    <row r="1491" spans="2:8" x14ac:dyDescent="0.2">
      <c r="B1491" s="30" t="s">
        <v>73</v>
      </c>
      <c r="C1491" s="29"/>
      <c r="D1491" s="29"/>
      <c r="E1491" s="28"/>
      <c r="G1491" s="15"/>
      <c r="H1491" s="15"/>
    </row>
    <row r="1492" spans="2:8" ht="7.5" customHeight="1" x14ac:dyDescent="0.2">
      <c r="B1492" s="27"/>
      <c r="C1492" s="23"/>
      <c r="D1492" s="23"/>
      <c r="E1492" s="22"/>
      <c r="G1492" s="15"/>
      <c r="H1492" s="15"/>
    </row>
    <row r="1493" spans="2:8" x14ac:dyDescent="0.2">
      <c r="B1493" s="21" t="s">
        <v>28</v>
      </c>
      <c r="C1493" s="23"/>
      <c r="D1493" s="23"/>
      <c r="E1493" s="22"/>
      <c r="G1493" s="15"/>
      <c r="H1493" s="15"/>
    </row>
    <row r="1494" spans="2:8" ht="41.25" customHeight="1" x14ac:dyDescent="0.2">
      <c r="B1494" s="21"/>
      <c r="C1494" s="99" t="s">
        <v>72</v>
      </c>
      <c r="D1494" s="99"/>
      <c r="E1494" s="99"/>
      <c r="G1494" s="15"/>
      <c r="H1494" s="15"/>
    </row>
    <row r="1495" spans="2:8" x14ac:dyDescent="0.2">
      <c r="B1495" s="21" t="s">
        <v>26</v>
      </c>
      <c r="C1495" s="23"/>
      <c r="D1495" s="23"/>
      <c r="E1495" s="22"/>
      <c r="G1495" s="15"/>
      <c r="H1495" s="15"/>
    </row>
    <row r="1496" spans="2:8" x14ac:dyDescent="0.2">
      <c r="B1496" s="24"/>
      <c r="C1496" s="102" t="s">
        <v>25</v>
      </c>
      <c r="D1496" s="102"/>
      <c r="E1496" s="102"/>
      <c r="G1496" s="15"/>
      <c r="H1496" s="15"/>
    </row>
    <row r="1497" spans="2:8" x14ac:dyDescent="0.2">
      <c r="B1497" s="24"/>
      <c r="C1497" s="98"/>
      <c r="D1497" s="98"/>
      <c r="E1497" s="98"/>
      <c r="G1497" s="15"/>
      <c r="H1497" s="15"/>
    </row>
    <row r="1498" spans="2:8" x14ac:dyDescent="0.2">
      <c r="B1498" s="21" t="s">
        <v>24</v>
      </c>
      <c r="C1498" s="23"/>
      <c r="D1498" s="23"/>
      <c r="E1498" s="22"/>
      <c r="G1498" s="15"/>
      <c r="H1498" s="15"/>
    </row>
    <row r="1499" spans="2:8" ht="26.25" customHeight="1" x14ac:dyDescent="0.2">
      <c r="B1499" s="24"/>
      <c r="C1499" s="99"/>
      <c r="D1499" s="99"/>
      <c r="E1499" s="99"/>
      <c r="G1499" s="15"/>
      <c r="H1499" s="15"/>
    </row>
    <row r="1500" spans="2:8" x14ac:dyDescent="0.2">
      <c r="B1500" s="21" t="s">
        <v>23</v>
      </c>
      <c r="C1500" s="26"/>
      <c r="D1500" s="26"/>
      <c r="E1500" s="25"/>
      <c r="G1500" s="15"/>
      <c r="H1500" s="15"/>
    </row>
    <row r="1501" spans="2:8" ht="26.25" customHeight="1" x14ac:dyDescent="0.2">
      <c r="B1501" s="24"/>
      <c r="C1501" s="100" t="s">
        <v>22</v>
      </c>
      <c r="D1501" s="100"/>
      <c r="E1501" s="100"/>
      <c r="G1501" s="15"/>
      <c r="H1501" s="15"/>
    </row>
    <row r="1502" spans="2:8" x14ac:dyDescent="0.2">
      <c r="B1502" s="21" t="s">
        <v>21</v>
      </c>
      <c r="C1502" s="23"/>
      <c r="D1502" s="23"/>
      <c r="E1502" s="22"/>
      <c r="G1502" s="15"/>
      <c r="H1502" s="15"/>
    </row>
    <row r="1503" spans="2:8" ht="23.25" customHeight="1" x14ac:dyDescent="0.2">
      <c r="B1503" s="21"/>
      <c r="C1503" s="101"/>
      <c r="D1503" s="101"/>
      <c r="E1503" s="101"/>
      <c r="G1503" s="15"/>
      <c r="H1503" s="15"/>
    </row>
    <row r="1504" spans="2:8" ht="13.5" thickBot="1" x14ac:dyDescent="0.25">
      <c r="B1504" s="20"/>
      <c r="C1504" s="19"/>
      <c r="D1504" s="19"/>
      <c r="E1504" s="18"/>
      <c r="G1504" s="15"/>
      <c r="H1504" s="15"/>
    </row>
    <row r="1505" spans="2:8" ht="13.5" thickBot="1" x14ac:dyDescent="0.25">
      <c r="G1505" s="15"/>
      <c r="H1505" s="15"/>
    </row>
    <row r="1506" spans="2:8" x14ac:dyDescent="0.2">
      <c r="B1506" s="30" t="s">
        <v>71</v>
      </c>
      <c r="C1506" s="29"/>
      <c r="D1506" s="29"/>
      <c r="E1506" s="28"/>
      <c r="G1506" s="15"/>
      <c r="H1506" s="15"/>
    </row>
    <row r="1507" spans="2:8" ht="5.25" customHeight="1" x14ac:dyDescent="0.2">
      <c r="B1507" s="27"/>
      <c r="C1507" s="23"/>
      <c r="D1507" s="23"/>
      <c r="E1507" s="22"/>
      <c r="G1507" s="15"/>
      <c r="H1507" s="15"/>
    </row>
    <row r="1508" spans="2:8" x14ac:dyDescent="0.2">
      <c r="B1508" s="21" t="s">
        <v>28</v>
      </c>
      <c r="C1508" s="23"/>
      <c r="D1508" s="23"/>
      <c r="E1508" s="22"/>
      <c r="G1508" s="15"/>
      <c r="H1508" s="15"/>
    </row>
    <row r="1509" spans="2:8" ht="41.25" customHeight="1" x14ac:dyDescent="0.2">
      <c r="B1509" s="21"/>
      <c r="C1509" s="99" t="s">
        <v>70</v>
      </c>
      <c r="D1509" s="99"/>
      <c r="E1509" s="99"/>
      <c r="G1509" s="15"/>
      <c r="H1509" s="15"/>
    </row>
    <row r="1510" spans="2:8" x14ac:dyDescent="0.2">
      <c r="B1510" s="21" t="s">
        <v>26</v>
      </c>
      <c r="C1510" s="23"/>
      <c r="D1510" s="23"/>
      <c r="E1510" s="22"/>
      <c r="G1510" s="15"/>
      <c r="H1510" s="15"/>
    </row>
    <row r="1511" spans="2:8" x14ac:dyDescent="0.2">
      <c r="B1511" s="24"/>
      <c r="C1511" s="102" t="s">
        <v>25</v>
      </c>
      <c r="D1511" s="102"/>
      <c r="E1511" s="102"/>
      <c r="G1511" s="15"/>
      <c r="H1511" s="15"/>
    </row>
    <row r="1512" spans="2:8" x14ac:dyDescent="0.2">
      <c r="B1512" s="24"/>
      <c r="C1512" s="98"/>
      <c r="D1512" s="98"/>
      <c r="E1512" s="98"/>
      <c r="G1512" s="15"/>
      <c r="H1512" s="15"/>
    </row>
    <row r="1513" spans="2:8" x14ac:dyDescent="0.2">
      <c r="B1513" s="21" t="s">
        <v>24</v>
      </c>
      <c r="C1513" s="23"/>
      <c r="D1513" s="23"/>
      <c r="E1513" s="22"/>
      <c r="G1513" s="15"/>
      <c r="H1513" s="15"/>
    </row>
    <row r="1514" spans="2:8" ht="26.25" customHeight="1" x14ac:dyDescent="0.2">
      <c r="B1514" s="24"/>
      <c r="C1514" s="99"/>
      <c r="D1514" s="99"/>
      <c r="E1514" s="99"/>
      <c r="G1514" s="15"/>
      <c r="H1514" s="15"/>
    </row>
    <row r="1515" spans="2:8" x14ac:dyDescent="0.2">
      <c r="B1515" s="21" t="s">
        <v>23</v>
      </c>
      <c r="C1515" s="26"/>
      <c r="D1515" s="26"/>
      <c r="E1515" s="25"/>
      <c r="G1515" s="15"/>
      <c r="H1515" s="15"/>
    </row>
    <row r="1516" spans="2:8" ht="26.25" customHeight="1" x14ac:dyDescent="0.2">
      <c r="B1516" s="24"/>
      <c r="C1516" s="100" t="s">
        <v>22</v>
      </c>
      <c r="D1516" s="100"/>
      <c r="E1516" s="100"/>
      <c r="G1516" s="15"/>
      <c r="H1516" s="15"/>
    </row>
    <row r="1517" spans="2:8" x14ac:dyDescent="0.2">
      <c r="B1517" s="21" t="s">
        <v>21</v>
      </c>
      <c r="C1517" s="23"/>
      <c r="D1517" s="23"/>
      <c r="E1517" s="22"/>
      <c r="G1517" s="15"/>
      <c r="H1517" s="15"/>
    </row>
    <row r="1518" spans="2:8" ht="23.25" customHeight="1" x14ac:dyDescent="0.2">
      <c r="B1518" s="21"/>
      <c r="C1518" s="101"/>
      <c r="D1518" s="101"/>
      <c r="E1518" s="101"/>
      <c r="G1518" s="15"/>
      <c r="H1518" s="15"/>
    </row>
    <row r="1519" spans="2:8" ht="13.5" thickBot="1" x14ac:dyDescent="0.25">
      <c r="B1519" s="20"/>
      <c r="C1519" s="19"/>
      <c r="D1519" s="19"/>
      <c r="E1519" s="18"/>
      <c r="G1519" s="15"/>
      <c r="H1519" s="15"/>
    </row>
    <row r="1520" spans="2:8" ht="13.5" thickBot="1" x14ac:dyDescent="0.25">
      <c r="G1520" s="15"/>
      <c r="H1520" s="15"/>
    </row>
    <row r="1521" spans="2:8" x14ac:dyDescent="0.2">
      <c r="B1521" s="30" t="s">
        <v>69</v>
      </c>
      <c r="C1521" s="29"/>
      <c r="D1521" s="29"/>
      <c r="E1521" s="28"/>
      <c r="G1521" s="15"/>
      <c r="H1521" s="15"/>
    </row>
    <row r="1522" spans="2:8" ht="7.5" customHeight="1" x14ac:dyDescent="0.2">
      <c r="B1522" s="27"/>
      <c r="C1522" s="23"/>
      <c r="D1522" s="23"/>
      <c r="E1522" s="22"/>
      <c r="G1522" s="15"/>
      <c r="H1522" s="15"/>
    </row>
    <row r="1523" spans="2:8" x14ac:dyDescent="0.2">
      <c r="B1523" s="21" t="s">
        <v>28</v>
      </c>
      <c r="C1523" s="23"/>
      <c r="D1523" s="23"/>
      <c r="E1523" s="22"/>
      <c r="G1523" s="15"/>
      <c r="H1523" s="15"/>
    </row>
    <row r="1524" spans="2:8" ht="41.25" customHeight="1" x14ac:dyDescent="0.2">
      <c r="B1524" s="21"/>
      <c r="C1524" s="99" t="s">
        <v>68</v>
      </c>
      <c r="D1524" s="99"/>
      <c r="E1524" s="99"/>
      <c r="G1524" s="15"/>
      <c r="H1524" s="15"/>
    </row>
    <row r="1525" spans="2:8" x14ac:dyDescent="0.2">
      <c r="B1525" s="21" t="s">
        <v>26</v>
      </c>
      <c r="C1525" s="23"/>
      <c r="D1525" s="23"/>
      <c r="E1525" s="22"/>
      <c r="G1525" s="15"/>
      <c r="H1525" s="15"/>
    </row>
    <row r="1526" spans="2:8" x14ac:dyDescent="0.2">
      <c r="B1526" s="24"/>
      <c r="C1526" s="102" t="s">
        <v>25</v>
      </c>
      <c r="D1526" s="102"/>
      <c r="E1526" s="102"/>
      <c r="G1526" s="15"/>
      <c r="H1526" s="15"/>
    </row>
    <row r="1527" spans="2:8" x14ac:dyDescent="0.2">
      <c r="B1527" s="24"/>
      <c r="C1527" s="98"/>
      <c r="D1527" s="98"/>
      <c r="E1527" s="98"/>
      <c r="G1527" s="15"/>
      <c r="H1527" s="15"/>
    </row>
    <row r="1528" spans="2:8" x14ac:dyDescent="0.2">
      <c r="B1528" s="21" t="s">
        <v>24</v>
      </c>
      <c r="C1528" s="23"/>
      <c r="D1528" s="23"/>
      <c r="E1528" s="22"/>
      <c r="G1528" s="15"/>
      <c r="H1528" s="15"/>
    </row>
    <row r="1529" spans="2:8" ht="26.25" customHeight="1" x14ac:dyDescent="0.2">
      <c r="B1529" s="24"/>
      <c r="C1529" s="99"/>
      <c r="D1529" s="99"/>
      <c r="E1529" s="99"/>
      <c r="G1529" s="15"/>
      <c r="H1529" s="15"/>
    </row>
    <row r="1530" spans="2:8" x14ac:dyDescent="0.2">
      <c r="B1530" s="21" t="s">
        <v>23</v>
      </c>
      <c r="C1530" s="26"/>
      <c r="D1530" s="26"/>
      <c r="E1530" s="25"/>
      <c r="G1530" s="15"/>
      <c r="H1530" s="15"/>
    </row>
    <row r="1531" spans="2:8" ht="26.25" customHeight="1" x14ac:dyDescent="0.2">
      <c r="B1531" s="24"/>
      <c r="C1531" s="100" t="s">
        <v>22</v>
      </c>
      <c r="D1531" s="100"/>
      <c r="E1531" s="100"/>
      <c r="G1531" s="15"/>
      <c r="H1531" s="15"/>
    </row>
    <row r="1532" spans="2:8" x14ac:dyDescent="0.2">
      <c r="B1532" s="21" t="s">
        <v>21</v>
      </c>
      <c r="C1532" s="23"/>
      <c r="D1532" s="23"/>
      <c r="E1532" s="22"/>
      <c r="G1532" s="15"/>
      <c r="H1532" s="15"/>
    </row>
    <row r="1533" spans="2:8" ht="23.25" customHeight="1" x14ac:dyDescent="0.2">
      <c r="B1533" s="21"/>
      <c r="C1533" s="101"/>
      <c r="D1533" s="101"/>
      <c r="E1533" s="101"/>
      <c r="G1533" s="15"/>
      <c r="H1533" s="15"/>
    </row>
    <row r="1534" spans="2:8" ht="13.5" thickBot="1" x14ac:dyDescent="0.25">
      <c r="B1534" s="20"/>
      <c r="C1534" s="19"/>
      <c r="D1534" s="19"/>
      <c r="E1534" s="18"/>
      <c r="G1534" s="15"/>
      <c r="H1534" s="15"/>
    </row>
    <row r="1535" spans="2:8" ht="13.5" thickBot="1" x14ac:dyDescent="0.25">
      <c r="G1535" s="15"/>
      <c r="H1535" s="15"/>
    </row>
    <row r="1536" spans="2:8" x14ac:dyDescent="0.2">
      <c r="B1536" s="30" t="s">
        <v>67</v>
      </c>
      <c r="C1536" s="29"/>
      <c r="D1536" s="29"/>
      <c r="E1536" s="28"/>
      <c r="G1536" s="15"/>
      <c r="H1536" s="15"/>
    </row>
    <row r="1537" spans="2:8" ht="5.25" customHeight="1" x14ac:dyDescent="0.2">
      <c r="B1537" s="27"/>
      <c r="C1537" s="23"/>
      <c r="D1537" s="23"/>
      <c r="E1537" s="22"/>
      <c r="G1537" s="15"/>
      <c r="H1537" s="15"/>
    </row>
    <row r="1538" spans="2:8" x14ac:dyDescent="0.2">
      <c r="B1538" s="21" t="s">
        <v>28</v>
      </c>
      <c r="C1538" s="23"/>
      <c r="D1538" s="23"/>
      <c r="E1538" s="22"/>
      <c r="G1538" s="15"/>
      <c r="H1538" s="15"/>
    </row>
    <row r="1539" spans="2:8" ht="41.25" customHeight="1" x14ac:dyDescent="0.2">
      <c r="B1539" s="21"/>
      <c r="C1539" s="99" t="s">
        <v>66</v>
      </c>
      <c r="D1539" s="99"/>
      <c r="E1539" s="99"/>
      <c r="G1539" s="15"/>
      <c r="H1539" s="15"/>
    </row>
    <row r="1540" spans="2:8" x14ac:dyDescent="0.2">
      <c r="B1540" s="21" t="s">
        <v>26</v>
      </c>
      <c r="C1540" s="23"/>
      <c r="D1540" s="23"/>
      <c r="E1540" s="22"/>
      <c r="G1540" s="15"/>
      <c r="H1540" s="15"/>
    </row>
    <row r="1541" spans="2:8" x14ac:dyDescent="0.2">
      <c r="B1541" s="24"/>
      <c r="C1541" s="102" t="s">
        <v>25</v>
      </c>
      <c r="D1541" s="102"/>
      <c r="E1541" s="102"/>
      <c r="G1541" s="15"/>
      <c r="H1541" s="15"/>
    </row>
    <row r="1542" spans="2:8" x14ac:dyDescent="0.2">
      <c r="B1542" s="24"/>
      <c r="C1542" s="98"/>
      <c r="D1542" s="98"/>
      <c r="E1542" s="98"/>
      <c r="G1542" s="15"/>
      <c r="H1542" s="15"/>
    </row>
    <row r="1543" spans="2:8" x14ac:dyDescent="0.2">
      <c r="B1543" s="21" t="s">
        <v>24</v>
      </c>
      <c r="C1543" s="23"/>
      <c r="D1543" s="23"/>
      <c r="E1543" s="22"/>
      <c r="G1543" s="15"/>
      <c r="H1543" s="15"/>
    </row>
    <row r="1544" spans="2:8" ht="26.25" customHeight="1" x14ac:dyDescent="0.2">
      <c r="B1544" s="24"/>
      <c r="C1544" s="99"/>
      <c r="D1544" s="99"/>
      <c r="E1544" s="99"/>
      <c r="G1544" s="15"/>
      <c r="H1544" s="15"/>
    </row>
    <row r="1545" spans="2:8" x14ac:dyDescent="0.2">
      <c r="B1545" s="21" t="s">
        <v>23</v>
      </c>
      <c r="C1545" s="26"/>
      <c r="D1545" s="26"/>
      <c r="E1545" s="25"/>
      <c r="G1545" s="15"/>
      <c r="H1545" s="15"/>
    </row>
    <row r="1546" spans="2:8" ht="26.25" customHeight="1" x14ac:dyDescent="0.2">
      <c r="B1546" s="24"/>
      <c r="C1546" s="100" t="s">
        <v>22</v>
      </c>
      <c r="D1546" s="100"/>
      <c r="E1546" s="100"/>
      <c r="G1546" s="15"/>
      <c r="H1546" s="15"/>
    </row>
    <row r="1547" spans="2:8" x14ac:dyDescent="0.2">
      <c r="B1547" s="21" t="s">
        <v>21</v>
      </c>
      <c r="C1547" s="23"/>
      <c r="D1547" s="23"/>
      <c r="E1547" s="22"/>
      <c r="G1547" s="15"/>
      <c r="H1547" s="15"/>
    </row>
    <row r="1548" spans="2:8" ht="23.25" customHeight="1" x14ac:dyDescent="0.2">
      <c r="B1548" s="21"/>
      <c r="C1548" s="101"/>
      <c r="D1548" s="101"/>
      <c r="E1548" s="101"/>
      <c r="G1548" s="15"/>
      <c r="H1548" s="15"/>
    </row>
    <row r="1549" spans="2:8" ht="13.5" thickBot="1" x14ac:dyDescent="0.25">
      <c r="B1549" s="20"/>
      <c r="C1549" s="19"/>
      <c r="D1549" s="19"/>
      <c r="E1549" s="18"/>
      <c r="G1549" s="15"/>
      <c r="H1549" s="15"/>
    </row>
    <row r="1550" spans="2:8" ht="13.5" thickBot="1" x14ac:dyDescent="0.25">
      <c r="G1550" s="15"/>
      <c r="H1550" s="15"/>
    </row>
    <row r="1551" spans="2:8" x14ac:dyDescent="0.2">
      <c r="B1551" s="30" t="s">
        <v>65</v>
      </c>
      <c r="C1551" s="29"/>
      <c r="D1551" s="29"/>
      <c r="E1551" s="28"/>
      <c r="G1551" s="15"/>
      <c r="H1551" s="15"/>
    </row>
    <row r="1552" spans="2:8" ht="7.5" customHeight="1" x14ac:dyDescent="0.2">
      <c r="B1552" s="27"/>
      <c r="C1552" s="23"/>
      <c r="D1552" s="23"/>
      <c r="E1552" s="22"/>
      <c r="G1552" s="15"/>
      <c r="H1552" s="15"/>
    </row>
    <row r="1553" spans="2:8" x14ac:dyDescent="0.2">
      <c r="B1553" s="21" t="s">
        <v>28</v>
      </c>
      <c r="C1553" s="23"/>
      <c r="D1553" s="23"/>
      <c r="E1553" s="22"/>
      <c r="G1553" s="15"/>
      <c r="H1553" s="15"/>
    </row>
    <row r="1554" spans="2:8" ht="41.25" customHeight="1" x14ac:dyDescent="0.2">
      <c r="B1554" s="21"/>
      <c r="C1554" s="99" t="s">
        <v>64</v>
      </c>
      <c r="D1554" s="99"/>
      <c r="E1554" s="99"/>
      <c r="G1554" s="15"/>
      <c r="H1554" s="15"/>
    </row>
    <row r="1555" spans="2:8" x14ac:dyDescent="0.2">
      <c r="B1555" s="21" t="s">
        <v>26</v>
      </c>
      <c r="C1555" s="23"/>
      <c r="D1555" s="23"/>
      <c r="E1555" s="22"/>
      <c r="G1555" s="15"/>
      <c r="H1555" s="15"/>
    </row>
    <row r="1556" spans="2:8" x14ac:dyDescent="0.2">
      <c r="B1556" s="24"/>
      <c r="C1556" s="102" t="s">
        <v>25</v>
      </c>
      <c r="D1556" s="102"/>
      <c r="E1556" s="102"/>
      <c r="G1556" s="15"/>
      <c r="H1556" s="15"/>
    </row>
    <row r="1557" spans="2:8" x14ac:dyDescent="0.2">
      <c r="B1557" s="24"/>
      <c r="C1557" s="98"/>
      <c r="D1557" s="98"/>
      <c r="E1557" s="98"/>
      <c r="G1557" s="15"/>
      <c r="H1557" s="15"/>
    </row>
    <row r="1558" spans="2:8" x14ac:dyDescent="0.2">
      <c r="B1558" s="21" t="s">
        <v>24</v>
      </c>
      <c r="C1558" s="23"/>
      <c r="D1558" s="23"/>
      <c r="E1558" s="22"/>
      <c r="G1558" s="15"/>
      <c r="H1558" s="15"/>
    </row>
    <row r="1559" spans="2:8" ht="26.25" customHeight="1" x14ac:dyDescent="0.2">
      <c r="B1559" s="24"/>
      <c r="C1559" s="99"/>
      <c r="D1559" s="99"/>
      <c r="E1559" s="99"/>
      <c r="G1559" s="15"/>
      <c r="H1559" s="15"/>
    </row>
    <row r="1560" spans="2:8" x14ac:dyDescent="0.2">
      <c r="B1560" s="21" t="s">
        <v>23</v>
      </c>
      <c r="C1560" s="26"/>
      <c r="D1560" s="26"/>
      <c r="E1560" s="25"/>
      <c r="G1560" s="15"/>
      <c r="H1560" s="15"/>
    </row>
    <row r="1561" spans="2:8" ht="26.25" customHeight="1" x14ac:dyDescent="0.2">
      <c r="B1561" s="24"/>
      <c r="C1561" s="100" t="s">
        <v>22</v>
      </c>
      <c r="D1561" s="100"/>
      <c r="E1561" s="100"/>
      <c r="G1561" s="15"/>
      <c r="H1561" s="15"/>
    </row>
    <row r="1562" spans="2:8" x14ac:dyDescent="0.2">
      <c r="B1562" s="21" t="s">
        <v>21</v>
      </c>
      <c r="C1562" s="23"/>
      <c r="D1562" s="23"/>
      <c r="E1562" s="22"/>
      <c r="G1562" s="15"/>
      <c r="H1562" s="15"/>
    </row>
    <row r="1563" spans="2:8" ht="23.25" customHeight="1" x14ac:dyDescent="0.2">
      <c r="B1563" s="21"/>
      <c r="C1563" s="101"/>
      <c r="D1563" s="101"/>
      <c r="E1563" s="101"/>
      <c r="G1563" s="15"/>
      <c r="H1563" s="15"/>
    </row>
    <row r="1564" spans="2:8" ht="13.5" thickBot="1" x14ac:dyDescent="0.25">
      <c r="B1564" s="20"/>
      <c r="C1564" s="19"/>
      <c r="D1564" s="19"/>
      <c r="E1564" s="18"/>
      <c r="G1564" s="15"/>
      <c r="H1564" s="15"/>
    </row>
    <row r="1565" spans="2:8" ht="13.5" thickBot="1" x14ac:dyDescent="0.25">
      <c r="G1565" s="15"/>
      <c r="H1565" s="15"/>
    </row>
    <row r="1566" spans="2:8" x14ac:dyDescent="0.2">
      <c r="B1566" s="30" t="s">
        <v>63</v>
      </c>
      <c r="C1566" s="29"/>
      <c r="D1566" s="29"/>
      <c r="E1566" s="28"/>
      <c r="G1566" s="15"/>
      <c r="H1566" s="15"/>
    </row>
    <row r="1567" spans="2:8" ht="5.25" customHeight="1" x14ac:dyDescent="0.2">
      <c r="B1567" s="27"/>
      <c r="C1567" s="23"/>
      <c r="D1567" s="23"/>
      <c r="E1567" s="22"/>
      <c r="G1567" s="15"/>
      <c r="H1567" s="15"/>
    </row>
    <row r="1568" spans="2:8" x14ac:dyDescent="0.2">
      <c r="B1568" s="21" t="s">
        <v>28</v>
      </c>
      <c r="C1568" s="23"/>
      <c r="D1568" s="23"/>
      <c r="E1568" s="22"/>
      <c r="G1568" s="15"/>
      <c r="H1568" s="15"/>
    </row>
    <row r="1569" spans="2:8" ht="41.25" customHeight="1" x14ac:dyDescent="0.2">
      <c r="B1569" s="21"/>
      <c r="C1569" s="99" t="s">
        <v>62</v>
      </c>
      <c r="D1569" s="99"/>
      <c r="E1569" s="99"/>
      <c r="G1569" s="15"/>
      <c r="H1569" s="15"/>
    </row>
    <row r="1570" spans="2:8" x14ac:dyDescent="0.2">
      <c r="B1570" s="21" t="s">
        <v>26</v>
      </c>
      <c r="C1570" s="23"/>
      <c r="D1570" s="23"/>
      <c r="E1570" s="22"/>
      <c r="G1570" s="15"/>
      <c r="H1570" s="15"/>
    </row>
    <row r="1571" spans="2:8" x14ac:dyDescent="0.2">
      <c r="B1571" s="24"/>
      <c r="C1571" s="102" t="s">
        <v>25</v>
      </c>
      <c r="D1571" s="102"/>
      <c r="E1571" s="102"/>
      <c r="G1571" s="15"/>
      <c r="H1571" s="15"/>
    </row>
    <row r="1572" spans="2:8" x14ac:dyDescent="0.2">
      <c r="B1572" s="24"/>
      <c r="C1572" s="98"/>
      <c r="D1572" s="98"/>
      <c r="E1572" s="98"/>
      <c r="G1572" s="15"/>
      <c r="H1572" s="15"/>
    </row>
    <row r="1573" spans="2:8" x14ac:dyDescent="0.2">
      <c r="B1573" s="21" t="s">
        <v>24</v>
      </c>
      <c r="C1573" s="23"/>
      <c r="D1573" s="23"/>
      <c r="E1573" s="22"/>
      <c r="G1573" s="15"/>
      <c r="H1573" s="15"/>
    </row>
    <row r="1574" spans="2:8" ht="26.25" customHeight="1" x14ac:dyDescent="0.2">
      <c r="B1574" s="24"/>
      <c r="C1574" s="99"/>
      <c r="D1574" s="99"/>
      <c r="E1574" s="99"/>
      <c r="G1574" s="15"/>
      <c r="H1574" s="15"/>
    </row>
    <row r="1575" spans="2:8" x14ac:dyDescent="0.2">
      <c r="B1575" s="21" t="s">
        <v>23</v>
      </c>
      <c r="C1575" s="26"/>
      <c r="D1575" s="26"/>
      <c r="E1575" s="25"/>
      <c r="G1575" s="15"/>
      <c r="H1575" s="15"/>
    </row>
    <row r="1576" spans="2:8" ht="26.25" customHeight="1" x14ac:dyDescent="0.2">
      <c r="B1576" s="24"/>
      <c r="C1576" s="100" t="s">
        <v>22</v>
      </c>
      <c r="D1576" s="100"/>
      <c r="E1576" s="100"/>
      <c r="G1576" s="15"/>
      <c r="H1576" s="15"/>
    </row>
    <row r="1577" spans="2:8" x14ac:dyDescent="0.2">
      <c r="B1577" s="21" t="s">
        <v>21</v>
      </c>
      <c r="C1577" s="23"/>
      <c r="D1577" s="23"/>
      <c r="E1577" s="22"/>
      <c r="G1577" s="15"/>
      <c r="H1577" s="15"/>
    </row>
    <row r="1578" spans="2:8" ht="23.25" customHeight="1" x14ac:dyDescent="0.2">
      <c r="B1578" s="21"/>
      <c r="C1578" s="101"/>
      <c r="D1578" s="101"/>
      <c r="E1578" s="101"/>
      <c r="G1578" s="15"/>
      <c r="H1578" s="15"/>
    </row>
    <row r="1579" spans="2:8" ht="13.5" thickBot="1" x14ac:dyDescent="0.25">
      <c r="B1579" s="20"/>
      <c r="C1579" s="19"/>
      <c r="D1579" s="19"/>
      <c r="E1579" s="18"/>
      <c r="G1579" s="15"/>
      <c r="H1579" s="15"/>
    </row>
    <row r="1580" spans="2:8" ht="13.5" thickBot="1" x14ac:dyDescent="0.25">
      <c r="G1580" s="15"/>
      <c r="H1580" s="15"/>
    </row>
    <row r="1581" spans="2:8" x14ac:dyDescent="0.2">
      <c r="B1581" s="30" t="s">
        <v>61</v>
      </c>
      <c r="C1581" s="29"/>
      <c r="D1581" s="29"/>
      <c r="E1581" s="28"/>
      <c r="G1581" s="15"/>
      <c r="H1581" s="15"/>
    </row>
    <row r="1582" spans="2:8" ht="7.5" customHeight="1" x14ac:dyDescent="0.2">
      <c r="B1582" s="27"/>
      <c r="C1582" s="23"/>
      <c r="D1582" s="23"/>
      <c r="E1582" s="22"/>
      <c r="G1582" s="15"/>
      <c r="H1582" s="15"/>
    </row>
    <row r="1583" spans="2:8" x14ac:dyDescent="0.2">
      <c r="B1583" s="21" t="s">
        <v>28</v>
      </c>
      <c r="C1583" s="23"/>
      <c r="D1583" s="23"/>
      <c r="E1583" s="22"/>
      <c r="G1583" s="15"/>
      <c r="H1583" s="15"/>
    </row>
    <row r="1584" spans="2:8" ht="41.25" customHeight="1" x14ac:dyDescent="0.2">
      <c r="B1584" s="21"/>
      <c r="C1584" s="99" t="s">
        <v>60</v>
      </c>
      <c r="D1584" s="99"/>
      <c r="E1584" s="99"/>
      <c r="G1584" s="15"/>
      <c r="H1584" s="15"/>
    </row>
    <row r="1585" spans="2:8" x14ac:dyDescent="0.2">
      <c r="B1585" s="21" t="s">
        <v>26</v>
      </c>
      <c r="C1585" s="23"/>
      <c r="D1585" s="23"/>
      <c r="E1585" s="22"/>
      <c r="G1585" s="15"/>
      <c r="H1585" s="15"/>
    </row>
    <row r="1586" spans="2:8" x14ac:dyDescent="0.2">
      <c r="B1586" s="24"/>
      <c r="C1586" s="102" t="s">
        <v>25</v>
      </c>
      <c r="D1586" s="102"/>
      <c r="E1586" s="102"/>
      <c r="G1586" s="15"/>
      <c r="H1586" s="15"/>
    </row>
    <row r="1587" spans="2:8" x14ac:dyDescent="0.2">
      <c r="B1587" s="24"/>
      <c r="C1587" s="98"/>
      <c r="D1587" s="98"/>
      <c r="E1587" s="98"/>
      <c r="G1587" s="15"/>
      <c r="H1587" s="15"/>
    </row>
    <row r="1588" spans="2:8" x14ac:dyDescent="0.2">
      <c r="B1588" s="21" t="s">
        <v>24</v>
      </c>
      <c r="C1588" s="23"/>
      <c r="D1588" s="23"/>
      <c r="E1588" s="22"/>
      <c r="G1588" s="15"/>
      <c r="H1588" s="15"/>
    </row>
    <row r="1589" spans="2:8" ht="26.25" customHeight="1" x14ac:dyDescent="0.2">
      <c r="B1589" s="24"/>
      <c r="C1589" s="99"/>
      <c r="D1589" s="99"/>
      <c r="E1589" s="99"/>
      <c r="G1589" s="15"/>
      <c r="H1589" s="15"/>
    </row>
    <row r="1590" spans="2:8" x14ac:dyDescent="0.2">
      <c r="B1590" s="21" t="s">
        <v>23</v>
      </c>
      <c r="C1590" s="26"/>
      <c r="D1590" s="26"/>
      <c r="E1590" s="25"/>
      <c r="G1590" s="15"/>
      <c r="H1590" s="15"/>
    </row>
    <row r="1591" spans="2:8" ht="26.25" customHeight="1" x14ac:dyDescent="0.2">
      <c r="B1591" s="24"/>
      <c r="C1591" s="100" t="s">
        <v>22</v>
      </c>
      <c r="D1591" s="100"/>
      <c r="E1591" s="100"/>
      <c r="G1591" s="15"/>
      <c r="H1591" s="15"/>
    </row>
    <row r="1592" spans="2:8" x14ac:dyDescent="0.2">
      <c r="B1592" s="21" t="s">
        <v>21</v>
      </c>
      <c r="C1592" s="23"/>
      <c r="D1592" s="23"/>
      <c r="E1592" s="22"/>
      <c r="G1592" s="15"/>
      <c r="H1592" s="15"/>
    </row>
    <row r="1593" spans="2:8" ht="23.25" customHeight="1" x14ac:dyDescent="0.2">
      <c r="B1593" s="21"/>
      <c r="C1593" s="101"/>
      <c r="D1593" s="101"/>
      <c r="E1593" s="101"/>
      <c r="G1593" s="15"/>
      <c r="H1593" s="15"/>
    </row>
    <row r="1594" spans="2:8" ht="13.5" thickBot="1" x14ac:dyDescent="0.25">
      <c r="B1594" s="20"/>
      <c r="C1594" s="19"/>
      <c r="D1594" s="19"/>
      <c r="E1594" s="18"/>
      <c r="G1594" s="15"/>
      <c r="H1594" s="15"/>
    </row>
    <row r="1595" spans="2:8" ht="13.5" thickBot="1" x14ac:dyDescent="0.25">
      <c r="G1595" s="15"/>
      <c r="H1595" s="15"/>
    </row>
    <row r="1596" spans="2:8" x14ac:dyDescent="0.2">
      <c r="B1596" s="30" t="s">
        <v>59</v>
      </c>
      <c r="C1596" s="29"/>
      <c r="D1596" s="29"/>
      <c r="E1596" s="28"/>
      <c r="G1596" s="15"/>
      <c r="H1596" s="15"/>
    </row>
    <row r="1597" spans="2:8" ht="5.25" customHeight="1" x14ac:dyDescent="0.2">
      <c r="B1597" s="27"/>
      <c r="C1597" s="23"/>
      <c r="D1597" s="23"/>
      <c r="E1597" s="22"/>
      <c r="G1597" s="15"/>
      <c r="H1597" s="15"/>
    </row>
    <row r="1598" spans="2:8" x14ac:dyDescent="0.2">
      <c r="B1598" s="21" t="s">
        <v>28</v>
      </c>
      <c r="C1598" s="23"/>
      <c r="D1598" s="23"/>
      <c r="E1598" s="22"/>
      <c r="G1598" s="15"/>
      <c r="H1598" s="15"/>
    </row>
    <row r="1599" spans="2:8" ht="41.25" customHeight="1" x14ac:dyDescent="0.2">
      <c r="B1599" s="21"/>
      <c r="C1599" s="99" t="s">
        <v>58</v>
      </c>
      <c r="D1599" s="99"/>
      <c r="E1599" s="99"/>
      <c r="G1599" s="15"/>
      <c r="H1599" s="15"/>
    </row>
    <row r="1600" spans="2:8" x14ac:dyDescent="0.2">
      <c r="B1600" s="21" t="s">
        <v>26</v>
      </c>
      <c r="C1600" s="23"/>
      <c r="D1600" s="23"/>
      <c r="E1600" s="22"/>
      <c r="G1600" s="15"/>
      <c r="H1600" s="15"/>
    </row>
    <row r="1601" spans="2:8" x14ac:dyDescent="0.2">
      <c r="B1601" s="24"/>
      <c r="C1601" s="102" t="s">
        <v>25</v>
      </c>
      <c r="D1601" s="102"/>
      <c r="E1601" s="102"/>
      <c r="G1601" s="15"/>
      <c r="H1601" s="15"/>
    </row>
    <row r="1602" spans="2:8" x14ac:dyDescent="0.2">
      <c r="B1602" s="24"/>
      <c r="C1602" s="98"/>
      <c r="D1602" s="98"/>
      <c r="E1602" s="98"/>
      <c r="G1602" s="15"/>
      <c r="H1602" s="15"/>
    </row>
    <row r="1603" spans="2:8" x14ac:dyDescent="0.2">
      <c r="B1603" s="21" t="s">
        <v>24</v>
      </c>
      <c r="C1603" s="23"/>
      <c r="D1603" s="23"/>
      <c r="E1603" s="22"/>
      <c r="G1603" s="15"/>
      <c r="H1603" s="15"/>
    </row>
    <row r="1604" spans="2:8" ht="26.25" customHeight="1" x14ac:dyDescent="0.2">
      <c r="B1604" s="24"/>
      <c r="C1604" s="99"/>
      <c r="D1604" s="99"/>
      <c r="E1604" s="99"/>
      <c r="G1604" s="15"/>
      <c r="H1604" s="15"/>
    </row>
    <row r="1605" spans="2:8" x14ac:dyDescent="0.2">
      <c r="B1605" s="21" t="s">
        <v>23</v>
      </c>
      <c r="C1605" s="26"/>
      <c r="D1605" s="26"/>
      <c r="E1605" s="25"/>
      <c r="G1605" s="15"/>
      <c r="H1605" s="15"/>
    </row>
    <row r="1606" spans="2:8" ht="26.25" customHeight="1" x14ac:dyDescent="0.2">
      <c r="B1606" s="24"/>
      <c r="C1606" s="100" t="s">
        <v>22</v>
      </c>
      <c r="D1606" s="100"/>
      <c r="E1606" s="100"/>
      <c r="G1606" s="15"/>
      <c r="H1606" s="15"/>
    </row>
    <row r="1607" spans="2:8" x14ac:dyDescent="0.2">
      <c r="B1607" s="21" t="s">
        <v>21</v>
      </c>
      <c r="C1607" s="23"/>
      <c r="D1607" s="23"/>
      <c r="E1607" s="22"/>
      <c r="G1607" s="15"/>
      <c r="H1607" s="15"/>
    </row>
    <row r="1608" spans="2:8" ht="23.25" customHeight="1" x14ac:dyDescent="0.2">
      <c r="B1608" s="21"/>
      <c r="C1608" s="101"/>
      <c r="D1608" s="101"/>
      <c r="E1608" s="101"/>
      <c r="G1608" s="15"/>
      <c r="H1608" s="15"/>
    </row>
    <row r="1609" spans="2:8" ht="13.5" thickBot="1" x14ac:dyDescent="0.25">
      <c r="B1609" s="20"/>
      <c r="C1609" s="19"/>
      <c r="D1609" s="19"/>
      <c r="E1609" s="18"/>
      <c r="G1609" s="15"/>
      <c r="H1609" s="15"/>
    </row>
    <row r="1610" spans="2:8" ht="13.5" thickBot="1" x14ac:dyDescent="0.25">
      <c r="G1610" s="15"/>
      <c r="H1610" s="15"/>
    </row>
    <row r="1611" spans="2:8" x14ac:dyDescent="0.2">
      <c r="B1611" s="30" t="s">
        <v>57</v>
      </c>
      <c r="C1611" s="29"/>
      <c r="D1611" s="29"/>
      <c r="E1611" s="28"/>
      <c r="G1611" s="15"/>
      <c r="H1611" s="15"/>
    </row>
    <row r="1612" spans="2:8" ht="7.5" customHeight="1" x14ac:dyDescent="0.2">
      <c r="B1612" s="27"/>
      <c r="C1612" s="23"/>
      <c r="D1612" s="23"/>
      <c r="E1612" s="22"/>
      <c r="G1612" s="15"/>
      <c r="H1612" s="15"/>
    </row>
    <row r="1613" spans="2:8" x14ac:dyDescent="0.2">
      <c r="B1613" s="21" t="s">
        <v>28</v>
      </c>
      <c r="C1613" s="23"/>
      <c r="D1613" s="23"/>
      <c r="E1613" s="22"/>
      <c r="G1613" s="15"/>
      <c r="H1613" s="15"/>
    </row>
    <row r="1614" spans="2:8" ht="41.25" customHeight="1" x14ac:dyDescent="0.2">
      <c r="B1614" s="21"/>
      <c r="C1614" s="99" t="s">
        <v>56</v>
      </c>
      <c r="D1614" s="99"/>
      <c r="E1614" s="99"/>
      <c r="G1614" s="15"/>
      <c r="H1614" s="15"/>
    </row>
    <row r="1615" spans="2:8" x14ac:dyDescent="0.2">
      <c r="B1615" s="21" t="s">
        <v>26</v>
      </c>
      <c r="C1615" s="23"/>
      <c r="D1615" s="23"/>
      <c r="E1615" s="22"/>
      <c r="G1615" s="15"/>
      <c r="H1615" s="15"/>
    </row>
    <row r="1616" spans="2:8" x14ac:dyDescent="0.2">
      <c r="B1616" s="24"/>
      <c r="C1616" s="102" t="s">
        <v>25</v>
      </c>
      <c r="D1616" s="102"/>
      <c r="E1616" s="102"/>
      <c r="G1616" s="15"/>
      <c r="H1616" s="15"/>
    </row>
    <row r="1617" spans="2:8" x14ac:dyDescent="0.2">
      <c r="B1617" s="24"/>
      <c r="C1617" s="98"/>
      <c r="D1617" s="98"/>
      <c r="E1617" s="98"/>
      <c r="G1617" s="15"/>
      <c r="H1617" s="15"/>
    </row>
    <row r="1618" spans="2:8" x14ac:dyDescent="0.2">
      <c r="B1618" s="21" t="s">
        <v>24</v>
      </c>
      <c r="C1618" s="23"/>
      <c r="D1618" s="23"/>
      <c r="E1618" s="22"/>
      <c r="G1618" s="15"/>
      <c r="H1618" s="15"/>
    </row>
    <row r="1619" spans="2:8" ht="26.25" customHeight="1" x14ac:dyDescent="0.2">
      <c r="B1619" s="24"/>
      <c r="C1619" s="99"/>
      <c r="D1619" s="99"/>
      <c r="E1619" s="99"/>
      <c r="G1619" s="15"/>
      <c r="H1619" s="15"/>
    </row>
    <row r="1620" spans="2:8" x14ac:dyDescent="0.2">
      <c r="B1620" s="21" t="s">
        <v>23</v>
      </c>
      <c r="C1620" s="26"/>
      <c r="D1620" s="26"/>
      <c r="E1620" s="25"/>
      <c r="G1620" s="15"/>
      <c r="H1620" s="15"/>
    </row>
    <row r="1621" spans="2:8" ht="26.25" customHeight="1" x14ac:dyDescent="0.2">
      <c r="B1621" s="24"/>
      <c r="C1621" s="100" t="s">
        <v>22</v>
      </c>
      <c r="D1621" s="100"/>
      <c r="E1621" s="100"/>
      <c r="G1621" s="15"/>
      <c r="H1621" s="15"/>
    </row>
    <row r="1622" spans="2:8" x14ac:dyDescent="0.2">
      <c r="B1622" s="21" t="s">
        <v>21</v>
      </c>
      <c r="C1622" s="23"/>
      <c r="D1622" s="23"/>
      <c r="E1622" s="22"/>
      <c r="G1622" s="15"/>
      <c r="H1622" s="15"/>
    </row>
    <row r="1623" spans="2:8" ht="23.25" customHeight="1" x14ac:dyDescent="0.2">
      <c r="B1623" s="21"/>
      <c r="C1623" s="101"/>
      <c r="D1623" s="101"/>
      <c r="E1623" s="101"/>
      <c r="G1623" s="15"/>
      <c r="H1623" s="15"/>
    </row>
    <row r="1624" spans="2:8" ht="13.5" thickBot="1" x14ac:dyDescent="0.25">
      <c r="B1624" s="20"/>
      <c r="C1624" s="19"/>
      <c r="D1624" s="19"/>
      <c r="E1624" s="18"/>
      <c r="G1624" s="15"/>
      <c r="H1624" s="15"/>
    </row>
    <row r="1625" spans="2:8" ht="13.5" thickBot="1" x14ac:dyDescent="0.25">
      <c r="G1625" s="15"/>
      <c r="H1625" s="15"/>
    </row>
    <row r="1626" spans="2:8" x14ac:dyDescent="0.2">
      <c r="B1626" s="30" t="s">
        <v>55</v>
      </c>
      <c r="C1626" s="29"/>
      <c r="D1626" s="29"/>
      <c r="E1626" s="28"/>
      <c r="G1626" s="15"/>
      <c r="H1626" s="15"/>
    </row>
    <row r="1627" spans="2:8" ht="5.25" customHeight="1" x14ac:dyDescent="0.2">
      <c r="B1627" s="27"/>
      <c r="C1627" s="23"/>
      <c r="D1627" s="23"/>
      <c r="E1627" s="22"/>
      <c r="G1627" s="15"/>
      <c r="H1627" s="15"/>
    </row>
    <row r="1628" spans="2:8" x14ac:dyDescent="0.2">
      <c r="B1628" s="21" t="s">
        <v>28</v>
      </c>
      <c r="C1628" s="23"/>
      <c r="D1628" s="23"/>
      <c r="E1628" s="22"/>
      <c r="G1628" s="15"/>
      <c r="H1628" s="15"/>
    </row>
    <row r="1629" spans="2:8" ht="41.25" customHeight="1" x14ac:dyDescent="0.2">
      <c r="B1629" s="21"/>
      <c r="C1629" s="99" t="s">
        <v>54</v>
      </c>
      <c r="D1629" s="99"/>
      <c r="E1629" s="99"/>
      <c r="G1629" s="15"/>
      <c r="H1629" s="15"/>
    </row>
    <row r="1630" spans="2:8" x14ac:dyDescent="0.2">
      <c r="B1630" s="21" t="s">
        <v>26</v>
      </c>
      <c r="C1630" s="23"/>
      <c r="D1630" s="23"/>
      <c r="E1630" s="22"/>
      <c r="G1630" s="15"/>
      <c r="H1630" s="15"/>
    </row>
    <row r="1631" spans="2:8" x14ac:dyDescent="0.2">
      <c r="B1631" s="24"/>
      <c r="C1631" s="102" t="s">
        <v>25</v>
      </c>
      <c r="D1631" s="102"/>
      <c r="E1631" s="102"/>
      <c r="G1631" s="15"/>
      <c r="H1631" s="15"/>
    </row>
    <row r="1632" spans="2:8" x14ac:dyDescent="0.2">
      <c r="B1632" s="24"/>
      <c r="C1632" s="98"/>
      <c r="D1632" s="98"/>
      <c r="E1632" s="98"/>
      <c r="G1632" s="15"/>
      <c r="H1632" s="15"/>
    </row>
    <row r="1633" spans="2:8" x14ac:dyDescent="0.2">
      <c r="B1633" s="21" t="s">
        <v>24</v>
      </c>
      <c r="C1633" s="23"/>
      <c r="D1633" s="23"/>
      <c r="E1633" s="22"/>
      <c r="G1633" s="15"/>
      <c r="H1633" s="15"/>
    </row>
    <row r="1634" spans="2:8" ht="26.25" customHeight="1" x14ac:dyDescent="0.2">
      <c r="B1634" s="24"/>
      <c r="C1634" s="99"/>
      <c r="D1634" s="99"/>
      <c r="E1634" s="99"/>
      <c r="G1634" s="15"/>
      <c r="H1634" s="15"/>
    </row>
    <row r="1635" spans="2:8" x14ac:dyDescent="0.2">
      <c r="B1635" s="21" t="s">
        <v>23</v>
      </c>
      <c r="C1635" s="26"/>
      <c r="D1635" s="26"/>
      <c r="E1635" s="25"/>
      <c r="G1635" s="15"/>
      <c r="H1635" s="15"/>
    </row>
    <row r="1636" spans="2:8" ht="26.25" customHeight="1" x14ac:dyDescent="0.2">
      <c r="B1636" s="24"/>
      <c r="C1636" s="100" t="s">
        <v>22</v>
      </c>
      <c r="D1636" s="100"/>
      <c r="E1636" s="100"/>
      <c r="G1636" s="15"/>
      <c r="H1636" s="15"/>
    </row>
    <row r="1637" spans="2:8" x14ac:dyDescent="0.2">
      <c r="B1637" s="21" t="s">
        <v>21</v>
      </c>
      <c r="C1637" s="23"/>
      <c r="D1637" s="23"/>
      <c r="E1637" s="22"/>
      <c r="G1637" s="15"/>
      <c r="H1637" s="15"/>
    </row>
    <row r="1638" spans="2:8" ht="23.25" customHeight="1" x14ac:dyDescent="0.2">
      <c r="B1638" s="21"/>
      <c r="C1638" s="101"/>
      <c r="D1638" s="101"/>
      <c r="E1638" s="101"/>
      <c r="G1638" s="15"/>
      <c r="H1638" s="15"/>
    </row>
    <row r="1639" spans="2:8" ht="13.5" thickBot="1" x14ac:dyDescent="0.25">
      <c r="B1639" s="20"/>
      <c r="C1639" s="19"/>
      <c r="D1639" s="19"/>
      <c r="E1639" s="18"/>
      <c r="G1639" s="15"/>
      <c r="H1639" s="15"/>
    </row>
    <row r="1640" spans="2:8" ht="13.5" thickBot="1" x14ac:dyDescent="0.25">
      <c r="G1640" s="15"/>
      <c r="H1640" s="15"/>
    </row>
    <row r="1641" spans="2:8" x14ac:dyDescent="0.2">
      <c r="B1641" s="30" t="s">
        <v>53</v>
      </c>
      <c r="C1641" s="29"/>
      <c r="D1641" s="29"/>
      <c r="E1641" s="28"/>
      <c r="G1641" s="15"/>
      <c r="H1641" s="15"/>
    </row>
    <row r="1642" spans="2:8" ht="7.5" customHeight="1" x14ac:dyDescent="0.2">
      <c r="B1642" s="27"/>
      <c r="C1642" s="23"/>
      <c r="D1642" s="23"/>
      <c r="E1642" s="22"/>
      <c r="G1642" s="15"/>
      <c r="H1642" s="15"/>
    </row>
    <row r="1643" spans="2:8" x14ac:dyDescent="0.2">
      <c r="B1643" s="21" t="s">
        <v>28</v>
      </c>
      <c r="C1643" s="23"/>
      <c r="D1643" s="23"/>
      <c r="E1643" s="22"/>
      <c r="G1643" s="15"/>
      <c r="H1643" s="15"/>
    </row>
    <row r="1644" spans="2:8" ht="41.25" customHeight="1" x14ac:dyDescent="0.2">
      <c r="B1644" s="21"/>
      <c r="C1644" s="99" t="s">
        <v>52</v>
      </c>
      <c r="D1644" s="99"/>
      <c r="E1644" s="99"/>
      <c r="G1644" s="15"/>
      <c r="H1644" s="15"/>
    </row>
    <row r="1645" spans="2:8" x14ac:dyDescent="0.2">
      <c r="B1645" s="21" t="s">
        <v>26</v>
      </c>
      <c r="C1645" s="23"/>
      <c r="D1645" s="23"/>
      <c r="E1645" s="22"/>
      <c r="G1645" s="15"/>
      <c r="H1645" s="15"/>
    </row>
    <row r="1646" spans="2:8" x14ac:dyDescent="0.2">
      <c r="B1646" s="24"/>
      <c r="C1646" s="102" t="s">
        <v>25</v>
      </c>
      <c r="D1646" s="102"/>
      <c r="E1646" s="102"/>
      <c r="G1646" s="15"/>
      <c r="H1646" s="15"/>
    </row>
    <row r="1647" spans="2:8" x14ac:dyDescent="0.2">
      <c r="B1647" s="24"/>
      <c r="C1647" s="98"/>
      <c r="D1647" s="98"/>
      <c r="E1647" s="98"/>
      <c r="G1647" s="15"/>
      <c r="H1647" s="15"/>
    </row>
    <row r="1648" spans="2:8" x14ac:dyDescent="0.2">
      <c r="B1648" s="21" t="s">
        <v>24</v>
      </c>
      <c r="C1648" s="23"/>
      <c r="D1648" s="23"/>
      <c r="E1648" s="22"/>
      <c r="G1648" s="15"/>
      <c r="H1648" s="15"/>
    </row>
    <row r="1649" spans="2:8" ht="26.25" customHeight="1" x14ac:dyDescent="0.2">
      <c r="B1649" s="24"/>
      <c r="C1649" s="99"/>
      <c r="D1649" s="99"/>
      <c r="E1649" s="99"/>
      <c r="G1649" s="15"/>
      <c r="H1649" s="15"/>
    </row>
    <row r="1650" spans="2:8" x14ac:dyDescent="0.2">
      <c r="B1650" s="21" t="s">
        <v>23</v>
      </c>
      <c r="C1650" s="26"/>
      <c r="D1650" s="26"/>
      <c r="E1650" s="25"/>
      <c r="G1650" s="15"/>
      <c r="H1650" s="15"/>
    </row>
    <row r="1651" spans="2:8" ht="26.25" customHeight="1" x14ac:dyDescent="0.2">
      <c r="B1651" s="24"/>
      <c r="C1651" s="100" t="s">
        <v>22</v>
      </c>
      <c r="D1651" s="100"/>
      <c r="E1651" s="100"/>
      <c r="G1651" s="15"/>
      <c r="H1651" s="15"/>
    </row>
    <row r="1652" spans="2:8" x14ac:dyDescent="0.2">
      <c r="B1652" s="21" t="s">
        <v>21</v>
      </c>
      <c r="C1652" s="23"/>
      <c r="D1652" s="23"/>
      <c r="E1652" s="22"/>
      <c r="G1652" s="15"/>
      <c r="H1652" s="15"/>
    </row>
    <row r="1653" spans="2:8" ht="23.25" customHeight="1" x14ac:dyDescent="0.2">
      <c r="B1653" s="21"/>
      <c r="C1653" s="101"/>
      <c r="D1653" s="101"/>
      <c r="E1653" s="101"/>
      <c r="G1653" s="15"/>
      <c r="H1653" s="15"/>
    </row>
    <row r="1654" spans="2:8" ht="13.5" thickBot="1" x14ac:dyDescent="0.25">
      <c r="B1654" s="20"/>
      <c r="C1654" s="19"/>
      <c r="D1654" s="19"/>
      <c r="E1654" s="18"/>
      <c r="G1654" s="15"/>
      <c r="H1654" s="15"/>
    </row>
    <row r="1655" spans="2:8" ht="13.5" thickBot="1" x14ac:dyDescent="0.25">
      <c r="G1655" s="15"/>
      <c r="H1655" s="15"/>
    </row>
    <row r="1656" spans="2:8" x14ac:dyDescent="0.2">
      <c r="B1656" s="30" t="s">
        <v>51</v>
      </c>
      <c r="C1656" s="29"/>
      <c r="D1656" s="29"/>
      <c r="E1656" s="28"/>
      <c r="G1656" s="15"/>
      <c r="H1656" s="15"/>
    </row>
    <row r="1657" spans="2:8" ht="5.25" customHeight="1" x14ac:dyDescent="0.2">
      <c r="B1657" s="27"/>
      <c r="C1657" s="23"/>
      <c r="D1657" s="23"/>
      <c r="E1657" s="22"/>
      <c r="G1657" s="15"/>
      <c r="H1657" s="15"/>
    </row>
    <row r="1658" spans="2:8" x14ac:dyDescent="0.2">
      <c r="B1658" s="21" t="s">
        <v>28</v>
      </c>
      <c r="C1658" s="23"/>
      <c r="D1658" s="23"/>
      <c r="E1658" s="22"/>
      <c r="G1658" s="15"/>
      <c r="H1658" s="15"/>
    </row>
    <row r="1659" spans="2:8" ht="41.25" customHeight="1" x14ac:dyDescent="0.2">
      <c r="B1659" s="21"/>
      <c r="C1659" s="99" t="s">
        <v>50</v>
      </c>
      <c r="D1659" s="99"/>
      <c r="E1659" s="99"/>
      <c r="G1659" s="15"/>
      <c r="H1659" s="15"/>
    </row>
    <row r="1660" spans="2:8" x14ac:dyDescent="0.2">
      <c r="B1660" s="21" t="s">
        <v>26</v>
      </c>
      <c r="C1660" s="23"/>
      <c r="D1660" s="23"/>
      <c r="E1660" s="22"/>
      <c r="G1660" s="15"/>
      <c r="H1660" s="15"/>
    </row>
    <row r="1661" spans="2:8" x14ac:dyDescent="0.2">
      <c r="B1661" s="24"/>
      <c r="C1661" s="102" t="s">
        <v>25</v>
      </c>
      <c r="D1661" s="102"/>
      <c r="E1661" s="102"/>
      <c r="G1661" s="15"/>
      <c r="H1661" s="15"/>
    </row>
    <row r="1662" spans="2:8" x14ac:dyDescent="0.2">
      <c r="B1662" s="24"/>
      <c r="C1662" s="98"/>
      <c r="D1662" s="98"/>
      <c r="E1662" s="98"/>
      <c r="G1662" s="15"/>
      <c r="H1662" s="15"/>
    </row>
    <row r="1663" spans="2:8" x14ac:dyDescent="0.2">
      <c r="B1663" s="21" t="s">
        <v>24</v>
      </c>
      <c r="C1663" s="23"/>
      <c r="D1663" s="23"/>
      <c r="E1663" s="22"/>
      <c r="G1663" s="15"/>
      <c r="H1663" s="15"/>
    </row>
    <row r="1664" spans="2:8" ht="26.25" customHeight="1" x14ac:dyDescent="0.2">
      <c r="B1664" s="24"/>
      <c r="C1664" s="99"/>
      <c r="D1664" s="99"/>
      <c r="E1664" s="99"/>
      <c r="G1664" s="15"/>
      <c r="H1664" s="15"/>
    </row>
    <row r="1665" spans="2:8" x14ac:dyDescent="0.2">
      <c r="B1665" s="21" t="s">
        <v>23</v>
      </c>
      <c r="C1665" s="26"/>
      <c r="D1665" s="26"/>
      <c r="E1665" s="25"/>
      <c r="G1665" s="15"/>
      <c r="H1665" s="15"/>
    </row>
    <row r="1666" spans="2:8" ht="26.25" customHeight="1" x14ac:dyDescent="0.2">
      <c r="B1666" s="24"/>
      <c r="C1666" s="100" t="s">
        <v>22</v>
      </c>
      <c r="D1666" s="100"/>
      <c r="E1666" s="100"/>
      <c r="G1666" s="15"/>
      <c r="H1666" s="15"/>
    </row>
    <row r="1667" spans="2:8" x14ac:dyDescent="0.2">
      <c r="B1667" s="21" t="s">
        <v>21</v>
      </c>
      <c r="C1667" s="23"/>
      <c r="D1667" s="23"/>
      <c r="E1667" s="22"/>
      <c r="G1667" s="15"/>
      <c r="H1667" s="15"/>
    </row>
    <row r="1668" spans="2:8" ht="23.25" customHeight="1" x14ac:dyDescent="0.2">
      <c r="B1668" s="21"/>
      <c r="C1668" s="101"/>
      <c r="D1668" s="101"/>
      <c r="E1668" s="101"/>
      <c r="G1668" s="15"/>
      <c r="H1668" s="15"/>
    </row>
    <row r="1669" spans="2:8" ht="13.5" thickBot="1" x14ac:dyDescent="0.25">
      <c r="B1669" s="20"/>
      <c r="C1669" s="19"/>
      <c r="D1669" s="19"/>
      <c r="E1669" s="18"/>
      <c r="G1669" s="15"/>
      <c r="H1669" s="15"/>
    </row>
    <row r="1670" spans="2:8" ht="13.5" thickBot="1" x14ac:dyDescent="0.25">
      <c r="G1670" s="15"/>
      <c r="H1670" s="15"/>
    </row>
    <row r="1671" spans="2:8" x14ac:dyDescent="0.2">
      <c r="B1671" s="30" t="s">
        <v>49</v>
      </c>
      <c r="C1671" s="29"/>
      <c r="D1671" s="29"/>
      <c r="E1671" s="28"/>
      <c r="G1671" s="15"/>
      <c r="H1671" s="15"/>
    </row>
    <row r="1672" spans="2:8" ht="7.5" customHeight="1" x14ac:dyDescent="0.2">
      <c r="B1672" s="27"/>
      <c r="C1672" s="23"/>
      <c r="D1672" s="23"/>
      <c r="E1672" s="22"/>
      <c r="G1672" s="15"/>
      <c r="H1672" s="15"/>
    </row>
    <row r="1673" spans="2:8" x14ac:dyDescent="0.2">
      <c r="B1673" s="21" t="s">
        <v>28</v>
      </c>
      <c r="C1673" s="23"/>
      <c r="D1673" s="23"/>
      <c r="E1673" s="22"/>
      <c r="G1673" s="15"/>
      <c r="H1673" s="15"/>
    </row>
    <row r="1674" spans="2:8" ht="41.25" customHeight="1" x14ac:dyDescent="0.2">
      <c r="B1674" s="21"/>
      <c r="C1674" s="99" t="s">
        <v>48</v>
      </c>
      <c r="D1674" s="99"/>
      <c r="E1674" s="99"/>
      <c r="G1674" s="15"/>
      <c r="H1674" s="15"/>
    </row>
    <row r="1675" spans="2:8" x14ac:dyDescent="0.2">
      <c r="B1675" s="21" t="s">
        <v>26</v>
      </c>
      <c r="C1675" s="23"/>
      <c r="D1675" s="23"/>
      <c r="E1675" s="22"/>
      <c r="G1675" s="15"/>
      <c r="H1675" s="15"/>
    </row>
    <row r="1676" spans="2:8" x14ac:dyDescent="0.2">
      <c r="B1676" s="24"/>
      <c r="C1676" s="102" t="s">
        <v>25</v>
      </c>
      <c r="D1676" s="102"/>
      <c r="E1676" s="102"/>
      <c r="G1676" s="15"/>
      <c r="H1676" s="15"/>
    </row>
    <row r="1677" spans="2:8" x14ac:dyDescent="0.2">
      <c r="B1677" s="24"/>
      <c r="C1677" s="98"/>
      <c r="D1677" s="98"/>
      <c r="E1677" s="98"/>
      <c r="G1677" s="15"/>
      <c r="H1677" s="15"/>
    </row>
    <row r="1678" spans="2:8" x14ac:dyDescent="0.2">
      <c r="B1678" s="21" t="s">
        <v>24</v>
      </c>
      <c r="C1678" s="23"/>
      <c r="D1678" s="23"/>
      <c r="E1678" s="22"/>
      <c r="G1678" s="15"/>
      <c r="H1678" s="15"/>
    </row>
    <row r="1679" spans="2:8" ht="26.25" customHeight="1" x14ac:dyDescent="0.2">
      <c r="B1679" s="24"/>
      <c r="C1679" s="99"/>
      <c r="D1679" s="99"/>
      <c r="E1679" s="99"/>
      <c r="G1679" s="15"/>
      <c r="H1679" s="15"/>
    </row>
    <row r="1680" spans="2:8" x14ac:dyDescent="0.2">
      <c r="B1680" s="21" t="s">
        <v>23</v>
      </c>
      <c r="C1680" s="26"/>
      <c r="D1680" s="26"/>
      <c r="E1680" s="25"/>
      <c r="G1680" s="15"/>
      <c r="H1680" s="15"/>
    </row>
    <row r="1681" spans="2:8" ht="26.25" customHeight="1" x14ac:dyDescent="0.2">
      <c r="B1681" s="24"/>
      <c r="C1681" s="100" t="s">
        <v>22</v>
      </c>
      <c r="D1681" s="100"/>
      <c r="E1681" s="100"/>
      <c r="G1681" s="15"/>
      <c r="H1681" s="15"/>
    </row>
    <row r="1682" spans="2:8" x14ac:dyDescent="0.2">
      <c r="B1682" s="21" t="s">
        <v>21</v>
      </c>
      <c r="C1682" s="23"/>
      <c r="D1682" s="23"/>
      <c r="E1682" s="22"/>
      <c r="G1682" s="15"/>
      <c r="H1682" s="15"/>
    </row>
    <row r="1683" spans="2:8" ht="23.25" customHeight="1" x14ac:dyDescent="0.2">
      <c r="B1683" s="21"/>
      <c r="C1683" s="101"/>
      <c r="D1683" s="101"/>
      <c r="E1683" s="101"/>
      <c r="G1683" s="15"/>
      <c r="H1683" s="15"/>
    </row>
    <row r="1684" spans="2:8" ht="13.5" thickBot="1" x14ac:dyDescent="0.25">
      <c r="B1684" s="20"/>
      <c r="C1684" s="19"/>
      <c r="D1684" s="19"/>
      <c r="E1684" s="18"/>
      <c r="G1684" s="15"/>
      <c r="H1684" s="15"/>
    </row>
    <row r="1685" spans="2:8" ht="13.5" thickBot="1" x14ac:dyDescent="0.25">
      <c r="G1685" s="15"/>
      <c r="H1685" s="15"/>
    </row>
    <row r="1686" spans="2:8" x14ac:dyDescent="0.2">
      <c r="B1686" s="30" t="s">
        <v>47</v>
      </c>
      <c r="C1686" s="29"/>
      <c r="D1686" s="29"/>
      <c r="E1686" s="28"/>
      <c r="G1686" s="15"/>
      <c r="H1686" s="15"/>
    </row>
    <row r="1687" spans="2:8" ht="5.25" customHeight="1" x14ac:dyDescent="0.2">
      <c r="B1687" s="27"/>
      <c r="C1687" s="23"/>
      <c r="D1687" s="23"/>
      <c r="E1687" s="22"/>
      <c r="G1687" s="15"/>
      <c r="H1687" s="15"/>
    </row>
    <row r="1688" spans="2:8" x14ac:dyDescent="0.2">
      <c r="B1688" s="21" t="s">
        <v>28</v>
      </c>
      <c r="C1688" s="23"/>
      <c r="D1688" s="23"/>
      <c r="E1688" s="22"/>
      <c r="G1688" s="15"/>
      <c r="H1688" s="15"/>
    </row>
    <row r="1689" spans="2:8" ht="41.25" customHeight="1" x14ac:dyDescent="0.2">
      <c r="B1689" s="21"/>
      <c r="C1689" s="99" t="s">
        <v>46</v>
      </c>
      <c r="D1689" s="99"/>
      <c r="E1689" s="99"/>
      <c r="G1689" s="15"/>
      <c r="H1689" s="15"/>
    </row>
    <row r="1690" spans="2:8" x14ac:dyDescent="0.2">
      <c r="B1690" s="21" t="s">
        <v>26</v>
      </c>
      <c r="C1690" s="23"/>
      <c r="D1690" s="23"/>
      <c r="E1690" s="22"/>
      <c r="G1690" s="15"/>
      <c r="H1690" s="15"/>
    </row>
    <row r="1691" spans="2:8" x14ac:dyDescent="0.2">
      <c r="B1691" s="24"/>
      <c r="C1691" s="102" t="s">
        <v>25</v>
      </c>
      <c r="D1691" s="102"/>
      <c r="E1691" s="102"/>
      <c r="G1691" s="15"/>
      <c r="H1691" s="15"/>
    </row>
    <row r="1692" spans="2:8" x14ac:dyDescent="0.2">
      <c r="B1692" s="24"/>
      <c r="C1692" s="98"/>
      <c r="D1692" s="98"/>
      <c r="E1692" s="98"/>
      <c r="G1692" s="15"/>
      <c r="H1692" s="15"/>
    </row>
    <row r="1693" spans="2:8" x14ac:dyDescent="0.2">
      <c r="B1693" s="21" t="s">
        <v>24</v>
      </c>
      <c r="C1693" s="23"/>
      <c r="D1693" s="23"/>
      <c r="E1693" s="22"/>
      <c r="G1693" s="15"/>
      <c r="H1693" s="15"/>
    </row>
    <row r="1694" spans="2:8" ht="26.25" customHeight="1" x14ac:dyDescent="0.2">
      <c r="B1694" s="24"/>
      <c r="C1694" s="99"/>
      <c r="D1694" s="99"/>
      <c r="E1694" s="99"/>
      <c r="G1694" s="15"/>
      <c r="H1694" s="15"/>
    </row>
    <row r="1695" spans="2:8" x14ac:dyDescent="0.2">
      <c r="B1695" s="21" t="s">
        <v>23</v>
      </c>
      <c r="C1695" s="26"/>
      <c r="D1695" s="26"/>
      <c r="E1695" s="25"/>
      <c r="G1695" s="15"/>
      <c r="H1695" s="15"/>
    </row>
    <row r="1696" spans="2:8" ht="26.25" customHeight="1" x14ac:dyDescent="0.2">
      <c r="B1696" s="24"/>
      <c r="C1696" s="100" t="s">
        <v>22</v>
      </c>
      <c r="D1696" s="100"/>
      <c r="E1696" s="100"/>
      <c r="G1696" s="15"/>
      <c r="H1696" s="15"/>
    </row>
    <row r="1697" spans="2:8" x14ac:dyDescent="0.2">
      <c r="B1697" s="21" t="s">
        <v>21</v>
      </c>
      <c r="C1697" s="23"/>
      <c r="D1697" s="23"/>
      <c r="E1697" s="22"/>
      <c r="G1697" s="15"/>
      <c r="H1697" s="15"/>
    </row>
    <row r="1698" spans="2:8" ht="23.25" customHeight="1" x14ac:dyDescent="0.2">
      <c r="B1698" s="21"/>
      <c r="C1698" s="101"/>
      <c r="D1698" s="101"/>
      <c r="E1698" s="101"/>
      <c r="G1698" s="15"/>
      <c r="H1698" s="15"/>
    </row>
    <row r="1699" spans="2:8" ht="13.5" thickBot="1" x14ac:dyDescent="0.25">
      <c r="B1699" s="20"/>
      <c r="C1699" s="19"/>
      <c r="D1699" s="19"/>
      <c r="E1699" s="18"/>
      <c r="G1699" s="15"/>
      <c r="H1699" s="15"/>
    </row>
    <row r="1700" spans="2:8" ht="13.5" thickBot="1" x14ac:dyDescent="0.25">
      <c r="G1700" s="15"/>
      <c r="H1700" s="15"/>
    </row>
    <row r="1701" spans="2:8" x14ac:dyDescent="0.2">
      <c r="B1701" s="30" t="s">
        <v>45</v>
      </c>
      <c r="C1701" s="29"/>
      <c r="D1701" s="29"/>
      <c r="E1701" s="28"/>
      <c r="G1701" s="15"/>
      <c r="H1701" s="15"/>
    </row>
    <row r="1702" spans="2:8" ht="7.5" customHeight="1" x14ac:dyDescent="0.2">
      <c r="B1702" s="27"/>
      <c r="C1702" s="23"/>
      <c r="D1702" s="23"/>
      <c r="E1702" s="22"/>
      <c r="G1702" s="15"/>
      <c r="H1702" s="15"/>
    </row>
    <row r="1703" spans="2:8" x14ac:dyDescent="0.2">
      <c r="B1703" s="21" t="s">
        <v>28</v>
      </c>
      <c r="C1703" s="23"/>
      <c r="D1703" s="23"/>
      <c r="E1703" s="22"/>
      <c r="G1703" s="15"/>
      <c r="H1703" s="15"/>
    </row>
    <row r="1704" spans="2:8" ht="41.25" customHeight="1" x14ac:dyDescent="0.2">
      <c r="B1704" s="21"/>
      <c r="C1704" s="99" t="s">
        <v>44</v>
      </c>
      <c r="D1704" s="99"/>
      <c r="E1704" s="99"/>
      <c r="G1704" s="15"/>
      <c r="H1704" s="15"/>
    </row>
    <row r="1705" spans="2:8" x14ac:dyDescent="0.2">
      <c r="B1705" s="21" t="s">
        <v>26</v>
      </c>
      <c r="C1705" s="23"/>
      <c r="D1705" s="23"/>
      <c r="E1705" s="22"/>
      <c r="G1705" s="15"/>
      <c r="H1705" s="15"/>
    </row>
    <row r="1706" spans="2:8" x14ac:dyDescent="0.2">
      <c r="B1706" s="24"/>
      <c r="C1706" s="102" t="s">
        <v>25</v>
      </c>
      <c r="D1706" s="102"/>
      <c r="E1706" s="102"/>
      <c r="G1706" s="15"/>
      <c r="H1706" s="15"/>
    </row>
    <row r="1707" spans="2:8" x14ac:dyDescent="0.2">
      <c r="B1707" s="24"/>
      <c r="C1707" s="98"/>
      <c r="D1707" s="98"/>
      <c r="E1707" s="98"/>
      <c r="G1707" s="15"/>
      <c r="H1707" s="15"/>
    </row>
    <row r="1708" spans="2:8" x14ac:dyDescent="0.2">
      <c r="B1708" s="21" t="s">
        <v>24</v>
      </c>
      <c r="C1708" s="23"/>
      <c r="D1708" s="23"/>
      <c r="E1708" s="22"/>
      <c r="G1708" s="15"/>
      <c r="H1708" s="15"/>
    </row>
    <row r="1709" spans="2:8" ht="26.25" customHeight="1" x14ac:dyDescent="0.2">
      <c r="B1709" s="24"/>
      <c r="C1709" s="99"/>
      <c r="D1709" s="99"/>
      <c r="E1709" s="99"/>
      <c r="G1709" s="15"/>
      <c r="H1709" s="15"/>
    </row>
    <row r="1710" spans="2:8" x14ac:dyDescent="0.2">
      <c r="B1710" s="21" t="s">
        <v>23</v>
      </c>
      <c r="C1710" s="26"/>
      <c r="D1710" s="26"/>
      <c r="E1710" s="25"/>
      <c r="G1710" s="15"/>
      <c r="H1710" s="15"/>
    </row>
    <row r="1711" spans="2:8" ht="26.25" customHeight="1" x14ac:dyDescent="0.2">
      <c r="B1711" s="24"/>
      <c r="C1711" s="100" t="s">
        <v>22</v>
      </c>
      <c r="D1711" s="100"/>
      <c r="E1711" s="100"/>
      <c r="G1711" s="15"/>
      <c r="H1711" s="15"/>
    </row>
    <row r="1712" spans="2:8" x14ac:dyDescent="0.2">
      <c r="B1712" s="21" t="s">
        <v>21</v>
      </c>
      <c r="C1712" s="23"/>
      <c r="D1712" s="23"/>
      <c r="E1712" s="22"/>
      <c r="G1712" s="15"/>
      <c r="H1712" s="15"/>
    </row>
    <row r="1713" spans="2:8" ht="23.25" customHeight="1" x14ac:dyDescent="0.2">
      <c r="B1713" s="21"/>
      <c r="C1713" s="101"/>
      <c r="D1713" s="101"/>
      <c r="E1713" s="101"/>
      <c r="G1713" s="15"/>
      <c r="H1713" s="15"/>
    </row>
    <row r="1714" spans="2:8" ht="13.5" thickBot="1" x14ac:dyDescent="0.25">
      <c r="B1714" s="20"/>
      <c r="C1714" s="19"/>
      <c r="D1714" s="19"/>
      <c r="E1714" s="18"/>
      <c r="G1714" s="15"/>
      <c r="H1714" s="15"/>
    </row>
    <row r="1715" spans="2:8" ht="13.5" thickBot="1" x14ac:dyDescent="0.25">
      <c r="G1715" s="15"/>
      <c r="H1715" s="15"/>
    </row>
    <row r="1716" spans="2:8" x14ac:dyDescent="0.2">
      <c r="B1716" s="30" t="s">
        <v>43</v>
      </c>
      <c r="C1716" s="29"/>
      <c r="D1716" s="29"/>
      <c r="E1716" s="28"/>
      <c r="G1716" s="15"/>
      <c r="H1716" s="15"/>
    </row>
    <row r="1717" spans="2:8" ht="5.25" customHeight="1" x14ac:dyDescent="0.2">
      <c r="B1717" s="27"/>
      <c r="C1717" s="23"/>
      <c r="D1717" s="23"/>
      <c r="E1717" s="22"/>
      <c r="G1717" s="15"/>
      <c r="H1717" s="15"/>
    </row>
    <row r="1718" spans="2:8" x14ac:dyDescent="0.2">
      <c r="B1718" s="21" t="s">
        <v>28</v>
      </c>
      <c r="C1718" s="23"/>
      <c r="D1718" s="23"/>
      <c r="E1718" s="22"/>
      <c r="G1718" s="15"/>
      <c r="H1718" s="15"/>
    </row>
    <row r="1719" spans="2:8" ht="41.25" customHeight="1" x14ac:dyDescent="0.2">
      <c r="B1719" s="21"/>
      <c r="C1719" s="99" t="s">
        <v>42</v>
      </c>
      <c r="D1719" s="99"/>
      <c r="E1719" s="99"/>
      <c r="G1719" s="15"/>
      <c r="H1719" s="15"/>
    </row>
    <row r="1720" spans="2:8" x14ac:dyDescent="0.2">
      <c r="B1720" s="21" t="s">
        <v>26</v>
      </c>
      <c r="C1720" s="23"/>
      <c r="D1720" s="23"/>
      <c r="E1720" s="22"/>
      <c r="G1720" s="15"/>
      <c r="H1720" s="15"/>
    </row>
    <row r="1721" spans="2:8" x14ac:dyDescent="0.2">
      <c r="B1721" s="24"/>
      <c r="C1721" s="102" t="s">
        <v>25</v>
      </c>
      <c r="D1721" s="102"/>
      <c r="E1721" s="102"/>
      <c r="G1721" s="15"/>
      <c r="H1721" s="15"/>
    </row>
    <row r="1722" spans="2:8" x14ac:dyDescent="0.2">
      <c r="B1722" s="24"/>
      <c r="C1722" s="98"/>
      <c r="D1722" s="98"/>
      <c r="E1722" s="98"/>
      <c r="G1722" s="15"/>
      <c r="H1722" s="15"/>
    </row>
    <row r="1723" spans="2:8" x14ac:dyDescent="0.2">
      <c r="B1723" s="21" t="s">
        <v>24</v>
      </c>
      <c r="C1723" s="23"/>
      <c r="D1723" s="23"/>
      <c r="E1723" s="22"/>
      <c r="G1723" s="15"/>
      <c r="H1723" s="15"/>
    </row>
    <row r="1724" spans="2:8" ht="26.25" customHeight="1" x14ac:dyDescent="0.2">
      <c r="B1724" s="24"/>
      <c r="C1724" s="99"/>
      <c r="D1724" s="99"/>
      <c r="E1724" s="99"/>
      <c r="G1724" s="15"/>
      <c r="H1724" s="15"/>
    </row>
    <row r="1725" spans="2:8" x14ac:dyDescent="0.2">
      <c r="B1725" s="21" t="s">
        <v>23</v>
      </c>
      <c r="C1725" s="26"/>
      <c r="D1725" s="26"/>
      <c r="E1725" s="25"/>
      <c r="G1725" s="15"/>
      <c r="H1725" s="15"/>
    </row>
    <row r="1726" spans="2:8" ht="26.25" customHeight="1" x14ac:dyDescent="0.2">
      <c r="B1726" s="24"/>
      <c r="C1726" s="100" t="s">
        <v>22</v>
      </c>
      <c r="D1726" s="100"/>
      <c r="E1726" s="100"/>
      <c r="G1726" s="15"/>
      <c r="H1726" s="15"/>
    </row>
    <row r="1727" spans="2:8" x14ac:dyDescent="0.2">
      <c r="B1727" s="21" t="s">
        <v>21</v>
      </c>
      <c r="C1727" s="23"/>
      <c r="D1727" s="23"/>
      <c r="E1727" s="22"/>
      <c r="G1727" s="15"/>
      <c r="H1727" s="15"/>
    </row>
    <row r="1728" spans="2:8" ht="23.25" customHeight="1" x14ac:dyDescent="0.2">
      <c r="B1728" s="21"/>
      <c r="C1728" s="101"/>
      <c r="D1728" s="101"/>
      <c r="E1728" s="101"/>
      <c r="G1728" s="15"/>
      <c r="H1728" s="15"/>
    </row>
    <row r="1729" spans="2:8" ht="13.5" thickBot="1" x14ac:dyDescent="0.25">
      <c r="B1729" s="20"/>
      <c r="C1729" s="19"/>
      <c r="D1729" s="19"/>
      <c r="E1729" s="18"/>
      <c r="G1729" s="15"/>
      <c r="H1729" s="15"/>
    </row>
    <row r="1730" spans="2:8" ht="13.5" thickBot="1" x14ac:dyDescent="0.25">
      <c r="G1730" s="15"/>
      <c r="H1730" s="15"/>
    </row>
    <row r="1731" spans="2:8" x14ac:dyDescent="0.2">
      <c r="B1731" s="30" t="s">
        <v>41</v>
      </c>
      <c r="C1731" s="29"/>
      <c r="D1731" s="29"/>
      <c r="E1731" s="28"/>
      <c r="G1731" s="15"/>
      <c r="H1731" s="15"/>
    </row>
    <row r="1732" spans="2:8" ht="7.5" customHeight="1" x14ac:dyDescent="0.2">
      <c r="B1732" s="27"/>
      <c r="C1732" s="23"/>
      <c r="D1732" s="23"/>
      <c r="E1732" s="22"/>
      <c r="G1732" s="15"/>
      <c r="H1732" s="15"/>
    </row>
    <row r="1733" spans="2:8" x14ac:dyDescent="0.2">
      <c r="B1733" s="21" t="s">
        <v>28</v>
      </c>
      <c r="C1733" s="23"/>
      <c r="D1733" s="23"/>
      <c r="E1733" s="22"/>
      <c r="G1733" s="15"/>
      <c r="H1733" s="15"/>
    </row>
    <row r="1734" spans="2:8" ht="41.25" customHeight="1" x14ac:dyDescent="0.2">
      <c r="B1734" s="21"/>
      <c r="C1734" s="99" t="s">
        <v>40</v>
      </c>
      <c r="D1734" s="99"/>
      <c r="E1734" s="99"/>
      <c r="G1734" s="15"/>
      <c r="H1734" s="15"/>
    </row>
    <row r="1735" spans="2:8" x14ac:dyDescent="0.2">
      <c r="B1735" s="21" t="s">
        <v>26</v>
      </c>
      <c r="C1735" s="23"/>
      <c r="D1735" s="23"/>
      <c r="E1735" s="22"/>
      <c r="G1735" s="15"/>
      <c r="H1735" s="15"/>
    </row>
    <row r="1736" spans="2:8" x14ac:dyDescent="0.2">
      <c r="B1736" s="24"/>
      <c r="C1736" s="102" t="s">
        <v>25</v>
      </c>
      <c r="D1736" s="102"/>
      <c r="E1736" s="102"/>
      <c r="G1736" s="15"/>
      <c r="H1736" s="15"/>
    </row>
    <row r="1737" spans="2:8" x14ac:dyDescent="0.2">
      <c r="B1737" s="24"/>
      <c r="C1737" s="98"/>
      <c r="D1737" s="98"/>
      <c r="E1737" s="98"/>
      <c r="G1737" s="15"/>
      <c r="H1737" s="15"/>
    </row>
    <row r="1738" spans="2:8" x14ac:dyDescent="0.2">
      <c r="B1738" s="21" t="s">
        <v>24</v>
      </c>
      <c r="C1738" s="23"/>
      <c r="D1738" s="23"/>
      <c r="E1738" s="22"/>
      <c r="G1738" s="15"/>
      <c r="H1738" s="15"/>
    </row>
    <row r="1739" spans="2:8" ht="26.25" customHeight="1" x14ac:dyDescent="0.2">
      <c r="B1739" s="24"/>
      <c r="C1739" s="99"/>
      <c r="D1739" s="99"/>
      <c r="E1739" s="99"/>
      <c r="G1739" s="15"/>
      <c r="H1739" s="15"/>
    </row>
    <row r="1740" spans="2:8" x14ac:dyDescent="0.2">
      <c r="B1740" s="21" t="s">
        <v>23</v>
      </c>
      <c r="C1740" s="26"/>
      <c r="D1740" s="26"/>
      <c r="E1740" s="25"/>
      <c r="G1740" s="15"/>
      <c r="H1740" s="15"/>
    </row>
    <row r="1741" spans="2:8" ht="26.25" customHeight="1" x14ac:dyDescent="0.2">
      <c r="B1741" s="24"/>
      <c r="C1741" s="100" t="s">
        <v>22</v>
      </c>
      <c r="D1741" s="100"/>
      <c r="E1741" s="100"/>
      <c r="G1741" s="15"/>
      <c r="H1741" s="15"/>
    </row>
    <row r="1742" spans="2:8" x14ac:dyDescent="0.2">
      <c r="B1742" s="21" t="s">
        <v>21</v>
      </c>
      <c r="C1742" s="23"/>
      <c r="D1742" s="23"/>
      <c r="E1742" s="22"/>
      <c r="G1742" s="15"/>
      <c r="H1742" s="15"/>
    </row>
    <row r="1743" spans="2:8" ht="23.25" customHeight="1" x14ac:dyDescent="0.2">
      <c r="B1743" s="21"/>
      <c r="C1743" s="101"/>
      <c r="D1743" s="101"/>
      <c r="E1743" s="101"/>
      <c r="G1743" s="15"/>
      <c r="H1743" s="15"/>
    </row>
    <row r="1744" spans="2:8" ht="13.5" thickBot="1" x14ac:dyDescent="0.25">
      <c r="B1744" s="20"/>
      <c r="C1744" s="19"/>
      <c r="D1744" s="19"/>
      <c r="E1744" s="18"/>
      <c r="G1744" s="15"/>
      <c r="H1744" s="15"/>
    </row>
    <row r="1745" spans="2:8" ht="13.5" thickBot="1" x14ac:dyDescent="0.25">
      <c r="G1745" s="15"/>
      <c r="H1745" s="15"/>
    </row>
    <row r="1746" spans="2:8" x14ac:dyDescent="0.2">
      <c r="B1746" s="30" t="s">
        <v>39</v>
      </c>
      <c r="C1746" s="29"/>
      <c r="D1746" s="29"/>
      <c r="E1746" s="28"/>
      <c r="G1746" s="15"/>
      <c r="H1746" s="15"/>
    </row>
    <row r="1747" spans="2:8" ht="5.25" customHeight="1" x14ac:dyDescent="0.2">
      <c r="B1747" s="27"/>
      <c r="C1747" s="23"/>
      <c r="D1747" s="23"/>
      <c r="E1747" s="22"/>
      <c r="G1747" s="15"/>
      <c r="H1747" s="15"/>
    </row>
    <row r="1748" spans="2:8" x14ac:dyDescent="0.2">
      <c r="B1748" s="21" t="s">
        <v>28</v>
      </c>
      <c r="C1748" s="23"/>
      <c r="D1748" s="23"/>
      <c r="E1748" s="22"/>
      <c r="G1748" s="15"/>
      <c r="H1748" s="15"/>
    </row>
    <row r="1749" spans="2:8" ht="41.25" customHeight="1" x14ac:dyDescent="0.2">
      <c r="B1749" s="21"/>
      <c r="C1749" s="99" t="s">
        <v>38</v>
      </c>
      <c r="D1749" s="99"/>
      <c r="E1749" s="99"/>
      <c r="G1749" s="15"/>
      <c r="H1749" s="15"/>
    </row>
    <row r="1750" spans="2:8" x14ac:dyDescent="0.2">
      <c r="B1750" s="21" t="s">
        <v>26</v>
      </c>
      <c r="C1750" s="23"/>
      <c r="D1750" s="23"/>
      <c r="E1750" s="22"/>
      <c r="G1750" s="15"/>
      <c r="H1750" s="15"/>
    </row>
    <row r="1751" spans="2:8" x14ac:dyDescent="0.2">
      <c r="B1751" s="24"/>
      <c r="C1751" s="102" t="s">
        <v>25</v>
      </c>
      <c r="D1751" s="102"/>
      <c r="E1751" s="102"/>
      <c r="G1751" s="15"/>
      <c r="H1751" s="15"/>
    </row>
    <row r="1752" spans="2:8" x14ac:dyDescent="0.2">
      <c r="B1752" s="24"/>
      <c r="C1752" s="98"/>
      <c r="D1752" s="98"/>
      <c r="E1752" s="98"/>
      <c r="G1752" s="15"/>
      <c r="H1752" s="15"/>
    </row>
    <row r="1753" spans="2:8" x14ac:dyDescent="0.2">
      <c r="B1753" s="21" t="s">
        <v>24</v>
      </c>
      <c r="C1753" s="23"/>
      <c r="D1753" s="23"/>
      <c r="E1753" s="22"/>
      <c r="G1753" s="15"/>
      <c r="H1753" s="15"/>
    </row>
    <row r="1754" spans="2:8" ht="26.25" customHeight="1" x14ac:dyDescent="0.2">
      <c r="B1754" s="24"/>
      <c r="C1754" s="99"/>
      <c r="D1754" s="99"/>
      <c r="E1754" s="99"/>
      <c r="G1754" s="15"/>
      <c r="H1754" s="15"/>
    </row>
    <row r="1755" spans="2:8" x14ac:dyDescent="0.2">
      <c r="B1755" s="21" t="s">
        <v>23</v>
      </c>
      <c r="C1755" s="26"/>
      <c r="D1755" s="26"/>
      <c r="E1755" s="25"/>
      <c r="G1755" s="15"/>
      <c r="H1755" s="15"/>
    </row>
    <row r="1756" spans="2:8" ht="26.25" customHeight="1" x14ac:dyDescent="0.2">
      <c r="B1756" s="24"/>
      <c r="C1756" s="100" t="s">
        <v>22</v>
      </c>
      <c r="D1756" s="100"/>
      <c r="E1756" s="100"/>
      <c r="G1756" s="15"/>
      <c r="H1756" s="15"/>
    </row>
    <row r="1757" spans="2:8" x14ac:dyDescent="0.2">
      <c r="B1757" s="21" t="s">
        <v>21</v>
      </c>
      <c r="C1757" s="23"/>
      <c r="D1757" s="23"/>
      <c r="E1757" s="22"/>
      <c r="G1757" s="15"/>
      <c r="H1757" s="15"/>
    </row>
    <row r="1758" spans="2:8" ht="23.25" customHeight="1" x14ac:dyDescent="0.2">
      <c r="B1758" s="21"/>
      <c r="C1758" s="101"/>
      <c r="D1758" s="101"/>
      <c r="E1758" s="101"/>
      <c r="G1758" s="15"/>
      <c r="H1758" s="15"/>
    </row>
    <row r="1759" spans="2:8" ht="13.5" thickBot="1" x14ac:dyDescent="0.25">
      <c r="B1759" s="20"/>
      <c r="C1759" s="19"/>
      <c r="D1759" s="19"/>
      <c r="E1759" s="18"/>
      <c r="G1759" s="15"/>
      <c r="H1759" s="15"/>
    </row>
    <row r="1760" spans="2:8" ht="13.5" thickBot="1" x14ac:dyDescent="0.25">
      <c r="G1760" s="15"/>
      <c r="H1760" s="15"/>
    </row>
    <row r="1761" spans="2:8" x14ac:dyDescent="0.2">
      <c r="B1761" s="30" t="s">
        <v>37</v>
      </c>
      <c r="C1761" s="29"/>
      <c r="D1761" s="29"/>
      <c r="E1761" s="28"/>
      <c r="G1761" s="15"/>
      <c r="H1761" s="15"/>
    </row>
    <row r="1762" spans="2:8" ht="7.5" customHeight="1" x14ac:dyDescent="0.2">
      <c r="B1762" s="27"/>
      <c r="C1762" s="23"/>
      <c r="D1762" s="23"/>
      <c r="E1762" s="22"/>
      <c r="G1762" s="15"/>
      <c r="H1762" s="15"/>
    </row>
    <row r="1763" spans="2:8" x14ac:dyDescent="0.2">
      <c r="B1763" s="21" t="s">
        <v>28</v>
      </c>
      <c r="C1763" s="23"/>
      <c r="D1763" s="23"/>
      <c r="E1763" s="22"/>
      <c r="G1763" s="15"/>
      <c r="H1763" s="15"/>
    </row>
    <row r="1764" spans="2:8" ht="41.25" customHeight="1" x14ac:dyDescent="0.2">
      <c r="B1764" s="21"/>
      <c r="C1764" s="99" t="s">
        <v>36</v>
      </c>
      <c r="D1764" s="99"/>
      <c r="E1764" s="99"/>
      <c r="G1764" s="15"/>
      <c r="H1764" s="15"/>
    </row>
    <row r="1765" spans="2:8" x14ac:dyDescent="0.2">
      <c r="B1765" s="21" t="s">
        <v>26</v>
      </c>
      <c r="C1765" s="23"/>
      <c r="D1765" s="23"/>
      <c r="E1765" s="22"/>
      <c r="G1765" s="15"/>
      <c r="H1765" s="15"/>
    </row>
    <row r="1766" spans="2:8" x14ac:dyDescent="0.2">
      <c r="B1766" s="24"/>
      <c r="C1766" s="102" t="s">
        <v>25</v>
      </c>
      <c r="D1766" s="102"/>
      <c r="E1766" s="102"/>
      <c r="G1766" s="15"/>
      <c r="H1766" s="15"/>
    </row>
    <row r="1767" spans="2:8" x14ac:dyDescent="0.2">
      <c r="B1767" s="24"/>
      <c r="C1767" s="98"/>
      <c r="D1767" s="98"/>
      <c r="E1767" s="98"/>
      <c r="G1767" s="15"/>
      <c r="H1767" s="15"/>
    </row>
    <row r="1768" spans="2:8" x14ac:dyDescent="0.2">
      <c r="B1768" s="21" t="s">
        <v>24</v>
      </c>
      <c r="C1768" s="23"/>
      <c r="D1768" s="23"/>
      <c r="E1768" s="22"/>
      <c r="G1768" s="15"/>
      <c r="H1768" s="15"/>
    </row>
    <row r="1769" spans="2:8" ht="26.25" customHeight="1" x14ac:dyDescent="0.2">
      <c r="B1769" s="24"/>
      <c r="C1769" s="99"/>
      <c r="D1769" s="99"/>
      <c r="E1769" s="99"/>
      <c r="G1769" s="15"/>
      <c r="H1769" s="15"/>
    </row>
    <row r="1770" spans="2:8" x14ac:dyDescent="0.2">
      <c r="B1770" s="21" t="s">
        <v>23</v>
      </c>
      <c r="C1770" s="26"/>
      <c r="D1770" s="26"/>
      <c r="E1770" s="25"/>
      <c r="G1770" s="15"/>
      <c r="H1770" s="15"/>
    </row>
    <row r="1771" spans="2:8" ht="26.25" customHeight="1" x14ac:dyDescent="0.2">
      <c r="B1771" s="24"/>
      <c r="C1771" s="100" t="s">
        <v>22</v>
      </c>
      <c r="D1771" s="100"/>
      <c r="E1771" s="100"/>
      <c r="G1771" s="15"/>
      <c r="H1771" s="15"/>
    </row>
    <row r="1772" spans="2:8" x14ac:dyDescent="0.2">
      <c r="B1772" s="21" t="s">
        <v>21</v>
      </c>
      <c r="C1772" s="23"/>
      <c r="D1772" s="23"/>
      <c r="E1772" s="22"/>
      <c r="G1772" s="15"/>
      <c r="H1772" s="15"/>
    </row>
    <row r="1773" spans="2:8" ht="23.25" customHeight="1" x14ac:dyDescent="0.2">
      <c r="B1773" s="21"/>
      <c r="C1773" s="101"/>
      <c r="D1773" s="101"/>
      <c r="E1773" s="101"/>
      <c r="G1773" s="15"/>
      <c r="H1773" s="15"/>
    </row>
    <row r="1774" spans="2:8" ht="13.5" thickBot="1" x14ac:dyDescent="0.25">
      <c r="B1774" s="20"/>
      <c r="C1774" s="19"/>
      <c r="D1774" s="19"/>
      <c r="E1774" s="18"/>
      <c r="G1774" s="15"/>
      <c r="H1774" s="15"/>
    </row>
    <row r="1775" spans="2:8" ht="13.5" thickBot="1" x14ac:dyDescent="0.25">
      <c r="G1775" s="15"/>
      <c r="H1775" s="15"/>
    </row>
    <row r="1776" spans="2:8" x14ac:dyDescent="0.2">
      <c r="B1776" s="30" t="s">
        <v>35</v>
      </c>
      <c r="C1776" s="29"/>
      <c r="D1776" s="29"/>
      <c r="E1776" s="28"/>
      <c r="G1776" s="15"/>
      <c r="H1776" s="15"/>
    </row>
    <row r="1777" spans="2:8" ht="5.25" customHeight="1" x14ac:dyDescent="0.2">
      <c r="B1777" s="27"/>
      <c r="C1777" s="23"/>
      <c r="D1777" s="23"/>
      <c r="E1777" s="22"/>
      <c r="G1777" s="15"/>
      <c r="H1777" s="15"/>
    </row>
    <row r="1778" spans="2:8" x14ac:dyDescent="0.2">
      <c r="B1778" s="21" t="s">
        <v>28</v>
      </c>
      <c r="C1778" s="23"/>
      <c r="D1778" s="23"/>
      <c r="E1778" s="22"/>
      <c r="G1778" s="15"/>
      <c r="H1778" s="15"/>
    </row>
    <row r="1779" spans="2:8" ht="41.25" customHeight="1" x14ac:dyDescent="0.2">
      <c r="B1779" s="21"/>
      <c r="C1779" s="99" t="s">
        <v>34</v>
      </c>
      <c r="D1779" s="99"/>
      <c r="E1779" s="99"/>
      <c r="G1779" s="15"/>
      <c r="H1779" s="15"/>
    </row>
    <row r="1780" spans="2:8" x14ac:dyDescent="0.2">
      <c r="B1780" s="21" t="s">
        <v>26</v>
      </c>
      <c r="C1780" s="23"/>
      <c r="D1780" s="23"/>
      <c r="E1780" s="22"/>
      <c r="G1780" s="15"/>
      <c r="H1780" s="15"/>
    </row>
    <row r="1781" spans="2:8" x14ac:dyDescent="0.2">
      <c r="B1781" s="24"/>
      <c r="C1781" s="102" t="s">
        <v>25</v>
      </c>
      <c r="D1781" s="102"/>
      <c r="E1781" s="102"/>
      <c r="G1781" s="15"/>
      <c r="H1781" s="15"/>
    </row>
    <row r="1782" spans="2:8" x14ac:dyDescent="0.2">
      <c r="B1782" s="24"/>
      <c r="C1782" s="98"/>
      <c r="D1782" s="98"/>
      <c r="E1782" s="98"/>
      <c r="G1782" s="15"/>
      <c r="H1782" s="15"/>
    </row>
    <row r="1783" spans="2:8" x14ac:dyDescent="0.2">
      <c r="B1783" s="21" t="s">
        <v>24</v>
      </c>
      <c r="C1783" s="23"/>
      <c r="D1783" s="23"/>
      <c r="E1783" s="22"/>
      <c r="G1783" s="15"/>
      <c r="H1783" s="15"/>
    </row>
    <row r="1784" spans="2:8" ht="26.25" customHeight="1" x14ac:dyDescent="0.2">
      <c r="B1784" s="24"/>
      <c r="C1784" s="99"/>
      <c r="D1784" s="99"/>
      <c r="E1784" s="99"/>
      <c r="G1784" s="15"/>
      <c r="H1784" s="15"/>
    </row>
    <row r="1785" spans="2:8" x14ac:dyDescent="0.2">
      <c r="B1785" s="21" t="s">
        <v>23</v>
      </c>
      <c r="C1785" s="26"/>
      <c r="D1785" s="26"/>
      <c r="E1785" s="25"/>
      <c r="G1785" s="15"/>
      <c r="H1785" s="15"/>
    </row>
    <row r="1786" spans="2:8" ht="26.25" customHeight="1" x14ac:dyDescent="0.2">
      <c r="B1786" s="24"/>
      <c r="C1786" s="100" t="s">
        <v>22</v>
      </c>
      <c r="D1786" s="100"/>
      <c r="E1786" s="100"/>
      <c r="G1786" s="15"/>
      <c r="H1786" s="15"/>
    </row>
    <row r="1787" spans="2:8" x14ac:dyDescent="0.2">
      <c r="B1787" s="21" t="s">
        <v>21</v>
      </c>
      <c r="C1787" s="23"/>
      <c r="D1787" s="23"/>
      <c r="E1787" s="22"/>
      <c r="G1787" s="15"/>
      <c r="H1787" s="15"/>
    </row>
    <row r="1788" spans="2:8" ht="23.25" customHeight="1" x14ac:dyDescent="0.2">
      <c r="B1788" s="21"/>
      <c r="C1788" s="101"/>
      <c r="D1788" s="101"/>
      <c r="E1788" s="101"/>
      <c r="G1788" s="15"/>
      <c r="H1788" s="15"/>
    </row>
    <row r="1789" spans="2:8" ht="13.5" thickBot="1" x14ac:dyDescent="0.25">
      <c r="B1789" s="20"/>
      <c r="C1789" s="19"/>
      <c r="D1789" s="19"/>
      <c r="E1789" s="18"/>
      <c r="G1789" s="15"/>
      <c r="H1789" s="15"/>
    </row>
    <row r="1790" spans="2:8" ht="13.5" thickBot="1" x14ac:dyDescent="0.25">
      <c r="G1790" s="15"/>
      <c r="H1790" s="15"/>
    </row>
    <row r="1791" spans="2:8" x14ac:dyDescent="0.2">
      <c r="B1791" s="30" t="s">
        <v>33</v>
      </c>
      <c r="C1791" s="29"/>
      <c r="D1791" s="29"/>
      <c r="E1791" s="28"/>
      <c r="G1791" s="15"/>
      <c r="H1791" s="15"/>
    </row>
    <row r="1792" spans="2:8" ht="7.5" customHeight="1" x14ac:dyDescent="0.2">
      <c r="B1792" s="27"/>
      <c r="C1792" s="23"/>
      <c r="D1792" s="23"/>
      <c r="E1792" s="22"/>
      <c r="G1792" s="15"/>
      <c r="H1792" s="15"/>
    </row>
    <row r="1793" spans="2:8" x14ac:dyDescent="0.2">
      <c r="B1793" s="21" t="s">
        <v>28</v>
      </c>
      <c r="C1793" s="23"/>
      <c r="D1793" s="23"/>
      <c r="E1793" s="22"/>
      <c r="G1793" s="15"/>
      <c r="H1793" s="15"/>
    </row>
    <row r="1794" spans="2:8" ht="41.25" customHeight="1" x14ac:dyDescent="0.2">
      <c r="B1794" s="21"/>
      <c r="C1794" s="99" t="s">
        <v>32</v>
      </c>
      <c r="D1794" s="99"/>
      <c r="E1794" s="99"/>
      <c r="G1794" s="15"/>
      <c r="H1794" s="15"/>
    </row>
    <row r="1795" spans="2:8" x14ac:dyDescent="0.2">
      <c r="B1795" s="21" t="s">
        <v>26</v>
      </c>
      <c r="C1795" s="23"/>
      <c r="D1795" s="23"/>
      <c r="E1795" s="22"/>
      <c r="G1795" s="15"/>
      <c r="H1795" s="15"/>
    </row>
    <row r="1796" spans="2:8" x14ac:dyDescent="0.2">
      <c r="B1796" s="24"/>
      <c r="C1796" s="102" t="s">
        <v>25</v>
      </c>
      <c r="D1796" s="102"/>
      <c r="E1796" s="102"/>
      <c r="G1796" s="15"/>
      <c r="H1796" s="15"/>
    </row>
    <row r="1797" spans="2:8" x14ac:dyDescent="0.2">
      <c r="B1797" s="24"/>
      <c r="C1797" s="98"/>
      <c r="D1797" s="98"/>
      <c r="E1797" s="98"/>
      <c r="G1797" s="15"/>
      <c r="H1797" s="15"/>
    </row>
    <row r="1798" spans="2:8" x14ac:dyDescent="0.2">
      <c r="B1798" s="21" t="s">
        <v>24</v>
      </c>
      <c r="C1798" s="23"/>
      <c r="D1798" s="23"/>
      <c r="E1798" s="22"/>
      <c r="G1798" s="15"/>
      <c r="H1798" s="15"/>
    </row>
    <row r="1799" spans="2:8" ht="26.25" customHeight="1" x14ac:dyDescent="0.2">
      <c r="B1799" s="24"/>
      <c r="C1799" s="99"/>
      <c r="D1799" s="99"/>
      <c r="E1799" s="99"/>
      <c r="G1799" s="15"/>
      <c r="H1799" s="15"/>
    </row>
    <row r="1800" spans="2:8" x14ac:dyDescent="0.2">
      <c r="B1800" s="21" t="s">
        <v>23</v>
      </c>
      <c r="C1800" s="26"/>
      <c r="D1800" s="26"/>
      <c r="E1800" s="25"/>
      <c r="G1800" s="15"/>
      <c r="H1800" s="15"/>
    </row>
    <row r="1801" spans="2:8" ht="26.25" customHeight="1" x14ac:dyDescent="0.2">
      <c r="B1801" s="24"/>
      <c r="C1801" s="100" t="s">
        <v>22</v>
      </c>
      <c r="D1801" s="100"/>
      <c r="E1801" s="100"/>
      <c r="G1801" s="15"/>
      <c r="H1801" s="15"/>
    </row>
    <row r="1802" spans="2:8" x14ac:dyDescent="0.2">
      <c r="B1802" s="21" t="s">
        <v>21</v>
      </c>
      <c r="C1802" s="23"/>
      <c r="D1802" s="23"/>
      <c r="E1802" s="22"/>
      <c r="G1802" s="15"/>
      <c r="H1802" s="15"/>
    </row>
    <row r="1803" spans="2:8" ht="23.25" customHeight="1" x14ac:dyDescent="0.2">
      <c r="B1803" s="21"/>
      <c r="C1803" s="101"/>
      <c r="D1803" s="101"/>
      <c r="E1803" s="101"/>
      <c r="G1803" s="15"/>
      <c r="H1803" s="15"/>
    </row>
    <row r="1804" spans="2:8" ht="13.5" thickBot="1" x14ac:dyDescent="0.25">
      <c r="B1804" s="20"/>
      <c r="C1804" s="19"/>
      <c r="D1804" s="19"/>
      <c r="E1804" s="18"/>
      <c r="G1804" s="15"/>
      <c r="H1804" s="15"/>
    </row>
    <row r="1805" spans="2:8" ht="13.5" thickBot="1" x14ac:dyDescent="0.25">
      <c r="G1805" s="15"/>
      <c r="H1805" s="15"/>
    </row>
    <row r="1806" spans="2:8" x14ac:dyDescent="0.2">
      <c r="B1806" s="30" t="s">
        <v>31</v>
      </c>
      <c r="C1806" s="29"/>
      <c r="D1806" s="29"/>
      <c r="E1806" s="28"/>
      <c r="G1806" s="15"/>
      <c r="H1806" s="15"/>
    </row>
    <row r="1807" spans="2:8" ht="5.25" customHeight="1" x14ac:dyDescent="0.2">
      <c r="B1807" s="27"/>
      <c r="C1807" s="23"/>
      <c r="D1807" s="23"/>
      <c r="E1807" s="22"/>
      <c r="G1807" s="15"/>
      <c r="H1807" s="15"/>
    </row>
    <row r="1808" spans="2:8" x14ac:dyDescent="0.2">
      <c r="B1808" s="21" t="s">
        <v>28</v>
      </c>
      <c r="C1808" s="23"/>
      <c r="D1808" s="23"/>
      <c r="E1808" s="22"/>
      <c r="G1808" s="15"/>
      <c r="H1808" s="15"/>
    </row>
    <row r="1809" spans="2:8" ht="41.25" customHeight="1" x14ac:dyDescent="0.2">
      <c r="B1809" s="21"/>
      <c r="C1809" s="99" t="s">
        <v>30</v>
      </c>
      <c r="D1809" s="99"/>
      <c r="E1809" s="99"/>
      <c r="G1809" s="15"/>
      <c r="H1809" s="15"/>
    </row>
    <row r="1810" spans="2:8" x14ac:dyDescent="0.2">
      <c r="B1810" s="21" t="s">
        <v>26</v>
      </c>
      <c r="C1810" s="23"/>
      <c r="D1810" s="23"/>
      <c r="E1810" s="22"/>
      <c r="G1810" s="15"/>
      <c r="H1810" s="15"/>
    </row>
    <row r="1811" spans="2:8" x14ac:dyDescent="0.2">
      <c r="B1811" s="24"/>
      <c r="C1811" s="102" t="s">
        <v>25</v>
      </c>
      <c r="D1811" s="102"/>
      <c r="E1811" s="102"/>
      <c r="G1811" s="15"/>
      <c r="H1811" s="15"/>
    </row>
    <row r="1812" spans="2:8" x14ac:dyDescent="0.2">
      <c r="B1812" s="24"/>
      <c r="C1812" s="98"/>
      <c r="D1812" s="98"/>
      <c r="E1812" s="98"/>
      <c r="G1812" s="15"/>
      <c r="H1812" s="15"/>
    </row>
    <row r="1813" spans="2:8" x14ac:dyDescent="0.2">
      <c r="B1813" s="21" t="s">
        <v>24</v>
      </c>
      <c r="C1813" s="23"/>
      <c r="D1813" s="23"/>
      <c r="E1813" s="22"/>
      <c r="G1813" s="15"/>
      <c r="H1813" s="15"/>
    </row>
    <row r="1814" spans="2:8" ht="26.25" customHeight="1" x14ac:dyDescent="0.2">
      <c r="B1814" s="24"/>
      <c r="C1814" s="99"/>
      <c r="D1814" s="99"/>
      <c r="E1814" s="99"/>
      <c r="G1814" s="15"/>
      <c r="H1814" s="15"/>
    </row>
    <row r="1815" spans="2:8" x14ac:dyDescent="0.2">
      <c r="B1815" s="21" t="s">
        <v>23</v>
      </c>
      <c r="C1815" s="26"/>
      <c r="D1815" s="26"/>
      <c r="E1815" s="25"/>
      <c r="G1815" s="15"/>
      <c r="H1815" s="15"/>
    </row>
    <row r="1816" spans="2:8" ht="26.25" customHeight="1" x14ac:dyDescent="0.2">
      <c r="B1816" s="24"/>
      <c r="C1816" s="100" t="s">
        <v>22</v>
      </c>
      <c r="D1816" s="100"/>
      <c r="E1816" s="100"/>
      <c r="G1816" s="15"/>
      <c r="H1816" s="15"/>
    </row>
    <row r="1817" spans="2:8" x14ac:dyDescent="0.2">
      <c r="B1817" s="21" t="s">
        <v>21</v>
      </c>
      <c r="C1817" s="23"/>
      <c r="D1817" s="23"/>
      <c r="E1817" s="22"/>
      <c r="G1817" s="15"/>
      <c r="H1817" s="15"/>
    </row>
    <row r="1818" spans="2:8" ht="23.25" customHeight="1" x14ac:dyDescent="0.2">
      <c r="B1818" s="21"/>
      <c r="C1818" s="101"/>
      <c r="D1818" s="101"/>
      <c r="E1818" s="101"/>
      <c r="G1818" s="15"/>
      <c r="H1818" s="15"/>
    </row>
    <row r="1819" spans="2:8" ht="13.5" thickBot="1" x14ac:dyDescent="0.25">
      <c r="B1819" s="20"/>
      <c r="C1819" s="19"/>
      <c r="D1819" s="19"/>
      <c r="E1819" s="18"/>
      <c r="G1819" s="15"/>
      <c r="H1819" s="15"/>
    </row>
    <row r="1820" spans="2:8" ht="13.5" thickBot="1" x14ac:dyDescent="0.25">
      <c r="G1820" s="15"/>
      <c r="H1820" s="15"/>
    </row>
    <row r="1821" spans="2:8" x14ac:dyDescent="0.2">
      <c r="B1821" s="30" t="s">
        <v>29</v>
      </c>
      <c r="C1821" s="29"/>
      <c r="D1821" s="29"/>
      <c r="E1821" s="28"/>
      <c r="G1821" s="15"/>
      <c r="H1821" s="15"/>
    </row>
    <row r="1822" spans="2:8" ht="7.5" customHeight="1" x14ac:dyDescent="0.2">
      <c r="B1822" s="27"/>
      <c r="C1822" s="23"/>
      <c r="D1822" s="23"/>
      <c r="E1822" s="22"/>
      <c r="G1822" s="15"/>
      <c r="H1822" s="15"/>
    </row>
    <row r="1823" spans="2:8" x14ac:dyDescent="0.2">
      <c r="B1823" s="21" t="s">
        <v>28</v>
      </c>
      <c r="C1823" s="23"/>
      <c r="D1823" s="23"/>
      <c r="E1823" s="22"/>
      <c r="G1823" s="15"/>
      <c r="H1823" s="15"/>
    </row>
    <row r="1824" spans="2:8" ht="41.25" customHeight="1" x14ac:dyDescent="0.2">
      <c r="B1824" s="21"/>
      <c r="C1824" s="99" t="s">
        <v>27</v>
      </c>
      <c r="D1824" s="99"/>
      <c r="E1824" s="99"/>
      <c r="G1824" s="15"/>
      <c r="H1824" s="15"/>
    </row>
    <row r="1825" spans="2:8" x14ac:dyDescent="0.2">
      <c r="B1825" s="21" t="s">
        <v>26</v>
      </c>
      <c r="C1825" s="23"/>
      <c r="D1825" s="23"/>
      <c r="E1825" s="22"/>
      <c r="G1825" s="15"/>
      <c r="H1825" s="15"/>
    </row>
    <row r="1826" spans="2:8" x14ac:dyDescent="0.2">
      <c r="B1826" s="24"/>
      <c r="C1826" s="102" t="s">
        <v>25</v>
      </c>
      <c r="D1826" s="102"/>
      <c r="E1826" s="102"/>
      <c r="G1826" s="15"/>
      <c r="H1826" s="15"/>
    </row>
    <row r="1827" spans="2:8" x14ac:dyDescent="0.2">
      <c r="B1827" s="24"/>
      <c r="C1827" s="98"/>
      <c r="D1827" s="98"/>
      <c r="E1827" s="98"/>
      <c r="G1827" s="15"/>
      <c r="H1827" s="15"/>
    </row>
    <row r="1828" spans="2:8" x14ac:dyDescent="0.2">
      <c r="B1828" s="21" t="s">
        <v>24</v>
      </c>
      <c r="C1828" s="23"/>
      <c r="D1828" s="23"/>
      <c r="E1828" s="22"/>
      <c r="G1828" s="15"/>
      <c r="H1828" s="15"/>
    </row>
    <row r="1829" spans="2:8" ht="26.25" customHeight="1" x14ac:dyDescent="0.2">
      <c r="B1829" s="24"/>
      <c r="C1829" s="99"/>
      <c r="D1829" s="99"/>
      <c r="E1829" s="99"/>
      <c r="G1829" s="15"/>
      <c r="H1829" s="15"/>
    </row>
    <row r="1830" spans="2:8" x14ac:dyDescent="0.2">
      <c r="B1830" s="21" t="s">
        <v>23</v>
      </c>
      <c r="C1830" s="26"/>
      <c r="D1830" s="26"/>
      <c r="E1830" s="25"/>
      <c r="G1830" s="15"/>
      <c r="H1830" s="15"/>
    </row>
    <row r="1831" spans="2:8" ht="26.25" customHeight="1" x14ac:dyDescent="0.2">
      <c r="B1831" s="24"/>
      <c r="C1831" s="100" t="s">
        <v>22</v>
      </c>
      <c r="D1831" s="100"/>
      <c r="E1831" s="100"/>
      <c r="G1831" s="15"/>
      <c r="H1831" s="15"/>
    </row>
    <row r="1832" spans="2:8" x14ac:dyDescent="0.2">
      <c r="B1832" s="21" t="s">
        <v>21</v>
      </c>
      <c r="C1832" s="23"/>
      <c r="D1832" s="23"/>
      <c r="E1832" s="22"/>
      <c r="G1832" s="15"/>
      <c r="H1832" s="15"/>
    </row>
    <row r="1833" spans="2:8" ht="23.25" customHeight="1" x14ac:dyDescent="0.2">
      <c r="B1833" s="21"/>
      <c r="C1833" s="101"/>
      <c r="D1833" s="101"/>
      <c r="E1833" s="101"/>
      <c r="G1833" s="15"/>
      <c r="H1833" s="15"/>
    </row>
    <row r="1834" spans="2:8" ht="13.5" thickBot="1" x14ac:dyDescent="0.25">
      <c r="B1834" s="20"/>
      <c r="C1834" s="19"/>
      <c r="D1834" s="19"/>
      <c r="E1834" s="18"/>
      <c r="G1834" s="15"/>
      <c r="H1834" s="15"/>
    </row>
  </sheetData>
  <mergeCells count="691">
    <mergeCell ref="B2:H2"/>
    <mergeCell ref="A4:B4"/>
    <mergeCell ref="C4:E4"/>
    <mergeCell ref="A5:B5"/>
    <mergeCell ref="C5:E5"/>
    <mergeCell ref="A6:B6"/>
    <mergeCell ref="C177:E177"/>
    <mergeCell ref="C179:E179"/>
    <mergeCell ref="C181:E181"/>
    <mergeCell ref="A7:B7"/>
    <mergeCell ref="C129:E129"/>
    <mergeCell ref="C131:E131"/>
    <mergeCell ref="C132:E132"/>
    <mergeCell ref="C134:E134"/>
    <mergeCell ref="C136:E136"/>
    <mergeCell ref="C138:E138"/>
    <mergeCell ref="C144:E144"/>
    <mergeCell ref="C146:E146"/>
    <mergeCell ref="C147:E147"/>
    <mergeCell ref="C149:E149"/>
    <mergeCell ref="C151:E151"/>
    <mergeCell ref="C153:E153"/>
    <mergeCell ref="C159:E159"/>
    <mergeCell ref="C161:E161"/>
    <mergeCell ref="C162:E162"/>
    <mergeCell ref="C164:E164"/>
    <mergeCell ref="C166:E166"/>
    <mergeCell ref="C168:E168"/>
    <mergeCell ref="C174:E174"/>
    <mergeCell ref="C176:E176"/>
    <mergeCell ref="C237:E237"/>
    <mergeCell ref="C239:E239"/>
    <mergeCell ref="C241:E241"/>
    <mergeCell ref="C183:E183"/>
    <mergeCell ref="C189:E189"/>
    <mergeCell ref="C191:E191"/>
    <mergeCell ref="C192:E192"/>
    <mergeCell ref="C194:E194"/>
    <mergeCell ref="C196:E196"/>
    <mergeCell ref="C198:E198"/>
    <mergeCell ref="C204:E204"/>
    <mergeCell ref="C206:E206"/>
    <mergeCell ref="C207:E207"/>
    <mergeCell ref="C209:E209"/>
    <mergeCell ref="C211:E211"/>
    <mergeCell ref="C213:E213"/>
    <mergeCell ref="C219:E219"/>
    <mergeCell ref="C221:E221"/>
    <mergeCell ref="C222:E222"/>
    <mergeCell ref="C224:E224"/>
    <mergeCell ref="C226:E226"/>
    <mergeCell ref="C228:E228"/>
    <mergeCell ref="C234:E234"/>
    <mergeCell ref="C236:E236"/>
    <mergeCell ref="C297:E297"/>
    <mergeCell ref="C299:E299"/>
    <mergeCell ref="C301:E301"/>
    <mergeCell ref="C243:E243"/>
    <mergeCell ref="C249:E249"/>
    <mergeCell ref="C251:E251"/>
    <mergeCell ref="C252:E252"/>
    <mergeCell ref="C254:E254"/>
    <mergeCell ref="C256:E256"/>
    <mergeCell ref="C258:E258"/>
    <mergeCell ref="C264:E264"/>
    <mergeCell ref="C266:E266"/>
    <mergeCell ref="C267:E267"/>
    <mergeCell ref="C269:E269"/>
    <mergeCell ref="C271:E271"/>
    <mergeCell ref="C273:E273"/>
    <mergeCell ref="C279:E279"/>
    <mergeCell ref="C281:E281"/>
    <mergeCell ref="C282:E282"/>
    <mergeCell ref="C284:E284"/>
    <mergeCell ref="C286:E286"/>
    <mergeCell ref="C288:E288"/>
    <mergeCell ref="C294:E294"/>
    <mergeCell ref="C296:E296"/>
    <mergeCell ref="C357:E357"/>
    <mergeCell ref="C359:E359"/>
    <mergeCell ref="C361:E361"/>
    <mergeCell ref="C303:E303"/>
    <mergeCell ref="C309:E309"/>
    <mergeCell ref="C311:E311"/>
    <mergeCell ref="C312:E312"/>
    <mergeCell ref="C314:E314"/>
    <mergeCell ref="C316:E316"/>
    <mergeCell ref="C318:E318"/>
    <mergeCell ref="C324:E324"/>
    <mergeCell ref="C326:E326"/>
    <mergeCell ref="C327:E327"/>
    <mergeCell ref="C329:E329"/>
    <mergeCell ref="C331:E331"/>
    <mergeCell ref="C333:E333"/>
    <mergeCell ref="C339:E339"/>
    <mergeCell ref="C341:E341"/>
    <mergeCell ref="C342:E342"/>
    <mergeCell ref="C344:E344"/>
    <mergeCell ref="C346:E346"/>
    <mergeCell ref="C348:E348"/>
    <mergeCell ref="C354:E354"/>
    <mergeCell ref="C356:E356"/>
    <mergeCell ref="C417:E417"/>
    <mergeCell ref="C419:E419"/>
    <mergeCell ref="C421:E421"/>
    <mergeCell ref="C363:E363"/>
    <mergeCell ref="C369:E369"/>
    <mergeCell ref="C371:E371"/>
    <mergeCell ref="C372:E372"/>
    <mergeCell ref="C374:E374"/>
    <mergeCell ref="C376:E376"/>
    <mergeCell ref="C378:E378"/>
    <mergeCell ref="C384:E384"/>
    <mergeCell ref="C386:E386"/>
    <mergeCell ref="C387:E387"/>
    <mergeCell ref="C389:E389"/>
    <mergeCell ref="C391:E391"/>
    <mergeCell ref="C393:E393"/>
    <mergeCell ref="C399:E399"/>
    <mergeCell ref="C401:E401"/>
    <mergeCell ref="C402:E402"/>
    <mergeCell ref="C404:E404"/>
    <mergeCell ref="C406:E406"/>
    <mergeCell ref="C408:E408"/>
    <mergeCell ref="C414:E414"/>
    <mergeCell ref="C416:E416"/>
    <mergeCell ref="C477:E477"/>
    <mergeCell ref="C479:E479"/>
    <mergeCell ref="C481:E481"/>
    <mergeCell ref="C423:E423"/>
    <mergeCell ref="C429:E429"/>
    <mergeCell ref="C431:E431"/>
    <mergeCell ref="C432:E432"/>
    <mergeCell ref="C434:E434"/>
    <mergeCell ref="C436:E436"/>
    <mergeCell ref="C438:E438"/>
    <mergeCell ref="C444:E444"/>
    <mergeCell ref="C446:E446"/>
    <mergeCell ref="C447:E447"/>
    <mergeCell ref="C449:E449"/>
    <mergeCell ref="C451:E451"/>
    <mergeCell ref="C453:E453"/>
    <mergeCell ref="C459:E459"/>
    <mergeCell ref="C461:E461"/>
    <mergeCell ref="C462:E462"/>
    <mergeCell ref="C464:E464"/>
    <mergeCell ref="C466:E466"/>
    <mergeCell ref="C468:E468"/>
    <mergeCell ref="C474:E474"/>
    <mergeCell ref="C476:E476"/>
    <mergeCell ref="C537:E537"/>
    <mergeCell ref="C539:E539"/>
    <mergeCell ref="C541:E541"/>
    <mergeCell ref="C483:E483"/>
    <mergeCell ref="C489:E489"/>
    <mergeCell ref="C491:E491"/>
    <mergeCell ref="C492:E492"/>
    <mergeCell ref="C494:E494"/>
    <mergeCell ref="C496:E496"/>
    <mergeCell ref="C498:E498"/>
    <mergeCell ref="C504:E504"/>
    <mergeCell ref="C506:E506"/>
    <mergeCell ref="C507:E507"/>
    <mergeCell ref="C509:E509"/>
    <mergeCell ref="C511:E511"/>
    <mergeCell ref="C513:E513"/>
    <mergeCell ref="C519:E519"/>
    <mergeCell ref="C521:E521"/>
    <mergeCell ref="C522:E522"/>
    <mergeCell ref="C524:E524"/>
    <mergeCell ref="C526:E526"/>
    <mergeCell ref="C528:E528"/>
    <mergeCell ref="C534:E534"/>
    <mergeCell ref="C536:E536"/>
    <mergeCell ref="C597:E597"/>
    <mergeCell ref="C599:E599"/>
    <mergeCell ref="C601:E601"/>
    <mergeCell ref="C543:E543"/>
    <mergeCell ref="C549:E549"/>
    <mergeCell ref="C551:E551"/>
    <mergeCell ref="C552:E552"/>
    <mergeCell ref="C554:E554"/>
    <mergeCell ref="C556:E556"/>
    <mergeCell ref="C558:E558"/>
    <mergeCell ref="C564:E564"/>
    <mergeCell ref="C566:E566"/>
    <mergeCell ref="C567:E567"/>
    <mergeCell ref="C569:E569"/>
    <mergeCell ref="C571:E571"/>
    <mergeCell ref="C573:E573"/>
    <mergeCell ref="C579:E579"/>
    <mergeCell ref="C581:E581"/>
    <mergeCell ref="C582:E582"/>
    <mergeCell ref="C584:E584"/>
    <mergeCell ref="C586:E586"/>
    <mergeCell ref="C588:E588"/>
    <mergeCell ref="C594:E594"/>
    <mergeCell ref="C596:E596"/>
    <mergeCell ref="C657:E657"/>
    <mergeCell ref="C659:E659"/>
    <mergeCell ref="C661:E661"/>
    <mergeCell ref="C603:E603"/>
    <mergeCell ref="C609:E609"/>
    <mergeCell ref="C611:E611"/>
    <mergeCell ref="C612:E612"/>
    <mergeCell ref="C614:E614"/>
    <mergeCell ref="C616:E616"/>
    <mergeCell ref="C618:E618"/>
    <mergeCell ref="C624:E624"/>
    <mergeCell ref="C626:E626"/>
    <mergeCell ref="C627:E627"/>
    <mergeCell ref="C629:E629"/>
    <mergeCell ref="C631:E631"/>
    <mergeCell ref="C633:E633"/>
    <mergeCell ref="C639:E639"/>
    <mergeCell ref="C641:E641"/>
    <mergeCell ref="C642:E642"/>
    <mergeCell ref="C644:E644"/>
    <mergeCell ref="C646:E646"/>
    <mergeCell ref="C648:E648"/>
    <mergeCell ref="C654:E654"/>
    <mergeCell ref="C656:E656"/>
    <mergeCell ref="C717:E717"/>
    <mergeCell ref="C719:E719"/>
    <mergeCell ref="C721:E721"/>
    <mergeCell ref="C663:E663"/>
    <mergeCell ref="C669:E669"/>
    <mergeCell ref="C671:E671"/>
    <mergeCell ref="C672:E672"/>
    <mergeCell ref="C674:E674"/>
    <mergeCell ref="C676:E676"/>
    <mergeCell ref="C678:E678"/>
    <mergeCell ref="C684:E684"/>
    <mergeCell ref="C686:E686"/>
    <mergeCell ref="C687:E687"/>
    <mergeCell ref="C689:E689"/>
    <mergeCell ref="C691:E691"/>
    <mergeCell ref="C693:E693"/>
    <mergeCell ref="C699:E699"/>
    <mergeCell ref="C701:E701"/>
    <mergeCell ref="C702:E702"/>
    <mergeCell ref="C704:E704"/>
    <mergeCell ref="C706:E706"/>
    <mergeCell ref="C708:E708"/>
    <mergeCell ref="C714:E714"/>
    <mergeCell ref="C716:E716"/>
    <mergeCell ref="C777:E777"/>
    <mergeCell ref="C779:E779"/>
    <mergeCell ref="C781:E781"/>
    <mergeCell ref="C723:E723"/>
    <mergeCell ref="C729:E729"/>
    <mergeCell ref="C731:E731"/>
    <mergeCell ref="C732:E732"/>
    <mergeCell ref="C734:E734"/>
    <mergeCell ref="C736:E736"/>
    <mergeCell ref="C738:E738"/>
    <mergeCell ref="C744:E744"/>
    <mergeCell ref="C746:E746"/>
    <mergeCell ref="C747:E747"/>
    <mergeCell ref="C749:E749"/>
    <mergeCell ref="C751:E751"/>
    <mergeCell ref="C753:E753"/>
    <mergeCell ref="C759:E759"/>
    <mergeCell ref="C761:E761"/>
    <mergeCell ref="C762:E762"/>
    <mergeCell ref="C764:E764"/>
    <mergeCell ref="C766:E766"/>
    <mergeCell ref="C768:E768"/>
    <mergeCell ref="C774:E774"/>
    <mergeCell ref="C776:E776"/>
    <mergeCell ref="C837:E837"/>
    <mergeCell ref="C839:E839"/>
    <mergeCell ref="C841:E841"/>
    <mergeCell ref="C783:E783"/>
    <mergeCell ref="C789:E789"/>
    <mergeCell ref="C791:E791"/>
    <mergeCell ref="C792:E792"/>
    <mergeCell ref="C794:E794"/>
    <mergeCell ref="C796:E796"/>
    <mergeCell ref="C798:E798"/>
    <mergeCell ref="C804:E804"/>
    <mergeCell ref="C806:E806"/>
    <mergeCell ref="C807:E807"/>
    <mergeCell ref="C809:E809"/>
    <mergeCell ref="C811:E811"/>
    <mergeCell ref="C813:E813"/>
    <mergeCell ref="C819:E819"/>
    <mergeCell ref="C821:E821"/>
    <mergeCell ref="C822:E822"/>
    <mergeCell ref="C824:E824"/>
    <mergeCell ref="C826:E826"/>
    <mergeCell ref="C828:E828"/>
    <mergeCell ref="C834:E834"/>
    <mergeCell ref="C836:E836"/>
    <mergeCell ref="C897:E897"/>
    <mergeCell ref="C899:E899"/>
    <mergeCell ref="C901:E901"/>
    <mergeCell ref="C843:E843"/>
    <mergeCell ref="C849:E849"/>
    <mergeCell ref="C851:E851"/>
    <mergeCell ref="C852:E852"/>
    <mergeCell ref="C854:E854"/>
    <mergeCell ref="C856:E856"/>
    <mergeCell ref="C858:E858"/>
    <mergeCell ref="C864:E864"/>
    <mergeCell ref="C866:E866"/>
    <mergeCell ref="C867:E867"/>
    <mergeCell ref="C869:E869"/>
    <mergeCell ref="C871:E871"/>
    <mergeCell ref="C873:E873"/>
    <mergeCell ref="C879:E879"/>
    <mergeCell ref="C881:E881"/>
    <mergeCell ref="C882:E882"/>
    <mergeCell ref="C884:E884"/>
    <mergeCell ref="C886:E886"/>
    <mergeCell ref="C888:E888"/>
    <mergeCell ref="C894:E894"/>
    <mergeCell ref="C896:E896"/>
    <mergeCell ref="C957:E957"/>
    <mergeCell ref="C959:E959"/>
    <mergeCell ref="C961:E961"/>
    <mergeCell ref="C903:E903"/>
    <mergeCell ref="C909:E909"/>
    <mergeCell ref="C911:E911"/>
    <mergeCell ref="C912:E912"/>
    <mergeCell ref="C914:E914"/>
    <mergeCell ref="C916:E916"/>
    <mergeCell ref="C918:E918"/>
    <mergeCell ref="C924:E924"/>
    <mergeCell ref="C926:E926"/>
    <mergeCell ref="C927:E927"/>
    <mergeCell ref="C929:E929"/>
    <mergeCell ref="C931:E931"/>
    <mergeCell ref="C933:E933"/>
    <mergeCell ref="C939:E939"/>
    <mergeCell ref="C941:E941"/>
    <mergeCell ref="C942:E942"/>
    <mergeCell ref="C944:E944"/>
    <mergeCell ref="C946:E946"/>
    <mergeCell ref="C948:E948"/>
    <mergeCell ref="C954:E954"/>
    <mergeCell ref="C956:E956"/>
    <mergeCell ref="C1017:E1017"/>
    <mergeCell ref="C1019:E1019"/>
    <mergeCell ref="C1021:E1021"/>
    <mergeCell ref="C963:E963"/>
    <mergeCell ref="C969:E969"/>
    <mergeCell ref="C971:E971"/>
    <mergeCell ref="C972:E972"/>
    <mergeCell ref="C974:E974"/>
    <mergeCell ref="C976:E976"/>
    <mergeCell ref="C978:E978"/>
    <mergeCell ref="C984:E984"/>
    <mergeCell ref="C986:E986"/>
    <mergeCell ref="C987:E987"/>
    <mergeCell ref="C989:E989"/>
    <mergeCell ref="C991:E991"/>
    <mergeCell ref="C993:E993"/>
    <mergeCell ref="C999:E999"/>
    <mergeCell ref="C1001:E1001"/>
    <mergeCell ref="C1002:E1002"/>
    <mergeCell ref="C1004:E1004"/>
    <mergeCell ref="C1006:E1006"/>
    <mergeCell ref="C1008:E1008"/>
    <mergeCell ref="C1014:E1014"/>
    <mergeCell ref="C1016:E1016"/>
    <mergeCell ref="C1077:E1077"/>
    <mergeCell ref="C1079:E1079"/>
    <mergeCell ref="C1081:E1081"/>
    <mergeCell ref="C1023:E1023"/>
    <mergeCell ref="C1029:E1029"/>
    <mergeCell ref="C1031:E1031"/>
    <mergeCell ref="C1032:E1032"/>
    <mergeCell ref="C1034:E1034"/>
    <mergeCell ref="C1036:E1036"/>
    <mergeCell ref="C1038:E1038"/>
    <mergeCell ref="C1044:E1044"/>
    <mergeCell ref="C1046:E1046"/>
    <mergeCell ref="C1047:E1047"/>
    <mergeCell ref="C1049:E1049"/>
    <mergeCell ref="C1051:E1051"/>
    <mergeCell ref="C1053:E1053"/>
    <mergeCell ref="C1059:E1059"/>
    <mergeCell ref="C1061:E1061"/>
    <mergeCell ref="C1062:E1062"/>
    <mergeCell ref="C1064:E1064"/>
    <mergeCell ref="C1066:E1066"/>
    <mergeCell ref="C1068:E1068"/>
    <mergeCell ref="C1074:E1074"/>
    <mergeCell ref="C1076:E1076"/>
    <mergeCell ref="C1137:E1137"/>
    <mergeCell ref="C1139:E1139"/>
    <mergeCell ref="C1141:E1141"/>
    <mergeCell ref="C1083:E1083"/>
    <mergeCell ref="C1089:E1089"/>
    <mergeCell ref="C1091:E1091"/>
    <mergeCell ref="C1092:E1092"/>
    <mergeCell ref="C1094:E1094"/>
    <mergeCell ref="C1096:E1096"/>
    <mergeCell ref="C1098:E1098"/>
    <mergeCell ref="C1104:E1104"/>
    <mergeCell ref="C1106:E1106"/>
    <mergeCell ref="C1107:E1107"/>
    <mergeCell ref="C1109:E1109"/>
    <mergeCell ref="C1111:E1111"/>
    <mergeCell ref="C1113:E1113"/>
    <mergeCell ref="C1119:E1119"/>
    <mergeCell ref="C1121:E1121"/>
    <mergeCell ref="C1122:E1122"/>
    <mergeCell ref="C1124:E1124"/>
    <mergeCell ref="C1126:E1126"/>
    <mergeCell ref="C1128:E1128"/>
    <mergeCell ref="C1134:E1134"/>
    <mergeCell ref="C1136:E1136"/>
    <mergeCell ref="C1197:E1197"/>
    <mergeCell ref="C1199:E1199"/>
    <mergeCell ref="C1201:E1201"/>
    <mergeCell ref="C1143:E1143"/>
    <mergeCell ref="C1149:E1149"/>
    <mergeCell ref="C1151:E1151"/>
    <mergeCell ref="C1152:E1152"/>
    <mergeCell ref="C1154:E1154"/>
    <mergeCell ref="C1156:E1156"/>
    <mergeCell ref="C1158:E1158"/>
    <mergeCell ref="C1164:E1164"/>
    <mergeCell ref="C1166:E1166"/>
    <mergeCell ref="C1167:E1167"/>
    <mergeCell ref="C1169:E1169"/>
    <mergeCell ref="C1171:E1171"/>
    <mergeCell ref="C1173:E1173"/>
    <mergeCell ref="C1179:E1179"/>
    <mergeCell ref="C1181:E1181"/>
    <mergeCell ref="C1182:E1182"/>
    <mergeCell ref="C1184:E1184"/>
    <mergeCell ref="C1186:E1186"/>
    <mergeCell ref="C1188:E1188"/>
    <mergeCell ref="C1194:E1194"/>
    <mergeCell ref="C1196:E1196"/>
    <mergeCell ref="C1257:E1257"/>
    <mergeCell ref="C1259:E1259"/>
    <mergeCell ref="C1261:E1261"/>
    <mergeCell ref="C1203:E1203"/>
    <mergeCell ref="C1209:E1209"/>
    <mergeCell ref="C1211:E1211"/>
    <mergeCell ref="C1212:E1212"/>
    <mergeCell ref="C1214:E1214"/>
    <mergeCell ref="C1216:E1216"/>
    <mergeCell ref="C1218:E1218"/>
    <mergeCell ref="C1224:E1224"/>
    <mergeCell ref="C1226:E1226"/>
    <mergeCell ref="C1227:E1227"/>
    <mergeCell ref="C1229:E1229"/>
    <mergeCell ref="C1231:E1231"/>
    <mergeCell ref="C1233:E1233"/>
    <mergeCell ref="C1239:E1239"/>
    <mergeCell ref="C1241:E1241"/>
    <mergeCell ref="C1242:E1242"/>
    <mergeCell ref="C1244:E1244"/>
    <mergeCell ref="C1246:E1246"/>
    <mergeCell ref="C1248:E1248"/>
    <mergeCell ref="C1254:E1254"/>
    <mergeCell ref="C1256:E1256"/>
    <mergeCell ref="C1317:E1317"/>
    <mergeCell ref="C1319:E1319"/>
    <mergeCell ref="C1321:E1321"/>
    <mergeCell ref="C1263:E1263"/>
    <mergeCell ref="C1269:E1269"/>
    <mergeCell ref="C1271:E1271"/>
    <mergeCell ref="C1272:E1272"/>
    <mergeCell ref="C1274:E1274"/>
    <mergeCell ref="C1276:E1276"/>
    <mergeCell ref="C1278:E1278"/>
    <mergeCell ref="C1284:E1284"/>
    <mergeCell ref="C1286:E1286"/>
    <mergeCell ref="C1287:E1287"/>
    <mergeCell ref="C1289:E1289"/>
    <mergeCell ref="C1291:E1291"/>
    <mergeCell ref="C1293:E1293"/>
    <mergeCell ref="C1299:E1299"/>
    <mergeCell ref="C1301:E1301"/>
    <mergeCell ref="C1302:E1302"/>
    <mergeCell ref="C1304:E1304"/>
    <mergeCell ref="C1306:E1306"/>
    <mergeCell ref="C1308:E1308"/>
    <mergeCell ref="C1314:E1314"/>
    <mergeCell ref="C1316:E1316"/>
    <mergeCell ref="C1377:E1377"/>
    <mergeCell ref="C1379:E1379"/>
    <mergeCell ref="C1381:E1381"/>
    <mergeCell ref="C1323:E1323"/>
    <mergeCell ref="C1329:E1329"/>
    <mergeCell ref="C1331:E1331"/>
    <mergeCell ref="C1332:E1332"/>
    <mergeCell ref="C1334:E1334"/>
    <mergeCell ref="C1336:E1336"/>
    <mergeCell ref="C1338:E1338"/>
    <mergeCell ref="C1344:E1344"/>
    <mergeCell ref="C1346:E1346"/>
    <mergeCell ref="C1347:E1347"/>
    <mergeCell ref="C1349:E1349"/>
    <mergeCell ref="C1351:E1351"/>
    <mergeCell ref="C1353:E1353"/>
    <mergeCell ref="C1359:E1359"/>
    <mergeCell ref="C1361:E1361"/>
    <mergeCell ref="C1362:E1362"/>
    <mergeCell ref="C1364:E1364"/>
    <mergeCell ref="C1366:E1366"/>
    <mergeCell ref="C1368:E1368"/>
    <mergeCell ref="C1374:E1374"/>
    <mergeCell ref="C1376:E1376"/>
    <mergeCell ref="C1437:E1437"/>
    <mergeCell ref="C1439:E1439"/>
    <mergeCell ref="C1441:E1441"/>
    <mergeCell ref="C1383:E1383"/>
    <mergeCell ref="C1389:E1389"/>
    <mergeCell ref="C1391:E1391"/>
    <mergeCell ref="C1392:E1392"/>
    <mergeCell ref="C1394:E1394"/>
    <mergeCell ref="C1396:E1396"/>
    <mergeCell ref="C1398:E1398"/>
    <mergeCell ref="C1404:E1404"/>
    <mergeCell ref="C1406:E1406"/>
    <mergeCell ref="C1407:E1407"/>
    <mergeCell ref="C1409:E1409"/>
    <mergeCell ref="C1411:E1411"/>
    <mergeCell ref="C1413:E1413"/>
    <mergeCell ref="C1419:E1419"/>
    <mergeCell ref="C1421:E1421"/>
    <mergeCell ref="C1422:E1422"/>
    <mergeCell ref="C1424:E1424"/>
    <mergeCell ref="C1426:E1426"/>
    <mergeCell ref="C1428:E1428"/>
    <mergeCell ref="C1434:E1434"/>
    <mergeCell ref="C1436:E1436"/>
    <mergeCell ref="C1497:E1497"/>
    <mergeCell ref="C1499:E1499"/>
    <mergeCell ref="C1501:E1501"/>
    <mergeCell ref="C1443:E1443"/>
    <mergeCell ref="C1449:E1449"/>
    <mergeCell ref="C1451:E1451"/>
    <mergeCell ref="C1452:E1452"/>
    <mergeCell ref="C1454:E1454"/>
    <mergeCell ref="C1456:E1456"/>
    <mergeCell ref="C1458:E1458"/>
    <mergeCell ref="C1464:E1464"/>
    <mergeCell ref="C1466:E1466"/>
    <mergeCell ref="C1467:E1467"/>
    <mergeCell ref="C1469:E1469"/>
    <mergeCell ref="C1471:E1471"/>
    <mergeCell ref="C1473:E1473"/>
    <mergeCell ref="C1479:E1479"/>
    <mergeCell ref="C1481:E1481"/>
    <mergeCell ref="C1482:E1482"/>
    <mergeCell ref="C1484:E1484"/>
    <mergeCell ref="C1486:E1486"/>
    <mergeCell ref="C1488:E1488"/>
    <mergeCell ref="C1494:E1494"/>
    <mergeCell ref="C1496:E1496"/>
    <mergeCell ref="C1557:E1557"/>
    <mergeCell ref="C1559:E1559"/>
    <mergeCell ref="C1561:E1561"/>
    <mergeCell ref="C1503:E1503"/>
    <mergeCell ref="C1509:E1509"/>
    <mergeCell ref="C1511:E1511"/>
    <mergeCell ref="C1512:E1512"/>
    <mergeCell ref="C1514:E1514"/>
    <mergeCell ref="C1516:E1516"/>
    <mergeCell ref="C1518:E1518"/>
    <mergeCell ref="C1524:E1524"/>
    <mergeCell ref="C1526:E1526"/>
    <mergeCell ref="C1527:E1527"/>
    <mergeCell ref="C1529:E1529"/>
    <mergeCell ref="C1531:E1531"/>
    <mergeCell ref="C1533:E1533"/>
    <mergeCell ref="C1539:E1539"/>
    <mergeCell ref="C1541:E1541"/>
    <mergeCell ref="C1542:E1542"/>
    <mergeCell ref="C1544:E1544"/>
    <mergeCell ref="C1546:E1546"/>
    <mergeCell ref="C1548:E1548"/>
    <mergeCell ref="C1554:E1554"/>
    <mergeCell ref="C1556:E1556"/>
    <mergeCell ref="C1617:E1617"/>
    <mergeCell ref="C1619:E1619"/>
    <mergeCell ref="C1621:E1621"/>
    <mergeCell ref="C1563:E1563"/>
    <mergeCell ref="C1569:E1569"/>
    <mergeCell ref="C1571:E1571"/>
    <mergeCell ref="C1572:E1572"/>
    <mergeCell ref="C1574:E1574"/>
    <mergeCell ref="C1576:E1576"/>
    <mergeCell ref="C1578:E1578"/>
    <mergeCell ref="C1584:E1584"/>
    <mergeCell ref="C1586:E1586"/>
    <mergeCell ref="C1587:E1587"/>
    <mergeCell ref="C1589:E1589"/>
    <mergeCell ref="C1591:E1591"/>
    <mergeCell ref="C1593:E1593"/>
    <mergeCell ref="C1599:E1599"/>
    <mergeCell ref="C1601:E1601"/>
    <mergeCell ref="C1602:E1602"/>
    <mergeCell ref="C1604:E1604"/>
    <mergeCell ref="C1606:E1606"/>
    <mergeCell ref="C1608:E1608"/>
    <mergeCell ref="C1614:E1614"/>
    <mergeCell ref="C1616:E1616"/>
    <mergeCell ref="C1677:E1677"/>
    <mergeCell ref="C1679:E1679"/>
    <mergeCell ref="C1681:E1681"/>
    <mergeCell ref="C1623:E1623"/>
    <mergeCell ref="C1629:E1629"/>
    <mergeCell ref="C1631:E1631"/>
    <mergeCell ref="C1632:E1632"/>
    <mergeCell ref="C1634:E1634"/>
    <mergeCell ref="C1636:E1636"/>
    <mergeCell ref="C1638:E1638"/>
    <mergeCell ref="C1644:E1644"/>
    <mergeCell ref="C1646:E1646"/>
    <mergeCell ref="C1647:E1647"/>
    <mergeCell ref="C1649:E1649"/>
    <mergeCell ref="C1651:E1651"/>
    <mergeCell ref="C1653:E1653"/>
    <mergeCell ref="C1659:E1659"/>
    <mergeCell ref="C1661:E1661"/>
    <mergeCell ref="C1662:E1662"/>
    <mergeCell ref="C1664:E1664"/>
    <mergeCell ref="C1666:E1666"/>
    <mergeCell ref="C1668:E1668"/>
    <mergeCell ref="C1674:E1674"/>
    <mergeCell ref="C1676:E1676"/>
    <mergeCell ref="C1737:E1737"/>
    <mergeCell ref="C1739:E1739"/>
    <mergeCell ref="C1741:E1741"/>
    <mergeCell ref="C1683:E1683"/>
    <mergeCell ref="C1689:E1689"/>
    <mergeCell ref="C1691:E1691"/>
    <mergeCell ref="C1692:E1692"/>
    <mergeCell ref="C1694:E1694"/>
    <mergeCell ref="C1696:E1696"/>
    <mergeCell ref="C1698:E1698"/>
    <mergeCell ref="C1704:E1704"/>
    <mergeCell ref="C1706:E1706"/>
    <mergeCell ref="C1707:E1707"/>
    <mergeCell ref="C1709:E1709"/>
    <mergeCell ref="C1711:E1711"/>
    <mergeCell ref="C1713:E1713"/>
    <mergeCell ref="C1719:E1719"/>
    <mergeCell ref="C1721:E1721"/>
    <mergeCell ref="C1722:E1722"/>
    <mergeCell ref="C1724:E1724"/>
    <mergeCell ref="C1726:E1726"/>
    <mergeCell ref="C1728:E1728"/>
    <mergeCell ref="C1734:E1734"/>
    <mergeCell ref="C1736:E1736"/>
    <mergeCell ref="C1797:E1797"/>
    <mergeCell ref="C1799:E1799"/>
    <mergeCell ref="C1801:E1801"/>
    <mergeCell ref="C1743:E1743"/>
    <mergeCell ref="C1749:E1749"/>
    <mergeCell ref="C1751:E1751"/>
    <mergeCell ref="C1752:E1752"/>
    <mergeCell ref="C1754:E1754"/>
    <mergeCell ref="C1756:E1756"/>
    <mergeCell ref="C1758:E1758"/>
    <mergeCell ref="C1764:E1764"/>
    <mergeCell ref="C1766:E1766"/>
    <mergeCell ref="C1767:E1767"/>
    <mergeCell ref="C1769:E1769"/>
    <mergeCell ref="C1771:E1771"/>
    <mergeCell ref="C1773:E1773"/>
    <mergeCell ref="C1779:E1779"/>
    <mergeCell ref="C1781:E1781"/>
    <mergeCell ref="C1782:E1782"/>
    <mergeCell ref="C1784:E1784"/>
    <mergeCell ref="C1786:E1786"/>
    <mergeCell ref="C1788:E1788"/>
    <mergeCell ref="C1794:E1794"/>
    <mergeCell ref="C1796:E1796"/>
    <mergeCell ref="C1803:E1803"/>
    <mergeCell ref="C1809:E1809"/>
    <mergeCell ref="C1811:E1811"/>
    <mergeCell ref="C1812:E1812"/>
    <mergeCell ref="C1814:E1814"/>
    <mergeCell ref="C1816:E1816"/>
    <mergeCell ref="C1833:E1833"/>
    <mergeCell ref="C1818:E1818"/>
    <mergeCell ref="C1824:E1824"/>
    <mergeCell ref="C1826:E1826"/>
    <mergeCell ref="C1827:E1827"/>
    <mergeCell ref="C1829:E1829"/>
    <mergeCell ref="C1831:E1831"/>
  </mergeCells>
  <conditionalFormatting sqref="E10:E116">
    <cfRule type="cellIs" dxfId="102" priority="103" operator="equal">
      <formula>"duplicado"</formula>
    </cfRule>
  </conditionalFormatting>
  <conditionalFormatting sqref="E10:E15">
    <cfRule type="duplicateValues" dxfId="101" priority="100"/>
    <cfRule type="duplicateValues" dxfId="100" priority="101"/>
    <cfRule type="cellIs" dxfId="99" priority="102" operator="equal">
      <formula>"calibra"</formula>
    </cfRule>
  </conditionalFormatting>
  <conditionalFormatting sqref="E16:E23">
    <cfRule type="duplicateValues" dxfId="98" priority="97"/>
    <cfRule type="duplicateValues" dxfId="97" priority="98"/>
    <cfRule type="cellIs" dxfId="96" priority="99" operator="equal">
      <formula>"calibra"</formula>
    </cfRule>
  </conditionalFormatting>
  <conditionalFormatting sqref="E10:E23">
    <cfRule type="duplicateValues" dxfId="95" priority="94"/>
    <cfRule type="duplicateValues" dxfId="94" priority="95"/>
    <cfRule type="cellIs" dxfId="93" priority="96" operator="equal">
      <formula>"calibra"</formula>
    </cfRule>
  </conditionalFormatting>
  <conditionalFormatting sqref="E24:E25">
    <cfRule type="duplicateValues" dxfId="92" priority="91"/>
    <cfRule type="duplicateValues" dxfId="91" priority="92"/>
    <cfRule type="cellIs" dxfId="90" priority="93" operator="equal">
      <formula>"calibra"</formula>
    </cfRule>
  </conditionalFormatting>
  <conditionalFormatting sqref="E26">
    <cfRule type="duplicateValues" dxfId="89" priority="88"/>
    <cfRule type="duplicateValues" dxfId="88" priority="89"/>
    <cfRule type="cellIs" dxfId="87" priority="90" operator="equal">
      <formula>"calibra"</formula>
    </cfRule>
  </conditionalFormatting>
  <conditionalFormatting sqref="E27:E35">
    <cfRule type="duplicateValues" dxfId="86" priority="85"/>
    <cfRule type="duplicateValues" dxfId="85" priority="86"/>
    <cfRule type="cellIs" dxfId="84" priority="87" operator="equal">
      <formula>"calibra"</formula>
    </cfRule>
  </conditionalFormatting>
  <conditionalFormatting sqref="E36:E38">
    <cfRule type="duplicateValues" dxfId="83" priority="82"/>
    <cfRule type="duplicateValues" dxfId="82" priority="83"/>
    <cfRule type="cellIs" dxfId="81" priority="84" operator="equal">
      <formula>"calibra"</formula>
    </cfRule>
  </conditionalFormatting>
  <conditionalFormatting sqref="E39:E57">
    <cfRule type="duplicateValues" dxfId="80" priority="79"/>
    <cfRule type="duplicateValues" dxfId="79" priority="80"/>
    <cfRule type="cellIs" dxfId="78" priority="81" operator="equal">
      <formula>"calibra"</formula>
    </cfRule>
  </conditionalFormatting>
  <conditionalFormatting sqref="E58:E61">
    <cfRule type="duplicateValues" dxfId="77" priority="76"/>
    <cfRule type="duplicateValues" dxfId="76" priority="77"/>
    <cfRule type="cellIs" dxfId="75" priority="78" operator="equal">
      <formula>"calibra"</formula>
    </cfRule>
  </conditionalFormatting>
  <conditionalFormatting sqref="E62:E63">
    <cfRule type="duplicateValues" dxfId="74" priority="73"/>
    <cfRule type="duplicateValues" dxfId="73" priority="74"/>
    <cfRule type="cellIs" dxfId="72" priority="75" operator="equal">
      <formula>"calibra"</formula>
    </cfRule>
  </conditionalFormatting>
  <conditionalFormatting sqref="E64">
    <cfRule type="duplicateValues" dxfId="71" priority="70"/>
    <cfRule type="duplicateValues" dxfId="70" priority="71"/>
    <cfRule type="cellIs" dxfId="69" priority="72" operator="equal">
      <formula>"calibra"</formula>
    </cfRule>
  </conditionalFormatting>
  <conditionalFormatting sqref="E65:E69">
    <cfRule type="duplicateValues" dxfId="68" priority="67"/>
    <cfRule type="duplicateValues" dxfId="67" priority="68"/>
    <cfRule type="cellIs" dxfId="66" priority="69" operator="equal">
      <formula>"calibra"</formula>
    </cfRule>
  </conditionalFormatting>
  <conditionalFormatting sqref="E70:E71">
    <cfRule type="duplicateValues" dxfId="65" priority="64"/>
    <cfRule type="duplicateValues" dxfId="64" priority="65"/>
    <cfRule type="cellIs" dxfId="63" priority="66" operator="equal">
      <formula>"calibra"</formula>
    </cfRule>
  </conditionalFormatting>
  <conditionalFormatting sqref="E72">
    <cfRule type="duplicateValues" dxfId="62" priority="61"/>
    <cfRule type="duplicateValues" dxfId="61" priority="62"/>
    <cfRule type="cellIs" dxfId="60" priority="63" operator="equal">
      <formula>"calibra"</formula>
    </cfRule>
  </conditionalFormatting>
  <conditionalFormatting sqref="E77">
    <cfRule type="duplicateValues" dxfId="59" priority="58"/>
    <cfRule type="duplicateValues" dxfId="58" priority="59"/>
    <cfRule type="cellIs" dxfId="57" priority="60" operator="equal">
      <formula>"calibra"</formula>
    </cfRule>
  </conditionalFormatting>
  <conditionalFormatting sqref="E73:E83">
    <cfRule type="duplicateValues" dxfId="56" priority="55"/>
    <cfRule type="duplicateValues" dxfId="55" priority="56"/>
    <cfRule type="cellIs" dxfId="54" priority="57" operator="equal">
      <formula>"calibra"</formula>
    </cfRule>
  </conditionalFormatting>
  <conditionalFormatting sqref="E86">
    <cfRule type="duplicateValues" dxfId="53" priority="52"/>
    <cfRule type="duplicateValues" dxfId="52" priority="53"/>
    <cfRule type="cellIs" dxfId="51" priority="54" operator="equal">
      <formula>"calibra"</formula>
    </cfRule>
  </conditionalFormatting>
  <conditionalFormatting sqref="E84:E86">
    <cfRule type="duplicateValues" dxfId="50" priority="49"/>
    <cfRule type="duplicateValues" dxfId="49" priority="50"/>
    <cfRule type="cellIs" dxfId="48" priority="51" operator="equal">
      <formula>"calibra"</formula>
    </cfRule>
  </conditionalFormatting>
  <conditionalFormatting sqref="E87:E88">
    <cfRule type="duplicateValues" dxfId="47" priority="46"/>
    <cfRule type="duplicateValues" dxfId="46" priority="47"/>
    <cfRule type="cellIs" dxfId="45" priority="48" operator="equal">
      <formula>"calibra"</formula>
    </cfRule>
  </conditionalFormatting>
  <conditionalFormatting sqref="E89">
    <cfRule type="duplicateValues" dxfId="44" priority="43"/>
    <cfRule type="duplicateValues" dxfId="43" priority="44"/>
    <cfRule type="cellIs" dxfId="42" priority="45" operator="equal">
      <formula>"calibra"</formula>
    </cfRule>
  </conditionalFormatting>
  <conditionalFormatting sqref="E90">
    <cfRule type="duplicateValues" dxfId="41" priority="40"/>
    <cfRule type="duplicateValues" dxfId="40" priority="41"/>
    <cfRule type="cellIs" dxfId="39" priority="42" operator="equal">
      <formula>"calibra"</formula>
    </cfRule>
  </conditionalFormatting>
  <conditionalFormatting sqref="E91">
    <cfRule type="duplicateValues" dxfId="38" priority="37"/>
    <cfRule type="duplicateValues" dxfId="37" priority="38"/>
    <cfRule type="cellIs" dxfId="36" priority="39" operator="equal">
      <formula>"calibra"</formula>
    </cfRule>
  </conditionalFormatting>
  <conditionalFormatting sqref="E92">
    <cfRule type="duplicateValues" dxfId="35" priority="34"/>
    <cfRule type="duplicateValues" dxfId="34" priority="35"/>
    <cfRule type="cellIs" dxfId="33" priority="36" operator="equal">
      <formula>"calibra"</formula>
    </cfRule>
  </conditionalFormatting>
  <conditionalFormatting sqref="E93">
    <cfRule type="duplicateValues" dxfId="32" priority="31"/>
    <cfRule type="duplicateValues" dxfId="31" priority="32"/>
    <cfRule type="cellIs" dxfId="30" priority="33" operator="equal">
      <formula>"calibra"</formula>
    </cfRule>
  </conditionalFormatting>
  <conditionalFormatting sqref="E94">
    <cfRule type="duplicateValues" dxfId="29" priority="28"/>
    <cfRule type="duplicateValues" dxfId="28" priority="29"/>
    <cfRule type="cellIs" dxfId="27" priority="30" operator="equal">
      <formula>"calibra"</formula>
    </cfRule>
  </conditionalFormatting>
  <conditionalFormatting sqref="E95">
    <cfRule type="duplicateValues" dxfId="26" priority="25"/>
    <cfRule type="duplicateValues" dxfId="25" priority="26"/>
    <cfRule type="cellIs" dxfId="24" priority="27" operator="equal">
      <formula>"calibra"</formula>
    </cfRule>
  </conditionalFormatting>
  <conditionalFormatting sqref="E96">
    <cfRule type="duplicateValues" dxfId="23" priority="22"/>
    <cfRule type="duplicateValues" dxfId="22" priority="23"/>
    <cfRule type="cellIs" dxfId="21" priority="24" operator="equal">
      <formula>"calibra"</formula>
    </cfRule>
  </conditionalFormatting>
  <conditionalFormatting sqref="E97">
    <cfRule type="duplicateValues" dxfId="20" priority="19"/>
    <cfRule type="duplicateValues" dxfId="19" priority="20"/>
    <cfRule type="cellIs" dxfId="18" priority="21" operator="equal">
      <formula>"calibra"</formula>
    </cfRule>
  </conditionalFormatting>
  <conditionalFormatting sqref="E98:E103">
    <cfRule type="duplicateValues" dxfId="17" priority="16"/>
    <cfRule type="duplicateValues" dxfId="16" priority="17"/>
    <cfRule type="cellIs" dxfId="15" priority="18" operator="equal">
      <formula>"calibra"</formula>
    </cfRule>
  </conditionalFormatting>
  <conditionalFormatting sqref="E104:E111">
    <cfRule type="duplicateValues" dxfId="14" priority="13"/>
    <cfRule type="duplicateValues" dxfId="13" priority="14"/>
    <cfRule type="cellIs" dxfId="12" priority="15" operator="equal">
      <formula>"calibra"</formula>
    </cfRule>
  </conditionalFormatting>
  <conditionalFormatting sqref="E112:E113">
    <cfRule type="duplicateValues" dxfId="11" priority="10"/>
    <cfRule type="duplicateValues" dxfId="10" priority="11"/>
    <cfRule type="cellIs" dxfId="9" priority="12" operator="equal">
      <formula>"calibra"</formula>
    </cfRule>
  </conditionalFormatting>
  <conditionalFormatting sqref="E114:E115">
    <cfRule type="duplicateValues" dxfId="8" priority="7"/>
    <cfRule type="duplicateValues" dxfId="7" priority="8"/>
    <cfRule type="cellIs" dxfId="6" priority="9" operator="equal">
      <formula>"calibra"</formula>
    </cfRule>
  </conditionalFormatting>
  <conditionalFormatting sqref="E116">
    <cfRule type="duplicateValues" dxfId="5" priority="4"/>
    <cfRule type="duplicateValues" dxfId="4" priority="5"/>
    <cfRule type="cellIs" dxfId="3" priority="6" operator="equal">
      <formula>"calibra"</formula>
    </cfRule>
  </conditionalFormatting>
  <conditionalFormatting sqref="E117:E123">
    <cfRule type="duplicateValues" dxfId="2" priority="1"/>
    <cfRule type="duplicateValues" dxfId="1" priority="2"/>
    <cfRule type="cellIs" dxfId="0" priority="3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6"/>
  <sheetViews>
    <sheetView zoomScale="70" zoomScaleNormal="70" workbookViewId="0">
      <selection activeCell="C103" sqref="C103:G103"/>
    </sheetView>
  </sheetViews>
  <sheetFormatPr baseColWidth="10" defaultColWidth="8.25" defaultRowHeight="12.75" x14ac:dyDescent="0.2"/>
  <cols>
    <col min="1" max="1" width="5" style="3" customWidth="1"/>
    <col min="2" max="2" width="13.625" style="3" customWidth="1"/>
    <col min="3" max="3" width="12.75" style="3" customWidth="1"/>
    <col min="4" max="4" width="23.375" style="3" customWidth="1"/>
    <col min="5" max="5" width="7.25" style="3" customWidth="1"/>
    <col min="6" max="6" width="7.125" style="3" customWidth="1"/>
    <col min="7" max="7" width="37.75" style="3" customWidth="1"/>
    <col min="8" max="8" width="8.375" style="3" customWidth="1"/>
    <col min="9" max="9" width="14" style="3" customWidth="1"/>
    <col min="10" max="10" width="13.25" style="3" customWidth="1"/>
    <col min="11" max="11" width="14" style="3" customWidth="1"/>
    <col min="12" max="14" width="5.25" style="3" customWidth="1"/>
    <col min="15" max="15" width="11.25" style="3" customWidth="1"/>
    <col min="16" max="1024" width="8.25" style="3"/>
    <col min="1025" max="16384" width="8.25" style="14"/>
  </cols>
  <sheetData>
    <row r="1" spans="1:11" ht="18" customHeight="1" thickBot="1" x14ac:dyDescent="0.2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" t="s">
        <v>1</v>
      </c>
      <c r="K1" s="2" t="s">
        <v>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1" t="s">
        <v>3</v>
      </c>
      <c r="B3" s="111"/>
      <c r="C3" s="111"/>
      <c r="D3" s="112" t="str">
        <f>'[1]Necesidades Trimestrales'!C4</f>
        <v>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13" t="s">
        <v>4</v>
      </c>
      <c r="B4" s="113"/>
      <c r="C4" s="113"/>
      <c r="D4" s="112" t="str">
        <f>'[1]Necesidades Trimestrales'!C5</f>
        <v>23 - Hospital Interzonal San Juan Bautista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13" t="s">
        <v>5</v>
      </c>
      <c r="B5" s="113"/>
      <c r="C5" s="113"/>
      <c r="D5" s="112" t="s">
        <v>6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11" t="s">
        <v>7</v>
      </c>
      <c r="B6" s="111"/>
      <c r="C6" s="111"/>
      <c r="D6" s="112" t="s">
        <v>8</v>
      </c>
      <c r="E6" s="112"/>
      <c r="F6" s="112"/>
      <c r="G6" s="112"/>
      <c r="H6" s="112"/>
      <c r="I6" s="112"/>
      <c r="J6" s="112"/>
      <c r="K6" s="112"/>
    </row>
    <row r="7" spans="1:11" ht="16.5" customHeight="1" thickBot="1" x14ac:dyDescent="0.25">
      <c r="A7" s="113" t="s">
        <v>9</v>
      </c>
      <c r="B7" s="113"/>
      <c r="C7" s="113"/>
      <c r="D7" s="112" t="str">
        <f>'[1]Necesidades Trimestrales'!C7 &amp; "° Trimestre - Año " &amp; '[1]Necesidades Trimestrales'!C6</f>
        <v>1°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thickBot="1" x14ac:dyDescent="0.25">
      <c r="A8" s="116" t="s">
        <v>10</v>
      </c>
      <c r="B8" s="116"/>
      <c r="C8" s="116"/>
      <c r="D8" s="117" t="s">
        <v>11</v>
      </c>
      <c r="E8" s="117"/>
      <c r="F8" s="117"/>
      <c r="G8" s="117"/>
      <c r="H8" s="117"/>
      <c r="I8" s="117"/>
      <c r="J8" s="117"/>
      <c r="K8" s="117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14" t="s">
        <v>12</v>
      </c>
      <c r="B10" s="115" t="s">
        <v>13</v>
      </c>
      <c r="C10" s="115" t="s">
        <v>14</v>
      </c>
      <c r="D10" s="115"/>
      <c r="E10" s="115"/>
      <c r="F10" s="115"/>
      <c r="G10" s="115"/>
      <c r="H10" s="115" t="s">
        <v>15</v>
      </c>
      <c r="I10" s="115" t="s">
        <v>16</v>
      </c>
      <c r="J10" s="115" t="s">
        <v>17</v>
      </c>
      <c r="K10" s="109" t="s">
        <v>18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09"/>
    </row>
    <row r="12" spans="1:11" ht="35.25" customHeight="1" thickBot="1" x14ac:dyDescent="0.25">
      <c r="A12" s="8">
        <v>1</v>
      </c>
      <c r="B12" s="9"/>
      <c r="C12" s="106" t="str">
        <f>'LAB. CENTRAL NT '!E10</f>
        <v>DILUYENTES P/LABORATORIOS; TIPO : BUFFER DILUYENTE, USO: LABORATORIO, PRESENTACION: ENVASE X 20 L, TIPO: BUFFER DILUYENTE</v>
      </c>
      <c r="D12" s="106"/>
      <c r="E12" s="106"/>
      <c r="F12" s="106"/>
      <c r="G12" s="106"/>
      <c r="H12" s="10" t="s">
        <v>19</v>
      </c>
      <c r="I12" s="11" t="str">
        <f>'[1]Necesidades Trimestrales'!F10</f>
        <v>BIDON</v>
      </c>
      <c r="J12" s="12">
        <f>'[1]Necesidades Trimestrales'!H10</f>
        <v>6632</v>
      </c>
      <c r="K12" s="13">
        <f>'[1]Necesidades Trimestrales'!G10</f>
        <v>20</v>
      </c>
    </row>
    <row r="13" spans="1:11" ht="35.25" customHeight="1" thickBot="1" x14ac:dyDescent="0.25">
      <c r="A13" s="8">
        <v>2</v>
      </c>
      <c r="B13" s="9"/>
      <c r="C13" s="106" t="str">
        <f>'LAB. CENTRAL NT '!E11</f>
        <v>REACTIVOS P/EQUIPO; EQUIPO: CONTADOR HEMATOLOGICO, MARCA EQUIPO: SYSMEX ROCHE, NOMBRE DEL PRODUCTO: LISANTE, PRESENTACION: ENVASE X 5 L</v>
      </c>
      <c r="D13" s="106"/>
      <c r="E13" s="106"/>
      <c r="F13" s="106"/>
      <c r="G13" s="106"/>
      <c r="H13" s="10" t="s">
        <v>19</v>
      </c>
      <c r="I13" s="11" t="str">
        <f>'[1]Necesidades Trimestrales'!F11</f>
        <v>BIDON</v>
      </c>
      <c r="J13" s="12">
        <f>'[1]Necesidades Trimestrales'!H11</f>
        <v>47407</v>
      </c>
      <c r="K13" s="13">
        <f>'[1]Necesidades Trimestrales'!G11</f>
        <v>2</v>
      </c>
    </row>
    <row r="14" spans="1:11" ht="27.75" customHeight="1" thickBot="1" x14ac:dyDescent="0.25">
      <c r="A14" s="8">
        <v>3</v>
      </c>
      <c r="B14" s="9"/>
      <c r="C14" s="106" t="str">
        <f>'LAB. CENTRAL NT '!E12</f>
        <v>CELLCLEAN AUTO X 20 VIALES -TIPO SYSMEX XNL - 20 X 4 ML</v>
      </c>
      <c r="D14" s="106"/>
      <c r="E14" s="106"/>
      <c r="F14" s="106"/>
      <c r="G14" s="106"/>
      <c r="H14" s="10" t="s">
        <v>19</v>
      </c>
      <c r="I14" s="11" t="str">
        <f>'[1]Necesidades Trimestrales'!F12</f>
        <v>CAJA</v>
      </c>
      <c r="J14" s="12">
        <f>'[1]Necesidades Trimestrales'!H12</f>
        <v>7502</v>
      </c>
      <c r="K14" s="13">
        <f>'[1]Necesidades Trimestrales'!G12</f>
        <v>20</v>
      </c>
    </row>
    <row r="15" spans="1:11" ht="32.25" customHeight="1" thickBot="1" x14ac:dyDescent="0.25">
      <c r="A15" s="8">
        <v>4</v>
      </c>
      <c r="B15" s="9"/>
      <c r="C15" s="106" t="str">
        <f>'LAB. CENTRAL NT '!E13</f>
        <v>REACTIVOS P/EQUIPO; EQUIPO: CONTADOR HEMATOLOGICO, MARCA EQUIPO: SYSMEX ROCHE, NOMBRE DEL PRODUCTO: REACTIVO DIFERENCIAL, PRESENTACION: ENVASE X 5 L</v>
      </c>
      <c r="D15" s="106"/>
      <c r="E15" s="106"/>
      <c r="F15" s="106"/>
      <c r="G15" s="106"/>
      <c r="H15" s="10" t="s">
        <v>19</v>
      </c>
      <c r="I15" s="11" t="str">
        <f>'[1]Necesidades Trimestrales'!F13</f>
        <v>BIDON</v>
      </c>
      <c r="J15" s="12">
        <f>'[1]Necesidades Trimestrales'!H13</f>
        <v>14490</v>
      </c>
      <c r="K15" s="13">
        <f>'[1]Necesidades Trimestrales'!G13</f>
        <v>4</v>
      </c>
    </row>
    <row r="16" spans="1:11" ht="33" customHeight="1" thickBot="1" x14ac:dyDescent="0.25">
      <c r="A16" s="8">
        <v>5</v>
      </c>
      <c r="B16" s="9"/>
      <c r="C16" s="106" t="str">
        <f>'LAB. CENTRAL NT '!E14</f>
        <v>XN CHECK - TIPO SYSMEX XNL - 12 X 30 ML</v>
      </c>
      <c r="D16" s="106"/>
      <c r="E16" s="106"/>
      <c r="F16" s="106"/>
      <c r="G16" s="106"/>
      <c r="H16" s="10" t="s">
        <v>19</v>
      </c>
      <c r="I16" s="11" t="str">
        <f>'[1]Necesidades Trimestrales'!F14</f>
        <v>CAJA</v>
      </c>
      <c r="J16" s="12">
        <f>'[1]Necesidades Trimestrales'!H14</f>
        <v>71186</v>
      </c>
      <c r="K16" s="13">
        <f>'[1]Necesidades Trimestrales'!G14</f>
        <v>6</v>
      </c>
    </row>
    <row r="17" spans="1:11" ht="28.5" customHeight="1" thickBot="1" x14ac:dyDescent="0.25">
      <c r="A17" s="8">
        <v>6</v>
      </c>
      <c r="B17" s="9"/>
      <c r="C17" s="106" t="str">
        <f>'LAB. CENTRAL NT '!E15</f>
        <v>FLUOROCELL 2 X 42 MML P/SYSMEX XN</v>
      </c>
      <c r="D17" s="106"/>
      <c r="E17" s="106"/>
      <c r="F17" s="106"/>
      <c r="G17" s="106"/>
      <c r="H17" s="10" t="s">
        <v>19</v>
      </c>
      <c r="I17" s="11" t="str">
        <f>'[1]Necesidades Trimestrales'!F15</f>
        <v>BIDON</v>
      </c>
      <c r="J17" s="12">
        <f>'[1]Necesidades Trimestrales'!H15</f>
        <v>60322</v>
      </c>
      <c r="K17" s="13">
        <f>'[1]Necesidades Trimestrales'!G15</f>
        <v>4</v>
      </c>
    </row>
    <row r="18" spans="1:11" ht="20.25" customHeight="1" thickBot="1" x14ac:dyDescent="0.25">
      <c r="A18" s="8">
        <v>7</v>
      </c>
      <c r="B18" s="9"/>
      <c r="C18" s="106" t="str">
        <f>'LAB. CENTRAL NT '!E16</f>
        <v>S1 RINSE SOLUTION 2 PCS P/COBAS B221 - 2 U</v>
      </c>
      <c r="D18" s="106"/>
      <c r="E18" s="106"/>
      <c r="F18" s="106"/>
      <c r="G18" s="106"/>
      <c r="H18" s="10" t="s">
        <v>19</v>
      </c>
      <c r="I18" s="11" t="str">
        <f>'[1]Necesidades Trimestrales'!F16</f>
        <v>BIDON</v>
      </c>
      <c r="J18" s="12">
        <f>'[1]Necesidades Trimestrales'!H16</f>
        <v>21395</v>
      </c>
      <c r="K18" s="13">
        <f>'[1]Necesidades Trimestrales'!G16</f>
        <v>10</v>
      </c>
    </row>
    <row r="19" spans="1:11" ht="20.25" customHeight="1" thickBot="1" x14ac:dyDescent="0.25">
      <c r="A19" s="8">
        <v>8</v>
      </c>
      <c r="B19" s="9"/>
      <c r="C19" s="106" t="str">
        <f>'LAB. CENTRAL NT '!E17</f>
        <v>S2 FLUID PACK P/COBAS 221</v>
      </c>
      <c r="D19" s="106"/>
      <c r="E19" s="106"/>
      <c r="F19" s="106"/>
      <c r="G19" s="106"/>
      <c r="H19" s="10" t="s">
        <v>19</v>
      </c>
      <c r="I19" s="11" t="str">
        <f>'[1]Necesidades Trimestrales'!F17</f>
        <v>BIDON</v>
      </c>
      <c r="J19" s="12">
        <f>'[1]Necesidades Trimestrales'!H17</f>
        <v>35079</v>
      </c>
      <c r="K19" s="13">
        <f>'[1]Necesidades Trimestrales'!G17</f>
        <v>20</v>
      </c>
    </row>
    <row r="20" spans="1:11" ht="20.25" customHeight="1" thickBot="1" x14ac:dyDescent="0.25">
      <c r="A20" s="8">
        <v>9</v>
      </c>
      <c r="B20" s="9"/>
      <c r="C20" s="106" t="str">
        <f>'LAB. CENTRAL NT '!E18</f>
        <v>S3 FLUID PACK P/COBAS 221</v>
      </c>
      <c r="D20" s="106"/>
      <c r="E20" s="106"/>
      <c r="F20" s="106"/>
      <c r="G20" s="106"/>
      <c r="H20" s="10" t="s">
        <v>19</v>
      </c>
      <c r="I20" s="11" t="str">
        <f>'[1]Necesidades Trimestrales'!F18</f>
        <v>BIDON</v>
      </c>
      <c r="J20" s="12">
        <f>'[1]Necesidades Trimestrales'!H18</f>
        <v>46545</v>
      </c>
      <c r="K20" s="13">
        <f>'[1]Necesidades Trimestrales'!G18</f>
        <v>20</v>
      </c>
    </row>
    <row r="21" spans="1:11" ht="34.5" customHeight="1" thickBot="1" x14ac:dyDescent="0.25">
      <c r="A21" s="8">
        <v>10</v>
      </c>
      <c r="B21" s="9"/>
      <c r="C21" s="106" t="str">
        <f>'LAB. CENTRAL NT '!E19</f>
        <v>PATRON/ESTANDAR P/CALIBRACION; PRESENTACION: 30 X ENVASE X 1,7 mL, NOMBRE DEL PRODUCTO: COMBITROL TS NIVEL 1, MARCA EQUIPO: ROCHE, EQUIPO: ANALIZADOR DE GASES</v>
      </c>
      <c r="D21" s="106"/>
      <c r="E21" s="106"/>
      <c r="F21" s="106"/>
      <c r="G21" s="106"/>
      <c r="H21" s="10" t="s">
        <v>19</v>
      </c>
      <c r="I21" s="11" t="str">
        <f>'[1]Necesidades Trimestrales'!F19</f>
        <v>CAJA</v>
      </c>
      <c r="J21" s="12">
        <f>'[1]Necesidades Trimestrales'!H19</f>
        <v>14924</v>
      </c>
      <c r="K21" s="13">
        <f>'[1]Necesidades Trimestrales'!G19</f>
        <v>4</v>
      </c>
    </row>
    <row r="22" spans="1:11" ht="34.5" customHeight="1" thickBot="1" x14ac:dyDescent="0.25">
      <c r="A22" s="8">
        <v>11</v>
      </c>
      <c r="B22" s="9"/>
      <c r="C22" s="106" t="str">
        <f>'LAB. CENTRAL NT '!E20</f>
        <v>PATRON/ESTANDAR P/CALIBRACION; PRESENTACION: 30 X ENVASE X 1,7 mL, NOMBRE DEL PRODUCTO: COMBITROL TS NIVEL 2, MARCA EQUIPO: ROCHE, EQUIPO: ANALIZADOR DE GASES</v>
      </c>
      <c r="D22" s="106"/>
      <c r="E22" s="106"/>
      <c r="F22" s="106"/>
      <c r="G22" s="106"/>
      <c r="H22" s="10" t="s">
        <v>19</v>
      </c>
      <c r="I22" s="11" t="str">
        <f>'[1]Necesidades Trimestrales'!F20</f>
        <v>CAJA</v>
      </c>
      <c r="J22" s="12">
        <f>'[1]Necesidades Trimestrales'!H20</f>
        <v>14924</v>
      </c>
      <c r="K22" s="13">
        <f>'[1]Necesidades Trimestrales'!G20</f>
        <v>4</v>
      </c>
    </row>
    <row r="23" spans="1:11" ht="35.25" customHeight="1" thickBot="1" x14ac:dyDescent="0.25">
      <c r="A23" s="8">
        <v>12</v>
      </c>
      <c r="B23" s="9"/>
      <c r="C23" s="106" t="str">
        <f>'LAB. CENTRAL NT '!E21</f>
        <v>PATRON/ESTANDAR P/CALIBRACION; PRESENTACION: 30 X ENVASE X 1,7 mL, NOMBRE DEL PRODUCTO: COMBITROL TS NIVEL 3, MARCA EQUIPO: ROCHE, EQUIPO: ANALIZADOR DE GASES</v>
      </c>
      <c r="D23" s="106"/>
      <c r="E23" s="106"/>
      <c r="F23" s="106"/>
      <c r="G23" s="106"/>
      <c r="H23" s="10" t="s">
        <v>19</v>
      </c>
      <c r="I23" s="11" t="str">
        <f>'[1]Necesidades Trimestrales'!F21</f>
        <v>CAJA</v>
      </c>
      <c r="J23" s="12">
        <f>'[1]Necesidades Trimestrales'!H21</f>
        <v>14924</v>
      </c>
      <c r="K23" s="13">
        <f>'[1]Necesidades Trimestrales'!G21</f>
        <v>4</v>
      </c>
    </row>
    <row r="24" spans="1:11" ht="33" customHeight="1" thickBot="1" x14ac:dyDescent="0.25">
      <c r="A24" s="8">
        <v>13</v>
      </c>
      <c r="B24" s="9"/>
      <c r="C24" s="106" t="str">
        <f>'LAB. CENTRAL NT '!E22</f>
        <v>REACTIVOS P/EQUIPO; EQUIPO: ANALIZADOR DE GASES, MARCA EQUIPO: ROCHE, NOMBRE DEL PRODUCTO: DET. DE GLUCOSA Y LACTATO, PRESENTACION: DETERMINACION</v>
      </c>
      <c r="D24" s="106"/>
      <c r="E24" s="106"/>
      <c r="F24" s="106"/>
      <c r="G24" s="106"/>
      <c r="H24" s="10" t="s">
        <v>19</v>
      </c>
      <c r="I24" s="11" t="str">
        <f>'[1]Necesidades Trimestrales'!F22</f>
        <v>CAJA</v>
      </c>
      <c r="J24" s="12">
        <f>'[1]Necesidades Trimestrales'!H22</f>
        <v>9583</v>
      </c>
      <c r="K24" s="13">
        <f>'[1]Necesidades Trimestrales'!G22</f>
        <v>12</v>
      </c>
    </row>
    <row r="25" spans="1:11" ht="20.25" customHeight="1" thickBot="1" x14ac:dyDescent="0.25">
      <c r="A25" s="8">
        <v>14</v>
      </c>
      <c r="B25" s="9"/>
      <c r="C25" s="106" t="str">
        <f>'LAB. CENTRAL NT '!E23</f>
        <v>AMPOULE ADAPTER X 150PCS P/COBAS B221</v>
      </c>
      <c r="D25" s="106"/>
      <c r="E25" s="106"/>
      <c r="F25" s="106"/>
      <c r="G25" s="106"/>
      <c r="H25" s="10" t="s">
        <v>19</v>
      </c>
      <c r="I25" s="11" t="str">
        <f>'[1]Necesidades Trimestrales'!F23</f>
        <v>CAJA</v>
      </c>
      <c r="J25" s="12">
        <f>'[1]Necesidades Trimestrales'!H23</f>
        <v>4345</v>
      </c>
      <c r="K25" s="13">
        <f>'[1]Necesidades Trimestrales'!G23</f>
        <v>4</v>
      </c>
    </row>
    <row r="26" spans="1:11" ht="38.25" customHeight="1" thickBot="1" x14ac:dyDescent="0.25">
      <c r="A26" s="8">
        <v>15</v>
      </c>
      <c r="B26" s="9"/>
      <c r="C26" s="106" t="str">
        <f>'LAB. CENTRAL NT '!E24</f>
        <v>REACTIVOS P/EQUIPO; EQUIPO: AUTOANA. QUIMICA CLINICA, MARCA EQUIPO: COBAS ROCHE, NOMBRE DEL PRODUCTO: BILIRRUBINA DIRECTA, PRESENTACION: ENVASE X 350 DETERM.</v>
      </c>
      <c r="D26" s="106"/>
      <c r="E26" s="106"/>
      <c r="F26" s="106"/>
      <c r="G26" s="106"/>
      <c r="H26" s="10" t="s">
        <v>19</v>
      </c>
      <c r="I26" s="11" t="str">
        <f>'[1]Necesidades Trimestrales'!F24</f>
        <v>CASSETTE</v>
      </c>
      <c r="J26" s="12">
        <f>'[1]Necesidades Trimestrales'!H24</f>
        <v>3112</v>
      </c>
      <c r="K26" s="13">
        <f>'[1]Necesidades Trimestrales'!G24</f>
        <v>10</v>
      </c>
    </row>
    <row r="27" spans="1:11" ht="37.5" customHeight="1" thickBot="1" x14ac:dyDescent="0.25">
      <c r="A27" s="8">
        <v>16</v>
      </c>
      <c r="B27" s="9"/>
      <c r="C27" s="106" t="str">
        <f>'LAB. CENTRAL NT '!E25</f>
        <v>REACTIVOS P/EQUIPO; EQUIPO: AUTOANA. QUIMICA CLINICA, MARCA EQUIPO: COBAS ROCHE, NOMBRE DEL PRODUCTO: BILIRRUBINA TOTAL, PRESENTACION: ENVASE X 250 DETERM.</v>
      </c>
      <c r="D27" s="106"/>
      <c r="E27" s="106"/>
      <c r="F27" s="106"/>
      <c r="G27" s="106"/>
      <c r="H27" s="10" t="s">
        <v>19</v>
      </c>
      <c r="I27" s="11" t="str">
        <f>'[1]Necesidades Trimestrales'!F25</f>
        <v>CASSETTE</v>
      </c>
      <c r="J27" s="12">
        <f>'[1]Necesidades Trimestrales'!H25</f>
        <v>3194</v>
      </c>
      <c r="K27" s="13">
        <f>'[1]Necesidades Trimestrales'!G25</f>
        <v>10</v>
      </c>
    </row>
    <row r="28" spans="1:11" ht="32.25" customHeight="1" thickBot="1" x14ac:dyDescent="0.25">
      <c r="A28" s="8">
        <v>17</v>
      </c>
      <c r="B28" s="9"/>
      <c r="C28" s="106" t="str">
        <f>'LAB. CENTRAL NT '!E26</f>
        <v>REACTIVOS P/EQUIPO; EQUIPO: AUTOANA. QUIMICA CLINICA, MARCA EQUIPO: COBAS ROCHE, NOMBRE DEL PRODUCTO: CALCIO, PRESENTACION: ENVASE X 300 DETERM.</v>
      </c>
      <c r="D28" s="106"/>
      <c r="E28" s="106"/>
      <c r="F28" s="106"/>
      <c r="G28" s="106"/>
      <c r="H28" s="10" t="s">
        <v>19</v>
      </c>
      <c r="I28" s="11" t="str">
        <f>'[1]Necesidades Trimestrales'!F26</f>
        <v>CASSETTE</v>
      </c>
      <c r="J28" s="12">
        <f>'[1]Necesidades Trimestrales'!H26</f>
        <v>3194</v>
      </c>
      <c r="K28" s="13">
        <f>'[1]Necesidades Trimestrales'!G26</f>
        <v>10</v>
      </c>
    </row>
    <row r="29" spans="1:11" ht="35.25" customHeight="1" thickBot="1" x14ac:dyDescent="0.25">
      <c r="A29" s="8">
        <v>18</v>
      </c>
      <c r="B29" s="9"/>
      <c r="C29" s="106" t="str">
        <f>'LAB. CENTRAL NT '!E27</f>
        <v>REACTIVOS P/EQUIPO; EQUIPO: ANALIZADOR MULTIPARAMETRICO, MARCA EQUIPO: COBAS ROCHE, NOMBRE DEL PRODUCTO: DET. DE CREATININA, PRESENTACION: UNIDAD</v>
      </c>
      <c r="D29" s="106"/>
      <c r="E29" s="106"/>
      <c r="F29" s="106"/>
      <c r="G29" s="106"/>
      <c r="H29" s="10" t="s">
        <v>19</v>
      </c>
      <c r="I29" s="11" t="str">
        <f>'[1]Necesidades Trimestrales'!F27</f>
        <v>CASSETTE</v>
      </c>
      <c r="J29" s="12">
        <f>'[1]Necesidades Trimestrales'!H27</f>
        <v>3502</v>
      </c>
      <c r="K29" s="13">
        <f>'[1]Necesidades Trimestrales'!G27</f>
        <v>10</v>
      </c>
    </row>
    <row r="30" spans="1:11" ht="34.5" customHeight="1" thickBot="1" x14ac:dyDescent="0.25">
      <c r="A30" s="8">
        <v>19</v>
      </c>
      <c r="B30" s="9"/>
      <c r="C30" s="106" t="str">
        <f>'LAB. CENTRAL NT '!E28</f>
        <v>FACTOR REUMATOIDEO P COBAS C 311 - ENVASE X 100 DETERM.</v>
      </c>
      <c r="D30" s="106"/>
      <c r="E30" s="106"/>
      <c r="F30" s="106"/>
      <c r="G30" s="106"/>
      <c r="H30" s="10" t="s">
        <v>19</v>
      </c>
      <c r="I30" s="11" t="str">
        <f>'[1]Necesidades Trimestrales'!F28</f>
        <v>CASSETTE</v>
      </c>
      <c r="J30" s="12">
        <f>'[1]Necesidades Trimestrales'!H28</f>
        <v>8016</v>
      </c>
      <c r="K30" s="13">
        <f>'[1]Necesidades Trimestrales'!G28</f>
        <v>2</v>
      </c>
    </row>
    <row r="31" spans="1:11" ht="33" customHeight="1" thickBot="1" x14ac:dyDescent="0.25">
      <c r="A31" s="8">
        <v>20</v>
      </c>
      <c r="B31" s="9"/>
      <c r="C31" s="106" t="str">
        <f>'LAB. CENTRAL NT '!E29</f>
        <v>REACTIVOS P/EQUIPO; EQUIPO: AUTOMATIZADO, MARCA EQUIPO: A DEFINIR, NOMBRE DEL PRODUCTO: FERRITINA, PRESENTACION: DETERMINACION</v>
      </c>
      <c r="D31" s="106"/>
      <c r="E31" s="106"/>
      <c r="F31" s="106"/>
      <c r="G31" s="106"/>
      <c r="H31" s="10" t="s">
        <v>19</v>
      </c>
      <c r="I31" s="11" t="str">
        <f>'[1]Necesidades Trimestrales'!F29</f>
        <v>CASSETTE</v>
      </c>
      <c r="J31" s="12">
        <f>'[1]Necesidades Trimestrales'!H29</f>
        <v>41251</v>
      </c>
      <c r="K31" s="13">
        <f>'[1]Necesidades Trimestrales'!G29</f>
        <v>6</v>
      </c>
    </row>
    <row r="32" spans="1:11" ht="33" customHeight="1" thickBot="1" x14ac:dyDescent="0.25">
      <c r="A32" s="8">
        <v>21</v>
      </c>
      <c r="B32" s="9"/>
      <c r="C32" s="106" t="str">
        <f>'LAB. CENTRAL NT '!E30</f>
        <v>REACTIVOS P/EQUIPO; EQUIPO: ANALIZADOR MULTIPARAMETRICO, MARCA EQUIPO: COBAS ROCHE, NOMBRE DEL PRODUCTO: DET. DE FOSFATASA ALCALINA, PRESENTACION: UNIDAD</v>
      </c>
      <c r="D32" s="106"/>
      <c r="E32" s="106"/>
      <c r="F32" s="106"/>
      <c r="G32" s="106"/>
      <c r="H32" s="10" t="s">
        <v>19</v>
      </c>
      <c r="I32" s="11" t="str">
        <f>'[1]Necesidades Trimestrales'!F30</f>
        <v>CASSETTE</v>
      </c>
      <c r="J32" s="12">
        <f>'[1]Necesidades Trimestrales'!H30</f>
        <v>6719</v>
      </c>
      <c r="K32" s="13">
        <f>'[1]Necesidades Trimestrales'!G30</f>
        <v>10</v>
      </c>
    </row>
    <row r="33" spans="1:11" ht="39.75" customHeight="1" thickBot="1" x14ac:dyDescent="0.25">
      <c r="A33" s="8">
        <v>22</v>
      </c>
      <c r="B33" s="9"/>
      <c r="C33" s="106" t="str">
        <f>'LAB. CENTRAL NT '!E31</f>
        <v>REACTIVOS P/EQUIPO; EQUIPO: AUTOANA. QUIMICA CLINICA, MARCA EQUIPO: COBAS ROCHE, NOMBRE DEL PRODUCTO: FOSFORO, PRESENTACION: ENVASE X 250 DETERM.</v>
      </c>
      <c r="D33" s="106"/>
      <c r="E33" s="106"/>
      <c r="F33" s="106"/>
      <c r="G33" s="106"/>
      <c r="H33" s="10" t="s">
        <v>19</v>
      </c>
      <c r="I33" s="11" t="str">
        <f>'[1]Necesidades Trimestrales'!F31</f>
        <v>CASSETTE</v>
      </c>
      <c r="J33" s="12">
        <f>'[1]Necesidades Trimestrales'!H31</f>
        <v>2963</v>
      </c>
      <c r="K33" s="13">
        <f>'[1]Necesidades Trimestrales'!G31</f>
        <v>2</v>
      </c>
    </row>
    <row r="34" spans="1:11" ht="40.5" customHeight="1" thickBot="1" x14ac:dyDescent="0.25">
      <c r="A34" s="8">
        <v>23</v>
      </c>
      <c r="B34" s="9"/>
      <c r="C34" s="106" t="str">
        <f>'LAB. CENTRAL NT '!E32</f>
        <v>REACTIVOS P/EQUIPO; EQUIPO: ANALIZADOR MULTIPARAMETRICO, MARCA EQUIPO: COBAS ROCHE, NOMBRE DEL PRODUCTO: DET. DE GGT, PRESENTACION: UNIDAD</v>
      </c>
      <c r="D34" s="106"/>
      <c r="E34" s="106"/>
      <c r="F34" s="106"/>
      <c r="G34" s="106"/>
      <c r="H34" s="10" t="s">
        <v>19</v>
      </c>
      <c r="I34" s="11" t="str">
        <f>'[1]Necesidades Trimestrales'!F32</f>
        <v>CASSETTE</v>
      </c>
      <c r="J34" s="12">
        <f>'[1]Necesidades Trimestrales'!H32</f>
        <v>7033</v>
      </c>
      <c r="K34" s="13">
        <f>'[1]Necesidades Trimestrales'!G32</f>
        <v>3</v>
      </c>
    </row>
    <row r="35" spans="1:11" ht="35.25" customHeight="1" thickBot="1" x14ac:dyDescent="0.25">
      <c r="A35" s="8">
        <v>24</v>
      </c>
      <c r="B35" s="9"/>
      <c r="C35" s="106" t="str">
        <f>'LAB. CENTRAL NT '!E33</f>
        <v>REACTIVOS P/EQUIPO; EQUIPO: AUTOANA. QUIMICA CLINICA, MARCA EQUIPO: COBAS ROCHE, NOMBRE DEL PRODUCTO: GLUCOSA, PRESENTACION: ENVASE X 800 DETERM.</v>
      </c>
      <c r="D35" s="106"/>
      <c r="E35" s="106"/>
      <c r="F35" s="106"/>
      <c r="G35" s="106"/>
      <c r="H35" s="10" t="s">
        <v>19</v>
      </c>
      <c r="I35" s="11" t="str">
        <f>'[1]Necesidades Trimestrales'!F33</f>
        <v>CASSETTE</v>
      </c>
      <c r="J35" s="12">
        <f>'[1]Necesidades Trimestrales'!H33</f>
        <v>7000</v>
      </c>
      <c r="K35" s="13">
        <f>'[1]Necesidades Trimestrales'!G33</f>
        <v>10</v>
      </c>
    </row>
    <row r="36" spans="1:11" ht="35.25" customHeight="1" thickBot="1" x14ac:dyDescent="0.25">
      <c r="A36" s="8">
        <v>25</v>
      </c>
      <c r="B36" s="9"/>
      <c r="C36" s="106" t="str">
        <f>'LAB. CENTRAL NT '!E34</f>
        <v>REACTIVOS P/EQUIPO; EQUIPO: ANALIZADOR MULTIPARAMETRICO, MARCA EQUIPO: COBAS ROCHE, NOMBRE DEL PRODUCTO: DET. DE AST/TGO, PRESENTACION: UNIDAD</v>
      </c>
      <c r="D36" s="106"/>
      <c r="E36" s="106"/>
      <c r="F36" s="106"/>
      <c r="G36" s="106"/>
      <c r="H36" s="10" t="s">
        <v>19</v>
      </c>
      <c r="I36" s="11" t="str">
        <f>'[1]Necesidades Trimestrales'!F34</f>
        <v>CASSETTE</v>
      </c>
      <c r="J36" s="12">
        <f>'[1]Necesidades Trimestrales'!H34</f>
        <v>6720</v>
      </c>
      <c r="K36" s="13">
        <f>'[1]Necesidades Trimestrales'!G34</f>
        <v>10</v>
      </c>
    </row>
    <row r="37" spans="1:11" ht="30" customHeight="1" thickBot="1" x14ac:dyDescent="0.25">
      <c r="A37" s="8">
        <v>26</v>
      </c>
      <c r="B37" s="9"/>
      <c r="C37" s="106" t="str">
        <f>'LAB. CENTRAL NT '!E35</f>
        <v>REACTIVOS P/EQUIPO; EQUIPO: ANALIZADOR MULTIPARAMETRICO, MARCA EQUIPO: COBAS ROCHE, NOMBRE DEL PRODUCTO: DET. DE ALT/TGP, PRESENTACION: UNIDAD</v>
      </c>
      <c r="D37" s="106"/>
      <c r="E37" s="106"/>
      <c r="F37" s="106"/>
      <c r="G37" s="106"/>
      <c r="H37" s="10" t="s">
        <v>19</v>
      </c>
      <c r="I37" s="11" t="str">
        <f>'[1]Necesidades Trimestrales'!F35</f>
        <v>CASSETTE</v>
      </c>
      <c r="J37" s="12">
        <f>'[1]Necesidades Trimestrales'!H35</f>
        <v>6720</v>
      </c>
      <c r="K37" s="13">
        <f>'[1]Necesidades Trimestrales'!G35</f>
        <v>10</v>
      </c>
    </row>
    <row r="38" spans="1:11" ht="33" customHeight="1" thickBot="1" x14ac:dyDescent="0.25">
      <c r="A38" s="8">
        <v>27</v>
      </c>
      <c r="B38" s="9"/>
      <c r="C38" s="106" t="str">
        <f>'LAB. CENTRAL NT '!E36</f>
        <v>Proteína C Reactiva - CRPL - P COBAS C 311 x 250 det.</v>
      </c>
      <c r="D38" s="106"/>
      <c r="E38" s="106"/>
      <c r="F38" s="106"/>
      <c r="G38" s="106"/>
      <c r="H38" s="10" t="s">
        <v>19</v>
      </c>
      <c r="I38" s="11" t="str">
        <f>'[1]Necesidades Trimestrales'!F36</f>
        <v>CASSETTE</v>
      </c>
      <c r="J38" s="12">
        <f>'[1]Necesidades Trimestrales'!H36</f>
        <v>28879</v>
      </c>
      <c r="K38" s="13">
        <f>'[1]Necesidades Trimestrales'!G36</f>
        <v>12</v>
      </c>
    </row>
    <row r="39" spans="1:11" ht="36" customHeight="1" thickBot="1" x14ac:dyDescent="0.25">
      <c r="A39" s="8">
        <v>28</v>
      </c>
      <c r="B39" s="9"/>
      <c r="C39" s="106" t="str">
        <f>'LAB. CENTRAL NT '!E37</f>
        <v>REACTIVOS P/EQUIPO; EQUIPO: ANALIZADOR MULTIPARAMETRICO, MARCA EQUIPO: COBAS ROCHE, NOMBRE DEL PRODUCTO: DET. DE PROTEINAS EN ORINA, PRESENTACION: UNIDAD</v>
      </c>
      <c r="D39" s="106"/>
      <c r="E39" s="106"/>
      <c r="F39" s="106"/>
      <c r="G39" s="106"/>
      <c r="H39" s="10" t="s">
        <v>19</v>
      </c>
      <c r="I39" s="11" t="str">
        <f>'[1]Necesidades Trimestrales'!F37</f>
        <v>CASSETTE</v>
      </c>
      <c r="J39" s="12">
        <f>'[1]Necesidades Trimestrales'!H37</f>
        <v>4570</v>
      </c>
      <c r="K39" s="13">
        <f>'[1]Necesidades Trimestrales'!G37</f>
        <v>2</v>
      </c>
    </row>
    <row r="40" spans="1:11" ht="35.25" customHeight="1" thickBot="1" x14ac:dyDescent="0.25">
      <c r="A40" s="8">
        <v>29</v>
      </c>
      <c r="B40" s="9"/>
      <c r="C40" s="106" t="str">
        <f>'LAB. CENTRAL NT '!E38</f>
        <v>REACTIVOS P/EQUIPO; EQUIPO: AUTOANA. QUIMICA CLINICA, MARCA EQUIPO: COBAS ROCHE, NOMBRE DEL PRODUCTO: PROTEINAS TOTALES, PRESENTACION: ENVASE X 400 DETERM.</v>
      </c>
      <c r="D40" s="106"/>
      <c r="E40" s="106"/>
      <c r="F40" s="106"/>
      <c r="G40" s="106"/>
      <c r="H40" s="10" t="s">
        <v>19</v>
      </c>
      <c r="I40" s="11" t="str">
        <f>'[1]Necesidades Trimestrales'!F38</f>
        <v>CASSETTE</v>
      </c>
      <c r="J40" s="12">
        <f>'[1]Necesidades Trimestrales'!H38</f>
        <v>1341</v>
      </c>
      <c r="K40" s="13">
        <f>'[1]Necesidades Trimestrales'!G38</f>
        <v>8</v>
      </c>
    </row>
    <row r="41" spans="1:11" ht="40.5" customHeight="1" thickBot="1" x14ac:dyDescent="0.25">
      <c r="A41" s="8">
        <v>30</v>
      </c>
      <c r="B41" s="9"/>
      <c r="C41" s="106" t="str">
        <f>'LAB. CENTRAL NT '!E39</f>
        <v>REACTIVOS P/EQUIPO; EQUIPO: ANALIZADOR MULTIPARAMETRICO, MARCA EQUIPO: COBAS ROCHE, NOMBRE DEL PRODUCTO: DET. DE UREA/BUN, PRESENTACION: UNIDAD</v>
      </c>
      <c r="D41" s="106"/>
      <c r="E41" s="106"/>
      <c r="F41" s="106"/>
      <c r="G41" s="106"/>
      <c r="H41" s="10" t="s">
        <v>19</v>
      </c>
      <c r="I41" s="11" t="str">
        <f>'[1]Necesidades Trimestrales'!F39</f>
        <v>CASSETTE</v>
      </c>
      <c r="J41" s="12">
        <f>'[1]Necesidades Trimestrales'!H39</f>
        <v>4772</v>
      </c>
      <c r="K41" s="13">
        <f>'[1]Necesidades Trimestrales'!G39</f>
        <v>10</v>
      </c>
    </row>
    <row r="42" spans="1:11" ht="20.25" customHeight="1" thickBot="1" x14ac:dyDescent="0.25">
      <c r="A42" s="8">
        <v>31</v>
      </c>
      <c r="B42" s="9"/>
      <c r="C42" s="106" t="str">
        <f>'LAB. CENTRAL NT '!E40</f>
        <v>ISE DILUENT P/COBAS C311 5x300 ml.</v>
      </c>
      <c r="D42" s="106"/>
      <c r="E42" s="106"/>
      <c r="F42" s="106"/>
      <c r="G42" s="106"/>
      <c r="H42" s="10" t="s">
        <v>19</v>
      </c>
      <c r="I42" s="11" t="str">
        <f>'[1]Necesidades Trimestrales'!F40</f>
        <v>CAJA</v>
      </c>
      <c r="J42" s="12">
        <f>'[1]Necesidades Trimestrales'!H40</f>
        <v>12495</v>
      </c>
      <c r="K42" s="13">
        <f>'[1]Necesidades Trimestrales'!G40</f>
        <v>8</v>
      </c>
    </row>
    <row r="43" spans="1:11" ht="34.5" customHeight="1" thickBot="1" x14ac:dyDescent="0.25">
      <c r="A43" s="8">
        <v>32</v>
      </c>
      <c r="B43" s="9"/>
      <c r="C43" s="106" t="str">
        <f>'LAB. CENTRAL NT '!E41</f>
        <v>REACTIVOS P/EQUIPO; EQUIPO: AUTOANA. QUIMICA CLINICA, MARCA EQUIPO: COBAS ROCHE, NOMBRE DEL PRODUCTO: ESTANDAR INTERNO P/IONOGRAMAS, PRESENTACION: 5 X ENVASE X 600 Ml</v>
      </c>
      <c r="D43" s="106"/>
      <c r="E43" s="106"/>
      <c r="F43" s="106"/>
      <c r="G43" s="106"/>
      <c r="H43" s="10" t="s">
        <v>19</v>
      </c>
      <c r="I43" s="11" t="str">
        <f>'[1]Necesidades Trimestrales'!F41</f>
        <v>CAJA</v>
      </c>
      <c r="J43" s="12">
        <f>'[1]Necesidades Trimestrales'!H41</f>
        <v>15336</v>
      </c>
      <c r="K43" s="13">
        <f>'[1]Necesidades Trimestrales'!G41</f>
        <v>12</v>
      </c>
    </row>
    <row r="44" spans="1:11" ht="35.25" customHeight="1" thickBot="1" x14ac:dyDescent="0.25">
      <c r="A44" s="8">
        <v>33</v>
      </c>
      <c r="B44" s="9"/>
      <c r="C44" s="106" t="str">
        <f>'LAB. CENTRAL NT '!E42</f>
        <v>ISE SOLUTION DE REFERENCIA P/COBAS C311 - PRESENTACION: 2 X ENVASE X 115 mL</v>
      </c>
      <c r="D44" s="106"/>
      <c r="E44" s="106"/>
      <c r="F44" s="106"/>
      <c r="G44" s="106"/>
      <c r="H44" s="10" t="s">
        <v>19</v>
      </c>
      <c r="I44" s="11" t="str">
        <f>'[1]Necesidades Trimestrales'!F42</f>
        <v>UNIDAD</v>
      </c>
      <c r="J44" s="12">
        <f>'[1]Necesidades Trimestrales'!H42</f>
        <v>5776</v>
      </c>
      <c r="K44" s="13">
        <f>'[1]Necesidades Trimestrales'!G42</f>
        <v>12</v>
      </c>
    </row>
    <row r="45" spans="1:11" ht="20.25" customHeight="1" thickBot="1" x14ac:dyDescent="0.25">
      <c r="A45" s="8">
        <v>34</v>
      </c>
      <c r="B45" s="9"/>
      <c r="C45" s="106" t="str">
        <f>'LAB. CENTRAL NT '!E43</f>
        <v>ISE STANDART HIGH P/COBAS C311 10 x 3 ml.</v>
      </c>
      <c r="D45" s="106"/>
      <c r="E45" s="106"/>
      <c r="F45" s="106"/>
      <c r="G45" s="106"/>
      <c r="H45" s="10" t="s">
        <v>19</v>
      </c>
      <c r="I45" s="11" t="str">
        <f>'[1]Necesidades Trimestrales'!F43</f>
        <v>UNIDAD</v>
      </c>
      <c r="J45" s="12">
        <f>'[1]Necesidades Trimestrales'!H43</f>
        <v>2141</v>
      </c>
      <c r="K45" s="13">
        <f>'[1]Necesidades Trimestrales'!G43</f>
        <v>2</v>
      </c>
    </row>
    <row r="46" spans="1:11" ht="20.25" customHeight="1" thickBot="1" x14ac:dyDescent="0.25">
      <c r="A46" s="8">
        <v>35</v>
      </c>
      <c r="B46" s="9"/>
      <c r="C46" s="106" t="str">
        <f>'LAB. CENTRAL NT '!E44</f>
        <v>ISE STANDART LOW P/COBAS C311 10 x 3 ml.</v>
      </c>
      <c r="D46" s="106"/>
      <c r="E46" s="106"/>
      <c r="F46" s="106"/>
      <c r="G46" s="106"/>
      <c r="H46" s="10" t="s">
        <v>19</v>
      </c>
      <c r="I46" s="11" t="str">
        <f>'[1]Necesidades Trimestrales'!F44</f>
        <v>UNIDAD</v>
      </c>
      <c r="J46" s="12">
        <f>'[1]Necesidades Trimestrales'!H44</f>
        <v>2141</v>
      </c>
      <c r="K46" s="13">
        <f>'[1]Necesidades Trimestrales'!G44</f>
        <v>3</v>
      </c>
    </row>
    <row r="47" spans="1:11" ht="20.25" customHeight="1" thickBot="1" x14ac:dyDescent="0.25">
      <c r="A47" s="8">
        <v>36</v>
      </c>
      <c r="B47" s="9"/>
      <c r="C47" s="106" t="str">
        <f>'LAB. CENTRAL NT '!E45</f>
        <v>ISE ELECTRODO DE SODIO P/COBAS C311</v>
      </c>
      <c r="D47" s="106"/>
      <c r="E47" s="106"/>
      <c r="F47" s="106"/>
      <c r="G47" s="106"/>
      <c r="H47" s="10" t="s">
        <v>19</v>
      </c>
      <c r="I47" s="11" t="str">
        <f>'[1]Necesidades Trimestrales'!F45</f>
        <v>UNIDAD</v>
      </c>
      <c r="J47" s="12">
        <f>'[1]Necesidades Trimestrales'!H45</f>
        <v>23533</v>
      </c>
      <c r="K47" s="13">
        <f>'[1]Necesidades Trimestrales'!G45</f>
        <v>2</v>
      </c>
    </row>
    <row r="48" spans="1:11" ht="20.25" customHeight="1" thickBot="1" x14ac:dyDescent="0.25">
      <c r="A48" s="8">
        <v>37</v>
      </c>
      <c r="B48" s="9"/>
      <c r="C48" s="106" t="str">
        <f>'LAB. CENTRAL NT '!E46</f>
        <v>ISE ELECTRODO DE SODIO P/COBAS B221</v>
      </c>
      <c r="D48" s="106"/>
      <c r="E48" s="106"/>
      <c r="F48" s="106"/>
      <c r="G48" s="106"/>
      <c r="H48" s="10" t="s">
        <v>19</v>
      </c>
      <c r="I48" s="11" t="str">
        <f>'[1]Necesidades Trimestrales'!F46</f>
        <v>UNIDAD</v>
      </c>
      <c r="J48" s="12">
        <f>'[1]Necesidades Trimestrales'!H46</f>
        <v>8891</v>
      </c>
      <c r="K48" s="13">
        <f>'[1]Necesidades Trimestrales'!G46</f>
        <v>2</v>
      </c>
    </row>
    <row r="49" spans="1:11" ht="20.25" customHeight="1" thickBot="1" x14ac:dyDescent="0.25">
      <c r="A49" s="8">
        <v>38</v>
      </c>
      <c r="B49" s="9"/>
      <c r="C49" s="106" t="str">
        <f>'LAB. CENTRAL NT '!E47</f>
        <v>ISE ELECTRODO DE POTASIO P/COBAS C311</v>
      </c>
      <c r="D49" s="106"/>
      <c r="E49" s="106"/>
      <c r="F49" s="106"/>
      <c r="G49" s="106"/>
      <c r="H49" s="10" t="s">
        <v>19</v>
      </c>
      <c r="I49" s="11" t="str">
        <f>'[1]Necesidades Trimestrales'!F47</f>
        <v>UNIDAD</v>
      </c>
      <c r="J49" s="12">
        <f>'[1]Necesidades Trimestrales'!H47</f>
        <v>23533</v>
      </c>
      <c r="K49" s="13">
        <f>'[1]Necesidades Trimestrales'!G47</f>
        <v>2</v>
      </c>
    </row>
    <row r="50" spans="1:11" ht="20.25" customHeight="1" thickBot="1" x14ac:dyDescent="0.25">
      <c r="A50" s="8">
        <v>39</v>
      </c>
      <c r="B50" s="9"/>
      <c r="C50" s="106" t="str">
        <f>'LAB. CENTRAL NT '!E48</f>
        <v>ISE ELECTRODO DE POTASIO P/COBAS B221</v>
      </c>
      <c r="D50" s="106"/>
      <c r="E50" s="106"/>
      <c r="F50" s="106"/>
      <c r="G50" s="106"/>
      <c r="H50" s="10" t="s">
        <v>19</v>
      </c>
      <c r="I50" s="11" t="str">
        <f>'[1]Necesidades Trimestrales'!F48</f>
        <v>UNIDAD</v>
      </c>
      <c r="J50" s="12">
        <f>'[1]Necesidades Trimestrales'!H48</f>
        <v>8891</v>
      </c>
      <c r="K50" s="13">
        <f>'[1]Necesidades Trimestrales'!G48</f>
        <v>2</v>
      </c>
    </row>
    <row r="51" spans="1:11" ht="20.25" customHeight="1" thickBot="1" x14ac:dyDescent="0.25">
      <c r="A51" s="8">
        <v>40</v>
      </c>
      <c r="B51" s="9"/>
      <c r="C51" s="106" t="str">
        <f>'LAB. CENTRAL NT '!E49</f>
        <v>ISE ELECTRODO DE CLORO P/COBAS C311</v>
      </c>
      <c r="D51" s="106"/>
      <c r="E51" s="106"/>
      <c r="F51" s="106"/>
      <c r="G51" s="106"/>
      <c r="H51" s="10" t="s">
        <v>19</v>
      </c>
      <c r="I51" s="11" t="str">
        <f>'[1]Necesidades Trimestrales'!F49</f>
        <v>UNIDAD</v>
      </c>
      <c r="J51" s="12">
        <f>'[1]Necesidades Trimestrales'!H49</f>
        <v>37087</v>
      </c>
      <c r="K51" s="13">
        <f>'[1]Necesidades Trimestrales'!G49</f>
        <v>3</v>
      </c>
    </row>
    <row r="52" spans="1:11" ht="20.25" customHeight="1" thickBot="1" x14ac:dyDescent="0.25">
      <c r="A52" s="8">
        <v>41</v>
      </c>
      <c r="B52" s="9"/>
      <c r="C52" s="106" t="str">
        <f>'LAB. CENTRAL NT '!E50</f>
        <v>ISE ELECTRODO DE CLORO P/COBAS B221</v>
      </c>
      <c r="D52" s="106"/>
      <c r="E52" s="106"/>
      <c r="F52" s="106"/>
      <c r="G52" s="106"/>
      <c r="H52" s="10" t="s">
        <v>19</v>
      </c>
      <c r="I52" s="11" t="str">
        <f>'[1]Necesidades Trimestrales'!F50</f>
        <v>UNIDAD</v>
      </c>
      <c r="J52" s="12">
        <f>'[1]Necesidades Trimestrales'!H50</f>
        <v>8891</v>
      </c>
      <c r="K52" s="13">
        <f>'[1]Necesidades Trimestrales'!G50</f>
        <v>4</v>
      </c>
    </row>
    <row r="53" spans="1:11" ht="20.25" customHeight="1" thickBot="1" x14ac:dyDescent="0.25">
      <c r="A53" s="8">
        <v>42</v>
      </c>
      <c r="B53" s="9"/>
      <c r="C53" s="106" t="str">
        <f>'LAB. CENTRAL NT '!E51</f>
        <v>ISE ELECTRODO DE CALCIO P/COBAS B221</v>
      </c>
      <c r="D53" s="106"/>
      <c r="E53" s="106"/>
      <c r="F53" s="106"/>
      <c r="G53" s="106"/>
      <c r="H53" s="10" t="s">
        <v>19</v>
      </c>
      <c r="I53" s="11" t="str">
        <f>'[1]Necesidades Trimestrales'!F51</f>
        <v>UNIDAD</v>
      </c>
      <c r="J53" s="12">
        <f>'[1]Necesidades Trimestrales'!H51</f>
        <v>8891</v>
      </c>
      <c r="K53" s="13">
        <f>'[1]Necesidades Trimestrales'!G51</f>
        <v>2</v>
      </c>
    </row>
    <row r="54" spans="1:11" ht="20.25" customHeight="1" thickBot="1" x14ac:dyDescent="0.25">
      <c r="A54" s="8">
        <v>43</v>
      </c>
      <c r="B54" s="9"/>
      <c r="C54" s="106" t="str">
        <f>'LAB. CENTRAL NT '!E52</f>
        <v>ELECTRODO DE REFERENCIA  P/COBAS B221</v>
      </c>
      <c r="D54" s="106"/>
      <c r="E54" s="106"/>
      <c r="F54" s="106"/>
      <c r="G54" s="106"/>
      <c r="H54" s="10" t="s">
        <v>19</v>
      </c>
      <c r="I54" s="11" t="str">
        <f>'[1]Necesidades Trimestrales'!F52</f>
        <v>UNIDAD</v>
      </c>
      <c r="J54" s="12">
        <f>'[1]Necesidades Trimestrales'!H52</f>
        <v>16584</v>
      </c>
      <c r="K54" s="13">
        <f>'[1]Necesidades Trimestrales'!G52</f>
        <v>2</v>
      </c>
    </row>
    <row r="55" spans="1:11" ht="20.25" customHeight="1" thickBot="1" x14ac:dyDescent="0.25">
      <c r="A55" s="8">
        <v>44</v>
      </c>
      <c r="B55" s="9"/>
      <c r="C55" s="106" t="str">
        <f>'LAB. CENTRAL NT '!E53</f>
        <v>ELECTRODO DE PO2 P COBAS B221</v>
      </c>
      <c r="D55" s="106"/>
      <c r="E55" s="106"/>
      <c r="F55" s="106"/>
      <c r="G55" s="106"/>
      <c r="H55" s="10" t="s">
        <v>19</v>
      </c>
      <c r="I55" s="11" t="str">
        <f>'[1]Necesidades Trimestrales'!F53</f>
        <v>UNIDAD</v>
      </c>
      <c r="J55" s="12">
        <f>'[1]Necesidades Trimestrales'!H53</f>
        <v>33763</v>
      </c>
      <c r="K55" s="13">
        <f>'[1]Necesidades Trimestrales'!G53</f>
        <v>2</v>
      </c>
    </row>
    <row r="56" spans="1:11" ht="20.25" customHeight="1" thickBot="1" x14ac:dyDescent="0.25">
      <c r="A56" s="8">
        <v>45</v>
      </c>
      <c r="B56" s="9"/>
      <c r="C56" s="106" t="str">
        <f>'LAB. CENTRAL NT '!E54</f>
        <v>ELECTRODO DE PCO2 P COBAS B221</v>
      </c>
      <c r="D56" s="106"/>
      <c r="E56" s="106"/>
      <c r="F56" s="106"/>
      <c r="G56" s="106"/>
      <c r="H56" s="10" t="s">
        <v>19</v>
      </c>
      <c r="I56" s="11" t="str">
        <f>'[1]Necesidades Trimestrales'!F54</f>
        <v>UNIDAD</v>
      </c>
      <c r="J56" s="12">
        <f>'[1]Necesidades Trimestrales'!H54</f>
        <v>35535</v>
      </c>
      <c r="K56" s="13">
        <f>'[1]Necesidades Trimestrales'!G54</f>
        <v>2</v>
      </c>
    </row>
    <row r="57" spans="1:11" ht="20.25" customHeight="1" thickBot="1" x14ac:dyDescent="0.25">
      <c r="A57" s="8">
        <v>46</v>
      </c>
      <c r="B57" s="9"/>
      <c r="C57" s="106" t="str">
        <f>'LAB. CENTRAL NT '!E55</f>
        <v>ELECTRODO DE PH P COBAS B221</v>
      </c>
      <c r="D57" s="106"/>
      <c r="E57" s="106"/>
      <c r="F57" s="106"/>
      <c r="G57" s="106"/>
      <c r="H57" s="10" t="s">
        <v>19</v>
      </c>
      <c r="I57" s="11" t="str">
        <f>'[1]Necesidades Trimestrales'!F55</f>
        <v>UNIDAD</v>
      </c>
      <c r="J57" s="12">
        <f>'[1]Necesidades Trimestrales'!H55</f>
        <v>14833</v>
      </c>
      <c r="K57" s="13">
        <f>'[1]Necesidades Trimestrales'!G55</f>
        <v>2</v>
      </c>
    </row>
    <row r="58" spans="1:11" ht="20.25" customHeight="1" thickBot="1" x14ac:dyDescent="0.25">
      <c r="A58" s="8">
        <v>47</v>
      </c>
      <c r="B58" s="9"/>
      <c r="C58" s="106" t="str">
        <f>'LAB. CENTRAL NT '!E56</f>
        <v>PRECICONTROL CLINCHEM MULTI 1 QCS  P/COBAS C311 20 x 5 ml.</v>
      </c>
      <c r="D58" s="106"/>
      <c r="E58" s="106"/>
      <c r="F58" s="106"/>
      <c r="G58" s="106"/>
      <c r="H58" s="10" t="s">
        <v>19</v>
      </c>
      <c r="I58" s="11" t="str">
        <f>'[1]Necesidades Trimestrales'!F56</f>
        <v>CAJA</v>
      </c>
      <c r="J58" s="12">
        <f>'[1]Necesidades Trimestrales'!H56</f>
        <v>53900</v>
      </c>
      <c r="K58" s="13">
        <f>'[1]Necesidades Trimestrales'!G56</f>
        <v>3</v>
      </c>
    </row>
    <row r="59" spans="1:11" ht="20.25" customHeight="1" thickBot="1" x14ac:dyDescent="0.25">
      <c r="A59" s="8">
        <v>48</v>
      </c>
      <c r="B59" s="9"/>
      <c r="C59" s="106" t="str">
        <f>'LAB. CENTRAL NT '!E57</f>
        <v>PRECICONTROL CLINCHEM MULTI 2 QCS  P/COBAS C311 20 x 5 ml.</v>
      </c>
      <c r="D59" s="106"/>
      <c r="E59" s="106"/>
      <c r="F59" s="106"/>
      <c r="G59" s="106"/>
      <c r="H59" s="10" t="s">
        <v>19</v>
      </c>
      <c r="I59" s="11" t="str">
        <f>'[1]Necesidades Trimestrales'!F57</f>
        <v>CAJA</v>
      </c>
      <c r="J59" s="12">
        <f>'[1]Necesidades Trimestrales'!H57</f>
        <v>53900</v>
      </c>
      <c r="K59" s="13">
        <f>'[1]Necesidades Trimestrales'!G57</f>
        <v>3</v>
      </c>
    </row>
    <row r="60" spans="1:11" ht="35.25" customHeight="1" thickBot="1" x14ac:dyDescent="0.25">
      <c r="A60" s="8">
        <v>49</v>
      </c>
      <c r="B60" s="9"/>
      <c r="C60" s="106" t="str">
        <f>'LAB. CENTRAL NT '!E58</f>
        <v>REACTIVOS P/EQUIPO; EQUIPO: AUTOANA. QUIMICA CLINICA, MARCA EQUIPO: COBAS ROCHE, NOMBRE DEL PRODUCTO: FR, PRESENTACION: ENVASE X 100 DETERM.</v>
      </c>
      <c r="D60" s="106"/>
      <c r="E60" s="106"/>
      <c r="F60" s="106"/>
      <c r="G60" s="106"/>
      <c r="H60" s="10" t="s">
        <v>19</v>
      </c>
      <c r="I60" s="11" t="str">
        <f>'[1]Necesidades Trimestrales'!F58</f>
        <v>CAJA</v>
      </c>
      <c r="J60" s="12">
        <f>'[1]Necesidades Trimestrales'!H58</f>
        <v>17250</v>
      </c>
      <c r="K60" s="13">
        <f>'[1]Necesidades Trimestrales'!G58</f>
        <v>2</v>
      </c>
    </row>
    <row r="61" spans="1:11" ht="20.25" customHeight="1" thickBot="1" x14ac:dyDescent="0.25">
      <c r="A61" s="8">
        <v>50</v>
      </c>
      <c r="B61" s="9"/>
      <c r="C61" s="106" t="str">
        <f>'LAB. CENTRAL NT '!E59</f>
        <v>PRECICONTROL  HBC1 NORM P/COBAS C311 - 4 X 1 ML</v>
      </c>
      <c r="D61" s="106"/>
      <c r="E61" s="106"/>
      <c r="F61" s="106"/>
      <c r="G61" s="106"/>
      <c r="H61" s="10" t="s">
        <v>19</v>
      </c>
      <c r="I61" s="11" t="str">
        <f>'[1]Necesidades Trimestrales'!F59</f>
        <v>CAJA</v>
      </c>
      <c r="J61" s="12">
        <f>'[1]Necesidades Trimestrales'!H59</f>
        <v>9560</v>
      </c>
      <c r="K61" s="13">
        <f>'[1]Necesidades Trimestrales'!G59</f>
        <v>2</v>
      </c>
    </row>
    <row r="62" spans="1:11" ht="20.25" customHeight="1" thickBot="1" x14ac:dyDescent="0.25">
      <c r="A62" s="8">
        <v>51</v>
      </c>
      <c r="B62" s="9"/>
      <c r="C62" s="106" t="str">
        <f>'LAB. CENTRAL NT '!E60</f>
        <v>PRECICONTROL  HBC1 PATH P/COBAS C311 - 4 X 1 ML</v>
      </c>
      <c r="D62" s="106"/>
      <c r="E62" s="106"/>
      <c r="F62" s="106"/>
      <c r="G62" s="106"/>
      <c r="H62" s="10" t="s">
        <v>19</v>
      </c>
      <c r="I62" s="11" t="str">
        <f>'[1]Necesidades Trimestrales'!F60</f>
        <v>CAJA</v>
      </c>
      <c r="J62" s="12">
        <f>'[1]Necesidades Trimestrales'!H60</f>
        <v>12536</v>
      </c>
      <c r="K62" s="13">
        <f>'[1]Necesidades Trimestrales'!G60</f>
        <v>2</v>
      </c>
    </row>
    <row r="63" spans="1:11" ht="20.25" customHeight="1" thickBot="1" x14ac:dyDescent="0.25">
      <c r="A63" s="8">
        <v>52</v>
      </c>
      <c r="B63" s="9"/>
      <c r="C63" s="106" t="str">
        <f>'LAB. CENTRAL NT '!E61</f>
        <v>PRECICONTROL LIPIDOS P/COBAS C311</v>
      </c>
      <c r="D63" s="106"/>
      <c r="E63" s="106"/>
      <c r="F63" s="106"/>
      <c r="G63" s="106"/>
      <c r="H63" s="10" t="s">
        <v>19</v>
      </c>
      <c r="I63" s="11" t="str">
        <f>'[1]Necesidades Trimestrales'!F61</f>
        <v>CAJA</v>
      </c>
      <c r="J63" s="12">
        <f>'[1]Necesidades Trimestrales'!H61</f>
        <v>14614</v>
      </c>
      <c r="K63" s="13">
        <f>'[1]Necesidades Trimestrales'!G61</f>
        <v>2</v>
      </c>
    </row>
    <row r="64" spans="1:11" ht="20.25" customHeight="1" thickBot="1" x14ac:dyDescent="0.25">
      <c r="A64" s="8">
        <v>53</v>
      </c>
      <c r="B64" s="9"/>
      <c r="C64" s="106" t="str">
        <f>'LAB. CENTRAL NT '!E62</f>
        <v>MICROCOPAS DE MUESTRA; TIPO: AUTOANALIZADOR, PRESENTACION: CAJA X  500</v>
      </c>
      <c r="D64" s="106"/>
      <c r="E64" s="106"/>
      <c r="F64" s="106"/>
      <c r="G64" s="106"/>
      <c r="H64" s="10" t="s">
        <v>19</v>
      </c>
      <c r="I64" s="11" t="str">
        <f>'[1]Necesidades Trimestrales'!F62</f>
        <v>CAJA</v>
      </c>
      <c r="J64" s="12">
        <f>'[1]Necesidades Trimestrales'!H62</f>
        <v>5473</v>
      </c>
      <c r="K64" s="13">
        <f>'[1]Necesidades Trimestrales'!G62</f>
        <v>5</v>
      </c>
    </row>
    <row r="65" spans="1:11" ht="20.25" customHeight="1" thickBot="1" x14ac:dyDescent="0.25">
      <c r="A65" s="8">
        <v>54</v>
      </c>
      <c r="B65" s="9"/>
      <c r="C65" s="106" t="str">
        <f>'LAB. CENTRAL NT '!E63</f>
        <v>ECODETERGENT P/COBAS C311</v>
      </c>
      <c r="D65" s="106"/>
      <c r="E65" s="106"/>
      <c r="F65" s="106"/>
      <c r="G65" s="106"/>
      <c r="H65" s="10" t="s">
        <v>19</v>
      </c>
      <c r="I65" s="11" t="str">
        <f>'[1]Necesidades Trimestrales'!F63</f>
        <v>CAJA</v>
      </c>
      <c r="J65" s="12">
        <f>'[1]Necesidades Trimestrales'!H63</f>
        <v>4463</v>
      </c>
      <c r="K65" s="13">
        <f>'[1]Necesidades Trimestrales'!G63</f>
        <v>16</v>
      </c>
    </row>
    <row r="66" spans="1:11" ht="20.25" customHeight="1" thickBot="1" x14ac:dyDescent="0.25">
      <c r="A66" s="8">
        <v>55</v>
      </c>
      <c r="B66" s="9"/>
      <c r="C66" s="106" t="str">
        <f>'LAB. CENTRAL NT '!E64</f>
        <v>CELL WASH SOLUTION NAOH - D BASIC WASH P/COBAS C311 2X 1800 ML</v>
      </c>
      <c r="D66" s="106"/>
      <c r="E66" s="106"/>
      <c r="F66" s="106"/>
      <c r="G66" s="106"/>
      <c r="H66" s="10" t="s">
        <v>19</v>
      </c>
      <c r="I66" s="11" t="str">
        <f>'[1]Necesidades Trimestrales'!F64</f>
        <v>CAJA</v>
      </c>
      <c r="J66" s="12">
        <f>'[1]Necesidades Trimestrales'!H64</f>
        <v>4524</v>
      </c>
      <c r="K66" s="13">
        <f>'[1]Necesidades Trimestrales'!G64</f>
        <v>25</v>
      </c>
    </row>
    <row r="67" spans="1:11" ht="20.25" customHeight="1" thickBot="1" x14ac:dyDescent="0.25">
      <c r="A67" s="8">
        <v>56</v>
      </c>
      <c r="B67" s="9"/>
      <c r="C67" s="106" t="str">
        <f>'LAB. CENTRAL NT '!E65</f>
        <v>ISE ACTIVADOR X 12 ML P/COBAS C311 9 x 12 ml.</v>
      </c>
      <c r="D67" s="106"/>
      <c r="E67" s="106"/>
      <c r="F67" s="106"/>
      <c r="G67" s="106"/>
      <c r="H67" s="10" t="s">
        <v>19</v>
      </c>
      <c r="I67" s="11" t="str">
        <f>'[1]Necesidades Trimestrales'!F65</f>
        <v>CAJA</v>
      </c>
      <c r="J67" s="12">
        <f>'[1]Necesidades Trimestrales'!H65</f>
        <v>11866</v>
      </c>
      <c r="K67" s="13">
        <f>'[1]Necesidades Trimestrales'!G65</f>
        <v>1</v>
      </c>
    </row>
    <row r="68" spans="1:11" ht="20.25" customHeight="1" thickBot="1" x14ac:dyDescent="0.25">
      <c r="A68" s="8">
        <v>57</v>
      </c>
      <c r="B68" s="9"/>
      <c r="C68" s="106" t="str">
        <f>'LAB. CENTRAL NT '!E66</f>
        <v>ISE CLEANING SOLUTION X 100 ML P/COBAS C311 5 x 100 ml.</v>
      </c>
      <c r="D68" s="106"/>
      <c r="E68" s="106"/>
      <c r="F68" s="106"/>
      <c r="G68" s="106"/>
      <c r="H68" s="10" t="s">
        <v>19</v>
      </c>
      <c r="I68" s="11" t="str">
        <f>'[1]Necesidades Trimestrales'!F66</f>
        <v>CAJA</v>
      </c>
      <c r="J68" s="12">
        <f>'[1]Necesidades Trimestrales'!H66</f>
        <v>8965</v>
      </c>
      <c r="K68" s="13">
        <f>'[1]Necesidades Trimestrales'!G66</f>
        <v>6</v>
      </c>
    </row>
    <row r="69" spans="1:11" ht="20.25" customHeight="1" thickBot="1" x14ac:dyDescent="0.25">
      <c r="A69" s="8">
        <v>58</v>
      </c>
      <c r="B69" s="9"/>
      <c r="C69" s="106" t="str">
        <f>'LAB. CENTRAL NT '!E67</f>
        <v>CFAS MULTICALIBRADOR P/COBAS C311</v>
      </c>
      <c r="D69" s="106"/>
      <c r="E69" s="106"/>
      <c r="F69" s="106"/>
      <c r="G69" s="106"/>
      <c r="H69" s="10" t="s">
        <v>19</v>
      </c>
      <c r="I69" s="11" t="str">
        <f>'[1]Necesidades Trimestrales'!F67</f>
        <v>CAJA</v>
      </c>
      <c r="J69" s="12">
        <f>'[1]Necesidades Trimestrales'!H67</f>
        <v>7436</v>
      </c>
      <c r="K69" s="13">
        <f>'[1]Necesidades Trimestrales'!G67</f>
        <v>2</v>
      </c>
    </row>
    <row r="70" spans="1:11" ht="20.25" customHeight="1" thickBot="1" x14ac:dyDescent="0.25">
      <c r="A70" s="8">
        <v>59</v>
      </c>
      <c r="B70" s="9"/>
      <c r="C70" s="106" t="str">
        <f>'LAB. CENTRAL NT '!E68</f>
        <v>CFAS PAC VIAL X 1 ML P/COBAS C311 3 x 1 ml.</v>
      </c>
      <c r="D70" s="106"/>
      <c r="E70" s="106"/>
      <c r="F70" s="106"/>
      <c r="G70" s="106"/>
      <c r="H70" s="10" t="s">
        <v>19</v>
      </c>
      <c r="I70" s="11" t="str">
        <f>'[1]Necesidades Trimestrales'!F68</f>
        <v>CAJA</v>
      </c>
      <c r="J70" s="12">
        <f>'[1]Necesidades Trimestrales'!H68</f>
        <v>24438</v>
      </c>
      <c r="K70" s="13">
        <f>'[1]Necesidades Trimestrales'!G68</f>
        <v>2</v>
      </c>
    </row>
    <row r="71" spans="1:11" ht="20.25" customHeight="1" thickBot="1" x14ac:dyDescent="0.25">
      <c r="A71" s="8">
        <v>60</v>
      </c>
      <c r="B71" s="9"/>
      <c r="C71" s="106" t="str">
        <f>'LAB. CENTRAL NT '!E69</f>
        <v>CFAS HBA1C   P/ COBAS C311</v>
      </c>
      <c r="D71" s="106"/>
      <c r="E71" s="106"/>
      <c r="F71" s="106"/>
      <c r="G71" s="106"/>
      <c r="H71" s="10" t="s">
        <v>19</v>
      </c>
      <c r="I71" s="11" t="str">
        <f>'[1]Necesidades Trimestrales'!F69</f>
        <v>CAJA</v>
      </c>
      <c r="J71" s="12">
        <f>'[1]Necesidades Trimestrales'!H69</f>
        <v>16616</v>
      </c>
      <c r="K71" s="13">
        <f>'[1]Necesidades Trimestrales'!G69</f>
        <v>1</v>
      </c>
    </row>
    <row r="72" spans="1:11" ht="20.25" customHeight="1" thickBot="1" x14ac:dyDescent="0.25">
      <c r="A72" s="8">
        <v>61</v>
      </c>
      <c r="B72" s="9"/>
      <c r="C72" s="106" t="str">
        <f>'LAB. CENTRAL NT '!E70</f>
        <v>CFAS PROTEINAS  P/ COBAS C311</v>
      </c>
      <c r="D72" s="106"/>
      <c r="E72" s="106"/>
      <c r="F72" s="106"/>
      <c r="G72" s="106"/>
      <c r="H72" s="10" t="s">
        <v>19</v>
      </c>
      <c r="I72" s="11" t="str">
        <f>'[1]Necesidades Trimestrales'!F70</f>
        <v>CAJA</v>
      </c>
      <c r="J72" s="12">
        <f>'[1]Necesidades Trimestrales'!H70</f>
        <v>18210</v>
      </c>
      <c r="K72" s="13">
        <f>'[1]Necesidades Trimestrales'!G70</f>
        <v>1</v>
      </c>
    </row>
    <row r="73" spans="1:11" ht="20.25" customHeight="1" thickBot="1" x14ac:dyDescent="0.25">
      <c r="A73" s="8">
        <v>62</v>
      </c>
      <c r="B73" s="9"/>
      <c r="C73" s="106" t="str">
        <f>'LAB. CENTRAL NT '!E71</f>
        <v>CFAS PUC P/ COBAS C311</v>
      </c>
      <c r="D73" s="106"/>
      <c r="E73" s="106"/>
      <c r="F73" s="106"/>
      <c r="G73" s="106"/>
      <c r="H73" s="10" t="s">
        <v>19</v>
      </c>
      <c r="I73" s="11" t="str">
        <f>'[1]Necesidades Trimestrales'!F71</f>
        <v>CAJA</v>
      </c>
      <c r="J73" s="12">
        <f>'[1]Necesidades Trimestrales'!H71</f>
        <v>19600</v>
      </c>
      <c r="K73" s="13">
        <f>'[1]Necesidades Trimestrales'!G71</f>
        <v>1</v>
      </c>
    </row>
    <row r="74" spans="1:11" ht="20.25" customHeight="1" thickBot="1" x14ac:dyDescent="0.25">
      <c r="A74" s="8">
        <v>63</v>
      </c>
      <c r="B74" s="9"/>
      <c r="C74" s="106" t="str">
        <f>'LAB. CENTRAL NT '!E72</f>
        <v>REACTIVO ANTI ATPO P COBAS E411</v>
      </c>
      <c r="D74" s="106"/>
      <c r="E74" s="106"/>
      <c r="F74" s="106"/>
      <c r="G74" s="106"/>
      <c r="H74" s="10" t="s">
        <v>19</v>
      </c>
      <c r="I74" s="11" t="str">
        <f>'[1]Necesidades Trimestrales'!F72</f>
        <v>CAJA</v>
      </c>
      <c r="J74" s="12">
        <f>'[1]Necesidades Trimestrales'!H72</f>
        <v>17632</v>
      </c>
      <c r="K74" s="13">
        <f>'[1]Necesidades Trimestrales'!G72</f>
        <v>3</v>
      </c>
    </row>
    <row r="75" spans="1:11" ht="47.25" customHeight="1" thickBot="1" x14ac:dyDescent="0.25">
      <c r="A75" s="8">
        <v>64</v>
      </c>
      <c r="B75" s="9"/>
      <c r="C75" s="106" t="str">
        <f>'LAB. CENTRAL NT '!E73</f>
        <v>REACTIVOS P/EQUIPO; EQUIPO: AUTOANA. X QUIMIOLUMINISCENCIA, MARCA EQUIPO: ROCHE, NOMBRE DEL PRODUCTO: KIT P/CUANT. MARC TUMOR. CA125, PRESENTACION: ENVASE X 100 DETERM.</v>
      </c>
      <c r="D75" s="106"/>
      <c r="E75" s="106"/>
      <c r="F75" s="106"/>
      <c r="G75" s="106"/>
      <c r="H75" s="10" t="s">
        <v>19</v>
      </c>
      <c r="I75" s="11" t="str">
        <f>'[1]Necesidades Trimestrales'!F73</f>
        <v>CAJA</v>
      </c>
      <c r="J75" s="12">
        <f>'[1]Necesidades Trimestrales'!H73</f>
        <v>26718</v>
      </c>
      <c r="K75" s="13">
        <f>'[1]Necesidades Trimestrales'!G73</f>
        <v>1</v>
      </c>
    </row>
    <row r="76" spans="1:11" ht="53.25" customHeight="1" thickBot="1" x14ac:dyDescent="0.25">
      <c r="A76" s="8">
        <v>65</v>
      </c>
      <c r="B76" s="9"/>
      <c r="C76" s="106" t="str">
        <f>'LAB. CENTRAL NT '!E74</f>
        <v>REACTIVOS P/EQUIPO; EQUIPO: AUTOANA. X QUIMIOLUMINISCENCIA, MARCA EQUIPO: ROCHE, NOMBRE DEL PRODUCTO: KIT P/CUANT. MARC TUMOR CA15-3, PRESENTACION: ENVASE X 100 DETERM.</v>
      </c>
      <c r="D76" s="106"/>
      <c r="E76" s="106"/>
      <c r="F76" s="106"/>
      <c r="G76" s="106"/>
      <c r="H76" s="10" t="s">
        <v>19</v>
      </c>
      <c r="I76" s="11" t="str">
        <f>'[1]Necesidades Trimestrales'!F74</f>
        <v>CAJA</v>
      </c>
      <c r="J76" s="12">
        <f>'[1]Necesidades Trimestrales'!H74</f>
        <v>33153</v>
      </c>
      <c r="K76" s="13">
        <f>'[1]Necesidades Trimestrales'!G74</f>
        <v>1</v>
      </c>
    </row>
    <row r="77" spans="1:11" ht="42.75" customHeight="1" thickBot="1" x14ac:dyDescent="0.25">
      <c r="A77" s="8">
        <v>66</v>
      </c>
      <c r="B77" s="9"/>
      <c r="C77" s="106" t="str">
        <f>'LAB. CENTRAL NT '!E75</f>
        <v>REACTIVOS P/EQUIPO; EQUIPO: AUTOANA. X QUIMIOLUMINISCENCIA, MARCA EQUIPO: ROCHE, NOMBRE DEL PRODUCTO: KIT P/CUANT. MARC TUMOR CA19-9, PRESENTACION: ENVASE X 100 DETERM.</v>
      </c>
      <c r="D77" s="106"/>
      <c r="E77" s="106"/>
      <c r="F77" s="106"/>
      <c r="G77" s="106"/>
      <c r="H77" s="10" t="s">
        <v>19</v>
      </c>
      <c r="I77" s="11" t="str">
        <f>'[1]Necesidades Trimestrales'!F75</f>
        <v>CAJA</v>
      </c>
      <c r="J77" s="12">
        <f>'[1]Necesidades Trimestrales'!H75</f>
        <v>31406</v>
      </c>
      <c r="K77" s="13">
        <f>'[1]Necesidades Trimestrales'!G75</f>
        <v>2</v>
      </c>
    </row>
    <row r="78" spans="1:11" ht="46.5" customHeight="1" thickBot="1" x14ac:dyDescent="0.25">
      <c r="A78" s="8">
        <v>67</v>
      </c>
      <c r="B78" s="9"/>
      <c r="C78" s="106" t="str">
        <f>'LAB. CENTRAL NT '!E76</f>
        <v>REACTIVOS P/EQUIPO; EQUIPO: AUTOANA. X QUIMIOLUMINISCENCIA, MARCA EQUIPO: ROCHE, NOMBRE DEL PRODUCTO: ANTIG. CARCINOEMBRIONARIO CEA, PRESENTACION: ENVASE X 100 DETERM.</v>
      </c>
      <c r="D78" s="106"/>
      <c r="E78" s="106"/>
      <c r="F78" s="106"/>
      <c r="G78" s="106"/>
      <c r="H78" s="10" t="s">
        <v>19</v>
      </c>
      <c r="I78" s="11" t="str">
        <f>'[1]Necesidades Trimestrales'!F76</f>
        <v>CAJA</v>
      </c>
      <c r="J78" s="12">
        <f>'[1]Necesidades Trimestrales'!H76</f>
        <v>18034</v>
      </c>
      <c r="K78" s="13">
        <f>'[1]Necesidades Trimestrales'!G76</f>
        <v>2</v>
      </c>
    </row>
    <row r="79" spans="1:11" ht="38.25" customHeight="1" thickBot="1" x14ac:dyDescent="0.25">
      <c r="A79" s="8">
        <v>68</v>
      </c>
      <c r="B79" s="9"/>
      <c r="C79" s="106" t="str">
        <f>'LAB. CENTRAL NT '!E77</f>
        <v>REACTIVO CHAGAS P COBAS E 411 - PRESENTACION: 100 DETERMINACIONES</v>
      </c>
      <c r="D79" s="106"/>
      <c r="E79" s="106"/>
      <c r="F79" s="106"/>
      <c r="G79" s="106"/>
      <c r="H79" s="10" t="s">
        <v>19</v>
      </c>
      <c r="I79" s="11" t="str">
        <f>'[1]Necesidades Trimestrales'!F77</f>
        <v>CAJA</v>
      </c>
      <c r="J79" s="12">
        <f>'[1]Necesidades Trimestrales'!H77</f>
        <v>28279</v>
      </c>
      <c r="K79" s="13">
        <f>'[1]Necesidades Trimestrales'!G77</f>
        <v>1</v>
      </c>
    </row>
    <row r="80" spans="1:11" ht="35.25" customHeight="1" thickBot="1" x14ac:dyDescent="0.25">
      <c r="A80" s="8">
        <v>69</v>
      </c>
      <c r="B80" s="9"/>
      <c r="C80" s="106" t="str">
        <f>'LAB. CENTRAL NT '!E78</f>
        <v>REACTIVOS P/EQUIPO; EQUIPO: AUTOANA. X QUIMIOLUMINISCENCIA, MARCA EQUIPO: ROCHE, NOMBRE DEL PRODUCTO: KIT P/CUANT. HORMONA CORTISOL, PRESENTACION: ENVASE X 100 DETERM.</v>
      </c>
      <c r="D80" s="106"/>
      <c r="E80" s="106"/>
      <c r="F80" s="106"/>
      <c r="G80" s="106"/>
      <c r="H80" s="10" t="s">
        <v>19</v>
      </c>
      <c r="I80" s="11" t="str">
        <f>'[1]Necesidades Trimestrales'!F78</f>
        <v>CAJA</v>
      </c>
      <c r="J80" s="12">
        <f>'[1]Necesidades Trimestrales'!H78</f>
        <v>13546</v>
      </c>
      <c r="K80" s="13">
        <f>'[1]Necesidades Trimestrales'!G78</f>
        <v>1</v>
      </c>
    </row>
    <row r="81" spans="1:11" ht="34.5" customHeight="1" thickBot="1" x14ac:dyDescent="0.25">
      <c r="A81" s="8">
        <v>70</v>
      </c>
      <c r="B81" s="9"/>
      <c r="C81" s="106" t="str">
        <f>'LAB. CENTRAL NT '!E79</f>
        <v>REACTIVOS P/EQUIPO; EQUIPO: AUTOANA. X QUIMIOLUMINISCENCIA, MARCA EQUIPO: ROCHE, NOMBRE DEL PRODUCTO: DETER. HORMONA DHEA-S, PRESENTACION: ENVASE X 100 DETERM.</v>
      </c>
      <c r="D81" s="106"/>
      <c r="E81" s="106"/>
      <c r="F81" s="106"/>
      <c r="G81" s="106"/>
      <c r="H81" s="10" t="s">
        <v>19</v>
      </c>
      <c r="I81" s="11" t="str">
        <f>'[1]Necesidades Trimestrales'!F79</f>
        <v>CAJA</v>
      </c>
      <c r="J81" s="12">
        <f>'[1]Necesidades Trimestrales'!H79</f>
        <v>20178</v>
      </c>
      <c r="K81" s="13">
        <f>'[1]Necesidades Trimestrales'!G79</f>
        <v>1</v>
      </c>
    </row>
    <row r="82" spans="1:11" ht="40.5" customHeight="1" thickBot="1" x14ac:dyDescent="0.25">
      <c r="A82" s="8">
        <v>71</v>
      </c>
      <c r="B82" s="9"/>
      <c r="C82" s="106" t="str">
        <f>'LAB. CENTRAL NT '!E80</f>
        <v>REACTIVOS P/EQUIPO; EQUIPO: AUTOANA. X QUIMIOLUMINISCENCIA, MARCA EQUIPO: ROCHE, NOMBRE DEL PRODUCTO: KIT P/CUANT. HORMONA ESTRADIOL, PRESENTACION: ENVASE X 100 DETERM.</v>
      </c>
      <c r="D82" s="106"/>
      <c r="E82" s="106"/>
      <c r="F82" s="106"/>
      <c r="G82" s="106"/>
      <c r="H82" s="10" t="s">
        <v>19</v>
      </c>
      <c r="I82" s="11" t="str">
        <f>'[1]Necesidades Trimestrales'!F80</f>
        <v>CAJA</v>
      </c>
      <c r="J82" s="12">
        <f>'[1]Necesidades Trimestrales'!H80</f>
        <v>15592</v>
      </c>
      <c r="K82" s="13">
        <f>'[1]Necesidades Trimestrales'!G80</f>
        <v>1</v>
      </c>
    </row>
    <row r="83" spans="1:11" ht="37.5" customHeight="1" thickBot="1" x14ac:dyDescent="0.25">
      <c r="A83" s="8">
        <v>72</v>
      </c>
      <c r="B83" s="9"/>
      <c r="C83" s="106" t="str">
        <f>'LAB. CENTRAL NT '!E81</f>
        <v>REACTIVOS P/EQUIPO; EQUIPO: AUTOANA. X QUIMIOLUMINISCENCIA, MARCA EQUIPO: ROCHE, NOMBRE DEL PRODUCTO: KIT P/CUANT. HORMONA FSH, PRESENTACION: ENVASE X 100 DETERM.</v>
      </c>
      <c r="D83" s="106"/>
      <c r="E83" s="106"/>
      <c r="F83" s="106"/>
      <c r="G83" s="106"/>
      <c r="H83" s="10" t="s">
        <v>19</v>
      </c>
      <c r="I83" s="11" t="str">
        <f>'[1]Necesidades Trimestrales'!F81</f>
        <v>CAJA</v>
      </c>
      <c r="J83" s="12">
        <f>'[1]Necesidades Trimestrales'!H81</f>
        <v>14051</v>
      </c>
      <c r="K83" s="13">
        <f>'[1]Necesidades Trimestrales'!G81</f>
        <v>1</v>
      </c>
    </row>
    <row r="84" spans="1:11" ht="38.25" customHeight="1" thickBot="1" x14ac:dyDescent="0.25">
      <c r="A84" s="8">
        <v>73</v>
      </c>
      <c r="B84" s="9"/>
      <c r="C84" s="106" t="str">
        <f>'LAB. CENTRAL NT '!E82</f>
        <v>REACTIVO T4 LIBRE P COBAS E 411 - PRESENTACION: ENVASE X 200 DETERM.</v>
      </c>
      <c r="D84" s="106"/>
      <c r="E84" s="106"/>
      <c r="F84" s="106"/>
      <c r="G84" s="106"/>
      <c r="H84" s="10" t="s">
        <v>19</v>
      </c>
      <c r="I84" s="11" t="str">
        <f>'[1]Necesidades Trimestrales'!F82</f>
        <v>CAJA</v>
      </c>
      <c r="J84" s="12">
        <f>'[1]Necesidades Trimestrales'!H82</f>
        <v>19755</v>
      </c>
      <c r="K84" s="13">
        <f>'[1]Necesidades Trimestrales'!G82</f>
        <v>4</v>
      </c>
    </row>
    <row r="85" spans="1:11" ht="32.25" customHeight="1" thickBot="1" x14ac:dyDescent="0.25">
      <c r="A85" s="8">
        <v>74</v>
      </c>
      <c r="B85" s="9"/>
      <c r="C85" s="106" t="str">
        <f>'LAB. CENTRAL NT '!E83</f>
        <v>REACTIVOS P/EQUIPO; EQUIPO: AUTOANA. X QUIMIOLUMINISCENCIA, MARCA EQUIPO: ROCHE, NOMBRE DEL PRODUCTO: ANTIG. PROSTATICO ESPECIF. PSA, PRESENTACION: ENVASE X 100 DETERM.</v>
      </c>
      <c r="D85" s="106"/>
      <c r="E85" s="106"/>
      <c r="F85" s="106"/>
      <c r="G85" s="106"/>
      <c r="H85" s="10" t="s">
        <v>19</v>
      </c>
      <c r="I85" s="11" t="str">
        <f>'[1]Necesidades Trimestrales'!F83</f>
        <v>CAJA</v>
      </c>
      <c r="J85" s="12">
        <f>'[1]Necesidades Trimestrales'!H83</f>
        <v>22061</v>
      </c>
      <c r="K85" s="13">
        <f>'[1]Necesidades Trimestrales'!G83</f>
        <v>2</v>
      </c>
    </row>
    <row r="86" spans="1:11" ht="34.5" customHeight="1" thickBot="1" x14ac:dyDescent="0.25">
      <c r="A86" s="8">
        <v>75</v>
      </c>
      <c r="B86" s="9"/>
      <c r="C86" s="106" t="str">
        <f>'LAB. CENTRAL NT '!E84</f>
        <v>REACTIVOS P/EQUIPO; EQUIPO: ELECTROQUIMIOLUMINISCENCIA, MARCA EQUIPO: ELECSYS ROCHE, NOMBRE DEL PRODUCTO: ATC CITOMEGALOVIRUS IG M, PRESENTACION: ENVASE X 100 DETERM.</v>
      </c>
      <c r="D86" s="106"/>
      <c r="E86" s="106"/>
      <c r="F86" s="106"/>
      <c r="G86" s="106"/>
      <c r="H86" s="10" t="s">
        <v>19</v>
      </c>
      <c r="I86" s="11" t="str">
        <f>'[1]Necesidades Trimestrales'!F84</f>
        <v>CAJA</v>
      </c>
      <c r="J86" s="12">
        <f>'[1]Necesidades Trimestrales'!H84</f>
        <v>56130</v>
      </c>
      <c r="K86" s="13">
        <f>'[1]Necesidades Trimestrales'!G84</f>
        <v>1</v>
      </c>
    </row>
    <row r="87" spans="1:11" ht="36" customHeight="1" thickBot="1" x14ac:dyDescent="0.25">
      <c r="A87" s="8">
        <v>76</v>
      </c>
      <c r="B87" s="9"/>
      <c r="C87" s="106" t="str">
        <f>'LAB. CENTRAL NT '!E85</f>
        <v>REACTIVOS P/EQUIPO; EQUIPO: ELECTROQUIMIOLUMINISCENCIA, MARCA EQUIPO: ELECSYS ROCHE, NOMBRE DEL PRODUCTO: ATC CITOMEGALOVIRUS IG G, PRESENTACION: ENVASE X 100 DETERM.</v>
      </c>
      <c r="D87" s="106"/>
      <c r="E87" s="106"/>
      <c r="F87" s="106"/>
      <c r="G87" s="106"/>
      <c r="H87" s="10" t="s">
        <v>19</v>
      </c>
      <c r="I87" s="11" t="str">
        <f>'[1]Necesidades Trimestrales'!F85</f>
        <v>CAJA</v>
      </c>
      <c r="J87" s="12">
        <f>'[1]Necesidades Trimestrales'!H85</f>
        <v>41714</v>
      </c>
      <c r="K87" s="13">
        <f>'[1]Necesidades Trimestrales'!G85</f>
        <v>1</v>
      </c>
    </row>
    <row r="88" spans="1:11" ht="35.25" customHeight="1" thickBot="1" x14ac:dyDescent="0.25">
      <c r="A88" s="8">
        <v>77</v>
      </c>
      <c r="B88" s="9"/>
      <c r="C88" s="106" t="str">
        <f>'LAB. CENTRAL NT '!E86</f>
        <v>REACTIVOS P/EQUIPO; EQUIPO: AUTOANALIZADOR, MARCA EQUIPO: COBAS ROCHE, NOMBRE DEL PRODUCTO: BETA HCG, PRESENTACION: ENVASE X 100 DETERM.</v>
      </c>
      <c r="D88" s="106"/>
      <c r="E88" s="106"/>
      <c r="F88" s="106"/>
      <c r="G88" s="106"/>
      <c r="H88" s="10" t="s">
        <v>19</v>
      </c>
      <c r="I88" s="11" t="str">
        <f>'[1]Necesidades Trimestrales'!F86</f>
        <v>CAJA</v>
      </c>
      <c r="J88" s="12">
        <f>'[1]Necesidades Trimestrales'!H86</f>
        <v>14050</v>
      </c>
      <c r="K88" s="13">
        <f>'[1]Necesidades Trimestrales'!G86</f>
        <v>1</v>
      </c>
    </row>
    <row r="89" spans="1:11" ht="45.75" customHeight="1" thickBot="1" x14ac:dyDescent="0.25">
      <c r="A89" s="8">
        <v>78</v>
      </c>
      <c r="B89" s="9"/>
      <c r="C89" s="106" t="str">
        <f>'LAB. CENTRAL NT '!E87</f>
        <v>REACTIVOS P/EQUIPO; EQUIPO: AUTOANA. X QUIMIOLUMINISCENCIA, MARCA EQUIPO: ROCHE, NOMBRE DEL PRODUCTO: KIT P/CUANT. INMUNOGLOBULINA E, PRESENTACION: ENVASE X 100 DETERM.</v>
      </c>
      <c r="D89" s="106"/>
      <c r="E89" s="106"/>
      <c r="F89" s="106"/>
      <c r="G89" s="106"/>
      <c r="H89" s="10" t="s">
        <v>19</v>
      </c>
      <c r="I89" s="11" t="str">
        <f>'[1]Necesidades Trimestrales'!F87</f>
        <v>CAJA</v>
      </c>
      <c r="J89" s="12">
        <f>'[1]Necesidades Trimestrales'!H87</f>
        <v>13670</v>
      </c>
      <c r="K89" s="13">
        <f>'[1]Necesidades Trimestrales'!G87</f>
        <v>1</v>
      </c>
    </row>
    <row r="90" spans="1:11" ht="43.5" customHeight="1" thickBot="1" x14ac:dyDescent="0.25">
      <c r="A90" s="8">
        <v>79</v>
      </c>
      <c r="B90" s="9"/>
      <c r="C90" s="106" t="str">
        <f>'LAB. CENTRAL NT '!E88</f>
        <v>REACTIVOS P/EQUIPO; EQUIPO: AUTOANA. X QUIMIOLUMINISCENCIA, MARCA EQUIPO: ROCHE, NOMBRE DEL PRODUCTO: KIT P/CUANT. HORMONA INSULINA, PRESENTACION: ENVASE X 100 DETERM.</v>
      </c>
      <c r="D90" s="106"/>
      <c r="E90" s="106"/>
      <c r="F90" s="106"/>
      <c r="G90" s="106"/>
      <c r="H90" s="10" t="s">
        <v>19</v>
      </c>
      <c r="I90" s="11" t="str">
        <f>'[1]Necesidades Trimestrales'!F88</f>
        <v>CAJA</v>
      </c>
      <c r="J90" s="12">
        <f>'[1]Necesidades Trimestrales'!H88</f>
        <v>18106</v>
      </c>
      <c r="K90" s="13">
        <f>'[1]Necesidades Trimestrales'!G88</f>
        <v>1</v>
      </c>
    </row>
    <row r="91" spans="1:11" ht="33" customHeight="1" thickBot="1" x14ac:dyDescent="0.25">
      <c r="A91" s="8">
        <v>80</v>
      </c>
      <c r="B91" s="9"/>
      <c r="C91" s="106" t="str">
        <f>'LAB. CENTRAL NT '!E89</f>
        <v>REACTIVOS P/EQUIPO; EQUIPO: AUTOANA. X QUIMIOLUMINISCENCIA, MARCA EQUIPO: ROCHE, NOMBRE DEL PRODUCTO: KIT P/CUANT. PROLACTINA II, PRESENTACION: ENVASE X 100 DETERM.</v>
      </c>
      <c r="D91" s="106"/>
      <c r="E91" s="106"/>
      <c r="F91" s="106"/>
      <c r="G91" s="106"/>
      <c r="H91" s="10" t="s">
        <v>19</v>
      </c>
      <c r="I91" s="11" t="str">
        <f>'[1]Necesidades Trimestrales'!F89</f>
        <v>CAJA</v>
      </c>
      <c r="J91" s="12">
        <f>'[1]Necesidades Trimestrales'!H89</f>
        <v>14051</v>
      </c>
      <c r="K91" s="13">
        <f>'[1]Necesidades Trimestrales'!G89</f>
        <v>1</v>
      </c>
    </row>
    <row r="92" spans="1:11" ht="40.5" customHeight="1" thickBot="1" x14ac:dyDescent="0.25">
      <c r="A92" s="8">
        <v>81</v>
      </c>
      <c r="B92" s="9"/>
      <c r="C92" s="106" t="str">
        <f>'LAB. CENTRAL NT '!E90</f>
        <v>REACTIVOS P/EQUIPO; EQUIPO: AUTOANA. X QUIMIOLUMINISCENCIA, MARCA EQUIPO: ROCHE, NOMBRE DEL PRODUCTO: KIT P/CUANT. HORM TIROIDE T4, PRESENTACION: ENVASE X 200 DETERM.</v>
      </c>
      <c r="D92" s="106"/>
      <c r="E92" s="106"/>
      <c r="F92" s="106"/>
      <c r="G92" s="106"/>
      <c r="H92" s="10" t="s">
        <v>19</v>
      </c>
      <c r="I92" s="11" t="str">
        <f>'[1]Necesidades Trimestrales'!F90</f>
        <v>CAJA</v>
      </c>
      <c r="J92" s="12">
        <f>'[1]Necesidades Trimestrales'!H90</f>
        <v>19755</v>
      </c>
      <c r="K92" s="13">
        <f>'[1]Necesidades Trimestrales'!G90</f>
        <v>1</v>
      </c>
    </row>
    <row r="93" spans="1:11" ht="36" customHeight="1" thickBot="1" x14ac:dyDescent="0.25">
      <c r="A93" s="8">
        <v>82</v>
      </c>
      <c r="B93" s="9"/>
      <c r="C93" s="106" t="str">
        <f>'LAB. CENTRAL NT '!E91</f>
        <v>REACTIVOS P/EQUIPO; EQUIPO: AUTOANA. X QUIMIOLUMINISCENCIA, MARCA EQUIPO: ROCHE, NOMBRE DEL PRODUCTO: KIT P/CUANT TIROGLOBULINA 2GEN, PRESENTACION: ENVASE X 100 DETERM.</v>
      </c>
      <c r="D93" s="106"/>
      <c r="E93" s="106"/>
      <c r="F93" s="106"/>
      <c r="G93" s="106"/>
      <c r="H93" s="10" t="s">
        <v>19</v>
      </c>
      <c r="I93" s="11" t="str">
        <f>'[1]Necesidades Trimestrales'!F91</f>
        <v>CAJA</v>
      </c>
      <c r="J93" s="12">
        <f>'[1]Necesidades Trimestrales'!H91</f>
        <v>17064</v>
      </c>
      <c r="K93" s="13">
        <f>'[1]Necesidades Trimestrales'!G91</f>
        <v>1</v>
      </c>
    </row>
    <row r="94" spans="1:11" ht="38.25" customHeight="1" thickBot="1" x14ac:dyDescent="0.25">
      <c r="A94" s="8">
        <v>83</v>
      </c>
      <c r="B94" s="9"/>
      <c r="C94" s="106" t="str">
        <f>'LAB. CENTRAL NT '!E92</f>
        <v>TSH P/COBAS E411 - PRESENTACION: ENVASE X 200 DETERM.</v>
      </c>
      <c r="D94" s="106"/>
      <c r="E94" s="106"/>
      <c r="F94" s="106"/>
      <c r="G94" s="106"/>
      <c r="H94" s="10" t="s">
        <v>19</v>
      </c>
      <c r="I94" s="11" t="str">
        <f>'[1]Necesidades Trimestrales'!F92</f>
        <v>CAJA</v>
      </c>
      <c r="J94" s="12">
        <f>'[1]Necesidades Trimestrales'!H92</f>
        <v>18833</v>
      </c>
      <c r="K94" s="13">
        <f>'[1]Necesidades Trimestrales'!G92</f>
        <v>4</v>
      </c>
    </row>
    <row r="95" spans="1:11" ht="30" customHeight="1" thickBot="1" x14ac:dyDescent="0.25">
      <c r="A95" s="8">
        <v>84</v>
      </c>
      <c r="B95" s="9"/>
      <c r="C95" s="106" t="str">
        <f>'LAB. CENTRAL NT '!E93</f>
        <v>REACTIVOS P/EQUIPO; EQUIPO: AUTOANA. X QUIMIOLUMINISCENCIA, MARCA EQUIPO: ROCHE, NOMBRE DEL PRODUCTO: DET. ANTIC. ANTITIROGLOBULINA, PRESENTACION: ENVASE X 100 DETERM.</v>
      </c>
      <c r="D95" s="106"/>
      <c r="E95" s="106"/>
      <c r="F95" s="106"/>
      <c r="G95" s="106"/>
      <c r="H95" s="10" t="s">
        <v>19</v>
      </c>
      <c r="I95" s="11" t="str">
        <f>'[1]Necesidades Trimestrales'!F93</f>
        <v>CAJA</v>
      </c>
      <c r="J95" s="12">
        <f>'[1]Necesidades Trimestrales'!H93</f>
        <v>12830</v>
      </c>
      <c r="K95" s="13">
        <f>'[1]Necesidades Trimestrales'!G93</f>
        <v>1</v>
      </c>
    </row>
    <row r="96" spans="1:11" ht="47.25" customHeight="1" thickBot="1" x14ac:dyDescent="0.25">
      <c r="A96" s="8">
        <v>85</v>
      </c>
      <c r="B96" s="9"/>
      <c r="C96" s="106" t="str">
        <f>'LAB. CENTRAL NT '!E94</f>
        <v>PATRON/ESTANDAR P/CALIBRACION; EQUIPO: AUTOANAL. X QUIMIOLUMINISCECIA, MARCA EQUIPO: ROCHE, NOMBRE DEL PRODUCTO: CAL. MARCADOR TUMORAL CA 19-9, PRESENTACION: ENVASE X 10 DETERM.</v>
      </c>
      <c r="D96" s="106"/>
      <c r="E96" s="106"/>
      <c r="F96" s="106"/>
      <c r="G96" s="106"/>
      <c r="H96" s="10" t="s">
        <v>19</v>
      </c>
      <c r="I96" s="11" t="str">
        <f>'[1]Necesidades Trimestrales'!F94</f>
        <v>CAJA</v>
      </c>
      <c r="J96" s="12">
        <f>'[1]Necesidades Trimestrales'!H94</f>
        <v>15355</v>
      </c>
      <c r="K96" s="13">
        <f>'[1]Necesidades Trimestrales'!G94</f>
        <v>1</v>
      </c>
    </row>
    <row r="97" spans="1:11" ht="52.5" customHeight="1" thickBot="1" x14ac:dyDescent="0.25">
      <c r="A97" s="8">
        <v>86</v>
      </c>
      <c r="B97" s="9"/>
      <c r="C97" s="106" t="str">
        <f>'LAB. CENTRAL NT '!E95</f>
        <v>PATRON/ESTANDAR P/CALIBRACION; EQUIPO: AUTOANA. X QUIMIOLUMINISCENCIA, MARCA EQUIPO: ROCHE, NOMBRE DEL PRODUCTO: CALIBRADOR HORMONA TIROIDE T4, PRESENTACION: ENVASE X 10 DETERM.</v>
      </c>
      <c r="D97" s="106"/>
      <c r="E97" s="106"/>
      <c r="F97" s="106"/>
      <c r="G97" s="106"/>
      <c r="H97" s="10" t="s">
        <v>19</v>
      </c>
      <c r="I97" s="11" t="str">
        <f>'[1]Necesidades Trimestrales'!F95</f>
        <v>CAJA</v>
      </c>
      <c r="J97" s="12">
        <f>'[1]Necesidades Trimestrales'!H95</f>
        <v>9486</v>
      </c>
      <c r="K97" s="13">
        <f>'[1]Necesidades Trimestrales'!G95</f>
        <v>1</v>
      </c>
    </row>
    <row r="98" spans="1:11" ht="51" customHeight="1" thickBot="1" x14ac:dyDescent="0.25">
      <c r="A98" s="8">
        <v>87</v>
      </c>
      <c r="B98" s="9"/>
      <c r="C98" s="106" t="str">
        <f>'LAB. CENTRAL NT '!E96</f>
        <v>PATRON/ESTANDAR P/CALIBRACION; EQUIPO: AUTOANAL. X QUIMIOLUMINISCECIA, MARCA EQUIPO: ROCHE, NOMBRE DEL PRODUCTO: CALIBRADOR INMUNOGLOBULINA E, PRESENTACION: ENVASE X 10 DETERM.</v>
      </c>
      <c r="D98" s="106"/>
      <c r="E98" s="106"/>
      <c r="F98" s="106"/>
      <c r="G98" s="106"/>
      <c r="H98" s="10" t="s">
        <v>19</v>
      </c>
      <c r="I98" s="11" t="str">
        <f>'[1]Necesidades Trimestrales'!F96</f>
        <v>CAJA</v>
      </c>
      <c r="J98" s="12">
        <f>'[1]Necesidades Trimestrales'!H96</f>
        <v>9875</v>
      </c>
      <c r="K98" s="13">
        <f>'[1]Necesidades Trimestrales'!G96</f>
        <v>1</v>
      </c>
    </row>
    <row r="99" spans="1:11" ht="39.75" customHeight="1" thickBot="1" x14ac:dyDescent="0.25">
      <c r="A99" s="8">
        <v>88</v>
      </c>
      <c r="B99" s="9"/>
      <c r="C99" s="106" t="str">
        <f>'LAB. CENTRAL NT '!E97</f>
        <v>PATRON/ESTANDAR P/CALIBRACION; EQUIPO: AUTOANA. X QUIMIOLUMINISCENCIA, MARCA EQUIPO: ROCHE, NOMBRE DEL PRODUCTO: CALIBRADOR HORMONA TSH, PRESENTACION: ENVASE X 10 DETERM.</v>
      </c>
      <c r="D99" s="106"/>
      <c r="E99" s="106"/>
      <c r="F99" s="106"/>
      <c r="G99" s="106"/>
      <c r="H99" s="10" t="s">
        <v>19</v>
      </c>
      <c r="I99" s="11" t="str">
        <f>'[1]Necesidades Trimestrales'!F97</f>
        <v>CAJA</v>
      </c>
      <c r="J99" s="12">
        <f>'[1]Necesidades Trimestrales'!H97</f>
        <v>9025</v>
      </c>
      <c r="K99" s="13">
        <f>'[1]Necesidades Trimestrales'!G97</f>
        <v>1</v>
      </c>
    </row>
    <row r="100" spans="1:11" ht="20.25" customHeight="1" thickBot="1" x14ac:dyDescent="0.25">
      <c r="A100" s="8">
        <v>89</v>
      </c>
      <c r="B100" s="9"/>
      <c r="C100" s="106" t="str">
        <f>'LAB. CENTRAL NT '!E98</f>
        <v>PRECICONTROL ANTI HBC PARA COBAS E411</v>
      </c>
      <c r="D100" s="106"/>
      <c r="E100" s="106"/>
      <c r="F100" s="106"/>
      <c r="G100" s="106"/>
      <c r="H100" s="10" t="s">
        <v>19</v>
      </c>
      <c r="I100" s="11" t="str">
        <f>'[1]Necesidades Trimestrales'!F98</f>
        <v>CAJA</v>
      </c>
      <c r="J100" s="12">
        <f>'[1]Necesidades Trimestrales'!H98</f>
        <v>22782</v>
      </c>
      <c r="K100" s="13">
        <f>'[1]Necesidades Trimestrales'!G98</f>
        <v>1</v>
      </c>
    </row>
    <row r="101" spans="1:11" ht="20.25" customHeight="1" thickBot="1" x14ac:dyDescent="0.25">
      <c r="A101" s="8">
        <v>90</v>
      </c>
      <c r="B101" s="9"/>
      <c r="C101" s="106" t="str">
        <f>'LAB. CENTRAL NT '!E99</f>
        <v>PRECICONTROL ANTI HBS  PARA COBAS E411</v>
      </c>
      <c r="D101" s="106"/>
      <c r="E101" s="106"/>
      <c r="F101" s="106"/>
      <c r="G101" s="106"/>
      <c r="H101" s="10" t="s">
        <v>19</v>
      </c>
      <c r="I101" s="11" t="str">
        <f>'[1]Necesidades Trimestrales'!F99</f>
        <v>CAJA</v>
      </c>
      <c r="J101" s="12">
        <f>'[1]Necesidades Trimestrales'!H99</f>
        <v>9875</v>
      </c>
      <c r="K101" s="13">
        <f>'[1]Necesidades Trimestrales'!G99</f>
        <v>1</v>
      </c>
    </row>
    <row r="102" spans="1:11" ht="20.25" customHeight="1" thickBot="1" x14ac:dyDescent="0.25">
      <c r="A102" s="8">
        <v>91</v>
      </c>
      <c r="B102" s="9"/>
      <c r="C102" s="106" t="str">
        <f>'LAB. CENTRAL NT '!E100</f>
        <v>PRECICONTROL ANTI HVC</v>
      </c>
      <c r="D102" s="106"/>
      <c r="E102" s="106"/>
      <c r="F102" s="106"/>
      <c r="G102" s="106"/>
      <c r="H102" s="10" t="s">
        <v>19</v>
      </c>
      <c r="I102" s="11" t="str">
        <f>'[1]Necesidades Trimestrales'!F100</f>
        <v>CAJA</v>
      </c>
      <c r="J102" s="12">
        <f>'[1]Necesidades Trimestrales'!H100</f>
        <v>18573</v>
      </c>
      <c r="K102" s="13">
        <f>'[1]Necesidades Trimestrales'!G100</f>
        <v>1</v>
      </c>
    </row>
    <row r="103" spans="1:11" ht="20.25" customHeight="1" thickBot="1" x14ac:dyDescent="0.25">
      <c r="A103" s="8">
        <v>92</v>
      </c>
      <c r="B103" s="9"/>
      <c r="C103" s="106" t="str">
        <f>'LAB. CENTRAL NT '!E101</f>
        <v>PRECICONTROL CITOMEGALOVIRUS IGM</v>
      </c>
      <c r="D103" s="106"/>
      <c r="E103" s="106"/>
      <c r="F103" s="106"/>
      <c r="G103" s="106"/>
      <c r="H103" s="10" t="s">
        <v>19</v>
      </c>
      <c r="I103" s="11" t="str">
        <f>'[1]Necesidades Trimestrales'!F101</f>
        <v>CAJA</v>
      </c>
      <c r="J103" s="12">
        <f>'[1]Necesidades Trimestrales'!H101</f>
        <v>24990</v>
      </c>
      <c r="K103" s="13">
        <f>'[1]Necesidades Trimestrales'!G101</f>
        <v>1</v>
      </c>
    </row>
    <row r="104" spans="1:11" ht="20.25" customHeight="1" thickBot="1" x14ac:dyDescent="0.25">
      <c r="A104" s="8">
        <v>93</v>
      </c>
      <c r="B104" s="9"/>
      <c r="C104" s="106" t="str">
        <f>'LAB. CENTRAL NT '!E102</f>
        <v>PRECICONTROL CITOMEGALOVIRUS IGG</v>
      </c>
      <c r="D104" s="106"/>
      <c r="E104" s="106"/>
      <c r="F104" s="106"/>
      <c r="G104" s="106"/>
      <c r="H104" s="10" t="s">
        <v>19</v>
      </c>
      <c r="I104" s="11" t="str">
        <f>'[1]Necesidades Trimestrales'!F102</f>
        <v>CAJA</v>
      </c>
      <c r="J104" s="12">
        <f>'[1]Necesidades Trimestrales'!H102</f>
        <v>23420</v>
      </c>
      <c r="K104" s="13">
        <f>'[1]Necesidades Trimestrales'!G102</f>
        <v>1</v>
      </c>
    </row>
    <row r="105" spans="1:11" ht="20.25" customHeight="1" thickBot="1" x14ac:dyDescent="0.25">
      <c r="A105" s="8">
        <v>94</v>
      </c>
      <c r="B105" s="9"/>
      <c r="C105" s="106" t="str">
        <f>'LAB. CENTRAL NT '!E103</f>
        <v>PRECICONTROL  HBS ANTIGENO P/E411 HEPATITIS</v>
      </c>
      <c r="D105" s="106"/>
      <c r="E105" s="106"/>
      <c r="F105" s="106"/>
      <c r="G105" s="106"/>
      <c r="H105" s="10" t="s">
        <v>19</v>
      </c>
      <c r="I105" s="11" t="str">
        <f>'[1]Necesidades Trimestrales'!F103</f>
        <v>CAJA</v>
      </c>
      <c r="J105" s="12">
        <f>'[1]Necesidades Trimestrales'!H103</f>
        <v>9875</v>
      </c>
      <c r="K105" s="13">
        <f>'[1]Necesidades Trimestrales'!G103</f>
        <v>1</v>
      </c>
    </row>
    <row r="106" spans="1:11" ht="20.25" customHeight="1" thickBot="1" x14ac:dyDescent="0.25">
      <c r="A106" s="8">
        <v>95</v>
      </c>
      <c r="B106" s="9"/>
      <c r="C106" s="106" t="str">
        <f>'LAB. CENTRAL NT '!E104</f>
        <v>PRECICONTROL MULTIMARKER QCS P COBAS E 411 - 6 x 2 ml</v>
      </c>
      <c r="D106" s="106"/>
      <c r="E106" s="106"/>
      <c r="F106" s="106"/>
      <c r="G106" s="106"/>
      <c r="H106" s="10" t="s">
        <v>19</v>
      </c>
      <c r="I106" s="11" t="str">
        <f>'[1]Necesidades Trimestrales'!F104</f>
        <v>CAJA</v>
      </c>
      <c r="J106" s="12">
        <f>'[1]Necesidades Trimestrales'!H104</f>
        <v>20294</v>
      </c>
      <c r="K106" s="13">
        <f>'[1]Necesidades Trimestrales'!G104</f>
        <v>1</v>
      </c>
    </row>
    <row r="107" spans="1:11" ht="20.25" customHeight="1" thickBot="1" x14ac:dyDescent="0.25">
      <c r="A107" s="8">
        <v>96</v>
      </c>
      <c r="B107" s="9"/>
      <c r="C107" s="106" t="str">
        <f>'LAB. CENTRAL NT '!E105</f>
        <v>PRECICONTROL THYRO P COBAS E 411</v>
      </c>
      <c r="D107" s="106"/>
      <c r="E107" s="106"/>
      <c r="F107" s="106"/>
      <c r="G107" s="106"/>
      <c r="H107" s="10" t="s">
        <v>19</v>
      </c>
      <c r="I107" s="11" t="str">
        <f>'[1]Necesidades Trimestrales'!F105</f>
        <v>CAJA</v>
      </c>
      <c r="J107" s="12">
        <f>'[1]Necesidades Trimestrales'!H105</f>
        <v>34738</v>
      </c>
      <c r="K107" s="13">
        <f>'[1]Necesidades Trimestrales'!G105</f>
        <v>1</v>
      </c>
    </row>
    <row r="108" spans="1:11" ht="20.25" customHeight="1" thickBot="1" x14ac:dyDescent="0.25">
      <c r="A108" s="8">
        <v>97</v>
      </c>
      <c r="B108" s="9"/>
      <c r="C108" s="106" t="str">
        <f>'LAB. CENTRAL NT '!E106</f>
        <v>PRECICONTROL TROPONINA HS- STAT P COBAS E 411</v>
      </c>
      <c r="D108" s="106"/>
      <c r="E108" s="106"/>
      <c r="F108" s="106"/>
      <c r="G108" s="106"/>
      <c r="H108" s="10" t="s">
        <v>19</v>
      </c>
      <c r="I108" s="11" t="str">
        <f>'[1]Necesidades Trimestrales'!F106</f>
        <v>CAJA</v>
      </c>
      <c r="J108" s="12">
        <f>'[1]Necesidades Trimestrales'!H106</f>
        <v>5935</v>
      </c>
      <c r="K108" s="13">
        <f>'[1]Necesidades Trimestrales'!G106</f>
        <v>1</v>
      </c>
    </row>
    <row r="109" spans="1:11" ht="20.25" customHeight="1" thickBot="1" x14ac:dyDescent="0.25">
      <c r="A109" s="8">
        <v>98</v>
      </c>
      <c r="B109" s="9"/>
      <c r="C109" s="106" t="str">
        <f>'LAB. CENTRAL NT '!E107</f>
        <v>PRECICONTROL TOXOPLASMOSIS IGM</v>
      </c>
      <c r="D109" s="106"/>
      <c r="E109" s="106"/>
      <c r="F109" s="106"/>
      <c r="G109" s="106"/>
      <c r="H109" s="10" t="s">
        <v>19</v>
      </c>
      <c r="I109" s="11" t="str">
        <f>'[1]Necesidades Trimestrales'!F107</f>
        <v>CAJA</v>
      </c>
      <c r="J109" s="12">
        <f>'[1]Necesidades Trimestrales'!H107</f>
        <v>24582</v>
      </c>
      <c r="K109" s="13">
        <f>'[1]Necesidades Trimestrales'!G107</f>
        <v>1</v>
      </c>
    </row>
    <row r="110" spans="1:11" ht="20.25" customHeight="1" thickBot="1" x14ac:dyDescent="0.25">
      <c r="A110" s="8">
        <v>99</v>
      </c>
      <c r="B110" s="9"/>
      <c r="C110" s="106" t="str">
        <f>'LAB. CENTRAL NT '!E108</f>
        <v>PRECICONTROL TOXOPLASMOSIS IGG</v>
      </c>
      <c r="D110" s="106"/>
      <c r="E110" s="106"/>
      <c r="F110" s="106"/>
      <c r="G110" s="106"/>
      <c r="H110" s="10" t="s">
        <v>19</v>
      </c>
      <c r="I110" s="11" t="str">
        <f>'[1]Necesidades Trimestrales'!F108</f>
        <v>CAJA</v>
      </c>
      <c r="J110" s="12">
        <f>'[1]Necesidades Trimestrales'!H108</f>
        <v>24582</v>
      </c>
      <c r="K110" s="13">
        <f>'[1]Necesidades Trimestrales'!G108</f>
        <v>1</v>
      </c>
    </row>
    <row r="111" spans="1:11" ht="20.25" customHeight="1" thickBot="1" x14ac:dyDescent="0.25">
      <c r="A111" s="8">
        <v>100</v>
      </c>
      <c r="B111" s="9"/>
      <c r="C111" s="106" t="str">
        <f>'LAB. CENTRAL NT '!E109</f>
        <v>PRECICONTROL TUMOR MARKER P COBAS E 411</v>
      </c>
      <c r="D111" s="106"/>
      <c r="E111" s="106"/>
      <c r="F111" s="106"/>
      <c r="G111" s="106"/>
      <c r="H111" s="10" t="s">
        <v>19</v>
      </c>
      <c r="I111" s="11" t="str">
        <f>'[1]Necesidades Trimestrales'!F109</f>
        <v>CAJA</v>
      </c>
      <c r="J111" s="12">
        <f>'[1]Necesidades Trimestrales'!H109</f>
        <v>21970</v>
      </c>
      <c r="K111" s="13">
        <f>'[1]Necesidades Trimestrales'!G109</f>
        <v>1</v>
      </c>
    </row>
    <row r="112" spans="1:11" ht="20.25" customHeight="1" thickBot="1" x14ac:dyDescent="0.25">
      <c r="A112" s="8">
        <v>101</v>
      </c>
      <c r="B112" s="9"/>
      <c r="C112" s="106" t="str">
        <f>'LAB. CENTRAL NT '!E110</f>
        <v>PRECICONTROL UNIVERSAL P COBAS E 411</v>
      </c>
      <c r="D112" s="106"/>
      <c r="E112" s="106"/>
      <c r="F112" s="106"/>
      <c r="G112" s="106"/>
      <c r="H112" s="10" t="s">
        <v>19</v>
      </c>
      <c r="I112" s="11" t="str">
        <f>'[1]Necesidades Trimestrales'!F110</f>
        <v>CAJA</v>
      </c>
      <c r="J112" s="12">
        <f>'[1]Necesidades Trimestrales'!H110</f>
        <v>8880</v>
      </c>
      <c r="K112" s="13">
        <f>'[1]Necesidades Trimestrales'!G110</f>
        <v>2</v>
      </c>
    </row>
    <row r="113" spans="1:1024" ht="20.25" customHeight="1" thickBot="1" x14ac:dyDescent="0.25">
      <c r="A113" s="8">
        <v>102</v>
      </c>
      <c r="B113" s="9"/>
      <c r="C113" s="106" t="str">
        <f>'LAB. CENTRAL NT '!E111</f>
        <v>PRECICONTROL VARIA P COBAS E 411</v>
      </c>
      <c r="D113" s="106"/>
      <c r="E113" s="106"/>
      <c r="F113" s="106"/>
      <c r="G113" s="106"/>
      <c r="H113" s="10" t="s">
        <v>19</v>
      </c>
      <c r="I113" s="11" t="str">
        <f>'[1]Necesidades Trimestrales'!F111</f>
        <v>CAJA</v>
      </c>
      <c r="J113" s="12">
        <f>'[1]Necesidades Trimestrales'!H111</f>
        <v>22499</v>
      </c>
      <c r="K113" s="13">
        <f>'[1]Necesidades Trimestrales'!G111</f>
        <v>1</v>
      </c>
    </row>
    <row r="114" spans="1:1024" ht="33" customHeight="1" thickBot="1" x14ac:dyDescent="0.25">
      <c r="A114" s="8">
        <v>103</v>
      </c>
      <c r="B114" s="9"/>
      <c r="C114" s="106" t="str">
        <f>'LAB. CENTRAL NT '!E112</f>
        <v>REACTIVOS P/LAB. TEC. MANUAL ; NOMBRE: DET. CHAGAS X HEMOAGLUT., USO: DIAGNOSTICO, PRESENTACION: ENVASE X 480 DETERM.</v>
      </c>
      <c r="D114" s="106"/>
      <c r="E114" s="106"/>
      <c r="F114" s="106"/>
      <c r="G114" s="106"/>
      <c r="H114" s="10" t="s">
        <v>19</v>
      </c>
      <c r="I114" s="11" t="str">
        <f>'[1]Necesidades Trimestrales'!F112</f>
        <v>CAJA</v>
      </c>
      <c r="J114" s="12">
        <f>'[1]Necesidades Trimestrales'!H112</f>
        <v>10233</v>
      </c>
      <c r="K114" s="13">
        <f>'[1]Necesidades Trimestrales'!G112</f>
        <v>2</v>
      </c>
    </row>
    <row r="115" spans="1:1024" ht="30.75" customHeight="1" thickBot="1" x14ac:dyDescent="0.25">
      <c r="A115" s="8">
        <v>104</v>
      </c>
      <c r="B115" s="9"/>
      <c r="C115" s="106" t="str">
        <f>'LAB. CENTRAL NT '!E113</f>
        <v>REACTIVOS P/LAB. TEC. MANUAL ; NOMBRE: VDRL, USO: DIAGNOSTICO, PRESENTACION: ENVASE X 250 DETERM.</v>
      </c>
      <c r="D115" s="106"/>
      <c r="E115" s="106"/>
      <c r="F115" s="106"/>
      <c r="G115" s="106"/>
      <c r="H115" s="10" t="s">
        <v>19</v>
      </c>
      <c r="I115" s="11" t="str">
        <f>'[1]Necesidades Trimestrales'!F113</f>
        <v>CAJA</v>
      </c>
      <c r="J115" s="12">
        <f>'[1]Necesidades Trimestrales'!H113</f>
        <v>1190</v>
      </c>
      <c r="K115" s="13">
        <f>'[1]Necesidades Trimestrales'!G113</f>
        <v>2</v>
      </c>
    </row>
    <row r="116" spans="1:1024" ht="34.5" customHeight="1" thickBot="1" x14ac:dyDescent="0.25">
      <c r="A116" s="8">
        <v>105</v>
      </c>
      <c r="B116" s="9"/>
      <c r="C116" s="106" t="str">
        <f>'LAB. CENTRAL NT '!E114</f>
        <v>REACTIVOS P/LAB. TEC. MANUAL ; NOMBRE: TOXOTEST HAI, USO: INMUNOLOGIA, PRESENTACION: ENVASE X 96 DETERM.</v>
      </c>
      <c r="D116" s="106"/>
      <c r="E116" s="106"/>
      <c r="F116" s="106"/>
      <c r="G116" s="106"/>
      <c r="H116" s="10" t="s">
        <v>19</v>
      </c>
      <c r="I116" s="11" t="str">
        <f>'[1]Necesidades Trimestrales'!F114</f>
        <v>CAJA</v>
      </c>
      <c r="J116" s="12">
        <f>'[1]Necesidades Trimestrales'!H114</f>
        <v>15769</v>
      </c>
      <c r="K116" s="13">
        <f>'[1]Necesidades Trimestrales'!G114</f>
        <v>1</v>
      </c>
    </row>
    <row r="117" spans="1:1024" ht="38.25" customHeight="1" thickBot="1" x14ac:dyDescent="0.25">
      <c r="A117" s="8">
        <v>106</v>
      </c>
      <c r="B117" s="9"/>
      <c r="C117" s="106" t="str">
        <f>'LAB. CENTRAL NT '!E115</f>
        <v>REACTIVOS P/LAB. TEC. MANUAL ; NOMBRE: KIT ELISA IGG- HIDATIDOSIS, USO: DIAGNOSTICO, PRESENTACION: ENVASE X 96 DETERM.</v>
      </c>
      <c r="D117" s="106"/>
      <c r="E117" s="106"/>
      <c r="F117" s="106"/>
      <c r="G117" s="106"/>
      <c r="H117" s="10" t="s">
        <v>19</v>
      </c>
      <c r="I117" s="11" t="str">
        <f>'[1]Necesidades Trimestrales'!F115</f>
        <v>CAJA</v>
      </c>
      <c r="J117" s="12">
        <f>'[1]Necesidades Trimestrales'!H115</f>
        <v>14053</v>
      </c>
      <c r="K117" s="13">
        <f>'[1]Necesidades Trimestrales'!G115</f>
        <v>1</v>
      </c>
    </row>
    <row r="118" spans="1:1024" ht="35.25" customHeight="1" thickBot="1" x14ac:dyDescent="0.25">
      <c r="A118" s="8">
        <v>107</v>
      </c>
      <c r="B118" s="9"/>
      <c r="C118" s="106" t="str">
        <f>'LAB. CENTRAL NT '!E116</f>
        <v>REACTIVOS P/LAB. TEC. MANUAL ; NOMBRE: ELISA IGA ANTITRANSGLUTAMINASA, USO: DIAGNOSTICO ENFERMEDAD CELIACA, PRESENTACION: ENVASE X 96 DETERM.</v>
      </c>
      <c r="D118" s="106"/>
      <c r="E118" s="106"/>
      <c r="F118" s="106"/>
      <c r="G118" s="106"/>
      <c r="H118" s="10" t="s">
        <v>19</v>
      </c>
      <c r="I118" s="11" t="str">
        <f>'[1]Necesidades Trimestrales'!F116</f>
        <v>CAJA</v>
      </c>
      <c r="J118" s="12">
        <f>'[1]Necesidades Trimestrales'!H116</f>
        <v>32581</v>
      </c>
      <c r="K118" s="13">
        <f>'[1]Necesidades Trimestrales'!G116</f>
        <v>2</v>
      </c>
    </row>
    <row r="119" spans="1:1024" ht="34.5" customHeight="1" thickBot="1" x14ac:dyDescent="0.25">
      <c r="A119" s="8">
        <v>108</v>
      </c>
      <c r="B119" s="9"/>
      <c r="C119" s="106" t="str">
        <f>'LAB. CENTRAL NT '!E117</f>
        <v>REACTIVOS P/EQUIPO; EQUIPO: COAGULOMETRO, MARCA EQUIPO: COATRON A4, NOMBRE DEL PRODUCTO: TROMBOPLASTINA-S, PRESENTACION: 10 X ENVASE X 4 mL</v>
      </c>
      <c r="D119" s="106"/>
      <c r="E119" s="106"/>
      <c r="F119" s="106"/>
      <c r="G119" s="106"/>
      <c r="H119" s="10" t="s">
        <v>19</v>
      </c>
      <c r="I119" s="11" t="str">
        <f>'[1]Necesidades Trimestrales'!F117</f>
        <v>CAJA</v>
      </c>
      <c r="J119" s="12">
        <f>'[1]Necesidades Trimestrales'!H117</f>
        <v>16930</v>
      </c>
      <c r="K119" s="13">
        <f>'[1]Necesidades Trimestrales'!G117</f>
        <v>23</v>
      </c>
    </row>
    <row r="120" spans="1:1024" ht="38.25" customHeight="1" thickBot="1" x14ac:dyDescent="0.25">
      <c r="A120" s="8">
        <v>109</v>
      </c>
      <c r="B120" s="9"/>
      <c r="C120" s="106" t="str">
        <f>'LAB. CENTRAL NT '!E118</f>
        <v>REACTIVOS P/LAB. TEC. MANUAL ; NOMBRE: APTT ACTIN FSL ACT PTT, USO: ENSAYO COAGULOMETRICO, PRESENTACION: ENVASE X 10 UN</v>
      </c>
      <c r="D120" s="106"/>
      <c r="E120" s="106"/>
      <c r="F120" s="106"/>
      <c r="G120" s="106"/>
      <c r="H120" s="10" t="s">
        <v>19</v>
      </c>
      <c r="I120" s="11" t="str">
        <f>'[1]Necesidades Trimestrales'!F118</f>
        <v>CAJA</v>
      </c>
      <c r="J120" s="12">
        <f>'[1]Necesidades Trimestrales'!H118</f>
        <v>16318</v>
      </c>
      <c r="K120" s="13">
        <f>'[1]Necesidades Trimestrales'!G118</f>
        <v>20</v>
      </c>
    </row>
    <row r="121" spans="1:1024" ht="35.25" customHeight="1" thickBot="1" x14ac:dyDescent="0.25">
      <c r="A121" s="8">
        <v>110</v>
      </c>
      <c r="B121" s="9"/>
      <c r="C121" s="106" t="str">
        <f>'LAB. CENTRAL NT '!E119</f>
        <v>REACTIVOS P/EQUIPO; EQUIPO: COAGULOMETRO, MARCA EQUIPO: COATRON A4, NOMBRE DEL PRODUCTO: CLORURO DE CALCIO, PRESENTACION: 10 X ENVASE X 10 Ml</v>
      </c>
      <c r="D121" s="106"/>
      <c r="E121" s="106"/>
      <c r="F121" s="106"/>
      <c r="G121" s="106"/>
      <c r="H121" s="10" t="s">
        <v>19</v>
      </c>
      <c r="I121" s="11" t="str">
        <f>'[1]Necesidades Trimestrales'!F119</f>
        <v>CAJA</v>
      </c>
      <c r="J121" s="12">
        <f>'[1]Necesidades Trimestrales'!H119</f>
        <v>17390</v>
      </c>
      <c r="K121" s="13">
        <f>'[1]Necesidades Trimestrales'!G119</f>
        <v>11</v>
      </c>
    </row>
    <row r="122" spans="1:1024" ht="20.25" customHeight="1" thickBot="1" x14ac:dyDescent="0.25">
      <c r="A122" s="8">
        <v>111</v>
      </c>
      <c r="B122" s="9"/>
      <c r="C122" s="106" t="str">
        <f>'LAB. CENTRAL NT '!E120</f>
        <v>CONTROL PLASMA ANORMAL - 10 x 1 ml - Hemomedica</v>
      </c>
      <c r="D122" s="106"/>
      <c r="E122" s="106"/>
      <c r="F122" s="106"/>
      <c r="G122" s="106"/>
      <c r="H122" s="10" t="s">
        <v>19</v>
      </c>
      <c r="I122" s="11" t="str">
        <f>'[1]Necesidades Trimestrales'!F120</f>
        <v>CAJA</v>
      </c>
      <c r="J122" s="12">
        <f>'[1]Necesidades Trimestrales'!H120</f>
        <v>13707</v>
      </c>
      <c r="K122" s="13">
        <f>'[1]Necesidades Trimestrales'!G120</f>
        <v>6</v>
      </c>
    </row>
    <row r="123" spans="1:1024" ht="30.75" customHeight="1" thickBot="1" x14ac:dyDescent="0.25">
      <c r="A123" s="8">
        <v>112</v>
      </c>
      <c r="B123" s="9"/>
      <c r="C123" s="106" t="str">
        <f>'LAB. CENTRAL NT '!E121</f>
        <v>REACTIVOS P/LAB. TEC. MANUAL ; NOMBRE: PLASMA HUMANO NORMAL LIOF., USO: ENSAYO COAGULOMETRICO, PRESENTACION: ENVASE X 10 UN</v>
      </c>
      <c r="D123" s="106"/>
      <c r="E123" s="106"/>
      <c r="F123" s="106"/>
      <c r="G123" s="106"/>
      <c r="H123" s="10" t="s">
        <v>19</v>
      </c>
      <c r="I123" s="11" t="str">
        <f>'[1]Necesidades Trimestrales'!F121</f>
        <v>CAJA</v>
      </c>
      <c r="J123" s="12">
        <f>'[1]Necesidades Trimestrales'!H121</f>
        <v>11913</v>
      </c>
      <c r="K123" s="13">
        <f>'[1]Necesidades Trimestrales'!G121</f>
        <v>6</v>
      </c>
    </row>
    <row r="124" spans="1:1024" ht="20.25" customHeight="1" thickBot="1" x14ac:dyDescent="0.25">
      <c r="A124" s="8">
        <v>113</v>
      </c>
      <c r="B124" s="9"/>
      <c r="C124" s="106" t="str">
        <f>'LAB. CENTRAL NT '!E122</f>
        <v>CUBETAS DE REACCION; MATERIAL: PLASTICO, CELDAS: 500 C/AGITADOR, USO: COAGULOMETRO</v>
      </c>
      <c r="D124" s="106"/>
      <c r="E124" s="106"/>
      <c r="F124" s="106"/>
      <c r="G124" s="106"/>
      <c r="H124" s="10" t="s">
        <v>19</v>
      </c>
      <c r="I124" s="11" t="str">
        <f>'[1]Necesidades Trimestrales'!F122</f>
        <v>CAJA</v>
      </c>
      <c r="J124" s="12">
        <f>'[1]Necesidades Trimestrales'!H122</f>
        <v>19090</v>
      </c>
      <c r="K124" s="13">
        <f>'[1]Necesidades Trimestrales'!G122</f>
        <v>27</v>
      </c>
    </row>
    <row r="125" spans="1:1024" ht="42.75" customHeight="1" thickBot="1" x14ac:dyDescent="0.25">
      <c r="A125" s="8">
        <v>114</v>
      </c>
      <c r="B125" s="9"/>
      <c r="C125" s="106" t="str">
        <f>'LAB. CENTRAL NT '!E123</f>
        <v>REACTIVOS P/LAB. TEC. MANUAL ; NOMBRE: DET. FIBRINOGENO, USO: HEMATOLOGIA, PRESENTACION: ENVASE X 100 DETERM.</v>
      </c>
      <c r="D125" s="106"/>
      <c r="E125" s="106"/>
      <c r="F125" s="106"/>
      <c r="G125" s="106"/>
      <c r="H125" s="10" t="s">
        <v>19</v>
      </c>
      <c r="I125" s="11" t="str">
        <f>'[1]Necesidades Trimestrales'!F123</f>
        <v>CAJA</v>
      </c>
      <c r="J125" s="12">
        <f>'[1]Necesidades Trimestrales'!H123</f>
        <v>21767</v>
      </c>
      <c r="K125" s="13">
        <f>'[1]Necesidades Trimestrales'!G123</f>
        <v>5</v>
      </c>
    </row>
    <row r="126" spans="1:1024" ht="20.25" customHeight="1" thickBot="1" x14ac:dyDescent="0.25">
      <c r="A126" s="107" t="s">
        <v>20</v>
      </c>
      <c r="B126" s="107"/>
      <c r="C126" s="107"/>
      <c r="D126" s="107"/>
      <c r="E126" s="107"/>
      <c r="F126" s="107"/>
      <c r="G126" s="107"/>
      <c r="H126" s="107"/>
      <c r="I126" s="107"/>
      <c r="J126" s="108">
        <f>SUMPRODUCT(J12:J125,K12:K125)</f>
        <v>8892434</v>
      </c>
      <c r="K126" s="108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  <c r="KE126" s="14"/>
      <c r="KF126" s="14"/>
      <c r="KG126" s="14"/>
      <c r="KH126" s="14"/>
      <c r="KI126" s="14"/>
      <c r="KJ126" s="14"/>
      <c r="KK126" s="14"/>
      <c r="KL126" s="14"/>
      <c r="KM126" s="14"/>
      <c r="KN126" s="14"/>
      <c r="KO126" s="14"/>
      <c r="KP126" s="14"/>
      <c r="KQ126" s="14"/>
      <c r="KR126" s="14"/>
      <c r="KS126" s="14"/>
      <c r="KT126" s="14"/>
      <c r="KU126" s="14"/>
      <c r="KV126" s="14"/>
      <c r="KW126" s="14"/>
      <c r="KX126" s="14"/>
      <c r="KY126" s="14"/>
      <c r="KZ126" s="14"/>
      <c r="LA126" s="14"/>
      <c r="LB126" s="14"/>
      <c r="LC126" s="14"/>
      <c r="LD126" s="14"/>
      <c r="LE126" s="14"/>
      <c r="LF126" s="14"/>
      <c r="LG126" s="14"/>
      <c r="LH126" s="14"/>
      <c r="LI126" s="14"/>
      <c r="LJ126" s="14"/>
      <c r="LK126" s="14"/>
      <c r="LL126" s="14"/>
      <c r="LM126" s="14"/>
      <c r="LN126" s="14"/>
      <c r="LO126" s="14"/>
      <c r="LP126" s="14"/>
      <c r="LQ126" s="14"/>
      <c r="LR126" s="14"/>
      <c r="LS126" s="14"/>
      <c r="LT126" s="14"/>
      <c r="LU126" s="14"/>
      <c r="LV126" s="14"/>
      <c r="LW126" s="14"/>
      <c r="LX126" s="14"/>
      <c r="LY126" s="14"/>
      <c r="LZ126" s="14"/>
      <c r="MA126" s="14"/>
      <c r="MB126" s="14"/>
      <c r="MC126" s="14"/>
      <c r="MD126" s="14"/>
      <c r="ME126" s="14"/>
      <c r="MF126" s="14"/>
      <c r="MG126" s="14"/>
      <c r="MH126" s="14"/>
      <c r="MI126" s="14"/>
      <c r="MJ126" s="14"/>
      <c r="MK126" s="14"/>
      <c r="ML126" s="14"/>
      <c r="MM126" s="14"/>
      <c r="MN126" s="14"/>
      <c r="MO126" s="14"/>
      <c r="MP126" s="14"/>
      <c r="MQ126" s="14"/>
      <c r="MR126" s="14"/>
      <c r="MS126" s="14"/>
      <c r="MT126" s="14"/>
      <c r="MU126" s="14"/>
      <c r="MV126" s="14"/>
      <c r="MW126" s="14"/>
      <c r="MX126" s="14"/>
      <c r="MY126" s="14"/>
      <c r="MZ126" s="14"/>
      <c r="NA126" s="14"/>
      <c r="NB126" s="14"/>
      <c r="NC126" s="14"/>
      <c r="ND126" s="14"/>
      <c r="NE126" s="14"/>
      <c r="NF126" s="14"/>
      <c r="NG126" s="14"/>
      <c r="NH126" s="14"/>
      <c r="NI126" s="14"/>
      <c r="NJ126" s="14"/>
      <c r="NK126" s="14"/>
      <c r="NL126" s="14"/>
      <c r="NM126" s="14"/>
      <c r="NN126" s="14"/>
      <c r="NO126" s="14"/>
      <c r="NP126" s="14"/>
      <c r="NQ126" s="14"/>
      <c r="NR126" s="14"/>
      <c r="NS126" s="14"/>
      <c r="NT126" s="14"/>
      <c r="NU126" s="14"/>
      <c r="NV126" s="14"/>
      <c r="NW126" s="14"/>
      <c r="NX126" s="14"/>
      <c r="NY126" s="14"/>
      <c r="NZ126" s="14"/>
      <c r="OA126" s="14"/>
      <c r="OB126" s="14"/>
      <c r="OC126" s="14"/>
      <c r="OD126" s="14"/>
      <c r="OE126" s="14"/>
      <c r="OF126" s="14"/>
      <c r="OG126" s="14"/>
      <c r="OH126" s="14"/>
      <c r="OI126" s="14"/>
      <c r="OJ126" s="14"/>
      <c r="OK126" s="14"/>
      <c r="OL126" s="14"/>
      <c r="OM126" s="14"/>
      <c r="ON126" s="14"/>
      <c r="OO126" s="14"/>
      <c r="OP126" s="14"/>
      <c r="OQ126" s="14"/>
      <c r="OR126" s="14"/>
      <c r="OS126" s="14"/>
      <c r="OT126" s="14"/>
      <c r="OU126" s="14"/>
      <c r="OV126" s="14"/>
      <c r="OW126" s="14"/>
      <c r="OX126" s="14"/>
      <c r="OY126" s="14"/>
      <c r="OZ126" s="14"/>
      <c r="PA126" s="14"/>
      <c r="PB126" s="14"/>
      <c r="PC126" s="14"/>
      <c r="PD126" s="14"/>
      <c r="PE126" s="14"/>
      <c r="PF126" s="14"/>
      <c r="PG126" s="14"/>
      <c r="PH126" s="14"/>
      <c r="PI126" s="14"/>
      <c r="PJ126" s="14"/>
      <c r="PK126" s="14"/>
      <c r="PL126" s="14"/>
      <c r="PM126" s="14"/>
      <c r="PN126" s="14"/>
      <c r="PO126" s="14"/>
      <c r="PP126" s="14"/>
      <c r="PQ126" s="14"/>
      <c r="PR126" s="14"/>
      <c r="PS126" s="14"/>
      <c r="PT126" s="14"/>
      <c r="PU126" s="14"/>
      <c r="PV126" s="14"/>
      <c r="PW126" s="14"/>
      <c r="PX126" s="14"/>
      <c r="PY126" s="14"/>
      <c r="PZ126" s="14"/>
      <c r="QA126" s="14"/>
      <c r="QB126" s="14"/>
      <c r="QC126" s="14"/>
      <c r="QD126" s="14"/>
      <c r="QE126" s="14"/>
      <c r="QF126" s="14"/>
      <c r="QG126" s="14"/>
      <c r="QH126" s="14"/>
      <c r="QI126" s="14"/>
      <c r="QJ126" s="14"/>
      <c r="QK126" s="14"/>
      <c r="QL126" s="14"/>
      <c r="QM126" s="14"/>
      <c r="QN126" s="14"/>
      <c r="QO126" s="14"/>
      <c r="QP126" s="14"/>
      <c r="QQ126" s="14"/>
      <c r="QR126" s="14"/>
      <c r="QS126" s="14"/>
      <c r="QT126" s="14"/>
      <c r="QU126" s="14"/>
      <c r="QV126" s="14"/>
      <c r="QW126" s="14"/>
      <c r="QX126" s="14"/>
      <c r="QY126" s="14"/>
      <c r="QZ126" s="14"/>
      <c r="RA126" s="14"/>
      <c r="RB126" s="14"/>
      <c r="RC126" s="14"/>
      <c r="RD126" s="14"/>
      <c r="RE126" s="14"/>
      <c r="RF126" s="14"/>
      <c r="RG126" s="14"/>
      <c r="RH126" s="14"/>
      <c r="RI126" s="14"/>
      <c r="RJ126" s="14"/>
      <c r="RK126" s="14"/>
      <c r="RL126" s="14"/>
      <c r="RM126" s="14"/>
      <c r="RN126" s="14"/>
      <c r="RO126" s="14"/>
      <c r="RP126" s="14"/>
      <c r="RQ126" s="14"/>
      <c r="RR126" s="14"/>
      <c r="RS126" s="14"/>
      <c r="RT126" s="14"/>
      <c r="RU126" s="14"/>
      <c r="RV126" s="14"/>
      <c r="RW126" s="14"/>
      <c r="RX126" s="14"/>
      <c r="RY126" s="14"/>
      <c r="RZ126" s="14"/>
      <c r="SA126" s="14"/>
      <c r="SB126" s="14"/>
      <c r="SC126" s="14"/>
      <c r="SD126" s="14"/>
      <c r="SE126" s="14"/>
      <c r="SF126" s="14"/>
      <c r="SG126" s="14"/>
      <c r="SH126" s="14"/>
      <c r="SI126" s="14"/>
      <c r="SJ126" s="14"/>
      <c r="SK126" s="14"/>
      <c r="SL126" s="14"/>
      <c r="SM126" s="14"/>
      <c r="SN126" s="14"/>
      <c r="SO126" s="14"/>
      <c r="SP126" s="14"/>
      <c r="SQ126" s="14"/>
      <c r="SR126" s="14"/>
      <c r="SS126" s="14"/>
      <c r="ST126" s="14"/>
      <c r="SU126" s="14"/>
      <c r="SV126" s="14"/>
      <c r="SW126" s="14"/>
      <c r="SX126" s="14"/>
      <c r="SY126" s="14"/>
      <c r="SZ126" s="14"/>
      <c r="TA126" s="14"/>
      <c r="TB126" s="14"/>
      <c r="TC126" s="14"/>
      <c r="TD126" s="14"/>
      <c r="TE126" s="14"/>
      <c r="TF126" s="14"/>
      <c r="TG126" s="14"/>
      <c r="TH126" s="14"/>
      <c r="TI126" s="14"/>
      <c r="TJ126" s="14"/>
      <c r="TK126" s="14"/>
      <c r="TL126" s="14"/>
      <c r="TM126" s="14"/>
      <c r="TN126" s="14"/>
      <c r="TO126" s="14"/>
      <c r="TP126" s="14"/>
      <c r="TQ126" s="14"/>
      <c r="TR126" s="14"/>
      <c r="TS126" s="14"/>
      <c r="TT126" s="14"/>
      <c r="TU126" s="14"/>
      <c r="TV126" s="14"/>
      <c r="TW126" s="14"/>
      <c r="TX126" s="14"/>
      <c r="TY126" s="14"/>
      <c r="TZ126" s="14"/>
      <c r="UA126" s="14"/>
      <c r="UB126" s="14"/>
      <c r="UC126" s="14"/>
      <c r="UD126" s="14"/>
      <c r="UE126" s="14"/>
      <c r="UF126" s="14"/>
      <c r="UG126" s="14"/>
      <c r="UH126" s="14"/>
      <c r="UI126" s="14"/>
      <c r="UJ126" s="14"/>
      <c r="UK126" s="14"/>
      <c r="UL126" s="14"/>
      <c r="UM126" s="14"/>
      <c r="UN126" s="14"/>
      <c r="UO126" s="14"/>
      <c r="UP126" s="14"/>
      <c r="UQ126" s="14"/>
      <c r="UR126" s="14"/>
      <c r="US126" s="14"/>
      <c r="UT126" s="14"/>
      <c r="UU126" s="14"/>
      <c r="UV126" s="14"/>
      <c r="UW126" s="14"/>
      <c r="UX126" s="14"/>
      <c r="UY126" s="14"/>
      <c r="UZ126" s="14"/>
      <c r="VA126" s="14"/>
      <c r="VB126" s="14"/>
      <c r="VC126" s="14"/>
      <c r="VD126" s="14"/>
      <c r="VE126" s="14"/>
      <c r="VF126" s="14"/>
      <c r="VG126" s="14"/>
      <c r="VH126" s="14"/>
      <c r="VI126" s="14"/>
      <c r="VJ126" s="14"/>
      <c r="VK126" s="14"/>
      <c r="VL126" s="14"/>
      <c r="VM126" s="14"/>
      <c r="VN126" s="14"/>
      <c r="VO126" s="14"/>
      <c r="VP126" s="14"/>
      <c r="VQ126" s="14"/>
      <c r="VR126" s="14"/>
      <c r="VS126" s="14"/>
      <c r="VT126" s="14"/>
      <c r="VU126" s="14"/>
      <c r="VV126" s="14"/>
      <c r="VW126" s="14"/>
      <c r="VX126" s="14"/>
      <c r="VY126" s="14"/>
      <c r="VZ126" s="14"/>
      <c r="WA126" s="14"/>
      <c r="WB126" s="14"/>
      <c r="WC126" s="14"/>
      <c r="WD126" s="14"/>
      <c r="WE126" s="14"/>
      <c r="WF126" s="14"/>
      <c r="WG126" s="14"/>
      <c r="WH126" s="14"/>
      <c r="WI126" s="14"/>
      <c r="WJ126" s="14"/>
      <c r="WK126" s="14"/>
      <c r="WL126" s="14"/>
      <c r="WM126" s="14"/>
      <c r="WN126" s="14"/>
      <c r="WO126" s="14"/>
      <c r="WP126" s="14"/>
      <c r="WQ126" s="14"/>
      <c r="WR126" s="14"/>
      <c r="WS126" s="14"/>
      <c r="WT126" s="14"/>
      <c r="WU126" s="14"/>
      <c r="WV126" s="14"/>
      <c r="WW126" s="14"/>
      <c r="WX126" s="14"/>
      <c r="WY126" s="14"/>
      <c r="WZ126" s="14"/>
      <c r="XA126" s="14"/>
      <c r="XB126" s="14"/>
      <c r="XC126" s="14"/>
      <c r="XD126" s="14"/>
      <c r="XE126" s="14"/>
      <c r="XF126" s="14"/>
      <c r="XG126" s="14"/>
      <c r="XH126" s="14"/>
      <c r="XI126" s="14"/>
      <c r="XJ126" s="14"/>
      <c r="XK126" s="14"/>
      <c r="XL126" s="14"/>
      <c r="XM126" s="14"/>
      <c r="XN126" s="14"/>
      <c r="XO126" s="14"/>
      <c r="XP126" s="14"/>
      <c r="XQ126" s="14"/>
      <c r="XR126" s="14"/>
      <c r="XS126" s="14"/>
      <c r="XT126" s="14"/>
      <c r="XU126" s="14"/>
      <c r="XV126" s="14"/>
      <c r="XW126" s="14"/>
      <c r="XX126" s="14"/>
      <c r="XY126" s="14"/>
      <c r="XZ126" s="14"/>
      <c r="YA126" s="14"/>
      <c r="YB126" s="14"/>
      <c r="YC126" s="14"/>
      <c r="YD126" s="14"/>
      <c r="YE126" s="14"/>
      <c r="YF126" s="14"/>
      <c r="YG126" s="14"/>
      <c r="YH126" s="14"/>
      <c r="YI126" s="14"/>
      <c r="YJ126" s="14"/>
      <c r="YK126" s="14"/>
      <c r="YL126" s="14"/>
      <c r="YM126" s="14"/>
      <c r="YN126" s="14"/>
      <c r="YO126" s="14"/>
      <c r="YP126" s="14"/>
      <c r="YQ126" s="14"/>
      <c r="YR126" s="14"/>
      <c r="YS126" s="14"/>
      <c r="YT126" s="14"/>
      <c r="YU126" s="14"/>
      <c r="YV126" s="14"/>
      <c r="YW126" s="14"/>
      <c r="YX126" s="14"/>
      <c r="YY126" s="14"/>
      <c r="YZ126" s="14"/>
      <c r="ZA126" s="14"/>
      <c r="ZB126" s="14"/>
      <c r="ZC126" s="14"/>
      <c r="ZD126" s="14"/>
      <c r="ZE126" s="14"/>
      <c r="ZF126" s="14"/>
      <c r="ZG126" s="14"/>
      <c r="ZH126" s="14"/>
      <c r="ZI126" s="14"/>
      <c r="ZJ126" s="14"/>
      <c r="ZK126" s="14"/>
      <c r="ZL126" s="14"/>
      <c r="ZM126" s="14"/>
      <c r="ZN126" s="14"/>
      <c r="ZO126" s="14"/>
      <c r="ZP126" s="14"/>
      <c r="ZQ126" s="14"/>
      <c r="ZR126" s="14"/>
      <c r="ZS126" s="14"/>
      <c r="ZT126" s="14"/>
      <c r="ZU126" s="14"/>
      <c r="ZV126" s="14"/>
      <c r="ZW126" s="14"/>
      <c r="ZX126" s="14"/>
      <c r="ZY126" s="14"/>
      <c r="ZZ126" s="14"/>
      <c r="AAA126" s="14"/>
      <c r="AAB126" s="14"/>
      <c r="AAC126" s="14"/>
      <c r="AAD126" s="14"/>
      <c r="AAE126" s="14"/>
      <c r="AAF126" s="14"/>
      <c r="AAG126" s="14"/>
      <c r="AAH126" s="14"/>
      <c r="AAI126" s="14"/>
      <c r="AAJ126" s="14"/>
      <c r="AAK126" s="14"/>
      <c r="AAL126" s="14"/>
      <c r="AAM126" s="14"/>
      <c r="AAN126" s="14"/>
      <c r="AAO126" s="14"/>
      <c r="AAP126" s="14"/>
      <c r="AAQ126" s="14"/>
      <c r="AAR126" s="14"/>
      <c r="AAS126" s="14"/>
      <c r="AAT126" s="14"/>
      <c r="AAU126" s="14"/>
      <c r="AAV126" s="14"/>
      <c r="AAW126" s="14"/>
      <c r="AAX126" s="14"/>
      <c r="AAY126" s="14"/>
      <c r="AAZ126" s="14"/>
      <c r="ABA126" s="14"/>
      <c r="ABB126" s="14"/>
      <c r="ABC126" s="14"/>
      <c r="ABD126" s="14"/>
      <c r="ABE126" s="14"/>
      <c r="ABF126" s="14"/>
      <c r="ABG126" s="14"/>
      <c r="ABH126" s="14"/>
      <c r="ABI126" s="14"/>
      <c r="ABJ126" s="14"/>
      <c r="ABK126" s="14"/>
      <c r="ABL126" s="14"/>
      <c r="ABM126" s="14"/>
      <c r="ABN126" s="14"/>
      <c r="ABO126" s="14"/>
      <c r="ABP126" s="14"/>
      <c r="ABQ126" s="14"/>
      <c r="ABR126" s="14"/>
      <c r="ABS126" s="14"/>
      <c r="ABT126" s="14"/>
      <c r="ABU126" s="14"/>
      <c r="ABV126" s="14"/>
      <c r="ABW126" s="14"/>
      <c r="ABX126" s="14"/>
      <c r="ABY126" s="14"/>
      <c r="ABZ126" s="14"/>
      <c r="ACA126" s="14"/>
      <c r="ACB126" s="14"/>
      <c r="ACC126" s="14"/>
      <c r="ACD126" s="14"/>
      <c r="ACE126" s="14"/>
      <c r="ACF126" s="14"/>
      <c r="ACG126" s="14"/>
      <c r="ACH126" s="14"/>
      <c r="ACI126" s="14"/>
      <c r="ACJ126" s="14"/>
      <c r="ACK126" s="14"/>
      <c r="ACL126" s="14"/>
      <c r="ACM126" s="14"/>
      <c r="ACN126" s="14"/>
      <c r="ACO126" s="14"/>
      <c r="ACP126" s="14"/>
      <c r="ACQ126" s="14"/>
      <c r="ACR126" s="14"/>
      <c r="ACS126" s="14"/>
      <c r="ACT126" s="14"/>
      <c r="ACU126" s="14"/>
      <c r="ACV126" s="14"/>
      <c r="ACW126" s="14"/>
      <c r="ACX126" s="14"/>
      <c r="ACY126" s="14"/>
      <c r="ACZ126" s="14"/>
      <c r="ADA126" s="14"/>
      <c r="ADB126" s="14"/>
      <c r="ADC126" s="14"/>
      <c r="ADD126" s="14"/>
      <c r="ADE126" s="14"/>
      <c r="ADF126" s="14"/>
      <c r="ADG126" s="14"/>
      <c r="ADH126" s="14"/>
      <c r="ADI126" s="14"/>
      <c r="ADJ126" s="14"/>
      <c r="ADK126" s="14"/>
      <c r="ADL126" s="14"/>
      <c r="ADM126" s="14"/>
      <c r="ADN126" s="14"/>
      <c r="ADO126" s="14"/>
      <c r="ADP126" s="14"/>
      <c r="ADQ126" s="14"/>
      <c r="ADR126" s="14"/>
      <c r="ADS126" s="14"/>
      <c r="ADT126" s="14"/>
      <c r="ADU126" s="14"/>
      <c r="ADV126" s="14"/>
      <c r="ADW126" s="14"/>
      <c r="ADX126" s="14"/>
      <c r="ADY126" s="14"/>
      <c r="ADZ126" s="14"/>
      <c r="AEA126" s="14"/>
      <c r="AEB126" s="14"/>
      <c r="AEC126" s="14"/>
      <c r="AED126" s="14"/>
      <c r="AEE126" s="14"/>
      <c r="AEF126" s="14"/>
      <c r="AEG126" s="14"/>
      <c r="AEH126" s="14"/>
      <c r="AEI126" s="14"/>
      <c r="AEJ126" s="14"/>
      <c r="AEK126" s="14"/>
      <c r="AEL126" s="14"/>
      <c r="AEM126" s="14"/>
      <c r="AEN126" s="14"/>
      <c r="AEO126" s="14"/>
      <c r="AEP126" s="14"/>
      <c r="AEQ126" s="14"/>
      <c r="AER126" s="14"/>
      <c r="AES126" s="14"/>
      <c r="AET126" s="14"/>
      <c r="AEU126" s="14"/>
      <c r="AEV126" s="14"/>
      <c r="AEW126" s="14"/>
      <c r="AEX126" s="14"/>
      <c r="AEY126" s="14"/>
      <c r="AEZ126" s="14"/>
      <c r="AFA126" s="14"/>
      <c r="AFB126" s="14"/>
      <c r="AFC126" s="14"/>
      <c r="AFD126" s="14"/>
      <c r="AFE126" s="14"/>
      <c r="AFF126" s="14"/>
      <c r="AFG126" s="14"/>
      <c r="AFH126" s="14"/>
      <c r="AFI126" s="14"/>
      <c r="AFJ126" s="14"/>
      <c r="AFK126" s="14"/>
      <c r="AFL126" s="14"/>
      <c r="AFM126" s="14"/>
      <c r="AFN126" s="14"/>
      <c r="AFO126" s="14"/>
      <c r="AFP126" s="14"/>
      <c r="AFQ126" s="14"/>
      <c r="AFR126" s="14"/>
      <c r="AFS126" s="14"/>
      <c r="AFT126" s="14"/>
      <c r="AFU126" s="14"/>
      <c r="AFV126" s="14"/>
      <c r="AFW126" s="14"/>
      <c r="AFX126" s="14"/>
      <c r="AFY126" s="14"/>
      <c r="AFZ126" s="14"/>
      <c r="AGA126" s="14"/>
      <c r="AGB126" s="14"/>
      <c r="AGC126" s="14"/>
      <c r="AGD126" s="14"/>
      <c r="AGE126" s="14"/>
      <c r="AGF126" s="14"/>
      <c r="AGG126" s="14"/>
      <c r="AGH126" s="14"/>
      <c r="AGI126" s="14"/>
      <c r="AGJ126" s="14"/>
      <c r="AGK126" s="14"/>
      <c r="AGL126" s="14"/>
      <c r="AGM126" s="14"/>
      <c r="AGN126" s="14"/>
      <c r="AGO126" s="14"/>
      <c r="AGP126" s="14"/>
      <c r="AGQ126" s="14"/>
      <c r="AGR126" s="14"/>
      <c r="AGS126" s="14"/>
      <c r="AGT126" s="14"/>
      <c r="AGU126" s="14"/>
      <c r="AGV126" s="14"/>
      <c r="AGW126" s="14"/>
      <c r="AGX126" s="14"/>
      <c r="AGY126" s="14"/>
      <c r="AGZ126" s="14"/>
      <c r="AHA126" s="14"/>
      <c r="AHB126" s="14"/>
      <c r="AHC126" s="14"/>
      <c r="AHD126" s="14"/>
      <c r="AHE126" s="14"/>
      <c r="AHF126" s="14"/>
      <c r="AHG126" s="14"/>
      <c r="AHH126" s="14"/>
      <c r="AHI126" s="14"/>
      <c r="AHJ126" s="14"/>
      <c r="AHK126" s="14"/>
      <c r="AHL126" s="14"/>
      <c r="AHM126" s="14"/>
      <c r="AHN126" s="14"/>
      <c r="AHO126" s="14"/>
      <c r="AHP126" s="14"/>
      <c r="AHQ126" s="14"/>
      <c r="AHR126" s="14"/>
      <c r="AHS126" s="14"/>
      <c r="AHT126" s="14"/>
      <c r="AHU126" s="14"/>
      <c r="AHV126" s="14"/>
      <c r="AHW126" s="14"/>
      <c r="AHX126" s="14"/>
      <c r="AHY126" s="14"/>
      <c r="AHZ126" s="14"/>
      <c r="AIA126" s="14"/>
      <c r="AIB126" s="14"/>
      <c r="AIC126" s="14"/>
      <c r="AID126" s="14"/>
      <c r="AIE126" s="14"/>
      <c r="AIF126" s="14"/>
      <c r="AIG126" s="14"/>
      <c r="AIH126" s="14"/>
      <c r="AII126" s="14"/>
      <c r="AIJ126" s="14"/>
      <c r="AIK126" s="14"/>
      <c r="AIL126" s="14"/>
      <c r="AIM126" s="14"/>
      <c r="AIN126" s="14"/>
      <c r="AIO126" s="14"/>
      <c r="AIP126" s="14"/>
      <c r="AIQ126" s="14"/>
      <c r="AIR126" s="14"/>
      <c r="AIS126" s="14"/>
      <c r="AIT126" s="14"/>
      <c r="AIU126" s="14"/>
      <c r="AIV126" s="14"/>
      <c r="AIW126" s="14"/>
      <c r="AIX126" s="14"/>
      <c r="AIY126" s="14"/>
      <c r="AIZ126" s="14"/>
      <c r="AJA126" s="14"/>
      <c r="AJB126" s="14"/>
      <c r="AJC126" s="14"/>
      <c r="AJD126" s="14"/>
      <c r="AJE126" s="14"/>
      <c r="AJF126" s="14"/>
      <c r="AJG126" s="14"/>
      <c r="AJH126" s="14"/>
      <c r="AJI126" s="14"/>
      <c r="AJJ126" s="14"/>
      <c r="AJK126" s="14"/>
      <c r="AJL126" s="14"/>
      <c r="AJM126" s="14"/>
      <c r="AJN126" s="14"/>
      <c r="AJO126" s="14"/>
      <c r="AJP126" s="14"/>
      <c r="AJQ126" s="14"/>
      <c r="AJR126" s="14"/>
      <c r="AJS126" s="14"/>
      <c r="AJT126" s="14"/>
      <c r="AJU126" s="14"/>
      <c r="AJV126" s="14"/>
      <c r="AJW126" s="14"/>
      <c r="AJX126" s="14"/>
      <c r="AJY126" s="14"/>
      <c r="AJZ126" s="14"/>
      <c r="AKA126" s="14"/>
      <c r="AKB126" s="14"/>
      <c r="AKC126" s="14"/>
      <c r="AKD126" s="14"/>
      <c r="AKE126" s="14"/>
      <c r="AKF126" s="14"/>
      <c r="AKG126" s="14"/>
      <c r="AKH126" s="14"/>
      <c r="AKI126" s="14"/>
      <c r="AKJ126" s="14"/>
      <c r="AKK126" s="14"/>
      <c r="AKL126" s="14"/>
      <c r="AKM126" s="14"/>
      <c r="AKN126" s="14"/>
      <c r="AKO126" s="14"/>
      <c r="AKP126" s="14"/>
      <c r="AKQ126" s="14"/>
      <c r="AKR126" s="14"/>
      <c r="AKS126" s="14"/>
      <c r="AKT126" s="14"/>
      <c r="AKU126" s="14"/>
      <c r="AKV126" s="14"/>
      <c r="AKW126" s="14"/>
      <c r="AKX126" s="14"/>
      <c r="AKY126" s="14"/>
      <c r="AKZ126" s="14"/>
      <c r="ALA126" s="14"/>
      <c r="ALB126" s="14"/>
      <c r="ALC126" s="14"/>
      <c r="ALD126" s="14"/>
      <c r="ALE126" s="14"/>
      <c r="ALF126" s="14"/>
      <c r="ALG126" s="14"/>
      <c r="ALH126" s="14"/>
      <c r="ALI126" s="14"/>
      <c r="ALJ126" s="14"/>
      <c r="ALK126" s="14"/>
      <c r="ALL126" s="14"/>
      <c r="ALM126" s="14"/>
      <c r="ALN126" s="14"/>
      <c r="ALO126" s="14"/>
      <c r="ALP126" s="14"/>
      <c r="ALQ126" s="14"/>
      <c r="ALR126" s="14"/>
      <c r="ALS126" s="14"/>
      <c r="ALT126" s="14"/>
      <c r="ALU126" s="14"/>
      <c r="ALV126" s="14"/>
      <c r="ALW126" s="14"/>
      <c r="ALX126" s="14"/>
      <c r="ALY126" s="14"/>
      <c r="ALZ126" s="14"/>
      <c r="AMA126" s="14"/>
      <c r="AMB126" s="14"/>
      <c r="AMC126" s="14"/>
      <c r="AMD126" s="14"/>
      <c r="AME126" s="14"/>
      <c r="AMF126" s="14"/>
      <c r="AMG126" s="14"/>
      <c r="AMH126" s="14"/>
      <c r="AMI126" s="14"/>
      <c r="AMJ126" s="14"/>
    </row>
  </sheetData>
  <mergeCells count="136">
    <mergeCell ref="A1:I1"/>
    <mergeCell ref="A3:C3"/>
    <mergeCell ref="D3:K3"/>
    <mergeCell ref="A4:C4"/>
    <mergeCell ref="D4:K4"/>
    <mergeCell ref="A5:C5"/>
    <mergeCell ref="D5:K5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C17:G17"/>
    <mergeCell ref="C18:G18"/>
    <mergeCell ref="C19:G19"/>
    <mergeCell ref="C20:G20"/>
    <mergeCell ref="C21:G21"/>
    <mergeCell ref="C22:G22"/>
    <mergeCell ref="K10:K11"/>
    <mergeCell ref="C12:G12"/>
    <mergeCell ref="C13:G13"/>
    <mergeCell ref="C14:G14"/>
    <mergeCell ref="C15:G15"/>
    <mergeCell ref="C16:G16"/>
    <mergeCell ref="C29:G29"/>
    <mergeCell ref="C30:G30"/>
    <mergeCell ref="C31:G31"/>
    <mergeCell ref="C32:G32"/>
    <mergeCell ref="C33:G33"/>
    <mergeCell ref="C34:G34"/>
    <mergeCell ref="C23:G23"/>
    <mergeCell ref="C24:G24"/>
    <mergeCell ref="C25:G25"/>
    <mergeCell ref="C26:G26"/>
    <mergeCell ref="C27:G27"/>
    <mergeCell ref="C28:G28"/>
    <mergeCell ref="C41:G41"/>
    <mergeCell ref="C42:G42"/>
    <mergeCell ref="C43:G43"/>
    <mergeCell ref="C44:G44"/>
    <mergeCell ref="C45:G45"/>
    <mergeCell ref="C46:G46"/>
    <mergeCell ref="C35:G35"/>
    <mergeCell ref="C36:G36"/>
    <mergeCell ref="C37:G37"/>
    <mergeCell ref="C38:G38"/>
    <mergeCell ref="C39:G39"/>
    <mergeCell ref="C40:G40"/>
    <mergeCell ref="C53:G53"/>
    <mergeCell ref="C54:G54"/>
    <mergeCell ref="C55:G55"/>
    <mergeCell ref="C56:G56"/>
    <mergeCell ref="C57:G57"/>
    <mergeCell ref="C58:G58"/>
    <mergeCell ref="C47:G47"/>
    <mergeCell ref="C48:G48"/>
    <mergeCell ref="C49:G49"/>
    <mergeCell ref="C50:G50"/>
    <mergeCell ref="C51:G51"/>
    <mergeCell ref="C52:G52"/>
    <mergeCell ref="C65:G65"/>
    <mergeCell ref="C66:G66"/>
    <mergeCell ref="C67:G67"/>
    <mergeCell ref="C68:G68"/>
    <mergeCell ref="C69:G69"/>
    <mergeCell ref="C70:G70"/>
    <mergeCell ref="C59:G59"/>
    <mergeCell ref="C60:G60"/>
    <mergeCell ref="C61:G61"/>
    <mergeCell ref="C62:G62"/>
    <mergeCell ref="C63:G63"/>
    <mergeCell ref="C64:G64"/>
    <mergeCell ref="C77:G77"/>
    <mergeCell ref="C78:G78"/>
    <mergeCell ref="C79:G79"/>
    <mergeCell ref="C80:G80"/>
    <mergeCell ref="C81:G81"/>
    <mergeCell ref="C82:G82"/>
    <mergeCell ref="C71:G71"/>
    <mergeCell ref="C72:G72"/>
    <mergeCell ref="C73:G73"/>
    <mergeCell ref="C74:G74"/>
    <mergeCell ref="C75:G75"/>
    <mergeCell ref="C76:G76"/>
    <mergeCell ref="C89:G89"/>
    <mergeCell ref="C90:G90"/>
    <mergeCell ref="C91:G91"/>
    <mergeCell ref="C92:G92"/>
    <mergeCell ref="C93:G93"/>
    <mergeCell ref="C94:G94"/>
    <mergeCell ref="C83:G83"/>
    <mergeCell ref="C84:G84"/>
    <mergeCell ref="C85:G85"/>
    <mergeCell ref="C86:G86"/>
    <mergeCell ref="C87:G87"/>
    <mergeCell ref="C88:G88"/>
    <mergeCell ref="C101:G101"/>
    <mergeCell ref="C102:G102"/>
    <mergeCell ref="C103:G103"/>
    <mergeCell ref="C104:G104"/>
    <mergeCell ref="C105:G105"/>
    <mergeCell ref="C106:G106"/>
    <mergeCell ref="C95:G95"/>
    <mergeCell ref="C96:G96"/>
    <mergeCell ref="C97:G97"/>
    <mergeCell ref="C98:G98"/>
    <mergeCell ref="C99:G99"/>
    <mergeCell ref="C100:G100"/>
    <mergeCell ref="C113:G113"/>
    <mergeCell ref="C114:G114"/>
    <mergeCell ref="C115:G115"/>
    <mergeCell ref="C116:G116"/>
    <mergeCell ref="C117:G117"/>
    <mergeCell ref="C118:G118"/>
    <mergeCell ref="C107:G107"/>
    <mergeCell ref="C108:G108"/>
    <mergeCell ref="C109:G109"/>
    <mergeCell ref="C110:G110"/>
    <mergeCell ref="C111:G111"/>
    <mergeCell ref="C112:G112"/>
    <mergeCell ref="C125:G125"/>
    <mergeCell ref="A126:I126"/>
    <mergeCell ref="J126:K126"/>
    <mergeCell ref="C119:G119"/>
    <mergeCell ref="C120:G120"/>
    <mergeCell ref="C121:G121"/>
    <mergeCell ref="C122:G122"/>
    <mergeCell ref="C123:G123"/>
    <mergeCell ref="C124:G124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130" zoomScaleNormal="130" workbookViewId="0">
      <selection activeCell="O17" sqref="O17:P17"/>
    </sheetView>
  </sheetViews>
  <sheetFormatPr baseColWidth="10" defaultColWidth="9.875" defaultRowHeight="12.75" x14ac:dyDescent="0.2"/>
  <cols>
    <col min="1" max="4" width="4" style="14" customWidth="1"/>
    <col min="5" max="5" width="3.75" style="14" customWidth="1"/>
    <col min="6" max="6" width="4.625" style="14" customWidth="1"/>
    <col min="7" max="7" width="4" style="67" customWidth="1"/>
    <col min="8" max="14" width="4" style="14" customWidth="1"/>
    <col min="15" max="15" width="13.375" style="14" customWidth="1"/>
    <col min="16" max="16" width="15.25" style="14" customWidth="1"/>
    <col min="17" max="17" width="13.25" style="14" customWidth="1"/>
    <col min="18" max="18" width="9.875" style="14"/>
    <col min="19" max="19" width="12" style="14" bestFit="1" customWidth="1"/>
    <col min="20" max="16384" width="9.875" style="14"/>
  </cols>
  <sheetData>
    <row r="1" spans="1:19" ht="15.75" customHeight="1" thickBot="1" x14ac:dyDescent="0.3">
      <c r="A1" s="138" t="s">
        <v>330</v>
      </c>
      <c r="B1" s="138"/>
      <c r="C1" s="138"/>
      <c r="D1" s="139">
        <f>'[1]Necesidades Trimestrales'!C6</f>
        <v>2021</v>
      </c>
      <c r="E1" s="139"/>
      <c r="F1" s="65"/>
      <c r="G1" s="65"/>
      <c r="H1" s="66"/>
      <c r="I1" s="66"/>
      <c r="J1" s="66"/>
      <c r="K1" s="66"/>
      <c r="L1" s="66"/>
      <c r="M1" s="66"/>
      <c r="N1" s="66"/>
      <c r="P1" s="140" t="s">
        <v>336</v>
      </c>
      <c r="Q1" s="140"/>
    </row>
    <row r="2" spans="1:19" ht="15.75" customHeight="1" thickBot="1" x14ac:dyDescent="0.25">
      <c r="H2" s="66"/>
      <c r="I2" s="66"/>
      <c r="J2" s="66"/>
      <c r="K2" s="66"/>
      <c r="L2" s="66"/>
      <c r="M2" s="66"/>
      <c r="N2" s="66"/>
      <c r="P2" s="140"/>
      <c r="Q2" s="140"/>
    </row>
    <row r="4" spans="1:19" s="68" customFormat="1" ht="18" customHeight="1" thickBot="1" x14ac:dyDescent="0.25">
      <c r="A4" s="141" t="s">
        <v>337</v>
      </c>
      <c r="B4" s="141"/>
      <c r="C4" s="141"/>
      <c r="D4" s="141"/>
      <c r="E4" s="141"/>
      <c r="F4" s="141"/>
      <c r="G4" s="142" t="str">
        <f>[1]NotaPedido!D3</f>
        <v>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9" s="68" customFormat="1" ht="18" customHeight="1" thickBot="1" x14ac:dyDescent="0.25">
      <c r="A5" s="143" t="s">
        <v>4</v>
      </c>
      <c r="B5" s="144"/>
      <c r="C5" s="144"/>
      <c r="D5" s="144"/>
      <c r="E5" s="144"/>
      <c r="F5" s="145"/>
      <c r="G5" s="142" t="str">
        <f>[1]NotaPedido!D4</f>
        <v>23 - Hospital Interzonal San Juan Bautista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9" s="68" customFormat="1" ht="18" customHeight="1" thickBot="1" x14ac:dyDescent="0.25">
      <c r="A6" s="143" t="s">
        <v>5</v>
      </c>
      <c r="B6" s="144"/>
      <c r="C6" s="144"/>
      <c r="D6" s="144"/>
      <c r="E6" s="144"/>
      <c r="F6" s="145"/>
      <c r="G6" s="142" t="str">
        <f>[1]NotaPedido!D5</f>
        <v>168 - Direccion Asistencial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9" s="68" customFormat="1" ht="18" customHeight="1" thickBot="1" x14ac:dyDescent="0.25">
      <c r="A7" s="143" t="s">
        <v>7</v>
      </c>
      <c r="B7" s="144"/>
      <c r="C7" s="144"/>
      <c r="D7" s="144"/>
      <c r="E7" s="144"/>
      <c r="F7" s="145"/>
      <c r="G7" s="142" t="str">
        <f>[1]NotaPedido!D6</f>
        <v xml:space="preserve">Servicio de Laboratorio Central 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9" ht="18" customHeight="1" thickBot="1" x14ac:dyDescent="0.25">
      <c r="A8" s="146" t="s">
        <v>338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9" ht="18" customHeight="1" x14ac:dyDescent="0.2">
      <c r="A9" s="137" t="s">
        <v>339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69"/>
      <c r="P9" s="69"/>
      <c r="Q9" s="70"/>
    </row>
    <row r="10" spans="1:19" ht="54.75" customHeight="1" x14ac:dyDescent="0.2">
      <c r="A10" s="128" t="str">
        <f>"Autorizo la realización de los  trámites correspondientes, a fin de proveer a  este Organismo los bienes y/o servicios que se detallan en Nota de Pedido N° " &amp; [1]NotaPedido!K1&amp;",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386 - 2020,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9" ht="9" customHeight="1" thickBot="1" x14ac:dyDescent="0.25">
      <c r="A11" s="71"/>
      <c r="B11" s="72"/>
      <c r="C11" s="72"/>
      <c r="D11" s="72"/>
      <c r="E11" s="72"/>
      <c r="F11" s="72"/>
      <c r="G11" s="73"/>
      <c r="H11" s="72"/>
      <c r="I11" s="72"/>
      <c r="J11" s="72"/>
      <c r="K11" s="72"/>
      <c r="L11" s="72"/>
      <c r="M11" s="72"/>
      <c r="N11" s="72"/>
      <c r="O11" s="72"/>
      <c r="P11" s="72"/>
      <c r="Q11" s="74"/>
    </row>
    <row r="12" spans="1:19" ht="15.75" customHeight="1" thickBot="1" x14ac:dyDescent="0.25">
      <c r="A12" s="129" t="s">
        <v>340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9" ht="15.75" customHeight="1" thickBot="1" x14ac:dyDescent="0.25">
      <c r="A13" s="130" t="s">
        <v>341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342</v>
      </c>
      <c r="P13" s="131"/>
      <c r="Q13" s="132" t="s">
        <v>343</v>
      </c>
    </row>
    <row r="14" spans="1:19" ht="15.75" customHeight="1" thickBot="1" x14ac:dyDescent="0.25">
      <c r="A14" s="75" t="s">
        <v>344</v>
      </c>
      <c r="B14" s="76" t="s">
        <v>345</v>
      </c>
      <c r="C14" s="76" t="s">
        <v>346</v>
      </c>
      <c r="D14" s="76" t="s">
        <v>347</v>
      </c>
      <c r="E14" s="76" t="s">
        <v>348</v>
      </c>
      <c r="F14" s="76" t="s">
        <v>349</v>
      </c>
      <c r="G14" s="77" t="s">
        <v>350</v>
      </c>
      <c r="H14" s="76" t="s">
        <v>351</v>
      </c>
      <c r="I14" s="76" t="s">
        <v>352</v>
      </c>
      <c r="J14" s="76" t="s">
        <v>353</v>
      </c>
      <c r="K14" s="76" t="s">
        <v>353</v>
      </c>
      <c r="L14" s="76" t="s">
        <v>354</v>
      </c>
      <c r="M14" s="78" t="s">
        <v>355</v>
      </c>
      <c r="N14" s="79" t="s">
        <v>356</v>
      </c>
      <c r="O14" s="131"/>
      <c r="P14" s="131"/>
      <c r="Q14" s="132"/>
    </row>
    <row r="15" spans="1:19" ht="17.25" customHeight="1" x14ac:dyDescent="0.2">
      <c r="A15" s="80">
        <v>33</v>
      </c>
      <c r="B15" s="80"/>
      <c r="C15" s="80"/>
      <c r="D15" s="80">
        <v>2</v>
      </c>
      <c r="E15" s="80"/>
      <c r="F15" s="80">
        <v>4901</v>
      </c>
      <c r="G15" s="80">
        <v>3</v>
      </c>
      <c r="H15" s="80" t="s">
        <v>357</v>
      </c>
      <c r="I15" s="80">
        <v>2</v>
      </c>
      <c r="J15" s="80">
        <v>5</v>
      </c>
      <c r="K15" s="80">
        <v>1</v>
      </c>
      <c r="L15" s="80"/>
      <c r="M15" s="80">
        <v>1</v>
      </c>
      <c r="N15" s="80" t="s">
        <v>358</v>
      </c>
      <c r="O15" s="133" t="s">
        <v>359</v>
      </c>
      <c r="P15" s="133"/>
      <c r="Q15" s="81">
        <v>7553846</v>
      </c>
    </row>
    <row r="16" spans="1:19" ht="17.25" customHeight="1" x14ac:dyDescent="0.2">
      <c r="A16" s="82">
        <v>33</v>
      </c>
      <c r="B16" s="83"/>
      <c r="C16" s="83"/>
      <c r="D16" s="83">
        <v>2</v>
      </c>
      <c r="E16" s="83"/>
      <c r="F16" s="84">
        <v>4901</v>
      </c>
      <c r="G16" s="83">
        <v>3</v>
      </c>
      <c r="H16" s="83" t="s">
        <v>357</v>
      </c>
      <c r="I16" s="83">
        <v>2</v>
      </c>
      <c r="J16" s="83">
        <v>9</v>
      </c>
      <c r="K16" s="83">
        <v>5</v>
      </c>
      <c r="L16" s="83"/>
      <c r="M16" s="85">
        <v>1</v>
      </c>
      <c r="N16" s="84" t="s">
        <v>358</v>
      </c>
      <c r="O16" s="134" t="s">
        <v>360</v>
      </c>
      <c r="P16" s="134"/>
      <c r="Q16" s="86">
        <v>1188548</v>
      </c>
      <c r="S16" s="87"/>
    </row>
    <row r="17" spans="1:18" ht="17.25" customHeight="1" x14ac:dyDescent="0.2">
      <c r="A17" s="82">
        <v>33</v>
      </c>
      <c r="B17" s="83"/>
      <c r="C17" s="83"/>
      <c r="D17" s="83">
        <v>2</v>
      </c>
      <c r="E17" s="83"/>
      <c r="F17" s="83">
        <v>4901</v>
      </c>
      <c r="G17" s="83">
        <v>3</v>
      </c>
      <c r="H17" s="83" t="s">
        <v>357</v>
      </c>
      <c r="I17" s="83">
        <v>2</v>
      </c>
      <c r="J17" s="83">
        <v>9</v>
      </c>
      <c r="K17" s="83">
        <v>9</v>
      </c>
      <c r="L17" s="83"/>
      <c r="M17" s="85">
        <v>1</v>
      </c>
      <c r="N17" s="84" t="s">
        <v>358</v>
      </c>
      <c r="O17" s="135" t="s">
        <v>361</v>
      </c>
      <c r="P17" s="135"/>
      <c r="Q17" s="86">
        <v>150040</v>
      </c>
    </row>
    <row r="18" spans="1:18" ht="17.25" customHeight="1" x14ac:dyDescent="0.2">
      <c r="A18" s="82"/>
      <c r="B18" s="83"/>
      <c r="C18" s="83"/>
      <c r="D18" s="83"/>
      <c r="E18" s="83"/>
      <c r="F18" s="84"/>
      <c r="G18" s="83"/>
      <c r="H18" s="83"/>
      <c r="I18" s="83"/>
      <c r="J18" s="83"/>
      <c r="K18" s="83"/>
      <c r="L18" s="83"/>
      <c r="M18" s="85"/>
      <c r="N18" s="84"/>
      <c r="O18" s="135"/>
      <c r="P18" s="135"/>
      <c r="Q18" s="86"/>
    </row>
    <row r="19" spans="1:18" ht="17.25" customHeight="1" x14ac:dyDescent="0.2">
      <c r="A19" s="82"/>
      <c r="B19" s="83"/>
      <c r="C19" s="83"/>
      <c r="D19" s="83"/>
      <c r="E19" s="83"/>
      <c r="F19" s="84"/>
      <c r="G19" s="83"/>
      <c r="H19" s="83"/>
      <c r="I19" s="83"/>
      <c r="J19" s="83"/>
      <c r="K19" s="83"/>
      <c r="L19" s="83"/>
      <c r="M19" s="85"/>
      <c r="N19" s="84"/>
      <c r="O19" s="135"/>
      <c r="P19" s="135"/>
      <c r="Q19" s="86"/>
    </row>
    <row r="20" spans="1:18" ht="17.25" customHeight="1" x14ac:dyDescent="0.2">
      <c r="A20" s="88"/>
      <c r="B20" s="89"/>
      <c r="C20" s="89"/>
      <c r="D20" s="89"/>
      <c r="E20" s="89"/>
      <c r="F20" s="90"/>
      <c r="G20" s="89"/>
      <c r="H20" s="89"/>
      <c r="I20" s="89"/>
      <c r="J20" s="89"/>
      <c r="K20" s="89"/>
      <c r="L20" s="89"/>
      <c r="M20" s="91"/>
      <c r="N20" s="92"/>
      <c r="O20" s="136"/>
      <c r="P20" s="136"/>
      <c r="Q20" s="86"/>
      <c r="R20" s="69"/>
    </row>
    <row r="21" spans="1:18" ht="17.25" customHeight="1" thickBot="1" x14ac:dyDescent="0.25">
      <c r="A21" s="9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5"/>
      <c r="N21" s="94"/>
      <c r="O21" s="127"/>
      <c r="P21" s="127"/>
      <c r="Q21" s="96"/>
    </row>
    <row r="22" spans="1:18" ht="20.25" customHeight="1" thickBot="1" x14ac:dyDescent="0.25">
      <c r="A22" s="118" t="s">
        <v>362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20"/>
      <c r="Q22" s="97">
        <f>SUM(Q15:Q21)</f>
        <v>8892434</v>
      </c>
    </row>
    <row r="23" spans="1:18" ht="18" customHeight="1" thickBot="1" x14ac:dyDescent="0.25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</row>
    <row r="24" spans="1:18" ht="17.25" customHeight="1" thickBot="1" x14ac:dyDescent="0.25">
      <c r="A24" s="122" t="s">
        <v>363</v>
      </c>
      <c r="B24" s="123"/>
      <c r="C24" s="123"/>
      <c r="D24" s="123"/>
      <c r="E24" s="123"/>
      <c r="F24" s="124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8" ht="18" customHeight="1" thickBot="1" x14ac:dyDescent="0.25">
      <c r="A25" s="126" t="str">
        <f>"Para la "&amp; [1]NotaPedido!D8 &amp;" para ser destinados al " &amp; [1]NotaPedido!D6 &amp;"  del HISJB del Ministerio de Salud."</f>
        <v>Para la Adquisición de Insumos para Laboratorio del HISJB para ser destinados al Servicio de Laboratorio Central   del HISJB del Ministerio de Salud.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8" ht="15" customHeight="1" thickBot="1" x14ac:dyDescent="0.25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LAB. CENTRAL NT </vt:lpstr>
      <vt:lpstr>LAB. CENTRAL NPYE</vt:lpstr>
      <vt:lpstr>LAB. CENTRAL APG</vt:lpstr>
      <vt:lpstr>'LAB. CENTRAL APG'!Área_de_impresión</vt:lpstr>
      <vt:lpstr>'LAB. CENTRAL NPYE'!Área_de_impresión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dcterms:created xsi:type="dcterms:W3CDTF">2021-02-08T13:22:21Z</dcterms:created>
  <dcterms:modified xsi:type="dcterms:W3CDTF">2021-08-17T13:24:08Z</dcterms:modified>
</cp:coreProperties>
</file>