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HSJB\reactivos desiertos+2 trim\"/>
    </mc:Choice>
  </mc:AlternateContent>
  <xr:revisionPtr revIDLastSave="0" documentId="8_{6B151581-EEF1-484D-8866-183090B21841}" xr6:coauthVersionLast="47" xr6:coauthVersionMax="47" xr10:uidLastSave="{00000000-0000-0000-0000-000000000000}"/>
  <bookViews>
    <workbookView xWindow="-120" yWindow="-120" windowWidth="29040" windowHeight="15840" tabRatio="500" activeTab="2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Trimestrales'!$A$9:$I$9</definedName>
    <definedName name="_xlnm.Print_Area" localSheetId="2">'Autor Gastar'!$A$1:$Q$27</definedName>
    <definedName name="_xlnm.Print_Area" localSheetId="1">NotaPedido!$A$1:$K$227</definedName>
  </definedNames>
  <calcPr calcId="181029"/>
</workbook>
</file>

<file path=xl/calcChain.xml><?xml version="1.0" encoding="utf-8"?>
<calcChain xmlns="http://schemas.openxmlformats.org/spreadsheetml/2006/main">
  <c r="A26" i="3" l="1"/>
  <c r="K13" i="2"/>
  <c r="K14" i="2"/>
  <c r="K15" i="2" l="1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216" i="2"/>
  <c r="B215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220" i="2"/>
  <c r="B219" i="2"/>
  <c r="B218" i="2"/>
  <c r="B217" i="2"/>
  <c r="B180" i="2"/>
  <c r="B179" i="2"/>
  <c r="B178" i="2"/>
  <c r="B177" i="2"/>
  <c r="B176" i="2"/>
  <c r="B175" i="2"/>
  <c r="B174" i="2"/>
  <c r="B173" i="2"/>
  <c r="B17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221" i="2"/>
  <c r="B222" i="2"/>
  <c r="B223" i="2"/>
  <c r="B224" i="2"/>
  <c r="B225" i="2"/>
  <c r="B226" i="2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11" i="1"/>
  <c r="I12" i="1"/>
  <c r="A10" i="3" l="1"/>
  <c r="K12" i="2"/>
  <c r="J12" i="2"/>
  <c r="J227" i="2" s="1"/>
  <c r="I12" i="2"/>
  <c r="C12" i="2"/>
  <c r="B12" i="2"/>
  <c r="I10" i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<sst xmlns="http://schemas.openxmlformats.org/spreadsheetml/2006/main" count="1153" uniqueCount="297">
  <si>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</si>
  <si>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</si>
  <si>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</si>
  <si>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</si>
  <si>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</si>
  <si>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</si>
  <si>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</si>
  <si>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</si>
  <si>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</si>
  <si>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</si>
  <si>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</si>
  <si>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</si>
  <si>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</si>
  <si>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</si>
  <si>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</si>
  <si>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</si>
  <si>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</si>
  <si>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</si>
  <si>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</si>
  <si>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</si>
  <si>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</si>
  <si>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</si>
  <si>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</si>
  <si>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</si>
  <si>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</si>
  <si>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</si>
  <si>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</si>
  <si>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</si>
  <si>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</si>
  <si>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</si>
  <si>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</si>
  <si>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</si>
  <si>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</si>
  <si>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</si>
  <si>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</si>
  <si>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</si>
  <si>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</si>
  <si>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</si>
  <si>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</si>
  <si>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</si>
  <si>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</si>
  <si>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</si>
  <si>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</si>
  <si>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</si>
  <si>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</si>
  <si>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</si>
  <si>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</si>
  <si>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</si>
  <si>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</si>
  <si>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</si>
  <si>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</si>
  <si>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</si>
  <si>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</si>
  <si>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</si>
  <si>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</si>
  <si>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</si>
  <si>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</si>
  <si>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</si>
  <si>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</si>
  <si>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</si>
  <si>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Compuestos Quimicos</t>
  </si>
  <si>
    <t xml:space="preserve">45 dias habiles </t>
  </si>
  <si>
    <t>3.1</t>
  </si>
  <si>
    <t>1.1</t>
  </si>
  <si>
    <t>ACID WASH SOLUTION 2 X 1800 MLP/COBAS C311</t>
  </si>
  <si>
    <t>CALIBRADOR ANTI SARS COV-2 CUANTITATIVO P/ COBAS E411 x 100 DET</t>
  </si>
  <si>
    <t>CALIBRADOR DIMERO D  GEN 2  SET 6X0,5 ML  COBAS C-311 ROCHE</t>
  </si>
  <si>
    <t xml:space="preserve">CALIBRADOR FT4 X 10 CAL COBAS E-411 ROCHE </t>
  </si>
  <si>
    <t>CALIBRADOR HCG+BETA II CALSET PARA COBAS E411</t>
  </si>
  <si>
    <t>CALIBRADOR T3 TOTAL X 10 CAL  COBAS E-411 ROCHE</t>
  </si>
  <si>
    <t>CALIBRADOR TSH  X 10 CAL COBAS E-411  ROCHE</t>
  </si>
  <si>
    <t>CELL PACK DCL X 20 LTS- TIPO SYSMEX XNL</t>
  </si>
  <si>
    <t>CELL WASH SOLUTION NAOH-D  2  X 1,8 LITROS</t>
  </si>
  <si>
    <t>CELLCLEAN AUTO X 20 VIALES -TIPO SYSMEX XNL</t>
  </si>
  <si>
    <t>CLEAN CELL 6 X 380 ML P COBAS E411</t>
  </si>
  <si>
    <t>COLORANTE GIEMMSA X 1 LT TIPO BIOPUR</t>
  </si>
  <si>
    <t>COLORANTE MAY GRUNWALD X 1 LTS. TIPO BIOPUR</t>
  </si>
  <si>
    <t>COMBITROL PLUS NIVEL 1</t>
  </si>
  <si>
    <t>COMBITROL PLUS NIVEL 2</t>
  </si>
  <si>
    <t>COMBITROL PLUS NIVEL 3</t>
  </si>
  <si>
    <t>CONTROL DIMERO D GEN 2  I  / II  NIVEL 1 : 2 X 1 ML  NIVEL 2 : 2 X 1 ML  COBAS C-311 ROCHE</t>
  </si>
  <si>
    <t>CONTROL PLASMA ANORMAL 10 X 1 ML TIPO HEMOMEDICA</t>
  </si>
  <si>
    <t>CONTROL PLASMA NORMAL 10 X 1 ML TIPO HEMOMEDICA</t>
  </si>
  <si>
    <t>CONTROL SET RF  NIVEL 1 : 2 X 1 ML  NIVEL 2 : 2 X 1 ML  COBAS C-311 ROCHE</t>
  </si>
  <si>
    <t>DEXTROSA/ POLVO TIPO CICARELLI X 1000GRS.</t>
  </si>
  <si>
    <t>DILUYENTE MULTI ASSAY  2 X 18 ML P COBAS C411</t>
  </si>
  <si>
    <t>DILUYENTE UNIVERSAL COBAS E-411 ROCHE  X 2 X 18 ML</t>
  </si>
  <si>
    <t>ECOTERGENT  X 60 ML COBAS C-311 ROCHE</t>
  </si>
  <si>
    <t>ELECTRODO DE CALCIO P/COBAS B221</t>
  </si>
  <si>
    <t>ELECTRODO DE CLORO P/COBAS B221</t>
  </si>
  <si>
    <t>ELECTRODO DE PCO2 P/COBAS B221</t>
  </si>
  <si>
    <t>ELECTRODO DE PH P/COBAS B221</t>
  </si>
  <si>
    <t>ELECTRODO DE PO2 P/COBAS B221</t>
  </si>
  <si>
    <t>ELECTRODO DE POTASIO P/COBAS B221</t>
  </si>
  <si>
    <t>ELECTRODO DE REFERENCIA P/COBAS B221</t>
  </si>
  <si>
    <t>ELECTRODO DE SODIO P/COBAS B221</t>
  </si>
  <si>
    <t>ELETRODO DE REFERENCIA P COBAS C 311</t>
  </si>
  <si>
    <t>FLUOROCELL 2 X 42 MML P/SYSMEX XN</t>
  </si>
  <si>
    <t>ISE DILUENT GEN2 BIDON  X 300 ML P/COBAS C311</t>
  </si>
  <si>
    <t>ISE INTERNAL STANDART GEN2 5 X 600 ML P/COBAS C311</t>
  </si>
  <si>
    <t>ISE SOLUTION DE REFERENCIA 5 X 300 ML P/COBAS C311</t>
  </si>
  <si>
    <t>LYSERCELL WDF X 5 LTS - TIPO SYSMEX XNL</t>
  </si>
  <si>
    <t>NAOH - D CASSETTE P/COBAS C311</t>
  </si>
  <si>
    <t>PRECICONTROL ANTI SARAS COV 2 CUANTITATIVO P/COBAS E411</t>
  </si>
  <si>
    <t>PRECICONTROL MULTIMARKER QCS 6 X 2 ML P COBAS E 411</t>
  </si>
  <si>
    <t>PRECICONTROL THYRO 4 X 20 ML P COBAS E 411</t>
  </si>
  <si>
    <t>PRECICONTROL TROPONINA T  4 X 2 ML P COBAS E 411</t>
  </si>
  <si>
    <t>PRECICONTROL TUMOR MARKER 4 X 3 ML P COBAS E 411</t>
  </si>
  <si>
    <t>PRECICONTROL UNIVERSAL 4 X 3 ML P COBAS E 411</t>
  </si>
  <si>
    <t>PRECICONTROL VARIA 4 X 3 ML P COBAS E 411</t>
  </si>
  <si>
    <t>PRECISET RF  P COBAS C311  5 VIAL X 1 ML</t>
  </si>
  <si>
    <t xml:space="preserve">PRO CELL COBAS 6 X 380 ML E-411N ROCHE </t>
  </si>
  <si>
    <t>PROTEINAS TOTALES COBAS C-311 ROCHE  X 300 DET</t>
  </si>
  <si>
    <t>REACTIVO ACIDO URICO COBAS C-311 ROCHE  X 400 DET</t>
  </si>
  <si>
    <t>REACTIVO ALBUMINA COBAS C-311 ROCHE  X 300 DET</t>
  </si>
  <si>
    <t>REACTIVO AMILASA TOTAL COBAS C-311 ROCHE  X 300 DET</t>
  </si>
  <si>
    <t>REACTIVO ANTI HBc G2 CORE ROCHE E411 - HEPATITIS B X 100 DETER</t>
  </si>
  <si>
    <t>REACTIVO ANTI SARS COV-2 CUANTITATIVO P/ COBAS E411 x 100 DET</t>
  </si>
  <si>
    <t>HIDATEST HAI X 96 DET POLYCHACO</t>
  </si>
  <si>
    <t>REACTIVO ANTI TPO COBAS E-411 ROCHE X 100 DET</t>
  </si>
  <si>
    <t>REACTIVO ANTIGENO DE SUPERFICIE HBSAG P/ COBAS E411 x 100 DET</t>
  </si>
  <si>
    <t>REACTIVO ASLO LATEX COBAS C-311 ROCHE  X 150 DET</t>
  </si>
  <si>
    <t>REACTIVO BILIRRUBINA DIRECTA COBAS C-311 ROCHE  X 350  DET</t>
  </si>
  <si>
    <t>REACTIVO BILIRRUBINA TOTAL GEN 3 COBAS C-311 ROCHE  X 250 DET</t>
  </si>
  <si>
    <t>REACTIVO CALCIO COBAS C-311 ROCHE  X 300 DET</t>
  </si>
  <si>
    <t xml:space="preserve">REACTIVO CK CREATIN QUINASA COBAS C-311 ROCHE  X 200 DET </t>
  </si>
  <si>
    <t>REACTIVO COLESTEROL TOTAL COBAS C-311 ROCHE  X 400 DET</t>
  </si>
  <si>
    <t>REACTIVO CORTISOL P COBAS E 411  X 100 DET</t>
  </si>
  <si>
    <t>REACTIVO CREATININA JAFFE COBAS C-311 ROCHE  X 700 DET</t>
  </si>
  <si>
    <t>REACTIVO DHEA- S P COBAS E 411  X 100 DET</t>
  </si>
  <si>
    <t xml:space="preserve">REACTIVO DIMERO D  COBAS C-311 ROCHE  X 100 DET </t>
  </si>
  <si>
    <t>REACTIVO ESTRADIOL COBAS E-411 ROCHE  X 100 DET</t>
  </si>
  <si>
    <t>REACTIVO FOSFATASA ALCALINA ALP2 (IFCC) COBAS C-311 ROCHE  X 400 DET</t>
  </si>
  <si>
    <t>REACTIVO FOSFORO COBAS C-311 ROCHE  X 250 DET</t>
  </si>
  <si>
    <t>REACTIVO FSH COBAS E-411 ROCHE X 100 DET</t>
  </si>
  <si>
    <t>REACTIVO GGT COBAS C-311 ROCHE X 400 DET</t>
  </si>
  <si>
    <t>REACTIVO GLUCOSA HK GEN COBAS C-311 ROCHE X 800 DET</t>
  </si>
  <si>
    <t>REACTIVO GOT/AST  (IFCC) COBAS C-311 ROCHE  X 500 DET</t>
  </si>
  <si>
    <t xml:space="preserve">REACTIVO GPT/ALT (IFCC) COBAS C - 311 ROCHE X 500 DET </t>
  </si>
  <si>
    <t>REACTIVO HBsAg G2 reactico para Cobas E411 x 100 DET</t>
  </si>
  <si>
    <t>REACTIVO HCG + BETA P COBAS E 411  X 100 DET</t>
  </si>
  <si>
    <t>REACTIVO HIERRO COBAS C-311 ROCHE  X 200 DET</t>
  </si>
  <si>
    <t>REACTIVO INMUNOGLOBULINA IG E P COBAS E 411  X 100 DET ROCHE</t>
  </si>
  <si>
    <t>REACTIVO INSULINA COBAS E-411 ROCHE  X 100 DET</t>
  </si>
  <si>
    <t>REACTIVO LDH OPTIMIZADA COBAS C-311 ROCHE X 300 DET</t>
  </si>
  <si>
    <t>REACTIVO LH COBAS E-411 ROCHE  X 100 DET</t>
  </si>
  <si>
    <t>REACTIVO LIPASA COBAS C-311 ROCHE  X 200 DET</t>
  </si>
  <si>
    <t>REACTIVO MAGNESIO COBAS C-311 ROCHE  X 175 DET</t>
  </si>
  <si>
    <t>REACTIVO PROGESTERONA COBAS E-411 ROCHE  X 100 DET</t>
  </si>
  <si>
    <t>REACTIVO PROLACTINA COBAS E-411 ROCHE X 100 DET</t>
  </si>
  <si>
    <t xml:space="preserve">REACTIVO PROTEINA C REACTIVA  CRP COBAS C-311 ROCHE  X 250 DET </t>
  </si>
  <si>
    <t>REACTIVO PSA P COBAS E411 X 100 DET</t>
  </si>
  <si>
    <t>REACTIVO PTH P COBAS E411 X 100 DET</t>
  </si>
  <si>
    <t>REACTIVO S-HBG COBAS E-411 ROCHE  X 100 DET</t>
  </si>
  <si>
    <t>REACTIVO T3  TOTAL COBAS E-411 ROCHE  X 100 DET</t>
  </si>
  <si>
    <t>REACTIVO T4 LIBRE  (FT4)   COBAS E-411 ROCHE X 200 DET</t>
  </si>
  <si>
    <t>REACTIVO T4 TOTAL P COBAS E 411X 200 DET</t>
  </si>
  <si>
    <t xml:space="preserve">REACTIVO TRIGLICERIDOS COBAS C-311 ROCHE  X 250 DET </t>
  </si>
  <si>
    <t>REACTIVO TROPONINA THS P COBAS E411 X 100 DETER.</t>
  </si>
  <si>
    <t>REACTIVO TSH P/COBAS E411 X  200 DET PARA COBAS E411 ROCHE</t>
  </si>
  <si>
    <t>REACTIVO UREA  COBAS C-311 ROCHE X 500 DET</t>
  </si>
  <si>
    <t>S1 RINSE SOLUTION X 2 BIDONES P/COBAS B221</t>
  </si>
  <si>
    <t>S2 FLUID PACK P/COBAS 221</t>
  </si>
  <si>
    <t>S3 FLUID PACK P/COBAS 221</t>
  </si>
  <si>
    <t>SENSOR GLU/LAC</t>
  </si>
  <si>
    <t>SMS CASSETTE P/COBAS C311</t>
  </si>
  <si>
    <t>SULFOLYSER X 5 LTS - TIPO SYSMEX XNL</t>
  </si>
  <si>
    <t>SYSWASH 1 X 500 MLARA COBAS E411</t>
  </si>
  <si>
    <t>TIRAS REACTIVAS X 10 PARAMETRO X 100 UND PARA U411 ROCHE</t>
  </si>
  <si>
    <t xml:space="preserve">TROMBOPLASTINA 10X4ML TIPO HEMOMEDICA </t>
  </si>
  <si>
    <t>CAJA</t>
  </si>
  <si>
    <t>BIDON</t>
  </si>
  <si>
    <t>UNIDAD</t>
  </si>
  <si>
    <t>FRASCO</t>
  </si>
  <si>
    <t>BOTELLA</t>
  </si>
  <si>
    <t>CASSETTE</t>
  </si>
  <si>
    <t>Iodo metálico y/o resumiblado  x 100 g T/Biopack</t>
  </si>
  <si>
    <t>Discos de Amoxicilina/sulbactam 10/10 ug  x 50 T/Britania</t>
  </si>
  <si>
    <t>Solución decolorante (repuesto) para Coloración de Zielh Neelsen x 100 ml T/ Brizuela</t>
  </si>
  <si>
    <t xml:space="preserve">Servicio de Laboratorio Central </t>
  </si>
  <si>
    <t>2.5.1</t>
  </si>
  <si>
    <t>Especificidades Item N° :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</si>
  <si>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 VENCIMIENTO DE LOS INSUMOS: UN PLAZO NO MENOR A LOS 06 MESES DE LA FECHA DE RECEPCION</t>
  </si>
  <si>
    <t>LUGAR Y PLAZO DE ENTREGA:  Servicio de Laboratorio Central del HISJB - Avda. Illia y Mariano Moreno - Lunes a Viernes de 08:00 a 12:00 horas  - 15 días habiles</t>
  </si>
  <si>
    <t xml:space="preserve">PLAZO DE MANTENIMIENTO: 45 DIAS HABILES </t>
  </si>
  <si>
    <t xml:space="preserve">15 dias habiles - Servicio de Laboratorio Central del HISJB - Lunes a Viernes de 08:00 a 12:00 horas </t>
  </si>
  <si>
    <t xml:space="preserve">Adquisición de Reactivos para Laboratorio </t>
  </si>
  <si>
    <t xml:space="preserve">Compuestos Quimicos </t>
  </si>
  <si>
    <t>ANTICUERPOS ANTITRANSGLUTAMINASA TIPO ORGESTRIOL -ANTI TRANSGLUTAMINASA EN IGA x 96 DET.</t>
  </si>
  <si>
    <t>CALIBRADOR ACTH X 10 CAL COBAS E-411 ROCHE</t>
  </si>
  <si>
    <t>CALIBRADOR ALFA FETO PROTEINA  X 10 CAL COBAS E-411 ROCHE</t>
  </si>
  <si>
    <t>CALIBRADOR B-CROSS LAP X 10 CAL COBAS E-411 ROCHE</t>
  </si>
  <si>
    <t xml:space="preserve">CALIBRADOR CA 125 X 10 CAL COBAS E-411 ROCHE </t>
  </si>
  <si>
    <t>CALIBRADOR CA 15-3  X 10 CAL COBAS E-411 ROCHE</t>
  </si>
  <si>
    <t xml:space="preserve">CALIBRADOR CA 19-9 X 10 CAL COBAS E-411 ROCHE </t>
  </si>
  <si>
    <t>CALIBRADOR CEA X 10 CAL COBAS E-411 ROCHE</t>
  </si>
  <si>
    <t>CALIBRADOR IGE X 10 CAL COBAS E-411 ROCHE</t>
  </si>
  <si>
    <t xml:space="preserve">CALIBRADOR PSA X 10 CAL COBAS E-411 ROCHE </t>
  </si>
  <si>
    <t>CALIBRADOR PTH X 10 CAL COBAS E-411 ROCHE</t>
  </si>
  <si>
    <t>CALIBRADOR T4 TOTAL X 10 CAL COBAS E-411 ROCHE</t>
  </si>
  <si>
    <t>CALIBRADOR TESTOSTERONA X 10 CAL COBAS E-411 ROCHE</t>
  </si>
  <si>
    <t>CALIBRADOR TIROGLOBULINA X 10 CAL COBAS E-411 ROCHE</t>
  </si>
  <si>
    <t>CALIBRADOR TROPONINA T-HS X 10 CAL COBAS E-411 ROCHE</t>
  </si>
  <si>
    <t>CALIBRADOR VITAMINA D TOTAL X 10 CAL COBAS E-411 ROCHE</t>
  </si>
  <si>
    <t>CFAS PROTEINAS  P/ COBAS C311 5 X1 ml</t>
  </si>
  <si>
    <t>REACTIVO ACTH P COBAS E 411 x 100 det</t>
  </si>
  <si>
    <t>REACTIVO AFP P COBAS E 411  x 100 det</t>
  </si>
  <si>
    <t>REACTIVO ANTI CCP P/COBAS E411  x 100 det</t>
  </si>
  <si>
    <t>REACTIVO ANTI TIROGLOBULINA P COBAS E411  x 100 det</t>
  </si>
  <si>
    <t>REACTIVO B-CROSS LAP P SUERO P COBAS E 411  x 100 det</t>
  </si>
  <si>
    <t>REACTIVO CA 125 P COBAS E 411  x 100 det</t>
  </si>
  <si>
    <t>REACTIVO CA 15-3 P COBAS E 411  x 100 det</t>
  </si>
  <si>
    <t>REACTIVO CA 19-9 P COBAS E 411  x 100 det</t>
  </si>
  <si>
    <t>REACTIVO CEA P COBAS E 411  x 100 det</t>
  </si>
  <si>
    <t>REACTIVO CHAGAS P COBAS E 411  x 100 det</t>
  </si>
  <si>
    <t>REACTIVO COMLEMENTO C3 P COBAS C 311  x 100 det</t>
  </si>
  <si>
    <t>REACTIVO COMLEMENTO C4 P COBAS C 311  x 100 det</t>
  </si>
  <si>
    <t>REACTIVO FACTOR REUMATOIDEO P COBAS C 311 x 100 det</t>
  </si>
  <si>
    <t>REACTIVO FERRITINA P COBAS C 311 X 250 DET</t>
  </si>
  <si>
    <t>REACTIVO HDL COLESTEROL P/COBAS C311 X 350 DET</t>
  </si>
  <si>
    <t>REACTIVO HEMOGLOBINA GLICOSILADA P/ COBAS C311 X 150 DET</t>
  </si>
  <si>
    <t>REACTIVO HEMOLISANTE P/COBAS C311 HBAIC2 X 800 DET</t>
  </si>
  <si>
    <t>REACTIVO IGA COBAS ROCHE C311 X 150 DET</t>
  </si>
  <si>
    <t>REACTIVO IGG COBAS ROCHE C311 X 150 DET</t>
  </si>
  <si>
    <t>REACTIVO IGM P/ COBAS C311 X 150 DET</t>
  </si>
  <si>
    <t>REACTIVO LDL COLESTEROL P/COBAS C311 x 200 DET</t>
  </si>
  <si>
    <t>REACTIVO TESTOSTERONA P COBAS E411 X100 DET</t>
  </si>
  <si>
    <t>REACTIVO TIROGLOBULINA P COBAS E411 X100 DET</t>
  </si>
  <si>
    <t>REACTIVO TRANSFERRINA P/ COBAS C311 x 100 det</t>
  </si>
  <si>
    <t>REACTIVO VITAMINA D TOTAL P COBAS E411 x 100 det</t>
  </si>
  <si>
    <t xml:space="preserve">AMPOULER PARA COBAS B221 </t>
  </si>
  <si>
    <t>CALIBRADOR ANTI TPO X 10 CAL COBAS E-411 ROCHE</t>
  </si>
  <si>
    <t>CALIBRADOR PRECISET RF  P COBAS C311  5 VIAL X 1 ML</t>
  </si>
  <si>
    <t>CALIBRADOR PRO BNP  X 10  CAL COBAS E-411 ROCHE</t>
  </si>
  <si>
    <t xml:space="preserve">CALIBRADOR PROLACTINA X  10 CAL  COBAS E-411 ROCHE </t>
  </si>
  <si>
    <t>CALIBRADOR PROGESTERONA COBAS X 10 CAL COBAS E-411 ROCHE</t>
  </si>
  <si>
    <t xml:space="preserve">CALIBRADOR S-HBG  X  10 CAL  COBAS E-411 ROCHE </t>
  </si>
  <si>
    <t>CALIBRADOR LH  X 10 CAL COBAS E-411 ROCHE</t>
  </si>
  <si>
    <t>CALIBRADOR INSULINA X 10 CAL COBAS E-411 ROCHE</t>
  </si>
  <si>
    <t>CALIBRADOR FSH  X 10 CAL COBAS E-411 ROCHE</t>
  </si>
  <si>
    <t>CALIBRADOR ESTRADIOL X 10 CAL COBAS E-411 ROCHE</t>
  </si>
  <si>
    <t>CALIBRADOR DHEA-S  X 10 CAL COBAS E-411 ROCHE</t>
  </si>
  <si>
    <t>CALIBRADOR CORTISOL X 10 CAL COBAS E-411 ROCHE</t>
  </si>
  <si>
    <t>CALIBRADOR ANTI TIROGLOBULINA X 10 CAL COBAS E-411 ROCHE</t>
  </si>
  <si>
    <t>CELL WASH SOLUTION ACID 2 X 1800 MLP/COBAS C311</t>
  </si>
  <si>
    <t>CFAS HBA1C CALIBRATOR 3 VIALES X 2 ML P/COBAS C311</t>
  </si>
  <si>
    <t>CFAS LIPIDOS 3 VIALES X 1 ML P/ COBAS C311</t>
  </si>
  <si>
    <t>CFAS MULTICALIBRADOR 12 VIAL X3 ML P/ COBAS C311 ROCHE</t>
  </si>
  <si>
    <t>CFAS PAC VIAL X 1 ML P/COBAS C311 3 X 1 ML</t>
  </si>
  <si>
    <t>CLORURO DE CALCIO CAJA DE 10 ML TIPO HEMOMEDICA</t>
  </si>
  <si>
    <t>CLORURO DE SODIO AL 9% P/COBAS C311</t>
  </si>
  <si>
    <t>CONTROL XN CHECK P/SYSMEX XN-L 550 12 X 3 ML</t>
  </si>
  <si>
    <t xml:space="preserve">HEPARINA SODICA AMPOLLA DE 5ML </t>
  </si>
  <si>
    <t xml:space="preserve">KIT ANTICUERPOS ANTITRANSGLUTAMINASA EN IGA TIPO ORGESTRIOL </t>
  </si>
  <si>
    <t xml:space="preserve">KIT CHAGAS HAI  WIENER  X 96 DET </t>
  </si>
  <si>
    <t>KIT HIDATEST HAI X 96 DET POLYCHACO</t>
  </si>
  <si>
    <t>KIT TOXO HAI X 96 DET. TIPO WIENER</t>
  </si>
  <si>
    <t xml:space="preserve">KIT VDRL TEST  1 X 5,5 ML WIENER </t>
  </si>
  <si>
    <t>PRECICONTROL CLINCHEM  MULTI 1  QCS COBAS C-311 ROCHE  20 X 5 ML</t>
  </si>
  <si>
    <t>PRECICONTROL CLINCHEM  MULTI 2  QCS COBAS C-311 ROCHE  20 X 5 ML</t>
  </si>
  <si>
    <t>PRECICONTROL HBC1 NORM P/COBAS C311</t>
  </si>
  <si>
    <t>PRECICONTROL HBC1 PATH P/COBAS C311</t>
  </si>
  <si>
    <t>PRECICONTROL ANTI CCP 4 X 2 ML P/COBAS E411</t>
  </si>
  <si>
    <t>PRECICONTROL ANTI HBCORE 16 X 1 ML P/COBAS E411</t>
  </si>
  <si>
    <t>PRECICONTROL ANTI HBS   P/COBAS E411 16 X 1 ML</t>
  </si>
  <si>
    <t>PRECICONTROL ANTI HCV 16 X 1 ML P/COBAS E412</t>
  </si>
  <si>
    <t>PRECICONTROL CHAGAS P COBAS E411 16 X 1 ML</t>
  </si>
  <si>
    <t>PRECICONTROL CITOMEGALOVIRUS IGG 16 X 1 ML P COBAS E 411</t>
  </si>
  <si>
    <t>PRECICONTROL CITOMEGALOVIRUS IGM 16 X 1 ML P COBAS E 411</t>
  </si>
  <si>
    <t>PRECICONTROL ANTIGENO HBS P/COBAS E411 16 X 1 ML</t>
  </si>
  <si>
    <t>PRECICONTROL HTLV P/COBAS E411 X 10 CALIBRACIONES</t>
  </si>
  <si>
    <t>PRECICONTROL SYPHILIS 4 X 2 ML P COBAS E 412</t>
  </si>
  <si>
    <t>PRECICONTROL TOXO IGG 16 X 1 ML P COBAS E 411</t>
  </si>
  <si>
    <t>PRECICONTROL TOXO IGM 16 X 1 ML P COBAS E 411</t>
  </si>
  <si>
    <t>PRECINORM PUC COBAS C-311 ROCHE  4 X 3 ML</t>
  </si>
  <si>
    <t>PRECIPATH PUC COBAS C-311 ROCHE  4 X 3 ML</t>
  </si>
  <si>
    <t>REACTIVO ALBUMINA P/MICROALBUMINURIA  COBAS C-311 ROCHE X 100 DET</t>
  </si>
  <si>
    <t>REACTIVO ALT/GPT (IFCC) COBAS C-311 ROCHE  X 500 DET</t>
  </si>
  <si>
    <t>REACTIVO ANTI HBS G2 CORE ROCHE E411 - HEPATITIS B X 100 DETER</t>
  </si>
  <si>
    <t>REACTIVO ANTI HCV ROCHE E411 - HEPATITIS C X 100 DETER</t>
  </si>
  <si>
    <t>REACTIVO AST/GOT  (IFCC) COBAS C-311 ROCHE  X 500 DET</t>
  </si>
  <si>
    <t>REACTIVO CITOMEGALOVIRUS IGG P/COBAS E411 X 100 DET</t>
  </si>
  <si>
    <t>REACTIVO CITOMEGALOVIRUS IGM P/COBAS E411 X 100 DET</t>
  </si>
  <si>
    <t xml:space="preserve">REACTIVO HTLV P/COBAS E411 X 100 DET </t>
  </si>
  <si>
    <t>REACTIVO PHYFILIS TREPONEMICO P/COBAS E411 X100 DET</t>
  </si>
  <si>
    <t>REACTIVO PRO BNP P/COBAS E411 X 100 DET</t>
  </si>
  <si>
    <t>REACTIVO PROTEINAS TOTALES COBAS C-311 ROCHE  X 300 DET</t>
  </si>
  <si>
    <t>REACTIVO TOXO IGG P/COBAS E411 X100 DET</t>
  </si>
  <si>
    <t>REACTIVO TOXO IGM P/COBAS E411 X100 DET</t>
  </si>
  <si>
    <t>REACTIVO U/CSF PROTEINA URINARIA COBAS C-311 ROCHE X 150 DET</t>
  </si>
  <si>
    <t>SAMPLE CLEAR NIVEL 1 P/ COBAS C311  X 12 BIDONES DE 59 ML</t>
  </si>
  <si>
    <t>SAMPLE CLEAR NIVEL 2 P/ COBAS C311  X 12 BIDONES DE 68 ML</t>
  </si>
  <si>
    <t xml:space="preserve">TEST DE EMBARAZO HCG CAJA X 25 TIRAS </t>
  </si>
  <si>
    <t>TEST PANEL DROGAS DE ABUSO x 10 DET CAJA X 25 PEINES</t>
  </si>
  <si>
    <t>Costo total estimado: PESOS DIECINUEVE MILLONES NOVECIENTOS NOVENTA Y CINCO MIL OCHOCIENTOS DIECINUEVE CON 30/100.-</t>
  </si>
  <si>
    <t>TOTAL DE PESOS: DIECINUEVE MILLONES NOVECIENTOS NOVENTA Y CINCO MIL OCHOCIENTOS DIECINUEVE CON 30/100.-</t>
  </si>
  <si>
    <t>037/2022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</si>
</sst>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1"/>
      <color rgb="FF000000"/>
      <name val="Calibri"/>
      <family val="2"/>
      <scheme val="minor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14" xfId="0" applyFont="1" applyFill="1" applyBorder="1" applyAlignment="1">
      <alignment horizontal="center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0" fillId="5" borderId="14" xfId="0" applyFill="1" applyBorder="1" applyAlignment="1">
      <alignment horizontal="center" vertical="center"/>
    </xf>
    <xf numFmtId="169" fontId="0" fillId="5" borderId="14" xfId="1" applyNumberFormat="1" applyFont="1" applyFill="1" applyBorder="1" applyAlignment="1">
      <alignment horizontal="center" vertical="center"/>
    </xf>
    <xf numFmtId="0" fontId="0" fillId="5" borderId="14" xfId="0" applyFill="1" applyBorder="1" applyAlignment="1">
      <alignment vertical="center" wrapText="1"/>
    </xf>
    <xf numFmtId="0" fontId="25" fillId="5" borderId="14" xfId="0" applyFont="1" applyFill="1" applyBorder="1" applyAlignment="1">
      <alignment horizontal="center" vertical="center"/>
    </xf>
    <xf numFmtId="0" fontId="15" fillId="5" borderId="0" xfId="0" applyFont="1" applyFill="1"/>
    <xf numFmtId="0" fontId="15" fillId="3" borderId="6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left" wrapText="1"/>
    </xf>
    <xf numFmtId="0" fontId="15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15" fillId="3" borderId="0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center"/>
    </xf>
    <xf numFmtId="0" fontId="26" fillId="3" borderId="14" xfId="0" applyFont="1" applyFill="1" applyBorder="1" applyAlignment="1">
      <alignment horizontal="center" vertical="center" wrapText="1"/>
    </xf>
    <xf numFmtId="0" fontId="26" fillId="3" borderId="21" xfId="0" applyFont="1" applyFill="1" applyBorder="1" applyAlignment="1">
      <alignment horizontal="center" vertical="center" wrapText="1"/>
    </xf>
    <xf numFmtId="0" fontId="26" fillId="3" borderId="20" xfId="0" applyFont="1" applyFill="1" applyBorder="1" applyAlignment="1">
      <alignment horizontal="center" vertical="center" wrapText="1"/>
    </xf>
    <xf numFmtId="0" fontId="26" fillId="3" borderId="48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23" fillId="4" borderId="0" xfId="0" applyFont="1" applyFill="1" applyBorder="1" applyAlignment="1">
      <alignment horizontal="left" wrapText="1" inden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13" fillId="0" borderId="44" xfId="0" applyFont="1" applyBorder="1" applyAlignment="1">
      <alignment horizontal="left" vertical="center" wrapText="1"/>
    </xf>
    <xf numFmtId="0" fontId="0" fillId="0" borderId="22" xfId="0" applyBorder="1"/>
    <xf numFmtId="0" fontId="24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indent="1"/>
    </xf>
    <xf numFmtId="0" fontId="12" fillId="0" borderId="11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44"/>
  <sheetViews>
    <sheetView topLeftCell="A215" zoomScale="85" zoomScaleNormal="85" workbookViewId="0">
      <selection activeCell="I10" sqref="I10:I224"/>
    </sheetView>
  </sheetViews>
  <sheetFormatPr baseColWidth="10" defaultColWidth="11" defaultRowHeight="12.75" x14ac:dyDescent="0.2"/>
  <cols>
    <col min="1" max="1" width="4.5703125" style="39" customWidth="1"/>
    <col min="2" max="2" width="12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92" t="s">
        <v>0</v>
      </c>
      <c r="C2" s="92"/>
      <c r="D2" s="92"/>
      <c r="E2" s="92"/>
      <c r="F2" s="92"/>
      <c r="G2" s="92"/>
      <c r="H2" s="92"/>
    </row>
    <row r="4" spans="1:9" ht="18" customHeight="1" x14ac:dyDescent="0.25">
      <c r="A4" s="84" t="s">
        <v>1</v>
      </c>
      <c r="B4" s="84"/>
      <c r="C4" s="93" t="s">
        <v>57</v>
      </c>
      <c r="D4" s="93"/>
      <c r="E4" s="93"/>
      <c r="F4" s="40"/>
      <c r="G4" s="41"/>
      <c r="H4" s="40"/>
    </row>
    <row r="5" spans="1:9" ht="18" customHeight="1" x14ac:dyDescent="0.25">
      <c r="A5" s="84" t="s">
        <v>2</v>
      </c>
      <c r="B5" s="84"/>
      <c r="C5" s="93" t="s">
        <v>58</v>
      </c>
      <c r="D5" s="93"/>
      <c r="E5" s="93"/>
      <c r="F5" s="40"/>
      <c r="G5" s="41"/>
      <c r="H5" s="40"/>
    </row>
    <row r="6" spans="1:9" ht="16.5" customHeight="1" x14ac:dyDescent="0.25">
      <c r="A6" s="84" t="s">
        <v>3</v>
      </c>
      <c r="B6" s="84"/>
      <c r="C6" s="60">
        <v>2022</v>
      </c>
      <c r="D6" s="61"/>
      <c r="E6" s="61"/>
      <c r="F6" s="40"/>
      <c r="G6" s="41"/>
      <c r="H6" s="40"/>
    </row>
    <row r="7" spans="1:9" ht="16.5" customHeight="1" x14ac:dyDescent="0.25">
      <c r="A7" s="84" t="s">
        <v>4</v>
      </c>
      <c r="B7" s="84"/>
      <c r="C7" s="60">
        <v>2</v>
      </c>
      <c r="D7" s="61"/>
      <c r="E7" s="61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4.9" customHeight="1" thickBot="1" x14ac:dyDescent="0.25">
      <c r="A10" s="56">
        <v>1</v>
      </c>
      <c r="B10" s="59"/>
      <c r="C10" s="57" t="s">
        <v>187</v>
      </c>
      <c r="D10" s="58" t="s">
        <v>180</v>
      </c>
      <c r="E10" s="78" t="s">
        <v>64</v>
      </c>
      <c r="F10" s="79" t="s">
        <v>170</v>
      </c>
      <c r="G10" s="76">
        <v>20</v>
      </c>
      <c r="H10" s="77">
        <v>41462</v>
      </c>
      <c r="I10" s="77">
        <f>G10*H10</f>
        <v>829240</v>
      </c>
    </row>
    <row r="11" spans="1:9" ht="31.9" customHeight="1" thickBot="1" x14ac:dyDescent="0.25">
      <c r="A11" s="56">
        <v>2</v>
      </c>
      <c r="B11" s="59"/>
      <c r="C11" s="57" t="s">
        <v>187</v>
      </c>
      <c r="D11" s="58" t="s">
        <v>180</v>
      </c>
      <c r="E11" s="78" t="s">
        <v>230</v>
      </c>
      <c r="F11" s="79" t="s">
        <v>170</v>
      </c>
      <c r="G11" s="76">
        <v>2</v>
      </c>
      <c r="H11" s="77">
        <v>7577</v>
      </c>
      <c r="I11" s="77">
        <f t="shared" ref="I11:I74" si="0">G11*H11</f>
        <v>15154</v>
      </c>
    </row>
    <row r="12" spans="1:9" ht="39.6" customHeight="1" thickBot="1" x14ac:dyDescent="0.25">
      <c r="A12" s="56">
        <v>3</v>
      </c>
      <c r="B12" s="59"/>
      <c r="C12" s="57" t="s">
        <v>187</v>
      </c>
      <c r="D12" s="58" t="s">
        <v>180</v>
      </c>
      <c r="E12" s="78" t="s">
        <v>188</v>
      </c>
      <c r="F12" s="79" t="s">
        <v>170</v>
      </c>
      <c r="G12" s="76">
        <v>4</v>
      </c>
      <c r="H12" s="77">
        <v>41184</v>
      </c>
      <c r="I12" s="77">
        <f t="shared" si="0"/>
        <v>164736</v>
      </c>
    </row>
    <row r="13" spans="1:9" ht="33" customHeight="1" thickBot="1" x14ac:dyDescent="0.25">
      <c r="A13" s="56">
        <v>4</v>
      </c>
      <c r="B13" s="59"/>
      <c r="C13" s="57" t="s">
        <v>187</v>
      </c>
      <c r="D13" s="58" t="s">
        <v>180</v>
      </c>
      <c r="E13" s="78" t="s">
        <v>189</v>
      </c>
      <c r="F13" s="79" t="s">
        <v>170</v>
      </c>
      <c r="G13" s="76">
        <v>1</v>
      </c>
      <c r="H13" s="77">
        <v>60026</v>
      </c>
      <c r="I13" s="77">
        <f t="shared" si="0"/>
        <v>60026</v>
      </c>
    </row>
    <row r="14" spans="1:9" ht="31.9" customHeight="1" thickBot="1" x14ac:dyDescent="0.25">
      <c r="A14" s="56">
        <v>5</v>
      </c>
      <c r="B14" s="59"/>
      <c r="C14" s="57" t="s">
        <v>187</v>
      </c>
      <c r="D14" s="58" t="s">
        <v>180</v>
      </c>
      <c r="E14" s="78" t="s">
        <v>190</v>
      </c>
      <c r="F14" s="79" t="s">
        <v>170</v>
      </c>
      <c r="G14" s="76">
        <v>1</v>
      </c>
      <c r="H14" s="77">
        <v>15611</v>
      </c>
      <c r="I14" s="77">
        <f t="shared" si="0"/>
        <v>15611</v>
      </c>
    </row>
    <row r="15" spans="1:9" ht="31.9" customHeight="1" thickBot="1" x14ac:dyDescent="0.25">
      <c r="A15" s="56">
        <v>6</v>
      </c>
      <c r="B15" s="59"/>
      <c r="C15" s="57" t="s">
        <v>187</v>
      </c>
      <c r="D15" s="58" t="s">
        <v>180</v>
      </c>
      <c r="E15" s="78" t="s">
        <v>65</v>
      </c>
      <c r="F15" s="79" t="s">
        <v>170</v>
      </c>
      <c r="G15" s="76">
        <v>1</v>
      </c>
      <c r="H15" s="77">
        <v>3900</v>
      </c>
      <c r="I15" s="77">
        <f t="shared" si="0"/>
        <v>3900</v>
      </c>
    </row>
    <row r="16" spans="1:9" ht="31.9" customHeight="1" thickBot="1" x14ac:dyDescent="0.25">
      <c r="A16" s="56">
        <v>7</v>
      </c>
      <c r="B16" s="59"/>
      <c r="C16" s="57" t="s">
        <v>187</v>
      </c>
      <c r="D16" s="58" t="s">
        <v>180</v>
      </c>
      <c r="E16" s="78" t="s">
        <v>243</v>
      </c>
      <c r="F16" s="79" t="s">
        <v>170</v>
      </c>
      <c r="G16" s="76">
        <v>1</v>
      </c>
      <c r="H16" s="77">
        <v>20282</v>
      </c>
      <c r="I16" s="77">
        <f t="shared" si="0"/>
        <v>20282</v>
      </c>
    </row>
    <row r="17" spans="1:9" ht="31.9" customHeight="1" thickBot="1" x14ac:dyDescent="0.25">
      <c r="A17" s="56">
        <v>8</v>
      </c>
      <c r="B17" s="59"/>
      <c r="C17" s="57" t="s">
        <v>187</v>
      </c>
      <c r="D17" s="58" t="s">
        <v>180</v>
      </c>
      <c r="E17" s="78" t="s">
        <v>231</v>
      </c>
      <c r="F17" s="79" t="s">
        <v>170</v>
      </c>
      <c r="G17" s="76">
        <v>3</v>
      </c>
      <c r="H17" s="77">
        <v>20282</v>
      </c>
      <c r="I17" s="77">
        <f t="shared" si="0"/>
        <v>60846</v>
      </c>
    </row>
    <row r="18" spans="1:9" ht="31.9" customHeight="1" thickBot="1" x14ac:dyDescent="0.25">
      <c r="A18" s="56">
        <v>9</v>
      </c>
      <c r="B18" s="59"/>
      <c r="C18" s="57" t="s">
        <v>187</v>
      </c>
      <c r="D18" s="58" t="s">
        <v>180</v>
      </c>
      <c r="E18" s="78" t="s">
        <v>191</v>
      </c>
      <c r="F18" s="79" t="s">
        <v>170</v>
      </c>
      <c r="G18" s="76">
        <v>1</v>
      </c>
      <c r="H18" s="77">
        <v>20282</v>
      </c>
      <c r="I18" s="77">
        <f t="shared" si="0"/>
        <v>20282</v>
      </c>
    </row>
    <row r="19" spans="1:9" ht="31.9" customHeight="1" thickBot="1" x14ac:dyDescent="0.25">
      <c r="A19" s="56">
        <v>10</v>
      </c>
      <c r="B19" s="59"/>
      <c r="C19" s="57" t="s">
        <v>187</v>
      </c>
      <c r="D19" s="58" t="s">
        <v>180</v>
      </c>
      <c r="E19" s="78" t="s">
        <v>192</v>
      </c>
      <c r="F19" s="79" t="s">
        <v>170</v>
      </c>
      <c r="G19" s="76">
        <v>1</v>
      </c>
      <c r="H19" s="77">
        <v>18627</v>
      </c>
      <c r="I19" s="77">
        <f t="shared" si="0"/>
        <v>18627</v>
      </c>
    </row>
    <row r="20" spans="1:9" ht="31.9" customHeight="1" thickBot="1" x14ac:dyDescent="0.25">
      <c r="A20" s="56">
        <v>11</v>
      </c>
      <c r="B20" s="59"/>
      <c r="C20" s="57" t="s">
        <v>187</v>
      </c>
      <c r="D20" s="58" t="s">
        <v>180</v>
      </c>
      <c r="E20" s="78" t="s">
        <v>193</v>
      </c>
      <c r="F20" s="79" t="s">
        <v>170</v>
      </c>
      <c r="G20" s="76">
        <v>1</v>
      </c>
      <c r="H20" s="77">
        <v>24270</v>
      </c>
      <c r="I20" s="77">
        <f t="shared" si="0"/>
        <v>24270</v>
      </c>
    </row>
    <row r="21" spans="1:9" ht="31.9" customHeight="1" thickBot="1" x14ac:dyDescent="0.25">
      <c r="A21" s="56">
        <v>12</v>
      </c>
      <c r="B21" s="59"/>
      <c r="C21" s="57" t="s">
        <v>187</v>
      </c>
      <c r="D21" s="58" t="s">
        <v>180</v>
      </c>
      <c r="E21" s="78" t="s">
        <v>194</v>
      </c>
      <c r="F21" s="79" t="s">
        <v>170</v>
      </c>
      <c r="G21" s="76">
        <v>1</v>
      </c>
      <c r="H21" s="77">
        <v>24270</v>
      </c>
      <c r="I21" s="77">
        <f t="shared" si="0"/>
        <v>24270</v>
      </c>
    </row>
    <row r="22" spans="1:9" ht="31.9" customHeight="1" thickBot="1" x14ac:dyDescent="0.25">
      <c r="A22" s="56">
        <v>13</v>
      </c>
      <c r="B22" s="59"/>
      <c r="C22" s="57" t="s">
        <v>187</v>
      </c>
      <c r="D22" s="58" t="s">
        <v>180</v>
      </c>
      <c r="E22" s="78" t="s">
        <v>195</v>
      </c>
      <c r="F22" s="79" t="s">
        <v>170</v>
      </c>
      <c r="G22" s="76">
        <v>1</v>
      </c>
      <c r="H22" s="77">
        <v>15611</v>
      </c>
      <c r="I22" s="77">
        <f t="shared" si="0"/>
        <v>15611</v>
      </c>
    </row>
    <row r="23" spans="1:9" ht="31.9" customHeight="1" thickBot="1" x14ac:dyDescent="0.25">
      <c r="A23" s="56">
        <v>14</v>
      </c>
      <c r="B23" s="59"/>
      <c r="C23" s="57" t="s">
        <v>187</v>
      </c>
      <c r="D23" s="58" t="s">
        <v>180</v>
      </c>
      <c r="E23" s="78" t="s">
        <v>242</v>
      </c>
      <c r="F23" s="79" t="s">
        <v>170</v>
      </c>
      <c r="G23" s="76">
        <v>1</v>
      </c>
      <c r="H23" s="77">
        <v>18627</v>
      </c>
      <c r="I23" s="77">
        <f t="shared" si="0"/>
        <v>18627</v>
      </c>
    </row>
    <row r="24" spans="1:9" ht="31.9" customHeight="1" thickBot="1" x14ac:dyDescent="0.25">
      <c r="A24" s="56">
        <v>15</v>
      </c>
      <c r="B24" s="59"/>
      <c r="C24" s="57" t="s">
        <v>187</v>
      </c>
      <c r="D24" s="58" t="s">
        <v>180</v>
      </c>
      <c r="E24" s="78" t="s">
        <v>241</v>
      </c>
      <c r="F24" s="79" t="s">
        <v>170</v>
      </c>
      <c r="G24" s="76">
        <v>1</v>
      </c>
      <c r="H24" s="77">
        <v>20282</v>
      </c>
      <c r="I24" s="77">
        <f t="shared" si="0"/>
        <v>20282</v>
      </c>
    </row>
    <row r="25" spans="1:9" ht="31.9" customHeight="1" thickBot="1" x14ac:dyDescent="0.25">
      <c r="A25" s="56">
        <v>16</v>
      </c>
      <c r="B25" s="59"/>
      <c r="C25" s="57" t="s">
        <v>187</v>
      </c>
      <c r="D25" s="58" t="s">
        <v>180</v>
      </c>
      <c r="E25" s="78" t="s">
        <v>66</v>
      </c>
      <c r="F25" s="79" t="s">
        <v>170</v>
      </c>
      <c r="G25" s="76">
        <v>1</v>
      </c>
      <c r="H25" s="77">
        <v>21863</v>
      </c>
      <c r="I25" s="77">
        <f t="shared" si="0"/>
        <v>21863</v>
      </c>
    </row>
    <row r="26" spans="1:9" ht="31.9" customHeight="1" thickBot="1" x14ac:dyDescent="0.25">
      <c r="A26" s="56">
        <v>17</v>
      </c>
      <c r="B26" s="59"/>
      <c r="C26" s="57" t="s">
        <v>187</v>
      </c>
      <c r="D26" s="58" t="s">
        <v>180</v>
      </c>
      <c r="E26" s="78" t="s">
        <v>240</v>
      </c>
      <c r="F26" s="79" t="s">
        <v>170</v>
      </c>
      <c r="G26" s="76">
        <v>1</v>
      </c>
      <c r="H26" s="77">
        <v>20282</v>
      </c>
      <c r="I26" s="77">
        <f t="shared" si="0"/>
        <v>20282</v>
      </c>
    </row>
    <row r="27" spans="1:9" ht="31.9" customHeight="1" thickBot="1" x14ac:dyDescent="0.25">
      <c r="A27" s="56">
        <v>18</v>
      </c>
      <c r="B27" s="59"/>
      <c r="C27" s="57" t="s">
        <v>187</v>
      </c>
      <c r="D27" s="58" t="s">
        <v>180</v>
      </c>
      <c r="E27" s="78" t="s">
        <v>239</v>
      </c>
      <c r="F27" s="79" t="s">
        <v>170</v>
      </c>
      <c r="G27" s="76">
        <v>1</v>
      </c>
      <c r="H27" s="77">
        <v>15611</v>
      </c>
      <c r="I27" s="77">
        <f t="shared" si="0"/>
        <v>15611</v>
      </c>
    </row>
    <row r="28" spans="1:9" ht="31.9" customHeight="1" thickBot="1" x14ac:dyDescent="0.25">
      <c r="A28" s="56">
        <v>19</v>
      </c>
      <c r="B28" s="59"/>
      <c r="C28" s="57" t="s">
        <v>187</v>
      </c>
      <c r="D28" s="58" t="s">
        <v>180</v>
      </c>
      <c r="E28" s="78" t="s">
        <v>67</v>
      </c>
      <c r="F28" s="79" t="s">
        <v>170</v>
      </c>
      <c r="G28" s="76">
        <v>1</v>
      </c>
      <c r="H28" s="77">
        <v>14996</v>
      </c>
      <c r="I28" s="77">
        <f t="shared" si="0"/>
        <v>14996</v>
      </c>
    </row>
    <row r="29" spans="1:9" ht="31.9" customHeight="1" thickBot="1" x14ac:dyDescent="0.25">
      <c r="A29" s="56">
        <v>20</v>
      </c>
      <c r="B29" s="59"/>
      <c r="C29" s="57" t="s">
        <v>187</v>
      </c>
      <c r="D29" s="58" t="s">
        <v>180</v>
      </c>
      <c r="E29" s="78" t="s">
        <v>68</v>
      </c>
      <c r="F29" s="79" t="s">
        <v>170</v>
      </c>
      <c r="G29" s="76">
        <v>1</v>
      </c>
      <c r="H29" s="77">
        <v>15611</v>
      </c>
      <c r="I29" s="77">
        <f t="shared" si="0"/>
        <v>15611</v>
      </c>
    </row>
    <row r="30" spans="1:9" ht="31.9" customHeight="1" thickBot="1" x14ac:dyDescent="0.25">
      <c r="A30" s="56">
        <v>21</v>
      </c>
      <c r="B30" s="59"/>
      <c r="C30" s="57" t="s">
        <v>187</v>
      </c>
      <c r="D30" s="58" t="s">
        <v>180</v>
      </c>
      <c r="E30" s="78" t="s">
        <v>196</v>
      </c>
      <c r="F30" s="79" t="s">
        <v>170</v>
      </c>
      <c r="G30" s="76">
        <v>1</v>
      </c>
      <c r="H30" s="77">
        <v>15611</v>
      </c>
      <c r="I30" s="77">
        <f t="shared" si="0"/>
        <v>15611</v>
      </c>
    </row>
    <row r="31" spans="1:9" ht="31.9" customHeight="1" thickBot="1" x14ac:dyDescent="0.25">
      <c r="A31" s="56">
        <v>22</v>
      </c>
      <c r="B31" s="59"/>
      <c r="C31" s="57" t="s">
        <v>187</v>
      </c>
      <c r="D31" s="58" t="s">
        <v>180</v>
      </c>
      <c r="E31" s="78" t="s">
        <v>238</v>
      </c>
      <c r="F31" s="79" t="s">
        <v>170</v>
      </c>
      <c r="G31" s="76">
        <v>1</v>
      </c>
      <c r="H31" s="77">
        <v>14350</v>
      </c>
      <c r="I31" s="77">
        <f t="shared" si="0"/>
        <v>14350</v>
      </c>
    </row>
    <row r="32" spans="1:9" ht="31.9" customHeight="1" thickBot="1" x14ac:dyDescent="0.25">
      <c r="A32" s="56">
        <v>23</v>
      </c>
      <c r="B32" s="59"/>
      <c r="C32" s="57" t="s">
        <v>187</v>
      </c>
      <c r="D32" s="58" t="s">
        <v>180</v>
      </c>
      <c r="E32" s="78" t="s">
        <v>237</v>
      </c>
      <c r="F32" s="79" t="s">
        <v>170</v>
      </c>
      <c r="G32" s="76">
        <v>1</v>
      </c>
      <c r="H32" s="77">
        <v>15611</v>
      </c>
      <c r="I32" s="77">
        <f t="shared" si="0"/>
        <v>15611</v>
      </c>
    </row>
    <row r="33" spans="1:9" ht="31.9" customHeight="1" thickBot="1" x14ac:dyDescent="0.25">
      <c r="A33" s="56">
        <v>24</v>
      </c>
      <c r="B33" s="59"/>
      <c r="C33" s="57" t="s">
        <v>187</v>
      </c>
      <c r="D33" s="58" t="s">
        <v>180</v>
      </c>
      <c r="E33" s="78" t="s">
        <v>232</v>
      </c>
      <c r="F33" s="79" t="s">
        <v>170</v>
      </c>
      <c r="G33" s="76">
        <v>1</v>
      </c>
      <c r="H33" s="77">
        <v>15687</v>
      </c>
      <c r="I33" s="77">
        <f t="shared" si="0"/>
        <v>15687</v>
      </c>
    </row>
    <row r="34" spans="1:9" ht="31.9" customHeight="1" thickBot="1" x14ac:dyDescent="0.25">
      <c r="A34" s="56">
        <v>25</v>
      </c>
      <c r="B34" s="59"/>
      <c r="C34" s="57" t="s">
        <v>187</v>
      </c>
      <c r="D34" s="58" t="s">
        <v>180</v>
      </c>
      <c r="E34" s="78" t="s">
        <v>233</v>
      </c>
      <c r="F34" s="79" t="s">
        <v>170</v>
      </c>
      <c r="G34" s="76">
        <v>1</v>
      </c>
      <c r="H34" s="77">
        <v>26978</v>
      </c>
      <c r="I34" s="77">
        <f t="shared" si="0"/>
        <v>26978</v>
      </c>
    </row>
    <row r="35" spans="1:9" ht="31.9" customHeight="1" thickBot="1" x14ac:dyDescent="0.25">
      <c r="A35" s="56">
        <v>26</v>
      </c>
      <c r="B35" s="59"/>
      <c r="C35" s="57" t="s">
        <v>187</v>
      </c>
      <c r="D35" s="58" t="s">
        <v>180</v>
      </c>
      <c r="E35" s="78" t="s">
        <v>235</v>
      </c>
      <c r="F35" s="79" t="s">
        <v>170</v>
      </c>
      <c r="G35" s="76">
        <v>1</v>
      </c>
      <c r="H35" s="77">
        <v>15611</v>
      </c>
      <c r="I35" s="77">
        <f t="shared" si="0"/>
        <v>15611</v>
      </c>
    </row>
    <row r="36" spans="1:9" ht="31.9" customHeight="1" thickBot="1" x14ac:dyDescent="0.25">
      <c r="A36" s="56">
        <v>27</v>
      </c>
      <c r="B36" s="59"/>
      <c r="C36" s="57" t="s">
        <v>187</v>
      </c>
      <c r="D36" s="58" t="s">
        <v>180</v>
      </c>
      <c r="E36" s="78" t="s">
        <v>234</v>
      </c>
      <c r="F36" s="79" t="s">
        <v>170</v>
      </c>
      <c r="G36" s="76">
        <v>1</v>
      </c>
      <c r="H36" s="77">
        <v>15611</v>
      </c>
      <c r="I36" s="77">
        <f t="shared" si="0"/>
        <v>15611</v>
      </c>
    </row>
    <row r="37" spans="1:9" ht="31.9" customHeight="1" thickBot="1" x14ac:dyDescent="0.25">
      <c r="A37" s="56">
        <v>28</v>
      </c>
      <c r="B37" s="59"/>
      <c r="C37" s="57" t="s">
        <v>187</v>
      </c>
      <c r="D37" s="58" t="s">
        <v>180</v>
      </c>
      <c r="E37" s="78" t="s">
        <v>197</v>
      </c>
      <c r="F37" s="79" t="s">
        <v>170</v>
      </c>
      <c r="G37" s="76">
        <v>1</v>
      </c>
      <c r="H37" s="77">
        <v>15611</v>
      </c>
      <c r="I37" s="77">
        <f t="shared" si="0"/>
        <v>15611</v>
      </c>
    </row>
    <row r="38" spans="1:9" ht="31.9" customHeight="1" thickBot="1" x14ac:dyDescent="0.25">
      <c r="A38" s="56">
        <v>29</v>
      </c>
      <c r="B38" s="59"/>
      <c r="C38" s="57" t="s">
        <v>187</v>
      </c>
      <c r="D38" s="58" t="s">
        <v>180</v>
      </c>
      <c r="E38" s="78" t="s">
        <v>198</v>
      </c>
      <c r="F38" s="79" t="s">
        <v>170</v>
      </c>
      <c r="G38" s="76">
        <v>1</v>
      </c>
      <c r="H38" s="77">
        <v>20284</v>
      </c>
      <c r="I38" s="77">
        <f t="shared" si="0"/>
        <v>20284</v>
      </c>
    </row>
    <row r="39" spans="1:9" ht="31.9" customHeight="1" thickBot="1" x14ac:dyDescent="0.25">
      <c r="A39" s="56">
        <v>30</v>
      </c>
      <c r="B39" s="59"/>
      <c r="C39" s="57" t="s">
        <v>187</v>
      </c>
      <c r="D39" s="58" t="s">
        <v>180</v>
      </c>
      <c r="E39" s="78" t="s">
        <v>236</v>
      </c>
      <c r="F39" s="79" t="s">
        <v>170</v>
      </c>
      <c r="G39" s="76">
        <v>1</v>
      </c>
      <c r="H39" s="77">
        <v>19110</v>
      </c>
      <c r="I39" s="77">
        <f t="shared" si="0"/>
        <v>19110</v>
      </c>
    </row>
    <row r="40" spans="1:9" ht="31.9" customHeight="1" thickBot="1" x14ac:dyDescent="0.25">
      <c r="A40" s="56">
        <v>31</v>
      </c>
      <c r="B40" s="59"/>
      <c r="C40" s="57" t="s">
        <v>187</v>
      </c>
      <c r="D40" s="58" t="s">
        <v>180</v>
      </c>
      <c r="E40" s="78" t="s">
        <v>69</v>
      </c>
      <c r="F40" s="79" t="s">
        <v>170</v>
      </c>
      <c r="G40" s="76">
        <v>1</v>
      </c>
      <c r="H40" s="77">
        <v>14996</v>
      </c>
      <c r="I40" s="77">
        <f t="shared" si="0"/>
        <v>14996</v>
      </c>
    </row>
    <row r="41" spans="1:9" ht="31.9" customHeight="1" thickBot="1" x14ac:dyDescent="0.25">
      <c r="A41" s="56">
        <v>32</v>
      </c>
      <c r="B41" s="59"/>
      <c r="C41" s="57" t="s">
        <v>187</v>
      </c>
      <c r="D41" s="58" t="s">
        <v>180</v>
      </c>
      <c r="E41" s="78" t="s">
        <v>199</v>
      </c>
      <c r="F41" s="79" t="s">
        <v>170</v>
      </c>
      <c r="G41" s="76">
        <v>1</v>
      </c>
      <c r="H41" s="77">
        <v>14996</v>
      </c>
      <c r="I41" s="77">
        <f t="shared" si="0"/>
        <v>14996</v>
      </c>
    </row>
    <row r="42" spans="1:9" ht="31.9" customHeight="1" thickBot="1" x14ac:dyDescent="0.25">
      <c r="A42" s="56">
        <v>33</v>
      </c>
      <c r="B42" s="59"/>
      <c r="C42" s="57" t="s">
        <v>187</v>
      </c>
      <c r="D42" s="58" t="s">
        <v>180</v>
      </c>
      <c r="E42" s="78" t="s">
        <v>200</v>
      </c>
      <c r="F42" s="79" t="s">
        <v>170</v>
      </c>
      <c r="G42" s="76">
        <v>1</v>
      </c>
      <c r="H42" s="77">
        <v>15611</v>
      </c>
      <c r="I42" s="77">
        <f t="shared" si="0"/>
        <v>15611</v>
      </c>
    </row>
    <row r="43" spans="1:9" ht="31.9" customHeight="1" thickBot="1" x14ac:dyDescent="0.25">
      <c r="A43" s="56">
        <v>34</v>
      </c>
      <c r="B43" s="59"/>
      <c r="C43" s="57" t="s">
        <v>187</v>
      </c>
      <c r="D43" s="58" t="s">
        <v>180</v>
      </c>
      <c r="E43" s="78" t="s">
        <v>201</v>
      </c>
      <c r="F43" s="79" t="s">
        <v>170</v>
      </c>
      <c r="G43" s="76">
        <v>1</v>
      </c>
      <c r="H43" s="77">
        <v>20282</v>
      </c>
      <c r="I43" s="77">
        <f t="shared" si="0"/>
        <v>20282</v>
      </c>
    </row>
    <row r="44" spans="1:9" ht="31.9" customHeight="1" thickBot="1" x14ac:dyDescent="0.25">
      <c r="A44" s="56">
        <v>35</v>
      </c>
      <c r="B44" s="59"/>
      <c r="C44" s="57" t="s">
        <v>187</v>
      </c>
      <c r="D44" s="58" t="s">
        <v>180</v>
      </c>
      <c r="E44" s="78" t="s">
        <v>202</v>
      </c>
      <c r="F44" s="79" t="s">
        <v>170</v>
      </c>
      <c r="G44" s="76">
        <v>1</v>
      </c>
      <c r="H44" s="77">
        <v>16314</v>
      </c>
      <c r="I44" s="77">
        <f t="shared" si="0"/>
        <v>16314</v>
      </c>
    </row>
    <row r="45" spans="1:9" ht="31.9" customHeight="1" thickBot="1" x14ac:dyDescent="0.25">
      <c r="A45" s="56">
        <v>36</v>
      </c>
      <c r="B45" s="59"/>
      <c r="C45" s="57" t="s">
        <v>187</v>
      </c>
      <c r="D45" s="58" t="s">
        <v>180</v>
      </c>
      <c r="E45" s="78" t="s">
        <v>70</v>
      </c>
      <c r="F45" s="79" t="s">
        <v>170</v>
      </c>
      <c r="G45" s="76">
        <v>1</v>
      </c>
      <c r="H45" s="77">
        <v>11686</v>
      </c>
      <c r="I45" s="77">
        <f t="shared" si="0"/>
        <v>11686</v>
      </c>
    </row>
    <row r="46" spans="1:9" ht="31.9" customHeight="1" thickBot="1" x14ac:dyDescent="0.25">
      <c r="A46" s="56">
        <v>37</v>
      </c>
      <c r="B46" s="59"/>
      <c r="C46" s="57" t="s">
        <v>187</v>
      </c>
      <c r="D46" s="58" t="s">
        <v>180</v>
      </c>
      <c r="E46" s="78" t="s">
        <v>203</v>
      </c>
      <c r="F46" s="79" t="s">
        <v>170</v>
      </c>
      <c r="G46" s="76">
        <v>1</v>
      </c>
      <c r="H46" s="77">
        <v>22565</v>
      </c>
      <c r="I46" s="77">
        <f t="shared" si="0"/>
        <v>22565</v>
      </c>
    </row>
    <row r="47" spans="1:9" ht="31.9" customHeight="1" thickBot="1" x14ac:dyDescent="0.25">
      <c r="A47" s="56">
        <v>38</v>
      </c>
      <c r="B47" s="59"/>
      <c r="C47" s="57" t="s">
        <v>187</v>
      </c>
      <c r="D47" s="58" t="s">
        <v>180</v>
      </c>
      <c r="E47" s="78" t="s">
        <v>71</v>
      </c>
      <c r="F47" s="79" t="s">
        <v>171</v>
      </c>
      <c r="G47" s="76">
        <v>30</v>
      </c>
      <c r="H47" s="77">
        <v>13303</v>
      </c>
      <c r="I47" s="77">
        <f t="shared" si="0"/>
        <v>399090</v>
      </c>
    </row>
    <row r="48" spans="1:9" ht="31.9" customHeight="1" thickBot="1" x14ac:dyDescent="0.25">
      <c r="A48" s="56">
        <v>39</v>
      </c>
      <c r="B48" s="59"/>
      <c r="C48" s="57" t="s">
        <v>187</v>
      </c>
      <c r="D48" s="58" t="s">
        <v>180</v>
      </c>
      <c r="E48" s="78" t="s">
        <v>244</v>
      </c>
      <c r="F48" s="79" t="s">
        <v>170</v>
      </c>
      <c r="G48" s="76">
        <v>12</v>
      </c>
      <c r="H48" s="77">
        <v>41462</v>
      </c>
      <c r="I48" s="77">
        <f t="shared" si="0"/>
        <v>497544</v>
      </c>
    </row>
    <row r="49" spans="1:9" ht="31.9" customHeight="1" thickBot="1" x14ac:dyDescent="0.25">
      <c r="A49" s="56">
        <v>40</v>
      </c>
      <c r="B49" s="59"/>
      <c r="C49" s="57" t="s">
        <v>187</v>
      </c>
      <c r="D49" s="58" t="s">
        <v>180</v>
      </c>
      <c r="E49" s="78" t="s">
        <v>72</v>
      </c>
      <c r="F49" s="79" t="s">
        <v>170</v>
      </c>
      <c r="G49" s="76">
        <v>40</v>
      </c>
      <c r="H49" s="77">
        <v>7151</v>
      </c>
      <c r="I49" s="77">
        <f t="shared" si="0"/>
        <v>286040</v>
      </c>
    </row>
    <row r="50" spans="1:9" ht="31.9" customHeight="1" thickBot="1" x14ac:dyDescent="0.25">
      <c r="A50" s="56">
        <v>41</v>
      </c>
      <c r="B50" s="59"/>
      <c r="C50" s="57" t="s">
        <v>187</v>
      </c>
      <c r="D50" s="58" t="s">
        <v>180</v>
      </c>
      <c r="E50" s="78" t="s">
        <v>73</v>
      </c>
      <c r="F50" s="79" t="s">
        <v>170</v>
      </c>
      <c r="G50" s="76">
        <v>24</v>
      </c>
      <c r="H50" s="77">
        <v>10786</v>
      </c>
      <c r="I50" s="77">
        <f t="shared" si="0"/>
        <v>258864</v>
      </c>
    </row>
    <row r="51" spans="1:9" ht="31.9" customHeight="1" thickBot="1" x14ac:dyDescent="0.25">
      <c r="A51" s="56">
        <v>42</v>
      </c>
      <c r="B51" s="59"/>
      <c r="C51" s="57" t="s">
        <v>187</v>
      </c>
      <c r="D51" s="58" t="s">
        <v>180</v>
      </c>
      <c r="E51" s="78" t="s">
        <v>245</v>
      </c>
      <c r="F51" s="79" t="s">
        <v>170</v>
      </c>
      <c r="G51" s="76">
        <v>1</v>
      </c>
      <c r="H51" s="77">
        <v>26264</v>
      </c>
      <c r="I51" s="77">
        <f t="shared" si="0"/>
        <v>26264</v>
      </c>
    </row>
    <row r="52" spans="1:9" ht="31.9" customHeight="1" thickBot="1" x14ac:dyDescent="0.25">
      <c r="A52" s="56">
        <v>43</v>
      </c>
      <c r="B52" s="59"/>
      <c r="C52" s="57" t="s">
        <v>187</v>
      </c>
      <c r="D52" s="58" t="s">
        <v>180</v>
      </c>
      <c r="E52" s="78" t="s">
        <v>246</v>
      </c>
      <c r="F52" s="79" t="s">
        <v>170</v>
      </c>
      <c r="G52" s="76">
        <v>1</v>
      </c>
      <c r="H52" s="77">
        <v>43337</v>
      </c>
      <c r="I52" s="77">
        <f t="shared" si="0"/>
        <v>43337</v>
      </c>
    </row>
    <row r="53" spans="1:9" ht="31.9" customHeight="1" thickBot="1" x14ac:dyDescent="0.25">
      <c r="A53" s="56">
        <v>44</v>
      </c>
      <c r="B53" s="59"/>
      <c r="C53" s="57" t="s">
        <v>187</v>
      </c>
      <c r="D53" s="58" t="s">
        <v>180</v>
      </c>
      <c r="E53" s="78" t="s">
        <v>247</v>
      </c>
      <c r="F53" s="79" t="s">
        <v>170</v>
      </c>
      <c r="G53" s="76">
        <v>2</v>
      </c>
      <c r="H53" s="77">
        <v>11755</v>
      </c>
      <c r="I53" s="77">
        <f t="shared" si="0"/>
        <v>23510</v>
      </c>
    </row>
    <row r="54" spans="1:9" ht="31.9" customHeight="1" thickBot="1" x14ac:dyDescent="0.25">
      <c r="A54" s="56">
        <v>45</v>
      </c>
      <c r="B54" s="59"/>
      <c r="C54" s="57" t="s">
        <v>187</v>
      </c>
      <c r="D54" s="58" t="s">
        <v>180</v>
      </c>
      <c r="E54" s="78" t="s">
        <v>248</v>
      </c>
      <c r="F54" s="79" t="s">
        <v>170</v>
      </c>
      <c r="G54" s="76">
        <v>1</v>
      </c>
      <c r="H54" s="77">
        <v>38629</v>
      </c>
      <c r="I54" s="77">
        <f t="shared" si="0"/>
        <v>38629</v>
      </c>
    </row>
    <row r="55" spans="1:9" s="80" customFormat="1" ht="31.9" customHeight="1" thickBot="1" x14ac:dyDescent="0.25">
      <c r="A55" s="56">
        <v>46</v>
      </c>
      <c r="B55" s="59"/>
      <c r="C55" s="57" t="s">
        <v>187</v>
      </c>
      <c r="D55" s="58" t="s">
        <v>180</v>
      </c>
      <c r="E55" s="78" t="s">
        <v>204</v>
      </c>
      <c r="F55" s="79" t="s">
        <v>170</v>
      </c>
      <c r="G55" s="76">
        <v>2</v>
      </c>
      <c r="H55" s="77">
        <v>28784</v>
      </c>
      <c r="I55" s="77">
        <f t="shared" si="0"/>
        <v>57568</v>
      </c>
    </row>
    <row r="56" spans="1:9" ht="31.9" customHeight="1" thickBot="1" x14ac:dyDescent="0.25">
      <c r="A56" s="56">
        <v>47</v>
      </c>
      <c r="B56" s="59"/>
      <c r="C56" s="57" t="s">
        <v>187</v>
      </c>
      <c r="D56" s="58" t="s">
        <v>180</v>
      </c>
      <c r="E56" s="78" t="s">
        <v>74</v>
      </c>
      <c r="F56" s="79" t="s">
        <v>170</v>
      </c>
      <c r="G56" s="76">
        <v>3</v>
      </c>
      <c r="H56" s="77">
        <v>12493</v>
      </c>
      <c r="I56" s="77">
        <f t="shared" si="0"/>
        <v>37479</v>
      </c>
    </row>
    <row r="57" spans="1:9" ht="31.9" customHeight="1" thickBot="1" x14ac:dyDescent="0.25">
      <c r="A57" s="56">
        <v>48</v>
      </c>
      <c r="B57" s="59"/>
      <c r="C57" s="57" t="s">
        <v>187</v>
      </c>
      <c r="D57" s="58" t="s">
        <v>180</v>
      </c>
      <c r="E57" s="78" t="s">
        <v>249</v>
      </c>
      <c r="F57" s="79" t="s">
        <v>170</v>
      </c>
      <c r="G57" s="76">
        <v>4</v>
      </c>
      <c r="H57" s="77">
        <v>17390</v>
      </c>
      <c r="I57" s="77">
        <f t="shared" si="0"/>
        <v>69560</v>
      </c>
    </row>
    <row r="58" spans="1:9" ht="31.9" customHeight="1" thickBot="1" x14ac:dyDescent="0.25">
      <c r="A58" s="56">
        <v>49</v>
      </c>
      <c r="B58" s="59"/>
      <c r="C58" s="57" t="s">
        <v>187</v>
      </c>
      <c r="D58" s="58" t="s">
        <v>180</v>
      </c>
      <c r="E58" s="78" t="s">
        <v>250</v>
      </c>
      <c r="F58" s="79" t="s">
        <v>175</v>
      </c>
      <c r="G58" s="76">
        <v>4</v>
      </c>
      <c r="H58" s="77">
        <v>1493</v>
      </c>
      <c r="I58" s="77">
        <f t="shared" si="0"/>
        <v>5972</v>
      </c>
    </row>
    <row r="59" spans="1:9" ht="31.9" customHeight="1" thickBot="1" x14ac:dyDescent="0.25">
      <c r="A59" s="56">
        <v>50</v>
      </c>
      <c r="B59" s="59"/>
      <c r="C59" s="57" t="s">
        <v>187</v>
      </c>
      <c r="D59" s="58" t="s">
        <v>180</v>
      </c>
      <c r="E59" s="78" t="s">
        <v>75</v>
      </c>
      <c r="F59" s="79" t="s">
        <v>173</v>
      </c>
      <c r="G59" s="76">
        <v>3</v>
      </c>
      <c r="H59" s="77">
        <v>4856</v>
      </c>
      <c r="I59" s="77">
        <f t="shared" si="0"/>
        <v>14568</v>
      </c>
    </row>
    <row r="60" spans="1:9" ht="31.9" customHeight="1" thickBot="1" x14ac:dyDescent="0.25">
      <c r="A60" s="56">
        <v>51</v>
      </c>
      <c r="B60" s="59"/>
      <c r="C60" s="57" t="s">
        <v>187</v>
      </c>
      <c r="D60" s="58" t="s">
        <v>180</v>
      </c>
      <c r="E60" s="78" t="s">
        <v>76</v>
      </c>
      <c r="F60" s="79" t="s">
        <v>174</v>
      </c>
      <c r="G60" s="76">
        <v>3</v>
      </c>
      <c r="H60" s="77">
        <v>4856</v>
      </c>
      <c r="I60" s="77">
        <f t="shared" si="0"/>
        <v>14568</v>
      </c>
    </row>
    <row r="61" spans="1:9" ht="31.9" customHeight="1" thickBot="1" x14ac:dyDescent="0.25">
      <c r="A61" s="56">
        <v>52</v>
      </c>
      <c r="B61" s="59"/>
      <c r="C61" s="57" t="s">
        <v>187</v>
      </c>
      <c r="D61" s="58" t="s">
        <v>180</v>
      </c>
      <c r="E61" s="78" t="s">
        <v>77</v>
      </c>
      <c r="F61" s="79" t="s">
        <v>170</v>
      </c>
      <c r="G61" s="76">
        <v>1</v>
      </c>
      <c r="H61" s="77">
        <v>26023</v>
      </c>
      <c r="I61" s="77">
        <f t="shared" si="0"/>
        <v>26023</v>
      </c>
    </row>
    <row r="62" spans="1:9" ht="31.9" customHeight="1" thickBot="1" x14ac:dyDescent="0.25">
      <c r="A62" s="56">
        <v>53</v>
      </c>
      <c r="B62" s="59"/>
      <c r="C62" s="57" t="s">
        <v>187</v>
      </c>
      <c r="D62" s="58" t="s">
        <v>180</v>
      </c>
      <c r="E62" s="78" t="s">
        <v>78</v>
      </c>
      <c r="F62" s="79" t="s">
        <v>170</v>
      </c>
      <c r="G62" s="76">
        <v>1</v>
      </c>
      <c r="H62" s="77">
        <v>26023</v>
      </c>
      <c r="I62" s="77">
        <f t="shared" si="0"/>
        <v>26023</v>
      </c>
    </row>
    <row r="63" spans="1:9" ht="31.9" customHeight="1" thickBot="1" x14ac:dyDescent="0.25">
      <c r="A63" s="56">
        <v>54</v>
      </c>
      <c r="B63" s="59"/>
      <c r="C63" s="57" t="s">
        <v>187</v>
      </c>
      <c r="D63" s="58" t="s">
        <v>180</v>
      </c>
      <c r="E63" s="78" t="s">
        <v>79</v>
      </c>
      <c r="F63" s="79" t="s">
        <v>170</v>
      </c>
      <c r="G63" s="76">
        <v>1</v>
      </c>
      <c r="H63" s="77">
        <v>26023</v>
      </c>
      <c r="I63" s="77">
        <f t="shared" si="0"/>
        <v>26023</v>
      </c>
    </row>
    <row r="64" spans="1:9" ht="31.9" customHeight="1" thickBot="1" x14ac:dyDescent="0.25">
      <c r="A64" s="56">
        <v>55</v>
      </c>
      <c r="B64" s="59"/>
      <c r="C64" s="57" t="s">
        <v>187</v>
      </c>
      <c r="D64" s="58" t="s">
        <v>180</v>
      </c>
      <c r="E64" s="78" t="s">
        <v>80</v>
      </c>
      <c r="F64" s="79" t="s">
        <v>172</v>
      </c>
      <c r="G64" s="76">
        <v>1</v>
      </c>
      <c r="H64" s="77">
        <v>29122</v>
      </c>
      <c r="I64" s="77">
        <f t="shared" si="0"/>
        <v>29122</v>
      </c>
    </row>
    <row r="65" spans="1:9" ht="31.9" customHeight="1" thickBot="1" x14ac:dyDescent="0.25">
      <c r="A65" s="56">
        <v>56</v>
      </c>
      <c r="B65" s="59"/>
      <c r="C65" s="57" t="s">
        <v>187</v>
      </c>
      <c r="D65" s="58" t="s">
        <v>180</v>
      </c>
      <c r="E65" s="78" t="s">
        <v>81</v>
      </c>
      <c r="F65" s="79" t="s">
        <v>170</v>
      </c>
      <c r="G65" s="76">
        <v>2</v>
      </c>
      <c r="H65" s="77">
        <v>17820</v>
      </c>
      <c r="I65" s="77">
        <f t="shared" si="0"/>
        <v>35640</v>
      </c>
    </row>
    <row r="66" spans="1:9" ht="31.9" customHeight="1" thickBot="1" x14ac:dyDescent="0.25">
      <c r="A66" s="56">
        <v>57</v>
      </c>
      <c r="B66" s="59"/>
      <c r="C66" s="57" t="s">
        <v>187</v>
      </c>
      <c r="D66" s="58" t="s">
        <v>180</v>
      </c>
      <c r="E66" s="78" t="s">
        <v>82</v>
      </c>
      <c r="F66" s="79" t="s">
        <v>170</v>
      </c>
      <c r="G66" s="76">
        <v>2</v>
      </c>
      <c r="H66" s="77">
        <v>15487</v>
      </c>
      <c r="I66" s="77">
        <f t="shared" si="0"/>
        <v>30974</v>
      </c>
    </row>
    <row r="67" spans="1:9" ht="31.9" customHeight="1" thickBot="1" x14ac:dyDescent="0.25">
      <c r="A67" s="56">
        <v>58</v>
      </c>
      <c r="B67" s="59"/>
      <c r="C67" s="57" t="s">
        <v>187</v>
      </c>
      <c r="D67" s="58" t="s">
        <v>180</v>
      </c>
      <c r="E67" s="78" t="s">
        <v>83</v>
      </c>
      <c r="F67" s="79" t="s">
        <v>170</v>
      </c>
      <c r="G67" s="76">
        <v>1</v>
      </c>
      <c r="H67" s="77">
        <v>27267</v>
      </c>
      <c r="I67" s="77">
        <f t="shared" si="0"/>
        <v>27267</v>
      </c>
    </row>
    <row r="68" spans="1:9" ht="31.9" customHeight="1" thickBot="1" x14ac:dyDescent="0.25">
      <c r="A68" s="56">
        <v>59</v>
      </c>
      <c r="B68" s="59"/>
      <c r="C68" s="57" t="s">
        <v>187</v>
      </c>
      <c r="D68" s="58" t="s">
        <v>180</v>
      </c>
      <c r="E68" s="78" t="s">
        <v>251</v>
      </c>
      <c r="F68" s="79" t="s">
        <v>170</v>
      </c>
      <c r="G68" s="76">
        <v>6</v>
      </c>
      <c r="H68" s="77">
        <v>93477</v>
      </c>
      <c r="I68" s="77">
        <f t="shared" si="0"/>
        <v>560862</v>
      </c>
    </row>
    <row r="69" spans="1:9" ht="31.9" customHeight="1" thickBot="1" x14ac:dyDescent="0.25">
      <c r="A69" s="56">
        <v>60</v>
      </c>
      <c r="B69" s="59"/>
      <c r="C69" s="57" t="s">
        <v>187</v>
      </c>
      <c r="D69" s="58" t="s">
        <v>180</v>
      </c>
      <c r="E69" s="78" t="s">
        <v>84</v>
      </c>
      <c r="F69" s="79" t="s">
        <v>173</v>
      </c>
      <c r="G69" s="76">
        <v>5</v>
      </c>
      <c r="H69" s="77">
        <v>786</v>
      </c>
      <c r="I69" s="77">
        <f t="shared" si="0"/>
        <v>3930</v>
      </c>
    </row>
    <row r="70" spans="1:9" ht="31.9" customHeight="1" thickBot="1" x14ac:dyDescent="0.25">
      <c r="A70" s="56">
        <v>61</v>
      </c>
      <c r="B70" s="59"/>
      <c r="C70" s="57" t="s">
        <v>187</v>
      </c>
      <c r="D70" s="58" t="s">
        <v>180</v>
      </c>
      <c r="E70" s="78" t="s">
        <v>85</v>
      </c>
      <c r="F70" s="79" t="s">
        <v>170</v>
      </c>
      <c r="G70" s="76">
        <v>2</v>
      </c>
      <c r="H70" s="77">
        <v>10574</v>
      </c>
      <c r="I70" s="77">
        <f t="shared" si="0"/>
        <v>21148</v>
      </c>
    </row>
    <row r="71" spans="1:9" ht="31.9" customHeight="1" thickBot="1" x14ac:dyDescent="0.25">
      <c r="A71" s="56">
        <v>62</v>
      </c>
      <c r="B71" s="59"/>
      <c r="C71" s="57" t="s">
        <v>187</v>
      </c>
      <c r="D71" s="58" t="s">
        <v>180</v>
      </c>
      <c r="E71" s="78" t="s">
        <v>86</v>
      </c>
      <c r="F71" s="79" t="s">
        <v>170</v>
      </c>
      <c r="G71" s="76">
        <v>2</v>
      </c>
      <c r="H71" s="77">
        <v>8105</v>
      </c>
      <c r="I71" s="77">
        <f t="shared" si="0"/>
        <v>16210</v>
      </c>
    </row>
    <row r="72" spans="1:9" ht="31.9" customHeight="1" thickBot="1" x14ac:dyDescent="0.25">
      <c r="A72" s="56">
        <v>63</v>
      </c>
      <c r="B72" s="59"/>
      <c r="C72" s="57" t="s">
        <v>187</v>
      </c>
      <c r="D72" s="58" t="s">
        <v>180</v>
      </c>
      <c r="E72" s="78" t="s">
        <v>177</v>
      </c>
      <c r="F72" s="79" t="s">
        <v>173</v>
      </c>
      <c r="G72" s="76">
        <v>3</v>
      </c>
      <c r="H72" s="77">
        <v>713</v>
      </c>
      <c r="I72" s="77">
        <f t="shared" si="0"/>
        <v>2139</v>
      </c>
    </row>
    <row r="73" spans="1:9" ht="31.9" customHeight="1" thickBot="1" x14ac:dyDescent="0.25">
      <c r="A73" s="56">
        <v>64</v>
      </c>
      <c r="B73" s="59"/>
      <c r="C73" s="57" t="s">
        <v>187</v>
      </c>
      <c r="D73" s="58" t="s">
        <v>180</v>
      </c>
      <c r="E73" s="78" t="s">
        <v>87</v>
      </c>
      <c r="F73" s="79" t="s">
        <v>175</v>
      </c>
      <c r="G73" s="76">
        <v>50</v>
      </c>
      <c r="H73" s="77">
        <v>7054</v>
      </c>
      <c r="I73" s="77">
        <f t="shared" si="0"/>
        <v>352700</v>
      </c>
    </row>
    <row r="74" spans="1:9" ht="31.9" customHeight="1" thickBot="1" x14ac:dyDescent="0.25">
      <c r="A74" s="56">
        <v>65</v>
      </c>
      <c r="B74" s="59"/>
      <c r="C74" s="57" t="s">
        <v>187</v>
      </c>
      <c r="D74" s="58" t="s">
        <v>180</v>
      </c>
      <c r="E74" s="78" t="s">
        <v>88</v>
      </c>
      <c r="F74" s="79" t="s">
        <v>172</v>
      </c>
      <c r="G74" s="76">
        <v>1</v>
      </c>
      <c r="H74" s="77">
        <v>15503</v>
      </c>
      <c r="I74" s="77">
        <f t="shared" si="0"/>
        <v>15503</v>
      </c>
    </row>
    <row r="75" spans="1:9" ht="31.9" customHeight="1" thickBot="1" x14ac:dyDescent="0.25">
      <c r="A75" s="56">
        <v>66</v>
      </c>
      <c r="B75" s="59"/>
      <c r="C75" s="57" t="s">
        <v>187</v>
      </c>
      <c r="D75" s="58" t="s">
        <v>180</v>
      </c>
      <c r="E75" s="78" t="s">
        <v>89</v>
      </c>
      <c r="F75" s="79" t="s">
        <v>172</v>
      </c>
      <c r="G75" s="76">
        <v>1</v>
      </c>
      <c r="H75" s="77">
        <v>15503</v>
      </c>
      <c r="I75" s="77">
        <f t="shared" ref="I75:I138" si="1">G75*H75</f>
        <v>15503</v>
      </c>
    </row>
    <row r="76" spans="1:9" ht="31.9" customHeight="1" thickBot="1" x14ac:dyDescent="0.25">
      <c r="A76" s="56">
        <v>67</v>
      </c>
      <c r="B76" s="59"/>
      <c r="C76" s="57" t="s">
        <v>187</v>
      </c>
      <c r="D76" s="58" t="s">
        <v>180</v>
      </c>
      <c r="E76" s="78" t="s">
        <v>90</v>
      </c>
      <c r="F76" s="79" t="s">
        <v>172</v>
      </c>
      <c r="G76" s="76">
        <v>1</v>
      </c>
      <c r="H76" s="77">
        <v>61961</v>
      </c>
      <c r="I76" s="77">
        <f t="shared" si="1"/>
        <v>61961</v>
      </c>
    </row>
    <row r="77" spans="1:9" ht="31.9" customHeight="1" thickBot="1" x14ac:dyDescent="0.25">
      <c r="A77" s="56">
        <v>68</v>
      </c>
      <c r="B77" s="59"/>
      <c r="C77" s="57" t="s">
        <v>187</v>
      </c>
      <c r="D77" s="58" t="s">
        <v>180</v>
      </c>
      <c r="E77" s="78" t="s">
        <v>91</v>
      </c>
      <c r="F77" s="79" t="s">
        <v>172</v>
      </c>
      <c r="G77" s="76">
        <v>1</v>
      </c>
      <c r="H77" s="77">
        <v>25865</v>
      </c>
      <c r="I77" s="77">
        <f t="shared" si="1"/>
        <v>25865</v>
      </c>
    </row>
    <row r="78" spans="1:9" ht="31.9" customHeight="1" thickBot="1" x14ac:dyDescent="0.25">
      <c r="A78" s="56">
        <v>69</v>
      </c>
      <c r="B78" s="59"/>
      <c r="C78" s="57" t="s">
        <v>187</v>
      </c>
      <c r="D78" s="58" t="s">
        <v>180</v>
      </c>
      <c r="E78" s="78" t="s">
        <v>92</v>
      </c>
      <c r="F78" s="79" t="s">
        <v>172</v>
      </c>
      <c r="G78" s="76">
        <v>1</v>
      </c>
      <c r="H78" s="77">
        <v>58870</v>
      </c>
      <c r="I78" s="77">
        <f t="shared" si="1"/>
        <v>58870</v>
      </c>
    </row>
    <row r="79" spans="1:9" ht="31.9" customHeight="1" thickBot="1" x14ac:dyDescent="0.25">
      <c r="A79" s="56">
        <v>70</v>
      </c>
      <c r="B79" s="59"/>
      <c r="C79" s="57" t="s">
        <v>187</v>
      </c>
      <c r="D79" s="58" t="s">
        <v>180</v>
      </c>
      <c r="E79" s="78" t="s">
        <v>93</v>
      </c>
      <c r="F79" s="79" t="s">
        <v>172</v>
      </c>
      <c r="G79" s="76">
        <v>1</v>
      </c>
      <c r="H79" s="77">
        <v>15503</v>
      </c>
      <c r="I79" s="77">
        <f t="shared" si="1"/>
        <v>15503</v>
      </c>
    </row>
    <row r="80" spans="1:9" ht="31.9" customHeight="1" thickBot="1" x14ac:dyDescent="0.25">
      <c r="A80" s="56">
        <v>71</v>
      </c>
      <c r="B80" s="59"/>
      <c r="C80" s="57" t="s">
        <v>187</v>
      </c>
      <c r="D80" s="58" t="s">
        <v>180</v>
      </c>
      <c r="E80" s="78" t="s">
        <v>94</v>
      </c>
      <c r="F80" s="79" t="s">
        <v>172</v>
      </c>
      <c r="G80" s="76">
        <v>2</v>
      </c>
      <c r="H80" s="77">
        <v>28916</v>
      </c>
      <c r="I80" s="77">
        <f t="shared" si="1"/>
        <v>57832</v>
      </c>
    </row>
    <row r="81" spans="1:9" ht="31.9" customHeight="1" thickBot="1" x14ac:dyDescent="0.25">
      <c r="A81" s="56">
        <v>72</v>
      </c>
      <c r="B81" s="59"/>
      <c r="C81" s="57" t="s">
        <v>187</v>
      </c>
      <c r="D81" s="58" t="s">
        <v>180</v>
      </c>
      <c r="E81" s="78" t="s">
        <v>95</v>
      </c>
      <c r="F81" s="79" t="s">
        <v>172</v>
      </c>
      <c r="G81" s="76">
        <v>1</v>
      </c>
      <c r="H81" s="77">
        <v>15503</v>
      </c>
      <c r="I81" s="77">
        <f t="shared" si="1"/>
        <v>15503</v>
      </c>
    </row>
    <row r="82" spans="1:9" ht="31.9" customHeight="1" thickBot="1" x14ac:dyDescent="0.25">
      <c r="A82" s="56">
        <v>73</v>
      </c>
      <c r="B82" s="59"/>
      <c r="C82" s="57" t="s">
        <v>187</v>
      </c>
      <c r="D82" s="58" t="s">
        <v>180</v>
      </c>
      <c r="E82" s="78" t="s">
        <v>96</v>
      </c>
      <c r="F82" s="79" t="s">
        <v>172</v>
      </c>
      <c r="G82" s="76">
        <v>2</v>
      </c>
      <c r="H82" s="77">
        <v>48586</v>
      </c>
      <c r="I82" s="77">
        <f t="shared" si="1"/>
        <v>97172</v>
      </c>
    </row>
    <row r="83" spans="1:9" ht="31.9" customHeight="1" thickBot="1" x14ac:dyDescent="0.25">
      <c r="A83" s="56">
        <v>74</v>
      </c>
      <c r="B83" s="59"/>
      <c r="C83" s="57" t="s">
        <v>187</v>
      </c>
      <c r="D83" s="58" t="s">
        <v>180</v>
      </c>
      <c r="E83" s="78" t="s">
        <v>97</v>
      </c>
      <c r="F83" s="79" t="s">
        <v>171</v>
      </c>
      <c r="G83" s="76">
        <v>6</v>
      </c>
      <c r="H83" s="77">
        <v>79096</v>
      </c>
      <c r="I83" s="77">
        <f t="shared" si="1"/>
        <v>474576</v>
      </c>
    </row>
    <row r="84" spans="1:9" ht="31.9" customHeight="1" thickBot="1" x14ac:dyDescent="0.25">
      <c r="A84" s="56">
        <v>75</v>
      </c>
      <c r="B84" s="59"/>
      <c r="C84" s="57" t="s">
        <v>187</v>
      </c>
      <c r="D84" s="58" t="s">
        <v>180</v>
      </c>
      <c r="E84" s="78" t="s">
        <v>252</v>
      </c>
      <c r="F84" s="79" t="s">
        <v>170</v>
      </c>
      <c r="G84" s="76">
        <v>30</v>
      </c>
      <c r="H84" s="77">
        <v>1000</v>
      </c>
      <c r="I84" s="77">
        <f t="shared" si="1"/>
        <v>30000</v>
      </c>
    </row>
    <row r="85" spans="1:9" ht="31.9" customHeight="1" thickBot="1" x14ac:dyDescent="0.25">
      <c r="A85" s="56">
        <v>76</v>
      </c>
      <c r="B85" s="59"/>
      <c r="C85" s="57" t="s">
        <v>187</v>
      </c>
      <c r="D85" s="58" t="s">
        <v>180</v>
      </c>
      <c r="E85" s="78" t="s">
        <v>118</v>
      </c>
      <c r="F85" s="79" t="s">
        <v>170</v>
      </c>
      <c r="G85" s="76">
        <v>1</v>
      </c>
      <c r="H85" s="77">
        <v>18529</v>
      </c>
      <c r="I85" s="77">
        <f t="shared" si="1"/>
        <v>18529</v>
      </c>
    </row>
    <row r="86" spans="1:9" ht="31.9" customHeight="1" thickBot="1" x14ac:dyDescent="0.25">
      <c r="A86" s="56">
        <v>77</v>
      </c>
      <c r="B86" s="59"/>
      <c r="C86" s="57" t="s">
        <v>187</v>
      </c>
      <c r="D86" s="58" t="s">
        <v>180</v>
      </c>
      <c r="E86" s="78" t="s">
        <v>176</v>
      </c>
      <c r="F86" s="79" t="s">
        <v>173</v>
      </c>
      <c r="G86" s="76">
        <v>2</v>
      </c>
      <c r="H86" s="77">
        <v>7500</v>
      </c>
      <c r="I86" s="77">
        <f t="shared" si="1"/>
        <v>15000</v>
      </c>
    </row>
    <row r="87" spans="1:9" ht="31.9" customHeight="1" thickBot="1" x14ac:dyDescent="0.25">
      <c r="A87" s="56">
        <v>78</v>
      </c>
      <c r="B87" s="59"/>
      <c r="C87" s="57" t="s">
        <v>187</v>
      </c>
      <c r="D87" s="58" t="s">
        <v>180</v>
      </c>
      <c r="E87" s="78" t="s">
        <v>98</v>
      </c>
      <c r="F87" s="79" t="s">
        <v>170</v>
      </c>
      <c r="G87" s="76">
        <v>3</v>
      </c>
      <c r="H87" s="77">
        <v>19752</v>
      </c>
      <c r="I87" s="77">
        <f t="shared" si="1"/>
        <v>59256</v>
      </c>
    </row>
    <row r="88" spans="1:9" ht="31.9" customHeight="1" thickBot="1" x14ac:dyDescent="0.25">
      <c r="A88" s="56">
        <v>79</v>
      </c>
      <c r="B88" s="59"/>
      <c r="C88" s="57" t="s">
        <v>187</v>
      </c>
      <c r="D88" s="58" t="s">
        <v>180</v>
      </c>
      <c r="E88" s="78" t="s">
        <v>99</v>
      </c>
      <c r="F88" s="79" t="s">
        <v>170</v>
      </c>
      <c r="G88" s="76">
        <v>10</v>
      </c>
      <c r="H88" s="77">
        <v>24242</v>
      </c>
      <c r="I88" s="77">
        <f t="shared" si="1"/>
        <v>242420</v>
      </c>
    </row>
    <row r="89" spans="1:9" s="80" customFormat="1" ht="31.9" customHeight="1" thickBot="1" x14ac:dyDescent="0.25">
      <c r="A89" s="56">
        <v>80</v>
      </c>
      <c r="B89" s="59"/>
      <c r="C89" s="57" t="s">
        <v>187</v>
      </c>
      <c r="D89" s="58" t="s">
        <v>180</v>
      </c>
      <c r="E89" s="78" t="s">
        <v>100</v>
      </c>
      <c r="F89" s="79" t="s">
        <v>170</v>
      </c>
      <c r="G89" s="76">
        <v>10</v>
      </c>
      <c r="H89" s="77">
        <v>9131</v>
      </c>
      <c r="I89" s="77">
        <f t="shared" si="1"/>
        <v>91310</v>
      </c>
    </row>
    <row r="90" spans="1:9" s="80" customFormat="1" ht="31.9" customHeight="1" thickBot="1" x14ac:dyDescent="0.25">
      <c r="A90" s="56">
        <v>81</v>
      </c>
      <c r="B90" s="59"/>
      <c r="C90" s="57" t="s">
        <v>187</v>
      </c>
      <c r="D90" s="58" t="s">
        <v>180</v>
      </c>
      <c r="E90" s="78" t="s">
        <v>253</v>
      </c>
      <c r="F90" s="79" t="s">
        <v>170</v>
      </c>
      <c r="G90" s="76">
        <v>4</v>
      </c>
      <c r="H90" s="77">
        <v>41184</v>
      </c>
      <c r="I90" s="77">
        <f t="shared" si="1"/>
        <v>164736</v>
      </c>
    </row>
    <row r="91" spans="1:9" s="80" customFormat="1" ht="31.9" customHeight="1" thickBot="1" x14ac:dyDescent="0.25">
      <c r="A91" s="56">
        <v>82</v>
      </c>
      <c r="B91" s="59"/>
      <c r="C91" s="57" t="s">
        <v>187</v>
      </c>
      <c r="D91" s="58" t="s">
        <v>180</v>
      </c>
      <c r="E91" s="78" t="s">
        <v>254</v>
      </c>
      <c r="F91" s="79" t="s">
        <v>172</v>
      </c>
      <c r="G91" s="76">
        <v>6</v>
      </c>
      <c r="H91" s="77">
        <v>15058</v>
      </c>
      <c r="I91" s="77">
        <f t="shared" si="1"/>
        <v>90348</v>
      </c>
    </row>
    <row r="92" spans="1:9" s="80" customFormat="1" ht="31.9" customHeight="1" thickBot="1" x14ac:dyDescent="0.25">
      <c r="A92" s="56">
        <v>83</v>
      </c>
      <c r="B92" s="59"/>
      <c r="C92" s="57" t="s">
        <v>187</v>
      </c>
      <c r="D92" s="58" t="s">
        <v>180</v>
      </c>
      <c r="E92" s="78" t="s">
        <v>255</v>
      </c>
      <c r="F92" s="79" t="s">
        <v>170</v>
      </c>
      <c r="G92" s="76">
        <v>2</v>
      </c>
      <c r="H92" s="77">
        <v>18529</v>
      </c>
      <c r="I92" s="77">
        <f t="shared" si="1"/>
        <v>37058</v>
      </c>
    </row>
    <row r="93" spans="1:9" s="80" customFormat="1" ht="31.9" customHeight="1" thickBot="1" x14ac:dyDescent="0.25">
      <c r="A93" s="56">
        <v>84</v>
      </c>
      <c r="B93" s="59"/>
      <c r="C93" s="57" t="s">
        <v>187</v>
      </c>
      <c r="D93" s="58" t="s">
        <v>180</v>
      </c>
      <c r="E93" s="78" t="s">
        <v>256</v>
      </c>
      <c r="F93" s="79" t="s">
        <v>170</v>
      </c>
      <c r="G93" s="76">
        <v>2</v>
      </c>
      <c r="H93" s="77">
        <v>23124</v>
      </c>
      <c r="I93" s="77">
        <f t="shared" si="1"/>
        <v>46248</v>
      </c>
    </row>
    <row r="94" spans="1:9" s="80" customFormat="1" ht="31.9" customHeight="1" thickBot="1" x14ac:dyDescent="0.25">
      <c r="A94" s="56">
        <v>85</v>
      </c>
      <c r="B94" s="59"/>
      <c r="C94" s="57" t="s">
        <v>187</v>
      </c>
      <c r="D94" s="58" t="s">
        <v>180</v>
      </c>
      <c r="E94" s="78" t="s">
        <v>257</v>
      </c>
      <c r="F94" s="79" t="s">
        <v>170</v>
      </c>
      <c r="G94" s="76">
        <v>3</v>
      </c>
      <c r="H94" s="77">
        <v>2269</v>
      </c>
      <c r="I94" s="77">
        <f t="shared" si="1"/>
        <v>6807</v>
      </c>
    </row>
    <row r="95" spans="1:9" ht="31.9" customHeight="1" thickBot="1" x14ac:dyDescent="0.25">
      <c r="A95" s="56">
        <v>86</v>
      </c>
      <c r="B95" s="59"/>
      <c r="C95" s="57" t="s">
        <v>187</v>
      </c>
      <c r="D95" s="58" t="s">
        <v>180</v>
      </c>
      <c r="E95" s="78" t="s">
        <v>101</v>
      </c>
      <c r="F95" s="79" t="s">
        <v>171</v>
      </c>
      <c r="G95" s="76">
        <v>12</v>
      </c>
      <c r="H95" s="77">
        <v>25167</v>
      </c>
      <c r="I95" s="77">
        <f t="shared" si="1"/>
        <v>302004</v>
      </c>
    </row>
    <row r="96" spans="1:9" ht="31.9" customHeight="1" thickBot="1" x14ac:dyDescent="0.25">
      <c r="A96" s="56">
        <v>87</v>
      </c>
      <c r="B96" s="59"/>
      <c r="C96" s="57" t="s">
        <v>187</v>
      </c>
      <c r="D96" s="58" t="s">
        <v>180</v>
      </c>
      <c r="E96" s="78" t="s">
        <v>102</v>
      </c>
      <c r="F96" s="79" t="s">
        <v>175</v>
      </c>
      <c r="G96" s="76">
        <v>50</v>
      </c>
      <c r="H96" s="77">
        <v>1328</v>
      </c>
      <c r="I96" s="77">
        <f t="shared" si="1"/>
        <v>66400</v>
      </c>
    </row>
    <row r="97" spans="1:9" ht="31.9" customHeight="1" thickBot="1" x14ac:dyDescent="0.25">
      <c r="A97" s="56">
        <v>88</v>
      </c>
      <c r="B97" s="59"/>
      <c r="C97" s="57" t="s">
        <v>187</v>
      </c>
      <c r="D97" s="58" t="s">
        <v>180</v>
      </c>
      <c r="E97" s="78" t="s">
        <v>262</v>
      </c>
      <c r="F97" s="79" t="s">
        <v>170</v>
      </c>
      <c r="G97" s="76">
        <v>3</v>
      </c>
      <c r="H97" s="77">
        <v>32286</v>
      </c>
      <c r="I97" s="77">
        <f t="shared" si="1"/>
        <v>96858</v>
      </c>
    </row>
    <row r="98" spans="1:9" ht="31.9" customHeight="1" thickBot="1" x14ac:dyDescent="0.25">
      <c r="A98" s="56">
        <v>89</v>
      </c>
      <c r="B98" s="59"/>
      <c r="C98" s="57" t="s">
        <v>187</v>
      </c>
      <c r="D98" s="58" t="s">
        <v>180</v>
      </c>
      <c r="E98" s="78" t="s">
        <v>263</v>
      </c>
      <c r="F98" s="79" t="s">
        <v>170</v>
      </c>
      <c r="G98" s="76">
        <v>1</v>
      </c>
      <c r="H98" s="77">
        <v>15603</v>
      </c>
      <c r="I98" s="77">
        <f t="shared" si="1"/>
        <v>15603</v>
      </c>
    </row>
    <row r="99" spans="1:9" ht="31.9" customHeight="1" thickBot="1" x14ac:dyDescent="0.25">
      <c r="A99" s="56">
        <v>90</v>
      </c>
      <c r="B99" s="59"/>
      <c r="C99" s="57" t="s">
        <v>187</v>
      </c>
      <c r="D99" s="58" t="s">
        <v>180</v>
      </c>
      <c r="E99" s="78" t="s">
        <v>264</v>
      </c>
      <c r="F99" s="79" t="s">
        <v>170</v>
      </c>
      <c r="G99" s="76">
        <v>1</v>
      </c>
      <c r="H99" s="77">
        <v>15611</v>
      </c>
      <c r="I99" s="77">
        <f t="shared" si="1"/>
        <v>15611</v>
      </c>
    </row>
    <row r="100" spans="1:9" ht="31.9" customHeight="1" thickBot="1" x14ac:dyDescent="0.25">
      <c r="A100" s="56">
        <v>91</v>
      </c>
      <c r="B100" s="59"/>
      <c r="C100" s="57" t="s">
        <v>187</v>
      </c>
      <c r="D100" s="58" t="s">
        <v>180</v>
      </c>
      <c r="E100" s="78" t="s">
        <v>265</v>
      </c>
      <c r="F100" s="79" t="s">
        <v>170</v>
      </c>
      <c r="G100" s="76">
        <v>1</v>
      </c>
      <c r="H100" s="77">
        <v>29357</v>
      </c>
      <c r="I100" s="77">
        <f t="shared" si="1"/>
        <v>29357</v>
      </c>
    </row>
    <row r="101" spans="1:9" ht="31.9" customHeight="1" thickBot="1" x14ac:dyDescent="0.25">
      <c r="A101" s="56">
        <v>92</v>
      </c>
      <c r="B101" s="59"/>
      <c r="C101" s="57" t="s">
        <v>187</v>
      </c>
      <c r="D101" s="58" t="s">
        <v>180</v>
      </c>
      <c r="E101" s="78" t="s">
        <v>103</v>
      </c>
      <c r="F101" s="79" t="s">
        <v>170</v>
      </c>
      <c r="G101" s="76">
        <v>3</v>
      </c>
      <c r="H101" s="77">
        <v>3900</v>
      </c>
      <c r="I101" s="77">
        <f t="shared" si="1"/>
        <v>11700</v>
      </c>
    </row>
    <row r="102" spans="1:9" ht="31.9" customHeight="1" thickBot="1" x14ac:dyDescent="0.25">
      <c r="A102" s="56">
        <v>93</v>
      </c>
      <c r="B102" s="59"/>
      <c r="C102" s="57" t="s">
        <v>187</v>
      </c>
      <c r="D102" s="58" t="s">
        <v>180</v>
      </c>
      <c r="E102" s="78" t="s">
        <v>266</v>
      </c>
      <c r="F102" s="79" t="s">
        <v>170</v>
      </c>
      <c r="G102" s="76">
        <v>1</v>
      </c>
      <c r="H102" s="77">
        <v>34407</v>
      </c>
      <c r="I102" s="77">
        <f t="shared" si="1"/>
        <v>34407</v>
      </c>
    </row>
    <row r="103" spans="1:9" ht="31.9" customHeight="1" thickBot="1" x14ac:dyDescent="0.25">
      <c r="A103" s="56">
        <v>94</v>
      </c>
      <c r="B103" s="59"/>
      <c r="C103" s="57" t="s">
        <v>187</v>
      </c>
      <c r="D103" s="58" t="s">
        <v>180</v>
      </c>
      <c r="E103" s="78" t="s">
        <v>267</v>
      </c>
      <c r="F103" s="79" t="s">
        <v>170</v>
      </c>
      <c r="G103" s="76">
        <v>1</v>
      </c>
      <c r="H103" s="77">
        <v>37017</v>
      </c>
      <c r="I103" s="77">
        <f t="shared" si="1"/>
        <v>37017</v>
      </c>
    </row>
    <row r="104" spans="1:9" ht="31.9" customHeight="1" thickBot="1" x14ac:dyDescent="0.25">
      <c r="A104" s="56">
        <v>95</v>
      </c>
      <c r="B104" s="59"/>
      <c r="C104" s="57" t="s">
        <v>187</v>
      </c>
      <c r="D104" s="58" t="s">
        <v>180</v>
      </c>
      <c r="E104" s="78" t="s">
        <v>268</v>
      </c>
      <c r="F104" s="79" t="s">
        <v>170</v>
      </c>
      <c r="G104" s="76">
        <v>1</v>
      </c>
      <c r="H104" s="77">
        <v>39500</v>
      </c>
      <c r="I104" s="77">
        <f t="shared" si="1"/>
        <v>39500</v>
      </c>
    </row>
    <row r="105" spans="1:9" ht="31.9" customHeight="1" thickBot="1" x14ac:dyDescent="0.25">
      <c r="A105" s="56">
        <v>96</v>
      </c>
      <c r="B105" s="59"/>
      <c r="C105" s="57" t="s">
        <v>187</v>
      </c>
      <c r="D105" s="58" t="s">
        <v>180</v>
      </c>
      <c r="E105" s="78" t="s">
        <v>269</v>
      </c>
      <c r="F105" s="79" t="s">
        <v>170</v>
      </c>
      <c r="G105" s="76">
        <v>1</v>
      </c>
      <c r="H105" s="77">
        <v>15305</v>
      </c>
      <c r="I105" s="77">
        <f t="shared" si="1"/>
        <v>15305</v>
      </c>
    </row>
    <row r="106" spans="1:9" ht="31.9" customHeight="1" thickBot="1" x14ac:dyDescent="0.25">
      <c r="A106" s="56">
        <v>97</v>
      </c>
      <c r="B106" s="59"/>
      <c r="C106" s="57" t="s">
        <v>187</v>
      </c>
      <c r="D106" s="58" t="s">
        <v>180</v>
      </c>
      <c r="E106" s="78" t="s">
        <v>258</v>
      </c>
      <c r="F106" s="79" t="s">
        <v>170</v>
      </c>
      <c r="G106" s="76">
        <v>2</v>
      </c>
      <c r="H106" s="77">
        <v>42474</v>
      </c>
      <c r="I106" s="77">
        <f t="shared" si="1"/>
        <v>84948</v>
      </c>
    </row>
    <row r="107" spans="1:9" ht="31.9" customHeight="1" thickBot="1" x14ac:dyDescent="0.25">
      <c r="A107" s="56">
        <v>98</v>
      </c>
      <c r="B107" s="59"/>
      <c r="C107" s="57" t="s">
        <v>187</v>
      </c>
      <c r="D107" s="58" t="s">
        <v>180</v>
      </c>
      <c r="E107" s="78" t="s">
        <v>259</v>
      </c>
      <c r="F107" s="79" t="s">
        <v>170</v>
      </c>
      <c r="G107" s="76">
        <v>2</v>
      </c>
      <c r="H107" s="77">
        <v>42474</v>
      </c>
      <c r="I107" s="77">
        <f t="shared" si="1"/>
        <v>84948</v>
      </c>
    </row>
    <row r="108" spans="1:9" ht="31.9" customHeight="1" thickBot="1" x14ac:dyDescent="0.25">
      <c r="A108" s="56">
        <v>99</v>
      </c>
      <c r="B108" s="59"/>
      <c r="C108" s="57" t="s">
        <v>187</v>
      </c>
      <c r="D108" s="58" t="s">
        <v>180</v>
      </c>
      <c r="E108" s="78" t="s">
        <v>260</v>
      </c>
      <c r="F108" s="79" t="s">
        <v>170</v>
      </c>
      <c r="G108" s="76">
        <v>1</v>
      </c>
      <c r="H108" s="77">
        <v>15112</v>
      </c>
      <c r="I108" s="77">
        <f t="shared" si="1"/>
        <v>15112</v>
      </c>
    </row>
    <row r="109" spans="1:9" ht="31.9" customHeight="1" thickBot="1" x14ac:dyDescent="0.25">
      <c r="A109" s="56">
        <v>100</v>
      </c>
      <c r="B109" s="59"/>
      <c r="C109" s="57" t="s">
        <v>187</v>
      </c>
      <c r="D109" s="58" t="s">
        <v>180</v>
      </c>
      <c r="E109" s="78" t="s">
        <v>261</v>
      </c>
      <c r="F109" s="79" t="s">
        <v>170</v>
      </c>
      <c r="G109" s="76">
        <v>1</v>
      </c>
      <c r="H109" s="77">
        <v>18495</v>
      </c>
      <c r="I109" s="77">
        <f t="shared" si="1"/>
        <v>18495</v>
      </c>
    </row>
    <row r="110" spans="1:9" ht="31.9" customHeight="1" thickBot="1" x14ac:dyDescent="0.25">
      <c r="A110" s="56">
        <v>101</v>
      </c>
      <c r="B110" s="59"/>
      <c r="C110" s="57" t="s">
        <v>187</v>
      </c>
      <c r="D110" s="58" t="s">
        <v>180</v>
      </c>
      <c r="E110" s="78" t="s">
        <v>270</v>
      </c>
      <c r="F110" s="79" t="s">
        <v>170</v>
      </c>
      <c r="G110" s="76">
        <v>1</v>
      </c>
      <c r="H110" s="77">
        <v>34177</v>
      </c>
      <c r="I110" s="77">
        <f t="shared" si="1"/>
        <v>34177</v>
      </c>
    </row>
    <row r="111" spans="1:9" ht="31.9" customHeight="1" thickBot="1" x14ac:dyDescent="0.25">
      <c r="A111" s="56">
        <v>102</v>
      </c>
      <c r="B111" s="59"/>
      <c r="C111" s="57" t="s">
        <v>187</v>
      </c>
      <c r="D111" s="58" t="s">
        <v>180</v>
      </c>
      <c r="E111" s="78" t="s">
        <v>104</v>
      </c>
      <c r="F111" s="79" t="s">
        <v>170</v>
      </c>
      <c r="G111" s="76">
        <v>2</v>
      </c>
      <c r="H111" s="77">
        <v>32079</v>
      </c>
      <c r="I111" s="77">
        <f t="shared" si="1"/>
        <v>64158</v>
      </c>
    </row>
    <row r="112" spans="1:9" ht="31.9" customHeight="1" thickBot="1" x14ac:dyDescent="0.25">
      <c r="A112" s="56">
        <v>103</v>
      </c>
      <c r="B112" s="59"/>
      <c r="C112" s="57" t="s">
        <v>187</v>
      </c>
      <c r="D112" s="58" t="s">
        <v>180</v>
      </c>
      <c r="E112" s="78" t="s">
        <v>271</v>
      </c>
      <c r="F112" s="79" t="s">
        <v>170</v>
      </c>
      <c r="G112" s="76">
        <v>1</v>
      </c>
      <c r="H112" s="77">
        <v>21134</v>
      </c>
      <c r="I112" s="77">
        <f t="shared" si="1"/>
        <v>21134</v>
      </c>
    </row>
    <row r="113" spans="1:9" ht="31.9" customHeight="1" thickBot="1" x14ac:dyDescent="0.25">
      <c r="A113" s="56">
        <v>104</v>
      </c>
      <c r="B113" s="59"/>
      <c r="C113" s="57" t="s">
        <v>187</v>
      </c>
      <c r="D113" s="58" t="s">
        <v>180</v>
      </c>
      <c r="E113" s="78" t="s">
        <v>105</v>
      </c>
      <c r="F113" s="79" t="s">
        <v>170</v>
      </c>
      <c r="G113" s="76">
        <v>3</v>
      </c>
      <c r="H113" s="77">
        <v>54909</v>
      </c>
      <c r="I113" s="77">
        <f t="shared" si="1"/>
        <v>164727</v>
      </c>
    </row>
    <row r="114" spans="1:9" ht="31.9" customHeight="1" thickBot="1" x14ac:dyDescent="0.25">
      <c r="A114" s="56">
        <v>105</v>
      </c>
      <c r="B114" s="59"/>
      <c r="C114" s="57" t="s">
        <v>187</v>
      </c>
      <c r="D114" s="58" t="s">
        <v>180</v>
      </c>
      <c r="E114" s="78" t="s">
        <v>272</v>
      </c>
      <c r="F114" s="79" t="s">
        <v>170</v>
      </c>
      <c r="G114" s="76">
        <v>1</v>
      </c>
      <c r="H114" s="77">
        <v>38856</v>
      </c>
      <c r="I114" s="77">
        <f t="shared" si="1"/>
        <v>38856</v>
      </c>
    </row>
    <row r="115" spans="1:9" ht="31.9" customHeight="1" thickBot="1" x14ac:dyDescent="0.25">
      <c r="A115" s="56">
        <v>106</v>
      </c>
      <c r="B115" s="59"/>
      <c r="C115" s="57" t="s">
        <v>187</v>
      </c>
      <c r="D115" s="58" t="s">
        <v>180</v>
      </c>
      <c r="E115" s="78" t="s">
        <v>273</v>
      </c>
      <c r="F115" s="79" t="s">
        <v>170</v>
      </c>
      <c r="G115" s="76">
        <v>1</v>
      </c>
      <c r="H115" s="77">
        <v>38856</v>
      </c>
      <c r="I115" s="77">
        <f t="shared" si="1"/>
        <v>38856</v>
      </c>
    </row>
    <row r="116" spans="1:9" ht="31.9" customHeight="1" thickBot="1" x14ac:dyDescent="0.25">
      <c r="A116" s="56">
        <v>107</v>
      </c>
      <c r="B116" s="59"/>
      <c r="C116" s="57" t="s">
        <v>187</v>
      </c>
      <c r="D116" s="58" t="s">
        <v>180</v>
      </c>
      <c r="E116" s="78" t="s">
        <v>106</v>
      </c>
      <c r="F116" s="79" t="s">
        <v>170</v>
      </c>
      <c r="G116" s="76">
        <v>3</v>
      </c>
      <c r="H116" s="77">
        <v>9381</v>
      </c>
      <c r="I116" s="77">
        <f t="shared" si="1"/>
        <v>28143</v>
      </c>
    </row>
    <row r="117" spans="1:9" ht="31.9" customHeight="1" thickBot="1" x14ac:dyDescent="0.25">
      <c r="A117" s="56">
        <v>108</v>
      </c>
      <c r="B117" s="59"/>
      <c r="C117" s="57" t="s">
        <v>187</v>
      </c>
      <c r="D117" s="58" t="s">
        <v>180</v>
      </c>
      <c r="E117" s="78" t="s">
        <v>107</v>
      </c>
      <c r="F117" s="79" t="s">
        <v>170</v>
      </c>
      <c r="G117" s="76">
        <v>3</v>
      </c>
      <c r="H117" s="77">
        <v>34726</v>
      </c>
      <c r="I117" s="77">
        <f t="shared" si="1"/>
        <v>104178</v>
      </c>
    </row>
    <row r="118" spans="1:9" ht="31.9" customHeight="1" thickBot="1" x14ac:dyDescent="0.25">
      <c r="A118" s="56">
        <v>109</v>
      </c>
      <c r="B118" s="59"/>
      <c r="C118" s="57" t="s">
        <v>187</v>
      </c>
      <c r="D118" s="58" t="s">
        <v>180</v>
      </c>
      <c r="E118" s="78" t="s">
        <v>108</v>
      </c>
      <c r="F118" s="79" t="s">
        <v>170</v>
      </c>
      <c r="G118" s="76">
        <v>4</v>
      </c>
      <c r="H118" s="77">
        <v>14038</v>
      </c>
      <c r="I118" s="77">
        <f t="shared" si="1"/>
        <v>56152</v>
      </c>
    </row>
    <row r="119" spans="1:9" ht="31.9" customHeight="1" thickBot="1" x14ac:dyDescent="0.25">
      <c r="A119" s="56">
        <v>110</v>
      </c>
      <c r="B119" s="59"/>
      <c r="C119" s="57" t="s">
        <v>187</v>
      </c>
      <c r="D119" s="58" t="s">
        <v>180</v>
      </c>
      <c r="E119" s="78" t="s">
        <v>109</v>
      </c>
      <c r="F119" s="79" t="s">
        <v>170</v>
      </c>
      <c r="G119" s="76">
        <v>3</v>
      </c>
      <c r="H119" s="77">
        <v>35564</v>
      </c>
      <c r="I119" s="77">
        <f t="shared" si="1"/>
        <v>106692</v>
      </c>
    </row>
    <row r="120" spans="1:9" ht="31.9" customHeight="1" thickBot="1" x14ac:dyDescent="0.25">
      <c r="A120" s="56">
        <v>111</v>
      </c>
      <c r="B120" s="59"/>
      <c r="C120" s="57" t="s">
        <v>187</v>
      </c>
      <c r="D120" s="58" t="s">
        <v>180</v>
      </c>
      <c r="E120" s="78" t="s">
        <v>274</v>
      </c>
      <c r="F120" s="79" t="s">
        <v>170</v>
      </c>
      <c r="G120" s="76">
        <v>2</v>
      </c>
      <c r="H120" s="77">
        <v>45168</v>
      </c>
      <c r="I120" s="77">
        <f t="shared" si="1"/>
        <v>90336</v>
      </c>
    </row>
    <row r="121" spans="1:9" ht="31.9" customHeight="1" thickBot="1" x14ac:dyDescent="0.25">
      <c r="A121" s="56">
        <v>112</v>
      </c>
      <c r="B121" s="59"/>
      <c r="C121" s="57" t="s">
        <v>187</v>
      </c>
      <c r="D121" s="58" t="s">
        <v>180</v>
      </c>
      <c r="E121" s="78" t="s">
        <v>275</v>
      </c>
      <c r="F121" s="79" t="s">
        <v>170</v>
      </c>
      <c r="G121" s="76">
        <v>2</v>
      </c>
      <c r="H121" s="77">
        <v>45168</v>
      </c>
      <c r="I121" s="77">
        <f t="shared" si="1"/>
        <v>90336</v>
      </c>
    </row>
    <row r="122" spans="1:9" ht="31.9" customHeight="1" thickBot="1" x14ac:dyDescent="0.25">
      <c r="A122" s="56">
        <v>113</v>
      </c>
      <c r="B122" s="59"/>
      <c r="C122" s="57" t="s">
        <v>187</v>
      </c>
      <c r="D122" s="58" t="s">
        <v>180</v>
      </c>
      <c r="E122" s="78" t="s">
        <v>110</v>
      </c>
      <c r="F122" s="79" t="s">
        <v>170</v>
      </c>
      <c r="G122" s="76">
        <v>1</v>
      </c>
      <c r="H122" s="77">
        <v>15687</v>
      </c>
      <c r="I122" s="77">
        <f t="shared" si="1"/>
        <v>15687</v>
      </c>
    </row>
    <row r="123" spans="1:9" ht="31.9" customHeight="1" thickBot="1" x14ac:dyDescent="0.25">
      <c r="A123" s="56">
        <v>114</v>
      </c>
      <c r="B123" s="59"/>
      <c r="C123" s="57" t="s">
        <v>187</v>
      </c>
      <c r="D123" s="58" t="s">
        <v>180</v>
      </c>
      <c r="E123" s="78" t="s">
        <v>111</v>
      </c>
      <c r="F123" s="79" t="s">
        <v>170</v>
      </c>
      <c r="G123" s="76">
        <v>12</v>
      </c>
      <c r="H123" s="77">
        <v>13972</v>
      </c>
      <c r="I123" s="77">
        <f t="shared" si="1"/>
        <v>167664</v>
      </c>
    </row>
    <row r="124" spans="1:9" ht="31.9" customHeight="1" thickBot="1" x14ac:dyDescent="0.25">
      <c r="A124" s="56">
        <v>115</v>
      </c>
      <c r="B124" s="59"/>
      <c r="C124" s="57" t="s">
        <v>187</v>
      </c>
      <c r="D124" s="58" t="s">
        <v>180</v>
      </c>
      <c r="E124" s="78" t="s">
        <v>112</v>
      </c>
      <c r="F124" s="79" t="s">
        <v>175</v>
      </c>
      <c r="G124" s="76">
        <v>12</v>
      </c>
      <c r="H124" s="77">
        <v>2120</v>
      </c>
      <c r="I124" s="77">
        <f t="shared" si="1"/>
        <v>25440</v>
      </c>
    </row>
    <row r="125" spans="1:9" ht="31.9" customHeight="1" thickBot="1" x14ac:dyDescent="0.25">
      <c r="A125" s="56">
        <v>116</v>
      </c>
      <c r="B125" s="59"/>
      <c r="C125" s="57" t="s">
        <v>187</v>
      </c>
      <c r="D125" s="58" t="s">
        <v>180</v>
      </c>
      <c r="E125" s="78" t="s">
        <v>113</v>
      </c>
      <c r="F125" s="79" t="s">
        <v>175</v>
      </c>
      <c r="G125" s="76">
        <v>4</v>
      </c>
      <c r="H125" s="77">
        <v>6698</v>
      </c>
      <c r="I125" s="77">
        <f t="shared" si="1"/>
        <v>26792</v>
      </c>
    </row>
    <row r="126" spans="1:9" s="80" customFormat="1" ht="31.9" customHeight="1" thickBot="1" x14ac:dyDescent="0.25">
      <c r="A126" s="56">
        <v>117</v>
      </c>
      <c r="B126" s="59"/>
      <c r="C126" s="57" t="s">
        <v>187</v>
      </c>
      <c r="D126" s="58" t="s">
        <v>180</v>
      </c>
      <c r="E126" s="78" t="s">
        <v>205</v>
      </c>
      <c r="F126" s="79" t="s">
        <v>170</v>
      </c>
      <c r="G126" s="76">
        <v>1</v>
      </c>
      <c r="H126" s="77">
        <v>84412</v>
      </c>
      <c r="I126" s="77">
        <f t="shared" si="1"/>
        <v>84412</v>
      </c>
    </row>
    <row r="127" spans="1:9" s="80" customFormat="1" ht="31.9" customHeight="1" thickBot="1" x14ac:dyDescent="0.25">
      <c r="A127" s="56">
        <v>118</v>
      </c>
      <c r="B127" s="59"/>
      <c r="C127" s="57" t="s">
        <v>187</v>
      </c>
      <c r="D127" s="58" t="s">
        <v>180</v>
      </c>
      <c r="E127" s="78" t="s">
        <v>206</v>
      </c>
      <c r="F127" s="79" t="s">
        <v>170</v>
      </c>
      <c r="G127" s="76">
        <v>2</v>
      </c>
      <c r="H127" s="77">
        <v>27019</v>
      </c>
      <c r="I127" s="77">
        <f t="shared" si="1"/>
        <v>54038</v>
      </c>
    </row>
    <row r="128" spans="1:9" ht="31.9" customHeight="1" thickBot="1" x14ac:dyDescent="0.25">
      <c r="A128" s="56">
        <v>119</v>
      </c>
      <c r="B128" s="59"/>
      <c r="C128" s="57" t="s">
        <v>187</v>
      </c>
      <c r="D128" s="58" t="s">
        <v>180</v>
      </c>
      <c r="E128" s="78" t="s">
        <v>114</v>
      </c>
      <c r="F128" s="79" t="s">
        <v>175</v>
      </c>
      <c r="G128" s="76">
        <v>50</v>
      </c>
      <c r="H128" s="77">
        <v>2452</v>
      </c>
      <c r="I128" s="77">
        <f t="shared" si="1"/>
        <v>122600</v>
      </c>
    </row>
    <row r="129" spans="1:9" ht="31.9" customHeight="1" thickBot="1" x14ac:dyDescent="0.25">
      <c r="A129" s="56">
        <v>120</v>
      </c>
      <c r="B129" s="59"/>
      <c r="C129" s="57" t="s">
        <v>187</v>
      </c>
      <c r="D129" s="58" t="s">
        <v>180</v>
      </c>
      <c r="E129" s="78" t="s">
        <v>276</v>
      </c>
      <c r="F129" s="79" t="s">
        <v>175</v>
      </c>
      <c r="G129" s="76">
        <v>2</v>
      </c>
      <c r="H129" s="77">
        <v>14833</v>
      </c>
      <c r="I129" s="77">
        <f t="shared" si="1"/>
        <v>29666</v>
      </c>
    </row>
    <row r="130" spans="1:9" ht="31.9" customHeight="1" thickBot="1" x14ac:dyDescent="0.25">
      <c r="A130" s="56">
        <v>121</v>
      </c>
      <c r="B130" s="59"/>
      <c r="C130" s="57" t="s">
        <v>187</v>
      </c>
      <c r="D130" s="58" t="s">
        <v>180</v>
      </c>
      <c r="E130" s="78" t="s">
        <v>277</v>
      </c>
      <c r="F130" s="79" t="s">
        <v>175</v>
      </c>
      <c r="G130" s="76">
        <v>16</v>
      </c>
      <c r="H130" s="77">
        <v>10612</v>
      </c>
      <c r="I130" s="77">
        <f t="shared" si="1"/>
        <v>169792</v>
      </c>
    </row>
    <row r="131" spans="1:9" ht="31.9" customHeight="1" thickBot="1" x14ac:dyDescent="0.25">
      <c r="A131" s="56">
        <v>122</v>
      </c>
      <c r="B131" s="59"/>
      <c r="C131" s="57" t="s">
        <v>187</v>
      </c>
      <c r="D131" s="58" t="s">
        <v>180</v>
      </c>
      <c r="E131" s="78" t="s">
        <v>115</v>
      </c>
      <c r="F131" s="79" t="s">
        <v>175</v>
      </c>
      <c r="G131" s="76">
        <v>8</v>
      </c>
      <c r="H131" s="77">
        <v>12671</v>
      </c>
      <c r="I131" s="77">
        <f t="shared" si="1"/>
        <v>101368</v>
      </c>
    </row>
    <row r="132" spans="1:9" s="80" customFormat="1" ht="31.9" customHeight="1" thickBot="1" x14ac:dyDescent="0.25">
      <c r="A132" s="56">
        <v>123</v>
      </c>
      <c r="B132" s="59"/>
      <c r="C132" s="57" t="s">
        <v>187</v>
      </c>
      <c r="D132" s="58" t="s">
        <v>180</v>
      </c>
      <c r="E132" s="78" t="s">
        <v>207</v>
      </c>
      <c r="F132" s="79" t="s">
        <v>170</v>
      </c>
      <c r="G132" s="76">
        <v>4</v>
      </c>
      <c r="H132" s="77">
        <v>117909</v>
      </c>
      <c r="I132" s="77">
        <f t="shared" si="1"/>
        <v>471636</v>
      </c>
    </row>
    <row r="133" spans="1:9" ht="31.9" customHeight="1" thickBot="1" x14ac:dyDescent="0.25">
      <c r="A133" s="56">
        <v>124</v>
      </c>
      <c r="B133" s="59"/>
      <c r="C133" s="57" t="s">
        <v>187</v>
      </c>
      <c r="D133" s="58" t="s">
        <v>180</v>
      </c>
      <c r="E133" s="78" t="s">
        <v>116</v>
      </c>
      <c r="F133" s="79" t="s">
        <v>170</v>
      </c>
      <c r="G133" s="76">
        <v>1</v>
      </c>
      <c r="H133" s="77">
        <v>36011</v>
      </c>
      <c r="I133" s="77">
        <f t="shared" si="1"/>
        <v>36011</v>
      </c>
    </row>
    <row r="134" spans="1:9" ht="31.9" customHeight="1" thickBot="1" x14ac:dyDescent="0.25">
      <c r="A134" s="56">
        <v>125</v>
      </c>
      <c r="B134" s="59"/>
      <c r="C134" s="57" t="s">
        <v>187</v>
      </c>
      <c r="D134" s="58" t="s">
        <v>180</v>
      </c>
      <c r="E134" s="78" t="s">
        <v>278</v>
      </c>
      <c r="F134" s="79" t="s">
        <v>170</v>
      </c>
      <c r="G134" s="76">
        <v>1</v>
      </c>
      <c r="H134" s="77">
        <v>36502</v>
      </c>
      <c r="I134" s="77">
        <f t="shared" si="1"/>
        <v>36502</v>
      </c>
    </row>
    <row r="135" spans="1:9" ht="31.9" customHeight="1" thickBot="1" x14ac:dyDescent="0.25">
      <c r="A135" s="56">
        <v>126</v>
      </c>
      <c r="B135" s="59"/>
      <c r="C135" s="57" t="s">
        <v>187</v>
      </c>
      <c r="D135" s="58" t="s">
        <v>180</v>
      </c>
      <c r="E135" s="78" t="s">
        <v>279</v>
      </c>
      <c r="F135" s="79" t="s">
        <v>170</v>
      </c>
      <c r="G135" s="76">
        <v>1</v>
      </c>
      <c r="H135" s="77">
        <v>81200</v>
      </c>
      <c r="I135" s="77">
        <f t="shared" si="1"/>
        <v>81200</v>
      </c>
    </row>
    <row r="136" spans="1:9" ht="31.9" customHeight="1" thickBot="1" x14ac:dyDescent="0.25">
      <c r="A136" s="56">
        <v>127</v>
      </c>
      <c r="B136" s="59"/>
      <c r="C136" s="57" t="s">
        <v>187</v>
      </c>
      <c r="D136" s="58" t="s">
        <v>180</v>
      </c>
      <c r="E136" s="78" t="s">
        <v>117</v>
      </c>
      <c r="F136" s="79" t="s">
        <v>170</v>
      </c>
      <c r="G136" s="76">
        <v>1</v>
      </c>
      <c r="H136" s="77">
        <v>124850</v>
      </c>
      <c r="I136" s="77">
        <f t="shared" si="1"/>
        <v>124850</v>
      </c>
    </row>
    <row r="137" spans="1:9" s="80" customFormat="1" ht="31.9" customHeight="1" thickBot="1" x14ac:dyDescent="0.25">
      <c r="A137" s="56">
        <v>128</v>
      </c>
      <c r="B137" s="59"/>
      <c r="C137" s="57" t="s">
        <v>187</v>
      </c>
      <c r="D137" s="58" t="s">
        <v>180</v>
      </c>
      <c r="E137" s="78" t="s">
        <v>208</v>
      </c>
      <c r="F137" s="79" t="s">
        <v>170</v>
      </c>
      <c r="G137" s="76">
        <v>1</v>
      </c>
      <c r="H137" s="77">
        <v>27872</v>
      </c>
      <c r="I137" s="77">
        <f t="shared" si="1"/>
        <v>27872</v>
      </c>
    </row>
    <row r="138" spans="1:9" ht="31.9" customHeight="1" thickBot="1" x14ac:dyDescent="0.25">
      <c r="A138" s="56">
        <v>129</v>
      </c>
      <c r="B138" s="59"/>
      <c r="C138" s="57" t="s">
        <v>187</v>
      </c>
      <c r="D138" s="58" t="s">
        <v>180</v>
      </c>
      <c r="E138" s="78" t="s">
        <v>119</v>
      </c>
      <c r="F138" s="79" t="s">
        <v>170</v>
      </c>
      <c r="G138" s="76">
        <v>8</v>
      </c>
      <c r="H138" s="77">
        <v>27872</v>
      </c>
      <c r="I138" s="77">
        <f t="shared" si="1"/>
        <v>222976</v>
      </c>
    </row>
    <row r="139" spans="1:9" ht="31.9" customHeight="1" thickBot="1" x14ac:dyDescent="0.25">
      <c r="A139" s="56">
        <v>130</v>
      </c>
      <c r="B139" s="59"/>
      <c r="C139" s="57" t="s">
        <v>187</v>
      </c>
      <c r="D139" s="58" t="s">
        <v>180</v>
      </c>
      <c r="E139" s="78" t="s">
        <v>120</v>
      </c>
      <c r="F139" s="79" t="s">
        <v>170</v>
      </c>
      <c r="G139" s="76">
        <v>1</v>
      </c>
      <c r="H139" s="77">
        <v>36502</v>
      </c>
      <c r="I139" s="77">
        <f t="shared" ref="I139:I202" si="2">G139*H139</f>
        <v>36502</v>
      </c>
    </row>
    <row r="140" spans="1:9" ht="31.9" customHeight="1" thickBot="1" x14ac:dyDescent="0.25">
      <c r="A140" s="56">
        <v>131</v>
      </c>
      <c r="B140" s="59"/>
      <c r="C140" s="57" t="s">
        <v>187</v>
      </c>
      <c r="D140" s="58" t="s">
        <v>180</v>
      </c>
      <c r="E140" s="78" t="s">
        <v>121</v>
      </c>
      <c r="F140" s="79" t="s">
        <v>175</v>
      </c>
      <c r="G140" s="76">
        <v>2</v>
      </c>
      <c r="H140" s="77">
        <v>33815</v>
      </c>
      <c r="I140" s="77">
        <f t="shared" si="2"/>
        <v>67630</v>
      </c>
    </row>
    <row r="141" spans="1:9" ht="31.9" customHeight="1" thickBot="1" x14ac:dyDescent="0.25">
      <c r="A141" s="56">
        <v>132</v>
      </c>
      <c r="B141" s="59"/>
      <c r="C141" s="57" t="s">
        <v>187</v>
      </c>
      <c r="D141" s="58" t="s">
        <v>180</v>
      </c>
      <c r="E141" s="78" t="s">
        <v>280</v>
      </c>
      <c r="F141" s="79" t="s">
        <v>175</v>
      </c>
      <c r="G141" s="76">
        <v>16</v>
      </c>
      <c r="H141" s="77">
        <v>10612</v>
      </c>
      <c r="I141" s="77">
        <f t="shared" si="2"/>
        <v>169792</v>
      </c>
    </row>
    <row r="142" spans="1:9" s="80" customFormat="1" ht="31.9" customHeight="1" thickBot="1" x14ac:dyDescent="0.25">
      <c r="A142" s="56">
        <v>133</v>
      </c>
      <c r="B142" s="59"/>
      <c r="C142" s="57" t="s">
        <v>187</v>
      </c>
      <c r="D142" s="58" t="s">
        <v>180</v>
      </c>
      <c r="E142" s="78" t="s">
        <v>209</v>
      </c>
      <c r="F142" s="79" t="s">
        <v>170</v>
      </c>
      <c r="G142" s="76">
        <v>1</v>
      </c>
      <c r="H142" s="77">
        <v>97313</v>
      </c>
      <c r="I142" s="77">
        <f t="shared" si="2"/>
        <v>97313</v>
      </c>
    </row>
    <row r="143" spans="1:9" ht="31.9" customHeight="1" thickBot="1" x14ac:dyDescent="0.25">
      <c r="A143" s="56">
        <v>134</v>
      </c>
      <c r="B143" s="59"/>
      <c r="C143" s="57" t="s">
        <v>187</v>
      </c>
      <c r="D143" s="58" t="s">
        <v>180</v>
      </c>
      <c r="E143" s="78" t="s">
        <v>122</v>
      </c>
      <c r="F143" s="79" t="s">
        <v>175</v>
      </c>
      <c r="G143" s="76">
        <v>20</v>
      </c>
      <c r="H143" s="77">
        <v>4920</v>
      </c>
      <c r="I143" s="77">
        <f t="shared" si="2"/>
        <v>98400</v>
      </c>
    </row>
    <row r="144" spans="1:9" ht="31.9" customHeight="1" thickBot="1" x14ac:dyDescent="0.25">
      <c r="A144" s="56">
        <v>135</v>
      </c>
      <c r="B144" s="59"/>
      <c r="C144" s="57" t="s">
        <v>187</v>
      </c>
      <c r="D144" s="58" t="s">
        <v>180</v>
      </c>
      <c r="E144" s="78" t="s">
        <v>123</v>
      </c>
      <c r="F144" s="79" t="s">
        <v>175</v>
      </c>
      <c r="G144" s="76">
        <v>28</v>
      </c>
      <c r="H144" s="77">
        <v>5050</v>
      </c>
      <c r="I144" s="77">
        <f t="shared" si="2"/>
        <v>141400</v>
      </c>
    </row>
    <row r="145" spans="1:9" ht="31.9" customHeight="1" thickBot="1" x14ac:dyDescent="0.25">
      <c r="A145" s="56">
        <v>136</v>
      </c>
      <c r="B145" s="59"/>
      <c r="C145" s="57" t="s">
        <v>187</v>
      </c>
      <c r="D145" s="58" t="s">
        <v>180</v>
      </c>
      <c r="E145" s="78" t="s">
        <v>210</v>
      </c>
      <c r="F145" s="79" t="s">
        <v>170</v>
      </c>
      <c r="G145" s="76">
        <v>2</v>
      </c>
      <c r="H145" s="77">
        <v>42233</v>
      </c>
      <c r="I145" s="77">
        <f t="shared" si="2"/>
        <v>84466</v>
      </c>
    </row>
    <row r="146" spans="1:9" ht="31.9" customHeight="1" thickBot="1" x14ac:dyDescent="0.25">
      <c r="A146" s="56">
        <v>137</v>
      </c>
      <c r="B146" s="59"/>
      <c r="C146" s="57" t="s">
        <v>187</v>
      </c>
      <c r="D146" s="58" t="s">
        <v>180</v>
      </c>
      <c r="E146" s="78" t="s">
        <v>211</v>
      </c>
      <c r="F146" s="79" t="s">
        <v>170</v>
      </c>
      <c r="G146" s="76">
        <v>1</v>
      </c>
      <c r="H146" s="77">
        <v>52376</v>
      </c>
      <c r="I146" s="77">
        <f t="shared" si="2"/>
        <v>52376</v>
      </c>
    </row>
    <row r="147" spans="1:9" ht="31.9" customHeight="1" thickBot="1" x14ac:dyDescent="0.25">
      <c r="A147" s="56">
        <v>138</v>
      </c>
      <c r="B147" s="59"/>
      <c r="C147" s="57" t="s">
        <v>187</v>
      </c>
      <c r="D147" s="58" t="s">
        <v>180</v>
      </c>
      <c r="E147" s="78" t="s">
        <v>212</v>
      </c>
      <c r="F147" s="79" t="s">
        <v>170</v>
      </c>
      <c r="G147" s="76">
        <v>2</v>
      </c>
      <c r="H147" s="77">
        <v>49642</v>
      </c>
      <c r="I147" s="77">
        <f t="shared" si="2"/>
        <v>99284</v>
      </c>
    </row>
    <row r="148" spans="1:9" ht="31.9" customHeight="1" thickBot="1" x14ac:dyDescent="0.25">
      <c r="A148" s="56">
        <v>139</v>
      </c>
      <c r="B148" s="59"/>
      <c r="C148" s="57" t="s">
        <v>187</v>
      </c>
      <c r="D148" s="58" t="s">
        <v>180</v>
      </c>
      <c r="E148" s="78" t="s">
        <v>124</v>
      </c>
      <c r="F148" s="79" t="s">
        <v>175</v>
      </c>
      <c r="G148" s="76">
        <v>5</v>
      </c>
      <c r="H148" s="77">
        <v>5050</v>
      </c>
      <c r="I148" s="77">
        <f t="shared" si="2"/>
        <v>25250</v>
      </c>
    </row>
    <row r="149" spans="1:9" s="80" customFormat="1" ht="31.9" customHeight="1" thickBot="1" x14ac:dyDescent="0.25">
      <c r="A149" s="56">
        <v>140</v>
      </c>
      <c r="B149" s="59"/>
      <c r="C149" s="57" t="s">
        <v>187</v>
      </c>
      <c r="D149" s="58" t="s">
        <v>180</v>
      </c>
      <c r="E149" s="78" t="s">
        <v>213</v>
      </c>
      <c r="F149" s="79" t="s">
        <v>170</v>
      </c>
      <c r="G149" s="76">
        <v>2</v>
      </c>
      <c r="H149" s="77">
        <v>28507</v>
      </c>
      <c r="I149" s="77">
        <f t="shared" si="2"/>
        <v>57014</v>
      </c>
    </row>
    <row r="150" spans="1:9" s="80" customFormat="1" ht="31.9" customHeight="1" thickBot="1" x14ac:dyDescent="0.25">
      <c r="A150" s="56">
        <v>141</v>
      </c>
      <c r="B150" s="59"/>
      <c r="C150" s="57" t="s">
        <v>187</v>
      </c>
      <c r="D150" s="58" t="s">
        <v>180</v>
      </c>
      <c r="E150" s="78" t="s">
        <v>214</v>
      </c>
      <c r="F150" s="79" t="s">
        <v>170</v>
      </c>
      <c r="G150" s="76">
        <v>3</v>
      </c>
      <c r="H150" s="77">
        <v>44699</v>
      </c>
      <c r="I150" s="77">
        <f t="shared" si="2"/>
        <v>134097</v>
      </c>
    </row>
    <row r="151" spans="1:9" s="80" customFormat="1" ht="31.9" customHeight="1" thickBot="1" x14ac:dyDescent="0.25">
      <c r="A151" s="56">
        <v>142</v>
      </c>
      <c r="B151" s="59"/>
      <c r="C151" s="57" t="s">
        <v>187</v>
      </c>
      <c r="D151" s="58" t="s">
        <v>180</v>
      </c>
      <c r="E151" s="78" t="s">
        <v>281</v>
      </c>
      <c r="F151" s="79" t="s">
        <v>170</v>
      </c>
      <c r="G151" s="76">
        <v>1</v>
      </c>
      <c r="H151" s="77">
        <v>65935</v>
      </c>
      <c r="I151" s="77">
        <f t="shared" si="2"/>
        <v>65935</v>
      </c>
    </row>
    <row r="152" spans="1:9" s="80" customFormat="1" ht="31.9" customHeight="1" thickBot="1" x14ac:dyDescent="0.25">
      <c r="A152" s="56">
        <v>143</v>
      </c>
      <c r="B152" s="59"/>
      <c r="C152" s="57" t="s">
        <v>187</v>
      </c>
      <c r="D152" s="58" t="s">
        <v>180</v>
      </c>
      <c r="E152" s="78" t="s">
        <v>282</v>
      </c>
      <c r="F152" s="79" t="s">
        <v>170</v>
      </c>
      <c r="G152" s="76">
        <v>1</v>
      </c>
      <c r="H152" s="77">
        <v>88722</v>
      </c>
      <c r="I152" s="77">
        <f t="shared" si="2"/>
        <v>88722</v>
      </c>
    </row>
    <row r="153" spans="1:9" ht="31.9" customHeight="1" thickBot="1" x14ac:dyDescent="0.25">
      <c r="A153" s="56">
        <v>144</v>
      </c>
      <c r="B153" s="59"/>
      <c r="C153" s="57" t="s">
        <v>187</v>
      </c>
      <c r="D153" s="58" t="s">
        <v>180</v>
      </c>
      <c r="E153" s="78" t="s">
        <v>125</v>
      </c>
      <c r="F153" s="79" t="s">
        <v>175</v>
      </c>
      <c r="G153" s="76">
        <v>2</v>
      </c>
      <c r="H153" s="77">
        <v>4204</v>
      </c>
      <c r="I153" s="77">
        <f t="shared" si="2"/>
        <v>8408</v>
      </c>
    </row>
    <row r="154" spans="1:9" ht="31.9" customHeight="1" thickBot="1" x14ac:dyDescent="0.25">
      <c r="A154" s="56">
        <v>145</v>
      </c>
      <c r="B154" s="59"/>
      <c r="C154" s="57" t="s">
        <v>187</v>
      </c>
      <c r="D154" s="58" t="s">
        <v>180</v>
      </c>
      <c r="E154" s="78" t="s">
        <v>126</v>
      </c>
      <c r="F154" s="79" t="s">
        <v>175</v>
      </c>
      <c r="G154" s="76">
        <v>3</v>
      </c>
      <c r="H154" s="77">
        <v>5050</v>
      </c>
      <c r="I154" s="77">
        <f t="shared" si="2"/>
        <v>15150</v>
      </c>
    </row>
    <row r="155" spans="1:9" s="80" customFormat="1" ht="31.9" customHeight="1" thickBot="1" x14ac:dyDescent="0.25">
      <c r="A155" s="56">
        <v>146</v>
      </c>
      <c r="B155" s="59"/>
      <c r="C155" s="57" t="s">
        <v>187</v>
      </c>
      <c r="D155" s="58" t="s">
        <v>180</v>
      </c>
      <c r="E155" s="78" t="s">
        <v>215</v>
      </c>
      <c r="F155" s="79" t="s">
        <v>175</v>
      </c>
      <c r="G155" s="76">
        <v>2</v>
      </c>
      <c r="H155" s="77">
        <v>14833</v>
      </c>
      <c r="I155" s="77">
        <f t="shared" si="2"/>
        <v>29666</v>
      </c>
    </row>
    <row r="156" spans="1:9" s="80" customFormat="1" ht="31.9" customHeight="1" thickBot="1" x14ac:dyDescent="0.25">
      <c r="A156" s="56">
        <v>147</v>
      </c>
      <c r="B156" s="59"/>
      <c r="C156" s="57" t="s">
        <v>187</v>
      </c>
      <c r="D156" s="58" t="s">
        <v>180</v>
      </c>
      <c r="E156" s="78" t="s">
        <v>216</v>
      </c>
      <c r="F156" s="79" t="s">
        <v>175</v>
      </c>
      <c r="G156" s="76">
        <v>2</v>
      </c>
      <c r="H156" s="77">
        <v>14833</v>
      </c>
      <c r="I156" s="77">
        <f t="shared" si="2"/>
        <v>29666</v>
      </c>
    </row>
    <row r="157" spans="1:9" ht="31.9" customHeight="1" thickBot="1" x14ac:dyDescent="0.25">
      <c r="A157" s="56">
        <v>148</v>
      </c>
      <c r="B157" s="59"/>
      <c r="C157" s="57" t="s">
        <v>187</v>
      </c>
      <c r="D157" s="58" t="s">
        <v>180</v>
      </c>
      <c r="E157" s="78" t="s">
        <v>127</v>
      </c>
      <c r="F157" s="79" t="s">
        <v>170</v>
      </c>
      <c r="G157" s="76">
        <v>1</v>
      </c>
      <c r="H157" s="77">
        <v>21413</v>
      </c>
      <c r="I157" s="77">
        <f t="shared" si="2"/>
        <v>21413</v>
      </c>
    </row>
    <row r="158" spans="1:9" ht="31.9" customHeight="1" thickBot="1" x14ac:dyDescent="0.25">
      <c r="A158" s="56">
        <v>149</v>
      </c>
      <c r="B158" s="59"/>
      <c r="C158" s="57" t="s">
        <v>187</v>
      </c>
      <c r="D158" s="58" t="s">
        <v>180</v>
      </c>
      <c r="E158" s="78" t="s">
        <v>128</v>
      </c>
      <c r="F158" s="79" t="s">
        <v>175</v>
      </c>
      <c r="G158" s="76">
        <v>20</v>
      </c>
      <c r="H158" s="77">
        <v>5039</v>
      </c>
      <c r="I158" s="77">
        <f t="shared" si="2"/>
        <v>100780</v>
      </c>
    </row>
    <row r="159" spans="1:9" ht="31.9" customHeight="1" thickBot="1" x14ac:dyDescent="0.25">
      <c r="A159" s="56">
        <v>150</v>
      </c>
      <c r="B159" s="59"/>
      <c r="C159" s="57" t="s">
        <v>187</v>
      </c>
      <c r="D159" s="58" t="s">
        <v>180</v>
      </c>
      <c r="E159" s="78" t="s">
        <v>129</v>
      </c>
      <c r="F159" s="79" t="s">
        <v>170</v>
      </c>
      <c r="G159" s="76">
        <v>1</v>
      </c>
      <c r="H159" s="77">
        <v>31895</v>
      </c>
      <c r="I159" s="77">
        <f t="shared" si="2"/>
        <v>31895</v>
      </c>
    </row>
    <row r="160" spans="1:9" ht="31.9" customHeight="1" thickBot="1" x14ac:dyDescent="0.25">
      <c r="A160" s="56">
        <v>151</v>
      </c>
      <c r="B160" s="59"/>
      <c r="C160" s="57" t="s">
        <v>187</v>
      </c>
      <c r="D160" s="58" t="s">
        <v>180</v>
      </c>
      <c r="E160" s="78" t="s">
        <v>130</v>
      </c>
      <c r="F160" s="79" t="s">
        <v>175</v>
      </c>
      <c r="G160" s="76">
        <v>3</v>
      </c>
      <c r="H160" s="77">
        <v>91773</v>
      </c>
      <c r="I160" s="77">
        <f t="shared" si="2"/>
        <v>275319</v>
      </c>
    </row>
    <row r="161" spans="1:9" ht="31.9" customHeight="1" thickBot="1" x14ac:dyDescent="0.25">
      <c r="A161" s="56">
        <v>152</v>
      </c>
      <c r="B161" s="59"/>
      <c r="C161" s="57" t="s">
        <v>187</v>
      </c>
      <c r="D161" s="58" t="s">
        <v>180</v>
      </c>
      <c r="E161" s="78" t="s">
        <v>131</v>
      </c>
      <c r="F161" s="79" t="s">
        <v>175</v>
      </c>
      <c r="G161" s="76">
        <v>2</v>
      </c>
      <c r="H161" s="77">
        <v>24647</v>
      </c>
      <c r="I161" s="77">
        <f t="shared" si="2"/>
        <v>49294</v>
      </c>
    </row>
    <row r="162" spans="1:9" s="80" customFormat="1" ht="31.9" customHeight="1" thickBot="1" x14ac:dyDescent="0.25">
      <c r="A162" s="56">
        <v>153</v>
      </c>
      <c r="B162" s="59"/>
      <c r="C162" s="57" t="s">
        <v>187</v>
      </c>
      <c r="D162" s="58" t="s">
        <v>180</v>
      </c>
      <c r="E162" s="78" t="s">
        <v>217</v>
      </c>
      <c r="F162" s="79" t="s">
        <v>175</v>
      </c>
      <c r="G162" s="76">
        <v>6</v>
      </c>
      <c r="H162" s="77">
        <v>12671</v>
      </c>
      <c r="I162" s="77">
        <f t="shared" si="2"/>
        <v>76026</v>
      </c>
    </row>
    <row r="163" spans="1:9" s="80" customFormat="1" ht="31.9" customHeight="1" thickBot="1" x14ac:dyDescent="0.25">
      <c r="A163" s="56">
        <v>154</v>
      </c>
      <c r="B163" s="59"/>
      <c r="C163" s="57" t="s">
        <v>187</v>
      </c>
      <c r="D163" s="58" t="s">
        <v>180</v>
      </c>
      <c r="E163" s="78" t="s">
        <v>218</v>
      </c>
      <c r="F163" s="79" t="s">
        <v>175</v>
      </c>
      <c r="G163" s="76">
        <v>4</v>
      </c>
      <c r="H163" s="77">
        <v>65204</v>
      </c>
      <c r="I163" s="77">
        <f t="shared" si="2"/>
        <v>260816</v>
      </c>
    </row>
    <row r="164" spans="1:9" ht="31.9" customHeight="1" thickBot="1" x14ac:dyDescent="0.25">
      <c r="A164" s="56">
        <v>155</v>
      </c>
      <c r="B164" s="59"/>
      <c r="C164" s="57" t="s">
        <v>187</v>
      </c>
      <c r="D164" s="58" t="s">
        <v>180</v>
      </c>
      <c r="E164" s="78" t="s">
        <v>132</v>
      </c>
      <c r="F164" s="79" t="s">
        <v>175</v>
      </c>
      <c r="G164" s="76">
        <v>20</v>
      </c>
      <c r="H164" s="77">
        <v>10621</v>
      </c>
      <c r="I164" s="77">
        <f t="shared" si="2"/>
        <v>212420</v>
      </c>
    </row>
    <row r="165" spans="1:9" ht="31.9" customHeight="1" thickBot="1" x14ac:dyDescent="0.25">
      <c r="A165" s="56">
        <v>156</v>
      </c>
      <c r="B165" s="59"/>
      <c r="C165" s="57" t="s">
        <v>187</v>
      </c>
      <c r="D165" s="58" t="s">
        <v>180</v>
      </c>
      <c r="E165" s="78" t="s">
        <v>133</v>
      </c>
      <c r="F165" s="79" t="s">
        <v>175</v>
      </c>
      <c r="G165" s="76">
        <v>3</v>
      </c>
      <c r="H165" s="77">
        <v>4683</v>
      </c>
      <c r="I165" s="77">
        <f t="shared" si="2"/>
        <v>14049</v>
      </c>
    </row>
    <row r="166" spans="1:9" ht="31.9" customHeight="1" thickBot="1" x14ac:dyDescent="0.25">
      <c r="A166" s="56">
        <v>157</v>
      </c>
      <c r="B166" s="59"/>
      <c r="C166" s="57" t="s">
        <v>187</v>
      </c>
      <c r="D166" s="58" t="s">
        <v>180</v>
      </c>
      <c r="E166" s="78" t="s">
        <v>134</v>
      </c>
      <c r="F166" s="79" t="s">
        <v>170</v>
      </c>
      <c r="G166" s="76">
        <v>2</v>
      </c>
      <c r="H166" s="77">
        <v>22210</v>
      </c>
      <c r="I166" s="77">
        <f t="shared" si="2"/>
        <v>44420</v>
      </c>
    </row>
    <row r="167" spans="1:9" ht="31.9" customHeight="1" thickBot="1" x14ac:dyDescent="0.25">
      <c r="A167" s="56">
        <v>158</v>
      </c>
      <c r="B167" s="59"/>
      <c r="C167" s="57" t="s">
        <v>187</v>
      </c>
      <c r="D167" s="58" t="s">
        <v>180</v>
      </c>
      <c r="E167" s="78" t="s">
        <v>135</v>
      </c>
      <c r="F167" s="79" t="s">
        <v>175</v>
      </c>
      <c r="G167" s="76">
        <v>20</v>
      </c>
      <c r="H167" s="77">
        <v>11119</v>
      </c>
      <c r="I167" s="77">
        <f t="shared" si="2"/>
        <v>222380</v>
      </c>
    </row>
    <row r="168" spans="1:9" ht="31.9" customHeight="1" thickBot="1" x14ac:dyDescent="0.25">
      <c r="A168" s="56">
        <v>159</v>
      </c>
      <c r="B168" s="59"/>
      <c r="C168" s="57" t="s">
        <v>187</v>
      </c>
      <c r="D168" s="58" t="s">
        <v>180</v>
      </c>
      <c r="E168" s="78" t="s">
        <v>136</v>
      </c>
      <c r="F168" s="79" t="s">
        <v>175</v>
      </c>
      <c r="G168" s="76">
        <v>20</v>
      </c>
      <c r="H168" s="77">
        <v>11066</v>
      </c>
      <c r="I168" s="77">
        <f t="shared" si="2"/>
        <v>221320</v>
      </c>
    </row>
    <row r="169" spans="1:9" ht="31.9" customHeight="1" thickBot="1" x14ac:dyDescent="0.25">
      <c r="A169" s="56">
        <v>160</v>
      </c>
      <c r="B169" s="59"/>
      <c r="C169" s="57" t="s">
        <v>187</v>
      </c>
      <c r="D169" s="58" t="s">
        <v>180</v>
      </c>
      <c r="E169" s="78" t="s">
        <v>137</v>
      </c>
      <c r="F169" s="79" t="s">
        <v>175</v>
      </c>
      <c r="G169" s="76">
        <v>7</v>
      </c>
      <c r="H169" s="77">
        <v>10612</v>
      </c>
      <c r="I169" s="77">
        <f t="shared" si="2"/>
        <v>74284</v>
      </c>
    </row>
    <row r="170" spans="1:9" ht="31.9" customHeight="1" thickBot="1" x14ac:dyDescent="0.25">
      <c r="A170" s="56">
        <v>161</v>
      </c>
      <c r="B170" s="59"/>
      <c r="C170" s="57" t="s">
        <v>187</v>
      </c>
      <c r="D170" s="58" t="s">
        <v>180</v>
      </c>
      <c r="E170" s="78" t="s">
        <v>138</v>
      </c>
      <c r="F170" s="79" t="s">
        <v>175</v>
      </c>
      <c r="G170" s="76">
        <v>7</v>
      </c>
      <c r="H170" s="77">
        <v>10612</v>
      </c>
      <c r="I170" s="77">
        <f t="shared" si="2"/>
        <v>74284</v>
      </c>
    </row>
    <row r="171" spans="1:9" ht="31.9" customHeight="1" thickBot="1" x14ac:dyDescent="0.25">
      <c r="A171" s="56">
        <v>162</v>
      </c>
      <c r="B171" s="59"/>
      <c r="C171" s="57" t="s">
        <v>187</v>
      </c>
      <c r="D171" s="58" t="s">
        <v>180</v>
      </c>
      <c r="E171" s="78" t="s">
        <v>139</v>
      </c>
      <c r="F171" s="79" t="s">
        <v>170</v>
      </c>
      <c r="G171" s="76">
        <v>4</v>
      </c>
      <c r="H171" s="77">
        <v>28418</v>
      </c>
      <c r="I171" s="77">
        <f t="shared" si="2"/>
        <v>113672</v>
      </c>
    </row>
    <row r="172" spans="1:9" ht="31.9" customHeight="1" thickBot="1" x14ac:dyDescent="0.25">
      <c r="A172" s="56">
        <v>163</v>
      </c>
      <c r="B172" s="59"/>
      <c r="C172" s="57" t="s">
        <v>187</v>
      </c>
      <c r="D172" s="58" t="s">
        <v>180</v>
      </c>
      <c r="E172" s="78" t="s">
        <v>140</v>
      </c>
      <c r="F172" s="79" t="s">
        <v>170</v>
      </c>
      <c r="G172" s="76">
        <v>2</v>
      </c>
      <c r="H172" s="77">
        <v>38046</v>
      </c>
      <c r="I172" s="77">
        <f t="shared" si="2"/>
        <v>76092</v>
      </c>
    </row>
    <row r="173" spans="1:9" s="80" customFormat="1" ht="31.9" customHeight="1" thickBot="1" x14ac:dyDescent="0.25">
      <c r="A173" s="56">
        <v>164</v>
      </c>
      <c r="B173" s="59"/>
      <c r="C173" s="57" t="s">
        <v>187</v>
      </c>
      <c r="D173" s="58" t="s">
        <v>180</v>
      </c>
      <c r="E173" s="78" t="s">
        <v>219</v>
      </c>
      <c r="F173" s="79" t="s">
        <v>175</v>
      </c>
      <c r="G173" s="76">
        <v>5</v>
      </c>
      <c r="H173" s="77">
        <v>22148</v>
      </c>
      <c r="I173" s="77">
        <f t="shared" si="2"/>
        <v>110740</v>
      </c>
    </row>
    <row r="174" spans="1:9" s="80" customFormat="1" ht="31.9" customHeight="1" thickBot="1" x14ac:dyDescent="0.25">
      <c r="A174" s="56">
        <v>165</v>
      </c>
      <c r="B174" s="59"/>
      <c r="C174" s="57" t="s">
        <v>187</v>
      </c>
      <c r="D174" s="58" t="s">
        <v>180</v>
      </c>
      <c r="E174" s="78" t="s">
        <v>220</v>
      </c>
      <c r="F174" s="79" t="s">
        <v>175</v>
      </c>
      <c r="G174" s="76">
        <v>7</v>
      </c>
      <c r="H174" s="77">
        <v>28418</v>
      </c>
      <c r="I174" s="77">
        <f t="shared" si="2"/>
        <v>198926</v>
      </c>
    </row>
    <row r="175" spans="1:9" s="80" customFormat="1" ht="31.9" customHeight="1" thickBot="1" x14ac:dyDescent="0.25">
      <c r="A175" s="56">
        <v>166</v>
      </c>
      <c r="B175" s="59"/>
      <c r="C175" s="57" t="s">
        <v>187</v>
      </c>
      <c r="D175" s="58" t="s">
        <v>180</v>
      </c>
      <c r="E175" s="78" t="s">
        <v>221</v>
      </c>
      <c r="F175" s="79" t="s">
        <v>175</v>
      </c>
      <c r="G175" s="76">
        <v>3</v>
      </c>
      <c r="H175" s="77">
        <v>5426</v>
      </c>
      <c r="I175" s="77">
        <f t="shared" si="2"/>
        <v>16278</v>
      </c>
    </row>
    <row r="176" spans="1:9" ht="31.9" customHeight="1" thickBot="1" x14ac:dyDescent="0.25">
      <c r="A176" s="56">
        <v>167</v>
      </c>
      <c r="B176" s="59"/>
      <c r="C176" s="57" t="s">
        <v>187</v>
      </c>
      <c r="D176" s="58" t="s">
        <v>180</v>
      </c>
      <c r="E176" s="78" t="s">
        <v>141</v>
      </c>
      <c r="F176" s="79" t="s">
        <v>175</v>
      </c>
      <c r="G176" s="76">
        <v>3</v>
      </c>
      <c r="H176" s="77">
        <v>2504</v>
      </c>
      <c r="I176" s="77">
        <f t="shared" si="2"/>
        <v>7512</v>
      </c>
    </row>
    <row r="177" spans="1:9" ht="31.9" customHeight="1" thickBot="1" x14ac:dyDescent="0.25">
      <c r="A177" s="56">
        <v>168</v>
      </c>
      <c r="B177" s="59"/>
      <c r="C177" s="57" t="s">
        <v>187</v>
      </c>
      <c r="D177" s="58" t="s">
        <v>180</v>
      </c>
      <c r="E177" s="78" t="s">
        <v>283</v>
      </c>
      <c r="F177" s="79" t="s">
        <v>170</v>
      </c>
      <c r="G177" s="76">
        <v>1</v>
      </c>
      <c r="H177" s="77">
        <v>53272.3</v>
      </c>
      <c r="I177" s="77">
        <f t="shared" si="2"/>
        <v>53272.3</v>
      </c>
    </row>
    <row r="178" spans="1:9" s="80" customFormat="1" ht="31.9" customHeight="1" thickBot="1" x14ac:dyDescent="0.25">
      <c r="A178" s="56">
        <v>169</v>
      </c>
      <c r="B178" s="59"/>
      <c r="C178" s="57" t="s">
        <v>187</v>
      </c>
      <c r="D178" s="58" t="s">
        <v>180</v>
      </c>
      <c r="E178" s="78" t="s">
        <v>222</v>
      </c>
      <c r="F178" s="79" t="s">
        <v>175</v>
      </c>
      <c r="G178" s="76">
        <v>2</v>
      </c>
      <c r="H178" s="77">
        <v>23265</v>
      </c>
      <c r="I178" s="77">
        <f t="shared" si="2"/>
        <v>46530</v>
      </c>
    </row>
    <row r="179" spans="1:9" s="80" customFormat="1" ht="31.9" customHeight="1" thickBot="1" x14ac:dyDescent="0.25">
      <c r="A179" s="56">
        <v>170</v>
      </c>
      <c r="B179" s="59"/>
      <c r="C179" s="57" t="s">
        <v>187</v>
      </c>
      <c r="D179" s="58" t="s">
        <v>180</v>
      </c>
      <c r="E179" s="78" t="s">
        <v>223</v>
      </c>
      <c r="F179" s="79" t="s">
        <v>175</v>
      </c>
      <c r="G179" s="76">
        <v>3</v>
      </c>
      <c r="H179" s="77">
        <v>23265</v>
      </c>
      <c r="I179" s="77">
        <f t="shared" si="2"/>
        <v>69795</v>
      </c>
    </row>
    <row r="180" spans="1:9" s="80" customFormat="1" ht="31.9" customHeight="1" thickBot="1" x14ac:dyDescent="0.25">
      <c r="A180" s="56">
        <v>171</v>
      </c>
      <c r="B180" s="59"/>
      <c r="C180" s="57" t="s">
        <v>187</v>
      </c>
      <c r="D180" s="58" t="s">
        <v>180</v>
      </c>
      <c r="E180" s="78" t="s">
        <v>224</v>
      </c>
      <c r="F180" s="79" t="s">
        <v>175</v>
      </c>
      <c r="G180" s="76">
        <v>2</v>
      </c>
      <c r="H180" s="77">
        <v>23265</v>
      </c>
      <c r="I180" s="77">
        <f t="shared" si="2"/>
        <v>46530</v>
      </c>
    </row>
    <row r="181" spans="1:9" ht="31.9" customHeight="1" thickBot="1" x14ac:dyDescent="0.25">
      <c r="A181" s="56">
        <v>172</v>
      </c>
      <c r="B181" s="59"/>
      <c r="C181" s="57" t="s">
        <v>187</v>
      </c>
      <c r="D181" s="58" t="s">
        <v>180</v>
      </c>
      <c r="E181" s="78" t="s">
        <v>142</v>
      </c>
      <c r="F181" s="79" t="s">
        <v>170</v>
      </c>
      <c r="G181" s="76">
        <v>2</v>
      </c>
      <c r="H181" s="77">
        <v>21608</v>
      </c>
      <c r="I181" s="77">
        <f t="shared" si="2"/>
        <v>43216</v>
      </c>
    </row>
    <row r="182" spans="1:9" ht="31.9" customHeight="1" thickBot="1" x14ac:dyDescent="0.25">
      <c r="A182" s="56">
        <v>173</v>
      </c>
      <c r="B182" s="59"/>
      <c r="C182" s="57" t="s">
        <v>187</v>
      </c>
      <c r="D182" s="58" t="s">
        <v>180</v>
      </c>
      <c r="E182" s="78" t="s">
        <v>143</v>
      </c>
      <c r="F182" s="79" t="s">
        <v>170</v>
      </c>
      <c r="G182" s="76">
        <v>6</v>
      </c>
      <c r="H182" s="77">
        <v>28621</v>
      </c>
      <c r="I182" s="77">
        <f t="shared" si="2"/>
        <v>171726</v>
      </c>
    </row>
    <row r="183" spans="1:9" ht="31.9" customHeight="1" thickBot="1" x14ac:dyDescent="0.25">
      <c r="A183" s="56">
        <v>174</v>
      </c>
      <c r="B183" s="59"/>
      <c r="C183" s="57" t="s">
        <v>187</v>
      </c>
      <c r="D183" s="58" t="s">
        <v>180</v>
      </c>
      <c r="E183" s="78" t="s">
        <v>144</v>
      </c>
      <c r="F183" s="79" t="s">
        <v>175</v>
      </c>
      <c r="G183" s="76">
        <v>6</v>
      </c>
      <c r="H183" s="77">
        <v>14258</v>
      </c>
      <c r="I183" s="77">
        <f t="shared" si="2"/>
        <v>85548</v>
      </c>
    </row>
    <row r="184" spans="1:9" s="80" customFormat="1" ht="31.9" customHeight="1" thickBot="1" x14ac:dyDescent="0.25">
      <c r="A184" s="56">
        <v>175</v>
      </c>
      <c r="B184" s="59"/>
      <c r="C184" s="57" t="s">
        <v>187</v>
      </c>
      <c r="D184" s="58" t="s">
        <v>180</v>
      </c>
      <c r="E184" s="78" t="s">
        <v>225</v>
      </c>
      <c r="F184" s="79" t="s">
        <v>175</v>
      </c>
      <c r="G184" s="76">
        <v>7</v>
      </c>
      <c r="H184" s="77">
        <v>19924</v>
      </c>
      <c r="I184" s="77">
        <f t="shared" si="2"/>
        <v>139468</v>
      </c>
    </row>
    <row r="185" spans="1:9" ht="31.9" customHeight="1" thickBot="1" x14ac:dyDescent="0.25">
      <c r="A185" s="56">
        <v>176</v>
      </c>
      <c r="B185" s="59"/>
      <c r="C185" s="57" t="s">
        <v>187</v>
      </c>
      <c r="D185" s="58" t="s">
        <v>180</v>
      </c>
      <c r="E185" s="78" t="s">
        <v>145</v>
      </c>
      <c r="F185" s="79" t="s">
        <v>170</v>
      </c>
      <c r="G185" s="76">
        <v>3</v>
      </c>
      <c r="H185" s="77">
        <v>22210</v>
      </c>
      <c r="I185" s="77">
        <f t="shared" si="2"/>
        <v>66630</v>
      </c>
    </row>
    <row r="186" spans="1:9" ht="31.9" customHeight="1" thickBot="1" x14ac:dyDescent="0.25">
      <c r="A186" s="56">
        <v>177</v>
      </c>
      <c r="B186" s="59"/>
      <c r="C186" s="57" t="s">
        <v>187</v>
      </c>
      <c r="D186" s="58" t="s">
        <v>180</v>
      </c>
      <c r="E186" s="78" t="s">
        <v>146</v>
      </c>
      <c r="F186" s="79" t="s">
        <v>175</v>
      </c>
      <c r="G186" s="76">
        <v>8</v>
      </c>
      <c r="H186" s="77">
        <v>12671</v>
      </c>
      <c r="I186" s="77">
        <f t="shared" si="2"/>
        <v>101368</v>
      </c>
    </row>
    <row r="187" spans="1:9" ht="31.9" customHeight="1" thickBot="1" x14ac:dyDescent="0.25">
      <c r="A187" s="56">
        <v>178</v>
      </c>
      <c r="B187" s="59"/>
      <c r="C187" s="57" t="s">
        <v>187</v>
      </c>
      <c r="D187" s="58" t="s">
        <v>180</v>
      </c>
      <c r="E187" s="78" t="s">
        <v>147</v>
      </c>
      <c r="F187" s="79" t="s">
        <v>175</v>
      </c>
      <c r="G187" s="76">
        <v>2</v>
      </c>
      <c r="H187" s="77">
        <v>5539</v>
      </c>
      <c r="I187" s="77">
        <f t="shared" si="2"/>
        <v>11078</v>
      </c>
    </row>
    <row r="188" spans="1:9" ht="31.9" customHeight="1" thickBot="1" x14ac:dyDescent="0.25">
      <c r="A188" s="56">
        <v>179</v>
      </c>
      <c r="B188" s="59"/>
      <c r="C188" s="57" t="s">
        <v>187</v>
      </c>
      <c r="D188" s="58" t="s">
        <v>180</v>
      </c>
      <c r="E188" s="78" t="s">
        <v>284</v>
      </c>
      <c r="F188" s="79" t="s">
        <v>170</v>
      </c>
      <c r="G188" s="76">
        <v>1</v>
      </c>
      <c r="H188" s="77">
        <v>55034</v>
      </c>
      <c r="I188" s="77">
        <f t="shared" si="2"/>
        <v>55034</v>
      </c>
    </row>
    <row r="189" spans="1:9" ht="31.9" customHeight="1" thickBot="1" x14ac:dyDescent="0.25">
      <c r="A189" s="56">
        <v>180</v>
      </c>
      <c r="B189" s="59"/>
      <c r="C189" s="57" t="s">
        <v>187</v>
      </c>
      <c r="D189" s="58" t="s">
        <v>180</v>
      </c>
      <c r="E189" s="78" t="s">
        <v>285</v>
      </c>
      <c r="F189" s="79" t="s">
        <v>170</v>
      </c>
      <c r="G189" s="76">
        <v>1</v>
      </c>
      <c r="H189" s="77">
        <v>222241</v>
      </c>
      <c r="I189" s="77">
        <f t="shared" si="2"/>
        <v>222241</v>
      </c>
    </row>
    <row r="190" spans="1:9" ht="31.9" customHeight="1" thickBot="1" x14ac:dyDescent="0.25">
      <c r="A190" s="56">
        <v>181</v>
      </c>
      <c r="B190" s="59"/>
      <c r="C190" s="57" t="s">
        <v>187</v>
      </c>
      <c r="D190" s="58" t="s">
        <v>180</v>
      </c>
      <c r="E190" s="78" t="s">
        <v>148</v>
      </c>
      <c r="F190" s="79" t="s">
        <v>170</v>
      </c>
      <c r="G190" s="76">
        <v>2</v>
      </c>
      <c r="H190" s="77">
        <v>24647</v>
      </c>
      <c r="I190" s="77">
        <f t="shared" si="2"/>
        <v>49294</v>
      </c>
    </row>
    <row r="191" spans="1:9" ht="31.9" customHeight="1" thickBot="1" x14ac:dyDescent="0.25">
      <c r="A191" s="56">
        <v>182</v>
      </c>
      <c r="B191" s="59"/>
      <c r="C191" s="57" t="s">
        <v>187</v>
      </c>
      <c r="D191" s="58" t="s">
        <v>180</v>
      </c>
      <c r="E191" s="78" t="s">
        <v>149</v>
      </c>
      <c r="F191" s="79" t="s">
        <v>170</v>
      </c>
      <c r="G191" s="76">
        <v>3</v>
      </c>
      <c r="H191" s="77">
        <v>22210</v>
      </c>
      <c r="I191" s="77">
        <f t="shared" si="2"/>
        <v>66630</v>
      </c>
    </row>
    <row r="192" spans="1:9" ht="31.9" customHeight="1" thickBot="1" x14ac:dyDescent="0.25">
      <c r="A192" s="56">
        <v>183</v>
      </c>
      <c r="B192" s="59"/>
      <c r="C192" s="57" t="s">
        <v>187</v>
      </c>
      <c r="D192" s="58" t="s">
        <v>180</v>
      </c>
      <c r="E192" s="78" t="s">
        <v>150</v>
      </c>
      <c r="F192" s="79" t="s">
        <v>175</v>
      </c>
      <c r="G192" s="76">
        <v>15</v>
      </c>
      <c r="H192" s="77">
        <v>45648</v>
      </c>
      <c r="I192" s="77">
        <f t="shared" si="2"/>
        <v>684720</v>
      </c>
    </row>
    <row r="193" spans="1:9" ht="31.9" customHeight="1" thickBot="1" x14ac:dyDescent="0.25">
      <c r="A193" s="56">
        <v>184</v>
      </c>
      <c r="B193" s="59"/>
      <c r="C193" s="57" t="s">
        <v>187</v>
      </c>
      <c r="D193" s="58" t="s">
        <v>180</v>
      </c>
      <c r="E193" s="78" t="s">
        <v>286</v>
      </c>
      <c r="F193" s="79" t="s">
        <v>175</v>
      </c>
      <c r="G193" s="76">
        <v>50</v>
      </c>
      <c r="H193" s="77">
        <v>2120</v>
      </c>
      <c r="I193" s="77">
        <f t="shared" si="2"/>
        <v>106000</v>
      </c>
    </row>
    <row r="194" spans="1:9" ht="31.9" customHeight="1" thickBot="1" x14ac:dyDescent="0.25">
      <c r="A194" s="56">
        <v>185</v>
      </c>
      <c r="B194" s="59"/>
      <c r="C194" s="57" t="s">
        <v>187</v>
      </c>
      <c r="D194" s="58" t="s">
        <v>180</v>
      </c>
      <c r="E194" s="78" t="s">
        <v>151</v>
      </c>
      <c r="F194" s="79" t="s">
        <v>170</v>
      </c>
      <c r="G194" s="76">
        <v>3</v>
      </c>
      <c r="H194" s="77">
        <v>34871</v>
      </c>
      <c r="I194" s="77">
        <f t="shared" si="2"/>
        <v>104613</v>
      </c>
    </row>
    <row r="195" spans="1:9" ht="31.9" customHeight="1" thickBot="1" x14ac:dyDescent="0.25">
      <c r="A195" s="56">
        <v>186</v>
      </c>
      <c r="B195" s="59"/>
      <c r="C195" s="57" t="s">
        <v>187</v>
      </c>
      <c r="D195" s="58" t="s">
        <v>180</v>
      </c>
      <c r="E195" s="78" t="s">
        <v>152</v>
      </c>
      <c r="F195" s="79" t="s">
        <v>170</v>
      </c>
      <c r="G195" s="76">
        <v>2</v>
      </c>
      <c r="H195" s="77">
        <v>30788</v>
      </c>
      <c r="I195" s="77">
        <f t="shared" si="2"/>
        <v>61576</v>
      </c>
    </row>
    <row r="196" spans="1:9" ht="31.9" customHeight="1" thickBot="1" x14ac:dyDescent="0.25">
      <c r="A196" s="56">
        <v>187</v>
      </c>
      <c r="B196" s="59"/>
      <c r="C196" s="57" t="s">
        <v>187</v>
      </c>
      <c r="D196" s="58" t="s">
        <v>180</v>
      </c>
      <c r="E196" s="78" t="s">
        <v>153</v>
      </c>
      <c r="F196" s="79" t="s">
        <v>170</v>
      </c>
      <c r="G196" s="76">
        <v>1</v>
      </c>
      <c r="H196" s="77">
        <v>38046</v>
      </c>
      <c r="I196" s="77">
        <f t="shared" si="2"/>
        <v>38046</v>
      </c>
    </row>
    <row r="197" spans="1:9" ht="31.9" customHeight="1" thickBot="1" x14ac:dyDescent="0.25">
      <c r="A197" s="56">
        <v>188</v>
      </c>
      <c r="B197" s="59"/>
      <c r="C197" s="57" t="s">
        <v>187</v>
      </c>
      <c r="D197" s="58" t="s">
        <v>180</v>
      </c>
      <c r="E197" s="78" t="s">
        <v>154</v>
      </c>
      <c r="F197" s="79" t="s">
        <v>175</v>
      </c>
      <c r="G197" s="76">
        <v>3</v>
      </c>
      <c r="H197" s="77">
        <v>25576</v>
      </c>
      <c r="I197" s="77">
        <f t="shared" si="2"/>
        <v>76728</v>
      </c>
    </row>
    <row r="198" spans="1:9" ht="31.9" customHeight="1" thickBot="1" x14ac:dyDescent="0.25">
      <c r="A198" s="56">
        <v>189</v>
      </c>
      <c r="B198" s="59"/>
      <c r="C198" s="57" t="s">
        <v>187</v>
      </c>
      <c r="D198" s="58" t="s">
        <v>180</v>
      </c>
      <c r="E198" s="78" t="s">
        <v>155</v>
      </c>
      <c r="F198" s="79" t="s">
        <v>175</v>
      </c>
      <c r="G198" s="76">
        <v>6</v>
      </c>
      <c r="H198" s="77">
        <v>31226</v>
      </c>
      <c r="I198" s="77">
        <f t="shared" si="2"/>
        <v>187356</v>
      </c>
    </row>
    <row r="199" spans="1:9" ht="31.9" customHeight="1" thickBot="1" x14ac:dyDescent="0.25">
      <c r="A199" s="56">
        <v>190</v>
      </c>
      <c r="B199" s="59"/>
      <c r="C199" s="57" t="s">
        <v>187</v>
      </c>
      <c r="D199" s="58" t="s">
        <v>180</v>
      </c>
      <c r="E199" s="78" t="s">
        <v>156</v>
      </c>
      <c r="F199" s="79" t="s">
        <v>175</v>
      </c>
      <c r="G199" s="76">
        <v>3</v>
      </c>
      <c r="H199" s="77">
        <v>25576</v>
      </c>
      <c r="I199" s="77">
        <f t="shared" si="2"/>
        <v>76728</v>
      </c>
    </row>
    <row r="200" spans="1:9" s="80" customFormat="1" ht="31.9" customHeight="1" thickBot="1" x14ac:dyDescent="0.25">
      <c r="A200" s="56">
        <v>191</v>
      </c>
      <c r="B200" s="59"/>
      <c r="C200" s="57" t="s">
        <v>187</v>
      </c>
      <c r="D200" s="58" t="s">
        <v>180</v>
      </c>
      <c r="E200" s="78" t="s">
        <v>226</v>
      </c>
      <c r="F200" s="79" t="s">
        <v>175</v>
      </c>
      <c r="G200" s="76">
        <v>2</v>
      </c>
      <c r="H200" s="77">
        <v>24647</v>
      </c>
      <c r="I200" s="77">
        <f t="shared" si="2"/>
        <v>49294</v>
      </c>
    </row>
    <row r="201" spans="1:9" s="80" customFormat="1" ht="31.9" customHeight="1" thickBot="1" x14ac:dyDescent="0.25">
      <c r="A201" s="56">
        <v>192</v>
      </c>
      <c r="B201" s="59"/>
      <c r="C201" s="57" t="s">
        <v>187</v>
      </c>
      <c r="D201" s="58" t="s">
        <v>180</v>
      </c>
      <c r="E201" s="78" t="s">
        <v>227</v>
      </c>
      <c r="F201" s="79" t="s">
        <v>170</v>
      </c>
      <c r="G201" s="76">
        <v>1</v>
      </c>
      <c r="H201" s="77">
        <v>27019</v>
      </c>
      <c r="I201" s="77">
        <f t="shared" si="2"/>
        <v>27019</v>
      </c>
    </row>
    <row r="202" spans="1:9" s="80" customFormat="1" ht="31.9" customHeight="1" thickBot="1" x14ac:dyDescent="0.25">
      <c r="A202" s="56">
        <v>193</v>
      </c>
      <c r="B202" s="59"/>
      <c r="C202" s="57" t="s">
        <v>187</v>
      </c>
      <c r="D202" s="58" t="s">
        <v>180</v>
      </c>
      <c r="E202" s="78" t="s">
        <v>287</v>
      </c>
      <c r="F202" s="79" t="s">
        <v>170</v>
      </c>
      <c r="G202" s="76">
        <v>1</v>
      </c>
      <c r="H202" s="77">
        <v>46589</v>
      </c>
      <c r="I202" s="77">
        <f t="shared" si="2"/>
        <v>46589</v>
      </c>
    </row>
    <row r="203" spans="1:9" s="80" customFormat="1" ht="31.9" customHeight="1" thickBot="1" x14ac:dyDescent="0.25">
      <c r="A203" s="56">
        <v>194</v>
      </c>
      <c r="B203" s="59"/>
      <c r="C203" s="57" t="s">
        <v>187</v>
      </c>
      <c r="D203" s="58" t="s">
        <v>180</v>
      </c>
      <c r="E203" s="78" t="s">
        <v>288</v>
      </c>
      <c r="F203" s="79" t="s">
        <v>170</v>
      </c>
      <c r="G203" s="76">
        <v>1</v>
      </c>
      <c r="H203" s="77">
        <v>53244</v>
      </c>
      <c r="I203" s="77">
        <f t="shared" ref="I203:I224" si="3">G203*H203</f>
        <v>53244</v>
      </c>
    </row>
    <row r="204" spans="1:9" s="80" customFormat="1" ht="31.9" customHeight="1" thickBot="1" x14ac:dyDescent="0.25">
      <c r="A204" s="56">
        <v>195</v>
      </c>
      <c r="B204" s="59"/>
      <c r="C204" s="57" t="s">
        <v>187</v>
      </c>
      <c r="D204" s="58" t="s">
        <v>180</v>
      </c>
      <c r="E204" s="78" t="s">
        <v>228</v>
      </c>
      <c r="F204" s="79" t="s">
        <v>175</v>
      </c>
      <c r="G204" s="76">
        <v>5</v>
      </c>
      <c r="H204" s="77">
        <v>11826</v>
      </c>
      <c r="I204" s="77">
        <f t="shared" si="3"/>
        <v>59130</v>
      </c>
    </row>
    <row r="205" spans="1:9" ht="31.9" customHeight="1" thickBot="1" x14ac:dyDescent="0.25">
      <c r="A205" s="56">
        <v>196</v>
      </c>
      <c r="B205" s="59"/>
      <c r="C205" s="57" t="s">
        <v>187</v>
      </c>
      <c r="D205" s="58" t="s">
        <v>180</v>
      </c>
      <c r="E205" s="78" t="s">
        <v>157</v>
      </c>
      <c r="F205" s="79" t="s">
        <v>175</v>
      </c>
      <c r="G205" s="76">
        <v>9</v>
      </c>
      <c r="H205" s="77">
        <v>4448</v>
      </c>
      <c r="I205" s="77">
        <f t="shared" si="3"/>
        <v>40032</v>
      </c>
    </row>
    <row r="206" spans="1:9" ht="31.9" customHeight="1" thickBot="1" x14ac:dyDescent="0.25">
      <c r="A206" s="56">
        <v>197</v>
      </c>
      <c r="B206" s="59"/>
      <c r="C206" s="57" t="s">
        <v>187</v>
      </c>
      <c r="D206" s="58" t="s">
        <v>180</v>
      </c>
      <c r="E206" s="78" t="s">
        <v>158</v>
      </c>
      <c r="F206" s="79" t="s">
        <v>170</v>
      </c>
      <c r="G206" s="76">
        <v>6</v>
      </c>
      <c r="H206" s="77">
        <v>45714</v>
      </c>
      <c r="I206" s="77">
        <f t="shared" si="3"/>
        <v>274284</v>
      </c>
    </row>
    <row r="207" spans="1:9" ht="31.9" customHeight="1" thickBot="1" x14ac:dyDescent="0.25">
      <c r="A207" s="56">
        <v>198</v>
      </c>
      <c r="B207" s="59"/>
      <c r="C207" s="57" t="s">
        <v>187</v>
      </c>
      <c r="D207" s="58" t="s">
        <v>180</v>
      </c>
      <c r="E207" s="78" t="s">
        <v>159</v>
      </c>
      <c r="F207" s="79" t="s">
        <v>170</v>
      </c>
      <c r="G207" s="76">
        <v>12</v>
      </c>
      <c r="H207" s="77">
        <v>24383</v>
      </c>
      <c r="I207" s="77">
        <f t="shared" si="3"/>
        <v>292596</v>
      </c>
    </row>
    <row r="208" spans="1:9" ht="31.9" customHeight="1" thickBot="1" x14ac:dyDescent="0.25">
      <c r="A208" s="56">
        <v>199</v>
      </c>
      <c r="B208" s="59"/>
      <c r="C208" s="57" t="s">
        <v>187</v>
      </c>
      <c r="D208" s="58" t="s">
        <v>180</v>
      </c>
      <c r="E208" s="78" t="s">
        <v>289</v>
      </c>
      <c r="F208" s="79" t="s">
        <v>175</v>
      </c>
      <c r="G208" s="76">
        <v>6</v>
      </c>
      <c r="H208" s="77">
        <v>7221</v>
      </c>
      <c r="I208" s="77">
        <f t="shared" si="3"/>
        <v>43326</v>
      </c>
    </row>
    <row r="209" spans="1:9" ht="31.9" customHeight="1" thickBot="1" x14ac:dyDescent="0.25">
      <c r="A209" s="56">
        <v>200</v>
      </c>
      <c r="B209" s="59"/>
      <c r="C209" s="57" t="s">
        <v>187</v>
      </c>
      <c r="D209" s="58" t="s">
        <v>180</v>
      </c>
      <c r="E209" s="78" t="s">
        <v>160</v>
      </c>
      <c r="F209" s="79" t="s">
        <v>175</v>
      </c>
      <c r="G209" s="76">
        <v>23</v>
      </c>
      <c r="H209" s="77">
        <v>7544</v>
      </c>
      <c r="I209" s="77">
        <f t="shared" si="3"/>
        <v>173512</v>
      </c>
    </row>
    <row r="210" spans="1:9" s="80" customFormat="1" ht="31.9" customHeight="1" thickBot="1" x14ac:dyDescent="0.25">
      <c r="A210" s="56">
        <v>201</v>
      </c>
      <c r="B210" s="59"/>
      <c r="C210" s="57" t="s">
        <v>187</v>
      </c>
      <c r="D210" s="58" t="s">
        <v>180</v>
      </c>
      <c r="E210" s="78" t="s">
        <v>229</v>
      </c>
      <c r="F210" s="79" t="s">
        <v>170</v>
      </c>
      <c r="G210" s="76">
        <v>6</v>
      </c>
      <c r="H210" s="77">
        <v>111285</v>
      </c>
      <c r="I210" s="77">
        <f t="shared" si="3"/>
        <v>667710</v>
      </c>
    </row>
    <row r="211" spans="1:9" ht="31.9" customHeight="1" thickBot="1" x14ac:dyDescent="0.25">
      <c r="A211" s="56">
        <v>202</v>
      </c>
      <c r="B211" s="59"/>
      <c r="C211" s="57" t="s">
        <v>187</v>
      </c>
      <c r="D211" s="58" t="s">
        <v>180</v>
      </c>
      <c r="E211" s="78" t="s">
        <v>161</v>
      </c>
      <c r="F211" s="79" t="s">
        <v>170</v>
      </c>
      <c r="G211" s="76">
        <v>8</v>
      </c>
      <c r="H211" s="77">
        <v>37305</v>
      </c>
      <c r="I211" s="77">
        <f t="shared" si="3"/>
        <v>298440</v>
      </c>
    </row>
    <row r="212" spans="1:9" ht="31.9" customHeight="1" thickBot="1" x14ac:dyDescent="0.25">
      <c r="A212" s="56">
        <v>203</v>
      </c>
      <c r="B212" s="59"/>
      <c r="C212" s="57" t="s">
        <v>187</v>
      </c>
      <c r="D212" s="58" t="s">
        <v>180</v>
      </c>
      <c r="E212" s="78" t="s">
        <v>162</v>
      </c>
      <c r="F212" s="79" t="s">
        <v>170</v>
      </c>
      <c r="G212" s="76">
        <v>8</v>
      </c>
      <c r="H212" s="77">
        <v>61165</v>
      </c>
      <c r="I212" s="77">
        <f t="shared" si="3"/>
        <v>489320</v>
      </c>
    </row>
    <row r="213" spans="1:9" ht="31.9" customHeight="1" thickBot="1" x14ac:dyDescent="0.25">
      <c r="A213" s="56">
        <v>204</v>
      </c>
      <c r="B213" s="59"/>
      <c r="C213" s="57" t="s">
        <v>187</v>
      </c>
      <c r="D213" s="58" t="s">
        <v>180</v>
      </c>
      <c r="E213" s="78" t="s">
        <v>163</v>
      </c>
      <c r="F213" s="79" t="s">
        <v>170</v>
      </c>
      <c r="G213" s="76">
        <v>8</v>
      </c>
      <c r="H213" s="77">
        <v>81157</v>
      </c>
      <c r="I213" s="77">
        <f t="shared" si="3"/>
        <v>649256</v>
      </c>
    </row>
    <row r="214" spans="1:9" ht="31.9" customHeight="1" thickBot="1" x14ac:dyDescent="0.25">
      <c r="A214" s="56">
        <v>205</v>
      </c>
      <c r="B214" s="59"/>
      <c r="C214" s="57" t="s">
        <v>187</v>
      </c>
      <c r="D214" s="58" t="s">
        <v>180</v>
      </c>
      <c r="E214" s="78" t="s">
        <v>290</v>
      </c>
      <c r="F214" s="79" t="s">
        <v>170</v>
      </c>
      <c r="G214" s="76">
        <v>1</v>
      </c>
      <c r="H214" s="77">
        <v>3664</v>
      </c>
      <c r="I214" s="77">
        <f t="shared" si="3"/>
        <v>3664</v>
      </c>
    </row>
    <row r="215" spans="1:9" ht="31.9" customHeight="1" thickBot="1" x14ac:dyDescent="0.25">
      <c r="A215" s="56">
        <v>206</v>
      </c>
      <c r="B215" s="59"/>
      <c r="C215" s="57" t="s">
        <v>187</v>
      </c>
      <c r="D215" s="58" t="s">
        <v>180</v>
      </c>
      <c r="E215" s="78" t="s">
        <v>291</v>
      </c>
      <c r="F215" s="79" t="s">
        <v>170</v>
      </c>
      <c r="G215" s="76">
        <v>1</v>
      </c>
      <c r="H215" s="77">
        <v>3664</v>
      </c>
      <c r="I215" s="77">
        <f t="shared" si="3"/>
        <v>3664</v>
      </c>
    </row>
    <row r="216" spans="1:9" ht="31.9" customHeight="1" thickBot="1" x14ac:dyDescent="0.25">
      <c r="A216" s="56">
        <v>207</v>
      </c>
      <c r="B216" s="59"/>
      <c r="C216" s="57" t="s">
        <v>187</v>
      </c>
      <c r="D216" s="58" t="s">
        <v>180</v>
      </c>
      <c r="E216" s="78" t="s">
        <v>164</v>
      </c>
      <c r="F216" s="79" t="s">
        <v>170</v>
      </c>
      <c r="G216" s="76">
        <v>6</v>
      </c>
      <c r="H216" s="77">
        <v>16709</v>
      </c>
      <c r="I216" s="77">
        <f t="shared" si="3"/>
        <v>100254</v>
      </c>
    </row>
    <row r="217" spans="1:9" ht="31.9" customHeight="1" thickBot="1" x14ac:dyDescent="0.25">
      <c r="A217" s="56">
        <v>208</v>
      </c>
      <c r="B217" s="59"/>
      <c r="C217" s="57" t="s">
        <v>187</v>
      </c>
      <c r="D217" s="58" t="s">
        <v>180</v>
      </c>
      <c r="E217" s="78" t="s">
        <v>165</v>
      </c>
      <c r="F217" s="79" t="s">
        <v>175</v>
      </c>
      <c r="G217" s="76">
        <v>40</v>
      </c>
      <c r="H217" s="77">
        <v>1328</v>
      </c>
      <c r="I217" s="77">
        <f t="shared" si="3"/>
        <v>53120</v>
      </c>
    </row>
    <row r="218" spans="1:9" ht="31.9" customHeight="1" thickBot="1" x14ac:dyDescent="0.25">
      <c r="A218" s="56">
        <v>209</v>
      </c>
      <c r="B218" s="59"/>
      <c r="C218" s="57" t="s">
        <v>187</v>
      </c>
      <c r="D218" s="58" t="s">
        <v>180</v>
      </c>
      <c r="E218" s="78" t="s">
        <v>178</v>
      </c>
      <c r="F218" s="79" t="s">
        <v>173</v>
      </c>
      <c r="G218" s="76">
        <v>4</v>
      </c>
      <c r="H218" s="77">
        <v>1500</v>
      </c>
      <c r="I218" s="77">
        <f t="shared" si="3"/>
        <v>6000</v>
      </c>
    </row>
    <row r="219" spans="1:9" ht="31.9" customHeight="1" thickBot="1" x14ac:dyDescent="0.25">
      <c r="A219" s="56">
        <v>210</v>
      </c>
      <c r="B219" s="59"/>
      <c r="C219" s="57" t="s">
        <v>187</v>
      </c>
      <c r="D219" s="58" t="s">
        <v>180</v>
      </c>
      <c r="E219" s="78" t="s">
        <v>166</v>
      </c>
      <c r="F219" s="79" t="s">
        <v>171</v>
      </c>
      <c r="G219" s="76">
        <v>3</v>
      </c>
      <c r="H219" s="77">
        <v>42996</v>
      </c>
      <c r="I219" s="77">
        <f t="shared" si="3"/>
        <v>128988</v>
      </c>
    </row>
    <row r="220" spans="1:9" ht="31.9" customHeight="1" thickBot="1" x14ac:dyDescent="0.25">
      <c r="A220" s="56">
        <v>211</v>
      </c>
      <c r="B220" s="59"/>
      <c r="C220" s="57" t="s">
        <v>187</v>
      </c>
      <c r="D220" s="58" t="s">
        <v>180</v>
      </c>
      <c r="E220" s="78" t="s">
        <v>167</v>
      </c>
      <c r="F220" s="79" t="s">
        <v>171</v>
      </c>
      <c r="G220" s="76">
        <v>6</v>
      </c>
      <c r="H220" s="77">
        <v>8105</v>
      </c>
      <c r="I220" s="77">
        <f t="shared" si="3"/>
        <v>48630</v>
      </c>
    </row>
    <row r="221" spans="1:9" ht="31.9" customHeight="1" thickBot="1" x14ac:dyDescent="0.25">
      <c r="A221" s="56">
        <v>212</v>
      </c>
      <c r="B221" s="59"/>
      <c r="C221" s="57" t="s">
        <v>187</v>
      </c>
      <c r="D221" s="58" t="s">
        <v>180</v>
      </c>
      <c r="E221" s="78" t="s">
        <v>292</v>
      </c>
      <c r="F221" s="79" t="s">
        <v>170</v>
      </c>
      <c r="G221" s="76">
        <v>20</v>
      </c>
      <c r="H221" s="77">
        <v>973</v>
      </c>
      <c r="I221" s="77">
        <f t="shared" si="3"/>
        <v>19460</v>
      </c>
    </row>
    <row r="222" spans="1:9" ht="31.9" customHeight="1" thickBot="1" x14ac:dyDescent="0.25">
      <c r="A222" s="56">
        <v>213</v>
      </c>
      <c r="B222" s="59"/>
      <c r="C222" s="57" t="s">
        <v>187</v>
      </c>
      <c r="D222" s="58" t="s">
        <v>180</v>
      </c>
      <c r="E222" s="78" t="s">
        <v>293</v>
      </c>
      <c r="F222" s="79" t="s">
        <v>170</v>
      </c>
      <c r="G222" s="76">
        <v>6</v>
      </c>
      <c r="H222" s="77">
        <v>26843</v>
      </c>
      <c r="I222" s="77">
        <f t="shared" si="3"/>
        <v>161058</v>
      </c>
    </row>
    <row r="223" spans="1:9" ht="31.9" customHeight="1" thickBot="1" x14ac:dyDescent="0.25">
      <c r="A223" s="56">
        <v>214</v>
      </c>
      <c r="B223" s="59"/>
      <c r="C223" s="57" t="s">
        <v>187</v>
      </c>
      <c r="D223" s="58" t="s">
        <v>180</v>
      </c>
      <c r="E223" s="78" t="s">
        <v>168</v>
      </c>
      <c r="F223" s="79" t="s">
        <v>170</v>
      </c>
      <c r="G223" s="76">
        <v>50</v>
      </c>
      <c r="H223" s="77">
        <v>2890</v>
      </c>
      <c r="I223" s="77">
        <f t="shared" si="3"/>
        <v>144500</v>
      </c>
    </row>
    <row r="224" spans="1:9" ht="31.9" customHeight="1" thickBot="1" x14ac:dyDescent="0.25">
      <c r="A224" s="56">
        <v>215</v>
      </c>
      <c r="B224" s="59"/>
      <c r="C224" s="57" t="s">
        <v>187</v>
      </c>
      <c r="D224" s="58" t="s">
        <v>180</v>
      </c>
      <c r="E224" s="78" t="s">
        <v>169</v>
      </c>
      <c r="F224" s="79" t="s">
        <v>170</v>
      </c>
      <c r="G224" s="76">
        <v>15</v>
      </c>
      <c r="H224" s="77">
        <v>22000</v>
      </c>
      <c r="I224" s="77">
        <f t="shared" si="3"/>
        <v>330000</v>
      </c>
    </row>
    <row r="225" spans="2:5" ht="13.5" thickBot="1" x14ac:dyDescent="0.25"/>
    <row r="226" spans="2:5" ht="84.75" customHeight="1" thickBot="1" x14ac:dyDescent="0.25">
      <c r="C226" s="88" t="s">
        <v>182</v>
      </c>
      <c r="D226" s="89"/>
      <c r="E226" s="89"/>
    </row>
    <row r="227" spans="2:5" ht="42.75" customHeight="1" thickBot="1" x14ac:dyDescent="0.25">
      <c r="C227" s="90" t="s">
        <v>183</v>
      </c>
      <c r="D227" s="91"/>
      <c r="E227" s="89"/>
    </row>
    <row r="228" spans="2:5" ht="36" customHeight="1" thickBot="1" x14ac:dyDescent="0.25">
      <c r="C228" s="90" t="s">
        <v>184</v>
      </c>
      <c r="D228" s="91"/>
      <c r="E228" s="89"/>
    </row>
    <row r="229" spans="2:5" ht="15" customHeight="1" x14ac:dyDescent="0.2"/>
    <row r="230" spans="2:5" ht="13.5" thickBot="1" x14ac:dyDescent="0.25"/>
    <row r="231" spans="2:5" x14ac:dyDescent="0.2">
      <c r="B231" s="42" t="s">
        <v>181</v>
      </c>
      <c r="C231" s="43"/>
      <c r="D231" s="43"/>
      <c r="E231" s="44"/>
    </row>
    <row r="232" spans="2:5" ht="5.25" customHeight="1" x14ac:dyDescent="0.2">
      <c r="B232" s="45"/>
      <c r="C232" s="46"/>
      <c r="D232" s="46"/>
      <c r="E232" s="47"/>
    </row>
    <row r="233" spans="2:5" x14ac:dyDescent="0.2">
      <c r="B233" s="48" t="s">
        <v>14</v>
      </c>
      <c r="C233" s="46"/>
      <c r="D233" s="46"/>
      <c r="E233" s="47"/>
    </row>
    <row r="234" spans="2:5" ht="41.25" customHeight="1" x14ac:dyDescent="0.2">
      <c r="B234" s="48"/>
      <c r="C234" s="81"/>
      <c r="D234" s="81"/>
      <c r="E234" s="81"/>
    </row>
    <row r="235" spans="2:5" x14ac:dyDescent="0.2">
      <c r="B235" s="48" t="s">
        <v>15</v>
      </c>
      <c r="C235" s="46"/>
      <c r="D235" s="46"/>
      <c r="E235" s="47"/>
    </row>
    <row r="236" spans="2:5" ht="23.25" customHeight="1" x14ac:dyDescent="0.2">
      <c r="B236" s="49"/>
      <c r="C236" s="85" t="s">
        <v>185</v>
      </c>
      <c r="D236" s="85"/>
      <c r="E236" s="86"/>
    </row>
    <row r="237" spans="2:5" x14ac:dyDescent="0.2">
      <c r="B237" s="49"/>
      <c r="C237" s="87"/>
      <c r="D237" s="87"/>
      <c r="E237" s="87"/>
    </row>
    <row r="238" spans="2:5" x14ac:dyDescent="0.2">
      <c r="B238" s="48" t="s">
        <v>16</v>
      </c>
      <c r="C238" s="46"/>
      <c r="D238" s="46"/>
      <c r="E238" s="47"/>
    </row>
    <row r="239" spans="2:5" ht="26.25" customHeight="1" x14ac:dyDescent="0.2">
      <c r="B239" s="49"/>
      <c r="C239" s="81"/>
      <c r="D239" s="81"/>
      <c r="E239" s="81"/>
    </row>
    <row r="240" spans="2:5" x14ac:dyDescent="0.2">
      <c r="B240" s="48" t="s">
        <v>17</v>
      </c>
      <c r="C240" s="50"/>
      <c r="D240" s="50"/>
      <c r="E240" s="51"/>
    </row>
    <row r="241" spans="2:5" ht="26.25" customHeight="1" x14ac:dyDescent="0.2">
      <c r="B241" s="49"/>
      <c r="C241" s="82" t="s">
        <v>61</v>
      </c>
      <c r="D241" s="82"/>
      <c r="E241" s="82"/>
    </row>
    <row r="242" spans="2:5" x14ac:dyDescent="0.2">
      <c r="B242" s="48" t="s">
        <v>18</v>
      </c>
      <c r="C242" s="46"/>
      <c r="D242" s="46"/>
      <c r="E242" s="47"/>
    </row>
    <row r="243" spans="2:5" ht="23.25" customHeight="1" x14ac:dyDescent="0.2">
      <c r="B243" s="48"/>
      <c r="C243" s="83"/>
      <c r="D243" s="83"/>
      <c r="E243" s="83"/>
    </row>
    <row r="244" spans="2:5" x14ac:dyDescent="0.2">
      <c r="B244" s="52"/>
      <c r="C244" s="53"/>
      <c r="D244" s="53"/>
      <c r="E244" s="54"/>
    </row>
  </sheetData>
  <autoFilter ref="A9:I9" xr:uid="{00000000-0009-0000-0000-000000000000}">
    <sortState xmlns:xlrd2="http://schemas.microsoft.com/office/spreadsheetml/2017/richdata2" ref="A10:I200">
      <sortCondition ref="E9"/>
    </sortState>
  </autoFilter>
  <sortState xmlns:xlrd2="http://schemas.microsoft.com/office/spreadsheetml/2017/richdata2" ref="B10:I182">
    <sortCondition ref="E10:E182"/>
  </sortState>
  <mergeCells count="16">
    <mergeCell ref="B2:H2"/>
    <mergeCell ref="A4:B4"/>
    <mergeCell ref="C4:E4"/>
    <mergeCell ref="A5:B5"/>
    <mergeCell ref="C5:E5"/>
    <mergeCell ref="C239:E239"/>
    <mergeCell ref="C241:E241"/>
    <mergeCell ref="C243:E243"/>
    <mergeCell ref="A6:B6"/>
    <mergeCell ref="A7:B7"/>
    <mergeCell ref="C234:E234"/>
    <mergeCell ref="C236:E236"/>
    <mergeCell ref="C237:E237"/>
    <mergeCell ref="C226:E226"/>
    <mergeCell ref="C227:E227"/>
    <mergeCell ref="C228:E228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227"/>
  <sheetViews>
    <sheetView topLeftCell="A28" zoomScale="70" zoomScaleNormal="70" workbookViewId="0">
      <selection activeCell="K2" sqref="K2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02" t="s">
        <v>19</v>
      </c>
      <c r="B1" s="102"/>
      <c r="C1" s="102"/>
      <c r="D1" s="102"/>
      <c r="E1" s="102"/>
      <c r="F1" s="102"/>
      <c r="G1" s="102"/>
      <c r="H1" s="102"/>
      <c r="I1" s="102"/>
      <c r="J1" s="3" t="s">
        <v>20</v>
      </c>
      <c r="K1" s="62" t="s">
        <v>296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03" t="s">
        <v>53</v>
      </c>
      <c r="B3" s="103"/>
      <c r="C3" s="103"/>
      <c r="D3" s="104" t="str">
        <f>'Necesidades Trimestrales'!C4</f>
        <v>40 - Ministerio de Salud</v>
      </c>
      <c r="E3" s="104"/>
      <c r="F3" s="104"/>
      <c r="G3" s="104"/>
      <c r="H3" s="104"/>
      <c r="I3" s="104"/>
      <c r="J3" s="104"/>
      <c r="K3" s="104"/>
    </row>
    <row r="4" spans="1:11" ht="18.75" customHeight="1" thickBot="1" x14ac:dyDescent="0.25">
      <c r="A4" s="105" t="s">
        <v>54</v>
      </c>
      <c r="B4" s="105"/>
      <c r="C4" s="105"/>
      <c r="D4" s="104" t="str">
        <f>'Necesidades Trimestrales'!C5</f>
        <v>23 - Hospital Interzonal San Juan Bautista</v>
      </c>
      <c r="E4" s="104"/>
      <c r="F4" s="104"/>
      <c r="G4" s="104"/>
      <c r="H4" s="104"/>
      <c r="I4" s="104"/>
      <c r="J4" s="104"/>
      <c r="K4" s="104"/>
    </row>
    <row r="5" spans="1:11" ht="18.75" customHeight="1" thickBot="1" x14ac:dyDescent="0.25">
      <c r="A5" s="105" t="s">
        <v>32</v>
      </c>
      <c r="B5" s="105"/>
      <c r="C5" s="105"/>
      <c r="D5" s="104" t="s">
        <v>59</v>
      </c>
      <c r="E5" s="104"/>
      <c r="F5" s="104"/>
      <c r="G5" s="104"/>
      <c r="H5" s="104"/>
      <c r="I5" s="104"/>
      <c r="J5" s="104"/>
      <c r="K5" s="104"/>
    </row>
    <row r="6" spans="1:11" ht="16.5" customHeight="1" thickBot="1" x14ac:dyDescent="0.25">
      <c r="A6" s="103" t="s">
        <v>55</v>
      </c>
      <c r="B6" s="103"/>
      <c r="C6" s="103"/>
      <c r="D6" s="104" t="s">
        <v>179</v>
      </c>
      <c r="E6" s="104"/>
      <c r="F6" s="104"/>
      <c r="G6" s="104"/>
      <c r="H6" s="104"/>
      <c r="I6" s="104"/>
      <c r="J6" s="104"/>
      <c r="K6" s="104"/>
    </row>
    <row r="7" spans="1:11" ht="16.5" customHeight="1" x14ac:dyDescent="0.2">
      <c r="A7" s="105" t="s">
        <v>21</v>
      </c>
      <c r="B7" s="105"/>
      <c r="C7" s="105"/>
      <c r="D7" s="104" t="str">
        <f>'Necesidades Trimestrales'!C7 &amp; "° Trimestre - Año " &amp; 'Necesidades Trimestrales'!C6</f>
        <v>2° Trimestre - Año 2022</v>
      </c>
      <c r="E7" s="104"/>
      <c r="F7" s="104"/>
      <c r="G7" s="104"/>
      <c r="H7" s="104"/>
      <c r="I7" s="104"/>
      <c r="J7" s="104"/>
      <c r="K7" s="104"/>
    </row>
    <row r="8" spans="1:11" ht="16.5" customHeight="1" x14ac:dyDescent="0.2">
      <c r="A8" s="97" t="s">
        <v>22</v>
      </c>
      <c r="B8" s="97"/>
      <c r="C8" s="97"/>
      <c r="D8" s="98" t="s">
        <v>186</v>
      </c>
      <c r="E8" s="98"/>
      <c r="F8" s="98"/>
      <c r="G8" s="98"/>
      <c r="H8" s="98"/>
      <c r="I8" s="98"/>
      <c r="J8" s="98"/>
      <c r="K8" s="98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9" t="s">
        <v>23</v>
      </c>
      <c r="B10" s="100" t="s">
        <v>24</v>
      </c>
      <c r="C10" s="100" t="s">
        <v>25</v>
      </c>
      <c r="D10" s="100"/>
      <c r="E10" s="100"/>
      <c r="F10" s="100"/>
      <c r="G10" s="100"/>
      <c r="H10" s="100" t="s">
        <v>26</v>
      </c>
      <c r="I10" s="100" t="s">
        <v>27</v>
      </c>
      <c r="J10" s="100" t="s">
        <v>28</v>
      </c>
      <c r="K10" s="101" t="s">
        <v>29</v>
      </c>
    </row>
    <row r="11" spans="1:11" ht="24" customHeight="1" thickBot="1" x14ac:dyDescent="0.25">
      <c r="A11" s="99"/>
      <c r="B11" s="100"/>
      <c r="C11" s="100"/>
      <c r="D11" s="100"/>
      <c r="E11" s="100"/>
      <c r="F11" s="100"/>
      <c r="G11" s="100"/>
      <c r="H11" s="100"/>
      <c r="I11" s="100"/>
      <c r="J11" s="100"/>
      <c r="K11" s="101"/>
    </row>
    <row r="12" spans="1:11" ht="20.25" customHeight="1" thickBot="1" x14ac:dyDescent="0.25">
      <c r="A12" s="8">
        <v>1</v>
      </c>
      <c r="B12" s="63">
        <f>'Necesidades Trimestrales'!B10</f>
        <v>0</v>
      </c>
      <c r="C12" s="94" t="str">
        <f>'Necesidades Trimestrales'!E10</f>
        <v>ACID WASH SOLUTION 2 X 1800 MLP/COBAS C311</v>
      </c>
      <c r="D12" s="94"/>
      <c r="E12" s="94"/>
      <c r="F12" s="94"/>
      <c r="G12" s="94"/>
      <c r="H12" s="64" t="s">
        <v>56</v>
      </c>
      <c r="I12" s="65" t="str">
        <f>'Necesidades Trimestrales'!F10</f>
        <v>CAJA</v>
      </c>
      <c r="J12" s="66">
        <f>'Necesidades Trimestrales'!H10</f>
        <v>41462</v>
      </c>
      <c r="K12" s="67">
        <f>'Necesidades Trimestrales'!G10</f>
        <v>20</v>
      </c>
    </row>
    <row r="13" spans="1:11" ht="27.75" customHeight="1" thickBot="1" x14ac:dyDescent="0.25">
      <c r="A13" s="8">
        <v>2</v>
      </c>
      <c r="B13" s="63">
        <f>'Necesidades Trimestrales'!B11</f>
        <v>0</v>
      </c>
      <c r="C13" s="94" t="str">
        <f>'Necesidades Trimestrales'!E11</f>
        <v xml:space="preserve">AMPOULER PARA COBAS B221 </v>
      </c>
      <c r="D13" s="94"/>
      <c r="E13" s="94"/>
      <c r="F13" s="94"/>
      <c r="G13" s="94"/>
      <c r="H13" s="64" t="s">
        <v>56</v>
      </c>
      <c r="I13" s="65" t="str">
        <f>'Necesidades Trimestrales'!F11</f>
        <v>CAJA</v>
      </c>
      <c r="J13" s="66">
        <f>'Necesidades Trimestrales'!H11</f>
        <v>7577</v>
      </c>
      <c r="K13" s="67">
        <f>'Necesidades Trimestrales'!G11</f>
        <v>2</v>
      </c>
    </row>
    <row r="14" spans="1:11" ht="31.15" customHeight="1" thickBot="1" x14ac:dyDescent="0.25">
      <c r="A14" s="8">
        <v>3</v>
      </c>
      <c r="B14" s="63">
        <f>'Necesidades Trimestrales'!B12</f>
        <v>0</v>
      </c>
      <c r="C14" s="94" t="str">
        <f>'Necesidades Trimestrales'!E12</f>
        <v>ANTICUERPOS ANTITRANSGLUTAMINASA TIPO ORGESTRIOL -ANTI TRANSGLUTAMINASA EN IGA x 96 DET.</v>
      </c>
      <c r="D14" s="94"/>
      <c r="E14" s="94"/>
      <c r="F14" s="94"/>
      <c r="G14" s="94"/>
      <c r="H14" s="64" t="s">
        <v>56</v>
      </c>
      <c r="I14" s="65" t="str">
        <f>'Necesidades Trimestrales'!F12</f>
        <v>CAJA</v>
      </c>
      <c r="J14" s="66">
        <f>'Necesidades Trimestrales'!H12</f>
        <v>41184</v>
      </c>
      <c r="K14" s="67">
        <f>'Necesidades Trimestrales'!G12</f>
        <v>4</v>
      </c>
    </row>
    <row r="15" spans="1:11" ht="20.25" customHeight="1" thickBot="1" x14ac:dyDescent="0.25">
      <c r="A15" s="8">
        <v>4</v>
      </c>
      <c r="B15" s="63">
        <f>'Necesidades Trimestrales'!B13</f>
        <v>0</v>
      </c>
      <c r="C15" s="94" t="str">
        <f>'Necesidades Trimestrales'!E13</f>
        <v>CALIBRADOR ACTH X 10 CAL COBAS E-411 ROCHE</v>
      </c>
      <c r="D15" s="94"/>
      <c r="E15" s="94"/>
      <c r="F15" s="94"/>
      <c r="G15" s="94"/>
      <c r="H15" s="64" t="s">
        <v>56</v>
      </c>
      <c r="I15" s="65" t="str">
        <f>'Necesidades Trimestrales'!F13</f>
        <v>CAJA</v>
      </c>
      <c r="J15" s="66">
        <f>'Necesidades Trimestrales'!H13</f>
        <v>60026</v>
      </c>
      <c r="K15" s="67">
        <f>'Necesidades Trimestrales'!G13</f>
        <v>1</v>
      </c>
    </row>
    <row r="16" spans="1:11" ht="20.25" customHeight="1" thickBot="1" x14ac:dyDescent="0.25">
      <c r="A16" s="8">
        <v>5</v>
      </c>
      <c r="B16" s="63">
        <f>'Necesidades Trimestrales'!B14</f>
        <v>0</v>
      </c>
      <c r="C16" s="94" t="str">
        <f>'Necesidades Trimestrales'!E14</f>
        <v>CALIBRADOR ALFA FETO PROTEINA  X 10 CAL COBAS E-411 ROCHE</v>
      </c>
      <c r="D16" s="94"/>
      <c r="E16" s="94"/>
      <c r="F16" s="94"/>
      <c r="G16" s="94"/>
      <c r="H16" s="64" t="s">
        <v>56</v>
      </c>
      <c r="I16" s="65" t="str">
        <f>'Necesidades Trimestrales'!F14</f>
        <v>CAJA</v>
      </c>
      <c r="J16" s="66">
        <f>'Necesidades Trimestrales'!H14</f>
        <v>15611</v>
      </c>
      <c r="K16" s="67">
        <f>'Necesidades Trimestrales'!G14</f>
        <v>1</v>
      </c>
    </row>
    <row r="17" spans="1:11" ht="20.25" customHeight="1" thickBot="1" x14ac:dyDescent="0.25">
      <c r="A17" s="8">
        <v>6</v>
      </c>
      <c r="B17" s="63">
        <f>'Necesidades Trimestrales'!B15</f>
        <v>0</v>
      </c>
      <c r="C17" s="94" t="str">
        <f>'Necesidades Trimestrales'!E15</f>
        <v>CALIBRADOR ANTI SARS COV-2 CUANTITATIVO P/ COBAS E411 x 100 DET</v>
      </c>
      <c r="D17" s="94"/>
      <c r="E17" s="94"/>
      <c r="F17" s="94"/>
      <c r="G17" s="94"/>
      <c r="H17" s="64" t="s">
        <v>56</v>
      </c>
      <c r="I17" s="65" t="str">
        <f>'Necesidades Trimestrales'!F15</f>
        <v>CAJA</v>
      </c>
      <c r="J17" s="66">
        <f>'Necesidades Trimestrales'!H15</f>
        <v>3900</v>
      </c>
      <c r="K17" s="67">
        <f>'Necesidades Trimestrales'!G15</f>
        <v>1</v>
      </c>
    </row>
    <row r="18" spans="1:11" ht="20.25" customHeight="1" thickBot="1" x14ac:dyDescent="0.25">
      <c r="A18" s="8">
        <v>7</v>
      </c>
      <c r="B18" s="63">
        <f>'Necesidades Trimestrales'!B16</f>
        <v>0</v>
      </c>
      <c r="C18" s="94" t="str">
        <f>'Necesidades Trimestrales'!E16</f>
        <v>CALIBRADOR ANTI TIROGLOBULINA X 10 CAL COBAS E-411 ROCHE</v>
      </c>
      <c r="D18" s="94"/>
      <c r="E18" s="94"/>
      <c r="F18" s="94"/>
      <c r="G18" s="94"/>
      <c r="H18" s="64" t="s">
        <v>56</v>
      </c>
      <c r="I18" s="65" t="str">
        <f>'Necesidades Trimestrales'!F16</f>
        <v>CAJA</v>
      </c>
      <c r="J18" s="66">
        <f>'Necesidades Trimestrales'!H16</f>
        <v>20282</v>
      </c>
      <c r="K18" s="67">
        <f>'Necesidades Trimestrales'!G16</f>
        <v>1</v>
      </c>
    </row>
    <row r="19" spans="1:11" ht="20.25" customHeight="1" thickBot="1" x14ac:dyDescent="0.25">
      <c r="A19" s="8">
        <v>8</v>
      </c>
      <c r="B19" s="63">
        <f>'Necesidades Trimestrales'!B17</f>
        <v>0</v>
      </c>
      <c r="C19" s="94" t="str">
        <f>'Necesidades Trimestrales'!E17</f>
        <v>CALIBRADOR ANTI TPO X 10 CAL COBAS E-411 ROCHE</v>
      </c>
      <c r="D19" s="94"/>
      <c r="E19" s="94"/>
      <c r="F19" s="94"/>
      <c r="G19" s="94"/>
      <c r="H19" s="64" t="s">
        <v>56</v>
      </c>
      <c r="I19" s="65" t="str">
        <f>'Necesidades Trimestrales'!F17</f>
        <v>CAJA</v>
      </c>
      <c r="J19" s="66">
        <f>'Necesidades Trimestrales'!H17</f>
        <v>20282</v>
      </c>
      <c r="K19" s="67">
        <f>'Necesidades Trimestrales'!G17</f>
        <v>3</v>
      </c>
    </row>
    <row r="20" spans="1:11" ht="20.25" customHeight="1" thickBot="1" x14ac:dyDescent="0.25">
      <c r="A20" s="8">
        <v>9</v>
      </c>
      <c r="B20" s="63">
        <f>'Necesidades Trimestrales'!B18</f>
        <v>0</v>
      </c>
      <c r="C20" s="94" t="str">
        <f>'Necesidades Trimestrales'!E18</f>
        <v>CALIBRADOR B-CROSS LAP X 10 CAL COBAS E-411 ROCHE</v>
      </c>
      <c r="D20" s="94"/>
      <c r="E20" s="94"/>
      <c r="F20" s="94"/>
      <c r="G20" s="94"/>
      <c r="H20" s="64" t="s">
        <v>56</v>
      </c>
      <c r="I20" s="65" t="str">
        <f>'Necesidades Trimestrales'!F18</f>
        <v>CAJA</v>
      </c>
      <c r="J20" s="66">
        <f>'Necesidades Trimestrales'!H18</f>
        <v>20282</v>
      </c>
      <c r="K20" s="67">
        <f>'Necesidades Trimestrales'!G18</f>
        <v>1</v>
      </c>
    </row>
    <row r="21" spans="1:11" ht="20.25" customHeight="1" thickBot="1" x14ac:dyDescent="0.25">
      <c r="A21" s="8">
        <v>10</v>
      </c>
      <c r="B21" s="63">
        <f>'Necesidades Trimestrales'!B19</f>
        <v>0</v>
      </c>
      <c r="C21" s="94" t="str">
        <f>'Necesidades Trimestrales'!E19</f>
        <v xml:space="preserve">CALIBRADOR CA 125 X 10 CAL COBAS E-411 ROCHE </v>
      </c>
      <c r="D21" s="94"/>
      <c r="E21" s="94"/>
      <c r="F21" s="94"/>
      <c r="G21" s="94"/>
      <c r="H21" s="64" t="s">
        <v>56</v>
      </c>
      <c r="I21" s="65" t="str">
        <f>'Necesidades Trimestrales'!F19</f>
        <v>CAJA</v>
      </c>
      <c r="J21" s="66">
        <f>'Necesidades Trimestrales'!H19</f>
        <v>18627</v>
      </c>
      <c r="K21" s="67">
        <f>'Necesidades Trimestrales'!G19</f>
        <v>1</v>
      </c>
    </row>
    <row r="22" spans="1:11" ht="20.25" customHeight="1" thickBot="1" x14ac:dyDescent="0.25">
      <c r="A22" s="8">
        <v>11</v>
      </c>
      <c r="B22" s="63">
        <f>'Necesidades Trimestrales'!B20</f>
        <v>0</v>
      </c>
      <c r="C22" s="94" t="str">
        <f>'Necesidades Trimestrales'!E20</f>
        <v>CALIBRADOR CA 15-3  X 10 CAL COBAS E-411 ROCHE</v>
      </c>
      <c r="D22" s="94"/>
      <c r="E22" s="94"/>
      <c r="F22" s="94"/>
      <c r="G22" s="94"/>
      <c r="H22" s="64" t="s">
        <v>56</v>
      </c>
      <c r="I22" s="65" t="str">
        <f>'Necesidades Trimestrales'!F20</f>
        <v>CAJA</v>
      </c>
      <c r="J22" s="66">
        <f>'Necesidades Trimestrales'!H20</f>
        <v>24270</v>
      </c>
      <c r="K22" s="67">
        <f>'Necesidades Trimestrales'!G20</f>
        <v>1</v>
      </c>
    </row>
    <row r="23" spans="1:11" ht="20.25" customHeight="1" thickBot="1" x14ac:dyDescent="0.25">
      <c r="A23" s="8">
        <v>12</v>
      </c>
      <c r="B23" s="63">
        <f>'Necesidades Trimestrales'!B21</f>
        <v>0</v>
      </c>
      <c r="C23" s="94" t="str">
        <f>'Necesidades Trimestrales'!E21</f>
        <v xml:space="preserve">CALIBRADOR CA 19-9 X 10 CAL COBAS E-411 ROCHE </v>
      </c>
      <c r="D23" s="94"/>
      <c r="E23" s="94"/>
      <c r="F23" s="94"/>
      <c r="G23" s="94"/>
      <c r="H23" s="64" t="s">
        <v>56</v>
      </c>
      <c r="I23" s="65" t="str">
        <f>'Necesidades Trimestrales'!F21</f>
        <v>CAJA</v>
      </c>
      <c r="J23" s="66">
        <f>'Necesidades Trimestrales'!H21</f>
        <v>24270</v>
      </c>
      <c r="K23" s="67">
        <f>'Necesidades Trimestrales'!G21</f>
        <v>1</v>
      </c>
    </row>
    <row r="24" spans="1:11" ht="20.25" customHeight="1" thickBot="1" x14ac:dyDescent="0.25">
      <c r="A24" s="8">
        <v>13</v>
      </c>
      <c r="B24" s="63">
        <f>'Necesidades Trimestrales'!B22</f>
        <v>0</v>
      </c>
      <c r="C24" s="94" t="str">
        <f>'Necesidades Trimestrales'!E22</f>
        <v>CALIBRADOR CEA X 10 CAL COBAS E-411 ROCHE</v>
      </c>
      <c r="D24" s="94"/>
      <c r="E24" s="94"/>
      <c r="F24" s="94"/>
      <c r="G24" s="94"/>
      <c r="H24" s="64" t="s">
        <v>56</v>
      </c>
      <c r="I24" s="65" t="str">
        <f>'Necesidades Trimestrales'!F22</f>
        <v>CAJA</v>
      </c>
      <c r="J24" s="66">
        <f>'Necesidades Trimestrales'!H22</f>
        <v>15611</v>
      </c>
      <c r="K24" s="67">
        <f>'Necesidades Trimestrales'!G22</f>
        <v>1</v>
      </c>
    </row>
    <row r="25" spans="1:11" ht="20.25" customHeight="1" thickBot="1" x14ac:dyDescent="0.25">
      <c r="A25" s="8">
        <v>14</v>
      </c>
      <c r="B25" s="63">
        <f>'Necesidades Trimestrales'!B23</f>
        <v>0</v>
      </c>
      <c r="C25" s="94" t="str">
        <f>'Necesidades Trimestrales'!E23</f>
        <v>CALIBRADOR CORTISOL X 10 CAL COBAS E-411 ROCHE</v>
      </c>
      <c r="D25" s="94"/>
      <c r="E25" s="94"/>
      <c r="F25" s="94"/>
      <c r="G25" s="94"/>
      <c r="H25" s="64" t="s">
        <v>56</v>
      </c>
      <c r="I25" s="65" t="str">
        <f>'Necesidades Trimestrales'!F23</f>
        <v>CAJA</v>
      </c>
      <c r="J25" s="66">
        <f>'Necesidades Trimestrales'!H23</f>
        <v>18627</v>
      </c>
      <c r="K25" s="67">
        <f>'Necesidades Trimestrales'!G23</f>
        <v>1</v>
      </c>
    </row>
    <row r="26" spans="1:11" ht="20.25" customHeight="1" thickBot="1" x14ac:dyDescent="0.25">
      <c r="A26" s="8">
        <v>15</v>
      </c>
      <c r="B26" s="63">
        <f>'Necesidades Trimestrales'!B24</f>
        <v>0</v>
      </c>
      <c r="C26" s="94" t="str">
        <f>'Necesidades Trimestrales'!E24</f>
        <v>CALIBRADOR DHEA-S  X 10 CAL COBAS E-411 ROCHE</v>
      </c>
      <c r="D26" s="94"/>
      <c r="E26" s="94"/>
      <c r="F26" s="94"/>
      <c r="G26" s="94"/>
      <c r="H26" s="64" t="s">
        <v>56</v>
      </c>
      <c r="I26" s="65" t="str">
        <f>'Necesidades Trimestrales'!F24</f>
        <v>CAJA</v>
      </c>
      <c r="J26" s="66">
        <f>'Necesidades Trimestrales'!H24</f>
        <v>20282</v>
      </c>
      <c r="K26" s="67">
        <f>'Necesidades Trimestrales'!G24</f>
        <v>1</v>
      </c>
    </row>
    <row r="27" spans="1:11" ht="20.25" customHeight="1" thickBot="1" x14ac:dyDescent="0.25">
      <c r="A27" s="8">
        <v>16</v>
      </c>
      <c r="B27" s="63">
        <f>'Necesidades Trimestrales'!B25</f>
        <v>0</v>
      </c>
      <c r="C27" s="94" t="str">
        <f>'Necesidades Trimestrales'!E25</f>
        <v>CALIBRADOR DIMERO D  GEN 2  SET 6X0,5 ML  COBAS C-311 ROCHE</v>
      </c>
      <c r="D27" s="94"/>
      <c r="E27" s="94"/>
      <c r="F27" s="94"/>
      <c r="G27" s="94"/>
      <c r="H27" s="64" t="s">
        <v>56</v>
      </c>
      <c r="I27" s="65" t="str">
        <f>'Necesidades Trimestrales'!F25</f>
        <v>CAJA</v>
      </c>
      <c r="J27" s="66">
        <f>'Necesidades Trimestrales'!H25</f>
        <v>21863</v>
      </c>
      <c r="K27" s="67">
        <f>'Necesidades Trimestrales'!G25</f>
        <v>1</v>
      </c>
    </row>
    <row r="28" spans="1:11" ht="20.25" customHeight="1" thickBot="1" x14ac:dyDescent="0.25">
      <c r="A28" s="8">
        <v>17</v>
      </c>
      <c r="B28" s="63">
        <f>'Necesidades Trimestrales'!B26</f>
        <v>0</v>
      </c>
      <c r="C28" s="94" t="str">
        <f>'Necesidades Trimestrales'!E26</f>
        <v>CALIBRADOR ESTRADIOL X 10 CAL COBAS E-411 ROCHE</v>
      </c>
      <c r="D28" s="94"/>
      <c r="E28" s="94"/>
      <c r="F28" s="94"/>
      <c r="G28" s="94"/>
      <c r="H28" s="64" t="s">
        <v>56</v>
      </c>
      <c r="I28" s="65" t="str">
        <f>'Necesidades Trimestrales'!F26</f>
        <v>CAJA</v>
      </c>
      <c r="J28" s="66">
        <f>'Necesidades Trimestrales'!H26</f>
        <v>20282</v>
      </c>
      <c r="K28" s="67">
        <f>'Necesidades Trimestrales'!G26</f>
        <v>1</v>
      </c>
    </row>
    <row r="29" spans="1:11" ht="20.25" customHeight="1" thickBot="1" x14ac:dyDescent="0.25">
      <c r="A29" s="8">
        <v>18</v>
      </c>
      <c r="B29" s="63">
        <f>'Necesidades Trimestrales'!B27</f>
        <v>0</v>
      </c>
      <c r="C29" s="94" t="str">
        <f>'Necesidades Trimestrales'!E27</f>
        <v>CALIBRADOR FSH  X 10 CAL COBAS E-411 ROCHE</v>
      </c>
      <c r="D29" s="94"/>
      <c r="E29" s="94"/>
      <c r="F29" s="94"/>
      <c r="G29" s="94"/>
      <c r="H29" s="64" t="s">
        <v>56</v>
      </c>
      <c r="I29" s="65" t="str">
        <f>'Necesidades Trimestrales'!F27</f>
        <v>CAJA</v>
      </c>
      <c r="J29" s="66">
        <f>'Necesidades Trimestrales'!H27</f>
        <v>15611</v>
      </c>
      <c r="K29" s="67">
        <f>'Necesidades Trimestrales'!G27</f>
        <v>1</v>
      </c>
    </row>
    <row r="30" spans="1:11" ht="20.25" customHeight="1" thickBot="1" x14ac:dyDescent="0.25">
      <c r="A30" s="8">
        <v>19</v>
      </c>
      <c r="B30" s="63">
        <f>'Necesidades Trimestrales'!B28</f>
        <v>0</v>
      </c>
      <c r="C30" s="94" t="str">
        <f>'Necesidades Trimestrales'!E28</f>
        <v xml:space="preserve">CALIBRADOR FT4 X 10 CAL COBAS E-411 ROCHE </v>
      </c>
      <c r="D30" s="94"/>
      <c r="E30" s="94"/>
      <c r="F30" s="94"/>
      <c r="G30" s="94"/>
      <c r="H30" s="64" t="s">
        <v>56</v>
      </c>
      <c r="I30" s="65" t="str">
        <f>'Necesidades Trimestrales'!F28</f>
        <v>CAJA</v>
      </c>
      <c r="J30" s="66">
        <f>'Necesidades Trimestrales'!H28</f>
        <v>14996</v>
      </c>
      <c r="K30" s="67">
        <f>'Necesidades Trimestrales'!G28</f>
        <v>1</v>
      </c>
    </row>
    <row r="31" spans="1:11" ht="20.25" customHeight="1" thickBot="1" x14ac:dyDescent="0.25">
      <c r="A31" s="8">
        <v>20</v>
      </c>
      <c r="B31" s="63">
        <f>'Necesidades Trimestrales'!B29</f>
        <v>0</v>
      </c>
      <c r="C31" s="94" t="str">
        <f>'Necesidades Trimestrales'!E29</f>
        <v>CALIBRADOR HCG+BETA II CALSET PARA COBAS E411</v>
      </c>
      <c r="D31" s="94"/>
      <c r="E31" s="94"/>
      <c r="F31" s="94"/>
      <c r="G31" s="94"/>
      <c r="H31" s="64" t="s">
        <v>56</v>
      </c>
      <c r="I31" s="65" t="str">
        <f>'Necesidades Trimestrales'!F29</f>
        <v>CAJA</v>
      </c>
      <c r="J31" s="66">
        <f>'Necesidades Trimestrales'!H29</f>
        <v>15611</v>
      </c>
      <c r="K31" s="67">
        <f>'Necesidades Trimestrales'!G29</f>
        <v>1</v>
      </c>
    </row>
    <row r="32" spans="1:11" ht="20.25" customHeight="1" thickBot="1" x14ac:dyDescent="0.25">
      <c r="A32" s="8">
        <v>21</v>
      </c>
      <c r="B32" s="63">
        <f>'Necesidades Trimestrales'!B30</f>
        <v>0</v>
      </c>
      <c r="C32" s="94" t="str">
        <f>'Necesidades Trimestrales'!E30</f>
        <v>CALIBRADOR IGE X 10 CAL COBAS E-411 ROCHE</v>
      </c>
      <c r="D32" s="94"/>
      <c r="E32" s="94"/>
      <c r="F32" s="94"/>
      <c r="G32" s="94"/>
      <c r="H32" s="64" t="s">
        <v>56</v>
      </c>
      <c r="I32" s="65" t="str">
        <f>'Necesidades Trimestrales'!F30</f>
        <v>CAJA</v>
      </c>
      <c r="J32" s="66">
        <f>'Necesidades Trimestrales'!H30</f>
        <v>15611</v>
      </c>
      <c r="K32" s="67">
        <f>'Necesidades Trimestrales'!G30</f>
        <v>1</v>
      </c>
    </row>
    <row r="33" spans="1:11" ht="20.25" customHeight="1" thickBot="1" x14ac:dyDescent="0.25">
      <c r="A33" s="8">
        <v>22</v>
      </c>
      <c r="B33" s="63">
        <f>'Necesidades Trimestrales'!B31</f>
        <v>0</v>
      </c>
      <c r="C33" s="94" t="str">
        <f>'Necesidades Trimestrales'!E31</f>
        <v>CALIBRADOR INSULINA X 10 CAL COBAS E-411 ROCHE</v>
      </c>
      <c r="D33" s="94"/>
      <c r="E33" s="94"/>
      <c r="F33" s="94"/>
      <c r="G33" s="94"/>
      <c r="H33" s="64" t="s">
        <v>56</v>
      </c>
      <c r="I33" s="65" t="str">
        <f>'Necesidades Trimestrales'!F31</f>
        <v>CAJA</v>
      </c>
      <c r="J33" s="66">
        <f>'Necesidades Trimestrales'!H31</f>
        <v>14350</v>
      </c>
      <c r="K33" s="67">
        <f>'Necesidades Trimestrales'!G31</f>
        <v>1</v>
      </c>
    </row>
    <row r="34" spans="1:11" ht="20.25" customHeight="1" thickBot="1" x14ac:dyDescent="0.25">
      <c r="A34" s="8">
        <v>23</v>
      </c>
      <c r="B34" s="63">
        <f>'Necesidades Trimestrales'!B32</f>
        <v>0</v>
      </c>
      <c r="C34" s="94" t="str">
        <f>'Necesidades Trimestrales'!E32</f>
        <v>CALIBRADOR LH  X 10 CAL COBAS E-411 ROCHE</v>
      </c>
      <c r="D34" s="94"/>
      <c r="E34" s="94"/>
      <c r="F34" s="94"/>
      <c r="G34" s="94"/>
      <c r="H34" s="64" t="s">
        <v>56</v>
      </c>
      <c r="I34" s="65" t="str">
        <f>'Necesidades Trimestrales'!F32</f>
        <v>CAJA</v>
      </c>
      <c r="J34" s="66">
        <f>'Necesidades Trimestrales'!H32</f>
        <v>15611</v>
      </c>
      <c r="K34" s="67">
        <f>'Necesidades Trimestrales'!G32</f>
        <v>1</v>
      </c>
    </row>
    <row r="35" spans="1:11" ht="20.25" customHeight="1" thickBot="1" x14ac:dyDescent="0.25">
      <c r="A35" s="8">
        <v>24</v>
      </c>
      <c r="B35" s="63">
        <f>'Necesidades Trimestrales'!B33</f>
        <v>0</v>
      </c>
      <c r="C35" s="94" t="str">
        <f>'Necesidades Trimestrales'!E33</f>
        <v>CALIBRADOR PRECISET RF  P COBAS C311  5 VIAL X 1 ML</v>
      </c>
      <c r="D35" s="94"/>
      <c r="E35" s="94"/>
      <c r="F35" s="94"/>
      <c r="G35" s="94"/>
      <c r="H35" s="64" t="s">
        <v>56</v>
      </c>
      <c r="I35" s="65" t="str">
        <f>'Necesidades Trimestrales'!F33</f>
        <v>CAJA</v>
      </c>
      <c r="J35" s="66">
        <f>'Necesidades Trimestrales'!H33</f>
        <v>15687</v>
      </c>
      <c r="K35" s="67">
        <f>'Necesidades Trimestrales'!G33</f>
        <v>1</v>
      </c>
    </row>
    <row r="36" spans="1:11" ht="20.25" customHeight="1" thickBot="1" x14ac:dyDescent="0.25">
      <c r="A36" s="8">
        <v>25</v>
      </c>
      <c r="B36" s="63">
        <f>'Necesidades Trimestrales'!B34</f>
        <v>0</v>
      </c>
      <c r="C36" s="94" t="str">
        <f>'Necesidades Trimestrales'!E34</f>
        <v>CALIBRADOR PRO BNP  X 10  CAL COBAS E-411 ROCHE</v>
      </c>
      <c r="D36" s="94"/>
      <c r="E36" s="94"/>
      <c r="F36" s="94"/>
      <c r="G36" s="94"/>
      <c r="H36" s="64" t="s">
        <v>56</v>
      </c>
      <c r="I36" s="65" t="str">
        <f>'Necesidades Trimestrales'!F34</f>
        <v>CAJA</v>
      </c>
      <c r="J36" s="66">
        <f>'Necesidades Trimestrales'!H34</f>
        <v>26978</v>
      </c>
      <c r="K36" s="67">
        <f>'Necesidades Trimestrales'!G34</f>
        <v>1</v>
      </c>
    </row>
    <row r="37" spans="1:11" ht="20.25" customHeight="1" thickBot="1" x14ac:dyDescent="0.25">
      <c r="A37" s="8">
        <v>26</v>
      </c>
      <c r="B37" s="63">
        <f>'Necesidades Trimestrales'!B35</f>
        <v>0</v>
      </c>
      <c r="C37" s="94" t="str">
        <f>'Necesidades Trimestrales'!E35</f>
        <v>CALIBRADOR PROGESTERONA COBAS X 10 CAL COBAS E-411 ROCHE</v>
      </c>
      <c r="D37" s="94"/>
      <c r="E37" s="94"/>
      <c r="F37" s="94"/>
      <c r="G37" s="94"/>
      <c r="H37" s="64" t="s">
        <v>56</v>
      </c>
      <c r="I37" s="65" t="str">
        <f>'Necesidades Trimestrales'!F35</f>
        <v>CAJA</v>
      </c>
      <c r="J37" s="66">
        <f>'Necesidades Trimestrales'!H35</f>
        <v>15611</v>
      </c>
      <c r="K37" s="67">
        <f>'Necesidades Trimestrales'!G35</f>
        <v>1</v>
      </c>
    </row>
    <row r="38" spans="1:11" ht="20.25" customHeight="1" thickBot="1" x14ac:dyDescent="0.25">
      <c r="A38" s="8">
        <v>27</v>
      </c>
      <c r="B38" s="63">
        <f>'Necesidades Trimestrales'!B36</f>
        <v>0</v>
      </c>
      <c r="C38" s="94" t="str">
        <f>'Necesidades Trimestrales'!E36</f>
        <v xml:space="preserve">CALIBRADOR PROLACTINA X  10 CAL  COBAS E-411 ROCHE </v>
      </c>
      <c r="D38" s="94"/>
      <c r="E38" s="94"/>
      <c r="F38" s="94"/>
      <c r="G38" s="94"/>
      <c r="H38" s="64" t="s">
        <v>56</v>
      </c>
      <c r="I38" s="65" t="str">
        <f>'Necesidades Trimestrales'!F36</f>
        <v>CAJA</v>
      </c>
      <c r="J38" s="66">
        <f>'Necesidades Trimestrales'!H36</f>
        <v>15611</v>
      </c>
      <c r="K38" s="67">
        <f>'Necesidades Trimestrales'!G36</f>
        <v>1</v>
      </c>
    </row>
    <row r="39" spans="1:11" ht="20.25" customHeight="1" thickBot="1" x14ac:dyDescent="0.25">
      <c r="A39" s="8">
        <v>28</v>
      </c>
      <c r="B39" s="63">
        <f>'Necesidades Trimestrales'!B37</f>
        <v>0</v>
      </c>
      <c r="C39" s="94" t="str">
        <f>'Necesidades Trimestrales'!E37</f>
        <v xml:space="preserve">CALIBRADOR PSA X 10 CAL COBAS E-411 ROCHE </v>
      </c>
      <c r="D39" s="94"/>
      <c r="E39" s="94"/>
      <c r="F39" s="94"/>
      <c r="G39" s="94"/>
      <c r="H39" s="64" t="s">
        <v>56</v>
      </c>
      <c r="I39" s="65" t="str">
        <f>'Necesidades Trimestrales'!F37</f>
        <v>CAJA</v>
      </c>
      <c r="J39" s="66">
        <f>'Necesidades Trimestrales'!H37</f>
        <v>15611</v>
      </c>
      <c r="K39" s="67">
        <f>'Necesidades Trimestrales'!G37</f>
        <v>1</v>
      </c>
    </row>
    <row r="40" spans="1:11" ht="20.25" customHeight="1" thickBot="1" x14ac:dyDescent="0.25">
      <c r="A40" s="8">
        <v>29</v>
      </c>
      <c r="B40" s="63">
        <f>'Necesidades Trimestrales'!B38</f>
        <v>0</v>
      </c>
      <c r="C40" s="94" t="str">
        <f>'Necesidades Trimestrales'!E38</f>
        <v>CALIBRADOR PTH X 10 CAL COBAS E-411 ROCHE</v>
      </c>
      <c r="D40" s="94"/>
      <c r="E40" s="94"/>
      <c r="F40" s="94"/>
      <c r="G40" s="94"/>
      <c r="H40" s="64" t="s">
        <v>56</v>
      </c>
      <c r="I40" s="65" t="str">
        <f>'Necesidades Trimestrales'!F38</f>
        <v>CAJA</v>
      </c>
      <c r="J40" s="66">
        <f>'Necesidades Trimestrales'!H38</f>
        <v>20284</v>
      </c>
      <c r="K40" s="67">
        <f>'Necesidades Trimestrales'!G38</f>
        <v>1</v>
      </c>
    </row>
    <row r="41" spans="1:11" ht="20.25" customHeight="1" thickBot="1" x14ac:dyDescent="0.25">
      <c r="A41" s="8">
        <v>30</v>
      </c>
      <c r="B41" s="63">
        <f>'Necesidades Trimestrales'!B39</f>
        <v>0</v>
      </c>
      <c r="C41" s="94" t="str">
        <f>'Necesidades Trimestrales'!E39</f>
        <v xml:space="preserve">CALIBRADOR S-HBG  X  10 CAL  COBAS E-411 ROCHE </v>
      </c>
      <c r="D41" s="94"/>
      <c r="E41" s="94"/>
      <c r="F41" s="94"/>
      <c r="G41" s="94"/>
      <c r="H41" s="64" t="s">
        <v>56</v>
      </c>
      <c r="I41" s="65" t="str">
        <f>'Necesidades Trimestrales'!F39</f>
        <v>CAJA</v>
      </c>
      <c r="J41" s="66">
        <f>'Necesidades Trimestrales'!H39</f>
        <v>19110</v>
      </c>
      <c r="K41" s="67">
        <f>'Necesidades Trimestrales'!G39</f>
        <v>1</v>
      </c>
    </row>
    <row r="42" spans="1:11" ht="20.25" customHeight="1" thickBot="1" x14ac:dyDescent="0.25">
      <c r="A42" s="8">
        <v>31</v>
      </c>
      <c r="B42" s="63">
        <f>'Necesidades Trimestrales'!B40</f>
        <v>0</v>
      </c>
      <c r="C42" s="94" t="str">
        <f>'Necesidades Trimestrales'!E40</f>
        <v>CALIBRADOR T3 TOTAL X 10 CAL  COBAS E-411 ROCHE</v>
      </c>
      <c r="D42" s="94"/>
      <c r="E42" s="94"/>
      <c r="F42" s="94"/>
      <c r="G42" s="94"/>
      <c r="H42" s="64" t="s">
        <v>56</v>
      </c>
      <c r="I42" s="65" t="str">
        <f>'Necesidades Trimestrales'!F40</f>
        <v>CAJA</v>
      </c>
      <c r="J42" s="66">
        <f>'Necesidades Trimestrales'!H40</f>
        <v>14996</v>
      </c>
      <c r="K42" s="67">
        <f>'Necesidades Trimestrales'!G40</f>
        <v>1</v>
      </c>
    </row>
    <row r="43" spans="1:11" ht="20.25" customHeight="1" thickBot="1" x14ac:dyDescent="0.25">
      <c r="A43" s="8">
        <v>32</v>
      </c>
      <c r="B43" s="63">
        <f>'Necesidades Trimestrales'!B41</f>
        <v>0</v>
      </c>
      <c r="C43" s="94" t="str">
        <f>'Necesidades Trimestrales'!E41</f>
        <v>CALIBRADOR T4 TOTAL X 10 CAL COBAS E-411 ROCHE</v>
      </c>
      <c r="D43" s="94"/>
      <c r="E43" s="94"/>
      <c r="F43" s="94"/>
      <c r="G43" s="94"/>
      <c r="H43" s="64" t="s">
        <v>56</v>
      </c>
      <c r="I43" s="65" t="str">
        <f>'Necesidades Trimestrales'!F41</f>
        <v>CAJA</v>
      </c>
      <c r="J43" s="66">
        <f>'Necesidades Trimestrales'!H41</f>
        <v>14996</v>
      </c>
      <c r="K43" s="67">
        <f>'Necesidades Trimestrales'!G41</f>
        <v>1</v>
      </c>
    </row>
    <row r="44" spans="1:11" ht="20.25" customHeight="1" thickBot="1" x14ac:dyDescent="0.25">
      <c r="A44" s="8">
        <v>33</v>
      </c>
      <c r="B44" s="63">
        <f>'Necesidades Trimestrales'!B42</f>
        <v>0</v>
      </c>
      <c r="C44" s="94" t="str">
        <f>'Necesidades Trimestrales'!E42</f>
        <v>CALIBRADOR TESTOSTERONA X 10 CAL COBAS E-411 ROCHE</v>
      </c>
      <c r="D44" s="94"/>
      <c r="E44" s="94"/>
      <c r="F44" s="94"/>
      <c r="G44" s="94"/>
      <c r="H44" s="64" t="s">
        <v>56</v>
      </c>
      <c r="I44" s="65" t="str">
        <f>'Necesidades Trimestrales'!F42</f>
        <v>CAJA</v>
      </c>
      <c r="J44" s="66">
        <f>'Necesidades Trimestrales'!H42</f>
        <v>15611</v>
      </c>
      <c r="K44" s="67">
        <f>'Necesidades Trimestrales'!G42</f>
        <v>1</v>
      </c>
    </row>
    <row r="45" spans="1:11" ht="20.25" customHeight="1" thickBot="1" x14ac:dyDescent="0.25">
      <c r="A45" s="8">
        <v>34</v>
      </c>
      <c r="B45" s="63">
        <f>'Necesidades Trimestrales'!B43</f>
        <v>0</v>
      </c>
      <c r="C45" s="94" t="str">
        <f>'Necesidades Trimestrales'!E43</f>
        <v>CALIBRADOR TIROGLOBULINA X 10 CAL COBAS E-411 ROCHE</v>
      </c>
      <c r="D45" s="94"/>
      <c r="E45" s="94"/>
      <c r="F45" s="94"/>
      <c r="G45" s="94"/>
      <c r="H45" s="64" t="s">
        <v>56</v>
      </c>
      <c r="I45" s="65" t="str">
        <f>'Necesidades Trimestrales'!F43</f>
        <v>CAJA</v>
      </c>
      <c r="J45" s="66">
        <f>'Necesidades Trimestrales'!H43</f>
        <v>20282</v>
      </c>
      <c r="K45" s="67">
        <f>'Necesidades Trimestrales'!G43</f>
        <v>1</v>
      </c>
    </row>
    <row r="46" spans="1:11" ht="20.25" customHeight="1" thickBot="1" x14ac:dyDescent="0.25">
      <c r="A46" s="8">
        <v>35</v>
      </c>
      <c r="B46" s="63">
        <f>'Necesidades Trimestrales'!B44</f>
        <v>0</v>
      </c>
      <c r="C46" s="94" t="str">
        <f>'Necesidades Trimestrales'!E44</f>
        <v>CALIBRADOR TROPONINA T-HS X 10 CAL COBAS E-411 ROCHE</v>
      </c>
      <c r="D46" s="94"/>
      <c r="E46" s="94"/>
      <c r="F46" s="94"/>
      <c r="G46" s="94"/>
      <c r="H46" s="64" t="s">
        <v>56</v>
      </c>
      <c r="I46" s="65" t="str">
        <f>'Necesidades Trimestrales'!F44</f>
        <v>CAJA</v>
      </c>
      <c r="J46" s="66">
        <f>'Necesidades Trimestrales'!H44</f>
        <v>16314</v>
      </c>
      <c r="K46" s="67">
        <f>'Necesidades Trimestrales'!G44</f>
        <v>1</v>
      </c>
    </row>
    <row r="47" spans="1:11" ht="20.25" customHeight="1" thickBot="1" x14ac:dyDescent="0.25">
      <c r="A47" s="8">
        <v>36</v>
      </c>
      <c r="B47" s="63">
        <f>'Necesidades Trimestrales'!B45</f>
        <v>0</v>
      </c>
      <c r="C47" s="94" t="str">
        <f>'Necesidades Trimestrales'!E45</f>
        <v>CALIBRADOR TSH  X 10 CAL COBAS E-411  ROCHE</v>
      </c>
      <c r="D47" s="94"/>
      <c r="E47" s="94"/>
      <c r="F47" s="94"/>
      <c r="G47" s="94"/>
      <c r="H47" s="64" t="s">
        <v>56</v>
      </c>
      <c r="I47" s="65" t="str">
        <f>'Necesidades Trimestrales'!F45</f>
        <v>CAJA</v>
      </c>
      <c r="J47" s="66">
        <f>'Necesidades Trimestrales'!H45</f>
        <v>11686</v>
      </c>
      <c r="K47" s="67">
        <f>'Necesidades Trimestrales'!G45</f>
        <v>1</v>
      </c>
    </row>
    <row r="48" spans="1:11" ht="20.25" customHeight="1" thickBot="1" x14ac:dyDescent="0.25">
      <c r="A48" s="8">
        <v>37</v>
      </c>
      <c r="B48" s="63">
        <f>'Necesidades Trimestrales'!B46</f>
        <v>0</v>
      </c>
      <c r="C48" s="94" t="str">
        <f>'Necesidades Trimestrales'!E46</f>
        <v>CALIBRADOR VITAMINA D TOTAL X 10 CAL COBAS E-411 ROCHE</v>
      </c>
      <c r="D48" s="94"/>
      <c r="E48" s="94"/>
      <c r="F48" s="94"/>
      <c r="G48" s="94"/>
      <c r="H48" s="64" t="s">
        <v>56</v>
      </c>
      <c r="I48" s="65" t="str">
        <f>'Necesidades Trimestrales'!F46</f>
        <v>CAJA</v>
      </c>
      <c r="J48" s="66">
        <f>'Necesidades Trimestrales'!H46</f>
        <v>22565</v>
      </c>
      <c r="K48" s="67">
        <f>'Necesidades Trimestrales'!G46</f>
        <v>1</v>
      </c>
    </row>
    <row r="49" spans="1:11" ht="20.25" customHeight="1" thickBot="1" x14ac:dyDescent="0.25">
      <c r="A49" s="8">
        <v>38</v>
      </c>
      <c r="B49" s="63">
        <f>'Necesidades Trimestrales'!B47</f>
        <v>0</v>
      </c>
      <c r="C49" s="94" t="str">
        <f>'Necesidades Trimestrales'!E47</f>
        <v>CELL PACK DCL X 20 LTS- TIPO SYSMEX XNL</v>
      </c>
      <c r="D49" s="94"/>
      <c r="E49" s="94"/>
      <c r="F49" s="94"/>
      <c r="G49" s="94"/>
      <c r="H49" s="64" t="s">
        <v>56</v>
      </c>
      <c r="I49" s="65" t="str">
        <f>'Necesidades Trimestrales'!F47</f>
        <v>BIDON</v>
      </c>
      <c r="J49" s="66">
        <f>'Necesidades Trimestrales'!H47</f>
        <v>13303</v>
      </c>
      <c r="K49" s="67">
        <f>'Necesidades Trimestrales'!G47</f>
        <v>30</v>
      </c>
    </row>
    <row r="50" spans="1:11" ht="20.25" customHeight="1" thickBot="1" x14ac:dyDescent="0.25">
      <c r="A50" s="8">
        <v>39</v>
      </c>
      <c r="B50" s="63">
        <f>'Necesidades Trimestrales'!B48</f>
        <v>0</v>
      </c>
      <c r="C50" s="94" t="str">
        <f>'Necesidades Trimestrales'!E48</f>
        <v>CELL WASH SOLUTION ACID 2 X 1800 MLP/COBAS C311</v>
      </c>
      <c r="D50" s="94"/>
      <c r="E50" s="94"/>
      <c r="F50" s="94"/>
      <c r="G50" s="94"/>
      <c r="H50" s="64" t="s">
        <v>56</v>
      </c>
      <c r="I50" s="65" t="str">
        <f>'Necesidades Trimestrales'!F48</f>
        <v>CAJA</v>
      </c>
      <c r="J50" s="66">
        <f>'Necesidades Trimestrales'!H48</f>
        <v>41462</v>
      </c>
      <c r="K50" s="67">
        <f>'Necesidades Trimestrales'!G48</f>
        <v>12</v>
      </c>
    </row>
    <row r="51" spans="1:11" ht="20.25" customHeight="1" thickBot="1" x14ac:dyDescent="0.25">
      <c r="A51" s="8">
        <v>40</v>
      </c>
      <c r="B51" s="63">
        <f>'Necesidades Trimestrales'!B49</f>
        <v>0</v>
      </c>
      <c r="C51" s="94" t="str">
        <f>'Necesidades Trimestrales'!E49</f>
        <v>CELL WASH SOLUTION NAOH-D  2  X 1,8 LITROS</v>
      </c>
      <c r="D51" s="94"/>
      <c r="E51" s="94"/>
      <c r="F51" s="94"/>
      <c r="G51" s="94"/>
      <c r="H51" s="64" t="s">
        <v>56</v>
      </c>
      <c r="I51" s="65" t="str">
        <f>'Necesidades Trimestrales'!F49</f>
        <v>CAJA</v>
      </c>
      <c r="J51" s="66">
        <f>'Necesidades Trimestrales'!H49</f>
        <v>7151</v>
      </c>
      <c r="K51" s="67">
        <f>'Necesidades Trimestrales'!G49</f>
        <v>40</v>
      </c>
    </row>
    <row r="52" spans="1:11" ht="20.25" customHeight="1" thickBot="1" x14ac:dyDescent="0.25">
      <c r="A52" s="8">
        <v>41</v>
      </c>
      <c r="B52" s="63">
        <f>'Necesidades Trimestrales'!B50</f>
        <v>0</v>
      </c>
      <c r="C52" s="94" t="str">
        <f>'Necesidades Trimestrales'!E50</f>
        <v>CELLCLEAN AUTO X 20 VIALES -TIPO SYSMEX XNL</v>
      </c>
      <c r="D52" s="94"/>
      <c r="E52" s="94"/>
      <c r="F52" s="94"/>
      <c r="G52" s="94"/>
      <c r="H52" s="64" t="s">
        <v>56</v>
      </c>
      <c r="I52" s="65" t="str">
        <f>'Necesidades Trimestrales'!F50</f>
        <v>CAJA</v>
      </c>
      <c r="J52" s="66">
        <f>'Necesidades Trimestrales'!H50</f>
        <v>10786</v>
      </c>
      <c r="K52" s="67">
        <f>'Necesidades Trimestrales'!G50</f>
        <v>24</v>
      </c>
    </row>
    <row r="53" spans="1:11" ht="20.25" customHeight="1" thickBot="1" x14ac:dyDescent="0.25">
      <c r="A53" s="8">
        <v>42</v>
      </c>
      <c r="B53" s="63">
        <f>'Necesidades Trimestrales'!B51</f>
        <v>0</v>
      </c>
      <c r="C53" s="94" t="str">
        <f>'Necesidades Trimestrales'!E51</f>
        <v>CFAS HBA1C CALIBRATOR 3 VIALES X 2 ML P/COBAS C311</v>
      </c>
      <c r="D53" s="94"/>
      <c r="E53" s="94"/>
      <c r="F53" s="94"/>
      <c r="G53" s="94"/>
      <c r="H53" s="64" t="s">
        <v>56</v>
      </c>
      <c r="I53" s="65" t="str">
        <f>'Necesidades Trimestrales'!F51</f>
        <v>CAJA</v>
      </c>
      <c r="J53" s="66">
        <f>'Necesidades Trimestrales'!H51</f>
        <v>26264</v>
      </c>
      <c r="K53" s="67">
        <f>'Necesidades Trimestrales'!G51</f>
        <v>1</v>
      </c>
    </row>
    <row r="54" spans="1:11" ht="20.25" customHeight="1" thickBot="1" x14ac:dyDescent="0.25">
      <c r="A54" s="8">
        <v>43</v>
      </c>
      <c r="B54" s="63">
        <f>'Necesidades Trimestrales'!B52</f>
        <v>0</v>
      </c>
      <c r="C54" s="94" t="str">
        <f>'Necesidades Trimestrales'!E52</f>
        <v>CFAS LIPIDOS 3 VIALES X 1 ML P/ COBAS C311</v>
      </c>
      <c r="D54" s="94"/>
      <c r="E54" s="94"/>
      <c r="F54" s="94"/>
      <c r="G54" s="94"/>
      <c r="H54" s="64" t="s">
        <v>56</v>
      </c>
      <c r="I54" s="65" t="str">
        <f>'Necesidades Trimestrales'!F52</f>
        <v>CAJA</v>
      </c>
      <c r="J54" s="66">
        <f>'Necesidades Trimestrales'!H52</f>
        <v>43337</v>
      </c>
      <c r="K54" s="67">
        <f>'Necesidades Trimestrales'!G52</f>
        <v>1</v>
      </c>
    </row>
    <row r="55" spans="1:11" ht="20.25" customHeight="1" thickBot="1" x14ac:dyDescent="0.25">
      <c r="A55" s="8">
        <v>44</v>
      </c>
      <c r="B55" s="63">
        <f>'Necesidades Trimestrales'!B53</f>
        <v>0</v>
      </c>
      <c r="C55" s="94" t="str">
        <f>'Necesidades Trimestrales'!E53</f>
        <v>CFAS MULTICALIBRADOR 12 VIAL X3 ML P/ COBAS C311 ROCHE</v>
      </c>
      <c r="D55" s="94"/>
      <c r="E55" s="94"/>
      <c r="F55" s="94"/>
      <c r="G55" s="94"/>
      <c r="H55" s="64" t="s">
        <v>56</v>
      </c>
      <c r="I55" s="65" t="str">
        <f>'Necesidades Trimestrales'!F53</f>
        <v>CAJA</v>
      </c>
      <c r="J55" s="66">
        <f>'Necesidades Trimestrales'!H53</f>
        <v>11755</v>
      </c>
      <c r="K55" s="67">
        <f>'Necesidades Trimestrales'!G53</f>
        <v>2</v>
      </c>
    </row>
    <row r="56" spans="1:11" ht="20.25" customHeight="1" thickBot="1" x14ac:dyDescent="0.25">
      <c r="A56" s="8">
        <v>45</v>
      </c>
      <c r="B56" s="63">
        <f>'Necesidades Trimestrales'!B54</f>
        <v>0</v>
      </c>
      <c r="C56" s="94" t="str">
        <f>'Necesidades Trimestrales'!E54</f>
        <v>CFAS PAC VIAL X 1 ML P/COBAS C311 3 X 1 ML</v>
      </c>
      <c r="D56" s="94"/>
      <c r="E56" s="94"/>
      <c r="F56" s="94"/>
      <c r="G56" s="94"/>
      <c r="H56" s="64" t="s">
        <v>56</v>
      </c>
      <c r="I56" s="65" t="str">
        <f>'Necesidades Trimestrales'!F54</f>
        <v>CAJA</v>
      </c>
      <c r="J56" s="66">
        <f>'Necesidades Trimestrales'!H54</f>
        <v>38629</v>
      </c>
      <c r="K56" s="67">
        <f>'Necesidades Trimestrales'!G54</f>
        <v>1</v>
      </c>
    </row>
    <row r="57" spans="1:11" ht="20.25" customHeight="1" thickBot="1" x14ac:dyDescent="0.25">
      <c r="A57" s="8">
        <v>46</v>
      </c>
      <c r="B57" s="63">
        <f>'Necesidades Trimestrales'!B55</f>
        <v>0</v>
      </c>
      <c r="C57" s="94" t="str">
        <f>'Necesidades Trimestrales'!E55</f>
        <v>CFAS PROTEINAS  P/ COBAS C311 5 X1 ml</v>
      </c>
      <c r="D57" s="94"/>
      <c r="E57" s="94"/>
      <c r="F57" s="94"/>
      <c r="G57" s="94"/>
      <c r="H57" s="64" t="s">
        <v>56</v>
      </c>
      <c r="I57" s="65" t="str">
        <f>'Necesidades Trimestrales'!F55</f>
        <v>CAJA</v>
      </c>
      <c r="J57" s="66">
        <f>'Necesidades Trimestrales'!H55</f>
        <v>28784</v>
      </c>
      <c r="K57" s="67">
        <f>'Necesidades Trimestrales'!G55</f>
        <v>2</v>
      </c>
    </row>
    <row r="58" spans="1:11" ht="20.25" customHeight="1" thickBot="1" x14ac:dyDescent="0.25">
      <c r="A58" s="8">
        <v>47</v>
      </c>
      <c r="B58" s="63">
        <f>'Necesidades Trimestrales'!B56</f>
        <v>0</v>
      </c>
      <c r="C58" s="94" t="str">
        <f>'Necesidades Trimestrales'!E56</f>
        <v>CLEAN CELL 6 X 380 ML P COBAS E411</v>
      </c>
      <c r="D58" s="94"/>
      <c r="E58" s="94"/>
      <c r="F58" s="94"/>
      <c r="G58" s="94"/>
      <c r="H58" s="64" t="s">
        <v>56</v>
      </c>
      <c r="I58" s="65" t="str">
        <f>'Necesidades Trimestrales'!F56</f>
        <v>CAJA</v>
      </c>
      <c r="J58" s="66">
        <f>'Necesidades Trimestrales'!H56</f>
        <v>12493</v>
      </c>
      <c r="K58" s="67">
        <f>'Necesidades Trimestrales'!G56</f>
        <v>3</v>
      </c>
    </row>
    <row r="59" spans="1:11" ht="20.25" customHeight="1" thickBot="1" x14ac:dyDescent="0.25">
      <c r="A59" s="8">
        <v>48</v>
      </c>
      <c r="B59" s="63">
        <f>'Necesidades Trimestrales'!B57</f>
        <v>0</v>
      </c>
      <c r="C59" s="94" t="str">
        <f>'Necesidades Trimestrales'!E57</f>
        <v>CLORURO DE CALCIO CAJA DE 10 ML TIPO HEMOMEDICA</v>
      </c>
      <c r="D59" s="94"/>
      <c r="E59" s="94"/>
      <c r="F59" s="94"/>
      <c r="G59" s="94"/>
      <c r="H59" s="64" t="s">
        <v>56</v>
      </c>
      <c r="I59" s="65" t="str">
        <f>'Necesidades Trimestrales'!F57</f>
        <v>CAJA</v>
      </c>
      <c r="J59" s="66">
        <f>'Necesidades Trimestrales'!H57</f>
        <v>17390</v>
      </c>
      <c r="K59" s="67">
        <f>'Necesidades Trimestrales'!G57</f>
        <v>4</v>
      </c>
    </row>
    <row r="60" spans="1:11" ht="20.25" customHeight="1" thickBot="1" x14ac:dyDescent="0.25">
      <c r="A60" s="8">
        <v>49</v>
      </c>
      <c r="B60" s="63">
        <f>'Necesidades Trimestrales'!B58</f>
        <v>0</v>
      </c>
      <c r="C60" s="94" t="str">
        <f>'Necesidades Trimestrales'!E58</f>
        <v>CLORURO DE SODIO AL 9% P/COBAS C311</v>
      </c>
      <c r="D60" s="94"/>
      <c r="E60" s="94"/>
      <c r="F60" s="94"/>
      <c r="G60" s="94"/>
      <c r="H60" s="64" t="s">
        <v>56</v>
      </c>
      <c r="I60" s="65" t="str">
        <f>'Necesidades Trimestrales'!F58</f>
        <v>CASSETTE</v>
      </c>
      <c r="J60" s="66">
        <f>'Necesidades Trimestrales'!H58</f>
        <v>1493</v>
      </c>
      <c r="K60" s="67">
        <f>'Necesidades Trimestrales'!G58</f>
        <v>4</v>
      </c>
    </row>
    <row r="61" spans="1:11" ht="20.25" customHeight="1" thickBot="1" x14ac:dyDescent="0.25">
      <c r="A61" s="8">
        <v>50</v>
      </c>
      <c r="B61" s="63">
        <f>'Necesidades Trimestrales'!B59</f>
        <v>0</v>
      </c>
      <c r="C61" s="94" t="str">
        <f>'Necesidades Trimestrales'!E59</f>
        <v>COLORANTE GIEMMSA X 1 LT TIPO BIOPUR</v>
      </c>
      <c r="D61" s="94"/>
      <c r="E61" s="94"/>
      <c r="F61" s="94"/>
      <c r="G61" s="94"/>
      <c r="H61" s="64" t="s">
        <v>56</v>
      </c>
      <c r="I61" s="65" t="str">
        <f>'Necesidades Trimestrales'!F59</f>
        <v>FRASCO</v>
      </c>
      <c r="J61" s="66">
        <f>'Necesidades Trimestrales'!H59</f>
        <v>4856</v>
      </c>
      <c r="K61" s="67">
        <f>'Necesidades Trimestrales'!G59</f>
        <v>3</v>
      </c>
    </row>
    <row r="62" spans="1:11" ht="20.25" customHeight="1" thickBot="1" x14ac:dyDescent="0.25">
      <c r="A62" s="8">
        <v>51</v>
      </c>
      <c r="B62" s="63">
        <f>'Necesidades Trimestrales'!B60</f>
        <v>0</v>
      </c>
      <c r="C62" s="94" t="str">
        <f>'Necesidades Trimestrales'!E60</f>
        <v>COLORANTE MAY GRUNWALD X 1 LTS. TIPO BIOPUR</v>
      </c>
      <c r="D62" s="94"/>
      <c r="E62" s="94"/>
      <c r="F62" s="94"/>
      <c r="G62" s="94"/>
      <c r="H62" s="64" t="s">
        <v>56</v>
      </c>
      <c r="I62" s="65" t="str">
        <f>'Necesidades Trimestrales'!F60</f>
        <v>BOTELLA</v>
      </c>
      <c r="J62" s="66">
        <f>'Necesidades Trimestrales'!H60</f>
        <v>4856</v>
      </c>
      <c r="K62" s="67">
        <f>'Necesidades Trimestrales'!G60</f>
        <v>3</v>
      </c>
    </row>
    <row r="63" spans="1:11" ht="20.25" customHeight="1" thickBot="1" x14ac:dyDescent="0.25">
      <c r="A63" s="8">
        <v>52</v>
      </c>
      <c r="B63" s="63">
        <f>'Necesidades Trimestrales'!B61</f>
        <v>0</v>
      </c>
      <c r="C63" s="94" t="str">
        <f>'Necesidades Trimestrales'!E61</f>
        <v>COMBITROL PLUS NIVEL 1</v>
      </c>
      <c r="D63" s="94"/>
      <c r="E63" s="94"/>
      <c r="F63" s="94"/>
      <c r="G63" s="94"/>
      <c r="H63" s="64" t="s">
        <v>56</v>
      </c>
      <c r="I63" s="65" t="str">
        <f>'Necesidades Trimestrales'!F61</f>
        <v>CAJA</v>
      </c>
      <c r="J63" s="66">
        <f>'Necesidades Trimestrales'!H61</f>
        <v>26023</v>
      </c>
      <c r="K63" s="67">
        <f>'Necesidades Trimestrales'!G61</f>
        <v>1</v>
      </c>
    </row>
    <row r="64" spans="1:11" ht="20.25" customHeight="1" thickBot="1" x14ac:dyDescent="0.25">
      <c r="A64" s="8">
        <v>53</v>
      </c>
      <c r="B64" s="63">
        <f>'Necesidades Trimestrales'!B62</f>
        <v>0</v>
      </c>
      <c r="C64" s="94" t="str">
        <f>'Necesidades Trimestrales'!E62</f>
        <v>COMBITROL PLUS NIVEL 2</v>
      </c>
      <c r="D64" s="94"/>
      <c r="E64" s="94"/>
      <c r="F64" s="94"/>
      <c r="G64" s="94"/>
      <c r="H64" s="64" t="s">
        <v>56</v>
      </c>
      <c r="I64" s="65" t="str">
        <f>'Necesidades Trimestrales'!F62</f>
        <v>CAJA</v>
      </c>
      <c r="J64" s="66">
        <f>'Necesidades Trimestrales'!H62</f>
        <v>26023</v>
      </c>
      <c r="K64" s="67">
        <f>'Necesidades Trimestrales'!G62</f>
        <v>1</v>
      </c>
    </row>
    <row r="65" spans="1:11" ht="20.25" customHeight="1" thickBot="1" x14ac:dyDescent="0.25">
      <c r="A65" s="8">
        <v>54</v>
      </c>
      <c r="B65" s="63">
        <f>'Necesidades Trimestrales'!B63</f>
        <v>0</v>
      </c>
      <c r="C65" s="94" t="str">
        <f>'Necesidades Trimestrales'!E63</f>
        <v>COMBITROL PLUS NIVEL 3</v>
      </c>
      <c r="D65" s="94"/>
      <c r="E65" s="94"/>
      <c r="F65" s="94"/>
      <c r="G65" s="94"/>
      <c r="H65" s="64" t="s">
        <v>56</v>
      </c>
      <c r="I65" s="65" t="str">
        <f>'Necesidades Trimestrales'!F63</f>
        <v>CAJA</v>
      </c>
      <c r="J65" s="66">
        <f>'Necesidades Trimestrales'!H63</f>
        <v>26023</v>
      </c>
      <c r="K65" s="67">
        <f>'Necesidades Trimestrales'!G63</f>
        <v>1</v>
      </c>
    </row>
    <row r="66" spans="1:11" ht="20.25" customHeight="1" thickBot="1" x14ac:dyDescent="0.25">
      <c r="A66" s="8">
        <v>55</v>
      </c>
      <c r="B66" s="63">
        <f>'Necesidades Trimestrales'!B64</f>
        <v>0</v>
      </c>
      <c r="C66" s="94" t="str">
        <f>'Necesidades Trimestrales'!E64</f>
        <v>CONTROL DIMERO D GEN 2  I  / II  NIVEL 1 : 2 X 1 ML  NIVEL 2 : 2 X 1 ML  COBAS C-311 ROCHE</v>
      </c>
      <c r="D66" s="94"/>
      <c r="E66" s="94"/>
      <c r="F66" s="94"/>
      <c r="G66" s="94"/>
      <c r="H66" s="64" t="s">
        <v>56</v>
      </c>
      <c r="I66" s="65" t="str">
        <f>'Necesidades Trimestrales'!F64</f>
        <v>UNIDAD</v>
      </c>
      <c r="J66" s="66">
        <f>'Necesidades Trimestrales'!H64</f>
        <v>29122</v>
      </c>
      <c r="K66" s="67">
        <f>'Necesidades Trimestrales'!G64</f>
        <v>1</v>
      </c>
    </row>
    <row r="67" spans="1:11" ht="20.25" customHeight="1" thickBot="1" x14ac:dyDescent="0.25">
      <c r="A67" s="8">
        <v>56</v>
      </c>
      <c r="B67" s="63">
        <f>'Necesidades Trimestrales'!B65</f>
        <v>0</v>
      </c>
      <c r="C67" s="94" t="str">
        <f>'Necesidades Trimestrales'!E65</f>
        <v>CONTROL PLASMA ANORMAL 10 X 1 ML TIPO HEMOMEDICA</v>
      </c>
      <c r="D67" s="94"/>
      <c r="E67" s="94"/>
      <c r="F67" s="94"/>
      <c r="G67" s="94"/>
      <c r="H67" s="64" t="s">
        <v>56</v>
      </c>
      <c r="I67" s="65" t="str">
        <f>'Necesidades Trimestrales'!F65</f>
        <v>CAJA</v>
      </c>
      <c r="J67" s="66">
        <f>'Necesidades Trimestrales'!H65</f>
        <v>17820</v>
      </c>
      <c r="K67" s="67">
        <f>'Necesidades Trimestrales'!G65</f>
        <v>2</v>
      </c>
    </row>
    <row r="68" spans="1:11" ht="20.25" customHeight="1" thickBot="1" x14ac:dyDescent="0.25">
      <c r="A68" s="8">
        <v>57</v>
      </c>
      <c r="B68" s="63">
        <f>'Necesidades Trimestrales'!B66</f>
        <v>0</v>
      </c>
      <c r="C68" s="94" t="str">
        <f>'Necesidades Trimestrales'!E66</f>
        <v>CONTROL PLASMA NORMAL 10 X 1 ML TIPO HEMOMEDICA</v>
      </c>
      <c r="D68" s="94"/>
      <c r="E68" s="94"/>
      <c r="F68" s="94"/>
      <c r="G68" s="94"/>
      <c r="H68" s="64" t="s">
        <v>56</v>
      </c>
      <c r="I68" s="65" t="str">
        <f>'Necesidades Trimestrales'!F66</f>
        <v>CAJA</v>
      </c>
      <c r="J68" s="66">
        <f>'Necesidades Trimestrales'!H66</f>
        <v>15487</v>
      </c>
      <c r="K68" s="67">
        <f>'Necesidades Trimestrales'!G66</f>
        <v>2</v>
      </c>
    </row>
    <row r="69" spans="1:11" ht="20.25" customHeight="1" thickBot="1" x14ac:dyDescent="0.25">
      <c r="A69" s="8">
        <v>58</v>
      </c>
      <c r="B69" s="63">
        <f>'Necesidades Trimestrales'!B67</f>
        <v>0</v>
      </c>
      <c r="C69" s="94" t="str">
        <f>'Necesidades Trimestrales'!E67</f>
        <v>CONTROL SET RF  NIVEL 1 : 2 X 1 ML  NIVEL 2 : 2 X 1 ML  COBAS C-311 ROCHE</v>
      </c>
      <c r="D69" s="94"/>
      <c r="E69" s="94"/>
      <c r="F69" s="94"/>
      <c r="G69" s="94"/>
      <c r="H69" s="64" t="s">
        <v>56</v>
      </c>
      <c r="I69" s="65" t="str">
        <f>'Necesidades Trimestrales'!F67</f>
        <v>CAJA</v>
      </c>
      <c r="J69" s="66">
        <f>'Necesidades Trimestrales'!H67</f>
        <v>27267</v>
      </c>
      <c r="K69" s="67">
        <f>'Necesidades Trimestrales'!G67</f>
        <v>1</v>
      </c>
    </row>
    <row r="70" spans="1:11" ht="20.25" customHeight="1" thickBot="1" x14ac:dyDescent="0.25">
      <c r="A70" s="8">
        <v>59</v>
      </c>
      <c r="B70" s="63">
        <f>'Necesidades Trimestrales'!B68</f>
        <v>0</v>
      </c>
      <c r="C70" s="94" t="str">
        <f>'Necesidades Trimestrales'!E68</f>
        <v>CONTROL XN CHECK P/SYSMEX XN-L 550 12 X 3 ML</v>
      </c>
      <c r="D70" s="94"/>
      <c r="E70" s="94"/>
      <c r="F70" s="94"/>
      <c r="G70" s="94"/>
      <c r="H70" s="64" t="s">
        <v>56</v>
      </c>
      <c r="I70" s="65" t="str">
        <f>'Necesidades Trimestrales'!F68</f>
        <v>CAJA</v>
      </c>
      <c r="J70" s="66">
        <f>'Necesidades Trimestrales'!H68</f>
        <v>93477</v>
      </c>
      <c r="K70" s="67">
        <f>'Necesidades Trimestrales'!G68</f>
        <v>6</v>
      </c>
    </row>
    <row r="71" spans="1:11" ht="20.25" customHeight="1" thickBot="1" x14ac:dyDescent="0.25">
      <c r="A71" s="8">
        <v>60</v>
      </c>
      <c r="B71" s="63">
        <f>'Necesidades Trimestrales'!B69</f>
        <v>0</v>
      </c>
      <c r="C71" s="94" t="str">
        <f>'Necesidades Trimestrales'!E69</f>
        <v>DEXTROSA/ POLVO TIPO CICARELLI X 1000GRS.</v>
      </c>
      <c r="D71" s="94"/>
      <c r="E71" s="94"/>
      <c r="F71" s="94"/>
      <c r="G71" s="94"/>
      <c r="H71" s="64" t="s">
        <v>56</v>
      </c>
      <c r="I71" s="65" t="str">
        <f>'Necesidades Trimestrales'!F69</f>
        <v>FRASCO</v>
      </c>
      <c r="J71" s="66">
        <f>'Necesidades Trimestrales'!H69</f>
        <v>786</v>
      </c>
      <c r="K71" s="67">
        <f>'Necesidades Trimestrales'!G69</f>
        <v>5</v>
      </c>
    </row>
    <row r="72" spans="1:11" ht="20.25" customHeight="1" thickBot="1" x14ac:dyDescent="0.25">
      <c r="A72" s="8">
        <v>61</v>
      </c>
      <c r="B72" s="63">
        <f>'Necesidades Trimestrales'!B70</f>
        <v>0</v>
      </c>
      <c r="C72" s="94" t="str">
        <f>'Necesidades Trimestrales'!E70</f>
        <v>DILUYENTE MULTI ASSAY  2 X 18 ML P COBAS C411</v>
      </c>
      <c r="D72" s="94"/>
      <c r="E72" s="94"/>
      <c r="F72" s="94"/>
      <c r="G72" s="94"/>
      <c r="H72" s="64" t="s">
        <v>56</v>
      </c>
      <c r="I72" s="65" t="str">
        <f>'Necesidades Trimestrales'!F70</f>
        <v>CAJA</v>
      </c>
      <c r="J72" s="66">
        <f>'Necesidades Trimestrales'!H70</f>
        <v>10574</v>
      </c>
      <c r="K72" s="67">
        <f>'Necesidades Trimestrales'!G70</f>
        <v>2</v>
      </c>
    </row>
    <row r="73" spans="1:11" ht="20.25" customHeight="1" thickBot="1" x14ac:dyDescent="0.25">
      <c r="A73" s="8">
        <v>62</v>
      </c>
      <c r="B73" s="63">
        <f>'Necesidades Trimestrales'!B71</f>
        <v>0</v>
      </c>
      <c r="C73" s="94" t="str">
        <f>'Necesidades Trimestrales'!E71</f>
        <v>DILUYENTE UNIVERSAL COBAS E-411 ROCHE  X 2 X 18 ML</v>
      </c>
      <c r="D73" s="94"/>
      <c r="E73" s="94"/>
      <c r="F73" s="94"/>
      <c r="G73" s="94"/>
      <c r="H73" s="64" t="s">
        <v>56</v>
      </c>
      <c r="I73" s="65" t="str">
        <f>'Necesidades Trimestrales'!F71</f>
        <v>CAJA</v>
      </c>
      <c r="J73" s="66">
        <f>'Necesidades Trimestrales'!H71</f>
        <v>8105</v>
      </c>
      <c r="K73" s="67">
        <f>'Necesidades Trimestrales'!G71</f>
        <v>2</v>
      </c>
    </row>
    <row r="74" spans="1:11" ht="20.25" customHeight="1" thickBot="1" x14ac:dyDescent="0.25">
      <c r="A74" s="8">
        <v>63</v>
      </c>
      <c r="B74" s="63">
        <f>'Necesidades Trimestrales'!B72</f>
        <v>0</v>
      </c>
      <c r="C74" s="94" t="str">
        <f>'Necesidades Trimestrales'!E72</f>
        <v>Discos de Amoxicilina/sulbactam 10/10 ug  x 50 T/Britania</v>
      </c>
      <c r="D74" s="94"/>
      <c r="E74" s="94"/>
      <c r="F74" s="94"/>
      <c r="G74" s="94"/>
      <c r="H74" s="64" t="s">
        <v>56</v>
      </c>
      <c r="I74" s="65" t="str">
        <f>'Necesidades Trimestrales'!F72</f>
        <v>FRASCO</v>
      </c>
      <c r="J74" s="66">
        <f>'Necesidades Trimestrales'!H72</f>
        <v>713</v>
      </c>
      <c r="K74" s="67">
        <f>'Necesidades Trimestrales'!G72</f>
        <v>3</v>
      </c>
    </row>
    <row r="75" spans="1:11" ht="20.25" customHeight="1" thickBot="1" x14ac:dyDescent="0.25">
      <c r="A75" s="8">
        <v>64</v>
      </c>
      <c r="B75" s="63">
        <f>'Necesidades Trimestrales'!B73</f>
        <v>0</v>
      </c>
      <c r="C75" s="94" t="str">
        <f>'Necesidades Trimestrales'!E73</f>
        <v>ECOTERGENT  X 60 ML COBAS C-311 ROCHE</v>
      </c>
      <c r="D75" s="94"/>
      <c r="E75" s="94"/>
      <c r="F75" s="94"/>
      <c r="G75" s="94"/>
      <c r="H75" s="64" t="s">
        <v>56</v>
      </c>
      <c r="I75" s="65" t="str">
        <f>'Necesidades Trimestrales'!F73</f>
        <v>CASSETTE</v>
      </c>
      <c r="J75" s="66">
        <f>'Necesidades Trimestrales'!H73</f>
        <v>7054</v>
      </c>
      <c r="K75" s="67">
        <f>'Necesidades Trimestrales'!G73</f>
        <v>50</v>
      </c>
    </row>
    <row r="76" spans="1:11" ht="20.25" customHeight="1" thickBot="1" x14ac:dyDescent="0.25">
      <c r="A76" s="8">
        <v>65</v>
      </c>
      <c r="B76" s="63">
        <f>'Necesidades Trimestrales'!B74</f>
        <v>0</v>
      </c>
      <c r="C76" s="94" t="str">
        <f>'Necesidades Trimestrales'!E74</f>
        <v>ELECTRODO DE CALCIO P/COBAS B221</v>
      </c>
      <c r="D76" s="94"/>
      <c r="E76" s="94"/>
      <c r="F76" s="94"/>
      <c r="G76" s="94"/>
      <c r="H76" s="64" t="s">
        <v>56</v>
      </c>
      <c r="I76" s="65" t="str">
        <f>'Necesidades Trimestrales'!F74</f>
        <v>UNIDAD</v>
      </c>
      <c r="J76" s="66">
        <f>'Necesidades Trimestrales'!H74</f>
        <v>15503</v>
      </c>
      <c r="K76" s="67">
        <f>'Necesidades Trimestrales'!G74</f>
        <v>1</v>
      </c>
    </row>
    <row r="77" spans="1:11" ht="20.25" customHeight="1" thickBot="1" x14ac:dyDescent="0.25">
      <c r="A77" s="8">
        <v>66</v>
      </c>
      <c r="B77" s="63">
        <f>'Necesidades Trimestrales'!B75</f>
        <v>0</v>
      </c>
      <c r="C77" s="94" t="str">
        <f>'Necesidades Trimestrales'!E75</f>
        <v>ELECTRODO DE CLORO P/COBAS B221</v>
      </c>
      <c r="D77" s="94"/>
      <c r="E77" s="94"/>
      <c r="F77" s="94"/>
      <c r="G77" s="94"/>
      <c r="H77" s="64" t="s">
        <v>56</v>
      </c>
      <c r="I77" s="65" t="str">
        <f>'Necesidades Trimestrales'!F75</f>
        <v>UNIDAD</v>
      </c>
      <c r="J77" s="66">
        <f>'Necesidades Trimestrales'!H75</f>
        <v>15503</v>
      </c>
      <c r="K77" s="67">
        <f>'Necesidades Trimestrales'!G75</f>
        <v>1</v>
      </c>
    </row>
    <row r="78" spans="1:11" ht="20.25" customHeight="1" thickBot="1" x14ac:dyDescent="0.25">
      <c r="A78" s="8">
        <v>67</v>
      </c>
      <c r="B78" s="63">
        <f>'Necesidades Trimestrales'!B76</f>
        <v>0</v>
      </c>
      <c r="C78" s="94" t="str">
        <f>'Necesidades Trimestrales'!E76</f>
        <v>ELECTRODO DE PCO2 P/COBAS B221</v>
      </c>
      <c r="D78" s="94"/>
      <c r="E78" s="94"/>
      <c r="F78" s="94"/>
      <c r="G78" s="94"/>
      <c r="H78" s="64" t="s">
        <v>56</v>
      </c>
      <c r="I78" s="65" t="str">
        <f>'Necesidades Trimestrales'!F76</f>
        <v>UNIDAD</v>
      </c>
      <c r="J78" s="66">
        <f>'Necesidades Trimestrales'!H76</f>
        <v>61961</v>
      </c>
      <c r="K78" s="67">
        <f>'Necesidades Trimestrales'!G76</f>
        <v>1</v>
      </c>
    </row>
    <row r="79" spans="1:11" ht="20.25" customHeight="1" thickBot="1" x14ac:dyDescent="0.25">
      <c r="A79" s="8">
        <v>68</v>
      </c>
      <c r="B79" s="63">
        <f>'Necesidades Trimestrales'!B77</f>
        <v>0</v>
      </c>
      <c r="C79" s="94" t="str">
        <f>'Necesidades Trimestrales'!E77</f>
        <v>ELECTRODO DE PH P/COBAS B221</v>
      </c>
      <c r="D79" s="94"/>
      <c r="E79" s="94"/>
      <c r="F79" s="94"/>
      <c r="G79" s="94"/>
      <c r="H79" s="64" t="s">
        <v>56</v>
      </c>
      <c r="I79" s="65" t="str">
        <f>'Necesidades Trimestrales'!F77</f>
        <v>UNIDAD</v>
      </c>
      <c r="J79" s="66">
        <f>'Necesidades Trimestrales'!H77</f>
        <v>25865</v>
      </c>
      <c r="K79" s="67">
        <f>'Necesidades Trimestrales'!G77</f>
        <v>1</v>
      </c>
    </row>
    <row r="80" spans="1:11" ht="20.25" customHeight="1" thickBot="1" x14ac:dyDescent="0.25">
      <c r="A80" s="8">
        <v>69</v>
      </c>
      <c r="B80" s="63">
        <f>'Necesidades Trimestrales'!B78</f>
        <v>0</v>
      </c>
      <c r="C80" s="94" t="str">
        <f>'Necesidades Trimestrales'!E78</f>
        <v>ELECTRODO DE PO2 P/COBAS B221</v>
      </c>
      <c r="D80" s="94"/>
      <c r="E80" s="94"/>
      <c r="F80" s="94"/>
      <c r="G80" s="94"/>
      <c r="H80" s="64" t="s">
        <v>56</v>
      </c>
      <c r="I80" s="65" t="str">
        <f>'Necesidades Trimestrales'!F78</f>
        <v>UNIDAD</v>
      </c>
      <c r="J80" s="66">
        <f>'Necesidades Trimestrales'!H78</f>
        <v>58870</v>
      </c>
      <c r="K80" s="67">
        <f>'Necesidades Trimestrales'!G78</f>
        <v>1</v>
      </c>
    </row>
    <row r="81" spans="1:11" ht="20.25" customHeight="1" thickBot="1" x14ac:dyDescent="0.25">
      <c r="A81" s="8">
        <v>70</v>
      </c>
      <c r="B81" s="63">
        <f>'Necesidades Trimestrales'!B79</f>
        <v>0</v>
      </c>
      <c r="C81" s="94" t="str">
        <f>'Necesidades Trimestrales'!E79</f>
        <v>ELECTRODO DE POTASIO P/COBAS B221</v>
      </c>
      <c r="D81" s="94"/>
      <c r="E81" s="94"/>
      <c r="F81" s="94"/>
      <c r="G81" s="94"/>
      <c r="H81" s="64" t="s">
        <v>56</v>
      </c>
      <c r="I81" s="65" t="str">
        <f>'Necesidades Trimestrales'!F79</f>
        <v>UNIDAD</v>
      </c>
      <c r="J81" s="66">
        <f>'Necesidades Trimestrales'!H79</f>
        <v>15503</v>
      </c>
      <c r="K81" s="67">
        <f>'Necesidades Trimestrales'!G79</f>
        <v>1</v>
      </c>
    </row>
    <row r="82" spans="1:11" ht="20.25" customHeight="1" thickBot="1" x14ac:dyDescent="0.25">
      <c r="A82" s="8">
        <v>71</v>
      </c>
      <c r="B82" s="63">
        <f>'Necesidades Trimestrales'!B80</f>
        <v>0</v>
      </c>
      <c r="C82" s="94" t="str">
        <f>'Necesidades Trimestrales'!E80</f>
        <v>ELECTRODO DE REFERENCIA P/COBAS B221</v>
      </c>
      <c r="D82" s="94"/>
      <c r="E82" s="94"/>
      <c r="F82" s="94"/>
      <c r="G82" s="94"/>
      <c r="H82" s="64" t="s">
        <v>56</v>
      </c>
      <c r="I82" s="65" t="str">
        <f>'Necesidades Trimestrales'!F80</f>
        <v>UNIDAD</v>
      </c>
      <c r="J82" s="66">
        <f>'Necesidades Trimestrales'!H80</f>
        <v>28916</v>
      </c>
      <c r="K82" s="67">
        <f>'Necesidades Trimestrales'!G80</f>
        <v>2</v>
      </c>
    </row>
    <row r="83" spans="1:11" ht="20.25" customHeight="1" thickBot="1" x14ac:dyDescent="0.25">
      <c r="A83" s="8">
        <v>72</v>
      </c>
      <c r="B83" s="63">
        <f>'Necesidades Trimestrales'!B81</f>
        <v>0</v>
      </c>
      <c r="C83" s="94" t="str">
        <f>'Necesidades Trimestrales'!E81</f>
        <v>ELECTRODO DE SODIO P/COBAS B221</v>
      </c>
      <c r="D83" s="94"/>
      <c r="E83" s="94"/>
      <c r="F83" s="94"/>
      <c r="G83" s="94"/>
      <c r="H83" s="64" t="s">
        <v>56</v>
      </c>
      <c r="I83" s="65" t="str">
        <f>'Necesidades Trimestrales'!F81</f>
        <v>UNIDAD</v>
      </c>
      <c r="J83" s="66">
        <f>'Necesidades Trimestrales'!H81</f>
        <v>15503</v>
      </c>
      <c r="K83" s="67">
        <f>'Necesidades Trimestrales'!G81</f>
        <v>1</v>
      </c>
    </row>
    <row r="84" spans="1:11" ht="20.25" customHeight="1" thickBot="1" x14ac:dyDescent="0.25">
      <c r="A84" s="8">
        <v>73</v>
      </c>
      <c r="B84" s="63">
        <f>'Necesidades Trimestrales'!B82</f>
        <v>0</v>
      </c>
      <c r="C84" s="94" t="str">
        <f>'Necesidades Trimestrales'!E82</f>
        <v>ELETRODO DE REFERENCIA P COBAS C 311</v>
      </c>
      <c r="D84" s="94"/>
      <c r="E84" s="94"/>
      <c r="F84" s="94"/>
      <c r="G84" s="94"/>
      <c r="H84" s="64" t="s">
        <v>56</v>
      </c>
      <c r="I84" s="65" t="str">
        <f>'Necesidades Trimestrales'!F82</f>
        <v>UNIDAD</v>
      </c>
      <c r="J84" s="66">
        <f>'Necesidades Trimestrales'!H82</f>
        <v>48586</v>
      </c>
      <c r="K84" s="67">
        <f>'Necesidades Trimestrales'!G82</f>
        <v>2</v>
      </c>
    </row>
    <row r="85" spans="1:11" ht="20.25" customHeight="1" thickBot="1" x14ac:dyDescent="0.25">
      <c r="A85" s="8">
        <v>74</v>
      </c>
      <c r="B85" s="63">
        <f>'Necesidades Trimestrales'!B83</f>
        <v>0</v>
      </c>
      <c r="C85" s="94" t="str">
        <f>'Necesidades Trimestrales'!E83</f>
        <v>FLUOROCELL 2 X 42 MML P/SYSMEX XN</v>
      </c>
      <c r="D85" s="94"/>
      <c r="E85" s="94"/>
      <c r="F85" s="94"/>
      <c r="G85" s="94"/>
      <c r="H85" s="64" t="s">
        <v>56</v>
      </c>
      <c r="I85" s="65" t="str">
        <f>'Necesidades Trimestrales'!F83</f>
        <v>BIDON</v>
      </c>
      <c r="J85" s="66">
        <f>'Necesidades Trimestrales'!H83</f>
        <v>79096</v>
      </c>
      <c r="K85" s="67">
        <f>'Necesidades Trimestrales'!G83</f>
        <v>6</v>
      </c>
    </row>
    <row r="86" spans="1:11" ht="20.25" customHeight="1" thickBot="1" x14ac:dyDescent="0.25">
      <c r="A86" s="8">
        <v>75</v>
      </c>
      <c r="B86" s="63">
        <f>'Necesidades Trimestrales'!B84</f>
        <v>0</v>
      </c>
      <c r="C86" s="94" t="str">
        <f>'Necesidades Trimestrales'!E84</f>
        <v xml:space="preserve">HEPARINA SODICA AMPOLLA DE 5ML </v>
      </c>
      <c r="D86" s="94"/>
      <c r="E86" s="94"/>
      <c r="F86" s="94"/>
      <c r="G86" s="94"/>
      <c r="H86" s="64" t="s">
        <v>56</v>
      </c>
      <c r="I86" s="65" t="str">
        <f>'Necesidades Trimestrales'!F84</f>
        <v>CAJA</v>
      </c>
      <c r="J86" s="66">
        <f>'Necesidades Trimestrales'!H84</f>
        <v>1000</v>
      </c>
      <c r="K86" s="67">
        <f>'Necesidades Trimestrales'!G84</f>
        <v>30</v>
      </c>
    </row>
    <row r="87" spans="1:11" ht="20.25" customHeight="1" thickBot="1" x14ac:dyDescent="0.25">
      <c r="A87" s="8">
        <v>76</v>
      </c>
      <c r="B87" s="63">
        <f>'Necesidades Trimestrales'!B85</f>
        <v>0</v>
      </c>
      <c r="C87" s="94" t="str">
        <f>'Necesidades Trimestrales'!E85</f>
        <v>HIDATEST HAI X 96 DET POLYCHACO</v>
      </c>
      <c r="D87" s="94"/>
      <c r="E87" s="94"/>
      <c r="F87" s="94"/>
      <c r="G87" s="94"/>
      <c r="H87" s="64" t="s">
        <v>56</v>
      </c>
      <c r="I87" s="65" t="str">
        <f>'Necesidades Trimestrales'!F85</f>
        <v>CAJA</v>
      </c>
      <c r="J87" s="66">
        <f>'Necesidades Trimestrales'!H85</f>
        <v>18529</v>
      </c>
      <c r="K87" s="67">
        <f>'Necesidades Trimestrales'!G85</f>
        <v>1</v>
      </c>
    </row>
    <row r="88" spans="1:11" ht="20.25" customHeight="1" thickBot="1" x14ac:dyDescent="0.25">
      <c r="A88" s="8">
        <v>77</v>
      </c>
      <c r="B88" s="63">
        <f>'Necesidades Trimestrales'!B86</f>
        <v>0</v>
      </c>
      <c r="C88" s="94" t="str">
        <f>'Necesidades Trimestrales'!E86</f>
        <v>Iodo metálico y/o resumiblado  x 100 g T/Biopack</v>
      </c>
      <c r="D88" s="94"/>
      <c r="E88" s="94"/>
      <c r="F88" s="94"/>
      <c r="G88" s="94"/>
      <c r="H88" s="64" t="s">
        <v>56</v>
      </c>
      <c r="I88" s="65" t="str">
        <f>'Necesidades Trimestrales'!F86</f>
        <v>FRASCO</v>
      </c>
      <c r="J88" s="66">
        <f>'Necesidades Trimestrales'!H86</f>
        <v>7500</v>
      </c>
      <c r="K88" s="67">
        <f>'Necesidades Trimestrales'!G86</f>
        <v>2</v>
      </c>
    </row>
    <row r="89" spans="1:11" ht="20.25" customHeight="1" thickBot="1" x14ac:dyDescent="0.25">
      <c r="A89" s="8">
        <v>78</v>
      </c>
      <c r="B89" s="63">
        <f>'Necesidades Trimestrales'!B87</f>
        <v>0</v>
      </c>
      <c r="C89" s="94" t="str">
        <f>'Necesidades Trimestrales'!E87</f>
        <v>ISE DILUENT GEN2 BIDON  X 300 ML P/COBAS C311</v>
      </c>
      <c r="D89" s="94"/>
      <c r="E89" s="94"/>
      <c r="F89" s="94"/>
      <c r="G89" s="94"/>
      <c r="H89" s="64" t="s">
        <v>56</v>
      </c>
      <c r="I89" s="65" t="str">
        <f>'Necesidades Trimestrales'!F87</f>
        <v>CAJA</v>
      </c>
      <c r="J89" s="66">
        <f>'Necesidades Trimestrales'!H87</f>
        <v>19752</v>
      </c>
      <c r="K89" s="67">
        <f>'Necesidades Trimestrales'!G87</f>
        <v>3</v>
      </c>
    </row>
    <row r="90" spans="1:11" ht="20.25" customHeight="1" thickBot="1" x14ac:dyDescent="0.25">
      <c r="A90" s="8">
        <v>79</v>
      </c>
      <c r="B90" s="63">
        <f>'Necesidades Trimestrales'!B88</f>
        <v>0</v>
      </c>
      <c r="C90" s="94" t="str">
        <f>'Necesidades Trimestrales'!E88</f>
        <v>ISE INTERNAL STANDART GEN2 5 X 600 ML P/COBAS C311</v>
      </c>
      <c r="D90" s="94"/>
      <c r="E90" s="94"/>
      <c r="F90" s="94"/>
      <c r="G90" s="94"/>
      <c r="H90" s="64" t="s">
        <v>56</v>
      </c>
      <c r="I90" s="65" t="str">
        <f>'Necesidades Trimestrales'!F88</f>
        <v>CAJA</v>
      </c>
      <c r="J90" s="66">
        <f>'Necesidades Trimestrales'!H88</f>
        <v>24242</v>
      </c>
      <c r="K90" s="67">
        <f>'Necesidades Trimestrales'!G88</f>
        <v>10</v>
      </c>
    </row>
    <row r="91" spans="1:11" ht="20.25" customHeight="1" thickBot="1" x14ac:dyDescent="0.25">
      <c r="A91" s="8">
        <v>80</v>
      </c>
      <c r="B91" s="63">
        <f>'Necesidades Trimestrales'!B89</f>
        <v>0</v>
      </c>
      <c r="C91" s="94" t="str">
        <f>'Necesidades Trimestrales'!E89</f>
        <v>ISE SOLUTION DE REFERENCIA 5 X 300 ML P/COBAS C311</v>
      </c>
      <c r="D91" s="94"/>
      <c r="E91" s="94"/>
      <c r="F91" s="94"/>
      <c r="G91" s="94"/>
      <c r="H91" s="64" t="s">
        <v>56</v>
      </c>
      <c r="I91" s="65" t="str">
        <f>'Necesidades Trimestrales'!F89</f>
        <v>CAJA</v>
      </c>
      <c r="J91" s="66">
        <f>'Necesidades Trimestrales'!H89</f>
        <v>9131</v>
      </c>
      <c r="K91" s="67">
        <f>'Necesidades Trimestrales'!G89</f>
        <v>10</v>
      </c>
    </row>
    <row r="92" spans="1:11" ht="20.25" customHeight="1" thickBot="1" x14ac:dyDescent="0.25">
      <c r="A92" s="8">
        <v>81</v>
      </c>
      <c r="B92" s="63">
        <f>'Necesidades Trimestrales'!B90</f>
        <v>0</v>
      </c>
      <c r="C92" s="94" t="str">
        <f>'Necesidades Trimestrales'!E90</f>
        <v xml:space="preserve">KIT ANTICUERPOS ANTITRANSGLUTAMINASA EN IGA TIPO ORGESTRIOL </v>
      </c>
      <c r="D92" s="94"/>
      <c r="E92" s="94"/>
      <c r="F92" s="94"/>
      <c r="G92" s="94"/>
      <c r="H92" s="64" t="s">
        <v>56</v>
      </c>
      <c r="I92" s="65" t="str">
        <f>'Necesidades Trimestrales'!F90</f>
        <v>CAJA</v>
      </c>
      <c r="J92" s="66">
        <f>'Necesidades Trimestrales'!H90</f>
        <v>41184</v>
      </c>
      <c r="K92" s="67">
        <f>'Necesidades Trimestrales'!G90</f>
        <v>4</v>
      </c>
    </row>
    <row r="93" spans="1:11" ht="20.25" customHeight="1" thickBot="1" x14ac:dyDescent="0.25">
      <c r="A93" s="8">
        <v>82</v>
      </c>
      <c r="B93" s="63">
        <f>'Necesidades Trimestrales'!B91</f>
        <v>0</v>
      </c>
      <c r="C93" s="94" t="str">
        <f>'Necesidades Trimestrales'!E91</f>
        <v xml:space="preserve">KIT CHAGAS HAI  WIENER  X 96 DET </v>
      </c>
      <c r="D93" s="94"/>
      <c r="E93" s="94"/>
      <c r="F93" s="94"/>
      <c r="G93" s="94"/>
      <c r="H93" s="64" t="s">
        <v>56</v>
      </c>
      <c r="I93" s="65" t="str">
        <f>'Necesidades Trimestrales'!F91</f>
        <v>UNIDAD</v>
      </c>
      <c r="J93" s="66">
        <f>'Necesidades Trimestrales'!H91</f>
        <v>15058</v>
      </c>
      <c r="K93" s="67">
        <f>'Necesidades Trimestrales'!G91</f>
        <v>6</v>
      </c>
    </row>
    <row r="94" spans="1:11" ht="20.25" customHeight="1" thickBot="1" x14ac:dyDescent="0.25">
      <c r="A94" s="8">
        <v>83</v>
      </c>
      <c r="B94" s="63">
        <f>'Necesidades Trimestrales'!B92</f>
        <v>0</v>
      </c>
      <c r="C94" s="94" t="str">
        <f>'Necesidades Trimestrales'!E92</f>
        <v>KIT HIDATEST HAI X 96 DET POLYCHACO</v>
      </c>
      <c r="D94" s="94"/>
      <c r="E94" s="94"/>
      <c r="F94" s="94"/>
      <c r="G94" s="94"/>
      <c r="H94" s="64" t="s">
        <v>56</v>
      </c>
      <c r="I94" s="65" t="str">
        <f>'Necesidades Trimestrales'!F92</f>
        <v>CAJA</v>
      </c>
      <c r="J94" s="66">
        <f>'Necesidades Trimestrales'!H92</f>
        <v>18529</v>
      </c>
      <c r="K94" s="67">
        <f>'Necesidades Trimestrales'!G92</f>
        <v>2</v>
      </c>
    </row>
    <row r="95" spans="1:11" ht="20.25" customHeight="1" thickBot="1" x14ac:dyDescent="0.25">
      <c r="A95" s="8">
        <v>84</v>
      </c>
      <c r="B95" s="63">
        <f>'Necesidades Trimestrales'!B93</f>
        <v>0</v>
      </c>
      <c r="C95" s="94" t="str">
        <f>'Necesidades Trimestrales'!E93</f>
        <v>KIT TOXO HAI X 96 DET. TIPO WIENER</v>
      </c>
      <c r="D95" s="94"/>
      <c r="E95" s="94"/>
      <c r="F95" s="94"/>
      <c r="G95" s="94"/>
      <c r="H95" s="64" t="s">
        <v>56</v>
      </c>
      <c r="I95" s="65" t="str">
        <f>'Necesidades Trimestrales'!F93</f>
        <v>CAJA</v>
      </c>
      <c r="J95" s="66">
        <f>'Necesidades Trimestrales'!H93</f>
        <v>23124</v>
      </c>
      <c r="K95" s="67">
        <f>'Necesidades Trimestrales'!G93</f>
        <v>2</v>
      </c>
    </row>
    <row r="96" spans="1:11" ht="20.25" customHeight="1" thickBot="1" x14ac:dyDescent="0.25">
      <c r="A96" s="8">
        <v>85</v>
      </c>
      <c r="B96" s="63">
        <f>'Necesidades Trimestrales'!B94</f>
        <v>0</v>
      </c>
      <c r="C96" s="94" t="str">
        <f>'Necesidades Trimestrales'!E94</f>
        <v xml:space="preserve">KIT VDRL TEST  1 X 5,5 ML WIENER </v>
      </c>
      <c r="D96" s="94"/>
      <c r="E96" s="94"/>
      <c r="F96" s="94"/>
      <c r="G96" s="94"/>
      <c r="H96" s="64" t="s">
        <v>56</v>
      </c>
      <c r="I96" s="65" t="str">
        <f>'Necesidades Trimestrales'!F94</f>
        <v>CAJA</v>
      </c>
      <c r="J96" s="66">
        <f>'Necesidades Trimestrales'!H94</f>
        <v>2269</v>
      </c>
      <c r="K96" s="67">
        <f>'Necesidades Trimestrales'!G94</f>
        <v>3</v>
      </c>
    </row>
    <row r="97" spans="1:11" ht="20.25" customHeight="1" thickBot="1" x14ac:dyDescent="0.25">
      <c r="A97" s="8">
        <v>86</v>
      </c>
      <c r="B97" s="63">
        <f>'Necesidades Trimestrales'!B95</f>
        <v>0</v>
      </c>
      <c r="C97" s="94" t="str">
        <f>'Necesidades Trimestrales'!E95</f>
        <v>LYSERCELL WDF X 5 LTS - TIPO SYSMEX XNL</v>
      </c>
      <c r="D97" s="94"/>
      <c r="E97" s="94"/>
      <c r="F97" s="94"/>
      <c r="G97" s="94"/>
      <c r="H97" s="64" t="s">
        <v>56</v>
      </c>
      <c r="I97" s="65" t="str">
        <f>'Necesidades Trimestrales'!F95</f>
        <v>BIDON</v>
      </c>
      <c r="J97" s="66">
        <f>'Necesidades Trimestrales'!H95</f>
        <v>25167</v>
      </c>
      <c r="K97" s="67">
        <f>'Necesidades Trimestrales'!G95</f>
        <v>12</v>
      </c>
    </row>
    <row r="98" spans="1:11" ht="20.25" customHeight="1" thickBot="1" x14ac:dyDescent="0.25">
      <c r="A98" s="8">
        <v>87</v>
      </c>
      <c r="B98" s="63">
        <f>'Necesidades Trimestrales'!B96</f>
        <v>0</v>
      </c>
      <c r="C98" s="94" t="str">
        <f>'Necesidades Trimestrales'!E96</f>
        <v>NAOH - D CASSETTE P/COBAS C311</v>
      </c>
      <c r="D98" s="94"/>
      <c r="E98" s="94"/>
      <c r="F98" s="94"/>
      <c r="G98" s="94"/>
      <c r="H98" s="64" t="s">
        <v>56</v>
      </c>
      <c r="I98" s="65" t="str">
        <f>'Necesidades Trimestrales'!F96</f>
        <v>CASSETTE</v>
      </c>
      <c r="J98" s="66">
        <f>'Necesidades Trimestrales'!H96</f>
        <v>1328</v>
      </c>
      <c r="K98" s="67">
        <f>'Necesidades Trimestrales'!G96</f>
        <v>50</v>
      </c>
    </row>
    <row r="99" spans="1:11" ht="20.25" customHeight="1" thickBot="1" x14ac:dyDescent="0.25">
      <c r="A99" s="8">
        <v>88</v>
      </c>
      <c r="B99" s="63">
        <f>'Necesidades Trimestrales'!B97</f>
        <v>0</v>
      </c>
      <c r="C99" s="94" t="str">
        <f>'Necesidades Trimestrales'!E97</f>
        <v>PRECICONTROL ANTI CCP 4 X 2 ML P/COBAS E411</v>
      </c>
      <c r="D99" s="94"/>
      <c r="E99" s="94"/>
      <c r="F99" s="94"/>
      <c r="G99" s="94"/>
      <c r="H99" s="64" t="s">
        <v>56</v>
      </c>
      <c r="I99" s="65" t="str">
        <f>'Necesidades Trimestrales'!F97</f>
        <v>CAJA</v>
      </c>
      <c r="J99" s="66">
        <f>'Necesidades Trimestrales'!H97</f>
        <v>32286</v>
      </c>
      <c r="K99" s="67">
        <f>'Necesidades Trimestrales'!G97</f>
        <v>3</v>
      </c>
    </row>
    <row r="100" spans="1:11" ht="20.25" customHeight="1" thickBot="1" x14ac:dyDescent="0.25">
      <c r="A100" s="8">
        <v>89</v>
      </c>
      <c r="B100" s="63">
        <f>'Necesidades Trimestrales'!B98</f>
        <v>0</v>
      </c>
      <c r="C100" s="94" t="str">
        <f>'Necesidades Trimestrales'!E98</f>
        <v>PRECICONTROL ANTI HBCORE 16 X 1 ML P/COBAS E411</v>
      </c>
      <c r="D100" s="94"/>
      <c r="E100" s="94"/>
      <c r="F100" s="94"/>
      <c r="G100" s="94"/>
      <c r="H100" s="64" t="s">
        <v>56</v>
      </c>
      <c r="I100" s="65" t="str">
        <f>'Necesidades Trimestrales'!F98</f>
        <v>CAJA</v>
      </c>
      <c r="J100" s="66">
        <f>'Necesidades Trimestrales'!H98</f>
        <v>15603</v>
      </c>
      <c r="K100" s="67">
        <f>'Necesidades Trimestrales'!G98</f>
        <v>1</v>
      </c>
    </row>
    <row r="101" spans="1:11" ht="20.25" customHeight="1" thickBot="1" x14ac:dyDescent="0.25">
      <c r="A101" s="8">
        <v>90</v>
      </c>
      <c r="B101" s="63">
        <f>'Necesidades Trimestrales'!B99</f>
        <v>0</v>
      </c>
      <c r="C101" s="94" t="str">
        <f>'Necesidades Trimestrales'!E99</f>
        <v>PRECICONTROL ANTI HBS   P/COBAS E411 16 X 1 ML</v>
      </c>
      <c r="D101" s="94"/>
      <c r="E101" s="94"/>
      <c r="F101" s="94"/>
      <c r="G101" s="94"/>
      <c r="H101" s="64" t="s">
        <v>56</v>
      </c>
      <c r="I101" s="65" t="str">
        <f>'Necesidades Trimestrales'!F99</f>
        <v>CAJA</v>
      </c>
      <c r="J101" s="66">
        <f>'Necesidades Trimestrales'!H99</f>
        <v>15611</v>
      </c>
      <c r="K101" s="67">
        <f>'Necesidades Trimestrales'!G99</f>
        <v>1</v>
      </c>
    </row>
    <row r="102" spans="1:11" ht="20.25" customHeight="1" thickBot="1" x14ac:dyDescent="0.25">
      <c r="A102" s="8">
        <v>91</v>
      </c>
      <c r="B102" s="63">
        <f>'Necesidades Trimestrales'!B100</f>
        <v>0</v>
      </c>
      <c r="C102" s="94" t="str">
        <f>'Necesidades Trimestrales'!E100</f>
        <v>PRECICONTROL ANTI HCV 16 X 1 ML P/COBAS E412</v>
      </c>
      <c r="D102" s="94"/>
      <c r="E102" s="94"/>
      <c r="F102" s="94"/>
      <c r="G102" s="94"/>
      <c r="H102" s="64" t="s">
        <v>56</v>
      </c>
      <c r="I102" s="65" t="str">
        <f>'Necesidades Trimestrales'!F100</f>
        <v>CAJA</v>
      </c>
      <c r="J102" s="66">
        <f>'Necesidades Trimestrales'!H100</f>
        <v>29357</v>
      </c>
      <c r="K102" s="67">
        <f>'Necesidades Trimestrales'!G100</f>
        <v>1</v>
      </c>
    </row>
    <row r="103" spans="1:11" ht="20.25" customHeight="1" thickBot="1" x14ac:dyDescent="0.25">
      <c r="A103" s="8">
        <v>92</v>
      </c>
      <c r="B103" s="63">
        <f>'Necesidades Trimestrales'!B101</f>
        <v>0</v>
      </c>
      <c r="C103" s="94" t="str">
        <f>'Necesidades Trimestrales'!E101</f>
        <v>PRECICONTROL ANTI SARAS COV 2 CUANTITATIVO P/COBAS E411</v>
      </c>
      <c r="D103" s="94"/>
      <c r="E103" s="94"/>
      <c r="F103" s="94"/>
      <c r="G103" s="94"/>
      <c r="H103" s="64" t="s">
        <v>56</v>
      </c>
      <c r="I103" s="65" t="str">
        <f>'Necesidades Trimestrales'!F101</f>
        <v>CAJA</v>
      </c>
      <c r="J103" s="66">
        <f>'Necesidades Trimestrales'!H101</f>
        <v>3900</v>
      </c>
      <c r="K103" s="67">
        <f>'Necesidades Trimestrales'!G101</f>
        <v>3</v>
      </c>
    </row>
    <row r="104" spans="1:11" ht="20.25" customHeight="1" thickBot="1" x14ac:dyDescent="0.25">
      <c r="A104" s="8">
        <v>93</v>
      </c>
      <c r="B104" s="63">
        <f>'Necesidades Trimestrales'!B102</f>
        <v>0</v>
      </c>
      <c r="C104" s="94" t="str">
        <f>'Necesidades Trimestrales'!E102</f>
        <v>PRECICONTROL CHAGAS P COBAS E411 16 X 1 ML</v>
      </c>
      <c r="D104" s="94"/>
      <c r="E104" s="94"/>
      <c r="F104" s="94"/>
      <c r="G104" s="94"/>
      <c r="H104" s="64" t="s">
        <v>56</v>
      </c>
      <c r="I104" s="65" t="str">
        <f>'Necesidades Trimestrales'!F102</f>
        <v>CAJA</v>
      </c>
      <c r="J104" s="66">
        <f>'Necesidades Trimestrales'!H102</f>
        <v>34407</v>
      </c>
      <c r="K104" s="67">
        <f>'Necesidades Trimestrales'!G102</f>
        <v>1</v>
      </c>
    </row>
    <row r="105" spans="1:11" ht="20.25" customHeight="1" thickBot="1" x14ac:dyDescent="0.25">
      <c r="A105" s="8">
        <v>94</v>
      </c>
      <c r="B105" s="63">
        <f>'Necesidades Trimestrales'!B103</f>
        <v>0</v>
      </c>
      <c r="C105" s="94" t="str">
        <f>'Necesidades Trimestrales'!E103</f>
        <v>PRECICONTROL CITOMEGALOVIRUS IGG 16 X 1 ML P COBAS E 411</v>
      </c>
      <c r="D105" s="94"/>
      <c r="E105" s="94"/>
      <c r="F105" s="94"/>
      <c r="G105" s="94"/>
      <c r="H105" s="64" t="s">
        <v>56</v>
      </c>
      <c r="I105" s="65" t="str">
        <f>'Necesidades Trimestrales'!F103</f>
        <v>CAJA</v>
      </c>
      <c r="J105" s="66">
        <f>'Necesidades Trimestrales'!H103</f>
        <v>37017</v>
      </c>
      <c r="K105" s="67">
        <f>'Necesidades Trimestrales'!G103</f>
        <v>1</v>
      </c>
    </row>
    <row r="106" spans="1:11" ht="20.25" customHeight="1" thickBot="1" x14ac:dyDescent="0.25">
      <c r="A106" s="8">
        <v>95</v>
      </c>
      <c r="B106" s="63">
        <f>'Necesidades Trimestrales'!B104</f>
        <v>0</v>
      </c>
      <c r="C106" s="94" t="str">
        <f>'Necesidades Trimestrales'!E104</f>
        <v>PRECICONTROL CITOMEGALOVIRUS IGM 16 X 1 ML P COBAS E 411</v>
      </c>
      <c r="D106" s="94"/>
      <c r="E106" s="94"/>
      <c r="F106" s="94"/>
      <c r="G106" s="94"/>
      <c r="H106" s="64" t="s">
        <v>56</v>
      </c>
      <c r="I106" s="65" t="str">
        <f>'Necesidades Trimestrales'!F104</f>
        <v>CAJA</v>
      </c>
      <c r="J106" s="66">
        <f>'Necesidades Trimestrales'!H104</f>
        <v>39500</v>
      </c>
      <c r="K106" s="67">
        <f>'Necesidades Trimestrales'!G104</f>
        <v>1</v>
      </c>
    </row>
    <row r="107" spans="1:11" ht="20.25" customHeight="1" thickBot="1" x14ac:dyDescent="0.25">
      <c r="A107" s="8">
        <v>96</v>
      </c>
      <c r="B107" s="63">
        <f>'Necesidades Trimestrales'!B105</f>
        <v>0</v>
      </c>
      <c r="C107" s="94" t="str">
        <f>'Necesidades Trimestrales'!E105</f>
        <v>PRECICONTROL ANTIGENO HBS P/COBAS E411 16 X 1 ML</v>
      </c>
      <c r="D107" s="94"/>
      <c r="E107" s="94"/>
      <c r="F107" s="94"/>
      <c r="G107" s="94"/>
      <c r="H107" s="64" t="s">
        <v>56</v>
      </c>
      <c r="I107" s="65" t="str">
        <f>'Necesidades Trimestrales'!F105</f>
        <v>CAJA</v>
      </c>
      <c r="J107" s="66">
        <f>'Necesidades Trimestrales'!H105</f>
        <v>15305</v>
      </c>
      <c r="K107" s="67">
        <f>'Necesidades Trimestrales'!G105</f>
        <v>1</v>
      </c>
    </row>
    <row r="108" spans="1:11" ht="20.25" customHeight="1" thickBot="1" x14ac:dyDescent="0.25">
      <c r="A108" s="8">
        <v>97</v>
      </c>
      <c r="B108" s="63">
        <f>'Necesidades Trimestrales'!B106</f>
        <v>0</v>
      </c>
      <c r="C108" s="94" t="str">
        <f>'Necesidades Trimestrales'!E106</f>
        <v>PRECICONTROL CLINCHEM  MULTI 1  QCS COBAS C-311 ROCHE  20 X 5 ML</v>
      </c>
      <c r="D108" s="94"/>
      <c r="E108" s="94"/>
      <c r="F108" s="94"/>
      <c r="G108" s="94"/>
      <c r="H108" s="64" t="s">
        <v>56</v>
      </c>
      <c r="I108" s="65" t="str">
        <f>'Necesidades Trimestrales'!F106</f>
        <v>CAJA</v>
      </c>
      <c r="J108" s="66">
        <f>'Necesidades Trimestrales'!H106</f>
        <v>42474</v>
      </c>
      <c r="K108" s="67">
        <f>'Necesidades Trimestrales'!G106</f>
        <v>2</v>
      </c>
    </row>
    <row r="109" spans="1:11" ht="20.25" customHeight="1" thickBot="1" x14ac:dyDescent="0.25">
      <c r="A109" s="8">
        <v>98</v>
      </c>
      <c r="B109" s="63">
        <f>'Necesidades Trimestrales'!B107</f>
        <v>0</v>
      </c>
      <c r="C109" s="94" t="str">
        <f>'Necesidades Trimestrales'!E107</f>
        <v>PRECICONTROL CLINCHEM  MULTI 2  QCS COBAS C-311 ROCHE  20 X 5 ML</v>
      </c>
      <c r="D109" s="94"/>
      <c r="E109" s="94"/>
      <c r="F109" s="94"/>
      <c r="G109" s="94"/>
      <c r="H109" s="64" t="s">
        <v>56</v>
      </c>
      <c r="I109" s="65" t="str">
        <f>'Necesidades Trimestrales'!F107</f>
        <v>CAJA</v>
      </c>
      <c r="J109" s="66">
        <f>'Necesidades Trimestrales'!H107</f>
        <v>42474</v>
      </c>
      <c r="K109" s="67">
        <f>'Necesidades Trimestrales'!G107</f>
        <v>2</v>
      </c>
    </row>
    <row r="110" spans="1:11" ht="20.25" customHeight="1" thickBot="1" x14ac:dyDescent="0.25">
      <c r="A110" s="8">
        <v>99</v>
      </c>
      <c r="B110" s="63">
        <f>'Necesidades Trimestrales'!B108</f>
        <v>0</v>
      </c>
      <c r="C110" s="94" t="str">
        <f>'Necesidades Trimestrales'!E108</f>
        <v>PRECICONTROL HBC1 NORM P/COBAS C311</v>
      </c>
      <c r="D110" s="94"/>
      <c r="E110" s="94"/>
      <c r="F110" s="94"/>
      <c r="G110" s="94"/>
      <c r="H110" s="64" t="s">
        <v>56</v>
      </c>
      <c r="I110" s="65" t="str">
        <f>'Necesidades Trimestrales'!F108</f>
        <v>CAJA</v>
      </c>
      <c r="J110" s="66">
        <f>'Necesidades Trimestrales'!H108</f>
        <v>15112</v>
      </c>
      <c r="K110" s="67">
        <f>'Necesidades Trimestrales'!G108</f>
        <v>1</v>
      </c>
    </row>
    <row r="111" spans="1:11" ht="20.25" customHeight="1" thickBot="1" x14ac:dyDescent="0.25">
      <c r="A111" s="8">
        <v>100</v>
      </c>
      <c r="B111" s="63">
        <f>'Necesidades Trimestrales'!B109</f>
        <v>0</v>
      </c>
      <c r="C111" s="94" t="str">
        <f>'Necesidades Trimestrales'!E109</f>
        <v>PRECICONTROL HBC1 PATH P/COBAS C311</v>
      </c>
      <c r="D111" s="94"/>
      <c r="E111" s="94"/>
      <c r="F111" s="94"/>
      <c r="G111" s="94"/>
      <c r="H111" s="64" t="s">
        <v>56</v>
      </c>
      <c r="I111" s="65" t="str">
        <f>'Necesidades Trimestrales'!F109</f>
        <v>CAJA</v>
      </c>
      <c r="J111" s="66">
        <f>'Necesidades Trimestrales'!H109</f>
        <v>18495</v>
      </c>
      <c r="K111" s="67">
        <f>'Necesidades Trimestrales'!G109</f>
        <v>1</v>
      </c>
    </row>
    <row r="112" spans="1:11" ht="20.25" customHeight="1" thickBot="1" x14ac:dyDescent="0.25">
      <c r="A112" s="8">
        <v>101</v>
      </c>
      <c r="B112" s="63">
        <f>'Necesidades Trimestrales'!B110</f>
        <v>0</v>
      </c>
      <c r="C112" s="94" t="str">
        <f>'Necesidades Trimestrales'!E110</f>
        <v>PRECICONTROL HTLV P/COBAS E411 X 10 CALIBRACIONES</v>
      </c>
      <c r="D112" s="94"/>
      <c r="E112" s="94"/>
      <c r="F112" s="94"/>
      <c r="G112" s="94"/>
      <c r="H112" s="64" t="s">
        <v>56</v>
      </c>
      <c r="I112" s="65" t="str">
        <f>'Necesidades Trimestrales'!F110</f>
        <v>CAJA</v>
      </c>
      <c r="J112" s="66">
        <f>'Necesidades Trimestrales'!H110</f>
        <v>34177</v>
      </c>
      <c r="K112" s="67">
        <f>'Necesidades Trimestrales'!G110</f>
        <v>1</v>
      </c>
    </row>
    <row r="113" spans="1:11" ht="20.25" customHeight="1" thickBot="1" x14ac:dyDescent="0.25">
      <c r="A113" s="8">
        <v>102</v>
      </c>
      <c r="B113" s="63">
        <f>'Necesidades Trimestrales'!B111</f>
        <v>0</v>
      </c>
      <c r="C113" s="94" t="str">
        <f>'Necesidades Trimestrales'!E111</f>
        <v>PRECICONTROL MULTIMARKER QCS 6 X 2 ML P COBAS E 411</v>
      </c>
      <c r="D113" s="94"/>
      <c r="E113" s="94"/>
      <c r="F113" s="94"/>
      <c r="G113" s="94"/>
      <c r="H113" s="64" t="s">
        <v>56</v>
      </c>
      <c r="I113" s="65" t="str">
        <f>'Necesidades Trimestrales'!F111</f>
        <v>CAJA</v>
      </c>
      <c r="J113" s="66">
        <f>'Necesidades Trimestrales'!H111</f>
        <v>32079</v>
      </c>
      <c r="K113" s="67">
        <f>'Necesidades Trimestrales'!G111</f>
        <v>2</v>
      </c>
    </row>
    <row r="114" spans="1:11" ht="20.25" customHeight="1" thickBot="1" x14ac:dyDescent="0.25">
      <c r="A114" s="8">
        <v>103</v>
      </c>
      <c r="B114" s="63">
        <f>'Necesidades Trimestrales'!B112</f>
        <v>0</v>
      </c>
      <c r="C114" s="94" t="str">
        <f>'Necesidades Trimestrales'!E112</f>
        <v>PRECICONTROL SYPHILIS 4 X 2 ML P COBAS E 412</v>
      </c>
      <c r="D114" s="94"/>
      <c r="E114" s="94"/>
      <c r="F114" s="94"/>
      <c r="G114" s="94"/>
      <c r="H114" s="64" t="s">
        <v>56</v>
      </c>
      <c r="I114" s="65" t="str">
        <f>'Necesidades Trimestrales'!F112</f>
        <v>CAJA</v>
      </c>
      <c r="J114" s="66">
        <f>'Necesidades Trimestrales'!H112</f>
        <v>21134</v>
      </c>
      <c r="K114" s="67">
        <f>'Necesidades Trimestrales'!G112</f>
        <v>1</v>
      </c>
    </row>
    <row r="115" spans="1:11" ht="20.25" customHeight="1" thickBot="1" x14ac:dyDescent="0.25">
      <c r="A115" s="8">
        <v>104</v>
      </c>
      <c r="B115" s="63">
        <f>'Necesidades Trimestrales'!B113</f>
        <v>0</v>
      </c>
      <c r="C115" s="94" t="str">
        <f>'Necesidades Trimestrales'!E113</f>
        <v>PRECICONTROL THYRO 4 X 20 ML P COBAS E 411</v>
      </c>
      <c r="D115" s="94"/>
      <c r="E115" s="94"/>
      <c r="F115" s="94"/>
      <c r="G115" s="94"/>
      <c r="H115" s="64" t="s">
        <v>56</v>
      </c>
      <c r="I115" s="65" t="str">
        <f>'Necesidades Trimestrales'!F113</f>
        <v>CAJA</v>
      </c>
      <c r="J115" s="66">
        <f>'Necesidades Trimestrales'!H113</f>
        <v>54909</v>
      </c>
      <c r="K115" s="67">
        <f>'Necesidades Trimestrales'!G113</f>
        <v>3</v>
      </c>
    </row>
    <row r="116" spans="1:11" ht="20.25" customHeight="1" thickBot="1" x14ac:dyDescent="0.25">
      <c r="A116" s="8">
        <v>105</v>
      </c>
      <c r="B116" s="63">
        <f>'Necesidades Trimestrales'!B114</f>
        <v>0</v>
      </c>
      <c r="C116" s="94" t="str">
        <f>'Necesidades Trimestrales'!E114</f>
        <v>PRECICONTROL TOXO IGG 16 X 1 ML P COBAS E 411</v>
      </c>
      <c r="D116" s="94"/>
      <c r="E116" s="94"/>
      <c r="F116" s="94"/>
      <c r="G116" s="94"/>
      <c r="H116" s="64" t="s">
        <v>56</v>
      </c>
      <c r="I116" s="65" t="str">
        <f>'Necesidades Trimestrales'!F114</f>
        <v>CAJA</v>
      </c>
      <c r="J116" s="66">
        <f>'Necesidades Trimestrales'!H114</f>
        <v>38856</v>
      </c>
      <c r="K116" s="67">
        <f>'Necesidades Trimestrales'!G114</f>
        <v>1</v>
      </c>
    </row>
    <row r="117" spans="1:11" ht="20.25" customHeight="1" thickBot="1" x14ac:dyDescent="0.25">
      <c r="A117" s="8">
        <v>106</v>
      </c>
      <c r="B117" s="63">
        <f>'Necesidades Trimestrales'!B115</f>
        <v>0</v>
      </c>
      <c r="C117" s="94" t="str">
        <f>'Necesidades Trimestrales'!E115</f>
        <v>PRECICONTROL TOXO IGM 16 X 1 ML P COBAS E 411</v>
      </c>
      <c r="D117" s="94"/>
      <c r="E117" s="94"/>
      <c r="F117" s="94"/>
      <c r="G117" s="94"/>
      <c r="H117" s="64" t="s">
        <v>56</v>
      </c>
      <c r="I117" s="65" t="str">
        <f>'Necesidades Trimestrales'!F115</f>
        <v>CAJA</v>
      </c>
      <c r="J117" s="66">
        <f>'Necesidades Trimestrales'!H115</f>
        <v>38856</v>
      </c>
      <c r="K117" s="67">
        <f>'Necesidades Trimestrales'!G115</f>
        <v>1</v>
      </c>
    </row>
    <row r="118" spans="1:11" ht="20.25" customHeight="1" thickBot="1" x14ac:dyDescent="0.25">
      <c r="A118" s="8">
        <v>107</v>
      </c>
      <c r="B118" s="63">
        <f>'Necesidades Trimestrales'!B116</f>
        <v>0</v>
      </c>
      <c r="C118" s="94" t="str">
        <f>'Necesidades Trimestrales'!E116</f>
        <v>PRECICONTROL TROPONINA T  4 X 2 ML P COBAS E 411</v>
      </c>
      <c r="D118" s="94"/>
      <c r="E118" s="94"/>
      <c r="F118" s="94"/>
      <c r="G118" s="94"/>
      <c r="H118" s="64" t="s">
        <v>56</v>
      </c>
      <c r="I118" s="65" t="str">
        <f>'Necesidades Trimestrales'!F116</f>
        <v>CAJA</v>
      </c>
      <c r="J118" s="66">
        <f>'Necesidades Trimestrales'!H116</f>
        <v>9381</v>
      </c>
      <c r="K118" s="67">
        <f>'Necesidades Trimestrales'!G116</f>
        <v>3</v>
      </c>
    </row>
    <row r="119" spans="1:11" ht="20.25" customHeight="1" thickBot="1" x14ac:dyDescent="0.25">
      <c r="A119" s="8">
        <v>108</v>
      </c>
      <c r="B119" s="63">
        <f>'Necesidades Trimestrales'!B117</f>
        <v>0</v>
      </c>
      <c r="C119" s="94" t="str">
        <f>'Necesidades Trimestrales'!E117</f>
        <v>PRECICONTROL TUMOR MARKER 4 X 3 ML P COBAS E 411</v>
      </c>
      <c r="D119" s="94"/>
      <c r="E119" s="94"/>
      <c r="F119" s="94"/>
      <c r="G119" s="94"/>
      <c r="H119" s="64" t="s">
        <v>56</v>
      </c>
      <c r="I119" s="65" t="str">
        <f>'Necesidades Trimestrales'!F117</f>
        <v>CAJA</v>
      </c>
      <c r="J119" s="66">
        <f>'Necesidades Trimestrales'!H117</f>
        <v>34726</v>
      </c>
      <c r="K119" s="67">
        <f>'Necesidades Trimestrales'!G117</f>
        <v>3</v>
      </c>
    </row>
    <row r="120" spans="1:11" ht="20.25" customHeight="1" thickBot="1" x14ac:dyDescent="0.25">
      <c r="A120" s="8">
        <v>109</v>
      </c>
      <c r="B120" s="63">
        <f>'Necesidades Trimestrales'!B118</f>
        <v>0</v>
      </c>
      <c r="C120" s="94" t="str">
        <f>'Necesidades Trimestrales'!E118</f>
        <v>PRECICONTROL UNIVERSAL 4 X 3 ML P COBAS E 411</v>
      </c>
      <c r="D120" s="94"/>
      <c r="E120" s="94"/>
      <c r="F120" s="94"/>
      <c r="G120" s="94"/>
      <c r="H120" s="64" t="s">
        <v>56</v>
      </c>
      <c r="I120" s="65" t="str">
        <f>'Necesidades Trimestrales'!F118</f>
        <v>CAJA</v>
      </c>
      <c r="J120" s="66">
        <f>'Necesidades Trimestrales'!H118</f>
        <v>14038</v>
      </c>
      <c r="K120" s="67">
        <f>'Necesidades Trimestrales'!G118</f>
        <v>4</v>
      </c>
    </row>
    <row r="121" spans="1:11" ht="20.25" customHeight="1" thickBot="1" x14ac:dyDescent="0.25">
      <c r="A121" s="8">
        <v>110</v>
      </c>
      <c r="B121" s="63">
        <f>'Necesidades Trimestrales'!B119</f>
        <v>0</v>
      </c>
      <c r="C121" s="94" t="str">
        <f>'Necesidades Trimestrales'!E119</f>
        <v>PRECICONTROL VARIA 4 X 3 ML P COBAS E 411</v>
      </c>
      <c r="D121" s="94"/>
      <c r="E121" s="94"/>
      <c r="F121" s="94"/>
      <c r="G121" s="94"/>
      <c r="H121" s="64" t="s">
        <v>56</v>
      </c>
      <c r="I121" s="65" t="str">
        <f>'Necesidades Trimestrales'!F119</f>
        <v>CAJA</v>
      </c>
      <c r="J121" s="66">
        <f>'Necesidades Trimestrales'!H119</f>
        <v>35564</v>
      </c>
      <c r="K121" s="67">
        <f>'Necesidades Trimestrales'!G119</f>
        <v>3</v>
      </c>
    </row>
    <row r="122" spans="1:11" ht="20.25" customHeight="1" thickBot="1" x14ac:dyDescent="0.25">
      <c r="A122" s="8">
        <v>111</v>
      </c>
      <c r="B122" s="63">
        <f>'Necesidades Trimestrales'!B120</f>
        <v>0</v>
      </c>
      <c r="C122" s="94" t="str">
        <f>'Necesidades Trimestrales'!E120</f>
        <v>PRECINORM PUC COBAS C-311 ROCHE  4 X 3 ML</v>
      </c>
      <c r="D122" s="94"/>
      <c r="E122" s="94"/>
      <c r="F122" s="94"/>
      <c r="G122" s="94"/>
      <c r="H122" s="64" t="s">
        <v>56</v>
      </c>
      <c r="I122" s="65" t="str">
        <f>'Necesidades Trimestrales'!F120</f>
        <v>CAJA</v>
      </c>
      <c r="J122" s="66">
        <f>'Necesidades Trimestrales'!H120</f>
        <v>45168</v>
      </c>
      <c r="K122" s="67">
        <f>'Necesidades Trimestrales'!G120</f>
        <v>2</v>
      </c>
    </row>
    <row r="123" spans="1:11" ht="20.25" customHeight="1" thickBot="1" x14ac:dyDescent="0.25">
      <c r="A123" s="8">
        <v>112</v>
      </c>
      <c r="B123" s="63">
        <f>'Necesidades Trimestrales'!B121</f>
        <v>0</v>
      </c>
      <c r="C123" s="94" t="str">
        <f>'Necesidades Trimestrales'!E121</f>
        <v>PRECIPATH PUC COBAS C-311 ROCHE  4 X 3 ML</v>
      </c>
      <c r="D123" s="94"/>
      <c r="E123" s="94"/>
      <c r="F123" s="94"/>
      <c r="G123" s="94"/>
      <c r="H123" s="64" t="s">
        <v>56</v>
      </c>
      <c r="I123" s="65" t="str">
        <f>'Necesidades Trimestrales'!F121</f>
        <v>CAJA</v>
      </c>
      <c r="J123" s="66">
        <f>'Necesidades Trimestrales'!H121</f>
        <v>45168</v>
      </c>
      <c r="K123" s="67">
        <f>'Necesidades Trimestrales'!G121</f>
        <v>2</v>
      </c>
    </row>
    <row r="124" spans="1:11" ht="20.25" customHeight="1" thickBot="1" x14ac:dyDescent="0.25">
      <c r="A124" s="8">
        <v>113</v>
      </c>
      <c r="B124" s="63">
        <f>'Necesidades Trimestrales'!B122</f>
        <v>0</v>
      </c>
      <c r="C124" s="94" t="str">
        <f>'Necesidades Trimestrales'!E122</f>
        <v>PRECISET RF  P COBAS C311  5 VIAL X 1 ML</v>
      </c>
      <c r="D124" s="94"/>
      <c r="E124" s="94"/>
      <c r="F124" s="94"/>
      <c r="G124" s="94"/>
      <c r="H124" s="64" t="s">
        <v>56</v>
      </c>
      <c r="I124" s="65" t="str">
        <f>'Necesidades Trimestrales'!F122</f>
        <v>CAJA</v>
      </c>
      <c r="J124" s="66">
        <f>'Necesidades Trimestrales'!H122</f>
        <v>15687</v>
      </c>
      <c r="K124" s="67">
        <f>'Necesidades Trimestrales'!G122</f>
        <v>1</v>
      </c>
    </row>
    <row r="125" spans="1:11" ht="20.25" customHeight="1" thickBot="1" x14ac:dyDescent="0.25">
      <c r="A125" s="8">
        <v>114</v>
      </c>
      <c r="B125" s="63">
        <f>'Necesidades Trimestrales'!B123</f>
        <v>0</v>
      </c>
      <c r="C125" s="94" t="str">
        <f>'Necesidades Trimestrales'!E123</f>
        <v xml:space="preserve">PRO CELL COBAS 6 X 380 ML E-411N ROCHE </v>
      </c>
      <c r="D125" s="94"/>
      <c r="E125" s="94"/>
      <c r="F125" s="94"/>
      <c r="G125" s="94"/>
      <c r="H125" s="64" t="s">
        <v>56</v>
      </c>
      <c r="I125" s="65" t="str">
        <f>'Necesidades Trimestrales'!F123</f>
        <v>CAJA</v>
      </c>
      <c r="J125" s="66">
        <f>'Necesidades Trimestrales'!H123</f>
        <v>13972</v>
      </c>
      <c r="K125" s="67">
        <f>'Necesidades Trimestrales'!G123</f>
        <v>12</v>
      </c>
    </row>
    <row r="126" spans="1:11" ht="20.25" customHeight="1" thickBot="1" x14ac:dyDescent="0.25">
      <c r="A126" s="8">
        <v>115</v>
      </c>
      <c r="B126" s="63">
        <f>'Necesidades Trimestrales'!B124</f>
        <v>0</v>
      </c>
      <c r="C126" s="94" t="str">
        <f>'Necesidades Trimestrales'!E124</f>
        <v>PROTEINAS TOTALES COBAS C-311 ROCHE  X 300 DET</v>
      </c>
      <c r="D126" s="94"/>
      <c r="E126" s="94"/>
      <c r="F126" s="94"/>
      <c r="G126" s="94"/>
      <c r="H126" s="64" t="s">
        <v>56</v>
      </c>
      <c r="I126" s="65" t="str">
        <f>'Necesidades Trimestrales'!F124</f>
        <v>CASSETTE</v>
      </c>
      <c r="J126" s="66">
        <f>'Necesidades Trimestrales'!H124</f>
        <v>2120</v>
      </c>
      <c r="K126" s="67">
        <f>'Necesidades Trimestrales'!G124</f>
        <v>12</v>
      </c>
    </row>
    <row r="127" spans="1:11" ht="20.25" customHeight="1" thickBot="1" x14ac:dyDescent="0.25">
      <c r="A127" s="8">
        <v>116</v>
      </c>
      <c r="B127" s="63">
        <f>'Necesidades Trimestrales'!B125</f>
        <v>0</v>
      </c>
      <c r="C127" s="94" t="str">
        <f>'Necesidades Trimestrales'!E125</f>
        <v>REACTIVO ACIDO URICO COBAS C-311 ROCHE  X 400 DET</v>
      </c>
      <c r="D127" s="94"/>
      <c r="E127" s="94"/>
      <c r="F127" s="94"/>
      <c r="G127" s="94"/>
      <c r="H127" s="64" t="s">
        <v>56</v>
      </c>
      <c r="I127" s="65" t="str">
        <f>'Necesidades Trimestrales'!F125</f>
        <v>CASSETTE</v>
      </c>
      <c r="J127" s="66">
        <f>'Necesidades Trimestrales'!H125</f>
        <v>6698</v>
      </c>
      <c r="K127" s="67">
        <f>'Necesidades Trimestrales'!G125</f>
        <v>4</v>
      </c>
    </row>
    <row r="128" spans="1:11" ht="20.25" customHeight="1" thickBot="1" x14ac:dyDescent="0.25">
      <c r="A128" s="8">
        <v>117</v>
      </c>
      <c r="B128" s="63">
        <f>'Necesidades Trimestrales'!B126</f>
        <v>0</v>
      </c>
      <c r="C128" s="94" t="str">
        <f>'Necesidades Trimestrales'!E126</f>
        <v>REACTIVO ACTH P COBAS E 411 x 100 det</v>
      </c>
      <c r="D128" s="94"/>
      <c r="E128" s="94"/>
      <c r="F128" s="94"/>
      <c r="G128" s="94"/>
      <c r="H128" s="64" t="s">
        <v>56</v>
      </c>
      <c r="I128" s="65" t="str">
        <f>'Necesidades Trimestrales'!F126</f>
        <v>CAJA</v>
      </c>
      <c r="J128" s="66">
        <f>'Necesidades Trimestrales'!H126</f>
        <v>84412</v>
      </c>
      <c r="K128" s="67">
        <f>'Necesidades Trimestrales'!G126</f>
        <v>1</v>
      </c>
    </row>
    <row r="129" spans="1:11" ht="20.25" customHeight="1" thickBot="1" x14ac:dyDescent="0.25">
      <c r="A129" s="8">
        <v>118</v>
      </c>
      <c r="B129" s="63">
        <f>'Necesidades Trimestrales'!B127</f>
        <v>0</v>
      </c>
      <c r="C129" s="94" t="str">
        <f>'Necesidades Trimestrales'!E127</f>
        <v>REACTIVO AFP P COBAS E 411  x 100 det</v>
      </c>
      <c r="D129" s="94"/>
      <c r="E129" s="94"/>
      <c r="F129" s="94"/>
      <c r="G129" s="94"/>
      <c r="H129" s="64" t="s">
        <v>56</v>
      </c>
      <c r="I129" s="65" t="str">
        <f>'Necesidades Trimestrales'!F127</f>
        <v>CAJA</v>
      </c>
      <c r="J129" s="66">
        <f>'Necesidades Trimestrales'!H127</f>
        <v>27019</v>
      </c>
      <c r="K129" s="67">
        <f>'Necesidades Trimestrales'!G127</f>
        <v>2</v>
      </c>
    </row>
    <row r="130" spans="1:11" ht="20.25" customHeight="1" thickBot="1" x14ac:dyDescent="0.25">
      <c r="A130" s="8">
        <v>119</v>
      </c>
      <c r="B130" s="63">
        <f>'Necesidades Trimestrales'!B128</f>
        <v>0</v>
      </c>
      <c r="C130" s="94" t="str">
        <f>'Necesidades Trimestrales'!E128</f>
        <v>REACTIVO ALBUMINA COBAS C-311 ROCHE  X 300 DET</v>
      </c>
      <c r="D130" s="94"/>
      <c r="E130" s="94"/>
      <c r="F130" s="94"/>
      <c r="G130" s="94"/>
      <c r="H130" s="64" t="s">
        <v>56</v>
      </c>
      <c r="I130" s="65" t="str">
        <f>'Necesidades Trimestrales'!F128</f>
        <v>CASSETTE</v>
      </c>
      <c r="J130" s="66">
        <f>'Necesidades Trimestrales'!H128</f>
        <v>2452</v>
      </c>
      <c r="K130" s="67">
        <f>'Necesidades Trimestrales'!G128</f>
        <v>50</v>
      </c>
    </row>
    <row r="131" spans="1:11" ht="20.25" customHeight="1" thickBot="1" x14ac:dyDescent="0.25">
      <c r="A131" s="8">
        <v>120</v>
      </c>
      <c r="B131" s="63">
        <f>'Necesidades Trimestrales'!B129</f>
        <v>0</v>
      </c>
      <c r="C131" s="94" t="str">
        <f>'Necesidades Trimestrales'!E129</f>
        <v>REACTIVO ALBUMINA P/MICROALBUMINURIA  COBAS C-311 ROCHE X 100 DET</v>
      </c>
      <c r="D131" s="94"/>
      <c r="E131" s="94"/>
      <c r="F131" s="94"/>
      <c r="G131" s="94"/>
      <c r="H131" s="64" t="s">
        <v>56</v>
      </c>
      <c r="I131" s="65" t="str">
        <f>'Necesidades Trimestrales'!F129</f>
        <v>CASSETTE</v>
      </c>
      <c r="J131" s="66">
        <f>'Necesidades Trimestrales'!H129</f>
        <v>14833</v>
      </c>
      <c r="K131" s="67">
        <f>'Necesidades Trimestrales'!G129</f>
        <v>2</v>
      </c>
    </row>
    <row r="132" spans="1:11" ht="20.25" customHeight="1" thickBot="1" x14ac:dyDescent="0.25">
      <c r="A132" s="8">
        <v>121</v>
      </c>
      <c r="B132" s="63">
        <f>'Necesidades Trimestrales'!B130</f>
        <v>0</v>
      </c>
      <c r="C132" s="94" t="str">
        <f>'Necesidades Trimestrales'!E130</f>
        <v>REACTIVO ALT/GPT (IFCC) COBAS C-311 ROCHE  X 500 DET</v>
      </c>
      <c r="D132" s="94"/>
      <c r="E132" s="94"/>
      <c r="F132" s="94"/>
      <c r="G132" s="94"/>
      <c r="H132" s="64" t="s">
        <v>56</v>
      </c>
      <c r="I132" s="65" t="str">
        <f>'Necesidades Trimestrales'!F130</f>
        <v>CASSETTE</v>
      </c>
      <c r="J132" s="66">
        <f>'Necesidades Trimestrales'!H130</f>
        <v>10612</v>
      </c>
      <c r="K132" s="67">
        <f>'Necesidades Trimestrales'!G130</f>
        <v>16</v>
      </c>
    </row>
    <row r="133" spans="1:11" ht="20.25" customHeight="1" thickBot="1" x14ac:dyDescent="0.25">
      <c r="A133" s="8">
        <v>122</v>
      </c>
      <c r="B133" s="63">
        <f>'Necesidades Trimestrales'!B131</f>
        <v>0</v>
      </c>
      <c r="C133" s="94" t="str">
        <f>'Necesidades Trimestrales'!E131</f>
        <v>REACTIVO AMILASA TOTAL COBAS C-311 ROCHE  X 300 DET</v>
      </c>
      <c r="D133" s="94"/>
      <c r="E133" s="94"/>
      <c r="F133" s="94"/>
      <c r="G133" s="94"/>
      <c r="H133" s="64" t="s">
        <v>56</v>
      </c>
      <c r="I133" s="65" t="str">
        <f>'Necesidades Trimestrales'!F131</f>
        <v>CASSETTE</v>
      </c>
      <c r="J133" s="66">
        <f>'Necesidades Trimestrales'!H131</f>
        <v>12671</v>
      </c>
      <c r="K133" s="67">
        <f>'Necesidades Trimestrales'!G131</f>
        <v>8</v>
      </c>
    </row>
    <row r="134" spans="1:11" ht="20.25" customHeight="1" thickBot="1" x14ac:dyDescent="0.25">
      <c r="A134" s="8">
        <v>123</v>
      </c>
      <c r="B134" s="63">
        <f>'Necesidades Trimestrales'!B132</f>
        <v>0</v>
      </c>
      <c r="C134" s="94" t="str">
        <f>'Necesidades Trimestrales'!E132</f>
        <v>REACTIVO ANTI CCP P/COBAS E411  x 100 det</v>
      </c>
      <c r="D134" s="94"/>
      <c r="E134" s="94"/>
      <c r="F134" s="94"/>
      <c r="G134" s="94"/>
      <c r="H134" s="64" t="s">
        <v>56</v>
      </c>
      <c r="I134" s="65" t="str">
        <f>'Necesidades Trimestrales'!F132</f>
        <v>CAJA</v>
      </c>
      <c r="J134" s="66">
        <f>'Necesidades Trimestrales'!H132</f>
        <v>117909</v>
      </c>
      <c r="K134" s="67">
        <f>'Necesidades Trimestrales'!G132</f>
        <v>4</v>
      </c>
    </row>
    <row r="135" spans="1:11" ht="20.25" customHeight="1" thickBot="1" x14ac:dyDescent="0.25">
      <c r="A135" s="8">
        <v>124</v>
      </c>
      <c r="B135" s="63">
        <f>'Necesidades Trimestrales'!B133</f>
        <v>0</v>
      </c>
      <c r="C135" s="94" t="str">
        <f>'Necesidades Trimestrales'!E133</f>
        <v>REACTIVO ANTI HBc G2 CORE ROCHE E411 - HEPATITIS B X 100 DETER</v>
      </c>
      <c r="D135" s="94"/>
      <c r="E135" s="94"/>
      <c r="F135" s="94"/>
      <c r="G135" s="94"/>
      <c r="H135" s="64" t="s">
        <v>56</v>
      </c>
      <c r="I135" s="65" t="str">
        <f>'Necesidades Trimestrales'!F133</f>
        <v>CAJA</v>
      </c>
      <c r="J135" s="66">
        <f>'Necesidades Trimestrales'!H133</f>
        <v>36011</v>
      </c>
      <c r="K135" s="67">
        <f>'Necesidades Trimestrales'!G133</f>
        <v>1</v>
      </c>
    </row>
    <row r="136" spans="1:11" ht="20.25" customHeight="1" thickBot="1" x14ac:dyDescent="0.25">
      <c r="A136" s="8">
        <v>125</v>
      </c>
      <c r="B136" s="63">
        <f>'Necesidades Trimestrales'!B134</f>
        <v>0</v>
      </c>
      <c r="C136" s="94" t="str">
        <f>'Necesidades Trimestrales'!E134</f>
        <v>REACTIVO ANTI HBS G2 CORE ROCHE E411 - HEPATITIS B X 100 DETER</v>
      </c>
      <c r="D136" s="94"/>
      <c r="E136" s="94"/>
      <c r="F136" s="94"/>
      <c r="G136" s="94"/>
      <c r="H136" s="64" t="s">
        <v>56</v>
      </c>
      <c r="I136" s="65" t="str">
        <f>'Necesidades Trimestrales'!F134</f>
        <v>CAJA</v>
      </c>
      <c r="J136" s="66">
        <f>'Necesidades Trimestrales'!H134</f>
        <v>36502</v>
      </c>
      <c r="K136" s="67">
        <f>'Necesidades Trimestrales'!G134</f>
        <v>1</v>
      </c>
    </row>
    <row r="137" spans="1:11" ht="20.25" customHeight="1" thickBot="1" x14ac:dyDescent="0.25">
      <c r="A137" s="8">
        <v>126</v>
      </c>
      <c r="B137" s="63">
        <f>'Necesidades Trimestrales'!B135</f>
        <v>0</v>
      </c>
      <c r="C137" s="94" t="str">
        <f>'Necesidades Trimestrales'!E135</f>
        <v>REACTIVO ANTI HCV ROCHE E411 - HEPATITIS C X 100 DETER</v>
      </c>
      <c r="D137" s="94"/>
      <c r="E137" s="94"/>
      <c r="F137" s="94"/>
      <c r="G137" s="94"/>
      <c r="H137" s="64" t="s">
        <v>56</v>
      </c>
      <c r="I137" s="65" t="str">
        <f>'Necesidades Trimestrales'!F135</f>
        <v>CAJA</v>
      </c>
      <c r="J137" s="66">
        <f>'Necesidades Trimestrales'!H135</f>
        <v>81200</v>
      </c>
      <c r="K137" s="67">
        <f>'Necesidades Trimestrales'!G135</f>
        <v>1</v>
      </c>
    </row>
    <row r="138" spans="1:11" ht="20.25" customHeight="1" thickBot="1" x14ac:dyDescent="0.25">
      <c r="A138" s="8">
        <v>127</v>
      </c>
      <c r="B138" s="63">
        <f>'Necesidades Trimestrales'!B136</f>
        <v>0</v>
      </c>
      <c r="C138" s="94" t="str">
        <f>'Necesidades Trimestrales'!E136</f>
        <v>REACTIVO ANTI SARS COV-2 CUANTITATIVO P/ COBAS E411 x 100 DET</v>
      </c>
      <c r="D138" s="94"/>
      <c r="E138" s="94"/>
      <c r="F138" s="94"/>
      <c r="G138" s="94"/>
      <c r="H138" s="64" t="s">
        <v>56</v>
      </c>
      <c r="I138" s="65" t="str">
        <f>'Necesidades Trimestrales'!F136</f>
        <v>CAJA</v>
      </c>
      <c r="J138" s="66">
        <f>'Necesidades Trimestrales'!H136</f>
        <v>124850</v>
      </c>
      <c r="K138" s="67">
        <f>'Necesidades Trimestrales'!G136</f>
        <v>1</v>
      </c>
    </row>
    <row r="139" spans="1:11" ht="20.25" customHeight="1" thickBot="1" x14ac:dyDescent="0.25">
      <c r="A139" s="8">
        <v>128</v>
      </c>
      <c r="B139" s="63">
        <f>'Necesidades Trimestrales'!B137</f>
        <v>0</v>
      </c>
      <c r="C139" s="94" t="str">
        <f>'Necesidades Trimestrales'!E137</f>
        <v>REACTIVO ANTI TIROGLOBULINA P COBAS E411  x 100 det</v>
      </c>
      <c r="D139" s="94"/>
      <c r="E139" s="94"/>
      <c r="F139" s="94"/>
      <c r="G139" s="94"/>
      <c r="H139" s="64" t="s">
        <v>56</v>
      </c>
      <c r="I139" s="65" t="str">
        <f>'Necesidades Trimestrales'!F137</f>
        <v>CAJA</v>
      </c>
      <c r="J139" s="66">
        <f>'Necesidades Trimestrales'!H137</f>
        <v>27872</v>
      </c>
      <c r="K139" s="67">
        <f>'Necesidades Trimestrales'!G137</f>
        <v>1</v>
      </c>
    </row>
    <row r="140" spans="1:11" ht="20.25" customHeight="1" thickBot="1" x14ac:dyDescent="0.25">
      <c r="A140" s="8">
        <v>129</v>
      </c>
      <c r="B140" s="63">
        <f>'Necesidades Trimestrales'!B138</f>
        <v>0</v>
      </c>
      <c r="C140" s="94" t="str">
        <f>'Necesidades Trimestrales'!E138</f>
        <v>REACTIVO ANTI TPO COBAS E-411 ROCHE X 100 DET</v>
      </c>
      <c r="D140" s="94"/>
      <c r="E140" s="94"/>
      <c r="F140" s="94"/>
      <c r="G140" s="94"/>
      <c r="H140" s="64" t="s">
        <v>56</v>
      </c>
      <c r="I140" s="65" t="str">
        <f>'Necesidades Trimestrales'!F138</f>
        <v>CAJA</v>
      </c>
      <c r="J140" s="66">
        <f>'Necesidades Trimestrales'!H138</f>
        <v>27872</v>
      </c>
      <c r="K140" s="67">
        <f>'Necesidades Trimestrales'!G138</f>
        <v>8</v>
      </c>
    </row>
    <row r="141" spans="1:11" ht="20.25" customHeight="1" thickBot="1" x14ac:dyDescent="0.25">
      <c r="A141" s="8">
        <v>130</v>
      </c>
      <c r="B141" s="63">
        <f>'Necesidades Trimestrales'!B139</f>
        <v>0</v>
      </c>
      <c r="C141" s="94" t="str">
        <f>'Necesidades Trimestrales'!E139</f>
        <v>REACTIVO ANTIGENO DE SUPERFICIE HBSAG P/ COBAS E411 x 100 DET</v>
      </c>
      <c r="D141" s="94"/>
      <c r="E141" s="94"/>
      <c r="F141" s="94"/>
      <c r="G141" s="94"/>
      <c r="H141" s="64" t="s">
        <v>56</v>
      </c>
      <c r="I141" s="65" t="str">
        <f>'Necesidades Trimestrales'!F139</f>
        <v>CAJA</v>
      </c>
      <c r="J141" s="66">
        <f>'Necesidades Trimestrales'!H139</f>
        <v>36502</v>
      </c>
      <c r="K141" s="67">
        <f>'Necesidades Trimestrales'!G139</f>
        <v>1</v>
      </c>
    </row>
    <row r="142" spans="1:11" ht="20.25" customHeight="1" thickBot="1" x14ac:dyDescent="0.25">
      <c r="A142" s="8">
        <v>131</v>
      </c>
      <c r="B142" s="63">
        <f>'Necesidades Trimestrales'!B140</f>
        <v>0</v>
      </c>
      <c r="C142" s="94" t="str">
        <f>'Necesidades Trimestrales'!E140</f>
        <v>REACTIVO ASLO LATEX COBAS C-311 ROCHE  X 150 DET</v>
      </c>
      <c r="D142" s="94"/>
      <c r="E142" s="94"/>
      <c r="F142" s="94"/>
      <c r="G142" s="94"/>
      <c r="H142" s="64" t="s">
        <v>56</v>
      </c>
      <c r="I142" s="65" t="str">
        <f>'Necesidades Trimestrales'!F140</f>
        <v>CASSETTE</v>
      </c>
      <c r="J142" s="66">
        <f>'Necesidades Trimestrales'!H140</f>
        <v>33815</v>
      </c>
      <c r="K142" s="67">
        <f>'Necesidades Trimestrales'!G140</f>
        <v>2</v>
      </c>
    </row>
    <row r="143" spans="1:11" ht="20.25" customHeight="1" thickBot="1" x14ac:dyDescent="0.25">
      <c r="A143" s="8">
        <v>132</v>
      </c>
      <c r="B143" s="63">
        <f>'Necesidades Trimestrales'!B141</f>
        <v>0</v>
      </c>
      <c r="C143" s="94" t="str">
        <f>'Necesidades Trimestrales'!E141</f>
        <v>REACTIVO AST/GOT  (IFCC) COBAS C-311 ROCHE  X 500 DET</v>
      </c>
      <c r="D143" s="94"/>
      <c r="E143" s="94"/>
      <c r="F143" s="94"/>
      <c r="G143" s="94"/>
      <c r="H143" s="64" t="s">
        <v>56</v>
      </c>
      <c r="I143" s="65" t="str">
        <f>'Necesidades Trimestrales'!F141</f>
        <v>CASSETTE</v>
      </c>
      <c r="J143" s="66">
        <f>'Necesidades Trimestrales'!H141</f>
        <v>10612</v>
      </c>
      <c r="K143" s="67">
        <f>'Necesidades Trimestrales'!G141</f>
        <v>16</v>
      </c>
    </row>
    <row r="144" spans="1:11" ht="20.25" customHeight="1" thickBot="1" x14ac:dyDescent="0.25">
      <c r="A144" s="8">
        <v>133</v>
      </c>
      <c r="B144" s="63">
        <f>'Necesidades Trimestrales'!B142</f>
        <v>0</v>
      </c>
      <c r="C144" s="94" t="str">
        <f>'Necesidades Trimestrales'!E142</f>
        <v>REACTIVO B-CROSS LAP P SUERO P COBAS E 411  x 100 det</v>
      </c>
      <c r="D144" s="94"/>
      <c r="E144" s="94"/>
      <c r="F144" s="94"/>
      <c r="G144" s="94"/>
      <c r="H144" s="64" t="s">
        <v>56</v>
      </c>
      <c r="I144" s="65" t="str">
        <f>'Necesidades Trimestrales'!F142</f>
        <v>CAJA</v>
      </c>
      <c r="J144" s="66">
        <f>'Necesidades Trimestrales'!H142</f>
        <v>97313</v>
      </c>
      <c r="K144" s="67">
        <f>'Necesidades Trimestrales'!G142</f>
        <v>1</v>
      </c>
    </row>
    <row r="145" spans="1:11" ht="20.25" customHeight="1" thickBot="1" x14ac:dyDescent="0.25">
      <c r="A145" s="8">
        <v>134</v>
      </c>
      <c r="B145" s="63">
        <f>'Necesidades Trimestrales'!B143</f>
        <v>0</v>
      </c>
      <c r="C145" s="94" t="str">
        <f>'Necesidades Trimestrales'!E143</f>
        <v>REACTIVO BILIRRUBINA DIRECTA COBAS C-311 ROCHE  X 350  DET</v>
      </c>
      <c r="D145" s="94"/>
      <c r="E145" s="94"/>
      <c r="F145" s="94"/>
      <c r="G145" s="94"/>
      <c r="H145" s="64" t="s">
        <v>56</v>
      </c>
      <c r="I145" s="65" t="str">
        <f>'Necesidades Trimestrales'!F143</f>
        <v>CASSETTE</v>
      </c>
      <c r="J145" s="66">
        <f>'Necesidades Trimestrales'!H143</f>
        <v>4920</v>
      </c>
      <c r="K145" s="67">
        <f>'Necesidades Trimestrales'!G143</f>
        <v>20</v>
      </c>
    </row>
    <row r="146" spans="1:11" ht="20.25" customHeight="1" thickBot="1" x14ac:dyDescent="0.25">
      <c r="A146" s="8">
        <v>135</v>
      </c>
      <c r="B146" s="63">
        <f>'Necesidades Trimestrales'!B144</f>
        <v>0</v>
      </c>
      <c r="C146" s="94" t="str">
        <f>'Necesidades Trimestrales'!E144</f>
        <v>REACTIVO BILIRRUBINA TOTAL GEN 3 COBAS C-311 ROCHE  X 250 DET</v>
      </c>
      <c r="D146" s="94"/>
      <c r="E146" s="94"/>
      <c r="F146" s="94"/>
      <c r="G146" s="94"/>
      <c r="H146" s="64" t="s">
        <v>56</v>
      </c>
      <c r="I146" s="65" t="str">
        <f>'Necesidades Trimestrales'!F144</f>
        <v>CASSETTE</v>
      </c>
      <c r="J146" s="66">
        <f>'Necesidades Trimestrales'!H144</f>
        <v>5050</v>
      </c>
      <c r="K146" s="67">
        <f>'Necesidades Trimestrales'!G144</f>
        <v>28</v>
      </c>
    </row>
    <row r="147" spans="1:11" ht="20.25" customHeight="1" thickBot="1" x14ac:dyDescent="0.25">
      <c r="A147" s="8">
        <v>136</v>
      </c>
      <c r="B147" s="63">
        <f>'Necesidades Trimestrales'!B145</f>
        <v>0</v>
      </c>
      <c r="C147" s="94" t="str">
        <f>'Necesidades Trimestrales'!E145</f>
        <v>REACTIVO CA 125 P COBAS E 411  x 100 det</v>
      </c>
      <c r="D147" s="94"/>
      <c r="E147" s="94"/>
      <c r="F147" s="94"/>
      <c r="G147" s="94"/>
      <c r="H147" s="64" t="s">
        <v>56</v>
      </c>
      <c r="I147" s="65" t="str">
        <f>'Necesidades Trimestrales'!F145</f>
        <v>CAJA</v>
      </c>
      <c r="J147" s="66">
        <f>'Necesidades Trimestrales'!H145</f>
        <v>42233</v>
      </c>
      <c r="K147" s="67">
        <f>'Necesidades Trimestrales'!G145</f>
        <v>2</v>
      </c>
    </row>
    <row r="148" spans="1:11" ht="20.25" customHeight="1" thickBot="1" x14ac:dyDescent="0.25">
      <c r="A148" s="8">
        <v>137</v>
      </c>
      <c r="B148" s="63">
        <f>'Necesidades Trimestrales'!B146</f>
        <v>0</v>
      </c>
      <c r="C148" s="94" t="str">
        <f>'Necesidades Trimestrales'!E146</f>
        <v>REACTIVO CA 15-3 P COBAS E 411  x 100 det</v>
      </c>
      <c r="D148" s="94"/>
      <c r="E148" s="94"/>
      <c r="F148" s="94"/>
      <c r="G148" s="94"/>
      <c r="H148" s="64" t="s">
        <v>56</v>
      </c>
      <c r="I148" s="65" t="str">
        <f>'Necesidades Trimestrales'!F146</f>
        <v>CAJA</v>
      </c>
      <c r="J148" s="66">
        <f>'Necesidades Trimestrales'!H146</f>
        <v>52376</v>
      </c>
      <c r="K148" s="67">
        <f>'Necesidades Trimestrales'!G146</f>
        <v>1</v>
      </c>
    </row>
    <row r="149" spans="1:11" ht="20.25" customHeight="1" thickBot="1" x14ac:dyDescent="0.25">
      <c r="A149" s="8">
        <v>138</v>
      </c>
      <c r="B149" s="63">
        <f>'Necesidades Trimestrales'!B147</f>
        <v>0</v>
      </c>
      <c r="C149" s="94" t="str">
        <f>'Necesidades Trimestrales'!E147</f>
        <v>REACTIVO CA 19-9 P COBAS E 411  x 100 det</v>
      </c>
      <c r="D149" s="94"/>
      <c r="E149" s="94"/>
      <c r="F149" s="94"/>
      <c r="G149" s="94"/>
      <c r="H149" s="64" t="s">
        <v>56</v>
      </c>
      <c r="I149" s="65" t="str">
        <f>'Necesidades Trimestrales'!F147</f>
        <v>CAJA</v>
      </c>
      <c r="J149" s="66">
        <f>'Necesidades Trimestrales'!H147</f>
        <v>49642</v>
      </c>
      <c r="K149" s="67">
        <f>'Necesidades Trimestrales'!G147</f>
        <v>2</v>
      </c>
    </row>
    <row r="150" spans="1:11" ht="20.25" customHeight="1" thickBot="1" x14ac:dyDescent="0.25">
      <c r="A150" s="8">
        <v>139</v>
      </c>
      <c r="B150" s="63">
        <f>'Necesidades Trimestrales'!B148</f>
        <v>0</v>
      </c>
      <c r="C150" s="94" t="str">
        <f>'Necesidades Trimestrales'!E148</f>
        <v>REACTIVO CALCIO COBAS C-311 ROCHE  X 300 DET</v>
      </c>
      <c r="D150" s="94"/>
      <c r="E150" s="94"/>
      <c r="F150" s="94"/>
      <c r="G150" s="94"/>
      <c r="H150" s="64" t="s">
        <v>56</v>
      </c>
      <c r="I150" s="65" t="str">
        <f>'Necesidades Trimestrales'!F148</f>
        <v>CASSETTE</v>
      </c>
      <c r="J150" s="66">
        <f>'Necesidades Trimestrales'!H148</f>
        <v>5050</v>
      </c>
      <c r="K150" s="67">
        <f>'Necesidades Trimestrales'!G148</f>
        <v>5</v>
      </c>
    </row>
    <row r="151" spans="1:11" ht="20.25" customHeight="1" thickBot="1" x14ac:dyDescent="0.25">
      <c r="A151" s="8">
        <v>140</v>
      </c>
      <c r="B151" s="63">
        <f>'Necesidades Trimestrales'!B149</f>
        <v>0</v>
      </c>
      <c r="C151" s="94" t="str">
        <f>'Necesidades Trimestrales'!E149</f>
        <v>REACTIVO CEA P COBAS E 411  x 100 det</v>
      </c>
      <c r="D151" s="94"/>
      <c r="E151" s="94"/>
      <c r="F151" s="94"/>
      <c r="G151" s="94"/>
      <c r="H151" s="64" t="s">
        <v>56</v>
      </c>
      <c r="I151" s="65" t="str">
        <f>'Necesidades Trimestrales'!F149</f>
        <v>CAJA</v>
      </c>
      <c r="J151" s="66">
        <f>'Necesidades Trimestrales'!H149</f>
        <v>28507</v>
      </c>
      <c r="K151" s="67">
        <f>'Necesidades Trimestrales'!G149</f>
        <v>2</v>
      </c>
    </row>
    <row r="152" spans="1:11" ht="20.25" customHeight="1" thickBot="1" x14ac:dyDescent="0.25">
      <c r="A152" s="8">
        <v>141</v>
      </c>
      <c r="B152" s="63">
        <f>'Necesidades Trimestrales'!B150</f>
        <v>0</v>
      </c>
      <c r="C152" s="94" t="str">
        <f>'Necesidades Trimestrales'!E150</f>
        <v>REACTIVO CHAGAS P COBAS E 411  x 100 det</v>
      </c>
      <c r="D152" s="94"/>
      <c r="E152" s="94"/>
      <c r="F152" s="94"/>
      <c r="G152" s="94"/>
      <c r="H152" s="64" t="s">
        <v>56</v>
      </c>
      <c r="I152" s="65" t="str">
        <f>'Necesidades Trimestrales'!F150</f>
        <v>CAJA</v>
      </c>
      <c r="J152" s="66">
        <f>'Necesidades Trimestrales'!H150</f>
        <v>44699</v>
      </c>
      <c r="K152" s="67">
        <f>'Necesidades Trimestrales'!G150</f>
        <v>3</v>
      </c>
    </row>
    <row r="153" spans="1:11" ht="20.25" customHeight="1" thickBot="1" x14ac:dyDescent="0.25">
      <c r="A153" s="8">
        <v>142</v>
      </c>
      <c r="B153" s="63">
        <f>'Necesidades Trimestrales'!B151</f>
        <v>0</v>
      </c>
      <c r="C153" s="94" t="str">
        <f>'Necesidades Trimestrales'!E151</f>
        <v>REACTIVO CITOMEGALOVIRUS IGG P/COBAS E411 X 100 DET</v>
      </c>
      <c r="D153" s="94"/>
      <c r="E153" s="94"/>
      <c r="F153" s="94"/>
      <c r="G153" s="94"/>
      <c r="H153" s="64" t="s">
        <v>56</v>
      </c>
      <c r="I153" s="65" t="str">
        <f>'Necesidades Trimestrales'!F151</f>
        <v>CAJA</v>
      </c>
      <c r="J153" s="66">
        <f>'Necesidades Trimestrales'!H151</f>
        <v>65935</v>
      </c>
      <c r="K153" s="67">
        <f>'Necesidades Trimestrales'!G151</f>
        <v>1</v>
      </c>
    </row>
    <row r="154" spans="1:11" ht="20.25" customHeight="1" thickBot="1" x14ac:dyDescent="0.25">
      <c r="A154" s="8">
        <v>143</v>
      </c>
      <c r="B154" s="63">
        <f>'Necesidades Trimestrales'!B152</f>
        <v>0</v>
      </c>
      <c r="C154" s="94" t="str">
        <f>'Necesidades Trimestrales'!E152</f>
        <v>REACTIVO CITOMEGALOVIRUS IGM P/COBAS E411 X 100 DET</v>
      </c>
      <c r="D154" s="94"/>
      <c r="E154" s="94"/>
      <c r="F154" s="94"/>
      <c r="G154" s="94"/>
      <c r="H154" s="64" t="s">
        <v>56</v>
      </c>
      <c r="I154" s="65" t="str">
        <f>'Necesidades Trimestrales'!F152</f>
        <v>CAJA</v>
      </c>
      <c r="J154" s="66">
        <f>'Necesidades Trimestrales'!H152</f>
        <v>88722</v>
      </c>
      <c r="K154" s="67">
        <f>'Necesidades Trimestrales'!G152</f>
        <v>1</v>
      </c>
    </row>
    <row r="155" spans="1:11" ht="20.25" customHeight="1" thickBot="1" x14ac:dyDescent="0.25">
      <c r="A155" s="8">
        <v>144</v>
      </c>
      <c r="B155" s="63">
        <f>'Necesidades Trimestrales'!B153</f>
        <v>0</v>
      </c>
      <c r="C155" s="94" t="str">
        <f>'Necesidades Trimestrales'!E153</f>
        <v xml:space="preserve">REACTIVO CK CREATIN QUINASA COBAS C-311 ROCHE  X 200 DET </v>
      </c>
      <c r="D155" s="94"/>
      <c r="E155" s="94"/>
      <c r="F155" s="94"/>
      <c r="G155" s="94"/>
      <c r="H155" s="64" t="s">
        <v>56</v>
      </c>
      <c r="I155" s="65" t="str">
        <f>'Necesidades Trimestrales'!F153</f>
        <v>CASSETTE</v>
      </c>
      <c r="J155" s="66">
        <f>'Necesidades Trimestrales'!H153</f>
        <v>4204</v>
      </c>
      <c r="K155" s="67">
        <f>'Necesidades Trimestrales'!G153</f>
        <v>2</v>
      </c>
    </row>
    <row r="156" spans="1:11" ht="20.25" customHeight="1" thickBot="1" x14ac:dyDescent="0.25">
      <c r="A156" s="8">
        <v>145</v>
      </c>
      <c r="B156" s="63">
        <f>'Necesidades Trimestrales'!B154</f>
        <v>0</v>
      </c>
      <c r="C156" s="94" t="str">
        <f>'Necesidades Trimestrales'!E154</f>
        <v>REACTIVO COLESTEROL TOTAL COBAS C-311 ROCHE  X 400 DET</v>
      </c>
      <c r="D156" s="94"/>
      <c r="E156" s="94"/>
      <c r="F156" s="94"/>
      <c r="G156" s="94"/>
      <c r="H156" s="64" t="s">
        <v>56</v>
      </c>
      <c r="I156" s="65" t="str">
        <f>'Necesidades Trimestrales'!F154</f>
        <v>CASSETTE</v>
      </c>
      <c r="J156" s="66">
        <f>'Necesidades Trimestrales'!H154</f>
        <v>5050</v>
      </c>
      <c r="K156" s="67">
        <f>'Necesidades Trimestrales'!G154</f>
        <v>3</v>
      </c>
    </row>
    <row r="157" spans="1:11" ht="20.25" customHeight="1" thickBot="1" x14ac:dyDescent="0.25">
      <c r="A157" s="8">
        <v>146</v>
      </c>
      <c r="B157" s="63">
        <f>'Necesidades Trimestrales'!B155</f>
        <v>0</v>
      </c>
      <c r="C157" s="94" t="str">
        <f>'Necesidades Trimestrales'!E155</f>
        <v>REACTIVO COMLEMENTO C3 P COBAS C 311  x 100 det</v>
      </c>
      <c r="D157" s="94"/>
      <c r="E157" s="94"/>
      <c r="F157" s="94"/>
      <c r="G157" s="94"/>
      <c r="H157" s="64" t="s">
        <v>56</v>
      </c>
      <c r="I157" s="65" t="str">
        <f>'Necesidades Trimestrales'!F155</f>
        <v>CASSETTE</v>
      </c>
      <c r="J157" s="66">
        <f>'Necesidades Trimestrales'!H155</f>
        <v>14833</v>
      </c>
      <c r="K157" s="67">
        <f>'Necesidades Trimestrales'!G155</f>
        <v>2</v>
      </c>
    </row>
    <row r="158" spans="1:11" ht="20.25" customHeight="1" thickBot="1" x14ac:dyDescent="0.25">
      <c r="A158" s="8">
        <v>147</v>
      </c>
      <c r="B158" s="63">
        <f>'Necesidades Trimestrales'!B156</f>
        <v>0</v>
      </c>
      <c r="C158" s="94" t="str">
        <f>'Necesidades Trimestrales'!E156</f>
        <v>REACTIVO COMLEMENTO C4 P COBAS C 311  x 100 det</v>
      </c>
      <c r="D158" s="94"/>
      <c r="E158" s="94"/>
      <c r="F158" s="94"/>
      <c r="G158" s="94"/>
      <c r="H158" s="64" t="s">
        <v>56</v>
      </c>
      <c r="I158" s="65" t="str">
        <f>'Necesidades Trimestrales'!F156</f>
        <v>CASSETTE</v>
      </c>
      <c r="J158" s="66">
        <f>'Necesidades Trimestrales'!H156</f>
        <v>14833</v>
      </c>
      <c r="K158" s="67">
        <f>'Necesidades Trimestrales'!G156</f>
        <v>2</v>
      </c>
    </row>
    <row r="159" spans="1:11" ht="20.25" customHeight="1" thickBot="1" x14ac:dyDescent="0.25">
      <c r="A159" s="8">
        <v>148</v>
      </c>
      <c r="B159" s="63">
        <f>'Necesidades Trimestrales'!B157</f>
        <v>0</v>
      </c>
      <c r="C159" s="94" t="str">
        <f>'Necesidades Trimestrales'!E157</f>
        <v>REACTIVO CORTISOL P COBAS E 411  X 100 DET</v>
      </c>
      <c r="D159" s="94"/>
      <c r="E159" s="94"/>
      <c r="F159" s="94"/>
      <c r="G159" s="94"/>
      <c r="H159" s="64" t="s">
        <v>56</v>
      </c>
      <c r="I159" s="65" t="str">
        <f>'Necesidades Trimestrales'!F157</f>
        <v>CAJA</v>
      </c>
      <c r="J159" s="66">
        <f>'Necesidades Trimestrales'!H157</f>
        <v>21413</v>
      </c>
      <c r="K159" s="67">
        <f>'Necesidades Trimestrales'!G157</f>
        <v>1</v>
      </c>
    </row>
    <row r="160" spans="1:11" ht="20.25" customHeight="1" thickBot="1" x14ac:dyDescent="0.25">
      <c r="A160" s="8">
        <v>149</v>
      </c>
      <c r="B160" s="63">
        <f>'Necesidades Trimestrales'!B158</f>
        <v>0</v>
      </c>
      <c r="C160" s="94" t="str">
        <f>'Necesidades Trimestrales'!E158</f>
        <v>REACTIVO CREATININA JAFFE COBAS C-311 ROCHE  X 700 DET</v>
      </c>
      <c r="D160" s="94"/>
      <c r="E160" s="94"/>
      <c r="F160" s="94"/>
      <c r="G160" s="94"/>
      <c r="H160" s="64" t="s">
        <v>56</v>
      </c>
      <c r="I160" s="65" t="str">
        <f>'Necesidades Trimestrales'!F158</f>
        <v>CASSETTE</v>
      </c>
      <c r="J160" s="66">
        <f>'Necesidades Trimestrales'!H158</f>
        <v>5039</v>
      </c>
      <c r="K160" s="67">
        <f>'Necesidades Trimestrales'!G158</f>
        <v>20</v>
      </c>
    </row>
    <row r="161" spans="1:11" ht="20.25" customHeight="1" thickBot="1" x14ac:dyDescent="0.25">
      <c r="A161" s="8">
        <v>150</v>
      </c>
      <c r="B161" s="63">
        <f>'Necesidades Trimestrales'!B159</f>
        <v>0</v>
      </c>
      <c r="C161" s="94" t="str">
        <f>'Necesidades Trimestrales'!E159</f>
        <v>REACTIVO DHEA- S P COBAS E 411  X 100 DET</v>
      </c>
      <c r="D161" s="94"/>
      <c r="E161" s="94"/>
      <c r="F161" s="94"/>
      <c r="G161" s="94"/>
      <c r="H161" s="64" t="s">
        <v>56</v>
      </c>
      <c r="I161" s="65" t="str">
        <f>'Necesidades Trimestrales'!F159</f>
        <v>CAJA</v>
      </c>
      <c r="J161" s="66">
        <f>'Necesidades Trimestrales'!H159</f>
        <v>31895</v>
      </c>
      <c r="K161" s="67">
        <f>'Necesidades Trimestrales'!G159</f>
        <v>1</v>
      </c>
    </row>
    <row r="162" spans="1:11" ht="20.25" customHeight="1" thickBot="1" x14ac:dyDescent="0.25">
      <c r="A162" s="8">
        <v>151</v>
      </c>
      <c r="B162" s="63">
        <f>'Necesidades Trimestrales'!B160</f>
        <v>0</v>
      </c>
      <c r="C162" s="94" t="str">
        <f>'Necesidades Trimestrales'!E160</f>
        <v xml:space="preserve">REACTIVO DIMERO D  COBAS C-311 ROCHE  X 100 DET </v>
      </c>
      <c r="D162" s="94"/>
      <c r="E162" s="94"/>
      <c r="F162" s="94"/>
      <c r="G162" s="94"/>
      <c r="H162" s="64" t="s">
        <v>56</v>
      </c>
      <c r="I162" s="65" t="str">
        <f>'Necesidades Trimestrales'!F160</f>
        <v>CASSETTE</v>
      </c>
      <c r="J162" s="66">
        <f>'Necesidades Trimestrales'!H160</f>
        <v>91773</v>
      </c>
      <c r="K162" s="67">
        <f>'Necesidades Trimestrales'!G160</f>
        <v>3</v>
      </c>
    </row>
    <row r="163" spans="1:11" ht="20.25" customHeight="1" thickBot="1" x14ac:dyDescent="0.25">
      <c r="A163" s="8">
        <v>152</v>
      </c>
      <c r="B163" s="63">
        <f>'Necesidades Trimestrales'!B161</f>
        <v>0</v>
      </c>
      <c r="C163" s="94" t="str">
        <f>'Necesidades Trimestrales'!E161</f>
        <v>REACTIVO ESTRADIOL COBAS E-411 ROCHE  X 100 DET</v>
      </c>
      <c r="D163" s="94"/>
      <c r="E163" s="94"/>
      <c r="F163" s="94"/>
      <c r="G163" s="94"/>
      <c r="H163" s="64" t="s">
        <v>56</v>
      </c>
      <c r="I163" s="65" t="str">
        <f>'Necesidades Trimestrales'!F161</f>
        <v>CASSETTE</v>
      </c>
      <c r="J163" s="66">
        <f>'Necesidades Trimestrales'!H161</f>
        <v>24647</v>
      </c>
      <c r="K163" s="67">
        <f>'Necesidades Trimestrales'!G161</f>
        <v>2</v>
      </c>
    </row>
    <row r="164" spans="1:11" ht="20.25" customHeight="1" thickBot="1" x14ac:dyDescent="0.25">
      <c r="A164" s="8">
        <v>153</v>
      </c>
      <c r="B164" s="63">
        <f>'Necesidades Trimestrales'!B162</f>
        <v>0</v>
      </c>
      <c r="C164" s="94" t="str">
        <f>'Necesidades Trimestrales'!E162</f>
        <v>REACTIVO FACTOR REUMATOIDEO P COBAS C 311 x 100 det</v>
      </c>
      <c r="D164" s="94"/>
      <c r="E164" s="94"/>
      <c r="F164" s="94"/>
      <c r="G164" s="94"/>
      <c r="H164" s="64" t="s">
        <v>56</v>
      </c>
      <c r="I164" s="65" t="str">
        <f>'Necesidades Trimestrales'!F162</f>
        <v>CASSETTE</v>
      </c>
      <c r="J164" s="66">
        <f>'Necesidades Trimestrales'!H162</f>
        <v>12671</v>
      </c>
      <c r="K164" s="67">
        <f>'Necesidades Trimestrales'!G162</f>
        <v>6</v>
      </c>
    </row>
    <row r="165" spans="1:11" ht="20.25" customHeight="1" thickBot="1" x14ac:dyDescent="0.25">
      <c r="A165" s="8">
        <v>154</v>
      </c>
      <c r="B165" s="63">
        <f>'Necesidades Trimestrales'!B163</f>
        <v>0</v>
      </c>
      <c r="C165" s="94" t="str">
        <f>'Necesidades Trimestrales'!E163</f>
        <v>REACTIVO FERRITINA P COBAS C 311 X 250 DET</v>
      </c>
      <c r="D165" s="94"/>
      <c r="E165" s="94"/>
      <c r="F165" s="94"/>
      <c r="G165" s="94"/>
      <c r="H165" s="64" t="s">
        <v>56</v>
      </c>
      <c r="I165" s="65" t="str">
        <f>'Necesidades Trimestrales'!F163</f>
        <v>CASSETTE</v>
      </c>
      <c r="J165" s="66">
        <f>'Necesidades Trimestrales'!H163</f>
        <v>65204</v>
      </c>
      <c r="K165" s="67">
        <f>'Necesidades Trimestrales'!G163</f>
        <v>4</v>
      </c>
    </row>
    <row r="166" spans="1:11" ht="20.25" customHeight="1" thickBot="1" x14ac:dyDescent="0.25">
      <c r="A166" s="8">
        <v>155</v>
      </c>
      <c r="B166" s="63">
        <f>'Necesidades Trimestrales'!B164</f>
        <v>0</v>
      </c>
      <c r="C166" s="94" t="str">
        <f>'Necesidades Trimestrales'!E164</f>
        <v>REACTIVO FOSFATASA ALCALINA ALP2 (IFCC) COBAS C-311 ROCHE  X 400 DET</v>
      </c>
      <c r="D166" s="94"/>
      <c r="E166" s="94"/>
      <c r="F166" s="94"/>
      <c r="G166" s="94"/>
      <c r="H166" s="64" t="s">
        <v>56</v>
      </c>
      <c r="I166" s="65" t="str">
        <f>'Necesidades Trimestrales'!F164</f>
        <v>CASSETTE</v>
      </c>
      <c r="J166" s="66">
        <f>'Necesidades Trimestrales'!H164</f>
        <v>10621</v>
      </c>
      <c r="K166" s="67">
        <f>'Necesidades Trimestrales'!G164</f>
        <v>20</v>
      </c>
    </row>
    <row r="167" spans="1:11" ht="20.25" customHeight="1" thickBot="1" x14ac:dyDescent="0.25">
      <c r="A167" s="8">
        <v>156</v>
      </c>
      <c r="B167" s="63">
        <f>'Necesidades Trimestrales'!B165</f>
        <v>0</v>
      </c>
      <c r="C167" s="94" t="str">
        <f>'Necesidades Trimestrales'!E165</f>
        <v>REACTIVO FOSFORO COBAS C-311 ROCHE  X 250 DET</v>
      </c>
      <c r="D167" s="94"/>
      <c r="E167" s="94"/>
      <c r="F167" s="94"/>
      <c r="G167" s="94"/>
      <c r="H167" s="64" t="s">
        <v>56</v>
      </c>
      <c r="I167" s="65" t="str">
        <f>'Necesidades Trimestrales'!F165</f>
        <v>CASSETTE</v>
      </c>
      <c r="J167" s="66">
        <f>'Necesidades Trimestrales'!H165</f>
        <v>4683</v>
      </c>
      <c r="K167" s="67">
        <f>'Necesidades Trimestrales'!G165</f>
        <v>3</v>
      </c>
    </row>
    <row r="168" spans="1:11" ht="20.25" customHeight="1" thickBot="1" x14ac:dyDescent="0.25">
      <c r="A168" s="8">
        <v>157</v>
      </c>
      <c r="B168" s="63">
        <f>'Necesidades Trimestrales'!B166</f>
        <v>0</v>
      </c>
      <c r="C168" s="94" t="str">
        <f>'Necesidades Trimestrales'!E166</f>
        <v>REACTIVO FSH COBAS E-411 ROCHE X 100 DET</v>
      </c>
      <c r="D168" s="94"/>
      <c r="E168" s="94"/>
      <c r="F168" s="94"/>
      <c r="G168" s="94"/>
      <c r="H168" s="64" t="s">
        <v>56</v>
      </c>
      <c r="I168" s="65" t="str">
        <f>'Necesidades Trimestrales'!F166</f>
        <v>CAJA</v>
      </c>
      <c r="J168" s="66">
        <f>'Necesidades Trimestrales'!H166</f>
        <v>22210</v>
      </c>
      <c r="K168" s="67">
        <f>'Necesidades Trimestrales'!G166</f>
        <v>2</v>
      </c>
    </row>
    <row r="169" spans="1:11" ht="20.25" customHeight="1" thickBot="1" x14ac:dyDescent="0.25">
      <c r="A169" s="8">
        <v>158</v>
      </c>
      <c r="B169" s="63">
        <f>'Necesidades Trimestrales'!B167</f>
        <v>0</v>
      </c>
      <c r="C169" s="94" t="str">
        <f>'Necesidades Trimestrales'!E167</f>
        <v>REACTIVO GGT COBAS C-311 ROCHE X 400 DET</v>
      </c>
      <c r="D169" s="94"/>
      <c r="E169" s="94"/>
      <c r="F169" s="94"/>
      <c r="G169" s="94"/>
      <c r="H169" s="64" t="s">
        <v>56</v>
      </c>
      <c r="I169" s="65" t="str">
        <f>'Necesidades Trimestrales'!F167</f>
        <v>CASSETTE</v>
      </c>
      <c r="J169" s="66">
        <f>'Necesidades Trimestrales'!H167</f>
        <v>11119</v>
      </c>
      <c r="K169" s="67">
        <f>'Necesidades Trimestrales'!G167</f>
        <v>20</v>
      </c>
    </row>
    <row r="170" spans="1:11" ht="20.25" customHeight="1" thickBot="1" x14ac:dyDescent="0.25">
      <c r="A170" s="8">
        <v>159</v>
      </c>
      <c r="B170" s="63">
        <f>'Necesidades Trimestrales'!B168</f>
        <v>0</v>
      </c>
      <c r="C170" s="94" t="str">
        <f>'Necesidades Trimestrales'!E168</f>
        <v>REACTIVO GLUCOSA HK GEN COBAS C-311 ROCHE X 800 DET</v>
      </c>
      <c r="D170" s="94"/>
      <c r="E170" s="94"/>
      <c r="F170" s="94"/>
      <c r="G170" s="94"/>
      <c r="H170" s="64" t="s">
        <v>56</v>
      </c>
      <c r="I170" s="65" t="str">
        <f>'Necesidades Trimestrales'!F168</f>
        <v>CASSETTE</v>
      </c>
      <c r="J170" s="66">
        <f>'Necesidades Trimestrales'!H168</f>
        <v>11066</v>
      </c>
      <c r="K170" s="67">
        <f>'Necesidades Trimestrales'!G168</f>
        <v>20</v>
      </c>
    </row>
    <row r="171" spans="1:11" ht="20.25" customHeight="1" thickBot="1" x14ac:dyDescent="0.25">
      <c r="A171" s="8">
        <v>160</v>
      </c>
      <c r="B171" s="63">
        <f>'Necesidades Trimestrales'!B169</f>
        <v>0</v>
      </c>
      <c r="C171" s="94" t="str">
        <f>'Necesidades Trimestrales'!E169</f>
        <v>REACTIVO GOT/AST  (IFCC) COBAS C-311 ROCHE  X 500 DET</v>
      </c>
      <c r="D171" s="94"/>
      <c r="E171" s="94"/>
      <c r="F171" s="94"/>
      <c r="G171" s="94"/>
      <c r="H171" s="64" t="s">
        <v>56</v>
      </c>
      <c r="I171" s="65" t="str">
        <f>'Necesidades Trimestrales'!F169</f>
        <v>CASSETTE</v>
      </c>
      <c r="J171" s="66">
        <f>'Necesidades Trimestrales'!H169</f>
        <v>10612</v>
      </c>
      <c r="K171" s="67">
        <f>'Necesidades Trimestrales'!G169</f>
        <v>7</v>
      </c>
    </row>
    <row r="172" spans="1:11" ht="20.25" customHeight="1" thickBot="1" x14ac:dyDescent="0.25">
      <c r="A172" s="8">
        <v>161</v>
      </c>
      <c r="B172" s="63">
        <f>'Necesidades Trimestrales'!B157</f>
        <v>0</v>
      </c>
      <c r="C172" s="94" t="str">
        <f>'Necesidades Trimestrales'!E170</f>
        <v xml:space="preserve">REACTIVO GPT/ALT (IFCC) COBAS C - 311 ROCHE X 500 DET </v>
      </c>
      <c r="D172" s="94"/>
      <c r="E172" s="94"/>
      <c r="F172" s="94"/>
      <c r="G172" s="94"/>
      <c r="H172" s="64" t="s">
        <v>56</v>
      </c>
      <c r="I172" s="65" t="str">
        <f>'Necesidades Trimestrales'!F170</f>
        <v>CASSETTE</v>
      </c>
      <c r="J172" s="66">
        <f>'Necesidades Trimestrales'!H170</f>
        <v>10612</v>
      </c>
      <c r="K172" s="67">
        <f>'Necesidades Trimestrales'!G170</f>
        <v>7</v>
      </c>
    </row>
    <row r="173" spans="1:11" ht="20.25" customHeight="1" thickBot="1" x14ac:dyDescent="0.25">
      <c r="A173" s="8">
        <v>162</v>
      </c>
      <c r="B173" s="63">
        <f>'Necesidades Trimestrales'!B158</f>
        <v>0</v>
      </c>
      <c r="C173" s="94" t="str">
        <f>'Necesidades Trimestrales'!E171</f>
        <v>REACTIVO HBsAg G2 reactico para Cobas E411 x 100 DET</v>
      </c>
      <c r="D173" s="94"/>
      <c r="E173" s="94"/>
      <c r="F173" s="94"/>
      <c r="G173" s="94"/>
      <c r="H173" s="64" t="s">
        <v>56</v>
      </c>
      <c r="I173" s="65" t="str">
        <f>'Necesidades Trimestrales'!F171</f>
        <v>CAJA</v>
      </c>
      <c r="J173" s="66">
        <f>'Necesidades Trimestrales'!H171</f>
        <v>28418</v>
      </c>
      <c r="K173" s="67">
        <f>'Necesidades Trimestrales'!G171</f>
        <v>4</v>
      </c>
    </row>
    <row r="174" spans="1:11" ht="20.25" customHeight="1" thickBot="1" x14ac:dyDescent="0.25">
      <c r="A174" s="8">
        <v>163</v>
      </c>
      <c r="B174" s="63">
        <f>'Necesidades Trimestrales'!B159</f>
        <v>0</v>
      </c>
      <c r="C174" s="94" t="str">
        <f>'Necesidades Trimestrales'!E172</f>
        <v>REACTIVO HCG + BETA P COBAS E 411  X 100 DET</v>
      </c>
      <c r="D174" s="94"/>
      <c r="E174" s="94"/>
      <c r="F174" s="94"/>
      <c r="G174" s="94"/>
      <c r="H174" s="64" t="s">
        <v>56</v>
      </c>
      <c r="I174" s="65" t="str">
        <f>'Necesidades Trimestrales'!F172</f>
        <v>CAJA</v>
      </c>
      <c r="J174" s="66">
        <f>'Necesidades Trimestrales'!H172</f>
        <v>38046</v>
      </c>
      <c r="K174" s="67">
        <f>'Necesidades Trimestrales'!G172</f>
        <v>2</v>
      </c>
    </row>
    <row r="175" spans="1:11" ht="20.25" customHeight="1" thickBot="1" x14ac:dyDescent="0.25">
      <c r="A175" s="8">
        <v>164</v>
      </c>
      <c r="B175" s="63">
        <f>'Necesidades Trimestrales'!B160</f>
        <v>0</v>
      </c>
      <c r="C175" s="94" t="str">
        <f>'Necesidades Trimestrales'!E173</f>
        <v>REACTIVO HDL COLESTEROL P/COBAS C311 X 350 DET</v>
      </c>
      <c r="D175" s="94"/>
      <c r="E175" s="94"/>
      <c r="F175" s="94"/>
      <c r="G175" s="94"/>
      <c r="H175" s="64" t="s">
        <v>56</v>
      </c>
      <c r="I175" s="65" t="str">
        <f>'Necesidades Trimestrales'!F173</f>
        <v>CASSETTE</v>
      </c>
      <c r="J175" s="66">
        <f>'Necesidades Trimestrales'!H173</f>
        <v>22148</v>
      </c>
      <c r="K175" s="67">
        <f>'Necesidades Trimestrales'!G173</f>
        <v>5</v>
      </c>
    </row>
    <row r="176" spans="1:11" ht="20.25" customHeight="1" thickBot="1" x14ac:dyDescent="0.25">
      <c r="A176" s="8">
        <v>165</v>
      </c>
      <c r="B176" s="63">
        <f>'Necesidades Trimestrales'!B161</f>
        <v>0</v>
      </c>
      <c r="C176" s="94" t="str">
        <f>'Necesidades Trimestrales'!E174</f>
        <v>REACTIVO HEMOGLOBINA GLICOSILADA P/ COBAS C311 X 150 DET</v>
      </c>
      <c r="D176" s="94"/>
      <c r="E176" s="94"/>
      <c r="F176" s="94"/>
      <c r="G176" s="94"/>
      <c r="H176" s="64" t="s">
        <v>56</v>
      </c>
      <c r="I176" s="65" t="str">
        <f>'Necesidades Trimestrales'!F174</f>
        <v>CASSETTE</v>
      </c>
      <c r="J176" s="66">
        <f>'Necesidades Trimestrales'!H174</f>
        <v>28418</v>
      </c>
      <c r="K176" s="67">
        <f>'Necesidades Trimestrales'!G174</f>
        <v>7</v>
      </c>
    </row>
    <row r="177" spans="1:11" ht="20.25" customHeight="1" thickBot="1" x14ac:dyDescent="0.25">
      <c r="A177" s="8">
        <v>166</v>
      </c>
      <c r="B177" s="63">
        <f>'Necesidades Trimestrales'!B162</f>
        <v>0</v>
      </c>
      <c r="C177" s="94" t="str">
        <f>'Necesidades Trimestrales'!E175</f>
        <v>REACTIVO HEMOLISANTE P/COBAS C311 HBAIC2 X 800 DET</v>
      </c>
      <c r="D177" s="94"/>
      <c r="E177" s="94"/>
      <c r="F177" s="94"/>
      <c r="G177" s="94"/>
      <c r="H177" s="64" t="s">
        <v>56</v>
      </c>
      <c r="I177" s="65" t="str">
        <f>'Necesidades Trimestrales'!F175</f>
        <v>CASSETTE</v>
      </c>
      <c r="J177" s="66">
        <f>'Necesidades Trimestrales'!H175</f>
        <v>5426</v>
      </c>
      <c r="K177" s="67">
        <f>'Necesidades Trimestrales'!G175</f>
        <v>3</v>
      </c>
    </row>
    <row r="178" spans="1:11" ht="20.25" customHeight="1" thickBot="1" x14ac:dyDescent="0.25">
      <c r="A178" s="8">
        <v>167</v>
      </c>
      <c r="B178" s="63">
        <f>'Necesidades Trimestrales'!B163</f>
        <v>0</v>
      </c>
      <c r="C178" s="94" t="str">
        <f>'Necesidades Trimestrales'!E176</f>
        <v>REACTIVO HIERRO COBAS C-311 ROCHE  X 200 DET</v>
      </c>
      <c r="D178" s="94"/>
      <c r="E178" s="94"/>
      <c r="F178" s="94"/>
      <c r="G178" s="94"/>
      <c r="H178" s="64" t="s">
        <v>56</v>
      </c>
      <c r="I178" s="65" t="str">
        <f>'Necesidades Trimestrales'!F176</f>
        <v>CASSETTE</v>
      </c>
      <c r="J178" s="66">
        <f>'Necesidades Trimestrales'!H176</f>
        <v>2504</v>
      </c>
      <c r="K178" s="67">
        <f>'Necesidades Trimestrales'!G176</f>
        <v>3</v>
      </c>
    </row>
    <row r="179" spans="1:11" ht="20.25" customHeight="1" thickBot="1" x14ac:dyDescent="0.25">
      <c r="A179" s="8">
        <v>168</v>
      </c>
      <c r="B179" s="63">
        <f>'Necesidades Trimestrales'!B164</f>
        <v>0</v>
      </c>
      <c r="C179" s="94" t="str">
        <f>'Necesidades Trimestrales'!E177</f>
        <v xml:space="preserve">REACTIVO HTLV P/COBAS E411 X 100 DET </v>
      </c>
      <c r="D179" s="94"/>
      <c r="E179" s="94"/>
      <c r="F179" s="94"/>
      <c r="G179" s="94"/>
      <c r="H179" s="64" t="s">
        <v>56</v>
      </c>
      <c r="I179" s="65" t="str">
        <f>'Necesidades Trimestrales'!F177</f>
        <v>CAJA</v>
      </c>
      <c r="J179" s="66">
        <f>'Necesidades Trimestrales'!H177</f>
        <v>53272.3</v>
      </c>
      <c r="K179" s="67">
        <f>'Necesidades Trimestrales'!G177</f>
        <v>1</v>
      </c>
    </row>
    <row r="180" spans="1:11" ht="20.25" customHeight="1" thickBot="1" x14ac:dyDescent="0.25">
      <c r="A180" s="8">
        <v>169</v>
      </c>
      <c r="B180" s="63">
        <f>'Necesidades Trimestrales'!B165</f>
        <v>0</v>
      </c>
      <c r="C180" s="94" t="str">
        <f>'Necesidades Trimestrales'!E178</f>
        <v>REACTIVO IGA COBAS ROCHE C311 X 150 DET</v>
      </c>
      <c r="D180" s="94"/>
      <c r="E180" s="94"/>
      <c r="F180" s="94"/>
      <c r="G180" s="94"/>
      <c r="H180" s="64" t="s">
        <v>56</v>
      </c>
      <c r="I180" s="65" t="str">
        <f>'Necesidades Trimestrales'!F178</f>
        <v>CASSETTE</v>
      </c>
      <c r="J180" s="66">
        <f>'Necesidades Trimestrales'!H178</f>
        <v>23265</v>
      </c>
      <c r="K180" s="67">
        <f>'Necesidades Trimestrales'!G178</f>
        <v>2</v>
      </c>
    </row>
    <row r="181" spans="1:11" ht="20.25" customHeight="1" thickBot="1" x14ac:dyDescent="0.25">
      <c r="A181" s="8">
        <v>170</v>
      </c>
      <c r="B181" s="63">
        <f>'Necesidades Trimestrales'!B149</f>
        <v>0</v>
      </c>
      <c r="C181" s="94" t="str">
        <f>'Necesidades Trimestrales'!E179</f>
        <v>REACTIVO IGG COBAS ROCHE C311 X 150 DET</v>
      </c>
      <c r="D181" s="94"/>
      <c r="E181" s="94"/>
      <c r="F181" s="94"/>
      <c r="G181" s="94"/>
      <c r="H181" s="64" t="s">
        <v>56</v>
      </c>
      <c r="I181" s="65" t="str">
        <f>'Necesidades Trimestrales'!F179</f>
        <v>CASSETTE</v>
      </c>
      <c r="J181" s="66">
        <f>'Necesidades Trimestrales'!H179</f>
        <v>23265</v>
      </c>
      <c r="K181" s="67">
        <f>'Necesidades Trimestrales'!G179</f>
        <v>3</v>
      </c>
    </row>
    <row r="182" spans="1:11" ht="20.25" customHeight="1" thickBot="1" x14ac:dyDescent="0.25">
      <c r="A182" s="8">
        <v>171</v>
      </c>
      <c r="B182" s="63">
        <f>'Necesidades Trimestrales'!B150</f>
        <v>0</v>
      </c>
      <c r="C182" s="94" t="str">
        <f>'Necesidades Trimestrales'!E180</f>
        <v>REACTIVO IGM P/ COBAS C311 X 150 DET</v>
      </c>
      <c r="D182" s="94"/>
      <c r="E182" s="94"/>
      <c r="F182" s="94"/>
      <c r="G182" s="94"/>
      <c r="H182" s="64" t="s">
        <v>56</v>
      </c>
      <c r="I182" s="65" t="str">
        <f>'Necesidades Trimestrales'!F180</f>
        <v>CASSETTE</v>
      </c>
      <c r="J182" s="66">
        <f>'Necesidades Trimestrales'!H180</f>
        <v>23265</v>
      </c>
      <c r="K182" s="67">
        <f>'Necesidades Trimestrales'!G180</f>
        <v>2</v>
      </c>
    </row>
    <row r="183" spans="1:11" ht="20.25" customHeight="1" thickBot="1" x14ac:dyDescent="0.25">
      <c r="A183" s="8">
        <v>172</v>
      </c>
      <c r="B183" s="63">
        <f>'Necesidades Trimestrales'!B151</f>
        <v>0</v>
      </c>
      <c r="C183" s="94" t="str">
        <f>'Necesidades Trimestrales'!E181</f>
        <v>REACTIVO INMUNOGLOBULINA IG E P COBAS E 411  X 100 DET ROCHE</v>
      </c>
      <c r="D183" s="94"/>
      <c r="E183" s="94"/>
      <c r="F183" s="94"/>
      <c r="G183" s="94"/>
      <c r="H183" s="64" t="s">
        <v>56</v>
      </c>
      <c r="I183" s="65" t="str">
        <f>'Necesidades Trimestrales'!F181</f>
        <v>CAJA</v>
      </c>
      <c r="J183" s="66">
        <f>'Necesidades Trimestrales'!H181</f>
        <v>21608</v>
      </c>
      <c r="K183" s="67">
        <f>'Necesidades Trimestrales'!G181</f>
        <v>2</v>
      </c>
    </row>
    <row r="184" spans="1:11" ht="20.25" customHeight="1" thickBot="1" x14ac:dyDescent="0.25">
      <c r="A184" s="8">
        <v>173</v>
      </c>
      <c r="B184" s="63">
        <f>'Necesidades Trimestrales'!B152</f>
        <v>0</v>
      </c>
      <c r="C184" s="94" t="str">
        <f>'Necesidades Trimestrales'!E182</f>
        <v>REACTIVO INSULINA COBAS E-411 ROCHE  X 100 DET</v>
      </c>
      <c r="D184" s="94"/>
      <c r="E184" s="94"/>
      <c r="F184" s="94"/>
      <c r="G184" s="94"/>
      <c r="H184" s="64" t="s">
        <v>56</v>
      </c>
      <c r="I184" s="65" t="str">
        <f>'Necesidades Trimestrales'!F182</f>
        <v>CAJA</v>
      </c>
      <c r="J184" s="66">
        <f>'Necesidades Trimestrales'!H182</f>
        <v>28621</v>
      </c>
      <c r="K184" s="67">
        <f>'Necesidades Trimestrales'!G182</f>
        <v>6</v>
      </c>
    </row>
    <row r="185" spans="1:11" ht="20.25" customHeight="1" thickBot="1" x14ac:dyDescent="0.25">
      <c r="A185" s="8">
        <v>174</v>
      </c>
      <c r="B185" s="63">
        <f>'Necesidades Trimestrales'!B153</f>
        <v>0</v>
      </c>
      <c r="C185" s="94" t="str">
        <f>'Necesidades Trimestrales'!E183</f>
        <v>REACTIVO LDH OPTIMIZADA COBAS C-311 ROCHE X 300 DET</v>
      </c>
      <c r="D185" s="94"/>
      <c r="E185" s="94"/>
      <c r="F185" s="94"/>
      <c r="G185" s="94"/>
      <c r="H185" s="64" t="s">
        <v>56</v>
      </c>
      <c r="I185" s="65" t="str">
        <f>'Necesidades Trimestrales'!F183</f>
        <v>CASSETTE</v>
      </c>
      <c r="J185" s="66">
        <f>'Necesidades Trimestrales'!H183</f>
        <v>14258</v>
      </c>
      <c r="K185" s="67">
        <f>'Necesidades Trimestrales'!G183</f>
        <v>6</v>
      </c>
    </row>
    <row r="186" spans="1:11" ht="20.25" customHeight="1" thickBot="1" x14ac:dyDescent="0.25">
      <c r="A186" s="8">
        <v>175</v>
      </c>
      <c r="B186" s="63">
        <f>'Necesidades Trimestrales'!B154</f>
        <v>0</v>
      </c>
      <c r="C186" s="94" t="str">
        <f>'Necesidades Trimestrales'!E184</f>
        <v>REACTIVO LDL COLESTEROL P/COBAS C311 x 200 DET</v>
      </c>
      <c r="D186" s="94"/>
      <c r="E186" s="94"/>
      <c r="F186" s="94"/>
      <c r="G186" s="94"/>
      <c r="H186" s="64" t="s">
        <v>56</v>
      </c>
      <c r="I186" s="65" t="str">
        <f>'Necesidades Trimestrales'!F184</f>
        <v>CASSETTE</v>
      </c>
      <c r="J186" s="66">
        <f>'Necesidades Trimestrales'!H184</f>
        <v>19924</v>
      </c>
      <c r="K186" s="67">
        <f>'Necesidades Trimestrales'!G184</f>
        <v>7</v>
      </c>
    </row>
    <row r="187" spans="1:11" ht="20.25" customHeight="1" thickBot="1" x14ac:dyDescent="0.25">
      <c r="A187" s="8">
        <v>176</v>
      </c>
      <c r="B187" s="63">
        <f>'Necesidades Trimestrales'!B155</f>
        <v>0</v>
      </c>
      <c r="C187" s="94" t="str">
        <f>'Necesidades Trimestrales'!E185</f>
        <v>REACTIVO LH COBAS E-411 ROCHE  X 100 DET</v>
      </c>
      <c r="D187" s="94"/>
      <c r="E187" s="94"/>
      <c r="F187" s="94"/>
      <c r="G187" s="94"/>
      <c r="H187" s="64" t="s">
        <v>56</v>
      </c>
      <c r="I187" s="65" t="str">
        <f>'Necesidades Trimestrales'!F185</f>
        <v>CAJA</v>
      </c>
      <c r="J187" s="66">
        <f>'Necesidades Trimestrales'!H185</f>
        <v>22210</v>
      </c>
      <c r="K187" s="67">
        <f>'Necesidades Trimestrales'!G185</f>
        <v>3</v>
      </c>
    </row>
    <row r="188" spans="1:11" ht="20.25" customHeight="1" thickBot="1" x14ac:dyDescent="0.25">
      <c r="A188" s="8">
        <v>177</v>
      </c>
      <c r="B188" s="63">
        <f>'Necesidades Trimestrales'!B156</f>
        <v>0</v>
      </c>
      <c r="C188" s="94" t="str">
        <f>'Necesidades Trimestrales'!E186</f>
        <v>REACTIVO LIPASA COBAS C-311 ROCHE  X 200 DET</v>
      </c>
      <c r="D188" s="94"/>
      <c r="E188" s="94"/>
      <c r="F188" s="94"/>
      <c r="G188" s="94"/>
      <c r="H188" s="64" t="s">
        <v>56</v>
      </c>
      <c r="I188" s="65" t="str">
        <f>'Necesidades Trimestrales'!F186</f>
        <v>CASSETTE</v>
      </c>
      <c r="J188" s="66">
        <f>'Necesidades Trimestrales'!H186</f>
        <v>12671</v>
      </c>
      <c r="K188" s="67">
        <f>'Necesidades Trimestrales'!G186</f>
        <v>8</v>
      </c>
    </row>
    <row r="189" spans="1:11" ht="20.25" customHeight="1" thickBot="1" x14ac:dyDescent="0.25">
      <c r="A189" s="8">
        <v>178</v>
      </c>
      <c r="B189" s="63">
        <f>'Necesidades Trimestrales'!B157</f>
        <v>0</v>
      </c>
      <c r="C189" s="94" t="str">
        <f>'Necesidades Trimestrales'!E187</f>
        <v>REACTIVO MAGNESIO COBAS C-311 ROCHE  X 175 DET</v>
      </c>
      <c r="D189" s="94"/>
      <c r="E189" s="94"/>
      <c r="F189" s="94"/>
      <c r="G189" s="94"/>
      <c r="H189" s="64" t="s">
        <v>56</v>
      </c>
      <c r="I189" s="65" t="str">
        <f>'Necesidades Trimestrales'!F187</f>
        <v>CASSETTE</v>
      </c>
      <c r="J189" s="66">
        <f>'Necesidades Trimestrales'!H187</f>
        <v>5539</v>
      </c>
      <c r="K189" s="67">
        <f>'Necesidades Trimestrales'!G187</f>
        <v>2</v>
      </c>
    </row>
    <row r="190" spans="1:11" ht="20.25" customHeight="1" thickBot="1" x14ac:dyDescent="0.25">
      <c r="A190" s="8">
        <v>179</v>
      </c>
      <c r="B190" s="63">
        <f>'Necesidades Trimestrales'!B158</f>
        <v>0</v>
      </c>
      <c r="C190" s="94" t="str">
        <f>'Necesidades Trimestrales'!E188</f>
        <v>REACTIVO PHYFILIS TREPONEMICO P/COBAS E411 X100 DET</v>
      </c>
      <c r="D190" s="94"/>
      <c r="E190" s="94"/>
      <c r="F190" s="94"/>
      <c r="G190" s="94"/>
      <c r="H190" s="64" t="s">
        <v>56</v>
      </c>
      <c r="I190" s="65" t="str">
        <f>'Necesidades Trimestrales'!F188</f>
        <v>CAJA</v>
      </c>
      <c r="J190" s="66">
        <f>'Necesidades Trimestrales'!H188</f>
        <v>55034</v>
      </c>
      <c r="K190" s="67">
        <f>'Necesidades Trimestrales'!G188</f>
        <v>1</v>
      </c>
    </row>
    <row r="191" spans="1:11" ht="20.25" customHeight="1" thickBot="1" x14ac:dyDescent="0.25">
      <c r="A191" s="8">
        <v>180</v>
      </c>
      <c r="B191" s="63">
        <f>'Necesidades Trimestrales'!B159</f>
        <v>0</v>
      </c>
      <c r="C191" s="94" t="str">
        <f>'Necesidades Trimestrales'!E189</f>
        <v>REACTIVO PRO BNP P/COBAS E411 X 100 DET</v>
      </c>
      <c r="D191" s="94"/>
      <c r="E191" s="94"/>
      <c r="F191" s="94"/>
      <c r="G191" s="94"/>
      <c r="H191" s="64" t="s">
        <v>56</v>
      </c>
      <c r="I191" s="65" t="str">
        <f>'Necesidades Trimestrales'!F189</f>
        <v>CAJA</v>
      </c>
      <c r="J191" s="66">
        <f>'Necesidades Trimestrales'!H189</f>
        <v>222241</v>
      </c>
      <c r="K191" s="67">
        <f>'Necesidades Trimestrales'!G189</f>
        <v>1</v>
      </c>
    </row>
    <row r="192" spans="1:11" ht="20.25" customHeight="1" thickBot="1" x14ac:dyDescent="0.25">
      <c r="A192" s="8">
        <v>181</v>
      </c>
      <c r="B192" s="63">
        <f>'Necesidades Trimestrales'!B160</f>
        <v>0</v>
      </c>
      <c r="C192" s="94" t="str">
        <f>'Necesidades Trimestrales'!E190</f>
        <v>REACTIVO PROGESTERONA COBAS E-411 ROCHE  X 100 DET</v>
      </c>
      <c r="D192" s="94"/>
      <c r="E192" s="94"/>
      <c r="F192" s="94"/>
      <c r="G192" s="94"/>
      <c r="H192" s="64" t="s">
        <v>56</v>
      </c>
      <c r="I192" s="65" t="str">
        <f>'Necesidades Trimestrales'!F190</f>
        <v>CAJA</v>
      </c>
      <c r="J192" s="66">
        <f>'Necesidades Trimestrales'!H190</f>
        <v>24647</v>
      </c>
      <c r="K192" s="67">
        <f>'Necesidades Trimestrales'!G190</f>
        <v>2</v>
      </c>
    </row>
    <row r="193" spans="1:11" ht="20.25" customHeight="1" thickBot="1" x14ac:dyDescent="0.25">
      <c r="A193" s="8">
        <v>182</v>
      </c>
      <c r="B193" s="63">
        <f>'Necesidades Trimestrales'!B161</f>
        <v>0</v>
      </c>
      <c r="C193" s="94" t="str">
        <f>'Necesidades Trimestrales'!E191</f>
        <v>REACTIVO PROLACTINA COBAS E-411 ROCHE X 100 DET</v>
      </c>
      <c r="D193" s="94"/>
      <c r="E193" s="94"/>
      <c r="F193" s="94"/>
      <c r="G193" s="94"/>
      <c r="H193" s="64" t="s">
        <v>56</v>
      </c>
      <c r="I193" s="65" t="str">
        <f>'Necesidades Trimestrales'!F191</f>
        <v>CAJA</v>
      </c>
      <c r="J193" s="66">
        <f>'Necesidades Trimestrales'!H191</f>
        <v>22210</v>
      </c>
      <c r="K193" s="67">
        <f>'Necesidades Trimestrales'!G191</f>
        <v>3</v>
      </c>
    </row>
    <row r="194" spans="1:11" ht="20.25" customHeight="1" thickBot="1" x14ac:dyDescent="0.25">
      <c r="A194" s="8">
        <v>183</v>
      </c>
      <c r="B194" s="63">
        <f>'Necesidades Trimestrales'!B162</f>
        <v>0</v>
      </c>
      <c r="C194" s="94" t="str">
        <f>'Necesidades Trimestrales'!E192</f>
        <v xml:space="preserve">REACTIVO PROTEINA C REACTIVA  CRP COBAS C-311 ROCHE  X 250 DET </v>
      </c>
      <c r="D194" s="94"/>
      <c r="E194" s="94"/>
      <c r="F194" s="94"/>
      <c r="G194" s="94"/>
      <c r="H194" s="64" t="s">
        <v>56</v>
      </c>
      <c r="I194" s="65" t="str">
        <f>'Necesidades Trimestrales'!F192</f>
        <v>CASSETTE</v>
      </c>
      <c r="J194" s="66">
        <f>'Necesidades Trimestrales'!H192</f>
        <v>45648</v>
      </c>
      <c r="K194" s="67">
        <f>'Necesidades Trimestrales'!G192</f>
        <v>15</v>
      </c>
    </row>
    <row r="195" spans="1:11" ht="20.25" customHeight="1" thickBot="1" x14ac:dyDescent="0.25">
      <c r="A195" s="8">
        <v>184</v>
      </c>
      <c r="B195" s="63">
        <f>'Necesidades Trimestrales'!B163</f>
        <v>0</v>
      </c>
      <c r="C195" s="94" t="str">
        <f>'Necesidades Trimestrales'!E193</f>
        <v>REACTIVO PROTEINAS TOTALES COBAS C-311 ROCHE  X 300 DET</v>
      </c>
      <c r="D195" s="94"/>
      <c r="E195" s="94"/>
      <c r="F195" s="94"/>
      <c r="G195" s="94"/>
      <c r="H195" s="64" t="s">
        <v>56</v>
      </c>
      <c r="I195" s="65" t="str">
        <f>'Necesidades Trimestrales'!F193</f>
        <v>CASSETTE</v>
      </c>
      <c r="J195" s="66">
        <f>'Necesidades Trimestrales'!H193</f>
        <v>2120</v>
      </c>
      <c r="K195" s="67">
        <f>'Necesidades Trimestrales'!G193</f>
        <v>50</v>
      </c>
    </row>
    <row r="196" spans="1:11" ht="20.25" customHeight="1" thickBot="1" x14ac:dyDescent="0.25">
      <c r="A196" s="8">
        <v>185</v>
      </c>
      <c r="B196" s="63">
        <f>'Necesidades Trimestrales'!B145</f>
        <v>0</v>
      </c>
      <c r="C196" s="94" t="str">
        <f>'Necesidades Trimestrales'!E194</f>
        <v>REACTIVO PSA P COBAS E411 X 100 DET</v>
      </c>
      <c r="D196" s="94"/>
      <c r="E196" s="94"/>
      <c r="F196" s="94"/>
      <c r="G196" s="94"/>
      <c r="H196" s="64" t="s">
        <v>56</v>
      </c>
      <c r="I196" s="65" t="str">
        <f>'Necesidades Trimestrales'!F194</f>
        <v>CAJA</v>
      </c>
      <c r="J196" s="66">
        <f>'Necesidades Trimestrales'!H194</f>
        <v>34871</v>
      </c>
      <c r="K196" s="67">
        <f>'Necesidades Trimestrales'!G194</f>
        <v>3</v>
      </c>
    </row>
    <row r="197" spans="1:11" ht="20.25" customHeight="1" thickBot="1" x14ac:dyDescent="0.25">
      <c r="A197" s="8">
        <v>186</v>
      </c>
      <c r="B197" s="63">
        <f>'Necesidades Trimestrales'!B146</f>
        <v>0</v>
      </c>
      <c r="C197" s="94" t="str">
        <f>'Necesidades Trimestrales'!E195</f>
        <v>REACTIVO PTH P COBAS E411 X 100 DET</v>
      </c>
      <c r="D197" s="94"/>
      <c r="E197" s="94"/>
      <c r="F197" s="94"/>
      <c r="G197" s="94"/>
      <c r="H197" s="64" t="s">
        <v>56</v>
      </c>
      <c r="I197" s="65" t="str">
        <f>'Necesidades Trimestrales'!F195</f>
        <v>CAJA</v>
      </c>
      <c r="J197" s="66">
        <f>'Necesidades Trimestrales'!H195</f>
        <v>30788</v>
      </c>
      <c r="K197" s="67">
        <f>'Necesidades Trimestrales'!G195</f>
        <v>2</v>
      </c>
    </row>
    <row r="198" spans="1:11" ht="20.25" customHeight="1" thickBot="1" x14ac:dyDescent="0.25">
      <c r="A198" s="8">
        <v>187</v>
      </c>
      <c r="B198" s="63">
        <f>'Necesidades Trimestrales'!B147</f>
        <v>0</v>
      </c>
      <c r="C198" s="94" t="str">
        <f>'Necesidades Trimestrales'!E196</f>
        <v>REACTIVO S-HBG COBAS E-411 ROCHE  X 100 DET</v>
      </c>
      <c r="D198" s="94"/>
      <c r="E198" s="94"/>
      <c r="F198" s="94"/>
      <c r="G198" s="94"/>
      <c r="H198" s="64" t="s">
        <v>56</v>
      </c>
      <c r="I198" s="65" t="str">
        <f>'Necesidades Trimestrales'!F196</f>
        <v>CAJA</v>
      </c>
      <c r="J198" s="66">
        <f>'Necesidades Trimestrales'!H196</f>
        <v>38046</v>
      </c>
      <c r="K198" s="67">
        <f>'Necesidades Trimestrales'!G196</f>
        <v>1</v>
      </c>
    </row>
    <row r="199" spans="1:11" ht="20.25" customHeight="1" thickBot="1" x14ac:dyDescent="0.25">
      <c r="A199" s="8">
        <v>188</v>
      </c>
      <c r="B199" s="63">
        <f>'Necesidades Trimestrales'!B148</f>
        <v>0</v>
      </c>
      <c r="C199" s="94" t="str">
        <f>'Necesidades Trimestrales'!E197</f>
        <v>REACTIVO T3  TOTAL COBAS E-411 ROCHE  X 100 DET</v>
      </c>
      <c r="D199" s="94"/>
      <c r="E199" s="94"/>
      <c r="F199" s="94"/>
      <c r="G199" s="94"/>
      <c r="H199" s="64" t="s">
        <v>56</v>
      </c>
      <c r="I199" s="65" t="str">
        <f>'Necesidades Trimestrales'!F197</f>
        <v>CASSETTE</v>
      </c>
      <c r="J199" s="66">
        <f>'Necesidades Trimestrales'!H197</f>
        <v>25576</v>
      </c>
      <c r="K199" s="67">
        <f>'Necesidades Trimestrales'!G197</f>
        <v>3</v>
      </c>
    </row>
    <row r="200" spans="1:11" ht="20.25" customHeight="1" thickBot="1" x14ac:dyDescent="0.25">
      <c r="A200" s="8">
        <v>189</v>
      </c>
      <c r="B200" s="63">
        <f>'Necesidades Trimestrales'!B149</f>
        <v>0</v>
      </c>
      <c r="C200" s="94" t="str">
        <f>'Necesidades Trimestrales'!E198</f>
        <v>REACTIVO T4 LIBRE  (FT4)   COBAS E-411 ROCHE X 200 DET</v>
      </c>
      <c r="D200" s="94"/>
      <c r="E200" s="94"/>
      <c r="F200" s="94"/>
      <c r="G200" s="94"/>
      <c r="H200" s="64" t="s">
        <v>56</v>
      </c>
      <c r="I200" s="65" t="str">
        <f>'Necesidades Trimestrales'!F198</f>
        <v>CASSETTE</v>
      </c>
      <c r="J200" s="66">
        <f>'Necesidades Trimestrales'!H198</f>
        <v>31226</v>
      </c>
      <c r="K200" s="67">
        <f>'Necesidades Trimestrales'!G198</f>
        <v>6</v>
      </c>
    </row>
    <row r="201" spans="1:11" ht="20.25" customHeight="1" thickBot="1" x14ac:dyDescent="0.25">
      <c r="A201" s="8">
        <v>190</v>
      </c>
      <c r="B201" s="63">
        <f>'Necesidades Trimestrales'!B150</f>
        <v>0</v>
      </c>
      <c r="C201" s="94" t="str">
        <f>'Necesidades Trimestrales'!E199</f>
        <v>REACTIVO T4 TOTAL P COBAS E 411X 200 DET</v>
      </c>
      <c r="D201" s="94"/>
      <c r="E201" s="94"/>
      <c r="F201" s="94"/>
      <c r="G201" s="94"/>
      <c r="H201" s="64" t="s">
        <v>56</v>
      </c>
      <c r="I201" s="65" t="str">
        <f>'Necesidades Trimestrales'!F199</f>
        <v>CASSETTE</v>
      </c>
      <c r="J201" s="66">
        <f>'Necesidades Trimestrales'!H199</f>
        <v>25576</v>
      </c>
      <c r="K201" s="67">
        <f>'Necesidades Trimestrales'!G199</f>
        <v>3</v>
      </c>
    </row>
    <row r="202" spans="1:11" ht="20.25" customHeight="1" thickBot="1" x14ac:dyDescent="0.25">
      <c r="A202" s="8">
        <v>191</v>
      </c>
      <c r="B202" s="63">
        <f>'Necesidades Trimestrales'!B151</f>
        <v>0</v>
      </c>
      <c r="C202" s="94" t="str">
        <f>'Necesidades Trimestrales'!E200</f>
        <v>REACTIVO TESTOSTERONA P COBAS E411 X100 DET</v>
      </c>
      <c r="D202" s="94"/>
      <c r="E202" s="94"/>
      <c r="F202" s="94"/>
      <c r="G202" s="94"/>
      <c r="H202" s="64" t="s">
        <v>56</v>
      </c>
      <c r="I202" s="65" t="str">
        <f>'Necesidades Trimestrales'!F200</f>
        <v>CASSETTE</v>
      </c>
      <c r="J202" s="66">
        <f>'Necesidades Trimestrales'!H200</f>
        <v>24647</v>
      </c>
      <c r="K202" s="67">
        <f>'Necesidades Trimestrales'!G200</f>
        <v>2</v>
      </c>
    </row>
    <row r="203" spans="1:11" ht="20.25" customHeight="1" thickBot="1" x14ac:dyDescent="0.25">
      <c r="A203" s="8">
        <v>192</v>
      </c>
      <c r="B203" s="63">
        <f>'Necesidades Trimestrales'!B152</f>
        <v>0</v>
      </c>
      <c r="C203" s="94" t="str">
        <f>'Necesidades Trimestrales'!E201</f>
        <v>REACTIVO TIROGLOBULINA P COBAS E411 X100 DET</v>
      </c>
      <c r="D203" s="94"/>
      <c r="E203" s="94"/>
      <c r="F203" s="94"/>
      <c r="G203" s="94"/>
      <c r="H203" s="64" t="s">
        <v>56</v>
      </c>
      <c r="I203" s="65" t="str">
        <f>'Necesidades Trimestrales'!F201</f>
        <v>CAJA</v>
      </c>
      <c r="J203" s="66">
        <f>'Necesidades Trimestrales'!H201</f>
        <v>27019</v>
      </c>
      <c r="K203" s="67">
        <f>'Necesidades Trimestrales'!G201</f>
        <v>1</v>
      </c>
    </row>
    <row r="204" spans="1:11" ht="20.25" customHeight="1" thickBot="1" x14ac:dyDescent="0.25">
      <c r="A204" s="8">
        <v>193</v>
      </c>
      <c r="B204" s="63">
        <f>'Necesidades Trimestrales'!B153</f>
        <v>0</v>
      </c>
      <c r="C204" s="94" t="str">
        <f>'Necesidades Trimestrales'!E202</f>
        <v>REACTIVO TOXO IGG P/COBAS E411 X100 DET</v>
      </c>
      <c r="D204" s="94"/>
      <c r="E204" s="94"/>
      <c r="F204" s="94"/>
      <c r="G204" s="94"/>
      <c r="H204" s="64" t="s">
        <v>56</v>
      </c>
      <c r="I204" s="65" t="str">
        <f>'Necesidades Trimestrales'!F202</f>
        <v>CAJA</v>
      </c>
      <c r="J204" s="66">
        <f>'Necesidades Trimestrales'!H202</f>
        <v>46589</v>
      </c>
      <c r="K204" s="67">
        <f>'Necesidades Trimestrales'!G202</f>
        <v>1</v>
      </c>
    </row>
    <row r="205" spans="1:11" ht="20.25" customHeight="1" thickBot="1" x14ac:dyDescent="0.25">
      <c r="A205" s="8">
        <v>194</v>
      </c>
      <c r="B205" s="63">
        <f>'Necesidades Trimestrales'!B154</f>
        <v>0</v>
      </c>
      <c r="C205" s="94" t="str">
        <f>'Necesidades Trimestrales'!E203</f>
        <v>REACTIVO TOXO IGM P/COBAS E411 X100 DET</v>
      </c>
      <c r="D205" s="94"/>
      <c r="E205" s="94"/>
      <c r="F205" s="94"/>
      <c r="G205" s="94"/>
      <c r="H205" s="64" t="s">
        <v>56</v>
      </c>
      <c r="I205" s="65" t="str">
        <f>'Necesidades Trimestrales'!F203</f>
        <v>CAJA</v>
      </c>
      <c r="J205" s="66">
        <f>'Necesidades Trimestrales'!H203</f>
        <v>53244</v>
      </c>
      <c r="K205" s="67">
        <f>'Necesidades Trimestrales'!G203</f>
        <v>1</v>
      </c>
    </row>
    <row r="206" spans="1:11" ht="20.25" customHeight="1" thickBot="1" x14ac:dyDescent="0.25">
      <c r="A206" s="8">
        <v>195</v>
      </c>
      <c r="B206" s="63">
        <f>'Necesidades Trimestrales'!B155</f>
        <v>0</v>
      </c>
      <c r="C206" s="94" t="str">
        <f>'Necesidades Trimestrales'!E204</f>
        <v>REACTIVO TRANSFERRINA P/ COBAS C311 x 100 det</v>
      </c>
      <c r="D206" s="94"/>
      <c r="E206" s="94"/>
      <c r="F206" s="94"/>
      <c r="G206" s="94"/>
      <c r="H206" s="64" t="s">
        <v>56</v>
      </c>
      <c r="I206" s="65" t="str">
        <f>'Necesidades Trimestrales'!F204</f>
        <v>CASSETTE</v>
      </c>
      <c r="J206" s="66">
        <f>'Necesidades Trimestrales'!H204</f>
        <v>11826</v>
      </c>
      <c r="K206" s="67">
        <f>'Necesidades Trimestrales'!G204</f>
        <v>5</v>
      </c>
    </row>
    <row r="207" spans="1:11" ht="20.25" customHeight="1" thickBot="1" x14ac:dyDescent="0.25">
      <c r="A207" s="8">
        <v>196</v>
      </c>
      <c r="B207" s="63">
        <f>'Necesidades Trimestrales'!B156</f>
        <v>0</v>
      </c>
      <c r="C207" s="94" t="str">
        <f>'Necesidades Trimestrales'!E205</f>
        <v xml:space="preserve">REACTIVO TRIGLICERIDOS COBAS C-311 ROCHE  X 250 DET </v>
      </c>
      <c r="D207" s="94"/>
      <c r="E207" s="94"/>
      <c r="F207" s="94"/>
      <c r="G207" s="94"/>
      <c r="H207" s="64" t="s">
        <v>56</v>
      </c>
      <c r="I207" s="65" t="str">
        <f>'Necesidades Trimestrales'!F205</f>
        <v>CASSETTE</v>
      </c>
      <c r="J207" s="66">
        <f>'Necesidades Trimestrales'!H205</f>
        <v>4448</v>
      </c>
      <c r="K207" s="67">
        <f>'Necesidades Trimestrales'!G205</f>
        <v>9</v>
      </c>
    </row>
    <row r="208" spans="1:11" ht="20.25" customHeight="1" thickBot="1" x14ac:dyDescent="0.25">
      <c r="A208" s="8">
        <v>197</v>
      </c>
      <c r="B208" s="63">
        <f>'Necesidades Trimestrales'!B157</f>
        <v>0</v>
      </c>
      <c r="C208" s="94" t="str">
        <f>'Necesidades Trimestrales'!E206</f>
        <v>REACTIVO TROPONINA THS P COBAS E411 X 100 DETER.</v>
      </c>
      <c r="D208" s="94"/>
      <c r="E208" s="94"/>
      <c r="F208" s="94"/>
      <c r="G208" s="94"/>
      <c r="H208" s="64" t="s">
        <v>56</v>
      </c>
      <c r="I208" s="65" t="str">
        <f>'Necesidades Trimestrales'!F206</f>
        <v>CAJA</v>
      </c>
      <c r="J208" s="66">
        <f>'Necesidades Trimestrales'!H206</f>
        <v>45714</v>
      </c>
      <c r="K208" s="67">
        <f>'Necesidades Trimestrales'!G206</f>
        <v>6</v>
      </c>
    </row>
    <row r="209" spans="1:11" ht="20.25" customHeight="1" thickBot="1" x14ac:dyDescent="0.25">
      <c r="A209" s="8">
        <v>198</v>
      </c>
      <c r="B209" s="63">
        <f>'Necesidades Trimestrales'!B158</f>
        <v>0</v>
      </c>
      <c r="C209" s="94" t="str">
        <f>'Necesidades Trimestrales'!E207</f>
        <v>REACTIVO TSH P/COBAS E411 X  200 DET PARA COBAS E411 ROCHE</v>
      </c>
      <c r="D209" s="94"/>
      <c r="E209" s="94"/>
      <c r="F209" s="94"/>
      <c r="G209" s="94"/>
      <c r="H209" s="64" t="s">
        <v>56</v>
      </c>
      <c r="I209" s="65" t="str">
        <f>'Necesidades Trimestrales'!F207</f>
        <v>CAJA</v>
      </c>
      <c r="J209" s="66">
        <f>'Necesidades Trimestrales'!H207</f>
        <v>24383</v>
      </c>
      <c r="K209" s="67">
        <f>'Necesidades Trimestrales'!G207</f>
        <v>12</v>
      </c>
    </row>
    <row r="210" spans="1:11" ht="20.25" customHeight="1" thickBot="1" x14ac:dyDescent="0.25">
      <c r="A210" s="8">
        <v>199</v>
      </c>
      <c r="B210" s="63">
        <f>'Necesidades Trimestrales'!B159</f>
        <v>0</v>
      </c>
      <c r="C210" s="94" t="str">
        <f>'Necesidades Trimestrales'!E208</f>
        <v>REACTIVO U/CSF PROTEINA URINARIA COBAS C-311 ROCHE X 150 DET</v>
      </c>
      <c r="D210" s="94"/>
      <c r="E210" s="94"/>
      <c r="F210" s="94"/>
      <c r="G210" s="94"/>
      <c r="H210" s="64" t="s">
        <v>56</v>
      </c>
      <c r="I210" s="65" t="str">
        <f>'Necesidades Trimestrales'!F208</f>
        <v>CASSETTE</v>
      </c>
      <c r="J210" s="66">
        <f>'Necesidades Trimestrales'!H208</f>
        <v>7221</v>
      </c>
      <c r="K210" s="67">
        <f>'Necesidades Trimestrales'!G208</f>
        <v>6</v>
      </c>
    </row>
    <row r="211" spans="1:11" ht="20.25" customHeight="1" thickBot="1" x14ac:dyDescent="0.25">
      <c r="A211" s="8">
        <v>200</v>
      </c>
      <c r="B211" s="63">
        <f>'Necesidades Trimestrales'!B160</f>
        <v>0</v>
      </c>
      <c r="C211" s="94" t="str">
        <f>'Necesidades Trimestrales'!E209</f>
        <v>REACTIVO UREA  COBAS C-311 ROCHE X 500 DET</v>
      </c>
      <c r="D211" s="94"/>
      <c r="E211" s="94"/>
      <c r="F211" s="94"/>
      <c r="G211" s="94"/>
      <c r="H211" s="64" t="s">
        <v>56</v>
      </c>
      <c r="I211" s="65" t="str">
        <f>'Necesidades Trimestrales'!F209</f>
        <v>CASSETTE</v>
      </c>
      <c r="J211" s="66">
        <f>'Necesidades Trimestrales'!H209</f>
        <v>7544</v>
      </c>
      <c r="K211" s="67">
        <f>'Necesidades Trimestrales'!G209</f>
        <v>23</v>
      </c>
    </row>
    <row r="212" spans="1:11" ht="20.25" customHeight="1" thickBot="1" x14ac:dyDescent="0.25">
      <c r="A212" s="8">
        <v>201</v>
      </c>
      <c r="B212" s="63">
        <f>'Necesidades Trimestrales'!B161</f>
        <v>0</v>
      </c>
      <c r="C212" s="94" t="str">
        <f>'Necesidades Trimestrales'!E210</f>
        <v>REACTIVO VITAMINA D TOTAL P COBAS E411 x 100 det</v>
      </c>
      <c r="D212" s="94"/>
      <c r="E212" s="94"/>
      <c r="F212" s="94"/>
      <c r="G212" s="94"/>
      <c r="H212" s="64" t="s">
        <v>56</v>
      </c>
      <c r="I212" s="65" t="str">
        <f>'Necesidades Trimestrales'!F210</f>
        <v>CAJA</v>
      </c>
      <c r="J212" s="66">
        <f>'Necesidades Trimestrales'!H210</f>
        <v>111285</v>
      </c>
      <c r="K212" s="67">
        <f>'Necesidades Trimestrales'!G210</f>
        <v>6</v>
      </c>
    </row>
    <row r="213" spans="1:11" ht="20.25" customHeight="1" thickBot="1" x14ac:dyDescent="0.25">
      <c r="A213" s="8">
        <v>202</v>
      </c>
      <c r="B213" s="63">
        <f>'Necesidades Trimestrales'!B162</f>
        <v>0</v>
      </c>
      <c r="C213" s="94" t="str">
        <f>'Necesidades Trimestrales'!E211</f>
        <v>S1 RINSE SOLUTION X 2 BIDONES P/COBAS B221</v>
      </c>
      <c r="D213" s="94"/>
      <c r="E213" s="94"/>
      <c r="F213" s="94"/>
      <c r="G213" s="94"/>
      <c r="H213" s="64" t="s">
        <v>56</v>
      </c>
      <c r="I213" s="65" t="str">
        <f>'Necesidades Trimestrales'!F211</f>
        <v>CAJA</v>
      </c>
      <c r="J213" s="66">
        <f>'Necesidades Trimestrales'!H211</f>
        <v>37305</v>
      </c>
      <c r="K213" s="67">
        <f>'Necesidades Trimestrales'!G211</f>
        <v>8</v>
      </c>
    </row>
    <row r="214" spans="1:11" ht="20.25" customHeight="1" thickBot="1" x14ac:dyDescent="0.25">
      <c r="A214" s="8">
        <v>203</v>
      </c>
      <c r="B214" s="63">
        <f>'Necesidades Trimestrales'!B163</f>
        <v>0</v>
      </c>
      <c r="C214" s="94" t="str">
        <f>'Necesidades Trimestrales'!E212</f>
        <v>S2 FLUID PACK P/COBAS 221</v>
      </c>
      <c r="D214" s="94"/>
      <c r="E214" s="94"/>
      <c r="F214" s="94"/>
      <c r="G214" s="94"/>
      <c r="H214" s="64" t="s">
        <v>56</v>
      </c>
      <c r="I214" s="65" t="str">
        <f>'Necesidades Trimestrales'!F212</f>
        <v>CAJA</v>
      </c>
      <c r="J214" s="66">
        <f>'Necesidades Trimestrales'!H212</f>
        <v>61165</v>
      </c>
      <c r="K214" s="67">
        <f>'Necesidades Trimestrales'!G212</f>
        <v>8</v>
      </c>
    </row>
    <row r="215" spans="1:11" ht="20.25" customHeight="1" thickBot="1" x14ac:dyDescent="0.25">
      <c r="A215" s="8">
        <v>204</v>
      </c>
      <c r="B215" s="63">
        <f>'Necesidades Trimestrales'!B164</f>
        <v>0</v>
      </c>
      <c r="C215" s="94" t="str">
        <f>'Necesidades Trimestrales'!E213</f>
        <v>S3 FLUID PACK P/COBAS 221</v>
      </c>
      <c r="D215" s="94"/>
      <c r="E215" s="94"/>
      <c r="F215" s="94"/>
      <c r="G215" s="94"/>
      <c r="H215" s="64" t="s">
        <v>56</v>
      </c>
      <c r="I215" s="65" t="str">
        <f>'Necesidades Trimestrales'!F213</f>
        <v>CAJA</v>
      </c>
      <c r="J215" s="66">
        <f>'Necesidades Trimestrales'!H213</f>
        <v>81157</v>
      </c>
      <c r="K215" s="67">
        <f>'Necesidades Trimestrales'!G213</f>
        <v>8</v>
      </c>
    </row>
    <row r="216" spans="1:11" ht="20.25" customHeight="1" thickBot="1" x14ac:dyDescent="0.25">
      <c r="A216" s="8">
        <v>205</v>
      </c>
      <c r="B216" s="63">
        <f>'Necesidades Trimestrales'!B165</f>
        <v>0</v>
      </c>
      <c r="C216" s="94" t="str">
        <f>'Necesidades Trimestrales'!E214</f>
        <v>SAMPLE CLEAR NIVEL 1 P/ COBAS C311  X 12 BIDONES DE 59 ML</v>
      </c>
      <c r="D216" s="94"/>
      <c r="E216" s="94"/>
      <c r="F216" s="94"/>
      <c r="G216" s="94"/>
      <c r="H216" s="64" t="s">
        <v>56</v>
      </c>
      <c r="I216" s="65" t="str">
        <f>'Necesidades Trimestrales'!F214</f>
        <v>CAJA</v>
      </c>
      <c r="J216" s="66">
        <f>'Necesidades Trimestrales'!H214</f>
        <v>3664</v>
      </c>
      <c r="K216" s="67">
        <f>'Necesidades Trimestrales'!G214</f>
        <v>1</v>
      </c>
    </row>
    <row r="217" spans="1:11" ht="20.25" customHeight="1" thickBot="1" x14ac:dyDescent="0.25">
      <c r="A217" s="8">
        <v>206</v>
      </c>
      <c r="B217" s="63">
        <f>'Necesidades Trimestrales'!B166</f>
        <v>0</v>
      </c>
      <c r="C217" s="94" t="str">
        <f>'Necesidades Trimestrales'!E215</f>
        <v>SAMPLE CLEAR NIVEL 2 P/ COBAS C311  X 12 BIDONES DE 68 ML</v>
      </c>
      <c r="D217" s="94"/>
      <c r="E217" s="94"/>
      <c r="F217" s="94"/>
      <c r="G217" s="94"/>
      <c r="H217" s="64" t="s">
        <v>56</v>
      </c>
      <c r="I217" s="65" t="str">
        <f>'Necesidades Trimestrales'!F215</f>
        <v>CAJA</v>
      </c>
      <c r="J217" s="66">
        <f>'Necesidades Trimestrales'!H215</f>
        <v>3664</v>
      </c>
      <c r="K217" s="67">
        <f>'Necesidades Trimestrales'!G215</f>
        <v>1</v>
      </c>
    </row>
    <row r="218" spans="1:11" ht="20.25" customHeight="1" thickBot="1" x14ac:dyDescent="0.25">
      <c r="A218" s="8">
        <v>207</v>
      </c>
      <c r="B218" s="63">
        <f>'Necesidades Trimestrales'!B167</f>
        <v>0</v>
      </c>
      <c r="C218" s="94" t="str">
        <f>'Necesidades Trimestrales'!E216</f>
        <v>SENSOR GLU/LAC</v>
      </c>
      <c r="D218" s="94"/>
      <c r="E218" s="94"/>
      <c r="F218" s="94"/>
      <c r="G218" s="94"/>
      <c r="H218" s="64" t="s">
        <v>56</v>
      </c>
      <c r="I218" s="65" t="str">
        <f>'Necesidades Trimestrales'!F216</f>
        <v>CAJA</v>
      </c>
      <c r="J218" s="66">
        <f>'Necesidades Trimestrales'!H216</f>
        <v>16709</v>
      </c>
      <c r="K218" s="67">
        <f>'Necesidades Trimestrales'!G216</f>
        <v>6</v>
      </c>
    </row>
    <row r="219" spans="1:11" ht="20.25" customHeight="1" thickBot="1" x14ac:dyDescent="0.25">
      <c r="A219" s="8">
        <v>208</v>
      </c>
      <c r="B219" s="63">
        <f>'Necesidades Trimestrales'!B168</f>
        <v>0</v>
      </c>
      <c r="C219" s="94" t="str">
        <f>'Necesidades Trimestrales'!E217</f>
        <v>SMS CASSETTE P/COBAS C311</v>
      </c>
      <c r="D219" s="94"/>
      <c r="E219" s="94"/>
      <c r="F219" s="94"/>
      <c r="G219" s="94"/>
      <c r="H219" s="64" t="s">
        <v>56</v>
      </c>
      <c r="I219" s="65" t="str">
        <f>'Necesidades Trimestrales'!F217</f>
        <v>CASSETTE</v>
      </c>
      <c r="J219" s="66">
        <f>'Necesidades Trimestrales'!H217</f>
        <v>1328</v>
      </c>
      <c r="K219" s="67">
        <f>'Necesidades Trimestrales'!G217</f>
        <v>40</v>
      </c>
    </row>
    <row r="220" spans="1:11" ht="20.25" customHeight="1" thickBot="1" x14ac:dyDescent="0.25">
      <c r="A220" s="8">
        <v>209</v>
      </c>
      <c r="B220" s="63">
        <f>'Necesidades Trimestrales'!B169</f>
        <v>0</v>
      </c>
      <c r="C220" s="94" t="str">
        <f>'Necesidades Trimestrales'!E218</f>
        <v>Solución decolorante (repuesto) para Coloración de Zielh Neelsen x 100 ml T/ Brizuela</v>
      </c>
      <c r="D220" s="94"/>
      <c r="E220" s="94"/>
      <c r="F220" s="94"/>
      <c r="G220" s="94"/>
      <c r="H220" s="64" t="s">
        <v>56</v>
      </c>
      <c r="I220" s="65" t="str">
        <f>'Necesidades Trimestrales'!F218</f>
        <v>FRASCO</v>
      </c>
      <c r="J220" s="66">
        <f>'Necesidades Trimestrales'!H218</f>
        <v>1500</v>
      </c>
      <c r="K220" s="67">
        <f>'Necesidades Trimestrales'!G218</f>
        <v>4</v>
      </c>
    </row>
    <row r="221" spans="1:11" ht="20.25" customHeight="1" thickBot="1" x14ac:dyDescent="0.25">
      <c r="A221" s="8">
        <v>210</v>
      </c>
      <c r="B221" s="63">
        <f>'Necesidades Trimestrales'!B170</f>
        <v>0</v>
      </c>
      <c r="C221" s="94" t="str">
        <f>'Necesidades Trimestrales'!E219</f>
        <v>SULFOLYSER X 5 LTS - TIPO SYSMEX XNL</v>
      </c>
      <c r="D221" s="94"/>
      <c r="E221" s="94"/>
      <c r="F221" s="94"/>
      <c r="G221" s="94"/>
      <c r="H221" s="64" t="s">
        <v>56</v>
      </c>
      <c r="I221" s="65" t="str">
        <f>'Necesidades Trimestrales'!F219</f>
        <v>BIDON</v>
      </c>
      <c r="J221" s="66">
        <f>'Necesidades Trimestrales'!H219</f>
        <v>42996</v>
      </c>
      <c r="K221" s="67">
        <f>'Necesidades Trimestrales'!G219</f>
        <v>3</v>
      </c>
    </row>
    <row r="222" spans="1:11" ht="20.25" customHeight="1" thickBot="1" x14ac:dyDescent="0.25">
      <c r="A222" s="8">
        <v>211</v>
      </c>
      <c r="B222" s="63">
        <f>'Necesidades Trimestrales'!B171</f>
        <v>0</v>
      </c>
      <c r="C222" s="94" t="str">
        <f>'Necesidades Trimestrales'!E220</f>
        <v>SYSWASH 1 X 500 MLARA COBAS E411</v>
      </c>
      <c r="D222" s="94"/>
      <c r="E222" s="94"/>
      <c r="F222" s="94"/>
      <c r="G222" s="94"/>
      <c r="H222" s="64" t="s">
        <v>56</v>
      </c>
      <c r="I222" s="65" t="str">
        <f>'Necesidades Trimestrales'!F220</f>
        <v>BIDON</v>
      </c>
      <c r="J222" s="66">
        <f>'Necesidades Trimestrales'!H220</f>
        <v>8105</v>
      </c>
      <c r="K222" s="67">
        <f>'Necesidades Trimestrales'!G220</f>
        <v>6</v>
      </c>
    </row>
    <row r="223" spans="1:11" ht="20.25" customHeight="1" thickBot="1" x14ac:dyDescent="0.25">
      <c r="A223" s="8">
        <v>212</v>
      </c>
      <c r="B223" s="63">
        <f>'Necesidades Trimestrales'!B172</f>
        <v>0</v>
      </c>
      <c r="C223" s="94" t="str">
        <f>'Necesidades Trimestrales'!E221</f>
        <v xml:space="preserve">TEST DE EMBARAZO HCG CAJA X 25 TIRAS </v>
      </c>
      <c r="D223" s="94"/>
      <c r="E223" s="94"/>
      <c r="F223" s="94"/>
      <c r="G223" s="94"/>
      <c r="H223" s="64" t="s">
        <v>56</v>
      </c>
      <c r="I223" s="65" t="str">
        <f>'Necesidades Trimestrales'!F221</f>
        <v>CAJA</v>
      </c>
      <c r="J223" s="66">
        <f>'Necesidades Trimestrales'!H221</f>
        <v>973</v>
      </c>
      <c r="K223" s="67">
        <f>'Necesidades Trimestrales'!G221</f>
        <v>20</v>
      </c>
    </row>
    <row r="224" spans="1:11" ht="20.25" customHeight="1" thickBot="1" x14ac:dyDescent="0.25">
      <c r="A224" s="8">
        <v>213</v>
      </c>
      <c r="B224" s="63">
        <f>'Necesidades Trimestrales'!B173</f>
        <v>0</v>
      </c>
      <c r="C224" s="94" t="str">
        <f>'Necesidades Trimestrales'!E222</f>
        <v>TEST PANEL DROGAS DE ABUSO x 10 DET CAJA X 25 PEINES</v>
      </c>
      <c r="D224" s="94"/>
      <c r="E224" s="94"/>
      <c r="F224" s="94"/>
      <c r="G224" s="94"/>
      <c r="H224" s="64" t="s">
        <v>56</v>
      </c>
      <c r="I224" s="65" t="str">
        <f>'Necesidades Trimestrales'!F222</f>
        <v>CAJA</v>
      </c>
      <c r="J224" s="66">
        <f>'Necesidades Trimestrales'!H222</f>
        <v>26843</v>
      </c>
      <c r="K224" s="67">
        <f>'Necesidades Trimestrales'!G222</f>
        <v>6</v>
      </c>
    </row>
    <row r="225" spans="1:1024" ht="20.25" customHeight="1" thickBot="1" x14ac:dyDescent="0.25">
      <c r="A225" s="8">
        <v>214</v>
      </c>
      <c r="B225" s="63">
        <f>'Necesidades Trimestrales'!B174</f>
        <v>0</v>
      </c>
      <c r="C225" s="94" t="str">
        <f>'Necesidades Trimestrales'!E223</f>
        <v>TIRAS REACTIVAS X 10 PARAMETRO X 100 UND PARA U411 ROCHE</v>
      </c>
      <c r="D225" s="94"/>
      <c r="E225" s="94"/>
      <c r="F225" s="94"/>
      <c r="G225" s="94"/>
      <c r="H225" s="64" t="s">
        <v>56</v>
      </c>
      <c r="I225" s="65" t="str">
        <f>'Necesidades Trimestrales'!F223</f>
        <v>CAJA</v>
      </c>
      <c r="J225" s="66">
        <f>'Necesidades Trimestrales'!H223</f>
        <v>2890</v>
      </c>
      <c r="K225" s="67">
        <f>'Necesidades Trimestrales'!G223</f>
        <v>50</v>
      </c>
    </row>
    <row r="226" spans="1:1024" ht="20.25" customHeight="1" thickBot="1" x14ac:dyDescent="0.25">
      <c r="A226" s="8">
        <v>215</v>
      </c>
      <c r="B226" s="63">
        <f>'Necesidades Trimestrales'!B175</f>
        <v>0</v>
      </c>
      <c r="C226" s="94" t="str">
        <f>'Necesidades Trimestrales'!E224</f>
        <v xml:space="preserve">TROMBOPLASTINA 10X4ML TIPO HEMOMEDICA </v>
      </c>
      <c r="D226" s="94"/>
      <c r="E226" s="94"/>
      <c r="F226" s="94"/>
      <c r="G226" s="94"/>
      <c r="H226" s="64" t="s">
        <v>56</v>
      </c>
      <c r="I226" s="65" t="str">
        <f>'Necesidades Trimestrales'!F224</f>
        <v>CAJA</v>
      </c>
      <c r="J226" s="66">
        <f>'Necesidades Trimestrales'!H224</f>
        <v>22000</v>
      </c>
      <c r="K226" s="67">
        <f>'Necesidades Trimestrales'!G224</f>
        <v>15</v>
      </c>
    </row>
    <row r="227" spans="1:1024" ht="27" customHeight="1" thickBot="1" x14ac:dyDescent="0.25">
      <c r="A227" s="95" t="s">
        <v>294</v>
      </c>
      <c r="B227" s="95"/>
      <c r="C227" s="95"/>
      <c r="D227" s="95"/>
      <c r="E227" s="95"/>
      <c r="F227" s="95"/>
      <c r="G227" s="95"/>
      <c r="H227" s="95"/>
      <c r="I227" s="95"/>
      <c r="J227" s="96">
        <f>SUMPRODUCT(J12:J226,K12:K226)</f>
        <v>19995819.300000001</v>
      </c>
      <c r="K227" s="96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/>
      <c r="GD227"/>
      <c r="GE227"/>
      <c r="GF227"/>
      <c r="GG227"/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/>
      <c r="HJ227"/>
      <c r="HK227"/>
      <c r="HL227"/>
      <c r="HM227"/>
      <c r="HN227"/>
      <c r="HO227"/>
      <c r="HP227"/>
      <c r="HQ227"/>
      <c r="HR227"/>
      <c r="HS227"/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/>
      <c r="IX227"/>
      <c r="IY227"/>
      <c r="IZ227"/>
      <c r="JA227"/>
      <c r="JB227"/>
      <c r="JC227"/>
      <c r="JD227"/>
      <c r="JE227"/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/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/>
      <c r="LM227"/>
      <c r="LN227"/>
      <c r="LO227"/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  <c r="MK227"/>
      <c r="ML227"/>
      <c r="MM227"/>
      <c r="MN227"/>
      <c r="MO227"/>
      <c r="MP227"/>
      <c r="MQ227"/>
      <c r="MR227"/>
      <c r="MS227"/>
      <c r="MT227"/>
      <c r="MU227"/>
      <c r="MV227"/>
      <c r="MW227"/>
      <c r="MX227"/>
      <c r="MY227"/>
      <c r="MZ227"/>
      <c r="NA227"/>
      <c r="NB227"/>
      <c r="NC227"/>
      <c r="ND227"/>
      <c r="NE227"/>
      <c r="NF227"/>
      <c r="NG227"/>
      <c r="NH227"/>
      <c r="NI227"/>
      <c r="NJ227"/>
      <c r="NK227"/>
      <c r="NL227"/>
      <c r="NM227"/>
      <c r="NN227"/>
      <c r="NO227"/>
      <c r="NP227"/>
      <c r="NQ227"/>
      <c r="NR227"/>
      <c r="NS227"/>
      <c r="NT227"/>
      <c r="NU227"/>
      <c r="NV227"/>
      <c r="NW227"/>
      <c r="NX227"/>
      <c r="NY227"/>
      <c r="NZ227"/>
      <c r="OA227"/>
      <c r="OB227"/>
      <c r="OC227"/>
      <c r="OD227"/>
      <c r="OE227"/>
      <c r="OF227"/>
      <c r="OG227"/>
      <c r="OH227"/>
      <c r="OI227"/>
      <c r="OJ227"/>
      <c r="OK227"/>
      <c r="OL227"/>
      <c r="OM227"/>
      <c r="ON227"/>
      <c r="OO227"/>
      <c r="OP227"/>
      <c r="OQ227"/>
      <c r="OR227"/>
      <c r="OS227"/>
      <c r="OT227"/>
      <c r="OU227"/>
      <c r="OV227"/>
      <c r="OW227"/>
      <c r="OX227"/>
      <c r="OY227"/>
      <c r="OZ227"/>
      <c r="PA227"/>
      <c r="PB227"/>
      <c r="PC227"/>
      <c r="PD227"/>
      <c r="PE227"/>
      <c r="PF227"/>
      <c r="PG227"/>
      <c r="PH227"/>
      <c r="PI227"/>
      <c r="PJ227"/>
      <c r="PK227"/>
      <c r="PL227"/>
      <c r="PM227"/>
      <c r="PN227"/>
      <c r="PO227"/>
      <c r="PP227"/>
      <c r="PQ227"/>
      <c r="PR227"/>
      <c r="PS227"/>
      <c r="PT227"/>
      <c r="PU227"/>
      <c r="PV227"/>
      <c r="PW227"/>
      <c r="PX227"/>
      <c r="PY227"/>
      <c r="PZ227"/>
      <c r="QA227"/>
      <c r="QB227"/>
      <c r="QC227"/>
      <c r="QD227"/>
      <c r="QE227"/>
      <c r="QF227"/>
      <c r="QG227"/>
      <c r="QH227"/>
      <c r="QI227"/>
      <c r="QJ227"/>
      <c r="QK227"/>
      <c r="QL227"/>
      <c r="QM227"/>
      <c r="QN227"/>
      <c r="QO227"/>
      <c r="QP227"/>
      <c r="QQ227"/>
      <c r="QR227"/>
      <c r="QS227"/>
      <c r="QT227"/>
      <c r="QU227"/>
      <c r="QV227"/>
      <c r="QW227"/>
      <c r="QX227"/>
      <c r="QY227"/>
      <c r="QZ227"/>
      <c r="RA227"/>
      <c r="RB227"/>
      <c r="RC227"/>
      <c r="RD227"/>
      <c r="RE227"/>
      <c r="RF227"/>
      <c r="RG227"/>
      <c r="RH227"/>
      <c r="RI227"/>
      <c r="RJ227"/>
      <c r="RK227"/>
      <c r="RL227"/>
      <c r="RM227"/>
      <c r="RN227"/>
      <c r="RO227"/>
      <c r="RP227"/>
      <c r="RQ227"/>
      <c r="RR227"/>
      <c r="RS227"/>
      <c r="RT227"/>
      <c r="RU227"/>
      <c r="RV227"/>
      <c r="RW227"/>
      <c r="RX227"/>
      <c r="RY227"/>
      <c r="RZ227"/>
      <c r="SA227"/>
      <c r="SB227"/>
      <c r="SC227"/>
      <c r="SD227"/>
      <c r="SE227"/>
      <c r="SF227"/>
      <c r="SG227"/>
      <c r="SH227"/>
      <c r="SI227"/>
      <c r="SJ227"/>
      <c r="SK227"/>
      <c r="SL227"/>
      <c r="SM227"/>
      <c r="SN227"/>
      <c r="SO227"/>
      <c r="SP227"/>
      <c r="SQ227"/>
      <c r="SR227"/>
      <c r="SS227"/>
      <c r="ST227"/>
      <c r="SU227"/>
      <c r="SV227"/>
      <c r="SW227"/>
      <c r="SX227"/>
      <c r="SY227"/>
      <c r="SZ227"/>
      <c r="TA227"/>
      <c r="TB227"/>
      <c r="TC227"/>
      <c r="TD227"/>
      <c r="TE227"/>
      <c r="TF227"/>
      <c r="TG227"/>
      <c r="TH227"/>
      <c r="TI227"/>
      <c r="TJ227"/>
      <c r="TK227"/>
      <c r="TL227"/>
      <c r="TM227"/>
      <c r="TN227"/>
      <c r="TO227"/>
      <c r="TP227"/>
      <c r="TQ227"/>
      <c r="TR227"/>
      <c r="TS227"/>
      <c r="TT227"/>
      <c r="TU227"/>
      <c r="TV227"/>
      <c r="TW227"/>
      <c r="TX227"/>
      <c r="TY227"/>
      <c r="TZ227"/>
      <c r="UA227"/>
      <c r="UB227"/>
      <c r="UC227"/>
      <c r="UD227"/>
      <c r="UE227"/>
      <c r="UF227"/>
      <c r="UG227"/>
      <c r="UH227"/>
      <c r="UI227"/>
      <c r="UJ227"/>
      <c r="UK227"/>
      <c r="UL227"/>
      <c r="UM227"/>
      <c r="UN227"/>
      <c r="UO227"/>
      <c r="UP227"/>
      <c r="UQ227"/>
      <c r="UR227"/>
      <c r="US227"/>
      <c r="UT227"/>
      <c r="UU227"/>
      <c r="UV227"/>
      <c r="UW227"/>
      <c r="UX227"/>
      <c r="UY227"/>
      <c r="UZ227"/>
      <c r="VA227"/>
      <c r="VB227"/>
      <c r="VC227"/>
      <c r="VD227"/>
      <c r="VE227"/>
      <c r="VF227"/>
      <c r="VG227"/>
      <c r="VH227"/>
      <c r="VI227"/>
      <c r="VJ227"/>
      <c r="VK227"/>
      <c r="VL227"/>
      <c r="VM227"/>
      <c r="VN227"/>
      <c r="VO227"/>
      <c r="VP227"/>
      <c r="VQ227"/>
      <c r="VR227"/>
      <c r="VS227"/>
      <c r="VT227"/>
      <c r="VU227"/>
      <c r="VV227"/>
      <c r="VW227"/>
      <c r="VX227"/>
      <c r="VY227"/>
      <c r="VZ227"/>
      <c r="WA227"/>
      <c r="WB227"/>
      <c r="WC227"/>
      <c r="WD227"/>
      <c r="WE227"/>
      <c r="WF227"/>
      <c r="WG227"/>
      <c r="WH227"/>
      <c r="WI227"/>
      <c r="WJ227"/>
      <c r="WK227"/>
      <c r="WL227"/>
      <c r="WM227"/>
      <c r="WN227"/>
      <c r="WO227"/>
      <c r="WP227"/>
      <c r="WQ227"/>
      <c r="WR227"/>
      <c r="WS227"/>
      <c r="WT227"/>
      <c r="WU227"/>
      <c r="WV227"/>
      <c r="WW227"/>
      <c r="WX227"/>
      <c r="WY227"/>
      <c r="WZ227"/>
      <c r="XA227"/>
      <c r="XB227"/>
      <c r="XC227"/>
      <c r="XD227"/>
      <c r="XE227"/>
      <c r="XF227"/>
      <c r="XG227"/>
      <c r="XH227"/>
      <c r="XI227"/>
      <c r="XJ227"/>
      <c r="XK227"/>
      <c r="XL227"/>
      <c r="XM227"/>
      <c r="XN227"/>
      <c r="XO227"/>
      <c r="XP227"/>
      <c r="XQ227"/>
      <c r="XR227"/>
      <c r="XS227"/>
      <c r="XT227"/>
      <c r="XU227"/>
      <c r="XV227"/>
      <c r="XW227"/>
      <c r="XX227"/>
      <c r="XY227"/>
      <c r="XZ227"/>
      <c r="YA227"/>
      <c r="YB227"/>
      <c r="YC227"/>
      <c r="YD227"/>
      <c r="YE227"/>
      <c r="YF227"/>
      <c r="YG227"/>
      <c r="YH227"/>
      <c r="YI227"/>
      <c r="YJ227"/>
      <c r="YK227"/>
      <c r="YL227"/>
      <c r="YM227"/>
      <c r="YN227"/>
      <c r="YO227"/>
      <c r="YP227"/>
      <c r="YQ227"/>
      <c r="YR227"/>
      <c r="YS227"/>
      <c r="YT227"/>
      <c r="YU227"/>
      <c r="YV227"/>
      <c r="YW227"/>
      <c r="YX227"/>
      <c r="YY227"/>
      <c r="YZ227"/>
      <c r="ZA227"/>
      <c r="ZB227"/>
      <c r="ZC227"/>
      <c r="ZD227"/>
      <c r="ZE227"/>
      <c r="ZF227"/>
      <c r="ZG227"/>
      <c r="ZH227"/>
      <c r="ZI227"/>
      <c r="ZJ227"/>
      <c r="ZK227"/>
      <c r="ZL227"/>
      <c r="ZM227"/>
      <c r="ZN227"/>
      <c r="ZO227"/>
      <c r="ZP227"/>
      <c r="ZQ227"/>
      <c r="ZR227"/>
      <c r="ZS227"/>
      <c r="ZT227"/>
      <c r="ZU227"/>
      <c r="ZV227"/>
      <c r="ZW227"/>
      <c r="ZX227"/>
      <c r="ZY227"/>
      <c r="ZZ227"/>
      <c r="AAA227"/>
      <c r="AAB227"/>
      <c r="AAC227"/>
      <c r="AAD227"/>
      <c r="AAE227"/>
      <c r="AAF227"/>
      <c r="AAG227"/>
      <c r="AAH227"/>
      <c r="AAI227"/>
      <c r="AAJ227"/>
      <c r="AAK227"/>
      <c r="AAL227"/>
      <c r="AAM227"/>
      <c r="AAN227"/>
      <c r="AAO227"/>
      <c r="AAP227"/>
      <c r="AAQ227"/>
      <c r="AAR227"/>
      <c r="AAS227"/>
      <c r="AAT227"/>
      <c r="AAU227"/>
      <c r="AAV227"/>
      <c r="AAW227"/>
      <c r="AAX227"/>
      <c r="AAY227"/>
      <c r="AAZ227"/>
      <c r="ABA227"/>
      <c r="ABB227"/>
      <c r="ABC227"/>
      <c r="ABD227"/>
      <c r="ABE227"/>
      <c r="ABF227"/>
      <c r="ABG227"/>
      <c r="ABH227"/>
      <c r="ABI227"/>
      <c r="ABJ227"/>
      <c r="ABK227"/>
      <c r="ABL227"/>
      <c r="ABM227"/>
      <c r="ABN227"/>
      <c r="ABO227"/>
      <c r="ABP227"/>
      <c r="ABQ227"/>
      <c r="ABR227"/>
      <c r="ABS227"/>
      <c r="ABT227"/>
      <c r="ABU227"/>
      <c r="ABV227"/>
      <c r="ABW227"/>
      <c r="ABX227"/>
      <c r="ABY227"/>
      <c r="ABZ227"/>
      <c r="ACA227"/>
      <c r="ACB227"/>
      <c r="ACC227"/>
      <c r="ACD227"/>
      <c r="ACE227"/>
      <c r="ACF227"/>
      <c r="ACG227"/>
      <c r="ACH227"/>
      <c r="ACI227"/>
      <c r="ACJ227"/>
      <c r="ACK227"/>
      <c r="ACL227"/>
      <c r="ACM227"/>
      <c r="ACN227"/>
      <c r="ACO227"/>
      <c r="ACP227"/>
      <c r="ACQ227"/>
      <c r="ACR227"/>
      <c r="ACS227"/>
      <c r="ACT227"/>
      <c r="ACU227"/>
      <c r="ACV227"/>
      <c r="ACW227"/>
      <c r="ACX227"/>
      <c r="ACY227"/>
      <c r="ACZ227"/>
      <c r="ADA227"/>
      <c r="ADB227"/>
      <c r="ADC227"/>
      <c r="ADD227"/>
      <c r="ADE227"/>
      <c r="ADF227"/>
      <c r="ADG227"/>
      <c r="ADH227"/>
      <c r="ADI227"/>
      <c r="ADJ227"/>
      <c r="ADK227"/>
      <c r="ADL227"/>
      <c r="ADM227"/>
      <c r="ADN227"/>
      <c r="ADO227"/>
      <c r="ADP227"/>
      <c r="ADQ227"/>
      <c r="ADR227"/>
      <c r="ADS227"/>
      <c r="ADT227"/>
      <c r="ADU227"/>
      <c r="ADV227"/>
      <c r="ADW227"/>
      <c r="ADX227"/>
      <c r="ADY227"/>
      <c r="ADZ227"/>
      <c r="AEA227"/>
      <c r="AEB227"/>
      <c r="AEC227"/>
      <c r="AED227"/>
      <c r="AEE227"/>
      <c r="AEF227"/>
      <c r="AEG227"/>
      <c r="AEH227"/>
      <c r="AEI227"/>
      <c r="AEJ227"/>
      <c r="AEK227"/>
      <c r="AEL227"/>
      <c r="AEM227"/>
      <c r="AEN227"/>
      <c r="AEO227"/>
      <c r="AEP227"/>
      <c r="AEQ227"/>
      <c r="AER227"/>
      <c r="AES227"/>
      <c r="AET227"/>
      <c r="AEU227"/>
      <c r="AEV227"/>
      <c r="AEW227"/>
      <c r="AEX227"/>
      <c r="AEY227"/>
      <c r="AEZ227"/>
      <c r="AFA227"/>
      <c r="AFB227"/>
      <c r="AFC227"/>
      <c r="AFD227"/>
      <c r="AFE227"/>
      <c r="AFF227"/>
      <c r="AFG227"/>
      <c r="AFH227"/>
      <c r="AFI227"/>
      <c r="AFJ227"/>
      <c r="AFK227"/>
      <c r="AFL227"/>
      <c r="AFM227"/>
      <c r="AFN227"/>
      <c r="AFO227"/>
      <c r="AFP227"/>
      <c r="AFQ227"/>
      <c r="AFR227"/>
      <c r="AFS227"/>
      <c r="AFT227"/>
      <c r="AFU227"/>
      <c r="AFV227"/>
      <c r="AFW227"/>
      <c r="AFX227"/>
      <c r="AFY227"/>
      <c r="AFZ227"/>
      <c r="AGA227"/>
      <c r="AGB227"/>
      <c r="AGC227"/>
      <c r="AGD227"/>
      <c r="AGE227"/>
      <c r="AGF227"/>
      <c r="AGG227"/>
      <c r="AGH227"/>
      <c r="AGI227"/>
      <c r="AGJ227"/>
      <c r="AGK227"/>
      <c r="AGL227"/>
      <c r="AGM227"/>
      <c r="AGN227"/>
      <c r="AGO227"/>
      <c r="AGP227"/>
      <c r="AGQ227"/>
      <c r="AGR227"/>
      <c r="AGS227"/>
      <c r="AGT227"/>
      <c r="AGU227"/>
      <c r="AGV227"/>
      <c r="AGW227"/>
      <c r="AGX227"/>
      <c r="AGY227"/>
      <c r="AGZ227"/>
      <c r="AHA227"/>
      <c r="AHB227"/>
      <c r="AHC227"/>
      <c r="AHD227"/>
      <c r="AHE227"/>
      <c r="AHF227"/>
      <c r="AHG227"/>
      <c r="AHH227"/>
      <c r="AHI227"/>
      <c r="AHJ227"/>
      <c r="AHK227"/>
      <c r="AHL227"/>
      <c r="AHM227"/>
      <c r="AHN227"/>
      <c r="AHO227"/>
      <c r="AHP227"/>
      <c r="AHQ227"/>
      <c r="AHR227"/>
      <c r="AHS227"/>
      <c r="AHT227"/>
      <c r="AHU227"/>
      <c r="AHV227"/>
      <c r="AHW227"/>
      <c r="AHX227"/>
      <c r="AHY227"/>
      <c r="AHZ227"/>
      <c r="AIA227"/>
      <c r="AIB227"/>
      <c r="AIC227"/>
      <c r="AID227"/>
      <c r="AIE227"/>
      <c r="AIF227"/>
      <c r="AIG227"/>
      <c r="AIH227"/>
      <c r="AII227"/>
      <c r="AIJ227"/>
      <c r="AIK227"/>
      <c r="AIL227"/>
      <c r="AIM227"/>
      <c r="AIN227"/>
      <c r="AIO227"/>
      <c r="AIP227"/>
      <c r="AIQ227"/>
      <c r="AIR227"/>
      <c r="AIS227"/>
      <c r="AIT227"/>
      <c r="AIU227"/>
      <c r="AIV227"/>
      <c r="AIW227"/>
      <c r="AIX227"/>
      <c r="AIY227"/>
      <c r="AIZ227"/>
      <c r="AJA227"/>
      <c r="AJB227"/>
      <c r="AJC227"/>
      <c r="AJD227"/>
      <c r="AJE227"/>
      <c r="AJF227"/>
      <c r="AJG227"/>
      <c r="AJH227"/>
      <c r="AJI227"/>
      <c r="AJJ227"/>
      <c r="AJK227"/>
      <c r="AJL227"/>
      <c r="AJM227"/>
      <c r="AJN227"/>
      <c r="AJO227"/>
      <c r="AJP227"/>
      <c r="AJQ227"/>
      <c r="AJR227"/>
      <c r="AJS227"/>
      <c r="AJT227"/>
      <c r="AJU227"/>
      <c r="AJV227"/>
      <c r="AJW227"/>
      <c r="AJX227"/>
      <c r="AJY227"/>
      <c r="AJZ227"/>
      <c r="AKA227"/>
      <c r="AKB227"/>
      <c r="AKC227"/>
      <c r="AKD227"/>
      <c r="AKE227"/>
      <c r="AKF227"/>
      <c r="AKG227"/>
      <c r="AKH227"/>
      <c r="AKI227"/>
      <c r="AKJ227"/>
      <c r="AKK227"/>
      <c r="AKL227"/>
      <c r="AKM227"/>
      <c r="AKN227"/>
      <c r="AKO227"/>
      <c r="AKP227"/>
      <c r="AKQ227"/>
      <c r="AKR227"/>
      <c r="AKS227"/>
      <c r="AKT227"/>
      <c r="AKU227"/>
      <c r="AKV227"/>
      <c r="AKW227"/>
      <c r="AKX227"/>
      <c r="AKY227"/>
      <c r="AKZ227"/>
      <c r="ALA227"/>
      <c r="ALB227"/>
      <c r="ALC227"/>
      <c r="ALD227"/>
      <c r="ALE227"/>
      <c r="ALF227"/>
      <c r="ALG227"/>
      <c r="ALH227"/>
      <c r="ALI227"/>
      <c r="ALJ227"/>
      <c r="ALK227"/>
      <c r="ALL227"/>
      <c r="ALM227"/>
      <c r="ALN227"/>
      <c r="ALO227"/>
      <c r="ALP227"/>
      <c r="ALQ227"/>
      <c r="ALR227"/>
      <c r="ALS227"/>
      <c r="ALT227"/>
      <c r="ALU227"/>
      <c r="ALV227"/>
      <c r="ALW227"/>
      <c r="ALX227"/>
      <c r="ALY227"/>
      <c r="ALZ227"/>
      <c r="AMA227"/>
      <c r="AMB227"/>
      <c r="AMC227"/>
      <c r="AMD227"/>
      <c r="AME227"/>
      <c r="AMF227"/>
      <c r="AMG227"/>
      <c r="AMH227"/>
      <c r="AMI227"/>
      <c r="AMJ227"/>
    </row>
  </sheetData>
  <mergeCells count="237">
    <mergeCell ref="C213:G213"/>
    <mergeCell ref="C214:G214"/>
    <mergeCell ref="C191:G191"/>
    <mergeCell ref="C192:G192"/>
    <mergeCell ref="C193:G193"/>
    <mergeCell ref="C194:G194"/>
    <mergeCell ref="C195:G195"/>
    <mergeCell ref="C215:G215"/>
    <mergeCell ref="C216:G216"/>
    <mergeCell ref="C196:G196"/>
    <mergeCell ref="C197:G197"/>
    <mergeCell ref="C198:G198"/>
    <mergeCell ref="C199:G199"/>
    <mergeCell ref="C200:G200"/>
    <mergeCell ref="C201:G201"/>
    <mergeCell ref="C202:G202"/>
    <mergeCell ref="C203:G203"/>
    <mergeCell ref="C204:G204"/>
    <mergeCell ref="C205:G205"/>
    <mergeCell ref="C206:G206"/>
    <mergeCell ref="C207:G207"/>
    <mergeCell ref="C208:G208"/>
    <mergeCell ref="C209:G209"/>
    <mergeCell ref="C210:G210"/>
    <mergeCell ref="C211:G211"/>
    <mergeCell ref="C212:G212"/>
    <mergeCell ref="C182:G182"/>
    <mergeCell ref="C183:G183"/>
    <mergeCell ref="C184:G184"/>
    <mergeCell ref="C185:G185"/>
    <mergeCell ref="C186:G186"/>
    <mergeCell ref="C187:G187"/>
    <mergeCell ref="C188:G188"/>
    <mergeCell ref="C189:G189"/>
    <mergeCell ref="C190:G19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227:I227"/>
    <mergeCell ref="J227:K227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8:G128"/>
    <mergeCell ref="C129:G129"/>
    <mergeCell ref="C130:G130"/>
    <mergeCell ref="C131:G131"/>
    <mergeCell ref="C132:G132"/>
    <mergeCell ref="C123:G123"/>
    <mergeCell ref="C124:G124"/>
    <mergeCell ref="C125:G125"/>
    <mergeCell ref="C126:G126"/>
    <mergeCell ref="C127:G127"/>
    <mergeCell ref="C138:G138"/>
    <mergeCell ref="C139:G139"/>
    <mergeCell ref="C140:G140"/>
    <mergeCell ref="C141:G141"/>
    <mergeCell ref="C142:G142"/>
    <mergeCell ref="C133:G133"/>
    <mergeCell ref="C134:G134"/>
    <mergeCell ref="C135:G135"/>
    <mergeCell ref="C136:G136"/>
    <mergeCell ref="C137:G137"/>
    <mergeCell ref="C148:G148"/>
    <mergeCell ref="C149:G149"/>
    <mergeCell ref="C150:G150"/>
    <mergeCell ref="C151:G151"/>
    <mergeCell ref="C152:G152"/>
    <mergeCell ref="C143:G143"/>
    <mergeCell ref="C144:G144"/>
    <mergeCell ref="C145:G145"/>
    <mergeCell ref="C146:G146"/>
    <mergeCell ref="C147:G147"/>
    <mergeCell ref="C158:G158"/>
    <mergeCell ref="C159:G159"/>
    <mergeCell ref="C160:G160"/>
    <mergeCell ref="C161:G161"/>
    <mergeCell ref="C162:G162"/>
    <mergeCell ref="C153:G153"/>
    <mergeCell ref="C154:G154"/>
    <mergeCell ref="C155:G155"/>
    <mergeCell ref="C156:G156"/>
    <mergeCell ref="C157:G157"/>
    <mergeCell ref="C168:G168"/>
    <mergeCell ref="C169:G169"/>
    <mergeCell ref="C170:G170"/>
    <mergeCell ref="C171:G171"/>
    <mergeCell ref="C221:G221"/>
    <mergeCell ref="C163:G163"/>
    <mergeCell ref="C164:G164"/>
    <mergeCell ref="C165:G165"/>
    <mergeCell ref="C166:G166"/>
    <mergeCell ref="C167:G167"/>
    <mergeCell ref="C172:G172"/>
    <mergeCell ref="C173:G173"/>
    <mergeCell ref="C174:G174"/>
    <mergeCell ref="C175:G175"/>
    <mergeCell ref="C176:G176"/>
    <mergeCell ref="C177:G177"/>
    <mergeCell ref="C178:G178"/>
    <mergeCell ref="C179:G179"/>
    <mergeCell ref="C180:G180"/>
    <mergeCell ref="C217:G217"/>
    <mergeCell ref="C218:G218"/>
    <mergeCell ref="C219:G219"/>
    <mergeCell ref="C220:G220"/>
    <mergeCell ref="C181:G181"/>
    <mergeCell ref="C222:G222"/>
    <mergeCell ref="C223:G223"/>
    <mergeCell ref="C224:G224"/>
    <mergeCell ref="C225:G225"/>
    <mergeCell ref="C226:G226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75:G75"/>
    <mergeCell ref="C76:G76"/>
    <mergeCell ref="C77:G77"/>
    <mergeCell ref="C78:G78"/>
    <mergeCell ref="C79:G79"/>
    <mergeCell ref="C80:G80"/>
    <mergeCell ref="C81:G81"/>
    <mergeCell ref="C82:G82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  <mergeCell ref="C83:G83"/>
    <mergeCell ref="C84:G84"/>
    <mergeCell ref="C85:G85"/>
    <mergeCell ref="C86:G86"/>
    <mergeCell ref="C87:G87"/>
    <mergeCell ref="C88:G88"/>
    <mergeCell ref="C89:G89"/>
    <mergeCell ref="C90:G90"/>
    <mergeCell ref="C91:G91"/>
    <mergeCell ref="C92:G92"/>
    <mergeCell ref="C93:G93"/>
    <mergeCell ref="C94:G94"/>
    <mergeCell ref="C95:G95"/>
    <mergeCell ref="C96:G96"/>
    <mergeCell ref="C97:G97"/>
    <mergeCell ref="C98:G98"/>
    <mergeCell ref="C99:G99"/>
    <mergeCell ref="C100:G100"/>
    <mergeCell ref="C101:G101"/>
    <mergeCell ref="C102:G102"/>
    <mergeCell ref="C103:G103"/>
    <mergeCell ref="C104:G104"/>
    <mergeCell ref="C105:G105"/>
    <mergeCell ref="C106:G106"/>
    <mergeCell ref="C107:G107"/>
    <mergeCell ref="C108:G108"/>
    <mergeCell ref="C109:G109"/>
    <mergeCell ref="C119:G119"/>
    <mergeCell ref="C120:G120"/>
    <mergeCell ref="C121:G121"/>
    <mergeCell ref="C122:G122"/>
    <mergeCell ref="C110:G110"/>
    <mergeCell ref="C111:G111"/>
    <mergeCell ref="C112:G112"/>
    <mergeCell ref="C113:G113"/>
    <mergeCell ref="C114:G114"/>
    <mergeCell ref="C115:G115"/>
    <mergeCell ref="C116:G116"/>
    <mergeCell ref="C117:G117"/>
    <mergeCell ref="C118:G118"/>
  </mergeCells>
  <printOptions horizontalCentered="1"/>
  <pageMargins left="0.19685039370078741" right="0.19685039370078741" top="0.98425196850393704" bottom="0.98425196850393704" header="0.51181102362204722" footer="0.51181102362204722"/>
  <pageSetup paperSize="9" scale="8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tabSelected="1" topLeftCell="A4" zoomScale="130" zoomScaleNormal="130" workbookViewId="0">
      <selection activeCell="A28" sqref="A28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30" t="s">
        <v>3</v>
      </c>
      <c r="B1" s="130"/>
      <c r="C1" s="130"/>
      <c r="D1" s="131">
        <f>'Necesidades Trimestrales'!C6</f>
        <v>2022</v>
      </c>
      <c r="E1" s="131"/>
      <c r="F1" s="10"/>
      <c r="G1" s="10"/>
      <c r="H1" s="11"/>
      <c r="I1" s="11"/>
      <c r="J1" s="11"/>
      <c r="K1" s="11"/>
      <c r="L1" s="11"/>
      <c r="M1" s="11"/>
      <c r="N1" s="11"/>
      <c r="P1" s="132" t="s">
        <v>30</v>
      </c>
      <c r="Q1" s="132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32"/>
      <c r="Q2" s="132"/>
    </row>
    <row r="4" spans="1:17" s="12" customFormat="1" ht="18" customHeight="1" thickBot="1" x14ac:dyDescent="0.25">
      <c r="A4" s="133" t="s">
        <v>31</v>
      </c>
      <c r="B4" s="133"/>
      <c r="C4" s="133"/>
      <c r="D4" s="133"/>
      <c r="E4" s="133"/>
      <c r="F4" s="133"/>
      <c r="G4" s="128" t="str">
        <f>NotaPedido!D3</f>
        <v>40 - Ministerio de Salud</v>
      </c>
      <c r="H4" s="128"/>
      <c r="I4" s="128"/>
      <c r="J4" s="128"/>
      <c r="K4" s="128"/>
      <c r="L4" s="128"/>
      <c r="M4" s="128"/>
      <c r="N4" s="128"/>
      <c r="O4" s="128"/>
      <c r="P4" s="128"/>
      <c r="Q4" s="128"/>
    </row>
    <row r="5" spans="1:17" s="12" customFormat="1" ht="18" customHeight="1" thickBot="1" x14ac:dyDescent="0.25">
      <c r="A5" s="125" t="s">
        <v>54</v>
      </c>
      <c r="B5" s="126"/>
      <c r="C5" s="126"/>
      <c r="D5" s="126"/>
      <c r="E5" s="126"/>
      <c r="F5" s="127"/>
      <c r="G5" s="128" t="str">
        <f>NotaPedido!D4</f>
        <v>23 - Hospital Interzonal San Juan Bautista</v>
      </c>
      <c r="H5" s="128"/>
      <c r="I5" s="128"/>
      <c r="J5" s="128"/>
      <c r="K5" s="128"/>
      <c r="L5" s="128"/>
      <c r="M5" s="128"/>
      <c r="N5" s="128"/>
      <c r="O5" s="128"/>
      <c r="P5" s="128"/>
      <c r="Q5" s="128"/>
    </row>
    <row r="6" spans="1:17" s="12" customFormat="1" ht="18" customHeight="1" thickBot="1" x14ac:dyDescent="0.25">
      <c r="A6" s="125" t="s">
        <v>32</v>
      </c>
      <c r="B6" s="126"/>
      <c r="C6" s="126"/>
      <c r="D6" s="126"/>
      <c r="E6" s="126"/>
      <c r="F6" s="127"/>
      <c r="G6" s="128" t="str">
        <f>NotaPedido!D5</f>
        <v>168 - Direccion Asistencial</v>
      </c>
      <c r="H6" s="128"/>
      <c r="I6" s="128"/>
      <c r="J6" s="128"/>
      <c r="K6" s="128"/>
      <c r="L6" s="128"/>
      <c r="M6" s="128"/>
      <c r="N6" s="128"/>
      <c r="O6" s="128"/>
      <c r="P6" s="128"/>
      <c r="Q6" s="128"/>
    </row>
    <row r="7" spans="1:17" s="12" customFormat="1" ht="18" customHeight="1" thickBot="1" x14ac:dyDescent="0.25">
      <c r="A7" s="125" t="s">
        <v>55</v>
      </c>
      <c r="B7" s="126"/>
      <c r="C7" s="126"/>
      <c r="D7" s="126"/>
      <c r="E7" s="126"/>
      <c r="F7" s="127"/>
      <c r="G7" s="128" t="str">
        <f>NotaPedido!D6</f>
        <v xml:space="preserve">Servicio de Laboratorio Central </v>
      </c>
      <c r="H7" s="128"/>
      <c r="I7" s="128"/>
      <c r="J7" s="128"/>
      <c r="K7" s="128"/>
      <c r="L7" s="128"/>
      <c r="M7" s="128"/>
      <c r="N7" s="128"/>
      <c r="O7" s="128"/>
      <c r="P7" s="128"/>
      <c r="Q7" s="128"/>
    </row>
    <row r="8" spans="1:17" ht="18" customHeight="1" thickBot="1" x14ac:dyDescent="0.25">
      <c r="A8" s="129" t="s">
        <v>33</v>
      </c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</row>
    <row r="9" spans="1:17" ht="18" customHeight="1" x14ac:dyDescent="0.2">
      <c r="A9" s="119" t="s">
        <v>34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"/>
      <c r="P9" s="1"/>
      <c r="Q9" s="13"/>
    </row>
    <row r="10" spans="1:17" ht="54.75" customHeight="1" x14ac:dyDescent="0.2">
      <c r="A10" s="120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037/2022,  afectando la erogación resultante a los créditos presupuestarios aprobados a favor de esta Unidad Ejecutora, conforme al siguiente detalle: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21" t="s">
        <v>35</v>
      </c>
      <c r="B12" s="121"/>
      <c r="C12" s="121"/>
      <c r="D12" s="121"/>
      <c r="E12" s="121"/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</row>
    <row r="13" spans="1:17" ht="15.75" customHeight="1" x14ac:dyDescent="0.2">
      <c r="A13" s="122" t="s">
        <v>36</v>
      </c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3" t="s">
        <v>37</v>
      </c>
      <c r="P13" s="123"/>
      <c r="Q13" s="124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23"/>
      <c r="P14" s="123"/>
      <c r="Q14" s="124"/>
    </row>
    <row r="15" spans="1:17" ht="17.25" customHeight="1" x14ac:dyDescent="0.2">
      <c r="A15" s="70">
        <v>33</v>
      </c>
      <c r="B15" s="71"/>
      <c r="C15" s="71"/>
      <c r="D15" s="71">
        <v>2</v>
      </c>
      <c r="E15" s="71"/>
      <c r="F15" s="71">
        <v>4901</v>
      </c>
      <c r="G15" s="71">
        <v>3</v>
      </c>
      <c r="H15" s="72" t="s">
        <v>62</v>
      </c>
      <c r="I15" s="73">
        <v>2</v>
      </c>
      <c r="J15" s="73">
        <v>5</v>
      </c>
      <c r="K15" s="73">
        <v>1</v>
      </c>
      <c r="L15" s="71"/>
      <c r="M15" s="74">
        <v>1</v>
      </c>
      <c r="N15" s="72" t="s">
        <v>63</v>
      </c>
      <c r="O15" s="116" t="s">
        <v>60</v>
      </c>
      <c r="P15" s="116"/>
      <c r="Q15" s="23">
        <v>19995819.300000001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68"/>
      <c r="I16" s="25"/>
      <c r="J16" s="25"/>
      <c r="K16" s="25"/>
      <c r="L16" s="25"/>
      <c r="M16" s="26"/>
      <c r="N16" s="69"/>
      <c r="O16" s="117"/>
      <c r="P16" s="117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68"/>
      <c r="I17" s="25"/>
      <c r="J17" s="25"/>
      <c r="K17" s="25"/>
      <c r="L17" s="25"/>
      <c r="M17" s="26"/>
      <c r="N17" s="69"/>
      <c r="O17" s="117"/>
      <c r="P17" s="117"/>
      <c r="Q17" s="28"/>
      <c r="S17" s="75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68"/>
      <c r="I18" s="25"/>
      <c r="J18" s="25"/>
      <c r="K18" s="25"/>
      <c r="L18" s="25"/>
      <c r="M18" s="26"/>
      <c r="N18" s="69"/>
      <c r="O18" s="118"/>
      <c r="P18" s="111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1"/>
      <c r="P19" s="111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11"/>
      <c r="P20" s="111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12"/>
      <c r="P21" s="112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13"/>
      <c r="P22" s="113"/>
      <c r="Q22" s="37"/>
    </row>
    <row r="23" spans="1:19" ht="34.9" customHeight="1" x14ac:dyDescent="0.2">
      <c r="A23" s="114" t="s">
        <v>295</v>
      </c>
      <c r="B23" s="114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38">
        <f>SUM(Q15:Q22)</f>
        <v>19995819.300000001</v>
      </c>
    </row>
    <row r="24" spans="1:19" ht="18" customHeight="1" thickBot="1" x14ac:dyDescent="0.25">
      <c r="A24" s="115"/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</row>
    <row r="25" spans="1:19" ht="17.25" customHeight="1" thickBot="1" x14ac:dyDescent="0.25">
      <c r="A25" s="106" t="s">
        <v>52</v>
      </c>
      <c r="B25" s="107"/>
      <c r="C25" s="107"/>
      <c r="D25" s="107"/>
      <c r="E25" s="107"/>
      <c r="F25" s="108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</row>
    <row r="26" spans="1:19" ht="18" customHeight="1" thickBot="1" x14ac:dyDescent="0.25">
      <c r="A26" s="110" t="str">
        <f>"Para la "&amp; NotaPedido!D8 &amp;"para ser destinados al "&amp; NotaPedido!D6 &amp;"del HISJB del Ministerio de Salud."</f>
        <v>Para la Adquisición de Reactivos para Laboratorio para ser destinados al Servicio de Laboratorio Central del HISJB del Ministerio de Salud.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</row>
    <row r="27" spans="1:19" ht="15" customHeight="1" x14ac:dyDescent="0.2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24" right="0.1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2022-03-18T12:43:53Z</cp:lastPrinted>
  <dcterms:created xsi:type="dcterms:W3CDTF">2020-07-17T23:44:49Z</dcterms:created>
  <dcterms:modified xsi:type="dcterms:W3CDTF">2022-03-21T12:00:24Z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