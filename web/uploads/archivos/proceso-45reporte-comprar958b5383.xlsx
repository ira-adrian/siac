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 codeName="ThisWorkbook"/>
  <mc:AlternateContent xmlns:mc="http://schemas.openxmlformats.org/markup-compatibility/2006">
    <mc:Choice Requires="x15">
      <x15ac:absPath xmlns:x15ac="http://schemas.microsoft.com/office/spreadsheetml/2010/11/ac" url="G:\Mi unidad\COMPARTIDA\CONTRATACIONES 2020 VIGENTES\FRANCO\100-0072-CDI22 ECOGRAFO HOSPITAL DE NIÑOS\OFERTAS\"/>
    </mc:Choice>
  </mc:AlternateContent>
  <xr:revisionPtr revIDLastSave="0" documentId="8_{E50537CD-0284-43CA-871C-3E0677B429E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Cuadro comparativo" sheetId="2" r:id="rId1"/>
  </sheets>
  <definedNames>
    <definedName name="Datos">'Cuadro comparativo'!$E$1:$E$5</definedName>
    <definedName name="DatosTitulos">'Cuadro comparativo'!$D$1:$D$5</definedName>
    <definedName name="PROVEEDOR">'Cuadro comparativo'!$G$8:$J$8,'Cuadro comparativo'!$K$8:$N$8,'Cuadro comparativo'!$O$8:$R$8</definedName>
    <definedName name="Titles">'Cuadro comparativo'!$A$8:$F$8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I11" i="2" l="1"/>
  <c r="M11" i="2"/>
  <c r="Q11" i="2"/>
</calcChain>
</file>

<file path=xl/sharedStrings.xml><?xml version="1.0" encoding="utf-8"?>
<sst xmlns="http://schemas.openxmlformats.org/spreadsheetml/2006/main" count="41" uniqueCount="31">
  <si>
    <t>Número expediente:</t>
  </si>
  <si>
    <t>EX-2022-00683713-   -CAT-DPCBS#MEC</t>
  </si>
  <si>
    <t>Número proceso de compra:</t>
  </si>
  <si>
    <t>100-0072-CDI22</t>
  </si>
  <si>
    <t>Nombre descriptivo proceso de compra:</t>
  </si>
  <si>
    <t>ADQUISICIÓN DE ECÓGRAFO DESTINADO AL HOSPITAL INTERZONAL DE NIÑOS EVA PERÓN</t>
  </si>
  <si>
    <t>Unidad Operativa de Compras:</t>
  </si>
  <si>
    <t>Secretaria de Compras y Abastecimiento</t>
  </si>
  <si>
    <t>Fecha de Apertura:</t>
  </si>
  <si>
    <t>10/05/2022</t>
  </si>
  <si>
    <t>Renglón</t>
  </si>
  <si>
    <t>INTECSRL</t>
  </si>
  <si>
    <t>AGIMED SRL</t>
  </si>
  <si>
    <t>MAURICIO MOSSE</t>
  </si>
  <si>
    <t>Alternativa</t>
  </si>
  <si>
    <t>Código</t>
  </si>
  <si>
    <t>Descripción</t>
  </si>
  <si>
    <t>Cantidad solicitada</t>
  </si>
  <si>
    <t>Unidad de medida</t>
  </si>
  <si>
    <t>Precio unitario</t>
  </si>
  <si>
    <t>Cantidad ofertada</t>
  </si>
  <si>
    <t>Total por renglón</t>
  </si>
  <si>
    <t>Especificacion técnica</t>
  </si>
  <si>
    <t xml:space="preserve">1 </t>
  </si>
  <si>
    <t xml:space="preserve">4.3.3-5186.2 </t>
  </si>
  <si>
    <t xml:space="preserve">ECOGRAFOS; TIPO: DOPPLER COLOR, USO: EXAMENES ECOGRAFICOS MEDICOS </t>
  </si>
  <si>
    <t xml:space="preserve">UNIDAD </t>
  </si>
  <si>
    <t xml:space="preserve">ECOGRAFO DOPPLER COLOR MARCA GENERAL ELECTRIC CON 3 TTRANSDUCTORES, VIDEO 
PRINTER Y GRABADORA DE DVD, SEGUN DESCRIPCION ADJUNTA </t>
  </si>
  <si>
    <t xml:space="preserve">ECÓGRAFO MULTIPROPÓSITO - MARCA PHILIPS SEGUN ESPECIFICACION TECNICA  </t>
  </si>
  <si>
    <t xml:space="preserve">-EL PRECIO ESTÁ COTIZADO EN DOLARES ESTADOUNIDENSES.   -Monitor 
LED de alta resolución de 21.5'. Innovador brazo flotante de 
doble ala. -Gama completa de modos de visualización e imagen: 
B con THI y PSHI, M, PW, HPRF, Color, Power, 
DirPower. -Panel de control ajustable en rotación y altura. 4 
puertos para transductores. -Panel táctil color 13,3' reclinable, ultra slim 
(modalidad Touch gestual). -Disco Rígido 1 Tb para almacenamiento interno 
(adquisición en Raw Data). •Transductor CONVEXO:C5-1E (1.2-5.7 MHz) •Transductor LINEAL 
: L12-3E (3.0 -13.5 MHz) •Transductor LINEAL : L20-5E ( 
6 - 23 MHz) •Transductor PHASE ARRAY: P7-3E (2.0-8.0 MHz) 
Cardiología Pediátrica  </t>
  </si>
  <si>
    <t xml:space="preserve">Total: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</si>
</sst>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 #,##0.00"/>
    <numFmt numFmtId="165" formatCode="\$\ #,##0.00"/>
  </numFmts>
  <fonts count="2" x14ac:knownFonts="1">
    <font>
      <sz val="11"/>
      <color rgb="FF000000"/>
      <name val="Calibri"/>
      <family val="2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A2ADD0"/>
        <bgColor rgb="FFA2ADD0"/>
      </patternFill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6">
    <xf numFmtId="0" fontId="0" fillId="0" borderId="0" xfId="0" applyNumberFormat="1" applyFill="1" applyAlignment="1" applyProtection="1"/>
    <xf numFmtId="0" fontId="1" fillId="2" borderId="0" xfId="0" applyNumberFormat="1" applyFont="1" applyFill="1" applyAlignment="1" applyProtection="1">
      <alignment horizontal="center"/>
    </xf>
    <xf numFmtId="0" fontId="1" fillId="2" borderId="0" xfId="0" applyNumberFormat="1" applyFont="1" applyFill="1" applyAlignment="1" applyProtection="1">
      <alignment horizontal="left"/>
    </xf>
    <xf numFmtId="164" fontId="0" fillId="0" borderId="0" xfId="0" applyNumberFormat="1" applyFill="1" applyAlignment="1" applyProtection="1"/>
    <xf numFmtId="165" fontId="0" fillId="0" borderId="0" xfId="0" applyNumberFormat="1" applyFill="1" applyAlignment="1" applyProtection="1"/>
    <xf numFmtId="0" fontId="0" fillId="0" borderId="0" xfId="0" applyNumberFormat="1" applyFill="1" applyAlignment="1" applyProtection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9:F11" totalsRowCount="1">
  <tableColumns count="6">
    <tableColumn id="1" xr3:uid="{00000000-0010-0000-0000-000001000000}" name="Renglón"/>
    <tableColumn id="2" xr3:uid="{00000000-0010-0000-0000-000002000000}" name="Alternativa"/>
    <tableColumn id="3" xr3:uid="{00000000-0010-0000-0000-000003000000}" name="Código" totalsRowLabel="Total: "/>
    <tableColumn id="4" xr3:uid="{00000000-0010-0000-0000-000004000000}" name="Descripción"/>
    <tableColumn id="5" xr3:uid="{00000000-0010-0000-0000-000005000000}" name="Cantidad solicitada"/>
    <tableColumn id="6" xr3:uid="{00000000-0010-0000-0000-000006000000}" name="Unidad de medida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2" displayName="Table2" ref="G9:J11" totalsRowCount="1">
  <tableColumns count="4">
    <tableColumn id="1" xr3:uid="{00000000-0010-0000-0100-000001000000}" name="Precio unitario"/>
    <tableColumn id="2" xr3:uid="{00000000-0010-0000-0100-000002000000}" name="Cantidad ofertada"/>
    <tableColumn id="3" xr3:uid="{00000000-0010-0000-0100-000003000000}" name="Total por renglón" totalsRowFunction="sum"/>
    <tableColumn id="4" xr3:uid="{00000000-0010-0000-0100-000004000000}" name="Especificacion técnica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3" displayName="Table3" ref="K9:N11" totalsRowCount="1">
  <tableColumns count="4">
    <tableColumn id="1" xr3:uid="{00000000-0010-0000-0200-000001000000}" name="Precio unitario"/>
    <tableColumn id="2" xr3:uid="{00000000-0010-0000-0200-000002000000}" name="Cantidad ofertada"/>
    <tableColumn id="3" xr3:uid="{00000000-0010-0000-0200-000003000000}" name="Total por renglón" totalsRowFunction="sum"/>
    <tableColumn id="4" xr3:uid="{00000000-0010-0000-0200-000004000000}" name="Especificacion técnica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e4" displayName="Table4" ref="O9:R11" totalsRowCount="1">
  <tableColumns count="4">
    <tableColumn id="1" xr3:uid="{00000000-0010-0000-0300-000001000000}" name="Precio unitario"/>
    <tableColumn id="2" xr3:uid="{00000000-0010-0000-0300-000002000000}" name="Cantidad ofertada"/>
    <tableColumn id="3" xr3:uid="{00000000-0010-0000-0300-000003000000}" name="Total por renglón" totalsRowFunction="sum"/>
    <tableColumn id="4" xr3:uid="{00000000-0010-0000-0300-000004000000}" name="Especificacion técnica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4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1"/>
  <sheetViews>
    <sheetView tabSelected="1" workbookViewId="0">
      <pane xSplit="3" ySplit="9" topLeftCell="D10" activePane="bottomRight" state="frozenSplit"/>
      <selection pane="topRight"/>
      <selection pane="bottomLeft"/>
      <selection pane="bottomRight" activeCell="D10" sqref="D10"/>
    </sheetView>
  </sheetViews>
  <sheetFormatPr baseColWidth="10" defaultColWidth="9.140625" defaultRowHeight="15" x14ac:dyDescent="0.25"/>
  <cols>
    <col min="1" max="1" width="8.85546875" customWidth="1"/>
    <col min="2" max="2" width="11.28515625" customWidth="1"/>
    <col min="3" max="3" width="12.5703125" customWidth="1"/>
    <col min="4" max="4" width="69.140625" customWidth="1"/>
    <col min="5" max="5" width="80.5703125" customWidth="1"/>
    <col min="6" max="6" width="17.42578125" customWidth="1"/>
    <col min="7" max="7" width="14.28515625" customWidth="1"/>
    <col min="8" max="8" width="17.28515625" customWidth="1"/>
    <col min="9" max="9" width="16.5703125" customWidth="1"/>
    <col min="10" max="10" width="78.5703125" customWidth="1"/>
    <col min="11" max="11" width="14.28515625" customWidth="1"/>
    <col min="12" max="12" width="17.28515625" customWidth="1"/>
    <col min="13" max="13" width="16.5703125" customWidth="1"/>
    <col min="14" max="14" width="71" customWidth="1"/>
    <col min="15" max="15" width="14.28515625" customWidth="1"/>
    <col min="16" max="16" width="17.28515625" customWidth="1"/>
    <col min="17" max="17" width="16.5703125" customWidth="1"/>
    <col min="18" max="18" width="81" customWidth="1"/>
  </cols>
  <sheetData>
    <row r="1" spans="1:18" x14ac:dyDescent="0.25">
      <c r="D1" s="2" t="s">
        <v>0</v>
      </c>
      <c r="E1" s="2" t="s">
        <v>1</v>
      </c>
    </row>
    <row r="2" spans="1:18" x14ac:dyDescent="0.25">
      <c r="D2" s="2" t="s">
        <v>2</v>
      </c>
      <c r="E2" s="2" t="s">
        <v>3</v>
      </c>
    </row>
    <row r="3" spans="1:18" x14ac:dyDescent="0.25">
      <c r="D3" s="2" t="s">
        <v>4</v>
      </c>
      <c r="E3" s="2" t="s">
        <v>5</v>
      </c>
    </row>
    <row r="4" spans="1:18" x14ac:dyDescent="0.25">
      <c r="D4" s="2" t="s">
        <v>6</v>
      </c>
      <c r="E4" s="2" t="s">
        <v>7</v>
      </c>
    </row>
    <row r="5" spans="1:18" x14ac:dyDescent="0.25">
      <c r="D5" s="2" t="s">
        <v>8</v>
      </c>
      <c r="E5" s="2" t="s">
        <v>9</v>
      </c>
    </row>
    <row r="8" spans="1:18" x14ac:dyDescent="0.25">
      <c r="A8" s="1" t="s">
        <v>10</v>
      </c>
      <c r="B8" s="1"/>
      <c r="C8" s="1"/>
      <c r="D8" s="1"/>
      <c r="E8" s="1"/>
      <c r="F8" s="1"/>
      <c r="G8" s="1" t="s">
        <v>11</v>
      </c>
      <c r="H8" s="1"/>
      <c r="I8" s="1"/>
      <c r="J8" s="1"/>
      <c r="K8" s="1" t="s">
        <v>12</v>
      </c>
      <c r="L8" s="1"/>
      <c r="M8" s="1"/>
      <c r="N8" s="1"/>
      <c r="O8" s="1" t="s">
        <v>13</v>
      </c>
      <c r="P8" s="1"/>
      <c r="Q8" s="1"/>
      <c r="R8" s="1"/>
    </row>
    <row r="9" spans="1:18" x14ac:dyDescent="0.25">
      <c r="A9" t="s">
        <v>10</v>
      </c>
      <c r="B9" t="s">
        <v>14</v>
      </c>
      <c r="C9" t="s">
        <v>15</v>
      </c>
      <c r="D9" t="s">
        <v>16</v>
      </c>
      <c r="E9" t="s">
        <v>17</v>
      </c>
      <c r="F9" t="s">
        <v>18</v>
      </c>
      <c r="G9" s="3" t="s">
        <v>19</v>
      </c>
      <c r="H9" s="3" t="s">
        <v>20</v>
      </c>
      <c r="I9" t="s">
        <v>21</v>
      </c>
      <c r="J9" t="s">
        <v>22</v>
      </c>
      <c r="K9" s="3" t="s">
        <v>19</v>
      </c>
      <c r="L9" s="3" t="s">
        <v>20</v>
      </c>
      <c r="M9" t="s">
        <v>21</v>
      </c>
      <c r="N9" t="s">
        <v>22</v>
      </c>
      <c r="O9" s="3" t="s">
        <v>19</v>
      </c>
      <c r="P9" s="3" t="s">
        <v>20</v>
      </c>
      <c r="Q9" t="s">
        <v>21</v>
      </c>
      <c r="R9" t="s">
        <v>22</v>
      </c>
    </row>
    <row r="10" spans="1:18" ht="180" x14ac:dyDescent="0.25">
      <c r="A10" t="s">
        <v>23</v>
      </c>
      <c r="B10" t="s">
        <v>23</v>
      </c>
      <c r="C10" t="s">
        <v>24</v>
      </c>
      <c r="D10" t="s">
        <v>25</v>
      </c>
      <c r="E10">
        <v>1</v>
      </c>
      <c r="F10" t="s">
        <v>26</v>
      </c>
      <c r="G10" s="3">
        <v>51714</v>
      </c>
      <c r="H10" s="3">
        <v>1</v>
      </c>
      <c r="I10" s="4">
        <v>51714</v>
      </c>
      <c r="J10" s="5" t="s">
        <v>27</v>
      </c>
      <c r="K10" s="3">
        <v>57261</v>
      </c>
      <c r="L10" s="3">
        <v>1</v>
      </c>
      <c r="M10" s="4">
        <v>57261</v>
      </c>
      <c r="N10" t="s">
        <v>28</v>
      </c>
      <c r="O10" s="3">
        <v>67563.88</v>
      </c>
      <c r="P10" s="3">
        <v>1</v>
      </c>
      <c r="Q10" s="4">
        <v>67563.88</v>
      </c>
      <c r="R10" s="5" t="s">
        <v>29</v>
      </c>
    </row>
    <row r="11" spans="1:18" x14ac:dyDescent="0.25">
      <c r="C11" t="s">
        <v>30</v>
      </c>
      <c r="G11" s="3"/>
      <c r="H11" s="3"/>
      <c r="I11" s="4">
        <f>SUBTOTAL(109,Table2[Total por renglón])</f>
        <v>51714</v>
      </c>
      <c r="J11" s="5"/>
      <c r="K11" s="3"/>
      <c r="L11" s="3"/>
      <c r="M11" s="4">
        <f>SUBTOTAL(109,Table3[Total por renglón])</f>
        <v>57261</v>
      </c>
      <c r="O11" s="3"/>
      <c r="P11" s="3"/>
      <c r="Q11" s="4">
        <f>SUBTOTAL(109,Table4[Total por renglón])</f>
        <v>67563.88</v>
      </c>
      <c r="R11" s="5"/>
    </row>
  </sheetData>
  <mergeCells count="4">
    <mergeCell ref="G8:J8"/>
    <mergeCell ref="K8:N8"/>
    <mergeCell ref="O8:R8"/>
    <mergeCell ref="A8:F8"/>
  </mergeCells>
  <pageMargins left="0.75" right="0.75" top="0.75" bottom="0.5" header="0.5" footer="0.75"/>
  <tableParts count="4">
    <tablePart r:id="rId1"/>
    <tablePart r:id="rId2"/>
    <tablePart r:id="rId3"/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4</vt:i4>
      </vt:variant>
    </vt:vector>
  </HeadingPairs>
  <TitlesOfParts>
    <vt:vector size="5" baseType="lpstr">
      <vt:lpstr>Cuadro comparativo</vt:lpstr>
      <vt:lpstr>Datos</vt:lpstr>
      <vt:lpstr>DatosTitulos</vt:lpstr>
      <vt:lpstr>PROVEEDOR</vt:lpstr>
      <vt:lpstr>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FRANCO RUBIO</dc:creator>
  <cp:lastModifiedBy>FRANCO RUBIO</cp:lastModifiedBy>
  <dcterms:created xsi:type="dcterms:W3CDTF">2022-05-12T12:16:57Z</dcterms:created>
  <dcterms:modified xsi:type="dcterms:W3CDTF">2022-05-12T12:18:11Z</dcterms:modified>
</cp:coreProperties>
</file>