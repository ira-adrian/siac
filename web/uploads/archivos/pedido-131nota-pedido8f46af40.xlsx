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901"/>
  <workbookPr defaultThemeVersion="166925"/>
  <mc:AlternateContent xmlns:mc="http://schemas.openxmlformats.org/markup-compatibility/2006">
    <mc:Choice Requires="x15">
      <x15ac:absPath xmlns:x15ac="http://schemas.microsoft.com/office/spreadsheetml/2010/11/ac" url="C:\Users\COMPRAS\Downloads\"/>
    </mc:Choice>
  </mc:AlternateContent>
  <xr:revisionPtr revIDLastSave="0" documentId="8_{8988DC30-4261-4328-ACB0-33633CB9A02B}" xr6:coauthVersionLast="46" xr6:coauthVersionMax="46" xr10:uidLastSave="{00000000-0000-0000-0000-000000000000}"/>
  <bookViews>
    <workbookView xWindow="-120" yWindow="-120" windowWidth="29040" windowHeight="15840" xr2:uid="{46CBFAAD-9977-4A5E-A215-D023FF1E7EF5}"/>
  </bookViews>
  <sheets>
    <sheet name="HSJB" sheetId="1" r:id="rId1"/>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10" i="1" l="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alcChain>
</file>

<file path=xl/sharedStrings.xml><?xml version="1.0" encoding="utf-8"?>
<sst xmlns="http://schemas.openxmlformats.org/spreadsheetml/2006/main" count="181" uniqueCount="78">
  <si>
    <t>EXPEDIENTE EX-2021-00528620- -CAT-DA#HSJB SMP 56-2021</t>
  </si>
  <si>
    <t>Garantia</t>
  </si>
  <si>
    <t xml:space="preserve">45 dias habiles </t>
  </si>
  <si>
    <t>Mantenimiento</t>
  </si>
  <si>
    <t>Calidad Minima esperada</t>
  </si>
  <si>
    <t xml:space="preserve">20 dias corridos  - Servicio de Farmacia del HISJB - Avda. Illia y Mariano Moreno </t>
  </si>
  <si>
    <t>Plazos y lugares de entrega</t>
  </si>
  <si>
    <t>Descripción técnica</t>
  </si>
  <si>
    <t>Especificidades Item N° 1 al 38:</t>
  </si>
  <si>
    <t xml:space="preserve">PLAZO DE MANTENIMIENTO: 45 DIAS HABILES </t>
  </si>
  <si>
    <t xml:space="preserve">PLAZO DE ENTREGA: 20 DIAS CORRIDOS  - SERVICIO DE FARMACIA - AVADA. ILLIA Y MARIANO MORENO </t>
  </si>
  <si>
    <t>La totalidad de los insumos debera tener un vencimiento minimo de un año. Las firmas comerciales deberan poseer Habilitación Sanitaria emitida por las autoridades sanitarias provinciales competentes en caso de empresas locales y para empresa no locales Habilitación de transito
interjurisdiccional por autoridad sanitaria nacional (ANMAT). Empresas importadoras de productos médicos, disposición del registro de sus productos. Establecimientos elaboradores de productos médicos certificado de Buenas Prácticas de Fabricación (BPF). Como así también toda otra
documentación obligatoria en virtud del rubro que se pretende contratar con el Estado Provincial (Rubricado por personal).
idóneo).</t>
  </si>
  <si>
    <t>UNIDAD</t>
  </si>
  <si>
    <t>VENDA ENYESADA X 20 CM X 20 METROS DE FRAGUADO RAPIDO</t>
  </si>
  <si>
    <t>2.9.5</t>
  </si>
  <si>
    <t xml:space="preserve">Ut. Menores Med.Quirug. Y de Laborat. </t>
  </si>
  <si>
    <t>VENDA ENYESADA X 15 CM X 20 METROS DE FRAGUADO RAPIDO</t>
  </si>
  <si>
    <t>VENDA ENYESADA X 10 CM X 20 METROS DE FRAGUADO RAPIDO</t>
  </si>
  <si>
    <t xml:space="preserve">VENDA CAMBRIC 10 CM </t>
  </si>
  <si>
    <t>TUBO DE LATEX 5 X 8 MM X METRO</t>
  </si>
  <si>
    <t>TUBO DE LATEX  3 X 5 X METRO</t>
  </si>
  <si>
    <t>TUBO CONECTOR EN "Y" KT-95 EST. X 1</t>
  </si>
  <si>
    <t>TIRAS REACTIVAS PARA DETERMINACION GLUCOSA X 50 UNIDADES</t>
  </si>
  <si>
    <t>2.5.1</t>
  </si>
  <si>
    <t xml:space="preserve">Compuestos Quimicos </t>
  </si>
  <si>
    <t xml:space="preserve">TELA ADHESIVA HIPOALERGENICA TRANSPORE 2.5 CM </t>
  </si>
  <si>
    <t xml:space="preserve">TELA ADHESIVA HIPOALERGENICA MICROPORE 2.5 CM </t>
  </si>
  <si>
    <t xml:space="preserve">TELA ADHESIVA 5 MM X 9.00 MTS </t>
  </si>
  <si>
    <t xml:space="preserve">TELA ADHESIVA 2.5 MM X 9.00 MTS </t>
  </si>
  <si>
    <t>PAPEL PARA ELECTROCARDIOGRAMA 62 X 30</t>
  </si>
  <si>
    <t>2.3.4</t>
  </si>
  <si>
    <t xml:space="preserve">Productos de Papel y Cartón </t>
  </si>
  <si>
    <t>PAPEL PARA ELECTROCARDIOGRAMA 50 X 30</t>
  </si>
  <si>
    <t>PAÑAL DESCARTABLE ADULTO XG</t>
  </si>
  <si>
    <t>2.9.9</t>
  </si>
  <si>
    <t xml:space="preserve">Otros NEP </t>
  </si>
  <si>
    <t>OVATA DE ALGODÓN X 20 CM</t>
  </si>
  <si>
    <t>OVATA DE ALGODÓN X 15 CM</t>
  </si>
  <si>
    <t>OVATA DE ALGODÓN X 10 CM</t>
  </si>
  <si>
    <t>MANOPLAS DE POLIETILENO X 100</t>
  </si>
  <si>
    <t>JERINGA DESCARTABLE DE 60 CC S/ AGUJA</t>
  </si>
  <si>
    <t>JERINGA DESCARTABLE DE 5 CC S/AGUJA</t>
  </si>
  <si>
    <t>JERINGA DESCARTABLE DE 10 CC S/AGUJA</t>
  </si>
  <si>
    <t>JERINGA DESCARTABLE 60 CC PICO THOMEY</t>
  </si>
  <si>
    <t>HOJA DE BISTURI Nº 11</t>
  </si>
  <si>
    <t>GEL BASE PARA ECOGRAFIA X 1 KG</t>
  </si>
  <si>
    <t>2.5.2</t>
  </si>
  <si>
    <t xml:space="preserve">Productos Farmaceuticos y Medicinales </t>
  </si>
  <si>
    <t>ESPECULO VAGINAL GRANDE</t>
  </si>
  <si>
    <t xml:space="preserve">ELECTRODO DESCARTABLE ADULTO </t>
  </si>
  <si>
    <t>DESCARTADOR DE AGUJAS X 8 LITRO</t>
  </si>
  <si>
    <t>DESCARTADOR DE AGUJAS X 2 LITRO</t>
  </si>
  <si>
    <t>CHATA PLASTICA X 1</t>
  </si>
  <si>
    <t>CAMISOLIN DESCARTABLE DE TELA SMS 30 GRAMOS CON MANGA Y PUÑOS DE 1,4 M DE LARGO</t>
  </si>
  <si>
    <t>CAL SODADA X KG</t>
  </si>
  <si>
    <t>ALGODON X 500 GR</t>
  </si>
  <si>
    <t>AGUJA HIPODERMICA DESCARTABLE 40/8</t>
  </si>
  <si>
    <t>AGUJA HIPODERMICA DESCARTABLE 40/12</t>
  </si>
  <si>
    <t>AGUJA HIPODERMICA DESCARTABLE 25/8</t>
  </si>
  <si>
    <t>AGUJA HIPODERMICA DESCARTABLE 16/5</t>
  </si>
  <si>
    <t>AGUJA DESC.25G X 5/8. 0,5 X16MM (NARANJA) TIPO TERUMO</t>
  </si>
  <si>
    <t xml:space="preserve">IMPORTE TOTAL ESTIMADO </t>
  </si>
  <si>
    <t>PRECIO UNITARIO ESTIMADO</t>
  </si>
  <si>
    <t>CANTIDAD</t>
  </si>
  <si>
    <t>UNIDAD DE MEDIDA</t>
  </si>
  <si>
    <t>DESCRIPCION</t>
  </si>
  <si>
    <t xml:space="preserve">I.P.P. </t>
  </si>
  <si>
    <t>RUBRO DE COMPRA</t>
  </si>
  <si>
    <t>CODIGO ITEM</t>
  </si>
  <si>
    <t>ID</t>
  </si>
  <si>
    <t>TRIMESTRE:</t>
  </si>
  <si>
    <t>EJERCICIO:</t>
  </si>
  <si>
    <t>23 - Hospital Interzonal San Juan Bautista</t>
  </si>
  <si>
    <t xml:space="preserve">SAF N°: </t>
  </si>
  <si>
    <t>40 - Ministerio de Salud</t>
  </si>
  <si>
    <t>JURISDICCION:</t>
  </si>
  <si>
    <t>Pedido de Necesidades Trimestrales</t>
  </si>
  <si>
    <t>NO-2021-00664200-CAT-HSJB#MS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</si>
</sst>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 #,##0.00_-;\-&quot;$&quot;\ * #,##0.00_-;_-&quot;$&quot;\ * &quot;-&quot;??_-;_-@_-"/>
    <numFmt numFmtId="164" formatCode="[$$-2C0A]\ #,##0.00;[$$-2C0A]&quot; -&quot;#,##0.00"/>
    <numFmt numFmtId="165" formatCode="&quot;$&quot;\ #,##0.00"/>
  </numFmts>
  <fonts count="16">
    <font>
      <sz val="11"/>
      <color theme="1"/>
      <name val="Calibri"/>
      <family val="2"/>
      <scheme val="minor"/>
    </font>
    <font>
      <sz val="11"/>
      <color theme="1"/>
      <name val="Calibri"/>
      <family val="2"/>
      <scheme val="minor"/>
    </font>
    <font>
      <sz val="12"/>
      <color rgb="FF000000"/>
      <name val="TimesNewRomanPSMT"/>
    </font>
    <font>
      <sz val="10"/>
      <name val="Times New Roman"/>
      <family val="1"/>
    </font>
    <font>
      <u/>
      <sz val="10"/>
      <name val="Times New Roman"/>
      <family val="1"/>
    </font>
    <font>
      <sz val="9"/>
      <name val="Arial"/>
      <family val="2"/>
    </font>
    <font>
      <sz val="10"/>
      <color theme="1"/>
      <name val="Arial"/>
      <family val="2"/>
    </font>
    <font>
      <sz val="9"/>
      <color rgb="FF000000"/>
      <name val="Arial"/>
      <family val="2"/>
    </font>
    <font>
      <sz val="9"/>
      <color rgb="FF000000"/>
      <name val="Times New Roman"/>
      <family val="1"/>
    </font>
    <font>
      <sz val="9"/>
      <name val="Times New Roman"/>
      <family val="1"/>
    </font>
    <font>
      <b/>
      <sz val="10"/>
      <color rgb="FF000000"/>
      <name val="Times New Roman"/>
      <family val="1"/>
    </font>
    <font>
      <sz val="10"/>
      <color rgb="FF000000"/>
      <name val="Times New Roman"/>
      <family val="1"/>
    </font>
    <font>
      <b/>
      <sz val="12"/>
      <color rgb="FF000000"/>
      <name val="Times New Roman"/>
      <family val="1"/>
    </font>
    <font>
      <b/>
      <sz val="11"/>
      <color rgb="FF000000"/>
      <name val="Times New Roman"/>
      <family val="1"/>
    </font>
    <font>
      <b/>
      <sz val="22"/>
      <name val="Times New Roman"/>
      <family val="1"/>
    </font>
    <font>
      <b/>
      <sz val="16"/>
      <color theme="1"/>
      <name val="Calibri"/>
      <family val="2"/>
      <scheme val="minor"/>
    </font>
  </fonts>
  <fills count="6">
    <fill>
      <patternFill patternType="none"/>
    </fill>
    <fill>
      <patternFill patternType="gray125"/>
    </fill>
    <fill>
      <patternFill patternType="solid">
        <fgColor rgb="FFFFFF00"/>
        <bgColor indexed="64"/>
      </patternFill>
    </fill>
    <fill>
      <patternFill patternType="solid">
        <fgColor rgb="FFFFFF00"/>
        <bgColor rgb="FFFFFF00"/>
      </patternFill>
    </fill>
    <fill>
      <patternFill patternType="solid">
        <fgColor theme="0"/>
        <bgColor rgb="FFFFFF00"/>
      </patternFill>
    </fill>
    <fill>
      <patternFill patternType="solid">
        <fgColor theme="0"/>
        <bgColor indexed="64"/>
      </patternFill>
    </fill>
  </fills>
  <borders count="13">
    <border>
      <left/>
      <right/>
      <top/>
      <bottom/>
      <diagonal/>
    </border>
    <border>
      <left/>
      <right style="medium">
        <color auto="1"/>
      </right>
      <top/>
      <bottom style="medium">
        <color auto="1"/>
      </bottom>
      <diagonal/>
    </border>
    <border>
      <left/>
      <right/>
      <top/>
      <bottom style="medium">
        <color auto="1"/>
      </bottom>
      <diagonal/>
    </border>
    <border>
      <left style="medium">
        <color auto="1"/>
      </left>
      <right/>
      <top/>
      <bottom style="medium">
        <color auto="1"/>
      </bottom>
      <diagonal/>
    </border>
    <border>
      <left/>
      <right style="medium">
        <color auto="1"/>
      </right>
      <top/>
      <bottom/>
      <diagonal/>
    </border>
    <border>
      <left style="medium">
        <color auto="1"/>
      </left>
      <right/>
      <top/>
      <bottom/>
      <diagonal/>
    </border>
    <border>
      <left/>
      <right style="medium">
        <color auto="1"/>
      </right>
      <top style="medium">
        <color auto="1"/>
      </top>
      <bottom/>
      <diagonal/>
    </border>
    <border>
      <left/>
      <right/>
      <top style="medium">
        <color auto="1"/>
      </top>
      <bottom/>
      <diagonal/>
    </border>
    <border>
      <left style="medium">
        <color auto="1"/>
      </left>
      <right/>
      <top style="medium">
        <color auto="1"/>
      </top>
      <bottom/>
      <diagonal/>
    </border>
    <border>
      <left/>
      <right style="medium">
        <color auto="1"/>
      </right>
      <top style="medium">
        <color auto="1"/>
      </top>
      <bottom style="medium">
        <color auto="1"/>
      </bottom>
      <diagonal/>
    </border>
    <border>
      <left/>
      <right/>
      <top style="medium">
        <color auto="1"/>
      </top>
      <bottom style="medium">
        <color auto="1"/>
      </bottom>
      <diagonal/>
    </border>
    <border>
      <left style="medium">
        <color auto="1"/>
      </left>
      <right/>
      <top style="medium">
        <color auto="1"/>
      </top>
      <bottom style="medium">
        <color auto="1"/>
      </bottom>
      <diagonal/>
    </border>
    <border>
      <left style="medium">
        <color auto="1"/>
      </left>
      <right style="medium">
        <color auto="1"/>
      </right>
      <top style="medium">
        <color auto="1"/>
      </top>
      <bottom style="medium">
        <color auto="1"/>
      </bottom>
      <diagonal/>
    </border>
  </borders>
  <cellStyleXfs count="2">
    <xf numFmtId="0" fontId="0" fillId="0" borderId="0"/>
    <xf numFmtId="44" fontId="1" fillId="0" borderId="0" applyFont="0" applyFill="0" applyBorder="0" applyAlignment="0" applyProtection="0"/>
  </cellStyleXfs>
  <cellXfs count="48">
    <xf numFmtId="0" fontId="0" fillId="0" borderId="0" xfId="0"/>
    <xf numFmtId="0" fontId="0" fillId="2" borderId="0" xfId="0" applyFill="1"/>
    <xf numFmtId="0" fontId="2" fillId="2" borderId="0" xfId="0" applyFont="1" applyFill="1"/>
    <xf numFmtId="0" fontId="2" fillId="0" borderId="0" xfId="0" applyFont="1"/>
    <xf numFmtId="0" fontId="3" fillId="0" borderId="0" xfId="0" applyFont="1"/>
    <xf numFmtId="0" fontId="3" fillId="0" borderId="1" xfId="0" applyFont="1" applyBorder="1"/>
    <xf numFmtId="0" fontId="3" fillId="0" borderId="2" xfId="0" applyFont="1" applyBorder="1"/>
    <xf numFmtId="0" fontId="3" fillId="0" borderId="3" xfId="0" applyFont="1" applyBorder="1" applyAlignment="1">
      <alignment horizontal="left" indent="3"/>
    </xf>
    <xf numFmtId="0" fontId="3" fillId="3" borderId="4" xfId="0" applyFont="1" applyFill="1" applyBorder="1" applyAlignment="1">
      <alignment horizontal="center"/>
    </xf>
    <xf numFmtId="0" fontId="4" fillId="0" borderId="5" xfId="0" applyFont="1" applyBorder="1" applyAlignment="1">
      <alignment horizontal="left" indent="3"/>
    </xf>
    <xf numFmtId="0" fontId="3" fillId="0" borderId="4" xfId="0" applyFont="1" applyBorder="1"/>
    <xf numFmtId="0" fontId="3" fillId="4" borderId="4" xfId="0" applyFont="1" applyFill="1" applyBorder="1" applyAlignment="1">
      <alignment horizontal="left" wrapText="1"/>
    </xf>
    <xf numFmtId="0" fontId="3" fillId="0" borderId="5" xfId="0" applyFont="1" applyBorder="1" applyAlignment="1">
      <alignment horizontal="left" indent="3"/>
    </xf>
    <xf numFmtId="0" fontId="3" fillId="0" borderId="4" xfId="0" applyFont="1" applyBorder="1" applyAlignment="1">
      <alignment horizontal="center" wrapText="1"/>
    </xf>
    <xf numFmtId="0" fontId="3" fillId="0" borderId="0" xfId="0" applyFont="1" applyAlignment="1">
      <alignment horizontal="center" wrapText="1"/>
    </xf>
    <xf numFmtId="0" fontId="3" fillId="3" borderId="4" xfId="0" applyFont="1" applyFill="1" applyBorder="1" applyAlignment="1">
      <alignment horizontal="center" wrapText="1"/>
    </xf>
    <xf numFmtId="0" fontId="3" fillId="4" borderId="4" xfId="0" applyFont="1" applyFill="1" applyBorder="1" applyAlignment="1">
      <alignment horizontal="center"/>
    </xf>
    <xf numFmtId="0" fontId="3" fillId="4" borderId="4" xfId="0" applyFont="1" applyFill="1" applyBorder="1" applyAlignment="1">
      <alignment horizontal="left"/>
    </xf>
    <xf numFmtId="0" fontId="3" fillId="0" borderId="5" xfId="0" applyFont="1" applyBorder="1"/>
    <xf numFmtId="0" fontId="3" fillId="0" borderId="6" xfId="0" applyFont="1" applyBorder="1"/>
    <xf numFmtId="0" fontId="3" fillId="0" borderId="7" xfId="0" applyFont="1" applyBorder="1"/>
    <xf numFmtId="0" fontId="4" fillId="0" borderId="8" xfId="0" applyFont="1" applyBorder="1"/>
    <xf numFmtId="0" fontId="3" fillId="2" borderId="9" xfId="0" applyFont="1" applyFill="1" applyBorder="1" applyAlignment="1">
      <alignment horizontal="center" vertical="center"/>
    </xf>
    <xf numFmtId="0" fontId="3" fillId="2" borderId="10" xfId="0" applyFont="1" applyFill="1" applyBorder="1" applyAlignment="1">
      <alignment horizontal="center" vertical="center"/>
    </xf>
    <xf numFmtId="0" fontId="3" fillId="2" borderId="11" xfId="0" applyFont="1" applyFill="1" applyBorder="1" applyAlignment="1">
      <alignment horizontal="center" vertical="center"/>
    </xf>
    <xf numFmtId="0" fontId="3" fillId="3" borderId="9" xfId="0" applyFont="1" applyFill="1" applyBorder="1" applyAlignment="1">
      <alignment horizontal="center" vertical="center" wrapText="1"/>
    </xf>
    <xf numFmtId="0" fontId="3" fillId="3" borderId="12" xfId="0" applyFont="1" applyFill="1" applyBorder="1" applyAlignment="1">
      <alignment horizontal="center" vertical="center" wrapText="1"/>
    </xf>
    <xf numFmtId="164" fontId="3" fillId="0" borderId="0" xfId="0" applyNumberFormat="1" applyFont="1"/>
    <xf numFmtId="164" fontId="5" fillId="4" borderId="12" xfId="1" applyNumberFormat="1" applyFont="1" applyFill="1" applyBorder="1" applyAlignment="1" applyProtection="1">
      <alignment horizontal="right" vertical="center" wrapText="1"/>
    </xf>
    <xf numFmtId="165" fontId="6" fillId="5" borderId="12" xfId="0" applyNumberFormat="1" applyFont="1" applyFill="1" applyBorder="1" applyAlignment="1">
      <alignment horizontal="center" vertical="center"/>
    </xf>
    <xf numFmtId="0" fontId="6" fillId="5" borderId="12" xfId="0" applyFont="1" applyFill="1" applyBorder="1" applyAlignment="1">
      <alignment horizontal="center" vertical="center"/>
    </xf>
    <xf numFmtId="0" fontId="7" fillId="4" borderId="12" xfId="0" applyFont="1" applyFill="1" applyBorder="1" applyAlignment="1">
      <alignment horizontal="center" vertical="center" wrapText="1"/>
    </xf>
    <xf numFmtId="0" fontId="6" fillId="5" borderId="12" xfId="0" applyFont="1" applyFill="1" applyBorder="1" applyAlignment="1">
      <alignment horizontal="left" vertical="center"/>
    </xf>
    <xf numFmtId="0" fontId="7" fillId="5" borderId="12" xfId="0" applyFont="1" applyFill="1" applyBorder="1" applyAlignment="1">
      <alignment horizontal="center" vertical="center" wrapText="1"/>
    </xf>
    <xf numFmtId="0" fontId="7" fillId="5" borderId="12" xfId="0" applyFont="1" applyFill="1" applyBorder="1" applyAlignment="1">
      <alignment horizontal="left" vertical="center" wrapText="1"/>
    </xf>
    <xf numFmtId="0" fontId="8" fillId="4" borderId="12" xfId="0" applyFont="1" applyFill="1" applyBorder="1" applyAlignment="1">
      <alignment horizontal="center" vertical="center" wrapText="1"/>
    </xf>
    <xf numFmtId="0" fontId="9" fillId="0" borderId="12" xfId="0" applyFont="1" applyBorder="1" applyAlignment="1">
      <alignment horizontal="center" vertical="center"/>
    </xf>
    <xf numFmtId="0" fontId="6" fillId="5" borderId="12" xfId="0" applyFont="1" applyFill="1" applyBorder="1" applyAlignment="1">
      <alignment vertical="center"/>
    </xf>
    <xf numFmtId="0" fontId="6" fillId="5" borderId="12" xfId="0" applyFont="1" applyFill="1" applyBorder="1" applyAlignment="1">
      <alignment horizontal="left" vertical="center" wrapText="1"/>
    </xf>
    <xf numFmtId="0" fontId="10" fillId="0" borderId="12" xfId="0" applyFont="1" applyBorder="1" applyAlignment="1">
      <alignment horizontal="center" vertical="center" wrapText="1"/>
    </xf>
    <xf numFmtId="0" fontId="11" fillId="0" borderId="0" xfId="0" applyFont="1" applyAlignment="1">
      <alignment horizontal="left" wrapText="1"/>
    </xf>
    <xf numFmtId="0" fontId="11" fillId="0" borderId="0" xfId="0" applyFont="1" applyAlignment="1">
      <alignment horizontal="center" wrapText="1"/>
    </xf>
    <xf numFmtId="0" fontId="10" fillId="5" borderId="0" xfId="0" applyFont="1" applyFill="1" applyAlignment="1">
      <alignment horizontal="left" wrapText="1"/>
    </xf>
    <xf numFmtId="0" fontId="12" fillId="4" borderId="0" xfId="0" applyFont="1" applyFill="1" applyAlignment="1">
      <alignment horizontal="left" wrapText="1" indent="1"/>
    </xf>
    <xf numFmtId="0" fontId="13" fillId="0" borderId="0" xfId="0" applyFont="1" applyAlignment="1">
      <alignment horizontal="left" vertical="center" wrapText="1"/>
    </xf>
    <xf numFmtId="0" fontId="12" fillId="4" borderId="0" xfId="0" applyFont="1" applyFill="1" applyAlignment="1">
      <alignment horizontal="left" wrapText="1" indent="1"/>
    </xf>
    <xf numFmtId="0" fontId="14" fillId="0" borderId="0" xfId="0" applyFont="1" applyAlignment="1">
      <alignment horizontal="center"/>
    </xf>
    <xf numFmtId="0" fontId="15" fillId="0" borderId="0" xfId="0" applyFont="1"/>
  </cellXfs>
  <cellStyles count="2">
    <cellStyle name="Moneda"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486743-14CF-4017-966D-5CB912821395}">
  <dimension ref="A1:I69"/>
  <sheetViews>
    <sheetView tabSelected="1" workbookViewId="0"/>
  </sheetViews>
  <sheetFormatPr baseColWidth="10" defaultRowHeight="15"/>
  <cols>
    <col min="1" max="1" width="4.5703125" customWidth="1"/>
    <col min="2" max="2" width="12.85546875" customWidth="1"/>
    <col min="3" max="3" width="32.42578125" customWidth="1"/>
    <col min="4" max="4" width="8.42578125" customWidth="1"/>
    <col min="5" max="5" width="79" customWidth="1"/>
    <col min="7" max="7" width="12.7109375" customWidth="1"/>
    <col min="8" max="8" width="13.85546875" customWidth="1"/>
    <col min="9" max="9" width="18.5703125" customWidth="1"/>
  </cols>
  <sheetData>
    <row r="1" spans="1:9" ht="21">
      <c r="A1" s="47" t="s">
        <v>77</v>
      </c>
    </row>
    <row r="2" spans="1:9" ht="27">
      <c r="A2" s="4"/>
      <c r="B2" s="46" t="s">
        <v>76</v>
      </c>
      <c r="C2" s="46"/>
      <c r="D2" s="46"/>
      <c r="E2" s="46"/>
      <c r="F2" s="46"/>
      <c r="G2" s="46"/>
      <c r="H2" s="46"/>
      <c r="I2" s="4"/>
    </row>
    <row r="3" spans="1:9">
      <c r="A3" s="4"/>
      <c r="B3" s="4"/>
      <c r="C3" s="4"/>
      <c r="D3" s="4"/>
      <c r="E3" s="4"/>
      <c r="F3" s="4"/>
      <c r="G3" s="4"/>
      <c r="H3" s="4"/>
      <c r="I3" s="4"/>
    </row>
    <row r="4" spans="1:9" ht="15.75">
      <c r="A4" s="44" t="s">
        <v>75</v>
      </c>
      <c r="B4" s="44"/>
      <c r="C4" s="45" t="s">
        <v>74</v>
      </c>
      <c r="D4" s="45"/>
      <c r="E4" s="45"/>
      <c r="F4" s="40"/>
      <c r="G4" s="41"/>
      <c r="H4" s="40"/>
      <c r="I4" s="4"/>
    </row>
    <row r="5" spans="1:9" ht="15.75">
      <c r="A5" s="44" t="s">
        <v>73</v>
      </c>
      <c r="B5" s="44"/>
      <c r="C5" s="45" t="s">
        <v>72</v>
      </c>
      <c r="D5" s="45"/>
      <c r="E5" s="45"/>
      <c r="F5" s="40"/>
      <c r="G5" s="41"/>
      <c r="H5" s="40"/>
      <c r="I5" s="4"/>
    </row>
    <row r="6" spans="1:9" ht="15.75">
      <c r="A6" s="44" t="s">
        <v>71</v>
      </c>
      <c r="B6" s="44"/>
      <c r="C6" s="43">
        <v>2021</v>
      </c>
      <c r="D6" s="42"/>
      <c r="E6" s="42"/>
      <c r="F6" s="40"/>
      <c r="G6" s="41"/>
      <c r="H6" s="40"/>
      <c r="I6" s="4"/>
    </row>
    <row r="7" spans="1:9" ht="15.75">
      <c r="A7" s="44" t="s">
        <v>70</v>
      </c>
      <c r="B7" s="44"/>
      <c r="C7" s="43">
        <v>3</v>
      </c>
      <c r="D7" s="42"/>
      <c r="E7" s="42"/>
      <c r="F7" s="40"/>
      <c r="G7" s="41"/>
      <c r="H7" s="40"/>
      <c r="I7" s="4"/>
    </row>
    <row r="8" spans="1:9" ht="15.75" thickBot="1">
      <c r="A8" s="4"/>
      <c r="B8" s="40"/>
      <c r="C8" s="41"/>
      <c r="D8" s="40"/>
      <c r="E8" s="40"/>
      <c r="F8" s="40"/>
      <c r="G8" s="41"/>
      <c r="H8" s="40"/>
      <c r="I8" s="4"/>
    </row>
    <row r="9" spans="1:9" ht="39" thickBot="1">
      <c r="A9" s="39" t="s">
        <v>69</v>
      </c>
      <c r="B9" s="39" t="s">
        <v>68</v>
      </c>
      <c r="C9" s="39" t="s">
        <v>67</v>
      </c>
      <c r="D9" s="39" t="s">
        <v>66</v>
      </c>
      <c r="E9" s="39" t="s">
        <v>65</v>
      </c>
      <c r="F9" s="39" t="s">
        <v>64</v>
      </c>
      <c r="G9" s="39" t="s">
        <v>63</v>
      </c>
      <c r="H9" s="39" t="s">
        <v>62</v>
      </c>
      <c r="I9" s="39" t="s">
        <v>61</v>
      </c>
    </row>
    <row r="10" spans="1:9" ht="15.75" thickBot="1">
      <c r="A10" s="36">
        <v>1</v>
      </c>
      <c r="B10" s="35"/>
      <c r="C10" s="34" t="s">
        <v>15</v>
      </c>
      <c r="D10" s="33" t="s">
        <v>14</v>
      </c>
      <c r="E10" s="37" t="s">
        <v>60</v>
      </c>
      <c r="F10" s="31" t="s">
        <v>12</v>
      </c>
      <c r="G10" s="30">
        <v>10000</v>
      </c>
      <c r="H10" s="29">
        <v>17.649999999999999</v>
      </c>
      <c r="I10" s="28">
        <f>G10*H10</f>
        <v>176500</v>
      </c>
    </row>
    <row r="11" spans="1:9" ht="15.75" thickBot="1">
      <c r="A11" s="36">
        <v>2</v>
      </c>
      <c r="B11" s="35"/>
      <c r="C11" s="34" t="s">
        <v>15</v>
      </c>
      <c r="D11" s="33" t="s">
        <v>14</v>
      </c>
      <c r="E11" s="32" t="s">
        <v>59</v>
      </c>
      <c r="F11" s="31" t="s">
        <v>12</v>
      </c>
      <c r="G11" s="30">
        <v>5000</v>
      </c>
      <c r="H11" s="29">
        <v>1.82</v>
      </c>
      <c r="I11" s="28">
        <f>G11*H11</f>
        <v>9100</v>
      </c>
    </row>
    <row r="12" spans="1:9" ht="15.75" thickBot="1">
      <c r="A12" s="36">
        <v>3</v>
      </c>
      <c r="B12" s="35"/>
      <c r="C12" s="34" t="s">
        <v>15</v>
      </c>
      <c r="D12" s="33" t="s">
        <v>14</v>
      </c>
      <c r="E12" s="32" t="s">
        <v>58</v>
      </c>
      <c r="F12" s="31" t="s">
        <v>12</v>
      </c>
      <c r="G12" s="30">
        <v>150000</v>
      </c>
      <c r="H12" s="29">
        <v>1.82</v>
      </c>
      <c r="I12" s="28">
        <f>G12*H12</f>
        <v>273000</v>
      </c>
    </row>
    <row r="13" spans="1:9" ht="15.75" thickBot="1">
      <c r="A13" s="36">
        <v>4</v>
      </c>
      <c r="B13" s="35"/>
      <c r="C13" s="34" t="s">
        <v>15</v>
      </c>
      <c r="D13" s="33" t="s">
        <v>14</v>
      </c>
      <c r="E13" s="32" t="s">
        <v>57</v>
      </c>
      <c r="F13" s="31" t="s">
        <v>12</v>
      </c>
      <c r="G13" s="30">
        <v>1000</v>
      </c>
      <c r="H13" s="29">
        <v>1.82</v>
      </c>
      <c r="I13" s="28">
        <f>G13*H13</f>
        <v>1820</v>
      </c>
    </row>
    <row r="14" spans="1:9" ht="15.75" thickBot="1">
      <c r="A14" s="36">
        <v>5</v>
      </c>
      <c r="B14" s="35"/>
      <c r="C14" s="34" t="s">
        <v>15</v>
      </c>
      <c r="D14" s="33" t="s">
        <v>14</v>
      </c>
      <c r="E14" s="32" t="s">
        <v>56</v>
      </c>
      <c r="F14" s="31" t="s">
        <v>12</v>
      </c>
      <c r="G14" s="30">
        <v>40000</v>
      </c>
      <c r="H14" s="29">
        <v>1.82</v>
      </c>
      <c r="I14" s="28">
        <f>G14*H14</f>
        <v>72800</v>
      </c>
    </row>
    <row r="15" spans="1:9" ht="15.75" thickBot="1">
      <c r="A15" s="36">
        <v>6</v>
      </c>
      <c r="B15" s="35"/>
      <c r="C15" s="34" t="s">
        <v>15</v>
      </c>
      <c r="D15" s="33" t="s">
        <v>14</v>
      </c>
      <c r="E15" s="32" t="s">
        <v>55</v>
      </c>
      <c r="F15" s="31" t="s">
        <v>12</v>
      </c>
      <c r="G15" s="30">
        <v>250</v>
      </c>
      <c r="H15" s="29">
        <v>280</v>
      </c>
      <c r="I15" s="28">
        <f>G15*H15</f>
        <v>70000</v>
      </c>
    </row>
    <row r="16" spans="1:9" ht="15.75" thickBot="1">
      <c r="A16" s="36">
        <v>7</v>
      </c>
      <c r="B16" s="35"/>
      <c r="C16" s="34" t="s">
        <v>24</v>
      </c>
      <c r="D16" s="33" t="s">
        <v>23</v>
      </c>
      <c r="E16" s="32" t="s">
        <v>54</v>
      </c>
      <c r="F16" s="31" t="s">
        <v>12</v>
      </c>
      <c r="G16" s="30">
        <v>20</v>
      </c>
      <c r="H16" s="29">
        <v>230</v>
      </c>
      <c r="I16" s="28">
        <f>G16*H16</f>
        <v>4600</v>
      </c>
    </row>
    <row r="17" spans="1:9" ht="26.25" thickBot="1">
      <c r="A17" s="36">
        <v>8</v>
      </c>
      <c r="B17" s="35"/>
      <c r="C17" s="34" t="s">
        <v>15</v>
      </c>
      <c r="D17" s="33" t="s">
        <v>14</v>
      </c>
      <c r="E17" s="38" t="s">
        <v>53</v>
      </c>
      <c r="F17" s="31" t="s">
        <v>12</v>
      </c>
      <c r="G17" s="30">
        <v>15000</v>
      </c>
      <c r="H17" s="29">
        <v>85</v>
      </c>
      <c r="I17" s="28">
        <f>G17*H17</f>
        <v>1275000</v>
      </c>
    </row>
    <row r="18" spans="1:9" ht="15.75" thickBot="1">
      <c r="A18" s="36">
        <v>9</v>
      </c>
      <c r="B18" s="35"/>
      <c r="C18" s="34" t="s">
        <v>15</v>
      </c>
      <c r="D18" s="33" t="s">
        <v>14</v>
      </c>
      <c r="E18" s="37" t="s">
        <v>52</v>
      </c>
      <c r="F18" s="31" t="s">
        <v>12</v>
      </c>
      <c r="G18" s="30">
        <v>30</v>
      </c>
      <c r="H18" s="29">
        <v>560</v>
      </c>
      <c r="I18" s="28">
        <f>G18*H18</f>
        <v>16800</v>
      </c>
    </row>
    <row r="19" spans="1:9" ht="15.75" thickBot="1">
      <c r="A19" s="36">
        <v>10</v>
      </c>
      <c r="B19" s="35"/>
      <c r="C19" s="34" t="s">
        <v>15</v>
      </c>
      <c r="D19" s="33" t="s">
        <v>14</v>
      </c>
      <c r="E19" s="32" t="s">
        <v>51</v>
      </c>
      <c r="F19" s="31" t="s">
        <v>12</v>
      </c>
      <c r="G19" s="30">
        <v>500</v>
      </c>
      <c r="H19" s="29">
        <v>190</v>
      </c>
      <c r="I19" s="28">
        <f>G19*H19</f>
        <v>95000</v>
      </c>
    </row>
    <row r="20" spans="1:9" ht="15.75" thickBot="1">
      <c r="A20" s="36">
        <v>11</v>
      </c>
      <c r="B20" s="35"/>
      <c r="C20" s="34" t="s">
        <v>15</v>
      </c>
      <c r="D20" s="33" t="s">
        <v>14</v>
      </c>
      <c r="E20" s="32" t="s">
        <v>50</v>
      </c>
      <c r="F20" s="31" t="s">
        <v>12</v>
      </c>
      <c r="G20" s="30">
        <v>500</v>
      </c>
      <c r="H20" s="29">
        <v>651</v>
      </c>
      <c r="I20" s="28">
        <f>G20*H20</f>
        <v>325500</v>
      </c>
    </row>
    <row r="21" spans="1:9" ht="15.75" thickBot="1">
      <c r="A21" s="36">
        <v>12</v>
      </c>
      <c r="B21" s="35"/>
      <c r="C21" s="34" t="s">
        <v>15</v>
      </c>
      <c r="D21" s="33" t="s">
        <v>14</v>
      </c>
      <c r="E21" s="37" t="s">
        <v>49</v>
      </c>
      <c r="F21" s="31" t="s">
        <v>12</v>
      </c>
      <c r="G21" s="30">
        <v>10000</v>
      </c>
      <c r="H21" s="29">
        <v>9.4</v>
      </c>
      <c r="I21" s="28">
        <f>G21*H21</f>
        <v>94000</v>
      </c>
    </row>
    <row r="22" spans="1:9" ht="15.75" thickBot="1">
      <c r="A22" s="36">
        <v>13</v>
      </c>
      <c r="B22" s="35"/>
      <c r="C22" s="34" t="s">
        <v>15</v>
      </c>
      <c r="D22" s="33" t="s">
        <v>14</v>
      </c>
      <c r="E22" s="37" t="s">
        <v>48</v>
      </c>
      <c r="F22" s="31" t="s">
        <v>12</v>
      </c>
      <c r="G22" s="30">
        <v>300</v>
      </c>
      <c r="H22" s="29">
        <v>47</v>
      </c>
      <c r="I22" s="28">
        <f>G22*H22</f>
        <v>14100</v>
      </c>
    </row>
    <row r="23" spans="1:9" ht="24.75" thickBot="1">
      <c r="A23" s="36">
        <v>14</v>
      </c>
      <c r="B23" s="35"/>
      <c r="C23" s="34" t="s">
        <v>47</v>
      </c>
      <c r="D23" s="33" t="s">
        <v>46</v>
      </c>
      <c r="E23" s="32" t="s">
        <v>45</v>
      </c>
      <c r="F23" s="31" t="s">
        <v>12</v>
      </c>
      <c r="G23" s="30">
        <v>30</v>
      </c>
      <c r="H23" s="29">
        <v>295</v>
      </c>
      <c r="I23" s="28">
        <f>G23*H23</f>
        <v>8850</v>
      </c>
    </row>
    <row r="24" spans="1:9" ht="15.75" thickBot="1">
      <c r="A24" s="36">
        <v>15</v>
      </c>
      <c r="B24" s="35"/>
      <c r="C24" s="34" t="s">
        <v>15</v>
      </c>
      <c r="D24" s="33" t="s">
        <v>14</v>
      </c>
      <c r="E24" s="32" t="s">
        <v>44</v>
      </c>
      <c r="F24" s="31" t="s">
        <v>12</v>
      </c>
      <c r="G24" s="30">
        <v>2000</v>
      </c>
      <c r="H24" s="29">
        <v>5.8</v>
      </c>
      <c r="I24" s="28">
        <f>G24*H24</f>
        <v>11600</v>
      </c>
    </row>
    <row r="25" spans="1:9" ht="15.75" thickBot="1">
      <c r="A25" s="36">
        <v>16</v>
      </c>
      <c r="B25" s="35"/>
      <c r="C25" s="34" t="s">
        <v>15</v>
      </c>
      <c r="D25" s="33" t="s">
        <v>14</v>
      </c>
      <c r="E25" s="32" t="s">
        <v>43</v>
      </c>
      <c r="F25" s="31" t="s">
        <v>12</v>
      </c>
      <c r="G25" s="30">
        <v>100</v>
      </c>
      <c r="H25" s="29">
        <v>32</v>
      </c>
      <c r="I25" s="28">
        <f>G25*H25</f>
        <v>3200</v>
      </c>
    </row>
    <row r="26" spans="1:9" ht="15.75" thickBot="1">
      <c r="A26" s="36">
        <v>17</v>
      </c>
      <c r="B26" s="35"/>
      <c r="C26" s="34" t="s">
        <v>15</v>
      </c>
      <c r="D26" s="33" t="s">
        <v>14</v>
      </c>
      <c r="E26" s="32" t="s">
        <v>42</v>
      </c>
      <c r="F26" s="31" t="s">
        <v>12</v>
      </c>
      <c r="G26" s="30">
        <v>90000</v>
      </c>
      <c r="H26" s="29">
        <v>5.3</v>
      </c>
      <c r="I26" s="28">
        <f>G26*H26</f>
        <v>477000</v>
      </c>
    </row>
    <row r="27" spans="1:9" ht="15.75" thickBot="1">
      <c r="A27" s="36">
        <v>18</v>
      </c>
      <c r="B27" s="35"/>
      <c r="C27" s="34" t="s">
        <v>15</v>
      </c>
      <c r="D27" s="33" t="s">
        <v>14</v>
      </c>
      <c r="E27" s="32" t="s">
        <v>41</v>
      </c>
      <c r="F27" s="31" t="s">
        <v>12</v>
      </c>
      <c r="G27" s="30">
        <v>65000</v>
      </c>
      <c r="H27" s="29">
        <v>3.8</v>
      </c>
      <c r="I27" s="28">
        <f>G27*H27</f>
        <v>247000</v>
      </c>
    </row>
    <row r="28" spans="1:9" ht="15.75" thickBot="1">
      <c r="A28" s="36">
        <v>19</v>
      </c>
      <c r="B28" s="35"/>
      <c r="C28" s="34" t="s">
        <v>15</v>
      </c>
      <c r="D28" s="33" t="s">
        <v>14</v>
      </c>
      <c r="E28" s="32" t="s">
        <v>40</v>
      </c>
      <c r="F28" s="31" t="s">
        <v>12</v>
      </c>
      <c r="G28" s="30">
        <v>1000</v>
      </c>
      <c r="H28" s="29">
        <v>21.8</v>
      </c>
      <c r="I28" s="28">
        <f>G28*H28</f>
        <v>21800</v>
      </c>
    </row>
    <row r="29" spans="1:9" ht="15.75" thickBot="1">
      <c r="A29" s="36">
        <v>20</v>
      </c>
      <c r="B29" s="35"/>
      <c r="C29" s="34" t="s">
        <v>15</v>
      </c>
      <c r="D29" s="33" t="s">
        <v>14</v>
      </c>
      <c r="E29" s="37" t="s">
        <v>39</v>
      </c>
      <c r="F29" s="31" t="s">
        <v>12</v>
      </c>
      <c r="G29" s="30">
        <v>20</v>
      </c>
      <c r="H29" s="29">
        <v>79.900000000000006</v>
      </c>
      <c r="I29" s="28">
        <f>G29*H29</f>
        <v>1598</v>
      </c>
    </row>
    <row r="30" spans="1:9" ht="15.75" thickBot="1">
      <c r="A30" s="36">
        <v>21</v>
      </c>
      <c r="B30" s="35"/>
      <c r="C30" s="34" t="s">
        <v>15</v>
      </c>
      <c r="D30" s="33" t="s">
        <v>14</v>
      </c>
      <c r="E30" s="32" t="s">
        <v>38</v>
      </c>
      <c r="F30" s="31" t="s">
        <v>12</v>
      </c>
      <c r="G30" s="30">
        <v>600</v>
      </c>
      <c r="H30" s="29">
        <v>48</v>
      </c>
      <c r="I30" s="28">
        <f>G30*H30</f>
        <v>28800</v>
      </c>
    </row>
    <row r="31" spans="1:9" ht="15.75" thickBot="1">
      <c r="A31" s="36">
        <v>22</v>
      </c>
      <c r="B31" s="35"/>
      <c r="C31" s="34" t="s">
        <v>15</v>
      </c>
      <c r="D31" s="33" t="s">
        <v>14</v>
      </c>
      <c r="E31" s="32" t="s">
        <v>37</v>
      </c>
      <c r="F31" s="31" t="s">
        <v>12</v>
      </c>
      <c r="G31" s="30">
        <v>900</v>
      </c>
      <c r="H31" s="29">
        <v>55</v>
      </c>
      <c r="I31" s="28">
        <f>G31*H31</f>
        <v>49500</v>
      </c>
    </row>
    <row r="32" spans="1:9" ht="15.75" thickBot="1">
      <c r="A32" s="36">
        <v>23</v>
      </c>
      <c r="B32" s="35"/>
      <c r="C32" s="34" t="s">
        <v>15</v>
      </c>
      <c r="D32" s="33" t="s">
        <v>14</v>
      </c>
      <c r="E32" s="32" t="s">
        <v>36</v>
      </c>
      <c r="F32" s="31" t="s">
        <v>12</v>
      </c>
      <c r="G32" s="30">
        <v>900</v>
      </c>
      <c r="H32" s="29">
        <v>67</v>
      </c>
      <c r="I32" s="28">
        <f>G32*H32</f>
        <v>60300</v>
      </c>
    </row>
    <row r="33" spans="1:9" ht="15.75" thickBot="1">
      <c r="A33" s="36">
        <v>24</v>
      </c>
      <c r="B33" s="35"/>
      <c r="C33" s="34" t="s">
        <v>35</v>
      </c>
      <c r="D33" s="33" t="s">
        <v>34</v>
      </c>
      <c r="E33" s="32" t="s">
        <v>33</v>
      </c>
      <c r="F33" s="31" t="s">
        <v>12</v>
      </c>
      <c r="G33" s="30">
        <v>20000</v>
      </c>
      <c r="H33" s="29">
        <v>22.7</v>
      </c>
      <c r="I33" s="28">
        <f>G33*H33</f>
        <v>454000</v>
      </c>
    </row>
    <row r="34" spans="1:9" ht="15.75" thickBot="1">
      <c r="A34" s="36">
        <v>25</v>
      </c>
      <c r="B34" s="35"/>
      <c r="C34" s="34" t="s">
        <v>31</v>
      </c>
      <c r="D34" s="33" t="s">
        <v>30</v>
      </c>
      <c r="E34" s="32" t="s">
        <v>32</v>
      </c>
      <c r="F34" s="31" t="s">
        <v>12</v>
      </c>
      <c r="G34" s="30">
        <v>200</v>
      </c>
      <c r="H34" s="29">
        <v>189</v>
      </c>
      <c r="I34" s="28">
        <f>G34*H34</f>
        <v>37800</v>
      </c>
    </row>
    <row r="35" spans="1:9" ht="15.75" thickBot="1">
      <c r="A35" s="36">
        <v>26</v>
      </c>
      <c r="B35" s="35"/>
      <c r="C35" s="34" t="s">
        <v>31</v>
      </c>
      <c r="D35" s="33" t="s">
        <v>30</v>
      </c>
      <c r="E35" s="32" t="s">
        <v>29</v>
      </c>
      <c r="F35" s="31" t="s">
        <v>12</v>
      </c>
      <c r="G35" s="30">
        <v>20</v>
      </c>
      <c r="H35" s="29">
        <v>235</v>
      </c>
      <c r="I35" s="28">
        <f>G35*H35</f>
        <v>4700</v>
      </c>
    </row>
    <row r="36" spans="1:9" ht="15.75" thickBot="1">
      <c r="A36" s="36">
        <v>27</v>
      </c>
      <c r="B36" s="35"/>
      <c r="C36" s="34" t="s">
        <v>15</v>
      </c>
      <c r="D36" s="33" t="s">
        <v>14</v>
      </c>
      <c r="E36" s="32" t="s">
        <v>28</v>
      </c>
      <c r="F36" s="31" t="s">
        <v>12</v>
      </c>
      <c r="G36" s="30">
        <v>4500</v>
      </c>
      <c r="H36" s="29">
        <v>160</v>
      </c>
      <c r="I36" s="28">
        <f>G36*H36</f>
        <v>720000</v>
      </c>
    </row>
    <row r="37" spans="1:9" ht="15.75" thickBot="1">
      <c r="A37" s="36">
        <v>28</v>
      </c>
      <c r="B37" s="35"/>
      <c r="C37" s="34" t="s">
        <v>15</v>
      </c>
      <c r="D37" s="33" t="s">
        <v>14</v>
      </c>
      <c r="E37" s="32" t="s">
        <v>27</v>
      </c>
      <c r="F37" s="31" t="s">
        <v>12</v>
      </c>
      <c r="G37" s="30">
        <v>2500</v>
      </c>
      <c r="H37" s="29">
        <v>320</v>
      </c>
      <c r="I37" s="28">
        <f>G37*H37</f>
        <v>800000</v>
      </c>
    </row>
    <row r="38" spans="1:9" ht="15.75" thickBot="1">
      <c r="A38" s="36">
        <v>29</v>
      </c>
      <c r="B38" s="35"/>
      <c r="C38" s="34" t="s">
        <v>15</v>
      </c>
      <c r="D38" s="33" t="s">
        <v>14</v>
      </c>
      <c r="E38" s="32" t="s">
        <v>26</v>
      </c>
      <c r="F38" s="31" t="s">
        <v>12</v>
      </c>
      <c r="G38" s="30">
        <v>100</v>
      </c>
      <c r="H38" s="29">
        <v>107.5</v>
      </c>
      <c r="I38" s="28">
        <f>G38*H38</f>
        <v>10750</v>
      </c>
    </row>
    <row r="39" spans="1:9" ht="15.75" thickBot="1">
      <c r="A39" s="36">
        <v>30</v>
      </c>
      <c r="B39" s="35"/>
      <c r="C39" s="34" t="s">
        <v>15</v>
      </c>
      <c r="D39" s="33" t="s">
        <v>14</v>
      </c>
      <c r="E39" s="32" t="s">
        <v>25</v>
      </c>
      <c r="F39" s="31" t="s">
        <v>12</v>
      </c>
      <c r="G39" s="30">
        <v>500</v>
      </c>
      <c r="H39" s="29">
        <v>210</v>
      </c>
      <c r="I39" s="28">
        <f>G39*H39</f>
        <v>105000</v>
      </c>
    </row>
    <row r="40" spans="1:9" ht="15.75" thickBot="1">
      <c r="A40" s="36">
        <v>31</v>
      </c>
      <c r="B40" s="35"/>
      <c r="C40" s="34" t="s">
        <v>24</v>
      </c>
      <c r="D40" s="33" t="s">
        <v>23</v>
      </c>
      <c r="E40" s="37" t="s">
        <v>22</v>
      </c>
      <c r="F40" s="31" t="s">
        <v>12</v>
      </c>
      <c r="G40" s="30">
        <v>400</v>
      </c>
      <c r="H40" s="29">
        <v>2259</v>
      </c>
      <c r="I40" s="28">
        <f>G40*H40</f>
        <v>903600</v>
      </c>
    </row>
    <row r="41" spans="1:9" ht="15.75" thickBot="1">
      <c r="A41" s="36">
        <v>32</v>
      </c>
      <c r="B41" s="35"/>
      <c r="C41" s="34" t="s">
        <v>15</v>
      </c>
      <c r="D41" s="33" t="s">
        <v>14</v>
      </c>
      <c r="E41" s="37" t="s">
        <v>21</v>
      </c>
      <c r="F41" s="31" t="s">
        <v>12</v>
      </c>
      <c r="G41" s="30">
        <v>50</v>
      </c>
      <c r="H41" s="29">
        <v>91</v>
      </c>
      <c r="I41" s="28">
        <f>G41*H41</f>
        <v>4550</v>
      </c>
    </row>
    <row r="42" spans="1:9" ht="15.75" thickBot="1">
      <c r="A42" s="36">
        <v>33</v>
      </c>
      <c r="B42" s="35"/>
      <c r="C42" s="34" t="s">
        <v>15</v>
      </c>
      <c r="D42" s="33" t="s">
        <v>14</v>
      </c>
      <c r="E42" s="37" t="s">
        <v>20</v>
      </c>
      <c r="F42" s="31" t="s">
        <v>12</v>
      </c>
      <c r="G42" s="30">
        <v>15</v>
      </c>
      <c r="H42" s="29">
        <v>1200</v>
      </c>
      <c r="I42" s="28">
        <f>G42*H42</f>
        <v>18000</v>
      </c>
    </row>
    <row r="43" spans="1:9" ht="15.75" thickBot="1">
      <c r="A43" s="36">
        <v>34</v>
      </c>
      <c r="B43" s="35"/>
      <c r="C43" s="34" t="s">
        <v>15</v>
      </c>
      <c r="D43" s="33" t="s">
        <v>14</v>
      </c>
      <c r="E43" s="32" t="s">
        <v>19</v>
      </c>
      <c r="F43" s="31" t="s">
        <v>12</v>
      </c>
      <c r="G43" s="30">
        <v>50</v>
      </c>
      <c r="H43" s="29">
        <v>1300</v>
      </c>
      <c r="I43" s="28">
        <f>G43*H43</f>
        <v>65000</v>
      </c>
    </row>
    <row r="44" spans="1:9" ht="15.75" thickBot="1">
      <c r="A44" s="36">
        <v>35</v>
      </c>
      <c r="B44" s="35"/>
      <c r="C44" s="34" t="s">
        <v>15</v>
      </c>
      <c r="D44" s="33" t="s">
        <v>14</v>
      </c>
      <c r="E44" s="32" t="s">
        <v>18</v>
      </c>
      <c r="F44" s="31" t="s">
        <v>12</v>
      </c>
      <c r="G44" s="30">
        <v>5000</v>
      </c>
      <c r="H44" s="29">
        <v>29</v>
      </c>
      <c r="I44" s="28">
        <f>G44*H44</f>
        <v>145000</v>
      </c>
    </row>
    <row r="45" spans="1:9" ht="15.75" thickBot="1">
      <c r="A45" s="36">
        <v>36</v>
      </c>
      <c r="B45" s="35"/>
      <c r="C45" s="34" t="s">
        <v>15</v>
      </c>
      <c r="D45" s="33" t="s">
        <v>14</v>
      </c>
      <c r="E45" s="32" t="s">
        <v>17</v>
      </c>
      <c r="F45" s="31" t="s">
        <v>12</v>
      </c>
      <c r="G45" s="30">
        <v>450</v>
      </c>
      <c r="H45" s="29">
        <v>155</v>
      </c>
      <c r="I45" s="28">
        <f>G45*H45</f>
        <v>69750</v>
      </c>
    </row>
    <row r="46" spans="1:9" ht="15.75" thickBot="1">
      <c r="A46" s="36">
        <v>37</v>
      </c>
      <c r="B46" s="35"/>
      <c r="C46" s="34" t="s">
        <v>15</v>
      </c>
      <c r="D46" s="33" t="s">
        <v>14</v>
      </c>
      <c r="E46" s="32" t="s">
        <v>16</v>
      </c>
      <c r="F46" s="31" t="s">
        <v>12</v>
      </c>
      <c r="G46" s="30">
        <v>700</v>
      </c>
      <c r="H46" s="29">
        <v>172</v>
      </c>
      <c r="I46" s="28">
        <f>G46*H46</f>
        <v>120400</v>
      </c>
    </row>
    <row r="47" spans="1:9" ht="15.75" thickBot="1">
      <c r="A47" s="36">
        <v>38</v>
      </c>
      <c r="B47" s="35"/>
      <c r="C47" s="34" t="s">
        <v>15</v>
      </c>
      <c r="D47" s="33" t="s">
        <v>14</v>
      </c>
      <c r="E47" s="32" t="s">
        <v>13</v>
      </c>
      <c r="F47" s="31" t="s">
        <v>12</v>
      </c>
      <c r="G47" s="30">
        <v>500</v>
      </c>
      <c r="H47" s="29">
        <v>220</v>
      </c>
      <c r="I47" s="28">
        <f>G47*H47</f>
        <v>110000</v>
      </c>
    </row>
    <row r="48" spans="1:9" ht="15.75" thickBot="1">
      <c r="A48" s="4"/>
      <c r="B48" s="4"/>
      <c r="C48" s="4"/>
      <c r="D48" s="4"/>
      <c r="E48" s="4"/>
      <c r="F48" s="4"/>
      <c r="G48" s="4"/>
      <c r="H48" s="4"/>
      <c r="I48" s="27">
        <f>SUM(I10:I47)</f>
        <v>6906418</v>
      </c>
    </row>
    <row r="49" spans="1:9" ht="133.5" customHeight="1" thickBot="1">
      <c r="A49" s="4"/>
      <c r="B49" s="4"/>
      <c r="C49" s="26" t="s">
        <v>11</v>
      </c>
      <c r="D49" s="25"/>
      <c r="E49" s="25"/>
      <c r="F49" s="4"/>
      <c r="G49" s="4"/>
      <c r="H49" s="4"/>
      <c r="I49" s="4"/>
    </row>
    <row r="50" spans="1:9" ht="35.25" customHeight="1" thickBot="1">
      <c r="A50" s="4"/>
      <c r="B50" s="4"/>
      <c r="C50" s="24" t="s">
        <v>10</v>
      </c>
      <c r="D50" s="23"/>
      <c r="E50" s="22"/>
      <c r="F50" s="4"/>
      <c r="G50" s="4"/>
      <c r="H50" s="4"/>
      <c r="I50" s="4"/>
    </row>
    <row r="51" spans="1:9" ht="36" customHeight="1" thickBot="1">
      <c r="A51" s="4"/>
      <c r="B51" s="4"/>
      <c r="C51" s="24" t="s">
        <v>9</v>
      </c>
      <c r="D51" s="23"/>
      <c r="E51" s="22"/>
      <c r="F51" s="4"/>
      <c r="G51" s="4"/>
      <c r="H51" s="4"/>
      <c r="I51" s="4"/>
    </row>
    <row r="52" spans="1:9" ht="15.75" thickBot="1">
      <c r="A52" s="4"/>
      <c r="B52" s="4"/>
      <c r="C52" s="4"/>
      <c r="D52" s="4"/>
      <c r="E52" s="4"/>
      <c r="F52" s="4"/>
      <c r="G52" s="4"/>
      <c r="H52" s="4"/>
      <c r="I52" s="4"/>
    </row>
    <row r="53" spans="1:9">
      <c r="A53" s="4"/>
      <c r="B53" s="21" t="s">
        <v>8</v>
      </c>
      <c r="C53" s="20"/>
      <c r="D53" s="20"/>
      <c r="E53" s="19"/>
      <c r="F53" s="4"/>
      <c r="G53" s="4"/>
      <c r="H53" s="4"/>
      <c r="I53" s="4"/>
    </row>
    <row r="54" spans="1:9">
      <c r="A54" s="4"/>
      <c r="B54" s="18"/>
      <c r="C54" s="4"/>
      <c r="D54" s="4"/>
      <c r="E54" s="10"/>
      <c r="F54" s="4"/>
      <c r="G54" s="4"/>
      <c r="H54" s="4"/>
      <c r="I54" s="4"/>
    </row>
    <row r="55" spans="1:9">
      <c r="A55" s="4"/>
      <c r="B55" s="9" t="s">
        <v>7</v>
      </c>
      <c r="C55" s="4"/>
      <c r="D55" s="4"/>
      <c r="E55" s="10"/>
      <c r="F55" s="4"/>
      <c r="G55" s="4"/>
      <c r="H55" s="4"/>
      <c r="I55" s="4"/>
    </row>
    <row r="56" spans="1:9">
      <c r="A56" s="4"/>
      <c r="B56" s="9"/>
      <c r="C56" s="15"/>
      <c r="D56" s="15"/>
      <c r="E56" s="15"/>
      <c r="F56" s="4"/>
      <c r="G56" s="4"/>
      <c r="H56" s="4"/>
      <c r="I56" s="4"/>
    </row>
    <row r="57" spans="1:9">
      <c r="A57" s="4"/>
      <c r="B57" s="9" t="s">
        <v>6</v>
      </c>
      <c r="C57" s="4"/>
      <c r="D57" s="4"/>
      <c r="E57" s="10"/>
      <c r="F57" s="4"/>
      <c r="G57" s="4"/>
      <c r="H57" s="4"/>
      <c r="I57" s="4"/>
    </row>
    <row r="58" spans="1:9">
      <c r="A58" s="4"/>
      <c r="B58" s="12"/>
      <c r="C58" s="17" t="s">
        <v>5</v>
      </c>
      <c r="D58" s="17"/>
      <c r="E58" s="17"/>
      <c r="F58" s="4"/>
      <c r="G58" s="4"/>
      <c r="H58" s="4"/>
      <c r="I58" s="4"/>
    </row>
    <row r="59" spans="1:9">
      <c r="A59" s="4"/>
      <c r="B59" s="12"/>
      <c r="C59" s="16"/>
      <c r="D59" s="16"/>
      <c r="E59" s="16"/>
      <c r="F59" s="4"/>
      <c r="G59" s="4"/>
      <c r="H59" s="4"/>
      <c r="I59" s="4"/>
    </row>
    <row r="60" spans="1:9">
      <c r="A60" s="4"/>
      <c r="B60" s="9" t="s">
        <v>4</v>
      </c>
      <c r="C60" s="4"/>
      <c r="D60" s="4"/>
      <c r="E60" s="10"/>
      <c r="F60" s="4"/>
      <c r="G60" s="4"/>
      <c r="H60" s="4"/>
      <c r="I60" s="4"/>
    </row>
    <row r="61" spans="1:9">
      <c r="A61" s="4"/>
      <c r="B61" s="12"/>
      <c r="C61" s="15"/>
      <c r="D61" s="15"/>
      <c r="E61" s="15"/>
      <c r="F61" s="4"/>
      <c r="G61" s="4"/>
      <c r="H61" s="4"/>
      <c r="I61" s="4"/>
    </row>
    <row r="62" spans="1:9">
      <c r="A62" s="4"/>
      <c r="B62" s="9" t="s">
        <v>3</v>
      </c>
      <c r="C62" s="14"/>
      <c r="D62" s="14"/>
      <c r="E62" s="13"/>
      <c r="F62" s="4"/>
      <c r="G62" s="4"/>
      <c r="H62" s="4"/>
      <c r="I62" s="4"/>
    </row>
    <row r="63" spans="1:9">
      <c r="A63" s="4"/>
      <c r="B63" s="12"/>
      <c r="C63" s="11" t="s">
        <v>2</v>
      </c>
      <c r="D63" s="11"/>
      <c r="E63" s="11"/>
      <c r="F63" s="4"/>
      <c r="G63" s="4"/>
      <c r="H63" s="4"/>
      <c r="I63" s="4"/>
    </row>
    <row r="64" spans="1:9">
      <c r="A64" s="4"/>
      <c r="B64" s="9" t="s">
        <v>1</v>
      </c>
      <c r="C64" s="4"/>
      <c r="D64" s="4"/>
      <c r="E64" s="10"/>
      <c r="F64" s="4"/>
      <c r="G64" s="4"/>
      <c r="H64" s="4"/>
      <c r="I64" s="4"/>
    </row>
    <row r="65" spans="1:9">
      <c r="A65" s="4"/>
      <c r="B65" s="9"/>
      <c r="C65" s="8"/>
      <c r="D65" s="8"/>
      <c r="E65" s="8"/>
      <c r="F65" s="4"/>
      <c r="G65" s="4"/>
      <c r="H65" s="4"/>
      <c r="I65" s="4"/>
    </row>
    <row r="66" spans="1:9" ht="15.75" thickBot="1">
      <c r="A66" s="4"/>
      <c r="B66" s="7"/>
      <c r="C66" s="6"/>
      <c r="D66" s="6"/>
      <c r="E66" s="5"/>
      <c r="F66" s="4"/>
      <c r="G66" s="4"/>
      <c r="H66" s="4"/>
      <c r="I66" s="4"/>
    </row>
    <row r="67" spans="1:9">
      <c r="A67" s="4"/>
      <c r="B67" s="4"/>
      <c r="C67" s="4"/>
      <c r="D67" s="4"/>
      <c r="E67" s="4"/>
      <c r="F67" s="4"/>
      <c r="G67" s="4"/>
      <c r="H67" s="4"/>
      <c r="I67" s="4"/>
    </row>
    <row r="68" spans="1:9" ht="15.75">
      <c r="B68" s="3"/>
    </row>
    <row r="69" spans="1:9" ht="15.75">
      <c r="B69" s="2" t="s">
        <v>0</v>
      </c>
      <c r="C69" s="1"/>
      <c r="D69" s="1"/>
      <c r="E69" s="1"/>
    </row>
  </sheetData>
  <mergeCells count="16">
    <mergeCell ref="A6:B6"/>
    <mergeCell ref="B2:H2"/>
    <mergeCell ref="A4:B4"/>
    <mergeCell ref="C4:E4"/>
    <mergeCell ref="A5:B5"/>
    <mergeCell ref="C5:E5"/>
    <mergeCell ref="C59:E59"/>
    <mergeCell ref="C61:E61"/>
    <mergeCell ref="C63:E63"/>
    <mergeCell ref="C65:E65"/>
    <mergeCell ref="A7:B7"/>
    <mergeCell ref="C49:E49"/>
    <mergeCell ref="C50:E50"/>
    <mergeCell ref="C51:E51"/>
    <mergeCell ref="C56:E56"/>
    <mergeCell ref="C58:E5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HSJB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COMPRAS</dc:creator>
  <cp:lastModifiedBy>COMPRAS</cp:lastModifiedBy>
  <dcterms:created xsi:type="dcterms:W3CDTF">2021-08-12T11:45:37Z</dcterms:created>
  <dcterms:modified xsi:type="dcterms:W3CDTF">2021-08-12T11:47:34Z</dcterms:modified>
</cp:coreProperties>
</file>