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ARIEL_MATERNIDAD\Mis Documentos\Secretaria de compras\PAC 2022\1° trimestre 2022\Antisepticos y desi COMPRAR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Trimestrales'!$A$9:$I$18</definedName>
    <definedName name="_xlnm.Print_Area" localSheetId="1">' NotaPedido'!$A$1:$K$21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K20" i="2" l="1"/>
  <c r="J20" i="2"/>
  <c r="I20" i="2"/>
  <c r="C20" i="2"/>
  <c r="B20" i="2"/>
  <c r="A20" i="2"/>
  <c r="K19" i="2"/>
  <c r="J19" i="2"/>
  <c r="I19" i="2"/>
  <c r="C19" i="2"/>
  <c r="B19" i="2"/>
  <c r="A19" i="2"/>
  <c r="K18" i="2"/>
  <c r="J18" i="2"/>
  <c r="I18" i="2"/>
  <c r="C18" i="2"/>
  <c r="B18" i="2"/>
  <c r="A18" i="2"/>
  <c r="K17" i="2"/>
  <c r="J17" i="2"/>
  <c r="I17" i="2"/>
  <c r="C17" i="2"/>
  <c r="B17" i="2"/>
  <c r="A17" i="2"/>
  <c r="K16" i="2"/>
  <c r="J16" i="2"/>
  <c r="I16" i="2"/>
  <c r="C16" i="2"/>
  <c r="B16" i="2"/>
  <c r="A16" i="2"/>
  <c r="I18" i="1"/>
  <c r="I17" i="1"/>
  <c r="I16" i="1"/>
  <c r="I15" i="1"/>
  <c r="I14" i="1"/>
  <c r="K13" i="2" l="1"/>
  <c r="K14" i="2"/>
  <c r="K15" i="2"/>
  <c r="J13" i="2"/>
  <c r="J14" i="2"/>
  <c r="J15" i="2"/>
  <c r="I13" i="2"/>
  <c r="I14" i="2"/>
  <c r="I15" i="2"/>
  <c r="A13" i="2"/>
  <c r="A14" i="2"/>
  <c r="A15" i="2"/>
  <c r="B13" i="2"/>
  <c r="B14" i="2"/>
  <c r="B15" i="2"/>
  <c r="C13" i="2"/>
  <c r="C14" i="2"/>
  <c r="C15" i="2"/>
  <c r="A12" i="2"/>
  <c r="G7" i="3" l="1"/>
  <c r="I10" i="1" l="1"/>
  <c r="I13" i="1"/>
  <c r="I11" i="1"/>
  <c r="B12" i="2"/>
  <c r="J12" i="2"/>
  <c r="C12" i="2"/>
  <c r="Q21" i="3"/>
  <c r="K12" i="2" l="1"/>
  <c r="J21" i="2" s="1"/>
  <c r="I12" i="2" l="1"/>
  <c r="I12" i="1" l="1"/>
  <c r="G6" i="3" l="1"/>
  <c r="G4" i="3"/>
  <c r="G5" i="3"/>
</calcChain>
</file>

<file path=xl/sharedStrings.xml><?xml version="1.0" encoding="utf-8"?>
<sst xmlns="http://schemas.openxmlformats.org/spreadsheetml/2006/main" count="163" uniqueCount="110">
  <si>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</si>
  <si>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</si>
  <si>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</si>
  <si>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</si>
  <si>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</si>
  <si>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</si>
  <si>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</si>
  <si>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</si>
  <si>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</si>
  <si>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</si>
  <si>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</si>
  <si>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</si>
  <si>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</si>
  <si>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</si>
  <si>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</si>
  <si>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</si>
  <si>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</si>
  <si>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</si>
  <si>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</si>
  <si>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</si>
  <si>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</si>
  <si>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</si>
  <si>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</si>
  <si>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</si>
  <si>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</si>
  <si>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</si>
  <si>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</si>
  <si>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</si>
  <si>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</si>
  <si>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</si>
  <si>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</si>
  <si>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</si>
  <si>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</si>
  <si>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</si>
  <si>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</si>
  <si>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</si>
  <si>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</si>
  <si>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</si>
  <si>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</si>
  <si>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</si>
  <si>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</si>
  <si>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</si>
  <si>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</si>
  <si>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</si>
  <si>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</si>
  <si>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</si>
  <si>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</si>
  <si>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</si>
  <si>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</si>
  <si>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</si>
  <si>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</si>
  <si>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</si>
  <si>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</si>
  <si>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</si>
  <si>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</si>
  <si>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</si>
  <si>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</si>
  <si>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</si>
  <si>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</si>
  <si>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</si>
  <si>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</si>
  <si>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</si>
  <si>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</si>
  <si>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</si>
  <si>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Servicio de Farmacia</t>
  </si>
  <si>
    <t>SEMESTRAL</t>
  </si>
  <si>
    <t xml:space="preserve">30 dias </t>
  </si>
  <si>
    <t>1º</t>
  </si>
  <si>
    <t xml:space="preserve"> Adquisición de Productos Medicos ANTISEPTICOS Y DESINFECTANTE</t>
  </si>
  <si>
    <t>BOTELLA</t>
  </si>
  <si>
    <t>BIDON</t>
  </si>
  <si>
    <t>FRASCO</t>
  </si>
  <si>
    <t>CAJA</t>
  </si>
  <si>
    <t>SOBRE</t>
  </si>
  <si>
    <t>Para la adquisición de Adquisición de Productos Medicos ANTISEPTICOS Y DESINFECTANTE, para ser destinados Servicio de Farmacia, de  la Maternidad Provincial 25 de Mayo.-</t>
  </si>
  <si>
    <t xml:space="preserve">Compuestos quimicos </t>
  </si>
  <si>
    <t xml:space="preserve">Utiles menores medico, Quirurgico y de Laboratorio </t>
  </si>
  <si>
    <t>"Autorizo la realización de los  trámites correspondientes, a fin de proveer a  este Organismo los bienes y/o servicios que se detallan en Nota  de Pedido N° 06/2022 ,  afectando la erogación resultante a los créditos presupuestarios aprobados a favor de esta Unidad Ejecutora, conforme al siguiente detalle:"</t>
  </si>
  <si>
    <t>N°06 /2022</t>
  </si>
  <si>
    <t>20 dias  habiles desde la firma del instrumento contractual</t>
  </si>
  <si>
    <t>2.5.2-1723.110</t>
  </si>
  <si>
    <t>PROD. MEDICO/FARMACEUTICOS/LAB</t>
  </si>
  <si>
    <t>ANTISEPTICOS LOCALES P/PERSONA; TIPO: DESINFECTANTE, DROGA GENERICA: ALCOHOL YODADO, FORMA FARMACEUTICA: SOLUCION, PRESENTACION: ENVASE X 1000 mL</t>
  </si>
  <si>
    <t>2.5.1-9065.27</t>
  </si>
  <si>
    <t>QUIMICOS</t>
  </si>
  <si>
    <t>DESINFECTANTES Y DETERGENTES; PRINCIPIO ACTIVO: AMONIO CUATERNARIO, CALIDAD: COMERCIAL, CONCENTRACION/PUREZA: 99 %, PRESENTACION: ENVASE X 5 L</t>
  </si>
  <si>
    <t>2.5.2-1723.172</t>
  </si>
  <si>
    <t>ANTISEPTICOS LOCALES P/PERSONA; TIPO: MONODROGA, DROGA GENERICA: CLORHEXIDINA AL 2%, FORMA FARMACEUTICA: SOLUCION ACUOSA, PRESENTACION: ENVASE X 250 ML</t>
  </si>
  <si>
    <t>2.5.2-1723.166</t>
  </si>
  <si>
    <t>ANTISEPTICOS LOCALES P/PERSONA; TIPO: MONODROGA, DROGA GENERICA: CLORHEXIDINA AL 4%, FORMA FARMACEUTICA: JABON MEDICINAL, PRESENTACION: ENVASE X 500 mL</t>
  </si>
  <si>
    <t>2.5.1-9065.16</t>
  </si>
  <si>
    <t>DESINFECTANTES Y DETERGENTES; PRINCIPIO ACTIVO: AMILASA, PROTEASA, LIPASA, CALIDAD: COMERCIAL, CONCENTRACION/PUREZA: 100 %, PRESENTACION: ENVASE X 5 L</t>
  </si>
  <si>
    <t>2.5.2-1726.492</t>
  </si>
  <si>
    <t>SOLUCIONES P/MEDICINA; TIPO: FORMOL AL 40 %, PRESENTACION: ENVASE X 1 L</t>
  </si>
  <si>
    <t>2.5.2-1723.173</t>
  </si>
  <si>
    <t>ANTISEPTICOS LOCALES P/PERSONA; TIPO: MONODROGA, DROGA GENERICA: IODOFORMADA AL 10% , FORMA FARMACEUTICA: GASA, PRESENTACION: DE 10X10, 15 UNIDADES POR PACK</t>
  </si>
  <si>
    <t>2.5.1-9065.53</t>
  </si>
  <si>
    <t>DESINFECTANTES Y DETERGENTES; PRINCIPIO ACTIVO: GLUTARALDEHIDO CON SULFACTANTE, CALIDAD: BIOLOGIA MOLECULAR, CONCENTRACION/PUREZA: 2 %, PRESENTACION: ENVASE X 4 L</t>
  </si>
  <si>
    <t>2.5.4-505.99</t>
  </si>
  <si>
    <t>ELEMENTOS DE LIMPIEZA</t>
  </si>
  <si>
    <t>DESINFECTANTES; PRINCIPIO ACTIVO: MONOPERSUFATO DE POTASIO, CONTROL: BACTERIAS, HONGOS, VIRUS, PRESENTACION: ENVASE X 20 G</t>
  </si>
  <si>
    <t xml:space="preserve">Especificidades Item N° : 1 </t>
  </si>
  <si>
    <t>concentracion ALCOHOL IODADO 2%</t>
  </si>
  <si>
    <t>Especificidades Item N° : 2</t>
  </si>
  <si>
    <t>USO HOSPITALARIO. Limpiador para areas criticas en base a amonios cuaternarios de 4TA Generacion.Dilucion 2,5 ml/ litro .Aprobacion ANMAT</t>
  </si>
  <si>
    <t>Especificidades Item N° : 5</t>
  </si>
  <si>
    <t>Detergente trienzimatico (proteada, lipasa y amilasa). Concentración: 3 a 5 ml/litro. Libre de fenoles, Atoxico. Aprobación ANMAT. Proveer 1 válvula dosificadora cada 5 unidades.</t>
  </si>
  <si>
    <t>Especificidades Item N° : 1 a 09</t>
  </si>
  <si>
    <t>Costo total estimado: SETECIENTOS DIESICIETE MIL DOS CON 00/100</t>
  </si>
  <si>
    <t>TOTAL DE PESOS: SETECIENTOS DIESICIETE MIL DOS CON 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</si>
</sst>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b/>
      <sz val="10"/>
      <name val="Times New Roman"/>
      <family val="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0"/>
        <bgColor rgb="FFCCC0D9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10" fillId="0" borderId="1" applyProtection="0"/>
    <xf numFmtId="164" fontId="11" fillId="0" borderId="0" applyBorder="0" applyProtection="0"/>
    <xf numFmtId="0" fontId="12" fillId="2" borderId="0" applyBorder="0" applyProtection="0"/>
    <xf numFmtId="165" fontId="19" fillId="0" borderId="0" applyBorder="0" applyProtection="0"/>
    <xf numFmtId="0" fontId="21" fillId="4" borderId="0" applyNumberFormat="0" applyBorder="0" applyAlignment="0" applyProtection="0"/>
    <xf numFmtId="0" fontId="22" fillId="5" borderId="0" applyNumberFormat="0" applyBorder="0" applyAlignment="0" applyProtection="0"/>
    <xf numFmtId="0" fontId="9" fillId="6" borderId="0" applyNumberFormat="0" applyBorder="0" applyAlignment="0" applyProtection="0"/>
    <xf numFmtId="0" fontId="7" fillId="7" borderId="0" applyNumberFormat="0" applyBorder="0" applyAlignment="0" applyProtection="0"/>
    <xf numFmtId="0" fontId="19" fillId="0" borderId="0"/>
    <xf numFmtId="0" fontId="19" fillId="0" borderId="0"/>
    <xf numFmtId="0" fontId="1" fillId="0" borderId="0"/>
  </cellStyleXfs>
  <cellXfs count="192">
    <xf numFmtId="0" fontId="0" fillId="0" borderId="0" xfId="0"/>
    <xf numFmtId="0" fontId="11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11" fillId="0" borderId="0" xfId="0" applyFont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165" fontId="18" fillId="0" borderId="25" xfId="0" applyNumberFormat="1" applyFont="1" applyBorder="1" applyAlignment="1">
      <alignment horizontal="center" vertical="center"/>
    </xf>
    <xf numFmtId="0" fontId="20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9" fillId="0" borderId="0" xfId="4"/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horizontal="left" wrapText="1"/>
    </xf>
    <xf numFmtId="0" fontId="8" fillId="3" borderId="3" xfId="7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left" wrapText="1"/>
    </xf>
    <xf numFmtId="0" fontId="26" fillId="3" borderId="0" xfId="0" applyFont="1" applyFill="1" applyAlignment="1"/>
    <xf numFmtId="0" fontId="20" fillId="0" borderId="0" xfId="0" applyFont="1" applyAlignment="1">
      <alignment vertical="center"/>
    </xf>
    <xf numFmtId="0" fontId="31" fillId="0" borderId="34" xfId="0" applyFont="1" applyBorder="1" applyAlignment="1">
      <alignment horizontal="center" vertical="center"/>
    </xf>
    <xf numFmtId="0" fontId="33" fillId="3" borderId="5" xfId="0" applyFont="1" applyFill="1" applyBorder="1" applyAlignment="1">
      <alignment horizontal="right" vertical="center"/>
    </xf>
    <xf numFmtId="0" fontId="33" fillId="3" borderId="7" xfId="0" applyFont="1" applyFill="1" applyBorder="1" applyAlignment="1">
      <alignment vertical="center"/>
    </xf>
    <xf numFmtId="0" fontId="33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horizontal="left" vertical="center"/>
    </xf>
    <xf numFmtId="0" fontId="34" fillId="3" borderId="0" xfId="0" applyFont="1" applyFill="1" applyBorder="1" applyAlignment="1">
      <alignment horizontal="left" vertical="center" wrapText="1" indent="1"/>
    </xf>
    <xf numFmtId="0" fontId="32" fillId="3" borderId="2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vertical="center"/>
    </xf>
    <xf numFmtId="0" fontId="32" fillId="3" borderId="3" xfId="5" applyFont="1" applyFill="1" applyBorder="1" applyAlignment="1">
      <alignment horizontal="center" wrapText="1"/>
    </xf>
    <xf numFmtId="0" fontId="32" fillId="3" borderId="33" xfId="5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0" fontId="39" fillId="3" borderId="0" xfId="0" applyFont="1" applyFill="1" applyBorder="1" applyAlignment="1">
      <alignment vertical="center"/>
    </xf>
    <xf numFmtId="166" fontId="32" fillId="3" borderId="3" xfId="6" applyNumberFormat="1" applyFont="1" applyFill="1" applyBorder="1" applyAlignment="1" applyProtection="1">
      <alignment horizontal="center" vertical="center" wrapText="1"/>
    </xf>
    <xf numFmtId="1" fontId="33" fillId="3" borderId="0" xfId="0" applyNumberFormat="1" applyFont="1" applyFill="1" applyBorder="1" applyAlignment="1">
      <alignment vertical="center"/>
    </xf>
    <xf numFmtId="1" fontId="34" fillId="3" borderId="0" xfId="0" applyNumberFormat="1" applyFont="1" applyFill="1" applyBorder="1" applyAlignment="1">
      <alignment horizontal="left" vertical="center" wrapText="1" indent="1"/>
    </xf>
    <xf numFmtId="1" fontId="32" fillId="3" borderId="4" xfId="5" applyNumberFormat="1" applyFont="1" applyFill="1" applyBorder="1" applyAlignment="1">
      <alignment horizontal="center" vertical="center"/>
    </xf>
    <xf numFmtId="1" fontId="11" fillId="3" borderId="0" xfId="0" applyNumberFormat="1" applyFont="1" applyFill="1" applyBorder="1" applyAlignment="1">
      <alignment vertical="center"/>
    </xf>
    <xf numFmtId="0" fontId="28" fillId="3" borderId="46" xfId="0" applyFont="1" applyFill="1" applyBorder="1" applyAlignment="1">
      <alignment horizontal="center" vertical="center" wrapText="1"/>
    </xf>
    <xf numFmtId="0" fontId="28" fillId="3" borderId="47" xfId="0" applyFont="1" applyFill="1" applyBorder="1" applyAlignment="1">
      <alignment horizontal="center" vertical="center" wrapText="1"/>
    </xf>
    <xf numFmtId="0" fontId="28" fillId="3" borderId="48" xfId="0" applyFont="1" applyFill="1" applyBorder="1" applyAlignment="1">
      <alignment horizontal="center" vertical="center" wrapText="1"/>
    </xf>
    <xf numFmtId="169" fontId="28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41" fillId="3" borderId="0" xfId="0" applyFont="1" applyFill="1"/>
    <xf numFmtId="169" fontId="8" fillId="3" borderId="37" xfId="7" applyNumberFormat="1" applyFont="1" applyFill="1" applyBorder="1" applyAlignment="1">
      <alignment horizontal="center" vertical="center" wrapText="1"/>
    </xf>
    <xf numFmtId="170" fontId="30" fillId="0" borderId="50" xfId="0" applyNumberFormat="1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6" fillId="3" borderId="0" xfId="0" applyFont="1" applyFill="1" applyAlignment="1">
      <alignment vertical="center"/>
    </xf>
    <xf numFmtId="0" fontId="28" fillId="3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1" fontId="32" fillId="3" borderId="42" xfId="5" applyNumberFormat="1" applyFont="1" applyFill="1" applyBorder="1" applyAlignment="1">
      <alignment horizontal="center" vertical="center" wrapText="1"/>
    </xf>
    <xf numFmtId="0" fontId="23" fillId="3" borderId="0" xfId="0" applyFont="1" applyFill="1" applyAlignment="1">
      <alignment vertical="center"/>
    </xf>
    <xf numFmtId="0" fontId="29" fillId="3" borderId="45" xfId="0" applyFont="1" applyFill="1" applyBorder="1" applyAlignment="1">
      <alignment horizontal="center" vertical="center"/>
    </xf>
    <xf numFmtId="169" fontId="26" fillId="3" borderId="0" xfId="0" applyNumberFormat="1" applyFont="1" applyFill="1" applyAlignment="1">
      <alignment horizontal="center"/>
    </xf>
    <xf numFmtId="169" fontId="23" fillId="3" borderId="0" xfId="0" applyNumberFormat="1" applyFont="1" applyFill="1" applyAlignment="1">
      <alignment horizontal="center"/>
    </xf>
    <xf numFmtId="169" fontId="20" fillId="0" borderId="0" xfId="0" applyNumberFormat="1" applyFont="1" applyAlignment="1">
      <alignment horizontal="center"/>
    </xf>
    <xf numFmtId="0" fontId="23" fillId="3" borderId="0" xfId="0" applyFont="1" applyFill="1" applyAlignment="1">
      <alignment wrapText="1"/>
    </xf>
    <xf numFmtId="0" fontId="20" fillId="0" borderId="0" xfId="0" applyFont="1" applyBorder="1" applyAlignment="1">
      <alignment vertical="center" wrapText="1"/>
    </xf>
    <xf numFmtId="0" fontId="20" fillId="0" borderId="0" xfId="0" applyFont="1" applyBorder="1"/>
    <xf numFmtId="168" fontId="0" fillId="0" borderId="3" xfId="0" applyNumberFormat="1" applyBorder="1" applyAlignment="1">
      <alignment horizontal="center" vertical="center"/>
    </xf>
    <xf numFmtId="0" fontId="6" fillId="3" borderId="33" xfId="6" applyFont="1" applyFill="1" applyBorder="1" applyAlignment="1">
      <alignment horizontal="center" vertical="center" wrapText="1"/>
    </xf>
    <xf numFmtId="0" fontId="26" fillId="0" borderId="0" xfId="0" applyFont="1" applyFill="1" applyAlignment="1"/>
    <xf numFmtId="0" fontId="24" fillId="0" borderId="0" xfId="0" applyFont="1" applyFill="1" applyAlignment="1">
      <alignment horizontal="left" wrapText="1" indent="1"/>
    </xf>
    <xf numFmtId="0" fontId="23" fillId="0" borderId="0" xfId="0" applyFont="1" applyFill="1" applyAlignment="1">
      <alignment horizontal="center" wrapText="1"/>
    </xf>
    <xf numFmtId="0" fontId="28" fillId="0" borderId="47" xfId="0" applyFont="1" applyFill="1" applyBorder="1" applyAlignment="1">
      <alignment horizontal="center" vertical="center" wrapText="1"/>
    </xf>
    <xf numFmtId="0" fontId="8" fillId="0" borderId="3" xfId="7" applyFont="1" applyFill="1" applyBorder="1" applyAlignment="1">
      <alignment horizontal="center" vertical="center" wrapText="1"/>
    </xf>
    <xf numFmtId="0" fontId="23" fillId="0" borderId="0" xfId="0" applyFont="1" applyFill="1"/>
    <xf numFmtId="0" fontId="20" fillId="0" borderId="0" xfId="0" applyFont="1" applyFill="1"/>
    <xf numFmtId="0" fontId="0" fillId="0" borderId="0" xfId="0" applyFill="1"/>
    <xf numFmtId="0" fontId="20" fillId="0" borderId="0" xfId="0" applyFont="1" applyFill="1" applyBorder="1" applyAlignment="1">
      <alignment vertical="center"/>
    </xf>
    <xf numFmtId="0" fontId="23" fillId="0" borderId="0" xfId="0" applyFont="1" applyFill="1" applyAlignment="1">
      <alignment horizontal="center"/>
    </xf>
    <xf numFmtId="1" fontId="32" fillId="3" borderId="3" xfId="5" applyNumberFormat="1" applyFont="1" applyFill="1" applyBorder="1" applyAlignment="1">
      <alignment horizontal="center" vertical="center" wrapText="1"/>
    </xf>
    <xf numFmtId="169" fontId="8" fillId="3" borderId="3" xfId="7" applyNumberFormat="1" applyFont="1" applyFill="1" applyBorder="1" applyAlignment="1">
      <alignment horizontal="center" vertical="center" wrapText="1"/>
    </xf>
    <xf numFmtId="168" fontId="20" fillId="0" borderId="0" xfId="0" applyNumberFormat="1" applyFont="1"/>
    <xf numFmtId="166" fontId="11" fillId="0" borderId="0" xfId="0" applyNumberFormat="1" applyFont="1" applyBorder="1" applyAlignment="1">
      <alignment vertical="center"/>
    </xf>
    <xf numFmtId="0" fontId="5" fillId="3" borderId="33" xfId="6" applyFont="1" applyFill="1" applyBorder="1" applyAlignment="1">
      <alignment horizontal="center" vertical="center" wrapText="1"/>
    </xf>
    <xf numFmtId="0" fontId="4" fillId="3" borderId="3" xfId="7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wrapText="1"/>
    </xf>
    <xf numFmtId="0" fontId="20" fillId="0" borderId="0" xfId="0" applyFont="1" applyBorder="1" applyAlignment="1"/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0" fontId="20" fillId="0" borderId="52" xfId="0" applyFont="1" applyBorder="1" applyAlignment="1">
      <alignment horizontal="left" vertical="center" wrapText="1"/>
    </xf>
    <xf numFmtId="0" fontId="20" fillId="0" borderId="52" xfId="0" applyFont="1" applyBorder="1"/>
    <xf numFmtId="0" fontId="20" fillId="0" borderId="53" xfId="0" applyFont="1" applyFill="1" applyBorder="1" applyAlignment="1">
      <alignment vertical="center"/>
    </xf>
    <xf numFmtId="0" fontId="20" fillId="0" borderId="34" xfId="0" applyFont="1" applyBorder="1" applyAlignment="1">
      <alignment horizontal="center" vertical="center"/>
    </xf>
    <xf numFmtId="0" fontId="20" fillId="0" borderId="54" xfId="0" applyFont="1" applyFill="1" applyBorder="1" applyAlignment="1">
      <alignment vertical="center"/>
    </xf>
    <xf numFmtId="0" fontId="20" fillId="0" borderId="54" xfId="0" applyFont="1" applyFill="1" applyBorder="1" applyAlignment="1"/>
    <xf numFmtId="0" fontId="31" fillId="0" borderId="34" xfId="0" applyFont="1" applyBorder="1" applyAlignment="1">
      <alignment horizontal="left" vertical="center"/>
    </xf>
    <xf numFmtId="0" fontId="20" fillId="0" borderId="54" xfId="0" applyFont="1" applyFill="1" applyBorder="1" applyAlignment="1">
      <alignment wrapText="1"/>
    </xf>
    <xf numFmtId="0" fontId="20" fillId="0" borderId="54" xfId="0" applyFont="1" applyFill="1" applyBorder="1" applyAlignment="1">
      <alignment horizontal="center" vertical="center" wrapText="1"/>
    </xf>
    <xf numFmtId="0" fontId="31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wrapText="1"/>
    </xf>
    <xf numFmtId="0" fontId="20" fillId="0" borderId="56" xfId="0" applyFont="1" applyBorder="1" applyAlignment="1"/>
    <xf numFmtId="0" fontId="20" fillId="0" borderId="57" xfId="0" applyFont="1" applyFill="1" applyBorder="1" applyAlignment="1"/>
    <xf numFmtId="166" fontId="45" fillId="3" borderId="3" xfId="0" applyNumberFormat="1" applyFont="1" applyFill="1" applyBorder="1" applyAlignment="1">
      <alignment vertical="center"/>
    </xf>
    <xf numFmtId="166" fontId="45" fillId="3" borderId="0" xfId="0" applyNumberFormat="1" applyFont="1" applyFill="1" applyBorder="1" applyAlignment="1">
      <alignment vertical="center"/>
    </xf>
    <xf numFmtId="0" fontId="0" fillId="0" borderId="0" xfId="0" applyFill="1" applyBorder="1"/>
    <xf numFmtId="0" fontId="0" fillId="0" borderId="5" xfId="0" applyFill="1" applyBorder="1"/>
    <xf numFmtId="0" fontId="3" fillId="3" borderId="3" xfId="7" applyFont="1" applyFill="1" applyBorder="1" applyAlignment="1">
      <alignment horizontal="center" vertical="center" wrapText="1"/>
    </xf>
    <xf numFmtId="0" fontId="2" fillId="3" borderId="3" xfId="7" applyFont="1" applyFill="1" applyBorder="1" applyAlignment="1">
      <alignment horizontal="center" vertical="center" wrapText="1"/>
    </xf>
    <xf numFmtId="0" fontId="34" fillId="0" borderId="49" xfId="0" applyFont="1" applyFill="1" applyBorder="1" applyAlignment="1">
      <alignment horizontal="right" vertical="center"/>
    </xf>
    <xf numFmtId="0" fontId="20" fillId="0" borderId="0" xfId="0" applyFont="1" applyBorder="1" applyAlignment="1">
      <alignment horizontal="center" vertical="center" wrapText="1"/>
    </xf>
    <xf numFmtId="0" fontId="42" fillId="3" borderId="0" xfId="8" applyFont="1" applyFill="1" applyAlignment="1">
      <alignment horizontal="center" vertical="center"/>
    </xf>
    <xf numFmtId="0" fontId="27" fillId="3" borderId="0" xfId="0" applyFont="1" applyFill="1" applyBorder="1" applyAlignment="1">
      <alignment horizontal="left" vertical="center" wrapText="1"/>
    </xf>
    <xf numFmtId="0" fontId="24" fillId="3" borderId="0" xfId="0" applyFont="1" applyFill="1" applyAlignment="1">
      <alignment horizontal="left" wrapText="1" indent="1"/>
    </xf>
    <xf numFmtId="0" fontId="20" fillId="0" borderId="0" xfId="0" applyFont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center" vertical="top" wrapText="1"/>
    </xf>
    <xf numFmtId="0" fontId="20" fillId="0" borderId="54" xfId="0" applyFont="1" applyFill="1" applyBorder="1" applyAlignment="1">
      <alignment horizontal="center" vertical="top" wrapText="1"/>
    </xf>
    <xf numFmtId="0" fontId="42" fillId="3" borderId="0" xfId="8" applyFont="1" applyFill="1" applyAlignment="1">
      <alignment horizontal="center" vertical="center"/>
    </xf>
    <xf numFmtId="0" fontId="20" fillId="0" borderId="3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20" fillId="0" borderId="54" xfId="0" applyFont="1" applyBorder="1" applyAlignment="1">
      <alignment horizontal="center"/>
    </xf>
    <xf numFmtId="0" fontId="32" fillId="3" borderId="42" xfId="5" applyFont="1" applyFill="1" applyBorder="1" applyAlignment="1">
      <alignment horizontal="center" vertical="center" wrapText="1"/>
    </xf>
    <xf numFmtId="0" fontId="32" fillId="3" borderId="58" xfId="5" applyFont="1" applyFill="1" applyBorder="1" applyAlignment="1">
      <alignment horizontal="center" vertical="center" wrapText="1"/>
    </xf>
    <xf numFmtId="0" fontId="32" fillId="3" borderId="59" xfId="5" applyFont="1" applyFill="1" applyBorder="1" applyAlignment="1">
      <alignment horizontal="center" vertical="center" wrapText="1"/>
    </xf>
    <xf numFmtId="165" fontId="11" fillId="3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34" fillId="3" borderId="32" xfId="0" applyFont="1" applyFill="1" applyBorder="1" applyAlignment="1">
      <alignment horizontal="left" vertical="center" wrapText="1" indent="1"/>
    </xf>
    <xf numFmtId="0" fontId="34" fillId="3" borderId="44" xfId="0" applyFont="1" applyFill="1" applyBorder="1" applyAlignment="1">
      <alignment horizontal="left" vertical="center" wrapText="1" indent="1"/>
    </xf>
    <xf numFmtId="166" fontId="37" fillId="3" borderId="3" xfId="0" applyNumberFormat="1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left" vertical="center" wrapText="1"/>
    </xf>
    <xf numFmtId="0" fontId="34" fillId="3" borderId="9" xfId="0" applyFont="1" applyFill="1" applyBorder="1" applyAlignment="1">
      <alignment horizontal="left" vertical="center" wrapText="1" indent="1"/>
    </xf>
    <xf numFmtId="0" fontId="35" fillId="3" borderId="10" xfId="0" applyFont="1" applyFill="1" applyBorder="1" applyAlignment="1">
      <alignment horizontal="left" vertical="center" wrapText="1"/>
    </xf>
    <xf numFmtId="0" fontId="32" fillId="3" borderId="3" xfId="5" applyFont="1" applyFill="1" applyBorder="1" applyAlignment="1">
      <alignment horizontal="center" vertical="center" wrapText="1"/>
    </xf>
    <xf numFmtId="0" fontId="36" fillId="3" borderId="13" xfId="0" applyFont="1" applyFill="1" applyBorder="1" applyAlignment="1">
      <alignment horizontal="center" vertical="center" wrapText="1"/>
    </xf>
    <xf numFmtId="0" fontId="36" fillId="3" borderId="30" xfId="0" applyFont="1" applyFill="1" applyBorder="1" applyAlignment="1">
      <alignment horizontal="center" vertical="center" wrapText="1"/>
    </xf>
    <xf numFmtId="1" fontId="36" fillId="3" borderId="12" xfId="0" applyNumberFormat="1" applyFont="1" applyFill="1" applyBorder="1" applyAlignment="1">
      <alignment horizontal="center" vertical="center" wrapText="1"/>
    </xf>
    <xf numFmtId="1" fontId="36" fillId="3" borderId="31" xfId="0" applyNumberFormat="1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/>
    </xf>
    <xf numFmtId="0" fontId="36" fillId="3" borderId="29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left" vertical="center"/>
    </xf>
    <xf numFmtId="0" fontId="34" fillId="3" borderId="12" xfId="0" applyFont="1" applyFill="1" applyBorder="1" applyAlignment="1">
      <alignment horizontal="left" vertical="center" wrapText="1" indent="1"/>
    </xf>
    <xf numFmtId="0" fontId="18" fillId="0" borderId="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 wrapText="1"/>
    </xf>
    <xf numFmtId="0" fontId="19" fillId="0" borderId="58" xfId="0" applyFont="1" applyBorder="1" applyAlignment="1">
      <alignment horizontal="center" vertical="center" wrapText="1"/>
    </xf>
    <xf numFmtId="0" fontId="16" fillId="0" borderId="25" xfId="0" applyFont="1" applyFill="1" applyBorder="1" applyAlignment="1">
      <alignment horizontal="left" vertical="center" wrapText="1" indent="1"/>
    </xf>
    <xf numFmtId="0" fontId="44" fillId="0" borderId="25" xfId="0" applyFont="1" applyBorder="1" applyAlignment="1">
      <alignment horizontal="left" vertical="center" wrapText="1"/>
    </xf>
    <xf numFmtId="0" fontId="19" fillId="0" borderId="16" xfId="0" applyFont="1" applyBorder="1" applyAlignment="1"/>
    <xf numFmtId="0" fontId="0" fillId="0" borderId="16" xfId="0" applyBorder="1" applyAlignment="1"/>
    <xf numFmtId="0" fontId="19" fillId="0" borderId="38" xfId="0" applyFont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2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0" fillId="0" borderId="51" xfId="0" applyFont="1" applyBorder="1" applyAlignment="1">
      <alignment horizontal="left" vertical="center" wrapText="1"/>
    </xf>
    <xf numFmtId="0" fontId="14" fillId="0" borderId="14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4" fillId="0" borderId="12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4" fillId="0" borderId="15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 vertical="center" wrapText="1"/>
    </xf>
    <xf numFmtId="0" fontId="11" fillId="0" borderId="6" xfId="0" applyFont="1" applyBorder="1" applyAlignment="1"/>
    <xf numFmtId="0" fontId="16" fillId="0" borderId="6" xfId="0" applyFont="1" applyBorder="1" applyAlignment="1">
      <alignment horizontal="left" indent="1"/>
    </xf>
    <xf numFmtId="0" fontId="16" fillId="0" borderId="17" xfId="0" applyFont="1" applyFill="1" applyBorder="1" applyAlignment="1"/>
    <xf numFmtId="0" fontId="16" fillId="0" borderId="18" xfId="0" applyFont="1" applyFill="1" applyBorder="1" applyAlignment="1">
      <alignment horizontal="left" vertical="center" wrapText="1" indent="1"/>
    </xf>
    <xf numFmtId="0" fontId="18" fillId="0" borderId="16" xfId="0" applyFont="1" applyBorder="1" applyAlignment="1">
      <alignment horizontal="center" vertical="center"/>
    </xf>
    <xf numFmtId="0" fontId="13" fillId="0" borderId="8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/>
    </xf>
    <xf numFmtId="0" fontId="29" fillId="8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29" fillId="8" borderId="3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center" vertical="center"/>
    </xf>
    <xf numFmtId="0" fontId="1" fillId="0" borderId="3" xfId="7" applyFont="1" applyFill="1" applyBorder="1" applyAlignment="1">
      <alignment horizontal="center" vertical="center" wrapText="1"/>
    </xf>
  </cellXfs>
  <cellStyles count="12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  <cellStyle name="Normal 2 2" xfId="10"/>
    <cellStyle name="Normal 2 3" xfId="9"/>
    <cellStyle name="Normal 3" xfId="11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26"/>
  <sheetViews>
    <sheetView tabSelected="1" zoomScale="70" zoomScaleNormal="70" workbookViewId="0">
      <selection activeCell="O11" sqref="O11"/>
    </sheetView>
  </sheetViews>
  <sheetFormatPr baseColWidth="10" defaultColWidth="11" defaultRowHeight="12.75" x14ac:dyDescent="0.2"/>
  <cols>
    <col min="1" max="1" width="9.42578125" style="66" customWidth="1"/>
    <col min="2" max="2" width="16.85546875" style="29" customWidth="1"/>
    <col min="3" max="3" width="32.85546875" style="71" customWidth="1"/>
    <col min="4" max="4" width="12.140625" style="29" customWidth="1"/>
    <col min="5" max="5" width="79" style="85" customWidth="1"/>
    <col min="6" max="6" width="14.5703125" style="29" customWidth="1"/>
    <col min="7" max="7" width="12.7109375" style="66" customWidth="1"/>
    <col min="8" max="8" width="13.85546875" style="57" customWidth="1"/>
    <col min="9" max="9" width="27" style="69" customWidth="1"/>
    <col min="10" max="10" width="11" style="16"/>
    <col min="11" max="12" width="0" style="16" hidden="1" customWidth="1"/>
    <col min="13" max="13" width="15.85546875" style="16" customWidth="1"/>
    <col min="14" max="14" width="31.5703125" style="16" customWidth="1"/>
    <col min="15" max="16384" width="11" style="16"/>
  </cols>
  <sheetData>
    <row r="2" spans="1:17" ht="27" x14ac:dyDescent="0.35">
      <c r="E2" s="76" t="s">
        <v>0</v>
      </c>
      <c r="F2" s="33"/>
      <c r="G2" s="62"/>
      <c r="I2" s="68"/>
    </row>
    <row r="4" spans="1:17" ht="18" customHeight="1" x14ac:dyDescent="0.25">
      <c r="A4" s="123" t="s">
        <v>1</v>
      </c>
      <c r="B4" s="123"/>
      <c r="C4" s="123"/>
      <c r="D4" s="123"/>
      <c r="E4" s="124" t="s">
        <v>59</v>
      </c>
      <c r="F4" s="124"/>
      <c r="G4" s="124"/>
    </row>
    <row r="5" spans="1:17" ht="18" customHeight="1" x14ac:dyDescent="0.25">
      <c r="A5" s="123" t="s">
        <v>2</v>
      </c>
      <c r="B5" s="123"/>
      <c r="C5" s="123"/>
      <c r="D5" s="123"/>
      <c r="E5" s="124" t="s">
        <v>54</v>
      </c>
      <c r="F5" s="124"/>
      <c r="G5" s="124"/>
    </row>
    <row r="6" spans="1:17" ht="16.5" customHeight="1" x14ac:dyDescent="0.25">
      <c r="A6" s="123" t="s">
        <v>3</v>
      </c>
      <c r="B6" s="123"/>
      <c r="C6" s="123"/>
      <c r="D6" s="123"/>
      <c r="E6" s="77">
        <v>2022</v>
      </c>
      <c r="F6" s="32"/>
      <c r="G6" s="63"/>
    </row>
    <row r="7" spans="1:17" ht="16.5" customHeight="1" x14ac:dyDescent="0.25">
      <c r="A7" s="123" t="s">
        <v>4</v>
      </c>
      <c r="B7" s="123"/>
      <c r="C7" s="123"/>
      <c r="D7" s="123"/>
      <c r="E7" s="77" t="s">
        <v>67</v>
      </c>
      <c r="F7" s="32"/>
      <c r="G7" s="63"/>
    </row>
    <row r="8" spans="1:17" ht="13.5" thickBot="1" x14ac:dyDescent="0.25">
      <c r="E8" s="78"/>
      <c r="F8" s="30"/>
      <c r="G8" s="64"/>
    </row>
    <row r="9" spans="1:17" ht="39" thickBot="1" x14ac:dyDescent="0.25">
      <c r="A9" s="53" t="s">
        <v>5</v>
      </c>
      <c r="B9" s="54" t="s">
        <v>6</v>
      </c>
      <c r="C9" s="54" t="s">
        <v>52</v>
      </c>
      <c r="D9" s="54" t="s">
        <v>53</v>
      </c>
      <c r="E9" s="79" t="s">
        <v>7</v>
      </c>
      <c r="F9" s="54" t="s">
        <v>8</v>
      </c>
      <c r="G9" s="55" t="s">
        <v>9</v>
      </c>
      <c r="H9" s="60" t="s">
        <v>10</v>
      </c>
      <c r="I9" s="56" t="s">
        <v>11</v>
      </c>
    </row>
    <row r="10" spans="1:17" s="24" customFormat="1" ht="47.25" customHeight="1" thickBot="1" x14ac:dyDescent="0.25">
      <c r="A10" s="190">
        <v>1</v>
      </c>
      <c r="B10" s="186" t="s">
        <v>80</v>
      </c>
      <c r="C10" s="187" t="s">
        <v>81</v>
      </c>
      <c r="D10" s="188">
        <v>252</v>
      </c>
      <c r="E10" s="189" t="s">
        <v>82</v>
      </c>
      <c r="F10" s="190" t="s">
        <v>69</v>
      </c>
      <c r="G10" s="65">
        <v>10</v>
      </c>
      <c r="H10" s="74">
        <v>1200</v>
      </c>
      <c r="I10" s="59">
        <f t="shared" ref="I10:I18" si="0">G10*H10</f>
        <v>12000</v>
      </c>
      <c r="M10" s="88"/>
      <c r="N10" s="16"/>
      <c r="O10" s="16"/>
      <c r="P10" s="16"/>
      <c r="Q10" s="88"/>
    </row>
    <row r="11" spans="1:17" s="24" customFormat="1" ht="30" customHeight="1" thickBot="1" x14ac:dyDescent="0.25">
      <c r="A11" s="67">
        <v>2</v>
      </c>
      <c r="B11" s="31" t="s">
        <v>83</v>
      </c>
      <c r="C11" s="119" t="s">
        <v>84</v>
      </c>
      <c r="D11" s="90">
        <v>251</v>
      </c>
      <c r="E11" s="80" t="s">
        <v>85</v>
      </c>
      <c r="F11" s="91" t="s">
        <v>70</v>
      </c>
      <c r="G11" s="86">
        <v>10</v>
      </c>
      <c r="H11" s="74">
        <v>9229.2000000000007</v>
      </c>
      <c r="I11" s="87">
        <f t="shared" si="0"/>
        <v>92292</v>
      </c>
      <c r="M11" s="88"/>
      <c r="N11" s="16"/>
      <c r="O11" s="16"/>
      <c r="P11" s="16"/>
      <c r="Q11" s="88"/>
    </row>
    <row r="12" spans="1:17" s="24" customFormat="1" ht="30" customHeight="1" thickBot="1" x14ac:dyDescent="0.25">
      <c r="A12" s="67">
        <v>3</v>
      </c>
      <c r="B12" s="31" t="s">
        <v>86</v>
      </c>
      <c r="C12" s="119" t="s">
        <v>81</v>
      </c>
      <c r="D12" s="75">
        <v>252</v>
      </c>
      <c r="E12" s="80" t="s">
        <v>87</v>
      </c>
      <c r="F12" s="91" t="s">
        <v>71</v>
      </c>
      <c r="G12" s="86">
        <v>150</v>
      </c>
      <c r="H12" s="74">
        <v>630</v>
      </c>
      <c r="I12" s="87">
        <f t="shared" si="0"/>
        <v>94500</v>
      </c>
      <c r="M12" s="88"/>
      <c r="N12" s="16"/>
      <c r="O12" s="16"/>
      <c r="P12" s="16"/>
      <c r="Q12" s="88"/>
    </row>
    <row r="13" spans="1:17" s="24" customFormat="1" ht="30" customHeight="1" thickBot="1" x14ac:dyDescent="0.25">
      <c r="A13" s="67">
        <v>4</v>
      </c>
      <c r="B13" s="31" t="s">
        <v>88</v>
      </c>
      <c r="C13" s="119" t="s">
        <v>81</v>
      </c>
      <c r="D13" s="90">
        <v>252</v>
      </c>
      <c r="E13" s="191" t="s">
        <v>89</v>
      </c>
      <c r="F13" s="118" t="s">
        <v>71</v>
      </c>
      <c r="G13" s="86">
        <v>350</v>
      </c>
      <c r="H13" s="74">
        <v>570</v>
      </c>
      <c r="I13" s="87">
        <f t="shared" si="0"/>
        <v>199500</v>
      </c>
      <c r="M13" s="88"/>
      <c r="N13" s="16"/>
      <c r="O13" s="16"/>
      <c r="P13" s="16"/>
      <c r="Q13" s="88"/>
    </row>
    <row r="14" spans="1:17" s="24" customFormat="1" ht="30" customHeight="1" thickBot="1" x14ac:dyDescent="0.25">
      <c r="A14" s="67">
        <v>5</v>
      </c>
      <c r="B14" s="31" t="s">
        <v>90</v>
      </c>
      <c r="C14" s="119" t="s">
        <v>84</v>
      </c>
      <c r="D14" s="75">
        <v>251</v>
      </c>
      <c r="E14" s="191" t="s">
        <v>91</v>
      </c>
      <c r="F14" s="118" t="s">
        <v>70</v>
      </c>
      <c r="G14" s="86">
        <v>40</v>
      </c>
      <c r="H14" s="74">
        <v>4900.5</v>
      </c>
      <c r="I14" s="87">
        <f t="shared" si="0"/>
        <v>196020</v>
      </c>
      <c r="M14" s="88"/>
      <c r="N14" s="16"/>
      <c r="O14" s="16"/>
      <c r="P14" s="16"/>
      <c r="Q14" s="88"/>
    </row>
    <row r="15" spans="1:17" s="24" customFormat="1" ht="30" customHeight="1" thickBot="1" x14ac:dyDescent="0.25">
      <c r="A15" s="67">
        <v>6</v>
      </c>
      <c r="B15" s="31" t="s">
        <v>92</v>
      </c>
      <c r="C15" s="119" t="s">
        <v>81</v>
      </c>
      <c r="D15" s="75">
        <v>251</v>
      </c>
      <c r="E15" s="191" t="s">
        <v>93</v>
      </c>
      <c r="F15" s="118" t="s">
        <v>69</v>
      </c>
      <c r="G15" s="86">
        <v>60</v>
      </c>
      <c r="H15" s="74">
        <v>661</v>
      </c>
      <c r="I15" s="87">
        <f t="shared" si="0"/>
        <v>39660</v>
      </c>
      <c r="M15" s="88"/>
      <c r="N15" s="16"/>
      <c r="O15" s="16"/>
      <c r="P15" s="16"/>
      <c r="Q15" s="88"/>
    </row>
    <row r="16" spans="1:17" s="24" customFormat="1" ht="30" customHeight="1" thickBot="1" x14ac:dyDescent="0.25">
      <c r="A16" s="67">
        <v>7</v>
      </c>
      <c r="B16" s="31" t="s">
        <v>94</v>
      </c>
      <c r="C16" s="119" t="s">
        <v>81</v>
      </c>
      <c r="D16" s="75">
        <v>295</v>
      </c>
      <c r="E16" s="191" t="s">
        <v>95</v>
      </c>
      <c r="F16" s="118" t="s">
        <v>72</v>
      </c>
      <c r="G16" s="86">
        <v>10</v>
      </c>
      <c r="H16" s="74">
        <v>950</v>
      </c>
      <c r="I16" s="87">
        <f t="shared" si="0"/>
        <v>9500</v>
      </c>
      <c r="M16" s="88"/>
      <c r="N16" s="16"/>
      <c r="O16" s="16"/>
      <c r="P16" s="16"/>
      <c r="Q16" s="88"/>
    </row>
    <row r="17" spans="1:17" s="24" customFormat="1" ht="30" customHeight="1" thickBot="1" x14ac:dyDescent="0.25">
      <c r="A17" s="67">
        <v>8</v>
      </c>
      <c r="B17" s="31" t="s">
        <v>96</v>
      </c>
      <c r="C17" s="119" t="s">
        <v>84</v>
      </c>
      <c r="D17" s="75">
        <v>251</v>
      </c>
      <c r="E17" s="191" t="s">
        <v>97</v>
      </c>
      <c r="F17" s="118" t="s">
        <v>70</v>
      </c>
      <c r="G17" s="86">
        <v>20</v>
      </c>
      <c r="H17" s="74">
        <v>1680</v>
      </c>
      <c r="I17" s="87">
        <f t="shared" si="0"/>
        <v>33600</v>
      </c>
      <c r="M17" s="88"/>
      <c r="N17" s="16"/>
      <c r="O17" s="16"/>
      <c r="P17" s="16"/>
      <c r="Q17" s="88"/>
    </row>
    <row r="18" spans="1:17" s="24" customFormat="1" ht="30" customHeight="1" x14ac:dyDescent="0.2">
      <c r="A18" s="67">
        <v>9</v>
      </c>
      <c r="B18" s="31" t="s">
        <v>98</v>
      </c>
      <c r="C18" s="119" t="s">
        <v>99</v>
      </c>
      <c r="D18" s="75">
        <v>251</v>
      </c>
      <c r="E18" s="191" t="s">
        <v>100</v>
      </c>
      <c r="F18" s="118" t="s">
        <v>73</v>
      </c>
      <c r="G18" s="86">
        <v>200</v>
      </c>
      <c r="H18" s="74">
        <v>199.65</v>
      </c>
      <c r="I18" s="87">
        <f t="shared" si="0"/>
        <v>39930</v>
      </c>
      <c r="M18" s="88"/>
      <c r="N18" s="16"/>
      <c r="O18" s="16"/>
      <c r="P18" s="16"/>
      <c r="Q18" s="88"/>
    </row>
    <row r="19" spans="1:17" ht="15.75" x14ac:dyDescent="0.25">
      <c r="A19" s="34"/>
      <c r="B19" s="58"/>
      <c r="E19" s="81"/>
      <c r="I19" s="70"/>
      <c r="M19" s="88"/>
    </row>
    <row r="20" spans="1:17" x14ac:dyDescent="0.2">
      <c r="A20" s="34"/>
      <c r="B20" s="16"/>
      <c r="D20" s="16"/>
      <c r="E20" s="82"/>
      <c r="F20" s="16"/>
      <c r="I20" s="70"/>
    </row>
    <row r="21" spans="1:17" ht="13.5" customHeight="1" x14ac:dyDescent="0.2">
      <c r="A21" s="34"/>
      <c r="B21" s="61"/>
      <c r="C21" s="92"/>
      <c r="D21" s="93"/>
      <c r="E21" s="83"/>
      <c r="F21" s="16"/>
      <c r="G21" s="129"/>
      <c r="H21" s="16"/>
      <c r="I21" s="16"/>
    </row>
    <row r="22" spans="1:17" ht="15" customHeight="1" x14ac:dyDescent="0.2">
      <c r="A22" s="99"/>
      <c r="B22" s="100" t="s">
        <v>107</v>
      </c>
      <c r="C22" s="101"/>
      <c r="D22" s="102"/>
      <c r="E22" s="103"/>
      <c r="F22" s="16"/>
      <c r="G22" s="129"/>
      <c r="H22" s="16"/>
      <c r="I22" s="16"/>
    </row>
    <row r="23" spans="1:17" ht="15" customHeight="1" x14ac:dyDescent="0.2">
      <c r="A23" s="94"/>
      <c r="B23" s="104"/>
      <c r="C23" s="72"/>
      <c r="D23" s="73"/>
      <c r="E23" s="105"/>
      <c r="F23" s="16"/>
      <c r="G23" s="129"/>
      <c r="H23" s="16"/>
      <c r="I23" s="16"/>
    </row>
    <row r="24" spans="1:17" ht="15" customHeight="1" x14ac:dyDescent="0.2">
      <c r="A24" s="94"/>
      <c r="B24" s="35" t="s">
        <v>55</v>
      </c>
      <c r="C24" s="72"/>
      <c r="D24" s="73"/>
      <c r="E24" s="105"/>
      <c r="F24" s="16"/>
      <c r="G24" s="129"/>
      <c r="H24" s="16"/>
      <c r="I24" s="16"/>
    </row>
    <row r="25" spans="1:17" ht="24" customHeight="1" x14ac:dyDescent="0.2">
      <c r="A25" s="94"/>
      <c r="B25" s="35"/>
      <c r="C25" s="127"/>
      <c r="D25" s="127"/>
      <c r="E25" s="128"/>
      <c r="F25" s="16"/>
      <c r="G25" s="129"/>
      <c r="H25" s="16"/>
      <c r="I25" s="16"/>
    </row>
    <row r="26" spans="1:17" ht="15" customHeight="1" x14ac:dyDescent="0.2">
      <c r="A26" s="94"/>
      <c r="B26" s="35" t="s">
        <v>61</v>
      </c>
      <c r="C26" s="125" t="s">
        <v>79</v>
      </c>
      <c r="D26" s="125"/>
      <c r="E26" s="126"/>
      <c r="F26" s="16"/>
      <c r="G26" s="129"/>
      <c r="H26" s="16"/>
      <c r="I26" s="16"/>
    </row>
    <row r="27" spans="1:17" ht="15" customHeight="1" x14ac:dyDescent="0.2">
      <c r="A27" s="94"/>
      <c r="B27" s="130"/>
      <c r="C27" s="131"/>
      <c r="D27" s="131"/>
      <c r="E27" s="132"/>
      <c r="F27" s="16"/>
      <c r="G27" s="129"/>
      <c r="H27" s="16"/>
      <c r="I27" s="16"/>
    </row>
    <row r="28" spans="1:17" ht="24.75" customHeight="1" x14ac:dyDescent="0.2">
      <c r="A28" s="94"/>
      <c r="B28" s="104" t="s">
        <v>62</v>
      </c>
      <c r="C28" s="125" t="s">
        <v>63</v>
      </c>
      <c r="D28" s="125"/>
      <c r="E28" s="126"/>
      <c r="F28" s="16"/>
      <c r="G28" s="129"/>
      <c r="H28" s="16"/>
      <c r="I28" s="16"/>
    </row>
    <row r="29" spans="1:17" ht="15" customHeight="1" x14ac:dyDescent="0.2">
      <c r="A29" s="94"/>
      <c r="B29" s="104"/>
      <c r="C29" s="95"/>
      <c r="D29" s="96"/>
      <c r="E29" s="106"/>
      <c r="F29" s="16"/>
      <c r="G29" s="129"/>
      <c r="H29" s="16"/>
      <c r="I29" s="16"/>
    </row>
    <row r="30" spans="1:17" ht="12.75" customHeight="1" x14ac:dyDescent="0.2">
      <c r="A30" s="99"/>
      <c r="B30" s="107" t="s">
        <v>56</v>
      </c>
      <c r="C30" s="125"/>
      <c r="D30" s="125"/>
      <c r="E30" s="126"/>
      <c r="F30" s="16"/>
      <c r="G30" s="129"/>
      <c r="H30" s="16"/>
      <c r="I30" s="16"/>
    </row>
    <row r="31" spans="1:17" ht="12.75" customHeight="1" x14ac:dyDescent="0.2">
      <c r="A31" s="94"/>
      <c r="B31" s="104"/>
      <c r="C31" s="95"/>
      <c r="D31" s="95"/>
      <c r="E31" s="108"/>
      <c r="F31" s="16"/>
      <c r="G31" s="129"/>
      <c r="H31" s="16"/>
      <c r="I31" s="16"/>
    </row>
    <row r="32" spans="1:17" ht="15" customHeight="1" x14ac:dyDescent="0.2">
      <c r="A32" s="94"/>
      <c r="B32" s="35" t="s">
        <v>57</v>
      </c>
      <c r="C32" s="97"/>
      <c r="D32" s="98"/>
      <c r="E32" s="109"/>
      <c r="F32" s="16"/>
      <c r="G32" s="129"/>
      <c r="H32" s="16"/>
      <c r="I32" s="16"/>
    </row>
    <row r="33" spans="1:9" ht="15" customHeight="1" x14ac:dyDescent="0.2">
      <c r="A33" s="94"/>
      <c r="B33" s="104"/>
      <c r="C33" s="95"/>
      <c r="D33" s="95"/>
      <c r="E33" s="108" t="s">
        <v>66</v>
      </c>
      <c r="F33" s="16"/>
      <c r="G33" s="129"/>
      <c r="H33" s="16"/>
      <c r="I33" s="16"/>
    </row>
    <row r="34" spans="1:9" ht="15" customHeight="1" x14ac:dyDescent="0.2">
      <c r="A34" s="94"/>
      <c r="B34" s="35" t="s">
        <v>58</v>
      </c>
      <c r="C34" s="72"/>
      <c r="D34" s="73"/>
      <c r="E34" s="105"/>
      <c r="F34" s="16"/>
      <c r="G34" s="129"/>
      <c r="H34" s="16"/>
      <c r="I34" s="16"/>
    </row>
    <row r="35" spans="1:9" ht="15" customHeight="1" x14ac:dyDescent="0.2">
      <c r="A35" s="94"/>
      <c r="B35" s="110"/>
      <c r="C35" s="111"/>
      <c r="D35" s="112"/>
      <c r="E35" s="113"/>
      <c r="F35" s="16"/>
      <c r="G35" s="129"/>
      <c r="H35" s="16"/>
      <c r="I35" s="16"/>
    </row>
    <row r="36" spans="1:9" ht="12.75" customHeight="1" x14ac:dyDescent="0.2">
      <c r="A36" s="94"/>
      <c r="B36" s="61"/>
      <c r="C36" s="72"/>
      <c r="D36" s="73"/>
      <c r="E36" s="84"/>
      <c r="F36" s="16"/>
      <c r="G36" s="129"/>
      <c r="H36" s="16"/>
      <c r="I36" s="16"/>
    </row>
    <row r="37" spans="1:9" ht="12.75" customHeight="1" x14ac:dyDescent="0.2">
      <c r="A37" s="34"/>
      <c r="B37" s="100" t="s">
        <v>101</v>
      </c>
      <c r="C37" s="101"/>
      <c r="D37" s="102"/>
      <c r="E37" s="103"/>
      <c r="F37" s="16"/>
      <c r="G37" s="129"/>
      <c r="H37" s="16"/>
      <c r="I37" s="16"/>
    </row>
    <row r="38" spans="1:9" ht="12.75" customHeight="1" x14ac:dyDescent="0.2">
      <c r="A38" s="34"/>
      <c r="B38" s="104"/>
      <c r="C38" s="72"/>
      <c r="D38" s="73"/>
      <c r="E38" s="105"/>
      <c r="F38" s="16"/>
      <c r="G38" s="122"/>
      <c r="H38" s="16"/>
      <c r="I38" s="16"/>
    </row>
    <row r="39" spans="1:9" ht="12.75" customHeight="1" x14ac:dyDescent="0.2">
      <c r="A39" s="34"/>
      <c r="B39" s="35" t="s">
        <v>55</v>
      </c>
      <c r="C39" s="125" t="s">
        <v>102</v>
      </c>
      <c r="D39" s="125"/>
      <c r="E39" s="126"/>
      <c r="F39" s="16"/>
      <c r="G39" s="122"/>
      <c r="H39" s="16"/>
      <c r="I39" s="16"/>
    </row>
    <row r="40" spans="1:9" ht="12.75" customHeight="1" x14ac:dyDescent="0.2">
      <c r="A40" s="34"/>
      <c r="B40" s="35"/>
      <c r="C40" s="127"/>
      <c r="D40" s="127"/>
      <c r="E40" s="128"/>
      <c r="F40" s="16"/>
      <c r="G40" s="122"/>
      <c r="H40" s="16"/>
      <c r="I40" s="16"/>
    </row>
    <row r="41" spans="1:9" x14ac:dyDescent="0.2">
      <c r="B41" s="35" t="s">
        <v>61</v>
      </c>
      <c r="C41" s="125" t="s">
        <v>79</v>
      </c>
      <c r="D41" s="125"/>
      <c r="E41" s="126"/>
      <c r="I41" s="70"/>
    </row>
    <row r="42" spans="1:9" ht="12.75" customHeight="1" x14ac:dyDescent="0.2">
      <c r="B42" s="130"/>
      <c r="C42" s="131"/>
      <c r="D42" s="131"/>
      <c r="E42" s="132"/>
      <c r="I42" s="70"/>
    </row>
    <row r="43" spans="1:9" x14ac:dyDescent="0.2">
      <c r="B43" s="104" t="s">
        <v>62</v>
      </c>
      <c r="C43" s="125" t="s">
        <v>63</v>
      </c>
      <c r="D43" s="125"/>
      <c r="E43" s="126"/>
      <c r="I43" s="70"/>
    </row>
    <row r="44" spans="1:9" ht="12.75" customHeight="1" x14ac:dyDescent="0.2">
      <c r="B44" s="104"/>
      <c r="C44" s="95"/>
      <c r="D44" s="96"/>
      <c r="E44" s="106"/>
      <c r="I44" s="70"/>
    </row>
    <row r="45" spans="1:9" x14ac:dyDescent="0.2">
      <c r="B45" s="107" t="s">
        <v>56</v>
      </c>
      <c r="C45" s="125"/>
      <c r="D45" s="125"/>
      <c r="E45" s="126"/>
      <c r="I45" s="70"/>
    </row>
    <row r="46" spans="1:9" ht="27" customHeight="1" x14ac:dyDescent="0.2">
      <c r="B46" s="104"/>
      <c r="C46" s="95"/>
      <c r="D46" s="95"/>
      <c r="E46" s="108"/>
      <c r="I46" s="70"/>
    </row>
    <row r="47" spans="1:9" x14ac:dyDescent="0.2">
      <c r="B47" s="35" t="s">
        <v>57</v>
      </c>
      <c r="C47" s="121"/>
      <c r="D47" s="98"/>
      <c r="E47" s="109"/>
      <c r="I47" s="70"/>
    </row>
    <row r="48" spans="1:9" x14ac:dyDescent="0.2">
      <c r="B48" s="104"/>
      <c r="C48" s="95"/>
      <c r="D48" s="95"/>
      <c r="E48" s="108" t="s">
        <v>66</v>
      </c>
      <c r="I48" s="70"/>
    </row>
    <row r="49" spans="2:9" ht="15.75" customHeight="1" x14ac:dyDescent="0.2">
      <c r="B49" s="35" t="s">
        <v>58</v>
      </c>
      <c r="C49" s="72"/>
      <c r="D49" s="73"/>
      <c r="E49" s="105"/>
      <c r="I49" s="70"/>
    </row>
    <row r="50" spans="2:9" x14ac:dyDescent="0.2">
      <c r="B50" s="110"/>
      <c r="C50" s="111"/>
      <c r="D50" s="112"/>
      <c r="E50" s="113"/>
      <c r="I50" s="70"/>
    </row>
    <row r="51" spans="2:9" ht="15" customHeight="1" x14ac:dyDescent="0.2">
      <c r="B51" s="61"/>
      <c r="C51" s="72"/>
      <c r="D51" s="73"/>
      <c r="E51" s="84"/>
      <c r="I51" s="70"/>
    </row>
    <row r="52" spans="2:9" x14ac:dyDescent="0.2">
      <c r="B52" s="100" t="s">
        <v>103</v>
      </c>
      <c r="C52" s="101"/>
      <c r="D52" s="102"/>
      <c r="E52" s="103"/>
      <c r="I52" s="70"/>
    </row>
    <row r="53" spans="2:9" x14ac:dyDescent="0.2">
      <c r="B53" s="104"/>
      <c r="C53" s="72"/>
      <c r="D53" s="73"/>
      <c r="E53" s="105"/>
      <c r="I53" s="70"/>
    </row>
    <row r="54" spans="2:9" ht="12.75" customHeight="1" x14ac:dyDescent="0.2">
      <c r="B54" s="35" t="s">
        <v>55</v>
      </c>
      <c r="C54" s="125" t="s">
        <v>104</v>
      </c>
      <c r="D54" s="125"/>
      <c r="E54" s="126"/>
      <c r="I54" s="70"/>
    </row>
    <row r="55" spans="2:9" x14ac:dyDescent="0.2">
      <c r="B55" s="35"/>
      <c r="C55" s="127"/>
      <c r="D55" s="127"/>
      <c r="E55" s="128"/>
      <c r="I55" s="70"/>
    </row>
    <row r="56" spans="2:9" x14ac:dyDescent="0.2">
      <c r="B56" s="35" t="s">
        <v>61</v>
      </c>
      <c r="C56" s="125" t="s">
        <v>79</v>
      </c>
      <c r="D56" s="125"/>
      <c r="E56" s="126"/>
      <c r="I56" s="70"/>
    </row>
    <row r="57" spans="2:9" ht="12.75" customHeight="1" x14ac:dyDescent="0.2">
      <c r="B57" s="130"/>
      <c r="C57" s="131"/>
      <c r="D57" s="131"/>
      <c r="E57" s="132"/>
      <c r="I57" s="70"/>
    </row>
    <row r="58" spans="2:9" x14ac:dyDescent="0.2">
      <c r="B58" s="104" t="s">
        <v>62</v>
      </c>
      <c r="C58" s="125" t="s">
        <v>63</v>
      </c>
      <c r="D58" s="125"/>
      <c r="E58" s="126"/>
      <c r="I58" s="70"/>
    </row>
    <row r="59" spans="2:9" x14ac:dyDescent="0.2">
      <c r="B59" s="104"/>
      <c r="C59" s="95"/>
      <c r="D59" s="96"/>
      <c r="E59" s="106"/>
      <c r="I59" s="70"/>
    </row>
    <row r="60" spans="2:9" x14ac:dyDescent="0.2">
      <c r="B60" s="107" t="s">
        <v>56</v>
      </c>
      <c r="C60" s="125"/>
      <c r="D60" s="125"/>
      <c r="E60" s="126"/>
      <c r="I60" s="70"/>
    </row>
    <row r="61" spans="2:9" x14ac:dyDescent="0.2">
      <c r="B61" s="104"/>
      <c r="C61" s="95"/>
      <c r="D61" s="95"/>
      <c r="E61" s="108"/>
      <c r="I61" s="70"/>
    </row>
    <row r="62" spans="2:9" x14ac:dyDescent="0.2">
      <c r="B62" s="35" t="s">
        <v>57</v>
      </c>
      <c r="C62" s="121"/>
      <c r="D62" s="98"/>
      <c r="E62" s="109"/>
      <c r="I62" s="70"/>
    </row>
    <row r="63" spans="2:9" x14ac:dyDescent="0.2">
      <c r="B63" s="104"/>
      <c r="C63" s="95"/>
      <c r="D63" s="95"/>
      <c r="E63" s="108" t="s">
        <v>66</v>
      </c>
      <c r="I63" s="70"/>
    </row>
    <row r="64" spans="2:9" x14ac:dyDescent="0.2">
      <c r="B64" s="35" t="s">
        <v>58</v>
      </c>
      <c r="C64" s="72"/>
      <c r="D64" s="73"/>
      <c r="E64" s="105"/>
      <c r="I64" s="70"/>
    </row>
    <row r="65" spans="2:9" x14ac:dyDescent="0.2">
      <c r="B65" s="110"/>
      <c r="C65" s="111"/>
      <c r="D65" s="112"/>
      <c r="E65" s="113"/>
      <c r="I65" s="70"/>
    </row>
    <row r="66" spans="2:9" x14ac:dyDescent="0.2">
      <c r="B66" s="61"/>
      <c r="C66" s="72"/>
      <c r="D66" s="73"/>
      <c r="E66" s="84"/>
      <c r="I66" s="70"/>
    </row>
    <row r="67" spans="2:9" x14ac:dyDescent="0.2">
      <c r="B67" s="100" t="s">
        <v>105</v>
      </c>
      <c r="C67" s="101"/>
      <c r="D67" s="102"/>
      <c r="E67" s="103"/>
      <c r="I67" s="70"/>
    </row>
    <row r="68" spans="2:9" x14ac:dyDescent="0.2">
      <c r="B68" s="104"/>
      <c r="C68" s="72"/>
      <c r="D68" s="73"/>
      <c r="E68" s="105"/>
      <c r="I68" s="70"/>
    </row>
    <row r="69" spans="2:9" ht="30.75" customHeight="1" x14ac:dyDescent="0.2">
      <c r="B69" s="35" t="s">
        <v>55</v>
      </c>
      <c r="C69" s="125" t="s">
        <v>106</v>
      </c>
      <c r="D69" s="125"/>
      <c r="E69" s="126"/>
      <c r="I69" s="70"/>
    </row>
    <row r="70" spans="2:9" x14ac:dyDescent="0.2">
      <c r="B70" s="35"/>
      <c r="C70" s="127"/>
      <c r="D70" s="127"/>
      <c r="E70" s="128"/>
      <c r="I70" s="70"/>
    </row>
    <row r="71" spans="2:9" x14ac:dyDescent="0.2">
      <c r="B71" s="35" t="s">
        <v>61</v>
      </c>
      <c r="C71" s="125" t="s">
        <v>79</v>
      </c>
      <c r="D71" s="125"/>
      <c r="E71" s="126"/>
      <c r="I71" s="70"/>
    </row>
    <row r="72" spans="2:9" x14ac:dyDescent="0.2">
      <c r="B72" s="130"/>
      <c r="C72" s="131"/>
      <c r="D72" s="131"/>
      <c r="E72" s="132"/>
      <c r="I72" s="70"/>
    </row>
    <row r="73" spans="2:9" x14ac:dyDescent="0.2">
      <c r="B73" s="104" t="s">
        <v>62</v>
      </c>
      <c r="C73" s="125" t="s">
        <v>63</v>
      </c>
      <c r="D73" s="125"/>
      <c r="E73" s="126"/>
      <c r="I73" s="70"/>
    </row>
    <row r="74" spans="2:9" x14ac:dyDescent="0.2">
      <c r="B74" s="104"/>
      <c r="C74" s="95"/>
      <c r="D74" s="96"/>
      <c r="E74" s="106"/>
      <c r="I74" s="70"/>
    </row>
    <row r="75" spans="2:9" x14ac:dyDescent="0.2">
      <c r="B75" s="107" t="s">
        <v>56</v>
      </c>
      <c r="C75" s="125"/>
      <c r="D75" s="125"/>
      <c r="E75" s="126"/>
      <c r="I75" s="70"/>
    </row>
    <row r="76" spans="2:9" x14ac:dyDescent="0.2">
      <c r="B76" s="104"/>
      <c r="C76" s="95"/>
      <c r="D76" s="95"/>
      <c r="E76" s="108"/>
      <c r="I76" s="70"/>
    </row>
    <row r="77" spans="2:9" x14ac:dyDescent="0.2">
      <c r="B77" s="35" t="s">
        <v>57</v>
      </c>
      <c r="C77" s="121"/>
      <c r="D77" s="98"/>
      <c r="E77" s="109"/>
      <c r="I77" s="70"/>
    </row>
    <row r="78" spans="2:9" x14ac:dyDescent="0.2">
      <c r="B78" s="104"/>
      <c r="C78" s="95"/>
      <c r="D78" s="95"/>
      <c r="E78" s="108" t="s">
        <v>66</v>
      </c>
      <c r="I78" s="70"/>
    </row>
    <row r="79" spans="2:9" x14ac:dyDescent="0.2">
      <c r="B79" s="35" t="s">
        <v>58</v>
      </c>
      <c r="C79" s="72"/>
      <c r="D79" s="73"/>
      <c r="E79" s="105"/>
      <c r="I79" s="70"/>
    </row>
    <row r="80" spans="2:9" x14ac:dyDescent="0.2">
      <c r="B80" s="110"/>
      <c r="C80" s="111"/>
      <c r="D80" s="112"/>
      <c r="E80" s="113"/>
      <c r="I80" s="70"/>
    </row>
    <row r="81" spans="2:9" x14ac:dyDescent="0.2">
      <c r="B81" s="61"/>
      <c r="C81" s="72"/>
      <c r="D81" s="73"/>
      <c r="E81" s="84"/>
      <c r="I81" s="70"/>
    </row>
    <row r="82" spans="2:9" x14ac:dyDescent="0.2">
      <c r="B82" s="61"/>
      <c r="C82" s="72"/>
      <c r="D82" s="73"/>
      <c r="E82" s="84"/>
      <c r="I82" s="70"/>
    </row>
    <row r="83" spans="2:9" x14ac:dyDescent="0.2">
      <c r="I83" s="70"/>
    </row>
    <row r="84" spans="2:9" x14ac:dyDescent="0.2">
      <c r="I84" s="70"/>
    </row>
    <row r="85" spans="2:9" x14ac:dyDescent="0.2">
      <c r="I85" s="70"/>
    </row>
    <row r="86" spans="2:9" x14ac:dyDescent="0.2">
      <c r="I86" s="70"/>
    </row>
    <row r="87" spans="2:9" x14ac:dyDescent="0.2">
      <c r="I87" s="70"/>
    </row>
    <row r="88" spans="2:9" x14ac:dyDescent="0.2">
      <c r="I88" s="70"/>
    </row>
    <row r="89" spans="2:9" x14ac:dyDescent="0.2">
      <c r="I89" s="70"/>
    </row>
    <row r="90" spans="2:9" x14ac:dyDescent="0.2">
      <c r="I90" s="70"/>
    </row>
    <row r="91" spans="2:9" x14ac:dyDescent="0.2">
      <c r="I91" s="70"/>
    </row>
    <row r="92" spans="2:9" x14ac:dyDescent="0.2">
      <c r="I92" s="70"/>
    </row>
    <row r="93" spans="2:9" x14ac:dyDescent="0.2">
      <c r="I93" s="70"/>
    </row>
    <row r="94" spans="2:9" x14ac:dyDescent="0.2">
      <c r="I94" s="70"/>
    </row>
    <row r="95" spans="2:9" x14ac:dyDescent="0.2">
      <c r="I95" s="70"/>
    </row>
    <row r="96" spans="2:9" x14ac:dyDescent="0.2">
      <c r="I96" s="70"/>
    </row>
    <row r="97" spans="9:9" x14ac:dyDescent="0.2">
      <c r="I97" s="70"/>
    </row>
    <row r="98" spans="9:9" x14ac:dyDescent="0.2">
      <c r="I98" s="70"/>
    </row>
    <row r="99" spans="9:9" x14ac:dyDescent="0.2">
      <c r="I99" s="70"/>
    </row>
    <row r="100" spans="9:9" x14ac:dyDescent="0.2">
      <c r="I100" s="70"/>
    </row>
    <row r="101" spans="9:9" x14ac:dyDescent="0.2">
      <c r="I101" s="70"/>
    </row>
    <row r="102" spans="9:9" x14ac:dyDescent="0.2">
      <c r="I102" s="70"/>
    </row>
    <row r="103" spans="9:9" x14ac:dyDescent="0.2">
      <c r="I103" s="70"/>
    </row>
    <row r="104" spans="9:9" x14ac:dyDescent="0.2">
      <c r="I104" s="70"/>
    </row>
    <row r="105" spans="9:9" x14ac:dyDescent="0.2">
      <c r="I105" s="70"/>
    </row>
    <row r="106" spans="9:9" x14ac:dyDescent="0.2">
      <c r="I106" s="70"/>
    </row>
    <row r="107" spans="9:9" x14ac:dyDescent="0.2">
      <c r="I107" s="70"/>
    </row>
    <row r="108" spans="9:9" x14ac:dyDescent="0.2">
      <c r="I108" s="70"/>
    </row>
    <row r="109" spans="9:9" x14ac:dyDescent="0.2">
      <c r="I109" s="70"/>
    </row>
    <row r="110" spans="9:9" x14ac:dyDescent="0.2">
      <c r="I110" s="70"/>
    </row>
    <row r="111" spans="9:9" x14ac:dyDescent="0.2">
      <c r="I111" s="70"/>
    </row>
    <row r="112" spans="9:9" x14ac:dyDescent="0.2">
      <c r="I112" s="70"/>
    </row>
    <row r="113" spans="9:9" x14ac:dyDescent="0.2">
      <c r="I113" s="70"/>
    </row>
    <row r="114" spans="9:9" x14ac:dyDescent="0.2">
      <c r="I114" s="70"/>
    </row>
    <row r="115" spans="9:9" x14ac:dyDescent="0.2">
      <c r="I115" s="70"/>
    </row>
    <row r="116" spans="9:9" x14ac:dyDescent="0.2">
      <c r="I116" s="70"/>
    </row>
    <row r="117" spans="9:9" x14ac:dyDescent="0.2">
      <c r="I117" s="70"/>
    </row>
    <row r="118" spans="9:9" x14ac:dyDescent="0.2">
      <c r="I118" s="70"/>
    </row>
    <row r="119" spans="9:9" x14ac:dyDescent="0.2">
      <c r="I119" s="70"/>
    </row>
    <row r="120" spans="9:9" x14ac:dyDescent="0.2">
      <c r="I120" s="70"/>
    </row>
    <row r="121" spans="9:9" x14ac:dyDescent="0.2">
      <c r="I121" s="70"/>
    </row>
    <row r="122" spans="9:9" x14ac:dyDescent="0.2">
      <c r="I122" s="70"/>
    </row>
    <row r="123" spans="9:9" x14ac:dyDescent="0.2">
      <c r="I123" s="70"/>
    </row>
    <row r="124" spans="9:9" x14ac:dyDescent="0.2">
      <c r="I124" s="70"/>
    </row>
    <row r="125" spans="9:9" x14ac:dyDescent="0.2">
      <c r="I125" s="70"/>
    </row>
    <row r="126" spans="9:9" x14ac:dyDescent="0.2">
      <c r="I126" s="70"/>
    </row>
  </sheetData>
  <mergeCells count="30">
    <mergeCell ref="C39:E39"/>
    <mergeCell ref="C54:E54"/>
    <mergeCell ref="C55:E55"/>
    <mergeCell ref="C56:E56"/>
    <mergeCell ref="B57:E57"/>
    <mergeCell ref="C40:E40"/>
    <mergeCell ref="C41:E41"/>
    <mergeCell ref="B42:E42"/>
    <mergeCell ref="C43:E43"/>
    <mergeCell ref="C45:E45"/>
    <mergeCell ref="C58:E58"/>
    <mergeCell ref="C60:E60"/>
    <mergeCell ref="C69:E69"/>
    <mergeCell ref="C70:E70"/>
    <mergeCell ref="C71:E71"/>
    <mergeCell ref="B72:E72"/>
    <mergeCell ref="C73:E73"/>
    <mergeCell ref="C75:E75"/>
    <mergeCell ref="C26:E26"/>
    <mergeCell ref="C25:E25"/>
    <mergeCell ref="G21:G37"/>
    <mergeCell ref="C28:E28"/>
    <mergeCell ref="B27:E27"/>
    <mergeCell ref="C30:E30"/>
    <mergeCell ref="A4:D4"/>
    <mergeCell ref="A5:D5"/>
    <mergeCell ref="A6:D6"/>
    <mergeCell ref="A7:D7"/>
    <mergeCell ref="E4:G4"/>
    <mergeCell ref="E5:G5"/>
  </mergeCells>
  <phoneticPr fontId="25" type="noConversion"/>
  <pageMargins left="0.7" right="0.7" top="0.75" bottom="0.75" header="0.51180555555555496" footer="0.51180555555555496"/>
  <pageSetup paperSize="9" scale="64" firstPageNumber="0" orientation="landscape" horizontalDpi="300" verticalDpi="300" r:id="rId1"/>
  <rowBreaks count="1" manualBreakCount="1">
    <brk id="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28"/>
  <sheetViews>
    <sheetView zoomScale="68" zoomScaleNormal="68" workbookViewId="0">
      <selection activeCell="A21" sqref="A21:I21"/>
    </sheetView>
  </sheetViews>
  <sheetFormatPr baseColWidth="10" defaultColWidth="9.140625" defaultRowHeight="12.75" x14ac:dyDescent="0.2"/>
  <cols>
    <col min="1" max="1" width="13.140625" style="45" customWidth="1"/>
    <col min="2" max="2" width="19.5703125" style="45" customWidth="1"/>
    <col min="3" max="3" width="14.140625" style="45" customWidth="1"/>
    <col min="4" max="4" width="26" style="45" customWidth="1"/>
    <col min="5" max="5" width="8" style="45" customWidth="1"/>
    <col min="6" max="6" width="7.85546875" style="45" customWidth="1"/>
    <col min="7" max="7" width="42" style="45" customWidth="1"/>
    <col min="8" max="8" width="9.28515625" style="45" customWidth="1"/>
    <col min="9" max="9" width="15.5703125" style="45" customWidth="1"/>
    <col min="10" max="10" width="20.42578125" style="45" customWidth="1"/>
    <col min="11" max="11" width="30.42578125" style="52" customWidth="1"/>
    <col min="12" max="12" width="9.140625" style="1"/>
    <col min="13" max="13" width="0" style="1" hidden="1" customWidth="1"/>
    <col min="14" max="14" width="14" style="1" customWidth="1"/>
    <col min="15" max="15" width="11.7109375" style="1" bestFit="1" customWidth="1"/>
    <col min="16" max="1013" width="9.140625" style="1"/>
  </cols>
  <sheetData>
    <row r="1" spans="1:1013" ht="18" customHeight="1" x14ac:dyDescent="0.2">
      <c r="A1" s="141" t="s">
        <v>12</v>
      </c>
      <c r="B1" s="141"/>
      <c r="C1" s="141"/>
      <c r="D1" s="141"/>
      <c r="E1" s="141"/>
      <c r="F1" s="141"/>
      <c r="G1" s="141"/>
      <c r="H1" s="141"/>
      <c r="I1" s="141"/>
      <c r="J1" s="36"/>
      <c r="K1" s="120" t="s">
        <v>78</v>
      </c>
    </row>
    <row r="2" spans="1:1013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49"/>
    </row>
    <row r="3" spans="1:1013" ht="18.75" customHeight="1" thickBot="1" x14ac:dyDescent="0.25">
      <c r="A3" s="142" t="s">
        <v>13</v>
      </c>
      <c r="B3" s="142"/>
      <c r="C3" s="142"/>
      <c r="D3" s="143" t="s">
        <v>60</v>
      </c>
      <c r="E3" s="143"/>
      <c r="F3" s="143"/>
      <c r="G3" s="143"/>
      <c r="H3" s="143"/>
      <c r="I3" s="143"/>
      <c r="J3" s="143"/>
      <c r="K3" s="143"/>
    </row>
    <row r="4" spans="1:1013" ht="18.75" customHeight="1" thickBot="1" x14ac:dyDescent="0.25">
      <c r="A4" s="144" t="s">
        <v>14</v>
      </c>
      <c r="B4" s="144"/>
      <c r="C4" s="144"/>
      <c r="D4" s="143" t="s">
        <v>54</v>
      </c>
      <c r="E4" s="143"/>
      <c r="F4" s="143"/>
      <c r="G4" s="143"/>
      <c r="H4" s="143"/>
      <c r="I4" s="143"/>
      <c r="J4" s="143"/>
      <c r="K4" s="143"/>
    </row>
    <row r="5" spans="1:1013" ht="18.75" customHeight="1" thickBot="1" x14ac:dyDescent="0.25">
      <c r="A5" s="144" t="s">
        <v>15</v>
      </c>
      <c r="B5" s="144"/>
      <c r="C5" s="144"/>
      <c r="D5" s="143" t="s">
        <v>50</v>
      </c>
      <c r="E5" s="143"/>
      <c r="F5" s="143"/>
      <c r="G5" s="143"/>
      <c r="H5" s="143"/>
      <c r="I5" s="143"/>
      <c r="J5" s="143"/>
      <c r="K5" s="143"/>
    </row>
    <row r="6" spans="1:1013" ht="16.5" customHeight="1" thickBot="1" x14ac:dyDescent="0.25">
      <c r="A6" s="142" t="s">
        <v>16</v>
      </c>
      <c r="B6" s="142"/>
      <c r="C6" s="142"/>
      <c r="D6" s="143" t="s">
        <v>64</v>
      </c>
      <c r="E6" s="143"/>
      <c r="F6" s="143"/>
      <c r="G6" s="143"/>
      <c r="H6" s="143"/>
      <c r="I6" s="143"/>
      <c r="J6" s="143"/>
      <c r="K6" s="143"/>
    </row>
    <row r="7" spans="1:1013" ht="16.5" customHeight="1" thickBot="1" x14ac:dyDescent="0.25">
      <c r="A7" s="144" t="s">
        <v>17</v>
      </c>
      <c r="B7" s="144"/>
      <c r="C7" s="144"/>
      <c r="D7" s="143" t="s">
        <v>65</v>
      </c>
      <c r="E7" s="143"/>
      <c r="F7" s="143"/>
      <c r="G7" s="143"/>
      <c r="H7" s="143"/>
      <c r="I7" s="143"/>
      <c r="J7" s="143"/>
      <c r="K7" s="143"/>
    </row>
    <row r="8" spans="1:1013" ht="44.25" customHeight="1" thickBot="1" x14ac:dyDescent="0.25">
      <c r="A8" s="152" t="s">
        <v>18</v>
      </c>
      <c r="B8" s="152"/>
      <c r="C8" s="152"/>
      <c r="D8" s="153" t="s">
        <v>68</v>
      </c>
      <c r="E8" s="153"/>
      <c r="F8" s="153"/>
      <c r="G8" s="153"/>
      <c r="H8" s="153"/>
      <c r="I8" s="153"/>
      <c r="J8" s="153"/>
      <c r="K8" s="153"/>
    </row>
    <row r="9" spans="1:1013" ht="16.5" thickBot="1" x14ac:dyDescent="0.25">
      <c r="A9" s="39"/>
      <c r="B9" s="39"/>
      <c r="C9" s="39"/>
      <c r="D9" s="40"/>
      <c r="E9" s="40"/>
      <c r="F9" s="40"/>
      <c r="G9" s="40"/>
      <c r="H9" s="40"/>
      <c r="I9" s="40"/>
      <c r="J9" s="40"/>
      <c r="K9" s="50"/>
    </row>
    <row r="10" spans="1:1013" ht="18.75" customHeight="1" thickBot="1" x14ac:dyDescent="0.25">
      <c r="A10" s="150" t="s">
        <v>19</v>
      </c>
      <c r="B10" s="146" t="s">
        <v>20</v>
      </c>
      <c r="C10" s="146" t="s">
        <v>21</v>
      </c>
      <c r="D10" s="146"/>
      <c r="E10" s="146"/>
      <c r="F10" s="146"/>
      <c r="G10" s="146"/>
      <c r="H10" s="146" t="s">
        <v>22</v>
      </c>
      <c r="I10" s="146" t="s">
        <v>23</v>
      </c>
      <c r="J10" s="146" t="s">
        <v>24</v>
      </c>
      <c r="K10" s="148" t="s">
        <v>25</v>
      </c>
    </row>
    <row r="11" spans="1:1013" ht="24" customHeight="1" thickBot="1" x14ac:dyDescent="0.25">
      <c r="A11" s="151"/>
      <c r="B11" s="147"/>
      <c r="C11" s="147"/>
      <c r="D11" s="147"/>
      <c r="E11" s="147"/>
      <c r="F11" s="147"/>
      <c r="G11" s="147"/>
      <c r="H11" s="147"/>
      <c r="I11" s="147"/>
      <c r="J11" s="147"/>
      <c r="K11" s="149"/>
      <c r="ALW11"/>
      <c r="ALX11"/>
      <c r="ALY11"/>
    </row>
    <row r="12" spans="1:1013" ht="43.5" customHeight="1" thickBot="1" x14ac:dyDescent="0.3">
      <c r="A12" s="41">
        <f>'Necesidades Trimestrales'!A10</f>
        <v>1</v>
      </c>
      <c r="B12" s="44" t="str">
        <f>'Necesidades Trimestrales'!B10</f>
        <v>2.5.2-1723.110</v>
      </c>
      <c r="C12" s="145" t="str">
        <f>'Necesidades Trimestrales'!E10</f>
        <v>ANTISEPTICOS LOCALES P/PERSONA; TIPO: DESINFECTANTE, DROGA GENERICA: ALCOHOL YODADO, FORMA FARMACEUTICA: SOLUCION, PRESENTACION: ENVASE X 1000 mL</v>
      </c>
      <c r="D12" s="145"/>
      <c r="E12" s="145"/>
      <c r="F12" s="145"/>
      <c r="G12" s="145"/>
      <c r="H12" s="42" t="s">
        <v>26</v>
      </c>
      <c r="I12" s="43" t="str">
        <f>'Necesidades Trimestrales'!F10</f>
        <v>BOTELLA</v>
      </c>
      <c r="J12" s="48">
        <f>'Necesidades Trimestrales'!H10</f>
        <v>1200</v>
      </c>
      <c r="K12" s="51">
        <f>'Necesidades Trimestrales'!G10</f>
        <v>10</v>
      </c>
      <c r="N12" s="89"/>
    </row>
    <row r="13" spans="1:1013" ht="43.5" customHeight="1" thickBot="1" x14ac:dyDescent="0.3">
      <c r="A13" s="41">
        <f>'Necesidades Trimestrales'!A11</f>
        <v>2</v>
      </c>
      <c r="B13" s="44" t="str">
        <f>'Necesidades Trimestrales'!B11</f>
        <v>2.5.1-9065.27</v>
      </c>
      <c r="C13" s="145" t="str">
        <f>'Necesidades Trimestrales'!E11</f>
        <v>DESINFECTANTES Y DETERGENTES; PRINCIPIO ACTIVO: AMONIO CUATERNARIO, CALIDAD: COMERCIAL, CONCENTRACION/PUREZA: 99 %, PRESENTACION: ENVASE X 5 L</v>
      </c>
      <c r="D13" s="145"/>
      <c r="E13" s="145"/>
      <c r="F13" s="145"/>
      <c r="G13" s="145"/>
      <c r="H13" s="42" t="s">
        <v>26</v>
      </c>
      <c r="I13" s="43" t="str">
        <f>'Necesidades Trimestrales'!F11</f>
        <v>BIDON</v>
      </c>
      <c r="J13" s="48">
        <f>'Necesidades Trimestrales'!H11</f>
        <v>9229.2000000000007</v>
      </c>
      <c r="K13" s="51">
        <f>'Necesidades Trimestrales'!G11</f>
        <v>10</v>
      </c>
      <c r="N13" s="89"/>
    </row>
    <row r="14" spans="1:1013" ht="43.5" customHeight="1" thickBot="1" x14ac:dyDescent="0.3">
      <c r="A14" s="41">
        <f>'Necesidades Trimestrales'!A12</f>
        <v>3</v>
      </c>
      <c r="B14" s="44" t="str">
        <f>'Necesidades Trimestrales'!B12</f>
        <v>2.5.2-1723.172</v>
      </c>
      <c r="C14" s="145" t="str">
        <f>'Necesidades Trimestrales'!E12</f>
        <v>ANTISEPTICOS LOCALES P/PERSONA; TIPO: MONODROGA, DROGA GENERICA: CLORHEXIDINA AL 2%, FORMA FARMACEUTICA: SOLUCION ACUOSA, PRESENTACION: ENVASE X 250 ML</v>
      </c>
      <c r="D14" s="145"/>
      <c r="E14" s="145"/>
      <c r="F14" s="145"/>
      <c r="G14" s="145"/>
      <c r="H14" s="42" t="s">
        <v>26</v>
      </c>
      <c r="I14" s="43" t="str">
        <f>'Necesidades Trimestrales'!F12</f>
        <v>FRASCO</v>
      </c>
      <c r="J14" s="48">
        <f>'Necesidades Trimestrales'!H12</f>
        <v>630</v>
      </c>
      <c r="K14" s="51">
        <f>'Necesidades Trimestrales'!G12</f>
        <v>150</v>
      </c>
      <c r="N14" s="89"/>
    </row>
    <row r="15" spans="1:1013" ht="43.5" customHeight="1" thickBot="1" x14ac:dyDescent="0.3">
      <c r="A15" s="41">
        <f>'Necesidades Trimestrales'!A13</f>
        <v>4</v>
      </c>
      <c r="B15" s="44" t="str">
        <f>'Necesidades Trimestrales'!B13</f>
        <v>2.5.2-1723.166</v>
      </c>
      <c r="C15" s="145" t="str">
        <f>'Necesidades Trimestrales'!E13</f>
        <v>ANTISEPTICOS LOCALES P/PERSONA; TIPO: MONODROGA, DROGA GENERICA: CLORHEXIDINA AL 4%, FORMA FARMACEUTICA: JABON MEDICINAL, PRESENTACION: ENVASE X 500 mL</v>
      </c>
      <c r="D15" s="145"/>
      <c r="E15" s="145"/>
      <c r="F15" s="145"/>
      <c r="G15" s="145"/>
      <c r="H15" s="42" t="s">
        <v>26</v>
      </c>
      <c r="I15" s="43" t="str">
        <f>'Necesidades Trimestrales'!F13</f>
        <v>FRASCO</v>
      </c>
      <c r="J15" s="48">
        <f>'Necesidades Trimestrales'!H13</f>
        <v>570</v>
      </c>
      <c r="K15" s="51">
        <f>'Necesidades Trimestrales'!G13</f>
        <v>350</v>
      </c>
      <c r="N15" s="89"/>
    </row>
    <row r="16" spans="1:1013" ht="43.5" customHeight="1" thickBot="1" x14ac:dyDescent="0.3">
      <c r="A16" s="41">
        <f>'Necesidades Trimestrales'!A14</f>
        <v>5</v>
      </c>
      <c r="B16" s="44" t="str">
        <f>'Necesidades Trimestrales'!B14</f>
        <v>2.5.1-9065.16</v>
      </c>
      <c r="C16" s="133" t="str">
        <f>'Necesidades Trimestrales'!E14</f>
        <v>DESINFECTANTES Y DETERGENTES; PRINCIPIO ACTIVO: AMILASA, PROTEASA, LIPASA, CALIDAD: COMERCIAL, CONCENTRACION/PUREZA: 100 %, PRESENTACION: ENVASE X 5 L</v>
      </c>
      <c r="D16" s="134"/>
      <c r="E16" s="134"/>
      <c r="F16" s="134"/>
      <c r="G16" s="135"/>
      <c r="H16" s="42" t="s">
        <v>26</v>
      </c>
      <c r="I16" s="43" t="str">
        <f>'Necesidades Trimestrales'!F14</f>
        <v>BIDON</v>
      </c>
      <c r="J16" s="48">
        <f>'Necesidades Trimestrales'!H14</f>
        <v>4900.5</v>
      </c>
      <c r="K16" s="51">
        <f>'Necesidades Trimestrales'!G14</f>
        <v>40</v>
      </c>
      <c r="N16" s="89"/>
    </row>
    <row r="17" spans="1:14" ht="43.5" customHeight="1" thickBot="1" x14ac:dyDescent="0.3">
      <c r="A17" s="41">
        <f>'Necesidades Trimestrales'!A15</f>
        <v>6</v>
      </c>
      <c r="B17" s="44" t="str">
        <f>'Necesidades Trimestrales'!B15</f>
        <v>2.5.2-1726.492</v>
      </c>
      <c r="C17" s="133" t="str">
        <f>'Necesidades Trimestrales'!E15</f>
        <v>SOLUCIONES P/MEDICINA; TIPO: FORMOL AL 40 %, PRESENTACION: ENVASE X 1 L</v>
      </c>
      <c r="D17" s="134"/>
      <c r="E17" s="134"/>
      <c r="F17" s="134"/>
      <c r="G17" s="135"/>
      <c r="H17" s="42" t="s">
        <v>26</v>
      </c>
      <c r="I17" s="43" t="str">
        <f>'Necesidades Trimestrales'!F15</f>
        <v>BOTELLA</v>
      </c>
      <c r="J17" s="48">
        <f>'Necesidades Trimestrales'!H15</f>
        <v>661</v>
      </c>
      <c r="K17" s="51">
        <f>'Necesidades Trimestrales'!G15</f>
        <v>60</v>
      </c>
      <c r="N17" s="89"/>
    </row>
    <row r="18" spans="1:14" ht="43.5" customHeight="1" thickBot="1" x14ac:dyDescent="0.3">
      <c r="A18" s="41">
        <f>'Necesidades Trimestrales'!A16</f>
        <v>7</v>
      </c>
      <c r="B18" s="44" t="str">
        <f>'Necesidades Trimestrales'!B16</f>
        <v>2.5.2-1723.173</v>
      </c>
      <c r="C18" s="133" t="str">
        <f>'Necesidades Trimestrales'!E16</f>
        <v>ANTISEPTICOS LOCALES P/PERSONA; TIPO: MONODROGA, DROGA GENERICA: IODOFORMADA AL 10% , FORMA FARMACEUTICA: GASA, PRESENTACION: DE 10X10, 15 UNIDADES POR PACK</v>
      </c>
      <c r="D18" s="134"/>
      <c r="E18" s="134"/>
      <c r="F18" s="134"/>
      <c r="G18" s="135"/>
      <c r="H18" s="42" t="s">
        <v>26</v>
      </c>
      <c r="I18" s="43" t="str">
        <f>'Necesidades Trimestrales'!F16</f>
        <v>CAJA</v>
      </c>
      <c r="J18" s="48">
        <f>'Necesidades Trimestrales'!H16</f>
        <v>950</v>
      </c>
      <c r="K18" s="51">
        <f>'Necesidades Trimestrales'!G16</f>
        <v>10</v>
      </c>
      <c r="N18" s="89"/>
    </row>
    <row r="19" spans="1:14" ht="43.5" customHeight="1" thickBot="1" x14ac:dyDescent="0.3">
      <c r="A19" s="41">
        <f>'Necesidades Trimestrales'!A17</f>
        <v>8</v>
      </c>
      <c r="B19" s="44" t="str">
        <f>'Necesidades Trimestrales'!B17</f>
        <v>2.5.1-9065.53</v>
      </c>
      <c r="C19" s="133" t="str">
        <f>'Necesidades Trimestrales'!E17</f>
        <v>DESINFECTANTES Y DETERGENTES; PRINCIPIO ACTIVO: GLUTARALDEHIDO CON SULFACTANTE, CALIDAD: BIOLOGIA MOLECULAR, CONCENTRACION/PUREZA: 2 %, PRESENTACION: ENVASE X 4 L</v>
      </c>
      <c r="D19" s="134"/>
      <c r="E19" s="134"/>
      <c r="F19" s="134"/>
      <c r="G19" s="135"/>
      <c r="H19" s="42" t="s">
        <v>26</v>
      </c>
      <c r="I19" s="43" t="str">
        <f>'Necesidades Trimestrales'!F17</f>
        <v>BIDON</v>
      </c>
      <c r="J19" s="48">
        <f>'Necesidades Trimestrales'!H17</f>
        <v>1680</v>
      </c>
      <c r="K19" s="51">
        <f>'Necesidades Trimestrales'!G17</f>
        <v>20</v>
      </c>
      <c r="N19" s="89"/>
    </row>
    <row r="20" spans="1:14" ht="43.5" customHeight="1" x14ac:dyDescent="0.25">
      <c r="A20" s="41">
        <f>'Necesidades Trimestrales'!A18</f>
        <v>9</v>
      </c>
      <c r="B20" s="44" t="str">
        <f>'Necesidades Trimestrales'!B18</f>
        <v>2.5.4-505.99</v>
      </c>
      <c r="C20" s="133" t="str">
        <f>'Necesidades Trimestrales'!E18</f>
        <v>DESINFECTANTES; PRINCIPIO ACTIVO: MONOPERSUFATO DE POTASIO, CONTROL: BACTERIAS, HONGOS, VIRUS, PRESENTACION: ENVASE X 20 G</v>
      </c>
      <c r="D20" s="134"/>
      <c r="E20" s="134"/>
      <c r="F20" s="134"/>
      <c r="G20" s="135"/>
      <c r="H20" s="42" t="s">
        <v>26</v>
      </c>
      <c r="I20" s="43" t="str">
        <f>'Necesidades Trimestrales'!F18</f>
        <v>SOBRE</v>
      </c>
      <c r="J20" s="48">
        <f>'Necesidades Trimestrales'!H18</f>
        <v>199.65</v>
      </c>
      <c r="K20" s="51">
        <f>'Necesidades Trimestrales'!G18</f>
        <v>200</v>
      </c>
      <c r="N20" s="89"/>
    </row>
    <row r="21" spans="1:14" ht="41.25" customHeight="1" thickBot="1" x14ac:dyDescent="0.25">
      <c r="A21" s="138" t="s">
        <v>108</v>
      </c>
      <c r="B21" s="138"/>
      <c r="C21" s="138"/>
      <c r="D21" s="138"/>
      <c r="E21" s="138"/>
      <c r="F21" s="138"/>
      <c r="G21" s="138"/>
      <c r="H21" s="138"/>
      <c r="I21" s="139"/>
      <c r="J21" s="140">
        <f>SUMPRODUCT(J12:J20,K12:K20)</f>
        <v>717002</v>
      </c>
      <c r="K21" s="140"/>
      <c r="N21" s="89"/>
    </row>
    <row r="24" spans="1:14" x14ac:dyDescent="0.2">
      <c r="J24" s="136"/>
      <c r="K24" s="137"/>
    </row>
    <row r="25" spans="1:14" ht="15" x14ac:dyDescent="0.2">
      <c r="D25" s="46"/>
      <c r="E25" s="46"/>
      <c r="F25" s="46"/>
      <c r="G25" s="46"/>
      <c r="H25" s="46"/>
      <c r="I25" s="46"/>
    </row>
    <row r="26" spans="1:14" ht="15" x14ac:dyDescent="0.2">
      <c r="D26" s="46"/>
      <c r="E26" s="46"/>
      <c r="F26" s="46"/>
      <c r="G26" s="46"/>
      <c r="H26" s="46"/>
      <c r="I26" s="46"/>
    </row>
    <row r="27" spans="1:14" ht="15" x14ac:dyDescent="0.2">
      <c r="D27" s="46"/>
      <c r="E27" s="46"/>
      <c r="F27" s="46"/>
      <c r="G27" s="46"/>
      <c r="H27" s="46"/>
      <c r="I27" s="46"/>
    </row>
    <row r="28" spans="1:14" ht="15.75" x14ac:dyDescent="0.2">
      <c r="D28" s="47"/>
      <c r="E28" s="46"/>
      <c r="F28" s="46"/>
      <c r="G28" s="46"/>
      <c r="H28" s="46"/>
      <c r="I28" s="46"/>
    </row>
  </sheetData>
  <mergeCells count="32">
    <mergeCell ref="A8:C8"/>
    <mergeCell ref="D8:K8"/>
    <mergeCell ref="C14:G14"/>
    <mergeCell ref="C15:G15"/>
    <mergeCell ref="C13:G13"/>
    <mergeCell ref="B10:B11"/>
    <mergeCell ref="C10:G11"/>
    <mergeCell ref="H10:H11"/>
    <mergeCell ref="I10:I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J10:J11"/>
    <mergeCell ref="K10:K11"/>
    <mergeCell ref="A10:A11"/>
    <mergeCell ref="C16:G16"/>
    <mergeCell ref="C17:G17"/>
    <mergeCell ref="C18:G18"/>
    <mergeCell ref="J24:K24"/>
    <mergeCell ref="A21:I21"/>
    <mergeCell ref="J21:K21"/>
    <mergeCell ref="C19:G19"/>
    <mergeCell ref="C20:G20"/>
  </mergeCells>
  <phoneticPr fontId="40" type="noConversion"/>
  <printOptions horizontalCentered="1"/>
  <pageMargins left="0.196527777777778" right="0.196527777777778" top="0.98402777777777795" bottom="0.98402777777777795" header="0.51180555555555496" footer="0.51180555555555496"/>
  <pageSetup paperSize="9" scale="71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R15" sqref="R15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8" ht="15.75" customHeight="1" thickBot="1" x14ac:dyDescent="0.3">
      <c r="A1" s="174" t="s">
        <v>3</v>
      </c>
      <c r="B1" s="174"/>
      <c r="C1" s="174"/>
      <c r="D1" s="175">
        <v>2022</v>
      </c>
      <c r="E1" s="175"/>
      <c r="F1" s="3"/>
      <c r="G1" s="3"/>
      <c r="H1" s="4"/>
      <c r="I1" s="4"/>
      <c r="J1" s="4"/>
      <c r="K1" s="4"/>
      <c r="L1" s="4"/>
      <c r="M1" s="4"/>
      <c r="N1" s="4"/>
      <c r="P1" s="176" t="s">
        <v>27</v>
      </c>
      <c r="Q1" s="176"/>
    </row>
    <row r="2" spans="1:18" ht="15.75" customHeight="1" thickBot="1" x14ac:dyDescent="0.25">
      <c r="H2" s="4"/>
      <c r="I2" s="4"/>
      <c r="J2" s="4"/>
      <c r="K2" s="4"/>
      <c r="L2" s="4"/>
      <c r="M2" s="4"/>
      <c r="N2" s="4"/>
      <c r="P2" s="176"/>
      <c r="Q2" s="176"/>
    </row>
    <row r="4" spans="1:18" s="5" customFormat="1" ht="18" customHeight="1" thickBot="1" x14ac:dyDescent="0.25">
      <c r="A4" s="177" t="s">
        <v>28</v>
      </c>
      <c r="B4" s="177"/>
      <c r="C4" s="177"/>
      <c r="D4" s="177"/>
      <c r="E4" s="177"/>
      <c r="F4" s="177"/>
      <c r="G4" s="178" t="str">
        <f>' NotaPedido'!D3</f>
        <v>40- Ministerio de Salud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8" s="5" customFormat="1" ht="18" customHeight="1" thickBot="1" x14ac:dyDescent="0.25">
      <c r="A5" s="182" t="s">
        <v>14</v>
      </c>
      <c r="B5" s="183"/>
      <c r="C5" s="183"/>
      <c r="D5" s="183"/>
      <c r="E5" s="183"/>
      <c r="F5" s="184"/>
      <c r="G5" s="178" t="str">
        <f>' NotaPedido'!D4</f>
        <v>28- Maternidad Provincial 25 de Mayo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8" s="5" customFormat="1" ht="18" customHeight="1" thickBot="1" x14ac:dyDescent="0.25">
      <c r="A6" s="182" t="s">
        <v>15</v>
      </c>
      <c r="B6" s="183"/>
      <c r="C6" s="183"/>
      <c r="D6" s="183"/>
      <c r="E6" s="183"/>
      <c r="F6" s="184"/>
      <c r="G6" s="178" t="str">
        <f>' NotaPedido'!D5</f>
        <v xml:space="preserve">169- Direccion Asistencial 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8" s="5" customFormat="1" ht="18" customHeight="1" thickBot="1" x14ac:dyDescent="0.25">
      <c r="A7" s="182" t="s">
        <v>16</v>
      </c>
      <c r="B7" s="183"/>
      <c r="C7" s="183"/>
      <c r="D7" s="183"/>
      <c r="E7" s="183"/>
      <c r="F7" s="184"/>
      <c r="G7" s="178" t="str">
        <f>' NotaPedido'!D6</f>
        <v>Servicio de Farmacia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8" ht="18" customHeight="1" thickBot="1" x14ac:dyDescent="0.25">
      <c r="A8" s="185" t="s">
        <v>29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</row>
    <row r="9" spans="1:18" ht="18" customHeight="1" x14ac:dyDescent="0.2">
      <c r="A9" s="179" t="s">
        <v>30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16"/>
      <c r="P9" s="116"/>
      <c r="Q9" s="117"/>
    </row>
    <row r="10" spans="1:18" ht="54.75" customHeight="1" x14ac:dyDescent="0.2">
      <c r="A10" s="180" t="s">
        <v>77</v>
      </c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</row>
    <row r="11" spans="1:18" ht="9" customHeight="1" thickBot="1" x14ac:dyDescent="0.25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8" ht="15.75" customHeight="1" thickBot="1" x14ac:dyDescent="0.25">
      <c r="A12" s="181" t="s">
        <v>31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</row>
    <row r="13" spans="1:18" ht="15.75" customHeight="1" thickBot="1" x14ac:dyDescent="0.25">
      <c r="A13" s="154" t="s">
        <v>32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5" t="s">
        <v>33</v>
      </c>
      <c r="P13" s="156"/>
      <c r="Q13" s="157" t="s">
        <v>34</v>
      </c>
    </row>
    <row r="14" spans="1:18" ht="15.75" customHeight="1" thickBot="1" x14ac:dyDescent="0.25">
      <c r="A14" s="10" t="s">
        <v>35</v>
      </c>
      <c r="B14" s="11" t="s">
        <v>36</v>
      </c>
      <c r="C14" s="11" t="s">
        <v>37</v>
      </c>
      <c r="D14" s="11" t="s">
        <v>38</v>
      </c>
      <c r="E14" s="11" t="s">
        <v>39</v>
      </c>
      <c r="F14" s="11" t="s">
        <v>40</v>
      </c>
      <c r="G14" s="12" t="s">
        <v>41</v>
      </c>
      <c r="H14" s="11" t="s">
        <v>42</v>
      </c>
      <c r="I14" s="11" t="s">
        <v>43</v>
      </c>
      <c r="J14" s="11" t="s">
        <v>44</v>
      </c>
      <c r="K14" s="11" t="s">
        <v>44</v>
      </c>
      <c r="L14" s="11" t="s">
        <v>45</v>
      </c>
      <c r="M14" s="13" t="s">
        <v>46</v>
      </c>
      <c r="N14" s="14" t="s">
        <v>47</v>
      </c>
      <c r="O14" s="155"/>
      <c r="P14" s="156"/>
      <c r="Q14" s="157"/>
    </row>
    <row r="15" spans="1:18" ht="27" customHeight="1" thickBot="1" x14ac:dyDescent="0.25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5</v>
      </c>
      <c r="K15" s="22">
        <v>1</v>
      </c>
      <c r="L15" s="22"/>
      <c r="M15" s="23">
        <v>1</v>
      </c>
      <c r="N15" s="22" t="s">
        <v>48</v>
      </c>
      <c r="O15" s="164" t="s">
        <v>75</v>
      </c>
      <c r="P15" s="165"/>
      <c r="Q15" s="114">
        <v>401502</v>
      </c>
      <c r="R15" s="115"/>
    </row>
    <row r="16" spans="1:18" ht="27" customHeight="1" thickBot="1" x14ac:dyDescent="0.25">
      <c r="A16" s="21">
        <v>42</v>
      </c>
      <c r="B16" s="22"/>
      <c r="C16" s="22"/>
      <c r="D16" s="22">
        <v>2</v>
      </c>
      <c r="E16" s="22"/>
      <c r="F16" s="22">
        <v>4901</v>
      </c>
      <c r="G16" s="22">
        <v>3</v>
      </c>
      <c r="H16" s="22">
        <v>1</v>
      </c>
      <c r="I16" s="22">
        <v>2</v>
      </c>
      <c r="J16" s="22">
        <v>5</v>
      </c>
      <c r="K16" s="22">
        <v>2</v>
      </c>
      <c r="L16" s="22"/>
      <c r="M16" s="23">
        <v>1</v>
      </c>
      <c r="N16" s="22" t="s">
        <v>48</v>
      </c>
      <c r="O16" s="164" t="s">
        <v>51</v>
      </c>
      <c r="P16" s="165"/>
      <c r="Q16" s="114">
        <v>306000</v>
      </c>
    </row>
    <row r="17" spans="1:17" ht="27" customHeight="1" x14ac:dyDescent="0.2">
      <c r="A17" s="21">
        <v>42</v>
      </c>
      <c r="B17" s="22"/>
      <c r="C17" s="22"/>
      <c r="D17" s="22">
        <v>2</v>
      </c>
      <c r="E17" s="22"/>
      <c r="F17" s="22">
        <v>4901</v>
      </c>
      <c r="G17" s="22">
        <v>3</v>
      </c>
      <c r="H17" s="22">
        <v>1</v>
      </c>
      <c r="I17" s="22">
        <v>2</v>
      </c>
      <c r="J17" s="22">
        <v>9</v>
      </c>
      <c r="K17" s="22">
        <v>5</v>
      </c>
      <c r="L17" s="22"/>
      <c r="M17" s="23">
        <v>1</v>
      </c>
      <c r="N17" s="22" t="s">
        <v>48</v>
      </c>
      <c r="O17" s="164" t="s">
        <v>76</v>
      </c>
      <c r="P17" s="165"/>
      <c r="Q17" s="114">
        <v>9500</v>
      </c>
    </row>
    <row r="18" spans="1:17" ht="28.5" customHeight="1" x14ac:dyDescent="0.2">
      <c r="A18" s="19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66"/>
      <c r="P18" s="167"/>
      <c r="Q18" s="28"/>
    </row>
    <row r="19" spans="1:17" ht="28.5" customHeight="1" x14ac:dyDescent="0.2">
      <c r="A19" s="25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7"/>
      <c r="O19" s="168"/>
      <c r="P19" s="169"/>
      <c r="Q19" s="28"/>
    </row>
    <row r="20" spans="1:17" ht="28.5" customHeight="1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20"/>
      <c r="O20" s="158"/>
      <c r="P20" s="159"/>
      <c r="Q20" s="28"/>
    </row>
    <row r="21" spans="1:17" ht="31.5" customHeight="1" thickBot="1" x14ac:dyDescent="0.25">
      <c r="A21" s="161" t="s">
        <v>109</v>
      </c>
      <c r="B21" s="161"/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5">
        <f>SUM(Q15:Q19)</f>
        <v>717002</v>
      </c>
    </row>
    <row r="22" spans="1:17" ht="18" customHeight="1" thickBot="1" x14ac:dyDescent="0.25">
      <c r="A22" s="162"/>
      <c r="B22" s="163"/>
      <c r="C22" s="163"/>
      <c r="D22" s="163"/>
      <c r="E22" s="163"/>
      <c r="F22" s="163"/>
      <c r="G22" s="163"/>
      <c r="H22" s="163"/>
      <c r="I22" s="163"/>
      <c r="J22" s="163"/>
      <c r="K22" s="163"/>
      <c r="L22" s="163"/>
      <c r="M22" s="163"/>
      <c r="N22" s="163"/>
      <c r="O22" s="163"/>
      <c r="P22" s="163"/>
      <c r="Q22" s="163"/>
    </row>
    <row r="23" spans="1:17" ht="17.25" customHeight="1" thickBot="1" x14ac:dyDescent="0.25">
      <c r="A23" s="170" t="s">
        <v>49</v>
      </c>
      <c r="B23" s="171"/>
      <c r="C23" s="171"/>
      <c r="D23" s="171"/>
      <c r="E23" s="171"/>
      <c r="F23" s="172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</row>
    <row r="24" spans="1:17" ht="18" customHeight="1" thickBot="1" x14ac:dyDescent="0.25">
      <c r="A24" s="160" t="s">
        <v>74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</row>
    <row r="25" spans="1:17" ht="39" customHeight="1" thickBot="1" x14ac:dyDescent="0.25">
      <c r="A25" s="160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</row>
  </sheetData>
  <mergeCells count="29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</mergeCells>
  <phoneticPr fontId="43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2021-10-12T11:07:03Z</cp:lastPrinted>
  <dcterms:created xsi:type="dcterms:W3CDTF">2020-07-17T23:44:49Z</dcterms:created>
  <dcterms:modified xsi:type="dcterms:W3CDTF">2022-02-09T15:43:53Z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