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F6CB4A61-7930-40A1-B170-971D3F44CA4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Trimestrales'!$C$9:$D$196</definedName>
    <definedName name="_xlnm.Print_Area" localSheetId="2">'Autor Gastar'!$A$1:$Q$27</definedName>
    <definedName name="_xlnm.Print_Area" localSheetId="1">NotaPedido!$A$1:$K$198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A15" i="1"/>
  <c r="A17" i="1"/>
  <c r="I195" i="1" l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B194" i="2"/>
  <c r="B193" i="2"/>
  <c r="B192" i="2"/>
  <c r="B191" i="2"/>
  <c r="A11" i="1" l="1"/>
  <c r="A12" i="1" s="1"/>
  <c r="I196" i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6" i="2"/>
  <c r="B197" i="2"/>
  <c r="A26" i="3"/>
  <c r="A10" i="3"/>
  <c r="B14" i="2"/>
  <c r="B13" i="2"/>
  <c r="K12" i="2"/>
  <c r="J12" i="2"/>
  <c r="I12" i="2"/>
  <c r="C12" i="2"/>
  <c r="B12" i="2"/>
  <c r="J198" i="2" l="1"/>
  <c r="Q15" i="3" s="1"/>
  <c r="G6" i="3" l="1"/>
  <c r="G7" i="3"/>
  <c r="D7" i="2"/>
  <c r="D3" i="2"/>
  <c r="G4" i="3" s="1"/>
  <c r="D4" i="2"/>
  <c r="G5" i="3" s="1"/>
  <c r="D1" i="3" l="1"/>
  <c r="Q23" i="3"/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l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</calcChain>
</file>

<file path=xl/sharedStrings.xml><?xml version="1.0" encoding="utf-8"?>
<sst xmlns="http://schemas.openxmlformats.org/spreadsheetml/2006/main" count="1007" uniqueCount="267">
  <si>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</si>
  <si>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</si>
  <si>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</si>
  <si>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</si>
  <si>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</si>
  <si>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</si>
  <si>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</si>
  <si>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</si>
  <si>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</si>
  <si>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</si>
  <si>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</si>
  <si>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</si>
  <si>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</si>
  <si>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</si>
  <si>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</si>
  <si>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</si>
  <si>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</si>
  <si>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</si>
  <si>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</si>
  <si>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</si>
  <si>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</si>
  <si>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</si>
  <si>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</si>
  <si>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</si>
  <si>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</si>
  <si>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</si>
  <si>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</si>
  <si>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</si>
  <si>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</si>
  <si>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</si>
  <si>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</si>
  <si>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</si>
  <si>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</si>
  <si>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</si>
  <si>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</si>
  <si>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</si>
  <si>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</si>
  <si>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</si>
  <si>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</si>
  <si>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</si>
  <si>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</si>
  <si>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</si>
  <si>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</si>
  <si>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</si>
  <si>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</si>
  <si>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</si>
  <si>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</si>
  <si>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</si>
  <si>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</si>
  <si>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</si>
  <si>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</si>
  <si>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</si>
  <si>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</si>
  <si>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</si>
  <si>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</si>
  <si>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</si>
  <si>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</si>
  <si>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</si>
  <si>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</si>
  <si>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</si>
  <si>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</si>
  <si>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</si>
  <si>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1.1</t>
  </si>
  <si>
    <t>CELLCLEAN AUTO X 20 VIALES -TIPO SYSMEX XNL</t>
  </si>
  <si>
    <t>LYSERCELL WDF X 5 LTS - TIPO SYSMEX XNL</t>
  </si>
  <si>
    <t>FLUOROCELL 2 X 42 MML P/SYSMEX XN</t>
  </si>
  <si>
    <t>S2 FLUID PACK P/COBAS 221</t>
  </si>
  <si>
    <t>S3 FLUID PACK P/COBAS 221</t>
  </si>
  <si>
    <t>COMLEMENTO C3 P COBAS C 311</t>
  </si>
  <si>
    <t>COMLEMENTO C4 P COBAS C 311</t>
  </si>
  <si>
    <t>HDL COLESTEROL P/COBAS C311</t>
  </si>
  <si>
    <t>LDL COLESTEROL P/COBAS C311</t>
  </si>
  <si>
    <t>FACTOR REUMATOIDEO P COBAS C 311</t>
  </si>
  <si>
    <t>FERRITINA P COBAS C 311</t>
  </si>
  <si>
    <t>HEMOGLOBINA GLICOSILADA P/ COBAS C311</t>
  </si>
  <si>
    <t>HEMOLISANTE P/COBAS C311 HBAIC2</t>
  </si>
  <si>
    <t>IGM P/ COBAS C311</t>
  </si>
  <si>
    <t>PROTEINA URINARIA P/COBAS C311</t>
  </si>
  <si>
    <t>TRANSFERRINA P/ COBAS C311</t>
  </si>
  <si>
    <t>ISE INTERNAL STANDART GEN2 5 X 600 ML P/COBAS C311</t>
  </si>
  <si>
    <t>ISE SOLUTION DE REFERENCIA 5 X 300 ML P/COBAS C311</t>
  </si>
  <si>
    <t>ISE STANDART HIGH P/COBAS C311</t>
  </si>
  <si>
    <t>ISE STANDART LOW P/COBAS C311</t>
  </si>
  <si>
    <t>PRECICONTROL  HBC1 NORM P/COBAS C311</t>
  </si>
  <si>
    <t>PRECICONTROL  HBC1 PATH P/COBAS C311</t>
  </si>
  <si>
    <t>ACID WASH SOLUTION 2 X 1800 MLP/COBAS C311</t>
  </si>
  <si>
    <t>CUBETAS DE REACCION P/COBAS C311</t>
  </si>
  <si>
    <t>NACL 9% P/COBAS C311</t>
  </si>
  <si>
    <t>NAOH - D CASSETTE P/COBAS C311</t>
  </si>
  <si>
    <t>SMS CASSETTE P/COBAS C311</t>
  </si>
  <si>
    <t>ISE CLEANING SOLUTION P/COBAS C311</t>
  </si>
  <si>
    <t>CFAS PAC VIAL X 1 ML P/COBAS C311</t>
  </si>
  <si>
    <t>CFAS LIPIDOS  P/ COBAS C311</t>
  </si>
  <si>
    <t>CFAS PROTEINAS  P/ COBAS C311</t>
  </si>
  <si>
    <t>REACTIVO ACTH P COBAS E 411</t>
  </si>
  <si>
    <t>REACTIVO AFP P COBAS E 411</t>
  </si>
  <si>
    <t>REACTIVO ANTI CCP P/COBAS E411</t>
  </si>
  <si>
    <t>REACTIVO ANTI TIROGLOBULINA P COBAS E411</t>
  </si>
  <si>
    <t>REACTIVO B-CROSS LAP P SUERO P COBAS E 411</t>
  </si>
  <si>
    <t>REACTIVO CA 125 P COBAS E 411</t>
  </si>
  <si>
    <t>REACTIVO CA 15-3 P COBAS E 411</t>
  </si>
  <si>
    <t>REACTIVO CA 19-9 P COBAS E 411</t>
  </si>
  <si>
    <t>REACTIVO CORTISOL P COBAS E 411</t>
  </si>
  <si>
    <t>REACTIVO PTH P COBAS E411</t>
  </si>
  <si>
    <t>REACTIVO T4 TOTAL P COBAS E 411</t>
  </si>
  <si>
    <t>REACTIVO TESTOSTERONA P COBAS E411</t>
  </si>
  <si>
    <t>TSH P/COBAS E411</t>
  </si>
  <si>
    <t>REACTIVO VITAMINA D TOTAL P COBAS E411</t>
  </si>
  <si>
    <t>CLEAN CELL COBAS E411</t>
  </si>
  <si>
    <t>DILUYENTE MULTI ASSAY P COBAS C411</t>
  </si>
  <si>
    <t>SYSWASH PARA COBAS E411</t>
  </si>
  <si>
    <t>CALIBRADOR ACTH P COBAS E 411</t>
  </si>
  <si>
    <t>CALIBRADOR B-CROSS LAP P SUERO P COBAS E 411</t>
  </si>
  <si>
    <t>CALIBRADOR CA 125 P COBAS E 411</t>
  </si>
  <si>
    <t>CALIBRADOR CA 15-3 P COBAS E 411</t>
  </si>
  <si>
    <t>CALIBRADOR CEA P COBAS E 411</t>
  </si>
  <si>
    <t>CALIBRADOR PSA P COBAS E 411</t>
  </si>
  <si>
    <t>CALIBRADOR PTH P COBAS E411</t>
  </si>
  <si>
    <t>CALIBRADOR TESTOSTERONA P COBAS E411</t>
  </si>
  <si>
    <t>CALIBRADOR TIROGLOBULINA P COBAS E 411</t>
  </si>
  <si>
    <t>CALIBRADOR TROPONINA T-HS P COBAS E 411</t>
  </si>
  <si>
    <t>CALIBRADOR VITAMINA D TOTAL P COBAS E411</t>
  </si>
  <si>
    <t>CALIBRADOR HCG+BETA II CALSET PARA COBAS E411</t>
  </si>
  <si>
    <t>PRECICONTROL ANTI CCP P/COBAS E411</t>
  </si>
  <si>
    <t>PRECICONTROL CHAGAS P COBAS E411</t>
  </si>
  <si>
    <t>PRECICONTROL MULTIMARKER QCS P COBAS E 411</t>
  </si>
  <si>
    <t>PRECICONTROL THYRO P COBAS E 411</t>
  </si>
  <si>
    <t>PRECICONTROL TROPONINA T P COBAS E 411</t>
  </si>
  <si>
    <t>PRECICONTROL TUMOR MARKER P COBAS E 411</t>
  </si>
  <si>
    <t>PRECICONTROL UNIVERSAL P COBAS E 411</t>
  </si>
  <si>
    <t>PRECICONTROL VARIA P COBAS E 411</t>
  </si>
  <si>
    <t>TOXO HAI X 96 DET. TIPO POLYCHACO</t>
  </si>
  <si>
    <t>ANTICUERPOS ANTITRANSGLUTAMINASA TIPO ORGESTRIOL</t>
  </si>
  <si>
    <t>DEXTROSA/ POLVO TIPO CICARELLI X 1000GRS.</t>
  </si>
  <si>
    <t>BIDON</t>
  </si>
  <si>
    <t>CAJA</t>
  </si>
  <si>
    <t>CASSETTE</t>
  </si>
  <si>
    <t>UNIDAD</t>
  </si>
  <si>
    <t>FRASCO</t>
  </si>
  <si>
    <t>2.5.1</t>
  </si>
  <si>
    <t>AGAR MULLER HILTON, ESTADO: SOLIDO, PRESENTACION: ENVASE X 500 GR</t>
  </si>
  <si>
    <t>AGAR EOSINA-AZUL METILENO-LACT, ESTADO: SOLIDO, PRESENTACION: ENVASE X 500 GR</t>
  </si>
  <si>
    <t>CISTINA-LACTOSA DF.ELECTROLITO, ESTADO: SOLIDO, PRESENTACION: ENVASE X 500 GR</t>
  </si>
  <si>
    <t>AGAR SABOURAUD GLUCOSA, ESTADO: SOLIDO, PRESENTACION: ENVASE X 100 GR</t>
  </si>
  <si>
    <t>TIOGLICOLATO MEDIO C/INDICADOR, ESTADO: SOLIDO, PRESENTACION: ENVASE X 500 GR</t>
  </si>
  <si>
    <t>AGAR BASE COLUMBIA, ESTADO: SOLIDO, PRESENTACION: ENVASE X 500 GR</t>
  </si>
  <si>
    <t>AGAR SALMONELLA- SHIGELLA, ESTADO: SOLIDO, PRESENTACION: ENVASE X 100 GR</t>
  </si>
  <si>
    <t>AGAR CROMOGENICO P/CANDIDA, ESTADO: SOLIDO, PRESENTACION: ENVASE X 47,7 GR</t>
  </si>
  <si>
    <t>AGAR HIERRO TRIPLE AZUCAR, ESTADO: SOLIDO, PRESENTACION: ENVASE X 100 GR</t>
  </si>
  <si>
    <t>AGAR BILIS ESCULINA, ESTADO: SOLIDO, PRESENTACION: ENVASE X 100 GR</t>
  </si>
  <si>
    <t>AGAR LISINA HIERRO, ESTADO: SOLIDO, PRESENTACION: ENVASE X 100 GR</t>
  </si>
  <si>
    <t>AGAR MANITOL SALADO, ESTADO: SOLIDO, PRESENTACION: ENVASE X 100 GR</t>
  </si>
  <si>
    <t>AGAR SIM, ESTADO: SOLIDO, PRESENTACION: ENVASE X 100 GR</t>
  </si>
  <si>
    <t>AGAR CITRATO DE SIMMONS, ESTADO: SOLIDO, PRESENTACION: ENVASE X 100 GR</t>
  </si>
  <si>
    <t>VIOLETA DE GENCIANA, ESTADO: SOLIDO, CALIDAD: PRO ANALISIS, PRESENTACION: ENVASE X 25 GR</t>
  </si>
  <si>
    <t>FUCSINA BASICA, ESTADO: SOLIDO, CALIDAD: PRO ANALISIS, PRESENTACION: ENVASE X 250 GR</t>
  </si>
  <si>
    <t>AZUL DE METILENO, ESTADO: SOLIDO, CALIDAD: PRO ANALISIS, PRESENTACION: ENVASE X 100 GR</t>
  </si>
  <si>
    <t>IODURO DE POTASIO, ESTADO: SOLIDO, CALIDAD: PRO ANALISIS, CONCENTRACION/PUREZA: 99 %, PRESENTACION: ENVASE X 100 GR, GRADO HIDRATACION: ANHIDRO</t>
  </si>
  <si>
    <t>HIDROXIDO DE SODIO, ESTADO: LIQUIDO, CALIDAD: PRO ANALISIS, CONCENTRACION/PUREZA: 1 N, PRESENTACION: ENVASE X 1 L</t>
  </si>
  <si>
    <t>2.9.6</t>
  </si>
  <si>
    <t xml:space="preserve">TARJETA GELL LISS COOMBS CAJA X 48 UNIDADES </t>
  </si>
  <si>
    <t xml:space="preserve">Repuestos y Accesorios </t>
  </si>
  <si>
    <t xml:space="preserve">Compuestos Quimicos </t>
  </si>
  <si>
    <t>034 - 2021</t>
  </si>
  <si>
    <t>Servicio de Laboratorio</t>
  </si>
  <si>
    <t xml:space="preserve">Adquisición de Reactivos para Laboratorio </t>
  </si>
  <si>
    <t xml:space="preserve">10 dias - Servicio de Laboratorio Central del HISJB - Avda. Illia y Mariano Moreno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</si>
  <si>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</si>
  <si>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2010 ASSAY CUP</t>
  </si>
  <si>
    <t>2010 ASSAY TIP</t>
  </si>
  <si>
    <t>ACEITE DE INMERSIÓN : X 100 ML</t>
  </si>
  <si>
    <t>ÁCIDO CLOHÍDRICO 27-30%, ESTADO: LIQUIDO, PRESENTACIÓN: ENVASE POR 1 LITRO</t>
  </si>
  <si>
    <t>ACIDO URICO COBAS C-311 ROCHE  X 400 DET</t>
  </si>
  <si>
    <t>ALBUMINA COBAS C-311 ROCHE  X 300 DET</t>
  </si>
  <si>
    <t>AMILASA TOTAL COBAS C-311 ROCHE  X 300 DET</t>
  </si>
  <si>
    <t>ANTI - C (MIN) X 10 ML</t>
  </si>
  <si>
    <t xml:space="preserve">ANTI - C X 10 ML </t>
  </si>
  <si>
    <t>ANTI - CDE X 10 ML</t>
  </si>
  <si>
    <t>ANTI - E (MIN) X 10 ML</t>
  </si>
  <si>
    <t xml:space="preserve">ANTI - E X 10 ML </t>
  </si>
  <si>
    <t>CALCIO COBAS C-311 ROCHE  X 300 DET</t>
  </si>
  <si>
    <t xml:space="preserve">CALIBRADOR  PROLACTINA X  10 CAL  COBAS E-411 ROCHE </t>
  </si>
  <si>
    <t xml:space="preserve">CALIBRADOR  S-HBG  X  10 CAL  COBAS E-411 ROCHE </t>
  </si>
  <si>
    <t>CALIBRADOR ( CALSET) ANTI TPO X 10 CAL COBAS E-411 ROCHE</t>
  </si>
  <si>
    <t>CALIBRADOR ( CALSET) CORTISOL X 10 CAL COBAS E-411 ROCHE</t>
  </si>
  <si>
    <t>CALIBRADOR (CALSET) ANTI TIROGLOBULINA P COBAS E411</t>
  </si>
  <si>
    <t>CALIBRADOR (CALSET) ESTRADIOL X 10 CAL COBAS E-411 ROCHE</t>
  </si>
  <si>
    <t>CALIBRADOR (CALSET) FSH  X 10 CAL COBAS E-411 ROCHE</t>
  </si>
  <si>
    <t xml:space="preserve">CALIBRADOR FT4 X 10 CAL COBAS E-411 ROCHE </t>
  </si>
  <si>
    <t>CALIBRADOR PARA INSULINA X 10 CAL COBAS E-411 ROCHE</t>
  </si>
  <si>
    <t>CALIBRADOR PARA LH  X 10  CAL COBAS E-411 ROCHE</t>
  </si>
  <si>
    <t>CALIBRADOR PARA PROGESTERONA COBAS E-411 ROCHE</t>
  </si>
  <si>
    <t>CALIBRADOR T3 TOTAL X 10 CAL  COBAS E-411 ROCHE</t>
  </si>
  <si>
    <t>CALIBRADOR T4 TOTAL X 10 CAL  COBAS E-411 ROCHE</t>
  </si>
  <si>
    <t>CALIBRADOR TSH  X 10 CAL COBAS E-411  ROCHE</t>
  </si>
  <si>
    <t>CALIIBRADOR (CALSET) DHEA-S  X 10 CAL COBAS E-411 ROCHE</t>
  </si>
  <si>
    <t>CELL PACK DCL X 20 LTS- TIPO SYSMEX XNL</t>
  </si>
  <si>
    <t>COLESTEROL TOTAL COBAS C-311 ROCHE  X 400 DET</t>
  </si>
  <si>
    <t>COLORANTE AZUL  BRILLANTE DE CRECILO X 50 ML)</t>
  </si>
  <si>
    <t>CREATIN QUINASA COBAS C-311 ROCHE  X 200 DET</t>
  </si>
  <si>
    <t>CREATININA JAFFE COBAS C-311 ROCHE  X 700 DET</t>
  </si>
  <si>
    <t>DECARBOXILASA MEDIO BASE, ESTADO: SÓLIDO, PRESENTACIÓN: ENVASE POR 100G</t>
  </si>
  <si>
    <t>DECOLORANTE PARA GRAM, ESTADO: LÍQUIDO, PRESENTACIÓN: ENVASE POR 100 ML</t>
  </si>
  <si>
    <t>DETERGENTE NO IONICO X 1 LITRO WIENER</t>
  </si>
  <si>
    <t xml:space="preserve">DIMERO D  COBAS C-311 ROCHE  X 100 DET </t>
  </si>
  <si>
    <t>DIMERO D  GEN 2 CALIBRADOR SET 6X0,5 ML  COBAS C-311 ROCHE</t>
  </si>
  <si>
    <t>DIMERO D GEN 2 CONTROL I  / II  NIVEL 1 : 2 X 1 ML  NIVEL 2 : 2 X 1 ML  COBAS C-311 ROCHE</t>
  </si>
  <si>
    <t>DISCO AMICACINA 30 µGR, ESTADO:  CALIDAD: PRO ANALISIS, PRESENTACION: ENVASE X 50 UN</t>
  </si>
  <si>
    <t>DISCO AMOXICILINA+CLAVULANICO, ESTADO:  CALIDAD: PRO ANALISIS, PRESENTACION: ENVASE X 50 UN</t>
  </si>
  <si>
    <t>DISCO AMPICILINA 10 µGR, ESTADO:  CALIDAD: PRO ANALISIS, PRESENTACION: ENVASE X 50 UN</t>
  </si>
  <si>
    <t>DISCO CEFAZOLINA, ESTADO: DISCO, CALIDAD: PRO ANALISIS, PRESENTACION: 50 X ENVASE X 30 µGR</t>
  </si>
  <si>
    <t>DISCO CEFEPIME 30 µGR, ESTADO: DISCO, CALIDAD: PRO ANALISIS, PRESENTACION: ENVASE X 50 UN</t>
  </si>
  <si>
    <t>DISCO CEFTAROLINA, ESTADO: DISCOS, CALIDAD: PROANALISIS, PRESENTACION: ENVASE X 50</t>
  </si>
  <si>
    <t>DISCO CEFTAZIDIMA 30 µGR, ESTADO: DISCO, CALIDAD: PRO ANALISIS, PRESENTACION: ENVASE X 50 UN</t>
  </si>
  <si>
    <t>DISCO COLISTINA 10 µGR, ESTADO: DISCO, CALIDAD: PRO ANALISIS, PRESENTACION: ENVASE X 50 UN</t>
  </si>
  <si>
    <t>DISCO ESTREPTOMICINA 300 µGR, ESTADO: DISCO, CALIDAD: PRO ANALISIS, PRESENTACION: ENVASE X 50 UN</t>
  </si>
  <si>
    <t>DISCO IMIPENEM 10 µGR, ESTADO: DISCO, CALIDAD: PRO ANALISIS, PRESENTACION: ENVASE X 50 UN</t>
  </si>
  <si>
    <t>DISCO MEROPENEM 10 µGR, ESTADO: DISCO, CALIDAD: PRO ANALISIS, PRESENTACION: ENVASE X 50 UN</t>
  </si>
  <si>
    <t>DISCO NITROFURANTOINA 300 µGR, ESTADO: DISCO, CALIDAD: PRO ANALISIS, PRESENTACION: ENVASE X 50 UN</t>
  </si>
  <si>
    <t>DISCO OXACILINA 1 µGR, ESTADO: DISCO, CALIDAD: PRO ANALISIS, PRESENTACION: ENVASE X 50 UN</t>
  </si>
  <si>
    <t>DISCO PIPERACILINA TAZOBACTAM 100/10 µGR, ESTADO: DISCO, CALIDAD: PRO ANALISIS, PRESENTACION: ENVASE X 50 UN</t>
  </si>
  <si>
    <t>DISCO TEICOPLANINA 30 µGR, ESTADO: DISCO, CALIDAD: PRO ANALISIS, PRESENTACION: ENVASE X 50 UN</t>
  </si>
  <si>
    <t>DISCO TIGECICLINA 50 µGR, ESTADO: DISCO, CALIDAD: PRO ANALISIS, PRESENTACION: ENVASE X 50 UN</t>
  </si>
  <si>
    <t>DISCOS DE ERTAPENEM 10 UG X 50 T/BRITANIA Y/O LIOFILCHEM</t>
  </si>
  <si>
    <t>DISCOS DE GENTAMICINA X 10 UG. X 50 T/BRITANIA</t>
  </si>
  <si>
    <t>ECOTERGENT  X 60 ML COBAS C-311 ROCHE</t>
  </si>
  <si>
    <t>ELECSYS DILUYENTE UNIVERSAL COBAS E-411 ROCHE  X 2 X 18 ML</t>
  </si>
  <si>
    <t>FOSFATASA ALCALINA ALP2 (IFCC) COBAS C-311 ROCHE  X 400 DET</t>
  </si>
  <si>
    <t>FOSFORO COBAS C-311 ROCHE  X 250 DET</t>
  </si>
  <si>
    <t>GGT COBAS C-311 ROCHE X 400 DET</t>
  </si>
  <si>
    <t>GLUCOSA HK GEN COBAS C-311 ROCHE X 800 DET</t>
  </si>
  <si>
    <t>GOT/AST  (IFCC) COBAS C-311 ROCHE  X 500 DET</t>
  </si>
  <si>
    <t>GPT/ALT (IFCC) COBAS C-311 ROCHE  X 500 DET</t>
  </si>
  <si>
    <t>HIERRO COBAS C-311 ROCHE  X 200 DET</t>
  </si>
  <si>
    <t>IGA COBAS ROCHE C311</t>
  </si>
  <si>
    <t>IGG COBAS ROCHE C311</t>
  </si>
  <si>
    <t xml:space="preserve">LAMPARA HALOGENA COBAS C-311 ROCHE </t>
  </si>
  <si>
    <t>LIPASA COBAS C-311 ROCHE  X 200 DET</t>
  </si>
  <si>
    <t>MAGNESIO COBAS C-311 ROCHE  X 175 DET</t>
  </si>
  <si>
    <t>MIO AGAR, ESTADO: SÓLIDO, PRESENTACIÓN: ENVASE POR 100G</t>
  </si>
  <si>
    <t>PANEL DE DROGAS DE ABUSO x 10 DET CAJA X 25 PEINES</t>
  </si>
  <si>
    <t>PRECI CONTROL CLINCHEM  MULTI 1  QCS COBAS C-311 ROCHE  20 X 5 ML</t>
  </si>
  <si>
    <t>PRECI CONTROL CLINCHEM  MULTI 2  QCS COBAS C-311 ROCHE  20 X 5 ML</t>
  </si>
  <si>
    <t>PRECINORM PUC COBAS C-311 ROCHE  4 X 3 ML</t>
  </si>
  <si>
    <t>PRECIPATH PUC COBAS C-311 ROCHE  4 X 3 ML</t>
  </si>
  <si>
    <t>PRO CELL COBAS E-411N ROCHE X 2 L</t>
  </si>
  <si>
    <t xml:space="preserve">PROTEINA C REACTIVA  CRP COBAS C-311 ROCHE  X 250 DET </t>
  </si>
  <si>
    <t>PURPLE BROTH BASE, ESTADO: SÓLIDO, PRESENTACIÓN: ENVASE POR 100G</t>
  </si>
  <si>
    <t>REACTIVO ANTI TPO COBAS E-411 ROCHE X 100 DET</t>
  </si>
  <si>
    <t>REACTIVO ANTIGENO DE SUPERFICIE HBSAG P/ COBAS E411 x 100 DET</t>
  </si>
  <si>
    <t>REACTIVO ESTRADIOL COBAS E-411 ROCHE  X 100 DET</t>
  </si>
  <si>
    <t>REACTIVO INSULINA COBAS E-411 ROCHE  X 100 DET</t>
  </si>
  <si>
    <t>REACTIVO LH COBAS E-411 ROCHE  X 100 DET</t>
  </si>
  <si>
    <t>REACTIVO PROGESTERONA COBAS E-411 ROCHE  X 100 DET</t>
  </si>
  <si>
    <t>REACTIVO PROLACTINA COBAS E-411 ROCHE X 100 DET</t>
  </si>
  <si>
    <t>REACTIVO S-HBG COBAS E-411 ROCHE  X 100 DET</t>
  </si>
  <si>
    <t>REACTIVO T3  TOTAL COBAS E-411 ROCHE  X 100 DET</t>
  </si>
  <si>
    <t>REACTIVO T4 LIBRE  (FT4)   COBAS E-411 ROCHE X 200 DET</t>
  </si>
  <si>
    <t>SULFOLYSER X 5 LTS - TIPO SYSMEX XNL</t>
  </si>
  <si>
    <t xml:space="preserve">TRIGLICERIDOS COBAS C-311 ROCHE  X 250 DET </t>
  </si>
  <si>
    <t>UREA  COBAS C-311 ROCHE X 500 DET</t>
  </si>
  <si>
    <t>BOTELLA</t>
  </si>
  <si>
    <t>AGAR C.L.D.E:  X 500 GR</t>
  </si>
  <si>
    <t>DISCO NITROCEFIN, ESTADO: DISCO, PRESENTACION: ENVASE X 50 UN</t>
  </si>
  <si>
    <t>Especificidades Item N° 1 al 186:</t>
  </si>
  <si>
    <t>Costo total estimado: SEIS MILLONES SETECIENTOS VEINTISIETE MIL QUINIENTOS NOVENTA CON 00/100.-----</t>
  </si>
  <si>
    <r>
      <rPr>
        <b/>
        <u/>
        <sz val="9"/>
        <rFont val="Arial"/>
        <family val="2"/>
      </rPr>
      <t>TOTAL DE PESOS:</t>
    </r>
    <r>
      <rPr>
        <b/>
        <sz val="9"/>
        <rFont val="Arial"/>
        <family val="2"/>
      </rPr>
      <t xml:space="preserve"> SEIS MILLONES SETECIENTOS VEINTISIETE MIL QUINIENTOS NOVENTA CON 00/100.-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</si>
</sst>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2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b/>
      <sz val="9"/>
      <name val="Arial"/>
      <family val="2"/>
    </font>
    <font>
      <b/>
      <u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43" fontId="23" fillId="0" borderId="0" applyFont="0" applyFill="0" applyBorder="0" applyAlignment="0" applyProtection="0"/>
    <xf numFmtId="0" fontId="14" fillId="0" borderId="0"/>
  </cellStyleXfs>
  <cellXfs count="16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0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0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66" fontId="0" fillId="0" borderId="0" xfId="0" applyNumberFormat="1"/>
    <xf numFmtId="0" fontId="15" fillId="5" borderId="0" xfId="0" applyFont="1" applyFill="1"/>
    <xf numFmtId="0" fontId="14" fillId="5" borderId="14" xfId="5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/>
    </xf>
    <xf numFmtId="0" fontId="24" fillId="5" borderId="14" xfId="5" applyNumberFormat="1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/>
    </xf>
    <xf numFmtId="0" fontId="14" fillId="5" borderId="14" xfId="6" applyFont="1" applyFill="1" applyBorder="1" applyAlignment="1">
      <alignment horizontal="center" vertical="center" wrapText="1"/>
    </xf>
    <xf numFmtId="0" fontId="14" fillId="5" borderId="14" xfId="0" applyNumberFormat="1" applyFont="1" applyFill="1" applyBorder="1" applyAlignment="1">
      <alignment horizontal="left" vertical="center" wrapText="1"/>
    </xf>
    <xf numFmtId="0" fontId="14" fillId="5" borderId="14" xfId="0" applyNumberFormat="1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5" borderId="21" xfId="6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vertical="center" wrapText="1"/>
    </xf>
    <xf numFmtId="0" fontId="24" fillId="5" borderId="14" xfId="0" applyNumberFormat="1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left" vertical="center" wrapText="1"/>
    </xf>
    <xf numFmtId="44" fontId="14" fillId="0" borderId="14" xfId="1" applyNumberFormat="1" applyBorder="1" applyAlignment="1">
      <alignment horizontal="center" vertical="center"/>
    </xf>
    <xf numFmtId="44" fontId="14" fillId="0" borderId="14" xfId="1" applyNumberFormat="1" applyBorder="1" applyAlignment="1" applyProtection="1">
      <alignment horizontal="center" vertical="center"/>
    </xf>
    <xf numFmtId="44" fontId="27" fillId="0" borderId="14" xfId="1" applyNumberFormat="1" applyFont="1" applyBorder="1" applyAlignment="1">
      <alignment vertical="center"/>
    </xf>
    <xf numFmtId="44" fontId="0" fillId="0" borderId="42" xfId="3" applyNumberFormat="1" applyFont="1" applyBorder="1" applyAlignment="1" applyProtection="1">
      <alignment horizontal="center" vertical="center"/>
    </xf>
    <xf numFmtId="44" fontId="0" fillId="0" borderId="43" xfId="3" applyNumberFormat="1" applyFont="1" applyBorder="1" applyAlignment="1" applyProtection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44" fontId="13" fillId="0" borderId="45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0" fillId="5" borderId="29" xfId="0" applyFont="1" applyFill="1" applyBorder="1" applyAlignment="1">
      <alignment horizontal="center" vertical="center"/>
    </xf>
    <xf numFmtId="0" fontId="0" fillId="4" borderId="30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57" xfId="0" applyFont="1" applyBorder="1" applyAlignment="1">
      <alignment horizontal="left" vertical="center"/>
    </xf>
    <xf numFmtId="0" fontId="13" fillId="0" borderId="5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167" fontId="28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3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35" xfId="0" applyFont="1" applyFill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30" fillId="0" borderId="35" xfId="0" applyFont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0" fillId="0" borderId="22" xfId="0" applyBorder="1"/>
    <xf numFmtId="0" fontId="0" fillId="0" borderId="24" xfId="0" applyBorder="1"/>
    <xf numFmtId="0" fontId="22" fillId="0" borderId="50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/>
    </xf>
    <xf numFmtId="0" fontId="22" fillId="0" borderId="53" xfId="0" applyFont="1" applyBorder="1" applyAlignment="1">
      <alignment horizontal="left" vertical="center"/>
    </xf>
    <xf numFmtId="0" fontId="14" fillId="0" borderId="52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1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7">
    <cellStyle name="Encabezado 1" xfId="2" xr:uid="{00000000-0005-0000-0000-000000000000}"/>
    <cellStyle name="Millares" xfId="5" builtinId="3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3" xfId="6" xr:uid="{00000000-0005-0000-0000-000006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11"/>
  <sheetViews>
    <sheetView tabSelected="1" topLeftCell="A4" zoomScale="85" zoomScaleNormal="85" workbookViewId="0">
      <selection activeCell="C12" sqref="C12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79" style="29" customWidth="1"/>
    <col min="6" max="6" width="11" style="29" customWidth="1"/>
    <col min="7" max="7" width="12.7109375" style="29" customWidth="1"/>
    <col min="8" max="8" width="13.85546875" style="29" customWidth="1"/>
    <col min="9" max="9" width="18.5703125" style="29" customWidth="1"/>
    <col min="10" max="12" width="11" style="29" customWidth="1"/>
    <col min="13" max="13" width="88.42578125" style="99" customWidth="1"/>
    <col min="14" max="16384" width="11" style="29"/>
  </cols>
  <sheetData>
    <row r="2" spans="1:12" ht="27" x14ac:dyDescent="0.35">
      <c r="B2" s="109" t="s">
        <v>0</v>
      </c>
      <c r="C2" s="109"/>
      <c r="D2" s="109"/>
      <c r="E2" s="109"/>
      <c r="F2" s="109"/>
      <c r="G2" s="109"/>
      <c r="H2" s="109"/>
    </row>
    <row r="4" spans="1:12" ht="18" customHeight="1" x14ac:dyDescent="0.25">
      <c r="A4" s="105" t="s">
        <v>1</v>
      </c>
      <c r="B4" s="105"/>
      <c r="C4" s="110" t="s">
        <v>57</v>
      </c>
      <c r="D4" s="110"/>
      <c r="E4" s="110"/>
      <c r="F4" s="30"/>
      <c r="G4" s="31"/>
      <c r="H4" s="30"/>
    </row>
    <row r="5" spans="1:12" ht="18" customHeight="1" x14ac:dyDescent="0.25">
      <c r="A5" s="105" t="s">
        <v>2</v>
      </c>
      <c r="B5" s="105"/>
      <c r="C5" s="110" t="s">
        <v>58</v>
      </c>
      <c r="D5" s="110"/>
      <c r="E5" s="110"/>
      <c r="F5" s="30"/>
      <c r="G5" s="31"/>
      <c r="H5" s="30"/>
    </row>
    <row r="6" spans="1:12" ht="16.5" customHeight="1" x14ac:dyDescent="0.25">
      <c r="A6" s="105" t="s">
        <v>3</v>
      </c>
      <c r="B6" s="105"/>
      <c r="C6" s="46">
        <v>2021</v>
      </c>
      <c r="D6" s="47"/>
      <c r="E6" s="47"/>
      <c r="F6" s="30"/>
      <c r="G6" s="31"/>
      <c r="H6" s="30"/>
    </row>
    <row r="7" spans="1:12" ht="16.5" customHeight="1" x14ac:dyDescent="0.25">
      <c r="A7" s="105" t="s">
        <v>4</v>
      </c>
      <c r="B7" s="105"/>
      <c r="C7" s="46">
        <v>2</v>
      </c>
      <c r="D7" s="47"/>
      <c r="E7" s="47"/>
      <c r="F7" s="30"/>
      <c r="G7" s="31"/>
      <c r="H7" s="30"/>
    </row>
    <row r="8" spans="1:12" ht="13.5" thickBot="1" x14ac:dyDescent="0.25">
      <c r="B8" s="30"/>
      <c r="C8" s="31"/>
      <c r="D8" s="30"/>
      <c r="E8" s="30"/>
      <c r="F8" s="30"/>
      <c r="G8" s="31"/>
      <c r="H8" s="30"/>
    </row>
    <row r="9" spans="1:12" ht="39" thickBot="1" x14ac:dyDescent="0.25">
      <c r="A9" s="45" t="s">
        <v>5</v>
      </c>
      <c r="B9" s="45" t="s">
        <v>6</v>
      </c>
      <c r="C9" s="45" t="s">
        <v>7</v>
      </c>
      <c r="D9" s="45" t="s">
        <v>8</v>
      </c>
      <c r="E9" s="45" t="s">
        <v>9</v>
      </c>
      <c r="F9" s="45" t="s">
        <v>10</v>
      </c>
      <c r="G9" s="45" t="s">
        <v>11</v>
      </c>
      <c r="H9" s="45" t="s">
        <v>12</v>
      </c>
      <c r="I9" s="45" t="s">
        <v>13</v>
      </c>
    </row>
    <row r="10" spans="1:12" ht="31.9" customHeight="1" thickBot="1" x14ac:dyDescent="0.25">
      <c r="A10" s="74">
        <v>1</v>
      </c>
      <c r="B10" s="72"/>
      <c r="C10" s="75" t="s">
        <v>162</v>
      </c>
      <c r="D10" s="75" t="s">
        <v>139</v>
      </c>
      <c r="E10" s="76" t="s">
        <v>168</v>
      </c>
      <c r="F10" s="62" t="s">
        <v>135</v>
      </c>
      <c r="G10" s="57">
        <v>7</v>
      </c>
      <c r="H10" s="77">
        <v>23309</v>
      </c>
      <c r="I10" s="78">
        <f>G10*H10</f>
        <v>163163</v>
      </c>
      <c r="J10" s="56"/>
      <c r="K10" s="56"/>
      <c r="L10" s="56"/>
    </row>
    <row r="11" spans="1:12" ht="31.9" customHeight="1" thickBot="1" x14ac:dyDescent="0.25">
      <c r="A11" s="74">
        <f t="shared" ref="A11:A42" si="0">A10+1</f>
        <v>2</v>
      </c>
      <c r="B11" s="72"/>
      <c r="C11" s="75" t="s">
        <v>162</v>
      </c>
      <c r="D11" s="75" t="s">
        <v>139</v>
      </c>
      <c r="E11" s="61" t="s">
        <v>169</v>
      </c>
      <c r="F11" s="58" t="s">
        <v>135</v>
      </c>
      <c r="G11" s="57">
        <v>7</v>
      </c>
      <c r="H11" s="77">
        <v>17318</v>
      </c>
      <c r="I11" s="78">
        <f t="shared" ref="I11:I74" si="1">G11*H11</f>
        <v>121226</v>
      </c>
      <c r="J11" s="56"/>
      <c r="K11" s="56"/>
      <c r="L11" s="56"/>
    </row>
    <row r="12" spans="1:12" ht="31.9" customHeight="1" thickBot="1" x14ac:dyDescent="0.25">
      <c r="A12" s="74">
        <f t="shared" si="0"/>
        <v>3</v>
      </c>
      <c r="B12" s="72"/>
      <c r="C12" s="75" t="s">
        <v>162</v>
      </c>
      <c r="D12" s="75" t="s">
        <v>139</v>
      </c>
      <c r="E12" s="70" t="s">
        <v>170</v>
      </c>
      <c r="F12" s="72" t="s">
        <v>138</v>
      </c>
      <c r="G12" s="72">
        <v>4</v>
      </c>
      <c r="H12" s="78">
        <v>1505</v>
      </c>
      <c r="I12" s="78">
        <f t="shared" si="1"/>
        <v>6020</v>
      </c>
      <c r="J12" s="56"/>
      <c r="K12" s="56"/>
      <c r="L12" s="56"/>
    </row>
    <row r="13" spans="1:12" ht="31.9" customHeight="1" thickBot="1" x14ac:dyDescent="0.25">
      <c r="A13" s="74">
        <v>4</v>
      </c>
      <c r="B13" s="72"/>
      <c r="C13" s="75" t="s">
        <v>162</v>
      </c>
      <c r="D13" s="75" t="s">
        <v>139</v>
      </c>
      <c r="E13" s="61" t="s">
        <v>85</v>
      </c>
      <c r="F13" s="59" t="s">
        <v>135</v>
      </c>
      <c r="G13" s="57">
        <v>3</v>
      </c>
      <c r="H13" s="77">
        <v>28854</v>
      </c>
      <c r="I13" s="78">
        <f t="shared" si="1"/>
        <v>86562</v>
      </c>
      <c r="J13" s="56"/>
      <c r="K13" s="56"/>
      <c r="L13" s="56"/>
    </row>
    <row r="14" spans="1:12" ht="31.9" customHeight="1" thickBot="1" x14ac:dyDescent="0.25">
      <c r="A14" s="74">
        <v>5</v>
      </c>
      <c r="B14" s="72"/>
      <c r="C14" s="75" t="s">
        <v>162</v>
      </c>
      <c r="D14" s="75" t="s">
        <v>139</v>
      </c>
      <c r="E14" s="70" t="s">
        <v>171</v>
      </c>
      <c r="F14" s="72" t="s">
        <v>138</v>
      </c>
      <c r="G14" s="72">
        <v>3</v>
      </c>
      <c r="H14" s="78">
        <v>900</v>
      </c>
      <c r="I14" s="78">
        <f t="shared" si="1"/>
        <v>2700</v>
      </c>
      <c r="J14" s="56"/>
      <c r="K14" s="56"/>
      <c r="L14" s="56"/>
    </row>
    <row r="15" spans="1:12" ht="31.9" customHeight="1" thickBot="1" x14ac:dyDescent="0.25">
      <c r="A15" s="74">
        <f t="shared" si="0"/>
        <v>6</v>
      </c>
      <c r="B15" s="72"/>
      <c r="C15" s="75" t="s">
        <v>162</v>
      </c>
      <c r="D15" s="75" t="s">
        <v>139</v>
      </c>
      <c r="E15" s="70" t="s">
        <v>172</v>
      </c>
      <c r="F15" s="72" t="s">
        <v>136</v>
      </c>
      <c r="G15" s="72">
        <v>6</v>
      </c>
      <c r="H15" s="78">
        <v>4661</v>
      </c>
      <c r="I15" s="78">
        <f t="shared" si="1"/>
        <v>27966</v>
      </c>
      <c r="J15" s="56"/>
      <c r="K15" s="56"/>
      <c r="L15" s="56"/>
    </row>
    <row r="16" spans="1:12" ht="31.9" customHeight="1" thickBot="1" x14ac:dyDescent="0.25">
      <c r="A16" s="74">
        <v>7</v>
      </c>
      <c r="B16" s="72"/>
      <c r="C16" s="75" t="s">
        <v>162</v>
      </c>
      <c r="D16" s="75" t="s">
        <v>139</v>
      </c>
      <c r="E16" s="70" t="s">
        <v>145</v>
      </c>
      <c r="F16" s="72" t="s">
        <v>138</v>
      </c>
      <c r="G16" s="72">
        <v>2</v>
      </c>
      <c r="H16" s="78">
        <v>10605</v>
      </c>
      <c r="I16" s="78">
        <f t="shared" si="1"/>
        <v>21210</v>
      </c>
      <c r="J16" s="56"/>
      <c r="K16" s="56"/>
      <c r="L16" s="56"/>
    </row>
    <row r="17" spans="1:14" ht="31.9" customHeight="1" thickBot="1" x14ac:dyDescent="0.25">
      <c r="A17" s="74">
        <f t="shared" si="0"/>
        <v>8</v>
      </c>
      <c r="B17" s="72"/>
      <c r="C17" s="75" t="s">
        <v>162</v>
      </c>
      <c r="D17" s="75" t="s">
        <v>139</v>
      </c>
      <c r="E17" s="70" t="s">
        <v>149</v>
      </c>
      <c r="F17" s="72" t="s">
        <v>138</v>
      </c>
      <c r="G17" s="72">
        <v>2</v>
      </c>
      <c r="H17" s="78">
        <v>14471</v>
      </c>
      <c r="I17" s="78">
        <f t="shared" si="1"/>
        <v>28942</v>
      </c>
      <c r="J17" s="56"/>
      <c r="K17" s="56"/>
      <c r="L17" s="56"/>
    </row>
    <row r="18" spans="1:14" ht="31.9" customHeight="1" thickBot="1" x14ac:dyDescent="0.25">
      <c r="A18" s="74">
        <f t="shared" si="0"/>
        <v>9</v>
      </c>
      <c r="B18" s="72"/>
      <c r="C18" s="75" t="s">
        <v>162</v>
      </c>
      <c r="D18" s="75" t="s">
        <v>139</v>
      </c>
      <c r="E18" s="61" t="s">
        <v>262</v>
      </c>
      <c r="F18" s="58" t="s">
        <v>138</v>
      </c>
      <c r="G18" s="57">
        <v>2</v>
      </c>
      <c r="H18" s="77">
        <v>10150</v>
      </c>
      <c r="I18" s="78">
        <f t="shared" si="1"/>
        <v>20300</v>
      </c>
      <c r="J18" s="56"/>
      <c r="K18" s="56"/>
      <c r="L18" s="56"/>
    </row>
    <row r="19" spans="1:14" ht="31.9" customHeight="1" thickBot="1" x14ac:dyDescent="0.25">
      <c r="A19" s="74">
        <f t="shared" si="0"/>
        <v>10</v>
      </c>
      <c r="B19" s="72"/>
      <c r="C19" s="75" t="s">
        <v>162</v>
      </c>
      <c r="D19" s="75" t="s">
        <v>139</v>
      </c>
      <c r="E19" s="70" t="s">
        <v>153</v>
      </c>
      <c r="F19" s="72" t="s">
        <v>138</v>
      </c>
      <c r="G19" s="72">
        <v>2</v>
      </c>
      <c r="H19" s="78">
        <v>4223</v>
      </c>
      <c r="I19" s="78">
        <f t="shared" si="1"/>
        <v>8446</v>
      </c>
      <c r="J19" s="56"/>
      <c r="K19" s="56"/>
      <c r="L19" s="56"/>
      <c r="N19" s="100"/>
    </row>
    <row r="20" spans="1:14" ht="31.9" customHeight="1" thickBot="1" x14ac:dyDescent="0.25">
      <c r="A20" s="74">
        <f t="shared" si="0"/>
        <v>11</v>
      </c>
      <c r="B20" s="72"/>
      <c r="C20" s="75" t="s">
        <v>162</v>
      </c>
      <c r="D20" s="75" t="s">
        <v>139</v>
      </c>
      <c r="E20" s="70" t="s">
        <v>147</v>
      </c>
      <c r="F20" s="72" t="s">
        <v>138</v>
      </c>
      <c r="G20" s="72">
        <v>1</v>
      </c>
      <c r="H20" s="78">
        <v>50025</v>
      </c>
      <c r="I20" s="78">
        <f t="shared" si="1"/>
        <v>50025</v>
      </c>
      <c r="J20" s="56"/>
      <c r="K20" s="56"/>
      <c r="L20" s="56"/>
    </row>
    <row r="21" spans="1:14" ht="31.9" customHeight="1" thickBot="1" x14ac:dyDescent="0.25">
      <c r="A21" s="74">
        <f t="shared" si="0"/>
        <v>12</v>
      </c>
      <c r="B21" s="72"/>
      <c r="C21" s="75" t="s">
        <v>162</v>
      </c>
      <c r="D21" s="75" t="s">
        <v>139</v>
      </c>
      <c r="E21" s="70" t="s">
        <v>141</v>
      </c>
      <c r="F21" s="72" t="s">
        <v>138</v>
      </c>
      <c r="G21" s="72">
        <v>2</v>
      </c>
      <c r="H21" s="78">
        <v>12358</v>
      </c>
      <c r="I21" s="78">
        <f t="shared" si="1"/>
        <v>24716</v>
      </c>
      <c r="J21" s="56"/>
      <c r="K21" s="56"/>
      <c r="L21" s="56"/>
    </row>
    <row r="22" spans="1:14" ht="31.9" customHeight="1" thickBot="1" x14ac:dyDescent="0.25">
      <c r="A22" s="74">
        <f t="shared" si="0"/>
        <v>13</v>
      </c>
      <c r="B22" s="72"/>
      <c r="C22" s="75" t="s">
        <v>162</v>
      </c>
      <c r="D22" s="75" t="s">
        <v>139</v>
      </c>
      <c r="E22" s="70" t="s">
        <v>148</v>
      </c>
      <c r="F22" s="72" t="s">
        <v>138</v>
      </c>
      <c r="G22" s="72">
        <v>2</v>
      </c>
      <c r="H22" s="78">
        <v>3176</v>
      </c>
      <c r="I22" s="78">
        <f t="shared" si="1"/>
        <v>6352</v>
      </c>
      <c r="J22" s="56"/>
      <c r="K22" s="56"/>
      <c r="L22" s="56"/>
    </row>
    <row r="23" spans="1:14" ht="31.9" customHeight="1" thickBot="1" x14ac:dyDescent="0.25">
      <c r="A23" s="74">
        <f t="shared" si="0"/>
        <v>14</v>
      </c>
      <c r="B23" s="72"/>
      <c r="C23" s="75" t="s">
        <v>162</v>
      </c>
      <c r="D23" s="75" t="s">
        <v>139</v>
      </c>
      <c r="E23" s="70" t="s">
        <v>150</v>
      </c>
      <c r="F23" s="72" t="s">
        <v>138</v>
      </c>
      <c r="G23" s="72">
        <v>2</v>
      </c>
      <c r="H23" s="78">
        <v>5951</v>
      </c>
      <c r="I23" s="78">
        <f t="shared" si="1"/>
        <v>11902</v>
      </c>
      <c r="J23" s="56"/>
      <c r="K23" s="56"/>
      <c r="L23" s="56"/>
    </row>
    <row r="24" spans="1:14" ht="31.9" customHeight="1" thickBot="1" x14ac:dyDescent="0.25">
      <c r="A24" s="74">
        <f t="shared" si="0"/>
        <v>15</v>
      </c>
      <c r="B24" s="72"/>
      <c r="C24" s="75" t="s">
        <v>162</v>
      </c>
      <c r="D24" s="75" t="s">
        <v>139</v>
      </c>
      <c r="E24" s="70" t="s">
        <v>151</v>
      </c>
      <c r="F24" s="72" t="s">
        <v>138</v>
      </c>
      <c r="G24" s="72">
        <v>2</v>
      </c>
      <c r="H24" s="78">
        <v>2123</v>
      </c>
      <c r="I24" s="78">
        <f t="shared" si="1"/>
        <v>4246</v>
      </c>
      <c r="J24" s="56"/>
      <c r="K24" s="56"/>
      <c r="L24" s="56"/>
    </row>
    <row r="25" spans="1:14" ht="31.9" customHeight="1" thickBot="1" x14ac:dyDescent="0.25">
      <c r="A25" s="74">
        <f t="shared" si="0"/>
        <v>16</v>
      </c>
      <c r="B25" s="72"/>
      <c r="C25" s="75" t="s">
        <v>162</v>
      </c>
      <c r="D25" s="75" t="s">
        <v>139</v>
      </c>
      <c r="E25" s="70" t="s">
        <v>140</v>
      </c>
      <c r="F25" s="72" t="s">
        <v>138</v>
      </c>
      <c r="G25" s="72">
        <v>2</v>
      </c>
      <c r="H25" s="78">
        <v>13716</v>
      </c>
      <c r="I25" s="78">
        <f t="shared" si="1"/>
        <v>27432</v>
      </c>
      <c r="J25" s="56"/>
      <c r="K25" s="56"/>
      <c r="L25" s="56"/>
    </row>
    <row r="26" spans="1:14" ht="31.9" customHeight="1" thickBot="1" x14ac:dyDescent="0.25">
      <c r="A26" s="74">
        <f t="shared" si="0"/>
        <v>17</v>
      </c>
      <c r="B26" s="72"/>
      <c r="C26" s="75" t="s">
        <v>162</v>
      </c>
      <c r="D26" s="75" t="s">
        <v>139</v>
      </c>
      <c r="E26" s="70" t="s">
        <v>143</v>
      </c>
      <c r="F26" s="72" t="s">
        <v>138</v>
      </c>
      <c r="G26" s="72">
        <v>3</v>
      </c>
      <c r="H26" s="78">
        <v>2513</v>
      </c>
      <c r="I26" s="78">
        <f t="shared" si="1"/>
        <v>7539</v>
      </c>
      <c r="J26" s="56"/>
      <c r="K26" s="56"/>
      <c r="L26" s="56"/>
    </row>
    <row r="27" spans="1:14" ht="31.9" customHeight="1" thickBot="1" x14ac:dyDescent="0.25">
      <c r="A27" s="74">
        <f t="shared" si="0"/>
        <v>18</v>
      </c>
      <c r="B27" s="72"/>
      <c r="C27" s="75" t="s">
        <v>162</v>
      </c>
      <c r="D27" s="75" t="s">
        <v>139</v>
      </c>
      <c r="E27" s="61" t="s">
        <v>146</v>
      </c>
      <c r="F27" s="59" t="s">
        <v>138</v>
      </c>
      <c r="G27" s="57">
        <v>2</v>
      </c>
      <c r="H27" s="77">
        <v>3988</v>
      </c>
      <c r="I27" s="78">
        <f t="shared" si="1"/>
        <v>7976</v>
      </c>
      <c r="J27" s="56"/>
      <c r="K27" s="56"/>
      <c r="L27" s="56"/>
    </row>
    <row r="28" spans="1:14" ht="31.9" customHeight="1" thickBot="1" x14ac:dyDescent="0.25">
      <c r="A28" s="74">
        <f t="shared" si="0"/>
        <v>19</v>
      </c>
      <c r="B28" s="72"/>
      <c r="C28" s="75" t="s">
        <v>162</v>
      </c>
      <c r="D28" s="75" t="s">
        <v>139</v>
      </c>
      <c r="E28" s="70" t="s">
        <v>152</v>
      </c>
      <c r="F28" s="72" t="s">
        <v>138</v>
      </c>
      <c r="G28" s="72">
        <v>2</v>
      </c>
      <c r="H28" s="78">
        <v>6386</v>
      </c>
      <c r="I28" s="78">
        <f t="shared" si="1"/>
        <v>12772</v>
      </c>
      <c r="J28" s="56"/>
      <c r="K28" s="56"/>
      <c r="L28" s="56"/>
    </row>
    <row r="29" spans="1:14" ht="31.9" customHeight="1" thickBot="1" x14ac:dyDescent="0.25">
      <c r="A29" s="74">
        <f t="shared" si="0"/>
        <v>20</v>
      </c>
      <c r="B29" s="72"/>
      <c r="C29" s="75" t="s">
        <v>162</v>
      </c>
      <c r="D29" s="75" t="s">
        <v>139</v>
      </c>
      <c r="E29" s="61" t="s">
        <v>173</v>
      </c>
      <c r="F29" s="59" t="s">
        <v>136</v>
      </c>
      <c r="G29" s="57">
        <v>2</v>
      </c>
      <c r="H29" s="77">
        <v>1706</v>
      </c>
      <c r="I29" s="78">
        <f t="shared" si="1"/>
        <v>3412</v>
      </c>
      <c r="J29" s="56"/>
      <c r="K29" s="56"/>
      <c r="L29" s="56"/>
    </row>
    <row r="30" spans="1:14" ht="31.9" customHeight="1" thickBot="1" x14ac:dyDescent="0.25">
      <c r="A30" s="74">
        <f t="shared" si="0"/>
        <v>21</v>
      </c>
      <c r="B30" s="72"/>
      <c r="C30" s="75" t="s">
        <v>162</v>
      </c>
      <c r="D30" s="75" t="s">
        <v>139</v>
      </c>
      <c r="E30" s="70" t="s">
        <v>174</v>
      </c>
      <c r="F30" s="72" t="s">
        <v>136</v>
      </c>
      <c r="G30" s="72">
        <v>10</v>
      </c>
      <c r="H30" s="78">
        <v>8817</v>
      </c>
      <c r="I30" s="78">
        <f t="shared" si="1"/>
        <v>88170</v>
      </c>
      <c r="J30" s="56"/>
      <c r="K30" s="56"/>
      <c r="L30" s="56"/>
    </row>
    <row r="31" spans="1:14" ht="31.9" customHeight="1" thickBot="1" x14ac:dyDescent="0.25">
      <c r="A31" s="74">
        <f t="shared" si="0"/>
        <v>22</v>
      </c>
      <c r="B31" s="72"/>
      <c r="C31" s="75" t="s">
        <v>162</v>
      </c>
      <c r="D31" s="75" t="s">
        <v>139</v>
      </c>
      <c r="E31" s="70" t="s">
        <v>175</v>
      </c>
      <c r="F31" s="72" t="s">
        <v>138</v>
      </c>
      <c r="G31" s="72">
        <v>6</v>
      </c>
      <c r="H31" s="78">
        <v>9600</v>
      </c>
      <c r="I31" s="78">
        <f t="shared" si="1"/>
        <v>57600</v>
      </c>
      <c r="J31" s="56"/>
      <c r="K31" s="56"/>
      <c r="L31" s="56"/>
    </row>
    <row r="32" spans="1:14" ht="31.9" customHeight="1" thickBot="1" x14ac:dyDescent="0.25">
      <c r="A32" s="74">
        <f t="shared" si="0"/>
        <v>23</v>
      </c>
      <c r="B32" s="72"/>
      <c r="C32" s="75" t="s">
        <v>162</v>
      </c>
      <c r="D32" s="75" t="s">
        <v>139</v>
      </c>
      <c r="E32" s="70" t="s">
        <v>176</v>
      </c>
      <c r="F32" s="72" t="s">
        <v>138</v>
      </c>
      <c r="G32" s="72">
        <v>6</v>
      </c>
      <c r="H32" s="78">
        <v>7800</v>
      </c>
      <c r="I32" s="78">
        <f t="shared" si="1"/>
        <v>46800</v>
      </c>
      <c r="J32" s="56"/>
      <c r="K32" s="56"/>
      <c r="L32" s="56"/>
    </row>
    <row r="33" spans="1:12" ht="31.9" customHeight="1" thickBot="1" x14ac:dyDescent="0.25">
      <c r="A33" s="74">
        <f t="shared" si="0"/>
        <v>24</v>
      </c>
      <c r="B33" s="72"/>
      <c r="C33" s="75" t="s">
        <v>162</v>
      </c>
      <c r="D33" s="75" t="s">
        <v>139</v>
      </c>
      <c r="E33" s="70" t="s">
        <v>177</v>
      </c>
      <c r="F33" s="72" t="s">
        <v>138</v>
      </c>
      <c r="G33" s="72">
        <v>6</v>
      </c>
      <c r="H33" s="78">
        <v>9120</v>
      </c>
      <c r="I33" s="78">
        <f t="shared" si="1"/>
        <v>54720</v>
      </c>
      <c r="J33" s="56"/>
      <c r="K33" s="56"/>
      <c r="L33" s="56"/>
    </row>
    <row r="34" spans="1:12" ht="31.9" customHeight="1" thickBot="1" x14ac:dyDescent="0.25">
      <c r="A34" s="74">
        <f t="shared" si="0"/>
        <v>25</v>
      </c>
      <c r="B34" s="72"/>
      <c r="C34" s="75" t="s">
        <v>162</v>
      </c>
      <c r="D34" s="75" t="s">
        <v>139</v>
      </c>
      <c r="E34" s="70" t="s">
        <v>178</v>
      </c>
      <c r="F34" s="72" t="s">
        <v>138</v>
      </c>
      <c r="G34" s="72">
        <v>6</v>
      </c>
      <c r="H34" s="78">
        <v>9600</v>
      </c>
      <c r="I34" s="78">
        <f t="shared" si="1"/>
        <v>57600</v>
      </c>
      <c r="J34" s="56"/>
      <c r="K34" s="56"/>
      <c r="L34" s="56"/>
    </row>
    <row r="35" spans="1:12" ht="31.9" customHeight="1" thickBot="1" x14ac:dyDescent="0.25">
      <c r="A35" s="74">
        <f t="shared" si="0"/>
        <v>26</v>
      </c>
      <c r="B35" s="72"/>
      <c r="C35" s="75" t="s">
        <v>162</v>
      </c>
      <c r="D35" s="75" t="s">
        <v>139</v>
      </c>
      <c r="E35" s="70" t="s">
        <v>179</v>
      </c>
      <c r="F35" s="72" t="s">
        <v>138</v>
      </c>
      <c r="G35" s="72">
        <v>6</v>
      </c>
      <c r="H35" s="78">
        <v>7800</v>
      </c>
      <c r="I35" s="78">
        <f t="shared" si="1"/>
        <v>46800</v>
      </c>
      <c r="J35" s="56"/>
      <c r="K35" s="56"/>
      <c r="L35" s="56"/>
    </row>
    <row r="36" spans="1:12" ht="31.9" customHeight="1" thickBot="1" x14ac:dyDescent="0.25">
      <c r="A36" s="74">
        <f t="shared" si="0"/>
        <v>27</v>
      </c>
      <c r="B36" s="72"/>
      <c r="C36" s="75" t="s">
        <v>162</v>
      </c>
      <c r="D36" s="75" t="s">
        <v>139</v>
      </c>
      <c r="E36" s="70" t="s">
        <v>132</v>
      </c>
      <c r="F36" s="72" t="s">
        <v>135</v>
      </c>
      <c r="G36" s="72">
        <v>1</v>
      </c>
      <c r="H36" s="78">
        <v>35754</v>
      </c>
      <c r="I36" s="78">
        <f t="shared" si="1"/>
        <v>35754</v>
      </c>
      <c r="J36" s="56"/>
      <c r="K36" s="56"/>
      <c r="L36" s="56"/>
    </row>
    <row r="37" spans="1:12" ht="31.9" customHeight="1" thickBot="1" x14ac:dyDescent="0.25">
      <c r="A37" s="74">
        <f t="shared" si="0"/>
        <v>28</v>
      </c>
      <c r="B37" s="72"/>
      <c r="C37" s="75" t="s">
        <v>162</v>
      </c>
      <c r="D37" s="75" t="s">
        <v>139</v>
      </c>
      <c r="E37" s="61" t="s">
        <v>156</v>
      </c>
      <c r="F37" s="58" t="s">
        <v>138</v>
      </c>
      <c r="G37" s="60">
        <v>2</v>
      </c>
      <c r="H37" s="77">
        <v>7038</v>
      </c>
      <c r="I37" s="78">
        <f t="shared" si="1"/>
        <v>14076</v>
      </c>
      <c r="J37" s="56"/>
      <c r="K37" s="56"/>
      <c r="L37" s="56"/>
    </row>
    <row r="38" spans="1:12" ht="31.9" customHeight="1" thickBot="1" x14ac:dyDescent="0.25">
      <c r="A38" s="74">
        <f t="shared" si="0"/>
        <v>29</v>
      </c>
      <c r="B38" s="72"/>
      <c r="C38" s="75" t="s">
        <v>162</v>
      </c>
      <c r="D38" s="75" t="s">
        <v>139</v>
      </c>
      <c r="E38" s="61" t="s">
        <v>180</v>
      </c>
      <c r="F38" s="58" t="s">
        <v>136</v>
      </c>
      <c r="G38" s="57">
        <v>5</v>
      </c>
      <c r="H38" s="77">
        <v>3514</v>
      </c>
      <c r="I38" s="78">
        <f t="shared" si="1"/>
        <v>17570</v>
      </c>
      <c r="J38" s="56"/>
      <c r="K38" s="56"/>
      <c r="L38" s="56"/>
    </row>
    <row r="39" spans="1:12" ht="31.9" customHeight="1" thickBot="1" x14ac:dyDescent="0.25">
      <c r="A39" s="74">
        <f t="shared" si="0"/>
        <v>30</v>
      </c>
      <c r="B39" s="72"/>
      <c r="C39" s="75" t="s">
        <v>162</v>
      </c>
      <c r="D39" s="75" t="s">
        <v>139</v>
      </c>
      <c r="E39" s="61" t="s">
        <v>181</v>
      </c>
      <c r="F39" s="58" t="s">
        <v>135</v>
      </c>
      <c r="G39" s="57">
        <v>1</v>
      </c>
      <c r="H39" s="77">
        <v>10863</v>
      </c>
      <c r="I39" s="78">
        <f t="shared" si="1"/>
        <v>10863</v>
      </c>
      <c r="J39" s="56"/>
      <c r="K39" s="56"/>
      <c r="L39" s="56"/>
    </row>
    <row r="40" spans="1:12" ht="31.9" customHeight="1" thickBot="1" x14ac:dyDescent="0.25">
      <c r="A40" s="74">
        <f t="shared" si="0"/>
        <v>31</v>
      </c>
      <c r="B40" s="72"/>
      <c r="C40" s="75" t="s">
        <v>162</v>
      </c>
      <c r="D40" s="75" t="s">
        <v>139</v>
      </c>
      <c r="E40" s="70" t="s">
        <v>182</v>
      </c>
      <c r="F40" s="72" t="s">
        <v>135</v>
      </c>
      <c r="G40" s="72">
        <v>1</v>
      </c>
      <c r="H40" s="78">
        <v>13299</v>
      </c>
      <c r="I40" s="78">
        <f t="shared" si="1"/>
        <v>13299</v>
      </c>
      <c r="J40" s="56"/>
      <c r="K40" s="56"/>
      <c r="L40" s="56"/>
    </row>
    <row r="41" spans="1:12" ht="31.9" customHeight="1" thickBot="1" x14ac:dyDescent="0.25">
      <c r="A41" s="74">
        <f t="shared" si="0"/>
        <v>32</v>
      </c>
      <c r="B41" s="72"/>
      <c r="C41" s="75" t="s">
        <v>162</v>
      </c>
      <c r="D41" s="75" t="s">
        <v>139</v>
      </c>
      <c r="E41" s="61" t="s">
        <v>183</v>
      </c>
      <c r="F41" s="59" t="s">
        <v>135</v>
      </c>
      <c r="G41" s="57">
        <v>3</v>
      </c>
      <c r="H41" s="77">
        <v>14114</v>
      </c>
      <c r="I41" s="78">
        <f t="shared" si="1"/>
        <v>42342</v>
      </c>
      <c r="J41" s="56"/>
      <c r="K41" s="56"/>
      <c r="L41" s="56"/>
    </row>
    <row r="42" spans="1:12" ht="31.9" customHeight="1" thickBot="1" x14ac:dyDescent="0.25">
      <c r="A42" s="74">
        <f t="shared" si="0"/>
        <v>33</v>
      </c>
      <c r="B42" s="72"/>
      <c r="C42" s="75" t="s">
        <v>162</v>
      </c>
      <c r="D42" s="75" t="s">
        <v>139</v>
      </c>
      <c r="E42" s="76" t="s">
        <v>184</v>
      </c>
      <c r="F42" s="58" t="s">
        <v>135</v>
      </c>
      <c r="G42" s="57">
        <v>1</v>
      </c>
      <c r="H42" s="77">
        <v>12963</v>
      </c>
      <c r="I42" s="78">
        <f t="shared" si="1"/>
        <v>12963</v>
      </c>
      <c r="J42" s="56"/>
      <c r="K42" s="56"/>
      <c r="L42" s="56"/>
    </row>
    <row r="43" spans="1:12" ht="31.9" customHeight="1" thickBot="1" x14ac:dyDescent="0.25">
      <c r="A43" s="74">
        <f t="shared" ref="A43:A74" si="2">A42+1</f>
        <v>34</v>
      </c>
      <c r="B43" s="72"/>
      <c r="C43" s="75" t="s">
        <v>162</v>
      </c>
      <c r="D43" s="75" t="s">
        <v>139</v>
      </c>
      <c r="E43" s="61" t="s">
        <v>185</v>
      </c>
      <c r="F43" s="58" t="s">
        <v>135</v>
      </c>
      <c r="G43" s="57">
        <v>1</v>
      </c>
      <c r="H43" s="77">
        <v>14114</v>
      </c>
      <c r="I43" s="78">
        <f t="shared" si="1"/>
        <v>14114</v>
      </c>
      <c r="J43" s="56"/>
      <c r="K43" s="56"/>
      <c r="L43" s="56"/>
    </row>
    <row r="44" spans="1:12" ht="31.9" customHeight="1" thickBot="1" x14ac:dyDescent="0.25">
      <c r="A44" s="74">
        <f t="shared" si="2"/>
        <v>35</v>
      </c>
      <c r="B44" s="72"/>
      <c r="C44" s="75" t="s">
        <v>162</v>
      </c>
      <c r="D44" s="75" t="s">
        <v>139</v>
      </c>
      <c r="E44" s="61" t="s">
        <v>186</v>
      </c>
      <c r="F44" s="58" t="s">
        <v>135</v>
      </c>
      <c r="G44" s="57">
        <v>1</v>
      </c>
      <c r="H44" s="77">
        <v>14114</v>
      </c>
      <c r="I44" s="78">
        <f t="shared" si="1"/>
        <v>14114</v>
      </c>
      <c r="J44" s="56"/>
      <c r="K44" s="56"/>
      <c r="L44" s="56"/>
    </row>
    <row r="45" spans="1:12" ht="31.9" customHeight="1" thickBot="1" x14ac:dyDescent="0.25">
      <c r="A45" s="74">
        <f t="shared" si="2"/>
        <v>36</v>
      </c>
      <c r="B45" s="72"/>
      <c r="C45" s="75" t="s">
        <v>162</v>
      </c>
      <c r="D45" s="75" t="s">
        <v>139</v>
      </c>
      <c r="E45" s="61" t="s">
        <v>187</v>
      </c>
      <c r="F45" s="58" t="s">
        <v>135</v>
      </c>
      <c r="G45" s="57">
        <v>1</v>
      </c>
      <c r="H45" s="77">
        <v>10863</v>
      </c>
      <c r="I45" s="78">
        <f t="shared" si="1"/>
        <v>10863</v>
      </c>
      <c r="J45" s="56"/>
      <c r="K45" s="56"/>
      <c r="L45" s="56"/>
    </row>
    <row r="46" spans="1:12" ht="31.9" customHeight="1" thickBot="1" x14ac:dyDescent="0.25">
      <c r="A46" s="74">
        <f t="shared" si="2"/>
        <v>37</v>
      </c>
      <c r="B46" s="72"/>
      <c r="C46" s="75" t="s">
        <v>162</v>
      </c>
      <c r="D46" s="75" t="s">
        <v>139</v>
      </c>
      <c r="E46" s="61" t="s">
        <v>111</v>
      </c>
      <c r="F46" s="58" t="s">
        <v>135</v>
      </c>
      <c r="G46" s="57">
        <v>1</v>
      </c>
      <c r="H46" s="77">
        <v>41773</v>
      </c>
      <c r="I46" s="78">
        <f t="shared" si="1"/>
        <v>41773</v>
      </c>
      <c r="J46" s="56"/>
      <c r="K46" s="56"/>
      <c r="L46" s="56"/>
    </row>
    <row r="47" spans="1:12" ht="31.9" customHeight="1" thickBot="1" x14ac:dyDescent="0.25">
      <c r="A47" s="74">
        <f t="shared" si="2"/>
        <v>38</v>
      </c>
      <c r="B47" s="72"/>
      <c r="C47" s="75" t="s">
        <v>162</v>
      </c>
      <c r="D47" s="75" t="s">
        <v>139</v>
      </c>
      <c r="E47" s="61" t="s">
        <v>112</v>
      </c>
      <c r="F47" s="58" t="s">
        <v>135</v>
      </c>
      <c r="G47" s="57">
        <v>1</v>
      </c>
      <c r="H47" s="77">
        <v>14114</v>
      </c>
      <c r="I47" s="78">
        <f t="shared" si="1"/>
        <v>14114</v>
      </c>
      <c r="J47" s="56"/>
      <c r="K47" s="56"/>
      <c r="L47" s="56"/>
    </row>
    <row r="48" spans="1:12" ht="31.9" customHeight="1" thickBot="1" x14ac:dyDescent="0.25">
      <c r="A48" s="74">
        <f t="shared" si="2"/>
        <v>39</v>
      </c>
      <c r="B48" s="72"/>
      <c r="C48" s="75" t="s">
        <v>162</v>
      </c>
      <c r="D48" s="75" t="s">
        <v>139</v>
      </c>
      <c r="E48" s="61" t="s">
        <v>113</v>
      </c>
      <c r="F48" s="58" t="s">
        <v>135</v>
      </c>
      <c r="G48" s="57">
        <v>1</v>
      </c>
      <c r="H48" s="77">
        <v>12963</v>
      </c>
      <c r="I48" s="78">
        <f t="shared" si="1"/>
        <v>12963</v>
      </c>
      <c r="J48" s="56"/>
      <c r="K48" s="56"/>
      <c r="L48" s="56"/>
    </row>
    <row r="49" spans="1:12" ht="31.9" customHeight="1" thickBot="1" x14ac:dyDescent="0.25">
      <c r="A49" s="74">
        <f t="shared" si="2"/>
        <v>40</v>
      </c>
      <c r="B49" s="72"/>
      <c r="C49" s="75" t="s">
        <v>162</v>
      </c>
      <c r="D49" s="75" t="s">
        <v>139</v>
      </c>
      <c r="E49" s="61" t="s">
        <v>114</v>
      </c>
      <c r="F49" s="58" t="s">
        <v>135</v>
      </c>
      <c r="G49" s="57">
        <v>1</v>
      </c>
      <c r="H49" s="77">
        <v>16890</v>
      </c>
      <c r="I49" s="78">
        <f t="shared" si="1"/>
        <v>16890</v>
      </c>
      <c r="J49" s="56"/>
      <c r="K49" s="56"/>
      <c r="L49" s="56"/>
    </row>
    <row r="50" spans="1:12" ht="31.9" customHeight="1" thickBot="1" x14ac:dyDescent="0.25">
      <c r="A50" s="74">
        <f t="shared" si="2"/>
        <v>41</v>
      </c>
      <c r="B50" s="72"/>
      <c r="C50" s="75" t="s">
        <v>162</v>
      </c>
      <c r="D50" s="75" t="s">
        <v>139</v>
      </c>
      <c r="E50" s="61" t="s">
        <v>115</v>
      </c>
      <c r="F50" s="58" t="s">
        <v>135</v>
      </c>
      <c r="G50" s="57">
        <v>1</v>
      </c>
      <c r="H50" s="77">
        <v>10863</v>
      </c>
      <c r="I50" s="78">
        <f t="shared" si="1"/>
        <v>10863</v>
      </c>
      <c r="J50" s="56"/>
      <c r="K50" s="56"/>
      <c r="L50" s="56"/>
    </row>
    <row r="51" spans="1:12" ht="31.9" customHeight="1" thickBot="1" x14ac:dyDescent="0.25">
      <c r="A51" s="74">
        <f t="shared" si="2"/>
        <v>42</v>
      </c>
      <c r="B51" s="72"/>
      <c r="C51" s="75" t="s">
        <v>162</v>
      </c>
      <c r="D51" s="75" t="s">
        <v>139</v>
      </c>
      <c r="E51" s="61" t="s">
        <v>188</v>
      </c>
      <c r="F51" s="58" t="s">
        <v>135</v>
      </c>
      <c r="G51" s="57">
        <v>1</v>
      </c>
      <c r="H51" s="77">
        <v>10435</v>
      </c>
      <c r="I51" s="78">
        <f t="shared" si="1"/>
        <v>10435</v>
      </c>
      <c r="J51" s="56"/>
      <c r="K51" s="56"/>
      <c r="L51" s="56"/>
    </row>
    <row r="52" spans="1:12" ht="31.9" customHeight="1" thickBot="1" x14ac:dyDescent="0.25">
      <c r="A52" s="74">
        <f t="shared" si="2"/>
        <v>43</v>
      </c>
      <c r="B52" s="72"/>
      <c r="C52" s="75" t="s">
        <v>162</v>
      </c>
      <c r="D52" s="75" t="s">
        <v>139</v>
      </c>
      <c r="E52" s="61" t="s">
        <v>122</v>
      </c>
      <c r="F52" s="58" t="s">
        <v>135</v>
      </c>
      <c r="G52" s="57">
        <v>1</v>
      </c>
      <c r="H52" s="77">
        <v>10863</v>
      </c>
      <c r="I52" s="78">
        <f t="shared" si="1"/>
        <v>10863</v>
      </c>
      <c r="J52" s="56"/>
      <c r="K52" s="56"/>
      <c r="L52" s="56"/>
    </row>
    <row r="53" spans="1:12" ht="31.9" customHeight="1" thickBot="1" x14ac:dyDescent="0.25">
      <c r="A53" s="74">
        <f t="shared" si="2"/>
        <v>44</v>
      </c>
      <c r="B53" s="72"/>
      <c r="C53" s="75" t="s">
        <v>162</v>
      </c>
      <c r="D53" s="75" t="s">
        <v>139</v>
      </c>
      <c r="E53" s="61" t="s">
        <v>189</v>
      </c>
      <c r="F53" s="58" t="s">
        <v>135</v>
      </c>
      <c r="G53" s="57">
        <v>1</v>
      </c>
      <c r="H53" s="77">
        <v>9986</v>
      </c>
      <c r="I53" s="78">
        <f t="shared" si="1"/>
        <v>9986</v>
      </c>
      <c r="J53" s="56"/>
      <c r="K53" s="56"/>
      <c r="L53" s="56"/>
    </row>
    <row r="54" spans="1:12" ht="31.9" customHeight="1" thickBot="1" x14ac:dyDescent="0.25">
      <c r="A54" s="74">
        <f t="shared" si="2"/>
        <v>45</v>
      </c>
      <c r="B54" s="72"/>
      <c r="C54" s="75" t="s">
        <v>162</v>
      </c>
      <c r="D54" s="75" t="s">
        <v>139</v>
      </c>
      <c r="E54" s="61" t="s">
        <v>190</v>
      </c>
      <c r="F54" s="58" t="s">
        <v>135</v>
      </c>
      <c r="G54" s="57">
        <v>1</v>
      </c>
      <c r="H54" s="77">
        <v>10863</v>
      </c>
      <c r="I54" s="78">
        <f t="shared" si="1"/>
        <v>10863</v>
      </c>
      <c r="J54" s="56"/>
      <c r="K54" s="56"/>
      <c r="L54" s="56"/>
    </row>
    <row r="55" spans="1:12" ht="31.9" customHeight="1" thickBot="1" x14ac:dyDescent="0.25">
      <c r="A55" s="74">
        <f t="shared" si="2"/>
        <v>46</v>
      </c>
      <c r="B55" s="72"/>
      <c r="C55" s="75" t="s">
        <v>162</v>
      </c>
      <c r="D55" s="75" t="s">
        <v>139</v>
      </c>
      <c r="E55" s="61" t="s">
        <v>191</v>
      </c>
      <c r="F55" s="58" t="s">
        <v>135</v>
      </c>
      <c r="G55" s="57">
        <v>1</v>
      </c>
      <c r="H55" s="77">
        <v>10863</v>
      </c>
      <c r="I55" s="78">
        <f t="shared" si="1"/>
        <v>10863</v>
      </c>
      <c r="J55" s="56"/>
      <c r="K55" s="56"/>
      <c r="L55" s="56"/>
    </row>
    <row r="56" spans="1:12" ht="31.9" customHeight="1" thickBot="1" x14ac:dyDescent="0.25">
      <c r="A56" s="74">
        <f t="shared" si="2"/>
        <v>47</v>
      </c>
      <c r="B56" s="72"/>
      <c r="C56" s="75" t="s">
        <v>162</v>
      </c>
      <c r="D56" s="75" t="s">
        <v>139</v>
      </c>
      <c r="E56" s="61" t="s">
        <v>116</v>
      </c>
      <c r="F56" s="58" t="s">
        <v>135</v>
      </c>
      <c r="G56" s="57">
        <v>1</v>
      </c>
      <c r="H56" s="77">
        <v>10863</v>
      </c>
      <c r="I56" s="78">
        <f t="shared" si="1"/>
        <v>10863</v>
      </c>
      <c r="J56" s="56"/>
      <c r="K56" s="56"/>
      <c r="L56" s="56"/>
    </row>
    <row r="57" spans="1:12" ht="31.9" customHeight="1" thickBot="1" x14ac:dyDescent="0.25">
      <c r="A57" s="74">
        <f t="shared" si="2"/>
        <v>48</v>
      </c>
      <c r="B57" s="72"/>
      <c r="C57" s="75" t="s">
        <v>162</v>
      </c>
      <c r="D57" s="75" t="s">
        <v>139</v>
      </c>
      <c r="E57" s="61" t="s">
        <v>117</v>
      </c>
      <c r="F57" s="58" t="s">
        <v>135</v>
      </c>
      <c r="G57" s="57">
        <v>1</v>
      </c>
      <c r="H57" s="77">
        <v>25575</v>
      </c>
      <c r="I57" s="78">
        <f t="shared" si="1"/>
        <v>25575</v>
      </c>
      <c r="J57" s="56"/>
      <c r="K57" s="56"/>
      <c r="L57" s="56"/>
    </row>
    <row r="58" spans="1:12" ht="31.9" customHeight="1" thickBot="1" x14ac:dyDescent="0.25">
      <c r="A58" s="74">
        <f t="shared" si="2"/>
        <v>49</v>
      </c>
      <c r="B58" s="72"/>
      <c r="C58" s="75" t="s">
        <v>162</v>
      </c>
      <c r="D58" s="75" t="s">
        <v>139</v>
      </c>
      <c r="E58" s="61" t="s">
        <v>192</v>
      </c>
      <c r="F58" s="58" t="s">
        <v>135</v>
      </c>
      <c r="G58" s="57">
        <v>1</v>
      </c>
      <c r="H58" s="77">
        <v>10435</v>
      </c>
      <c r="I58" s="78">
        <f t="shared" si="1"/>
        <v>10435</v>
      </c>
      <c r="J58" s="56"/>
      <c r="K58" s="56"/>
      <c r="L58" s="56"/>
    </row>
    <row r="59" spans="1:12" ht="31.9" customHeight="1" thickBot="1" x14ac:dyDescent="0.25">
      <c r="A59" s="74">
        <f t="shared" si="2"/>
        <v>50</v>
      </c>
      <c r="B59" s="72"/>
      <c r="C59" s="75" t="s">
        <v>162</v>
      </c>
      <c r="D59" s="75" t="s">
        <v>139</v>
      </c>
      <c r="E59" s="61" t="s">
        <v>193</v>
      </c>
      <c r="F59" s="58" t="s">
        <v>135</v>
      </c>
      <c r="G59" s="57">
        <v>1</v>
      </c>
      <c r="H59" s="77">
        <v>10435</v>
      </c>
      <c r="I59" s="78">
        <f t="shared" si="1"/>
        <v>10435</v>
      </c>
      <c r="J59" s="56"/>
      <c r="K59" s="56"/>
      <c r="L59" s="56"/>
    </row>
    <row r="60" spans="1:12" ht="31.9" customHeight="1" thickBot="1" x14ac:dyDescent="0.25">
      <c r="A60" s="74">
        <f t="shared" si="2"/>
        <v>51</v>
      </c>
      <c r="B60" s="72"/>
      <c r="C60" s="75" t="s">
        <v>162</v>
      </c>
      <c r="D60" s="75" t="s">
        <v>139</v>
      </c>
      <c r="E60" s="61" t="s">
        <v>118</v>
      </c>
      <c r="F60" s="58" t="s">
        <v>135</v>
      </c>
      <c r="G60" s="57">
        <v>1</v>
      </c>
      <c r="H60" s="77">
        <v>10863</v>
      </c>
      <c r="I60" s="78">
        <f t="shared" si="1"/>
        <v>10863</v>
      </c>
      <c r="J60" s="56"/>
      <c r="K60" s="56"/>
      <c r="L60" s="56"/>
    </row>
    <row r="61" spans="1:12" ht="31.9" customHeight="1" thickBot="1" x14ac:dyDescent="0.25">
      <c r="A61" s="74">
        <f t="shared" si="2"/>
        <v>52</v>
      </c>
      <c r="B61" s="72"/>
      <c r="C61" s="75" t="s">
        <v>162</v>
      </c>
      <c r="D61" s="75" t="s">
        <v>139</v>
      </c>
      <c r="E61" s="61" t="s">
        <v>119</v>
      </c>
      <c r="F61" s="58" t="s">
        <v>135</v>
      </c>
      <c r="G61" s="57">
        <v>1</v>
      </c>
      <c r="H61" s="77">
        <v>14114</v>
      </c>
      <c r="I61" s="78">
        <f t="shared" si="1"/>
        <v>14114</v>
      </c>
      <c r="J61" s="56"/>
      <c r="K61" s="56"/>
      <c r="L61" s="56"/>
    </row>
    <row r="62" spans="1:12" ht="31.9" customHeight="1" thickBot="1" x14ac:dyDescent="0.25">
      <c r="A62" s="74">
        <f t="shared" si="2"/>
        <v>53</v>
      </c>
      <c r="B62" s="72"/>
      <c r="C62" s="75" t="s">
        <v>162</v>
      </c>
      <c r="D62" s="75" t="s">
        <v>139</v>
      </c>
      <c r="E62" s="61" t="s">
        <v>120</v>
      </c>
      <c r="F62" s="58" t="s">
        <v>135</v>
      </c>
      <c r="G62" s="60">
        <v>1</v>
      </c>
      <c r="H62" s="77">
        <v>11353</v>
      </c>
      <c r="I62" s="78">
        <f t="shared" si="1"/>
        <v>11353</v>
      </c>
      <c r="J62" s="56"/>
      <c r="K62" s="56"/>
      <c r="L62" s="56"/>
    </row>
    <row r="63" spans="1:12" ht="31.9" customHeight="1" thickBot="1" x14ac:dyDescent="0.25">
      <c r="A63" s="74">
        <f t="shared" si="2"/>
        <v>54</v>
      </c>
      <c r="B63" s="72"/>
      <c r="C63" s="75" t="s">
        <v>162</v>
      </c>
      <c r="D63" s="75" t="s">
        <v>139</v>
      </c>
      <c r="E63" s="61" t="s">
        <v>194</v>
      </c>
      <c r="F63" s="58" t="s">
        <v>135</v>
      </c>
      <c r="G63" s="57">
        <v>1</v>
      </c>
      <c r="H63" s="77">
        <v>9929</v>
      </c>
      <c r="I63" s="78">
        <f t="shared" si="1"/>
        <v>9929</v>
      </c>
      <c r="J63" s="56"/>
      <c r="K63" s="56"/>
      <c r="L63" s="56"/>
    </row>
    <row r="64" spans="1:12" ht="31.9" customHeight="1" thickBot="1" x14ac:dyDescent="0.25">
      <c r="A64" s="74">
        <f t="shared" si="2"/>
        <v>55</v>
      </c>
      <c r="B64" s="72"/>
      <c r="C64" s="75" t="s">
        <v>162</v>
      </c>
      <c r="D64" s="75" t="s">
        <v>139</v>
      </c>
      <c r="E64" s="61" t="s">
        <v>121</v>
      </c>
      <c r="F64" s="58" t="s">
        <v>135</v>
      </c>
      <c r="G64" s="57">
        <v>1</v>
      </c>
      <c r="H64" s="77">
        <v>15703</v>
      </c>
      <c r="I64" s="78">
        <f t="shared" si="1"/>
        <v>15703</v>
      </c>
      <c r="J64" s="56"/>
      <c r="K64" s="56"/>
      <c r="L64" s="56"/>
    </row>
    <row r="65" spans="1:12" ht="31.9" customHeight="1" thickBot="1" x14ac:dyDescent="0.25">
      <c r="A65" s="74">
        <f t="shared" si="2"/>
        <v>56</v>
      </c>
      <c r="B65" s="72"/>
      <c r="C65" s="75" t="s">
        <v>162</v>
      </c>
      <c r="D65" s="75" t="s">
        <v>139</v>
      </c>
      <c r="E65" s="61" t="s">
        <v>195</v>
      </c>
      <c r="F65" s="58" t="s">
        <v>135</v>
      </c>
      <c r="G65" s="57">
        <v>1</v>
      </c>
      <c r="H65" s="77">
        <v>14114</v>
      </c>
      <c r="I65" s="78">
        <f t="shared" si="1"/>
        <v>14114</v>
      </c>
      <c r="J65" s="56"/>
      <c r="K65" s="56"/>
      <c r="L65" s="56"/>
    </row>
    <row r="66" spans="1:12" ht="31.9" customHeight="1" thickBot="1" x14ac:dyDescent="0.25">
      <c r="A66" s="74">
        <f t="shared" si="2"/>
        <v>57</v>
      </c>
      <c r="B66" s="72"/>
      <c r="C66" s="75" t="s">
        <v>162</v>
      </c>
      <c r="D66" s="75" t="s">
        <v>139</v>
      </c>
      <c r="E66" s="61" t="s">
        <v>196</v>
      </c>
      <c r="F66" s="58" t="s">
        <v>134</v>
      </c>
      <c r="G66" s="57">
        <v>20</v>
      </c>
      <c r="H66" s="77">
        <v>7296</v>
      </c>
      <c r="I66" s="78">
        <f t="shared" si="1"/>
        <v>145920</v>
      </c>
      <c r="J66" s="56"/>
      <c r="K66" s="56"/>
      <c r="L66" s="56"/>
    </row>
    <row r="67" spans="1:12" ht="31.9" customHeight="1" thickBot="1" x14ac:dyDescent="0.25">
      <c r="A67" s="74">
        <f t="shared" si="2"/>
        <v>58</v>
      </c>
      <c r="B67" s="72"/>
      <c r="C67" s="75" t="s">
        <v>162</v>
      </c>
      <c r="D67" s="75" t="s">
        <v>139</v>
      </c>
      <c r="E67" s="61" t="s">
        <v>63</v>
      </c>
      <c r="F67" s="62" t="s">
        <v>135</v>
      </c>
      <c r="G67" s="57">
        <v>22</v>
      </c>
      <c r="H67" s="77">
        <v>8253</v>
      </c>
      <c r="I67" s="78">
        <f t="shared" si="1"/>
        <v>181566</v>
      </c>
      <c r="J67" s="56"/>
      <c r="K67" s="56"/>
      <c r="L67" s="56"/>
    </row>
    <row r="68" spans="1:12" ht="31.9" customHeight="1" thickBot="1" x14ac:dyDescent="0.25">
      <c r="A68" s="74">
        <f t="shared" si="2"/>
        <v>59</v>
      </c>
      <c r="B68" s="72"/>
      <c r="C68" s="75" t="s">
        <v>162</v>
      </c>
      <c r="D68" s="75" t="s">
        <v>139</v>
      </c>
      <c r="E68" s="61" t="s">
        <v>92</v>
      </c>
      <c r="F68" s="62" t="s">
        <v>135</v>
      </c>
      <c r="G68" s="57">
        <v>2</v>
      </c>
      <c r="H68" s="77">
        <v>30159</v>
      </c>
      <c r="I68" s="78">
        <f t="shared" si="1"/>
        <v>60318</v>
      </c>
      <c r="J68" s="56"/>
      <c r="K68" s="56"/>
      <c r="L68" s="56"/>
    </row>
    <row r="69" spans="1:12" ht="31.9" customHeight="1" thickBot="1" x14ac:dyDescent="0.25">
      <c r="A69" s="74">
        <f t="shared" si="2"/>
        <v>60</v>
      </c>
      <c r="B69" s="72"/>
      <c r="C69" s="75" t="s">
        <v>162</v>
      </c>
      <c r="D69" s="75" t="s">
        <v>139</v>
      </c>
      <c r="E69" s="70" t="s">
        <v>91</v>
      </c>
      <c r="F69" s="72" t="s">
        <v>135</v>
      </c>
      <c r="G69" s="72">
        <v>1</v>
      </c>
      <c r="H69" s="78">
        <v>26882</v>
      </c>
      <c r="I69" s="78">
        <f t="shared" si="1"/>
        <v>26882</v>
      </c>
      <c r="J69" s="56"/>
      <c r="K69" s="56"/>
      <c r="L69" s="56"/>
    </row>
    <row r="70" spans="1:12" ht="31.9" customHeight="1" thickBot="1" x14ac:dyDescent="0.25">
      <c r="A70" s="74">
        <f t="shared" si="2"/>
        <v>61</v>
      </c>
      <c r="B70" s="72"/>
      <c r="C70" s="75" t="s">
        <v>162</v>
      </c>
      <c r="D70" s="75" t="s">
        <v>139</v>
      </c>
      <c r="E70" s="70" t="s">
        <v>93</v>
      </c>
      <c r="F70" s="72" t="s">
        <v>135</v>
      </c>
      <c r="G70" s="72">
        <v>1</v>
      </c>
      <c r="H70" s="78">
        <v>20031</v>
      </c>
      <c r="I70" s="78">
        <f t="shared" si="1"/>
        <v>20031</v>
      </c>
      <c r="J70" s="56"/>
      <c r="K70" s="56"/>
      <c r="L70" s="56"/>
    </row>
    <row r="71" spans="1:12" ht="31.9" customHeight="1" thickBot="1" x14ac:dyDescent="0.25">
      <c r="A71" s="74">
        <f t="shared" si="2"/>
        <v>62</v>
      </c>
      <c r="B71" s="72"/>
      <c r="C71" s="75" t="s">
        <v>162</v>
      </c>
      <c r="D71" s="75" t="s">
        <v>139</v>
      </c>
      <c r="E71" s="70" t="s">
        <v>142</v>
      </c>
      <c r="F71" s="72" t="s">
        <v>138</v>
      </c>
      <c r="G71" s="72">
        <v>2</v>
      </c>
      <c r="H71" s="78">
        <v>9780</v>
      </c>
      <c r="I71" s="78">
        <f t="shared" si="1"/>
        <v>19560</v>
      </c>
      <c r="J71" s="56"/>
      <c r="K71" s="56"/>
      <c r="L71" s="56"/>
    </row>
    <row r="72" spans="1:12" ht="31.9" customHeight="1" thickBot="1" x14ac:dyDescent="0.25">
      <c r="A72" s="74">
        <f t="shared" si="2"/>
        <v>63</v>
      </c>
      <c r="B72" s="72"/>
      <c r="C72" s="75" t="s">
        <v>162</v>
      </c>
      <c r="D72" s="75" t="s">
        <v>139</v>
      </c>
      <c r="E72" s="70" t="s">
        <v>108</v>
      </c>
      <c r="F72" s="72" t="s">
        <v>135</v>
      </c>
      <c r="G72" s="72">
        <v>12</v>
      </c>
      <c r="H72" s="78">
        <v>8694</v>
      </c>
      <c r="I72" s="78">
        <f t="shared" si="1"/>
        <v>104328</v>
      </c>
      <c r="J72" s="56"/>
      <c r="K72" s="56"/>
      <c r="L72" s="56"/>
    </row>
    <row r="73" spans="1:12" ht="31.9" customHeight="1" thickBot="1" x14ac:dyDescent="0.25">
      <c r="A73" s="74">
        <f t="shared" si="2"/>
        <v>64</v>
      </c>
      <c r="B73" s="72"/>
      <c r="C73" s="75" t="s">
        <v>162</v>
      </c>
      <c r="D73" s="75" t="s">
        <v>139</v>
      </c>
      <c r="E73" s="61" t="s">
        <v>197</v>
      </c>
      <c r="F73" s="63" t="s">
        <v>136</v>
      </c>
      <c r="G73" s="60">
        <v>12</v>
      </c>
      <c r="H73" s="77">
        <v>3514</v>
      </c>
      <c r="I73" s="78">
        <f t="shared" si="1"/>
        <v>42168</v>
      </c>
      <c r="J73" s="56"/>
      <c r="K73" s="56"/>
      <c r="L73" s="56"/>
    </row>
    <row r="74" spans="1:12" ht="31.9" customHeight="1" thickBot="1" x14ac:dyDescent="0.25">
      <c r="A74" s="74">
        <f t="shared" si="2"/>
        <v>65</v>
      </c>
      <c r="B74" s="72"/>
      <c r="C74" s="75" t="s">
        <v>162</v>
      </c>
      <c r="D74" s="75" t="s">
        <v>139</v>
      </c>
      <c r="E74" s="61" t="s">
        <v>198</v>
      </c>
      <c r="F74" s="63" t="s">
        <v>135</v>
      </c>
      <c r="G74" s="60">
        <v>2</v>
      </c>
      <c r="H74" s="77">
        <v>2225</v>
      </c>
      <c r="I74" s="78">
        <f t="shared" si="1"/>
        <v>4450</v>
      </c>
      <c r="J74" s="56"/>
      <c r="K74" s="56"/>
      <c r="L74" s="56"/>
    </row>
    <row r="75" spans="1:12" ht="31.9" customHeight="1" thickBot="1" x14ac:dyDescent="0.25">
      <c r="A75" s="74">
        <f t="shared" ref="A75:A106" si="3">A74+1</f>
        <v>66</v>
      </c>
      <c r="B75" s="72"/>
      <c r="C75" s="75" t="s">
        <v>162</v>
      </c>
      <c r="D75" s="75" t="s">
        <v>139</v>
      </c>
      <c r="E75" s="61" t="s">
        <v>68</v>
      </c>
      <c r="F75" s="58" t="s">
        <v>136</v>
      </c>
      <c r="G75" s="57">
        <v>3</v>
      </c>
      <c r="H75" s="77">
        <v>10322</v>
      </c>
      <c r="I75" s="78">
        <f t="shared" ref="I75:I137" si="4">G75*H75</f>
        <v>30966</v>
      </c>
      <c r="J75" s="56"/>
      <c r="K75" s="56"/>
      <c r="L75" s="56"/>
    </row>
    <row r="76" spans="1:12" ht="31.9" customHeight="1" thickBot="1" x14ac:dyDescent="0.25">
      <c r="A76" s="74">
        <f t="shared" si="3"/>
        <v>67</v>
      </c>
      <c r="B76" s="72"/>
      <c r="C76" s="75" t="s">
        <v>162</v>
      </c>
      <c r="D76" s="75" t="s">
        <v>139</v>
      </c>
      <c r="E76" s="61" t="s">
        <v>69</v>
      </c>
      <c r="F76" s="58" t="s">
        <v>136</v>
      </c>
      <c r="G76" s="60">
        <v>4</v>
      </c>
      <c r="H76" s="77">
        <v>10322</v>
      </c>
      <c r="I76" s="78">
        <f t="shared" si="4"/>
        <v>41288</v>
      </c>
      <c r="J76" s="56"/>
      <c r="K76" s="56"/>
      <c r="L76" s="56"/>
    </row>
    <row r="77" spans="1:12" ht="31.9" customHeight="1" thickBot="1" x14ac:dyDescent="0.25">
      <c r="A77" s="74">
        <f t="shared" si="3"/>
        <v>68</v>
      </c>
      <c r="B77" s="72"/>
      <c r="C77" s="75" t="s">
        <v>162</v>
      </c>
      <c r="D77" s="75" t="s">
        <v>139</v>
      </c>
      <c r="E77" s="61" t="s">
        <v>199</v>
      </c>
      <c r="F77" s="58" t="s">
        <v>136</v>
      </c>
      <c r="G77" s="57">
        <v>3</v>
      </c>
      <c r="H77" s="77">
        <v>2925</v>
      </c>
      <c r="I77" s="78">
        <f t="shared" si="4"/>
        <v>8775</v>
      </c>
      <c r="J77" s="56"/>
      <c r="K77" s="56"/>
      <c r="L77" s="56"/>
    </row>
    <row r="78" spans="1:12" ht="31.9" customHeight="1" thickBot="1" x14ac:dyDescent="0.25">
      <c r="A78" s="74">
        <f t="shared" si="3"/>
        <v>69</v>
      </c>
      <c r="B78" s="72"/>
      <c r="C78" s="75" t="s">
        <v>162</v>
      </c>
      <c r="D78" s="75" t="s">
        <v>139</v>
      </c>
      <c r="E78" s="70" t="s">
        <v>200</v>
      </c>
      <c r="F78" s="72" t="s">
        <v>136</v>
      </c>
      <c r="G78" s="72">
        <v>12</v>
      </c>
      <c r="H78" s="78">
        <v>3854</v>
      </c>
      <c r="I78" s="78">
        <f t="shared" si="4"/>
        <v>46248</v>
      </c>
      <c r="J78" s="56"/>
      <c r="K78" s="56"/>
      <c r="L78" s="56"/>
    </row>
    <row r="79" spans="1:12" ht="31.9" customHeight="1" thickBot="1" x14ac:dyDescent="0.25">
      <c r="A79" s="74">
        <f t="shared" si="3"/>
        <v>70</v>
      </c>
      <c r="B79" s="72"/>
      <c r="C79" s="75" t="s">
        <v>162</v>
      </c>
      <c r="D79" s="75" t="s">
        <v>139</v>
      </c>
      <c r="E79" s="61" t="s">
        <v>86</v>
      </c>
      <c r="F79" s="58" t="s">
        <v>135</v>
      </c>
      <c r="G79" s="57">
        <v>1</v>
      </c>
      <c r="H79" s="77">
        <v>124741</v>
      </c>
      <c r="I79" s="78">
        <f t="shared" si="4"/>
        <v>124741</v>
      </c>
      <c r="J79" s="56"/>
      <c r="K79" s="56"/>
      <c r="L79" s="56"/>
    </row>
    <row r="80" spans="1:12" ht="31.9" customHeight="1" thickBot="1" x14ac:dyDescent="0.25">
      <c r="A80" s="74">
        <f t="shared" si="3"/>
        <v>71</v>
      </c>
      <c r="B80" s="72"/>
      <c r="C80" s="75" t="s">
        <v>162</v>
      </c>
      <c r="D80" s="75" t="s">
        <v>139</v>
      </c>
      <c r="E80" s="61" t="s">
        <v>201</v>
      </c>
      <c r="F80" s="59" t="s">
        <v>138</v>
      </c>
      <c r="G80" s="57">
        <v>1</v>
      </c>
      <c r="H80" s="77">
        <v>11777</v>
      </c>
      <c r="I80" s="78">
        <f t="shared" si="4"/>
        <v>11777</v>
      </c>
      <c r="J80" s="56"/>
      <c r="K80" s="56"/>
      <c r="L80" s="56"/>
    </row>
    <row r="81" spans="1:12" ht="31.9" customHeight="1" thickBot="1" x14ac:dyDescent="0.25">
      <c r="A81" s="74">
        <f t="shared" si="3"/>
        <v>72</v>
      </c>
      <c r="B81" s="72"/>
      <c r="C81" s="75" t="s">
        <v>162</v>
      </c>
      <c r="D81" s="75" t="s">
        <v>139</v>
      </c>
      <c r="E81" s="70" t="s">
        <v>202</v>
      </c>
      <c r="F81" s="72" t="s">
        <v>138</v>
      </c>
      <c r="G81" s="72">
        <v>4</v>
      </c>
      <c r="H81" s="78">
        <v>2544</v>
      </c>
      <c r="I81" s="78">
        <f t="shared" si="4"/>
        <v>10176</v>
      </c>
      <c r="J81" s="56"/>
      <c r="K81" s="56"/>
      <c r="L81" s="56"/>
    </row>
    <row r="82" spans="1:12" ht="31.9" customHeight="1" thickBot="1" x14ac:dyDescent="0.25">
      <c r="A82" s="74">
        <f t="shared" si="3"/>
        <v>73</v>
      </c>
      <c r="B82" s="72"/>
      <c r="C82" s="75" t="s">
        <v>162</v>
      </c>
      <c r="D82" s="75" t="s">
        <v>139</v>
      </c>
      <c r="E82" s="64" t="s">
        <v>203</v>
      </c>
      <c r="F82" s="65" t="s">
        <v>137</v>
      </c>
      <c r="G82" s="57">
        <v>10</v>
      </c>
      <c r="H82" s="77">
        <v>901</v>
      </c>
      <c r="I82" s="78">
        <f t="shared" si="4"/>
        <v>9010</v>
      </c>
      <c r="J82" s="56"/>
      <c r="K82" s="56"/>
      <c r="L82" s="56"/>
    </row>
    <row r="83" spans="1:12" ht="31.9" customHeight="1" thickBot="1" x14ac:dyDescent="0.25">
      <c r="A83" s="74">
        <f t="shared" si="3"/>
        <v>74</v>
      </c>
      <c r="B83" s="72"/>
      <c r="C83" s="75" t="s">
        <v>162</v>
      </c>
      <c r="D83" s="75" t="s">
        <v>139</v>
      </c>
      <c r="E83" s="76" t="s">
        <v>133</v>
      </c>
      <c r="F83" s="59" t="s">
        <v>138</v>
      </c>
      <c r="G83" s="57">
        <v>4</v>
      </c>
      <c r="H83" s="77">
        <v>825</v>
      </c>
      <c r="I83" s="78">
        <f t="shared" si="4"/>
        <v>3300</v>
      </c>
      <c r="J83" s="56"/>
      <c r="K83" s="56"/>
      <c r="L83" s="56"/>
    </row>
    <row r="84" spans="1:12" ht="31.9" customHeight="1" thickBot="1" x14ac:dyDescent="0.25">
      <c r="A84" s="74">
        <f t="shared" si="3"/>
        <v>75</v>
      </c>
      <c r="B84" s="72"/>
      <c r="C84" s="75" t="s">
        <v>162</v>
      </c>
      <c r="D84" s="75" t="s">
        <v>139</v>
      </c>
      <c r="E84" s="76" t="s">
        <v>109</v>
      </c>
      <c r="F84" s="59" t="s">
        <v>135</v>
      </c>
      <c r="G84" s="57">
        <v>1</v>
      </c>
      <c r="H84" s="77">
        <v>7358</v>
      </c>
      <c r="I84" s="78">
        <f t="shared" si="4"/>
        <v>7358</v>
      </c>
      <c r="J84" s="56"/>
      <c r="K84" s="56"/>
      <c r="L84" s="56"/>
    </row>
    <row r="85" spans="1:12" ht="31.9" customHeight="1" thickBot="1" x14ac:dyDescent="0.25">
      <c r="A85" s="74">
        <f t="shared" si="3"/>
        <v>76</v>
      </c>
      <c r="B85" s="72"/>
      <c r="C85" s="75" t="s">
        <v>162</v>
      </c>
      <c r="D85" s="75" t="s">
        <v>139</v>
      </c>
      <c r="E85" s="61" t="s">
        <v>204</v>
      </c>
      <c r="F85" s="59" t="s">
        <v>136</v>
      </c>
      <c r="G85" s="57">
        <v>3</v>
      </c>
      <c r="H85" s="77">
        <v>63867</v>
      </c>
      <c r="I85" s="78">
        <f t="shared" si="4"/>
        <v>191601</v>
      </c>
      <c r="J85" s="56"/>
      <c r="K85" s="56"/>
      <c r="L85" s="56"/>
    </row>
    <row r="86" spans="1:12" ht="31.9" customHeight="1" thickBot="1" x14ac:dyDescent="0.25">
      <c r="A86" s="74">
        <f t="shared" si="3"/>
        <v>77</v>
      </c>
      <c r="B86" s="72"/>
      <c r="C86" s="75" t="s">
        <v>162</v>
      </c>
      <c r="D86" s="75" t="s">
        <v>139</v>
      </c>
      <c r="E86" s="76" t="s">
        <v>205</v>
      </c>
      <c r="F86" s="59" t="s">
        <v>135</v>
      </c>
      <c r="G86" s="57">
        <v>1</v>
      </c>
      <c r="H86" s="77">
        <v>15214</v>
      </c>
      <c r="I86" s="78">
        <f t="shared" si="4"/>
        <v>15214</v>
      </c>
      <c r="J86" s="56"/>
      <c r="K86" s="56"/>
      <c r="L86" s="56"/>
    </row>
    <row r="87" spans="1:12" ht="31.9" customHeight="1" thickBot="1" x14ac:dyDescent="0.25">
      <c r="A87" s="74">
        <f t="shared" si="3"/>
        <v>78</v>
      </c>
      <c r="B87" s="72"/>
      <c r="C87" s="75" t="s">
        <v>162</v>
      </c>
      <c r="D87" s="75" t="s">
        <v>139</v>
      </c>
      <c r="E87" s="61" t="s">
        <v>206</v>
      </c>
      <c r="F87" s="58" t="s">
        <v>137</v>
      </c>
      <c r="G87" s="57">
        <v>1</v>
      </c>
      <c r="H87" s="77">
        <v>20266</v>
      </c>
      <c r="I87" s="78">
        <f t="shared" si="4"/>
        <v>20266</v>
      </c>
      <c r="J87" s="56"/>
      <c r="K87" s="56"/>
      <c r="L87" s="56"/>
    </row>
    <row r="88" spans="1:12" ht="31.9" customHeight="1" thickBot="1" x14ac:dyDescent="0.25">
      <c r="A88" s="74">
        <f t="shared" si="3"/>
        <v>79</v>
      </c>
      <c r="B88" s="72"/>
      <c r="C88" s="75" t="s">
        <v>162</v>
      </c>
      <c r="D88" s="75" t="s">
        <v>139</v>
      </c>
      <c r="E88" s="70" t="s">
        <v>207</v>
      </c>
      <c r="F88" s="72" t="s">
        <v>138</v>
      </c>
      <c r="G88" s="72">
        <v>5</v>
      </c>
      <c r="H88" s="78">
        <v>833</v>
      </c>
      <c r="I88" s="78">
        <f t="shared" si="4"/>
        <v>4165</v>
      </c>
      <c r="J88" s="56"/>
      <c r="K88" s="56"/>
      <c r="L88" s="56"/>
    </row>
    <row r="89" spans="1:12" ht="31.9" customHeight="1" thickBot="1" x14ac:dyDescent="0.25">
      <c r="A89" s="74">
        <f t="shared" si="3"/>
        <v>80</v>
      </c>
      <c r="B89" s="72"/>
      <c r="C89" s="75" t="s">
        <v>162</v>
      </c>
      <c r="D89" s="75" t="s">
        <v>139</v>
      </c>
      <c r="E89" s="70" t="s">
        <v>208</v>
      </c>
      <c r="F89" s="72" t="s">
        <v>138</v>
      </c>
      <c r="G89" s="72">
        <v>5</v>
      </c>
      <c r="H89" s="78">
        <v>833</v>
      </c>
      <c r="I89" s="78">
        <f t="shared" si="4"/>
        <v>4165</v>
      </c>
      <c r="J89" s="56"/>
      <c r="K89" s="56"/>
      <c r="L89" s="56"/>
    </row>
    <row r="90" spans="1:12" ht="31.9" customHeight="1" thickBot="1" x14ac:dyDescent="0.25">
      <c r="A90" s="74">
        <f t="shared" si="3"/>
        <v>81</v>
      </c>
      <c r="B90" s="72"/>
      <c r="C90" s="75" t="s">
        <v>162</v>
      </c>
      <c r="D90" s="75" t="s">
        <v>139</v>
      </c>
      <c r="E90" s="61" t="s">
        <v>209</v>
      </c>
      <c r="F90" s="58" t="s">
        <v>138</v>
      </c>
      <c r="G90" s="57">
        <v>10</v>
      </c>
      <c r="H90" s="77">
        <v>833</v>
      </c>
      <c r="I90" s="78">
        <f t="shared" si="4"/>
        <v>8330</v>
      </c>
      <c r="J90" s="56"/>
      <c r="K90" s="56"/>
      <c r="L90" s="56"/>
    </row>
    <row r="91" spans="1:12" ht="31.9" customHeight="1" thickBot="1" x14ac:dyDescent="0.25">
      <c r="A91" s="74">
        <f t="shared" si="3"/>
        <v>82</v>
      </c>
      <c r="B91" s="72"/>
      <c r="C91" s="75" t="s">
        <v>162</v>
      </c>
      <c r="D91" s="75" t="s">
        <v>139</v>
      </c>
      <c r="E91" s="61" t="s">
        <v>210</v>
      </c>
      <c r="F91" s="58" t="s">
        <v>138</v>
      </c>
      <c r="G91" s="57">
        <v>10</v>
      </c>
      <c r="H91" s="77">
        <v>833</v>
      </c>
      <c r="I91" s="78">
        <f t="shared" si="4"/>
        <v>8330</v>
      </c>
      <c r="J91" s="56"/>
      <c r="K91" s="56"/>
      <c r="L91" s="56"/>
    </row>
    <row r="92" spans="1:12" ht="31.9" customHeight="1" thickBot="1" x14ac:dyDescent="0.25">
      <c r="A92" s="74">
        <f t="shared" si="3"/>
        <v>83</v>
      </c>
      <c r="B92" s="72"/>
      <c r="C92" s="75" t="s">
        <v>162</v>
      </c>
      <c r="D92" s="75" t="s">
        <v>139</v>
      </c>
      <c r="E92" s="61" t="s">
        <v>211</v>
      </c>
      <c r="F92" s="58" t="s">
        <v>138</v>
      </c>
      <c r="G92" s="57">
        <v>3</v>
      </c>
      <c r="H92" s="77">
        <v>833</v>
      </c>
      <c r="I92" s="78">
        <f t="shared" si="4"/>
        <v>2499</v>
      </c>
      <c r="J92" s="56"/>
      <c r="K92" s="56"/>
      <c r="L92" s="56"/>
    </row>
    <row r="93" spans="1:12" ht="31.9" customHeight="1" thickBot="1" x14ac:dyDescent="0.25">
      <c r="A93" s="74">
        <f t="shared" si="3"/>
        <v>84</v>
      </c>
      <c r="B93" s="72"/>
      <c r="C93" s="75" t="s">
        <v>162</v>
      </c>
      <c r="D93" s="75" t="s">
        <v>139</v>
      </c>
      <c r="E93" s="64" t="s">
        <v>212</v>
      </c>
      <c r="F93" s="71" t="s">
        <v>138</v>
      </c>
      <c r="G93" s="57">
        <v>3</v>
      </c>
      <c r="H93" s="77">
        <v>833</v>
      </c>
      <c r="I93" s="78">
        <f t="shared" si="4"/>
        <v>2499</v>
      </c>
      <c r="J93" s="56"/>
      <c r="K93" s="56"/>
      <c r="L93" s="56"/>
    </row>
    <row r="94" spans="1:12" ht="31.9" customHeight="1" thickBot="1" x14ac:dyDescent="0.25">
      <c r="A94" s="74">
        <f t="shared" si="3"/>
        <v>85</v>
      </c>
      <c r="B94" s="72"/>
      <c r="C94" s="75" t="s">
        <v>162</v>
      </c>
      <c r="D94" s="75" t="s">
        <v>139</v>
      </c>
      <c r="E94" s="64" t="s">
        <v>213</v>
      </c>
      <c r="F94" s="71" t="s">
        <v>138</v>
      </c>
      <c r="G94" s="57">
        <v>8</v>
      </c>
      <c r="H94" s="77">
        <v>833</v>
      </c>
      <c r="I94" s="78">
        <f t="shared" si="4"/>
        <v>6664</v>
      </c>
      <c r="J94" s="56"/>
      <c r="K94" s="56"/>
      <c r="L94" s="56"/>
    </row>
    <row r="95" spans="1:12" ht="31.9" customHeight="1" thickBot="1" x14ac:dyDescent="0.25">
      <c r="A95" s="74">
        <f t="shared" si="3"/>
        <v>86</v>
      </c>
      <c r="B95" s="72"/>
      <c r="C95" s="75" t="s">
        <v>162</v>
      </c>
      <c r="D95" s="75" t="s">
        <v>139</v>
      </c>
      <c r="E95" s="61" t="s">
        <v>214</v>
      </c>
      <c r="F95" s="59" t="s">
        <v>138</v>
      </c>
      <c r="G95" s="57">
        <v>5</v>
      </c>
      <c r="H95" s="77">
        <v>833</v>
      </c>
      <c r="I95" s="78">
        <f t="shared" si="4"/>
        <v>4165</v>
      </c>
      <c r="J95" s="56"/>
      <c r="K95" s="56"/>
      <c r="L95" s="56"/>
    </row>
    <row r="96" spans="1:12" ht="31.9" customHeight="1" thickBot="1" x14ac:dyDescent="0.25">
      <c r="A96" s="74">
        <f t="shared" si="3"/>
        <v>87</v>
      </c>
      <c r="B96" s="72"/>
      <c r="C96" s="75" t="s">
        <v>162</v>
      </c>
      <c r="D96" s="75" t="s">
        <v>139</v>
      </c>
      <c r="E96" s="61" t="s">
        <v>215</v>
      </c>
      <c r="F96" s="58" t="s">
        <v>138</v>
      </c>
      <c r="G96" s="57">
        <v>1</v>
      </c>
      <c r="H96" s="77">
        <v>833</v>
      </c>
      <c r="I96" s="78">
        <f t="shared" si="4"/>
        <v>833</v>
      </c>
      <c r="J96" s="56"/>
      <c r="K96" s="56"/>
      <c r="L96" s="56"/>
    </row>
    <row r="97" spans="1:14" ht="31.9" customHeight="1" thickBot="1" x14ac:dyDescent="0.25">
      <c r="A97" s="74">
        <f t="shared" si="3"/>
        <v>88</v>
      </c>
      <c r="B97" s="72"/>
      <c r="C97" s="75" t="s">
        <v>162</v>
      </c>
      <c r="D97" s="75" t="s">
        <v>139</v>
      </c>
      <c r="E97" s="64" t="s">
        <v>216</v>
      </c>
      <c r="F97" s="71" t="s">
        <v>138</v>
      </c>
      <c r="G97" s="57">
        <v>5</v>
      </c>
      <c r="H97" s="77">
        <v>833</v>
      </c>
      <c r="I97" s="78">
        <f t="shared" si="4"/>
        <v>4165</v>
      </c>
      <c r="J97" s="56"/>
      <c r="K97" s="56"/>
      <c r="L97" s="56"/>
    </row>
    <row r="98" spans="1:14" ht="31.9" customHeight="1" thickBot="1" x14ac:dyDescent="0.25">
      <c r="A98" s="74">
        <f t="shared" si="3"/>
        <v>89</v>
      </c>
      <c r="B98" s="72"/>
      <c r="C98" s="75" t="s">
        <v>162</v>
      </c>
      <c r="D98" s="75" t="s">
        <v>139</v>
      </c>
      <c r="E98" s="70" t="s">
        <v>217</v>
      </c>
      <c r="F98" s="72" t="s">
        <v>138</v>
      </c>
      <c r="G98" s="72">
        <v>5</v>
      </c>
      <c r="H98" s="78">
        <v>833</v>
      </c>
      <c r="I98" s="78">
        <f t="shared" si="4"/>
        <v>4165</v>
      </c>
      <c r="J98" s="56"/>
      <c r="K98" s="56"/>
      <c r="L98" s="56"/>
    </row>
    <row r="99" spans="1:14" ht="31.9" customHeight="1" thickBot="1" x14ac:dyDescent="0.25">
      <c r="A99" s="74">
        <f t="shared" si="3"/>
        <v>90</v>
      </c>
      <c r="B99" s="72"/>
      <c r="C99" s="75" t="s">
        <v>162</v>
      </c>
      <c r="D99" s="75" t="s">
        <v>139</v>
      </c>
      <c r="E99" s="61" t="s">
        <v>263</v>
      </c>
      <c r="F99" s="58" t="s">
        <v>138</v>
      </c>
      <c r="G99" s="57">
        <v>1</v>
      </c>
      <c r="H99" s="77">
        <v>850</v>
      </c>
      <c r="I99" s="78">
        <f t="shared" si="4"/>
        <v>850</v>
      </c>
      <c r="J99" s="56"/>
      <c r="K99" s="56"/>
      <c r="L99" s="56"/>
    </row>
    <row r="100" spans="1:14" ht="31.9" customHeight="1" thickBot="1" x14ac:dyDescent="0.25">
      <c r="A100" s="74">
        <f t="shared" si="3"/>
        <v>91</v>
      </c>
      <c r="B100" s="72"/>
      <c r="C100" s="75" t="s">
        <v>162</v>
      </c>
      <c r="D100" s="75" t="s">
        <v>139</v>
      </c>
      <c r="E100" s="70" t="s">
        <v>218</v>
      </c>
      <c r="F100" s="72" t="s">
        <v>138</v>
      </c>
      <c r="G100" s="72">
        <v>5</v>
      </c>
      <c r="H100" s="78">
        <v>833</v>
      </c>
      <c r="I100" s="78">
        <f t="shared" si="4"/>
        <v>4165</v>
      </c>
      <c r="J100" s="56"/>
      <c r="K100" s="56"/>
      <c r="L100" s="56"/>
      <c r="N100" s="100"/>
    </row>
    <row r="101" spans="1:14" ht="31.9" customHeight="1" thickBot="1" x14ac:dyDescent="0.25">
      <c r="A101" s="74">
        <f t="shared" si="3"/>
        <v>92</v>
      </c>
      <c r="B101" s="72"/>
      <c r="C101" s="75" t="s">
        <v>162</v>
      </c>
      <c r="D101" s="75" t="s">
        <v>139</v>
      </c>
      <c r="E101" s="76" t="s">
        <v>219</v>
      </c>
      <c r="F101" s="59" t="s">
        <v>138</v>
      </c>
      <c r="G101" s="57">
        <v>5</v>
      </c>
      <c r="H101" s="77">
        <v>833</v>
      </c>
      <c r="I101" s="78">
        <f t="shared" si="4"/>
        <v>4165</v>
      </c>
      <c r="J101" s="56"/>
      <c r="K101" s="56"/>
      <c r="L101" s="56"/>
    </row>
    <row r="102" spans="1:14" ht="31.9" customHeight="1" thickBot="1" x14ac:dyDescent="0.25">
      <c r="A102" s="74">
        <f t="shared" si="3"/>
        <v>93</v>
      </c>
      <c r="B102" s="72"/>
      <c r="C102" s="75" t="s">
        <v>162</v>
      </c>
      <c r="D102" s="75" t="s">
        <v>139</v>
      </c>
      <c r="E102" s="76" t="s">
        <v>220</v>
      </c>
      <c r="F102" s="59" t="s">
        <v>138</v>
      </c>
      <c r="G102" s="57">
        <v>5</v>
      </c>
      <c r="H102" s="77">
        <v>833</v>
      </c>
      <c r="I102" s="78">
        <f t="shared" si="4"/>
        <v>4165</v>
      </c>
      <c r="J102" s="56"/>
      <c r="K102" s="56"/>
      <c r="L102" s="56"/>
    </row>
    <row r="103" spans="1:14" ht="31.9" customHeight="1" thickBot="1" x14ac:dyDescent="0.25">
      <c r="A103" s="74">
        <f t="shared" si="3"/>
        <v>94</v>
      </c>
      <c r="B103" s="72"/>
      <c r="C103" s="75" t="s">
        <v>162</v>
      </c>
      <c r="D103" s="75" t="s">
        <v>139</v>
      </c>
      <c r="E103" s="61" t="s">
        <v>221</v>
      </c>
      <c r="F103" s="58" t="s">
        <v>138</v>
      </c>
      <c r="G103" s="60">
        <v>3</v>
      </c>
      <c r="H103" s="77">
        <v>833</v>
      </c>
      <c r="I103" s="78">
        <f t="shared" si="4"/>
        <v>2499</v>
      </c>
      <c r="J103" s="56"/>
      <c r="K103" s="56"/>
      <c r="L103" s="56"/>
    </row>
    <row r="104" spans="1:14" ht="31.9" customHeight="1" thickBot="1" x14ac:dyDescent="0.25">
      <c r="A104" s="74">
        <f t="shared" si="3"/>
        <v>95</v>
      </c>
      <c r="B104" s="72"/>
      <c r="C104" s="75" t="s">
        <v>162</v>
      </c>
      <c r="D104" s="75" t="s">
        <v>139</v>
      </c>
      <c r="E104" s="76" t="s">
        <v>222</v>
      </c>
      <c r="F104" s="59" t="s">
        <v>138</v>
      </c>
      <c r="G104" s="57">
        <v>5</v>
      </c>
      <c r="H104" s="77">
        <v>833</v>
      </c>
      <c r="I104" s="78">
        <f t="shared" si="4"/>
        <v>4165</v>
      </c>
      <c r="J104" s="56"/>
      <c r="K104" s="56"/>
      <c r="L104" s="56"/>
    </row>
    <row r="105" spans="1:14" ht="31.9" customHeight="1" thickBot="1" x14ac:dyDescent="0.25">
      <c r="A105" s="74">
        <f t="shared" si="3"/>
        <v>96</v>
      </c>
      <c r="B105" s="72"/>
      <c r="C105" s="75" t="s">
        <v>162</v>
      </c>
      <c r="D105" s="75" t="s">
        <v>139</v>
      </c>
      <c r="E105" s="61" t="s">
        <v>223</v>
      </c>
      <c r="F105" s="59" t="s">
        <v>138</v>
      </c>
      <c r="G105" s="57">
        <v>5</v>
      </c>
      <c r="H105" s="77">
        <v>833</v>
      </c>
      <c r="I105" s="78">
        <f t="shared" si="4"/>
        <v>4165</v>
      </c>
      <c r="J105" s="56"/>
      <c r="K105" s="56"/>
      <c r="L105" s="56"/>
    </row>
    <row r="106" spans="1:14" ht="31.9" customHeight="1" thickBot="1" x14ac:dyDescent="0.25">
      <c r="A106" s="74">
        <f t="shared" si="3"/>
        <v>97</v>
      </c>
      <c r="B106" s="72"/>
      <c r="C106" s="75" t="s">
        <v>162</v>
      </c>
      <c r="D106" s="75" t="s">
        <v>139</v>
      </c>
      <c r="E106" s="70" t="s">
        <v>224</v>
      </c>
      <c r="F106" s="72" t="s">
        <v>138</v>
      </c>
      <c r="G106" s="72">
        <v>3</v>
      </c>
      <c r="H106" s="78">
        <v>833</v>
      </c>
      <c r="I106" s="78">
        <f t="shared" si="4"/>
        <v>2499</v>
      </c>
      <c r="J106" s="56"/>
      <c r="K106" s="56"/>
      <c r="L106" s="56"/>
    </row>
    <row r="107" spans="1:14" ht="31.9" customHeight="1" thickBot="1" x14ac:dyDescent="0.25">
      <c r="A107" s="74">
        <f t="shared" ref="A107:A144" si="5">A106+1</f>
        <v>98</v>
      </c>
      <c r="B107" s="72"/>
      <c r="C107" s="75" t="s">
        <v>162</v>
      </c>
      <c r="D107" s="75" t="s">
        <v>139</v>
      </c>
      <c r="E107" s="70" t="s">
        <v>225</v>
      </c>
      <c r="F107" s="72" t="s">
        <v>136</v>
      </c>
      <c r="G107" s="72">
        <v>15</v>
      </c>
      <c r="H107" s="78">
        <v>4909</v>
      </c>
      <c r="I107" s="78">
        <f t="shared" si="4"/>
        <v>73635</v>
      </c>
      <c r="J107" s="56"/>
      <c r="K107" s="56"/>
      <c r="L107" s="56"/>
    </row>
    <row r="108" spans="1:14" ht="31.9" customHeight="1" thickBot="1" x14ac:dyDescent="0.25">
      <c r="A108" s="74">
        <f t="shared" si="5"/>
        <v>99</v>
      </c>
      <c r="B108" s="72"/>
      <c r="C108" s="75" t="s">
        <v>162</v>
      </c>
      <c r="D108" s="75" t="s">
        <v>139</v>
      </c>
      <c r="E108" s="61" t="s">
        <v>226</v>
      </c>
      <c r="F108" s="59" t="s">
        <v>135</v>
      </c>
      <c r="G108" s="57">
        <v>2</v>
      </c>
      <c r="H108" s="77">
        <v>5640</v>
      </c>
      <c r="I108" s="78">
        <f t="shared" si="4"/>
        <v>11280</v>
      </c>
      <c r="J108" s="56"/>
      <c r="K108" s="56"/>
      <c r="L108" s="56"/>
    </row>
    <row r="109" spans="1:14" ht="31.9" customHeight="1" thickBot="1" x14ac:dyDescent="0.25">
      <c r="A109" s="74">
        <f t="shared" si="5"/>
        <v>100</v>
      </c>
      <c r="B109" s="72"/>
      <c r="C109" s="75" t="s">
        <v>162</v>
      </c>
      <c r="D109" s="75" t="s">
        <v>139</v>
      </c>
      <c r="E109" s="76" t="s">
        <v>72</v>
      </c>
      <c r="F109" s="59" t="s">
        <v>136</v>
      </c>
      <c r="G109" s="57">
        <v>3</v>
      </c>
      <c r="H109" s="77">
        <v>8817</v>
      </c>
      <c r="I109" s="78">
        <f t="shared" si="4"/>
        <v>26451</v>
      </c>
      <c r="J109" s="56"/>
      <c r="K109" s="56"/>
      <c r="L109" s="56"/>
    </row>
    <row r="110" spans="1:14" ht="31.9" customHeight="1" thickBot="1" x14ac:dyDescent="0.25">
      <c r="A110" s="74">
        <f t="shared" si="5"/>
        <v>101</v>
      </c>
      <c r="B110" s="72"/>
      <c r="C110" s="75" t="s">
        <v>162</v>
      </c>
      <c r="D110" s="75" t="s">
        <v>139</v>
      </c>
      <c r="E110" s="76" t="s">
        <v>73</v>
      </c>
      <c r="F110" s="59" t="s">
        <v>136</v>
      </c>
      <c r="G110" s="57">
        <v>2</v>
      </c>
      <c r="H110" s="77">
        <v>45377</v>
      </c>
      <c r="I110" s="78">
        <f t="shared" si="4"/>
        <v>90754</v>
      </c>
      <c r="J110" s="56"/>
      <c r="K110" s="56"/>
      <c r="L110" s="56"/>
    </row>
    <row r="111" spans="1:14" ht="31.9" customHeight="1" thickBot="1" x14ac:dyDescent="0.25">
      <c r="A111" s="74">
        <f t="shared" si="5"/>
        <v>102</v>
      </c>
      <c r="B111" s="72"/>
      <c r="C111" s="75" t="s">
        <v>162</v>
      </c>
      <c r="D111" s="75" t="s">
        <v>139</v>
      </c>
      <c r="E111" s="76" t="s">
        <v>65</v>
      </c>
      <c r="F111" s="58" t="s">
        <v>134</v>
      </c>
      <c r="G111" s="57">
        <v>4</v>
      </c>
      <c r="H111" s="77">
        <v>61960</v>
      </c>
      <c r="I111" s="78">
        <f t="shared" si="4"/>
        <v>247840</v>
      </c>
      <c r="J111" s="56"/>
      <c r="K111" s="56"/>
      <c r="L111" s="56"/>
    </row>
    <row r="112" spans="1:14" ht="31.9" customHeight="1" thickBot="1" x14ac:dyDescent="0.25">
      <c r="A112" s="74">
        <f t="shared" si="5"/>
        <v>103</v>
      </c>
      <c r="B112" s="72"/>
      <c r="C112" s="75" t="s">
        <v>162</v>
      </c>
      <c r="D112" s="75" t="s">
        <v>139</v>
      </c>
      <c r="E112" s="61" t="s">
        <v>227</v>
      </c>
      <c r="F112" s="59" t="s">
        <v>136</v>
      </c>
      <c r="G112" s="57">
        <v>5</v>
      </c>
      <c r="H112" s="77">
        <v>7391</v>
      </c>
      <c r="I112" s="78">
        <f t="shared" si="4"/>
        <v>36955</v>
      </c>
      <c r="J112" s="56"/>
      <c r="K112" s="56"/>
      <c r="L112" s="56"/>
    </row>
    <row r="113" spans="1:12" ht="31.9" customHeight="1" thickBot="1" x14ac:dyDescent="0.25">
      <c r="A113" s="74">
        <f t="shared" si="5"/>
        <v>104</v>
      </c>
      <c r="B113" s="72"/>
      <c r="C113" s="75" t="s">
        <v>162</v>
      </c>
      <c r="D113" s="75" t="s">
        <v>139</v>
      </c>
      <c r="E113" s="61" t="s">
        <v>228</v>
      </c>
      <c r="F113" s="58" t="s">
        <v>136</v>
      </c>
      <c r="G113" s="57">
        <v>4</v>
      </c>
      <c r="H113" s="77">
        <v>3259</v>
      </c>
      <c r="I113" s="78">
        <f t="shared" si="4"/>
        <v>13036</v>
      </c>
      <c r="J113" s="56"/>
      <c r="K113" s="56"/>
      <c r="L113" s="56"/>
    </row>
    <row r="114" spans="1:12" ht="31.9" customHeight="1" thickBot="1" x14ac:dyDescent="0.25">
      <c r="A114" s="74">
        <f t="shared" si="5"/>
        <v>105</v>
      </c>
      <c r="B114" s="72"/>
      <c r="C114" s="75" t="s">
        <v>162</v>
      </c>
      <c r="D114" s="75" t="s">
        <v>139</v>
      </c>
      <c r="E114" s="61" t="s">
        <v>155</v>
      </c>
      <c r="F114" s="58" t="s">
        <v>138</v>
      </c>
      <c r="G114" s="57">
        <v>1</v>
      </c>
      <c r="H114" s="77">
        <v>3515</v>
      </c>
      <c r="I114" s="78">
        <f t="shared" si="4"/>
        <v>3515</v>
      </c>
      <c r="J114" s="56"/>
      <c r="K114" s="56"/>
      <c r="L114" s="56"/>
    </row>
    <row r="115" spans="1:12" ht="31.9" customHeight="1" thickBot="1" x14ac:dyDescent="0.25">
      <c r="A115" s="74">
        <f t="shared" si="5"/>
        <v>106</v>
      </c>
      <c r="B115" s="72"/>
      <c r="C115" s="75" t="s">
        <v>162</v>
      </c>
      <c r="D115" s="75" t="s">
        <v>139</v>
      </c>
      <c r="E115" s="70" t="s">
        <v>229</v>
      </c>
      <c r="F115" s="72" t="s">
        <v>136</v>
      </c>
      <c r="G115" s="72">
        <v>5</v>
      </c>
      <c r="H115" s="78">
        <v>7737</v>
      </c>
      <c r="I115" s="78">
        <f t="shared" si="4"/>
        <v>38685</v>
      </c>
      <c r="J115" s="56"/>
      <c r="K115" s="56"/>
      <c r="L115" s="56"/>
    </row>
    <row r="116" spans="1:12" ht="31.9" customHeight="1" thickBot="1" x14ac:dyDescent="0.25">
      <c r="A116" s="74">
        <f t="shared" si="5"/>
        <v>107</v>
      </c>
      <c r="B116" s="72"/>
      <c r="C116" s="75" t="s">
        <v>162</v>
      </c>
      <c r="D116" s="75" t="s">
        <v>139</v>
      </c>
      <c r="E116" s="61" t="s">
        <v>230</v>
      </c>
      <c r="F116" s="58" t="s">
        <v>136</v>
      </c>
      <c r="G116" s="57">
        <v>5</v>
      </c>
      <c r="H116" s="77">
        <v>7701</v>
      </c>
      <c r="I116" s="78">
        <f t="shared" si="4"/>
        <v>38505</v>
      </c>
      <c r="J116" s="56"/>
      <c r="K116" s="56"/>
      <c r="L116" s="56"/>
    </row>
    <row r="117" spans="1:12" ht="31.9" customHeight="1" thickBot="1" x14ac:dyDescent="0.25">
      <c r="A117" s="74">
        <f t="shared" si="5"/>
        <v>108</v>
      </c>
      <c r="B117" s="72"/>
      <c r="C117" s="75" t="s">
        <v>162</v>
      </c>
      <c r="D117" s="75" t="s">
        <v>139</v>
      </c>
      <c r="E117" s="61" t="s">
        <v>231</v>
      </c>
      <c r="F117" s="58" t="s">
        <v>136</v>
      </c>
      <c r="G117" s="57">
        <v>5</v>
      </c>
      <c r="H117" s="77">
        <v>7391</v>
      </c>
      <c r="I117" s="78">
        <f t="shared" si="4"/>
        <v>36955</v>
      </c>
      <c r="J117" s="56"/>
      <c r="K117" s="56"/>
      <c r="L117" s="56"/>
    </row>
    <row r="118" spans="1:12" ht="31.9" customHeight="1" thickBot="1" x14ac:dyDescent="0.25">
      <c r="A118" s="74">
        <f t="shared" si="5"/>
        <v>109</v>
      </c>
      <c r="B118" s="72"/>
      <c r="C118" s="75" t="s">
        <v>162</v>
      </c>
      <c r="D118" s="75" t="s">
        <v>139</v>
      </c>
      <c r="E118" s="61" t="s">
        <v>232</v>
      </c>
      <c r="F118" s="58" t="s">
        <v>136</v>
      </c>
      <c r="G118" s="57">
        <v>5</v>
      </c>
      <c r="H118" s="77">
        <v>7391</v>
      </c>
      <c r="I118" s="78">
        <f t="shared" si="4"/>
        <v>36955</v>
      </c>
      <c r="J118" s="56"/>
      <c r="K118" s="56"/>
      <c r="L118" s="56"/>
    </row>
    <row r="119" spans="1:12" ht="31.9" customHeight="1" thickBot="1" x14ac:dyDescent="0.25">
      <c r="A119" s="74">
        <f t="shared" si="5"/>
        <v>110</v>
      </c>
      <c r="B119" s="72"/>
      <c r="C119" s="75" t="s">
        <v>162</v>
      </c>
      <c r="D119" s="75" t="s">
        <v>139</v>
      </c>
      <c r="E119" s="61" t="s">
        <v>70</v>
      </c>
      <c r="F119" s="58" t="s">
        <v>136</v>
      </c>
      <c r="G119" s="57">
        <v>3</v>
      </c>
      <c r="H119" s="77">
        <v>15413</v>
      </c>
      <c r="I119" s="78">
        <f t="shared" si="4"/>
        <v>46239</v>
      </c>
      <c r="J119" s="56"/>
      <c r="K119" s="56"/>
      <c r="L119" s="56"/>
    </row>
    <row r="120" spans="1:12" ht="31.9" customHeight="1" thickBot="1" x14ac:dyDescent="0.25">
      <c r="A120" s="74">
        <f t="shared" si="5"/>
        <v>111</v>
      </c>
      <c r="B120" s="72"/>
      <c r="C120" s="75" t="s">
        <v>162</v>
      </c>
      <c r="D120" s="75" t="s">
        <v>139</v>
      </c>
      <c r="E120" s="70" t="s">
        <v>74</v>
      </c>
      <c r="F120" s="72" t="s">
        <v>136</v>
      </c>
      <c r="G120" s="72">
        <v>4</v>
      </c>
      <c r="H120" s="78">
        <v>19776</v>
      </c>
      <c r="I120" s="78">
        <f t="shared" si="4"/>
        <v>79104</v>
      </c>
      <c r="J120" s="56"/>
      <c r="K120" s="56"/>
      <c r="L120" s="56"/>
    </row>
    <row r="121" spans="1:12" ht="31.9" customHeight="1" thickBot="1" x14ac:dyDescent="0.25">
      <c r="A121" s="74">
        <f t="shared" si="5"/>
        <v>112</v>
      </c>
      <c r="B121" s="72"/>
      <c r="C121" s="75" t="s">
        <v>162</v>
      </c>
      <c r="D121" s="75" t="s">
        <v>139</v>
      </c>
      <c r="E121" s="70" t="s">
        <v>75</v>
      </c>
      <c r="F121" s="72" t="s">
        <v>136</v>
      </c>
      <c r="G121" s="72">
        <v>2</v>
      </c>
      <c r="H121" s="78">
        <v>3775</v>
      </c>
      <c r="I121" s="78">
        <f t="shared" si="4"/>
        <v>7550</v>
      </c>
      <c r="J121" s="56"/>
      <c r="K121" s="56"/>
      <c r="L121" s="56"/>
    </row>
    <row r="122" spans="1:12" ht="31.9" customHeight="1" thickBot="1" x14ac:dyDescent="0.25">
      <c r="A122" s="74">
        <f t="shared" si="5"/>
        <v>113</v>
      </c>
      <c r="B122" s="72"/>
      <c r="C122" s="75" t="s">
        <v>162</v>
      </c>
      <c r="D122" s="75" t="s">
        <v>139</v>
      </c>
      <c r="E122" s="61" t="s">
        <v>158</v>
      </c>
      <c r="F122" s="58" t="s">
        <v>261</v>
      </c>
      <c r="G122" s="60">
        <v>3</v>
      </c>
      <c r="H122" s="77">
        <v>1000</v>
      </c>
      <c r="I122" s="78">
        <f t="shared" si="4"/>
        <v>3000</v>
      </c>
      <c r="J122" s="56"/>
      <c r="K122" s="56"/>
      <c r="L122" s="56"/>
    </row>
    <row r="123" spans="1:12" ht="31.9" customHeight="1" thickBot="1" x14ac:dyDescent="0.25">
      <c r="A123" s="74">
        <f t="shared" si="5"/>
        <v>114</v>
      </c>
      <c r="B123" s="72"/>
      <c r="C123" s="75" t="s">
        <v>162</v>
      </c>
      <c r="D123" s="75" t="s">
        <v>139</v>
      </c>
      <c r="E123" s="76" t="s">
        <v>233</v>
      </c>
      <c r="F123" s="58" t="s">
        <v>136</v>
      </c>
      <c r="G123" s="57">
        <v>1</v>
      </c>
      <c r="H123" s="77">
        <v>1742</v>
      </c>
      <c r="I123" s="78">
        <f t="shared" si="4"/>
        <v>1742</v>
      </c>
      <c r="J123" s="56"/>
      <c r="K123" s="56"/>
      <c r="L123" s="56"/>
    </row>
    <row r="124" spans="1:12" ht="38.450000000000003" customHeight="1" thickBot="1" x14ac:dyDescent="0.25">
      <c r="A124" s="74">
        <f t="shared" si="5"/>
        <v>115</v>
      </c>
      <c r="B124" s="72"/>
      <c r="C124" s="75" t="s">
        <v>162</v>
      </c>
      <c r="D124" s="75" t="s">
        <v>139</v>
      </c>
      <c r="E124" s="76" t="s">
        <v>234</v>
      </c>
      <c r="F124" s="58" t="s">
        <v>136</v>
      </c>
      <c r="G124" s="57">
        <v>4</v>
      </c>
      <c r="H124" s="77">
        <v>16190</v>
      </c>
      <c r="I124" s="78">
        <f t="shared" si="4"/>
        <v>64760</v>
      </c>
      <c r="J124" s="56"/>
      <c r="K124" s="56"/>
      <c r="L124" s="56"/>
    </row>
    <row r="125" spans="1:12" ht="31.9" customHeight="1" thickBot="1" x14ac:dyDescent="0.25">
      <c r="A125" s="74">
        <f t="shared" si="5"/>
        <v>116</v>
      </c>
      <c r="B125" s="72"/>
      <c r="C125" s="75" t="s">
        <v>162</v>
      </c>
      <c r="D125" s="75" t="s">
        <v>139</v>
      </c>
      <c r="E125" s="76" t="s">
        <v>235</v>
      </c>
      <c r="F125" s="58" t="s">
        <v>136</v>
      </c>
      <c r="G125" s="57">
        <v>1</v>
      </c>
      <c r="H125" s="77">
        <v>16190</v>
      </c>
      <c r="I125" s="78">
        <f t="shared" si="4"/>
        <v>16190</v>
      </c>
      <c r="J125" s="56"/>
      <c r="K125" s="56"/>
      <c r="L125" s="56"/>
    </row>
    <row r="126" spans="1:12" ht="31.9" customHeight="1" thickBot="1" x14ac:dyDescent="0.25">
      <c r="A126" s="74">
        <f t="shared" si="5"/>
        <v>117</v>
      </c>
      <c r="B126" s="72"/>
      <c r="C126" s="75" t="s">
        <v>162</v>
      </c>
      <c r="D126" s="75" t="s">
        <v>139</v>
      </c>
      <c r="E126" s="76" t="s">
        <v>76</v>
      </c>
      <c r="F126" s="58" t="s">
        <v>136</v>
      </c>
      <c r="G126" s="57">
        <v>1</v>
      </c>
      <c r="H126" s="77">
        <v>16190</v>
      </c>
      <c r="I126" s="78">
        <f t="shared" si="4"/>
        <v>16190</v>
      </c>
      <c r="J126" s="56"/>
      <c r="K126" s="56"/>
      <c r="L126" s="56"/>
    </row>
    <row r="127" spans="1:12" ht="31.9" customHeight="1" thickBot="1" x14ac:dyDescent="0.25">
      <c r="A127" s="74">
        <f t="shared" si="5"/>
        <v>118</v>
      </c>
      <c r="B127" s="72"/>
      <c r="C127" s="75" t="s">
        <v>162</v>
      </c>
      <c r="D127" s="75" t="s">
        <v>139</v>
      </c>
      <c r="E127" s="61" t="s">
        <v>157</v>
      </c>
      <c r="F127" s="59" t="s">
        <v>138</v>
      </c>
      <c r="G127" s="57">
        <v>2</v>
      </c>
      <c r="H127" s="77">
        <v>3594</v>
      </c>
      <c r="I127" s="78">
        <f t="shared" si="4"/>
        <v>7188</v>
      </c>
      <c r="J127" s="56"/>
      <c r="K127" s="56"/>
      <c r="L127" s="56"/>
    </row>
    <row r="128" spans="1:12" ht="31.9" customHeight="1" thickBot="1" x14ac:dyDescent="0.25">
      <c r="A128" s="74">
        <f t="shared" si="5"/>
        <v>119</v>
      </c>
      <c r="B128" s="72"/>
      <c r="C128" s="75" t="s">
        <v>162</v>
      </c>
      <c r="D128" s="75" t="s">
        <v>139</v>
      </c>
      <c r="E128" s="61" t="s">
        <v>90</v>
      </c>
      <c r="F128" s="59" t="s">
        <v>135</v>
      </c>
      <c r="G128" s="57">
        <v>1</v>
      </c>
      <c r="H128" s="77">
        <v>9861</v>
      </c>
      <c r="I128" s="78">
        <f t="shared" si="4"/>
        <v>9861</v>
      </c>
      <c r="J128" s="56"/>
      <c r="K128" s="56"/>
      <c r="L128" s="56"/>
    </row>
    <row r="129" spans="1:14" ht="31.9" customHeight="1" thickBot="1" x14ac:dyDescent="0.25">
      <c r="A129" s="74">
        <f t="shared" si="5"/>
        <v>120</v>
      </c>
      <c r="B129" s="72"/>
      <c r="C129" s="75" t="s">
        <v>162</v>
      </c>
      <c r="D129" s="75" t="s">
        <v>139</v>
      </c>
      <c r="E129" s="61" t="s">
        <v>79</v>
      </c>
      <c r="F129" s="58" t="s">
        <v>135</v>
      </c>
      <c r="G129" s="57">
        <v>4</v>
      </c>
      <c r="H129" s="77">
        <v>16870</v>
      </c>
      <c r="I129" s="78">
        <f t="shared" si="4"/>
        <v>67480</v>
      </c>
      <c r="J129" s="56"/>
      <c r="K129" s="56"/>
      <c r="L129" s="56"/>
    </row>
    <row r="130" spans="1:14" ht="31.9" customHeight="1" thickBot="1" x14ac:dyDescent="0.25">
      <c r="A130" s="74">
        <f t="shared" si="5"/>
        <v>121</v>
      </c>
      <c r="B130" s="72"/>
      <c r="C130" s="75" t="s">
        <v>162</v>
      </c>
      <c r="D130" s="75" t="s">
        <v>139</v>
      </c>
      <c r="E130" s="61" t="s">
        <v>80</v>
      </c>
      <c r="F130" s="63" t="s">
        <v>137</v>
      </c>
      <c r="G130" s="60">
        <v>4</v>
      </c>
      <c r="H130" s="77">
        <v>6354</v>
      </c>
      <c r="I130" s="78">
        <f t="shared" si="4"/>
        <v>25416</v>
      </c>
      <c r="J130" s="56"/>
      <c r="K130" s="56"/>
      <c r="L130" s="56"/>
    </row>
    <row r="131" spans="1:14" ht="31.9" customHeight="1" thickBot="1" x14ac:dyDescent="0.25">
      <c r="A131" s="74">
        <f t="shared" si="5"/>
        <v>122</v>
      </c>
      <c r="B131" s="72"/>
      <c r="C131" s="75" t="s">
        <v>162</v>
      </c>
      <c r="D131" s="75" t="s">
        <v>139</v>
      </c>
      <c r="E131" s="61" t="s">
        <v>81</v>
      </c>
      <c r="F131" s="58" t="s">
        <v>137</v>
      </c>
      <c r="G131" s="57">
        <v>5</v>
      </c>
      <c r="H131" s="77">
        <v>2355</v>
      </c>
      <c r="I131" s="78">
        <f t="shared" si="4"/>
        <v>11775</v>
      </c>
      <c r="J131" s="56"/>
      <c r="K131" s="56"/>
      <c r="L131" s="56"/>
    </row>
    <row r="132" spans="1:14" ht="31.9" customHeight="1" thickBot="1" x14ac:dyDescent="0.25">
      <c r="A132" s="74">
        <f t="shared" si="5"/>
        <v>123</v>
      </c>
      <c r="B132" s="72"/>
      <c r="C132" s="75" t="s">
        <v>162</v>
      </c>
      <c r="D132" s="75" t="s">
        <v>139</v>
      </c>
      <c r="E132" s="70" t="s">
        <v>82</v>
      </c>
      <c r="F132" s="72" t="s">
        <v>137</v>
      </c>
      <c r="G132" s="72">
        <v>5</v>
      </c>
      <c r="H132" s="78">
        <v>2355</v>
      </c>
      <c r="I132" s="78">
        <f t="shared" si="4"/>
        <v>11775</v>
      </c>
      <c r="J132" s="56"/>
      <c r="K132" s="56"/>
      <c r="L132" s="56"/>
    </row>
    <row r="133" spans="1:14" ht="31.9" customHeight="1" thickBot="1" x14ac:dyDescent="0.25">
      <c r="A133" s="74">
        <f t="shared" si="5"/>
        <v>124</v>
      </c>
      <c r="B133" s="72"/>
      <c r="C133" s="75" t="s">
        <v>161</v>
      </c>
      <c r="D133" s="75" t="s">
        <v>159</v>
      </c>
      <c r="E133" s="70" t="s">
        <v>236</v>
      </c>
      <c r="F133" s="72" t="s">
        <v>137</v>
      </c>
      <c r="G133" s="72">
        <v>4</v>
      </c>
      <c r="H133" s="78">
        <v>54607</v>
      </c>
      <c r="I133" s="78">
        <f t="shared" si="4"/>
        <v>218428</v>
      </c>
      <c r="J133" s="56"/>
      <c r="K133" s="56"/>
      <c r="L133" s="56"/>
    </row>
    <row r="134" spans="1:14" ht="31.9" customHeight="1" thickBot="1" x14ac:dyDescent="0.25">
      <c r="A134" s="74">
        <f t="shared" si="5"/>
        <v>125</v>
      </c>
      <c r="B134" s="72"/>
      <c r="C134" s="75" t="s">
        <v>162</v>
      </c>
      <c r="D134" s="75" t="s">
        <v>139</v>
      </c>
      <c r="E134" s="61" t="s">
        <v>71</v>
      </c>
      <c r="F134" s="58" t="s">
        <v>136</v>
      </c>
      <c r="G134" s="57">
        <v>7</v>
      </c>
      <c r="H134" s="77">
        <v>13872</v>
      </c>
      <c r="I134" s="78">
        <f t="shared" si="4"/>
        <v>97104</v>
      </c>
      <c r="J134" s="56"/>
      <c r="K134" s="56"/>
      <c r="L134" s="56"/>
    </row>
    <row r="135" spans="1:14" ht="31.9" customHeight="1" thickBot="1" x14ac:dyDescent="0.25">
      <c r="A135" s="74">
        <f t="shared" si="5"/>
        <v>126</v>
      </c>
      <c r="B135" s="72"/>
      <c r="C135" s="75" t="s">
        <v>162</v>
      </c>
      <c r="D135" s="75" t="s">
        <v>139</v>
      </c>
      <c r="E135" s="61" t="s">
        <v>237</v>
      </c>
      <c r="F135" s="58" t="s">
        <v>136</v>
      </c>
      <c r="G135" s="57">
        <v>10</v>
      </c>
      <c r="H135" s="77">
        <v>8817</v>
      </c>
      <c r="I135" s="78">
        <f t="shared" si="4"/>
        <v>88170</v>
      </c>
      <c r="J135" s="56"/>
      <c r="K135" s="56"/>
      <c r="L135" s="56"/>
    </row>
    <row r="136" spans="1:14" ht="31.9" customHeight="1" thickBot="1" x14ac:dyDescent="0.25">
      <c r="A136" s="74">
        <f t="shared" si="5"/>
        <v>127</v>
      </c>
      <c r="B136" s="72"/>
      <c r="C136" s="75" t="s">
        <v>162</v>
      </c>
      <c r="D136" s="75" t="s">
        <v>139</v>
      </c>
      <c r="E136" s="70" t="s">
        <v>64</v>
      </c>
      <c r="F136" s="72" t="s">
        <v>134</v>
      </c>
      <c r="G136" s="72">
        <v>3</v>
      </c>
      <c r="H136" s="78">
        <v>15938</v>
      </c>
      <c r="I136" s="78">
        <f t="shared" si="4"/>
        <v>47814</v>
      </c>
      <c r="J136" s="56"/>
      <c r="K136" s="56"/>
      <c r="L136" s="56"/>
    </row>
    <row r="137" spans="1:14" ht="31.9" customHeight="1" thickBot="1" x14ac:dyDescent="0.25">
      <c r="A137" s="74">
        <f t="shared" si="5"/>
        <v>128</v>
      </c>
      <c r="B137" s="72"/>
      <c r="C137" s="75" t="s">
        <v>162</v>
      </c>
      <c r="D137" s="75" t="s">
        <v>139</v>
      </c>
      <c r="E137" s="70" t="s">
        <v>238</v>
      </c>
      <c r="F137" s="59" t="s">
        <v>136</v>
      </c>
      <c r="G137" s="72">
        <v>1</v>
      </c>
      <c r="H137" s="78">
        <v>3854</v>
      </c>
      <c r="I137" s="78">
        <f t="shared" si="4"/>
        <v>3854</v>
      </c>
      <c r="J137" s="56"/>
      <c r="K137" s="56"/>
      <c r="L137" s="56"/>
    </row>
    <row r="138" spans="1:14" ht="31.9" customHeight="1" thickBot="1" x14ac:dyDescent="0.25">
      <c r="A138" s="74">
        <f t="shared" si="5"/>
        <v>129</v>
      </c>
      <c r="B138" s="72"/>
      <c r="C138" s="75" t="s">
        <v>162</v>
      </c>
      <c r="D138" s="75" t="s">
        <v>139</v>
      </c>
      <c r="E138" s="70" t="s">
        <v>239</v>
      </c>
      <c r="F138" s="72" t="s">
        <v>138</v>
      </c>
      <c r="G138" s="72">
        <v>2</v>
      </c>
      <c r="H138" s="78">
        <v>9464</v>
      </c>
      <c r="I138" s="78">
        <f t="shared" ref="I138:I195" si="6">G138*H138</f>
        <v>18928</v>
      </c>
      <c r="J138" s="56"/>
      <c r="K138" s="56"/>
      <c r="L138" s="56"/>
      <c r="N138" s="100"/>
    </row>
    <row r="139" spans="1:14" ht="31.9" customHeight="1" thickBot="1" x14ac:dyDescent="0.25">
      <c r="A139" s="74">
        <f t="shared" si="5"/>
        <v>130</v>
      </c>
      <c r="B139" s="72"/>
      <c r="C139" s="75" t="s">
        <v>162</v>
      </c>
      <c r="D139" s="75" t="s">
        <v>139</v>
      </c>
      <c r="E139" s="61" t="s">
        <v>87</v>
      </c>
      <c r="F139" s="58" t="s">
        <v>136</v>
      </c>
      <c r="G139" s="57">
        <v>3</v>
      </c>
      <c r="H139" s="77">
        <v>1038</v>
      </c>
      <c r="I139" s="78">
        <f t="shared" si="6"/>
        <v>3114</v>
      </c>
      <c r="J139" s="56"/>
      <c r="K139" s="56"/>
      <c r="L139" s="56"/>
    </row>
    <row r="140" spans="1:14" ht="31.9" customHeight="1" thickBot="1" x14ac:dyDescent="0.25">
      <c r="A140" s="74">
        <f t="shared" si="5"/>
        <v>131</v>
      </c>
      <c r="B140" s="72"/>
      <c r="C140" s="75" t="s">
        <v>162</v>
      </c>
      <c r="D140" s="75" t="s">
        <v>139</v>
      </c>
      <c r="E140" s="70" t="s">
        <v>88</v>
      </c>
      <c r="F140" s="72" t="s">
        <v>136</v>
      </c>
      <c r="G140" s="72">
        <v>30</v>
      </c>
      <c r="H140" s="78">
        <v>923</v>
      </c>
      <c r="I140" s="78">
        <f t="shared" si="6"/>
        <v>27690</v>
      </c>
      <c r="J140" s="56"/>
      <c r="K140" s="56"/>
      <c r="L140" s="56"/>
    </row>
    <row r="141" spans="1:14" ht="31.9" customHeight="1" thickBot="1" x14ac:dyDescent="0.25">
      <c r="A141" s="74">
        <f t="shared" si="5"/>
        <v>132</v>
      </c>
      <c r="B141" s="72"/>
      <c r="C141" s="75" t="s">
        <v>162</v>
      </c>
      <c r="D141" s="75" t="s">
        <v>139</v>
      </c>
      <c r="E141" s="61" t="s">
        <v>240</v>
      </c>
      <c r="F141" s="58" t="s">
        <v>135</v>
      </c>
      <c r="G141" s="57">
        <v>6</v>
      </c>
      <c r="H141" s="77">
        <v>21677</v>
      </c>
      <c r="I141" s="78">
        <f t="shared" si="6"/>
        <v>130062</v>
      </c>
      <c r="J141" s="56"/>
      <c r="K141" s="56"/>
      <c r="L141" s="56"/>
    </row>
    <row r="142" spans="1:14" ht="31.9" customHeight="1" thickBot="1" x14ac:dyDescent="0.25">
      <c r="A142" s="74">
        <f t="shared" si="5"/>
        <v>133</v>
      </c>
      <c r="B142" s="72"/>
      <c r="C142" s="75" t="s">
        <v>162</v>
      </c>
      <c r="D142" s="75" t="s">
        <v>139</v>
      </c>
      <c r="E142" s="61" t="s">
        <v>241</v>
      </c>
      <c r="F142" s="58" t="s">
        <v>135</v>
      </c>
      <c r="G142" s="57">
        <v>1</v>
      </c>
      <c r="H142" s="77">
        <v>59291</v>
      </c>
      <c r="I142" s="78">
        <f t="shared" si="6"/>
        <v>59291</v>
      </c>
      <c r="J142" s="56"/>
      <c r="K142" s="56"/>
      <c r="L142" s="56"/>
      <c r="N142" s="100"/>
    </row>
    <row r="143" spans="1:14" ht="31.9" customHeight="1" thickBot="1" x14ac:dyDescent="0.25">
      <c r="A143" s="74">
        <f t="shared" si="5"/>
        <v>134</v>
      </c>
      <c r="B143" s="72"/>
      <c r="C143" s="75" t="s">
        <v>162</v>
      </c>
      <c r="D143" s="75" t="s">
        <v>139</v>
      </c>
      <c r="E143" s="61" t="s">
        <v>242</v>
      </c>
      <c r="F143" s="58" t="s">
        <v>135</v>
      </c>
      <c r="G143" s="57">
        <v>1</v>
      </c>
      <c r="H143" s="77">
        <v>59291</v>
      </c>
      <c r="I143" s="78">
        <f t="shared" si="6"/>
        <v>59291</v>
      </c>
      <c r="J143" s="56"/>
      <c r="K143" s="56"/>
      <c r="L143" s="56"/>
    </row>
    <row r="144" spans="1:14" ht="31.9" customHeight="1" thickBot="1" x14ac:dyDescent="0.25">
      <c r="A144" s="74">
        <f t="shared" si="5"/>
        <v>135</v>
      </c>
      <c r="B144" s="72"/>
      <c r="C144" s="75" t="s">
        <v>162</v>
      </c>
      <c r="D144" s="75" t="s">
        <v>139</v>
      </c>
      <c r="E144" s="61" t="s">
        <v>83</v>
      </c>
      <c r="F144" s="58" t="s">
        <v>135</v>
      </c>
      <c r="G144" s="60">
        <v>1</v>
      </c>
      <c r="H144" s="77">
        <v>10516</v>
      </c>
      <c r="I144" s="78">
        <f t="shared" si="6"/>
        <v>10516</v>
      </c>
      <c r="J144" s="56"/>
      <c r="K144" s="56"/>
      <c r="L144" s="56"/>
    </row>
    <row r="145" spans="1:12" ht="31.9" customHeight="1" thickBot="1" x14ac:dyDescent="0.25">
      <c r="A145" s="74">
        <f t="shared" ref="A145:A167" si="7">A144+1</f>
        <v>136</v>
      </c>
      <c r="B145" s="72"/>
      <c r="C145" s="75" t="s">
        <v>162</v>
      </c>
      <c r="D145" s="75" t="s">
        <v>139</v>
      </c>
      <c r="E145" s="61" t="s">
        <v>84</v>
      </c>
      <c r="F145" s="58" t="s">
        <v>135</v>
      </c>
      <c r="G145" s="60">
        <v>1</v>
      </c>
      <c r="H145" s="77">
        <v>12871</v>
      </c>
      <c r="I145" s="78">
        <f t="shared" si="6"/>
        <v>12871</v>
      </c>
      <c r="J145" s="56"/>
      <c r="K145" s="56"/>
      <c r="L145" s="56"/>
    </row>
    <row r="146" spans="1:12" ht="31.9" customHeight="1" thickBot="1" x14ac:dyDescent="0.25">
      <c r="A146" s="74">
        <f t="shared" si="7"/>
        <v>137</v>
      </c>
      <c r="B146" s="72"/>
      <c r="C146" s="75" t="s">
        <v>162</v>
      </c>
      <c r="D146" s="75" t="s">
        <v>139</v>
      </c>
      <c r="E146" s="61" t="s">
        <v>123</v>
      </c>
      <c r="F146" s="58" t="s">
        <v>135</v>
      </c>
      <c r="G146" s="60">
        <v>1</v>
      </c>
      <c r="H146" s="77">
        <v>22468</v>
      </c>
      <c r="I146" s="78">
        <f t="shared" si="6"/>
        <v>22468</v>
      </c>
      <c r="J146" s="56"/>
      <c r="K146" s="56"/>
      <c r="L146" s="56"/>
    </row>
    <row r="147" spans="1:12" ht="31.9" customHeight="1" thickBot="1" x14ac:dyDescent="0.25">
      <c r="A147" s="74">
        <f t="shared" si="7"/>
        <v>138</v>
      </c>
      <c r="B147" s="72"/>
      <c r="C147" s="75" t="s">
        <v>162</v>
      </c>
      <c r="D147" s="75" t="s">
        <v>139</v>
      </c>
      <c r="E147" s="61" t="s">
        <v>124</v>
      </c>
      <c r="F147" s="58" t="s">
        <v>135</v>
      </c>
      <c r="G147" s="60">
        <v>1</v>
      </c>
      <c r="H147" s="77">
        <v>23944</v>
      </c>
      <c r="I147" s="78">
        <f t="shared" si="6"/>
        <v>23944</v>
      </c>
      <c r="J147" s="56"/>
      <c r="K147" s="56"/>
      <c r="L147" s="56"/>
    </row>
    <row r="148" spans="1:12" ht="31.9" customHeight="1" thickBot="1" x14ac:dyDescent="0.25">
      <c r="A148" s="74">
        <f t="shared" si="7"/>
        <v>139</v>
      </c>
      <c r="B148" s="72"/>
      <c r="C148" s="75" t="s">
        <v>162</v>
      </c>
      <c r="D148" s="75" t="s">
        <v>139</v>
      </c>
      <c r="E148" s="61" t="s">
        <v>125</v>
      </c>
      <c r="F148" s="58" t="s">
        <v>135</v>
      </c>
      <c r="G148" s="60">
        <v>2</v>
      </c>
      <c r="H148" s="77">
        <v>22324</v>
      </c>
      <c r="I148" s="78">
        <f t="shared" si="6"/>
        <v>44648</v>
      </c>
      <c r="J148" s="56"/>
      <c r="K148" s="56"/>
      <c r="L148" s="56"/>
    </row>
    <row r="149" spans="1:12" ht="31.9" customHeight="1" thickBot="1" x14ac:dyDescent="0.25">
      <c r="A149" s="74">
        <f t="shared" si="7"/>
        <v>140</v>
      </c>
      <c r="B149" s="72"/>
      <c r="C149" s="75" t="s">
        <v>162</v>
      </c>
      <c r="D149" s="75" t="s">
        <v>139</v>
      </c>
      <c r="E149" s="61" t="s">
        <v>126</v>
      </c>
      <c r="F149" s="58" t="s">
        <v>135</v>
      </c>
      <c r="G149" s="60">
        <v>2</v>
      </c>
      <c r="H149" s="77">
        <v>38212</v>
      </c>
      <c r="I149" s="78">
        <f t="shared" si="6"/>
        <v>76424</v>
      </c>
      <c r="J149" s="56"/>
      <c r="K149" s="56"/>
      <c r="L149" s="56"/>
    </row>
    <row r="150" spans="1:12" ht="31.9" customHeight="1" thickBot="1" x14ac:dyDescent="0.25">
      <c r="A150" s="74">
        <f t="shared" si="7"/>
        <v>141</v>
      </c>
      <c r="B150" s="72"/>
      <c r="C150" s="75" t="s">
        <v>162</v>
      </c>
      <c r="D150" s="75" t="s">
        <v>139</v>
      </c>
      <c r="E150" s="61" t="s">
        <v>127</v>
      </c>
      <c r="F150" s="58" t="s">
        <v>135</v>
      </c>
      <c r="G150" s="60">
        <v>2</v>
      </c>
      <c r="H150" s="77">
        <v>6528</v>
      </c>
      <c r="I150" s="78">
        <f t="shared" si="6"/>
        <v>13056</v>
      </c>
      <c r="J150" s="56"/>
      <c r="K150" s="56"/>
      <c r="L150" s="56"/>
    </row>
    <row r="151" spans="1:12" ht="31.9" customHeight="1" thickBot="1" x14ac:dyDescent="0.25">
      <c r="A151" s="74">
        <f t="shared" si="7"/>
        <v>142</v>
      </c>
      <c r="B151" s="72"/>
      <c r="C151" s="75" t="s">
        <v>162</v>
      </c>
      <c r="D151" s="75" t="s">
        <v>139</v>
      </c>
      <c r="E151" s="61" t="s">
        <v>128</v>
      </c>
      <c r="F151" s="58" t="s">
        <v>135</v>
      </c>
      <c r="G151" s="60">
        <v>2</v>
      </c>
      <c r="H151" s="77">
        <v>24166</v>
      </c>
      <c r="I151" s="78">
        <f t="shared" si="6"/>
        <v>48332</v>
      </c>
      <c r="J151" s="56"/>
      <c r="K151" s="56"/>
      <c r="L151" s="56"/>
    </row>
    <row r="152" spans="1:12" ht="31.9" customHeight="1" thickBot="1" x14ac:dyDescent="0.25">
      <c r="A152" s="74">
        <f t="shared" si="7"/>
        <v>143</v>
      </c>
      <c r="B152" s="72"/>
      <c r="C152" s="75" t="s">
        <v>162</v>
      </c>
      <c r="D152" s="75" t="s">
        <v>139</v>
      </c>
      <c r="E152" s="61" t="s">
        <v>129</v>
      </c>
      <c r="F152" s="58" t="s">
        <v>135</v>
      </c>
      <c r="G152" s="60">
        <v>3</v>
      </c>
      <c r="H152" s="77">
        <v>9769</v>
      </c>
      <c r="I152" s="78">
        <f t="shared" si="6"/>
        <v>29307</v>
      </c>
      <c r="J152" s="56"/>
      <c r="K152" s="56"/>
      <c r="L152" s="56"/>
    </row>
    <row r="153" spans="1:12" ht="31.9" customHeight="1" thickBot="1" x14ac:dyDescent="0.25">
      <c r="A153" s="74">
        <f t="shared" si="7"/>
        <v>144</v>
      </c>
      <c r="B153" s="72"/>
      <c r="C153" s="75" t="s">
        <v>162</v>
      </c>
      <c r="D153" s="75" t="s">
        <v>139</v>
      </c>
      <c r="E153" s="61" t="s">
        <v>130</v>
      </c>
      <c r="F153" s="66" t="s">
        <v>135</v>
      </c>
      <c r="G153" s="57">
        <v>2</v>
      </c>
      <c r="H153" s="77">
        <v>24749</v>
      </c>
      <c r="I153" s="78">
        <f t="shared" si="6"/>
        <v>49498</v>
      </c>
      <c r="J153" s="56"/>
      <c r="K153" s="56"/>
      <c r="L153" s="56"/>
    </row>
    <row r="154" spans="1:12" ht="31.9" customHeight="1" thickBot="1" x14ac:dyDescent="0.25">
      <c r="A154" s="74">
        <f t="shared" si="7"/>
        <v>145</v>
      </c>
      <c r="B154" s="72"/>
      <c r="C154" s="75" t="s">
        <v>162</v>
      </c>
      <c r="D154" s="75" t="s">
        <v>139</v>
      </c>
      <c r="E154" s="61" t="s">
        <v>243</v>
      </c>
      <c r="F154" s="66" t="s">
        <v>135</v>
      </c>
      <c r="G154" s="57">
        <v>1</v>
      </c>
      <c r="H154" s="77">
        <v>31433</v>
      </c>
      <c r="I154" s="78">
        <f t="shared" si="6"/>
        <v>31433</v>
      </c>
      <c r="J154" s="56"/>
      <c r="K154" s="56"/>
      <c r="L154" s="56"/>
    </row>
    <row r="155" spans="1:12" ht="31.9" customHeight="1" thickBot="1" x14ac:dyDescent="0.25">
      <c r="A155" s="74">
        <f t="shared" si="7"/>
        <v>146</v>
      </c>
      <c r="B155" s="72"/>
      <c r="C155" s="75" t="s">
        <v>162</v>
      </c>
      <c r="D155" s="75" t="s">
        <v>139</v>
      </c>
      <c r="E155" s="61" t="s">
        <v>244</v>
      </c>
      <c r="F155" s="66" t="s">
        <v>135</v>
      </c>
      <c r="G155" s="57">
        <v>1</v>
      </c>
      <c r="H155" s="77">
        <v>31443</v>
      </c>
      <c r="I155" s="78">
        <f t="shared" si="6"/>
        <v>31443</v>
      </c>
      <c r="J155" s="56"/>
      <c r="K155" s="56"/>
      <c r="L155" s="56"/>
    </row>
    <row r="156" spans="1:12" ht="31.9" customHeight="1" thickBot="1" x14ac:dyDescent="0.25">
      <c r="A156" s="74">
        <f t="shared" si="7"/>
        <v>147</v>
      </c>
      <c r="B156" s="72"/>
      <c r="C156" s="75" t="s">
        <v>162</v>
      </c>
      <c r="D156" s="75" t="s">
        <v>139</v>
      </c>
      <c r="E156" s="64" t="s">
        <v>245</v>
      </c>
      <c r="F156" s="66" t="s">
        <v>135</v>
      </c>
      <c r="G156" s="60">
        <v>12</v>
      </c>
      <c r="H156" s="77">
        <v>9723</v>
      </c>
      <c r="I156" s="78">
        <f t="shared" si="6"/>
        <v>116676</v>
      </c>
      <c r="J156" s="56"/>
      <c r="K156" s="56"/>
      <c r="L156" s="56"/>
    </row>
    <row r="157" spans="1:12" ht="31.9" customHeight="1" thickBot="1" x14ac:dyDescent="0.25">
      <c r="A157" s="74">
        <f t="shared" si="7"/>
        <v>148</v>
      </c>
      <c r="B157" s="72"/>
      <c r="C157" s="75" t="s">
        <v>162</v>
      </c>
      <c r="D157" s="75" t="s">
        <v>139</v>
      </c>
      <c r="E157" s="61" t="s">
        <v>246</v>
      </c>
      <c r="F157" s="66" t="s">
        <v>136</v>
      </c>
      <c r="G157" s="60">
        <v>3</v>
      </c>
      <c r="H157" s="77">
        <v>31767</v>
      </c>
      <c r="I157" s="78">
        <f t="shared" si="6"/>
        <v>95301</v>
      </c>
      <c r="J157" s="56"/>
      <c r="K157" s="56"/>
      <c r="L157" s="56"/>
    </row>
    <row r="158" spans="1:12" ht="31.9" customHeight="1" thickBot="1" x14ac:dyDescent="0.25">
      <c r="A158" s="74">
        <f t="shared" si="7"/>
        <v>149</v>
      </c>
      <c r="B158" s="72"/>
      <c r="C158" s="75" t="s">
        <v>162</v>
      </c>
      <c r="D158" s="75" t="s">
        <v>139</v>
      </c>
      <c r="E158" s="70" t="s">
        <v>77</v>
      </c>
      <c r="F158" s="73" t="s">
        <v>136</v>
      </c>
      <c r="G158" s="72">
        <v>2</v>
      </c>
      <c r="H158" s="78">
        <v>5025</v>
      </c>
      <c r="I158" s="78">
        <f t="shared" si="6"/>
        <v>10050</v>
      </c>
      <c r="J158" s="56"/>
      <c r="K158" s="56"/>
      <c r="L158" s="56"/>
    </row>
    <row r="159" spans="1:12" ht="31.9" customHeight="1" thickBot="1" x14ac:dyDescent="0.25">
      <c r="A159" s="74">
        <f t="shared" si="7"/>
        <v>150</v>
      </c>
      <c r="B159" s="72"/>
      <c r="C159" s="75" t="s">
        <v>162</v>
      </c>
      <c r="D159" s="75" t="s">
        <v>139</v>
      </c>
      <c r="E159" s="76" t="s">
        <v>247</v>
      </c>
      <c r="F159" s="66" t="s">
        <v>138</v>
      </c>
      <c r="G159" s="57">
        <v>1</v>
      </c>
      <c r="H159" s="77">
        <v>30000</v>
      </c>
      <c r="I159" s="78">
        <f t="shared" si="6"/>
        <v>30000</v>
      </c>
      <c r="J159" s="56"/>
      <c r="K159" s="56"/>
      <c r="L159" s="56"/>
    </row>
    <row r="160" spans="1:12" ht="31.9" customHeight="1" thickBot="1" x14ac:dyDescent="0.25">
      <c r="A160" s="74">
        <f t="shared" si="7"/>
        <v>151</v>
      </c>
      <c r="B160" s="72"/>
      <c r="C160" s="75" t="s">
        <v>162</v>
      </c>
      <c r="D160" s="75" t="s">
        <v>139</v>
      </c>
      <c r="E160" s="61" t="s">
        <v>94</v>
      </c>
      <c r="F160" s="66" t="s">
        <v>135</v>
      </c>
      <c r="G160" s="57">
        <v>1</v>
      </c>
      <c r="H160" s="77">
        <v>58744</v>
      </c>
      <c r="I160" s="78">
        <f t="shared" si="6"/>
        <v>58744</v>
      </c>
      <c r="J160" s="56"/>
      <c r="K160" s="56"/>
      <c r="L160" s="56"/>
    </row>
    <row r="161" spans="1:12" ht="31.9" customHeight="1" thickBot="1" x14ac:dyDescent="0.25">
      <c r="A161" s="74">
        <f t="shared" si="7"/>
        <v>152</v>
      </c>
      <c r="B161" s="72"/>
      <c r="C161" s="75" t="s">
        <v>162</v>
      </c>
      <c r="D161" s="75" t="s">
        <v>139</v>
      </c>
      <c r="E161" s="61" t="s">
        <v>95</v>
      </c>
      <c r="F161" s="66" t="s">
        <v>135</v>
      </c>
      <c r="G161" s="60">
        <v>1</v>
      </c>
      <c r="H161" s="77">
        <v>18803</v>
      </c>
      <c r="I161" s="78">
        <f t="shared" si="6"/>
        <v>18803</v>
      </c>
      <c r="J161" s="56"/>
      <c r="K161" s="56"/>
      <c r="L161" s="56"/>
    </row>
    <row r="162" spans="1:12" ht="31.9" customHeight="1" thickBot="1" x14ac:dyDescent="0.25">
      <c r="A162" s="74">
        <f t="shared" si="7"/>
        <v>153</v>
      </c>
      <c r="B162" s="72"/>
      <c r="C162" s="75" t="s">
        <v>162</v>
      </c>
      <c r="D162" s="75" t="s">
        <v>139</v>
      </c>
      <c r="E162" s="61" t="s">
        <v>96</v>
      </c>
      <c r="F162" s="66" t="s">
        <v>135</v>
      </c>
      <c r="G162" s="57">
        <v>1</v>
      </c>
      <c r="H162" s="77">
        <v>82056</v>
      </c>
      <c r="I162" s="78">
        <f t="shared" si="6"/>
        <v>82056</v>
      </c>
      <c r="J162" s="56"/>
      <c r="K162" s="56"/>
      <c r="L162" s="56"/>
    </row>
    <row r="163" spans="1:12" ht="31.9" customHeight="1" thickBot="1" x14ac:dyDescent="0.25">
      <c r="A163" s="74">
        <f t="shared" si="7"/>
        <v>154</v>
      </c>
      <c r="B163" s="72"/>
      <c r="C163" s="75" t="s">
        <v>162</v>
      </c>
      <c r="D163" s="75" t="s">
        <v>139</v>
      </c>
      <c r="E163" s="61" t="s">
        <v>97</v>
      </c>
      <c r="F163" s="66" t="s">
        <v>135</v>
      </c>
      <c r="G163" s="57">
        <v>1</v>
      </c>
      <c r="H163" s="77">
        <v>19396</v>
      </c>
      <c r="I163" s="78">
        <f t="shared" si="6"/>
        <v>19396</v>
      </c>
      <c r="J163" s="56"/>
      <c r="K163" s="56"/>
      <c r="L163" s="56"/>
    </row>
    <row r="164" spans="1:12" ht="31.9" customHeight="1" thickBot="1" x14ac:dyDescent="0.25">
      <c r="A164" s="74">
        <f t="shared" si="7"/>
        <v>155</v>
      </c>
      <c r="B164" s="72"/>
      <c r="C164" s="75" t="s">
        <v>162</v>
      </c>
      <c r="D164" s="75" t="s">
        <v>139</v>
      </c>
      <c r="E164" s="61" t="s">
        <v>248</v>
      </c>
      <c r="F164" s="66" t="s">
        <v>135</v>
      </c>
      <c r="G164" s="60">
        <v>3</v>
      </c>
      <c r="H164" s="77">
        <v>19396</v>
      </c>
      <c r="I164" s="78">
        <f t="shared" si="6"/>
        <v>58188</v>
      </c>
      <c r="J164" s="56"/>
      <c r="K164" s="56"/>
      <c r="L164" s="56"/>
    </row>
    <row r="165" spans="1:12" ht="31.9" customHeight="1" thickBot="1" x14ac:dyDescent="0.25">
      <c r="A165" s="74">
        <f t="shared" si="7"/>
        <v>156</v>
      </c>
      <c r="B165" s="72"/>
      <c r="C165" s="75" t="s">
        <v>162</v>
      </c>
      <c r="D165" s="75" t="s">
        <v>139</v>
      </c>
      <c r="E165" s="61" t="s">
        <v>249</v>
      </c>
      <c r="F165" s="66" t="s">
        <v>136</v>
      </c>
      <c r="G165" s="60">
        <v>1</v>
      </c>
      <c r="H165" s="77">
        <v>16669</v>
      </c>
      <c r="I165" s="78">
        <f t="shared" si="6"/>
        <v>16669</v>
      </c>
      <c r="J165" s="56"/>
      <c r="K165" s="56"/>
      <c r="L165" s="56"/>
    </row>
    <row r="166" spans="1:12" ht="31.9" customHeight="1" thickBot="1" x14ac:dyDescent="0.25">
      <c r="A166" s="74">
        <f t="shared" si="7"/>
        <v>157</v>
      </c>
      <c r="B166" s="72"/>
      <c r="C166" s="75" t="s">
        <v>162</v>
      </c>
      <c r="D166" s="75" t="s">
        <v>139</v>
      </c>
      <c r="E166" s="61" t="s">
        <v>98</v>
      </c>
      <c r="F166" s="66" t="s">
        <v>135</v>
      </c>
      <c r="G166" s="60">
        <v>1</v>
      </c>
      <c r="H166" s="77">
        <v>67723</v>
      </c>
      <c r="I166" s="78">
        <f t="shared" si="6"/>
        <v>67723</v>
      </c>
      <c r="J166" s="56"/>
      <c r="K166" s="56"/>
      <c r="L166" s="56"/>
    </row>
    <row r="167" spans="1:12" ht="31.9" customHeight="1" thickBot="1" x14ac:dyDescent="0.25">
      <c r="A167" s="74">
        <f t="shared" si="7"/>
        <v>158</v>
      </c>
      <c r="B167" s="72"/>
      <c r="C167" s="75" t="s">
        <v>162</v>
      </c>
      <c r="D167" s="75" t="s">
        <v>139</v>
      </c>
      <c r="E167" s="61" t="s">
        <v>99</v>
      </c>
      <c r="F167" s="66" t="s">
        <v>135</v>
      </c>
      <c r="G167" s="60">
        <v>1</v>
      </c>
      <c r="H167" s="77">
        <v>29390</v>
      </c>
      <c r="I167" s="78">
        <f t="shared" si="6"/>
        <v>29390</v>
      </c>
      <c r="J167" s="56"/>
      <c r="K167" s="56"/>
      <c r="L167" s="56"/>
    </row>
    <row r="168" spans="1:12" ht="31.9" customHeight="1" thickBot="1" x14ac:dyDescent="0.25">
      <c r="A168" s="74">
        <f t="shared" ref="A168:A195" si="8">A167+1</f>
        <v>159</v>
      </c>
      <c r="B168" s="72"/>
      <c r="C168" s="75" t="s">
        <v>162</v>
      </c>
      <c r="D168" s="75" t="s">
        <v>139</v>
      </c>
      <c r="E168" s="61" t="s">
        <v>100</v>
      </c>
      <c r="F168" s="66" t="s">
        <v>135</v>
      </c>
      <c r="G168" s="60">
        <v>1</v>
      </c>
      <c r="H168" s="77">
        <v>36449</v>
      </c>
      <c r="I168" s="78">
        <f t="shared" si="6"/>
        <v>36449</v>
      </c>
      <c r="J168" s="56"/>
      <c r="K168" s="56"/>
      <c r="L168" s="56"/>
    </row>
    <row r="169" spans="1:12" ht="31.9" customHeight="1" thickBot="1" x14ac:dyDescent="0.25">
      <c r="A169" s="74">
        <f t="shared" si="8"/>
        <v>160</v>
      </c>
      <c r="B169" s="72"/>
      <c r="C169" s="75" t="s">
        <v>162</v>
      </c>
      <c r="D169" s="75" t="s">
        <v>139</v>
      </c>
      <c r="E169" s="61" t="s">
        <v>101</v>
      </c>
      <c r="F169" s="66" t="s">
        <v>135</v>
      </c>
      <c r="G169" s="60">
        <v>2</v>
      </c>
      <c r="H169" s="77">
        <v>34547</v>
      </c>
      <c r="I169" s="78">
        <f t="shared" si="6"/>
        <v>69094</v>
      </c>
      <c r="J169" s="56"/>
      <c r="K169" s="56"/>
      <c r="L169" s="56"/>
    </row>
    <row r="170" spans="1:12" ht="31.9" customHeight="1" thickBot="1" x14ac:dyDescent="0.25">
      <c r="A170" s="74">
        <f t="shared" si="8"/>
        <v>161</v>
      </c>
      <c r="B170" s="72"/>
      <c r="C170" s="75" t="s">
        <v>162</v>
      </c>
      <c r="D170" s="75" t="s">
        <v>139</v>
      </c>
      <c r="E170" s="61" t="s">
        <v>102</v>
      </c>
      <c r="F170" s="66" t="s">
        <v>135</v>
      </c>
      <c r="G170" s="60">
        <v>1</v>
      </c>
      <c r="H170" s="77">
        <v>14901</v>
      </c>
      <c r="I170" s="78">
        <f t="shared" si="6"/>
        <v>14901</v>
      </c>
      <c r="J170" s="56"/>
      <c r="K170" s="56"/>
      <c r="L170" s="56"/>
    </row>
    <row r="171" spans="1:12" ht="31.9" customHeight="1" thickBot="1" x14ac:dyDescent="0.25">
      <c r="A171" s="74">
        <f t="shared" si="8"/>
        <v>162</v>
      </c>
      <c r="B171" s="72"/>
      <c r="C171" s="75" t="s">
        <v>162</v>
      </c>
      <c r="D171" s="75" t="s">
        <v>139</v>
      </c>
      <c r="E171" s="61" t="s">
        <v>250</v>
      </c>
      <c r="F171" s="66" t="s">
        <v>136</v>
      </c>
      <c r="G171" s="60">
        <v>1</v>
      </c>
      <c r="H171" s="77">
        <v>17152</v>
      </c>
      <c r="I171" s="78">
        <f t="shared" si="6"/>
        <v>17152</v>
      </c>
      <c r="J171" s="56"/>
      <c r="K171" s="56"/>
      <c r="L171" s="56"/>
    </row>
    <row r="172" spans="1:12" ht="31.9" customHeight="1" thickBot="1" x14ac:dyDescent="0.25">
      <c r="A172" s="74">
        <f t="shared" si="8"/>
        <v>163</v>
      </c>
      <c r="B172" s="72"/>
      <c r="C172" s="75" t="s">
        <v>162</v>
      </c>
      <c r="D172" s="75" t="s">
        <v>139</v>
      </c>
      <c r="E172" s="61" t="s">
        <v>251</v>
      </c>
      <c r="F172" s="66" t="s">
        <v>136</v>
      </c>
      <c r="G172" s="57">
        <v>1</v>
      </c>
      <c r="H172" s="77">
        <v>19918</v>
      </c>
      <c r="I172" s="78">
        <f t="shared" si="6"/>
        <v>19918</v>
      </c>
      <c r="J172" s="56"/>
      <c r="K172" s="56"/>
      <c r="L172" s="56"/>
    </row>
    <row r="173" spans="1:12" ht="31.9" customHeight="1" thickBot="1" x14ac:dyDescent="0.25">
      <c r="A173" s="74">
        <f t="shared" si="8"/>
        <v>164</v>
      </c>
      <c r="B173" s="72"/>
      <c r="C173" s="75" t="s">
        <v>162</v>
      </c>
      <c r="D173" s="75" t="s">
        <v>139</v>
      </c>
      <c r="E173" s="61" t="s">
        <v>252</v>
      </c>
      <c r="F173" s="66" t="s">
        <v>136</v>
      </c>
      <c r="G173" s="57">
        <v>1</v>
      </c>
      <c r="H173" s="77">
        <v>15456</v>
      </c>
      <c r="I173" s="78">
        <f t="shared" si="6"/>
        <v>15456</v>
      </c>
      <c r="J173" s="56"/>
      <c r="K173" s="56"/>
      <c r="L173" s="56"/>
    </row>
    <row r="174" spans="1:12" ht="31.9" customHeight="1" thickBot="1" x14ac:dyDescent="0.25">
      <c r="A174" s="74">
        <f t="shared" si="8"/>
        <v>165</v>
      </c>
      <c r="B174" s="72"/>
      <c r="C174" s="75" t="s">
        <v>162</v>
      </c>
      <c r="D174" s="75" t="s">
        <v>139</v>
      </c>
      <c r="E174" s="61" t="s">
        <v>253</v>
      </c>
      <c r="F174" s="66" t="s">
        <v>136</v>
      </c>
      <c r="G174" s="57">
        <v>1</v>
      </c>
      <c r="H174" s="77">
        <v>17152</v>
      </c>
      <c r="I174" s="78">
        <f t="shared" si="6"/>
        <v>17152</v>
      </c>
      <c r="J174" s="56"/>
      <c r="K174" s="56"/>
      <c r="L174" s="56"/>
    </row>
    <row r="175" spans="1:12" ht="31.9" customHeight="1" thickBot="1" x14ac:dyDescent="0.25">
      <c r="A175" s="74">
        <f t="shared" si="8"/>
        <v>166</v>
      </c>
      <c r="B175" s="72"/>
      <c r="C175" s="75" t="s">
        <v>162</v>
      </c>
      <c r="D175" s="75" t="s">
        <v>139</v>
      </c>
      <c r="E175" s="61" t="s">
        <v>254</v>
      </c>
      <c r="F175" s="66" t="s">
        <v>136</v>
      </c>
      <c r="G175" s="57">
        <v>1</v>
      </c>
      <c r="H175" s="77">
        <v>15456</v>
      </c>
      <c r="I175" s="78">
        <f t="shared" si="6"/>
        <v>15456</v>
      </c>
      <c r="J175" s="56"/>
      <c r="K175" s="56"/>
      <c r="L175" s="56"/>
    </row>
    <row r="176" spans="1:12" ht="31.9" customHeight="1" thickBot="1" x14ac:dyDescent="0.25">
      <c r="A176" s="74">
        <f t="shared" si="8"/>
        <v>167</v>
      </c>
      <c r="B176" s="72"/>
      <c r="C176" s="75" t="s">
        <v>162</v>
      </c>
      <c r="D176" s="75" t="s">
        <v>139</v>
      </c>
      <c r="E176" s="61" t="s">
        <v>103</v>
      </c>
      <c r="F176" s="66" t="s">
        <v>136</v>
      </c>
      <c r="G176" s="57">
        <v>1</v>
      </c>
      <c r="H176" s="77">
        <v>21425</v>
      </c>
      <c r="I176" s="78">
        <f t="shared" si="6"/>
        <v>21425</v>
      </c>
      <c r="J176" s="56"/>
      <c r="K176" s="56"/>
      <c r="L176" s="56"/>
    </row>
    <row r="177" spans="1:12" ht="31.9" customHeight="1" thickBot="1" x14ac:dyDescent="0.25">
      <c r="A177" s="74">
        <f t="shared" si="8"/>
        <v>168</v>
      </c>
      <c r="B177" s="72"/>
      <c r="C177" s="75" t="s">
        <v>162</v>
      </c>
      <c r="D177" s="75" t="s">
        <v>139</v>
      </c>
      <c r="E177" s="61" t="s">
        <v>255</v>
      </c>
      <c r="F177" s="66" t="s">
        <v>136</v>
      </c>
      <c r="G177" s="57">
        <v>1</v>
      </c>
      <c r="H177" s="77">
        <v>26477</v>
      </c>
      <c r="I177" s="78">
        <f t="shared" si="6"/>
        <v>26477</v>
      </c>
      <c r="J177" s="56"/>
      <c r="K177" s="56"/>
      <c r="L177" s="56"/>
    </row>
    <row r="178" spans="1:12" ht="31.9" customHeight="1" thickBot="1" x14ac:dyDescent="0.25">
      <c r="A178" s="74">
        <f t="shared" si="8"/>
        <v>169</v>
      </c>
      <c r="B178" s="72"/>
      <c r="C178" s="75" t="s">
        <v>162</v>
      </c>
      <c r="D178" s="75" t="s">
        <v>139</v>
      </c>
      <c r="E178" s="61" t="s">
        <v>256</v>
      </c>
      <c r="F178" s="66" t="s">
        <v>136</v>
      </c>
      <c r="G178" s="60">
        <v>1</v>
      </c>
      <c r="H178" s="77">
        <v>21731</v>
      </c>
      <c r="I178" s="78">
        <f t="shared" si="6"/>
        <v>21731</v>
      </c>
      <c r="J178" s="56"/>
      <c r="K178" s="56"/>
      <c r="L178" s="56"/>
    </row>
    <row r="179" spans="1:12" ht="29.1" customHeight="1" thickBot="1" x14ac:dyDescent="0.25">
      <c r="A179" s="74">
        <f t="shared" si="8"/>
        <v>170</v>
      </c>
      <c r="B179" s="72"/>
      <c r="C179" s="75" t="s">
        <v>162</v>
      </c>
      <c r="D179" s="75" t="s">
        <v>139</v>
      </c>
      <c r="E179" s="61" t="s">
        <v>257</v>
      </c>
      <c r="F179" s="66" t="s">
        <v>136</v>
      </c>
      <c r="G179" s="57">
        <v>3</v>
      </c>
      <c r="H179" s="77">
        <v>21731</v>
      </c>
      <c r="I179" s="78">
        <f t="shared" si="6"/>
        <v>65193</v>
      </c>
      <c r="J179" s="56"/>
      <c r="K179" s="56"/>
      <c r="L179" s="56"/>
    </row>
    <row r="180" spans="1:12" ht="31.9" customHeight="1" thickBot="1" x14ac:dyDescent="0.25">
      <c r="A180" s="74">
        <f t="shared" si="8"/>
        <v>171</v>
      </c>
      <c r="B180" s="72"/>
      <c r="C180" s="75" t="s">
        <v>162</v>
      </c>
      <c r="D180" s="75" t="s">
        <v>139</v>
      </c>
      <c r="E180" s="61" t="s">
        <v>104</v>
      </c>
      <c r="F180" s="66" t="s">
        <v>136</v>
      </c>
      <c r="G180" s="57">
        <v>1</v>
      </c>
      <c r="H180" s="77">
        <v>21731</v>
      </c>
      <c r="I180" s="78">
        <f t="shared" si="6"/>
        <v>21731</v>
      </c>
      <c r="J180" s="56"/>
      <c r="K180" s="56"/>
      <c r="L180" s="56"/>
    </row>
    <row r="181" spans="1:12" ht="31.9" customHeight="1" thickBot="1" x14ac:dyDescent="0.25">
      <c r="A181" s="74">
        <f t="shared" si="8"/>
        <v>172</v>
      </c>
      <c r="B181" s="72"/>
      <c r="C181" s="75" t="s">
        <v>162</v>
      </c>
      <c r="D181" s="75" t="s">
        <v>139</v>
      </c>
      <c r="E181" s="61" t="s">
        <v>105</v>
      </c>
      <c r="F181" s="68" t="s">
        <v>136</v>
      </c>
      <c r="G181" s="57">
        <v>1</v>
      </c>
      <c r="H181" s="77">
        <v>17152</v>
      </c>
      <c r="I181" s="78">
        <f t="shared" si="6"/>
        <v>17152</v>
      </c>
      <c r="J181" s="56"/>
      <c r="K181" s="56"/>
      <c r="L181" s="56"/>
    </row>
    <row r="182" spans="1:12" ht="31.9" customHeight="1" thickBot="1" x14ac:dyDescent="0.25">
      <c r="A182" s="74">
        <f t="shared" si="8"/>
        <v>173</v>
      </c>
      <c r="B182" s="72"/>
      <c r="C182" s="75" t="s">
        <v>162</v>
      </c>
      <c r="D182" s="75" t="s">
        <v>139</v>
      </c>
      <c r="E182" s="61" t="s">
        <v>107</v>
      </c>
      <c r="F182" s="69" t="s">
        <v>135</v>
      </c>
      <c r="G182" s="60">
        <v>1</v>
      </c>
      <c r="H182" s="77">
        <v>77446</v>
      </c>
      <c r="I182" s="78">
        <f t="shared" si="6"/>
        <v>77446</v>
      </c>
      <c r="J182" s="56"/>
      <c r="K182" s="56"/>
      <c r="L182" s="56"/>
    </row>
    <row r="183" spans="1:12" ht="31.9" customHeight="1" thickBot="1" x14ac:dyDescent="0.25">
      <c r="A183" s="74">
        <f t="shared" si="8"/>
        <v>174</v>
      </c>
      <c r="B183" s="72"/>
      <c r="C183" s="75" t="s">
        <v>162</v>
      </c>
      <c r="D183" s="75" t="s">
        <v>139</v>
      </c>
      <c r="E183" s="61" t="s">
        <v>66</v>
      </c>
      <c r="F183" s="69" t="s">
        <v>135</v>
      </c>
      <c r="G183" s="60">
        <v>2</v>
      </c>
      <c r="H183" s="77">
        <v>38587</v>
      </c>
      <c r="I183" s="78">
        <f t="shared" si="6"/>
        <v>77174</v>
      </c>
      <c r="J183" s="56"/>
      <c r="K183" s="56"/>
      <c r="L183" s="56"/>
    </row>
    <row r="184" spans="1:12" ht="31.9" customHeight="1" thickBot="1" x14ac:dyDescent="0.25">
      <c r="A184" s="74">
        <f t="shared" si="8"/>
        <v>175</v>
      </c>
      <c r="B184" s="72"/>
      <c r="C184" s="75" t="s">
        <v>162</v>
      </c>
      <c r="D184" s="75" t="s">
        <v>139</v>
      </c>
      <c r="E184" s="61" t="s">
        <v>67</v>
      </c>
      <c r="F184" s="66" t="s">
        <v>135</v>
      </c>
      <c r="G184" s="57">
        <v>4</v>
      </c>
      <c r="H184" s="77">
        <v>51200</v>
      </c>
      <c r="I184" s="78">
        <f t="shared" si="6"/>
        <v>204800</v>
      </c>
      <c r="J184" s="56"/>
      <c r="K184" s="56"/>
      <c r="L184" s="56"/>
    </row>
    <row r="185" spans="1:12" ht="31.9" customHeight="1" thickBot="1" x14ac:dyDescent="0.25">
      <c r="A185" s="74">
        <f t="shared" si="8"/>
        <v>176</v>
      </c>
      <c r="B185" s="72"/>
      <c r="C185" s="75" t="s">
        <v>162</v>
      </c>
      <c r="D185" s="75" t="s">
        <v>139</v>
      </c>
      <c r="E185" s="61" t="s">
        <v>89</v>
      </c>
      <c r="F185" s="67" t="s">
        <v>136</v>
      </c>
      <c r="G185" s="60">
        <v>7</v>
      </c>
      <c r="H185" s="77">
        <v>923</v>
      </c>
      <c r="I185" s="78">
        <f t="shared" si="6"/>
        <v>6461</v>
      </c>
      <c r="J185" s="56"/>
      <c r="K185" s="56"/>
      <c r="L185" s="56"/>
    </row>
    <row r="186" spans="1:12" ht="31.9" customHeight="1" thickBot="1" x14ac:dyDescent="0.25">
      <c r="A186" s="74">
        <f t="shared" si="8"/>
        <v>177</v>
      </c>
      <c r="B186" s="72"/>
      <c r="C186" s="75" t="s">
        <v>162</v>
      </c>
      <c r="D186" s="75" t="s">
        <v>139</v>
      </c>
      <c r="E186" s="61" t="s">
        <v>258</v>
      </c>
      <c r="F186" s="66" t="s">
        <v>134</v>
      </c>
      <c r="G186" s="57">
        <v>2</v>
      </c>
      <c r="H186" s="77">
        <v>52148</v>
      </c>
      <c r="I186" s="78">
        <f t="shared" si="6"/>
        <v>104296</v>
      </c>
      <c r="J186" s="56"/>
      <c r="K186" s="56"/>
      <c r="L186" s="56"/>
    </row>
    <row r="187" spans="1:12" ht="31.9" customHeight="1" thickBot="1" x14ac:dyDescent="0.25">
      <c r="A187" s="74">
        <f t="shared" si="8"/>
        <v>178</v>
      </c>
      <c r="B187" s="72"/>
      <c r="C187" s="75" t="s">
        <v>162</v>
      </c>
      <c r="D187" s="75" t="s">
        <v>139</v>
      </c>
      <c r="E187" s="70" t="s">
        <v>110</v>
      </c>
      <c r="F187" s="73" t="s">
        <v>135</v>
      </c>
      <c r="G187" s="72">
        <v>7</v>
      </c>
      <c r="H187" s="78">
        <v>5640</v>
      </c>
      <c r="I187" s="78">
        <f t="shared" si="6"/>
        <v>39480</v>
      </c>
      <c r="J187" s="56"/>
      <c r="K187" s="56"/>
      <c r="L187" s="56"/>
    </row>
    <row r="188" spans="1:12" ht="31.9" customHeight="1" thickBot="1" x14ac:dyDescent="0.25">
      <c r="A188" s="74">
        <f t="shared" si="8"/>
        <v>179</v>
      </c>
      <c r="B188" s="72"/>
      <c r="C188" s="75" t="s">
        <v>162</v>
      </c>
      <c r="D188" s="75" t="s">
        <v>139</v>
      </c>
      <c r="E188" s="70" t="s">
        <v>160</v>
      </c>
      <c r="F188" s="72" t="s">
        <v>135</v>
      </c>
      <c r="G188" s="72">
        <v>9</v>
      </c>
      <c r="H188" s="78">
        <v>16800</v>
      </c>
      <c r="I188" s="78">
        <f t="shared" si="6"/>
        <v>151200</v>
      </c>
      <c r="J188" s="56"/>
      <c r="K188" s="56"/>
      <c r="L188" s="56"/>
    </row>
    <row r="189" spans="1:12" ht="31.9" customHeight="1" thickBot="1" x14ac:dyDescent="0.25">
      <c r="A189" s="74">
        <f t="shared" si="8"/>
        <v>180</v>
      </c>
      <c r="B189" s="72"/>
      <c r="C189" s="75" t="s">
        <v>162</v>
      </c>
      <c r="D189" s="75" t="s">
        <v>139</v>
      </c>
      <c r="E189" s="70" t="s">
        <v>144</v>
      </c>
      <c r="F189" s="72" t="s">
        <v>138</v>
      </c>
      <c r="G189" s="72">
        <v>1</v>
      </c>
      <c r="H189" s="78">
        <v>8829</v>
      </c>
      <c r="I189" s="78">
        <f t="shared" si="6"/>
        <v>8829</v>
      </c>
      <c r="J189" s="56"/>
      <c r="K189" s="56"/>
      <c r="L189" s="56"/>
    </row>
    <row r="190" spans="1:12" ht="31.9" customHeight="1" thickBot="1" x14ac:dyDescent="0.25">
      <c r="A190" s="74">
        <f t="shared" si="8"/>
        <v>181</v>
      </c>
      <c r="B190" s="72"/>
      <c r="C190" s="75" t="s">
        <v>162</v>
      </c>
      <c r="D190" s="75" t="s">
        <v>139</v>
      </c>
      <c r="E190" s="70" t="s">
        <v>131</v>
      </c>
      <c r="F190" s="72" t="s">
        <v>135</v>
      </c>
      <c r="G190" s="72">
        <v>1</v>
      </c>
      <c r="H190" s="78">
        <v>16645</v>
      </c>
      <c r="I190" s="78">
        <f t="shared" si="6"/>
        <v>16645</v>
      </c>
      <c r="J190" s="56"/>
      <c r="K190" s="56"/>
      <c r="L190" s="56"/>
    </row>
    <row r="191" spans="1:12" ht="31.9" customHeight="1" thickBot="1" x14ac:dyDescent="0.25">
      <c r="A191" s="74">
        <f t="shared" si="8"/>
        <v>182</v>
      </c>
      <c r="B191" s="72"/>
      <c r="C191" s="75" t="s">
        <v>162</v>
      </c>
      <c r="D191" s="75" t="s">
        <v>139</v>
      </c>
      <c r="E191" s="61" t="s">
        <v>78</v>
      </c>
      <c r="F191" s="63" t="s">
        <v>136</v>
      </c>
      <c r="G191" s="60">
        <v>5</v>
      </c>
      <c r="H191" s="77">
        <v>8229</v>
      </c>
      <c r="I191" s="78">
        <f t="shared" si="6"/>
        <v>41145</v>
      </c>
      <c r="J191" s="56"/>
      <c r="K191" s="56"/>
      <c r="L191" s="56"/>
    </row>
    <row r="192" spans="1:12" ht="31.9" customHeight="1" thickBot="1" x14ac:dyDescent="0.25">
      <c r="A192" s="74">
        <f t="shared" si="8"/>
        <v>183</v>
      </c>
      <c r="B192" s="72"/>
      <c r="C192" s="75" t="s">
        <v>162</v>
      </c>
      <c r="D192" s="75" t="s">
        <v>139</v>
      </c>
      <c r="E192" s="61" t="s">
        <v>259</v>
      </c>
      <c r="F192" s="58" t="s">
        <v>136</v>
      </c>
      <c r="G192" s="57">
        <v>8</v>
      </c>
      <c r="H192" s="77">
        <v>3095</v>
      </c>
      <c r="I192" s="78">
        <f t="shared" si="6"/>
        <v>24760</v>
      </c>
      <c r="J192" s="56"/>
      <c r="K192" s="56"/>
      <c r="L192" s="56"/>
    </row>
    <row r="193" spans="1:14" ht="31.9" customHeight="1" thickBot="1" x14ac:dyDescent="0.25">
      <c r="A193" s="74">
        <f t="shared" si="8"/>
        <v>184</v>
      </c>
      <c r="B193" s="72"/>
      <c r="C193" s="75" t="s">
        <v>162</v>
      </c>
      <c r="D193" s="75" t="s">
        <v>139</v>
      </c>
      <c r="E193" s="61" t="s">
        <v>106</v>
      </c>
      <c r="F193" s="58" t="s">
        <v>135</v>
      </c>
      <c r="G193" s="57">
        <v>4</v>
      </c>
      <c r="H193" s="77">
        <v>20717</v>
      </c>
      <c r="I193" s="78">
        <f t="shared" si="6"/>
        <v>82868</v>
      </c>
      <c r="J193" s="56"/>
      <c r="K193" s="56"/>
      <c r="L193" s="56"/>
    </row>
    <row r="194" spans="1:14" ht="31.9" customHeight="1" thickBot="1" x14ac:dyDescent="0.25">
      <c r="A194" s="74">
        <f t="shared" si="8"/>
        <v>185</v>
      </c>
      <c r="B194" s="72"/>
      <c r="C194" s="75" t="s">
        <v>162</v>
      </c>
      <c r="D194" s="75" t="s">
        <v>139</v>
      </c>
      <c r="E194" s="61" t="s">
        <v>260</v>
      </c>
      <c r="F194" s="62" t="s">
        <v>136</v>
      </c>
      <c r="G194" s="57">
        <v>12</v>
      </c>
      <c r="H194" s="77">
        <v>5249</v>
      </c>
      <c r="I194" s="78">
        <f t="shared" si="6"/>
        <v>62988</v>
      </c>
      <c r="J194" s="56"/>
      <c r="K194" s="56"/>
      <c r="L194" s="56"/>
    </row>
    <row r="195" spans="1:14" ht="31.9" customHeight="1" thickBot="1" x14ac:dyDescent="0.25">
      <c r="A195" s="74">
        <f t="shared" si="8"/>
        <v>186</v>
      </c>
      <c r="B195" s="72"/>
      <c r="C195" s="75" t="s">
        <v>162</v>
      </c>
      <c r="D195" s="75" t="s">
        <v>139</v>
      </c>
      <c r="E195" s="76" t="s">
        <v>154</v>
      </c>
      <c r="F195" s="58" t="s">
        <v>138</v>
      </c>
      <c r="G195" s="57">
        <v>3</v>
      </c>
      <c r="H195" s="77">
        <v>3515</v>
      </c>
      <c r="I195" s="78">
        <f t="shared" si="6"/>
        <v>10545</v>
      </c>
      <c r="J195" s="56"/>
      <c r="K195" s="56"/>
      <c r="L195" s="56"/>
    </row>
    <row r="196" spans="1:14" ht="21" customHeight="1" thickBot="1" x14ac:dyDescent="0.25">
      <c r="I196" s="79">
        <f>SUMPRODUCT(G10:G195*H10:H195)</f>
        <v>6727590</v>
      </c>
      <c r="N196" s="101"/>
    </row>
    <row r="197" spans="1:14" ht="13.5" thickBot="1" x14ac:dyDescent="0.25">
      <c r="N197" s="101"/>
    </row>
    <row r="198" spans="1:14" x14ac:dyDescent="0.2">
      <c r="B198" s="32" t="s">
        <v>264</v>
      </c>
      <c r="C198" s="33"/>
      <c r="D198" s="33"/>
      <c r="E198" s="34"/>
    </row>
    <row r="199" spans="1:14" ht="5.25" customHeight="1" x14ac:dyDescent="0.2">
      <c r="B199" s="35"/>
      <c r="C199" s="36"/>
      <c r="D199" s="36"/>
      <c r="E199" s="37"/>
    </row>
    <row r="200" spans="1:14" x14ac:dyDescent="0.2">
      <c r="B200" s="38" t="s">
        <v>14</v>
      </c>
      <c r="C200" s="36"/>
      <c r="D200" s="36"/>
      <c r="E200" s="37"/>
    </row>
    <row r="201" spans="1:14" ht="85.5" customHeight="1" x14ac:dyDescent="0.2">
      <c r="B201" s="38"/>
      <c r="C201" s="106" t="s">
        <v>167</v>
      </c>
      <c r="D201" s="106"/>
      <c r="E201" s="106"/>
    </row>
    <row r="202" spans="1:14" x14ac:dyDescent="0.2">
      <c r="B202" s="38" t="s">
        <v>15</v>
      </c>
      <c r="C202" s="36"/>
      <c r="D202" s="36"/>
      <c r="E202" s="37"/>
    </row>
    <row r="203" spans="1:14" x14ac:dyDescent="0.2">
      <c r="B203" s="39"/>
      <c r="C203" s="107" t="s">
        <v>166</v>
      </c>
      <c r="D203" s="107"/>
      <c r="E203" s="107"/>
    </row>
    <row r="204" spans="1:14" x14ac:dyDescent="0.2">
      <c r="B204" s="39"/>
      <c r="C204" s="108"/>
      <c r="D204" s="108"/>
      <c r="E204" s="108"/>
    </row>
    <row r="205" spans="1:14" x14ac:dyDescent="0.2">
      <c r="B205" s="38" t="s">
        <v>16</v>
      </c>
      <c r="C205" s="36"/>
      <c r="D205" s="36"/>
      <c r="E205" s="37"/>
    </row>
    <row r="206" spans="1:14" ht="26.25" customHeight="1" x14ac:dyDescent="0.2">
      <c r="B206" s="39"/>
      <c r="C206" s="102"/>
      <c r="D206" s="102"/>
      <c r="E206" s="102"/>
    </row>
    <row r="207" spans="1:14" x14ac:dyDescent="0.2">
      <c r="B207" s="38" t="s">
        <v>17</v>
      </c>
      <c r="C207" s="40"/>
      <c r="D207" s="40"/>
      <c r="E207" s="41"/>
    </row>
    <row r="208" spans="1:14" ht="26.25" customHeight="1" x14ac:dyDescent="0.2">
      <c r="B208" s="39"/>
      <c r="C208" s="103" t="s">
        <v>61</v>
      </c>
      <c r="D208" s="103"/>
      <c r="E208" s="103"/>
    </row>
    <row r="209" spans="2:5" x14ac:dyDescent="0.2">
      <c r="B209" s="38" t="s">
        <v>18</v>
      </c>
      <c r="C209" s="36"/>
      <c r="D209" s="36"/>
      <c r="E209" s="37"/>
    </row>
    <row r="210" spans="2:5" ht="23.25" customHeight="1" x14ac:dyDescent="0.2">
      <c r="B210" s="38"/>
      <c r="C210" s="104"/>
      <c r="D210" s="104"/>
      <c r="E210" s="104"/>
    </row>
    <row r="211" spans="2:5" ht="13.5" thickBot="1" x14ac:dyDescent="0.25">
      <c r="B211" s="42"/>
      <c r="C211" s="43"/>
      <c r="D211" s="43"/>
      <c r="E211" s="44"/>
    </row>
  </sheetData>
  <autoFilter ref="C9:D196" xr:uid="{CECD0E9E-C35E-4169-AED0-ADEE3AFD6A86}"/>
  <sortState xmlns:xlrd2="http://schemas.microsoft.com/office/spreadsheetml/2017/richdata2" ref="B10:I194">
    <sortCondition ref="E10:E194"/>
  </sortState>
  <mergeCells count="13">
    <mergeCell ref="B2:H2"/>
    <mergeCell ref="A4:B4"/>
    <mergeCell ref="C4:E4"/>
    <mergeCell ref="A5:B5"/>
    <mergeCell ref="C5:E5"/>
    <mergeCell ref="C206:E206"/>
    <mergeCell ref="C208:E208"/>
    <mergeCell ref="C210:E210"/>
    <mergeCell ref="A6:B6"/>
    <mergeCell ref="A7:B7"/>
    <mergeCell ref="C201:E201"/>
    <mergeCell ref="C203:E203"/>
    <mergeCell ref="C204:E204"/>
  </mergeCells>
  <conditionalFormatting sqref="E10:E140">
    <cfRule type="cellIs" dxfId="34" priority="14" operator="equal">
      <formula>"duplicado"</formula>
    </cfRule>
  </conditionalFormatting>
  <conditionalFormatting sqref="E17">
    <cfRule type="duplicateValues" dxfId="33" priority="11"/>
    <cfRule type="duplicateValues" dxfId="32" priority="12"/>
    <cfRule type="cellIs" dxfId="31" priority="13" operator="equal">
      <formula>"calibra"</formula>
    </cfRule>
  </conditionalFormatting>
  <conditionalFormatting sqref="E104">
    <cfRule type="duplicateValues" dxfId="30" priority="8"/>
    <cfRule type="duplicateValues" dxfId="29" priority="9"/>
    <cfRule type="cellIs" dxfId="28" priority="10" operator="equal">
      <formula>"calibra"</formula>
    </cfRule>
  </conditionalFormatting>
  <conditionalFormatting sqref="E73">
    <cfRule type="duplicateValues" dxfId="27" priority="5"/>
    <cfRule type="duplicateValues" dxfId="26" priority="6"/>
    <cfRule type="cellIs" dxfId="25" priority="7" operator="equal">
      <formula>"calibra"</formula>
    </cfRule>
  </conditionalFormatting>
  <conditionalFormatting sqref="E142">
    <cfRule type="cellIs" dxfId="24" priority="4" operator="equal">
      <formula>"duplicar"</formula>
    </cfRule>
  </conditionalFormatting>
  <conditionalFormatting sqref="E10:E14">
    <cfRule type="duplicateValues" dxfId="23" priority="15"/>
    <cfRule type="duplicateValues" dxfId="22" priority="16"/>
    <cfRule type="cellIs" dxfId="21" priority="17" operator="equal">
      <formula>"calibra"</formula>
    </cfRule>
  </conditionalFormatting>
  <conditionalFormatting sqref="E15:E16">
    <cfRule type="duplicateValues" dxfId="20" priority="18"/>
    <cfRule type="duplicateValues" dxfId="19" priority="19"/>
    <cfRule type="cellIs" dxfId="18" priority="20" operator="equal">
      <formula>"calibra"</formula>
    </cfRule>
  </conditionalFormatting>
  <conditionalFormatting sqref="E131:E137 E104 E85 E18:E72">
    <cfRule type="duplicateValues" dxfId="17" priority="21"/>
    <cfRule type="duplicateValues" dxfId="16" priority="22"/>
    <cfRule type="cellIs" dxfId="15" priority="23" operator="equal">
      <formula>"calibra"</formula>
    </cfRule>
  </conditionalFormatting>
  <conditionalFormatting sqref="E139:E141">
    <cfRule type="duplicateValues" dxfId="14" priority="27"/>
    <cfRule type="duplicateValues" dxfId="13" priority="28"/>
    <cfRule type="cellIs" dxfId="12" priority="29" operator="equal">
      <formula>"calibra"</formula>
    </cfRule>
  </conditionalFormatting>
  <conditionalFormatting sqref="E142">
    <cfRule type="duplicateValues" dxfId="11" priority="33"/>
    <cfRule type="duplicateValues" dxfId="10" priority="34"/>
    <cfRule type="cellIs" dxfId="9" priority="35" operator="equal">
      <formula>"calibra"</formula>
    </cfRule>
  </conditionalFormatting>
  <conditionalFormatting sqref="E138">
    <cfRule type="duplicateValues" dxfId="8" priority="65"/>
    <cfRule type="duplicateValues" dxfId="7" priority="66"/>
    <cfRule type="cellIs" dxfId="6" priority="67" operator="equal">
      <formula>"calibra"</formula>
    </cfRule>
  </conditionalFormatting>
  <conditionalFormatting sqref="E128:E129 E100 E102:E104 E89:E93 E85 E131:E141 E111:E125 E10:E72">
    <cfRule type="duplicateValues" dxfId="5" priority="68"/>
    <cfRule type="duplicateValues" dxfId="4" priority="69"/>
    <cfRule type="cellIs" dxfId="3" priority="70" operator="equal">
      <formula>"calibra"</formula>
    </cfRule>
  </conditionalFormatting>
  <conditionalFormatting sqref="E105:E137 E74:E103">
    <cfRule type="duplicateValues" dxfId="2" priority="82"/>
    <cfRule type="duplicateValues" dxfId="1" priority="83"/>
    <cfRule type="cellIs" dxfId="0" priority="84" operator="equal">
      <formula>"calibra"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98"/>
  <sheetViews>
    <sheetView topLeftCell="A154" zoomScale="70" zoomScaleNormal="70" workbookViewId="0">
      <selection activeCell="O196" sqref="O19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19</v>
      </c>
      <c r="B1" s="119"/>
      <c r="C1" s="119"/>
      <c r="D1" s="119"/>
      <c r="E1" s="119"/>
      <c r="F1" s="119"/>
      <c r="G1" s="119"/>
      <c r="H1" s="119"/>
      <c r="I1" s="119"/>
      <c r="J1" s="3" t="s">
        <v>20</v>
      </c>
      <c r="K1" s="48" t="s">
        <v>163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0" t="s">
        <v>53</v>
      </c>
      <c r="B3" s="120"/>
      <c r="C3" s="120"/>
      <c r="D3" s="112" t="str">
        <f>'Necesidades Trimestrales'!C4</f>
        <v>40 - Ministerio de Salud</v>
      </c>
      <c r="E3" s="112"/>
      <c r="F3" s="112"/>
      <c r="G3" s="112"/>
      <c r="H3" s="112"/>
      <c r="I3" s="112"/>
      <c r="J3" s="112"/>
      <c r="K3" s="112"/>
    </row>
    <row r="4" spans="1:11" ht="18.75" customHeight="1" thickBot="1" x14ac:dyDescent="0.25">
      <c r="A4" s="121" t="s">
        <v>54</v>
      </c>
      <c r="B4" s="121"/>
      <c r="C4" s="121"/>
      <c r="D4" s="112" t="str">
        <f>'Necesidades Trimestrales'!C5</f>
        <v>23 - Hospital Interzonal San Juan Bautista</v>
      </c>
      <c r="E4" s="112"/>
      <c r="F4" s="112"/>
      <c r="G4" s="112"/>
      <c r="H4" s="112"/>
      <c r="I4" s="112"/>
      <c r="J4" s="112"/>
      <c r="K4" s="112"/>
    </row>
    <row r="5" spans="1:11" ht="18.75" customHeight="1" thickBot="1" x14ac:dyDescent="0.25">
      <c r="A5" s="121" t="s">
        <v>32</v>
      </c>
      <c r="B5" s="121"/>
      <c r="C5" s="121"/>
      <c r="D5" s="112" t="s">
        <v>59</v>
      </c>
      <c r="E5" s="112"/>
      <c r="F5" s="112"/>
      <c r="G5" s="112"/>
      <c r="H5" s="112"/>
      <c r="I5" s="112"/>
      <c r="J5" s="112"/>
      <c r="K5" s="112"/>
    </row>
    <row r="6" spans="1:11" ht="16.5" customHeight="1" thickBot="1" x14ac:dyDescent="0.25">
      <c r="A6" s="120" t="s">
        <v>55</v>
      </c>
      <c r="B6" s="120"/>
      <c r="C6" s="120"/>
      <c r="D6" s="112" t="s">
        <v>164</v>
      </c>
      <c r="E6" s="112"/>
      <c r="F6" s="112"/>
      <c r="G6" s="112"/>
      <c r="H6" s="112"/>
      <c r="I6" s="112"/>
      <c r="J6" s="112"/>
      <c r="K6" s="112"/>
    </row>
    <row r="7" spans="1:11" ht="16.5" customHeight="1" x14ac:dyDescent="0.2">
      <c r="A7" s="121" t="s">
        <v>21</v>
      </c>
      <c r="B7" s="121"/>
      <c r="C7" s="121"/>
      <c r="D7" s="112" t="str">
        <f>'Necesidades Trimestrales'!C7 &amp; "° Trimestre - Año " &amp; 'Necesidades Trimestrales'!C6</f>
        <v>2° Trimestre - Año 2021</v>
      </c>
      <c r="E7" s="112"/>
      <c r="F7" s="112"/>
      <c r="G7" s="112"/>
      <c r="H7" s="112"/>
      <c r="I7" s="112"/>
      <c r="J7" s="112"/>
      <c r="K7" s="112"/>
    </row>
    <row r="8" spans="1:11" ht="16.5" customHeight="1" x14ac:dyDescent="0.2">
      <c r="A8" s="114" t="s">
        <v>22</v>
      </c>
      <c r="B8" s="114"/>
      <c r="C8" s="114"/>
      <c r="D8" s="115" t="s">
        <v>165</v>
      </c>
      <c r="E8" s="115"/>
      <c r="F8" s="115"/>
      <c r="G8" s="115"/>
      <c r="H8" s="115"/>
      <c r="I8" s="115"/>
      <c r="J8" s="115"/>
      <c r="K8" s="115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6" t="s">
        <v>23</v>
      </c>
      <c r="B10" s="117" t="s">
        <v>24</v>
      </c>
      <c r="C10" s="117" t="s">
        <v>25</v>
      </c>
      <c r="D10" s="117"/>
      <c r="E10" s="117"/>
      <c r="F10" s="117"/>
      <c r="G10" s="117"/>
      <c r="H10" s="117" t="s">
        <v>26</v>
      </c>
      <c r="I10" s="117" t="s">
        <v>27</v>
      </c>
      <c r="J10" s="117" t="s">
        <v>28</v>
      </c>
      <c r="K10" s="118" t="s">
        <v>29</v>
      </c>
    </row>
    <row r="11" spans="1:11" ht="24" customHeight="1" thickBot="1" x14ac:dyDescent="0.25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8"/>
    </row>
    <row r="12" spans="1:11" ht="20.25" customHeight="1" thickBot="1" x14ac:dyDescent="0.25">
      <c r="A12" s="8">
        <v>1</v>
      </c>
      <c r="B12" s="49">
        <f>'Necesidades Trimestrales'!B10</f>
        <v>0</v>
      </c>
      <c r="C12" s="111" t="str">
        <f>'Necesidades Trimestrales'!E10</f>
        <v>2010 ASSAY CUP</v>
      </c>
      <c r="D12" s="111"/>
      <c r="E12" s="111"/>
      <c r="F12" s="111"/>
      <c r="G12" s="111"/>
      <c r="H12" s="50" t="s">
        <v>56</v>
      </c>
      <c r="I12" s="51" t="str">
        <f>'Necesidades Trimestrales'!F10</f>
        <v>CAJA</v>
      </c>
      <c r="J12" s="52">
        <f>'Necesidades Trimestrales'!H10</f>
        <v>23309</v>
      </c>
      <c r="K12" s="53">
        <f>'Necesidades Trimestrales'!G10</f>
        <v>7</v>
      </c>
    </row>
    <row r="13" spans="1:11" ht="20.25" customHeight="1" thickBot="1" x14ac:dyDescent="0.25">
      <c r="A13" s="8">
        <v>2</v>
      </c>
      <c r="B13" s="49">
        <f>'Necesidades Trimestrales'!B11</f>
        <v>0</v>
      </c>
      <c r="C13" s="111" t="str">
        <f>'Necesidades Trimestrales'!E11</f>
        <v>2010 ASSAY TIP</v>
      </c>
      <c r="D13" s="111"/>
      <c r="E13" s="111"/>
      <c r="F13" s="111"/>
      <c r="G13" s="111"/>
      <c r="H13" s="50" t="s">
        <v>56</v>
      </c>
      <c r="I13" s="51" t="str">
        <f>'Necesidades Trimestrales'!F11</f>
        <v>CAJA</v>
      </c>
      <c r="J13" s="52">
        <f>'Necesidades Trimestrales'!H11</f>
        <v>17318</v>
      </c>
      <c r="K13" s="53">
        <f>'Necesidades Trimestrales'!G11</f>
        <v>7</v>
      </c>
    </row>
    <row r="14" spans="1:11" ht="20.25" customHeight="1" thickBot="1" x14ac:dyDescent="0.25">
      <c r="A14" s="8">
        <v>3</v>
      </c>
      <c r="B14" s="49">
        <f>'Necesidades Trimestrales'!B12</f>
        <v>0</v>
      </c>
      <c r="C14" s="111" t="str">
        <f>'Necesidades Trimestrales'!E12</f>
        <v>ACEITE DE INMERSIÓN : X 100 ML</v>
      </c>
      <c r="D14" s="111"/>
      <c r="E14" s="111"/>
      <c r="F14" s="111"/>
      <c r="G14" s="111"/>
      <c r="H14" s="50" t="s">
        <v>56</v>
      </c>
      <c r="I14" s="51" t="str">
        <f>'Necesidades Trimestrales'!F12</f>
        <v>FRASCO</v>
      </c>
      <c r="J14" s="52">
        <f>'Necesidades Trimestrales'!H12</f>
        <v>1505</v>
      </c>
      <c r="K14" s="53">
        <f>'Necesidades Trimestrales'!G12</f>
        <v>4</v>
      </c>
    </row>
    <row r="15" spans="1:11" ht="20.25" customHeight="1" thickBot="1" x14ac:dyDescent="0.25">
      <c r="A15" s="8">
        <v>4</v>
      </c>
      <c r="B15" s="49">
        <f>'Necesidades Trimestrales'!B13</f>
        <v>0</v>
      </c>
      <c r="C15" s="111" t="str">
        <f>'Necesidades Trimestrales'!E13</f>
        <v>ACID WASH SOLUTION 2 X 1800 MLP/COBAS C311</v>
      </c>
      <c r="D15" s="111"/>
      <c r="E15" s="111"/>
      <c r="F15" s="111"/>
      <c r="G15" s="111"/>
      <c r="H15" s="50" t="s">
        <v>56</v>
      </c>
      <c r="I15" s="51" t="str">
        <f>'Necesidades Trimestrales'!F13</f>
        <v>CAJA</v>
      </c>
      <c r="J15" s="52">
        <f>'Necesidades Trimestrales'!H13</f>
        <v>28854</v>
      </c>
      <c r="K15" s="53">
        <f>'Necesidades Trimestrales'!G13</f>
        <v>3</v>
      </c>
    </row>
    <row r="16" spans="1:11" ht="20.25" customHeight="1" thickBot="1" x14ac:dyDescent="0.25">
      <c r="A16" s="8">
        <v>5</v>
      </c>
      <c r="B16" s="49">
        <f>'Necesidades Trimestrales'!B14</f>
        <v>0</v>
      </c>
      <c r="C16" s="111" t="str">
        <f>'Necesidades Trimestrales'!E14</f>
        <v>ÁCIDO CLOHÍDRICO 27-30%, ESTADO: LIQUIDO, PRESENTACIÓN: ENVASE POR 1 LITRO</v>
      </c>
      <c r="D16" s="111"/>
      <c r="E16" s="111"/>
      <c r="F16" s="111"/>
      <c r="G16" s="111"/>
      <c r="H16" s="50" t="s">
        <v>56</v>
      </c>
      <c r="I16" s="51" t="str">
        <f>'Necesidades Trimestrales'!F14</f>
        <v>FRASCO</v>
      </c>
      <c r="J16" s="52">
        <f>'Necesidades Trimestrales'!H14</f>
        <v>900</v>
      </c>
      <c r="K16" s="53">
        <f>'Necesidades Trimestrales'!G14</f>
        <v>3</v>
      </c>
    </row>
    <row r="17" spans="1:11" ht="20.25" customHeight="1" thickBot="1" x14ac:dyDescent="0.25">
      <c r="A17" s="8">
        <v>6</v>
      </c>
      <c r="B17" s="49">
        <f>'Necesidades Trimestrales'!B15</f>
        <v>0</v>
      </c>
      <c r="C17" s="111" t="str">
        <f>'Necesidades Trimestrales'!E15</f>
        <v>ACIDO URICO COBAS C-311 ROCHE  X 400 DET</v>
      </c>
      <c r="D17" s="111"/>
      <c r="E17" s="111"/>
      <c r="F17" s="111"/>
      <c r="G17" s="111"/>
      <c r="H17" s="50" t="s">
        <v>56</v>
      </c>
      <c r="I17" s="51" t="str">
        <f>'Necesidades Trimestrales'!F15</f>
        <v>CASSETTE</v>
      </c>
      <c r="J17" s="52">
        <f>'Necesidades Trimestrales'!H15</f>
        <v>4661</v>
      </c>
      <c r="K17" s="53">
        <f>'Necesidades Trimestrales'!G15</f>
        <v>6</v>
      </c>
    </row>
    <row r="18" spans="1:11" ht="20.25" customHeight="1" thickBot="1" x14ac:dyDescent="0.25">
      <c r="A18" s="8">
        <v>7</v>
      </c>
      <c r="B18" s="49">
        <f>'Necesidades Trimestrales'!B16</f>
        <v>0</v>
      </c>
      <c r="C18" s="111" t="str">
        <f>'Necesidades Trimestrales'!E16</f>
        <v>AGAR BASE COLUMBIA, ESTADO: SOLIDO, PRESENTACION: ENVASE X 500 GR</v>
      </c>
      <c r="D18" s="111"/>
      <c r="E18" s="111"/>
      <c r="F18" s="111"/>
      <c r="G18" s="111"/>
      <c r="H18" s="50" t="s">
        <v>56</v>
      </c>
      <c r="I18" s="51" t="str">
        <f>'Necesidades Trimestrales'!F16</f>
        <v>FRASCO</v>
      </c>
      <c r="J18" s="52">
        <f>'Necesidades Trimestrales'!H16</f>
        <v>10605</v>
      </c>
      <c r="K18" s="53">
        <f>'Necesidades Trimestrales'!G16</f>
        <v>2</v>
      </c>
    </row>
    <row r="19" spans="1:11" ht="20.25" customHeight="1" thickBot="1" x14ac:dyDescent="0.25">
      <c r="A19" s="8">
        <v>8</v>
      </c>
      <c r="B19" s="49">
        <f>'Necesidades Trimestrales'!B17</f>
        <v>0</v>
      </c>
      <c r="C19" s="111" t="str">
        <f>'Necesidades Trimestrales'!E17</f>
        <v>AGAR BILIS ESCULINA, ESTADO: SOLIDO, PRESENTACION: ENVASE X 100 GR</v>
      </c>
      <c r="D19" s="111"/>
      <c r="E19" s="111"/>
      <c r="F19" s="111"/>
      <c r="G19" s="111"/>
      <c r="H19" s="50" t="s">
        <v>56</v>
      </c>
      <c r="I19" s="51" t="str">
        <f>'Necesidades Trimestrales'!F17</f>
        <v>FRASCO</v>
      </c>
      <c r="J19" s="52">
        <f>'Necesidades Trimestrales'!H17</f>
        <v>14471</v>
      </c>
      <c r="K19" s="53">
        <f>'Necesidades Trimestrales'!G17</f>
        <v>2</v>
      </c>
    </row>
    <row r="20" spans="1:11" ht="20.25" customHeight="1" thickBot="1" x14ac:dyDescent="0.25">
      <c r="A20" s="8">
        <v>9</v>
      </c>
      <c r="B20" s="49">
        <f>'Necesidades Trimestrales'!B18</f>
        <v>0</v>
      </c>
      <c r="C20" s="111" t="str">
        <f>'Necesidades Trimestrales'!E18</f>
        <v>AGAR C.L.D.E:  X 500 GR</v>
      </c>
      <c r="D20" s="111"/>
      <c r="E20" s="111"/>
      <c r="F20" s="111"/>
      <c r="G20" s="111"/>
      <c r="H20" s="50" t="s">
        <v>56</v>
      </c>
      <c r="I20" s="51" t="str">
        <f>'Necesidades Trimestrales'!F18</f>
        <v>FRASCO</v>
      </c>
      <c r="J20" s="52">
        <f>'Necesidades Trimestrales'!H18</f>
        <v>10150</v>
      </c>
      <c r="K20" s="53">
        <f>'Necesidades Trimestrales'!G18</f>
        <v>2</v>
      </c>
    </row>
    <row r="21" spans="1:11" ht="20.25" customHeight="1" thickBot="1" x14ac:dyDescent="0.25">
      <c r="A21" s="8">
        <v>10</v>
      </c>
      <c r="B21" s="49">
        <f>'Necesidades Trimestrales'!B19</f>
        <v>0</v>
      </c>
      <c r="C21" s="111" t="str">
        <f>'Necesidades Trimestrales'!E19</f>
        <v>AGAR CITRATO DE SIMMONS, ESTADO: SOLIDO, PRESENTACION: ENVASE X 100 GR</v>
      </c>
      <c r="D21" s="111"/>
      <c r="E21" s="111"/>
      <c r="F21" s="111"/>
      <c r="G21" s="111"/>
      <c r="H21" s="50" t="s">
        <v>56</v>
      </c>
      <c r="I21" s="51" t="str">
        <f>'Necesidades Trimestrales'!F19</f>
        <v>FRASCO</v>
      </c>
      <c r="J21" s="52">
        <f>'Necesidades Trimestrales'!H19</f>
        <v>4223</v>
      </c>
      <c r="K21" s="53">
        <f>'Necesidades Trimestrales'!G19</f>
        <v>2</v>
      </c>
    </row>
    <row r="22" spans="1:11" ht="20.25" customHeight="1" thickBot="1" x14ac:dyDescent="0.25">
      <c r="A22" s="8">
        <v>11</v>
      </c>
      <c r="B22" s="49">
        <f>'Necesidades Trimestrales'!B20</f>
        <v>0</v>
      </c>
      <c r="C22" s="111" t="str">
        <f>'Necesidades Trimestrales'!E20</f>
        <v>AGAR CROMOGENICO P/CANDIDA, ESTADO: SOLIDO, PRESENTACION: ENVASE X 47,7 GR</v>
      </c>
      <c r="D22" s="111"/>
      <c r="E22" s="111"/>
      <c r="F22" s="111"/>
      <c r="G22" s="111"/>
      <c r="H22" s="50" t="s">
        <v>56</v>
      </c>
      <c r="I22" s="51" t="str">
        <f>'Necesidades Trimestrales'!F20</f>
        <v>FRASCO</v>
      </c>
      <c r="J22" s="52">
        <f>'Necesidades Trimestrales'!H20</f>
        <v>50025</v>
      </c>
      <c r="K22" s="53">
        <f>'Necesidades Trimestrales'!G20</f>
        <v>1</v>
      </c>
    </row>
    <row r="23" spans="1:11" ht="20.25" customHeight="1" thickBot="1" x14ac:dyDescent="0.25">
      <c r="A23" s="8">
        <v>12</v>
      </c>
      <c r="B23" s="49">
        <f>'Necesidades Trimestrales'!B21</f>
        <v>0</v>
      </c>
      <c r="C23" s="111" t="str">
        <f>'Necesidades Trimestrales'!E21</f>
        <v>AGAR EOSINA-AZUL METILENO-LACT, ESTADO: SOLIDO, PRESENTACION: ENVASE X 500 GR</v>
      </c>
      <c r="D23" s="111"/>
      <c r="E23" s="111"/>
      <c r="F23" s="111"/>
      <c r="G23" s="111"/>
      <c r="H23" s="50" t="s">
        <v>56</v>
      </c>
      <c r="I23" s="51" t="str">
        <f>'Necesidades Trimestrales'!F21</f>
        <v>FRASCO</v>
      </c>
      <c r="J23" s="52">
        <f>'Necesidades Trimestrales'!H21</f>
        <v>12358</v>
      </c>
      <c r="K23" s="53">
        <f>'Necesidades Trimestrales'!G21</f>
        <v>2</v>
      </c>
    </row>
    <row r="24" spans="1:11" ht="20.25" customHeight="1" thickBot="1" x14ac:dyDescent="0.25">
      <c r="A24" s="8">
        <v>13</v>
      </c>
      <c r="B24" s="49">
        <f>'Necesidades Trimestrales'!B22</f>
        <v>0</v>
      </c>
      <c r="C24" s="111" t="str">
        <f>'Necesidades Trimestrales'!E22</f>
        <v>AGAR HIERRO TRIPLE AZUCAR, ESTADO: SOLIDO, PRESENTACION: ENVASE X 100 GR</v>
      </c>
      <c r="D24" s="111"/>
      <c r="E24" s="111"/>
      <c r="F24" s="111"/>
      <c r="G24" s="111"/>
      <c r="H24" s="50" t="s">
        <v>56</v>
      </c>
      <c r="I24" s="51" t="str">
        <f>'Necesidades Trimestrales'!F22</f>
        <v>FRASCO</v>
      </c>
      <c r="J24" s="52">
        <f>'Necesidades Trimestrales'!H22</f>
        <v>3176</v>
      </c>
      <c r="K24" s="53">
        <f>'Necesidades Trimestrales'!G22</f>
        <v>2</v>
      </c>
    </row>
    <row r="25" spans="1:11" ht="20.25" customHeight="1" thickBot="1" x14ac:dyDescent="0.25">
      <c r="A25" s="8">
        <v>14</v>
      </c>
      <c r="B25" s="49">
        <f>'Necesidades Trimestrales'!B23</f>
        <v>0</v>
      </c>
      <c r="C25" s="111" t="str">
        <f>'Necesidades Trimestrales'!E23</f>
        <v>AGAR LISINA HIERRO, ESTADO: SOLIDO, PRESENTACION: ENVASE X 100 GR</v>
      </c>
      <c r="D25" s="111"/>
      <c r="E25" s="111"/>
      <c r="F25" s="111"/>
      <c r="G25" s="111"/>
      <c r="H25" s="50" t="s">
        <v>56</v>
      </c>
      <c r="I25" s="51" t="str">
        <f>'Necesidades Trimestrales'!F23</f>
        <v>FRASCO</v>
      </c>
      <c r="J25" s="52">
        <f>'Necesidades Trimestrales'!H23</f>
        <v>5951</v>
      </c>
      <c r="K25" s="53">
        <f>'Necesidades Trimestrales'!G23</f>
        <v>2</v>
      </c>
    </row>
    <row r="26" spans="1:11" ht="20.25" customHeight="1" thickBot="1" x14ac:dyDescent="0.25">
      <c r="A26" s="8">
        <v>15</v>
      </c>
      <c r="B26" s="49">
        <f>'Necesidades Trimestrales'!B24</f>
        <v>0</v>
      </c>
      <c r="C26" s="111" t="str">
        <f>'Necesidades Trimestrales'!E24</f>
        <v>AGAR MANITOL SALADO, ESTADO: SOLIDO, PRESENTACION: ENVASE X 100 GR</v>
      </c>
      <c r="D26" s="111"/>
      <c r="E26" s="111"/>
      <c r="F26" s="111"/>
      <c r="G26" s="111"/>
      <c r="H26" s="50" t="s">
        <v>56</v>
      </c>
      <c r="I26" s="51" t="str">
        <f>'Necesidades Trimestrales'!F24</f>
        <v>FRASCO</v>
      </c>
      <c r="J26" s="52">
        <f>'Necesidades Trimestrales'!H24</f>
        <v>2123</v>
      </c>
      <c r="K26" s="53">
        <f>'Necesidades Trimestrales'!G24</f>
        <v>2</v>
      </c>
    </row>
    <row r="27" spans="1:11" ht="20.25" customHeight="1" thickBot="1" x14ac:dyDescent="0.25">
      <c r="A27" s="8">
        <v>16</v>
      </c>
      <c r="B27" s="49">
        <f>'Necesidades Trimestrales'!B25</f>
        <v>0</v>
      </c>
      <c r="C27" s="111" t="str">
        <f>'Necesidades Trimestrales'!E25</f>
        <v>AGAR MULLER HILTON, ESTADO: SOLIDO, PRESENTACION: ENVASE X 500 GR</v>
      </c>
      <c r="D27" s="111"/>
      <c r="E27" s="111"/>
      <c r="F27" s="111"/>
      <c r="G27" s="111"/>
      <c r="H27" s="50" t="s">
        <v>56</v>
      </c>
      <c r="I27" s="51" t="str">
        <f>'Necesidades Trimestrales'!F25</f>
        <v>FRASCO</v>
      </c>
      <c r="J27" s="52">
        <f>'Necesidades Trimestrales'!H25</f>
        <v>13716</v>
      </c>
      <c r="K27" s="53">
        <f>'Necesidades Trimestrales'!G25</f>
        <v>2</v>
      </c>
    </row>
    <row r="28" spans="1:11" ht="20.25" customHeight="1" thickBot="1" x14ac:dyDescent="0.25">
      <c r="A28" s="8">
        <v>17</v>
      </c>
      <c r="B28" s="49">
        <f>'Necesidades Trimestrales'!B26</f>
        <v>0</v>
      </c>
      <c r="C28" s="111" t="str">
        <f>'Necesidades Trimestrales'!E26</f>
        <v>AGAR SABOURAUD GLUCOSA, ESTADO: SOLIDO, PRESENTACION: ENVASE X 100 GR</v>
      </c>
      <c r="D28" s="111"/>
      <c r="E28" s="111"/>
      <c r="F28" s="111"/>
      <c r="G28" s="111"/>
      <c r="H28" s="50" t="s">
        <v>56</v>
      </c>
      <c r="I28" s="51" t="str">
        <f>'Necesidades Trimestrales'!F26</f>
        <v>FRASCO</v>
      </c>
      <c r="J28" s="52">
        <f>'Necesidades Trimestrales'!H26</f>
        <v>2513</v>
      </c>
      <c r="K28" s="53">
        <f>'Necesidades Trimestrales'!G26</f>
        <v>3</v>
      </c>
    </row>
    <row r="29" spans="1:11" ht="20.25" customHeight="1" thickBot="1" x14ac:dyDescent="0.25">
      <c r="A29" s="8">
        <v>18</v>
      </c>
      <c r="B29" s="49">
        <f>'Necesidades Trimestrales'!B27</f>
        <v>0</v>
      </c>
      <c r="C29" s="111" t="str">
        <f>'Necesidades Trimestrales'!E27</f>
        <v>AGAR SALMONELLA- SHIGELLA, ESTADO: SOLIDO, PRESENTACION: ENVASE X 100 GR</v>
      </c>
      <c r="D29" s="111"/>
      <c r="E29" s="111"/>
      <c r="F29" s="111"/>
      <c r="G29" s="111"/>
      <c r="H29" s="50" t="s">
        <v>56</v>
      </c>
      <c r="I29" s="51" t="str">
        <f>'Necesidades Trimestrales'!F27</f>
        <v>FRASCO</v>
      </c>
      <c r="J29" s="52">
        <f>'Necesidades Trimestrales'!H27</f>
        <v>3988</v>
      </c>
      <c r="K29" s="53">
        <f>'Necesidades Trimestrales'!G27</f>
        <v>2</v>
      </c>
    </row>
    <row r="30" spans="1:11" ht="20.25" customHeight="1" thickBot="1" x14ac:dyDescent="0.25">
      <c r="A30" s="8">
        <v>19</v>
      </c>
      <c r="B30" s="49">
        <f>'Necesidades Trimestrales'!B28</f>
        <v>0</v>
      </c>
      <c r="C30" s="111" t="str">
        <f>'Necesidades Trimestrales'!E28</f>
        <v>AGAR SIM, ESTADO: SOLIDO, PRESENTACION: ENVASE X 100 GR</v>
      </c>
      <c r="D30" s="111"/>
      <c r="E30" s="111"/>
      <c r="F30" s="111"/>
      <c r="G30" s="111"/>
      <c r="H30" s="50" t="s">
        <v>56</v>
      </c>
      <c r="I30" s="51" t="str">
        <f>'Necesidades Trimestrales'!F28</f>
        <v>FRASCO</v>
      </c>
      <c r="J30" s="52">
        <f>'Necesidades Trimestrales'!H28</f>
        <v>6386</v>
      </c>
      <c r="K30" s="53">
        <f>'Necesidades Trimestrales'!G28</f>
        <v>2</v>
      </c>
    </row>
    <row r="31" spans="1:11" ht="20.25" customHeight="1" thickBot="1" x14ac:dyDescent="0.25">
      <c r="A31" s="8">
        <v>20</v>
      </c>
      <c r="B31" s="49">
        <f>'Necesidades Trimestrales'!B29</f>
        <v>0</v>
      </c>
      <c r="C31" s="111" t="str">
        <f>'Necesidades Trimestrales'!E29</f>
        <v>ALBUMINA COBAS C-311 ROCHE  X 300 DET</v>
      </c>
      <c r="D31" s="111"/>
      <c r="E31" s="111"/>
      <c r="F31" s="111"/>
      <c r="G31" s="111"/>
      <c r="H31" s="50" t="s">
        <v>56</v>
      </c>
      <c r="I31" s="51" t="str">
        <f>'Necesidades Trimestrales'!F29</f>
        <v>CASSETTE</v>
      </c>
      <c r="J31" s="52">
        <f>'Necesidades Trimestrales'!H29</f>
        <v>1706</v>
      </c>
      <c r="K31" s="53">
        <f>'Necesidades Trimestrales'!G29</f>
        <v>2</v>
      </c>
    </row>
    <row r="32" spans="1:11" ht="20.25" customHeight="1" thickBot="1" x14ac:dyDescent="0.25">
      <c r="A32" s="8">
        <v>21</v>
      </c>
      <c r="B32" s="49">
        <f>'Necesidades Trimestrales'!B30</f>
        <v>0</v>
      </c>
      <c r="C32" s="111" t="str">
        <f>'Necesidades Trimestrales'!E30</f>
        <v>AMILASA TOTAL COBAS C-311 ROCHE  X 300 DET</v>
      </c>
      <c r="D32" s="111"/>
      <c r="E32" s="111"/>
      <c r="F32" s="111"/>
      <c r="G32" s="111"/>
      <c r="H32" s="50" t="s">
        <v>56</v>
      </c>
      <c r="I32" s="51" t="str">
        <f>'Necesidades Trimestrales'!F30</f>
        <v>CASSETTE</v>
      </c>
      <c r="J32" s="52">
        <f>'Necesidades Trimestrales'!H30</f>
        <v>8817</v>
      </c>
      <c r="K32" s="53">
        <f>'Necesidades Trimestrales'!G30</f>
        <v>10</v>
      </c>
    </row>
    <row r="33" spans="1:11" ht="20.25" customHeight="1" thickBot="1" x14ac:dyDescent="0.25">
      <c r="A33" s="8">
        <v>22</v>
      </c>
      <c r="B33" s="49">
        <f>'Necesidades Trimestrales'!B31</f>
        <v>0</v>
      </c>
      <c r="C33" s="111" t="str">
        <f>'Necesidades Trimestrales'!E31</f>
        <v>ANTI - C (MIN) X 10 ML</v>
      </c>
      <c r="D33" s="111"/>
      <c r="E33" s="111"/>
      <c r="F33" s="111"/>
      <c r="G33" s="111"/>
      <c r="H33" s="50" t="s">
        <v>56</v>
      </c>
      <c r="I33" s="51" t="str">
        <f>'Necesidades Trimestrales'!F31</f>
        <v>FRASCO</v>
      </c>
      <c r="J33" s="52">
        <f>'Necesidades Trimestrales'!H31</f>
        <v>9600</v>
      </c>
      <c r="K33" s="53">
        <f>'Necesidades Trimestrales'!G31</f>
        <v>6</v>
      </c>
    </row>
    <row r="34" spans="1:11" ht="20.25" customHeight="1" thickBot="1" x14ac:dyDescent="0.25">
      <c r="A34" s="8">
        <v>23</v>
      </c>
      <c r="B34" s="49">
        <f>'Necesidades Trimestrales'!B32</f>
        <v>0</v>
      </c>
      <c r="C34" s="111" t="str">
        <f>'Necesidades Trimestrales'!E32</f>
        <v xml:space="preserve">ANTI - C X 10 ML </v>
      </c>
      <c r="D34" s="111"/>
      <c r="E34" s="111"/>
      <c r="F34" s="111"/>
      <c r="G34" s="111"/>
      <c r="H34" s="50" t="s">
        <v>56</v>
      </c>
      <c r="I34" s="51" t="str">
        <f>'Necesidades Trimestrales'!F32</f>
        <v>FRASCO</v>
      </c>
      <c r="J34" s="52">
        <f>'Necesidades Trimestrales'!H32</f>
        <v>7800</v>
      </c>
      <c r="K34" s="53">
        <f>'Necesidades Trimestrales'!G32</f>
        <v>6</v>
      </c>
    </row>
    <row r="35" spans="1:11" ht="20.25" customHeight="1" thickBot="1" x14ac:dyDescent="0.25">
      <c r="A35" s="8">
        <v>24</v>
      </c>
      <c r="B35" s="49">
        <f>'Necesidades Trimestrales'!B33</f>
        <v>0</v>
      </c>
      <c r="C35" s="111" t="str">
        <f>'Necesidades Trimestrales'!E33</f>
        <v>ANTI - CDE X 10 ML</v>
      </c>
      <c r="D35" s="111"/>
      <c r="E35" s="111"/>
      <c r="F35" s="111"/>
      <c r="G35" s="111"/>
      <c r="H35" s="50" t="s">
        <v>56</v>
      </c>
      <c r="I35" s="51" t="str">
        <f>'Necesidades Trimestrales'!F33</f>
        <v>FRASCO</v>
      </c>
      <c r="J35" s="52">
        <f>'Necesidades Trimestrales'!H33</f>
        <v>9120</v>
      </c>
      <c r="K35" s="53">
        <f>'Necesidades Trimestrales'!G33</f>
        <v>6</v>
      </c>
    </row>
    <row r="36" spans="1:11" ht="20.25" customHeight="1" thickBot="1" x14ac:dyDescent="0.25">
      <c r="A36" s="8">
        <v>25</v>
      </c>
      <c r="B36" s="49">
        <f>'Necesidades Trimestrales'!B34</f>
        <v>0</v>
      </c>
      <c r="C36" s="111" t="str">
        <f>'Necesidades Trimestrales'!E34</f>
        <v>ANTI - E (MIN) X 10 ML</v>
      </c>
      <c r="D36" s="111"/>
      <c r="E36" s="111"/>
      <c r="F36" s="111"/>
      <c r="G36" s="111"/>
      <c r="H36" s="50" t="s">
        <v>56</v>
      </c>
      <c r="I36" s="51" t="str">
        <f>'Necesidades Trimestrales'!F34</f>
        <v>FRASCO</v>
      </c>
      <c r="J36" s="52">
        <f>'Necesidades Trimestrales'!H34</f>
        <v>9600</v>
      </c>
      <c r="K36" s="53">
        <f>'Necesidades Trimestrales'!G34</f>
        <v>6</v>
      </c>
    </row>
    <row r="37" spans="1:11" ht="20.25" customHeight="1" thickBot="1" x14ac:dyDescent="0.25">
      <c r="A37" s="8">
        <v>26</v>
      </c>
      <c r="B37" s="49">
        <f>'Necesidades Trimestrales'!B35</f>
        <v>0</v>
      </c>
      <c r="C37" s="111" t="str">
        <f>'Necesidades Trimestrales'!E35</f>
        <v xml:space="preserve">ANTI - E X 10 ML </v>
      </c>
      <c r="D37" s="111"/>
      <c r="E37" s="111"/>
      <c r="F37" s="111"/>
      <c r="G37" s="111"/>
      <c r="H37" s="50" t="s">
        <v>56</v>
      </c>
      <c r="I37" s="51" t="str">
        <f>'Necesidades Trimestrales'!F35</f>
        <v>FRASCO</v>
      </c>
      <c r="J37" s="52">
        <f>'Necesidades Trimestrales'!H35</f>
        <v>7800</v>
      </c>
      <c r="K37" s="53">
        <f>'Necesidades Trimestrales'!G35</f>
        <v>6</v>
      </c>
    </row>
    <row r="38" spans="1:11" ht="20.25" customHeight="1" thickBot="1" x14ac:dyDescent="0.25">
      <c r="A38" s="8">
        <v>27</v>
      </c>
      <c r="B38" s="49">
        <f>'Necesidades Trimestrales'!B36</f>
        <v>0</v>
      </c>
      <c r="C38" s="111" t="str">
        <f>'Necesidades Trimestrales'!E36</f>
        <v>ANTICUERPOS ANTITRANSGLUTAMINASA TIPO ORGESTRIOL</v>
      </c>
      <c r="D38" s="111"/>
      <c r="E38" s="111"/>
      <c r="F38" s="111"/>
      <c r="G38" s="111"/>
      <c r="H38" s="50" t="s">
        <v>56</v>
      </c>
      <c r="I38" s="51" t="str">
        <f>'Necesidades Trimestrales'!F36</f>
        <v>CAJA</v>
      </c>
      <c r="J38" s="52">
        <f>'Necesidades Trimestrales'!H36</f>
        <v>35754</v>
      </c>
      <c r="K38" s="53">
        <f>'Necesidades Trimestrales'!G36</f>
        <v>1</v>
      </c>
    </row>
    <row r="39" spans="1:11" ht="20.25" customHeight="1" thickBot="1" x14ac:dyDescent="0.25">
      <c r="A39" s="8">
        <v>28</v>
      </c>
      <c r="B39" s="49">
        <f>'Necesidades Trimestrales'!B37</f>
        <v>0</v>
      </c>
      <c r="C39" s="111" t="str">
        <f>'Necesidades Trimestrales'!E37</f>
        <v>AZUL DE METILENO, ESTADO: SOLIDO, CALIDAD: PRO ANALISIS, PRESENTACION: ENVASE X 100 GR</v>
      </c>
      <c r="D39" s="111"/>
      <c r="E39" s="111"/>
      <c r="F39" s="111"/>
      <c r="G39" s="111"/>
      <c r="H39" s="50" t="s">
        <v>56</v>
      </c>
      <c r="I39" s="51" t="str">
        <f>'Necesidades Trimestrales'!F37</f>
        <v>FRASCO</v>
      </c>
      <c r="J39" s="52">
        <f>'Necesidades Trimestrales'!H37</f>
        <v>7038</v>
      </c>
      <c r="K39" s="53">
        <f>'Necesidades Trimestrales'!G37</f>
        <v>2</v>
      </c>
    </row>
    <row r="40" spans="1:11" ht="20.25" customHeight="1" thickBot="1" x14ac:dyDescent="0.25">
      <c r="A40" s="8">
        <v>29</v>
      </c>
      <c r="B40" s="49">
        <f>'Necesidades Trimestrales'!B38</f>
        <v>0</v>
      </c>
      <c r="C40" s="111" t="str">
        <f>'Necesidades Trimestrales'!E38</f>
        <v>CALCIO COBAS C-311 ROCHE  X 300 DET</v>
      </c>
      <c r="D40" s="111"/>
      <c r="E40" s="111"/>
      <c r="F40" s="111"/>
      <c r="G40" s="111"/>
      <c r="H40" s="50" t="s">
        <v>56</v>
      </c>
      <c r="I40" s="51" t="str">
        <f>'Necesidades Trimestrales'!F38</f>
        <v>CASSETTE</v>
      </c>
      <c r="J40" s="52">
        <f>'Necesidades Trimestrales'!H38</f>
        <v>3514</v>
      </c>
      <c r="K40" s="53">
        <f>'Necesidades Trimestrales'!G38</f>
        <v>5</v>
      </c>
    </row>
    <row r="41" spans="1:11" ht="20.25" customHeight="1" thickBot="1" x14ac:dyDescent="0.25">
      <c r="A41" s="8">
        <v>30</v>
      </c>
      <c r="B41" s="49">
        <f>'Necesidades Trimestrales'!B39</f>
        <v>0</v>
      </c>
      <c r="C41" s="111" t="str">
        <f>'Necesidades Trimestrales'!E39</f>
        <v xml:space="preserve">CALIBRADOR  PROLACTINA X  10 CAL  COBAS E-411 ROCHE </v>
      </c>
      <c r="D41" s="111"/>
      <c r="E41" s="111"/>
      <c r="F41" s="111"/>
      <c r="G41" s="111"/>
      <c r="H41" s="50" t="s">
        <v>56</v>
      </c>
      <c r="I41" s="51" t="str">
        <f>'Necesidades Trimestrales'!F39</f>
        <v>CAJA</v>
      </c>
      <c r="J41" s="52">
        <f>'Necesidades Trimestrales'!H39</f>
        <v>10863</v>
      </c>
      <c r="K41" s="53">
        <f>'Necesidades Trimestrales'!G39</f>
        <v>1</v>
      </c>
    </row>
    <row r="42" spans="1:11" ht="20.25" customHeight="1" thickBot="1" x14ac:dyDescent="0.25">
      <c r="A42" s="8">
        <v>31</v>
      </c>
      <c r="B42" s="49">
        <f>'Necesidades Trimestrales'!B40</f>
        <v>0</v>
      </c>
      <c r="C42" s="111" t="str">
        <f>'Necesidades Trimestrales'!E40</f>
        <v xml:space="preserve">CALIBRADOR  S-HBG  X  10 CAL  COBAS E-411 ROCHE </v>
      </c>
      <c r="D42" s="111"/>
      <c r="E42" s="111"/>
      <c r="F42" s="111"/>
      <c r="G42" s="111"/>
      <c r="H42" s="50" t="s">
        <v>56</v>
      </c>
      <c r="I42" s="51" t="str">
        <f>'Necesidades Trimestrales'!F40</f>
        <v>CAJA</v>
      </c>
      <c r="J42" s="52">
        <f>'Necesidades Trimestrales'!H40</f>
        <v>13299</v>
      </c>
      <c r="K42" s="53">
        <f>'Necesidades Trimestrales'!G40</f>
        <v>1</v>
      </c>
    </row>
    <row r="43" spans="1:11" ht="20.25" customHeight="1" thickBot="1" x14ac:dyDescent="0.25">
      <c r="A43" s="8">
        <v>32</v>
      </c>
      <c r="B43" s="49">
        <f>'Necesidades Trimestrales'!B41</f>
        <v>0</v>
      </c>
      <c r="C43" s="111" t="str">
        <f>'Necesidades Trimestrales'!E41</f>
        <v>CALIBRADOR ( CALSET) ANTI TPO X 10 CAL COBAS E-411 ROCHE</v>
      </c>
      <c r="D43" s="111"/>
      <c r="E43" s="111"/>
      <c r="F43" s="111"/>
      <c r="G43" s="111"/>
      <c r="H43" s="50" t="s">
        <v>56</v>
      </c>
      <c r="I43" s="51" t="str">
        <f>'Necesidades Trimestrales'!F41</f>
        <v>CAJA</v>
      </c>
      <c r="J43" s="52">
        <f>'Necesidades Trimestrales'!H41</f>
        <v>14114</v>
      </c>
      <c r="K43" s="53">
        <f>'Necesidades Trimestrales'!G41</f>
        <v>3</v>
      </c>
    </row>
    <row r="44" spans="1:11" ht="20.25" customHeight="1" thickBot="1" x14ac:dyDescent="0.25">
      <c r="A44" s="8">
        <v>33</v>
      </c>
      <c r="B44" s="49">
        <f>'Necesidades Trimestrales'!B42</f>
        <v>0</v>
      </c>
      <c r="C44" s="111" t="str">
        <f>'Necesidades Trimestrales'!E42</f>
        <v>CALIBRADOR ( CALSET) CORTISOL X 10 CAL COBAS E-411 ROCHE</v>
      </c>
      <c r="D44" s="111"/>
      <c r="E44" s="111"/>
      <c r="F44" s="111"/>
      <c r="G44" s="111"/>
      <c r="H44" s="50" t="s">
        <v>56</v>
      </c>
      <c r="I44" s="51" t="str">
        <f>'Necesidades Trimestrales'!F42</f>
        <v>CAJA</v>
      </c>
      <c r="J44" s="52">
        <f>'Necesidades Trimestrales'!H42</f>
        <v>12963</v>
      </c>
      <c r="K44" s="53">
        <f>'Necesidades Trimestrales'!G42</f>
        <v>1</v>
      </c>
    </row>
    <row r="45" spans="1:11" ht="20.25" customHeight="1" thickBot="1" x14ac:dyDescent="0.25">
      <c r="A45" s="8">
        <v>34</v>
      </c>
      <c r="B45" s="49">
        <f>'Necesidades Trimestrales'!B43</f>
        <v>0</v>
      </c>
      <c r="C45" s="111" t="str">
        <f>'Necesidades Trimestrales'!E43</f>
        <v>CALIBRADOR (CALSET) ANTI TIROGLOBULINA P COBAS E411</v>
      </c>
      <c r="D45" s="111"/>
      <c r="E45" s="111"/>
      <c r="F45" s="111"/>
      <c r="G45" s="111"/>
      <c r="H45" s="50" t="s">
        <v>56</v>
      </c>
      <c r="I45" s="51" t="str">
        <f>'Necesidades Trimestrales'!F43</f>
        <v>CAJA</v>
      </c>
      <c r="J45" s="52">
        <f>'Necesidades Trimestrales'!H43</f>
        <v>14114</v>
      </c>
      <c r="K45" s="53">
        <f>'Necesidades Trimestrales'!G43</f>
        <v>1</v>
      </c>
    </row>
    <row r="46" spans="1:11" ht="20.25" customHeight="1" thickBot="1" x14ac:dyDescent="0.25">
      <c r="A46" s="8">
        <v>35</v>
      </c>
      <c r="B46" s="49">
        <f>'Necesidades Trimestrales'!B44</f>
        <v>0</v>
      </c>
      <c r="C46" s="111" t="str">
        <f>'Necesidades Trimestrales'!E44</f>
        <v>CALIBRADOR (CALSET) ESTRADIOL X 10 CAL COBAS E-411 ROCHE</v>
      </c>
      <c r="D46" s="111"/>
      <c r="E46" s="111"/>
      <c r="F46" s="111"/>
      <c r="G46" s="111"/>
      <c r="H46" s="50" t="s">
        <v>56</v>
      </c>
      <c r="I46" s="51" t="str">
        <f>'Necesidades Trimestrales'!F44</f>
        <v>CAJA</v>
      </c>
      <c r="J46" s="52">
        <f>'Necesidades Trimestrales'!H44</f>
        <v>14114</v>
      </c>
      <c r="K46" s="53">
        <f>'Necesidades Trimestrales'!G44</f>
        <v>1</v>
      </c>
    </row>
    <row r="47" spans="1:11" ht="20.25" customHeight="1" thickBot="1" x14ac:dyDescent="0.25">
      <c r="A47" s="8">
        <v>36</v>
      </c>
      <c r="B47" s="49">
        <f>'Necesidades Trimestrales'!B45</f>
        <v>0</v>
      </c>
      <c r="C47" s="111" t="str">
        <f>'Necesidades Trimestrales'!E45</f>
        <v>CALIBRADOR (CALSET) FSH  X 10 CAL COBAS E-411 ROCHE</v>
      </c>
      <c r="D47" s="111"/>
      <c r="E47" s="111"/>
      <c r="F47" s="111"/>
      <c r="G47" s="111"/>
      <c r="H47" s="50" t="s">
        <v>56</v>
      </c>
      <c r="I47" s="51" t="str">
        <f>'Necesidades Trimestrales'!F45</f>
        <v>CAJA</v>
      </c>
      <c r="J47" s="52">
        <f>'Necesidades Trimestrales'!H45</f>
        <v>10863</v>
      </c>
      <c r="K47" s="53">
        <f>'Necesidades Trimestrales'!G45</f>
        <v>1</v>
      </c>
    </row>
    <row r="48" spans="1:11" ht="20.25" customHeight="1" thickBot="1" x14ac:dyDescent="0.25">
      <c r="A48" s="8">
        <v>37</v>
      </c>
      <c r="B48" s="49">
        <f>'Necesidades Trimestrales'!B46</f>
        <v>0</v>
      </c>
      <c r="C48" s="111" t="str">
        <f>'Necesidades Trimestrales'!E46</f>
        <v>CALIBRADOR ACTH P COBAS E 411</v>
      </c>
      <c r="D48" s="111"/>
      <c r="E48" s="111"/>
      <c r="F48" s="111"/>
      <c r="G48" s="111"/>
      <c r="H48" s="50" t="s">
        <v>56</v>
      </c>
      <c r="I48" s="51" t="str">
        <f>'Necesidades Trimestrales'!F46</f>
        <v>CAJA</v>
      </c>
      <c r="J48" s="52">
        <f>'Necesidades Trimestrales'!H46</f>
        <v>41773</v>
      </c>
      <c r="K48" s="53">
        <f>'Necesidades Trimestrales'!G46</f>
        <v>1</v>
      </c>
    </row>
    <row r="49" spans="1:11" ht="20.25" customHeight="1" thickBot="1" x14ac:dyDescent="0.25">
      <c r="A49" s="8">
        <v>38</v>
      </c>
      <c r="B49" s="49">
        <f>'Necesidades Trimestrales'!B47</f>
        <v>0</v>
      </c>
      <c r="C49" s="111" t="str">
        <f>'Necesidades Trimestrales'!E47</f>
        <v>CALIBRADOR B-CROSS LAP P SUERO P COBAS E 411</v>
      </c>
      <c r="D49" s="111"/>
      <c r="E49" s="111"/>
      <c r="F49" s="111"/>
      <c r="G49" s="111"/>
      <c r="H49" s="50" t="s">
        <v>56</v>
      </c>
      <c r="I49" s="51" t="str">
        <f>'Necesidades Trimestrales'!F47</f>
        <v>CAJA</v>
      </c>
      <c r="J49" s="52">
        <f>'Necesidades Trimestrales'!H47</f>
        <v>14114</v>
      </c>
      <c r="K49" s="53">
        <f>'Necesidades Trimestrales'!G47</f>
        <v>1</v>
      </c>
    </row>
    <row r="50" spans="1:11" ht="20.25" customHeight="1" thickBot="1" x14ac:dyDescent="0.25">
      <c r="A50" s="8">
        <v>39</v>
      </c>
      <c r="B50" s="49">
        <f>'Necesidades Trimestrales'!B48</f>
        <v>0</v>
      </c>
      <c r="C50" s="111" t="str">
        <f>'Necesidades Trimestrales'!E48</f>
        <v>CALIBRADOR CA 125 P COBAS E 411</v>
      </c>
      <c r="D50" s="111"/>
      <c r="E50" s="111"/>
      <c r="F50" s="111"/>
      <c r="G50" s="111"/>
      <c r="H50" s="50" t="s">
        <v>56</v>
      </c>
      <c r="I50" s="51" t="str">
        <f>'Necesidades Trimestrales'!F48</f>
        <v>CAJA</v>
      </c>
      <c r="J50" s="52">
        <f>'Necesidades Trimestrales'!H48</f>
        <v>12963</v>
      </c>
      <c r="K50" s="53">
        <f>'Necesidades Trimestrales'!G48</f>
        <v>1</v>
      </c>
    </row>
    <row r="51" spans="1:11" ht="20.25" customHeight="1" thickBot="1" x14ac:dyDescent="0.25">
      <c r="A51" s="8">
        <v>40</v>
      </c>
      <c r="B51" s="49">
        <f>'Necesidades Trimestrales'!B49</f>
        <v>0</v>
      </c>
      <c r="C51" s="111" t="str">
        <f>'Necesidades Trimestrales'!E49</f>
        <v>CALIBRADOR CA 15-3 P COBAS E 411</v>
      </c>
      <c r="D51" s="111"/>
      <c r="E51" s="111"/>
      <c r="F51" s="111"/>
      <c r="G51" s="111"/>
      <c r="H51" s="50" t="s">
        <v>56</v>
      </c>
      <c r="I51" s="51" t="str">
        <f>'Necesidades Trimestrales'!F49</f>
        <v>CAJA</v>
      </c>
      <c r="J51" s="52">
        <f>'Necesidades Trimestrales'!H49</f>
        <v>16890</v>
      </c>
      <c r="K51" s="53">
        <f>'Necesidades Trimestrales'!G49</f>
        <v>1</v>
      </c>
    </row>
    <row r="52" spans="1:11" ht="20.25" customHeight="1" thickBot="1" x14ac:dyDescent="0.25">
      <c r="A52" s="8">
        <v>41</v>
      </c>
      <c r="B52" s="49">
        <f>'Necesidades Trimestrales'!B50</f>
        <v>0</v>
      </c>
      <c r="C52" s="111" t="str">
        <f>'Necesidades Trimestrales'!E50</f>
        <v>CALIBRADOR CEA P COBAS E 411</v>
      </c>
      <c r="D52" s="111"/>
      <c r="E52" s="111"/>
      <c r="F52" s="111"/>
      <c r="G52" s="111"/>
      <c r="H52" s="50" t="s">
        <v>56</v>
      </c>
      <c r="I52" s="51" t="str">
        <f>'Necesidades Trimestrales'!F50</f>
        <v>CAJA</v>
      </c>
      <c r="J52" s="52">
        <f>'Necesidades Trimestrales'!H50</f>
        <v>10863</v>
      </c>
      <c r="K52" s="53">
        <f>'Necesidades Trimestrales'!G50</f>
        <v>1</v>
      </c>
    </row>
    <row r="53" spans="1:11" ht="20.25" customHeight="1" thickBot="1" x14ac:dyDescent="0.25">
      <c r="A53" s="8">
        <v>42</v>
      </c>
      <c r="B53" s="49">
        <f>'Necesidades Trimestrales'!B51</f>
        <v>0</v>
      </c>
      <c r="C53" s="111" t="str">
        <f>'Necesidades Trimestrales'!E51</f>
        <v xml:space="preserve">CALIBRADOR FT4 X 10 CAL COBAS E-411 ROCHE </v>
      </c>
      <c r="D53" s="111"/>
      <c r="E53" s="111"/>
      <c r="F53" s="111"/>
      <c r="G53" s="111"/>
      <c r="H53" s="50" t="s">
        <v>56</v>
      </c>
      <c r="I53" s="51" t="str">
        <f>'Necesidades Trimestrales'!F51</f>
        <v>CAJA</v>
      </c>
      <c r="J53" s="52">
        <f>'Necesidades Trimestrales'!H51</f>
        <v>10435</v>
      </c>
      <c r="K53" s="53">
        <f>'Necesidades Trimestrales'!G51</f>
        <v>1</v>
      </c>
    </row>
    <row r="54" spans="1:11" ht="20.25" customHeight="1" thickBot="1" x14ac:dyDescent="0.25">
      <c r="A54" s="8">
        <v>43</v>
      </c>
      <c r="B54" s="49">
        <f>'Necesidades Trimestrales'!B52</f>
        <v>0</v>
      </c>
      <c r="C54" s="111" t="str">
        <f>'Necesidades Trimestrales'!E52</f>
        <v>CALIBRADOR HCG+BETA II CALSET PARA COBAS E411</v>
      </c>
      <c r="D54" s="111"/>
      <c r="E54" s="111"/>
      <c r="F54" s="111"/>
      <c r="G54" s="111"/>
      <c r="H54" s="50" t="s">
        <v>56</v>
      </c>
      <c r="I54" s="51" t="str">
        <f>'Necesidades Trimestrales'!F52</f>
        <v>CAJA</v>
      </c>
      <c r="J54" s="52">
        <f>'Necesidades Trimestrales'!H52</f>
        <v>10863</v>
      </c>
      <c r="K54" s="53">
        <f>'Necesidades Trimestrales'!G52</f>
        <v>1</v>
      </c>
    </row>
    <row r="55" spans="1:11" ht="20.25" customHeight="1" thickBot="1" x14ac:dyDescent="0.25">
      <c r="A55" s="8">
        <v>44</v>
      </c>
      <c r="B55" s="49">
        <f>'Necesidades Trimestrales'!B53</f>
        <v>0</v>
      </c>
      <c r="C55" s="111" t="str">
        <f>'Necesidades Trimestrales'!E53</f>
        <v>CALIBRADOR PARA INSULINA X 10 CAL COBAS E-411 ROCHE</v>
      </c>
      <c r="D55" s="111"/>
      <c r="E55" s="111"/>
      <c r="F55" s="111"/>
      <c r="G55" s="111"/>
      <c r="H55" s="50" t="s">
        <v>56</v>
      </c>
      <c r="I55" s="51" t="str">
        <f>'Necesidades Trimestrales'!F53</f>
        <v>CAJA</v>
      </c>
      <c r="J55" s="52">
        <f>'Necesidades Trimestrales'!H53</f>
        <v>9986</v>
      </c>
      <c r="K55" s="53">
        <f>'Necesidades Trimestrales'!G53</f>
        <v>1</v>
      </c>
    </row>
    <row r="56" spans="1:11" ht="20.25" customHeight="1" thickBot="1" x14ac:dyDescent="0.25">
      <c r="A56" s="8">
        <v>45</v>
      </c>
      <c r="B56" s="49">
        <f>'Necesidades Trimestrales'!B54</f>
        <v>0</v>
      </c>
      <c r="C56" s="111" t="str">
        <f>'Necesidades Trimestrales'!E54</f>
        <v>CALIBRADOR PARA LH  X 10  CAL COBAS E-411 ROCHE</v>
      </c>
      <c r="D56" s="111"/>
      <c r="E56" s="111"/>
      <c r="F56" s="111"/>
      <c r="G56" s="111"/>
      <c r="H56" s="50" t="s">
        <v>56</v>
      </c>
      <c r="I56" s="51" t="str">
        <f>'Necesidades Trimestrales'!F54</f>
        <v>CAJA</v>
      </c>
      <c r="J56" s="52">
        <f>'Necesidades Trimestrales'!H54</f>
        <v>10863</v>
      </c>
      <c r="K56" s="53">
        <f>'Necesidades Trimestrales'!G54</f>
        <v>1</v>
      </c>
    </row>
    <row r="57" spans="1:11" ht="20.25" customHeight="1" thickBot="1" x14ac:dyDescent="0.25">
      <c r="A57" s="8">
        <v>46</v>
      </c>
      <c r="B57" s="49">
        <f>'Necesidades Trimestrales'!B55</f>
        <v>0</v>
      </c>
      <c r="C57" s="111" t="str">
        <f>'Necesidades Trimestrales'!E55</f>
        <v>CALIBRADOR PARA PROGESTERONA COBAS E-411 ROCHE</v>
      </c>
      <c r="D57" s="111"/>
      <c r="E57" s="111"/>
      <c r="F57" s="111"/>
      <c r="G57" s="111"/>
      <c r="H57" s="50" t="s">
        <v>56</v>
      </c>
      <c r="I57" s="51" t="str">
        <f>'Necesidades Trimestrales'!F55</f>
        <v>CAJA</v>
      </c>
      <c r="J57" s="52">
        <f>'Necesidades Trimestrales'!H55</f>
        <v>10863</v>
      </c>
      <c r="K57" s="53">
        <f>'Necesidades Trimestrales'!G55</f>
        <v>1</v>
      </c>
    </row>
    <row r="58" spans="1:11" ht="20.25" customHeight="1" thickBot="1" x14ac:dyDescent="0.25">
      <c r="A58" s="8">
        <v>47</v>
      </c>
      <c r="B58" s="49">
        <f>'Necesidades Trimestrales'!B56</f>
        <v>0</v>
      </c>
      <c r="C58" s="111" t="str">
        <f>'Necesidades Trimestrales'!E56</f>
        <v>CALIBRADOR PSA P COBAS E 411</v>
      </c>
      <c r="D58" s="111"/>
      <c r="E58" s="111"/>
      <c r="F58" s="111"/>
      <c r="G58" s="111"/>
      <c r="H58" s="50" t="s">
        <v>56</v>
      </c>
      <c r="I58" s="51" t="str">
        <f>'Necesidades Trimestrales'!F56</f>
        <v>CAJA</v>
      </c>
      <c r="J58" s="52">
        <f>'Necesidades Trimestrales'!H56</f>
        <v>10863</v>
      </c>
      <c r="K58" s="53">
        <f>'Necesidades Trimestrales'!G56</f>
        <v>1</v>
      </c>
    </row>
    <row r="59" spans="1:11" ht="20.25" customHeight="1" thickBot="1" x14ac:dyDescent="0.25">
      <c r="A59" s="8">
        <v>48</v>
      </c>
      <c r="B59" s="49">
        <f>'Necesidades Trimestrales'!B57</f>
        <v>0</v>
      </c>
      <c r="C59" s="111" t="str">
        <f>'Necesidades Trimestrales'!E57</f>
        <v>CALIBRADOR PTH P COBAS E411</v>
      </c>
      <c r="D59" s="111"/>
      <c r="E59" s="111"/>
      <c r="F59" s="111"/>
      <c r="G59" s="111"/>
      <c r="H59" s="50" t="s">
        <v>56</v>
      </c>
      <c r="I59" s="51" t="str">
        <f>'Necesidades Trimestrales'!F57</f>
        <v>CAJA</v>
      </c>
      <c r="J59" s="52">
        <f>'Necesidades Trimestrales'!H57</f>
        <v>25575</v>
      </c>
      <c r="K59" s="53">
        <f>'Necesidades Trimestrales'!G57</f>
        <v>1</v>
      </c>
    </row>
    <row r="60" spans="1:11" ht="20.25" customHeight="1" thickBot="1" x14ac:dyDescent="0.25">
      <c r="A60" s="8">
        <v>49</v>
      </c>
      <c r="B60" s="49">
        <f>'Necesidades Trimestrales'!B58</f>
        <v>0</v>
      </c>
      <c r="C60" s="111" t="str">
        <f>'Necesidades Trimestrales'!E58</f>
        <v>CALIBRADOR T3 TOTAL X 10 CAL  COBAS E-411 ROCHE</v>
      </c>
      <c r="D60" s="111"/>
      <c r="E60" s="111"/>
      <c r="F60" s="111"/>
      <c r="G60" s="111"/>
      <c r="H60" s="50" t="s">
        <v>56</v>
      </c>
      <c r="I60" s="51" t="str">
        <f>'Necesidades Trimestrales'!F58</f>
        <v>CAJA</v>
      </c>
      <c r="J60" s="52">
        <f>'Necesidades Trimestrales'!H58</f>
        <v>10435</v>
      </c>
      <c r="K60" s="53">
        <f>'Necesidades Trimestrales'!G58</f>
        <v>1</v>
      </c>
    </row>
    <row r="61" spans="1:11" ht="20.25" customHeight="1" thickBot="1" x14ac:dyDescent="0.25">
      <c r="A61" s="8">
        <v>50</v>
      </c>
      <c r="B61" s="49">
        <f>'Necesidades Trimestrales'!B59</f>
        <v>0</v>
      </c>
      <c r="C61" s="111" t="str">
        <f>'Necesidades Trimestrales'!E59</f>
        <v>CALIBRADOR T4 TOTAL X 10 CAL  COBAS E-411 ROCHE</v>
      </c>
      <c r="D61" s="111"/>
      <c r="E61" s="111"/>
      <c r="F61" s="111"/>
      <c r="G61" s="111"/>
      <c r="H61" s="50" t="s">
        <v>56</v>
      </c>
      <c r="I61" s="51" t="str">
        <f>'Necesidades Trimestrales'!F59</f>
        <v>CAJA</v>
      </c>
      <c r="J61" s="52">
        <f>'Necesidades Trimestrales'!H59</f>
        <v>10435</v>
      </c>
      <c r="K61" s="53">
        <f>'Necesidades Trimestrales'!G59</f>
        <v>1</v>
      </c>
    </row>
    <row r="62" spans="1:11" ht="20.25" customHeight="1" thickBot="1" x14ac:dyDescent="0.25">
      <c r="A62" s="8">
        <v>51</v>
      </c>
      <c r="B62" s="49">
        <f>'Necesidades Trimestrales'!B60</f>
        <v>0</v>
      </c>
      <c r="C62" s="111" t="str">
        <f>'Necesidades Trimestrales'!E60</f>
        <v>CALIBRADOR TESTOSTERONA P COBAS E411</v>
      </c>
      <c r="D62" s="111"/>
      <c r="E62" s="111"/>
      <c r="F62" s="111"/>
      <c r="G62" s="111"/>
      <c r="H62" s="50" t="s">
        <v>56</v>
      </c>
      <c r="I62" s="51" t="str">
        <f>'Necesidades Trimestrales'!F60</f>
        <v>CAJA</v>
      </c>
      <c r="J62" s="52">
        <f>'Necesidades Trimestrales'!H60</f>
        <v>10863</v>
      </c>
      <c r="K62" s="53">
        <f>'Necesidades Trimestrales'!G60</f>
        <v>1</v>
      </c>
    </row>
    <row r="63" spans="1:11" ht="20.25" customHeight="1" thickBot="1" x14ac:dyDescent="0.25">
      <c r="A63" s="8">
        <v>52</v>
      </c>
      <c r="B63" s="49">
        <f>'Necesidades Trimestrales'!B61</f>
        <v>0</v>
      </c>
      <c r="C63" s="111" t="str">
        <f>'Necesidades Trimestrales'!E61</f>
        <v>CALIBRADOR TIROGLOBULINA P COBAS E 411</v>
      </c>
      <c r="D63" s="111"/>
      <c r="E63" s="111"/>
      <c r="F63" s="111"/>
      <c r="G63" s="111"/>
      <c r="H63" s="50" t="s">
        <v>56</v>
      </c>
      <c r="I63" s="51" t="str">
        <f>'Necesidades Trimestrales'!F61</f>
        <v>CAJA</v>
      </c>
      <c r="J63" s="52">
        <f>'Necesidades Trimestrales'!H61</f>
        <v>14114</v>
      </c>
      <c r="K63" s="53">
        <f>'Necesidades Trimestrales'!G61</f>
        <v>1</v>
      </c>
    </row>
    <row r="64" spans="1:11" ht="20.25" customHeight="1" thickBot="1" x14ac:dyDescent="0.25">
      <c r="A64" s="8">
        <v>53</v>
      </c>
      <c r="B64" s="49">
        <f>'Necesidades Trimestrales'!B62</f>
        <v>0</v>
      </c>
      <c r="C64" s="111" t="str">
        <f>'Necesidades Trimestrales'!E62</f>
        <v>CALIBRADOR TROPONINA T-HS P COBAS E 411</v>
      </c>
      <c r="D64" s="111"/>
      <c r="E64" s="111"/>
      <c r="F64" s="111"/>
      <c r="G64" s="111"/>
      <c r="H64" s="50" t="s">
        <v>56</v>
      </c>
      <c r="I64" s="51" t="str">
        <f>'Necesidades Trimestrales'!F62</f>
        <v>CAJA</v>
      </c>
      <c r="J64" s="52">
        <f>'Necesidades Trimestrales'!H62</f>
        <v>11353</v>
      </c>
      <c r="K64" s="53">
        <f>'Necesidades Trimestrales'!G62</f>
        <v>1</v>
      </c>
    </row>
    <row r="65" spans="1:11" ht="20.25" customHeight="1" thickBot="1" x14ac:dyDescent="0.25">
      <c r="A65" s="8">
        <v>54</v>
      </c>
      <c r="B65" s="49">
        <f>'Necesidades Trimestrales'!B63</f>
        <v>0</v>
      </c>
      <c r="C65" s="111" t="str">
        <f>'Necesidades Trimestrales'!E63</f>
        <v>CALIBRADOR TSH  X 10 CAL COBAS E-411  ROCHE</v>
      </c>
      <c r="D65" s="111"/>
      <c r="E65" s="111"/>
      <c r="F65" s="111"/>
      <c r="G65" s="111"/>
      <c r="H65" s="50" t="s">
        <v>56</v>
      </c>
      <c r="I65" s="51" t="str">
        <f>'Necesidades Trimestrales'!F63</f>
        <v>CAJA</v>
      </c>
      <c r="J65" s="52">
        <f>'Necesidades Trimestrales'!H63</f>
        <v>9929</v>
      </c>
      <c r="K65" s="53">
        <f>'Necesidades Trimestrales'!G63</f>
        <v>1</v>
      </c>
    </row>
    <row r="66" spans="1:11" ht="20.25" customHeight="1" thickBot="1" x14ac:dyDescent="0.25">
      <c r="A66" s="8">
        <v>55</v>
      </c>
      <c r="B66" s="49">
        <f>'Necesidades Trimestrales'!B64</f>
        <v>0</v>
      </c>
      <c r="C66" s="111" t="str">
        <f>'Necesidades Trimestrales'!E64</f>
        <v>CALIBRADOR VITAMINA D TOTAL P COBAS E411</v>
      </c>
      <c r="D66" s="111"/>
      <c r="E66" s="111"/>
      <c r="F66" s="111"/>
      <c r="G66" s="111"/>
      <c r="H66" s="50" t="s">
        <v>56</v>
      </c>
      <c r="I66" s="51" t="str">
        <f>'Necesidades Trimestrales'!F64</f>
        <v>CAJA</v>
      </c>
      <c r="J66" s="52">
        <f>'Necesidades Trimestrales'!H64</f>
        <v>15703</v>
      </c>
      <c r="K66" s="53">
        <f>'Necesidades Trimestrales'!G64</f>
        <v>1</v>
      </c>
    </row>
    <row r="67" spans="1:11" ht="20.25" customHeight="1" thickBot="1" x14ac:dyDescent="0.25">
      <c r="A67" s="8">
        <v>56</v>
      </c>
      <c r="B67" s="49">
        <f>'Necesidades Trimestrales'!B65</f>
        <v>0</v>
      </c>
      <c r="C67" s="111" t="str">
        <f>'Necesidades Trimestrales'!E65</f>
        <v>CALIIBRADOR (CALSET) DHEA-S  X 10 CAL COBAS E-411 ROCHE</v>
      </c>
      <c r="D67" s="111"/>
      <c r="E67" s="111"/>
      <c r="F67" s="111"/>
      <c r="G67" s="111"/>
      <c r="H67" s="50" t="s">
        <v>56</v>
      </c>
      <c r="I67" s="51" t="str">
        <f>'Necesidades Trimestrales'!F65</f>
        <v>CAJA</v>
      </c>
      <c r="J67" s="52">
        <f>'Necesidades Trimestrales'!H65</f>
        <v>14114</v>
      </c>
      <c r="K67" s="53">
        <f>'Necesidades Trimestrales'!G65</f>
        <v>1</v>
      </c>
    </row>
    <row r="68" spans="1:11" ht="20.25" customHeight="1" thickBot="1" x14ac:dyDescent="0.25">
      <c r="A68" s="8">
        <v>57</v>
      </c>
      <c r="B68" s="49">
        <f>'Necesidades Trimestrales'!B66</f>
        <v>0</v>
      </c>
      <c r="C68" s="111" t="str">
        <f>'Necesidades Trimestrales'!E66</f>
        <v>CELL PACK DCL X 20 LTS- TIPO SYSMEX XNL</v>
      </c>
      <c r="D68" s="111"/>
      <c r="E68" s="111"/>
      <c r="F68" s="111"/>
      <c r="G68" s="111"/>
      <c r="H68" s="50" t="s">
        <v>56</v>
      </c>
      <c r="I68" s="51" t="str">
        <f>'Necesidades Trimestrales'!F66</f>
        <v>BIDON</v>
      </c>
      <c r="J68" s="52">
        <f>'Necesidades Trimestrales'!H66</f>
        <v>7296</v>
      </c>
      <c r="K68" s="53">
        <f>'Necesidades Trimestrales'!G66</f>
        <v>20</v>
      </c>
    </row>
    <row r="69" spans="1:11" ht="20.25" customHeight="1" thickBot="1" x14ac:dyDescent="0.25">
      <c r="A69" s="8">
        <v>58</v>
      </c>
      <c r="B69" s="49">
        <f>'Necesidades Trimestrales'!B67</f>
        <v>0</v>
      </c>
      <c r="C69" s="111" t="str">
        <f>'Necesidades Trimestrales'!E67</f>
        <v>CELLCLEAN AUTO X 20 VIALES -TIPO SYSMEX XNL</v>
      </c>
      <c r="D69" s="111"/>
      <c r="E69" s="111"/>
      <c r="F69" s="111"/>
      <c r="G69" s="111"/>
      <c r="H69" s="50" t="s">
        <v>56</v>
      </c>
      <c r="I69" s="51" t="str">
        <f>'Necesidades Trimestrales'!F67</f>
        <v>CAJA</v>
      </c>
      <c r="J69" s="52">
        <f>'Necesidades Trimestrales'!H67</f>
        <v>8253</v>
      </c>
      <c r="K69" s="53">
        <f>'Necesidades Trimestrales'!G67</f>
        <v>22</v>
      </c>
    </row>
    <row r="70" spans="1:11" ht="20.25" customHeight="1" thickBot="1" x14ac:dyDescent="0.25">
      <c r="A70" s="8">
        <v>59</v>
      </c>
      <c r="B70" s="49">
        <f>'Necesidades Trimestrales'!B68</f>
        <v>0</v>
      </c>
      <c r="C70" s="111" t="str">
        <f>'Necesidades Trimestrales'!E68</f>
        <v>CFAS LIPIDOS  P/ COBAS C311</v>
      </c>
      <c r="D70" s="111"/>
      <c r="E70" s="111"/>
      <c r="F70" s="111"/>
      <c r="G70" s="111"/>
      <c r="H70" s="50" t="s">
        <v>56</v>
      </c>
      <c r="I70" s="51" t="str">
        <f>'Necesidades Trimestrales'!F68</f>
        <v>CAJA</v>
      </c>
      <c r="J70" s="52">
        <f>'Necesidades Trimestrales'!H68</f>
        <v>30159</v>
      </c>
      <c r="K70" s="53">
        <f>'Necesidades Trimestrales'!G68</f>
        <v>2</v>
      </c>
    </row>
    <row r="71" spans="1:11" ht="20.25" customHeight="1" thickBot="1" x14ac:dyDescent="0.25">
      <c r="A71" s="8">
        <v>60</v>
      </c>
      <c r="B71" s="49">
        <f>'Necesidades Trimestrales'!B69</f>
        <v>0</v>
      </c>
      <c r="C71" s="111" t="str">
        <f>'Necesidades Trimestrales'!E69</f>
        <v>CFAS PAC VIAL X 1 ML P/COBAS C311</v>
      </c>
      <c r="D71" s="111"/>
      <c r="E71" s="111"/>
      <c r="F71" s="111"/>
      <c r="G71" s="111"/>
      <c r="H71" s="50" t="s">
        <v>56</v>
      </c>
      <c r="I71" s="51" t="str">
        <f>'Necesidades Trimestrales'!F69</f>
        <v>CAJA</v>
      </c>
      <c r="J71" s="52">
        <f>'Necesidades Trimestrales'!H69</f>
        <v>26882</v>
      </c>
      <c r="K71" s="53">
        <f>'Necesidades Trimestrales'!G69</f>
        <v>1</v>
      </c>
    </row>
    <row r="72" spans="1:11" ht="20.25" customHeight="1" thickBot="1" x14ac:dyDescent="0.25">
      <c r="A72" s="8">
        <v>61</v>
      </c>
      <c r="B72" s="49">
        <f>'Necesidades Trimestrales'!B70</f>
        <v>0</v>
      </c>
      <c r="C72" s="111" t="str">
        <f>'Necesidades Trimestrales'!E70</f>
        <v>CFAS PROTEINAS  P/ COBAS C311</v>
      </c>
      <c r="D72" s="111"/>
      <c r="E72" s="111"/>
      <c r="F72" s="111"/>
      <c r="G72" s="111"/>
      <c r="H72" s="50" t="s">
        <v>56</v>
      </c>
      <c r="I72" s="51" t="str">
        <f>'Necesidades Trimestrales'!F70</f>
        <v>CAJA</v>
      </c>
      <c r="J72" s="52">
        <f>'Necesidades Trimestrales'!H70</f>
        <v>20031</v>
      </c>
      <c r="K72" s="53">
        <f>'Necesidades Trimestrales'!G70</f>
        <v>1</v>
      </c>
    </row>
    <row r="73" spans="1:11" ht="20.25" customHeight="1" thickBot="1" x14ac:dyDescent="0.25">
      <c r="A73" s="8">
        <v>62</v>
      </c>
      <c r="B73" s="49">
        <f>'Necesidades Trimestrales'!B71</f>
        <v>0</v>
      </c>
      <c r="C73" s="111" t="str">
        <f>'Necesidades Trimestrales'!E71</f>
        <v>CISTINA-LACTOSA DF.ELECTROLITO, ESTADO: SOLIDO, PRESENTACION: ENVASE X 500 GR</v>
      </c>
      <c r="D73" s="111"/>
      <c r="E73" s="111"/>
      <c r="F73" s="111"/>
      <c r="G73" s="111"/>
      <c r="H73" s="50" t="s">
        <v>56</v>
      </c>
      <c r="I73" s="51" t="str">
        <f>'Necesidades Trimestrales'!F71</f>
        <v>FRASCO</v>
      </c>
      <c r="J73" s="52">
        <f>'Necesidades Trimestrales'!H71</f>
        <v>9780</v>
      </c>
      <c r="K73" s="53">
        <f>'Necesidades Trimestrales'!G71</f>
        <v>2</v>
      </c>
    </row>
    <row r="74" spans="1:11" ht="20.25" customHeight="1" thickBot="1" x14ac:dyDescent="0.25">
      <c r="A74" s="8">
        <v>63</v>
      </c>
      <c r="B74" s="49">
        <f>'Necesidades Trimestrales'!B72</f>
        <v>0</v>
      </c>
      <c r="C74" s="111" t="str">
        <f>'Necesidades Trimestrales'!E72</f>
        <v>CLEAN CELL COBAS E411</v>
      </c>
      <c r="D74" s="111"/>
      <c r="E74" s="111"/>
      <c r="F74" s="111"/>
      <c r="G74" s="111"/>
      <c r="H74" s="50" t="s">
        <v>56</v>
      </c>
      <c r="I74" s="51" t="str">
        <f>'Necesidades Trimestrales'!F72</f>
        <v>CAJA</v>
      </c>
      <c r="J74" s="52">
        <f>'Necesidades Trimestrales'!H72</f>
        <v>8694</v>
      </c>
      <c r="K74" s="53">
        <f>'Necesidades Trimestrales'!G72</f>
        <v>12</v>
      </c>
    </row>
    <row r="75" spans="1:11" ht="20.25" customHeight="1" thickBot="1" x14ac:dyDescent="0.25">
      <c r="A75" s="8">
        <v>64</v>
      </c>
      <c r="B75" s="49">
        <f>'Necesidades Trimestrales'!B73</f>
        <v>0</v>
      </c>
      <c r="C75" s="111" t="str">
        <f>'Necesidades Trimestrales'!E73</f>
        <v>COLESTEROL TOTAL COBAS C-311 ROCHE  X 400 DET</v>
      </c>
      <c r="D75" s="111"/>
      <c r="E75" s="111"/>
      <c r="F75" s="111"/>
      <c r="G75" s="111"/>
      <c r="H75" s="50" t="s">
        <v>56</v>
      </c>
      <c r="I75" s="51" t="str">
        <f>'Necesidades Trimestrales'!F73</f>
        <v>CASSETTE</v>
      </c>
      <c r="J75" s="52">
        <f>'Necesidades Trimestrales'!H73</f>
        <v>3514</v>
      </c>
      <c r="K75" s="53">
        <f>'Necesidades Trimestrales'!G73</f>
        <v>12</v>
      </c>
    </row>
    <row r="76" spans="1:11" ht="20.25" customHeight="1" thickBot="1" x14ac:dyDescent="0.25">
      <c r="A76" s="8">
        <v>65</v>
      </c>
      <c r="B76" s="49">
        <f>'Necesidades Trimestrales'!B74</f>
        <v>0</v>
      </c>
      <c r="C76" s="111" t="str">
        <f>'Necesidades Trimestrales'!E74</f>
        <v>COLORANTE AZUL  BRILLANTE DE CRECILO X 50 ML)</v>
      </c>
      <c r="D76" s="111"/>
      <c r="E76" s="111"/>
      <c r="F76" s="111"/>
      <c r="G76" s="111"/>
      <c r="H76" s="50" t="s">
        <v>56</v>
      </c>
      <c r="I76" s="51" t="str">
        <f>'Necesidades Trimestrales'!F74</f>
        <v>CAJA</v>
      </c>
      <c r="J76" s="52">
        <f>'Necesidades Trimestrales'!H74</f>
        <v>2225</v>
      </c>
      <c r="K76" s="53">
        <f>'Necesidades Trimestrales'!G74</f>
        <v>2</v>
      </c>
    </row>
    <row r="77" spans="1:11" ht="20.25" customHeight="1" thickBot="1" x14ac:dyDescent="0.25">
      <c r="A77" s="8">
        <v>66</v>
      </c>
      <c r="B77" s="49">
        <f>'Necesidades Trimestrales'!B75</f>
        <v>0</v>
      </c>
      <c r="C77" s="111" t="str">
        <f>'Necesidades Trimestrales'!E75</f>
        <v>COMLEMENTO C3 P COBAS C 311</v>
      </c>
      <c r="D77" s="111"/>
      <c r="E77" s="111"/>
      <c r="F77" s="111"/>
      <c r="G77" s="111"/>
      <c r="H77" s="50" t="s">
        <v>56</v>
      </c>
      <c r="I77" s="51" t="str">
        <f>'Necesidades Trimestrales'!F75</f>
        <v>CASSETTE</v>
      </c>
      <c r="J77" s="52">
        <f>'Necesidades Trimestrales'!H75</f>
        <v>10322</v>
      </c>
      <c r="K77" s="53">
        <f>'Necesidades Trimestrales'!G75</f>
        <v>3</v>
      </c>
    </row>
    <row r="78" spans="1:11" ht="20.25" customHeight="1" thickBot="1" x14ac:dyDescent="0.25">
      <c r="A78" s="8">
        <v>67</v>
      </c>
      <c r="B78" s="49">
        <f>'Necesidades Trimestrales'!B76</f>
        <v>0</v>
      </c>
      <c r="C78" s="111" t="str">
        <f>'Necesidades Trimestrales'!E76</f>
        <v>COMLEMENTO C4 P COBAS C 311</v>
      </c>
      <c r="D78" s="111"/>
      <c r="E78" s="111"/>
      <c r="F78" s="111"/>
      <c r="G78" s="111"/>
      <c r="H78" s="50" t="s">
        <v>56</v>
      </c>
      <c r="I78" s="51" t="str">
        <f>'Necesidades Trimestrales'!F76</f>
        <v>CASSETTE</v>
      </c>
      <c r="J78" s="52">
        <f>'Necesidades Trimestrales'!H76</f>
        <v>10322</v>
      </c>
      <c r="K78" s="53">
        <f>'Necesidades Trimestrales'!G76</f>
        <v>4</v>
      </c>
    </row>
    <row r="79" spans="1:11" ht="20.25" customHeight="1" thickBot="1" x14ac:dyDescent="0.25">
      <c r="A79" s="8">
        <v>68</v>
      </c>
      <c r="B79" s="49">
        <f>'Necesidades Trimestrales'!B77</f>
        <v>0</v>
      </c>
      <c r="C79" s="111" t="str">
        <f>'Necesidades Trimestrales'!E77</f>
        <v>CREATIN QUINASA COBAS C-311 ROCHE  X 200 DET</v>
      </c>
      <c r="D79" s="111"/>
      <c r="E79" s="111"/>
      <c r="F79" s="111"/>
      <c r="G79" s="111"/>
      <c r="H79" s="50" t="s">
        <v>56</v>
      </c>
      <c r="I79" s="51" t="str">
        <f>'Necesidades Trimestrales'!F77</f>
        <v>CASSETTE</v>
      </c>
      <c r="J79" s="52">
        <f>'Necesidades Trimestrales'!H77</f>
        <v>2925</v>
      </c>
      <c r="K79" s="53">
        <f>'Necesidades Trimestrales'!G77</f>
        <v>3</v>
      </c>
    </row>
    <row r="80" spans="1:11" ht="20.25" customHeight="1" thickBot="1" x14ac:dyDescent="0.25">
      <c r="A80" s="8">
        <v>69</v>
      </c>
      <c r="B80" s="49">
        <f>'Necesidades Trimestrales'!B78</f>
        <v>0</v>
      </c>
      <c r="C80" s="111" t="str">
        <f>'Necesidades Trimestrales'!E78</f>
        <v>CREATININA JAFFE COBAS C-311 ROCHE  X 700 DET</v>
      </c>
      <c r="D80" s="111"/>
      <c r="E80" s="111"/>
      <c r="F80" s="111"/>
      <c r="G80" s="111"/>
      <c r="H80" s="50" t="s">
        <v>56</v>
      </c>
      <c r="I80" s="51" t="str">
        <f>'Necesidades Trimestrales'!F78</f>
        <v>CASSETTE</v>
      </c>
      <c r="J80" s="52">
        <f>'Necesidades Trimestrales'!H78</f>
        <v>3854</v>
      </c>
      <c r="K80" s="53">
        <f>'Necesidades Trimestrales'!G78</f>
        <v>12</v>
      </c>
    </row>
    <row r="81" spans="1:11" ht="20.25" customHeight="1" thickBot="1" x14ac:dyDescent="0.25">
      <c r="A81" s="8">
        <v>70</v>
      </c>
      <c r="B81" s="49">
        <f>'Necesidades Trimestrales'!B79</f>
        <v>0</v>
      </c>
      <c r="C81" s="111" t="str">
        <f>'Necesidades Trimestrales'!E79</f>
        <v>CUBETAS DE REACCION P/COBAS C311</v>
      </c>
      <c r="D81" s="111"/>
      <c r="E81" s="111"/>
      <c r="F81" s="111"/>
      <c r="G81" s="111"/>
      <c r="H81" s="50" t="s">
        <v>56</v>
      </c>
      <c r="I81" s="51" t="str">
        <f>'Necesidades Trimestrales'!F79</f>
        <v>CAJA</v>
      </c>
      <c r="J81" s="52">
        <f>'Necesidades Trimestrales'!H79</f>
        <v>124741</v>
      </c>
      <c r="K81" s="53">
        <f>'Necesidades Trimestrales'!G79</f>
        <v>1</v>
      </c>
    </row>
    <row r="82" spans="1:11" ht="20.25" customHeight="1" thickBot="1" x14ac:dyDescent="0.25">
      <c r="A82" s="8">
        <v>71</v>
      </c>
      <c r="B82" s="49">
        <f>'Necesidades Trimestrales'!B80</f>
        <v>0</v>
      </c>
      <c r="C82" s="111" t="str">
        <f>'Necesidades Trimestrales'!E80</f>
        <v>DECARBOXILASA MEDIO BASE, ESTADO: SÓLIDO, PRESENTACIÓN: ENVASE POR 100G</v>
      </c>
      <c r="D82" s="111"/>
      <c r="E82" s="111"/>
      <c r="F82" s="111"/>
      <c r="G82" s="111"/>
      <c r="H82" s="50" t="s">
        <v>56</v>
      </c>
      <c r="I82" s="51" t="str">
        <f>'Necesidades Trimestrales'!F80</f>
        <v>FRASCO</v>
      </c>
      <c r="J82" s="52">
        <f>'Necesidades Trimestrales'!H80</f>
        <v>11777</v>
      </c>
      <c r="K82" s="53">
        <f>'Necesidades Trimestrales'!G80</f>
        <v>1</v>
      </c>
    </row>
    <row r="83" spans="1:11" ht="20.25" customHeight="1" thickBot="1" x14ac:dyDescent="0.25">
      <c r="A83" s="8">
        <v>72</v>
      </c>
      <c r="B83" s="49">
        <f>'Necesidades Trimestrales'!B81</f>
        <v>0</v>
      </c>
      <c r="C83" s="111" t="str">
        <f>'Necesidades Trimestrales'!E81</f>
        <v>DECOLORANTE PARA GRAM, ESTADO: LÍQUIDO, PRESENTACIÓN: ENVASE POR 100 ML</v>
      </c>
      <c r="D83" s="111"/>
      <c r="E83" s="111"/>
      <c r="F83" s="111"/>
      <c r="G83" s="111"/>
      <c r="H83" s="50" t="s">
        <v>56</v>
      </c>
      <c r="I83" s="51" t="str">
        <f>'Necesidades Trimestrales'!F81</f>
        <v>FRASCO</v>
      </c>
      <c r="J83" s="52">
        <f>'Necesidades Trimestrales'!H81</f>
        <v>2544</v>
      </c>
      <c r="K83" s="53">
        <f>'Necesidades Trimestrales'!G81</f>
        <v>4</v>
      </c>
    </row>
    <row r="84" spans="1:11" ht="20.25" customHeight="1" thickBot="1" x14ac:dyDescent="0.25">
      <c r="A84" s="8">
        <v>73</v>
      </c>
      <c r="B84" s="49">
        <f>'Necesidades Trimestrales'!B82</f>
        <v>0</v>
      </c>
      <c r="C84" s="111" t="str">
        <f>'Necesidades Trimestrales'!E82</f>
        <v>DETERGENTE NO IONICO X 1 LITRO WIENER</v>
      </c>
      <c r="D84" s="111"/>
      <c r="E84" s="111"/>
      <c r="F84" s="111"/>
      <c r="G84" s="111"/>
      <c r="H84" s="50" t="s">
        <v>56</v>
      </c>
      <c r="I84" s="51" t="str">
        <f>'Necesidades Trimestrales'!F82</f>
        <v>UNIDAD</v>
      </c>
      <c r="J84" s="52">
        <f>'Necesidades Trimestrales'!H82</f>
        <v>901</v>
      </c>
      <c r="K84" s="53">
        <f>'Necesidades Trimestrales'!G82</f>
        <v>10</v>
      </c>
    </row>
    <row r="85" spans="1:11" ht="20.25" customHeight="1" thickBot="1" x14ac:dyDescent="0.25">
      <c r="A85" s="8">
        <v>74</v>
      </c>
      <c r="B85" s="49">
        <f>'Necesidades Trimestrales'!B83</f>
        <v>0</v>
      </c>
      <c r="C85" s="111" t="str">
        <f>'Necesidades Trimestrales'!E83</f>
        <v>DEXTROSA/ POLVO TIPO CICARELLI X 1000GRS.</v>
      </c>
      <c r="D85" s="111"/>
      <c r="E85" s="111"/>
      <c r="F85" s="111"/>
      <c r="G85" s="111"/>
      <c r="H85" s="50" t="s">
        <v>56</v>
      </c>
      <c r="I85" s="51" t="str">
        <f>'Necesidades Trimestrales'!F83</f>
        <v>FRASCO</v>
      </c>
      <c r="J85" s="52">
        <f>'Necesidades Trimestrales'!H83</f>
        <v>825</v>
      </c>
      <c r="K85" s="53">
        <f>'Necesidades Trimestrales'!G83</f>
        <v>4</v>
      </c>
    </row>
    <row r="86" spans="1:11" ht="20.25" customHeight="1" thickBot="1" x14ac:dyDescent="0.25">
      <c r="A86" s="8">
        <v>75</v>
      </c>
      <c r="B86" s="49">
        <f>'Necesidades Trimestrales'!B84</f>
        <v>0</v>
      </c>
      <c r="C86" s="111" t="str">
        <f>'Necesidades Trimestrales'!E84</f>
        <v>DILUYENTE MULTI ASSAY P COBAS C411</v>
      </c>
      <c r="D86" s="111"/>
      <c r="E86" s="111"/>
      <c r="F86" s="111"/>
      <c r="G86" s="111"/>
      <c r="H86" s="50" t="s">
        <v>56</v>
      </c>
      <c r="I86" s="51" t="str">
        <f>'Necesidades Trimestrales'!F84</f>
        <v>CAJA</v>
      </c>
      <c r="J86" s="52">
        <f>'Necesidades Trimestrales'!H84</f>
        <v>7358</v>
      </c>
      <c r="K86" s="53">
        <f>'Necesidades Trimestrales'!G84</f>
        <v>1</v>
      </c>
    </row>
    <row r="87" spans="1:11" ht="20.25" customHeight="1" thickBot="1" x14ac:dyDescent="0.25">
      <c r="A87" s="8">
        <v>76</v>
      </c>
      <c r="B87" s="49">
        <f>'Necesidades Trimestrales'!B85</f>
        <v>0</v>
      </c>
      <c r="C87" s="111" t="str">
        <f>'Necesidades Trimestrales'!E85</f>
        <v xml:space="preserve">DIMERO D  COBAS C-311 ROCHE  X 100 DET </v>
      </c>
      <c r="D87" s="111"/>
      <c r="E87" s="111"/>
      <c r="F87" s="111"/>
      <c r="G87" s="111"/>
      <c r="H87" s="50" t="s">
        <v>56</v>
      </c>
      <c r="I87" s="51" t="str">
        <f>'Necesidades Trimestrales'!F85</f>
        <v>CASSETTE</v>
      </c>
      <c r="J87" s="52">
        <f>'Necesidades Trimestrales'!H85</f>
        <v>63867</v>
      </c>
      <c r="K87" s="53">
        <f>'Necesidades Trimestrales'!G85</f>
        <v>3</v>
      </c>
    </row>
    <row r="88" spans="1:11" ht="20.25" customHeight="1" thickBot="1" x14ac:dyDescent="0.25">
      <c r="A88" s="8">
        <v>77</v>
      </c>
      <c r="B88" s="49">
        <f>'Necesidades Trimestrales'!B86</f>
        <v>0</v>
      </c>
      <c r="C88" s="111" t="str">
        <f>'Necesidades Trimestrales'!E86</f>
        <v>DIMERO D  GEN 2 CALIBRADOR SET 6X0,5 ML  COBAS C-311 ROCHE</v>
      </c>
      <c r="D88" s="111"/>
      <c r="E88" s="111"/>
      <c r="F88" s="111"/>
      <c r="G88" s="111"/>
      <c r="H88" s="50" t="s">
        <v>56</v>
      </c>
      <c r="I88" s="51" t="str">
        <f>'Necesidades Trimestrales'!F86</f>
        <v>CAJA</v>
      </c>
      <c r="J88" s="52">
        <f>'Necesidades Trimestrales'!H86</f>
        <v>15214</v>
      </c>
      <c r="K88" s="53">
        <f>'Necesidades Trimestrales'!G86</f>
        <v>1</v>
      </c>
    </row>
    <row r="89" spans="1:11" ht="20.25" customHeight="1" thickBot="1" x14ac:dyDescent="0.25">
      <c r="A89" s="8">
        <v>78</v>
      </c>
      <c r="B89" s="49">
        <f>'Necesidades Trimestrales'!B87</f>
        <v>0</v>
      </c>
      <c r="C89" s="111" t="str">
        <f>'Necesidades Trimestrales'!E87</f>
        <v>DIMERO D GEN 2 CONTROL I  / II  NIVEL 1 : 2 X 1 ML  NIVEL 2 : 2 X 1 ML  COBAS C-311 ROCHE</v>
      </c>
      <c r="D89" s="111"/>
      <c r="E89" s="111"/>
      <c r="F89" s="111"/>
      <c r="G89" s="111"/>
      <c r="H89" s="50" t="s">
        <v>56</v>
      </c>
      <c r="I89" s="51" t="str">
        <f>'Necesidades Trimestrales'!F87</f>
        <v>UNIDAD</v>
      </c>
      <c r="J89" s="52">
        <f>'Necesidades Trimestrales'!H87</f>
        <v>20266</v>
      </c>
      <c r="K89" s="53">
        <f>'Necesidades Trimestrales'!G87</f>
        <v>1</v>
      </c>
    </row>
    <row r="90" spans="1:11" ht="20.25" customHeight="1" thickBot="1" x14ac:dyDescent="0.25">
      <c r="A90" s="8">
        <v>79</v>
      </c>
      <c r="B90" s="49">
        <f>'Necesidades Trimestrales'!B88</f>
        <v>0</v>
      </c>
      <c r="C90" s="111" t="str">
        <f>'Necesidades Trimestrales'!E88</f>
        <v>DISCO AMICACINA 30 µGR, ESTADO:  CALIDAD: PRO ANALISIS, PRESENTACION: ENVASE X 50 UN</v>
      </c>
      <c r="D90" s="111"/>
      <c r="E90" s="111"/>
      <c r="F90" s="111"/>
      <c r="G90" s="111"/>
      <c r="H90" s="50" t="s">
        <v>56</v>
      </c>
      <c r="I90" s="51" t="str">
        <f>'Necesidades Trimestrales'!F88</f>
        <v>FRASCO</v>
      </c>
      <c r="J90" s="52">
        <f>'Necesidades Trimestrales'!H88</f>
        <v>833</v>
      </c>
      <c r="K90" s="53">
        <f>'Necesidades Trimestrales'!G88</f>
        <v>5</v>
      </c>
    </row>
    <row r="91" spans="1:11" ht="34.5" customHeight="1" thickBot="1" x14ac:dyDescent="0.25">
      <c r="A91" s="8">
        <v>80</v>
      </c>
      <c r="B91" s="49">
        <f>'Necesidades Trimestrales'!B89</f>
        <v>0</v>
      </c>
      <c r="C91" s="111" t="str">
        <f>'Necesidades Trimestrales'!E89</f>
        <v>DISCO AMOXICILINA+CLAVULANICO, ESTADO:  CALIDAD: PRO ANALISIS, PRESENTACION: ENVASE X 50 UN</v>
      </c>
      <c r="D91" s="111"/>
      <c r="E91" s="111"/>
      <c r="F91" s="111"/>
      <c r="G91" s="111"/>
      <c r="H91" s="50" t="s">
        <v>56</v>
      </c>
      <c r="I91" s="51" t="str">
        <f>'Necesidades Trimestrales'!F89</f>
        <v>FRASCO</v>
      </c>
      <c r="J91" s="52">
        <f>'Necesidades Trimestrales'!H89</f>
        <v>833</v>
      </c>
      <c r="K91" s="53">
        <f>'Necesidades Trimestrales'!G89</f>
        <v>5</v>
      </c>
    </row>
    <row r="92" spans="1:11" ht="20.25" customHeight="1" thickBot="1" x14ac:dyDescent="0.25">
      <c r="A92" s="8">
        <v>81</v>
      </c>
      <c r="B92" s="49">
        <f>'Necesidades Trimestrales'!B90</f>
        <v>0</v>
      </c>
      <c r="C92" s="111" t="str">
        <f>'Necesidades Trimestrales'!E90</f>
        <v>DISCO AMPICILINA 10 µGR, ESTADO:  CALIDAD: PRO ANALISIS, PRESENTACION: ENVASE X 50 UN</v>
      </c>
      <c r="D92" s="111"/>
      <c r="E92" s="111"/>
      <c r="F92" s="111"/>
      <c r="G92" s="111"/>
      <c r="H92" s="50" t="s">
        <v>56</v>
      </c>
      <c r="I92" s="51" t="str">
        <f>'Necesidades Trimestrales'!F90</f>
        <v>FRASCO</v>
      </c>
      <c r="J92" s="52">
        <f>'Necesidades Trimestrales'!H90</f>
        <v>833</v>
      </c>
      <c r="K92" s="53">
        <f>'Necesidades Trimestrales'!G90</f>
        <v>10</v>
      </c>
    </row>
    <row r="93" spans="1:11" ht="20.25" customHeight="1" thickBot="1" x14ac:dyDescent="0.25">
      <c r="A93" s="8">
        <v>82</v>
      </c>
      <c r="B93" s="49">
        <f>'Necesidades Trimestrales'!B91</f>
        <v>0</v>
      </c>
      <c r="C93" s="111" t="str">
        <f>'Necesidades Trimestrales'!E91</f>
        <v>DISCO CEFAZOLINA, ESTADO: DISCO, CALIDAD: PRO ANALISIS, PRESENTACION: 50 X ENVASE X 30 µGR</v>
      </c>
      <c r="D93" s="111"/>
      <c r="E93" s="111"/>
      <c r="F93" s="111"/>
      <c r="G93" s="111"/>
      <c r="H93" s="50" t="s">
        <v>56</v>
      </c>
      <c r="I93" s="51" t="str">
        <f>'Necesidades Trimestrales'!F91</f>
        <v>FRASCO</v>
      </c>
      <c r="J93" s="52">
        <f>'Necesidades Trimestrales'!H91</f>
        <v>833</v>
      </c>
      <c r="K93" s="53">
        <f>'Necesidades Trimestrales'!G91</f>
        <v>10</v>
      </c>
    </row>
    <row r="94" spans="1:11" ht="20.25" customHeight="1" thickBot="1" x14ac:dyDescent="0.25">
      <c r="A94" s="8">
        <v>83</v>
      </c>
      <c r="B94" s="49">
        <f>'Necesidades Trimestrales'!B92</f>
        <v>0</v>
      </c>
      <c r="C94" s="111" t="str">
        <f>'Necesidades Trimestrales'!E92</f>
        <v>DISCO CEFEPIME 30 µGR, ESTADO: DISCO, CALIDAD: PRO ANALISIS, PRESENTACION: ENVASE X 50 UN</v>
      </c>
      <c r="D94" s="111"/>
      <c r="E94" s="111"/>
      <c r="F94" s="111"/>
      <c r="G94" s="111"/>
      <c r="H94" s="50" t="s">
        <v>56</v>
      </c>
      <c r="I94" s="51" t="str">
        <f>'Necesidades Trimestrales'!F92</f>
        <v>FRASCO</v>
      </c>
      <c r="J94" s="52">
        <f>'Necesidades Trimestrales'!H92</f>
        <v>833</v>
      </c>
      <c r="K94" s="53">
        <f>'Necesidades Trimestrales'!G92</f>
        <v>3</v>
      </c>
    </row>
    <row r="95" spans="1:11" ht="20.25" customHeight="1" thickBot="1" x14ac:dyDescent="0.25">
      <c r="A95" s="8">
        <v>84</v>
      </c>
      <c r="B95" s="49">
        <f>'Necesidades Trimestrales'!B93</f>
        <v>0</v>
      </c>
      <c r="C95" s="111" t="str">
        <f>'Necesidades Trimestrales'!E93</f>
        <v>DISCO CEFTAROLINA, ESTADO: DISCOS, CALIDAD: PROANALISIS, PRESENTACION: ENVASE X 50</v>
      </c>
      <c r="D95" s="111"/>
      <c r="E95" s="111"/>
      <c r="F95" s="111"/>
      <c r="G95" s="111"/>
      <c r="H95" s="50" t="s">
        <v>56</v>
      </c>
      <c r="I95" s="51" t="str">
        <f>'Necesidades Trimestrales'!F93</f>
        <v>FRASCO</v>
      </c>
      <c r="J95" s="52">
        <f>'Necesidades Trimestrales'!H93</f>
        <v>833</v>
      </c>
      <c r="K95" s="53">
        <f>'Necesidades Trimestrales'!G93</f>
        <v>3</v>
      </c>
    </row>
    <row r="96" spans="1:11" ht="20.25" customHeight="1" thickBot="1" x14ac:dyDescent="0.25">
      <c r="A96" s="8">
        <v>85</v>
      </c>
      <c r="B96" s="49">
        <f>'Necesidades Trimestrales'!B94</f>
        <v>0</v>
      </c>
      <c r="C96" s="111" t="str">
        <f>'Necesidades Trimestrales'!E94</f>
        <v>DISCO CEFTAZIDIMA 30 µGR, ESTADO: DISCO, CALIDAD: PRO ANALISIS, PRESENTACION: ENVASE X 50 UN</v>
      </c>
      <c r="D96" s="111"/>
      <c r="E96" s="111"/>
      <c r="F96" s="111"/>
      <c r="G96" s="111"/>
      <c r="H96" s="50" t="s">
        <v>56</v>
      </c>
      <c r="I96" s="51" t="str">
        <f>'Necesidades Trimestrales'!F94</f>
        <v>FRASCO</v>
      </c>
      <c r="J96" s="52">
        <f>'Necesidades Trimestrales'!H94</f>
        <v>833</v>
      </c>
      <c r="K96" s="53">
        <f>'Necesidades Trimestrales'!G94</f>
        <v>8</v>
      </c>
    </row>
    <row r="97" spans="1:11" ht="20.25" customHeight="1" thickBot="1" x14ac:dyDescent="0.25">
      <c r="A97" s="8">
        <v>86</v>
      </c>
      <c r="B97" s="49">
        <f>'Necesidades Trimestrales'!B95</f>
        <v>0</v>
      </c>
      <c r="C97" s="111" t="str">
        <f>'Necesidades Trimestrales'!E95</f>
        <v>DISCO COLISTINA 10 µGR, ESTADO: DISCO, CALIDAD: PRO ANALISIS, PRESENTACION: ENVASE X 50 UN</v>
      </c>
      <c r="D97" s="111"/>
      <c r="E97" s="111"/>
      <c r="F97" s="111"/>
      <c r="G97" s="111"/>
      <c r="H97" s="50" t="s">
        <v>56</v>
      </c>
      <c r="I97" s="51" t="str">
        <f>'Necesidades Trimestrales'!F95</f>
        <v>FRASCO</v>
      </c>
      <c r="J97" s="52">
        <f>'Necesidades Trimestrales'!H95</f>
        <v>833</v>
      </c>
      <c r="K97" s="53">
        <f>'Necesidades Trimestrales'!G95</f>
        <v>5</v>
      </c>
    </row>
    <row r="98" spans="1:11" ht="32.25" customHeight="1" thickBot="1" x14ac:dyDescent="0.25">
      <c r="A98" s="8">
        <v>87</v>
      </c>
      <c r="B98" s="49">
        <f>'Necesidades Trimestrales'!B96</f>
        <v>0</v>
      </c>
      <c r="C98" s="111" t="str">
        <f>'Necesidades Trimestrales'!E96</f>
        <v>DISCO ESTREPTOMICINA 300 µGR, ESTADO: DISCO, CALIDAD: PRO ANALISIS, PRESENTACION: ENVASE X 50 UN</v>
      </c>
      <c r="D98" s="111"/>
      <c r="E98" s="111"/>
      <c r="F98" s="111"/>
      <c r="G98" s="111"/>
      <c r="H98" s="50" t="s">
        <v>56</v>
      </c>
      <c r="I98" s="51" t="str">
        <f>'Necesidades Trimestrales'!F96</f>
        <v>FRASCO</v>
      </c>
      <c r="J98" s="52">
        <f>'Necesidades Trimestrales'!H96</f>
        <v>833</v>
      </c>
      <c r="K98" s="53">
        <f>'Necesidades Trimestrales'!G96</f>
        <v>1</v>
      </c>
    </row>
    <row r="99" spans="1:11" ht="20.25" customHeight="1" thickBot="1" x14ac:dyDescent="0.25">
      <c r="A99" s="8">
        <v>88</v>
      </c>
      <c r="B99" s="49">
        <f>'Necesidades Trimestrales'!B97</f>
        <v>0</v>
      </c>
      <c r="C99" s="111" t="str">
        <f>'Necesidades Trimestrales'!E97</f>
        <v>DISCO IMIPENEM 10 µGR, ESTADO: DISCO, CALIDAD: PRO ANALISIS, PRESENTACION: ENVASE X 50 UN</v>
      </c>
      <c r="D99" s="111"/>
      <c r="E99" s="111"/>
      <c r="F99" s="111"/>
      <c r="G99" s="111"/>
      <c r="H99" s="50" t="s">
        <v>56</v>
      </c>
      <c r="I99" s="51" t="str">
        <f>'Necesidades Trimestrales'!F97</f>
        <v>FRASCO</v>
      </c>
      <c r="J99" s="52">
        <f>'Necesidades Trimestrales'!H97</f>
        <v>833</v>
      </c>
      <c r="K99" s="53">
        <f>'Necesidades Trimestrales'!G97</f>
        <v>5</v>
      </c>
    </row>
    <row r="100" spans="1:11" ht="20.25" customHeight="1" thickBot="1" x14ac:dyDescent="0.25">
      <c r="A100" s="8">
        <v>89</v>
      </c>
      <c r="B100" s="49">
        <f>'Necesidades Trimestrales'!B98</f>
        <v>0</v>
      </c>
      <c r="C100" s="111" t="str">
        <f>'Necesidades Trimestrales'!E98</f>
        <v>DISCO MEROPENEM 10 µGR, ESTADO: DISCO, CALIDAD: PRO ANALISIS, PRESENTACION: ENVASE X 50 UN</v>
      </c>
      <c r="D100" s="111"/>
      <c r="E100" s="111"/>
      <c r="F100" s="111"/>
      <c r="G100" s="111"/>
      <c r="H100" s="50" t="s">
        <v>56</v>
      </c>
      <c r="I100" s="51" t="str">
        <f>'Necesidades Trimestrales'!F98</f>
        <v>FRASCO</v>
      </c>
      <c r="J100" s="52">
        <f>'Necesidades Trimestrales'!H98</f>
        <v>833</v>
      </c>
      <c r="K100" s="53">
        <f>'Necesidades Trimestrales'!G98</f>
        <v>5</v>
      </c>
    </row>
    <row r="101" spans="1:11" ht="20.25" customHeight="1" thickBot="1" x14ac:dyDescent="0.25">
      <c r="A101" s="8">
        <v>90</v>
      </c>
      <c r="B101" s="49">
        <f>'Necesidades Trimestrales'!B99</f>
        <v>0</v>
      </c>
      <c r="C101" s="111" t="str">
        <f>'Necesidades Trimestrales'!E99</f>
        <v>DISCO NITROCEFIN, ESTADO: DISCO, PRESENTACION: ENVASE X 50 UN</v>
      </c>
      <c r="D101" s="111"/>
      <c r="E101" s="111"/>
      <c r="F101" s="111"/>
      <c r="G101" s="111"/>
      <c r="H101" s="50" t="s">
        <v>56</v>
      </c>
      <c r="I101" s="51" t="str">
        <f>'Necesidades Trimestrales'!F99</f>
        <v>FRASCO</v>
      </c>
      <c r="J101" s="52">
        <f>'Necesidades Trimestrales'!H99</f>
        <v>850</v>
      </c>
      <c r="K101" s="53">
        <f>'Necesidades Trimestrales'!G99</f>
        <v>1</v>
      </c>
    </row>
    <row r="102" spans="1:11" ht="35.1" customHeight="1" thickBot="1" x14ac:dyDescent="0.25">
      <c r="A102" s="8">
        <v>91</v>
      </c>
      <c r="B102" s="49">
        <f>'Necesidades Trimestrales'!B100</f>
        <v>0</v>
      </c>
      <c r="C102" s="111" t="str">
        <f>'Necesidades Trimestrales'!E100</f>
        <v>DISCO NITROFURANTOINA 300 µGR, ESTADO: DISCO, CALIDAD: PRO ANALISIS, PRESENTACION: ENVASE X 50 UN</v>
      </c>
      <c r="D102" s="111"/>
      <c r="E102" s="111"/>
      <c r="F102" s="111"/>
      <c r="G102" s="111"/>
      <c r="H102" s="50" t="s">
        <v>56</v>
      </c>
      <c r="I102" s="51" t="str">
        <f>'Necesidades Trimestrales'!F100</f>
        <v>FRASCO</v>
      </c>
      <c r="J102" s="52">
        <f>'Necesidades Trimestrales'!H100</f>
        <v>833</v>
      </c>
      <c r="K102" s="53">
        <f>'Necesidades Trimestrales'!G100</f>
        <v>5</v>
      </c>
    </row>
    <row r="103" spans="1:11" ht="20.25" customHeight="1" thickBot="1" x14ac:dyDescent="0.25">
      <c r="A103" s="8">
        <v>92</v>
      </c>
      <c r="B103" s="49">
        <f>'Necesidades Trimestrales'!B101</f>
        <v>0</v>
      </c>
      <c r="C103" s="111" t="str">
        <f>'Necesidades Trimestrales'!E101</f>
        <v>DISCO OXACILINA 1 µGR, ESTADO: DISCO, CALIDAD: PRO ANALISIS, PRESENTACION: ENVASE X 50 UN</v>
      </c>
      <c r="D103" s="111"/>
      <c r="E103" s="111"/>
      <c r="F103" s="111"/>
      <c r="G103" s="111"/>
      <c r="H103" s="50" t="s">
        <v>56</v>
      </c>
      <c r="I103" s="51" t="str">
        <f>'Necesidades Trimestrales'!F101</f>
        <v>FRASCO</v>
      </c>
      <c r="J103" s="52">
        <f>'Necesidades Trimestrales'!H101</f>
        <v>833</v>
      </c>
      <c r="K103" s="53">
        <f>'Necesidades Trimestrales'!G101</f>
        <v>5</v>
      </c>
    </row>
    <row r="104" spans="1:11" ht="35.450000000000003" customHeight="1" thickBot="1" x14ac:dyDescent="0.25">
      <c r="A104" s="8">
        <v>93</v>
      </c>
      <c r="B104" s="49">
        <f>'Necesidades Trimestrales'!B102</f>
        <v>0</v>
      </c>
      <c r="C104" s="111" t="str">
        <f>'Necesidades Trimestrales'!E102</f>
        <v>DISCO PIPERACILINA TAZOBACTAM 100/10 µGR, ESTADO: DISCO, CALIDAD: PRO ANALISIS, PRESENTACION: ENVASE X 50 UN</v>
      </c>
      <c r="D104" s="111"/>
      <c r="E104" s="111"/>
      <c r="F104" s="111"/>
      <c r="G104" s="111"/>
      <c r="H104" s="50" t="s">
        <v>56</v>
      </c>
      <c r="I104" s="51" t="str">
        <f>'Necesidades Trimestrales'!F102</f>
        <v>FRASCO</v>
      </c>
      <c r="J104" s="52">
        <f>'Necesidades Trimestrales'!H102</f>
        <v>833</v>
      </c>
      <c r="K104" s="53">
        <f>'Necesidades Trimestrales'!G102</f>
        <v>5</v>
      </c>
    </row>
    <row r="105" spans="1:11" ht="20.25" customHeight="1" thickBot="1" x14ac:dyDescent="0.25">
      <c r="A105" s="8">
        <v>94</v>
      </c>
      <c r="B105" s="49">
        <f>'Necesidades Trimestrales'!B103</f>
        <v>0</v>
      </c>
      <c r="C105" s="111" t="str">
        <f>'Necesidades Trimestrales'!E103</f>
        <v>DISCO TEICOPLANINA 30 µGR, ESTADO: DISCO, CALIDAD: PRO ANALISIS, PRESENTACION: ENVASE X 50 UN</v>
      </c>
      <c r="D105" s="111"/>
      <c r="E105" s="111"/>
      <c r="F105" s="111"/>
      <c r="G105" s="111"/>
      <c r="H105" s="50" t="s">
        <v>56</v>
      </c>
      <c r="I105" s="51" t="str">
        <f>'Necesidades Trimestrales'!F103</f>
        <v>FRASCO</v>
      </c>
      <c r="J105" s="52">
        <f>'Necesidades Trimestrales'!H103</f>
        <v>833</v>
      </c>
      <c r="K105" s="53">
        <f>'Necesidades Trimestrales'!G103</f>
        <v>3</v>
      </c>
    </row>
    <row r="106" spans="1:11" ht="20.25" customHeight="1" thickBot="1" x14ac:dyDescent="0.25">
      <c r="A106" s="8">
        <v>95</v>
      </c>
      <c r="B106" s="49">
        <f>'Necesidades Trimestrales'!B104</f>
        <v>0</v>
      </c>
      <c r="C106" s="111" t="str">
        <f>'Necesidades Trimestrales'!E104</f>
        <v>DISCO TIGECICLINA 50 µGR, ESTADO: DISCO, CALIDAD: PRO ANALISIS, PRESENTACION: ENVASE X 50 UN</v>
      </c>
      <c r="D106" s="111"/>
      <c r="E106" s="111"/>
      <c r="F106" s="111"/>
      <c r="G106" s="111"/>
      <c r="H106" s="50" t="s">
        <v>56</v>
      </c>
      <c r="I106" s="51" t="str">
        <f>'Necesidades Trimestrales'!F104</f>
        <v>FRASCO</v>
      </c>
      <c r="J106" s="52">
        <f>'Necesidades Trimestrales'!H104</f>
        <v>833</v>
      </c>
      <c r="K106" s="53">
        <f>'Necesidades Trimestrales'!G104</f>
        <v>5</v>
      </c>
    </row>
    <row r="107" spans="1:11" ht="20.25" customHeight="1" thickBot="1" x14ac:dyDescent="0.25">
      <c r="A107" s="8">
        <v>96</v>
      </c>
      <c r="B107" s="49">
        <f>'Necesidades Trimestrales'!B105</f>
        <v>0</v>
      </c>
      <c r="C107" s="111" t="str">
        <f>'Necesidades Trimestrales'!E105</f>
        <v>DISCOS DE ERTAPENEM 10 UG X 50 T/BRITANIA Y/O LIOFILCHEM</v>
      </c>
      <c r="D107" s="111"/>
      <c r="E107" s="111"/>
      <c r="F107" s="111"/>
      <c r="G107" s="111"/>
      <c r="H107" s="50" t="s">
        <v>56</v>
      </c>
      <c r="I107" s="51" t="str">
        <f>'Necesidades Trimestrales'!F105</f>
        <v>FRASCO</v>
      </c>
      <c r="J107" s="52">
        <f>'Necesidades Trimestrales'!H105</f>
        <v>833</v>
      </c>
      <c r="K107" s="53">
        <f>'Necesidades Trimestrales'!G105</f>
        <v>5</v>
      </c>
    </row>
    <row r="108" spans="1:11" ht="20.25" customHeight="1" thickBot="1" x14ac:dyDescent="0.25">
      <c r="A108" s="8">
        <v>97</v>
      </c>
      <c r="B108" s="49">
        <f>'Necesidades Trimestrales'!B106</f>
        <v>0</v>
      </c>
      <c r="C108" s="111" t="str">
        <f>'Necesidades Trimestrales'!E106</f>
        <v>DISCOS DE GENTAMICINA X 10 UG. X 50 T/BRITANIA</v>
      </c>
      <c r="D108" s="111"/>
      <c r="E108" s="111"/>
      <c r="F108" s="111"/>
      <c r="G108" s="111"/>
      <c r="H108" s="50" t="s">
        <v>56</v>
      </c>
      <c r="I108" s="51" t="str">
        <f>'Necesidades Trimestrales'!F106</f>
        <v>FRASCO</v>
      </c>
      <c r="J108" s="52">
        <f>'Necesidades Trimestrales'!H106</f>
        <v>833</v>
      </c>
      <c r="K108" s="53">
        <f>'Necesidades Trimestrales'!G106</f>
        <v>3</v>
      </c>
    </row>
    <row r="109" spans="1:11" ht="20.25" customHeight="1" thickBot="1" x14ac:dyDescent="0.25">
      <c r="A109" s="8">
        <v>98</v>
      </c>
      <c r="B109" s="49">
        <f>'Necesidades Trimestrales'!B107</f>
        <v>0</v>
      </c>
      <c r="C109" s="111" t="str">
        <f>'Necesidades Trimestrales'!E107</f>
        <v>ECOTERGENT  X 60 ML COBAS C-311 ROCHE</v>
      </c>
      <c r="D109" s="111"/>
      <c r="E109" s="111"/>
      <c r="F109" s="111"/>
      <c r="G109" s="111"/>
      <c r="H109" s="50" t="s">
        <v>56</v>
      </c>
      <c r="I109" s="51" t="str">
        <f>'Necesidades Trimestrales'!F107</f>
        <v>CASSETTE</v>
      </c>
      <c r="J109" s="52">
        <f>'Necesidades Trimestrales'!H107</f>
        <v>4909</v>
      </c>
      <c r="K109" s="53">
        <f>'Necesidades Trimestrales'!G107</f>
        <v>15</v>
      </c>
    </row>
    <row r="110" spans="1:11" ht="20.25" customHeight="1" thickBot="1" x14ac:dyDescent="0.25">
      <c r="A110" s="8">
        <v>99</v>
      </c>
      <c r="B110" s="49">
        <f>'Necesidades Trimestrales'!B108</f>
        <v>0</v>
      </c>
      <c r="C110" s="111" t="str">
        <f>'Necesidades Trimestrales'!E108</f>
        <v>ELECSYS DILUYENTE UNIVERSAL COBAS E-411 ROCHE  X 2 X 18 ML</v>
      </c>
      <c r="D110" s="111"/>
      <c r="E110" s="111"/>
      <c r="F110" s="111"/>
      <c r="G110" s="111"/>
      <c r="H110" s="50" t="s">
        <v>56</v>
      </c>
      <c r="I110" s="51" t="str">
        <f>'Necesidades Trimestrales'!F108</f>
        <v>CAJA</v>
      </c>
      <c r="J110" s="52">
        <f>'Necesidades Trimestrales'!H108</f>
        <v>5640</v>
      </c>
      <c r="K110" s="53">
        <f>'Necesidades Trimestrales'!G108</f>
        <v>2</v>
      </c>
    </row>
    <row r="111" spans="1:11" ht="20.25" customHeight="1" thickBot="1" x14ac:dyDescent="0.25">
      <c r="A111" s="8">
        <v>100</v>
      </c>
      <c r="B111" s="49">
        <f>'Necesidades Trimestrales'!B109</f>
        <v>0</v>
      </c>
      <c r="C111" s="111" t="str">
        <f>'Necesidades Trimestrales'!E109</f>
        <v>FACTOR REUMATOIDEO P COBAS C 311</v>
      </c>
      <c r="D111" s="111"/>
      <c r="E111" s="111"/>
      <c r="F111" s="111"/>
      <c r="G111" s="111"/>
      <c r="H111" s="50" t="s">
        <v>56</v>
      </c>
      <c r="I111" s="51" t="str">
        <f>'Necesidades Trimestrales'!F109</f>
        <v>CASSETTE</v>
      </c>
      <c r="J111" s="52">
        <f>'Necesidades Trimestrales'!H109</f>
        <v>8817</v>
      </c>
      <c r="K111" s="53">
        <f>'Necesidades Trimestrales'!G109</f>
        <v>3</v>
      </c>
    </row>
    <row r="112" spans="1:11" ht="20.25" customHeight="1" thickBot="1" x14ac:dyDescent="0.25">
      <c r="A112" s="8">
        <v>101</v>
      </c>
      <c r="B112" s="49">
        <f>'Necesidades Trimestrales'!B110</f>
        <v>0</v>
      </c>
      <c r="C112" s="111" t="str">
        <f>'Necesidades Trimestrales'!E110</f>
        <v>FERRITINA P COBAS C 311</v>
      </c>
      <c r="D112" s="111"/>
      <c r="E112" s="111"/>
      <c r="F112" s="111"/>
      <c r="G112" s="111"/>
      <c r="H112" s="50" t="s">
        <v>56</v>
      </c>
      <c r="I112" s="51" t="str">
        <f>'Necesidades Trimestrales'!F110</f>
        <v>CASSETTE</v>
      </c>
      <c r="J112" s="52">
        <f>'Necesidades Trimestrales'!H110</f>
        <v>45377</v>
      </c>
      <c r="K112" s="53">
        <f>'Necesidades Trimestrales'!G110</f>
        <v>2</v>
      </c>
    </row>
    <row r="113" spans="1:11" ht="20.25" customHeight="1" thickBot="1" x14ac:dyDescent="0.25">
      <c r="A113" s="8">
        <v>102</v>
      </c>
      <c r="B113" s="49">
        <f>'Necesidades Trimestrales'!B111</f>
        <v>0</v>
      </c>
      <c r="C113" s="111" t="str">
        <f>'Necesidades Trimestrales'!E111</f>
        <v>FLUOROCELL 2 X 42 MML P/SYSMEX XN</v>
      </c>
      <c r="D113" s="111"/>
      <c r="E113" s="111"/>
      <c r="F113" s="111"/>
      <c r="G113" s="111"/>
      <c r="H113" s="50" t="s">
        <v>56</v>
      </c>
      <c r="I113" s="51" t="str">
        <f>'Necesidades Trimestrales'!F111</f>
        <v>BIDON</v>
      </c>
      <c r="J113" s="52">
        <f>'Necesidades Trimestrales'!H111</f>
        <v>61960</v>
      </c>
      <c r="K113" s="53">
        <f>'Necesidades Trimestrales'!G111</f>
        <v>4</v>
      </c>
    </row>
    <row r="114" spans="1:11" ht="20.25" customHeight="1" thickBot="1" x14ac:dyDescent="0.25">
      <c r="A114" s="8">
        <v>103</v>
      </c>
      <c r="B114" s="49">
        <f>'Necesidades Trimestrales'!B112</f>
        <v>0</v>
      </c>
      <c r="C114" s="111" t="str">
        <f>'Necesidades Trimestrales'!E112</f>
        <v>FOSFATASA ALCALINA ALP2 (IFCC) COBAS C-311 ROCHE  X 400 DET</v>
      </c>
      <c r="D114" s="111"/>
      <c r="E114" s="111"/>
      <c r="F114" s="111"/>
      <c r="G114" s="111"/>
      <c r="H114" s="50" t="s">
        <v>56</v>
      </c>
      <c r="I114" s="51" t="str">
        <f>'Necesidades Trimestrales'!F112</f>
        <v>CASSETTE</v>
      </c>
      <c r="J114" s="52">
        <f>'Necesidades Trimestrales'!H112</f>
        <v>7391</v>
      </c>
      <c r="K114" s="53">
        <f>'Necesidades Trimestrales'!G112</f>
        <v>5</v>
      </c>
    </row>
    <row r="115" spans="1:11" ht="21.6" customHeight="1" thickBot="1" x14ac:dyDescent="0.25">
      <c r="A115" s="8">
        <v>104</v>
      </c>
      <c r="B115" s="49">
        <f>'Necesidades Trimestrales'!B113</f>
        <v>0</v>
      </c>
      <c r="C115" s="111" t="str">
        <f>'Necesidades Trimestrales'!E113</f>
        <v>FOSFORO COBAS C-311 ROCHE  X 250 DET</v>
      </c>
      <c r="D115" s="111"/>
      <c r="E115" s="111"/>
      <c r="F115" s="111"/>
      <c r="G115" s="111"/>
      <c r="H115" s="50" t="s">
        <v>56</v>
      </c>
      <c r="I115" s="51" t="str">
        <f>'Necesidades Trimestrales'!F113</f>
        <v>CASSETTE</v>
      </c>
      <c r="J115" s="52">
        <f>'Necesidades Trimestrales'!H113</f>
        <v>3259</v>
      </c>
      <c r="K115" s="53">
        <f>'Necesidades Trimestrales'!G113</f>
        <v>4</v>
      </c>
    </row>
    <row r="116" spans="1:11" ht="20.25" customHeight="1" thickBot="1" x14ac:dyDescent="0.25">
      <c r="A116" s="8">
        <v>105</v>
      </c>
      <c r="B116" s="49">
        <f>'Necesidades Trimestrales'!B114</f>
        <v>0</v>
      </c>
      <c r="C116" s="111" t="str">
        <f>'Necesidades Trimestrales'!E114</f>
        <v>FUCSINA BASICA, ESTADO: SOLIDO, CALIDAD: PRO ANALISIS, PRESENTACION: ENVASE X 250 GR</v>
      </c>
      <c r="D116" s="111"/>
      <c r="E116" s="111"/>
      <c r="F116" s="111"/>
      <c r="G116" s="111"/>
      <c r="H116" s="50" t="s">
        <v>56</v>
      </c>
      <c r="I116" s="51" t="str">
        <f>'Necesidades Trimestrales'!F114</f>
        <v>FRASCO</v>
      </c>
      <c r="J116" s="52">
        <f>'Necesidades Trimestrales'!H114</f>
        <v>3515</v>
      </c>
      <c r="K116" s="53">
        <f>'Necesidades Trimestrales'!G114</f>
        <v>1</v>
      </c>
    </row>
    <row r="117" spans="1:11" ht="20.25" customHeight="1" thickBot="1" x14ac:dyDescent="0.25">
      <c r="A117" s="8">
        <v>106</v>
      </c>
      <c r="B117" s="49">
        <f>'Necesidades Trimestrales'!B115</f>
        <v>0</v>
      </c>
      <c r="C117" s="111" t="str">
        <f>'Necesidades Trimestrales'!E115</f>
        <v>GGT COBAS C-311 ROCHE X 400 DET</v>
      </c>
      <c r="D117" s="111"/>
      <c r="E117" s="111"/>
      <c r="F117" s="111"/>
      <c r="G117" s="111"/>
      <c r="H117" s="50" t="s">
        <v>56</v>
      </c>
      <c r="I117" s="51" t="str">
        <f>'Necesidades Trimestrales'!F115</f>
        <v>CASSETTE</v>
      </c>
      <c r="J117" s="52">
        <f>'Necesidades Trimestrales'!H115</f>
        <v>7737</v>
      </c>
      <c r="K117" s="53">
        <f>'Necesidades Trimestrales'!G115</f>
        <v>5</v>
      </c>
    </row>
    <row r="118" spans="1:11" ht="20.25" customHeight="1" thickBot="1" x14ac:dyDescent="0.25">
      <c r="A118" s="8">
        <v>107</v>
      </c>
      <c r="B118" s="49">
        <f>'Necesidades Trimestrales'!B116</f>
        <v>0</v>
      </c>
      <c r="C118" s="111" t="str">
        <f>'Necesidades Trimestrales'!E116</f>
        <v>GLUCOSA HK GEN COBAS C-311 ROCHE X 800 DET</v>
      </c>
      <c r="D118" s="111"/>
      <c r="E118" s="111"/>
      <c r="F118" s="111"/>
      <c r="G118" s="111"/>
      <c r="H118" s="50" t="s">
        <v>56</v>
      </c>
      <c r="I118" s="51" t="str">
        <f>'Necesidades Trimestrales'!F116</f>
        <v>CASSETTE</v>
      </c>
      <c r="J118" s="52">
        <f>'Necesidades Trimestrales'!H116</f>
        <v>7701</v>
      </c>
      <c r="K118" s="53">
        <f>'Necesidades Trimestrales'!G116</f>
        <v>5</v>
      </c>
    </row>
    <row r="119" spans="1:11" ht="20.25" customHeight="1" thickBot="1" x14ac:dyDescent="0.25">
      <c r="A119" s="8">
        <v>108</v>
      </c>
      <c r="B119" s="49">
        <f>'Necesidades Trimestrales'!B117</f>
        <v>0</v>
      </c>
      <c r="C119" s="111" t="str">
        <f>'Necesidades Trimestrales'!E117</f>
        <v>GOT/AST  (IFCC) COBAS C-311 ROCHE  X 500 DET</v>
      </c>
      <c r="D119" s="111"/>
      <c r="E119" s="111"/>
      <c r="F119" s="111"/>
      <c r="G119" s="111"/>
      <c r="H119" s="50" t="s">
        <v>56</v>
      </c>
      <c r="I119" s="51" t="str">
        <f>'Necesidades Trimestrales'!F117</f>
        <v>CASSETTE</v>
      </c>
      <c r="J119" s="52">
        <f>'Necesidades Trimestrales'!H117</f>
        <v>7391</v>
      </c>
      <c r="K119" s="53">
        <f>'Necesidades Trimestrales'!G117</f>
        <v>5</v>
      </c>
    </row>
    <row r="120" spans="1:11" ht="15" customHeight="1" thickBot="1" x14ac:dyDescent="0.25">
      <c r="A120" s="8">
        <v>109</v>
      </c>
      <c r="B120" s="49">
        <f>'Necesidades Trimestrales'!B118</f>
        <v>0</v>
      </c>
      <c r="C120" s="111" t="str">
        <f>'Necesidades Trimestrales'!E118</f>
        <v>GPT/ALT (IFCC) COBAS C-311 ROCHE  X 500 DET</v>
      </c>
      <c r="D120" s="111"/>
      <c r="E120" s="111"/>
      <c r="F120" s="111"/>
      <c r="G120" s="111"/>
      <c r="H120" s="50" t="s">
        <v>56</v>
      </c>
      <c r="I120" s="51" t="str">
        <f>'Necesidades Trimestrales'!F118</f>
        <v>CASSETTE</v>
      </c>
      <c r="J120" s="52">
        <f>'Necesidades Trimestrales'!H118</f>
        <v>7391</v>
      </c>
      <c r="K120" s="53">
        <f>'Necesidades Trimestrales'!G118</f>
        <v>5</v>
      </c>
    </row>
    <row r="121" spans="1:11" ht="23.45" customHeight="1" thickBot="1" x14ac:dyDescent="0.25">
      <c r="A121" s="8">
        <v>110</v>
      </c>
      <c r="B121" s="49">
        <f>'Necesidades Trimestrales'!B119</f>
        <v>0</v>
      </c>
      <c r="C121" s="111" t="str">
        <f>'Necesidades Trimestrales'!E119</f>
        <v>HDL COLESTEROL P/COBAS C311</v>
      </c>
      <c r="D121" s="111"/>
      <c r="E121" s="111"/>
      <c r="F121" s="111"/>
      <c r="G121" s="111"/>
      <c r="H121" s="50" t="s">
        <v>56</v>
      </c>
      <c r="I121" s="51" t="str">
        <f>'Necesidades Trimestrales'!F119</f>
        <v>CASSETTE</v>
      </c>
      <c r="J121" s="52">
        <f>'Necesidades Trimestrales'!H119</f>
        <v>15413</v>
      </c>
      <c r="K121" s="53">
        <f>'Necesidades Trimestrales'!G119</f>
        <v>3</v>
      </c>
    </row>
    <row r="122" spans="1:11" ht="20.25" customHeight="1" thickBot="1" x14ac:dyDescent="0.25">
      <c r="A122" s="8">
        <v>111</v>
      </c>
      <c r="B122" s="49">
        <f>'Necesidades Trimestrales'!B120</f>
        <v>0</v>
      </c>
      <c r="C122" s="111" t="str">
        <f>'Necesidades Trimestrales'!E120</f>
        <v>HEMOGLOBINA GLICOSILADA P/ COBAS C311</v>
      </c>
      <c r="D122" s="111"/>
      <c r="E122" s="111"/>
      <c r="F122" s="111"/>
      <c r="G122" s="111"/>
      <c r="H122" s="50" t="s">
        <v>56</v>
      </c>
      <c r="I122" s="51" t="str">
        <f>'Necesidades Trimestrales'!F120</f>
        <v>CASSETTE</v>
      </c>
      <c r="J122" s="52">
        <f>'Necesidades Trimestrales'!H120</f>
        <v>19776</v>
      </c>
      <c r="K122" s="53">
        <f>'Necesidades Trimestrales'!G120</f>
        <v>4</v>
      </c>
    </row>
    <row r="123" spans="1:11" ht="20.25" customHeight="1" thickBot="1" x14ac:dyDescent="0.25">
      <c r="A123" s="8">
        <v>112</v>
      </c>
      <c r="B123" s="49">
        <f>'Necesidades Trimestrales'!B121</f>
        <v>0</v>
      </c>
      <c r="C123" s="111" t="str">
        <f>'Necesidades Trimestrales'!E121</f>
        <v>HEMOLISANTE P/COBAS C311 HBAIC2</v>
      </c>
      <c r="D123" s="111"/>
      <c r="E123" s="111"/>
      <c r="F123" s="111"/>
      <c r="G123" s="111"/>
      <c r="H123" s="50" t="s">
        <v>56</v>
      </c>
      <c r="I123" s="51" t="str">
        <f>'Necesidades Trimestrales'!F121</f>
        <v>CASSETTE</v>
      </c>
      <c r="J123" s="52">
        <f>'Necesidades Trimestrales'!H121</f>
        <v>3775</v>
      </c>
      <c r="K123" s="53">
        <f>'Necesidades Trimestrales'!G121</f>
        <v>2</v>
      </c>
    </row>
    <row r="124" spans="1:11" ht="33.6" customHeight="1" thickBot="1" x14ac:dyDescent="0.25">
      <c r="A124" s="8">
        <v>113</v>
      </c>
      <c r="B124" s="49">
        <f>'Necesidades Trimestrales'!B122</f>
        <v>0</v>
      </c>
      <c r="C124" s="111" t="str">
        <f>'Necesidades Trimestrales'!E122</f>
        <v>HIDROXIDO DE SODIO, ESTADO: LIQUIDO, CALIDAD: PRO ANALISIS, CONCENTRACION/PUREZA: 1 N, PRESENTACION: ENVASE X 1 L</v>
      </c>
      <c r="D124" s="111"/>
      <c r="E124" s="111"/>
      <c r="F124" s="111"/>
      <c r="G124" s="111"/>
      <c r="H124" s="50" t="s">
        <v>56</v>
      </c>
      <c r="I124" s="51" t="str">
        <f>'Necesidades Trimestrales'!F122</f>
        <v>BOTELLA</v>
      </c>
      <c r="J124" s="52">
        <f>'Necesidades Trimestrales'!H122</f>
        <v>1000</v>
      </c>
      <c r="K124" s="53">
        <f>'Necesidades Trimestrales'!G122</f>
        <v>3</v>
      </c>
    </row>
    <row r="125" spans="1:11" ht="20.25" customHeight="1" thickBot="1" x14ac:dyDescent="0.25">
      <c r="A125" s="8">
        <v>114</v>
      </c>
      <c r="B125" s="49">
        <f>'Necesidades Trimestrales'!B123</f>
        <v>0</v>
      </c>
      <c r="C125" s="111" t="str">
        <f>'Necesidades Trimestrales'!E123</f>
        <v>HIERRO COBAS C-311 ROCHE  X 200 DET</v>
      </c>
      <c r="D125" s="111"/>
      <c r="E125" s="111"/>
      <c r="F125" s="111"/>
      <c r="G125" s="111"/>
      <c r="H125" s="50" t="s">
        <v>56</v>
      </c>
      <c r="I125" s="51" t="str">
        <f>'Necesidades Trimestrales'!F123</f>
        <v>CASSETTE</v>
      </c>
      <c r="J125" s="52">
        <f>'Necesidades Trimestrales'!H123</f>
        <v>1742</v>
      </c>
      <c r="K125" s="53">
        <f>'Necesidades Trimestrales'!G123</f>
        <v>1</v>
      </c>
    </row>
    <row r="126" spans="1:11" ht="35.450000000000003" customHeight="1" thickBot="1" x14ac:dyDescent="0.25">
      <c r="A126" s="8">
        <v>115</v>
      </c>
      <c r="B126" s="49">
        <f>'Necesidades Trimestrales'!B124</f>
        <v>0</v>
      </c>
      <c r="C126" s="111" t="str">
        <f>'Necesidades Trimestrales'!E124</f>
        <v>IGA COBAS ROCHE C311</v>
      </c>
      <c r="D126" s="111"/>
      <c r="E126" s="111"/>
      <c r="F126" s="111"/>
      <c r="G126" s="111"/>
      <c r="H126" s="50" t="s">
        <v>56</v>
      </c>
      <c r="I126" s="51" t="str">
        <f>'Necesidades Trimestrales'!F124</f>
        <v>CASSETTE</v>
      </c>
      <c r="J126" s="52">
        <f>'Necesidades Trimestrales'!H124</f>
        <v>16190</v>
      </c>
      <c r="K126" s="53">
        <f>'Necesidades Trimestrales'!G124</f>
        <v>4</v>
      </c>
    </row>
    <row r="127" spans="1:11" ht="20.25" customHeight="1" thickBot="1" x14ac:dyDescent="0.25">
      <c r="A127" s="8">
        <v>116</v>
      </c>
      <c r="B127" s="49">
        <f>'Necesidades Trimestrales'!B125</f>
        <v>0</v>
      </c>
      <c r="C127" s="111" t="str">
        <f>'Necesidades Trimestrales'!E125</f>
        <v>IGG COBAS ROCHE C311</v>
      </c>
      <c r="D127" s="111"/>
      <c r="E127" s="111"/>
      <c r="F127" s="111"/>
      <c r="G127" s="111"/>
      <c r="H127" s="50" t="s">
        <v>56</v>
      </c>
      <c r="I127" s="51" t="str">
        <f>'Necesidades Trimestrales'!F125</f>
        <v>CASSETTE</v>
      </c>
      <c r="J127" s="52">
        <f>'Necesidades Trimestrales'!H125</f>
        <v>16190</v>
      </c>
      <c r="K127" s="53">
        <f>'Necesidades Trimestrales'!G125</f>
        <v>1</v>
      </c>
    </row>
    <row r="128" spans="1:11" ht="20.25" customHeight="1" thickBot="1" x14ac:dyDescent="0.25">
      <c r="A128" s="8">
        <v>117</v>
      </c>
      <c r="B128" s="49">
        <f>'Necesidades Trimestrales'!B126</f>
        <v>0</v>
      </c>
      <c r="C128" s="111" t="str">
        <f>'Necesidades Trimestrales'!E126</f>
        <v>IGM P/ COBAS C311</v>
      </c>
      <c r="D128" s="111"/>
      <c r="E128" s="111"/>
      <c r="F128" s="111"/>
      <c r="G128" s="111"/>
      <c r="H128" s="50" t="s">
        <v>56</v>
      </c>
      <c r="I128" s="51" t="str">
        <f>'Necesidades Trimestrales'!F126</f>
        <v>CASSETTE</v>
      </c>
      <c r="J128" s="52">
        <f>'Necesidades Trimestrales'!H126</f>
        <v>16190</v>
      </c>
      <c r="K128" s="53">
        <f>'Necesidades Trimestrales'!G126</f>
        <v>1</v>
      </c>
    </row>
    <row r="129" spans="1:11" ht="33.6" customHeight="1" thickBot="1" x14ac:dyDescent="0.25">
      <c r="A129" s="8">
        <v>118</v>
      </c>
      <c r="B129" s="49">
        <f>'Necesidades Trimestrales'!B127</f>
        <v>0</v>
      </c>
      <c r="C129" s="111" t="str">
        <f>'Necesidades Trimestrales'!E127</f>
        <v>IODURO DE POTASIO, ESTADO: SOLIDO, CALIDAD: PRO ANALISIS, CONCENTRACION/PUREZA: 99 %, PRESENTACION: ENVASE X 100 GR, GRADO HIDRATACION: ANHIDRO</v>
      </c>
      <c r="D129" s="111"/>
      <c r="E129" s="111"/>
      <c r="F129" s="111"/>
      <c r="G129" s="111"/>
      <c r="H129" s="50" t="s">
        <v>56</v>
      </c>
      <c r="I129" s="51" t="str">
        <f>'Necesidades Trimestrales'!F127</f>
        <v>FRASCO</v>
      </c>
      <c r="J129" s="52">
        <f>'Necesidades Trimestrales'!H127</f>
        <v>3594</v>
      </c>
      <c r="K129" s="53">
        <f>'Necesidades Trimestrales'!G127</f>
        <v>2</v>
      </c>
    </row>
    <row r="130" spans="1:11" ht="20.25" customHeight="1" thickBot="1" x14ac:dyDescent="0.25">
      <c r="A130" s="8">
        <v>119</v>
      </c>
      <c r="B130" s="49">
        <f>'Necesidades Trimestrales'!B128</f>
        <v>0</v>
      </c>
      <c r="C130" s="111" t="str">
        <f>'Necesidades Trimestrales'!E128</f>
        <v>ISE CLEANING SOLUTION P/COBAS C311</v>
      </c>
      <c r="D130" s="111"/>
      <c r="E130" s="111"/>
      <c r="F130" s="111"/>
      <c r="G130" s="111"/>
      <c r="H130" s="50" t="s">
        <v>56</v>
      </c>
      <c r="I130" s="51" t="str">
        <f>'Necesidades Trimestrales'!F128</f>
        <v>CAJA</v>
      </c>
      <c r="J130" s="52">
        <f>'Necesidades Trimestrales'!H128</f>
        <v>9861</v>
      </c>
      <c r="K130" s="53">
        <f>'Necesidades Trimestrales'!G128</f>
        <v>1</v>
      </c>
    </row>
    <row r="131" spans="1:11" ht="20.25" customHeight="1" thickBot="1" x14ac:dyDescent="0.25">
      <c r="A131" s="8">
        <v>120</v>
      </c>
      <c r="B131" s="49">
        <f>'Necesidades Trimestrales'!B129</f>
        <v>0</v>
      </c>
      <c r="C131" s="111" t="str">
        <f>'Necesidades Trimestrales'!E129</f>
        <v>ISE INTERNAL STANDART GEN2 5 X 600 ML P/COBAS C311</v>
      </c>
      <c r="D131" s="111"/>
      <c r="E131" s="111"/>
      <c r="F131" s="111"/>
      <c r="G131" s="111"/>
      <c r="H131" s="50" t="s">
        <v>56</v>
      </c>
      <c r="I131" s="51" t="str">
        <f>'Necesidades Trimestrales'!F129</f>
        <v>CAJA</v>
      </c>
      <c r="J131" s="52">
        <f>'Necesidades Trimestrales'!H129</f>
        <v>16870</v>
      </c>
      <c r="K131" s="53">
        <f>'Necesidades Trimestrales'!G129</f>
        <v>4</v>
      </c>
    </row>
    <row r="132" spans="1:11" ht="20.25" customHeight="1" thickBot="1" x14ac:dyDescent="0.25">
      <c r="A132" s="8">
        <v>121</v>
      </c>
      <c r="B132" s="49">
        <f>'Necesidades Trimestrales'!B130</f>
        <v>0</v>
      </c>
      <c r="C132" s="111" t="str">
        <f>'Necesidades Trimestrales'!E130</f>
        <v>ISE SOLUTION DE REFERENCIA 5 X 300 ML P/COBAS C311</v>
      </c>
      <c r="D132" s="111"/>
      <c r="E132" s="111"/>
      <c r="F132" s="111"/>
      <c r="G132" s="111"/>
      <c r="H132" s="50" t="s">
        <v>56</v>
      </c>
      <c r="I132" s="51" t="str">
        <f>'Necesidades Trimestrales'!F130</f>
        <v>UNIDAD</v>
      </c>
      <c r="J132" s="52">
        <f>'Necesidades Trimestrales'!H130</f>
        <v>6354</v>
      </c>
      <c r="K132" s="53">
        <f>'Necesidades Trimestrales'!G130</f>
        <v>4</v>
      </c>
    </row>
    <row r="133" spans="1:11" ht="20.25" customHeight="1" thickBot="1" x14ac:dyDescent="0.25">
      <c r="A133" s="8">
        <v>122</v>
      </c>
      <c r="B133" s="49">
        <f>'Necesidades Trimestrales'!B131</f>
        <v>0</v>
      </c>
      <c r="C133" s="111" t="str">
        <f>'Necesidades Trimestrales'!E131</f>
        <v>ISE STANDART HIGH P/COBAS C311</v>
      </c>
      <c r="D133" s="111"/>
      <c r="E133" s="111"/>
      <c r="F133" s="111"/>
      <c r="G133" s="111"/>
      <c r="H133" s="50" t="s">
        <v>56</v>
      </c>
      <c r="I133" s="51" t="str">
        <f>'Necesidades Trimestrales'!F131</f>
        <v>UNIDAD</v>
      </c>
      <c r="J133" s="52">
        <f>'Necesidades Trimestrales'!H131</f>
        <v>2355</v>
      </c>
      <c r="K133" s="53">
        <f>'Necesidades Trimestrales'!G131</f>
        <v>5</v>
      </c>
    </row>
    <row r="134" spans="1:11" ht="20.25" customHeight="1" thickBot="1" x14ac:dyDescent="0.25">
      <c r="A134" s="8">
        <v>123</v>
      </c>
      <c r="B134" s="49">
        <f>'Necesidades Trimestrales'!B132</f>
        <v>0</v>
      </c>
      <c r="C134" s="111" t="str">
        <f>'Necesidades Trimestrales'!E132</f>
        <v>ISE STANDART LOW P/COBAS C311</v>
      </c>
      <c r="D134" s="111"/>
      <c r="E134" s="111"/>
      <c r="F134" s="111"/>
      <c r="G134" s="111"/>
      <c r="H134" s="50" t="s">
        <v>56</v>
      </c>
      <c r="I134" s="51" t="str">
        <f>'Necesidades Trimestrales'!F132</f>
        <v>UNIDAD</v>
      </c>
      <c r="J134" s="52">
        <f>'Necesidades Trimestrales'!H132</f>
        <v>2355</v>
      </c>
      <c r="K134" s="53">
        <f>'Necesidades Trimestrales'!G132</f>
        <v>5</v>
      </c>
    </row>
    <row r="135" spans="1:11" ht="20.25" customHeight="1" thickBot="1" x14ac:dyDescent="0.25">
      <c r="A135" s="8">
        <v>124</v>
      </c>
      <c r="B135" s="49">
        <f>'Necesidades Trimestrales'!B133</f>
        <v>0</v>
      </c>
      <c r="C135" s="111" t="str">
        <f>'Necesidades Trimestrales'!E133</f>
        <v xml:space="preserve">LAMPARA HALOGENA COBAS C-311 ROCHE </v>
      </c>
      <c r="D135" s="111"/>
      <c r="E135" s="111"/>
      <c r="F135" s="111"/>
      <c r="G135" s="111"/>
      <c r="H135" s="50" t="s">
        <v>56</v>
      </c>
      <c r="I135" s="51" t="str">
        <f>'Necesidades Trimestrales'!F133</f>
        <v>UNIDAD</v>
      </c>
      <c r="J135" s="52">
        <f>'Necesidades Trimestrales'!H133</f>
        <v>54607</v>
      </c>
      <c r="K135" s="53">
        <f>'Necesidades Trimestrales'!G133</f>
        <v>4</v>
      </c>
    </row>
    <row r="136" spans="1:11" ht="20.25" customHeight="1" thickBot="1" x14ac:dyDescent="0.25">
      <c r="A136" s="8">
        <v>125</v>
      </c>
      <c r="B136" s="49">
        <f>'Necesidades Trimestrales'!B134</f>
        <v>0</v>
      </c>
      <c r="C136" s="111" t="str">
        <f>'Necesidades Trimestrales'!E134</f>
        <v>LDL COLESTEROL P/COBAS C311</v>
      </c>
      <c r="D136" s="111"/>
      <c r="E136" s="111"/>
      <c r="F136" s="111"/>
      <c r="G136" s="111"/>
      <c r="H136" s="50" t="s">
        <v>56</v>
      </c>
      <c r="I136" s="51" t="str">
        <f>'Necesidades Trimestrales'!F134</f>
        <v>CASSETTE</v>
      </c>
      <c r="J136" s="52">
        <f>'Necesidades Trimestrales'!H134</f>
        <v>13872</v>
      </c>
      <c r="K136" s="53">
        <f>'Necesidades Trimestrales'!G134</f>
        <v>7</v>
      </c>
    </row>
    <row r="137" spans="1:11" ht="20.25" customHeight="1" thickBot="1" x14ac:dyDescent="0.25">
      <c r="A137" s="8">
        <v>126</v>
      </c>
      <c r="B137" s="49">
        <f>'Necesidades Trimestrales'!B135</f>
        <v>0</v>
      </c>
      <c r="C137" s="111" t="str">
        <f>'Necesidades Trimestrales'!E135</f>
        <v>LIPASA COBAS C-311 ROCHE  X 200 DET</v>
      </c>
      <c r="D137" s="111"/>
      <c r="E137" s="111"/>
      <c r="F137" s="111"/>
      <c r="G137" s="111"/>
      <c r="H137" s="50" t="s">
        <v>56</v>
      </c>
      <c r="I137" s="51" t="str">
        <f>'Necesidades Trimestrales'!F135</f>
        <v>CASSETTE</v>
      </c>
      <c r="J137" s="52">
        <f>'Necesidades Trimestrales'!H135</f>
        <v>8817</v>
      </c>
      <c r="K137" s="53">
        <f>'Necesidades Trimestrales'!G135</f>
        <v>10</v>
      </c>
    </row>
    <row r="138" spans="1:11" ht="20.25" customHeight="1" thickBot="1" x14ac:dyDescent="0.25">
      <c r="A138" s="8">
        <v>127</v>
      </c>
      <c r="B138" s="49">
        <f>'Necesidades Trimestrales'!B136</f>
        <v>0</v>
      </c>
      <c r="C138" s="111" t="str">
        <f>'Necesidades Trimestrales'!E136</f>
        <v>LYSERCELL WDF X 5 LTS - TIPO SYSMEX XNL</v>
      </c>
      <c r="D138" s="111"/>
      <c r="E138" s="111"/>
      <c r="F138" s="111"/>
      <c r="G138" s="111"/>
      <c r="H138" s="50" t="s">
        <v>56</v>
      </c>
      <c r="I138" s="51" t="str">
        <f>'Necesidades Trimestrales'!F136</f>
        <v>BIDON</v>
      </c>
      <c r="J138" s="52">
        <f>'Necesidades Trimestrales'!H136</f>
        <v>15938</v>
      </c>
      <c r="K138" s="53">
        <f>'Necesidades Trimestrales'!G136</f>
        <v>3</v>
      </c>
    </row>
    <row r="139" spans="1:11" ht="20.45" customHeight="1" thickBot="1" x14ac:dyDescent="0.25">
      <c r="A139" s="8">
        <v>128</v>
      </c>
      <c r="B139" s="49">
        <f>'Necesidades Trimestrales'!B137</f>
        <v>0</v>
      </c>
      <c r="C139" s="111" t="str">
        <f>'Necesidades Trimestrales'!E137</f>
        <v>MAGNESIO COBAS C-311 ROCHE  X 175 DET</v>
      </c>
      <c r="D139" s="111"/>
      <c r="E139" s="111"/>
      <c r="F139" s="111"/>
      <c r="G139" s="111"/>
      <c r="H139" s="50" t="s">
        <v>56</v>
      </c>
      <c r="I139" s="51" t="str">
        <f>'Necesidades Trimestrales'!F137</f>
        <v>CASSETTE</v>
      </c>
      <c r="J139" s="52">
        <f>'Necesidades Trimestrales'!H137</f>
        <v>3854</v>
      </c>
      <c r="K139" s="53">
        <f>'Necesidades Trimestrales'!G137</f>
        <v>1</v>
      </c>
    </row>
    <row r="140" spans="1:11" ht="20.25" customHeight="1" thickBot="1" x14ac:dyDescent="0.25">
      <c r="A140" s="8">
        <v>129</v>
      </c>
      <c r="B140" s="49">
        <f>'Necesidades Trimestrales'!B138</f>
        <v>0</v>
      </c>
      <c r="C140" s="111" t="str">
        <f>'Necesidades Trimestrales'!E138</f>
        <v>MIO AGAR, ESTADO: SÓLIDO, PRESENTACIÓN: ENVASE POR 100G</v>
      </c>
      <c r="D140" s="111"/>
      <c r="E140" s="111"/>
      <c r="F140" s="111"/>
      <c r="G140" s="111"/>
      <c r="H140" s="50" t="s">
        <v>56</v>
      </c>
      <c r="I140" s="51" t="str">
        <f>'Necesidades Trimestrales'!F138</f>
        <v>FRASCO</v>
      </c>
      <c r="J140" s="52">
        <f>'Necesidades Trimestrales'!H138</f>
        <v>9464</v>
      </c>
      <c r="K140" s="53">
        <f>'Necesidades Trimestrales'!G138</f>
        <v>2</v>
      </c>
    </row>
    <row r="141" spans="1:11" ht="20.25" customHeight="1" thickBot="1" x14ac:dyDescent="0.25">
      <c r="A141" s="8">
        <v>130</v>
      </c>
      <c r="B141" s="49">
        <f>'Necesidades Trimestrales'!B139</f>
        <v>0</v>
      </c>
      <c r="C141" s="111" t="str">
        <f>'Necesidades Trimestrales'!E139</f>
        <v>NACL 9% P/COBAS C311</v>
      </c>
      <c r="D141" s="111"/>
      <c r="E141" s="111"/>
      <c r="F141" s="111"/>
      <c r="G141" s="111"/>
      <c r="H141" s="50" t="s">
        <v>56</v>
      </c>
      <c r="I141" s="51" t="str">
        <f>'Necesidades Trimestrales'!F139</f>
        <v>CASSETTE</v>
      </c>
      <c r="J141" s="52">
        <f>'Necesidades Trimestrales'!H139</f>
        <v>1038</v>
      </c>
      <c r="K141" s="53">
        <f>'Necesidades Trimestrales'!G139</f>
        <v>3</v>
      </c>
    </row>
    <row r="142" spans="1:11" ht="20.25" customHeight="1" thickBot="1" x14ac:dyDescent="0.25">
      <c r="A142" s="8">
        <v>131</v>
      </c>
      <c r="B142" s="49">
        <f>'Necesidades Trimestrales'!B140</f>
        <v>0</v>
      </c>
      <c r="C142" s="111" t="str">
        <f>'Necesidades Trimestrales'!E140</f>
        <v>NAOH - D CASSETTE P/COBAS C311</v>
      </c>
      <c r="D142" s="111"/>
      <c r="E142" s="111"/>
      <c r="F142" s="111"/>
      <c r="G142" s="111"/>
      <c r="H142" s="50" t="s">
        <v>56</v>
      </c>
      <c r="I142" s="51" t="str">
        <f>'Necesidades Trimestrales'!F140</f>
        <v>CASSETTE</v>
      </c>
      <c r="J142" s="52">
        <f>'Necesidades Trimestrales'!H140</f>
        <v>923</v>
      </c>
      <c r="K142" s="53">
        <f>'Necesidades Trimestrales'!G140</f>
        <v>30</v>
      </c>
    </row>
    <row r="143" spans="1:11" ht="20.25" customHeight="1" thickBot="1" x14ac:dyDescent="0.25">
      <c r="A143" s="8">
        <v>132</v>
      </c>
      <c r="B143" s="49">
        <f>'Necesidades Trimestrales'!B141</f>
        <v>0</v>
      </c>
      <c r="C143" s="111" t="str">
        <f>'Necesidades Trimestrales'!E141</f>
        <v>PANEL DE DROGAS DE ABUSO x 10 DET CAJA X 25 PEINES</v>
      </c>
      <c r="D143" s="111"/>
      <c r="E143" s="111"/>
      <c r="F143" s="111"/>
      <c r="G143" s="111"/>
      <c r="H143" s="50" t="s">
        <v>56</v>
      </c>
      <c r="I143" s="51" t="str">
        <f>'Necesidades Trimestrales'!F141</f>
        <v>CAJA</v>
      </c>
      <c r="J143" s="52">
        <f>'Necesidades Trimestrales'!H141</f>
        <v>21677</v>
      </c>
      <c r="K143" s="53">
        <f>'Necesidades Trimestrales'!G141</f>
        <v>6</v>
      </c>
    </row>
    <row r="144" spans="1:11" ht="20.25" customHeight="1" thickBot="1" x14ac:dyDescent="0.25">
      <c r="A144" s="8">
        <v>133</v>
      </c>
      <c r="B144" s="49">
        <f>'Necesidades Trimestrales'!B142</f>
        <v>0</v>
      </c>
      <c r="C144" s="111" t="str">
        <f>'Necesidades Trimestrales'!E142</f>
        <v>PRECI CONTROL CLINCHEM  MULTI 1  QCS COBAS C-311 ROCHE  20 X 5 ML</v>
      </c>
      <c r="D144" s="111"/>
      <c r="E144" s="111"/>
      <c r="F144" s="111"/>
      <c r="G144" s="111"/>
      <c r="H144" s="50" t="s">
        <v>56</v>
      </c>
      <c r="I144" s="51" t="str">
        <f>'Necesidades Trimestrales'!F142</f>
        <v>CAJA</v>
      </c>
      <c r="J144" s="52">
        <f>'Necesidades Trimestrales'!H142</f>
        <v>59291</v>
      </c>
      <c r="K144" s="53">
        <f>'Necesidades Trimestrales'!G142</f>
        <v>1</v>
      </c>
    </row>
    <row r="145" spans="1:11" ht="20.25" customHeight="1" thickBot="1" x14ac:dyDescent="0.25">
      <c r="A145" s="8">
        <v>134</v>
      </c>
      <c r="B145" s="49">
        <f>'Necesidades Trimestrales'!B143</f>
        <v>0</v>
      </c>
      <c r="C145" s="111" t="str">
        <f>'Necesidades Trimestrales'!E143</f>
        <v>PRECI CONTROL CLINCHEM  MULTI 2  QCS COBAS C-311 ROCHE  20 X 5 ML</v>
      </c>
      <c r="D145" s="111"/>
      <c r="E145" s="111"/>
      <c r="F145" s="111"/>
      <c r="G145" s="111"/>
      <c r="H145" s="50" t="s">
        <v>56</v>
      </c>
      <c r="I145" s="51" t="str">
        <f>'Necesidades Trimestrales'!F143</f>
        <v>CAJA</v>
      </c>
      <c r="J145" s="52">
        <f>'Necesidades Trimestrales'!H143</f>
        <v>59291</v>
      </c>
      <c r="K145" s="53">
        <f>'Necesidades Trimestrales'!G143</f>
        <v>1</v>
      </c>
    </row>
    <row r="146" spans="1:11" ht="20.25" customHeight="1" thickBot="1" x14ac:dyDescent="0.25">
      <c r="A146" s="8">
        <v>135</v>
      </c>
      <c r="B146" s="49">
        <f>'Necesidades Trimestrales'!B144</f>
        <v>0</v>
      </c>
      <c r="C146" s="111" t="str">
        <f>'Necesidades Trimestrales'!E144</f>
        <v>PRECICONTROL  HBC1 NORM P/COBAS C311</v>
      </c>
      <c r="D146" s="111"/>
      <c r="E146" s="111"/>
      <c r="F146" s="111"/>
      <c r="G146" s="111"/>
      <c r="H146" s="50" t="s">
        <v>56</v>
      </c>
      <c r="I146" s="51" t="str">
        <f>'Necesidades Trimestrales'!F144</f>
        <v>CAJA</v>
      </c>
      <c r="J146" s="52">
        <f>'Necesidades Trimestrales'!H144</f>
        <v>10516</v>
      </c>
      <c r="K146" s="53">
        <f>'Necesidades Trimestrales'!G144</f>
        <v>1</v>
      </c>
    </row>
    <row r="147" spans="1:11" ht="20.25" customHeight="1" thickBot="1" x14ac:dyDescent="0.25">
      <c r="A147" s="8">
        <v>136</v>
      </c>
      <c r="B147" s="49">
        <f>'Necesidades Trimestrales'!B145</f>
        <v>0</v>
      </c>
      <c r="C147" s="111" t="str">
        <f>'Necesidades Trimestrales'!E145</f>
        <v>PRECICONTROL  HBC1 PATH P/COBAS C311</v>
      </c>
      <c r="D147" s="111"/>
      <c r="E147" s="111"/>
      <c r="F147" s="111"/>
      <c r="G147" s="111"/>
      <c r="H147" s="50" t="s">
        <v>56</v>
      </c>
      <c r="I147" s="51" t="str">
        <f>'Necesidades Trimestrales'!F145</f>
        <v>CAJA</v>
      </c>
      <c r="J147" s="52">
        <f>'Necesidades Trimestrales'!H145</f>
        <v>12871</v>
      </c>
      <c r="K147" s="53">
        <f>'Necesidades Trimestrales'!G145</f>
        <v>1</v>
      </c>
    </row>
    <row r="148" spans="1:11" ht="20.25" customHeight="1" thickBot="1" x14ac:dyDescent="0.25">
      <c r="A148" s="8">
        <v>137</v>
      </c>
      <c r="B148" s="49">
        <f>'Necesidades Trimestrales'!B146</f>
        <v>0</v>
      </c>
      <c r="C148" s="111" t="str">
        <f>'Necesidades Trimestrales'!E146</f>
        <v>PRECICONTROL ANTI CCP P/COBAS E411</v>
      </c>
      <c r="D148" s="111"/>
      <c r="E148" s="111"/>
      <c r="F148" s="111"/>
      <c r="G148" s="111"/>
      <c r="H148" s="50" t="s">
        <v>56</v>
      </c>
      <c r="I148" s="51" t="str">
        <f>'Necesidades Trimestrales'!F146</f>
        <v>CAJA</v>
      </c>
      <c r="J148" s="52">
        <f>'Necesidades Trimestrales'!H146</f>
        <v>22468</v>
      </c>
      <c r="K148" s="53">
        <f>'Necesidades Trimestrales'!G146</f>
        <v>1</v>
      </c>
    </row>
    <row r="149" spans="1:11" ht="20.25" customHeight="1" thickBot="1" x14ac:dyDescent="0.25">
      <c r="A149" s="8">
        <v>138</v>
      </c>
      <c r="B149" s="49">
        <f>'Necesidades Trimestrales'!B147</f>
        <v>0</v>
      </c>
      <c r="C149" s="111" t="str">
        <f>'Necesidades Trimestrales'!E147</f>
        <v>PRECICONTROL CHAGAS P COBAS E411</v>
      </c>
      <c r="D149" s="111"/>
      <c r="E149" s="111"/>
      <c r="F149" s="111"/>
      <c r="G149" s="111"/>
      <c r="H149" s="50" t="s">
        <v>56</v>
      </c>
      <c r="I149" s="51" t="str">
        <f>'Necesidades Trimestrales'!F147</f>
        <v>CAJA</v>
      </c>
      <c r="J149" s="52">
        <f>'Necesidades Trimestrales'!H147</f>
        <v>23944</v>
      </c>
      <c r="K149" s="53">
        <f>'Necesidades Trimestrales'!G147</f>
        <v>1</v>
      </c>
    </row>
    <row r="150" spans="1:11" ht="20.25" customHeight="1" thickBot="1" x14ac:dyDescent="0.25">
      <c r="A150" s="8">
        <v>139</v>
      </c>
      <c r="B150" s="49">
        <f>'Necesidades Trimestrales'!B148</f>
        <v>0</v>
      </c>
      <c r="C150" s="111" t="str">
        <f>'Necesidades Trimestrales'!E148</f>
        <v>PRECICONTROL MULTIMARKER QCS P COBAS E 411</v>
      </c>
      <c r="D150" s="111"/>
      <c r="E150" s="111"/>
      <c r="F150" s="111"/>
      <c r="G150" s="111"/>
      <c r="H150" s="50" t="s">
        <v>56</v>
      </c>
      <c r="I150" s="51" t="str">
        <f>'Necesidades Trimestrales'!F148</f>
        <v>CAJA</v>
      </c>
      <c r="J150" s="52">
        <f>'Necesidades Trimestrales'!H148</f>
        <v>22324</v>
      </c>
      <c r="K150" s="53">
        <f>'Necesidades Trimestrales'!G148</f>
        <v>2</v>
      </c>
    </row>
    <row r="151" spans="1:11" ht="20.25" customHeight="1" thickBot="1" x14ac:dyDescent="0.25">
      <c r="A151" s="8">
        <v>140</v>
      </c>
      <c r="B151" s="49">
        <f>'Necesidades Trimestrales'!B149</f>
        <v>0</v>
      </c>
      <c r="C151" s="111" t="str">
        <f>'Necesidades Trimestrales'!E149</f>
        <v>PRECICONTROL THYRO P COBAS E 411</v>
      </c>
      <c r="D151" s="111"/>
      <c r="E151" s="111"/>
      <c r="F151" s="111"/>
      <c r="G151" s="111"/>
      <c r="H151" s="50" t="s">
        <v>56</v>
      </c>
      <c r="I151" s="51" t="str">
        <f>'Necesidades Trimestrales'!F149</f>
        <v>CAJA</v>
      </c>
      <c r="J151" s="52">
        <f>'Necesidades Trimestrales'!H149</f>
        <v>38212</v>
      </c>
      <c r="K151" s="53">
        <f>'Necesidades Trimestrales'!G149</f>
        <v>2</v>
      </c>
    </row>
    <row r="152" spans="1:11" ht="20.25" customHeight="1" thickBot="1" x14ac:dyDescent="0.25">
      <c r="A152" s="8">
        <v>141</v>
      </c>
      <c r="B152" s="49">
        <f>'Necesidades Trimestrales'!B150</f>
        <v>0</v>
      </c>
      <c r="C152" s="111" t="str">
        <f>'Necesidades Trimestrales'!E150</f>
        <v>PRECICONTROL TROPONINA T P COBAS E 411</v>
      </c>
      <c r="D152" s="111"/>
      <c r="E152" s="111"/>
      <c r="F152" s="111"/>
      <c r="G152" s="111"/>
      <c r="H152" s="50" t="s">
        <v>56</v>
      </c>
      <c r="I152" s="51" t="str">
        <f>'Necesidades Trimestrales'!F150</f>
        <v>CAJA</v>
      </c>
      <c r="J152" s="52">
        <f>'Necesidades Trimestrales'!H150</f>
        <v>6528</v>
      </c>
      <c r="K152" s="53">
        <f>'Necesidades Trimestrales'!G150</f>
        <v>2</v>
      </c>
    </row>
    <row r="153" spans="1:11" ht="20.25" customHeight="1" thickBot="1" x14ac:dyDescent="0.25">
      <c r="A153" s="8">
        <v>142</v>
      </c>
      <c r="B153" s="49">
        <f>'Necesidades Trimestrales'!B151</f>
        <v>0</v>
      </c>
      <c r="C153" s="111" t="str">
        <f>'Necesidades Trimestrales'!E151</f>
        <v>PRECICONTROL TUMOR MARKER P COBAS E 411</v>
      </c>
      <c r="D153" s="111"/>
      <c r="E153" s="111"/>
      <c r="F153" s="111"/>
      <c r="G153" s="111"/>
      <c r="H153" s="50" t="s">
        <v>56</v>
      </c>
      <c r="I153" s="51" t="str">
        <f>'Necesidades Trimestrales'!F151</f>
        <v>CAJA</v>
      </c>
      <c r="J153" s="52">
        <f>'Necesidades Trimestrales'!H151</f>
        <v>24166</v>
      </c>
      <c r="K153" s="53">
        <f>'Necesidades Trimestrales'!G151</f>
        <v>2</v>
      </c>
    </row>
    <row r="154" spans="1:11" ht="20.25" customHeight="1" thickBot="1" x14ac:dyDescent="0.25">
      <c r="A154" s="8">
        <v>143</v>
      </c>
      <c r="B154" s="49">
        <f>'Necesidades Trimestrales'!B152</f>
        <v>0</v>
      </c>
      <c r="C154" s="111" t="str">
        <f>'Necesidades Trimestrales'!E152</f>
        <v>PRECICONTROL UNIVERSAL P COBAS E 411</v>
      </c>
      <c r="D154" s="111"/>
      <c r="E154" s="111"/>
      <c r="F154" s="111"/>
      <c r="G154" s="111"/>
      <c r="H154" s="50" t="s">
        <v>56</v>
      </c>
      <c r="I154" s="51" t="str">
        <f>'Necesidades Trimestrales'!F152</f>
        <v>CAJA</v>
      </c>
      <c r="J154" s="52">
        <f>'Necesidades Trimestrales'!H152</f>
        <v>9769</v>
      </c>
      <c r="K154" s="53">
        <f>'Necesidades Trimestrales'!G152</f>
        <v>3</v>
      </c>
    </row>
    <row r="155" spans="1:11" ht="20.25" customHeight="1" thickBot="1" x14ac:dyDescent="0.25">
      <c r="A155" s="8">
        <v>144</v>
      </c>
      <c r="B155" s="49">
        <f>'Necesidades Trimestrales'!B153</f>
        <v>0</v>
      </c>
      <c r="C155" s="111" t="str">
        <f>'Necesidades Trimestrales'!E153</f>
        <v>PRECICONTROL VARIA P COBAS E 411</v>
      </c>
      <c r="D155" s="111"/>
      <c r="E155" s="111"/>
      <c r="F155" s="111"/>
      <c r="G155" s="111"/>
      <c r="H155" s="50" t="s">
        <v>56</v>
      </c>
      <c r="I155" s="51" t="str">
        <f>'Necesidades Trimestrales'!F153</f>
        <v>CAJA</v>
      </c>
      <c r="J155" s="52">
        <f>'Necesidades Trimestrales'!H153</f>
        <v>24749</v>
      </c>
      <c r="K155" s="53">
        <f>'Necesidades Trimestrales'!G153</f>
        <v>2</v>
      </c>
    </row>
    <row r="156" spans="1:11" ht="20.25" customHeight="1" thickBot="1" x14ac:dyDescent="0.25">
      <c r="A156" s="8">
        <v>145</v>
      </c>
      <c r="B156" s="49">
        <f>'Necesidades Trimestrales'!B154</f>
        <v>0</v>
      </c>
      <c r="C156" s="111" t="str">
        <f>'Necesidades Trimestrales'!E154</f>
        <v>PRECINORM PUC COBAS C-311 ROCHE  4 X 3 ML</v>
      </c>
      <c r="D156" s="111"/>
      <c r="E156" s="111"/>
      <c r="F156" s="111"/>
      <c r="G156" s="111"/>
      <c r="H156" s="50" t="s">
        <v>56</v>
      </c>
      <c r="I156" s="51" t="str">
        <f>'Necesidades Trimestrales'!F154</f>
        <v>CAJA</v>
      </c>
      <c r="J156" s="52">
        <f>'Necesidades Trimestrales'!H154</f>
        <v>31433</v>
      </c>
      <c r="K156" s="53">
        <f>'Necesidades Trimestrales'!G154</f>
        <v>1</v>
      </c>
    </row>
    <row r="157" spans="1:11" ht="20.25" customHeight="1" thickBot="1" x14ac:dyDescent="0.25">
      <c r="A157" s="8">
        <v>146</v>
      </c>
      <c r="B157" s="49">
        <f>'Necesidades Trimestrales'!B155</f>
        <v>0</v>
      </c>
      <c r="C157" s="111" t="str">
        <f>'Necesidades Trimestrales'!E155</f>
        <v>PRECIPATH PUC COBAS C-311 ROCHE  4 X 3 ML</v>
      </c>
      <c r="D157" s="111"/>
      <c r="E157" s="111"/>
      <c r="F157" s="111"/>
      <c r="G157" s="111"/>
      <c r="H157" s="50" t="s">
        <v>56</v>
      </c>
      <c r="I157" s="51" t="str">
        <f>'Necesidades Trimestrales'!F155</f>
        <v>CAJA</v>
      </c>
      <c r="J157" s="52">
        <f>'Necesidades Trimestrales'!H155</f>
        <v>31443</v>
      </c>
      <c r="K157" s="53">
        <f>'Necesidades Trimestrales'!G155</f>
        <v>1</v>
      </c>
    </row>
    <row r="158" spans="1:11" ht="20.25" customHeight="1" thickBot="1" x14ac:dyDescent="0.25">
      <c r="A158" s="8">
        <v>147</v>
      </c>
      <c r="B158" s="49">
        <f>'Necesidades Trimestrales'!B156</f>
        <v>0</v>
      </c>
      <c r="C158" s="111" t="str">
        <f>'Necesidades Trimestrales'!E156</f>
        <v>PRO CELL COBAS E-411N ROCHE X 2 L</v>
      </c>
      <c r="D158" s="111"/>
      <c r="E158" s="111"/>
      <c r="F158" s="111"/>
      <c r="G158" s="111"/>
      <c r="H158" s="50" t="s">
        <v>56</v>
      </c>
      <c r="I158" s="51" t="str">
        <f>'Necesidades Trimestrales'!F156</f>
        <v>CAJA</v>
      </c>
      <c r="J158" s="52">
        <f>'Necesidades Trimestrales'!H156</f>
        <v>9723</v>
      </c>
      <c r="K158" s="53">
        <f>'Necesidades Trimestrales'!G156</f>
        <v>12</v>
      </c>
    </row>
    <row r="159" spans="1:11" ht="20.25" customHeight="1" thickBot="1" x14ac:dyDescent="0.25">
      <c r="A159" s="8">
        <v>148</v>
      </c>
      <c r="B159" s="49">
        <f>'Necesidades Trimestrales'!B157</f>
        <v>0</v>
      </c>
      <c r="C159" s="111" t="str">
        <f>'Necesidades Trimestrales'!E157</f>
        <v xml:space="preserve">PROTEINA C REACTIVA  CRP COBAS C-311 ROCHE  X 250 DET </v>
      </c>
      <c r="D159" s="111"/>
      <c r="E159" s="111"/>
      <c r="F159" s="111"/>
      <c r="G159" s="111"/>
      <c r="H159" s="50" t="s">
        <v>56</v>
      </c>
      <c r="I159" s="51" t="str">
        <f>'Necesidades Trimestrales'!F157</f>
        <v>CASSETTE</v>
      </c>
      <c r="J159" s="52">
        <f>'Necesidades Trimestrales'!H157</f>
        <v>31767</v>
      </c>
      <c r="K159" s="53">
        <f>'Necesidades Trimestrales'!G157</f>
        <v>3</v>
      </c>
    </row>
    <row r="160" spans="1:11" ht="20.25" customHeight="1" thickBot="1" x14ac:dyDescent="0.25">
      <c r="A160" s="8">
        <v>149</v>
      </c>
      <c r="B160" s="49">
        <f>'Necesidades Trimestrales'!B158</f>
        <v>0</v>
      </c>
      <c r="C160" s="111" t="str">
        <f>'Necesidades Trimestrales'!E158</f>
        <v>PROTEINA URINARIA P/COBAS C311</v>
      </c>
      <c r="D160" s="111"/>
      <c r="E160" s="111"/>
      <c r="F160" s="111"/>
      <c r="G160" s="111"/>
      <c r="H160" s="50" t="s">
        <v>56</v>
      </c>
      <c r="I160" s="51" t="str">
        <f>'Necesidades Trimestrales'!F158</f>
        <v>CASSETTE</v>
      </c>
      <c r="J160" s="52">
        <f>'Necesidades Trimestrales'!H158</f>
        <v>5025</v>
      </c>
      <c r="K160" s="53">
        <f>'Necesidades Trimestrales'!G158</f>
        <v>2</v>
      </c>
    </row>
    <row r="161" spans="1:11" ht="20.25" customHeight="1" thickBot="1" x14ac:dyDescent="0.25">
      <c r="A161" s="8">
        <v>150</v>
      </c>
      <c r="B161" s="49">
        <f>'Necesidades Trimestrales'!B159</f>
        <v>0</v>
      </c>
      <c r="C161" s="111" t="str">
        <f>'Necesidades Trimestrales'!E159</f>
        <v>PURPLE BROTH BASE, ESTADO: SÓLIDO, PRESENTACIÓN: ENVASE POR 100G</v>
      </c>
      <c r="D161" s="111"/>
      <c r="E161" s="111"/>
      <c r="F161" s="111"/>
      <c r="G161" s="111"/>
      <c r="H161" s="50" t="s">
        <v>56</v>
      </c>
      <c r="I161" s="51" t="str">
        <f>'Necesidades Trimestrales'!F159</f>
        <v>FRASCO</v>
      </c>
      <c r="J161" s="52">
        <f>'Necesidades Trimestrales'!H159</f>
        <v>30000</v>
      </c>
      <c r="K161" s="53">
        <f>'Necesidades Trimestrales'!G159</f>
        <v>1</v>
      </c>
    </row>
    <row r="162" spans="1:11" ht="20.25" customHeight="1" thickBot="1" x14ac:dyDescent="0.25">
      <c r="A162" s="8">
        <v>151</v>
      </c>
      <c r="B162" s="49">
        <f>'Necesidades Trimestrales'!B160</f>
        <v>0</v>
      </c>
      <c r="C162" s="111" t="str">
        <f>'Necesidades Trimestrales'!E160</f>
        <v>REACTIVO ACTH P COBAS E 411</v>
      </c>
      <c r="D162" s="111"/>
      <c r="E162" s="111"/>
      <c r="F162" s="111"/>
      <c r="G162" s="111"/>
      <c r="H162" s="50" t="s">
        <v>56</v>
      </c>
      <c r="I162" s="51" t="str">
        <f>'Necesidades Trimestrales'!F160</f>
        <v>CAJA</v>
      </c>
      <c r="J162" s="52">
        <f>'Necesidades Trimestrales'!H160</f>
        <v>58744</v>
      </c>
      <c r="K162" s="53">
        <f>'Necesidades Trimestrales'!G160</f>
        <v>1</v>
      </c>
    </row>
    <row r="163" spans="1:11" ht="20.25" customHeight="1" thickBot="1" x14ac:dyDescent="0.25">
      <c r="A163" s="8">
        <v>152</v>
      </c>
      <c r="B163" s="49">
        <f>'Necesidades Trimestrales'!B161</f>
        <v>0</v>
      </c>
      <c r="C163" s="111" t="str">
        <f>'Necesidades Trimestrales'!E161</f>
        <v>REACTIVO AFP P COBAS E 411</v>
      </c>
      <c r="D163" s="111"/>
      <c r="E163" s="111"/>
      <c r="F163" s="111"/>
      <c r="G163" s="111"/>
      <c r="H163" s="50" t="s">
        <v>56</v>
      </c>
      <c r="I163" s="51" t="str">
        <f>'Necesidades Trimestrales'!F161</f>
        <v>CAJA</v>
      </c>
      <c r="J163" s="52">
        <f>'Necesidades Trimestrales'!H161</f>
        <v>18803</v>
      </c>
      <c r="K163" s="53">
        <f>'Necesidades Trimestrales'!G161</f>
        <v>1</v>
      </c>
    </row>
    <row r="164" spans="1:11" ht="20.25" customHeight="1" thickBot="1" x14ac:dyDescent="0.25">
      <c r="A164" s="8">
        <v>153</v>
      </c>
      <c r="B164" s="49">
        <f>'Necesidades Trimestrales'!B162</f>
        <v>0</v>
      </c>
      <c r="C164" s="111" t="str">
        <f>'Necesidades Trimestrales'!E162</f>
        <v>REACTIVO ANTI CCP P/COBAS E411</v>
      </c>
      <c r="D164" s="111"/>
      <c r="E164" s="111"/>
      <c r="F164" s="111"/>
      <c r="G164" s="111"/>
      <c r="H164" s="50" t="s">
        <v>56</v>
      </c>
      <c r="I164" s="51" t="str">
        <f>'Necesidades Trimestrales'!F162</f>
        <v>CAJA</v>
      </c>
      <c r="J164" s="52">
        <f>'Necesidades Trimestrales'!H162</f>
        <v>82056</v>
      </c>
      <c r="K164" s="53">
        <f>'Necesidades Trimestrales'!G162</f>
        <v>1</v>
      </c>
    </row>
    <row r="165" spans="1:11" ht="20.25" customHeight="1" thickBot="1" x14ac:dyDescent="0.25">
      <c r="A165" s="8">
        <v>154</v>
      </c>
      <c r="B165" s="49">
        <f>'Necesidades Trimestrales'!B163</f>
        <v>0</v>
      </c>
      <c r="C165" s="111" t="str">
        <f>'Necesidades Trimestrales'!E163</f>
        <v>REACTIVO ANTI TIROGLOBULINA P COBAS E411</v>
      </c>
      <c r="D165" s="111"/>
      <c r="E165" s="111"/>
      <c r="F165" s="111"/>
      <c r="G165" s="111"/>
      <c r="H165" s="50" t="s">
        <v>56</v>
      </c>
      <c r="I165" s="51" t="str">
        <f>'Necesidades Trimestrales'!F163</f>
        <v>CAJA</v>
      </c>
      <c r="J165" s="52">
        <f>'Necesidades Trimestrales'!H163</f>
        <v>19396</v>
      </c>
      <c r="K165" s="53">
        <f>'Necesidades Trimestrales'!G163</f>
        <v>1</v>
      </c>
    </row>
    <row r="166" spans="1:11" ht="20.25" customHeight="1" thickBot="1" x14ac:dyDescent="0.25">
      <c r="A166" s="8">
        <v>155</v>
      </c>
      <c r="B166" s="49">
        <f>'Necesidades Trimestrales'!B164</f>
        <v>0</v>
      </c>
      <c r="C166" s="111" t="str">
        <f>'Necesidades Trimestrales'!E164</f>
        <v>REACTIVO ANTI TPO COBAS E-411 ROCHE X 100 DET</v>
      </c>
      <c r="D166" s="111"/>
      <c r="E166" s="111"/>
      <c r="F166" s="111"/>
      <c r="G166" s="111"/>
      <c r="H166" s="50" t="s">
        <v>56</v>
      </c>
      <c r="I166" s="51" t="str">
        <f>'Necesidades Trimestrales'!F164</f>
        <v>CAJA</v>
      </c>
      <c r="J166" s="52">
        <f>'Necesidades Trimestrales'!H164</f>
        <v>19396</v>
      </c>
      <c r="K166" s="53">
        <f>'Necesidades Trimestrales'!G164</f>
        <v>3</v>
      </c>
    </row>
    <row r="167" spans="1:11" ht="20.25" customHeight="1" thickBot="1" x14ac:dyDescent="0.25">
      <c r="A167" s="8">
        <v>156</v>
      </c>
      <c r="B167" s="49">
        <f>'Necesidades Trimestrales'!B165</f>
        <v>0</v>
      </c>
      <c r="C167" s="111" t="str">
        <f>'Necesidades Trimestrales'!E165</f>
        <v>REACTIVO ANTIGENO DE SUPERFICIE HBSAG P/ COBAS E411 x 100 DET</v>
      </c>
      <c r="D167" s="111"/>
      <c r="E167" s="111"/>
      <c r="F167" s="111"/>
      <c r="G167" s="111"/>
      <c r="H167" s="50" t="s">
        <v>56</v>
      </c>
      <c r="I167" s="51" t="str">
        <f>'Necesidades Trimestrales'!F165</f>
        <v>CASSETTE</v>
      </c>
      <c r="J167" s="52">
        <f>'Necesidades Trimestrales'!H165</f>
        <v>16669</v>
      </c>
      <c r="K167" s="53">
        <f>'Necesidades Trimestrales'!G165</f>
        <v>1</v>
      </c>
    </row>
    <row r="168" spans="1:11" ht="20.25" customHeight="1" thickBot="1" x14ac:dyDescent="0.25">
      <c r="A168" s="8">
        <v>157</v>
      </c>
      <c r="B168" s="49">
        <f>'Necesidades Trimestrales'!B166</f>
        <v>0</v>
      </c>
      <c r="C168" s="111" t="str">
        <f>'Necesidades Trimestrales'!E166</f>
        <v>REACTIVO B-CROSS LAP P SUERO P COBAS E 411</v>
      </c>
      <c r="D168" s="111"/>
      <c r="E168" s="111"/>
      <c r="F168" s="111"/>
      <c r="G168" s="111"/>
      <c r="H168" s="50" t="s">
        <v>56</v>
      </c>
      <c r="I168" s="51" t="str">
        <f>'Necesidades Trimestrales'!F166</f>
        <v>CAJA</v>
      </c>
      <c r="J168" s="52">
        <f>'Necesidades Trimestrales'!H166</f>
        <v>67723</v>
      </c>
      <c r="K168" s="53">
        <f>'Necesidades Trimestrales'!G166</f>
        <v>1</v>
      </c>
    </row>
    <row r="169" spans="1:11" ht="20.25" customHeight="1" thickBot="1" x14ac:dyDescent="0.25">
      <c r="A169" s="8">
        <v>158</v>
      </c>
      <c r="B169" s="49">
        <f>'Necesidades Trimestrales'!B167</f>
        <v>0</v>
      </c>
      <c r="C169" s="111" t="str">
        <f>'Necesidades Trimestrales'!E167</f>
        <v>REACTIVO CA 125 P COBAS E 411</v>
      </c>
      <c r="D169" s="111"/>
      <c r="E169" s="111"/>
      <c r="F169" s="111"/>
      <c r="G169" s="111"/>
      <c r="H169" s="50" t="s">
        <v>56</v>
      </c>
      <c r="I169" s="51" t="str">
        <f>'Necesidades Trimestrales'!F167</f>
        <v>CAJA</v>
      </c>
      <c r="J169" s="52">
        <f>'Necesidades Trimestrales'!H167</f>
        <v>29390</v>
      </c>
      <c r="K169" s="53">
        <f>'Necesidades Trimestrales'!G167</f>
        <v>1</v>
      </c>
    </row>
    <row r="170" spans="1:11" ht="20.25" customHeight="1" thickBot="1" x14ac:dyDescent="0.25">
      <c r="A170" s="8">
        <v>159</v>
      </c>
      <c r="B170" s="49">
        <f>'Necesidades Trimestrales'!B168</f>
        <v>0</v>
      </c>
      <c r="C170" s="111" t="str">
        <f>'Necesidades Trimestrales'!E168</f>
        <v>REACTIVO CA 15-3 P COBAS E 411</v>
      </c>
      <c r="D170" s="111"/>
      <c r="E170" s="111"/>
      <c r="F170" s="111"/>
      <c r="G170" s="111"/>
      <c r="H170" s="50" t="s">
        <v>56</v>
      </c>
      <c r="I170" s="51" t="str">
        <f>'Necesidades Trimestrales'!F168</f>
        <v>CAJA</v>
      </c>
      <c r="J170" s="52">
        <f>'Necesidades Trimestrales'!H168</f>
        <v>36449</v>
      </c>
      <c r="K170" s="53">
        <f>'Necesidades Trimestrales'!G168</f>
        <v>1</v>
      </c>
    </row>
    <row r="171" spans="1:11" ht="20.25" customHeight="1" thickBot="1" x14ac:dyDescent="0.25">
      <c r="A171" s="8">
        <v>160</v>
      </c>
      <c r="B171" s="49">
        <f>'Necesidades Trimestrales'!B169</f>
        <v>0</v>
      </c>
      <c r="C171" s="111" t="str">
        <f>'Necesidades Trimestrales'!E169</f>
        <v>REACTIVO CA 19-9 P COBAS E 411</v>
      </c>
      <c r="D171" s="111"/>
      <c r="E171" s="111"/>
      <c r="F171" s="111"/>
      <c r="G171" s="111"/>
      <c r="H171" s="50" t="s">
        <v>56</v>
      </c>
      <c r="I171" s="51" t="str">
        <f>'Necesidades Trimestrales'!F169</f>
        <v>CAJA</v>
      </c>
      <c r="J171" s="52">
        <f>'Necesidades Trimestrales'!H169</f>
        <v>34547</v>
      </c>
      <c r="K171" s="53">
        <f>'Necesidades Trimestrales'!G169</f>
        <v>2</v>
      </c>
    </row>
    <row r="172" spans="1:11" ht="20.25" customHeight="1" thickBot="1" x14ac:dyDescent="0.25">
      <c r="A172" s="8">
        <v>161</v>
      </c>
      <c r="B172" s="49">
        <f>'Necesidades Trimestrales'!B170</f>
        <v>0</v>
      </c>
      <c r="C172" s="111" t="str">
        <f>'Necesidades Trimestrales'!E170</f>
        <v>REACTIVO CORTISOL P COBAS E 411</v>
      </c>
      <c r="D172" s="111"/>
      <c r="E172" s="111"/>
      <c r="F172" s="111"/>
      <c r="G172" s="111"/>
      <c r="H172" s="50" t="s">
        <v>56</v>
      </c>
      <c r="I172" s="51" t="str">
        <f>'Necesidades Trimestrales'!F170</f>
        <v>CAJA</v>
      </c>
      <c r="J172" s="52">
        <f>'Necesidades Trimestrales'!H170</f>
        <v>14901</v>
      </c>
      <c r="K172" s="53">
        <f>'Necesidades Trimestrales'!G170</f>
        <v>1</v>
      </c>
    </row>
    <row r="173" spans="1:11" ht="20.25" customHeight="1" thickBot="1" x14ac:dyDescent="0.25">
      <c r="A173" s="8">
        <v>162</v>
      </c>
      <c r="B173" s="49">
        <f>'Necesidades Trimestrales'!B171</f>
        <v>0</v>
      </c>
      <c r="C173" s="111" t="str">
        <f>'Necesidades Trimestrales'!E171</f>
        <v>REACTIVO ESTRADIOL COBAS E-411 ROCHE  X 100 DET</v>
      </c>
      <c r="D173" s="111"/>
      <c r="E173" s="111"/>
      <c r="F173" s="111"/>
      <c r="G173" s="111"/>
      <c r="H173" s="50" t="s">
        <v>56</v>
      </c>
      <c r="I173" s="51" t="str">
        <f>'Necesidades Trimestrales'!F171</f>
        <v>CASSETTE</v>
      </c>
      <c r="J173" s="52">
        <f>'Necesidades Trimestrales'!H171</f>
        <v>17152</v>
      </c>
      <c r="K173" s="53">
        <f>'Necesidades Trimestrales'!G171</f>
        <v>1</v>
      </c>
    </row>
    <row r="174" spans="1:11" ht="20.25" customHeight="1" thickBot="1" x14ac:dyDescent="0.25">
      <c r="A174" s="8">
        <v>163</v>
      </c>
      <c r="B174" s="49">
        <f>'Necesidades Trimestrales'!B172</f>
        <v>0</v>
      </c>
      <c r="C174" s="111" t="str">
        <f>'Necesidades Trimestrales'!E172</f>
        <v>REACTIVO INSULINA COBAS E-411 ROCHE  X 100 DET</v>
      </c>
      <c r="D174" s="111"/>
      <c r="E174" s="111"/>
      <c r="F174" s="111"/>
      <c r="G174" s="111"/>
      <c r="H174" s="50" t="s">
        <v>56</v>
      </c>
      <c r="I174" s="51" t="str">
        <f>'Necesidades Trimestrales'!F172</f>
        <v>CASSETTE</v>
      </c>
      <c r="J174" s="52">
        <f>'Necesidades Trimestrales'!H172</f>
        <v>19918</v>
      </c>
      <c r="K174" s="53">
        <f>'Necesidades Trimestrales'!G172</f>
        <v>1</v>
      </c>
    </row>
    <row r="175" spans="1:11" ht="20.25" customHeight="1" thickBot="1" x14ac:dyDescent="0.25">
      <c r="A175" s="8">
        <v>164</v>
      </c>
      <c r="B175" s="49">
        <f>'Necesidades Trimestrales'!B173</f>
        <v>0</v>
      </c>
      <c r="C175" s="111" t="str">
        <f>'Necesidades Trimestrales'!E173</f>
        <v>REACTIVO LH COBAS E-411 ROCHE  X 100 DET</v>
      </c>
      <c r="D175" s="111"/>
      <c r="E175" s="111"/>
      <c r="F175" s="111"/>
      <c r="G175" s="111"/>
      <c r="H175" s="50" t="s">
        <v>56</v>
      </c>
      <c r="I175" s="51" t="str">
        <f>'Necesidades Trimestrales'!F173</f>
        <v>CASSETTE</v>
      </c>
      <c r="J175" s="52">
        <f>'Necesidades Trimestrales'!H173</f>
        <v>15456</v>
      </c>
      <c r="K175" s="53">
        <f>'Necesidades Trimestrales'!G173</f>
        <v>1</v>
      </c>
    </row>
    <row r="176" spans="1:11" ht="20.25" customHeight="1" thickBot="1" x14ac:dyDescent="0.25">
      <c r="A176" s="8">
        <v>165</v>
      </c>
      <c r="B176" s="49">
        <f>'Necesidades Trimestrales'!B174</f>
        <v>0</v>
      </c>
      <c r="C176" s="111" t="str">
        <f>'Necesidades Trimestrales'!E174</f>
        <v>REACTIVO PROGESTERONA COBAS E-411 ROCHE  X 100 DET</v>
      </c>
      <c r="D176" s="111"/>
      <c r="E176" s="111"/>
      <c r="F176" s="111"/>
      <c r="G176" s="111"/>
      <c r="H176" s="50" t="s">
        <v>56</v>
      </c>
      <c r="I176" s="51" t="str">
        <f>'Necesidades Trimestrales'!F174</f>
        <v>CASSETTE</v>
      </c>
      <c r="J176" s="52">
        <f>'Necesidades Trimestrales'!H174</f>
        <v>17152</v>
      </c>
      <c r="K176" s="53">
        <f>'Necesidades Trimestrales'!G174</f>
        <v>1</v>
      </c>
    </row>
    <row r="177" spans="1:11" ht="20.25" customHeight="1" thickBot="1" x14ac:dyDescent="0.25">
      <c r="A177" s="8">
        <v>166</v>
      </c>
      <c r="B177" s="49">
        <f>'Necesidades Trimestrales'!B175</f>
        <v>0</v>
      </c>
      <c r="C177" s="111" t="str">
        <f>'Necesidades Trimestrales'!E175</f>
        <v>REACTIVO PROLACTINA COBAS E-411 ROCHE X 100 DET</v>
      </c>
      <c r="D177" s="111"/>
      <c r="E177" s="111"/>
      <c r="F177" s="111"/>
      <c r="G177" s="111"/>
      <c r="H177" s="50" t="s">
        <v>56</v>
      </c>
      <c r="I177" s="51" t="str">
        <f>'Necesidades Trimestrales'!F175</f>
        <v>CASSETTE</v>
      </c>
      <c r="J177" s="52">
        <f>'Necesidades Trimestrales'!H175</f>
        <v>15456</v>
      </c>
      <c r="K177" s="53">
        <f>'Necesidades Trimestrales'!G175</f>
        <v>1</v>
      </c>
    </row>
    <row r="178" spans="1:11" ht="20.25" customHeight="1" thickBot="1" x14ac:dyDescent="0.25">
      <c r="A178" s="8">
        <v>167</v>
      </c>
      <c r="B178" s="49">
        <f>'Necesidades Trimestrales'!B176</f>
        <v>0</v>
      </c>
      <c r="C178" s="111" t="str">
        <f>'Necesidades Trimestrales'!E176</f>
        <v>REACTIVO PTH P COBAS E411</v>
      </c>
      <c r="D178" s="111"/>
      <c r="E178" s="111"/>
      <c r="F178" s="111"/>
      <c r="G178" s="111"/>
      <c r="H178" s="50" t="s">
        <v>56</v>
      </c>
      <c r="I178" s="51" t="str">
        <f>'Necesidades Trimestrales'!F176</f>
        <v>CASSETTE</v>
      </c>
      <c r="J178" s="52">
        <f>'Necesidades Trimestrales'!H176</f>
        <v>21425</v>
      </c>
      <c r="K178" s="53">
        <f>'Necesidades Trimestrales'!G176</f>
        <v>1</v>
      </c>
    </row>
    <row r="179" spans="1:11" ht="20.25" customHeight="1" thickBot="1" x14ac:dyDescent="0.25">
      <c r="A179" s="8">
        <v>168</v>
      </c>
      <c r="B179" s="49">
        <f>'Necesidades Trimestrales'!B177</f>
        <v>0</v>
      </c>
      <c r="C179" s="111" t="str">
        <f>'Necesidades Trimestrales'!E177</f>
        <v>REACTIVO S-HBG COBAS E-411 ROCHE  X 100 DET</v>
      </c>
      <c r="D179" s="111"/>
      <c r="E179" s="111"/>
      <c r="F179" s="111"/>
      <c r="G179" s="111"/>
      <c r="H179" s="50" t="s">
        <v>56</v>
      </c>
      <c r="I179" s="51" t="str">
        <f>'Necesidades Trimestrales'!F177</f>
        <v>CASSETTE</v>
      </c>
      <c r="J179" s="52">
        <f>'Necesidades Trimestrales'!H177</f>
        <v>26477</v>
      </c>
      <c r="K179" s="53">
        <f>'Necesidades Trimestrales'!G177</f>
        <v>1</v>
      </c>
    </row>
    <row r="180" spans="1:11" ht="20.25" customHeight="1" thickBot="1" x14ac:dyDescent="0.25">
      <c r="A180" s="8">
        <v>169</v>
      </c>
      <c r="B180" s="49">
        <f>'Necesidades Trimestrales'!B178</f>
        <v>0</v>
      </c>
      <c r="C180" s="111" t="str">
        <f>'Necesidades Trimestrales'!E178</f>
        <v>REACTIVO T3  TOTAL COBAS E-411 ROCHE  X 100 DET</v>
      </c>
      <c r="D180" s="111"/>
      <c r="E180" s="111"/>
      <c r="F180" s="111"/>
      <c r="G180" s="111"/>
      <c r="H180" s="50" t="s">
        <v>56</v>
      </c>
      <c r="I180" s="51" t="str">
        <f>'Necesidades Trimestrales'!F178</f>
        <v>CASSETTE</v>
      </c>
      <c r="J180" s="52">
        <f>'Necesidades Trimestrales'!H178</f>
        <v>21731</v>
      </c>
      <c r="K180" s="53">
        <f>'Necesidades Trimestrales'!G178</f>
        <v>1</v>
      </c>
    </row>
    <row r="181" spans="1:11" ht="20.25" customHeight="1" thickBot="1" x14ac:dyDescent="0.25">
      <c r="A181" s="8">
        <v>170</v>
      </c>
      <c r="B181" s="49">
        <f>'Necesidades Trimestrales'!B179</f>
        <v>0</v>
      </c>
      <c r="C181" s="111" t="str">
        <f>'Necesidades Trimestrales'!E179</f>
        <v>REACTIVO T4 LIBRE  (FT4)   COBAS E-411 ROCHE X 200 DET</v>
      </c>
      <c r="D181" s="111"/>
      <c r="E181" s="111"/>
      <c r="F181" s="111"/>
      <c r="G181" s="111"/>
      <c r="H181" s="50" t="s">
        <v>56</v>
      </c>
      <c r="I181" s="51" t="str">
        <f>'Necesidades Trimestrales'!F179</f>
        <v>CASSETTE</v>
      </c>
      <c r="J181" s="52">
        <f>'Necesidades Trimestrales'!H179</f>
        <v>21731</v>
      </c>
      <c r="K181" s="53">
        <f>'Necesidades Trimestrales'!G179</f>
        <v>3</v>
      </c>
    </row>
    <row r="182" spans="1:11" ht="20.25" customHeight="1" thickBot="1" x14ac:dyDescent="0.25">
      <c r="A182" s="8">
        <v>171</v>
      </c>
      <c r="B182" s="49">
        <f>'Necesidades Trimestrales'!B180</f>
        <v>0</v>
      </c>
      <c r="C182" s="111" t="str">
        <f>'Necesidades Trimestrales'!E180</f>
        <v>REACTIVO T4 TOTAL P COBAS E 411</v>
      </c>
      <c r="D182" s="111"/>
      <c r="E182" s="111"/>
      <c r="F182" s="111"/>
      <c r="G182" s="111"/>
      <c r="H182" s="50" t="s">
        <v>56</v>
      </c>
      <c r="I182" s="51" t="str">
        <f>'Necesidades Trimestrales'!F180</f>
        <v>CASSETTE</v>
      </c>
      <c r="J182" s="52">
        <f>'Necesidades Trimestrales'!H180</f>
        <v>21731</v>
      </c>
      <c r="K182" s="53">
        <f>'Necesidades Trimestrales'!G180</f>
        <v>1</v>
      </c>
    </row>
    <row r="183" spans="1:11" ht="20.25" customHeight="1" thickBot="1" x14ac:dyDescent="0.25">
      <c r="A183" s="8">
        <v>172</v>
      </c>
      <c r="B183" s="49">
        <f>'Necesidades Trimestrales'!B181</f>
        <v>0</v>
      </c>
      <c r="C183" s="111" t="str">
        <f>'Necesidades Trimestrales'!E181</f>
        <v>REACTIVO TESTOSTERONA P COBAS E411</v>
      </c>
      <c r="D183" s="111"/>
      <c r="E183" s="111"/>
      <c r="F183" s="111"/>
      <c r="G183" s="111"/>
      <c r="H183" s="50" t="s">
        <v>56</v>
      </c>
      <c r="I183" s="51" t="str">
        <f>'Necesidades Trimestrales'!F181</f>
        <v>CASSETTE</v>
      </c>
      <c r="J183" s="52">
        <f>'Necesidades Trimestrales'!H181</f>
        <v>17152</v>
      </c>
      <c r="K183" s="53">
        <f>'Necesidades Trimestrales'!G181</f>
        <v>1</v>
      </c>
    </row>
    <row r="184" spans="1:11" ht="20.25" customHeight="1" thickBot="1" x14ac:dyDescent="0.25">
      <c r="A184" s="8">
        <v>173</v>
      </c>
      <c r="B184" s="49">
        <f>'Necesidades Trimestrales'!B182</f>
        <v>0</v>
      </c>
      <c r="C184" s="111" t="str">
        <f>'Necesidades Trimestrales'!E182</f>
        <v>REACTIVO VITAMINA D TOTAL P COBAS E411</v>
      </c>
      <c r="D184" s="111"/>
      <c r="E184" s="111"/>
      <c r="F184" s="111"/>
      <c r="G184" s="111"/>
      <c r="H184" s="50" t="s">
        <v>56</v>
      </c>
      <c r="I184" s="51" t="str">
        <f>'Necesidades Trimestrales'!F182</f>
        <v>CAJA</v>
      </c>
      <c r="J184" s="52">
        <f>'Necesidades Trimestrales'!H182</f>
        <v>77446</v>
      </c>
      <c r="K184" s="53">
        <f>'Necesidades Trimestrales'!G182</f>
        <v>1</v>
      </c>
    </row>
    <row r="185" spans="1:11" ht="20.25" customHeight="1" thickBot="1" x14ac:dyDescent="0.25">
      <c r="A185" s="8">
        <v>174</v>
      </c>
      <c r="B185" s="49">
        <f>'Necesidades Trimestrales'!B183</f>
        <v>0</v>
      </c>
      <c r="C185" s="111" t="str">
        <f>'Necesidades Trimestrales'!E183</f>
        <v>S2 FLUID PACK P/COBAS 221</v>
      </c>
      <c r="D185" s="111"/>
      <c r="E185" s="111"/>
      <c r="F185" s="111"/>
      <c r="G185" s="111"/>
      <c r="H185" s="50" t="s">
        <v>56</v>
      </c>
      <c r="I185" s="51" t="str">
        <f>'Necesidades Trimestrales'!F183</f>
        <v>CAJA</v>
      </c>
      <c r="J185" s="52">
        <f>'Necesidades Trimestrales'!H183</f>
        <v>38587</v>
      </c>
      <c r="K185" s="53">
        <f>'Necesidades Trimestrales'!G183</f>
        <v>2</v>
      </c>
    </row>
    <row r="186" spans="1:11" ht="20.25" customHeight="1" thickBot="1" x14ac:dyDescent="0.25">
      <c r="A186" s="8">
        <v>175</v>
      </c>
      <c r="B186" s="49">
        <f>'Necesidades Trimestrales'!B184</f>
        <v>0</v>
      </c>
      <c r="C186" s="111" t="str">
        <f>'Necesidades Trimestrales'!E184</f>
        <v>S3 FLUID PACK P/COBAS 221</v>
      </c>
      <c r="D186" s="111"/>
      <c r="E186" s="111"/>
      <c r="F186" s="111"/>
      <c r="G186" s="111"/>
      <c r="H186" s="50" t="s">
        <v>56</v>
      </c>
      <c r="I186" s="51" t="str">
        <f>'Necesidades Trimestrales'!F184</f>
        <v>CAJA</v>
      </c>
      <c r="J186" s="52">
        <f>'Necesidades Trimestrales'!H184</f>
        <v>51200</v>
      </c>
      <c r="K186" s="53">
        <f>'Necesidades Trimestrales'!G184</f>
        <v>4</v>
      </c>
    </row>
    <row r="187" spans="1:11" ht="20.25" customHeight="1" thickBot="1" x14ac:dyDescent="0.25">
      <c r="A187" s="8">
        <v>176</v>
      </c>
      <c r="B187" s="49">
        <f>'Necesidades Trimestrales'!B185</f>
        <v>0</v>
      </c>
      <c r="C187" s="111" t="str">
        <f>'Necesidades Trimestrales'!E185</f>
        <v>SMS CASSETTE P/COBAS C311</v>
      </c>
      <c r="D187" s="111"/>
      <c r="E187" s="111"/>
      <c r="F187" s="111"/>
      <c r="G187" s="111"/>
      <c r="H187" s="50" t="s">
        <v>56</v>
      </c>
      <c r="I187" s="51" t="str">
        <f>'Necesidades Trimestrales'!F185</f>
        <v>CASSETTE</v>
      </c>
      <c r="J187" s="52">
        <f>'Necesidades Trimestrales'!H185</f>
        <v>923</v>
      </c>
      <c r="K187" s="53">
        <f>'Necesidades Trimestrales'!G185</f>
        <v>7</v>
      </c>
    </row>
    <row r="188" spans="1:11" ht="20.25" customHeight="1" thickBot="1" x14ac:dyDescent="0.25">
      <c r="A188" s="8">
        <v>177</v>
      </c>
      <c r="B188" s="49">
        <f>'Necesidades Trimestrales'!B186</f>
        <v>0</v>
      </c>
      <c r="C188" s="111" t="str">
        <f>'Necesidades Trimestrales'!E186</f>
        <v>SULFOLYSER X 5 LTS - TIPO SYSMEX XNL</v>
      </c>
      <c r="D188" s="111"/>
      <c r="E188" s="111"/>
      <c r="F188" s="111"/>
      <c r="G188" s="111"/>
      <c r="H188" s="50" t="s">
        <v>56</v>
      </c>
      <c r="I188" s="51" t="str">
        <f>'Necesidades Trimestrales'!F186</f>
        <v>BIDON</v>
      </c>
      <c r="J188" s="52">
        <f>'Necesidades Trimestrales'!H186</f>
        <v>52148</v>
      </c>
      <c r="K188" s="53">
        <f>'Necesidades Trimestrales'!G186</f>
        <v>2</v>
      </c>
    </row>
    <row r="189" spans="1:11" ht="20.25" customHeight="1" thickBot="1" x14ac:dyDescent="0.25">
      <c r="A189" s="8">
        <v>178</v>
      </c>
      <c r="B189" s="49">
        <f>'Necesidades Trimestrales'!B187</f>
        <v>0</v>
      </c>
      <c r="C189" s="111" t="str">
        <f>'Necesidades Trimestrales'!E187</f>
        <v>SYSWASH PARA COBAS E411</v>
      </c>
      <c r="D189" s="111"/>
      <c r="E189" s="111"/>
      <c r="F189" s="111"/>
      <c r="G189" s="111"/>
      <c r="H189" s="50" t="s">
        <v>56</v>
      </c>
      <c r="I189" s="51" t="str">
        <f>'Necesidades Trimestrales'!F187</f>
        <v>CAJA</v>
      </c>
      <c r="J189" s="52">
        <f>'Necesidades Trimestrales'!H187</f>
        <v>5640</v>
      </c>
      <c r="K189" s="53">
        <f>'Necesidades Trimestrales'!G187</f>
        <v>7</v>
      </c>
    </row>
    <row r="190" spans="1:11" ht="20.25" customHeight="1" thickBot="1" x14ac:dyDescent="0.25">
      <c r="A190" s="8">
        <v>179</v>
      </c>
      <c r="B190" s="49">
        <f>'Necesidades Trimestrales'!B188</f>
        <v>0</v>
      </c>
      <c r="C190" s="111" t="str">
        <f>'Necesidades Trimestrales'!E188</f>
        <v xml:space="preserve">TARJETA GELL LISS COOMBS CAJA X 48 UNIDADES </v>
      </c>
      <c r="D190" s="111"/>
      <c r="E190" s="111"/>
      <c r="F190" s="111"/>
      <c r="G190" s="111"/>
      <c r="H190" s="50" t="s">
        <v>56</v>
      </c>
      <c r="I190" s="51" t="str">
        <f>'Necesidades Trimestrales'!F188</f>
        <v>CAJA</v>
      </c>
      <c r="J190" s="52">
        <f>'Necesidades Trimestrales'!H188</f>
        <v>16800</v>
      </c>
      <c r="K190" s="53">
        <f>'Necesidades Trimestrales'!G188</f>
        <v>9</v>
      </c>
    </row>
    <row r="191" spans="1:11" ht="20.25" customHeight="1" thickBot="1" x14ac:dyDescent="0.25">
      <c r="A191" s="8">
        <v>180</v>
      </c>
      <c r="B191" s="49">
        <f>'Necesidades Trimestrales'!B194</f>
        <v>0</v>
      </c>
      <c r="C191" s="111" t="str">
        <f>'Necesidades Trimestrales'!E189</f>
        <v>TIOGLICOLATO MEDIO C/INDICADOR, ESTADO: SOLIDO, PRESENTACION: ENVASE X 500 GR</v>
      </c>
      <c r="D191" s="111"/>
      <c r="E191" s="111"/>
      <c r="F191" s="111"/>
      <c r="G191" s="111"/>
      <c r="H191" s="50" t="s">
        <v>56</v>
      </c>
      <c r="I191" s="51" t="str">
        <f>'Necesidades Trimestrales'!F189</f>
        <v>FRASCO</v>
      </c>
      <c r="J191" s="52">
        <f>'Necesidades Trimestrales'!H189</f>
        <v>8829</v>
      </c>
      <c r="K191" s="53">
        <f>'Necesidades Trimestrales'!G189</f>
        <v>1</v>
      </c>
    </row>
    <row r="192" spans="1:11" ht="20.25" customHeight="1" thickBot="1" x14ac:dyDescent="0.25">
      <c r="A192" s="8">
        <v>181</v>
      </c>
      <c r="B192" s="49">
        <f>'Necesidades Trimestrales'!B195</f>
        <v>0</v>
      </c>
      <c r="C192" s="111" t="str">
        <f>'Necesidades Trimestrales'!E190</f>
        <v>TOXO HAI X 96 DET. TIPO POLYCHACO</v>
      </c>
      <c r="D192" s="111"/>
      <c r="E192" s="111"/>
      <c r="F192" s="111"/>
      <c r="G192" s="111"/>
      <c r="H192" s="50" t="s">
        <v>56</v>
      </c>
      <c r="I192" s="51" t="str">
        <f>'Necesidades Trimestrales'!F190</f>
        <v>CAJA</v>
      </c>
      <c r="J192" s="52">
        <f>'Necesidades Trimestrales'!H190</f>
        <v>16645</v>
      </c>
      <c r="K192" s="53">
        <f>'Necesidades Trimestrales'!G190</f>
        <v>1</v>
      </c>
    </row>
    <row r="193" spans="1:1024" ht="20.25" customHeight="1" thickBot="1" x14ac:dyDescent="0.25">
      <c r="A193" s="8">
        <v>182</v>
      </c>
      <c r="B193" s="49">
        <f>'Necesidades Trimestrales'!B196</f>
        <v>0</v>
      </c>
      <c r="C193" s="111" t="str">
        <f>'Necesidades Trimestrales'!E191</f>
        <v>TRANSFERRINA P/ COBAS C311</v>
      </c>
      <c r="D193" s="111"/>
      <c r="E193" s="111"/>
      <c r="F193" s="111"/>
      <c r="G193" s="111"/>
      <c r="H193" s="50" t="s">
        <v>56</v>
      </c>
      <c r="I193" s="51" t="str">
        <f>'Necesidades Trimestrales'!F191</f>
        <v>CASSETTE</v>
      </c>
      <c r="J193" s="52">
        <f>'Necesidades Trimestrales'!H191</f>
        <v>8229</v>
      </c>
      <c r="K193" s="53">
        <f>'Necesidades Trimestrales'!G191</f>
        <v>5</v>
      </c>
    </row>
    <row r="194" spans="1:1024" ht="20.25" customHeight="1" thickBot="1" x14ac:dyDescent="0.25">
      <c r="A194" s="8">
        <v>183</v>
      </c>
      <c r="B194" s="49">
        <f>'Necesidades Trimestrales'!B197</f>
        <v>0</v>
      </c>
      <c r="C194" s="111" t="str">
        <f>'Necesidades Trimestrales'!E192</f>
        <v xml:space="preserve">TRIGLICERIDOS COBAS C-311 ROCHE  X 250 DET </v>
      </c>
      <c r="D194" s="111"/>
      <c r="E194" s="111"/>
      <c r="F194" s="111"/>
      <c r="G194" s="111"/>
      <c r="H194" s="50" t="s">
        <v>56</v>
      </c>
      <c r="I194" s="51" t="str">
        <f>'Necesidades Trimestrales'!F192</f>
        <v>CASSETTE</v>
      </c>
      <c r="J194" s="52">
        <f>'Necesidades Trimestrales'!H192</f>
        <v>3095</v>
      </c>
      <c r="K194" s="53">
        <f>'Necesidades Trimestrales'!G192</f>
        <v>8</v>
      </c>
    </row>
    <row r="195" spans="1:1024" ht="20.25" customHeight="1" thickBot="1" x14ac:dyDescent="0.25">
      <c r="A195" s="8">
        <v>184</v>
      </c>
      <c r="B195" s="49">
        <v>0</v>
      </c>
      <c r="C195" s="111" t="str">
        <f>'Necesidades Trimestrales'!E193</f>
        <v>TSH P/COBAS E411</v>
      </c>
      <c r="D195" s="111"/>
      <c r="E195" s="111"/>
      <c r="F195" s="111"/>
      <c r="G195" s="111"/>
      <c r="H195" s="50" t="s">
        <v>56</v>
      </c>
      <c r="I195" s="51" t="str">
        <f>'Necesidades Trimestrales'!F193</f>
        <v>CAJA</v>
      </c>
      <c r="J195" s="52">
        <f>'Necesidades Trimestrales'!H193</f>
        <v>20717</v>
      </c>
      <c r="K195" s="53">
        <f>'Necesidades Trimestrales'!G193</f>
        <v>4</v>
      </c>
    </row>
    <row r="196" spans="1:1024" ht="20.25" customHeight="1" thickBot="1" x14ac:dyDescent="0.25">
      <c r="A196" s="8">
        <v>185</v>
      </c>
      <c r="B196" s="49">
        <f>'Necesidades Trimestrales'!B194</f>
        <v>0</v>
      </c>
      <c r="C196" s="111" t="str">
        <f>'Necesidades Trimestrales'!E194</f>
        <v>UREA  COBAS C-311 ROCHE X 500 DET</v>
      </c>
      <c r="D196" s="111"/>
      <c r="E196" s="111"/>
      <c r="F196" s="111"/>
      <c r="G196" s="111"/>
      <c r="H196" s="50" t="s">
        <v>56</v>
      </c>
      <c r="I196" s="51" t="str">
        <f>'Necesidades Trimestrales'!F194</f>
        <v>CASSETTE</v>
      </c>
      <c r="J196" s="52">
        <f>'Necesidades Trimestrales'!H194</f>
        <v>5249</v>
      </c>
      <c r="K196" s="53">
        <f>'Necesidades Trimestrales'!G194</f>
        <v>12</v>
      </c>
    </row>
    <row r="197" spans="1:1024" ht="20.25" customHeight="1" thickBot="1" x14ac:dyDescent="0.25">
      <c r="A197" s="8">
        <v>186</v>
      </c>
      <c r="B197" s="49">
        <f>'Necesidades Trimestrales'!B195</f>
        <v>0</v>
      </c>
      <c r="C197" s="111" t="str">
        <f>'Necesidades Trimestrales'!E195</f>
        <v>VIOLETA DE GENCIANA, ESTADO: SOLIDO, CALIDAD: PRO ANALISIS, PRESENTACION: ENVASE X 25 GR</v>
      </c>
      <c r="D197" s="111"/>
      <c r="E197" s="111"/>
      <c r="F197" s="111"/>
      <c r="G197" s="111"/>
      <c r="H197" s="50" t="s">
        <v>56</v>
      </c>
      <c r="I197" s="51" t="str">
        <f>'Necesidades Trimestrales'!F195</f>
        <v>FRASCO</v>
      </c>
      <c r="J197" s="52">
        <f>'Necesidades Trimestrales'!H195</f>
        <v>3515</v>
      </c>
      <c r="K197" s="53">
        <f>'Necesidades Trimestrales'!G195</f>
        <v>3</v>
      </c>
    </row>
    <row r="198" spans="1:1024" ht="23.45" customHeight="1" thickBot="1" x14ac:dyDescent="0.25">
      <c r="A198" s="112" t="s">
        <v>265</v>
      </c>
      <c r="B198" s="112"/>
      <c r="C198" s="112"/>
      <c r="D198" s="112"/>
      <c r="E198" s="112"/>
      <c r="F198" s="112"/>
      <c r="G198" s="112"/>
      <c r="H198" s="112"/>
      <c r="I198" s="112"/>
      <c r="J198" s="113">
        <f>SUMPRODUCT(J12:J197,K12:K197)</f>
        <v>6727590</v>
      </c>
      <c r="K198" s="113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</row>
  </sheetData>
  <mergeCells count="20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98:I198"/>
    <mergeCell ref="J198:K198"/>
    <mergeCell ref="C187:G187"/>
    <mergeCell ref="C188:G188"/>
    <mergeCell ref="C189:G189"/>
    <mergeCell ref="C190:G190"/>
    <mergeCell ref="C196:G196"/>
    <mergeCell ref="C197:G197"/>
    <mergeCell ref="C128:G128"/>
    <mergeCell ref="C129:G129"/>
    <mergeCell ref="C130:G130"/>
    <mergeCell ref="C131:G131"/>
    <mergeCell ref="C132:G132"/>
    <mergeCell ref="C141:G141"/>
    <mergeCell ref="C145:G145"/>
    <mergeCell ref="C146:G146"/>
    <mergeCell ref="C147:G147"/>
    <mergeCell ref="C148:G148"/>
    <mergeCell ref="C149:G149"/>
    <mergeCell ref="C142:G142"/>
    <mergeCell ref="C143:G143"/>
    <mergeCell ref="C144:G144"/>
    <mergeCell ref="C155:G155"/>
    <mergeCell ref="C150:G150"/>
    <mergeCell ref="C151:G151"/>
    <mergeCell ref="C152:G152"/>
    <mergeCell ref="C153:G153"/>
    <mergeCell ref="C154:G154"/>
    <mergeCell ref="C123:G123"/>
    <mergeCell ref="C124:G124"/>
    <mergeCell ref="C125:G125"/>
    <mergeCell ref="C126:G126"/>
    <mergeCell ref="C127:G127"/>
    <mergeCell ref="C138:G138"/>
    <mergeCell ref="C139:G139"/>
    <mergeCell ref="C140:G140"/>
    <mergeCell ref="C133:G133"/>
    <mergeCell ref="C134:G134"/>
    <mergeCell ref="C135:G135"/>
    <mergeCell ref="C136:G136"/>
    <mergeCell ref="C137:G137"/>
    <mergeCell ref="C160:G160"/>
    <mergeCell ref="C161:G161"/>
    <mergeCell ref="C162:G162"/>
    <mergeCell ref="C163:G163"/>
    <mergeCell ref="C164:G164"/>
    <mergeCell ref="C156:G156"/>
    <mergeCell ref="C157:G157"/>
    <mergeCell ref="C158:G158"/>
    <mergeCell ref="C159:G159"/>
    <mergeCell ref="C171:G171"/>
    <mergeCell ref="C172:G172"/>
    <mergeCell ref="C173:G173"/>
    <mergeCell ref="C174:G174"/>
    <mergeCell ref="C165:G165"/>
    <mergeCell ref="C166:G166"/>
    <mergeCell ref="C167:G167"/>
    <mergeCell ref="C168:G168"/>
    <mergeCell ref="C169:G169"/>
    <mergeCell ref="C182:G18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175:G175"/>
    <mergeCell ref="C176:G176"/>
    <mergeCell ref="C177:G177"/>
    <mergeCell ref="C178:G178"/>
    <mergeCell ref="C179:G179"/>
    <mergeCell ref="C170:G170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91:G191"/>
    <mergeCell ref="C192:G192"/>
    <mergeCell ref="C193:G193"/>
    <mergeCell ref="C194:G194"/>
    <mergeCell ref="C195:G195"/>
    <mergeCell ref="C110:G110"/>
    <mergeCell ref="C119:G119"/>
    <mergeCell ref="C120:G120"/>
    <mergeCell ref="C121:G121"/>
    <mergeCell ref="C122:G122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85:G185"/>
    <mergeCell ref="C186:G186"/>
    <mergeCell ref="C183:G183"/>
    <mergeCell ref="C184:G184"/>
    <mergeCell ref="C180:G180"/>
    <mergeCell ref="C181:G181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13" zoomScale="130" zoomScaleNormal="130" workbookViewId="0">
      <selection activeCell="S26" sqref="S2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57" t="s">
        <v>3</v>
      </c>
      <c r="B1" s="157"/>
      <c r="C1" s="157"/>
      <c r="D1" s="158">
        <f>'Necesidades Trimestrales'!C6</f>
        <v>2021</v>
      </c>
      <c r="E1" s="158"/>
      <c r="F1" s="10"/>
      <c r="G1" s="10"/>
      <c r="H1" s="11"/>
      <c r="I1" s="11"/>
      <c r="J1" s="11"/>
      <c r="K1" s="11"/>
      <c r="L1" s="11"/>
      <c r="M1" s="11"/>
      <c r="N1" s="11"/>
      <c r="P1" s="159" t="s">
        <v>30</v>
      </c>
      <c r="Q1" s="15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59"/>
      <c r="Q2" s="159"/>
    </row>
    <row r="4" spans="1:17" s="12" customFormat="1" ht="18" customHeight="1" thickBot="1" x14ac:dyDescent="0.25">
      <c r="A4" s="160" t="s">
        <v>31</v>
      </c>
      <c r="B4" s="160"/>
      <c r="C4" s="160"/>
      <c r="D4" s="160"/>
      <c r="E4" s="160"/>
      <c r="F4" s="160"/>
      <c r="G4" s="155" t="str">
        <f>NotaPedido!D3</f>
        <v>40 - Ministerio de Salud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s="12" customFormat="1" ht="18" customHeight="1" thickBot="1" x14ac:dyDescent="0.25">
      <c r="A5" s="152" t="s">
        <v>54</v>
      </c>
      <c r="B5" s="153"/>
      <c r="C5" s="153"/>
      <c r="D5" s="153"/>
      <c r="E5" s="153"/>
      <c r="F5" s="154"/>
      <c r="G5" s="155" t="str">
        <f>NotaPedido!D4</f>
        <v>23 - Hospital Interzonal San Juan Bautista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s="12" customFormat="1" ht="18" customHeight="1" thickBot="1" x14ac:dyDescent="0.25">
      <c r="A6" s="152" t="s">
        <v>32</v>
      </c>
      <c r="B6" s="153"/>
      <c r="C6" s="153"/>
      <c r="D6" s="153"/>
      <c r="E6" s="153"/>
      <c r="F6" s="154"/>
      <c r="G6" s="155" t="str">
        <f>NotaPedido!D5</f>
        <v>168 - Direccion Asistencial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s="12" customFormat="1" ht="18" customHeight="1" thickBot="1" x14ac:dyDescent="0.25">
      <c r="A7" s="152" t="s">
        <v>55</v>
      </c>
      <c r="B7" s="153"/>
      <c r="C7" s="153"/>
      <c r="D7" s="153"/>
      <c r="E7" s="153"/>
      <c r="F7" s="154"/>
      <c r="G7" s="155" t="str">
        <f>NotaPedido!D6</f>
        <v>Servicio de Laboratorio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</row>
    <row r="8" spans="1:17" ht="18" customHeight="1" thickBot="1" x14ac:dyDescent="0.25">
      <c r="A8" s="156" t="s">
        <v>33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2">
      <c r="A9" s="142" t="s">
        <v>34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"/>
      <c r="P9" s="1"/>
      <c r="Q9" s="13"/>
    </row>
    <row r="10" spans="1:17" ht="54.75" customHeight="1" x14ac:dyDescent="0.2">
      <c r="A10" s="14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034 - 2021,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thickBot="1" x14ac:dyDescent="0.25">
      <c r="A12" s="144" t="s">
        <v>35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thickBot="1" x14ac:dyDescent="0.25">
      <c r="A13" s="144" t="s">
        <v>36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5"/>
      <c r="O13" s="146" t="s">
        <v>37</v>
      </c>
      <c r="P13" s="147"/>
      <c r="Q13" s="150" t="s">
        <v>38</v>
      </c>
    </row>
    <row r="14" spans="1:17" ht="15.75" customHeight="1" thickBot="1" x14ac:dyDescent="0.25">
      <c r="A14" s="94" t="s">
        <v>39</v>
      </c>
      <c r="B14" s="95" t="s">
        <v>40</v>
      </c>
      <c r="C14" s="95" t="s">
        <v>41</v>
      </c>
      <c r="D14" s="95" t="s">
        <v>42</v>
      </c>
      <c r="E14" s="95" t="s">
        <v>43</v>
      </c>
      <c r="F14" s="95" t="s">
        <v>44</v>
      </c>
      <c r="G14" s="96" t="s">
        <v>45</v>
      </c>
      <c r="H14" s="95" t="s">
        <v>46</v>
      </c>
      <c r="I14" s="95" t="s">
        <v>47</v>
      </c>
      <c r="J14" s="95" t="s">
        <v>48</v>
      </c>
      <c r="K14" s="95" t="s">
        <v>48</v>
      </c>
      <c r="L14" s="95" t="s">
        <v>49</v>
      </c>
      <c r="M14" s="97" t="s">
        <v>50</v>
      </c>
      <c r="N14" s="98" t="s">
        <v>51</v>
      </c>
      <c r="O14" s="148"/>
      <c r="P14" s="149"/>
      <c r="Q14" s="151"/>
    </row>
    <row r="15" spans="1:17" ht="17.25" customHeight="1" x14ac:dyDescent="0.2">
      <c r="A15" s="88">
        <v>33</v>
      </c>
      <c r="B15" s="89"/>
      <c r="C15" s="89"/>
      <c r="D15" s="89">
        <v>2</v>
      </c>
      <c r="E15" s="89"/>
      <c r="F15" s="89">
        <v>4901</v>
      </c>
      <c r="G15" s="89">
        <v>3</v>
      </c>
      <c r="H15" s="90">
        <v>1</v>
      </c>
      <c r="I15" s="91">
        <v>2</v>
      </c>
      <c r="J15" s="91">
        <v>5</v>
      </c>
      <c r="K15" s="91">
        <v>1</v>
      </c>
      <c r="L15" s="89"/>
      <c r="M15" s="92">
        <v>1</v>
      </c>
      <c r="N15" s="93" t="s">
        <v>62</v>
      </c>
      <c r="O15" s="137" t="s">
        <v>60</v>
      </c>
      <c r="P15" s="138"/>
      <c r="Q15" s="80">
        <f>NotaPedido!J198-218428</f>
        <v>6509162</v>
      </c>
    </row>
    <row r="16" spans="1:17" ht="17.25" customHeight="1" x14ac:dyDescent="0.2">
      <c r="A16" s="18">
        <v>33</v>
      </c>
      <c r="B16" s="19"/>
      <c r="C16" s="19"/>
      <c r="D16" s="19">
        <v>2</v>
      </c>
      <c r="E16" s="19"/>
      <c r="F16" s="19">
        <v>4901</v>
      </c>
      <c r="G16" s="19">
        <v>3</v>
      </c>
      <c r="H16" s="54">
        <v>1</v>
      </c>
      <c r="I16" s="19">
        <v>2</v>
      </c>
      <c r="J16" s="19">
        <v>9</v>
      </c>
      <c r="K16" s="19">
        <v>6</v>
      </c>
      <c r="L16" s="19"/>
      <c r="M16" s="20">
        <v>1</v>
      </c>
      <c r="N16" s="85" t="s">
        <v>62</v>
      </c>
      <c r="O16" s="139" t="s">
        <v>161</v>
      </c>
      <c r="P16" s="140"/>
      <c r="Q16" s="81">
        <v>218428</v>
      </c>
    </row>
    <row r="17" spans="1:19" ht="17.25" customHeight="1" x14ac:dyDescent="0.2">
      <c r="A17" s="18"/>
      <c r="B17" s="19"/>
      <c r="C17" s="19"/>
      <c r="D17" s="19"/>
      <c r="E17" s="19"/>
      <c r="F17" s="21"/>
      <c r="G17" s="19"/>
      <c r="H17" s="54"/>
      <c r="I17" s="19"/>
      <c r="J17" s="19"/>
      <c r="K17" s="19"/>
      <c r="L17" s="19"/>
      <c r="M17" s="20"/>
      <c r="N17" s="85"/>
      <c r="O17" s="139"/>
      <c r="P17" s="140"/>
      <c r="Q17" s="82"/>
      <c r="S17" s="55"/>
    </row>
    <row r="18" spans="1:19" ht="17.25" customHeight="1" x14ac:dyDescent="0.2">
      <c r="A18" s="18"/>
      <c r="B18" s="19"/>
      <c r="C18" s="19"/>
      <c r="D18" s="19"/>
      <c r="E18" s="19"/>
      <c r="F18" s="19"/>
      <c r="G18" s="19"/>
      <c r="H18" s="54"/>
      <c r="I18" s="19"/>
      <c r="J18" s="19"/>
      <c r="K18" s="19"/>
      <c r="L18" s="19"/>
      <c r="M18" s="20"/>
      <c r="N18" s="85"/>
      <c r="O18" s="141"/>
      <c r="P18" s="128"/>
      <c r="Q18" s="82"/>
    </row>
    <row r="19" spans="1:19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86"/>
      <c r="O19" s="127"/>
      <c r="P19" s="128"/>
      <c r="Q19" s="82"/>
    </row>
    <row r="20" spans="1:19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86"/>
      <c r="O20" s="127"/>
      <c r="P20" s="128"/>
      <c r="Q20" s="82"/>
    </row>
    <row r="21" spans="1:19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87"/>
      <c r="O21" s="129"/>
      <c r="P21" s="130"/>
      <c r="Q21" s="82"/>
      <c r="R21" s="1"/>
    </row>
    <row r="22" spans="1:19" ht="17.25" customHeight="1" x14ac:dyDescent="0.2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8"/>
      <c r="O22" s="131"/>
      <c r="P22" s="132"/>
      <c r="Q22" s="83"/>
    </row>
    <row r="23" spans="1:19" ht="32.1" customHeight="1" thickBot="1" x14ac:dyDescent="0.25">
      <c r="A23" s="133" t="s">
        <v>266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4"/>
      <c r="Q23" s="84">
        <f>SUM(Q15:Q22)</f>
        <v>6727590</v>
      </c>
    </row>
    <row r="24" spans="1:19" ht="18" customHeight="1" thickBot="1" x14ac:dyDescent="0.25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6"/>
    </row>
    <row r="25" spans="1:19" ht="17.25" customHeight="1" thickBot="1" x14ac:dyDescent="0.25">
      <c r="A25" s="122" t="s">
        <v>52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9" ht="18" customHeight="1" thickBot="1" x14ac:dyDescent="0.25">
      <c r="A26" s="126" t="str">
        <f>"Para la "&amp; NotaPedido!D8 &amp;" para ser destinados al " &amp; NotaPedido!D6 &amp;"  del HISJB del Ministerio de Salud."</f>
        <v>Para la Adquisición de Reactivos para Laboratorio  para ser destinados al Servicio de Laboratorio  del HISJB del Ministerio de Salud.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9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11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2021-08-12T13:44:24Z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