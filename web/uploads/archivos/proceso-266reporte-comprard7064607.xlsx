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E:\MHPnuevo\COMPR.AR\CONTRATACIONES DIRECTA\ALIMENTOS NO PERECEDEROS HSJB\"/>
    </mc:Choice>
  </mc:AlternateContent>
  <xr:revisionPtr revIDLastSave="0" documentId="13_ncr:1_{DC2D3348-18F5-4107-8FC1-F347770493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4" i="2" l="1"/>
  <c r="M74" i="2"/>
  <c r="Q74" i="2"/>
</calcChain>
</file>

<file path=xl/sharedStrings.xml><?xml version="1.0" encoding="utf-8"?>
<sst xmlns="http://schemas.openxmlformats.org/spreadsheetml/2006/main" count="449" uniqueCount="313">
  <si>
    <t>Número expediente:</t>
  </si>
  <si>
    <t>EX-2022-02175641-   -CAT-DPCBS#MEC</t>
  </si>
  <si>
    <t>Número proceso de compra:</t>
  </si>
  <si>
    <t>100-0212-CDI22</t>
  </si>
  <si>
    <t>Nombre descriptivo proceso de compra:</t>
  </si>
  <si>
    <t>ADQUISICION DE ALIMENTOS NO PERECEDEROS PARA SER DESTINADOS AL SERVICIO DE NUTRICION DEL HSJB</t>
  </si>
  <si>
    <t>Unidad Operativa de Compras:</t>
  </si>
  <si>
    <t>Secretaria de Compras y Abastecimiento</t>
  </si>
  <si>
    <t>Fecha de Apertura:</t>
  </si>
  <si>
    <t>14/11/2022</t>
  </si>
  <si>
    <t>Renglón</t>
  </si>
  <si>
    <t>LUJAIKO SRL</t>
  </si>
  <si>
    <t>LOS SAUCES SRL</t>
  </si>
  <si>
    <t>GRUPO PROHMAX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</si>
  <si>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</si>
  <si>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</si>
  <si>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</si>
  <si>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</si>
  <si>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</si>
  <si>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</si>
  <si>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</si>
  <si>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</si>
  <si>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</si>
  <si>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</si>
  <si>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2.1.1-439.60 </t>
  </si>
  <si>
    <t xml:space="preserve">ACEITES COMESTIBLES; TIPO: MEZCLA, PRESENTACION: ENVASE X 900 CM3, MATERIAL 
ENVASE: PLASTICO 1 (PET), ELEM. TRANSPORTE: SIN, MATERIAL ELEM. TRANSPORTE 
: SIN, LIBRE DE GLUTEN: SI </t>
  </si>
  <si>
    <t xml:space="preserve">UNIDAD </t>
  </si>
  <si>
    <t xml:space="preserve">ACEITES COMESTIBLES; TIPO: MEZCLA, PRESENTACION: ENVASE X 900 CM3 MARCA 
SOL DE ORO </t>
  </si>
  <si>
    <t xml:space="preserve">ACEITE COCINERO MEZCLA X 900 C.C.  </t>
  </si>
  <si>
    <t xml:space="preserve">2 </t>
  </si>
  <si>
    <t xml:space="preserve">2.1.1-435.38 </t>
  </si>
  <si>
    <t xml:space="preserve">ARROZ; TIPO GRANO: DOBLE, TIPO: BLANCO, PROCESO: PARBOLIZADO, PRESENTACION: ENVASE 
X 1 Kg, MATERIAL ENVASE: CARTON, CERTIFICADO FORESTAL (GFS): SIN, 
ELEM. TRANSPORTE: SIN, MATERIAL ELEM. TRANSPORTE: SIN </t>
  </si>
  <si>
    <t xml:space="preserve">ARROZ DOBLE CAROLINA LUCHETTI X 1 KG.  </t>
  </si>
  <si>
    <t xml:space="preserve">3 </t>
  </si>
  <si>
    <t xml:space="preserve">2.1.1-435.50 </t>
  </si>
  <si>
    <t xml:space="preserve">ARROZ; TIPO GRANO: ENTERO, TIPO: BLANCO, PROCESO: FORTIFICADO, PRESENTACION: ENVASE 
X 1 Kg, MATERIAL ENVASE: PLASTICO 1 (PET), CERTIFICADO FORESTAL 
(GFS): SIN, ELEM. TRANSPORTE: SIN, MATERIAL ELEM. TRANSPORTE: SIN, LIBRE 
DE GLUTEN: NO </t>
  </si>
  <si>
    <t xml:space="preserve">ARROZ; TIPO GRANO: ENTERO, TIPO: BLANCO, PROCESO: FORTIFICADO, PRESENTACION: ENVASE 
X 1 Kg MARCA PRIMOR </t>
  </si>
  <si>
    <t xml:space="preserve">ARROZ LARGO FINO 00000 DON MARCOS X 1 KG.  
</t>
  </si>
  <si>
    <t xml:space="preserve">ARROZ ENTERO MARCA NOBLE-  PRESENTACION: ENVASE PLASTICO X 1 
Kg,  </t>
  </si>
  <si>
    <t xml:space="preserve">4 </t>
  </si>
  <si>
    <t xml:space="preserve">2.1.1-2124.3 </t>
  </si>
  <si>
    <t xml:space="preserve">AVENAS; TIPO: ARROLLADA, ESTADO: NATURAL, PRESENTACION: BOLSA, PESO: 1 Kg 
</t>
  </si>
  <si>
    <t xml:space="preserve">5 </t>
  </si>
  <si>
    <t xml:space="preserve">2.1.1-481.38 </t>
  </si>
  <si>
    <t xml:space="preserve">AZUCARES; TIPO: "A" COMUN, ESTADO: MOLIDA, PESO: 1 Kg, MATERIAL 
ENVASE: PLASTICO, CERTIFICADO FORESTAL (GFS): SIN, ELEM. TRANSPORTE: SIN, MATERIAL 
ELEM. TRANSPORTE: SIN </t>
  </si>
  <si>
    <t xml:space="preserve">AZUCARES; TIPO: "A" COMUN, ESTADO: MOLIDA, PESO: 1 Kg MARCA 
SAN VICENTE </t>
  </si>
  <si>
    <t xml:space="preserve">AZUCAR COMUN TIPO A VILLA REAL X 1 KG.  
  </t>
  </si>
  <si>
    <t xml:space="preserve">6 </t>
  </si>
  <si>
    <t xml:space="preserve">2.1.1-709.6 </t>
  </si>
  <si>
    <t xml:space="preserve">CAFE; ESTADO: MOLIDO, ENVASE: PAQUETE, PROCESO: TORRADO C/AZUCAR, CONTENIDO: 500 
GR, TIPO: SIN VALOR, PRESENTACION: ENVASE X 500 GR </t>
  </si>
  <si>
    <t xml:space="preserve">CAFE LA VIRGINIA TORADO X 500 GRS. LIBRE DE GLUTEN 
 </t>
  </si>
  <si>
    <t xml:space="preserve">7 </t>
  </si>
  <si>
    <t xml:space="preserve">2.1.1-2615.15 </t>
  </si>
  <si>
    <t xml:space="preserve">CACAO; TIPO: INSTANTANEO, PRESENTACION: ENVASE X 800 GR, FORMA DE 
PRESENTACION: POLVO, MATERIAL ENVASE: CARTON, CERTICADO FORESTAL (GFS): CON, LIBRE 
DE GLUTEN: SI </t>
  </si>
  <si>
    <t xml:space="preserve">CACAO INSTANTANEO CHOCOLINO X 800 GRS.  </t>
  </si>
  <si>
    <t xml:space="preserve">CACAO EN POLVO CON AZUCAR INSTANTANEO PARA DILUIR - ENVASE 
POR 800 GRAMOS MARCA CHOCOLINO. </t>
  </si>
  <si>
    <t xml:space="preserve">8 </t>
  </si>
  <si>
    <t xml:space="preserve">2.1.1-5917.8 </t>
  </si>
  <si>
    <t xml:space="preserve">CEREALES; TIPO: TRIGO BURGOL, PRESENTACION: ENVASE X 1 Kg </t>
  </si>
  <si>
    <t xml:space="preserve">9 </t>
  </si>
  <si>
    <t xml:space="preserve">2.1.1-597.41 </t>
  </si>
  <si>
    <t xml:space="preserve">CONSERVAS DE FRUTAS; VARIEDAD: COCTEL, ENVASE: LATA, PESO: 800 GR, 
ELEM. TRANSPORTE: SIN, MATERIAL ELEM. TRANSPORTE: SIN, LIBRE DE GLUTEN: 
NO </t>
  </si>
  <si>
    <t xml:space="preserve">COCTEL DE FRUTA ALCO EN LATA X 820 GRS.  
</t>
  </si>
  <si>
    <t xml:space="preserve">10 </t>
  </si>
  <si>
    <t xml:space="preserve">2.1.1-597.43 </t>
  </si>
  <si>
    <t xml:space="preserve">CONSERVAS DE FRUTAS; VARIEDAD: COCTEL, ENVASE: LATA, PESO: 820 GR, 
ELEM. TRANSPORTE: SIN, MATERIAL ELEM. TRANSPORTE: SIN, LIBRE DE GLUTEN: 
SI </t>
  </si>
  <si>
    <t xml:space="preserve">COCTEL DE FRUTA ALCO EN LATA X 820 GRS. LIBRE 
DE GLUTEN  </t>
  </si>
  <si>
    <t xml:space="preserve">11 </t>
  </si>
  <si>
    <t xml:space="preserve">2.1.1-708.43 </t>
  </si>
  <si>
    <t xml:space="preserve">CONSERVAS PESCADO Y FRUTOS MAR; TIPO: ATUN, ESTADO: AL NATURAL, 
PESO: 170 GR, ENVASE: LATA, ELEM. TRANSPORTE: SIN, MATERIAL ELEM. 
TRANSPORTE: SIN </t>
  </si>
  <si>
    <t xml:space="preserve"> ATUN, ESTADO: AL NATURAL, PESO: 170 GR, MARCA BAHIA 
</t>
  </si>
  <si>
    <t xml:space="preserve">ATUN AL NATURAL DESMENUZADO BAHIA X 170 GRS.  </t>
  </si>
  <si>
    <t xml:space="preserve">12 </t>
  </si>
  <si>
    <t xml:space="preserve">2.1.1-455.16 </t>
  </si>
  <si>
    <t xml:space="preserve">DULCE DE LECHE; ENVASE: DE CARTON, CAPACIDAD: 5000 GR, TIPO: 
DE REPOSTERIA, PRESENTACION: ENVASE DE CARTON X 5 Kg </t>
  </si>
  <si>
    <t xml:space="preserve">13 </t>
  </si>
  <si>
    <t xml:space="preserve">2.1.1-2113.1 </t>
  </si>
  <si>
    <t xml:space="preserve">DULCES; TIPO: DE BATATA, PRESENTACION: LATA, PESO: 5 </t>
  </si>
  <si>
    <t xml:space="preserve">DULCES; TIPO: DE BATATA, PRESENTACION: LATA, PESO: 5 KG MARCA 
DULCOR </t>
  </si>
  <si>
    <t xml:space="preserve">DULCE DE BATATA DULCOR EN LATA X 5 KG.  
</t>
  </si>
  <si>
    <t xml:space="preserve">DULCE DE BATATA, PRESENTACION LATA POR 5 KG = UNIDAD- 
MARCA "DULCOR" </t>
  </si>
  <si>
    <t xml:space="preserve">14 </t>
  </si>
  <si>
    <t xml:space="preserve">2.1.1-2113.2 </t>
  </si>
  <si>
    <t xml:space="preserve">DULCES; TIPO: DE MEMBRILLO, PRESENTACION: LATA, PESO: 5 Kg </t>
  </si>
  <si>
    <t xml:space="preserve">DULCES; TIPO: DE MEMBRILLO, PRESENTACION: LATA, PESO: 5 Kg MARCA 
DULCOR </t>
  </si>
  <si>
    <t xml:space="preserve">DULCE DE MEMBRILLO DULCOR EN LATA X 5 KG.  
</t>
  </si>
  <si>
    <t xml:space="preserve">15 </t>
  </si>
  <si>
    <t xml:space="preserve">2.1.1-595.2 </t>
  </si>
  <si>
    <t xml:space="preserve">EDULCORANTES; PRESENTACION: LIQUIDO, ENVASE: BOTELLA PLASTICA, CONTENIDO: 500 CM3 </t>
  </si>
  <si>
    <t xml:space="preserve">EDULCORANTES; PRESENTACION: LIQUIDO, ENVASE: BOTELLA PLASTICA, CONTENIDO: 600 CM3 MARCA 
SIDIET </t>
  </si>
  <si>
    <t xml:space="preserve">EDULCORANTE LIQUIDO SI-DIET X 500 C.C.  </t>
  </si>
  <si>
    <t xml:space="preserve">16 </t>
  </si>
  <si>
    <t xml:space="preserve">2.1.1-489.66 </t>
  </si>
  <si>
    <t xml:space="preserve">ESPECIAS; TIPO: OREGANO, PRESENTACION: BOLSA DE 1 Kg </t>
  </si>
  <si>
    <t xml:space="preserve">ESPECIAS; TIPO: OREGANO, PRESENTACION: BOLSA DE 1 Kg MARCA MONETTI 
</t>
  </si>
  <si>
    <t xml:space="preserve">ESPECIAS OREGANO ZANITO X 1 KG.  </t>
  </si>
  <si>
    <t xml:space="preserve">17 </t>
  </si>
  <si>
    <t xml:space="preserve">2.1.1-489.68 </t>
  </si>
  <si>
    <t xml:space="preserve">ESPECIAS; PRESENTACION: BOLSA DE 1 Kg, TIPO: AJI MOLIDO </t>
  </si>
  <si>
    <t xml:space="preserve">ESPECIAS; PRESENTACION: BOLSA DE 1 Kg, TIPO: AJI MOLIDO MARCA 
MONETTI </t>
  </si>
  <si>
    <t xml:space="preserve">ESPECIAS AJI MOLIDO ZANITO X 1 KG.  </t>
  </si>
  <si>
    <t xml:space="preserve">18 </t>
  </si>
  <si>
    <t xml:space="preserve">2.1.1-489.119 </t>
  </si>
  <si>
    <t xml:space="preserve">ESPECIAS; TIPO: COMINO, PRESENTACION: BOLSA X 1 Kg </t>
  </si>
  <si>
    <t xml:space="preserve">ESPECIAS; TIPO: COMINO, PRESENTACION: BOLSA X 1 Kg MARCA MONETTI 
</t>
  </si>
  <si>
    <t xml:space="preserve">ESPECIAS COMINO ZANITO X 1 KG.  </t>
  </si>
  <si>
    <t xml:space="preserve">19 </t>
  </si>
  <si>
    <t xml:space="preserve">2.1.1-489.53 </t>
  </si>
  <si>
    <t xml:space="preserve">ESPECIAS; TIPO: NUEZ MOSCADA, PRESENTACION: POLVO </t>
  </si>
  <si>
    <t xml:space="preserve">ESPECIAS NUEZ MOSCADA ZANITO X 1 KG.  </t>
  </si>
  <si>
    <t xml:space="preserve">20 </t>
  </si>
  <si>
    <t xml:space="preserve">2.1.1-489.67 </t>
  </si>
  <si>
    <t xml:space="preserve">ESPECIAS; TIPO: PIMENTON, PRESENTACION: BOLSA DE 1 Kg </t>
  </si>
  <si>
    <t xml:space="preserve">ESPECIAS; TIPO: PIMENTON, PRESENTACION: BOLSA DE 1 Kg MONETTI </t>
  </si>
  <si>
    <t xml:space="preserve">ESPECIAS PIMENTON ZANITO X 1 KG.  </t>
  </si>
  <si>
    <t xml:space="preserve">21 </t>
  </si>
  <si>
    <t xml:space="preserve">2.1.1-489.132 </t>
  </si>
  <si>
    <t xml:space="preserve">ESPECIAS; TIPO: PIMIENTA BLANCA, PRESENTACION: ENVASE X 1 Kg </t>
  </si>
  <si>
    <t xml:space="preserve">ESPECIAS; TIPO: PIMIENTA BLANCA, PRESENTACION: ENVASE X 1 Kg MARCA 
MONETTI </t>
  </si>
  <si>
    <t xml:space="preserve">ESPECIAS PIMIENTA BLANCA ZANITO X 1 KG.  </t>
  </si>
  <si>
    <t xml:space="preserve">22 </t>
  </si>
  <si>
    <t xml:space="preserve">2.1.1-613.9 </t>
  </si>
  <si>
    <t xml:space="preserve">FECULA DE MAIZ; ENVASE: BOLSA, PESO: 500 GR, LIBRE DE 
GLUTEN: SI </t>
  </si>
  <si>
    <t xml:space="preserve">FECULA DE MAIZ EGRAN X 500 GRS. LIBRE DE GLUTEN 
 </t>
  </si>
  <si>
    <t xml:space="preserve">23 </t>
  </si>
  <si>
    <t xml:space="preserve">2.1.1-2868.56 </t>
  </si>
  <si>
    <t xml:space="preserve">FIDEOS SECOS; VARIEDAD: CABELLO DE ANGEL, RELLENO: SIN, PRESENTACION: ENVASE 
X 500 GR, MATERIAL ENVASE: PVC, ELEM. TRANSPORTE: CAJA, MATERIAL 
ELEM. TRANSPORTE: CARTON, CERTIFICADO FORESTAL (GFS): SIN, LIBRE DE GLUTEN: 
NO </t>
  </si>
  <si>
    <t xml:space="preserve">FIDEO CABELLO DE ANGEL LUCHETTI X 500 GRS.  </t>
  </si>
  <si>
    <t xml:space="preserve">FIDEOS SECOS VARIEDAD: CABELLO DE ANGEL, PRESENTACION: ENVASE X 500 
GR, MATERIAL ENVASE: PVC- MARCA LAPROVIDENCIA </t>
  </si>
  <si>
    <t xml:space="preserve">24 </t>
  </si>
  <si>
    <t xml:space="preserve">2.1.1-2868.48 </t>
  </si>
  <si>
    <t xml:space="preserve">FIDEOS SECOS; VARIEDAD: GUISERO, RELLENO: SIN, PRESENTACION: ENVASE X 5 
Kg, MATERIAL ENVASE: CARTON, ELEM. TRANSPORTE: SIN, MATERIAL ELEM. TRANSPORTE: 
SIN, CERTIFICADO FORESTAL (GFS): CON, LIBRE DE GLUTEN: NO </t>
  </si>
  <si>
    <t xml:space="preserve">25 </t>
  </si>
  <si>
    <t xml:space="preserve">2.1.1-2868.59 </t>
  </si>
  <si>
    <t xml:space="preserve">FIDEOS SECOS; VARIEDAD: MOSTACHOLES, RELLENO: SIN, PRESENTACION: ENVASE X 500 
GR, MATERIAL ENVASE: PVC, ELEM. TRANSPORTE: CAJA, MATERIAL ELEM. TRANSPORTE: 
CARTON, CERTIFICADO FORESTAL (GFS): SIN, LIBRE DE GLUTEN: NO </t>
  </si>
  <si>
    <t xml:space="preserve">FIDEOS SECOS; VARIEDAD: MOSTACHOLES, RELLENO: SIN, PRESENTACION: ENVASE X 500 
GR DONACI </t>
  </si>
  <si>
    <t xml:space="preserve">FIDEO FAVORITA MOSTACHOL X 500 GRS.  </t>
  </si>
  <si>
    <t xml:space="preserve">FIDEOS SECOS VARIEDAD MOSTACHOLES ENVASE X 500 GR. MARCA LA 
PROVIDENCIA </t>
  </si>
  <si>
    <t xml:space="preserve">26 </t>
  </si>
  <si>
    <t xml:space="preserve">2.1.1-2868.58 </t>
  </si>
  <si>
    <t xml:space="preserve">FIDEOS SECOS; VARIEDAD: MUNICION, RELLENO: SIN, PRESENTACION: ENVASE X 500 
GR, MATERIAL ENVASE: PVC, ELEM. TRANSPORTE: CAJA, MATERIAL ELEM. TRANSPORTE: 
CARTON, CERTIFICADO FORESTAL (GFS): SIN, LIBRE DE GLUTEN: NO </t>
  </si>
  <si>
    <t xml:space="preserve">FIDEO TERRABUSI MUNICION X 500 GRS.  </t>
  </si>
  <si>
    <t xml:space="preserve">FIDEO MUNICION . ENVASE X 500 GR. MARCA LA PROVIDENCIA 
</t>
  </si>
  <si>
    <t xml:space="preserve">27 </t>
  </si>
  <si>
    <t xml:space="preserve">2.1.1-2868.54 </t>
  </si>
  <si>
    <t xml:space="preserve">FIDEOS SECOS; VARIEDAD: SOPERO, RELLENO: SIN, PRESENTACION: ENVASE X 500 
GR, MATERIAL ENVASE: PLASTICO 1 (PET), ELEM. TRANSPORTE: SIN, MATERIAL 
ELEM. TRANSPORTE: SIN, CERTIFICADO FORESTAL (GFS): SIN, LIBRE DE GLUTEN: 
NO </t>
  </si>
  <si>
    <t xml:space="preserve">FIDEOS SECOS; VARIEDAD: SOPERO, RELLENO: SIN, PRESENTACION: ENVASE X 500 
GR MARCA DONACI </t>
  </si>
  <si>
    <t xml:space="preserve">FIDEO FAVORITA SOPERO X 500 GRS. </t>
  </si>
  <si>
    <t xml:space="preserve">FIDEO VARIEDAD SOPERO , ENVASE X 500 GR-MARCA LA PROVIDENCIA 
</t>
  </si>
  <si>
    <t xml:space="preserve">28 </t>
  </si>
  <si>
    <t xml:space="preserve">2.1.1-2868.86 </t>
  </si>
  <si>
    <t xml:space="preserve">FIDEOS SECOS; VARIEDAD: SPAGHETTI AL HUEVO, RELLENO: SIN, PRESENTACION: PAQUETE 
X 500 GR, MATERIAL ENVASE: PLASTICO 1 (PET), ELEM. TRANSPORTE: 
SIN, MATERIAL ELEM. TRANSPORTE: SIN, CERTIFICADO FORESTAL (GFS): SIN, LIBRE 
DE GLUTEN: NO </t>
  </si>
  <si>
    <t xml:space="preserve">FIDEO DON FELIPE SPAGHETTI AL HUEVO X 500 GRS.  
</t>
  </si>
  <si>
    <t xml:space="preserve">29 </t>
  </si>
  <si>
    <t xml:space="preserve">2.1.1-2868.65 </t>
  </si>
  <si>
    <t xml:space="preserve">FIDEOS SECOS; VARIEDAD: SPAGHETTI VERDES, RELLENO: SIN, PRESENTACION: ENVASE X 
5 Kg, MATERIAL ENVASE: PLASTICO 1 (PET), ELEM. TRANSPORTE: SIN, 
MATERIAL ELEM. TRANSPORTE: SIN, CERTIFICADO FORESTAL (GFS): SIN, LIBRE DE 
GLUTEN: NO </t>
  </si>
  <si>
    <t xml:space="preserve">30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</si>
  <si>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</si>
  <si>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</si>
  <si>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FIDEOS SECOS; VARIEDAD: TALLARIN, RELLENO: SIN, PRESENTACION: ENVASE X 500 
GR MARCA DONACI </t>
  </si>
  <si>
    <t xml:space="preserve">FIDEO CANALE TALLARIN X 500 GRS.  </t>
  </si>
  <si>
    <t xml:space="preserve">FIDEOS SECOS, VARIEDAD TALLARIN- PRESENTACION: ENVASE X 500 GR,  
MARCA LA PROVIDENCIA . </t>
  </si>
  <si>
    <t xml:space="preserve">31 </t>
  </si>
  <si>
    <t xml:space="preserve">2.1.1-2868.53 </t>
  </si>
  <si>
    <t xml:space="preserve">FIDEOS SECOS; VARIEDAD: TIRABUZON, RELLENO: SIN, PRESENTACION: ENVASE X 500 
GR, MATERIAL ENVASE: PLASTICO 1 (PET), ELEM. TRANSPORTE: SIN, MATERIAL 
ELEM. TRANSPORTE: SIN, CERTIFICADO FORESTAL (GFS): SIN, LIBRE DE GLUTEN: 
NO </t>
  </si>
  <si>
    <t xml:space="preserve">FIDEOS SECOS; VARIEDAD: TIRABUZON, RELLENO: SIN, PRESENTACION: ENVASE X 500 
GR, MARCA DONACI </t>
  </si>
  <si>
    <t xml:space="preserve">FIDEO CANALE TIRABUZON X 500 GRS.  </t>
  </si>
  <si>
    <t xml:space="preserve">FIDEOS SECOS, VARIEDAD: TIRABUZON- PRESENTACION: ENVASE X 500 GR- MARCA 
LA PROVIDENCIA </t>
  </si>
  <si>
    <t xml:space="preserve">32 </t>
  </si>
  <si>
    <t xml:space="preserve">2.1.1-513.9 </t>
  </si>
  <si>
    <t xml:space="preserve">FLANES; PESO: 60 GR, ENVASE: CAJA CARTON, ESTADO PREPARACION: CON 
COCCION, SABOR: VAINILLA, TIPO: SIN VALOR, PRESENTACION: 60 GR </t>
  </si>
  <si>
    <t xml:space="preserve">FLANES; PESO: 120 GR, ENVASE: CAJA CARTON, ESTADO PREPARACION: CON 
COCCION, SABOR: VAINILLA, TIPO: SIN VALOR, PRESENTACION: 120 GR MARCA 
VELEZ </t>
  </si>
  <si>
    <t xml:space="preserve">FLAN EXQUISITA SABOR VAINILLA X 40 GRS.  </t>
  </si>
  <si>
    <t xml:space="preserve">33 </t>
  </si>
  <si>
    <t xml:space="preserve">2.1.1-6539.38 </t>
  </si>
  <si>
    <t xml:space="preserve">FRUTAS; VARIEDAD: ANANA, PRESENTACION: ENVASE X 850 GR, PESO: 850 
GR, ESTADO: CONSERVA </t>
  </si>
  <si>
    <t xml:space="preserve">ANANA BAHIA EN LATA X 850 GRS.  </t>
  </si>
  <si>
    <t xml:space="preserve">34 </t>
  </si>
  <si>
    <t xml:space="preserve">2.1.1-6539.114 </t>
  </si>
  <si>
    <t xml:space="preserve">FRUTAS; VARIEDAD: CIRUELA ( SIN CAROZO ), ESTADO: DESECADA, PRESENTACION: 
ENVASE X 10 Kg, PESO: 10 Kg </t>
  </si>
  <si>
    <t xml:space="preserve">35 </t>
  </si>
  <si>
    <t xml:space="preserve">2.1.1-6539.178 </t>
  </si>
  <si>
    <t xml:space="preserve">FRUTAS; VARIEDAD: DURAZNO ( SIN CAROZO ), ESTADO: DESECADA, PRESENTACION: 
ENVASE X 5 Kg, ELEM. TRANSPORTE: SIN, MATERIAL ELEM. TRANSPORTE: 
SIN </t>
  </si>
  <si>
    <t xml:space="preserve">36 </t>
  </si>
  <si>
    <t xml:space="preserve">2.1.1-6539.46 </t>
  </si>
  <si>
    <t xml:space="preserve">FRUTAS; VARIEDAD: DURAZNO, ESTADO: CONSERVA, PRESENTACION: ENVASE X 800 GR, 
PESO: 800 GR </t>
  </si>
  <si>
    <t xml:space="preserve">DURAZNO ALCO EN LATA X 820 GRS.  </t>
  </si>
  <si>
    <t xml:space="preserve">37 </t>
  </si>
  <si>
    <t xml:space="preserve">2.1.1-788.224 </t>
  </si>
  <si>
    <t xml:space="preserve">GALLETITAS; VARIEDAD: SALADA, RELLENO: SIN, PRESENTACION: ENVASE X 275 GR, 
ELEM. TRANSPORTE: SIN, MATERIAL ELEM. TRANSPORTE: SIN, LIBRE DE GLUTEN: 
SI </t>
  </si>
  <si>
    <t xml:space="preserve">38 </t>
  </si>
  <si>
    <t xml:space="preserve">2.1.1-788.229 </t>
  </si>
  <si>
    <t xml:space="preserve">GALLETITAS; VARIEDAD: VAINILLA, RELLENO: SIN, PRESENTACION: ENVASE X 792 GR, 
ELEM. TRANSPORTE: SIN, MATERIAL ELEM. TRANSPORTE: SIN, LIBRE DE GLUTEN: 
NO </t>
  </si>
  <si>
    <t xml:space="preserve">39 </t>
  </si>
  <si>
    <t xml:space="preserve">2.1.1-510.5 </t>
  </si>
  <si>
    <t xml:space="preserve">GELATINAS; ENVASE: CAJA DE CARTON, PESO: 30 GR, TIPO: BAJAS 
CALORIAS, SABOR: FRUTILLA </t>
  </si>
  <si>
    <t xml:space="preserve">GELATINA EXQUISITA COMUN SABOR FRUTILLA X 30 GRS.  </t>
  </si>
  <si>
    <t xml:space="preserve">40 </t>
  </si>
  <si>
    <t xml:space="preserve">2.1.1-510.3 </t>
  </si>
  <si>
    <t xml:space="preserve">GELATINAS; TIPO: BAJAS CALORIAS, ENVASE: CAJA DE CARTON, PESO: 30 
GR, SABOR: CEREZA </t>
  </si>
  <si>
    <t xml:space="preserve">GELATINA BAJAS CALORIA EXQUISITA SABOR CEREZA X 25 GRS.  
</t>
  </si>
  <si>
    <t xml:space="preserve">41 </t>
  </si>
  <si>
    <t xml:space="preserve">2.1.1-482.80 </t>
  </si>
  <si>
    <t xml:space="preserve">HARINAS; TIPO: DE TRIGO 000, PRESENTACION: ENVASE X 1 Kg, 
MATERIAL ENVASE: PAPEL, CERTICADO FORESTAL (GFS): SIN, ELEM. TRANSPORTE: SIN, 
MATERIAL ELEM. TRANSPORTE: SIN, LIBRE DE GLUTEN: NO </t>
  </si>
  <si>
    <t xml:space="preserve">HARINAS; TIPO: DE TRIGO 000, PRESENTACION: ENVASE X 1 Kg, 
MARCA MARIMBO </t>
  </si>
  <si>
    <t xml:space="preserve">HARINA COMUN 000 FAVORITA X 1 KG.  </t>
  </si>
  <si>
    <t xml:space="preserve">42 </t>
  </si>
  <si>
    <t xml:space="preserve">2.1.1-482.61 </t>
  </si>
  <si>
    <t xml:space="preserve">HARINAS; TIPO: LEUDANTE, PRESENTACION: ENVASE X 1 Kg, MATERIAL ENVASE: 
PAPEL, CERTICADO FORESTAL (GFS): SIN, ELEM. TRANSPORTE: PALLET RETORNABLE, MATERIAL 
ELEM. TRANSPORTE: MADERA </t>
  </si>
  <si>
    <t xml:space="preserve">  HARINAS; TIPO: LEUDANTE, PRESENTACION: ENVASE X 1 Kg, 
MATERIAL ENVASE: PAPEL MARCA BLANCAFLOR </t>
  </si>
  <si>
    <t xml:space="preserve">HARINA LEUDANTE BLANCAFLOR X 1 KG.  </t>
  </si>
  <si>
    <t xml:space="preserve">43 </t>
  </si>
  <si>
    <t xml:space="preserve">2.1.1-482.69 </t>
  </si>
  <si>
    <t xml:space="preserve">HARINAS; TIPO: MAIZ, PRESENTACION: ENVASE X 1 Kg, MATERIAL ENVASE: 
PAPEL, CERTICADO FORESTAL (GFS): SIN, ELEM. TRANSPORTE: SIN, MATERIAL ELEM. 
TRANSPORTE: SIN, LIBRE DE GLUTEN: NO </t>
  </si>
  <si>
    <t xml:space="preserve">HARINAS; TIPO: MAIZ, PRESENTACION: ENVASE X 1 Kg MARCA LA 
ESPAÑOLA </t>
  </si>
  <si>
    <t xml:space="preserve">HARINA DE MAIZ LA ESPAÑOLA X 1 KG.  </t>
  </si>
  <si>
    <t xml:space="preserve">44 </t>
  </si>
  <si>
    <t xml:space="preserve">2.1.1-6558.8 </t>
  </si>
  <si>
    <t xml:space="preserve">JARDINERA; PRESENTACION: ENVASE X 350 GR, PESO: SIN VALOR, MATERIAL 
ENVASE: METAL, ELEM. TRANSPORTE: SIN, MATERIAL ELEM. TRANSPORTE: SIN </t>
  </si>
  <si>
    <t xml:space="preserve">JARDINERA; PRESENTACION: ENVASE X 350 GR, PESO: SIN VALOR, MATERIAL 
ENVASE: METAL, MARCA IDOLO </t>
  </si>
  <si>
    <t xml:space="preserve">JARDINERA INALPA EN LATA X 300 GRS.  </t>
  </si>
  <si>
    <t xml:space="preserve">45 </t>
  </si>
  <si>
    <t xml:space="preserve">2.1.1-705.116 </t>
  </si>
  <si>
    <t xml:space="preserve">LECHE; ESTADO: LIQUIDO, TIPO: DESCREMADA, PROCESO: LARGA VIDA, AGREGADO: VITAMINAS 
A Y D, PRESENTACION: ENVASE X 1 L, MATERIAL ENVASE: 
PLASTICO, ELEM. TRANSPORTE: SIN, MATERIAL ELEM. TRANSPORTE: SIN, CERTIFICADO FORESTAL 
(GFS): SIN, LIBRE DE GLUTEN: SIN VALOR </t>
  </si>
  <si>
    <t xml:space="preserve">LECHE; ESTADO: LIQUIDO, TIPO: DESCREMADA, PROCESO: LARGA VIDA, AGREGADO: VITAMINAS 
A Y D, PRESENTACION: ENVASE X 1 L MARCA TREGAR 
</t>
  </si>
  <si>
    <t xml:space="preserve">LECHE LIQUIDA MANFREY DESCREMADA X 1 LTRS.  </t>
  </si>
  <si>
    <t xml:space="preserve">46 </t>
  </si>
  <si>
    <t xml:space="preserve">2.1.1-6547.84 </t>
  </si>
  <si>
    <t xml:space="preserve">LEGUMBRES; VARIEDAD: ARVEJAS, ESTADO: CONSERVA, PRESENTACION: LATA, PESO: 350 GR, 
MATERIAL ENVASE: METAL, ELEM. TRANSPORTE: SIN, MATERIAL ELEM. TRANSPORTE: SIN, 
LIBRE DE GLUTEN: NO </t>
  </si>
  <si>
    <t xml:space="preserve">ARVEJAS, ESTADO: CONSERVA, PRESENTACION: LATA, PESO: 350 GR MARCA IDOLO 
</t>
  </si>
  <si>
    <t xml:space="preserve">ARVEJA INALPA EN LATA X 300 GRS.  </t>
  </si>
  <si>
    <t xml:space="preserve">47 </t>
  </si>
  <si>
    <t xml:space="preserve">2.1.1-6547.88 </t>
  </si>
  <si>
    <t xml:space="preserve">LEGUMBRES; VARIEDAD: LENTEJA, ESTADO: SECO, PRESENTACION: BOLSA, PESO: 450 GR, 
MATERIAL ENVASE: PLASTICO, ELEM. TRANSPORTE: SIN, MATERIAL ELEM. TRANSPORTE: SIN, 
LIBRE DE GLUTEN: SI </t>
  </si>
  <si>
    <t xml:space="preserve">48 </t>
  </si>
  <si>
    <t xml:space="preserve">2.1.1-6547.56 </t>
  </si>
  <si>
    <t xml:space="preserve">LEGUMBRES; VARIEDAD: POROTO BLANCO OVAL, ESTADO: SECO, PRESENTACION: BOLSA, PESO: 
500 GR </t>
  </si>
  <si>
    <t xml:space="preserve">POROTO ALUBIA LA ESPAÑOLA X 500 GRS.  </t>
  </si>
  <si>
    <t xml:space="preserve">POROTO BLANCO , PRESENTACION BOLSA X 500 GR- MARCA LA 
ESPAÑOLA </t>
  </si>
  <si>
    <t xml:space="preserve">49 </t>
  </si>
  <si>
    <t xml:space="preserve">2.1.1-2616.9 </t>
  </si>
  <si>
    <t xml:space="preserve">MAIZ; TIPO: BLANCO PISADO, PRESENTACION: ENVASE X 500 GR, FORMA 
DE PRESENTACION: SIN VALOR </t>
  </si>
  <si>
    <t xml:space="preserve">MAIZ; TIPO: BLANCO PISADO, PRESENTACION: ENVASE X 400 GR LA 
ESPAÑOLA </t>
  </si>
  <si>
    <t xml:space="preserve">MAIZ BLANCO PISADO LA ESPAÑOLA X 500 GRS.  </t>
  </si>
  <si>
    <t xml:space="preserve">50 </t>
  </si>
  <si>
    <t xml:space="preserve">2.1.1-6547.57 </t>
  </si>
  <si>
    <t xml:space="preserve">LEGUMBRES; VARIEDAD: LENTEJAS SECAS, ESTADO: SECO, PRESENTACION: BOLSA, PESO: 500 
GR </t>
  </si>
  <si>
    <t xml:space="preserve">51 </t>
  </si>
  <si>
    <t xml:space="preserve">2.1.1-706.6 </t>
  </si>
  <si>
    <t xml:space="preserve">MATE COCIDO; ENVASE: CAJA CARTON, PRESENTACION: ENSOBRADO, SAQUITOS P/CAJA: 100 
UN, PESO X SAQ.: 3 GR </t>
  </si>
  <si>
    <t xml:space="preserve">  MATE COCIDO; ENVASE: CAJA CARTON, PRESENTACION: ENSOBRADO, SAQUITOS 
P/CAJA: 100 UN, PESO X SAQ.: 3 GR MARCA VELEZ 
</t>
  </si>
  <si>
    <t xml:space="preserve">MATE COCIDO NOBLEZA GAUCHA X 100 UND. X 3 GRS. 
C/U  </t>
  </si>
  <si>
    <t xml:space="preserve">52 </t>
  </si>
  <si>
    <t xml:space="preserve">2.1.1-517.86 </t>
  </si>
  <si>
    <t xml:space="preserve">POSTRES; ESTADO PREPARACION: CON COCCION, TIPO: POLVO, ENVASE: CAJA DE 
CARTON, PESO: 80 GR, SABOR: VAINILLA, LIBRE DE GLUTEN: SI 
</t>
  </si>
  <si>
    <t xml:space="preserve">POSTRE EXQUISITA SABOR VAINILLA X 60 GRS.  </t>
  </si>
  <si>
    <t xml:space="preserve">53 </t>
  </si>
  <si>
    <t xml:space="preserve">2.1.1-514.2 </t>
  </si>
  <si>
    <t xml:space="preserve">SAL DE MESA; CONSISTENCIA: FINA, PESO: 500 GR, TIPO: SIN 
VALOR, ENVASE: PAQUETE </t>
  </si>
  <si>
    <t xml:space="preserve">SAL DE MESA; CONSISTENCIA: FINA, PESO: 500 GR, TIPO: SIN 
VALOR, ENVASE: PAQUETE MANTO BLANCO </t>
  </si>
  <si>
    <t xml:space="preserve">SAL FINA SUSY SAL X 500 GRS.  </t>
  </si>
  <si>
    <t xml:space="preserve">54 </t>
  </si>
  <si>
    <t xml:space="preserve">2.1.1-514.11 </t>
  </si>
  <si>
    <t xml:space="preserve">SAL DE MESA; CONSISTENCIA: GRUESA, PESO: 50 Kg, TIPO: SIN 
VALOR, ENVASE: BOLSA </t>
  </si>
  <si>
    <t xml:space="preserve">55 </t>
  </si>
  <si>
    <t xml:space="preserve">2.1.1-514.15 </t>
  </si>
  <si>
    <t xml:space="preserve">SAL DE MESA; CONSISTENCIA: GRUESA, ENVASE: BOLSA, PESO: 1 Kg, 
TIPO: SIN VALOR </t>
  </si>
  <si>
    <t xml:space="preserve">  SAL DE MESA; CONSISTENCIA: GRUESA, ENVASE: BOLSA, PESO: 
1 Kg MARCA SUSSYSAL </t>
  </si>
  <si>
    <t xml:space="preserve">SAL SUSY SAL GRUESA X 1 KG.  </t>
  </si>
  <si>
    <t xml:space="preserve">56 </t>
  </si>
  <si>
    <t xml:space="preserve">2.1.1-2126.13 </t>
  </si>
  <si>
    <t xml:space="preserve">SEMOLAS; TIPO: VITINA, PRESENTACION: BOLSA, PESO: 500 GR, MATERIAL ENVASE: 
PLASTICO 1 (PET), CERTICADO FORESTAL (GFS): SIN, LIBRE DE GLUTEN: 
NO </t>
  </si>
  <si>
    <t xml:space="preserve">SEMOLA EGRAN X 500 GRS.  </t>
  </si>
  <si>
    <t xml:space="preserve">57 </t>
  </si>
  <si>
    <t xml:space="preserve">2.1.1-511.8 </t>
  </si>
  <si>
    <t xml:space="preserve">TE; SAQUITOS 2G P/CAJA: 50, PESO: SIN VALOR, TIPO: SIN 
VALOR, PRESENTACION: EN SAQUITOS </t>
  </si>
  <si>
    <t xml:space="preserve">TE; SAQUITOS 2G P/CAJA: 50, PESO: SIN VALOR, TIPO: SIN 
VALOR, PRESENTACION: EN SAQUITOS NORY </t>
  </si>
  <si>
    <t xml:space="preserve">TE DE TE LA VIRGINIA X 50 SAQ. X 2 
GRS. C/U  </t>
  </si>
  <si>
    <t xml:space="preserve">58 </t>
  </si>
  <si>
    <t xml:space="preserve">2.1.1-6546.336 </t>
  </si>
  <si>
    <t xml:space="preserve">VERDURAS Y HORTALIZAS; VARIEDAD: CHOCLO, ESTADO: CREMOSO, PRESENTACION: LATA, PESO: 
350 GR, ELEM. TRANSPORTE: SIN, MATERIAL ELEM. TRANSPORTE: SIN, LIBRE 
DE GLUTEN: NO </t>
  </si>
  <si>
    <t xml:space="preserve">CHOCLO CREMOSO INALPA EN LATA X 300 GRS.  </t>
  </si>
  <si>
    <t xml:space="preserve">59 </t>
  </si>
  <si>
    <t xml:space="preserve">2.1.1-6546.269 </t>
  </si>
  <si>
    <t xml:space="preserve">VERDURAS Y HORTALIZAS; VARIEDAD: CHOCLO, ESTADO: GRANO, PRESENTACION: LATA, PESO: 
350 GR </t>
  </si>
  <si>
    <t xml:space="preserve">CHOCLO EN GRANO INALPA EN LATA X 300 GRS.  
</t>
  </si>
  <si>
    <t xml:space="preserve">60 </t>
  </si>
  <si>
    <t xml:space="preserve">2.1.1-6546.183 </t>
  </si>
  <si>
    <t xml:space="preserve">VERDURAS Y HORTALIZAS; VARIEDAD: TOMATE PERITA, ESTADO: NATURAL, PRESENTACION: LATA, 
PESO: 380 GR </t>
  </si>
  <si>
    <t xml:space="preserve">TOMATE PERITA ALCO EN LATA X 380 GRS.  </t>
  </si>
  <si>
    <t xml:space="preserve">61 </t>
  </si>
  <si>
    <t xml:space="preserve">2.1.1-6546.81 </t>
  </si>
  <si>
    <t xml:space="preserve">VERDURAS Y HORTALIZAS; VARIEDAD: TOMATE, ESTADO: PURE NATURAL, PRESENTACION: CAJA, 
PESO: 500 GR </t>
  </si>
  <si>
    <t xml:space="preserve">VERDURAS Y HORTALIZAS; VARIEDAD: TOMATE, ESTADO: PURE NATURAL, PRESENTACION: CAJA, 
PESO: 500 GR MARCA IDOLO </t>
  </si>
  <si>
    <t xml:space="preserve">PURE DE TOMATE SABORES DEL VALLE X 500 GRS.  
</t>
  </si>
  <si>
    <t xml:space="preserve">62 </t>
  </si>
  <si>
    <t xml:space="preserve">2.1.1-519.23 </t>
  </si>
  <si>
    <t xml:space="preserve">VINAGRES; TIPO: MANZANA, PRESENTACION: ENVASE X 1 L, MATERIAL ENVASE: 
PLASTICO 1 (PET) </t>
  </si>
  <si>
    <t xml:space="preserve">VERDURAS Y HORTALIZAS; VARIEDAD: TOMATE, ESTADO: PURE NATURAL, PRESENTACION: CAJA, 
PESO: 500 GR MARCA FLORANDINA </t>
  </si>
  <si>
    <t xml:space="preserve">VINAGRE FAVINCO MANZANA X 1 LTRS.  </t>
  </si>
  <si>
    <t xml:space="preserve">VINAGRE DE MANZANA-PRESENTACION ENVASE X 1 LITRO- MARCA FRAU </t>
  </si>
  <si>
    <t xml:space="preserve">63 </t>
  </si>
  <si>
    <t xml:space="preserve">2.1.1-519.27 </t>
  </si>
  <si>
    <t xml:space="preserve">VINAGRES; TIPO: VINO, PRESENTACION: ENVASE X 1 L, MATERIAL ENVASE: 
PLASTICO 1 (PET), LIBRE DE GLUTEN: NO </t>
  </si>
  <si>
    <t xml:space="preserve">VINAGRES; TIPO: VINO, PRESENTACION: ENVASE X 1 L, MATERIAL ENVASE: 
PLASTICO 1 (PET), MARCA FLORANDINA </t>
  </si>
  <si>
    <t xml:space="preserve">VINAGRE FAVINCO VINO X 1 LTRS.  </t>
  </si>
  <si>
    <t xml:space="preserve">VINAGRE DE VINO , PRESENTACION ENVASE X 1 LITRO- MARCA" 
FRAU" </t>
  </si>
  <si>
    <t xml:space="preserve">64 </t>
  </si>
  <si>
    <t xml:space="preserve">2.1.1-454.25 </t>
  </si>
  <si>
    <t xml:space="preserve">YERBAS; PALO: CON, PESO: 1 Kg, MATERIAL ENVASE : PAPEL, 
CERTIFICADO FORESTAL (GFS): CON, ELEM. TRANSPORTE: SIN, MATERIAL ELEM. TRANSPORTE: 
SIN, LIBRE DE GLUTEN: SI </t>
  </si>
  <si>
    <t xml:space="preserve">  YERBAS; PALO: CON, PESO: 1 Kg, MATERIAL ENVASE 
: PAPEL, CERTIFICADO FORESTAL (GFS): CON, ELEM. TRANSPORTE: SIN, MATERIAL 
ELEM. TRANSPORTE: SIN, LIBRE DE GLUTEN: SI MARCA LA HOJA 
</t>
  </si>
  <si>
    <t xml:space="preserve">YERBA NOBLEZA GAUCHA X 1 KG.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</si>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</sst>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7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7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85.140625" customWidth="1"/>
    <col min="5" max="5" width="97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0.140625" customWidth="1"/>
    <col min="11" max="11" width="14.28515625" customWidth="1"/>
    <col min="12" max="12" width="17.28515625" customWidth="1"/>
    <col min="13" max="13" width="16.5703125" customWidth="1"/>
    <col min="14" max="14" width="55.42578125" customWidth="1"/>
    <col min="15" max="15" width="14.28515625" customWidth="1"/>
    <col min="16" max="16" width="17.28515625" customWidth="1"/>
    <col min="17" max="17" width="16.5703125" customWidth="1"/>
    <col min="18" max="18" width="72.8554687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45" x14ac:dyDescent="0.25">
      <c r="A10" t="s">
        <v>23</v>
      </c>
      <c r="B10" t="s">
        <v>23</v>
      </c>
      <c r="C10" t="s">
        <v>24</v>
      </c>
      <c r="D10" s="4" t="s">
        <v>25</v>
      </c>
      <c r="E10">
        <v>1800</v>
      </c>
      <c r="F10" t="s">
        <v>26</v>
      </c>
      <c r="G10" s="3">
        <v>408</v>
      </c>
      <c r="H10" s="3">
        <v>1800</v>
      </c>
      <c r="I10" s="5">
        <v>734400</v>
      </c>
      <c r="J10" s="4" t="s">
        <v>27</v>
      </c>
      <c r="K10" s="3">
        <v>332</v>
      </c>
      <c r="L10" s="3">
        <v>1800</v>
      </c>
      <c r="M10" s="5">
        <v>597600</v>
      </c>
      <c r="N10" t="s">
        <v>28</v>
      </c>
      <c r="O10" s="3"/>
      <c r="P10" s="3"/>
      <c r="Q10" s="5"/>
    </row>
    <row r="11" spans="1:18" ht="60" x14ac:dyDescent="0.25">
      <c r="A11" t="s">
        <v>29</v>
      </c>
      <c r="B11" t="s">
        <v>23</v>
      </c>
      <c r="C11" t="s">
        <v>30</v>
      </c>
      <c r="D11" s="4" t="s">
        <v>31</v>
      </c>
      <c r="E11">
        <v>1000</v>
      </c>
      <c r="F11" t="s">
        <v>26</v>
      </c>
      <c r="G11" s="3"/>
      <c r="H11" s="3"/>
      <c r="I11" s="5"/>
      <c r="K11" s="3">
        <v>285</v>
      </c>
      <c r="L11" s="3">
        <v>1000</v>
      </c>
      <c r="M11" s="5">
        <v>285000</v>
      </c>
      <c r="N11" t="s">
        <v>32</v>
      </c>
      <c r="O11" s="3"/>
      <c r="P11" s="3"/>
      <c r="Q11" s="5"/>
    </row>
    <row r="12" spans="1:18" ht="75" x14ac:dyDescent="0.25">
      <c r="A12" t="s">
        <v>33</v>
      </c>
      <c r="B12" t="s">
        <v>23</v>
      </c>
      <c r="C12" t="s">
        <v>34</v>
      </c>
      <c r="D12" s="4" t="s">
        <v>35</v>
      </c>
      <c r="E12">
        <v>400</v>
      </c>
      <c r="F12" t="s">
        <v>26</v>
      </c>
      <c r="G12" s="3">
        <v>185.3</v>
      </c>
      <c r="H12" s="3">
        <v>400</v>
      </c>
      <c r="I12" s="5">
        <v>74120</v>
      </c>
      <c r="J12" s="4" t="s">
        <v>36</v>
      </c>
      <c r="K12" s="3">
        <v>182</v>
      </c>
      <c r="L12" s="3">
        <v>400</v>
      </c>
      <c r="M12" s="5">
        <v>72800</v>
      </c>
      <c r="N12" s="4" t="s">
        <v>37</v>
      </c>
      <c r="O12" s="3">
        <v>167</v>
      </c>
      <c r="P12" s="3">
        <v>400</v>
      </c>
      <c r="Q12" s="5">
        <v>66800</v>
      </c>
      <c r="R12" s="4" t="s">
        <v>38</v>
      </c>
    </row>
    <row r="13" spans="1:18" ht="30" x14ac:dyDescent="0.25">
      <c r="A13" t="s">
        <v>39</v>
      </c>
      <c r="B13" t="s">
        <v>23</v>
      </c>
      <c r="C13" t="s">
        <v>40</v>
      </c>
      <c r="D13" s="4" t="s">
        <v>41</v>
      </c>
      <c r="E13">
        <v>40</v>
      </c>
      <c r="F13" t="s">
        <v>26</v>
      </c>
      <c r="G13" s="3"/>
      <c r="H13" s="3"/>
      <c r="I13" s="5"/>
      <c r="K13" s="3"/>
      <c r="L13" s="3"/>
      <c r="M13" s="5"/>
      <c r="O13" s="3"/>
      <c r="P13" s="3"/>
      <c r="Q13" s="5"/>
    </row>
    <row r="14" spans="1:18" ht="45" x14ac:dyDescent="0.25">
      <c r="A14" t="s">
        <v>42</v>
      </c>
      <c r="B14" t="s">
        <v>23</v>
      </c>
      <c r="C14" t="s">
        <v>43</v>
      </c>
      <c r="D14" s="4" t="s">
        <v>44</v>
      </c>
      <c r="E14">
        <v>2400</v>
      </c>
      <c r="F14" t="s">
        <v>26</v>
      </c>
      <c r="G14" s="3">
        <v>259</v>
      </c>
      <c r="H14" s="3">
        <v>2400</v>
      </c>
      <c r="I14" s="5">
        <v>621600</v>
      </c>
      <c r="J14" s="4" t="s">
        <v>45</v>
      </c>
      <c r="K14" s="3">
        <v>280</v>
      </c>
      <c r="L14" s="3">
        <v>2400</v>
      </c>
      <c r="M14" s="5">
        <v>672000</v>
      </c>
      <c r="N14" s="4" t="s">
        <v>46</v>
      </c>
      <c r="O14" s="3"/>
      <c r="P14" s="3"/>
      <c r="Q14" s="5"/>
    </row>
    <row r="15" spans="1:18" ht="30" x14ac:dyDescent="0.25">
      <c r="A15" t="s">
        <v>47</v>
      </c>
      <c r="B15" t="s">
        <v>23</v>
      </c>
      <c r="C15" t="s">
        <v>48</v>
      </c>
      <c r="D15" s="4" t="s">
        <v>49</v>
      </c>
      <c r="E15">
        <v>10</v>
      </c>
      <c r="F15" t="s">
        <v>26</v>
      </c>
      <c r="G15" s="3"/>
      <c r="H15" s="3"/>
      <c r="I15" s="5"/>
      <c r="K15" s="3">
        <v>1500</v>
      </c>
      <c r="L15" s="3">
        <v>10</v>
      </c>
      <c r="M15" s="5">
        <v>15000</v>
      </c>
      <c r="N15" s="4" t="s">
        <v>50</v>
      </c>
      <c r="O15" s="3"/>
      <c r="P15" s="3"/>
      <c r="Q15" s="5"/>
    </row>
    <row r="16" spans="1:18" ht="60" x14ac:dyDescent="0.25">
      <c r="A16" t="s">
        <v>51</v>
      </c>
      <c r="B16" t="s">
        <v>23</v>
      </c>
      <c r="C16" t="s">
        <v>52</v>
      </c>
      <c r="D16" s="4" t="s">
        <v>53</v>
      </c>
      <c r="E16">
        <v>40</v>
      </c>
      <c r="F16" t="s">
        <v>26</v>
      </c>
      <c r="G16" s="3"/>
      <c r="H16" s="3"/>
      <c r="I16" s="5"/>
      <c r="K16" s="3">
        <v>1001</v>
      </c>
      <c r="L16" s="3">
        <v>40</v>
      </c>
      <c r="M16" s="5">
        <v>40040</v>
      </c>
      <c r="N16" t="s">
        <v>54</v>
      </c>
      <c r="O16" s="3">
        <v>1060</v>
      </c>
      <c r="P16" s="3">
        <v>40</v>
      </c>
      <c r="Q16" s="5">
        <v>42400</v>
      </c>
      <c r="R16" s="4" t="s">
        <v>55</v>
      </c>
    </row>
    <row r="17" spans="1:18" x14ac:dyDescent="0.25">
      <c r="A17" t="s">
        <v>56</v>
      </c>
      <c r="B17" t="s">
        <v>23</v>
      </c>
      <c r="C17" t="s">
        <v>57</v>
      </c>
      <c r="D17" t="s">
        <v>58</v>
      </c>
      <c r="E17">
        <v>30</v>
      </c>
      <c r="F17" t="s">
        <v>26</v>
      </c>
      <c r="G17" s="3"/>
      <c r="H17" s="3"/>
      <c r="I17" s="5"/>
      <c r="K17" s="3"/>
      <c r="L17" s="3"/>
      <c r="M17" s="5"/>
      <c r="O17" s="3"/>
      <c r="P17" s="3"/>
      <c r="Q17" s="5"/>
    </row>
    <row r="18" spans="1:18" ht="45" x14ac:dyDescent="0.25">
      <c r="A18" t="s">
        <v>59</v>
      </c>
      <c r="B18" t="s">
        <v>23</v>
      </c>
      <c r="C18" t="s">
        <v>60</v>
      </c>
      <c r="D18" s="4" t="s">
        <v>61</v>
      </c>
      <c r="E18">
        <v>1000</v>
      </c>
      <c r="F18" t="s">
        <v>26</v>
      </c>
      <c r="G18" s="3"/>
      <c r="H18" s="3"/>
      <c r="I18" s="5"/>
      <c r="K18" s="3">
        <v>740</v>
      </c>
      <c r="L18" s="3">
        <v>1000</v>
      </c>
      <c r="M18" s="5">
        <v>740000</v>
      </c>
      <c r="N18" s="4" t="s">
        <v>62</v>
      </c>
      <c r="O18" s="3"/>
      <c r="P18" s="3"/>
      <c r="Q18" s="5"/>
    </row>
    <row r="19" spans="1:18" ht="45" x14ac:dyDescent="0.25">
      <c r="A19" t="s">
        <v>63</v>
      </c>
      <c r="B19" t="s">
        <v>23</v>
      </c>
      <c r="C19" t="s">
        <v>64</v>
      </c>
      <c r="D19" s="4" t="s">
        <v>65</v>
      </c>
      <c r="E19">
        <v>800</v>
      </c>
      <c r="F19" t="s">
        <v>26</v>
      </c>
      <c r="G19" s="3"/>
      <c r="H19" s="3"/>
      <c r="I19" s="5"/>
      <c r="K19" s="3">
        <v>740</v>
      </c>
      <c r="L19" s="3">
        <v>800</v>
      </c>
      <c r="M19" s="5">
        <v>592000</v>
      </c>
      <c r="N19" s="4" t="s">
        <v>66</v>
      </c>
      <c r="O19" s="3"/>
      <c r="P19" s="3"/>
      <c r="Q19" s="5"/>
    </row>
    <row r="20" spans="1:18" ht="45" x14ac:dyDescent="0.25">
      <c r="A20" t="s">
        <v>67</v>
      </c>
      <c r="B20" t="s">
        <v>23</v>
      </c>
      <c r="C20" t="s">
        <v>68</v>
      </c>
      <c r="D20" s="4" t="s">
        <v>69</v>
      </c>
      <c r="E20">
        <v>250</v>
      </c>
      <c r="F20" t="s">
        <v>26</v>
      </c>
      <c r="G20" s="3">
        <v>719</v>
      </c>
      <c r="H20" s="3">
        <v>250</v>
      </c>
      <c r="I20" s="5">
        <v>179750</v>
      </c>
      <c r="J20" s="4" t="s">
        <v>70</v>
      </c>
      <c r="K20" s="3">
        <v>395</v>
      </c>
      <c r="L20" s="3">
        <v>250</v>
      </c>
      <c r="M20" s="5">
        <v>98750</v>
      </c>
      <c r="N20" t="s">
        <v>71</v>
      </c>
      <c r="O20" s="3"/>
      <c r="P20" s="3"/>
      <c r="Q20" s="5"/>
    </row>
    <row r="21" spans="1:18" ht="30" x14ac:dyDescent="0.25">
      <c r="A21" t="s">
        <v>72</v>
      </c>
      <c r="B21" t="s">
        <v>23</v>
      </c>
      <c r="C21" t="s">
        <v>73</v>
      </c>
      <c r="D21" s="4" t="s">
        <v>74</v>
      </c>
      <c r="E21">
        <v>15</v>
      </c>
      <c r="F21" t="s">
        <v>26</v>
      </c>
      <c r="G21" s="3"/>
      <c r="H21" s="3"/>
      <c r="I21" s="5"/>
      <c r="K21" s="3"/>
      <c r="L21" s="3"/>
      <c r="M21" s="5"/>
      <c r="O21" s="3"/>
      <c r="P21" s="3"/>
      <c r="Q21" s="5"/>
    </row>
    <row r="22" spans="1:18" ht="30" x14ac:dyDescent="0.25">
      <c r="A22" t="s">
        <v>75</v>
      </c>
      <c r="B22" t="s">
        <v>23</v>
      </c>
      <c r="C22" t="s">
        <v>76</v>
      </c>
      <c r="D22" t="s">
        <v>77</v>
      </c>
      <c r="E22">
        <v>40</v>
      </c>
      <c r="F22" t="s">
        <v>26</v>
      </c>
      <c r="G22" s="3">
        <v>2469</v>
      </c>
      <c r="H22" s="3">
        <v>40</v>
      </c>
      <c r="I22" s="5">
        <v>98760</v>
      </c>
      <c r="J22" s="4" t="s">
        <v>78</v>
      </c>
      <c r="K22" s="3">
        <v>2680</v>
      </c>
      <c r="L22" s="3">
        <v>40</v>
      </c>
      <c r="M22" s="5">
        <v>107200</v>
      </c>
      <c r="N22" s="4" t="s">
        <v>79</v>
      </c>
      <c r="O22" s="3">
        <v>2098</v>
      </c>
      <c r="P22" s="3">
        <v>40</v>
      </c>
      <c r="Q22" s="5">
        <v>83920</v>
      </c>
      <c r="R22" s="4" t="s">
        <v>80</v>
      </c>
    </row>
    <row r="23" spans="1:18" ht="30" x14ac:dyDescent="0.25">
      <c r="A23" t="s">
        <v>81</v>
      </c>
      <c r="B23" t="s">
        <v>23</v>
      </c>
      <c r="C23" t="s">
        <v>82</v>
      </c>
      <c r="D23" t="s">
        <v>83</v>
      </c>
      <c r="E23">
        <v>50</v>
      </c>
      <c r="F23" t="s">
        <v>26</v>
      </c>
      <c r="G23" s="3">
        <v>3269</v>
      </c>
      <c r="H23" s="3">
        <v>50</v>
      </c>
      <c r="I23" s="5">
        <v>163450</v>
      </c>
      <c r="J23" s="4" t="s">
        <v>84</v>
      </c>
      <c r="K23" s="3">
        <v>3555</v>
      </c>
      <c r="L23" s="3">
        <v>50</v>
      </c>
      <c r="M23" s="5">
        <v>177750</v>
      </c>
      <c r="N23" s="4" t="s">
        <v>85</v>
      </c>
      <c r="O23" s="3"/>
      <c r="P23" s="3"/>
      <c r="Q23" s="5"/>
    </row>
    <row r="24" spans="1:18" ht="45" x14ac:dyDescent="0.25">
      <c r="A24" t="s">
        <v>86</v>
      </c>
      <c r="B24" t="s">
        <v>23</v>
      </c>
      <c r="C24" t="s">
        <v>87</v>
      </c>
      <c r="D24" t="s">
        <v>88</v>
      </c>
      <c r="E24">
        <v>300</v>
      </c>
      <c r="F24" t="s">
        <v>26</v>
      </c>
      <c r="G24" s="3">
        <v>523.6</v>
      </c>
      <c r="H24" s="3">
        <v>300</v>
      </c>
      <c r="I24" s="5">
        <v>157080</v>
      </c>
      <c r="J24" s="4" t="s">
        <v>89</v>
      </c>
      <c r="K24" s="3">
        <v>435</v>
      </c>
      <c r="L24" s="3">
        <v>300</v>
      </c>
      <c r="M24" s="5">
        <v>130500</v>
      </c>
      <c r="N24" t="s">
        <v>90</v>
      </c>
      <c r="O24" s="3"/>
      <c r="P24" s="3"/>
      <c r="Q24" s="5"/>
    </row>
    <row r="25" spans="1:18" ht="30" x14ac:dyDescent="0.25">
      <c r="A25" t="s">
        <v>91</v>
      </c>
      <c r="B25" t="s">
        <v>23</v>
      </c>
      <c r="C25" t="s">
        <v>92</v>
      </c>
      <c r="D25" t="s">
        <v>93</v>
      </c>
      <c r="E25">
        <v>15</v>
      </c>
      <c r="F25" t="s">
        <v>26</v>
      </c>
      <c r="G25" s="3">
        <v>890</v>
      </c>
      <c r="H25" s="3">
        <v>15</v>
      </c>
      <c r="I25" s="5">
        <v>13350</v>
      </c>
      <c r="J25" s="4" t="s">
        <v>94</v>
      </c>
      <c r="K25" s="3">
        <v>900</v>
      </c>
      <c r="L25" s="3">
        <v>15</v>
      </c>
      <c r="M25" s="5">
        <v>13500</v>
      </c>
      <c r="N25" t="s">
        <v>95</v>
      </c>
      <c r="O25" s="3"/>
      <c r="P25" s="3"/>
      <c r="Q25" s="5"/>
    </row>
    <row r="26" spans="1:18" ht="30" x14ac:dyDescent="0.25">
      <c r="A26" t="s">
        <v>96</v>
      </c>
      <c r="B26" t="s">
        <v>23</v>
      </c>
      <c r="C26" t="s">
        <v>97</v>
      </c>
      <c r="D26" t="s">
        <v>98</v>
      </c>
      <c r="E26">
        <v>6</v>
      </c>
      <c r="F26" t="s">
        <v>26</v>
      </c>
      <c r="G26" s="3">
        <v>890</v>
      </c>
      <c r="H26" s="3">
        <v>6</v>
      </c>
      <c r="I26" s="5">
        <v>5340</v>
      </c>
      <c r="J26" s="4" t="s">
        <v>99</v>
      </c>
      <c r="K26" s="3">
        <v>1250</v>
      </c>
      <c r="L26" s="3">
        <v>6</v>
      </c>
      <c r="M26" s="5">
        <v>7500</v>
      </c>
      <c r="N26" t="s">
        <v>100</v>
      </c>
      <c r="O26" s="3"/>
      <c r="P26" s="3"/>
      <c r="Q26" s="5"/>
    </row>
    <row r="27" spans="1:18" ht="30" x14ac:dyDescent="0.25">
      <c r="A27" t="s">
        <v>101</v>
      </c>
      <c r="B27" t="s">
        <v>23</v>
      </c>
      <c r="C27" t="s">
        <v>102</v>
      </c>
      <c r="D27" t="s">
        <v>103</v>
      </c>
      <c r="E27">
        <v>4</v>
      </c>
      <c r="F27" t="s">
        <v>26</v>
      </c>
      <c r="G27" s="3">
        <v>890</v>
      </c>
      <c r="H27" s="3">
        <v>4</v>
      </c>
      <c r="I27" s="5">
        <v>3560</v>
      </c>
      <c r="J27" s="4" t="s">
        <v>104</v>
      </c>
      <c r="K27" s="3">
        <v>900</v>
      </c>
      <c r="L27" s="3">
        <v>4</v>
      </c>
      <c r="M27" s="5">
        <v>3600</v>
      </c>
      <c r="N27" t="s">
        <v>105</v>
      </c>
      <c r="O27" s="3"/>
      <c r="P27" s="3"/>
      <c r="Q27" s="5"/>
    </row>
    <row r="28" spans="1:18" x14ac:dyDescent="0.25">
      <c r="A28" t="s">
        <v>106</v>
      </c>
      <c r="B28" t="s">
        <v>23</v>
      </c>
      <c r="C28" t="s">
        <v>107</v>
      </c>
      <c r="D28" t="s">
        <v>108</v>
      </c>
      <c r="E28">
        <v>5</v>
      </c>
      <c r="F28" t="s">
        <v>26</v>
      </c>
      <c r="G28" s="3"/>
      <c r="H28" s="3"/>
      <c r="I28" s="5"/>
      <c r="K28" s="3">
        <v>1900</v>
      </c>
      <c r="L28" s="3">
        <v>5</v>
      </c>
      <c r="M28" s="5">
        <v>9500</v>
      </c>
      <c r="N28" t="s">
        <v>109</v>
      </c>
      <c r="O28" s="3"/>
      <c r="P28" s="3"/>
      <c r="Q28" s="5"/>
    </row>
    <row r="29" spans="1:18" x14ac:dyDescent="0.25">
      <c r="A29" t="s">
        <v>110</v>
      </c>
      <c r="B29" t="s">
        <v>23</v>
      </c>
      <c r="C29" t="s">
        <v>111</v>
      </c>
      <c r="D29" t="s">
        <v>112</v>
      </c>
      <c r="E29">
        <v>20</v>
      </c>
      <c r="F29" t="s">
        <v>26</v>
      </c>
      <c r="G29" s="3">
        <v>890</v>
      </c>
      <c r="H29" s="3">
        <v>20</v>
      </c>
      <c r="I29" s="5">
        <v>17800</v>
      </c>
      <c r="J29" t="s">
        <v>113</v>
      </c>
      <c r="K29" s="3">
        <v>900</v>
      </c>
      <c r="L29" s="3">
        <v>20</v>
      </c>
      <c r="M29" s="5">
        <v>18000</v>
      </c>
      <c r="N29" t="s">
        <v>114</v>
      </c>
      <c r="O29" s="3"/>
      <c r="P29" s="3"/>
      <c r="Q29" s="5"/>
    </row>
    <row r="30" spans="1:18" ht="30" x14ac:dyDescent="0.25">
      <c r="A30" t="s">
        <v>115</v>
      </c>
      <c r="B30" t="s">
        <v>23</v>
      </c>
      <c r="C30" t="s">
        <v>116</v>
      </c>
      <c r="D30" t="s">
        <v>117</v>
      </c>
      <c r="E30">
        <v>6</v>
      </c>
      <c r="F30" t="s">
        <v>26</v>
      </c>
      <c r="G30" s="3">
        <v>890</v>
      </c>
      <c r="H30" s="3">
        <v>6</v>
      </c>
      <c r="I30" s="5">
        <v>5340</v>
      </c>
      <c r="J30" s="4" t="s">
        <v>118</v>
      </c>
      <c r="K30" s="3">
        <v>1900</v>
      </c>
      <c r="L30" s="3">
        <v>6</v>
      </c>
      <c r="M30" s="5">
        <v>11400</v>
      </c>
      <c r="N30" t="s">
        <v>119</v>
      </c>
      <c r="O30" s="3"/>
      <c r="P30" s="3"/>
      <c r="Q30" s="5"/>
    </row>
    <row r="31" spans="1:18" ht="30" x14ac:dyDescent="0.25">
      <c r="A31" t="s">
        <v>120</v>
      </c>
      <c r="B31" t="s">
        <v>23</v>
      </c>
      <c r="C31" t="s">
        <v>121</v>
      </c>
      <c r="D31" s="4" t="s">
        <v>122</v>
      </c>
      <c r="E31">
        <v>80</v>
      </c>
      <c r="F31" t="s">
        <v>26</v>
      </c>
      <c r="G31" s="3"/>
      <c r="H31" s="3"/>
      <c r="I31" s="5"/>
      <c r="K31" s="3">
        <v>305</v>
      </c>
      <c r="L31" s="3">
        <v>80</v>
      </c>
      <c r="M31" s="5">
        <v>24400</v>
      </c>
      <c r="N31" s="4" t="s">
        <v>123</v>
      </c>
      <c r="O31" s="3"/>
      <c r="P31" s="3"/>
      <c r="Q31" s="5"/>
    </row>
    <row r="32" spans="1:18" ht="60" x14ac:dyDescent="0.25">
      <c r="A32" t="s">
        <v>124</v>
      </c>
      <c r="B32" t="s">
        <v>23</v>
      </c>
      <c r="C32" t="s">
        <v>125</v>
      </c>
      <c r="D32" s="4" t="s">
        <v>126</v>
      </c>
      <c r="E32">
        <v>60</v>
      </c>
      <c r="F32" t="s">
        <v>26</v>
      </c>
      <c r="G32" s="3"/>
      <c r="H32" s="3"/>
      <c r="I32" s="5"/>
      <c r="K32" s="3">
        <v>325</v>
      </c>
      <c r="L32" s="3">
        <v>60</v>
      </c>
      <c r="M32" s="5">
        <v>19500</v>
      </c>
      <c r="N32" t="s">
        <v>127</v>
      </c>
      <c r="O32" s="3">
        <v>175</v>
      </c>
      <c r="P32" s="3">
        <v>60</v>
      </c>
      <c r="Q32" s="5">
        <v>10500</v>
      </c>
      <c r="R32" s="4" t="s">
        <v>128</v>
      </c>
    </row>
    <row r="33" spans="1:18" ht="45" x14ac:dyDescent="0.25">
      <c r="A33" t="s">
        <v>129</v>
      </c>
      <c r="B33" t="s">
        <v>23</v>
      </c>
      <c r="C33" t="s">
        <v>130</v>
      </c>
      <c r="D33" s="4" t="s">
        <v>131</v>
      </c>
      <c r="E33">
        <v>150</v>
      </c>
      <c r="F33" t="s">
        <v>26</v>
      </c>
      <c r="G33" s="3"/>
      <c r="H33" s="3"/>
      <c r="I33" s="5"/>
      <c r="K33" s="3"/>
      <c r="L33" s="3"/>
      <c r="M33" s="5"/>
      <c r="O33" s="3"/>
      <c r="P33" s="3"/>
      <c r="Q33" s="5"/>
    </row>
    <row r="34" spans="1:18" ht="45" x14ac:dyDescent="0.25">
      <c r="A34" t="s">
        <v>132</v>
      </c>
      <c r="B34" t="s">
        <v>23</v>
      </c>
      <c r="C34" t="s">
        <v>133</v>
      </c>
      <c r="D34" s="4" t="s">
        <v>134</v>
      </c>
      <c r="E34">
        <v>150</v>
      </c>
      <c r="F34" t="s">
        <v>26</v>
      </c>
      <c r="G34" s="3">
        <v>115</v>
      </c>
      <c r="H34" s="3">
        <v>150</v>
      </c>
      <c r="I34" s="5">
        <v>17250</v>
      </c>
      <c r="J34" s="4" t="s">
        <v>135</v>
      </c>
      <c r="K34" s="3">
        <v>155</v>
      </c>
      <c r="L34" s="3">
        <v>150</v>
      </c>
      <c r="M34" s="5">
        <v>23250</v>
      </c>
      <c r="N34" t="s">
        <v>136</v>
      </c>
      <c r="O34" s="3">
        <v>122</v>
      </c>
      <c r="P34" s="3">
        <v>150</v>
      </c>
      <c r="Q34" s="5">
        <v>18300</v>
      </c>
      <c r="R34" s="4" t="s">
        <v>137</v>
      </c>
    </row>
    <row r="35" spans="1:18" ht="45" x14ac:dyDescent="0.25">
      <c r="A35" t="s">
        <v>138</v>
      </c>
      <c r="B35" t="s">
        <v>23</v>
      </c>
      <c r="C35" t="s">
        <v>139</v>
      </c>
      <c r="D35" s="4" t="s">
        <v>140</v>
      </c>
      <c r="E35">
        <v>50</v>
      </c>
      <c r="F35" t="s">
        <v>26</v>
      </c>
      <c r="G35" s="3"/>
      <c r="H35" s="3"/>
      <c r="I35" s="5"/>
      <c r="K35" s="3">
        <v>175</v>
      </c>
      <c r="L35" s="3">
        <v>50</v>
      </c>
      <c r="M35" s="5">
        <v>8750</v>
      </c>
      <c r="N35" t="s">
        <v>141</v>
      </c>
      <c r="O35" s="3">
        <v>122</v>
      </c>
      <c r="P35" s="3">
        <v>50</v>
      </c>
      <c r="Q35" s="5">
        <v>6100</v>
      </c>
      <c r="R35" s="4" t="s">
        <v>142</v>
      </c>
    </row>
    <row r="36" spans="1:18" ht="60" x14ac:dyDescent="0.25">
      <c r="A36" t="s">
        <v>143</v>
      </c>
      <c r="B36" t="s">
        <v>23</v>
      </c>
      <c r="C36" t="s">
        <v>144</v>
      </c>
      <c r="D36" s="4" t="s">
        <v>145</v>
      </c>
      <c r="E36">
        <v>40</v>
      </c>
      <c r="F36" t="s">
        <v>26</v>
      </c>
      <c r="G36" s="3">
        <v>115</v>
      </c>
      <c r="H36" s="3">
        <v>40</v>
      </c>
      <c r="I36" s="5">
        <v>4600</v>
      </c>
      <c r="J36" s="4" t="s">
        <v>146</v>
      </c>
      <c r="K36" s="3">
        <v>155</v>
      </c>
      <c r="L36" s="3">
        <v>40</v>
      </c>
      <c r="M36" s="5">
        <v>6200</v>
      </c>
      <c r="N36" t="s">
        <v>147</v>
      </c>
      <c r="O36" s="3">
        <v>122</v>
      </c>
      <c r="P36" s="3">
        <v>40</v>
      </c>
      <c r="Q36" s="5">
        <v>4880</v>
      </c>
      <c r="R36" s="4" t="s">
        <v>148</v>
      </c>
    </row>
    <row r="37" spans="1:18" ht="60" x14ac:dyDescent="0.25">
      <c r="A37" t="s">
        <v>149</v>
      </c>
      <c r="B37" t="s">
        <v>23</v>
      </c>
      <c r="C37" t="s">
        <v>150</v>
      </c>
      <c r="D37" s="4" t="s">
        <v>151</v>
      </c>
      <c r="E37">
        <v>300</v>
      </c>
      <c r="F37" t="s">
        <v>26</v>
      </c>
      <c r="G37" s="3"/>
      <c r="H37" s="3"/>
      <c r="I37" s="5"/>
      <c r="K37" s="3">
        <v>290</v>
      </c>
      <c r="L37" s="3">
        <v>300</v>
      </c>
      <c r="M37" s="5">
        <v>87000</v>
      </c>
      <c r="N37" s="4" t="s">
        <v>152</v>
      </c>
      <c r="O37" s="3"/>
      <c r="P37" s="3"/>
      <c r="Q37" s="5"/>
    </row>
    <row r="38" spans="1:18" ht="60" x14ac:dyDescent="0.25">
      <c r="A38" t="s">
        <v>153</v>
      </c>
      <c r="B38" t="s">
        <v>23</v>
      </c>
      <c r="C38" t="s">
        <v>154</v>
      </c>
      <c r="D38" s="4" t="s">
        <v>155</v>
      </c>
      <c r="E38">
        <v>150</v>
      </c>
      <c r="F38" t="s">
        <v>26</v>
      </c>
      <c r="G38" s="3"/>
      <c r="H38" s="3"/>
      <c r="I38" s="5"/>
      <c r="K38" s="3"/>
      <c r="L38" s="3"/>
      <c r="M38" s="5"/>
      <c r="O38" s="3"/>
      <c r="P38" s="3"/>
      <c r="Q38" s="5"/>
    </row>
    <row r="39" spans="1:18" ht="60" x14ac:dyDescent="0.25">
      <c r="A39" t="s">
        <v>156</v>
      </c>
      <c r="B39" t="s">
        <v>23</v>
      </c>
      <c r="C39" t="s">
        <v>157</v>
      </c>
      <c r="D39" s="4" t="s">
        <v>158</v>
      </c>
      <c r="E39">
        <v>250</v>
      </c>
      <c r="F39" t="s">
        <v>26</v>
      </c>
      <c r="G39" s="3">
        <v>115</v>
      </c>
      <c r="H39" s="3">
        <v>250</v>
      </c>
      <c r="I39" s="5">
        <v>28750</v>
      </c>
      <c r="J39" s="4" t="s">
        <v>159</v>
      </c>
      <c r="K39" s="3">
        <v>145</v>
      </c>
      <c r="L39" s="3">
        <v>250</v>
      </c>
      <c r="M39" s="5">
        <v>36250</v>
      </c>
      <c r="N39" t="s">
        <v>160</v>
      </c>
      <c r="O39" s="3">
        <v>122</v>
      </c>
      <c r="P39" s="3">
        <v>250</v>
      </c>
      <c r="Q39" s="5">
        <v>30500</v>
      </c>
      <c r="R39" s="4" t="s">
        <v>161</v>
      </c>
    </row>
    <row r="40" spans="1:18" ht="60" x14ac:dyDescent="0.25">
      <c r="A40" t="s">
        <v>162</v>
      </c>
      <c r="B40" t="s">
        <v>23</v>
      </c>
      <c r="C40" t="s">
        <v>163</v>
      </c>
      <c r="D40" s="4" t="s">
        <v>164</v>
      </c>
      <c r="E40">
        <v>250</v>
      </c>
      <c r="F40" t="s">
        <v>26</v>
      </c>
      <c r="G40" s="3">
        <v>115</v>
      </c>
      <c r="H40" s="3">
        <v>250</v>
      </c>
      <c r="I40" s="5">
        <v>28750</v>
      </c>
      <c r="J40" s="4" t="s">
        <v>165</v>
      </c>
      <c r="K40" s="3">
        <v>145</v>
      </c>
      <c r="L40" s="3">
        <v>250</v>
      </c>
      <c r="M40" s="5">
        <v>36250</v>
      </c>
      <c r="N40" t="s">
        <v>166</v>
      </c>
      <c r="O40" s="3">
        <v>122</v>
      </c>
      <c r="P40" s="3">
        <v>250</v>
      </c>
      <c r="Q40" s="5">
        <v>30500</v>
      </c>
      <c r="R40" s="4" t="s">
        <v>167</v>
      </c>
    </row>
    <row r="41" spans="1:18" ht="45" x14ac:dyDescent="0.25">
      <c r="A41" t="s">
        <v>168</v>
      </c>
      <c r="B41" t="s">
        <v>23</v>
      </c>
      <c r="C41" t="s">
        <v>169</v>
      </c>
      <c r="D41" s="4" t="s">
        <v>170</v>
      </c>
      <c r="E41">
        <v>400</v>
      </c>
      <c r="F41" t="s">
        <v>26</v>
      </c>
      <c r="G41" s="3">
        <v>210</v>
      </c>
      <c r="H41" s="3">
        <v>400</v>
      </c>
      <c r="I41" s="5">
        <v>84000</v>
      </c>
      <c r="J41" s="4" t="s">
        <v>171</v>
      </c>
      <c r="K41" s="3">
        <v>79</v>
      </c>
      <c r="L41" s="3">
        <v>400</v>
      </c>
      <c r="M41" s="5">
        <v>31600</v>
      </c>
      <c r="N41" t="s">
        <v>172</v>
      </c>
      <c r="O41" s="3"/>
      <c r="P41" s="3"/>
      <c r="Q41" s="5"/>
    </row>
    <row r="42" spans="1:18" ht="30" x14ac:dyDescent="0.25">
      <c r="A42" t="s">
        <v>173</v>
      </c>
      <c r="B42" t="s">
        <v>23</v>
      </c>
      <c r="C42" t="s">
        <v>174</v>
      </c>
      <c r="D42" s="4" t="s">
        <v>175</v>
      </c>
      <c r="E42">
        <v>300</v>
      </c>
      <c r="F42" t="s">
        <v>26</v>
      </c>
      <c r="G42" s="3"/>
      <c r="H42" s="3"/>
      <c r="I42" s="5"/>
      <c r="K42" s="3">
        <v>1490</v>
      </c>
      <c r="L42" s="3">
        <v>300</v>
      </c>
      <c r="M42" s="5">
        <v>447000</v>
      </c>
      <c r="N42" t="s">
        <v>176</v>
      </c>
      <c r="O42" s="3"/>
      <c r="P42" s="3"/>
      <c r="Q42" s="5"/>
    </row>
    <row r="43" spans="1:18" ht="30" x14ac:dyDescent="0.25">
      <c r="A43" t="s">
        <v>177</v>
      </c>
      <c r="B43" t="s">
        <v>23</v>
      </c>
      <c r="C43" t="s">
        <v>178</v>
      </c>
      <c r="D43" s="4" t="s">
        <v>179</v>
      </c>
      <c r="E43">
        <v>5</v>
      </c>
      <c r="F43" t="s">
        <v>26</v>
      </c>
      <c r="G43" s="3"/>
      <c r="H43" s="3"/>
      <c r="I43" s="5"/>
      <c r="K43" s="3"/>
      <c r="L43" s="3"/>
      <c r="M43" s="5"/>
      <c r="O43" s="3"/>
      <c r="P43" s="3"/>
      <c r="Q43" s="5"/>
    </row>
    <row r="44" spans="1:18" ht="45" x14ac:dyDescent="0.25">
      <c r="A44" t="s">
        <v>180</v>
      </c>
      <c r="B44" t="s">
        <v>23</v>
      </c>
      <c r="C44" t="s">
        <v>181</v>
      </c>
      <c r="D44" s="4" t="s">
        <v>182</v>
      </c>
      <c r="E44">
        <v>5</v>
      </c>
      <c r="F44" t="s">
        <v>26</v>
      </c>
      <c r="G44" s="3"/>
      <c r="H44" s="3"/>
      <c r="I44" s="5"/>
      <c r="K44" s="3"/>
      <c r="L44" s="3"/>
      <c r="M44" s="5"/>
      <c r="O44" s="3"/>
      <c r="P44" s="3"/>
      <c r="Q44" s="5"/>
    </row>
    <row r="45" spans="1:18" ht="30" x14ac:dyDescent="0.25">
      <c r="A45" t="s">
        <v>183</v>
      </c>
      <c r="B45" t="s">
        <v>23</v>
      </c>
      <c r="C45" t="s">
        <v>184</v>
      </c>
      <c r="D45" s="4" t="s">
        <v>185</v>
      </c>
      <c r="E45">
        <v>600</v>
      </c>
      <c r="F45" t="s">
        <v>26</v>
      </c>
      <c r="G45" s="3"/>
      <c r="H45" s="3"/>
      <c r="I45" s="5"/>
      <c r="K45" s="3">
        <v>525</v>
      </c>
      <c r="L45" s="3">
        <v>600</v>
      </c>
      <c r="M45" s="5">
        <v>315000</v>
      </c>
      <c r="N45" t="s">
        <v>186</v>
      </c>
      <c r="O45" s="3"/>
      <c r="P45" s="3"/>
      <c r="Q45" s="5"/>
    </row>
    <row r="46" spans="1:18" ht="45" x14ac:dyDescent="0.25">
      <c r="A46" t="s">
        <v>187</v>
      </c>
      <c r="B46" t="s">
        <v>23</v>
      </c>
      <c r="C46" t="s">
        <v>188</v>
      </c>
      <c r="D46" s="4" t="s">
        <v>189</v>
      </c>
      <c r="E46">
        <v>30</v>
      </c>
      <c r="F46" t="s">
        <v>26</v>
      </c>
      <c r="G46" s="3"/>
      <c r="H46" s="3"/>
      <c r="I46" s="5"/>
      <c r="K46" s="3"/>
      <c r="L46" s="3"/>
      <c r="M46" s="5"/>
      <c r="O46" s="3"/>
      <c r="P46" s="3"/>
      <c r="Q46" s="5"/>
    </row>
    <row r="47" spans="1:18" ht="45" x14ac:dyDescent="0.25">
      <c r="A47" t="s">
        <v>190</v>
      </c>
      <c r="B47" t="s">
        <v>23</v>
      </c>
      <c r="C47" t="s">
        <v>191</v>
      </c>
      <c r="D47" s="4" t="s">
        <v>192</v>
      </c>
      <c r="E47">
        <v>50</v>
      </c>
      <c r="F47" t="s">
        <v>26</v>
      </c>
      <c r="G47" s="3"/>
      <c r="H47" s="3"/>
      <c r="I47" s="5"/>
      <c r="K47" s="3"/>
      <c r="L47" s="3"/>
      <c r="M47" s="5"/>
      <c r="O47" s="3"/>
      <c r="P47" s="3"/>
      <c r="Q47" s="5"/>
    </row>
    <row r="48" spans="1:18" ht="30" x14ac:dyDescent="0.25">
      <c r="A48" t="s">
        <v>193</v>
      </c>
      <c r="B48" t="s">
        <v>23</v>
      </c>
      <c r="C48" t="s">
        <v>194</v>
      </c>
      <c r="D48" s="4" t="s">
        <v>195</v>
      </c>
      <c r="E48">
        <v>600</v>
      </c>
      <c r="F48" t="s">
        <v>26</v>
      </c>
      <c r="G48" s="3"/>
      <c r="H48" s="3"/>
      <c r="I48" s="5"/>
      <c r="K48" s="3">
        <v>108</v>
      </c>
      <c r="L48" s="3">
        <v>600</v>
      </c>
      <c r="M48" s="5">
        <v>64800</v>
      </c>
      <c r="N48" t="s">
        <v>196</v>
      </c>
      <c r="O48" s="3"/>
      <c r="P48" s="3"/>
      <c r="Q48" s="5"/>
    </row>
    <row r="49" spans="1:18" ht="45" x14ac:dyDescent="0.25">
      <c r="A49" t="s">
        <v>197</v>
      </c>
      <c r="B49" t="s">
        <v>23</v>
      </c>
      <c r="C49" t="s">
        <v>198</v>
      </c>
      <c r="D49" s="4" t="s">
        <v>199</v>
      </c>
      <c r="E49">
        <v>600</v>
      </c>
      <c r="F49" t="s">
        <v>26</v>
      </c>
      <c r="G49" s="3"/>
      <c r="H49" s="3"/>
      <c r="I49" s="5"/>
      <c r="K49" s="3">
        <v>108</v>
      </c>
      <c r="L49" s="3">
        <v>600</v>
      </c>
      <c r="M49" s="5">
        <v>64800</v>
      </c>
      <c r="N49" s="4" t="s">
        <v>200</v>
      </c>
      <c r="O49" s="3"/>
      <c r="P49" s="3"/>
      <c r="Q49" s="5"/>
    </row>
    <row r="50" spans="1:18" ht="45" x14ac:dyDescent="0.25">
      <c r="A50" t="s">
        <v>201</v>
      </c>
      <c r="B50" t="s">
        <v>23</v>
      </c>
      <c r="C50" t="s">
        <v>202</v>
      </c>
      <c r="D50" s="4" t="s">
        <v>203</v>
      </c>
      <c r="E50">
        <v>150</v>
      </c>
      <c r="F50" t="s">
        <v>26</v>
      </c>
      <c r="G50" s="3">
        <v>178</v>
      </c>
      <c r="H50" s="3">
        <v>150</v>
      </c>
      <c r="I50" s="5">
        <v>26700</v>
      </c>
      <c r="J50" s="4" t="s">
        <v>204</v>
      </c>
      <c r="K50" s="3">
        <v>209</v>
      </c>
      <c r="L50" s="3">
        <v>150</v>
      </c>
      <c r="M50" s="5">
        <v>31350</v>
      </c>
      <c r="N50" t="s">
        <v>205</v>
      </c>
      <c r="O50" s="3"/>
      <c r="P50" s="3"/>
      <c r="Q50" s="5"/>
    </row>
    <row r="51" spans="1:18" ht="45" x14ac:dyDescent="0.25">
      <c r="A51" t="s">
        <v>206</v>
      </c>
      <c r="B51" t="s">
        <v>23</v>
      </c>
      <c r="C51" t="s">
        <v>207</v>
      </c>
      <c r="D51" s="4" t="s">
        <v>208</v>
      </c>
      <c r="E51">
        <v>200</v>
      </c>
      <c r="F51" t="s">
        <v>26</v>
      </c>
      <c r="G51" s="3">
        <v>238</v>
      </c>
      <c r="H51" s="3">
        <v>200</v>
      </c>
      <c r="I51" s="5">
        <v>47600</v>
      </c>
      <c r="J51" s="4" t="s">
        <v>209</v>
      </c>
      <c r="K51" s="3">
        <v>490</v>
      </c>
      <c r="L51" s="3">
        <v>200</v>
      </c>
      <c r="M51" s="5">
        <v>98000</v>
      </c>
      <c r="N51" t="s">
        <v>210</v>
      </c>
      <c r="O51" s="3"/>
      <c r="P51" s="3"/>
      <c r="Q51" s="5"/>
    </row>
    <row r="52" spans="1:18" ht="45" x14ac:dyDescent="0.25">
      <c r="A52" t="s">
        <v>211</v>
      </c>
      <c r="B52" t="s">
        <v>23</v>
      </c>
      <c r="C52" t="s">
        <v>212</v>
      </c>
      <c r="D52" s="4" t="s">
        <v>213</v>
      </c>
      <c r="E52">
        <v>50</v>
      </c>
      <c r="F52" t="s">
        <v>26</v>
      </c>
      <c r="G52" s="3">
        <v>199</v>
      </c>
      <c r="H52" s="3">
        <v>50</v>
      </c>
      <c r="I52" s="5">
        <v>9950</v>
      </c>
      <c r="J52" s="4" t="s">
        <v>214</v>
      </c>
      <c r="K52" s="3">
        <v>152</v>
      </c>
      <c r="L52" s="3">
        <v>50</v>
      </c>
      <c r="M52" s="5">
        <v>7600</v>
      </c>
      <c r="N52" t="s">
        <v>215</v>
      </c>
      <c r="O52" s="3"/>
      <c r="P52" s="3"/>
      <c r="Q52" s="5"/>
    </row>
    <row r="53" spans="1:18" ht="30" x14ac:dyDescent="0.25">
      <c r="A53" t="s">
        <v>216</v>
      </c>
      <c r="B53" t="s">
        <v>23</v>
      </c>
      <c r="C53" t="s">
        <v>217</v>
      </c>
      <c r="D53" s="4" t="s">
        <v>218</v>
      </c>
      <c r="E53">
        <v>600</v>
      </c>
      <c r="F53" t="s">
        <v>26</v>
      </c>
      <c r="G53" s="3">
        <v>175</v>
      </c>
      <c r="H53" s="3">
        <v>600</v>
      </c>
      <c r="I53" s="5">
        <v>105000</v>
      </c>
      <c r="J53" s="4" t="s">
        <v>219</v>
      </c>
      <c r="K53" s="3">
        <v>150</v>
      </c>
      <c r="L53" s="3">
        <v>600</v>
      </c>
      <c r="M53" s="5">
        <v>90000</v>
      </c>
      <c r="N53" t="s">
        <v>220</v>
      </c>
      <c r="O53" s="3"/>
      <c r="P53" s="3"/>
      <c r="Q53" s="5"/>
    </row>
    <row r="54" spans="1:18" ht="90" x14ac:dyDescent="0.25">
      <c r="A54" t="s">
        <v>221</v>
      </c>
      <c r="B54" t="s">
        <v>23</v>
      </c>
      <c r="C54" t="s">
        <v>222</v>
      </c>
      <c r="D54" s="4" t="s">
        <v>223</v>
      </c>
      <c r="E54">
        <v>4000</v>
      </c>
      <c r="F54" t="s">
        <v>26</v>
      </c>
      <c r="G54" s="3">
        <v>249</v>
      </c>
      <c r="H54" s="3">
        <v>4000</v>
      </c>
      <c r="I54" s="5">
        <v>996000</v>
      </c>
      <c r="J54" s="4" t="s">
        <v>224</v>
      </c>
      <c r="K54" s="3">
        <v>225</v>
      </c>
      <c r="L54" s="3">
        <v>4000</v>
      </c>
      <c r="M54" s="5">
        <v>900000</v>
      </c>
      <c r="N54" t="s">
        <v>225</v>
      </c>
      <c r="O54" s="3"/>
      <c r="P54" s="3"/>
      <c r="Q54" s="5"/>
    </row>
    <row r="55" spans="1:18" ht="45" x14ac:dyDescent="0.25">
      <c r="A55" t="s">
        <v>226</v>
      </c>
      <c r="B55" t="s">
        <v>23</v>
      </c>
      <c r="C55" t="s">
        <v>227</v>
      </c>
      <c r="D55" s="4" t="s">
        <v>228</v>
      </c>
      <c r="E55">
        <v>500</v>
      </c>
      <c r="F55" t="s">
        <v>26</v>
      </c>
      <c r="G55" s="3">
        <v>101</v>
      </c>
      <c r="H55" s="3">
        <v>500</v>
      </c>
      <c r="I55" s="5">
        <v>50500</v>
      </c>
      <c r="J55" s="4" t="s">
        <v>229</v>
      </c>
      <c r="K55" s="3">
        <v>75</v>
      </c>
      <c r="L55" s="3">
        <v>500</v>
      </c>
      <c r="M55" s="5">
        <v>37500</v>
      </c>
      <c r="N55" t="s">
        <v>230</v>
      </c>
      <c r="O55" s="3"/>
      <c r="P55" s="3"/>
      <c r="Q55" s="5"/>
    </row>
    <row r="56" spans="1:18" ht="45" x14ac:dyDescent="0.25">
      <c r="A56" t="s">
        <v>231</v>
      </c>
      <c r="B56" t="s">
        <v>23</v>
      </c>
      <c r="C56" t="s">
        <v>232</v>
      </c>
      <c r="D56" s="4" t="s">
        <v>233</v>
      </c>
      <c r="E56">
        <v>10</v>
      </c>
      <c r="F56" t="s">
        <v>26</v>
      </c>
      <c r="G56" s="3"/>
      <c r="H56" s="3"/>
      <c r="I56" s="5"/>
      <c r="K56" s="3"/>
      <c r="L56" s="3"/>
      <c r="M56" s="5"/>
      <c r="O56" s="3"/>
      <c r="P56" s="3"/>
      <c r="Q56" s="5"/>
    </row>
    <row r="57" spans="1:18" ht="45" x14ac:dyDescent="0.25">
      <c r="A57" t="s">
        <v>234</v>
      </c>
      <c r="B57" t="s">
        <v>23</v>
      </c>
      <c r="C57" t="s">
        <v>235</v>
      </c>
      <c r="D57" s="4" t="s">
        <v>236</v>
      </c>
      <c r="E57">
        <v>10</v>
      </c>
      <c r="F57" t="s">
        <v>26</v>
      </c>
      <c r="G57" s="3"/>
      <c r="H57" s="3"/>
      <c r="I57" s="5"/>
      <c r="K57" s="3">
        <v>155</v>
      </c>
      <c r="L57" s="3">
        <v>10</v>
      </c>
      <c r="M57" s="5">
        <v>1550</v>
      </c>
      <c r="N57" t="s">
        <v>237</v>
      </c>
      <c r="O57" s="3">
        <v>143</v>
      </c>
      <c r="P57" s="3">
        <v>10</v>
      </c>
      <c r="Q57" s="5">
        <v>1430</v>
      </c>
      <c r="R57" s="4" t="s">
        <v>238</v>
      </c>
    </row>
    <row r="58" spans="1:18" ht="30" x14ac:dyDescent="0.25">
      <c r="A58" t="s">
        <v>239</v>
      </c>
      <c r="B58" t="s">
        <v>23</v>
      </c>
      <c r="C58" t="s">
        <v>240</v>
      </c>
      <c r="D58" s="4" t="s">
        <v>241</v>
      </c>
      <c r="E58">
        <v>50</v>
      </c>
      <c r="F58" t="s">
        <v>26</v>
      </c>
      <c r="G58" s="3">
        <v>159</v>
      </c>
      <c r="H58" s="3">
        <v>50</v>
      </c>
      <c r="I58" s="5">
        <v>7950</v>
      </c>
      <c r="J58" s="4" t="s">
        <v>242</v>
      </c>
      <c r="K58" s="3">
        <v>180</v>
      </c>
      <c r="L58" s="3">
        <v>50</v>
      </c>
      <c r="M58" s="5">
        <v>9000</v>
      </c>
      <c r="N58" t="s">
        <v>243</v>
      </c>
      <c r="O58" s="3"/>
      <c r="P58" s="3"/>
      <c r="Q58" s="5"/>
    </row>
    <row r="59" spans="1:18" ht="30" x14ac:dyDescent="0.25">
      <c r="A59" t="s">
        <v>244</v>
      </c>
      <c r="B59" t="s">
        <v>23</v>
      </c>
      <c r="C59" t="s">
        <v>245</v>
      </c>
      <c r="D59" s="4" t="s">
        <v>246</v>
      </c>
      <c r="E59">
        <v>60</v>
      </c>
      <c r="F59" t="s">
        <v>26</v>
      </c>
      <c r="G59" s="3"/>
      <c r="H59" s="3"/>
      <c r="I59" s="5"/>
      <c r="K59" s="3"/>
      <c r="L59" s="3"/>
      <c r="M59" s="5"/>
      <c r="O59" s="3"/>
      <c r="P59" s="3"/>
      <c r="Q59" s="5"/>
    </row>
    <row r="60" spans="1:18" ht="45" x14ac:dyDescent="0.25">
      <c r="A60" t="s">
        <v>247</v>
      </c>
      <c r="B60" t="s">
        <v>23</v>
      </c>
      <c r="C60" t="s">
        <v>248</v>
      </c>
      <c r="D60" s="4" t="s">
        <v>249</v>
      </c>
      <c r="E60">
        <v>500</v>
      </c>
      <c r="F60" t="s">
        <v>26</v>
      </c>
      <c r="G60" s="3">
        <v>462</v>
      </c>
      <c r="H60" s="3">
        <v>500</v>
      </c>
      <c r="I60" s="5">
        <v>231000</v>
      </c>
      <c r="J60" s="4" t="s">
        <v>250</v>
      </c>
      <c r="K60" s="3">
        <v>555</v>
      </c>
      <c r="L60" s="3">
        <v>500</v>
      </c>
      <c r="M60" s="5">
        <v>277500</v>
      </c>
      <c r="N60" s="4" t="s">
        <v>251</v>
      </c>
      <c r="O60" s="3"/>
      <c r="P60" s="3"/>
      <c r="Q60" s="5"/>
    </row>
    <row r="61" spans="1:18" ht="45" x14ac:dyDescent="0.25">
      <c r="A61" t="s">
        <v>252</v>
      </c>
      <c r="B61" t="s">
        <v>23</v>
      </c>
      <c r="C61" t="s">
        <v>253</v>
      </c>
      <c r="D61" s="4" t="s">
        <v>254</v>
      </c>
      <c r="E61">
        <v>200</v>
      </c>
      <c r="F61" t="s">
        <v>26</v>
      </c>
      <c r="G61" s="3"/>
      <c r="H61" s="3"/>
      <c r="I61" s="5"/>
      <c r="K61" s="3">
        <v>120</v>
      </c>
      <c r="L61" s="3">
        <v>200</v>
      </c>
      <c r="M61" s="5">
        <v>24000</v>
      </c>
      <c r="N61" t="s">
        <v>255</v>
      </c>
      <c r="O61" s="3"/>
      <c r="P61" s="3"/>
      <c r="Q61" s="5"/>
    </row>
    <row r="62" spans="1:18" ht="30" x14ac:dyDescent="0.25">
      <c r="A62" t="s">
        <v>256</v>
      </c>
      <c r="B62" t="s">
        <v>23</v>
      </c>
      <c r="C62" t="s">
        <v>257</v>
      </c>
      <c r="D62" s="4" t="s">
        <v>258</v>
      </c>
      <c r="E62">
        <v>250</v>
      </c>
      <c r="F62" t="s">
        <v>26</v>
      </c>
      <c r="G62" s="3">
        <v>80</v>
      </c>
      <c r="H62" s="3">
        <v>250</v>
      </c>
      <c r="I62" s="5">
        <v>20000</v>
      </c>
      <c r="J62" s="4" t="s">
        <v>259</v>
      </c>
      <c r="K62" s="3">
        <v>75</v>
      </c>
      <c r="L62" s="3">
        <v>250</v>
      </c>
      <c r="M62" s="5">
        <v>18750</v>
      </c>
      <c r="N62" t="s">
        <v>260</v>
      </c>
      <c r="O62" s="3"/>
      <c r="P62" s="3"/>
      <c r="Q62" s="5"/>
    </row>
    <row r="63" spans="1:18" ht="30" x14ac:dyDescent="0.25">
      <c r="A63" t="s">
        <v>261</v>
      </c>
      <c r="B63" t="s">
        <v>23</v>
      </c>
      <c r="C63" t="s">
        <v>262</v>
      </c>
      <c r="D63" s="4" t="s">
        <v>263</v>
      </c>
      <c r="E63">
        <v>15</v>
      </c>
      <c r="F63" t="s">
        <v>26</v>
      </c>
      <c r="G63" s="3"/>
      <c r="H63" s="3"/>
      <c r="I63" s="5"/>
      <c r="K63" s="3"/>
      <c r="L63" s="3"/>
      <c r="M63" s="5"/>
      <c r="O63" s="3"/>
      <c r="P63" s="3"/>
      <c r="Q63" s="5"/>
    </row>
    <row r="64" spans="1:18" ht="30" x14ac:dyDescent="0.25">
      <c r="A64" t="s">
        <v>264</v>
      </c>
      <c r="B64" t="s">
        <v>23</v>
      </c>
      <c r="C64" t="s">
        <v>265</v>
      </c>
      <c r="D64" s="4" t="s">
        <v>266</v>
      </c>
      <c r="E64">
        <v>25</v>
      </c>
      <c r="F64" t="s">
        <v>26</v>
      </c>
      <c r="G64" s="3">
        <v>99</v>
      </c>
      <c r="H64" s="3">
        <v>25</v>
      </c>
      <c r="I64" s="5">
        <v>2475</v>
      </c>
      <c r="J64" s="4" t="s">
        <v>267</v>
      </c>
      <c r="K64" s="3">
        <v>89</v>
      </c>
      <c r="L64" s="3">
        <v>25</v>
      </c>
      <c r="M64" s="5">
        <v>2225</v>
      </c>
      <c r="N64" t="s">
        <v>268</v>
      </c>
      <c r="O64" s="3"/>
      <c r="P64" s="3"/>
      <c r="Q64" s="5"/>
    </row>
    <row r="65" spans="1:18" ht="45" x14ac:dyDescent="0.25">
      <c r="A65" t="s">
        <v>269</v>
      </c>
      <c r="B65" t="s">
        <v>23</v>
      </c>
      <c r="C65" t="s">
        <v>270</v>
      </c>
      <c r="D65" s="4" t="s">
        <v>271</v>
      </c>
      <c r="E65">
        <v>10</v>
      </c>
      <c r="F65" t="s">
        <v>26</v>
      </c>
      <c r="G65" s="3"/>
      <c r="H65" s="3"/>
      <c r="I65" s="5"/>
      <c r="K65" s="3">
        <v>405</v>
      </c>
      <c r="L65" s="3">
        <v>10</v>
      </c>
      <c r="M65" s="5">
        <v>4050</v>
      </c>
      <c r="N65" t="s">
        <v>272</v>
      </c>
      <c r="O65" s="3"/>
      <c r="P65" s="3"/>
      <c r="Q65" s="5"/>
    </row>
    <row r="66" spans="1:18" ht="30" x14ac:dyDescent="0.25">
      <c r="A66" t="s">
        <v>273</v>
      </c>
      <c r="B66" t="s">
        <v>23</v>
      </c>
      <c r="C66" t="s">
        <v>274</v>
      </c>
      <c r="D66" s="4" t="s">
        <v>275</v>
      </c>
      <c r="E66">
        <v>2000</v>
      </c>
      <c r="F66" t="s">
        <v>26</v>
      </c>
      <c r="G66" s="3">
        <v>164</v>
      </c>
      <c r="H66" s="3">
        <v>2000</v>
      </c>
      <c r="I66" s="5">
        <v>328000</v>
      </c>
      <c r="J66" s="4" t="s">
        <v>276</v>
      </c>
      <c r="K66" s="3">
        <v>240</v>
      </c>
      <c r="L66" s="3">
        <v>2000</v>
      </c>
      <c r="M66" s="5">
        <v>480000</v>
      </c>
      <c r="N66" s="4" t="s">
        <v>277</v>
      </c>
      <c r="O66" s="3"/>
      <c r="P66" s="3"/>
      <c r="Q66" s="5"/>
    </row>
    <row r="67" spans="1:18" ht="60" x14ac:dyDescent="0.25">
      <c r="A67" t="s">
        <v>278</v>
      </c>
      <c r="B67" t="s">
        <v>23</v>
      </c>
      <c r="C67" t="s">
        <v>279</v>
      </c>
      <c r="D67" s="4" t="s">
        <v>280</v>
      </c>
      <c r="E67">
        <v>350</v>
      </c>
      <c r="F67" t="s">
        <v>26</v>
      </c>
      <c r="G67" s="3"/>
      <c r="H67" s="3"/>
      <c r="I67" s="5"/>
      <c r="K67" s="3">
        <v>115</v>
      </c>
      <c r="L67" s="3">
        <v>350</v>
      </c>
      <c r="M67" s="5">
        <v>40250</v>
      </c>
      <c r="N67" t="s">
        <v>281</v>
      </c>
      <c r="O67" s="3"/>
      <c r="P67" s="3"/>
      <c r="Q67" s="5"/>
    </row>
    <row r="68" spans="1:18" ht="45" x14ac:dyDescent="0.25">
      <c r="A68" t="s">
        <v>282</v>
      </c>
      <c r="B68" t="s">
        <v>23</v>
      </c>
      <c r="C68" t="s">
        <v>283</v>
      </c>
      <c r="D68" s="4" t="s">
        <v>284</v>
      </c>
      <c r="E68">
        <v>350</v>
      </c>
      <c r="F68" t="s">
        <v>26</v>
      </c>
      <c r="G68" s="3"/>
      <c r="H68" s="3"/>
      <c r="I68" s="5"/>
      <c r="K68" s="3">
        <v>225</v>
      </c>
      <c r="L68" s="3">
        <v>350</v>
      </c>
      <c r="M68" s="5">
        <v>78750</v>
      </c>
      <c r="N68" s="4" t="s">
        <v>285</v>
      </c>
      <c r="O68" s="3"/>
      <c r="P68" s="3"/>
      <c r="Q68" s="5"/>
    </row>
    <row r="69" spans="1:18" ht="45" x14ac:dyDescent="0.25">
      <c r="A69" t="s">
        <v>286</v>
      </c>
      <c r="B69" t="s">
        <v>23</v>
      </c>
      <c r="C69" t="s">
        <v>287</v>
      </c>
      <c r="D69" s="4" t="s">
        <v>288</v>
      </c>
      <c r="E69">
        <v>500</v>
      </c>
      <c r="F69" t="s">
        <v>26</v>
      </c>
      <c r="G69" s="3"/>
      <c r="H69" s="3"/>
      <c r="I69" s="5"/>
      <c r="K69" s="3">
        <v>135</v>
      </c>
      <c r="L69" s="3">
        <v>500</v>
      </c>
      <c r="M69" s="5">
        <v>67500</v>
      </c>
      <c r="N69" t="s">
        <v>289</v>
      </c>
      <c r="O69" s="3"/>
      <c r="P69" s="3"/>
      <c r="Q69" s="5"/>
    </row>
    <row r="70" spans="1:18" ht="45" x14ac:dyDescent="0.25">
      <c r="A70" t="s">
        <v>290</v>
      </c>
      <c r="B70" t="s">
        <v>23</v>
      </c>
      <c r="C70" t="s">
        <v>291</v>
      </c>
      <c r="D70" s="4" t="s">
        <v>292</v>
      </c>
      <c r="E70">
        <v>500</v>
      </c>
      <c r="F70" t="s">
        <v>26</v>
      </c>
      <c r="G70" s="3">
        <v>115</v>
      </c>
      <c r="H70" s="3">
        <v>500</v>
      </c>
      <c r="I70" s="5">
        <v>57500</v>
      </c>
      <c r="J70" s="4" t="s">
        <v>293</v>
      </c>
      <c r="K70" s="3">
        <v>125</v>
      </c>
      <c r="L70" s="3">
        <v>500</v>
      </c>
      <c r="M70" s="5">
        <v>62500</v>
      </c>
      <c r="N70" s="4" t="s">
        <v>294</v>
      </c>
      <c r="O70" s="3"/>
      <c r="P70" s="3"/>
      <c r="Q70" s="5"/>
    </row>
    <row r="71" spans="1:18" ht="30" x14ac:dyDescent="0.25">
      <c r="A71" t="s">
        <v>295</v>
      </c>
      <c r="B71" t="s">
        <v>23</v>
      </c>
      <c r="C71" t="s">
        <v>296</v>
      </c>
      <c r="D71" s="4" t="s">
        <v>297</v>
      </c>
      <c r="E71">
        <v>50</v>
      </c>
      <c r="F71" t="s">
        <v>26</v>
      </c>
      <c r="G71" s="3">
        <v>377.4</v>
      </c>
      <c r="H71" s="3">
        <v>50</v>
      </c>
      <c r="I71" s="5">
        <v>18870</v>
      </c>
      <c r="J71" s="4" t="s">
        <v>298</v>
      </c>
      <c r="K71" s="3">
        <v>350</v>
      </c>
      <c r="L71" s="3">
        <v>50</v>
      </c>
      <c r="M71" s="5">
        <v>17500</v>
      </c>
      <c r="N71" t="s">
        <v>299</v>
      </c>
      <c r="O71" s="3">
        <v>325.5</v>
      </c>
      <c r="P71" s="3">
        <v>50</v>
      </c>
      <c r="Q71" s="5">
        <v>16275</v>
      </c>
      <c r="R71" t="s">
        <v>300</v>
      </c>
    </row>
    <row r="72" spans="1:18" ht="30" x14ac:dyDescent="0.25">
      <c r="A72" t="s">
        <v>301</v>
      </c>
      <c r="B72" t="s">
        <v>23</v>
      </c>
      <c r="C72" t="s">
        <v>302</v>
      </c>
      <c r="D72" s="4" t="s">
        <v>303</v>
      </c>
      <c r="E72">
        <v>50</v>
      </c>
      <c r="F72" t="s">
        <v>26</v>
      </c>
      <c r="G72" s="3">
        <v>363.8</v>
      </c>
      <c r="H72" s="3">
        <v>50</v>
      </c>
      <c r="I72" s="5">
        <v>18190</v>
      </c>
      <c r="J72" s="4" t="s">
        <v>304</v>
      </c>
      <c r="K72" s="3">
        <v>265</v>
      </c>
      <c r="L72" s="3">
        <v>50</v>
      </c>
      <c r="M72" s="5">
        <v>13250</v>
      </c>
      <c r="N72" t="s">
        <v>305</v>
      </c>
      <c r="O72" s="3">
        <v>247</v>
      </c>
      <c r="P72" s="3">
        <v>50</v>
      </c>
      <c r="Q72" s="5">
        <v>12350</v>
      </c>
      <c r="R72" s="4" t="s">
        <v>306</v>
      </c>
    </row>
    <row r="73" spans="1:18" ht="60" x14ac:dyDescent="0.25">
      <c r="A73" t="s">
        <v>307</v>
      </c>
      <c r="B73" t="s">
        <v>23</v>
      </c>
      <c r="C73" t="s">
        <v>308</v>
      </c>
      <c r="D73" s="4" t="s">
        <v>309</v>
      </c>
      <c r="E73">
        <v>25</v>
      </c>
      <c r="F73" t="s">
        <v>26</v>
      </c>
      <c r="G73" s="3">
        <v>663</v>
      </c>
      <c r="H73" s="3">
        <v>25</v>
      </c>
      <c r="I73" s="5">
        <v>16575</v>
      </c>
      <c r="J73" s="4" t="s">
        <v>310</v>
      </c>
      <c r="K73" s="3">
        <v>835</v>
      </c>
      <c r="L73" s="3">
        <v>25</v>
      </c>
      <c r="M73" s="5">
        <v>20875</v>
      </c>
      <c r="N73" t="s">
        <v>311</v>
      </c>
      <c r="O73" s="3"/>
      <c r="P73" s="3"/>
      <c r="Q73" s="5"/>
    </row>
    <row r="74" spans="1:18" x14ac:dyDescent="0.25">
      <c r="C74" t="s">
        <v>312</v>
      </c>
      <c r="D74" s="4"/>
      <c r="G74" s="3"/>
      <c r="H74" s="3"/>
      <c r="I74" s="5">
        <f>SUBTOTAL(109,Table2[Total por renglón])</f>
        <v>4174210</v>
      </c>
      <c r="J74" s="4"/>
      <c r="K74" s="3"/>
      <c r="L74" s="3"/>
      <c r="M74" s="5">
        <f>SUBTOTAL(109,Table3[Total por renglón])</f>
        <v>7039090</v>
      </c>
      <c r="O74" s="3"/>
      <c r="P74" s="3"/>
      <c r="Q74" s="5">
        <f>SUBTOTAL(109,Table4[Total por renglón])</f>
        <v>323955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mhpdp</cp:lastModifiedBy>
  <dcterms:created xsi:type="dcterms:W3CDTF">2022-11-17T12:50:52Z</dcterms:created>
  <dcterms:modified xsi:type="dcterms:W3CDTF">2022-11-17T13:40:25Z</dcterms:modified>
</cp:coreProperties>
</file>