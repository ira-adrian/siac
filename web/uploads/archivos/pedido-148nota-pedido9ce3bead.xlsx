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19420" windowHeight="7610" tabRatio="599"/>
  </bookViews>
  <sheets>
    <sheet name="Necesidades Trimestrales " sheetId="3" r:id="rId1"/>
    <sheet name=" NotaPedido FARMACIA" sheetId="4" r:id="rId2"/>
    <sheet name="APG FARMACIA " sheetId="5" r:id="rId3"/>
  </sheets>
  <definedNames>
    <definedName name="_xlnm._FilterDatabase" localSheetId="0" hidden="1">'Necesidades Trimestrales '!$A$9:$I$9</definedName>
    <definedName name="_xlnm.Print_Area" localSheetId="1">' NotaPedido FARMACIA'!$A$1:$K$76</definedName>
    <definedName name="_xlnm.Print_Area" localSheetId="2">'APG FARMACIA '!$A$1:$Q$25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4" l="1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12" i="4"/>
  <c r="J75" i="4" l="1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10" i="3"/>
  <c r="I73" i="3" l="1"/>
  <c r="Q15" i="5" s="1"/>
  <c r="Q21" i="5" s="1"/>
</calcChain>
</file>

<file path=xl/sharedStrings.xml><?xml version="1.0" encoding="utf-8"?>
<sst xmlns="http://schemas.openxmlformats.org/spreadsheetml/2006/main" count="724" uniqueCount="148">
  <si>
    <t>UNIDAD DE MEDIDA</t>
  </si>
  <si>
    <t>AGUA DESTILADA EN SACHET X 500 ML</t>
  </si>
  <si>
    <t>CLORURO DE POTASIO 223 MG/ML AMPOLLA</t>
  </si>
  <si>
    <t>CLORURO DE SODIO AL 20% AMPOLLAS</t>
  </si>
  <si>
    <t>FENTANILO 250 MCG INYECTABLE</t>
  </si>
  <si>
    <t>MORFINA 10 MG AMPOLLA</t>
  </si>
  <si>
    <t>SUCCINILCOLINA 500 MG FCO AMP</t>
  </si>
  <si>
    <t>ATRACURIUM 50 MG AMPOLLA</t>
  </si>
  <si>
    <t>AMPICILINA + SULBACTAM 1,5 MG FCO AMPOLLA</t>
  </si>
  <si>
    <t>AMOXICILINA + CLAVULANICO 1 G COMPRIMIDO</t>
  </si>
  <si>
    <t>METRONIDAZOL 500 MG SACHET</t>
  </si>
  <si>
    <t xml:space="preserve">AZITROMICINA 500 MG COMPRIMIDOS </t>
  </si>
  <si>
    <t>CLARITROMICINA 500 MG COMPRIMIDO</t>
  </si>
  <si>
    <t>CLINDAMICINA 600 MG AMPOLLA</t>
  </si>
  <si>
    <t>CEFTAZIDIMA 1G FCO AMPOLLA</t>
  </si>
  <si>
    <t>HIDROCORTISONA 500 MG FCO AMPOLLA</t>
  </si>
  <si>
    <t>SALBUTAMOL GOTAS</t>
  </si>
  <si>
    <t>IBUPROFENO 400 MG COMPRIMIDO</t>
  </si>
  <si>
    <t>PARACETAMOL 500 MG COMPRIMIDO</t>
  </si>
  <si>
    <t>DEXAMETASONA 8 MG AMPOLLA</t>
  </si>
  <si>
    <t>CLONIDINA AMPOLLAS</t>
  </si>
  <si>
    <t>DOBUTAMINA AMPOLLA</t>
  </si>
  <si>
    <t>NORADRENALINA AMPOLLA</t>
  </si>
  <si>
    <t>OMEPRAZOL 40 MG FCO AMP ENDOVENOSO</t>
  </si>
  <si>
    <t>HEPARINA SODICA 5000 UI FCO AMPOLLA</t>
  </si>
  <si>
    <t>ENOXAPARINA 40 MG AMPOLLA PRELLENA</t>
  </si>
  <si>
    <t>ALBUMINA 20% X 50 ML</t>
  </si>
  <si>
    <t>GELATINA AL 4% SACHET X 500 ML</t>
  </si>
  <si>
    <t>NITROPRUSIATO SODIO 50 MG VIAL</t>
  </si>
  <si>
    <t>FLUCONAZOL 200 MG SACHET 100 ML</t>
  </si>
  <si>
    <t>IBUPROFENO 2% SUSPENSIÓN</t>
  </si>
  <si>
    <t>ACIDO ACETIL SALICILICO 500 MG COMPRIMIDO</t>
  </si>
  <si>
    <t>REMIFENTANILO 5 MG FCO AMPOLLA</t>
  </si>
  <si>
    <t>DIAZEPAM 10 MG AMPOLLA</t>
  </si>
  <si>
    <t>BUDESONIDE AEROSOL 200 MCG/PUFF ( 100 DOSIS )</t>
  </si>
  <si>
    <t>VITAMINA C 2 GR COMPRIMIDO EFERVESCENTES</t>
  </si>
  <si>
    <t>GLUCONATO DE CALCIO 10 % AMPOLLA</t>
  </si>
  <si>
    <t>HIDROCORTISONA 100 MG FCO AMPOLLA</t>
  </si>
  <si>
    <t>DOPAMINA 200 MG  AMPOLLA</t>
  </si>
  <si>
    <t>NITROGLICERINA 25 MG AMPOLLA</t>
  </si>
  <si>
    <t xml:space="preserve">AMOXICILINA  400 MG + CLAULANICO 57 MG  SUSPENSIÓN </t>
  </si>
  <si>
    <t>COTRIMOXAZOL(TRIMETOPRINA +SULFAMETOXAZOL)80MG/400MG AMPOLLA</t>
  </si>
  <si>
    <t>CLARITROMICINA 250 MG SUSPENSIÓN X 90 ML</t>
  </si>
  <si>
    <t>AZITROMICINA 200 MG / 5 ML SUSPENCION</t>
  </si>
  <si>
    <t>VANCOMICINA 1000 MG FCO AMP</t>
  </si>
  <si>
    <t>ALIMENTACION ENTERAL X 500 ML TIPO DIBEN</t>
  </si>
  <si>
    <t>CEFTRIAXONA 1 GR FCO AMPOLLA *</t>
  </si>
  <si>
    <t>GENTAMICINA 80 MG AMPOLLA</t>
  </si>
  <si>
    <t>PARACETAMOL 2% JARABE</t>
  </si>
  <si>
    <t>VECURONIO BROMURO 10 MG AMPOLLA</t>
  </si>
  <si>
    <t xml:space="preserve">SALBUTAMOL AEROSOL CON  AEROCAMARA </t>
  </si>
  <si>
    <t>IPRATROPIO SOLUCION PARA NEBULIZAR 0,1%GOTAS</t>
  </si>
  <si>
    <t>PANCURONIO 4 MG/ ML</t>
  </si>
  <si>
    <t>DEXMETOMIDINA 200MG /2 ML</t>
  </si>
  <si>
    <t>SUCRALFATO SUSPENSIÓN 1GR/ML x 200 ml</t>
  </si>
  <si>
    <t>KETAMINA 50MG/ML FCO AMPOLLA</t>
  </si>
  <si>
    <t>METRONIDAZOL 500 MG COMPRIMIDO</t>
  </si>
  <si>
    <t>PIPERACILINA 4 GRS + TAZOBACTAM 500 MG FCO AMPOLLA</t>
  </si>
  <si>
    <t>IMIPENEM+CILASTATINA 500MG FCO AMPOLLA</t>
  </si>
  <si>
    <t>ENOXAPARINA 80 MG AMPOLLA PRELLENADA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</si>
  <si>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</si>
  <si>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</si>
  <si>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</si>
  <si>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</si>
  <si>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</si>
  <si>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</si>
  <si>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</si>
  <si>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</si>
  <si>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</si>
  <si>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</si>
  <si>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</si>
  <si>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</si>
  <si>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</si>
  <si>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CANTIDAD TOTAL</t>
  </si>
  <si>
    <t>PRECIO UNITARIO ESTIMADO</t>
  </si>
  <si>
    <t xml:space="preserve">IMPORTE TOTAL ESTIMADO </t>
  </si>
  <si>
    <t>PROD. MEDICO/FARMACEUTICOS/LAB</t>
  </si>
  <si>
    <t>UNIDAD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</si>
  <si>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</si>
  <si>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</si>
  <si>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</si>
  <si>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</si>
  <si>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</si>
  <si>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</si>
  <si>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</si>
  <si>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</si>
  <si>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</si>
  <si>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</si>
  <si>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</si>
  <si>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</si>
  <si>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</si>
  <si>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</si>
  <si>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</si>
  <si>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</si>
  <si>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</si>
  <si>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</si>
  <si>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</si>
  <si>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</si>
  <si>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</si>
  <si>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</si>
  <si>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</si>
  <si>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</si>
  <si>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</si>
  <si>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</si>
  <si>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</si>
  <si>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</si>
  <si>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</si>
  <si>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</si>
  <si>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</si>
  <si>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</si>
  <si>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</si>
  <si>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</si>
  <si>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</si>
  <si>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</si>
  <si>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</si>
  <si>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</si>
  <si>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</si>
  <si>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</si>
  <si>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</si>
  <si>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</si>
  <si>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</si>
  <si>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</si>
  <si>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</si>
  <si>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</si>
  <si>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</si>
  <si>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</si>
  <si>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</si>
  <si>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</si>
  <si>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</si>
  <si>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634,68</t>
  </si>
  <si>
    <t>460,95</t>
  </si>
  <si>
    <t>482,31</t>
  </si>
  <si>
    <t>387,20</t>
  </si>
  <si>
    <t>740,25</t>
  </si>
  <si>
    <t>32,20</t>
  </si>
  <si>
    <t>Adquisicion de Medicamentos para la atencion de pacientes COVID-19</t>
  </si>
  <si>
    <t>INMUNOGLOBULINAS FRAGMENTOS ANTI SARS-COV 2 30MG/ML TIPO COVIFAB</t>
  </si>
  <si>
    <t>TOTAL</t>
  </si>
  <si>
    <t>DETALLE TECNICO Y ESPECIFICACIONES</t>
  </si>
  <si>
    <t>veinte (20) dias corridos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</si>
  <si>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</si>
  <si>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Autorizo la realización de los  trámites correspondientes, a fin de proveer a  este Organismo los bienes que se detallan en Nota de pedido y Entrega N°31/2021,  afectando la erogación resultante a los créditos presupuestarios aprobados a favor de esta Unidad Ejecutora, conforme al siguiente detalle:</t>
  </si>
  <si>
    <t xml:space="preserve"> 31/2021</t>
  </si>
  <si>
    <t>LORAZEPAM 4 MG/2ML AMPOLLA</t>
  </si>
  <si>
    <t>MINOCICLINA 100 MG COMPRIMIDOS</t>
  </si>
  <si>
    <t>PARACETAMOL 1GR ML FRASCO AMPOLLA</t>
  </si>
  <si>
    <t>Costo total estimado: CIENTO TREINTA MILLONES SEISCIENTOS TREINTA Y DOS MIL OCHOCIENTOS OCHENTA Y TRES CON 40/100</t>
  </si>
  <si>
    <t>TOTAL DE PESOS: CIENTO TREINTA MILLONES SEISCIENTOS TREINTA Y DOS MIL OCHOCIENTOS OCHENTA Y TRES CON 40/100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</si>
</sst>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&quot;$&quot;#,##0.00"/>
    <numFmt numFmtId="172" formatCode="_(\$* #,##0.00_);_(\$* \(#,##0.00\);_(\$* \-??_);_(@_)"/>
    <numFmt numFmtId="173" formatCode="dd\-mm\-yy;@"/>
    <numFmt numFmtId="174" formatCode="[$$-2C0A]\ #,##0.00;[$$-2C0A]&quot; -&quot;#,##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charset val="1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167" fontId="2" fillId="0" borderId="0" applyBorder="0" applyProtection="0"/>
    <xf numFmtId="0" fontId="17" fillId="0" borderId="13" applyProtection="0"/>
    <xf numFmtId="0" fontId="17" fillId="0" borderId="13" applyProtection="0"/>
    <xf numFmtId="43" fontId="1" fillId="0" borderId="0" applyFont="0" applyFill="0" applyBorder="0" applyAlignment="0" applyProtection="0"/>
    <xf numFmtId="165" fontId="2" fillId="0" borderId="0" applyBorder="0" applyAlignment="0" applyProtection="0"/>
    <xf numFmtId="167" fontId="2" fillId="0" borderId="0" applyBorder="0" applyProtection="0"/>
    <xf numFmtId="167" fontId="2" fillId="0" borderId="0" applyBorder="0" applyProtection="0"/>
    <xf numFmtId="172" fontId="18" fillId="0" borderId="0" applyBorder="0" applyProtection="0"/>
    <xf numFmtId="0" fontId="19" fillId="3" borderId="0" applyBorder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194">
    <xf numFmtId="0" fontId="0" fillId="0" borderId="0" xfId="0"/>
    <xf numFmtId="3" fontId="3" fillId="2" borderId="8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3" fontId="6" fillId="2" borderId="2" xfId="5" applyNumberFormat="1" applyFont="1" applyFill="1" applyBorder="1" applyAlignment="1">
      <alignment horizontal="center" vertical="center" wrapText="1"/>
    </xf>
    <xf numFmtId="0" fontId="7" fillId="0" borderId="0" xfId="5" applyFont="1" applyAlignment="1">
      <alignment horizontal="center" wrapText="1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horizontal="center"/>
    </xf>
    <xf numFmtId="0" fontId="8" fillId="0" borderId="0" xfId="5" applyFont="1" applyAlignment="1">
      <alignment horizontal="center" vertical="center" wrapText="1"/>
    </xf>
    <xf numFmtId="3" fontId="8" fillId="0" borderId="0" xfId="5" applyNumberFormat="1" applyFont="1" applyAlignment="1">
      <alignment horizontal="center" vertical="center"/>
    </xf>
    <xf numFmtId="166" fontId="6" fillId="0" borderId="0" xfId="6" applyNumberFormat="1" applyFont="1" applyAlignment="1">
      <alignment vertical="center"/>
    </xf>
    <xf numFmtId="168" fontId="8" fillId="0" borderId="0" xfId="5" applyNumberFormat="1" applyFont="1" applyAlignment="1">
      <alignment vertical="center"/>
    </xf>
    <xf numFmtId="0" fontId="8" fillId="0" borderId="0" xfId="5" applyFont="1"/>
    <xf numFmtId="0" fontId="12" fillId="0" borderId="0" xfId="5" applyFont="1" applyAlignment="1">
      <alignment horizontal="center" wrapText="1"/>
    </xf>
    <xf numFmtId="3" fontId="12" fillId="0" borderId="0" xfId="5" applyNumberFormat="1" applyFont="1" applyAlignment="1">
      <alignment horizontal="center" vertical="center" wrapText="1"/>
    </xf>
    <xf numFmtId="0" fontId="11" fillId="0" borderId="0" xfId="5" applyFont="1" applyFill="1" applyAlignment="1">
      <alignment horizontal="left" vertical="center" wrapText="1"/>
    </xf>
    <xf numFmtId="0" fontId="13" fillId="0" borderId="0" xfId="5" applyFont="1" applyFill="1" applyAlignment="1">
      <alignment horizontal="left" wrapText="1"/>
    </xf>
    <xf numFmtId="0" fontId="13" fillId="0" borderId="0" xfId="5" applyFont="1" applyFill="1" applyAlignment="1">
      <alignment horizontal="left" vertical="center" wrapText="1"/>
    </xf>
    <xf numFmtId="0" fontId="14" fillId="0" borderId="0" xfId="5" applyFont="1" applyAlignment="1">
      <alignment horizontal="center" wrapText="1"/>
    </xf>
    <xf numFmtId="0" fontId="12" fillId="0" borderId="0" xfId="5" applyFont="1" applyAlignment="1">
      <alignment horizontal="center" vertical="center" wrapText="1"/>
    </xf>
    <xf numFmtId="0" fontId="15" fillId="0" borderId="2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 wrapText="1"/>
    </xf>
    <xf numFmtId="3" fontId="15" fillId="0" borderId="2" xfId="5" applyNumberFormat="1" applyFont="1" applyBorder="1" applyAlignment="1">
      <alignment horizontal="center" vertical="center" wrapText="1"/>
    </xf>
    <xf numFmtId="166" fontId="6" fillId="0" borderId="2" xfId="6" applyNumberFormat="1" applyFont="1" applyBorder="1" applyAlignment="1">
      <alignment vertical="center" wrapText="1"/>
    </xf>
    <xf numFmtId="168" fontId="15" fillId="0" borderId="2" xfId="5" applyNumberFormat="1" applyFont="1" applyBorder="1" applyAlignment="1">
      <alignment vertical="center" wrapText="1"/>
    </xf>
    <xf numFmtId="0" fontId="16" fillId="0" borderId="0" xfId="5" applyFont="1" applyAlignment="1">
      <alignment wrapText="1"/>
    </xf>
    <xf numFmtId="0" fontId="8" fillId="2" borderId="2" xfId="5" applyFont="1" applyFill="1" applyBorder="1" applyAlignment="1">
      <alignment horizontal="center" vertical="center"/>
    </xf>
    <xf numFmtId="0" fontId="7" fillId="2" borderId="2" xfId="5" applyFont="1" applyFill="1" applyBorder="1" applyAlignment="1">
      <alignment horizontal="center" wrapText="1"/>
    </xf>
    <xf numFmtId="0" fontId="4" fillId="2" borderId="1" xfId="5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/>
    </xf>
    <xf numFmtId="0" fontId="2" fillId="2" borderId="2" xfId="5" applyFont="1" applyFill="1" applyBorder="1" applyAlignment="1">
      <alignment horizontal="left" vertical="center" wrapText="1"/>
    </xf>
    <xf numFmtId="168" fontId="8" fillId="2" borderId="2" xfId="5" applyNumberFormat="1" applyFont="1" applyFill="1" applyBorder="1" applyAlignment="1">
      <alignment vertical="center"/>
    </xf>
    <xf numFmtId="170" fontId="8" fillId="2" borderId="0" xfId="5" applyNumberFormat="1" applyFont="1" applyFill="1"/>
    <xf numFmtId="0" fontId="8" fillId="2" borderId="0" xfId="5" applyFont="1" applyFill="1"/>
    <xf numFmtId="0" fontId="3" fillId="2" borderId="2" xfId="5" applyFont="1" applyFill="1" applyBorder="1" applyAlignment="1">
      <alignment horizontal="left" vertical="center" wrapText="1"/>
    </xf>
    <xf numFmtId="0" fontId="2" fillId="2" borderId="12" xfId="5" applyFont="1" applyFill="1" applyBorder="1" applyAlignment="1">
      <alignment horizontal="left" vertical="center" wrapText="1"/>
    </xf>
    <xf numFmtId="3" fontId="8" fillId="2" borderId="2" xfId="5" applyNumberFormat="1" applyFont="1" applyFill="1" applyBorder="1" applyAlignment="1">
      <alignment horizontal="center" vertical="center"/>
    </xf>
    <xf numFmtId="0" fontId="8" fillId="2" borderId="0" xfId="5" applyFont="1" applyFill="1" applyAlignment="1">
      <alignment horizontal="center" vertical="center"/>
    </xf>
    <xf numFmtId="0" fontId="8" fillId="2" borderId="0" xfId="5" applyFont="1" applyFill="1" applyAlignment="1">
      <alignment horizontal="center"/>
    </xf>
    <xf numFmtId="3" fontId="8" fillId="2" borderId="0" xfId="5" applyNumberFormat="1" applyFont="1" applyFill="1" applyAlignment="1">
      <alignment horizontal="center" vertical="center"/>
    </xf>
    <xf numFmtId="166" fontId="6" fillId="2" borderId="0" xfId="6" applyNumberFormat="1" applyFont="1" applyFill="1" applyAlignment="1">
      <alignment vertical="center"/>
    </xf>
    <xf numFmtId="168" fontId="8" fillId="2" borderId="0" xfId="5" applyNumberFormat="1" applyFont="1" applyFill="1" applyAlignment="1">
      <alignment vertical="center"/>
    </xf>
    <xf numFmtId="0" fontId="7" fillId="2" borderId="0" xfId="5" applyFont="1" applyFill="1" applyAlignment="1">
      <alignment horizontal="center" wrapText="1"/>
    </xf>
    <xf numFmtId="0" fontId="8" fillId="2" borderId="0" xfId="5" applyFont="1" applyFill="1" applyAlignment="1">
      <alignment horizontal="center" vertical="center" wrapText="1"/>
    </xf>
    <xf numFmtId="0" fontId="8" fillId="2" borderId="0" xfId="5" applyFont="1" applyFill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20" fillId="0" borderId="14" xfId="24" applyFont="1" applyBorder="1" applyAlignment="1">
      <alignment horizontal="right" vertical="center"/>
    </xf>
    <xf numFmtId="17" fontId="21" fillId="4" borderId="15" xfId="24" applyNumberFormat="1" applyFont="1" applyFill="1" applyBorder="1" applyAlignment="1">
      <alignment horizontal="center" vertical="center"/>
    </xf>
    <xf numFmtId="0" fontId="18" fillId="0" borderId="0" xfId="24" applyFont="1" applyBorder="1" applyAlignment="1">
      <alignment vertical="center"/>
    </xf>
    <xf numFmtId="0" fontId="20" fillId="0" borderId="16" xfId="24" applyFont="1" applyBorder="1" applyAlignment="1">
      <alignment vertical="center"/>
    </xf>
    <xf numFmtId="0" fontId="20" fillId="0" borderId="0" xfId="24" applyFont="1" applyBorder="1" applyAlignment="1">
      <alignment vertical="center"/>
    </xf>
    <xf numFmtId="0" fontId="22" fillId="0" borderId="0" xfId="24" applyFont="1" applyBorder="1" applyAlignment="1">
      <alignment horizontal="left" vertical="center"/>
    </xf>
    <xf numFmtId="0" fontId="21" fillId="0" borderId="0" xfId="24" applyFont="1" applyBorder="1" applyAlignment="1">
      <alignment horizontal="left" vertical="center" wrapText="1" indent="1"/>
    </xf>
    <xf numFmtId="0" fontId="24" fillId="2" borderId="22" xfId="24" applyFont="1" applyFill="1" applyBorder="1" applyAlignment="1">
      <alignment horizontal="center" vertical="center"/>
    </xf>
    <xf numFmtId="0" fontId="24" fillId="2" borderId="22" xfId="24" applyFont="1" applyFill="1" applyBorder="1" applyAlignment="1">
      <alignment horizontal="left" vertical="center"/>
    </xf>
    <xf numFmtId="0" fontId="24" fillId="4" borderId="22" xfId="24" applyFont="1" applyFill="1" applyBorder="1" applyAlignment="1">
      <alignment horizontal="center" vertical="center"/>
    </xf>
    <xf numFmtId="44" fontId="25" fillId="2" borderId="0" xfId="24" applyNumberFormat="1" applyFont="1" applyFill="1" applyBorder="1" applyAlignment="1">
      <alignment vertical="center"/>
    </xf>
    <xf numFmtId="0" fontId="24" fillId="2" borderId="26" xfId="24" applyFont="1" applyFill="1" applyBorder="1" applyAlignment="1">
      <alignment horizontal="center" vertical="center"/>
    </xf>
    <xf numFmtId="0" fontId="24" fillId="2" borderId="26" xfId="24" applyFont="1" applyFill="1" applyBorder="1" applyAlignment="1">
      <alignment horizontal="left" vertical="center"/>
    </xf>
    <xf numFmtId="44" fontId="18" fillId="0" borderId="0" xfId="24" applyNumberFormat="1" applyFont="1" applyBorder="1" applyAlignment="1">
      <alignment vertical="center"/>
    </xf>
    <xf numFmtId="0" fontId="2" fillId="0" borderId="0" xfId="24"/>
    <xf numFmtId="44" fontId="2" fillId="0" borderId="0" xfId="24" applyNumberFormat="1"/>
    <xf numFmtId="3" fontId="27" fillId="0" borderId="0" xfId="24" applyNumberFormat="1" applyFont="1" applyBorder="1" applyAlignment="1"/>
    <xf numFmtId="173" fontId="2" fillId="0" borderId="0" xfId="24" applyNumberFormat="1" applyAlignment="1">
      <alignment horizontal="left"/>
    </xf>
    <xf numFmtId="0" fontId="2" fillId="0" borderId="0" xfId="24" applyAlignment="1">
      <alignment horizontal="left"/>
    </xf>
    <xf numFmtId="0" fontId="18" fillId="0" borderId="0" xfId="24" applyFont="1"/>
    <xf numFmtId="0" fontId="2" fillId="0" borderId="0" xfId="24" applyBorder="1"/>
    <xf numFmtId="0" fontId="2" fillId="0" borderId="14" xfId="24" applyBorder="1"/>
    <xf numFmtId="0" fontId="2" fillId="0" borderId="32" xfId="24" applyBorder="1"/>
    <xf numFmtId="0" fontId="2" fillId="0" borderId="16" xfId="24" applyBorder="1"/>
    <xf numFmtId="0" fontId="2" fillId="0" borderId="16" xfId="24" applyBorder="1" applyAlignment="1">
      <alignment horizontal="left"/>
    </xf>
    <xf numFmtId="0" fontId="2" fillId="0" borderId="33" xfId="24" applyBorder="1"/>
    <xf numFmtId="0" fontId="31" fillId="0" borderId="36" xfId="24" applyFont="1" applyBorder="1" applyAlignment="1">
      <alignment horizontal="center" vertical="center"/>
    </xf>
    <xf numFmtId="0" fontId="31" fillId="0" borderId="37" xfId="24" applyFont="1" applyBorder="1" applyAlignment="1">
      <alignment horizontal="center" vertical="center"/>
    </xf>
    <xf numFmtId="0" fontId="31" fillId="0" borderId="37" xfId="24" applyFont="1" applyBorder="1" applyAlignment="1">
      <alignment horizontal="left" vertical="center"/>
    </xf>
    <xf numFmtId="0" fontId="31" fillId="0" borderId="38" xfId="24" applyFont="1" applyBorder="1" applyAlignment="1">
      <alignment horizontal="center" vertical="center"/>
    </xf>
    <xf numFmtId="0" fontId="31" fillId="0" borderId="39" xfId="24" applyFont="1" applyBorder="1" applyAlignment="1">
      <alignment horizontal="center" vertical="center"/>
    </xf>
    <xf numFmtId="0" fontId="2" fillId="0" borderId="40" xfId="24" applyFont="1" applyBorder="1" applyAlignment="1">
      <alignment horizontal="center" vertical="center"/>
    </xf>
    <xf numFmtId="0" fontId="2" fillId="0" borderId="41" xfId="24" applyFont="1" applyBorder="1" applyAlignment="1">
      <alignment horizontal="center" vertical="center"/>
    </xf>
    <xf numFmtId="0" fontId="2" fillId="0" borderId="42" xfId="24" applyFont="1" applyBorder="1" applyAlignment="1">
      <alignment horizontal="center" vertical="center"/>
    </xf>
    <xf numFmtId="0" fontId="2" fillId="0" borderId="43" xfId="24" applyFont="1" applyBorder="1" applyAlignment="1">
      <alignment horizontal="center" vertical="center"/>
    </xf>
    <xf numFmtId="174" fontId="0" fillId="0" borderId="44" xfId="13" applyNumberFormat="1" applyFont="1" applyBorder="1" applyAlignment="1" applyProtection="1">
      <alignment horizontal="center" vertical="center"/>
    </xf>
    <xf numFmtId="0" fontId="29" fillId="0" borderId="40" xfId="24" applyFont="1" applyBorder="1" applyAlignment="1">
      <alignment horizontal="center" vertical="center"/>
    </xf>
    <xf numFmtId="0" fontId="29" fillId="0" borderId="41" xfId="24" applyFont="1" applyBorder="1" applyAlignment="1">
      <alignment horizontal="center" vertical="center"/>
    </xf>
    <xf numFmtId="0" fontId="2" fillId="0" borderId="43" xfId="24" applyBorder="1" applyAlignment="1">
      <alignment horizontal="center" vertical="center"/>
    </xf>
    <xf numFmtId="0" fontId="29" fillId="0" borderId="42" xfId="24" applyFont="1" applyBorder="1" applyAlignment="1">
      <alignment horizontal="center" vertical="center"/>
    </xf>
    <xf numFmtId="0" fontId="29" fillId="0" borderId="43" xfId="24" applyFont="1" applyBorder="1" applyAlignment="1">
      <alignment horizontal="center" vertical="center"/>
    </xf>
    <xf numFmtId="0" fontId="2" fillId="0" borderId="45" xfId="24" applyBorder="1" applyAlignment="1">
      <alignment horizontal="center" vertical="center"/>
    </xf>
    <xf numFmtId="0" fontId="2" fillId="0" borderId="46" xfId="24" applyBorder="1" applyAlignment="1">
      <alignment horizontal="center" vertical="center"/>
    </xf>
    <xf numFmtId="0" fontId="2" fillId="0" borderId="47" xfId="24" applyBorder="1" applyAlignment="1">
      <alignment horizontal="center" vertical="center"/>
    </xf>
    <xf numFmtId="174" fontId="0" fillId="0" borderId="48" xfId="13" applyNumberFormat="1" applyFont="1" applyBorder="1" applyAlignment="1" applyProtection="1">
      <alignment horizontal="center" vertical="center"/>
    </xf>
    <xf numFmtId="174" fontId="31" fillId="0" borderId="49" xfId="24" applyNumberFormat="1" applyFont="1" applyBorder="1" applyAlignment="1">
      <alignment horizontal="center" vertical="center"/>
    </xf>
    <xf numFmtId="171" fontId="2" fillId="2" borderId="2" xfId="0" applyNumberFormat="1" applyFont="1" applyFill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 vertical="center"/>
    </xf>
    <xf numFmtId="171" fontId="0" fillId="2" borderId="2" xfId="0" applyNumberFormat="1" applyFill="1" applyBorder="1" applyAlignment="1">
      <alignment horizont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 wrapText="1"/>
    </xf>
    <xf numFmtId="171" fontId="0" fillId="2" borderId="2" xfId="0" applyNumberFormat="1" applyFill="1" applyBorder="1" applyAlignment="1">
      <alignment horizontal="center" vertical="center"/>
    </xf>
    <xf numFmtId="171" fontId="2" fillId="2" borderId="2" xfId="0" applyNumberFormat="1" applyFont="1" applyFill="1" applyBorder="1" applyAlignment="1">
      <alignment horizontal="center" vertical="center" wrapText="1"/>
    </xf>
    <xf numFmtId="171" fontId="3" fillId="2" borderId="2" xfId="0" applyNumberFormat="1" applyFont="1" applyFill="1" applyBorder="1" applyAlignment="1">
      <alignment horizontal="center" vertical="center" wrapText="1"/>
    </xf>
    <xf numFmtId="171" fontId="0" fillId="2" borderId="2" xfId="0" applyNumberFormat="1" applyFont="1" applyFill="1" applyBorder="1" applyAlignment="1">
      <alignment horizontal="center" vertical="center" wrapText="1"/>
    </xf>
    <xf numFmtId="171" fontId="3" fillId="2" borderId="8" xfId="0" applyNumberFormat="1" applyFont="1" applyFill="1" applyBorder="1" applyAlignment="1">
      <alignment horizontal="center" vertical="center" wrapText="1"/>
    </xf>
    <xf numFmtId="171" fontId="0" fillId="2" borderId="1" xfId="0" applyNumberFormat="1" applyFill="1" applyBorder="1" applyAlignment="1">
      <alignment horizontal="center"/>
    </xf>
    <xf numFmtId="166" fontId="2" fillId="2" borderId="2" xfId="6" applyNumberFormat="1" applyFont="1" applyFill="1" applyBorder="1" applyAlignment="1">
      <alignment horizontal="center" vertical="center"/>
    </xf>
    <xf numFmtId="168" fontId="16" fillId="2" borderId="2" xfId="5" applyNumberFormat="1" applyFont="1" applyFill="1" applyBorder="1" applyAlignment="1">
      <alignment vertical="center"/>
    </xf>
    <xf numFmtId="174" fontId="0" fillId="0" borderId="51" xfId="13" applyNumberFormat="1" applyFont="1" applyBorder="1" applyAlignment="1" applyProtection="1">
      <alignment horizontal="center" vertical="center"/>
    </xf>
    <xf numFmtId="0" fontId="2" fillId="0" borderId="2" xfId="24" applyFont="1" applyBorder="1" applyAlignment="1">
      <alignment horizontal="center" vertical="center"/>
    </xf>
    <xf numFmtId="0" fontId="0" fillId="2" borderId="0" xfId="0" applyFill="1" applyAlignment="1">
      <alignment wrapText="1"/>
    </xf>
    <xf numFmtId="171" fontId="32" fillId="2" borderId="2" xfId="0" applyNumberFormat="1" applyFont="1" applyFill="1" applyBorder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9" fillId="0" borderId="0" xfId="5" applyFont="1" applyBorder="1" applyAlignment="1">
      <alignment horizontal="center"/>
    </xf>
    <xf numFmtId="0" fontId="9" fillId="0" borderId="0" xfId="5" applyFont="1" applyBorder="1" applyAlignment="1">
      <alignment horizontal="center" vertical="center"/>
    </xf>
    <xf numFmtId="0" fontId="9" fillId="0" borderId="0" xfId="5" applyFont="1" applyBorder="1" applyAlignment="1">
      <alignment horizontal="right" vertical="center"/>
    </xf>
    <xf numFmtId="0" fontId="10" fillId="0" borderId="0" xfId="5" applyFont="1" applyBorder="1" applyAlignment="1">
      <alignment horizontal="left" vertical="center" wrapText="1"/>
    </xf>
    <xf numFmtId="0" fontId="11" fillId="0" borderId="0" xfId="5" applyFont="1" applyFill="1" applyBorder="1" applyAlignment="1">
      <alignment horizontal="left" wrapText="1"/>
    </xf>
    <xf numFmtId="0" fontId="8" fillId="2" borderId="0" xfId="5" applyFont="1" applyFill="1" applyAlignment="1">
      <alignment horizontal="left" vertical="center" wrapText="1"/>
    </xf>
    <xf numFmtId="0" fontId="8" fillId="2" borderId="0" xfId="5" applyFont="1" applyFill="1" applyAlignment="1">
      <alignment horizontal="left" vertical="center"/>
    </xf>
    <xf numFmtId="0" fontId="16" fillId="2" borderId="1" xfId="5" applyFont="1" applyFill="1" applyBorder="1" applyAlignment="1">
      <alignment horizontal="right" vertical="center"/>
    </xf>
    <xf numFmtId="0" fontId="16" fillId="2" borderId="5" xfId="5" applyFont="1" applyFill="1" applyBorder="1" applyAlignment="1">
      <alignment horizontal="right" vertical="center"/>
    </xf>
    <xf numFmtId="0" fontId="16" fillId="2" borderId="3" xfId="5" applyFont="1" applyFill="1" applyBorder="1" applyAlignment="1">
      <alignment horizontal="right" vertical="center"/>
    </xf>
    <xf numFmtId="0" fontId="7" fillId="2" borderId="10" xfId="5" applyFont="1" applyFill="1" applyBorder="1" applyAlignment="1">
      <alignment horizontal="center" vertical="center" wrapText="1"/>
    </xf>
    <xf numFmtId="0" fontId="2" fillId="2" borderId="27" xfId="5" applyFont="1" applyFill="1" applyBorder="1" applyAlignment="1">
      <alignment vertical="center" wrapText="1"/>
    </xf>
    <xf numFmtId="0" fontId="2" fillId="2" borderId="5" xfId="5" applyFont="1" applyFill="1" applyBorder="1" applyAlignment="1">
      <alignment vertical="center" wrapText="1"/>
    </xf>
    <xf numFmtId="0" fontId="2" fillId="2" borderId="28" xfId="5" applyFont="1" applyFill="1" applyBorder="1" applyAlignment="1">
      <alignment vertical="center" wrapText="1"/>
    </xf>
    <xf numFmtId="0" fontId="22" fillId="0" borderId="17" xfId="24" applyFont="1" applyBorder="1" applyAlignment="1">
      <alignment horizontal="left" vertical="center" wrapText="1"/>
    </xf>
    <xf numFmtId="0" fontId="21" fillId="0" borderId="9" xfId="24" applyFont="1" applyBorder="1" applyAlignment="1">
      <alignment horizontal="left" vertical="center" wrapText="1" indent="1"/>
    </xf>
    <xf numFmtId="0" fontId="22" fillId="0" borderId="18" xfId="24" applyFont="1" applyBorder="1" applyAlignment="1">
      <alignment horizontal="left" vertical="center" wrapText="1"/>
    </xf>
    <xf numFmtId="0" fontId="22" fillId="0" borderId="19" xfId="24" applyFont="1" applyBorder="1" applyAlignment="1">
      <alignment horizontal="left" vertical="center"/>
    </xf>
    <xf numFmtId="0" fontId="21" fillId="0" borderId="20" xfId="24" applyFont="1" applyBorder="1" applyAlignment="1">
      <alignment horizontal="left" vertical="center" wrapText="1" indent="1"/>
    </xf>
    <xf numFmtId="0" fontId="20" fillId="0" borderId="0" xfId="24" applyFont="1" applyBorder="1" applyAlignment="1">
      <alignment horizontal="center" vertical="center"/>
    </xf>
    <xf numFmtId="0" fontId="23" fillId="0" borderId="19" xfId="24" applyFont="1" applyBorder="1" applyAlignment="1">
      <alignment horizontal="center" vertical="center"/>
    </xf>
    <xf numFmtId="0" fontId="23" fillId="0" borderId="21" xfId="24" applyFont="1" applyBorder="1" applyAlignment="1">
      <alignment horizontal="center" vertical="center" wrapText="1"/>
    </xf>
    <xf numFmtId="0" fontId="23" fillId="2" borderId="21" xfId="24" applyFont="1" applyFill="1" applyBorder="1" applyAlignment="1">
      <alignment horizontal="left" vertical="center" wrapText="1"/>
    </xf>
    <xf numFmtId="0" fontId="2" fillId="2" borderId="23" xfId="5" applyFont="1" applyFill="1" applyBorder="1" applyAlignment="1">
      <alignment vertical="center" wrapText="1"/>
    </xf>
    <xf numFmtId="0" fontId="2" fillId="2" borderId="24" xfId="5" applyFont="1" applyFill="1" applyBorder="1" applyAlignment="1">
      <alignment vertical="center" wrapText="1"/>
    </xf>
    <xf numFmtId="0" fontId="2" fillId="2" borderId="25" xfId="5" applyFont="1" applyFill="1" applyBorder="1" applyAlignment="1">
      <alignment vertical="center" wrapText="1"/>
    </xf>
    <xf numFmtId="0" fontId="3" fillId="2" borderId="27" xfId="5" applyFont="1" applyFill="1" applyBorder="1" applyAlignment="1">
      <alignment vertical="center" wrapText="1"/>
    </xf>
    <xf numFmtId="0" fontId="3" fillId="2" borderId="5" xfId="5" applyFont="1" applyFill="1" applyBorder="1" applyAlignment="1">
      <alignment vertical="center" wrapText="1"/>
    </xf>
    <xf numFmtId="0" fontId="3" fillId="2" borderId="28" xfId="5" applyFont="1" applyFill="1" applyBorder="1" applyAlignment="1">
      <alignment vertical="center" wrapText="1"/>
    </xf>
    <xf numFmtId="44" fontId="16" fillId="0" borderId="6" xfId="24" applyNumberFormat="1" applyFont="1" applyBorder="1" applyAlignment="1">
      <alignment horizontal="center" vertical="center" wrapText="1"/>
    </xf>
    <xf numFmtId="164" fontId="16" fillId="0" borderId="4" xfId="24" applyNumberFormat="1" applyFont="1" applyBorder="1" applyAlignment="1">
      <alignment horizontal="center" vertical="center" wrapText="1"/>
    </xf>
    <xf numFmtId="0" fontId="21" fillId="0" borderId="0" xfId="24" applyFont="1" applyBorder="1" applyAlignment="1">
      <alignment horizontal="left" vertical="center" wrapText="1" indent="1"/>
    </xf>
    <xf numFmtId="169" fontId="22" fillId="0" borderId="0" xfId="24" applyNumberFormat="1" applyFont="1" applyBorder="1" applyAlignment="1">
      <alignment horizontal="center" vertical="center"/>
    </xf>
    <xf numFmtId="0" fontId="26" fillId="0" borderId="11" xfId="24" applyFont="1" applyBorder="1" applyAlignment="1">
      <alignment horizontal="left" vertical="center" wrapText="1"/>
    </xf>
    <xf numFmtId="0" fontId="26" fillId="0" borderId="6" xfId="24" applyFont="1" applyBorder="1" applyAlignment="1">
      <alignment horizontal="left" vertical="center" wrapText="1"/>
    </xf>
    <xf numFmtId="0" fontId="26" fillId="0" borderId="7" xfId="24" applyFont="1" applyBorder="1" applyAlignment="1">
      <alignment horizontal="left" vertical="center" wrapText="1"/>
    </xf>
    <xf numFmtId="0" fontId="29" fillId="0" borderId="31" xfId="24" applyFont="1" applyBorder="1"/>
    <xf numFmtId="0" fontId="2" fillId="0" borderId="11" xfId="24" applyFont="1" applyBorder="1" applyAlignment="1">
      <alignment horizontal="center"/>
    </xf>
    <xf numFmtId="0" fontId="27" fillId="0" borderId="7" xfId="24" applyNumberFormat="1" applyFont="1" applyBorder="1" applyAlignment="1">
      <alignment horizontal="center"/>
    </xf>
    <xf numFmtId="0" fontId="28" fillId="0" borderId="15" xfId="24" applyFont="1" applyBorder="1" applyAlignment="1">
      <alignment horizontal="center" vertical="center" wrapText="1"/>
    </xf>
    <xf numFmtId="0" fontId="18" fillId="0" borderId="15" xfId="24" applyFont="1" applyBorder="1"/>
    <xf numFmtId="0" fontId="29" fillId="0" borderId="15" xfId="24" applyFont="1" applyBorder="1" applyAlignment="1">
      <alignment horizontal="left" indent="1"/>
    </xf>
    <xf numFmtId="0" fontId="24" fillId="0" borderId="17" xfId="24" applyFont="1" applyBorder="1" applyAlignment="1">
      <alignment horizontal="left" vertical="center" wrapText="1"/>
    </xf>
    <xf numFmtId="0" fontId="24" fillId="0" borderId="29" xfId="24" applyFont="1" applyBorder="1" applyAlignment="1">
      <alignment horizontal="left" vertical="center" wrapText="1"/>
    </xf>
    <xf numFmtId="0" fontId="24" fillId="0" borderId="30" xfId="24" applyFont="1" applyBorder="1" applyAlignment="1">
      <alignment horizontal="left" vertical="center" wrapText="1"/>
    </xf>
    <xf numFmtId="0" fontId="30" fillId="0" borderId="15" xfId="24" applyFont="1" applyBorder="1" applyAlignment="1">
      <alignment horizontal="left"/>
    </xf>
    <xf numFmtId="0" fontId="2" fillId="0" borderId="46" xfId="24" applyBorder="1" applyAlignment="1">
      <alignment horizontal="left" vertical="center"/>
    </xf>
    <xf numFmtId="0" fontId="29" fillId="2" borderId="31" xfId="24" applyNumberFormat="1" applyFont="1" applyFill="1" applyBorder="1" applyAlignment="1">
      <alignment horizontal="left" vertical="justify" wrapText="1" indent="1"/>
    </xf>
    <xf numFmtId="0" fontId="29" fillId="2" borderId="0" xfId="24" applyNumberFormat="1" applyFont="1" applyFill="1" applyBorder="1" applyAlignment="1">
      <alignment horizontal="left" vertical="justify" wrapText="1" indent="1"/>
    </xf>
    <xf numFmtId="0" fontId="29" fillId="2" borderId="14" xfId="24" applyNumberFormat="1" applyFont="1" applyFill="1" applyBorder="1" applyAlignment="1">
      <alignment horizontal="left" vertical="justify" wrapText="1" indent="1"/>
    </xf>
    <xf numFmtId="0" fontId="31" fillId="0" borderId="34" xfId="24" applyFont="1" applyBorder="1" applyAlignment="1">
      <alignment horizontal="center" vertical="center"/>
    </xf>
    <xf numFmtId="0" fontId="31" fillId="0" borderId="15" xfId="24" applyFont="1" applyBorder="1" applyAlignment="1">
      <alignment horizontal="center" vertical="center"/>
    </xf>
    <xf numFmtId="0" fontId="31" fillId="0" borderId="34" xfId="24" applyFont="1" applyBorder="1" applyAlignment="1">
      <alignment horizontal="center" vertical="center" wrapText="1"/>
    </xf>
    <xf numFmtId="0" fontId="31" fillId="0" borderId="35" xfId="24" applyFont="1" applyBorder="1" applyAlignment="1">
      <alignment horizontal="center" vertical="center"/>
    </xf>
    <xf numFmtId="0" fontId="2" fillId="0" borderId="2" xfId="24" applyBorder="1" applyAlignment="1">
      <alignment horizontal="left" vertical="center" wrapText="1"/>
    </xf>
    <xf numFmtId="0" fontId="2" fillId="0" borderId="2" xfId="24" applyFont="1" applyBorder="1" applyAlignment="1">
      <alignment horizontal="left" vertical="center" wrapText="1"/>
    </xf>
    <xf numFmtId="0" fontId="2" fillId="0" borderId="41" xfId="24" applyFont="1" applyBorder="1" applyAlignment="1">
      <alignment horizontal="left" vertical="center"/>
    </xf>
    <xf numFmtId="0" fontId="2" fillId="0" borderId="43" xfId="24" applyFont="1" applyBorder="1" applyAlignment="1">
      <alignment horizontal="left" vertical="center"/>
    </xf>
    <xf numFmtId="0" fontId="2" fillId="0" borderId="43" xfId="24" applyBorder="1" applyAlignment="1">
      <alignment horizontal="left" vertical="center"/>
    </xf>
    <xf numFmtId="0" fontId="27" fillId="0" borderId="49" xfId="24" applyFont="1" applyBorder="1" applyAlignment="1">
      <alignment horizontal="left" vertical="center" wrapText="1"/>
    </xf>
    <xf numFmtId="0" fontId="2" fillId="0" borderId="34" xfId="24" applyBorder="1"/>
    <xf numFmtId="0" fontId="27" fillId="0" borderId="11" xfId="24" applyFont="1" applyBorder="1" applyAlignment="1">
      <alignment vertical="center" wrapText="1"/>
    </xf>
    <xf numFmtId="0" fontId="27" fillId="0" borderId="50" xfId="24" applyFont="1" applyBorder="1" applyAlignment="1">
      <alignment vertical="center" wrapText="1"/>
    </xf>
    <xf numFmtId="0" fontId="27" fillId="0" borderId="20" xfId="24" applyFont="1" applyBorder="1" applyAlignment="1">
      <alignment vertical="center" wrapText="1"/>
    </xf>
    <xf numFmtId="0" fontId="29" fillId="0" borderId="35" xfId="24" applyFont="1" applyBorder="1" applyAlignment="1">
      <alignment vertical="center" wrapText="1"/>
    </xf>
    <xf numFmtId="0" fontId="29" fillId="4" borderId="49" xfId="24" applyFont="1" applyFill="1" applyBorder="1" applyAlignment="1">
      <alignment horizontal="left" vertical="center" wrapText="1" indent="1"/>
    </xf>
    <xf numFmtId="0" fontId="5" fillId="2" borderId="27" xfId="5" applyFill="1" applyBorder="1" applyAlignment="1">
      <alignment wrapText="1"/>
    </xf>
    <xf numFmtId="0" fontId="5" fillId="2" borderId="5" xfId="5" applyFill="1" applyBorder="1" applyAlignment="1">
      <alignment wrapText="1"/>
    </xf>
    <xf numFmtId="0" fontId="5" fillId="2" borderId="28" xfId="5" applyFill="1" applyBorder="1" applyAlignment="1">
      <alignment wrapText="1"/>
    </xf>
    <xf numFmtId="0" fontId="2" fillId="2" borderId="27" xfId="5" applyFont="1" applyFill="1" applyBorder="1" applyAlignment="1">
      <alignment horizontal="left" vertical="center" wrapText="1"/>
    </xf>
    <xf numFmtId="0" fontId="2" fillId="2" borderId="5" xfId="5" applyFont="1" applyFill="1" applyBorder="1" applyAlignment="1">
      <alignment horizontal="left" vertical="center" wrapText="1"/>
    </xf>
    <xf numFmtId="0" fontId="2" fillId="2" borderId="28" xfId="5" applyFont="1" applyFill="1" applyBorder="1" applyAlignment="1">
      <alignment horizontal="left" vertical="center" wrapText="1"/>
    </xf>
    <xf numFmtId="0" fontId="23" fillId="0" borderId="50" xfId="24" applyFont="1" applyBorder="1" applyAlignment="1">
      <alignment horizontal="center" vertical="center" wrapText="1"/>
    </xf>
    <xf numFmtId="171" fontId="3" fillId="2" borderId="52" xfId="0" applyNumberFormat="1" applyFont="1" applyFill="1" applyBorder="1" applyAlignment="1">
      <alignment horizontal="center" vertical="center" wrapText="1"/>
    </xf>
    <xf numFmtId="171" fontId="3" fillId="2" borderId="1" xfId="0" applyNumberFormat="1" applyFont="1" applyFill="1" applyBorder="1" applyAlignment="1">
      <alignment horizontal="center" vertical="center" wrapText="1"/>
    </xf>
    <xf numFmtId="166" fontId="2" fillId="2" borderId="1" xfId="6" applyNumberFormat="1" applyFont="1" applyFill="1" applyBorder="1" applyAlignment="1">
      <alignment horizontal="center" vertical="center"/>
    </xf>
    <xf numFmtId="171" fontId="0" fillId="2" borderId="1" xfId="0" applyNumberFormat="1" applyFont="1" applyFill="1" applyBorder="1" applyAlignment="1">
      <alignment horizontal="center" vertical="center" wrapText="1"/>
    </xf>
    <xf numFmtId="171" fontId="32" fillId="2" borderId="1" xfId="0" applyNumberFormat="1" applyFont="1" applyFill="1" applyBorder="1" applyAlignment="1">
      <alignment horizontal="center" vertical="center" wrapText="1"/>
    </xf>
    <xf numFmtId="0" fontId="23" fillId="0" borderId="2" xfId="24" applyFont="1" applyBorder="1" applyAlignment="1">
      <alignment horizontal="center" vertical="center" wrapText="1"/>
    </xf>
  </cellXfs>
  <cellStyles count="25">
    <cellStyle name="Encabezado 1" xfId="7"/>
    <cellStyle name="Encabezado 1 2" xfId="8"/>
    <cellStyle name="Millares 2" xfId="2"/>
    <cellStyle name="Millares 2 2" xfId="9"/>
    <cellStyle name="Moneda 2" xfId="6"/>
    <cellStyle name="Moneda 2 2" xfId="10"/>
    <cellStyle name="Moneda 3" xfId="11"/>
    <cellStyle name="Moneda 4" xfId="12"/>
    <cellStyle name="Moneda_AUTORIZACION Y NOTA DE PEDIDO" xfId="13"/>
    <cellStyle name="Neutral 1" xfId="14"/>
    <cellStyle name="Normal" xfId="0" builtinId="0"/>
    <cellStyle name="Normal 2" xfId="3"/>
    <cellStyle name="Normal 2 2" xfId="5"/>
    <cellStyle name="Normal 2 2 2" xfId="24"/>
    <cellStyle name="Normal 3" xfId="4"/>
    <cellStyle name="Normal 3 2" xfId="15"/>
    <cellStyle name="Normal 3 2 2" xfId="16"/>
    <cellStyle name="Normal 3 3" xfId="17"/>
    <cellStyle name="Normal 3 4" xfId="18"/>
    <cellStyle name="Normal 4" xfId="1"/>
    <cellStyle name="Normal 4 2" xfId="19"/>
    <cellStyle name="Normal 4 3" xfId="20"/>
    <cellStyle name="Normal 5" xfId="21"/>
    <cellStyle name="Normal 6" xfId="22"/>
    <cellStyle name="Normal 7" xfId="23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zoomScale="80" zoomScaleNormal="80" workbookViewId="0">
      <selection activeCell="H10" sqref="H10:H72"/>
    </sheetView>
  </sheetViews>
  <sheetFormatPr baseColWidth="10" defaultColWidth="11" defaultRowHeight="14" x14ac:dyDescent="0.3"/>
  <cols>
    <col min="1" max="1" width="6.453125" style="11" customWidth="1"/>
    <col min="2" max="2" width="10.453125" style="10" customWidth="1"/>
    <col min="3" max="3" width="35" style="11" customWidth="1"/>
    <col min="4" max="4" width="8.453125" style="12" customWidth="1"/>
    <col min="5" max="5" width="39.54296875" style="13" customWidth="1"/>
    <col min="6" max="6" width="16.453125" style="12" customWidth="1"/>
    <col min="7" max="7" width="16.453125" style="14" customWidth="1"/>
    <col min="8" max="8" width="16.54296875" style="15" bestFit="1" customWidth="1"/>
    <col min="9" max="9" width="22.54296875" style="16" customWidth="1"/>
    <col min="10" max="10" width="23.54296875" style="17" customWidth="1"/>
    <col min="11" max="16384" width="11" style="17"/>
  </cols>
  <sheetData>
    <row r="1" spans="1:10" ht="14.15" x14ac:dyDescent="0.3">
      <c r="A1" s="9">
        <v>2021</v>
      </c>
    </row>
    <row r="2" spans="1:10" ht="25" x14ac:dyDescent="0.5">
      <c r="B2" s="115" t="s">
        <v>60</v>
      </c>
      <c r="C2" s="115"/>
      <c r="D2" s="115"/>
      <c r="E2" s="115"/>
      <c r="F2" s="115"/>
      <c r="G2" s="116"/>
      <c r="H2" s="117"/>
    </row>
    <row r="4" spans="1:10" ht="18" customHeight="1" x14ac:dyDescent="0.3">
      <c r="A4" s="118" t="s">
        <v>61</v>
      </c>
      <c r="B4" s="118"/>
      <c r="C4" s="119" t="s">
        <v>62</v>
      </c>
      <c r="D4" s="119"/>
      <c r="E4" s="119"/>
      <c r="F4" s="18"/>
      <c r="G4" s="19"/>
    </row>
    <row r="5" spans="1:10" ht="18" customHeight="1" x14ac:dyDescent="0.3">
      <c r="A5" s="118" t="s">
        <v>63</v>
      </c>
      <c r="B5" s="118"/>
      <c r="C5" s="119" t="s">
        <v>64</v>
      </c>
      <c r="D5" s="119"/>
      <c r="E5" s="119"/>
      <c r="F5" s="18"/>
      <c r="G5" s="19"/>
    </row>
    <row r="6" spans="1:10" ht="16.5" customHeight="1" x14ac:dyDescent="0.3">
      <c r="A6" s="118" t="s">
        <v>65</v>
      </c>
      <c r="B6" s="118"/>
      <c r="C6" s="20">
        <v>2021</v>
      </c>
      <c r="D6" s="21"/>
      <c r="E6" s="22"/>
      <c r="F6" s="18"/>
      <c r="G6" s="19"/>
    </row>
    <row r="7" spans="1:10" ht="31.5" customHeight="1" x14ac:dyDescent="0.3">
      <c r="A7" s="118" t="s">
        <v>66</v>
      </c>
      <c r="B7" s="118"/>
      <c r="C7" s="20" t="s">
        <v>67</v>
      </c>
      <c r="D7" s="21"/>
      <c r="E7" s="22"/>
      <c r="F7" s="18"/>
      <c r="G7" s="19"/>
    </row>
    <row r="8" spans="1:10" ht="2.25" customHeight="1" x14ac:dyDescent="0.3">
      <c r="B8" s="23"/>
      <c r="C8" s="24"/>
      <c r="D8" s="18"/>
      <c r="E8" s="24"/>
      <c r="F8" s="18"/>
      <c r="G8" s="19"/>
    </row>
    <row r="9" spans="1:10" ht="42" x14ac:dyDescent="0.3">
      <c r="A9" s="25" t="s">
        <v>68</v>
      </c>
      <c r="B9" s="26" t="s">
        <v>69</v>
      </c>
      <c r="C9" s="26" t="s">
        <v>70</v>
      </c>
      <c r="D9" s="25" t="s">
        <v>71</v>
      </c>
      <c r="E9" s="26" t="s">
        <v>72</v>
      </c>
      <c r="F9" s="26" t="s">
        <v>0</v>
      </c>
      <c r="G9" s="27" t="s">
        <v>73</v>
      </c>
      <c r="H9" s="28" t="s">
        <v>74</v>
      </c>
      <c r="I9" s="29" t="s">
        <v>75</v>
      </c>
      <c r="J9" s="30"/>
    </row>
    <row r="10" spans="1:10" s="38" customFormat="1" ht="25" x14ac:dyDescent="0.35">
      <c r="A10" s="31">
        <v>1</v>
      </c>
      <c r="B10" s="32"/>
      <c r="C10" s="33" t="s">
        <v>76</v>
      </c>
      <c r="D10" s="34">
        <v>252</v>
      </c>
      <c r="E10" s="35" t="s">
        <v>31</v>
      </c>
      <c r="F10" s="34" t="s">
        <v>77</v>
      </c>
      <c r="G10" s="6">
        <v>4800</v>
      </c>
      <c r="H10" s="99">
        <v>2.23</v>
      </c>
      <c r="I10" s="36">
        <f>+H10*G10</f>
        <v>10704</v>
      </c>
      <c r="J10" s="37"/>
    </row>
    <row r="11" spans="1:10" s="38" customFormat="1" ht="14.5" x14ac:dyDescent="0.3">
      <c r="A11" s="31">
        <v>2</v>
      </c>
      <c r="B11" s="32"/>
      <c r="C11" s="33" t="s">
        <v>76</v>
      </c>
      <c r="D11" s="34">
        <v>252</v>
      </c>
      <c r="E11" s="35" t="s">
        <v>1</v>
      </c>
      <c r="F11" s="34" t="s">
        <v>77</v>
      </c>
      <c r="G11" s="1">
        <v>1500</v>
      </c>
      <c r="H11" s="106">
        <v>140</v>
      </c>
      <c r="I11" s="36">
        <f t="shared" ref="I11:I72" si="0">+H11*G11</f>
        <v>210000</v>
      </c>
      <c r="J11" s="37"/>
    </row>
    <row r="12" spans="1:10" s="38" customFormat="1" ht="14.5" x14ac:dyDescent="0.3">
      <c r="A12" s="31">
        <v>3</v>
      </c>
      <c r="B12" s="32"/>
      <c r="C12" s="33" t="s">
        <v>76</v>
      </c>
      <c r="D12" s="34">
        <v>252</v>
      </c>
      <c r="E12" s="35" t="s">
        <v>26</v>
      </c>
      <c r="F12" s="34" t="s">
        <v>77</v>
      </c>
      <c r="G12" s="2">
        <v>100</v>
      </c>
      <c r="H12" s="97">
        <v>2079</v>
      </c>
      <c r="I12" s="36">
        <f t="shared" si="0"/>
        <v>207900</v>
      </c>
      <c r="J12" s="37"/>
    </row>
    <row r="13" spans="1:10" s="38" customFormat="1" ht="25" x14ac:dyDescent="0.3">
      <c r="A13" s="31">
        <v>4</v>
      </c>
      <c r="B13" s="32"/>
      <c r="C13" s="33" t="s">
        <v>76</v>
      </c>
      <c r="D13" s="34">
        <v>252</v>
      </c>
      <c r="E13" s="35" t="s">
        <v>45</v>
      </c>
      <c r="F13" s="34" t="s">
        <v>77</v>
      </c>
      <c r="G13" s="2">
        <v>2500</v>
      </c>
      <c r="H13" s="97" t="s">
        <v>130</v>
      </c>
      <c r="I13" s="36">
        <f t="shared" si="0"/>
        <v>1152375</v>
      </c>
      <c r="J13" s="37"/>
    </row>
    <row r="14" spans="1:10" s="38" customFormat="1" ht="25" x14ac:dyDescent="0.35">
      <c r="A14" s="31">
        <v>5</v>
      </c>
      <c r="B14" s="32"/>
      <c r="C14" s="33" t="s">
        <v>76</v>
      </c>
      <c r="D14" s="34">
        <v>252</v>
      </c>
      <c r="E14" s="35" t="s">
        <v>40</v>
      </c>
      <c r="F14" s="34" t="s">
        <v>77</v>
      </c>
      <c r="G14" s="6">
        <v>3000</v>
      </c>
      <c r="H14" s="99">
        <v>324.89999999999998</v>
      </c>
      <c r="I14" s="36">
        <f t="shared" si="0"/>
        <v>974699.99999999988</v>
      </c>
      <c r="J14" s="37"/>
    </row>
    <row r="15" spans="1:10" s="38" customFormat="1" ht="25" x14ac:dyDescent="0.3">
      <c r="A15" s="31">
        <v>6</v>
      </c>
      <c r="B15" s="32"/>
      <c r="C15" s="33" t="s">
        <v>76</v>
      </c>
      <c r="D15" s="34">
        <v>252</v>
      </c>
      <c r="E15" s="35" t="s">
        <v>9</v>
      </c>
      <c r="F15" s="34" t="s">
        <v>77</v>
      </c>
      <c r="G15" s="3">
        <v>102000</v>
      </c>
      <c r="H15" s="104">
        <v>34</v>
      </c>
      <c r="I15" s="36">
        <f t="shared" si="0"/>
        <v>3468000</v>
      </c>
      <c r="J15" s="37"/>
    </row>
    <row r="16" spans="1:10" s="38" customFormat="1" ht="25" x14ac:dyDescent="0.3">
      <c r="A16" s="31">
        <v>7</v>
      </c>
      <c r="B16" s="32"/>
      <c r="C16" s="33" t="s">
        <v>76</v>
      </c>
      <c r="D16" s="34">
        <v>252</v>
      </c>
      <c r="E16" s="35" t="s">
        <v>8</v>
      </c>
      <c r="F16" s="34" t="s">
        <v>77</v>
      </c>
      <c r="G16" s="3">
        <v>15000</v>
      </c>
      <c r="H16" s="104">
        <v>134</v>
      </c>
      <c r="I16" s="36">
        <f t="shared" si="0"/>
        <v>2010000</v>
      </c>
      <c r="J16" s="37"/>
    </row>
    <row r="17" spans="1:10" s="38" customFormat="1" ht="30" x14ac:dyDescent="0.25">
      <c r="A17" s="31">
        <v>8</v>
      </c>
      <c r="B17" s="32"/>
      <c r="C17" s="33" t="s">
        <v>76</v>
      </c>
      <c r="D17" s="34">
        <v>252</v>
      </c>
      <c r="E17" s="39" t="s">
        <v>7</v>
      </c>
      <c r="F17" s="34" t="s">
        <v>77</v>
      </c>
      <c r="G17" s="4">
        <v>14000</v>
      </c>
      <c r="H17" s="103">
        <v>732</v>
      </c>
      <c r="I17" s="36">
        <f t="shared" si="0"/>
        <v>10248000</v>
      </c>
      <c r="J17" s="37"/>
    </row>
    <row r="18" spans="1:10" s="38" customFormat="1" ht="14.5" x14ac:dyDescent="0.3">
      <c r="A18" s="31">
        <v>9</v>
      </c>
      <c r="B18" s="32"/>
      <c r="C18" s="33" t="s">
        <v>76</v>
      </c>
      <c r="D18" s="34">
        <v>252</v>
      </c>
      <c r="E18" s="39" t="s">
        <v>43</v>
      </c>
      <c r="F18" s="34" t="s">
        <v>77</v>
      </c>
      <c r="G18" s="3">
        <v>3000</v>
      </c>
      <c r="H18" s="104">
        <v>230</v>
      </c>
      <c r="I18" s="36">
        <f t="shared" si="0"/>
        <v>690000</v>
      </c>
      <c r="J18" s="37"/>
    </row>
    <row r="19" spans="1:10" s="38" customFormat="1" ht="14.5" x14ac:dyDescent="0.3">
      <c r="A19" s="31">
        <v>10</v>
      </c>
      <c r="B19" s="32"/>
      <c r="C19" s="33" t="s">
        <v>76</v>
      </c>
      <c r="D19" s="34">
        <v>252</v>
      </c>
      <c r="E19" s="40" t="s">
        <v>11</v>
      </c>
      <c r="F19" s="34" t="s">
        <v>77</v>
      </c>
      <c r="G19" s="5">
        <v>17000</v>
      </c>
      <c r="H19" s="100">
        <v>35</v>
      </c>
      <c r="I19" s="36">
        <f t="shared" si="0"/>
        <v>595000</v>
      </c>
      <c r="J19" s="37"/>
    </row>
    <row r="20" spans="1:10" s="38" customFormat="1" ht="25" x14ac:dyDescent="0.3">
      <c r="A20" s="31">
        <v>11</v>
      </c>
      <c r="B20" s="32"/>
      <c r="C20" s="33" t="s">
        <v>76</v>
      </c>
      <c r="D20" s="34">
        <v>252</v>
      </c>
      <c r="E20" s="35" t="s">
        <v>34</v>
      </c>
      <c r="F20" s="34" t="s">
        <v>77</v>
      </c>
      <c r="G20" s="2">
        <v>1800</v>
      </c>
      <c r="H20" s="97" t="s">
        <v>131</v>
      </c>
      <c r="I20" s="36">
        <f t="shared" si="0"/>
        <v>868158</v>
      </c>
      <c r="J20" s="37"/>
    </row>
    <row r="21" spans="1:10" s="38" customFormat="1" ht="14.5" x14ac:dyDescent="0.3">
      <c r="A21" s="31">
        <v>12</v>
      </c>
      <c r="B21" s="32"/>
      <c r="C21" s="33" t="s">
        <v>76</v>
      </c>
      <c r="D21" s="34">
        <v>252</v>
      </c>
      <c r="E21" s="35" t="s">
        <v>14</v>
      </c>
      <c r="F21" s="34" t="s">
        <v>77</v>
      </c>
      <c r="G21" s="2">
        <v>10000</v>
      </c>
      <c r="H21" s="97">
        <v>196.9</v>
      </c>
      <c r="I21" s="36">
        <f t="shared" si="0"/>
        <v>1969000</v>
      </c>
      <c r="J21" s="37"/>
    </row>
    <row r="22" spans="1:10" s="38" customFormat="1" ht="30" x14ac:dyDescent="0.25">
      <c r="A22" s="31">
        <v>13</v>
      </c>
      <c r="B22" s="32"/>
      <c r="C22" s="33" t="s">
        <v>76</v>
      </c>
      <c r="D22" s="34">
        <v>252</v>
      </c>
      <c r="E22" s="35" t="s">
        <v>46</v>
      </c>
      <c r="F22" s="34" t="s">
        <v>77</v>
      </c>
      <c r="G22" s="2">
        <v>30000</v>
      </c>
      <c r="H22" s="97">
        <v>120</v>
      </c>
      <c r="I22" s="36">
        <f t="shared" si="0"/>
        <v>3600000</v>
      </c>
      <c r="J22" s="37"/>
    </row>
    <row r="23" spans="1:10" s="38" customFormat="1" ht="25" x14ac:dyDescent="0.3">
      <c r="A23" s="31">
        <v>14</v>
      </c>
      <c r="B23" s="32"/>
      <c r="C23" s="33" t="s">
        <v>76</v>
      </c>
      <c r="D23" s="34">
        <v>252</v>
      </c>
      <c r="E23" s="35" t="s">
        <v>42</v>
      </c>
      <c r="F23" s="34" t="s">
        <v>77</v>
      </c>
      <c r="G23" s="5">
        <v>1000</v>
      </c>
      <c r="H23" s="100">
        <v>560</v>
      </c>
      <c r="I23" s="36">
        <f t="shared" si="0"/>
        <v>560000</v>
      </c>
      <c r="J23" s="37"/>
    </row>
    <row r="24" spans="1:10" s="38" customFormat="1" ht="14.5" x14ac:dyDescent="0.3">
      <c r="A24" s="31">
        <v>15</v>
      </c>
      <c r="B24" s="32"/>
      <c r="C24" s="33" t="s">
        <v>76</v>
      </c>
      <c r="D24" s="34">
        <v>252</v>
      </c>
      <c r="E24" s="35" t="s">
        <v>12</v>
      </c>
      <c r="F24" s="34" t="s">
        <v>77</v>
      </c>
      <c r="G24" s="2">
        <v>25000</v>
      </c>
      <c r="H24" s="97">
        <v>35</v>
      </c>
      <c r="I24" s="36">
        <f t="shared" si="0"/>
        <v>875000</v>
      </c>
      <c r="J24" s="37"/>
    </row>
    <row r="25" spans="1:10" s="38" customFormat="1" ht="14.5" x14ac:dyDescent="0.3">
      <c r="A25" s="31">
        <v>16</v>
      </c>
      <c r="B25" s="32"/>
      <c r="C25" s="33" t="s">
        <v>76</v>
      </c>
      <c r="D25" s="34">
        <v>252</v>
      </c>
      <c r="E25" s="35" t="s">
        <v>13</v>
      </c>
      <c r="F25" s="34" t="s">
        <v>77</v>
      </c>
      <c r="G25" s="4">
        <v>4000</v>
      </c>
      <c r="H25" s="103">
        <v>62</v>
      </c>
      <c r="I25" s="36">
        <f t="shared" si="0"/>
        <v>248000</v>
      </c>
      <c r="J25" s="37"/>
    </row>
    <row r="26" spans="1:10" s="38" customFormat="1" ht="14.5" x14ac:dyDescent="0.3">
      <c r="A26" s="31">
        <v>17</v>
      </c>
      <c r="B26" s="32"/>
      <c r="C26" s="33" t="s">
        <v>76</v>
      </c>
      <c r="D26" s="34">
        <v>252</v>
      </c>
      <c r="E26" s="35" t="s">
        <v>20</v>
      </c>
      <c r="F26" s="34" t="s">
        <v>77</v>
      </c>
      <c r="G26" s="4">
        <v>700</v>
      </c>
      <c r="H26" s="103">
        <v>42</v>
      </c>
      <c r="I26" s="36">
        <f t="shared" si="0"/>
        <v>29400</v>
      </c>
      <c r="J26" s="37"/>
    </row>
    <row r="27" spans="1:10" s="38" customFormat="1" ht="25" x14ac:dyDescent="0.3">
      <c r="A27" s="31">
        <v>18</v>
      </c>
      <c r="B27" s="32"/>
      <c r="C27" s="33" t="s">
        <v>76</v>
      </c>
      <c r="D27" s="34">
        <v>252</v>
      </c>
      <c r="E27" s="35" t="s">
        <v>2</v>
      </c>
      <c r="F27" s="34" t="s">
        <v>77</v>
      </c>
      <c r="G27" s="6">
        <v>3000</v>
      </c>
      <c r="H27" s="102">
        <v>30</v>
      </c>
      <c r="I27" s="36">
        <f t="shared" si="0"/>
        <v>90000</v>
      </c>
      <c r="J27" s="37"/>
    </row>
    <row r="28" spans="1:10" s="38" customFormat="1" ht="14.5" x14ac:dyDescent="0.3">
      <c r="A28" s="31">
        <v>19</v>
      </c>
      <c r="B28" s="32"/>
      <c r="C28" s="33" t="s">
        <v>76</v>
      </c>
      <c r="D28" s="34">
        <v>252</v>
      </c>
      <c r="E28" s="35" t="s">
        <v>3</v>
      </c>
      <c r="F28" s="34" t="s">
        <v>77</v>
      </c>
      <c r="G28" s="6">
        <v>800</v>
      </c>
      <c r="H28" s="102">
        <v>34</v>
      </c>
      <c r="I28" s="36">
        <f t="shared" si="0"/>
        <v>27200</v>
      </c>
      <c r="J28" s="37"/>
    </row>
    <row r="29" spans="1:10" s="38" customFormat="1" ht="37.5" x14ac:dyDescent="0.3">
      <c r="A29" s="31">
        <v>20</v>
      </c>
      <c r="B29" s="32"/>
      <c r="C29" s="33" t="s">
        <v>76</v>
      </c>
      <c r="D29" s="34">
        <v>252</v>
      </c>
      <c r="E29" s="35" t="s">
        <v>41</v>
      </c>
      <c r="F29" s="34" t="s">
        <v>77</v>
      </c>
      <c r="G29" s="3">
        <v>4500</v>
      </c>
      <c r="H29" s="104">
        <v>214</v>
      </c>
      <c r="I29" s="36">
        <f t="shared" si="0"/>
        <v>963000</v>
      </c>
      <c r="J29" s="37"/>
    </row>
    <row r="30" spans="1:10" s="38" customFormat="1" ht="14.5" x14ac:dyDescent="0.3">
      <c r="A30" s="31">
        <v>21</v>
      </c>
      <c r="B30" s="32"/>
      <c r="C30" s="33" t="s">
        <v>76</v>
      </c>
      <c r="D30" s="34">
        <v>252</v>
      </c>
      <c r="E30" s="35" t="s">
        <v>19</v>
      </c>
      <c r="F30" s="34" t="s">
        <v>77</v>
      </c>
      <c r="G30" s="2">
        <v>60000</v>
      </c>
      <c r="H30" s="97">
        <v>35</v>
      </c>
      <c r="I30" s="36">
        <f t="shared" si="0"/>
        <v>2100000</v>
      </c>
      <c r="J30" s="37"/>
    </row>
    <row r="31" spans="1:10" s="38" customFormat="1" ht="14.5" x14ac:dyDescent="0.35">
      <c r="A31" s="31">
        <v>22</v>
      </c>
      <c r="B31" s="32"/>
      <c r="C31" s="33" t="s">
        <v>76</v>
      </c>
      <c r="D31" s="34">
        <v>252</v>
      </c>
      <c r="E31" s="35" t="s">
        <v>53</v>
      </c>
      <c r="F31" s="34" t="s">
        <v>77</v>
      </c>
      <c r="G31" s="8">
        <v>7000</v>
      </c>
      <c r="H31" s="107">
        <v>440</v>
      </c>
      <c r="I31" s="36">
        <f t="shared" si="0"/>
        <v>3080000</v>
      </c>
      <c r="J31" s="37"/>
    </row>
    <row r="32" spans="1:10" s="38" customFormat="1" ht="30" x14ac:dyDescent="0.25">
      <c r="A32" s="31">
        <v>23</v>
      </c>
      <c r="B32" s="32"/>
      <c r="C32" s="33" t="s">
        <v>76</v>
      </c>
      <c r="D32" s="34">
        <v>252</v>
      </c>
      <c r="E32" s="35" t="s">
        <v>33</v>
      </c>
      <c r="F32" s="34" t="s">
        <v>77</v>
      </c>
      <c r="G32" s="7">
        <v>4500</v>
      </c>
      <c r="H32" s="101">
        <v>35</v>
      </c>
      <c r="I32" s="36">
        <f t="shared" si="0"/>
        <v>157500</v>
      </c>
      <c r="J32" s="37"/>
    </row>
    <row r="33" spans="1:10" s="38" customFormat="1" ht="30" x14ac:dyDescent="0.25">
      <c r="A33" s="31">
        <v>24</v>
      </c>
      <c r="B33" s="32"/>
      <c r="C33" s="33" t="s">
        <v>76</v>
      </c>
      <c r="D33" s="34">
        <v>252</v>
      </c>
      <c r="E33" s="35" t="s">
        <v>21</v>
      </c>
      <c r="F33" s="34" t="s">
        <v>77</v>
      </c>
      <c r="G33" s="4">
        <v>500</v>
      </c>
      <c r="H33" s="103">
        <v>304</v>
      </c>
      <c r="I33" s="36">
        <f t="shared" si="0"/>
        <v>152000</v>
      </c>
      <c r="J33" s="37"/>
    </row>
    <row r="34" spans="1:10" s="38" customFormat="1" ht="30" x14ac:dyDescent="0.25">
      <c r="A34" s="31">
        <v>25</v>
      </c>
      <c r="B34" s="32"/>
      <c r="C34" s="33" t="s">
        <v>76</v>
      </c>
      <c r="D34" s="34">
        <v>252</v>
      </c>
      <c r="E34" s="35" t="s">
        <v>38</v>
      </c>
      <c r="F34" s="34" t="s">
        <v>77</v>
      </c>
      <c r="G34" s="4">
        <v>800</v>
      </c>
      <c r="H34" s="103">
        <v>85</v>
      </c>
      <c r="I34" s="36">
        <f t="shared" si="0"/>
        <v>68000</v>
      </c>
      <c r="J34" s="37"/>
    </row>
    <row r="35" spans="1:10" s="38" customFormat="1" ht="30" x14ac:dyDescent="0.25">
      <c r="A35" s="31">
        <v>26</v>
      </c>
      <c r="B35" s="32"/>
      <c r="C35" s="33" t="s">
        <v>76</v>
      </c>
      <c r="D35" s="34">
        <v>252</v>
      </c>
      <c r="E35" s="35" t="s">
        <v>25</v>
      </c>
      <c r="F35" s="34" t="s">
        <v>77</v>
      </c>
      <c r="G35" s="2">
        <v>10000</v>
      </c>
      <c r="H35" s="97">
        <v>1200</v>
      </c>
      <c r="I35" s="36">
        <f t="shared" si="0"/>
        <v>12000000</v>
      </c>
      <c r="J35" s="37"/>
    </row>
    <row r="36" spans="1:10" s="38" customFormat="1" ht="30" x14ac:dyDescent="0.25">
      <c r="A36" s="31">
        <v>27</v>
      </c>
      <c r="B36" s="32"/>
      <c r="C36" s="33" t="s">
        <v>76</v>
      </c>
      <c r="D36" s="34">
        <v>252</v>
      </c>
      <c r="E36" s="35" t="s">
        <v>59</v>
      </c>
      <c r="F36" s="34" t="s">
        <v>77</v>
      </c>
      <c r="G36" s="2">
        <v>2000</v>
      </c>
      <c r="H36" s="97">
        <v>1500</v>
      </c>
      <c r="I36" s="36">
        <f t="shared" si="0"/>
        <v>3000000</v>
      </c>
      <c r="J36" s="37"/>
    </row>
    <row r="37" spans="1:10" s="38" customFormat="1" ht="30" x14ac:dyDescent="0.25">
      <c r="A37" s="31">
        <v>28</v>
      </c>
      <c r="B37" s="32"/>
      <c r="C37" s="33" t="s">
        <v>76</v>
      </c>
      <c r="D37" s="34">
        <v>252</v>
      </c>
      <c r="E37" s="35" t="s">
        <v>4</v>
      </c>
      <c r="F37" s="34" t="s">
        <v>77</v>
      </c>
      <c r="G37" s="2">
        <v>25000</v>
      </c>
      <c r="H37" s="97" t="s">
        <v>132</v>
      </c>
      <c r="I37" s="36">
        <f t="shared" si="0"/>
        <v>9680000</v>
      </c>
      <c r="J37" s="37"/>
    </row>
    <row r="38" spans="1:10" s="38" customFormat="1" ht="30" x14ac:dyDescent="0.25">
      <c r="A38" s="31">
        <v>29</v>
      </c>
      <c r="B38" s="32"/>
      <c r="C38" s="33" t="s">
        <v>76</v>
      </c>
      <c r="D38" s="34">
        <v>252</v>
      </c>
      <c r="E38" s="35" t="s">
        <v>29</v>
      </c>
      <c r="F38" s="34" t="s">
        <v>77</v>
      </c>
      <c r="G38" s="8">
        <v>200</v>
      </c>
      <c r="H38" s="107">
        <v>554</v>
      </c>
      <c r="I38" s="36">
        <f t="shared" si="0"/>
        <v>110800</v>
      </c>
      <c r="J38" s="37"/>
    </row>
    <row r="39" spans="1:10" s="38" customFormat="1" ht="30" x14ac:dyDescent="0.25">
      <c r="A39" s="31">
        <v>30</v>
      </c>
      <c r="B39" s="32"/>
      <c r="C39" s="33" t="s">
        <v>76</v>
      </c>
      <c r="D39" s="34">
        <v>252</v>
      </c>
      <c r="E39" s="35" t="s">
        <v>27</v>
      </c>
      <c r="F39" s="34" t="s">
        <v>77</v>
      </c>
      <c r="G39" s="2">
        <v>1200</v>
      </c>
      <c r="H39" s="97" t="s">
        <v>133</v>
      </c>
      <c r="I39" s="36">
        <f t="shared" si="0"/>
        <v>888300</v>
      </c>
      <c r="J39" s="37"/>
    </row>
    <row r="40" spans="1:10" s="38" customFormat="1" ht="30" x14ac:dyDescent="0.25">
      <c r="A40" s="31">
        <v>31</v>
      </c>
      <c r="B40" s="32"/>
      <c r="C40" s="33" t="s">
        <v>76</v>
      </c>
      <c r="D40" s="34">
        <v>252</v>
      </c>
      <c r="E40" s="35" t="s">
        <v>47</v>
      </c>
      <c r="F40" s="34" t="s">
        <v>77</v>
      </c>
      <c r="G40" s="3">
        <v>9000</v>
      </c>
      <c r="H40" s="104" t="s">
        <v>134</v>
      </c>
      <c r="I40" s="36">
        <f t="shared" si="0"/>
        <v>289800</v>
      </c>
      <c r="J40" s="37"/>
    </row>
    <row r="41" spans="1:10" s="38" customFormat="1" ht="30" x14ac:dyDescent="0.25">
      <c r="A41" s="31">
        <v>32</v>
      </c>
      <c r="B41" s="32"/>
      <c r="C41" s="33" t="s">
        <v>76</v>
      </c>
      <c r="D41" s="34">
        <v>252</v>
      </c>
      <c r="E41" s="35" t="s">
        <v>36</v>
      </c>
      <c r="F41" s="34" t="s">
        <v>77</v>
      </c>
      <c r="G41" s="5">
        <v>1200</v>
      </c>
      <c r="H41" s="100">
        <v>34</v>
      </c>
      <c r="I41" s="36">
        <f t="shared" si="0"/>
        <v>40800</v>
      </c>
      <c r="J41" s="37"/>
    </row>
    <row r="42" spans="1:10" s="38" customFormat="1" ht="30" x14ac:dyDescent="0.25">
      <c r="A42" s="31">
        <v>33</v>
      </c>
      <c r="B42" s="32"/>
      <c r="C42" s="33" t="s">
        <v>76</v>
      </c>
      <c r="D42" s="34">
        <v>252</v>
      </c>
      <c r="E42" s="35" t="s">
        <v>24</v>
      </c>
      <c r="F42" s="34" t="s">
        <v>77</v>
      </c>
      <c r="G42" s="5">
        <v>2400</v>
      </c>
      <c r="H42" s="100">
        <v>699</v>
      </c>
      <c r="I42" s="36">
        <f t="shared" si="0"/>
        <v>1677600</v>
      </c>
      <c r="J42" s="37"/>
    </row>
    <row r="43" spans="1:10" s="38" customFormat="1" ht="30" x14ac:dyDescent="0.25">
      <c r="A43" s="31">
        <v>34</v>
      </c>
      <c r="B43" s="32"/>
      <c r="C43" s="33" t="s">
        <v>76</v>
      </c>
      <c r="D43" s="34">
        <v>252</v>
      </c>
      <c r="E43" s="35" t="s">
        <v>37</v>
      </c>
      <c r="F43" s="34" t="s">
        <v>77</v>
      </c>
      <c r="G43" s="2">
        <v>6000</v>
      </c>
      <c r="H43" s="97">
        <v>115.25</v>
      </c>
      <c r="I43" s="36">
        <f t="shared" si="0"/>
        <v>691500</v>
      </c>
      <c r="J43" s="37"/>
    </row>
    <row r="44" spans="1:10" s="38" customFormat="1" ht="30" x14ac:dyDescent="0.25">
      <c r="A44" s="31">
        <v>35</v>
      </c>
      <c r="B44" s="32"/>
      <c r="C44" s="33" t="s">
        <v>76</v>
      </c>
      <c r="D44" s="34">
        <v>252</v>
      </c>
      <c r="E44" s="35" t="s">
        <v>15</v>
      </c>
      <c r="F44" s="34" t="s">
        <v>77</v>
      </c>
      <c r="G44" s="2">
        <v>2500</v>
      </c>
      <c r="H44" s="97">
        <v>214.4</v>
      </c>
      <c r="I44" s="36">
        <f t="shared" si="0"/>
        <v>536000</v>
      </c>
      <c r="J44" s="37"/>
    </row>
    <row r="45" spans="1:10" s="38" customFormat="1" ht="14.5" x14ac:dyDescent="0.3">
      <c r="A45" s="31">
        <v>36</v>
      </c>
      <c r="B45" s="32"/>
      <c r="C45" s="33" t="s">
        <v>76</v>
      </c>
      <c r="D45" s="34">
        <v>252</v>
      </c>
      <c r="E45" s="35" t="s">
        <v>30</v>
      </c>
      <c r="F45" s="34" t="s">
        <v>77</v>
      </c>
      <c r="G45" s="8">
        <v>7500</v>
      </c>
      <c r="H45" s="98">
        <v>59.2</v>
      </c>
      <c r="I45" s="36">
        <f t="shared" si="0"/>
        <v>444000</v>
      </c>
      <c r="J45" s="37"/>
    </row>
    <row r="46" spans="1:10" s="38" customFormat="1" ht="30" x14ac:dyDescent="0.25">
      <c r="A46" s="31">
        <v>37</v>
      </c>
      <c r="B46" s="32"/>
      <c r="C46" s="33" t="s">
        <v>76</v>
      </c>
      <c r="D46" s="34">
        <v>252</v>
      </c>
      <c r="E46" s="35" t="s">
        <v>17</v>
      </c>
      <c r="F46" s="34" t="s">
        <v>77</v>
      </c>
      <c r="G46" s="2">
        <v>90000</v>
      </c>
      <c r="H46" s="97">
        <v>4</v>
      </c>
      <c r="I46" s="36">
        <f t="shared" si="0"/>
        <v>360000</v>
      </c>
      <c r="J46" s="37"/>
    </row>
    <row r="47" spans="1:10" s="38" customFormat="1" ht="30" x14ac:dyDescent="0.25">
      <c r="A47" s="31">
        <v>38</v>
      </c>
      <c r="B47" s="32"/>
      <c r="C47" s="33" t="s">
        <v>76</v>
      </c>
      <c r="D47" s="34">
        <v>252</v>
      </c>
      <c r="E47" s="35" t="s">
        <v>58</v>
      </c>
      <c r="F47" s="34" t="s">
        <v>77</v>
      </c>
      <c r="G47" s="6">
        <v>12500</v>
      </c>
      <c r="H47" s="99">
        <v>530</v>
      </c>
      <c r="I47" s="36">
        <f t="shared" si="0"/>
        <v>6625000</v>
      </c>
      <c r="J47" s="37"/>
    </row>
    <row r="48" spans="1:10" s="38" customFormat="1" ht="30" x14ac:dyDescent="0.25">
      <c r="A48" s="31">
        <v>39</v>
      </c>
      <c r="B48" s="32"/>
      <c r="C48" s="33" t="s">
        <v>76</v>
      </c>
      <c r="D48" s="34">
        <v>252</v>
      </c>
      <c r="E48" s="112" t="s">
        <v>136</v>
      </c>
      <c r="F48" s="34" t="s">
        <v>77</v>
      </c>
      <c r="G48" s="41">
        <v>375</v>
      </c>
      <c r="H48" s="108">
        <v>28700</v>
      </c>
      <c r="I48" s="36">
        <f t="shared" si="0"/>
        <v>10762500</v>
      </c>
      <c r="J48" s="37"/>
    </row>
    <row r="49" spans="1:10" s="38" customFormat="1" ht="30" x14ac:dyDescent="0.25">
      <c r="A49" s="31">
        <v>40</v>
      </c>
      <c r="B49" s="32"/>
      <c r="C49" s="33" t="s">
        <v>76</v>
      </c>
      <c r="D49" s="34">
        <v>252</v>
      </c>
      <c r="E49" s="35" t="s">
        <v>51</v>
      </c>
      <c r="F49" s="34" t="s">
        <v>77</v>
      </c>
      <c r="G49" s="5">
        <v>200</v>
      </c>
      <c r="H49" s="100">
        <v>92</v>
      </c>
      <c r="I49" s="36">
        <f t="shared" si="0"/>
        <v>18400</v>
      </c>
      <c r="J49" s="37"/>
    </row>
    <row r="50" spans="1:10" s="38" customFormat="1" ht="30" x14ac:dyDescent="0.25">
      <c r="A50" s="31">
        <v>41</v>
      </c>
      <c r="B50" s="32"/>
      <c r="C50" s="33" t="s">
        <v>76</v>
      </c>
      <c r="D50" s="34">
        <v>252</v>
      </c>
      <c r="E50" s="39" t="s">
        <v>55</v>
      </c>
      <c r="F50" s="34" t="s">
        <v>77</v>
      </c>
      <c r="G50" s="6">
        <v>6000</v>
      </c>
      <c r="H50" s="102">
        <v>2013</v>
      </c>
      <c r="I50" s="36">
        <f t="shared" si="0"/>
        <v>12078000</v>
      </c>
      <c r="J50" s="37"/>
    </row>
    <row r="51" spans="1:10" s="38" customFormat="1" ht="30" x14ac:dyDescent="0.25">
      <c r="A51" s="31">
        <v>42</v>
      </c>
      <c r="B51" s="32"/>
      <c r="C51" s="33" t="s">
        <v>76</v>
      </c>
      <c r="D51" s="34">
        <v>252</v>
      </c>
      <c r="E51" s="39" t="s">
        <v>143</v>
      </c>
      <c r="F51" s="34" t="s">
        <v>77</v>
      </c>
      <c r="G51" s="6">
        <v>15000</v>
      </c>
      <c r="H51" s="102">
        <v>280</v>
      </c>
      <c r="I51" s="36">
        <f t="shared" si="0"/>
        <v>4200000</v>
      </c>
      <c r="J51" s="37"/>
    </row>
    <row r="52" spans="1:10" s="38" customFormat="1" ht="30" x14ac:dyDescent="0.25">
      <c r="A52" s="31">
        <v>43</v>
      </c>
      <c r="B52" s="32"/>
      <c r="C52" s="33" t="s">
        <v>76</v>
      </c>
      <c r="D52" s="34">
        <v>252</v>
      </c>
      <c r="E52" s="35" t="s">
        <v>56</v>
      </c>
      <c r="F52" s="34" t="s">
        <v>77</v>
      </c>
      <c r="G52" s="2">
        <v>16000</v>
      </c>
      <c r="H52" s="97">
        <v>8.9</v>
      </c>
      <c r="I52" s="36">
        <f t="shared" si="0"/>
        <v>142400</v>
      </c>
      <c r="J52" s="37"/>
    </row>
    <row r="53" spans="1:10" s="38" customFormat="1" ht="30" x14ac:dyDescent="0.25">
      <c r="A53" s="31">
        <v>44</v>
      </c>
      <c r="B53" s="32"/>
      <c r="C53" s="33" t="s">
        <v>76</v>
      </c>
      <c r="D53" s="34">
        <v>252</v>
      </c>
      <c r="E53" s="35" t="s">
        <v>10</v>
      </c>
      <c r="F53" s="34" t="s">
        <v>77</v>
      </c>
      <c r="G53" s="2">
        <v>2600</v>
      </c>
      <c r="H53" s="97">
        <v>80</v>
      </c>
      <c r="I53" s="36">
        <f t="shared" si="0"/>
        <v>208000</v>
      </c>
      <c r="J53" s="37"/>
    </row>
    <row r="54" spans="1:10" s="38" customFormat="1" ht="30" x14ac:dyDescent="0.25">
      <c r="A54" s="31">
        <v>45</v>
      </c>
      <c r="B54" s="32"/>
      <c r="C54" s="33" t="s">
        <v>76</v>
      </c>
      <c r="D54" s="34">
        <v>252</v>
      </c>
      <c r="E54" s="35" t="s">
        <v>144</v>
      </c>
      <c r="F54" s="34" t="s">
        <v>77</v>
      </c>
      <c r="G54" s="4">
        <v>14000</v>
      </c>
      <c r="H54" s="103">
        <v>42</v>
      </c>
      <c r="I54" s="36">
        <f t="shared" si="0"/>
        <v>588000</v>
      </c>
      <c r="J54" s="37"/>
    </row>
    <row r="55" spans="1:10" s="38" customFormat="1" ht="30" x14ac:dyDescent="0.25">
      <c r="A55" s="31">
        <v>46</v>
      </c>
      <c r="B55" s="32"/>
      <c r="C55" s="33" t="s">
        <v>76</v>
      </c>
      <c r="D55" s="34">
        <v>252</v>
      </c>
      <c r="E55" s="35" t="s">
        <v>5</v>
      </c>
      <c r="F55" s="34" t="s">
        <v>77</v>
      </c>
      <c r="G55" s="3">
        <v>3600</v>
      </c>
      <c r="H55" s="104">
        <v>89</v>
      </c>
      <c r="I55" s="36">
        <f t="shared" si="0"/>
        <v>320400</v>
      </c>
      <c r="J55" s="37"/>
    </row>
    <row r="56" spans="1:10" s="38" customFormat="1" ht="30" x14ac:dyDescent="0.25">
      <c r="A56" s="31">
        <v>47</v>
      </c>
      <c r="B56" s="32"/>
      <c r="C56" s="33" t="s">
        <v>76</v>
      </c>
      <c r="D56" s="34">
        <v>252</v>
      </c>
      <c r="E56" s="35" t="s">
        <v>39</v>
      </c>
      <c r="F56" s="34" t="s">
        <v>77</v>
      </c>
      <c r="G56" s="2">
        <v>1000</v>
      </c>
      <c r="H56" s="97">
        <v>255</v>
      </c>
      <c r="I56" s="36">
        <f t="shared" si="0"/>
        <v>255000</v>
      </c>
      <c r="J56" s="37"/>
    </row>
    <row r="57" spans="1:10" s="38" customFormat="1" ht="30" x14ac:dyDescent="0.25">
      <c r="A57" s="31">
        <v>48</v>
      </c>
      <c r="B57" s="32"/>
      <c r="C57" s="33" t="s">
        <v>76</v>
      </c>
      <c r="D57" s="34">
        <v>252</v>
      </c>
      <c r="E57" s="35" t="s">
        <v>28</v>
      </c>
      <c r="F57" s="34" t="s">
        <v>77</v>
      </c>
      <c r="G57" s="2">
        <v>300</v>
      </c>
      <c r="H57" s="97">
        <v>650</v>
      </c>
      <c r="I57" s="36">
        <f t="shared" si="0"/>
        <v>195000</v>
      </c>
      <c r="J57" s="37"/>
    </row>
    <row r="58" spans="1:10" s="38" customFormat="1" ht="30" x14ac:dyDescent="0.25">
      <c r="A58" s="31">
        <v>49</v>
      </c>
      <c r="B58" s="32"/>
      <c r="C58" s="33" t="s">
        <v>76</v>
      </c>
      <c r="D58" s="34">
        <v>252</v>
      </c>
      <c r="E58" s="35" t="s">
        <v>22</v>
      </c>
      <c r="F58" s="34" t="s">
        <v>77</v>
      </c>
      <c r="G58" s="4">
        <v>400</v>
      </c>
      <c r="H58" s="103">
        <v>120</v>
      </c>
      <c r="I58" s="36">
        <f t="shared" si="0"/>
        <v>48000</v>
      </c>
      <c r="J58" s="37"/>
    </row>
    <row r="59" spans="1:10" s="38" customFormat="1" ht="30" x14ac:dyDescent="0.25">
      <c r="A59" s="31">
        <v>50</v>
      </c>
      <c r="B59" s="32"/>
      <c r="C59" s="33" t="s">
        <v>76</v>
      </c>
      <c r="D59" s="34">
        <v>252</v>
      </c>
      <c r="E59" s="35" t="s">
        <v>23</v>
      </c>
      <c r="F59" s="34" t="s">
        <v>77</v>
      </c>
      <c r="G59" s="5">
        <v>1500</v>
      </c>
      <c r="H59" s="100">
        <v>250</v>
      </c>
      <c r="I59" s="36">
        <f t="shared" si="0"/>
        <v>375000</v>
      </c>
      <c r="J59" s="37"/>
    </row>
    <row r="60" spans="1:10" s="38" customFormat="1" ht="30" x14ac:dyDescent="0.25">
      <c r="A60" s="31">
        <v>51</v>
      </c>
      <c r="B60" s="32"/>
      <c r="C60" s="33" t="s">
        <v>76</v>
      </c>
      <c r="D60" s="34">
        <v>252</v>
      </c>
      <c r="E60" s="35" t="s">
        <v>52</v>
      </c>
      <c r="F60" s="34" t="s">
        <v>77</v>
      </c>
      <c r="G60" s="3">
        <v>300</v>
      </c>
      <c r="H60" s="104">
        <v>248</v>
      </c>
      <c r="I60" s="36">
        <f t="shared" si="0"/>
        <v>74400</v>
      </c>
      <c r="J60" s="37"/>
    </row>
    <row r="61" spans="1:10" s="38" customFormat="1" ht="30" x14ac:dyDescent="0.25">
      <c r="A61" s="31">
        <v>52</v>
      </c>
      <c r="B61" s="32"/>
      <c r="C61" s="33" t="s">
        <v>76</v>
      </c>
      <c r="D61" s="34">
        <v>252</v>
      </c>
      <c r="E61" s="35" t="s">
        <v>48</v>
      </c>
      <c r="F61" s="34" t="s">
        <v>77</v>
      </c>
      <c r="G61" s="2">
        <v>6000</v>
      </c>
      <c r="H61" s="97">
        <v>159.19999999999999</v>
      </c>
      <c r="I61" s="36">
        <f t="shared" si="0"/>
        <v>955199.99999999988</v>
      </c>
      <c r="J61" s="37"/>
    </row>
    <row r="62" spans="1:10" s="38" customFormat="1" ht="30" x14ac:dyDescent="0.25">
      <c r="A62" s="31">
        <v>53</v>
      </c>
      <c r="B62" s="32"/>
      <c r="C62" s="33" t="s">
        <v>76</v>
      </c>
      <c r="D62" s="34">
        <v>252</v>
      </c>
      <c r="E62" s="35" t="s">
        <v>18</v>
      </c>
      <c r="F62" s="34" t="s">
        <v>77</v>
      </c>
      <c r="G62" s="4">
        <v>120000</v>
      </c>
      <c r="H62" s="103">
        <v>4</v>
      </c>
      <c r="I62" s="36">
        <f t="shared" si="0"/>
        <v>480000</v>
      </c>
      <c r="J62" s="37"/>
    </row>
    <row r="63" spans="1:10" s="38" customFormat="1" ht="14.5" x14ac:dyDescent="0.3">
      <c r="A63" s="31">
        <v>54</v>
      </c>
      <c r="B63" s="32"/>
      <c r="C63" s="33" t="s">
        <v>76</v>
      </c>
      <c r="D63" s="34">
        <v>252</v>
      </c>
      <c r="E63" s="35" t="s">
        <v>145</v>
      </c>
      <c r="F63" s="34" t="s">
        <v>77</v>
      </c>
      <c r="G63" s="4">
        <v>4000</v>
      </c>
      <c r="H63" s="103">
        <v>864.4</v>
      </c>
      <c r="I63" s="36">
        <f t="shared" si="0"/>
        <v>3457600</v>
      </c>
      <c r="J63" s="37"/>
    </row>
    <row r="64" spans="1:10" s="38" customFormat="1" ht="30" x14ac:dyDescent="0.25">
      <c r="A64" s="31">
        <v>55</v>
      </c>
      <c r="B64" s="32"/>
      <c r="C64" s="33" t="s">
        <v>76</v>
      </c>
      <c r="D64" s="34">
        <v>252</v>
      </c>
      <c r="E64" s="35" t="s">
        <v>57</v>
      </c>
      <c r="F64" s="34" t="s">
        <v>77</v>
      </c>
      <c r="G64" s="6">
        <v>7000</v>
      </c>
      <c r="H64" s="102">
        <v>345</v>
      </c>
      <c r="I64" s="36">
        <f t="shared" si="0"/>
        <v>2415000</v>
      </c>
      <c r="J64" s="37"/>
    </row>
    <row r="65" spans="1:10" s="38" customFormat="1" ht="30" x14ac:dyDescent="0.25">
      <c r="A65" s="31">
        <v>56</v>
      </c>
      <c r="B65" s="32"/>
      <c r="C65" s="33" t="s">
        <v>76</v>
      </c>
      <c r="D65" s="34">
        <v>252</v>
      </c>
      <c r="E65" s="35" t="s">
        <v>32</v>
      </c>
      <c r="F65" s="34" t="s">
        <v>77</v>
      </c>
      <c r="G65" s="6">
        <v>8000</v>
      </c>
      <c r="H65" s="102">
        <v>690</v>
      </c>
      <c r="I65" s="36">
        <f t="shared" si="0"/>
        <v>5520000</v>
      </c>
      <c r="J65" s="37"/>
    </row>
    <row r="66" spans="1:10" s="38" customFormat="1" ht="30" x14ac:dyDescent="0.25">
      <c r="A66" s="31">
        <v>57</v>
      </c>
      <c r="B66" s="32"/>
      <c r="C66" s="33" t="s">
        <v>76</v>
      </c>
      <c r="D66" s="34">
        <v>252</v>
      </c>
      <c r="E66" s="35" t="s">
        <v>50</v>
      </c>
      <c r="F66" s="34" t="s">
        <v>77</v>
      </c>
      <c r="G66" s="2">
        <v>2500</v>
      </c>
      <c r="H66" s="97">
        <v>980</v>
      </c>
      <c r="I66" s="36">
        <f t="shared" si="0"/>
        <v>2450000</v>
      </c>
      <c r="J66" s="37"/>
    </row>
    <row r="67" spans="1:10" s="38" customFormat="1" ht="30" x14ac:dyDescent="0.25">
      <c r="A67" s="31">
        <v>58</v>
      </c>
      <c r="B67" s="32"/>
      <c r="C67" s="33" t="s">
        <v>76</v>
      </c>
      <c r="D67" s="34">
        <v>252</v>
      </c>
      <c r="E67" s="35" t="s">
        <v>16</v>
      </c>
      <c r="F67" s="34" t="s">
        <v>77</v>
      </c>
      <c r="G67" s="2">
        <v>240</v>
      </c>
      <c r="H67" s="97">
        <v>42.86</v>
      </c>
      <c r="I67" s="36">
        <f t="shared" si="0"/>
        <v>10286.4</v>
      </c>
      <c r="J67" s="37"/>
    </row>
    <row r="68" spans="1:10" s="38" customFormat="1" ht="30" x14ac:dyDescent="0.25">
      <c r="A68" s="31">
        <v>59</v>
      </c>
      <c r="B68" s="32"/>
      <c r="C68" s="33" t="s">
        <v>76</v>
      </c>
      <c r="D68" s="34">
        <v>252</v>
      </c>
      <c r="E68" s="35" t="s">
        <v>6</v>
      </c>
      <c r="F68" s="34" t="s">
        <v>77</v>
      </c>
      <c r="G68" s="3">
        <v>500</v>
      </c>
      <c r="H68" s="104">
        <v>242</v>
      </c>
      <c r="I68" s="36">
        <f t="shared" si="0"/>
        <v>121000</v>
      </c>
      <c r="J68" s="37"/>
    </row>
    <row r="69" spans="1:10" s="38" customFormat="1" ht="25" x14ac:dyDescent="0.3">
      <c r="A69" s="31">
        <v>60</v>
      </c>
      <c r="B69" s="32"/>
      <c r="C69" s="33" t="s">
        <v>76</v>
      </c>
      <c r="D69" s="34">
        <v>252</v>
      </c>
      <c r="E69" s="35" t="s">
        <v>54</v>
      </c>
      <c r="F69" s="34" t="s">
        <v>77</v>
      </c>
      <c r="G69" s="2">
        <v>100</v>
      </c>
      <c r="H69" s="97">
        <v>560</v>
      </c>
      <c r="I69" s="36">
        <f t="shared" si="0"/>
        <v>56000</v>
      </c>
      <c r="J69" s="37"/>
    </row>
    <row r="70" spans="1:10" s="38" customFormat="1" ht="30" x14ac:dyDescent="0.25">
      <c r="A70" s="31">
        <v>61</v>
      </c>
      <c r="B70" s="32"/>
      <c r="C70" s="33" t="s">
        <v>76</v>
      </c>
      <c r="D70" s="34">
        <v>252</v>
      </c>
      <c r="E70" s="35" t="s">
        <v>44</v>
      </c>
      <c r="F70" s="34" t="s">
        <v>77</v>
      </c>
      <c r="G70" s="3">
        <v>4000</v>
      </c>
      <c r="H70" s="105">
        <v>286</v>
      </c>
      <c r="I70" s="36">
        <f t="shared" si="0"/>
        <v>1144000</v>
      </c>
      <c r="J70" s="37"/>
    </row>
    <row r="71" spans="1:10" s="38" customFormat="1" ht="30" x14ac:dyDescent="0.25">
      <c r="A71" s="31">
        <v>62</v>
      </c>
      <c r="B71" s="32"/>
      <c r="C71" s="33" t="s">
        <v>76</v>
      </c>
      <c r="D71" s="34">
        <v>252</v>
      </c>
      <c r="E71" s="35" t="s">
        <v>49</v>
      </c>
      <c r="F71" s="34" t="s">
        <v>77</v>
      </c>
      <c r="G71" s="3">
        <v>22000</v>
      </c>
      <c r="H71" s="113" t="s">
        <v>129</v>
      </c>
      <c r="I71" s="36">
        <f t="shared" si="0"/>
        <v>13962959.999999998</v>
      </c>
      <c r="J71" s="37"/>
    </row>
    <row r="72" spans="1:10" s="38" customFormat="1" ht="30" x14ac:dyDescent="0.25">
      <c r="A72" s="31">
        <v>63</v>
      </c>
      <c r="B72" s="32"/>
      <c r="C72" s="33" t="s">
        <v>76</v>
      </c>
      <c r="D72" s="34">
        <v>252</v>
      </c>
      <c r="E72" s="35" t="s">
        <v>35</v>
      </c>
      <c r="F72" s="34" t="s">
        <v>77</v>
      </c>
      <c r="G72" s="3">
        <v>2000</v>
      </c>
      <c r="H72" s="105">
        <v>49</v>
      </c>
      <c r="I72" s="36">
        <f t="shared" si="0"/>
        <v>98000</v>
      </c>
      <c r="J72" s="37"/>
    </row>
    <row r="73" spans="1:10" s="38" customFormat="1" ht="14.5" customHeight="1" x14ac:dyDescent="0.2">
      <c r="A73" s="122" t="s">
        <v>137</v>
      </c>
      <c r="B73" s="123"/>
      <c r="C73" s="123"/>
      <c r="D73" s="123"/>
      <c r="E73" s="123"/>
      <c r="F73" s="123"/>
      <c r="G73" s="123"/>
      <c r="H73" s="124"/>
      <c r="I73" s="109">
        <f>SUM(I10:I72)</f>
        <v>130632883.40000001</v>
      </c>
      <c r="J73" s="37"/>
    </row>
    <row r="74" spans="1:10" s="38" customFormat="1" ht="118.5" customHeight="1" x14ac:dyDescent="0.3">
      <c r="A74" s="125" t="s">
        <v>138</v>
      </c>
      <c r="B74" s="125"/>
      <c r="C74" s="120" t="s">
        <v>140</v>
      </c>
      <c r="D74" s="120"/>
      <c r="E74" s="120"/>
      <c r="F74" s="120"/>
      <c r="G74" s="44"/>
      <c r="H74" s="45"/>
      <c r="I74" s="46"/>
    </row>
    <row r="75" spans="1:10" s="38" customFormat="1" ht="30" x14ac:dyDescent="0.25">
      <c r="A75" s="42"/>
      <c r="B75" s="47" t="s">
        <v>78</v>
      </c>
      <c r="C75" s="49" t="s">
        <v>139</v>
      </c>
      <c r="D75" s="43"/>
      <c r="E75" s="48"/>
      <c r="F75" s="43"/>
      <c r="G75" s="44"/>
      <c r="H75" s="45"/>
      <c r="I75" s="46"/>
    </row>
    <row r="76" spans="1:10" s="38" customFormat="1" ht="15" x14ac:dyDescent="0.25">
      <c r="A76" s="42"/>
      <c r="B76" s="47"/>
      <c r="C76" s="42"/>
      <c r="D76" s="43"/>
      <c r="E76" s="48"/>
      <c r="F76" s="43"/>
      <c r="G76" s="44"/>
      <c r="H76" s="45"/>
      <c r="I76" s="46"/>
    </row>
    <row r="77" spans="1:10" s="38" customFormat="1" ht="28" x14ac:dyDescent="0.3">
      <c r="A77" s="42"/>
      <c r="B77" s="47" t="s">
        <v>79</v>
      </c>
      <c r="C77" s="121" t="s">
        <v>80</v>
      </c>
      <c r="D77" s="121"/>
      <c r="E77" s="121"/>
      <c r="F77" s="121"/>
      <c r="G77" s="44"/>
      <c r="H77" s="45"/>
      <c r="I77" s="46"/>
    </row>
    <row r="78" spans="1:10" x14ac:dyDescent="0.3">
      <c r="C78" s="114"/>
      <c r="D78" s="114"/>
      <c r="E78" s="114"/>
      <c r="F78" s="114"/>
    </row>
    <row r="79" spans="1:10" ht="45" x14ac:dyDescent="0.25">
      <c r="B79" s="10" t="s">
        <v>81</v>
      </c>
    </row>
    <row r="81" spans="2:3" ht="28" x14ac:dyDescent="0.3">
      <c r="B81" s="10" t="s">
        <v>82</v>
      </c>
      <c r="C81" s="50" t="s">
        <v>83</v>
      </c>
    </row>
  </sheetData>
  <mergeCells count="12">
    <mergeCell ref="C78:F78"/>
    <mergeCell ref="B2:H2"/>
    <mergeCell ref="A4:B4"/>
    <mergeCell ref="C4:E4"/>
    <mergeCell ref="A5:B5"/>
    <mergeCell ref="C5:E5"/>
    <mergeCell ref="A6:B6"/>
    <mergeCell ref="A7:B7"/>
    <mergeCell ref="C74:F74"/>
    <mergeCell ref="C77:F77"/>
    <mergeCell ref="A73:H73"/>
    <mergeCell ref="A74:B74"/>
  </mergeCells>
  <conditionalFormatting sqref="B83:B1048576 B1:B62 B64:B72">
    <cfRule type="duplicateValues" dxfId="34" priority="29"/>
  </conditionalFormatting>
  <conditionalFormatting sqref="E83:E1048576 E1:E47 E49:E62 E64:E72">
    <cfRule type="duplicateValues" dxfId="33" priority="28"/>
  </conditionalFormatting>
  <conditionalFormatting sqref="E83:E1048576 E1:E47 E49:E62 E64:E72">
    <cfRule type="duplicateValues" dxfId="32" priority="30"/>
    <cfRule type="duplicateValues" dxfId="31" priority="31"/>
  </conditionalFormatting>
  <conditionalFormatting sqref="B83:B1048576 E1:E47 E83:E1048576 B1:B62 E49:E62 E64:E72 B64:B72">
    <cfRule type="duplicateValues" dxfId="30" priority="32"/>
  </conditionalFormatting>
  <conditionalFormatting sqref="B82">
    <cfRule type="duplicateValues" dxfId="29" priority="19"/>
  </conditionalFormatting>
  <conditionalFormatting sqref="E82">
    <cfRule type="duplicateValues" dxfId="28" priority="18"/>
  </conditionalFormatting>
  <conditionalFormatting sqref="E82 B82">
    <cfRule type="duplicateValues" dxfId="27" priority="20"/>
  </conditionalFormatting>
  <conditionalFormatting sqref="E82">
    <cfRule type="duplicateValues" dxfId="26" priority="21"/>
    <cfRule type="duplicateValues" dxfId="25" priority="22"/>
  </conditionalFormatting>
  <conditionalFormatting sqref="E79:E81 E75:E76">
    <cfRule type="duplicateValues" dxfId="24" priority="11"/>
  </conditionalFormatting>
  <conditionalFormatting sqref="E79:E81 B75:B81 A74 E75:E76">
    <cfRule type="duplicateValues" dxfId="23" priority="10"/>
  </conditionalFormatting>
  <conditionalFormatting sqref="E79:E81">
    <cfRule type="duplicateValues" dxfId="22" priority="8"/>
  </conditionalFormatting>
  <conditionalFormatting sqref="E79:E81 E75:E76">
    <cfRule type="duplicateValues" dxfId="21" priority="6"/>
    <cfRule type="duplicateValues" dxfId="20" priority="7"/>
  </conditionalFormatting>
  <conditionalFormatting sqref="B75:B81 A74">
    <cfRule type="duplicateValues" dxfId="19" priority="90"/>
  </conditionalFormatting>
  <conditionalFormatting sqref="E75:E81">
    <cfRule type="duplicateValues" dxfId="18" priority="93"/>
    <cfRule type="duplicateValues" dxfId="17" priority="94"/>
  </conditionalFormatting>
  <conditionalFormatting sqref="E75:E81">
    <cfRule type="duplicateValues" dxfId="16" priority="97"/>
  </conditionalFormatting>
  <conditionalFormatting sqref="E75:E81">
    <cfRule type="duplicateValues" dxfId="15" priority="99"/>
  </conditionalFormatting>
  <conditionalFormatting sqref="B75:B81 A74 E75:E81">
    <cfRule type="duplicateValues" dxfId="14" priority="101"/>
  </conditionalFormatting>
  <conditionalFormatting sqref="B75:B81 A74">
    <cfRule type="duplicateValues" dxfId="13" priority="106"/>
  </conditionalFormatting>
  <conditionalFormatting sqref="B63">
    <cfRule type="duplicateValues" dxfId="12" priority="2"/>
  </conditionalFormatting>
  <conditionalFormatting sqref="E63">
    <cfRule type="duplicateValues" dxfId="11" priority="1"/>
  </conditionalFormatting>
  <conditionalFormatting sqref="E63">
    <cfRule type="duplicateValues" dxfId="10" priority="3"/>
    <cfRule type="duplicateValues" dxfId="9" priority="4"/>
  </conditionalFormatting>
  <conditionalFormatting sqref="B63 E63">
    <cfRule type="duplicateValues" dxfId="8" priority="5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25"/>
  <sheetViews>
    <sheetView topLeftCell="A64" zoomScale="80" zoomScaleNormal="80" workbookViewId="0">
      <selection activeCell="F79" sqref="F79"/>
    </sheetView>
  </sheetViews>
  <sheetFormatPr baseColWidth="10" defaultColWidth="9.1796875" defaultRowHeight="12.5" x14ac:dyDescent="0.25"/>
  <cols>
    <col min="1" max="1" width="5.54296875" style="53" customWidth="1"/>
    <col min="2" max="2" width="15.1796875" style="53" customWidth="1"/>
    <col min="3" max="3" width="12" style="53" customWidth="1"/>
    <col min="4" max="4" width="26" style="53" customWidth="1"/>
    <col min="5" max="5" width="8" style="53" customWidth="1"/>
    <col min="6" max="6" width="7.81640625" style="53" customWidth="1"/>
    <col min="7" max="7" width="3.453125" style="53" customWidth="1"/>
    <col min="8" max="8" width="9.26953125" style="53" customWidth="1"/>
    <col min="9" max="9" width="14.54296875" style="53" customWidth="1"/>
    <col min="10" max="10" width="16" style="53" customWidth="1"/>
    <col min="11" max="11" width="15.54296875" style="53" customWidth="1"/>
    <col min="12" max="12" width="5.81640625" style="53" customWidth="1"/>
    <col min="13" max="13" width="15.7265625" style="53" customWidth="1"/>
    <col min="14" max="14" width="5.81640625" style="53" customWidth="1"/>
    <col min="15" max="15" width="12.54296875" style="53" customWidth="1"/>
    <col min="16" max="1024" width="9.1796875" style="53"/>
    <col min="1025" max="16384" width="9.1796875" style="65"/>
  </cols>
  <sheetData>
    <row r="1" spans="1:13" ht="18" customHeight="1" thickBot="1" x14ac:dyDescent="0.3">
      <c r="A1" s="134" t="s">
        <v>84</v>
      </c>
      <c r="B1" s="134"/>
      <c r="C1" s="134"/>
      <c r="D1" s="134"/>
      <c r="E1" s="134"/>
      <c r="F1" s="134"/>
      <c r="G1" s="134"/>
      <c r="H1" s="134"/>
      <c r="I1" s="134"/>
      <c r="J1" s="51" t="s">
        <v>85</v>
      </c>
      <c r="K1" s="52" t="s">
        <v>142</v>
      </c>
    </row>
    <row r="2" spans="1:13" ht="18.75" customHeight="1" thickBot="1" x14ac:dyDescent="0.3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3" ht="18.75" customHeight="1" thickBot="1" x14ac:dyDescent="0.3">
      <c r="A3" s="129" t="s">
        <v>86</v>
      </c>
      <c r="B3" s="129"/>
      <c r="C3" s="129"/>
      <c r="D3" s="130" t="s">
        <v>87</v>
      </c>
      <c r="E3" s="130"/>
      <c r="F3" s="130"/>
      <c r="G3" s="130"/>
      <c r="H3" s="130"/>
      <c r="I3" s="130"/>
      <c r="J3" s="130"/>
      <c r="K3" s="130"/>
    </row>
    <row r="4" spans="1:13" ht="18.75" customHeight="1" thickBot="1" x14ac:dyDescent="0.3">
      <c r="A4" s="131" t="s">
        <v>88</v>
      </c>
      <c r="B4" s="131"/>
      <c r="C4" s="131"/>
      <c r="D4" s="130" t="s">
        <v>89</v>
      </c>
      <c r="E4" s="130"/>
      <c r="F4" s="130"/>
      <c r="G4" s="130"/>
      <c r="H4" s="130"/>
      <c r="I4" s="130"/>
      <c r="J4" s="130"/>
      <c r="K4" s="130"/>
    </row>
    <row r="5" spans="1:13" ht="18.75" customHeight="1" thickBot="1" x14ac:dyDescent="0.3">
      <c r="A5" s="131" t="s">
        <v>90</v>
      </c>
      <c r="B5" s="131"/>
      <c r="C5" s="131"/>
      <c r="D5" s="130" t="s">
        <v>91</v>
      </c>
      <c r="E5" s="130"/>
      <c r="F5" s="130"/>
      <c r="G5" s="130"/>
      <c r="H5" s="130"/>
      <c r="I5" s="130"/>
      <c r="J5" s="130"/>
      <c r="K5" s="130"/>
    </row>
    <row r="6" spans="1:13" ht="16.5" customHeight="1" thickBot="1" x14ac:dyDescent="0.3">
      <c r="A6" s="129" t="s">
        <v>92</v>
      </c>
      <c r="B6" s="129"/>
      <c r="C6" s="129"/>
      <c r="D6" s="130" t="s">
        <v>91</v>
      </c>
      <c r="E6" s="130"/>
      <c r="F6" s="130"/>
      <c r="G6" s="130"/>
      <c r="H6" s="130"/>
      <c r="I6" s="130"/>
      <c r="J6" s="130"/>
      <c r="K6" s="130"/>
    </row>
    <row r="7" spans="1:13" ht="16.5" customHeight="1" thickBot="1" x14ac:dyDescent="0.3">
      <c r="A7" s="131" t="s">
        <v>93</v>
      </c>
      <c r="B7" s="131"/>
      <c r="C7" s="131"/>
      <c r="D7" s="130" t="s">
        <v>94</v>
      </c>
      <c r="E7" s="130"/>
      <c r="F7" s="130"/>
      <c r="G7" s="130"/>
      <c r="H7" s="130"/>
      <c r="I7" s="130"/>
      <c r="J7" s="130"/>
      <c r="K7" s="130"/>
    </row>
    <row r="8" spans="1:13" ht="36" customHeight="1" thickBot="1" x14ac:dyDescent="0.3">
      <c r="A8" s="132" t="s">
        <v>95</v>
      </c>
      <c r="B8" s="132"/>
      <c r="C8" s="132"/>
      <c r="D8" s="133" t="s">
        <v>135</v>
      </c>
      <c r="E8" s="133"/>
      <c r="F8" s="133"/>
      <c r="G8" s="133"/>
      <c r="H8" s="133"/>
      <c r="I8" s="133"/>
      <c r="J8" s="133"/>
      <c r="K8" s="133"/>
    </row>
    <row r="9" spans="1:13" ht="16" thickBot="1" x14ac:dyDescent="0.3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3" ht="18.75" customHeight="1" thickBot="1" x14ac:dyDescent="0.3">
      <c r="A10" s="135" t="s">
        <v>96</v>
      </c>
      <c r="B10" s="136" t="s">
        <v>97</v>
      </c>
      <c r="C10" s="137" t="s">
        <v>98</v>
      </c>
      <c r="D10" s="137"/>
      <c r="E10" s="137"/>
      <c r="F10" s="137"/>
      <c r="G10" s="137"/>
      <c r="H10" s="136" t="s">
        <v>99</v>
      </c>
      <c r="I10" s="136" t="s">
        <v>100</v>
      </c>
      <c r="J10" s="187" t="s">
        <v>101</v>
      </c>
      <c r="K10" s="193" t="s">
        <v>102</v>
      </c>
    </row>
    <row r="11" spans="1:13" ht="24" customHeight="1" thickBot="1" x14ac:dyDescent="0.3">
      <c r="A11" s="135"/>
      <c r="B11" s="136"/>
      <c r="C11" s="137"/>
      <c r="D11" s="137"/>
      <c r="E11" s="137"/>
      <c r="F11" s="137"/>
      <c r="G11" s="137"/>
      <c r="H11" s="136"/>
      <c r="I11" s="136"/>
      <c r="J11" s="187"/>
      <c r="K11" s="193"/>
    </row>
    <row r="12" spans="1:13" s="53" customFormat="1" ht="32.25" customHeight="1" thickBot="1" x14ac:dyDescent="0.4">
      <c r="A12" s="58">
        <v>1</v>
      </c>
      <c r="B12" s="59"/>
      <c r="C12" s="138" t="s">
        <v>31</v>
      </c>
      <c r="D12" s="139" t="s">
        <v>31</v>
      </c>
      <c r="E12" s="139" t="s">
        <v>31</v>
      </c>
      <c r="F12" s="139" t="s">
        <v>31</v>
      </c>
      <c r="G12" s="140" t="s">
        <v>31</v>
      </c>
      <c r="H12" s="60" t="s">
        <v>103</v>
      </c>
      <c r="I12" s="34" t="s">
        <v>77</v>
      </c>
      <c r="J12" s="107">
        <v>2.23</v>
      </c>
      <c r="K12" s="6">
        <v>4800</v>
      </c>
      <c r="M12" s="61">
        <f>+K12*J12</f>
        <v>10704</v>
      </c>
    </row>
    <row r="13" spans="1:13" s="53" customFormat="1" ht="32.25" customHeight="1" thickBot="1" x14ac:dyDescent="0.35">
      <c r="A13" s="62">
        <v>2</v>
      </c>
      <c r="B13" s="63"/>
      <c r="C13" s="126" t="s">
        <v>1</v>
      </c>
      <c r="D13" s="127" t="s">
        <v>1</v>
      </c>
      <c r="E13" s="127" t="s">
        <v>1</v>
      </c>
      <c r="F13" s="127" t="s">
        <v>1</v>
      </c>
      <c r="G13" s="128" t="s">
        <v>1</v>
      </c>
      <c r="H13" s="60" t="s">
        <v>103</v>
      </c>
      <c r="I13" s="34" t="s">
        <v>77</v>
      </c>
      <c r="J13" s="188">
        <v>140</v>
      </c>
      <c r="K13" s="3">
        <v>1500</v>
      </c>
      <c r="M13" s="61">
        <f t="shared" ref="M13:M74" si="0">+K13*J13</f>
        <v>210000</v>
      </c>
    </row>
    <row r="14" spans="1:13" s="53" customFormat="1" ht="32.25" customHeight="1" thickBot="1" x14ac:dyDescent="0.35">
      <c r="A14" s="58">
        <v>3</v>
      </c>
      <c r="B14" s="63"/>
      <c r="C14" s="126" t="s">
        <v>26</v>
      </c>
      <c r="D14" s="127" t="s">
        <v>26</v>
      </c>
      <c r="E14" s="127" t="s">
        <v>26</v>
      </c>
      <c r="F14" s="127" t="s">
        <v>26</v>
      </c>
      <c r="G14" s="128" t="s">
        <v>26</v>
      </c>
      <c r="H14" s="60" t="s">
        <v>103</v>
      </c>
      <c r="I14" s="34" t="s">
        <v>77</v>
      </c>
      <c r="J14" s="100">
        <v>2079</v>
      </c>
      <c r="K14" s="2">
        <v>100</v>
      </c>
      <c r="M14" s="61">
        <f t="shared" si="0"/>
        <v>207900</v>
      </c>
    </row>
    <row r="15" spans="1:13" s="53" customFormat="1" ht="32.25" customHeight="1" thickBot="1" x14ac:dyDescent="0.35">
      <c r="A15" s="58">
        <v>4</v>
      </c>
      <c r="B15" s="63"/>
      <c r="C15" s="126" t="s">
        <v>45</v>
      </c>
      <c r="D15" s="127" t="s">
        <v>45</v>
      </c>
      <c r="E15" s="127" t="s">
        <v>45</v>
      </c>
      <c r="F15" s="127" t="s">
        <v>45</v>
      </c>
      <c r="G15" s="128" t="s">
        <v>45</v>
      </c>
      <c r="H15" s="60" t="s">
        <v>103</v>
      </c>
      <c r="I15" s="34" t="s">
        <v>77</v>
      </c>
      <c r="J15" s="100" t="s">
        <v>130</v>
      </c>
      <c r="K15" s="2">
        <v>2500</v>
      </c>
      <c r="M15" s="61">
        <f t="shared" si="0"/>
        <v>1152375</v>
      </c>
    </row>
    <row r="16" spans="1:13" s="53" customFormat="1" ht="32.25" customHeight="1" thickBot="1" x14ac:dyDescent="0.4">
      <c r="A16" s="62">
        <v>5</v>
      </c>
      <c r="B16" s="63"/>
      <c r="C16" s="126" t="s">
        <v>40</v>
      </c>
      <c r="D16" s="127" t="s">
        <v>40</v>
      </c>
      <c r="E16" s="127" t="s">
        <v>40</v>
      </c>
      <c r="F16" s="127" t="s">
        <v>40</v>
      </c>
      <c r="G16" s="128" t="s">
        <v>40</v>
      </c>
      <c r="H16" s="60" t="s">
        <v>103</v>
      </c>
      <c r="I16" s="34" t="s">
        <v>77</v>
      </c>
      <c r="J16" s="107">
        <v>324.89999999999998</v>
      </c>
      <c r="K16" s="6">
        <v>3000</v>
      </c>
      <c r="M16" s="61">
        <f t="shared" si="0"/>
        <v>974699.99999999988</v>
      </c>
    </row>
    <row r="17" spans="1:13" s="53" customFormat="1" ht="32.25" customHeight="1" thickBot="1" x14ac:dyDescent="0.35">
      <c r="A17" s="58">
        <v>6</v>
      </c>
      <c r="B17" s="63"/>
      <c r="C17" s="126" t="s">
        <v>9</v>
      </c>
      <c r="D17" s="127" t="s">
        <v>9</v>
      </c>
      <c r="E17" s="127" t="s">
        <v>9</v>
      </c>
      <c r="F17" s="127" t="s">
        <v>9</v>
      </c>
      <c r="G17" s="128" t="s">
        <v>9</v>
      </c>
      <c r="H17" s="60" t="s">
        <v>103</v>
      </c>
      <c r="I17" s="34" t="s">
        <v>77</v>
      </c>
      <c r="J17" s="189">
        <v>34</v>
      </c>
      <c r="K17" s="3">
        <v>102000</v>
      </c>
      <c r="M17" s="61">
        <f t="shared" si="0"/>
        <v>3468000</v>
      </c>
    </row>
    <row r="18" spans="1:13" s="53" customFormat="1" ht="32.25" customHeight="1" thickBot="1" x14ac:dyDescent="0.35">
      <c r="A18" s="58">
        <v>7</v>
      </c>
      <c r="B18" s="63"/>
      <c r="C18" s="126" t="s">
        <v>8</v>
      </c>
      <c r="D18" s="127" t="s">
        <v>8</v>
      </c>
      <c r="E18" s="127" t="s">
        <v>8</v>
      </c>
      <c r="F18" s="127" t="s">
        <v>8</v>
      </c>
      <c r="G18" s="128" t="s">
        <v>8</v>
      </c>
      <c r="H18" s="60" t="s">
        <v>103</v>
      </c>
      <c r="I18" s="34" t="s">
        <v>77</v>
      </c>
      <c r="J18" s="189">
        <v>134</v>
      </c>
      <c r="K18" s="3">
        <v>15000</v>
      </c>
      <c r="M18" s="61">
        <f t="shared" si="0"/>
        <v>2010000</v>
      </c>
    </row>
    <row r="19" spans="1:13" s="53" customFormat="1" ht="32.25" customHeight="1" thickBot="1" x14ac:dyDescent="0.35">
      <c r="A19" s="62">
        <v>8</v>
      </c>
      <c r="B19" s="63"/>
      <c r="C19" s="126" t="s">
        <v>7</v>
      </c>
      <c r="D19" s="127" t="s">
        <v>7</v>
      </c>
      <c r="E19" s="127" t="s">
        <v>7</v>
      </c>
      <c r="F19" s="127" t="s">
        <v>7</v>
      </c>
      <c r="G19" s="128" t="s">
        <v>7</v>
      </c>
      <c r="H19" s="60" t="s">
        <v>103</v>
      </c>
      <c r="I19" s="34" t="s">
        <v>77</v>
      </c>
      <c r="J19" s="101">
        <v>732</v>
      </c>
      <c r="K19" s="4">
        <v>14000</v>
      </c>
      <c r="M19" s="61">
        <f t="shared" si="0"/>
        <v>10248000</v>
      </c>
    </row>
    <row r="20" spans="1:13" s="53" customFormat="1" ht="32.25" customHeight="1" thickBot="1" x14ac:dyDescent="0.35">
      <c r="A20" s="58">
        <v>9</v>
      </c>
      <c r="B20" s="63"/>
      <c r="C20" s="126" t="s">
        <v>43</v>
      </c>
      <c r="D20" s="127" t="s">
        <v>43</v>
      </c>
      <c r="E20" s="127" t="s">
        <v>43</v>
      </c>
      <c r="F20" s="127" t="s">
        <v>43</v>
      </c>
      <c r="G20" s="128" t="s">
        <v>43</v>
      </c>
      <c r="H20" s="60" t="s">
        <v>103</v>
      </c>
      <c r="I20" s="34" t="s">
        <v>77</v>
      </c>
      <c r="J20" s="189">
        <v>230</v>
      </c>
      <c r="K20" s="3">
        <v>3000</v>
      </c>
      <c r="M20" s="61">
        <f t="shared" si="0"/>
        <v>690000</v>
      </c>
    </row>
    <row r="21" spans="1:13" s="53" customFormat="1" ht="32.25" customHeight="1" thickBot="1" x14ac:dyDescent="0.35">
      <c r="A21" s="58">
        <v>10</v>
      </c>
      <c r="B21" s="63"/>
      <c r="C21" s="126" t="s">
        <v>11</v>
      </c>
      <c r="D21" s="127" t="s">
        <v>11</v>
      </c>
      <c r="E21" s="127" t="s">
        <v>11</v>
      </c>
      <c r="F21" s="127" t="s">
        <v>11</v>
      </c>
      <c r="G21" s="128" t="s">
        <v>11</v>
      </c>
      <c r="H21" s="60" t="s">
        <v>103</v>
      </c>
      <c r="I21" s="34" t="s">
        <v>77</v>
      </c>
      <c r="J21" s="100">
        <v>35</v>
      </c>
      <c r="K21" s="2">
        <v>17000</v>
      </c>
      <c r="M21" s="61">
        <f t="shared" si="0"/>
        <v>595000</v>
      </c>
    </row>
    <row r="22" spans="1:13" s="53" customFormat="1" ht="32.25" customHeight="1" thickBot="1" x14ac:dyDescent="0.35">
      <c r="A22" s="62">
        <v>11</v>
      </c>
      <c r="B22" s="63"/>
      <c r="C22" s="126" t="s">
        <v>34</v>
      </c>
      <c r="D22" s="127" t="s">
        <v>34</v>
      </c>
      <c r="E22" s="127" t="s">
        <v>34</v>
      </c>
      <c r="F22" s="127" t="s">
        <v>34</v>
      </c>
      <c r="G22" s="128" t="s">
        <v>34</v>
      </c>
      <c r="H22" s="60" t="s">
        <v>103</v>
      </c>
      <c r="I22" s="34" t="s">
        <v>77</v>
      </c>
      <c r="J22" s="100" t="s">
        <v>131</v>
      </c>
      <c r="K22" s="2">
        <v>1800</v>
      </c>
      <c r="M22" s="61">
        <f t="shared" si="0"/>
        <v>868158</v>
      </c>
    </row>
    <row r="23" spans="1:13" s="53" customFormat="1" ht="32.25" customHeight="1" thickBot="1" x14ac:dyDescent="0.35">
      <c r="A23" s="58">
        <v>12</v>
      </c>
      <c r="B23" s="63"/>
      <c r="C23" s="126" t="s">
        <v>14</v>
      </c>
      <c r="D23" s="127" t="s">
        <v>14</v>
      </c>
      <c r="E23" s="127" t="s">
        <v>14</v>
      </c>
      <c r="F23" s="127" t="s">
        <v>14</v>
      </c>
      <c r="G23" s="128" t="s">
        <v>14</v>
      </c>
      <c r="H23" s="60" t="s">
        <v>103</v>
      </c>
      <c r="I23" s="34" t="s">
        <v>77</v>
      </c>
      <c r="J23" s="100">
        <v>196.9</v>
      </c>
      <c r="K23" s="2">
        <v>10000</v>
      </c>
      <c r="M23" s="61">
        <f t="shared" si="0"/>
        <v>1969000</v>
      </c>
    </row>
    <row r="24" spans="1:13" s="53" customFormat="1" ht="32.25" customHeight="1" thickBot="1" x14ac:dyDescent="0.35">
      <c r="A24" s="58">
        <v>13</v>
      </c>
      <c r="B24" s="63"/>
      <c r="C24" s="126" t="s">
        <v>46</v>
      </c>
      <c r="D24" s="127" t="s">
        <v>46</v>
      </c>
      <c r="E24" s="127" t="s">
        <v>46</v>
      </c>
      <c r="F24" s="127" t="s">
        <v>46</v>
      </c>
      <c r="G24" s="128" t="s">
        <v>46</v>
      </c>
      <c r="H24" s="60" t="s">
        <v>103</v>
      </c>
      <c r="I24" s="34" t="s">
        <v>77</v>
      </c>
      <c r="J24" s="100">
        <v>120</v>
      </c>
      <c r="K24" s="2">
        <v>30000</v>
      </c>
      <c r="M24" s="61">
        <f t="shared" si="0"/>
        <v>3600000</v>
      </c>
    </row>
    <row r="25" spans="1:13" s="53" customFormat="1" ht="32.25" customHeight="1" thickBot="1" x14ac:dyDescent="0.35">
      <c r="A25" s="62">
        <v>14</v>
      </c>
      <c r="B25" s="63"/>
      <c r="C25" s="126" t="s">
        <v>42</v>
      </c>
      <c r="D25" s="127" t="s">
        <v>42</v>
      </c>
      <c r="E25" s="127" t="s">
        <v>42</v>
      </c>
      <c r="F25" s="127" t="s">
        <v>42</v>
      </c>
      <c r="G25" s="128" t="s">
        <v>42</v>
      </c>
      <c r="H25" s="60" t="s">
        <v>103</v>
      </c>
      <c r="I25" s="34" t="s">
        <v>77</v>
      </c>
      <c r="J25" s="100">
        <v>560</v>
      </c>
      <c r="K25" s="2">
        <v>1000</v>
      </c>
      <c r="M25" s="61">
        <f t="shared" si="0"/>
        <v>560000</v>
      </c>
    </row>
    <row r="26" spans="1:13" s="53" customFormat="1" ht="32.25" customHeight="1" thickBot="1" x14ac:dyDescent="0.35">
      <c r="A26" s="58">
        <v>15</v>
      </c>
      <c r="B26" s="63"/>
      <c r="C26" s="126" t="s">
        <v>12</v>
      </c>
      <c r="D26" s="127" t="s">
        <v>12</v>
      </c>
      <c r="E26" s="127" t="s">
        <v>12</v>
      </c>
      <c r="F26" s="127" t="s">
        <v>12</v>
      </c>
      <c r="G26" s="128" t="s">
        <v>12</v>
      </c>
      <c r="H26" s="60" t="s">
        <v>103</v>
      </c>
      <c r="I26" s="34" t="s">
        <v>77</v>
      </c>
      <c r="J26" s="100">
        <v>35</v>
      </c>
      <c r="K26" s="2">
        <v>25000</v>
      </c>
      <c r="M26" s="61">
        <f t="shared" si="0"/>
        <v>875000</v>
      </c>
    </row>
    <row r="27" spans="1:13" s="53" customFormat="1" ht="32.25" customHeight="1" thickBot="1" x14ac:dyDescent="0.35">
      <c r="A27" s="58">
        <v>16</v>
      </c>
      <c r="B27" s="63"/>
      <c r="C27" s="126" t="s">
        <v>13</v>
      </c>
      <c r="D27" s="127" t="s">
        <v>13</v>
      </c>
      <c r="E27" s="127" t="s">
        <v>13</v>
      </c>
      <c r="F27" s="127" t="s">
        <v>13</v>
      </c>
      <c r="G27" s="128" t="s">
        <v>13</v>
      </c>
      <c r="H27" s="60" t="s">
        <v>103</v>
      </c>
      <c r="I27" s="34" t="s">
        <v>77</v>
      </c>
      <c r="J27" s="101">
        <v>62</v>
      </c>
      <c r="K27" s="4">
        <v>4000</v>
      </c>
      <c r="M27" s="61">
        <f t="shared" si="0"/>
        <v>248000</v>
      </c>
    </row>
    <row r="28" spans="1:13" s="53" customFormat="1" ht="32.25" customHeight="1" thickBot="1" x14ac:dyDescent="0.35">
      <c r="A28" s="62">
        <v>17</v>
      </c>
      <c r="B28" s="63"/>
      <c r="C28" s="126" t="s">
        <v>20</v>
      </c>
      <c r="D28" s="127" t="s">
        <v>20</v>
      </c>
      <c r="E28" s="127" t="s">
        <v>20</v>
      </c>
      <c r="F28" s="127" t="s">
        <v>20</v>
      </c>
      <c r="G28" s="128" t="s">
        <v>20</v>
      </c>
      <c r="H28" s="60" t="s">
        <v>103</v>
      </c>
      <c r="I28" s="34" t="s">
        <v>77</v>
      </c>
      <c r="J28" s="101">
        <v>42</v>
      </c>
      <c r="K28" s="4">
        <v>700</v>
      </c>
      <c r="M28" s="61">
        <f t="shared" si="0"/>
        <v>29400</v>
      </c>
    </row>
    <row r="29" spans="1:13" s="53" customFormat="1" ht="32.25" customHeight="1" thickBot="1" x14ac:dyDescent="0.35">
      <c r="A29" s="58">
        <v>18</v>
      </c>
      <c r="B29" s="63"/>
      <c r="C29" s="126" t="s">
        <v>2</v>
      </c>
      <c r="D29" s="127" t="s">
        <v>2</v>
      </c>
      <c r="E29" s="127" t="s">
        <v>2</v>
      </c>
      <c r="F29" s="127" t="s">
        <v>2</v>
      </c>
      <c r="G29" s="128" t="s">
        <v>2</v>
      </c>
      <c r="H29" s="60" t="s">
        <v>103</v>
      </c>
      <c r="I29" s="34" t="s">
        <v>77</v>
      </c>
      <c r="J29" s="98">
        <v>30</v>
      </c>
      <c r="K29" s="6">
        <v>3000</v>
      </c>
      <c r="M29" s="61">
        <f t="shared" si="0"/>
        <v>90000</v>
      </c>
    </row>
    <row r="30" spans="1:13" s="53" customFormat="1" ht="32.25" customHeight="1" thickBot="1" x14ac:dyDescent="0.35">
      <c r="A30" s="58">
        <v>19</v>
      </c>
      <c r="B30" s="63"/>
      <c r="C30" s="126" t="s">
        <v>3</v>
      </c>
      <c r="D30" s="127" t="s">
        <v>3</v>
      </c>
      <c r="E30" s="127" t="s">
        <v>3</v>
      </c>
      <c r="F30" s="127" t="s">
        <v>3</v>
      </c>
      <c r="G30" s="128" t="s">
        <v>3</v>
      </c>
      <c r="H30" s="60" t="s">
        <v>103</v>
      </c>
      <c r="I30" s="34" t="s">
        <v>77</v>
      </c>
      <c r="J30" s="98">
        <v>34</v>
      </c>
      <c r="K30" s="6">
        <v>800</v>
      </c>
      <c r="M30" s="61">
        <f t="shared" si="0"/>
        <v>27200</v>
      </c>
    </row>
    <row r="31" spans="1:13" s="53" customFormat="1" ht="32.25" customHeight="1" thickBot="1" x14ac:dyDescent="0.35">
      <c r="A31" s="62">
        <v>20</v>
      </c>
      <c r="B31" s="63"/>
      <c r="C31" s="141" t="s">
        <v>41</v>
      </c>
      <c r="D31" s="142" t="s">
        <v>41</v>
      </c>
      <c r="E31" s="142" t="s">
        <v>41</v>
      </c>
      <c r="F31" s="142" t="s">
        <v>41</v>
      </c>
      <c r="G31" s="143" t="s">
        <v>41</v>
      </c>
      <c r="H31" s="60" t="s">
        <v>103</v>
      </c>
      <c r="I31" s="34" t="s">
        <v>77</v>
      </c>
      <c r="J31" s="189">
        <v>214</v>
      </c>
      <c r="K31" s="3">
        <v>4500</v>
      </c>
      <c r="M31" s="61">
        <f t="shared" si="0"/>
        <v>963000</v>
      </c>
    </row>
    <row r="32" spans="1:13" s="53" customFormat="1" ht="32.25" customHeight="1" thickBot="1" x14ac:dyDescent="0.35">
      <c r="A32" s="58">
        <v>21</v>
      </c>
      <c r="B32" s="63"/>
      <c r="C32" s="141" t="s">
        <v>19</v>
      </c>
      <c r="D32" s="142" t="s">
        <v>19</v>
      </c>
      <c r="E32" s="142" t="s">
        <v>19</v>
      </c>
      <c r="F32" s="142" t="s">
        <v>19</v>
      </c>
      <c r="G32" s="143" t="s">
        <v>19</v>
      </c>
      <c r="H32" s="60" t="s">
        <v>103</v>
      </c>
      <c r="I32" s="34" t="s">
        <v>77</v>
      </c>
      <c r="J32" s="100">
        <v>35</v>
      </c>
      <c r="K32" s="2">
        <v>60000</v>
      </c>
      <c r="M32" s="61">
        <f t="shared" si="0"/>
        <v>2100000</v>
      </c>
    </row>
    <row r="33" spans="1:13" s="53" customFormat="1" ht="32.25" customHeight="1" thickBot="1" x14ac:dyDescent="0.4">
      <c r="A33" s="58">
        <v>22</v>
      </c>
      <c r="B33" s="63"/>
      <c r="C33" s="126" t="s">
        <v>53</v>
      </c>
      <c r="D33" s="127" t="s">
        <v>53</v>
      </c>
      <c r="E33" s="127" t="s">
        <v>53</v>
      </c>
      <c r="F33" s="127" t="s">
        <v>53</v>
      </c>
      <c r="G33" s="128" t="s">
        <v>53</v>
      </c>
      <c r="H33" s="60" t="s">
        <v>103</v>
      </c>
      <c r="I33" s="34" t="s">
        <v>77</v>
      </c>
      <c r="J33" s="107">
        <v>440</v>
      </c>
      <c r="K33" s="6">
        <v>7000</v>
      </c>
      <c r="M33" s="61">
        <f t="shared" si="0"/>
        <v>3080000</v>
      </c>
    </row>
    <row r="34" spans="1:13" s="53" customFormat="1" ht="32.25" customHeight="1" thickBot="1" x14ac:dyDescent="0.35">
      <c r="A34" s="62">
        <v>23</v>
      </c>
      <c r="B34" s="63"/>
      <c r="C34" s="126" t="s">
        <v>33</v>
      </c>
      <c r="D34" s="127" t="s">
        <v>33</v>
      </c>
      <c r="E34" s="127" t="s">
        <v>33</v>
      </c>
      <c r="F34" s="127" t="s">
        <v>33</v>
      </c>
      <c r="G34" s="128" t="s">
        <v>33</v>
      </c>
      <c r="H34" s="60" t="s">
        <v>103</v>
      </c>
      <c r="I34" s="34" t="s">
        <v>77</v>
      </c>
      <c r="J34" s="101">
        <v>35</v>
      </c>
      <c r="K34" s="4">
        <v>4500</v>
      </c>
      <c r="M34" s="61">
        <f t="shared" si="0"/>
        <v>157500</v>
      </c>
    </row>
    <row r="35" spans="1:13" s="53" customFormat="1" ht="32.25" customHeight="1" thickBot="1" x14ac:dyDescent="0.35">
      <c r="A35" s="58">
        <v>24</v>
      </c>
      <c r="B35" s="63"/>
      <c r="C35" s="126" t="s">
        <v>21</v>
      </c>
      <c r="D35" s="127" t="s">
        <v>21</v>
      </c>
      <c r="E35" s="127" t="s">
        <v>21</v>
      </c>
      <c r="F35" s="127" t="s">
        <v>21</v>
      </c>
      <c r="G35" s="128" t="s">
        <v>21</v>
      </c>
      <c r="H35" s="60" t="s">
        <v>103</v>
      </c>
      <c r="I35" s="34" t="s">
        <v>77</v>
      </c>
      <c r="J35" s="101">
        <v>304</v>
      </c>
      <c r="K35" s="4">
        <v>500</v>
      </c>
      <c r="M35" s="61">
        <f t="shared" si="0"/>
        <v>152000</v>
      </c>
    </row>
    <row r="36" spans="1:13" s="53" customFormat="1" ht="32.25" customHeight="1" thickBot="1" x14ac:dyDescent="0.35">
      <c r="A36" s="58">
        <v>25</v>
      </c>
      <c r="B36" s="63"/>
      <c r="C36" s="126" t="s">
        <v>38</v>
      </c>
      <c r="D36" s="127" t="s">
        <v>38</v>
      </c>
      <c r="E36" s="127" t="s">
        <v>38</v>
      </c>
      <c r="F36" s="127" t="s">
        <v>38</v>
      </c>
      <c r="G36" s="128" t="s">
        <v>38</v>
      </c>
      <c r="H36" s="60" t="s">
        <v>103</v>
      </c>
      <c r="I36" s="34" t="s">
        <v>77</v>
      </c>
      <c r="J36" s="101">
        <v>85</v>
      </c>
      <c r="K36" s="4">
        <v>800</v>
      </c>
      <c r="M36" s="61">
        <f t="shared" si="0"/>
        <v>68000</v>
      </c>
    </row>
    <row r="37" spans="1:13" s="53" customFormat="1" ht="32.25" customHeight="1" thickBot="1" x14ac:dyDescent="0.35">
      <c r="A37" s="62">
        <v>26</v>
      </c>
      <c r="B37" s="63"/>
      <c r="C37" s="126" t="s">
        <v>25</v>
      </c>
      <c r="D37" s="127" t="s">
        <v>25</v>
      </c>
      <c r="E37" s="127" t="s">
        <v>25</v>
      </c>
      <c r="F37" s="127" t="s">
        <v>25</v>
      </c>
      <c r="G37" s="128" t="s">
        <v>25</v>
      </c>
      <c r="H37" s="60" t="s">
        <v>103</v>
      </c>
      <c r="I37" s="34" t="s">
        <v>77</v>
      </c>
      <c r="J37" s="100">
        <v>1200</v>
      </c>
      <c r="K37" s="2">
        <v>10000</v>
      </c>
      <c r="M37" s="61">
        <f t="shared" si="0"/>
        <v>12000000</v>
      </c>
    </row>
    <row r="38" spans="1:13" s="53" customFormat="1" ht="32.25" customHeight="1" thickBot="1" x14ac:dyDescent="0.35">
      <c r="A38" s="58">
        <v>27</v>
      </c>
      <c r="B38" s="63"/>
      <c r="C38" s="126" t="s">
        <v>59</v>
      </c>
      <c r="D38" s="127" t="s">
        <v>59</v>
      </c>
      <c r="E38" s="127" t="s">
        <v>59</v>
      </c>
      <c r="F38" s="127" t="s">
        <v>59</v>
      </c>
      <c r="G38" s="128" t="s">
        <v>59</v>
      </c>
      <c r="H38" s="60" t="s">
        <v>103</v>
      </c>
      <c r="I38" s="34" t="s">
        <v>77</v>
      </c>
      <c r="J38" s="100">
        <v>1500</v>
      </c>
      <c r="K38" s="2">
        <v>2000</v>
      </c>
      <c r="M38" s="61">
        <f t="shared" si="0"/>
        <v>3000000</v>
      </c>
    </row>
    <row r="39" spans="1:13" s="53" customFormat="1" ht="32.25" customHeight="1" thickBot="1" x14ac:dyDescent="0.35">
      <c r="A39" s="58">
        <v>28</v>
      </c>
      <c r="B39" s="63"/>
      <c r="C39" s="126" t="s">
        <v>4</v>
      </c>
      <c r="D39" s="127" t="s">
        <v>4</v>
      </c>
      <c r="E39" s="127" t="s">
        <v>4</v>
      </c>
      <c r="F39" s="127" t="s">
        <v>4</v>
      </c>
      <c r="G39" s="128" t="s">
        <v>4</v>
      </c>
      <c r="H39" s="60" t="s">
        <v>103</v>
      </c>
      <c r="I39" s="34" t="s">
        <v>77</v>
      </c>
      <c r="J39" s="100" t="s">
        <v>132</v>
      </c>
      <c r="K39" s="2">
        <v>25000</v>
      </c>
      <c r="M39" s="61">
        <f t="shared" si="0"/>
        <v>9680000</v>
      </c>
    </row>
    <row r="40" spans="1:13" s="53" customFormat="1" ht="32.25" customHeight="1" thickBot="1" x14ac:dyDescent="0.4">
      <c r="A40" s="62">
        <v>29</v>
      </c>
      <c r="B40" s="63"/>
      <c r="C40" s="181" t="s">
        <v>29</v>
      </c>
      <c r="D40" s="182" t="s">
        <v>29</v>
      </c>
      <c r="E40" s="182" t="s">
        <v>29</v>
      </c>
      <c r="F40" s="182" t="s">
        <v>29</v>
      </c>
      <c r="G40" s="183" t="s">
        <v>29</v>
      </c>
      <c r="H40" s="60" t="s">
        <v>103</v>
      </c>
      <c r="I40" s="34" t="s">
        <v>77</v>
      </c>
      <c r="J40" s="107">
        <v>554</v>
      </c>
      <c r="K40" s="6">
        <v>200</v>
      </c>
      <c r="M40" s="61">
        <f t="shared" si="0"/>
        <v>110800</v>
      </c>
    </row>
    <row r="41" spans="1:13" s="53" customFormat="1" ht="32.25" customHeight="1" thickBot="1" x14ac:dyDescent="0.35">
      <c r="A41" s="58">
        <v>30</v>
      </c>
      <c r="B41" s="63"/>
      <c r="C41" s="181" t="s">
        <v>27</v>
      </c>
      <c r="D41" s="182" t="s">
        <v>27</v>
      </c>
      <c r="E41" s="182" t="s">
        <v>27</v>
      </c>
      <c r="F41" s="182" t="s">
        <v>27</v>
      </c>
      <c r="G41" s="183" t="s">
        <v>27</v>
      </c>
      <c r="H41" s="60" t="s">
        <v>103</v>
      </c>
      <c r="I41" s="34" t="s">
        <v>77</v>
      </c>
      <c r="J41" s="100" t="s">
        <v>133</v>
      </c>
      <c r="K41" s="2">
        <v>1200</v>
      </c>
      <c r="M41" s="61">
        <f t="shared" si="0"/>
        <v>888300</v>
      </c>
    </row>
    <row r="42" spans="1:13" s="53" customFormat="1" ht="32.25" customHeight="1" thickBot="1" x14ac:dyDescent="0.35">
      <c r="A42" s="58">
        <v>31</v>
      </c>
      <c r="B42" s="63"/>
      <c r="C42" s="141" t="s">
        <v>47</v>
      </c>
      <c r="D42" s="142" t="s">
        <v>47</v>
      </c>
      <c r="E42" s="142" t="s">
        <v>47</v>
      </c>
      <c r="F42" s="142" t="s">
        <v>47</v>
      </c>
      <c r="G42" s="143" t="s">
        <v>47</v>
      </c>
      <c r="H42" s="60" t="s">
        <v>103</v>
      </c>
      <c r="I42" s="34" t="s">
        <v>77</v>
      </c>
      <c r="J42" s="189" t="s">
        <v>134</v>
      </c>
      <c r="K42" s="3">
        <v>9000</v>
      </c>
      <c r="M42" s="61">
        <f t="shared" si="0"/>
        <v>289800</v>
      </c>
    </row>
    <row r="43" spans="1:13" s="53" customFormat="1" ht="32.25" customHeight="1" thickBot="1" x14ac:dyDescent="0.35">
      <c r="A43" s="62">
        <v>32</v>
      </c>
      <c r="B43" s="63"/>
      <c r="C43" s="126" t="s">
        <v>36</v>
      </c>
      <c r="D43" s="127" t="s">
        <v>36</v>
      </c>
      <c r="E43" s="127" t="s">
        <v>36</v>
      </c>
      <c r="F43" s="127" t="s">
        <v>36</v>
      </c>
      <c r="G43" s="128" t="s">
        <v>36</v>
      </c>
      <c r="H43" s="60" t="s">
        <v>103</v>
      </c>
      <c r="I43" s="34" t="s">
        <v>77</v>
      </c>
      <c r="J43" s="100">
        <v>34</v>
      </c>
      <c r="K43" s="2">
        <v>1200</v>
      </c>
      <c r="M43" s="61">
        <f t="shared" si="0"/>
        <v>40800</v>
      </c>
    </row>
    <row r="44" spans="1:13" s="53" customFormat="1" ht="32.25" customHeight="1" thickBot="1" x14ac:dyDescent="0.35">
      <c r="A44" s="58">
        <v>33</v>
      </c>
      <c r="B44" s="63"/>
      <c r="C44" s="126" t="s">
        <v>24</v>
      </c>
      <c r="D44" s="127" t="s">
        <v>24</v>
      </c>
      <c r="E44" s="127" t="s">
        <v>24</v>
      </c>
      <c r="F44" s="127" t="s">
        <v>24</v>
      </c>
      <c r="G44" s="128" t="s">
        <v>24</v>
      </c>
      <c r="H44" s="60" t="s">
        <v>103</v>
      </c>
      <c r="I44" s="34" t="s">
        <v>77</v>
      </c>
      <c r="J44" s="100">
        <v>699</v>
      </c>
      <c r="K44" s="2">
        <v>2400</v>
      </c>
      <c r="M44" s="61">
        <f t="shared" si="0"/>
        <v>1677600</v>
      </c>
    </row>
    <row r="45" spans="1:13" s="53" customFormat="1" ht="32.25" customHeight="1" thickBot="1" x14ac:dyDescent="0.35">
      <c r="A45" s="58">
        <v>34</v>
      </c>
      <c r="B45" s="63"/>
      <c r="C45" s="126" t="s">
        <v>37</v>
      </c>
      <c r="D45" s="127" t="s">
        <v>37</v>
      </c>
      <c r="E45" s="127" t="s">
        <v>37</v>
      </c>
      <c r="F45" s="127" t="s">
        <v>37</v>
      </c>
      <c r="G45" s="128" t="s">
        <v>37</v>
      </c>
      <c r="H45" s="60" t="s">
        <v>103</v>
      </c>
      <c r="I45" s="34" t="s">
        <v>77</v>
      </c>
      <c r="J45" s="100">
        <v>115.25</v>
      </c>
      <c r="K45" s="2">
        <v>6000</v>
      </c>
      <c r="M45" s="61">
        <f t="shared" si="0"/>
        <v>691500</v>
      </c>
    </row>
    <row r="46" spans="1:13" s="53" customFormat="1" ht="32.25" customHeight="1" thickBot="1" x14ac:dyDescent="0.35">
      <c r="A46" s="62">
        <v>35</v>
      </c>
      <c r="B46" s="63"/>
      <c r="C46" s="126" t="s">
        <v>15</v>
      </c>
      <c r="D46" s="127" t="s">
        <v>15</v>
      </c>
      <c r="E46" s="127" t="s">
        <v>15</v>
      </c>
      <c r="F46" s="127" t="s">
        <v>15</v>
      </c>
      <c r="G46" s="128" t="s">
        <v>15</v>
      </c>
      <c r="H46" s="60" t="s">
        <v>103</v>
      </c>
      <c r="I46" s="34" t="s">
        <v>77</v>
      </c>
      <c r="J46" s="100">
        <v>214.4</v>
      </c>
      <c r="K46" s="2">
        <v>2500</v>
      </c>
      <c r="M46" s="61">
        <f t="shared" si="0"/>
        <v>536000</v>
      </c>
    </row>
    <row r="47" spans="1:13" s="53" customFormat="1" ht="32.25" customHeight="1" thickBot="1" x14ac:dyDescent="0.35">
      <c r="A47" s="58">
        <v>36</v>
      </c>
      <c r="B47" s="63"/>
      <c r="C47" s="126" t="s">
        <v>30</v>
      </c>
      <c r="D47" s="127" t="s">
        <v>30</v>
      </c>
      <c r="E47" s="127" t="s">
        <v>30</v>
      </c>
      <c r="F47" s="127" t="s">
        <v>30</v>
      </c>
      <c r="G47" s="128" t="s">
        <v>30</v>
      </c>
      <c r="H47" s="60" t="s">
        <v>103</v>
      </c>
      <c r="I47" s="34" t="s">
        <v>77</v>
      </c>
      <c r="J47" s="98">
        <v>59.2</v>
      </c>
      <c r="K47" s="6">
        <v>7500</v>
      </c>
      <c r="M47" s="61">
        <f t="shared" si="0"/>
        <v>444000</v>
      </c>
    </row>
    <row r="48" spans="1:13" s="53" customFormat="1" ht="32.25" customHeight="1" thickBot="1" x14ac:dyDescent="0.35">
      <c r="A48" s="58">
        <v>37</v>
      </c>
      <c r="B48" s="63"/>
      <c r="C48" s="126" t="s">
        <v>17</v>
      </c>
      <c r="D48" s="127" t="s">
        <v>17</v>
      </c>
      <c r="E48" s="127" t="s">
        <v>17</v>
      </c>
      <c r="F48" s="127" t="s">
        <v>17</v>
      </c>
      <c r="G48" s="128" t="s">
        <v>17</v>
      </c>
      <c r="H48" s="60" t="s">
        <v>103</v>
      </c>
      <c r="I48" s="34" t="s">
        <v>77</v>
      </c>
      <c r="J48" s="100">
        <v>4</v>
      </c>
      <c r="K48" s="2">
        <v>90000</v>
      </c>
      <c r="M48" s="61">
        <f t="shared" si="0"/>
        <v>360000</v>
      </c>
    </row>
    <row r="49" spans="1:13" s="53" customFormat="1" ht="32.25" customHeight="1" thickBot="1" x14ac:dyDescent="0.4">
      <c r="A49" s="62">
        <v>38</v>
      </c>
      <c r="B49" s="63"/>
      <c r="C49" s="126" t="s">
        <v>58</v>
      </c>
      <c r="D49" s="127" t="s">
        <v>58</v>
      </c>
      <c r="E49" s="127" t="s">
        <v>58</v>
      </c>
      <c r="F49" s="127" t="s">
        <v>58</v>
      </c>
      <c r="G49" s="128" t="s">
        <v>58</v>
      </c>
      <c r="H49" s="60" t="s">
        <v>103</v>
      </c>
      <c r="I49" s="34" t="s">
        <v>77</v>
      </c>
      <c r="J49" s="107">
        <v>530</v>
      </c>
      <c r="K49" s="6">
        <v>12500</v>
      </c>
      <c r="M49" s="61">
        <f t="shared" si="0"/>
        <v>6625000</v>
      </c>
    </row>
    <row r="50" spans="1:13" s="53" customFormat="1" ht="32.25" customHeight="1" thickBot="1" x14ac:dyDescent="0.35">
      <c r="A50" s="58">
        <v>39</v>
      </c>
      <c r="B50" s="63"/>
      <c r="C50" s="126" t="s">
        <v>136</v>
      </c>
      <c r="D50" s="127" t="s">
        <v>136</v>
      </c>
      <c r="E50" s="127" t="s">
        <v>136</v>
      </c>
      <c r="F50" s="127" t="s">
        <v>136</v>
      </c>
      <c r="G50" s="128" t="s">
        <v>136</v>
      </c>
      <c r="H50" s="60" t="s">
        <v>103</v>
      </c>
      <c r="I50" s="34" t="s">
        <v>77</v>
      </c>
      <c r="J50" s="190">
        <v>28700</v>
      </c>
      <c r="K50" s="41">
        <v>375</v>
      </c>
      <c r="M50" s="61">
        <f t="shared" si="0"/>
        <v>10762500</v>
      </c>
    </row>
    <row r="51" spans="1:13" s="53" customFormat="1" ht="32.25" customHeight="1" thickBot="1" x14ac:dyDescent="0.35">
      <c r="A51" s="58">
        <v>40</v>
      </c>
      <c r="B51" s="63"/>
      <c r="C51" s="126" t="s">
        <v>51</v>
      </c>
      <c r="D51" s="127" t="s">
        <v>51</v>
      </c>
      <c r="E51" s="127" t="s">
        <v>51</v>
      </c>
      <c r="F51" s="127" t="s">
        <v>51</v>
      </c>
      <c r="G51" s="128" t="s">
        <v>51</v>
      </c>
      <c r="H51" s="60" t="s">
        <v>103</v>
      </c>
      <c r="I51" s="34" t="s">
        <v>77</v>
      </c>
      <c r="J51" s="100">
        <v>92</v>
      </c>
      <c r="K51" s="2">
        <v>200</v>
      </c>
      <c r="M51" s="61">
        <f t="shared" si="0"/>
        <v>18400</v>
      </c>
    </row>
    <row r="52" spans="1:13" s="53" customFormat="1" ht="32.25" customHeight="1" thickBot="1" x14ac:dyDescent="0.35">
      <c r="A52" s="62">
        <v>41</v>
      </c>
      <c r="B52" s="63"/>
      <c r="C52" s="126" t="s">
        <v>55</v>
      </c>
      <c r="D52" s="127" t="s">
        <v>55</v>
      </c>
      <c r="E52" s="127" t="s">
        <v>55</v>
      </c>
      <c r="F52" s="127" t="s">
        <v>55</v>
      </c>
      <c r="G52" s="128" t="s">
        <v>55</v>
      </c>
      <c r="H52" s="60" t="s">
        <v>103</v>
      </c>
      <c r="I52" s="34" t="s">
        <v>77</v>
      </c>
      <c r="J52" s="98">
        <v>2013</v>
      </c>
      <c r="K52" s="6">
        <v>6000</v>
      </c>
      <c r="M52" s="61">
        <f t="shared" si="0"/>
        <v>12078000</v>
      </c>
    </row>
    <row r="53" spans="1:13" s="53" customFormat="1" ht="32.25" customHeight="1" thickBot="1" x14ac:dyDescent="0.35">
      <c r="A53" s="58">
        <v>42</v>
      </c>
      <c r="B53" s="63"/>
      <c r="C53" s="184" t="s">
        <v>143</v>
      </c>
      <c r="D53" s="185"/>
      <c r="E53" s="185"/>
      <c r="F53" s="185"/>
      <c r="G53" s="186"/>
      <c r="H53" s="60" t="s">
        <v>103</v>
      </c>
      <c r="I53" s="34" t="s">
        <v>77</v>
      </c>
      <c r="J53" s="98">
        <v>280</v>
      </c>
      <c r="K53" s="6">
        <v>15000</v>
      </c>
      <c r="M53" s="61">
        <f t="shared" si="0"/>
        <v>4200000</v>
      </c>
    </row>
    <row r="54" spans="1:13" s="53" customFormat="1" ht="32.25" customHeight="1" thickBot="1" x14ac:dyDescent="0.35">
      <c r="A54" s="58">
        <v>43</v>
      </c>
      <c r="B54" s="63"/>
      <c r="C54" s="126" t="s">
        <v>56</v>
      </c>
      <c r="D54" s="127" t="s">
        <v>56</v>
      </c>
      <c r="E54" s="127" t="s">
        <v>56</v>
      </c>
      <c r="F54" s="127" t="s">
        <v>56</v>
      </c>
      <c r="G54" s="128" t="s">
        <v>56</v>
      </c>
      <c r="H54" s="60" t="s">
        <v>103</v>
      </c>
      <c r="I54" s="34" t="s">
        <v>77</v>
      </c>
      <c r="J54" s="100">
        <v>8.9</v>
      </c>
      <c r="K54" s="2">
        <v>16000</v>
      </c>
      <c r="M54" s="61">
        <f t="shared" si="0"/>
        <v>142400</v>
      </c>
    </row>
    <row r="55" spans="1:13" s="53" customFormat="1" ht="32.25" customHeight="1" thickBot="1" x14ac:dyDescent="0.35">
      <c r="A55" s="62">
        <v>44</v>
      </c>
      <c r="B55" s="63"/>
      <c r="C55" s="126" t="s">
        <v>10</v>
      </c>
      <c r="D55" s="127" t="s">
        <v>10</v>
      </c>
      <c r="E55" s="127" t="s">
        <v>10</v>
      </c>
      <c r="F55" s="127" t="s">
        <v>10</v>
      </c>
      <c r="G55" s="128" t="s">
        <v>10</v>
      </c>
      <c r="H55" s="60" t="s">
        <v>103</v>
      </c>
      <c r="I55" s="34" t="s">
        <v>77</v>
      </c>
      <c r="J55" s="100">
        <v>80</v>
      </c>
      <c r="K55" s="2">
        <v>2600</v>
      </c>
      <c r="M55" s="61">
        <f t="shared" si="0"/>
        <v>208000</v>
      </c>
    </row>
    <row r="56" spans="1:13" s="53" customFormat="1" ht="32.25" customHeight="1" thickBot="1" x14ac:dyDescent="0.35">
      <c r="A56" s="58">
        <v>45</v>
      </c>
      <c r="B56" s="63"/>
      <c r="C56" s="126" t="s">
        <v>144</v>
      </c>
      <c r="D56" s="127" t="s">
        <v>144</v>
      </c>
      <c r="E56" s="127" t="s">
        <v>144</v>
      </c>
      <c r="F56" s="127" t="s">
        <v>144</v>
      </c>
      <c r="G56" s="128" t="s">
        <v>144</v>
      </c>
      <c r="H56" s="60" t="s">
        <v>103</v>
      </c>
      <c r="I56" s="34" t="s">
        <v>77</v>
      </c>
      <c r="J56" s="101">
        <v>42</v>
      </c>
      <c r="K56" s="4">
        <v>14000</v>
      </c>
      <c r="M56" s="61">
        <f t="shared" si="0"/>
        <v>588000</v>
      </c>
    </row>
    <row r="57" spans="1:13" s="53" customFormat="1" ht="32.25" customHeight="1" thickBot="1" x14ac:dyDescent="0.35">
      <c r="A57" s="58">
        <v>46</v>
      </c>
      <c r="B57" s="63"/>
      <c r="C57" s="126" t="s">
        <v>5</v>
      </c>
      <c r="D57" s="127" t="s">
        <v>5</v>
      </c>
      <c r="E57" s="127" t="s">
        <v>5</v>
      </c>
      <c r="F57" s="127" t="s">
        <v>5</v>
      </c>
      <c r="G57" s="128" t="s">
        <v>5</v>
      </c>
      <c r="H57" s="60" t="s">
        <v>103</v>
      </c>
      <c r="I57" s="34" t="s">
        <v>77</v>
      </c>
      <c r="J57" s="189">
        <v>89</v>
      </c>
      <c r="K57" s="3">
        <v>3600</v>
      </c>
      <c r="M57" s="61">
        <f t="shared" si="0"/>
        <v>320400</v>
      </c>
    </row>
    <row r="58" spans="1:13" s="53" customFormat="1" ht="32.25" customHeight="1" thickBot="1" x14ac:dyDescent="0.35">
      <c r="A58" s="62">
        <v>47</v>
      </c>
      <c r="B58" s="63"/>
      <c r="C58" s="126" t="s">
        <v>39</v>
      </c>
      <c r="D58" s="127" t="s">
        <v>39</v>
      </c>
      <c r="E58" s="127" t="s">
        <v>39</v>
      </c>
      <c r="F58" s="127" t="s">
        <v>39</v>
      </c>
      <c r="G58" s="128" t="s">
        <v>39</v>
      </c>
      <c r="H58" s="60" t="s">
        <v>103</v>
      </c>
      <c r="I58" s="34" t="s">
        <v>77</v>
      </c>
      <c r="J58" s="100">
        <v>255</v>
      </c>
      <c r="K58" s="2">
        <v>1000</v>
      </c>
      <c r="M58" s="61">
        <f t="shared" si="0"/>
        <v>255000</v>
      </c>
    </row>
    <row r="59" spans="1:13" s="53" customFormat="1" ht="32.25" customHeight="1" thickBot="1" x14ac:dyDescent="0.35">
      <c r="A59" s="58">
        <v>48</v>
      </c>
      <c r="B59" s="63"/>
      <c r="C59" s="126" t="s">
        <v>28</v>
      </c>
      <c r="D59" s="127" t="s">
        <v>28</v>
      </c>
      <c r="E59" s="127" t="s">
        <v>28</v>
      </c>
      <c r="F59" s="127" t="s">
        <v>28</v>
      </c>
      <c r="G59" s="128" t="s">
        <v>28</v>
      </c>
      <c r="H59" s="60" t="s">
        <v>103</v>
      </c>
      <c r="I59" s="34" t="s">
        <v>77</v>
      </c>
      <c r="J59" s="100">
        <v>650</v>
      </c>
      <c r="K59" s="2">
        <v>300</v>
      </c>
      <c r="M59" s="61">
        <f t="shared" si="0"/>
        <v>195000</v>
      </c>
    </row>
    <row r="60" spans="1:13" s="53" customFormat="1" ht="32.25" customHeight="1" thickBot="1" x14ac:dyDescent="0.35">
      <c r="A60" s="58">
        <v>49</v>
      </c>
      <c r="B60" s="63"/>
      <c r="C60" s="126" t="s">
        <v>22</v>
      </c>
      <c r="D60" s="127" t="s">
        <v>22</v>
      </c>
      <c r="E60" s="127" t="s">
        <v>22</v>
      </c>
      <c r="F60" s="127" t="s">
        <v>22</v>
      </c>
      <c r="G60" s="128" t="s">
        <v>22</v>
      </c>
      <c r="H60" s="60" t="s">
        <v>103</v>
      </c>
      <c r="I60" s="34" t="s">
        <v>77</v>
      </c>
      <c r="J60" s="101">
        <v>120</v>
      </c>
      <c r="K60" s="4">
        <v>400</v>
      </c>
      <c r="M60" s="61">
        <f t="shared" si="0"/>
        <v>48000</v>
      </c>
    </row>
    <row r="61" spans="1:13" s="53" customFormat="1" ht="32.25" customHeight="1" thickBot="1" x14ac:dyDescent="0.35">
      <c r="A61" s="62">
        <v>50</v>
      </c>
      <c r="B61" s="63"/>
      <c r="C61" s="126" t="s">
        <v>23</v>
      </c>
      <c r="D61" s="127" t="s">
        <v>23</v>
      </c>
      <c r="E61" s="127" t="s">
        <v>23</v>
      </c>
      <c r="F61" s="127" t="s">
        <v>23</v>
      </c>
      <c r="G61" s="128" t="s">
        <v>23</v>
      </c>
      <c r="H61" s="60" t="s">
        <v>103</v>
      </c>
      <c r="I61" s="34" t="s">
        <v>77</v>
      </c>
      <c r="J61" s="100">
        <v>250</v>
      </c>
      <c r="K61" s="2">
        <v>1500</v>
      </c>
      <c r="M61" s="61">
        <f t="shared" si="0"/>
        <v>375000</v>
      </c>
    </row>
    <row r="62" spans="1:13" s="53" customFormat="1" ht="32.25" customHeight="1" thickBot="1" x14ac:dyDescent="0.35">
      <c r="A62" s="58">
        <v>51</v>
      </c>
      <c r="B62" s="63"/>
      <c r="C62" s="126" t="s">
        <v>52</v>
      </c>
      <c r="D62" s="127" t="s">
        <v>52</v>
      </c>
      <c r="E62" s="127" t="s">
        <v>52</v>
      </c>
      <c r="F62" s="127" t="s">
        <v>52</v>
      </c>
      <c r="G62" s="128" t="s">
        <v>52</v>
      </c>
      <c r="H62" s="60" t="s">
        <v>103</v>
      </c>
      <c r="I62" s="34" t="s">
        <v>77</v>
      </c>
      <c r="J62" s="189">
        <v>248</v>
      </c>
      <c r="K62" s="3">
        <v>300</v>
      </c>
      <c r="M62" s="61">
        <f t="shared" si="0"/>
        <v>74400</v>
      </c>
    </row>
    <row r="63" spans="1:13" s="53" customFormat="1" ht="32.25" customHeight="1" thickBot="1" x14ac:dyDescent="0.35">
      <c r="A63" s="58">
        <v>52</v>
      </c>
      <c r="B63" s="63"/>
      <c r="C63" s="126" t="s">
        <v>48</v>
      </c>
      <c r="D63" s="127" t="s">
        <v>48</v>
      </c>
      <c r="E63" s="127" t="s">
        <v>48</v>
      </c>
      <c r="F63" s="127" t="s">
        <v>48</v>
      </c>
      <c r="G63" s="128" t="s">
        <v>48</v>
      </c>
      <c r="H63" s="60" t="s">
        <v>103</v>
      </c>
      <c r="I63" s="34" t="s">
        <v>77</v>
      </c>
      <c r="J63" s="100">
        <v>159.19999999999999</v>
      </c>
      <c r="K63" s="2">
        <v>6000</v>
      </c>
      <c r="M63" s="61">
        <f t="shared" si="0"/>
        <v>955199.99999999988</v>
      </c>
    </row>
    <row r="64" spans="1:13" s="53" customFormat="1" ht="32.25" customHeight="1" thickBot="1" x14ac:dyDescent="0.35">
      <c r="A64" s="62">
        <v>53</v>
      </c>
      <c r="B64" s="63"/>
      <c r="C64" s="126" t="s">
        <v>18</v>
      </c>
      <c r="D64" s="127" t="s">
        <v>18</v>
      </c>
      <c r="E64" s="127" t="s">
        <v>18</v>
      </c>
      <c r="F64" s="127" t="s">
        <v>18</v>
      </c>
      <c r="G64" s="128" t="s">
        <v>18</v>
      </c>
      <c r="H64" s="60" t="s">
        <v>103</v>
      </c>
      <c r="I64" s="34" t="s">
        <v>77</v>
      </c>
      <c r="J64" s="101">
        <v>4</v>
      </c>
      <c r="K64" s="4">
        <v>120000</v>
      </c>
      <c r="M64" s="61">
        <f t="shared" si="0"/>
        <v>480000</v>
      </c>
    </row>
    <row r="65" spans="1:13" s="53" customFormat="1" ht="32.25" customHeight="1" thickBot="1" x14ac:dyDescent="0.35">
      <c r="A65" s="58">
        <v>54</v>
      </c>
      <c r="B65" s="63"/>
      <c r="C65" s="126" t="s">
        <v>145</v>
      </c>
      <c r="D65" s="127" t="s">
        <v>145</v>
      </c>
      <c r="E65" s="127" t="s">
        <v>145</v>
      </c>
      <c r="F65" s="127" t="s">
        <v>145</v>
      </c>
      <c r="G65" s="128" t="s">
        <v>145</v>
      </c>
      <c r="H65" s="60" t="s">
        <v>103</v>
      </c>
      <c r="I65" s="34" t="s">
        <v>77</v>
      </c>
      <c r="J65" s="101">
        <v>864.4</v>
      </c>
      <c r="K65" s="4">
        <v>4000</v>
      </c>
      <c r="M65" s="61">
        <f t="shared" si="0"/>
        <v>3457600</v>
      </c>
    </row>
    <row r="66" spans="1:13" s="53" customFormat="1" ht="32.25" customHeight="1" thickBot="1" x14ac:dyDescent="0.35">
      <c r="A66" s="58">
        <v>55</v>
      </c>
      <c r="B66" s="63"/>
      <c r="C66" s="126" t="s">
        <v>57</v>
      </c>
      <c r="D66" s="127" t="s">
        <v>57</v>
      </c>
      <c r="E66" s="127" t="s">
        <v>57</v>
      </c>
      <c r="F66" s="127" t="s">
        <v>57</v>
      </c>
      <c r="G66" s="128" t="s">
        <v>57</v>
      </c>
      <c r="H66" s="60" t="s">
        <v>103</v>
      </c>
      <c r="I66" s="34" t="s">
        <v>77</v>
      </c>
      <c r="J66" s="98">
        <v>345</v>
      </c>
      <c r="K66" s="6">
        <v>7000</v>
      </c>
      <c r="M66" s="61">
        <f t="shared" si="0"/>
        <v>2415000</v>
      </c>
    </row>
    <row r="67" spans="1:13" s="53" customFormat="1" ht="32.25" customHeight="1" thickBot="1" x14ac:dyDescent="0.35">
      <c r="A67" s="62">
        <v>56</v>
      </c>
      <c r="B67" s="63"/>
      <c r="C67" s="126" t="s">
        <v>32</v>
      </c>
      <c r="D67" s="127" t="s">
        <v>32</v>
      </c>
      <c r="E67" s="127" t="s">
        <v>32</v>
      </c>
      <c r="F67" s="127" t="s">
        <v>32</v>
      </c>
      <c r="G67" s="128" t="s">
        <v>32</v>
      </c>
      <c r="H67" s="60" t="s">
        <v>103</v>
      </c>
      <c r="I67" s="34" t="s">
        <v>77</v>
      </c>
      <c r="J67" s="98">
        <v>690</v>
      </c>
      <c r="K67" s="6">
        <v>8000</v>
      </c>
      <c r="M67" s="61">
        <f t="shared" si="0"/>
        <v>5520000</v>
      </c>
    </row>
    <row r="68" spans="1:13" s="53" customFormat="1" ht="32.25" customHeight="1" thickBot="1" x14ac:dyDescent="0.35">
      <c r="A68" s="58">
        <v>57</v>
      </c>
      <c r="B68" s="63"/>
      <c r="C68" s="126" t="s">
        <v>50</v>
      </c>
      <c r="D68" s="127" t="s">
        <v>50</v>
      </c>
      <c r="E68" s="127" t="s">
        <v>50</v>
      </c>
      <c r="F68" s="127" t="s">
        <v>50</v>
      </c>
      <c r="G68" s="128" t="s">
        <v>50</v>
      </c>
      <c r="H68" s="60" t="s">
        <v>103</v>
      </c>
      <c r="I68" s="34" t="s">
        <v>77</v>
      </c>
      <c r="J68" s="100">
        <v>980</v>
      </c>
      <c r="K68" s="2">
        <v>2500</v>
      </c>
      <c r="M68" s="61">
        <f t="shared" si="0"/>
        <v>2450000</v>
      </c>
    </row>
    <row r="69" spans="1:13" s="53" customFormat="1" ht="32.25" customHeight="1" thickBot="1" x14ac:dyDescent="0.35">
      <c r="A69" s="58">
        <v>58</v>
      </c>
      <c r="B69" s="63"/>
      <c r="C69" s="126" t="s">
        <v>16</v>
      </c>
      <c r="D69" s="127" t="s">
        <v>16</v>
      </c>
      <c r="E69" s="127" t="s">
        <v>16</v>
      </c>
      <c r="F69" s="127" t="s">
        <v>16</v>
      </c>
      <c r="G69" s="128" t="s">
        <v>16</v>
      </c>
      <c r="H69" s="60" t="s">
        <v>103</v>
      </c>
      <c r="I69" s="34" t="s">
        <v>77</v>
      </c>
      <c r="J69" s="100">
        <v>42.86</v>
      </c>
      <c r="K69" s="2">
        <v>240</v>
      </c>
      <c r="M69" s="61">
        <f t="shared" si="0"/>
        <v>10286.4</v>
      </c>
    </row>
    <row r="70" spans="1:13" s="53" customFormat="1" ht="32.25" customHeight="1" thickBot="1" x14ac:dyDescent="0.35">
      <c r="A70" s="62">
        <v>59</v>
      </c>
      <c r="B70" s="63"/>
      <c r="C70" s="126" t="s">
        <v>6</v>
      </c>
      <c r="D70" s="127" t="s">
        <v>6</v>
      </c>
      <c r="E70" s="127" t="s">
        <v>6</v>
      </c>
      <c r="F70" s="127" t="s">
        <v>6</v>
      </c>
      <c r="G70" s="128" t="s">
        <v>6</v>
      </c>
      <c r="H70" s="60" t="s">
        <v>103</v>
      </c>
      <c r="I70" s="34" t="s">
        <v>77</v>
      </c>
      <c r="J70" s="189">
        <v>242</v>
      </c>
      <c r="K70" s="3">
        <v>500</v>
      </c>
      <c r="M70" s="61">
        <f t="shared" si="0"/>
        <v>121000</v>
      </c>
    </row>
    <row r="71" spans="1:13" s="53" customFormat="1" ht="32.25" customHeight="1" thickBot="1" x14ac:dyDescent="0.35">
      <c r="A71" s="58">
        <v>60</v>
      </c>
      <c r="B71" s="63"/>
      <c r="C71" s="184" t="s">
        <v>54</v>
      </c>
      <c r="D71" s="185" t="s">
        <v>54</v>
      </c>
      <c r="E71" s="185" t="s">
        <v>54</v>
      </c>
      <c r="F71" s="185" t="s">
        <v>54</v>
      </c>
      <c r="G71" s="186" t="s">
        <v>54</v>
      </c>
      <c r="H71" s="60" t="s">
        <v>103</v>
      </c>
      <c r="I71" s="34" t="s">
        <v>77</v>
      </c>
      <c r="J71" s="100">
        <v>560</v>
      </c>
      <c r="K71" s="2">
        <v>100</v>
      </c>
      <c r="M71" s="61">
        <f t="shared" si="0"/>
        <v>56000</v>
      </c>
    </row>
    <row r="72" spans="1:13" s="53" customFormat="1" ht="32.25" customHeight="1" thickBot="1" x14ac:dyDescent="0.35">
      <c r="A72" s="58">
        <v>61</v>
      </c>
      <c r="B72" s="63"/>
      <c r="C72" s="184" t="s">
        <v>44</v>
      </c>
      <c r="D72" s="185" t="s">
        <v>44</v>
      </c>
      <c r="E72" s="185" t="s">
        <v>44</v>
      </c>
      <c r="F72" s="185" t="s">
        <v>44</v>
      </c>
      <c r="G72" s="186" t="s">
        <v>44</v>
      </c>
      <c r="H72" s="60" t="s">
        <v>103</v>
      </c>
      <c r="I72" s="34" t="s">
        <v>77</v>
      </c>
      <c r="J72" s="191">
        <v>286</v>
      </c>
      <c r="K72" s="3">
        <v>4000</v>
      </c>
      <c r="M72" s="61">
        <f t="shared" si="0"/>
        <v>1144000</v>
      </c>
    </row>
    <row r="73" spans="1:13" s="53" customFormat="1" ht="32.25" customHeight="1" thickBot="1" x14ac:dyDescent="0.35">
      <c r="A73" s="62">
        <v>62</v>
      </c>
      <c r="B73" s="63"/>
      <c r="C73" s="184" t="s">
        <v>49</v>
      </c>
      <c r="D73" s="185" t="s">
        <v>49</v>
      </c>
      <c r="E73" s="185" t="s">
        <v>49</v>
      </c>
      <c r="F73" s="185" t="s">
        <v>49</v>
      </c>
      <c r="G73" s="186" t="s">
        <v>49</v>
      </c>
      <c r="H73" s="60" t="s">
        <v>103</v>
      </c>
      <c r="I73" s="34" t="s">
        <v>77</v>
      </c>
      <c r="J73" s="192" t="s">
        <v>129</v>
      </c>
      <c r="K73" s="3">
        <v>22000</v>
      </c>
      <c r="M73" s="61">
        <f t="shared" si="0"/>
        <v>13962959.999999998</v>
      </c>
    </row>
    <row r="74" spans="1:13" s="53" customFormat="1" ht="32.25" customHeight="1" thickBot="1" x14ac:dyDescent="0.35">
      <c r="A74" s="58">
        <v>63</v>
      </c>
      <c r="B74" s="63"/>
      <c r="C74" s="184" t="s">
        <v>35</v>
      </c>
      <c r="D74" s="185" t="s">
        <v>35</v>
      </c>
      <c r="E74" s="185" t="s">
        <v>35</v>
      </c>
      <c r="F74" s="185" t="s">
        <v>35</v>
      </c>
      <c r="G74" s="186" t="s">
        <v>35</v>
      </c>
      <c r="H74" s="60" t="s">
        <v>103</v>
      </c>
      <c r="I74" s="34" t="s">
        <v>77</v>
      </c>
      <c r="J74" s="191">
        <v>49</v>
      </c>
      <c r="K74" s="3">
        <v>2000</v>
      </c>
      <c r="M74" s="61">
        <f t="shared" si="0"/>
        <v>98000</v>
      </c>
    </row>
    <row r="75" spans="1:13" s="53" customFormat="1" ht="30.75" customHeight="1" thickBot="1" x14ac:dyDescent="0.4">
      <c r="A75" s="148" t="s">
        <v>146</v>
      </c>
      <c r="B75" s="149"/>
      <c r="C75" s="149"/>
      <c r="D75" s="149"/>
      <c r="E75" s="149"/>
      <c r="F75" s="149"/>
      <c r="G75" s="149"/>
      <c r="H75" s="149"/>
      <c r="I75" s="150"/>
      <c r="J75" s="144">
        <f>SUM(M12:M74)</f>
        <v>130632883.40000001</v>
      </c>
      <c r="K75" s="145"/>
      <c r="M75" s="64"/>
    </row>
    <row r="76" spans="1:13" s="53" customFormat="1" ht="16" customHeight="1" x14ac:dyDescent="0.35">
      <c r="A76" s="146"/>
      <c r="B76" s="146"/>
      <c r="C76" s="146"/>
      <c r="D76" s="146"/>
      <c r="E76" s="146"/>
      <c r="F76" s="146"/>
      <c r="G76" s="146"/>
      <c r="H76" s="146"/>
      <c r="I76" s="146"/>
      <c r="J76" s="147"/>
      <c r="K76" s="147"/>
      <c r="M76" s="64"/>
    </row>
    <row r="77" spans="1:13" s="53" customFormat="1" ht="16" customHeight="1" x14ac:dyDescent="0.35">
      <c r="M77" s="64"/>
    </row>
    <row r="78" spans="1:13" s="53" customFormat="1" ht="16" customHeight="1" x14ac:dyDescent="0.35">
      <c r="M78" s="64"/>
    </row>
    <row r="79" spans="1:13" s="53" customFormat="1" ht="16" customHeight="1" x14ac:dyDescent="0.35">
      <c r="M79" s="64"/>
    </row>
    <row r="80" spans="1:13" s="53" customFormat="1" ht="16" customHeight="1" x14ac:dyDescent="0.35">
      <c r="M80" s="64"/>
    </row>
    <row r="81" spans="13:13" s="53" customFormat="1" ht="16" customHeight="1" x14ac:dyDescent="0.35">
      <c r="M81" s="64"/>
    </row>
    <row r="82" spans="13:13" s="53" customFormat="1" ht="16" customHeight="1" x14ac:dyDescent="0.35">
      <c r="M82" s="64"/>
    </row>
    <row r="83" spans="13:13" s="53" customFormat="1" ht="16" customHeight="1" x14ac:dyDescent="0.35">
      <c r="M83" s="64"/>
    </row>
    <row r="84" spans="13:13" s="53" customFormat="1" ht="16" customHeight="1" x14ac:dyDescent="0.35">
      <c r="M84" s="64"/>
    </row>
    <row r="85" spans="13:13" s="53" customFormat="1" ht="16" customHeight="1" x14ac:dyDescent="0.35">
      <c r="M85" s="64"/>
    </row>
    <row r="86" spans="13:13" s="53" customFormat="1" ht="16" customHeight="1" x14ac:dyDescent="0.35">
      <c r="M86" s="64"/>
    </row>
    <row r="87" spans="13:13" s="53" customFormat="1" ht="16" customHeight="1" x14ac:dyDescent="0.35">
      <c r="M87" s="64"/>
    </row>
    <row r="88" spans="13:13" s="53" customFormat="1" ht="16" customHeight="1" x14ac:dyDescent="0.35">
      <c r="M88" s="64"/>
    </row>
    <row r="89" spans="13:13" s="53" customFormat="1" ht="16" customHeight="1" x14ac:dyDescent="0.35">
      <c r="M89" s="64"/>
    </row>
    <row r="90" spans="13:13" s="53" customFormat="1" ht="16" customHeight="1" x14ac:dyDescent="0.35">
      <c r="M90" s="64"/>
    </row>
    <row r="91" spans="13:13" s="53" customFormat="1" ht="16" customHeight="1" x14ac:dyDescent="0.25">
      <c r="M91" s="64"/>
    </row>
    <row r="92" spans="13:13" s="53" customFormat="1" ht="16" customHeight="1" x14ac:dyDescent="0.35">
      <c r="M92" s="64"/>
    </row>
    <row r="93" spans="13:13" s="53" customFormat="1" ht="16" customHeight="1" x14ac:dyDescent="0.35">
      <c r="M93" s="64"/>
    </row>
    <row r="94" spans="13:13" s="53" customFormat="1" ht="16" customHeight="1" x14ac:dyDescent="0.35">
      <c r="M94" s="64"/>
    </row>
    <row r="95" spans="13:13" s="53" customFormat="1" ht="16" customHeight="1" x14ac:dyDescent="0.35">
      <c r="M95" s="64"/>
    </row>
    <row r="96" spans="13:13" s="53" customFormat="1" ht="16" customHeight="1" x14ac:dyDescent="0.35">
      <c r="M96" s="64"/>
    </row>
    <row r="97" spans="13:13" s="53" customFormat="1" ht="16" customHeight="1" x14ac:dyDescent="0.35">
      <c r="M97" s="64"/>
    </row>
    <row r="98" spans="13:13" s="53" customFormat="1" ht="16" customHeight="1" x14ac:dyDescent="0.35">
      <c r="M98" s="64"/>
    </row>
    <row r="99" spans="13:13" s="53" customFormat="1" ht="16" customHeight="1" x14ac:dyDescent="0.35">
      <c r="M99" s="64"/>
    </row>
    <row r="100" spans="13:13" s="53" customFormat="1" ht="16" customHeight="1" x14ac:dyDescent="0.35">
      <c r="M100" s="64"/>
    </row>
    <row r="101" spans="13:13" s="53" customFormat="1" ht="16" customHeight="1" x14ac:dyDescent="0.35">
      <c r="M101" s="64"/>
    </row>
    <row r="102" spans="13:13" s="53" customFormat="1" ht="16" customHeight="1" x14ac:dyDescent="0.35">
      <c r="M102" s="64"/>
    </row>
    <row r="103" spans="13:13" s="53" customFormat="1" ht="16" customHeight="1" x14ac:dyDescent="0.35">
      <c r="M103" s="64"/>
    </row>
    <row r="104" spans="13:13" s="53" customFormat="1" ht="16" customHeight="1" x14ac:dyDescent="0.35">
      <c r="M104" s="64"/>
    </row>
    <row r="105" spans="13:13" s="53" customFormat="1" ht="16" customHeight="1" x14ac:dyDescent="0.35">
      <c r="M105" s="64"/>
    </row>
    <row r="106" spans="13:13" s="53" customFormat="1" ht="16" customHeight="1" x14ac:dyDescent="0.35">
      <c r="M106" s="64"/>
    </row>
    <row r="107" spans="13:13" s="53" customFormat="1" ht="16" customHeight="1" x14ac:dyDescent="0.35">
      <c r="M107" s="64"/>
    </row>
    <row r="108" spans="13:13" s="53" customFormat="1" ht="16" customHeight="1" x14ac:dyDescent="0.35">
      <c r="M108" s="64"/>
    </row>
    <row r="109" spans="13:13" s="53" customFormat="1" ht="16" customHeight="1" x14ac:dyDescent="0.35">
      <c r="M109" s="64"/>
    </row>
    <row r="110" spans="13:13" ht="16" customHeight="1" x14ac:dyDescent="0.25">
      <c r="M110" s="64"/>
    </row>
    <row r="111" spans="13:13" ht="16" customHeight="1" x14ac:dyDescent="0.25">
      <c r="M111" s="64"/>
    </row>
    <row r="112" spans="13:13" ht="16" customHeight="1" x14ac:dyDescent="0.25">
      <c r="M112" s="64"/>
    </row>
    <row r="113" spans="12:1024" ht="16" customHeight="1" x14ac:dyDescent="0.25">
      <c r="L113" s="65"/>
      <c r="M113" s="66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  <c r="QI113" s="65"/>
      <c r="QJ113" s="65"/>
      <c r="QK113" s="65"/>
      <c r="QL113" s="65"/>
      <c r="QM113" s="65"/>
      <c r="QN113" s="65"/>
      <c r="QO113" s="65"/>
      <c r="QP113" s="65"/>
      <c r="QQ113" s="65"/>
      <c r="QR113" s="65"/>
      <c r="QS113" s="65"/>
      <c r="QT113" s="65"/>
      <c r="QU113" s="65"/>
      <c r="QV113" s="65"/>
      <c r="QW113" s="65"/>
      <c r="QX113" s="65"/>
      <c r="QY113" s="65"/>
      <c r="QZ113" s="65"/>
      <c r="RA113" s="65"/>
      <c r="RB113" s="65"/>
      <c r="RC113" s="65"/>
      <c r="RD113" s="65"/>
      <c r="RE113" s="65"/>
      <c r="RF113" s="65"/>
      <c r="RG113" s="65"/>
      <c r="RH113" s="65"/>
      <c r="RI113" s="65"/>
      <c r="RJ113" s="65"/>
      <c r="RK113" s="65"/>
      <c r="RL113" s="65"/>
      <c r="RM113" s="65"/>
      <c r="RN113" s="65"/>
      <c r="RO113" s="65"/>
      <c r="RP113" s="65"/>
      <c r="RQ113" s="65"/>
      <c r="RR113" s="65"/>
      <c r="RS113" s="65"/>
      <c r="RT113" s="65"/>
      <c r="RU113" s="65"/>
      <c r="RV113" s="65"/>
      <c r="RW113" s="65"/>
      <c r="RX113" s="65"/>
      <c r="RY113" s="65"/>
      <c r="RZ113" s="65"/>
      <c r="SA113" s="65"/>
      <c r="SB113" s="65"/>
      <c r="SC113" s="65"/>
      <c r="SD113" s="65"/>
      <c r="SE113" s="65"/>
      <c r="SF113" s="65"/>
      <c r="SG113" s="65"/>
      <c r="SH113" s="65"/>
      <c r="SI113" s="65"/>
      <c r="SJ113" s="65"/>
      <c r="SK113" s="65"/>
      <c r="SL113" s="65"/>
      <c r="SM113" s="65"/>
      <c r="SN113" s="65"/>
      <c r="SO113" s="65"/>
      <c r="SP113" s="65"/>
      <c r="SQ113" s="65"/>
      <c r="SR113" s="65"/>
      <c r="SS113" s="65"/>
      <c r="ST113" s="65"/>
      <c r="SU113" s="65"/>
      <c r="SV113" s="65"/>
      <c r="SW113" s="65"/>
      <c r="SX113" s="65"/>
      <c r="SY113" s="65"/>
      <c r="SZ113" s="65"/>
      <c r="TA113" s="65"/>
      <c r="TB113" s="65"/>
      <c r="TC113" s="65"/>
      <c r="TD113" s="65"/>
      <c r="TE113" s="65"/>
      <c r="TF113" s="65"/>
      <c r="TG113" s="65"/>
      <c r="TH113" s="65"/>
      <c r="TI113" s="65"/>
      <c r="TJ113" s="65"/>
      <c r="TK113" s="65"/>
      <c r="TL113" s="65"/>
      <c r="TM113" s="65"/>
      <c r="TN113" s="65"/>
      <c r="TO113" s="65"/>
      <c r="TP113" s="65"/>
      <c r="TQ113" s="65"/>
      <c r="TR113" s="65"/>
      <c r="TS113" s="65"/>
      <c r="TT113" s="65"/>
      <c r="TU113" s="65"/>
      <c r="TV113" s="65"/>
      <c r="TW113" s="65"/>
      <c r="TX113" s="65"/>
      <c r="TY113" s="65"/>
      <c r="TZ113" s="65"/>
      <c r="UA113" s="65"/>
      <c r="UB113" s="65"/>
      <c r="UC113" s="65"/>
      <c r="UD113" s="65"/>
      <c r="UE113" s="65"/>
      <c r="UF113" s="65"/>
      <c r="UG113" s="65"/>
      <c r="UH113" s="65"/>
      <c r="UI113" s="65"/>
      <c r="UJ113" s="65"/>
      <c r="UK113" s="65"/>
      <c r="UL113" s="65"/>
      <c r="UM113" s="65"/>
      <c r="UN113" s="65"/>
      <c r="UO113" s="65"/>
      <c r="UP113" s="65"/>
      <c r="UQ113" s="65"/>
      <c r="UR113" s="65"/>
      <c r="US113" s="65"/>
      <c r="UT113" s="65"/>
      <c r="UU113" s="65"/>
      <c r="UV113" s="65"/>
      <c r="UW113" s="65"/>
      <c r="UX113" s="65"/>
      <c r="UY113" s="65"/>
      <c r="UZ113" s="65"/>
      <c r="VA113" s="65"/>
      <c r="VB113" s="65"/>
      <c r="VC113" s="65"/>
      <c r="VD113" s="65"/>
      <c r="VE113" s="65"/>
      <c r="VF113" s="65"/>
      <c r="VG113" s="65"/>
      <c r="VH113" s="65"/>
      <c r="VI113" s="65"/>
      <c r="VJ113" s="65"/>
      <c r="VK113" s="65"/>
      <c r="VL113" s="65"/>
      <c r="VM113" s="65"/>
      <c r="VN113" s="65"/>
      <c r="VO113" s="65"/>
      <c r="VP113" s="65"/>
      <c r="VQ113" s="65"/>
      <c r="VR113" s="65"/>
      <c r="VS113" s="65"/>
      <c r="VT113" s="65"/>
      <c r="VU113" s="65"/>
      <c r="VV113" s="65"/>
      <c r="VW113" s="65"/>
      <c r="VX113" s="65"/>
      <c r="VY113" s="65"/>
      <c r="VZ113" s="65"/>
      <c r="WA113" s="65"/>
      <c r="WB113" s="65"/>
      <c r="WC113" s="65"/>
      <c r="WD113" s="65"/>
      <c r="WE113" s="65"/>
      <c r="WF113" s="65"/>
      <c r="WG113" s="65"/>
      <c r="WH113" s="65"/>
      <c r="WI113" s="65"/>
      <c r="WJ113" s="65"/>
      <c r="WK113" s="65"/>
      <c r="WL113" s="65"/>
      <c r="WM113" s="65"/>
      <c r="WN113" s="65"/>
      <c r="WO113" s="65"/>
      <c r="WP113" s="65"/>
      <c r="WQ113" s="65"/>
      <c r="WR113" s="65"/>
      <c r="WS113" s="65"/>
      <c r="WT113" s="65"/>
      <c r="WU113" s="65"/>
      <c r="WV113" s="65"/>
      <c r="WW113" s="65"/>
      <c r="WX113" s="65"/>
      <c r="WY113" s="65"/>
      <c r="WZ113" s="65"/>
      <c r="XA113" s="65"/>
      <c r="XB113" s="65"/>
      <c r="XC113" s="65"/>
      <c r="XD113" s="65"/>
      <c r="XE113" s="65"/>
      <c r="XF113" s="65"/>
      <c r="XG113" s="65"/>
      <c r="XH113" s="65"/>
      <c r="XI113" s="65"/>
      <c r="XJ113" s="65"/>
      <c r="XK113" s="65"/>
      <c r="XL113" s="65"/>
      <c r="XM113" s="65"/>
      <c r="XN113" s="65"/>
      <c r="XO113" s="65"/>
      <c r="XP113" s="65"/>
      <c r="XQ113" s="65"/>
      <c r="XR113" s="65"/>
      <c r="XS113" s="65"/>
      <c r="XT113" s="65"/>
      <c r="XU113" s="65"/>
      <c r="XV113" s="65"/>
      <c r="XW113" s="65"/>
      <c r="XX113" s="65"/>
      <c r="XY113" s="65"/>
      <c r="XZ113" s="65"/>
      <c r="YA113" s="65"/>
      <c r="YB113" s="65"/>
      <c r="YC113" s="65"/>
      <c r="YD113" s="65"/>
      <c r="YE113" s="65"/>
      <c r="YF113" s="65"/>
      <c r="YG113" s="65"/>
      <c r="YH113" s="65"/>
      <c r="YI113" s="65"/>
      <c r="YJ113" s="65"/>
      <c r="YK113" s="65"/>
      <c r="YL113" s="65"/>
      <c r="YM113" s="65"/>
      <c r="YN113" s="65"/>
      <c r="YO113" s="65"/>
      <c r="YP113" s="65"/>
      <c r="YQ113" s="65"/>
      <c r="YR113" s="65"/>
      <c r="YS113" s="65"/>
      <c r="YT113" s="65"/>
      <c r="YU113" s="65"/>
      <c r="YV113" s="65"/>
      <c r="YW113" s="65"/>
      <c r="YX113" s="65"/>
      <c r="YY113" s="65"/>
      <c r="YZ113" s="65"/>
      <c r="ZA113" s="65"/>
      <c r="ZB113" s="65"/>
      <c r="ZC113" s="65"/>
      <c r="ZD113" s="65"/>
      <c r="ZE113" s="65"/>
      <c r="ZF113" s="65"/>
      <c r="ZG113" s="65"/>
      <c r="ZH113" s="65"/>
      <c r="ZI113" s="65"/>
      <c r="ZJ113" s="65"/>
      <c r="ZK113" s="65"/>
      <c r="ZL113" s="65"/>
      <c r="ZM113" s="65"/>
      <c r="ZN113" s="65"/>
      <c r="ZO113" s="65"/>
      <c r="ZP113" s="65"/>
      <c r="ZQ113" s="65"/>
      <c r="ZR113" s="65"/>
      <c r="ZS113" s="65"/>
      <c r="ZT113" s="65"/>
      <c r="ZU113" s="65"/>
      <c r="ZV113" s="65"/>
      <c r="ZW113" s="65"/>
      <c r="ZX113" s="65"/>
      <c r="ZY113" s="65"/>
      <c r="ZZ113" s="65"/>
      <c r="AAA113" s="65"/>
      <c r="AAB113" s="65"/>
      <c r="AAC113" s="65"/>
      <c r="AAD113" s="65"/>
      <c r="AAE113" s="65"/>
      <c r="AAF113" s="65"/>
      <c r="AAG113" s="65"/>
      <c r="AAH113" s="65"/>
      <c r="AAI113" s="65"/>
      <c r="AAJ113" s="65"/>
      <c r="AAK113" s="65"/>
      <c r="AAL113" s="65"/>
      <c r="AAM113" s="65"/>
      <c r="AAN113" s="65"/>
      <c r="AAO113" s="65"/>
      <c r="AAP113" s="65"/>
      <c r="AAQ113" s="65"/>
      <c r="AAR113" s="65"/>
      <c r="AAS113" s="65"/>
      <c r="AAT113" s="65"/>
      <c r="AAU113" s="65"/>
      <c r="AAV113" s="65"/>
      <c r="AAW113" s="65"/>
      <c r="AAX113" s="65"/>
      <c r="AAY113" s="65"/>
      <c r="AAZ113" s="65"/>
      <c r="ABA113" s="65"/>
      <c r="ABB113" s="65"/>
      <c r="ABC113" s="65"/>
      <c r="ABD113" s="65"/>
      <c r="ABE113" s="65"/>
      <c r="ABF113" s="65"/>
      <c r="ABG113" s="65"/>
      <c r="ABH113" s="65"/>
      <c r="ABI113" s="65"/>
      <c r="ABJ113" s="65"/>
      <c r="ABK113" s="65"/>
      <c r="ABL113" s="65"/>
      <c r="ABM113" s="65"/>
      <c r="ABN113" s="65"/>
      <c r="ABO113" s="65"/>
      <c r="ABP113" s="65"/>
      <c r="ABQ113" s="65"/>
      <c r="ABR113" s="65"/>
      <c r="ABS113" s="65"/>
      <c r="ABT113" s="65"/>
      <c r="ABU113" s="65"/>
      <c r="ABV113" s="65"/>
      <c r="ABW113" s="65"/>
      <c r="ABX113" s="65"/>
      <c r="ABY113" s="65"/>
      <c r="ABZ113" s="65"/>
      <c r="ACA113" s="65"/>
      <c r="ACB113" s="65"/>
      <c r="ACC113" s="65"/>
      <c r="ACD113" s="65"/>
      <c r="ACE113" s="65"/>
      <c r="ACF113" s="65"/>
      <c r="ACG113" s="65"/>
      <c r="ACH113" s="65"/>
      <c r="ACI113" s="65"/>
      <c r="ACJ113" s="65"/>
      <c r="ACK113" s="65"/>
      <c r="ACL113" s="65"/>
      <c r="ACM113" s="65"/>
      <c r="ACN113" s="65"/>
      <c r="ACO113" s="65"/>
      <c r="ACP113" s="65"/>
      <c r="ACQ113" s="65"/>
      <c r="ACR113" s="65"/>
      <c r="ACS113" s="65"/>
      <c r="ACT113" s="65"/>
      <c r="ACU113" s="65"/>
      <c r="ACV113" s="65"/>
      <c r="ACW113" s="65"/>
      <c r="ACX113" s="65"/>
      <c r="ACY113" s="65"/>
      <c r="ACZ113" s="65"/>
      <c r="ADA113" s="65"/>
      <c r="ADB113" s="65"/>
      <c r="ADC113" s="65"/>
      <c r="ADD113" s="65"/>
      <c r="ADE113" s="65"/>
      <c r="ADF113" s="65"/>
      <c r="ADG113" s="65"/>
      <c r="ADH113" s="65"/>
      <c r="ADI113" s="65"/>
      <c r="ADJ113" s="65"/>
      <c r="ADK113" s="65"/>
      <c r="ADL113" s="65"/>
      <c r="ADM113" s="65"/>
      <c r="ADN113" s="65"/>
      <c r="ADO113" s="65"/>
      <c r="ADP113" s="65"/>
      <c r="ADQ113" s="65"/>
      <c r="ADR113" s="65"/>
      <c r="ADS113" s="65"/>
      <c r="ADT113" s="65"/>
      <c r="ADU113" s="65"/>
      <c r="ADV113" s="65"/>
      <c r="ADW113" s="65"/>
      <c r="ADX113" s="65"/>
      <c r="ADY113" s="65"/>
      <c r="ADZ113" s="65"/>
      <c r="AEA113" s="65"/>
      <c r="AEB113" s="65"/>
      <c r="AEC113" s="65"/>
      <c r="AED113" s="65"/>
      <c r="AEE113" s="65"/>
      <c r="AEF113" s="65"/>
      <c r="AEG113" s="65"/>
      <c r="AEH113" s="65"/>
      <c r="AEI113" s="65"/>
      <c r="AEJ113" s="65"/>
      <c r="AEK113" s="65"/>
      <c r="AEL113" s="65"/>
      <c r="AEM113" s="65"/>
      <c r="AEN113" s="65"/>
      <c r="AEO113" s="65"/>
      <c r="AEP113" s="65"/>
      <c r="AEQ113" s="65"/>
      <c r="AER113" s="65"/>
      <c r="AES113" s="65"/>
      <c r="AET113" s="65"/>
      <c r="AEU113" s="65"/>
      <c r="AEV113" s="65"/>
      <c r="AEW113" s="65"/>
      <c r="AEX113" s="65"/>
      <c r="AEY113" s="65"/>
      <c r="AEZ113" s="65"/>
      <c r="AFA113" s="65"/>
      <c r="AFB113" s="65"/>
      <c r="AFC113" s="65"/>
      <c r="AFD113" s="65"/>
      <c r="AFE113" s="65"/>
      <c r="AFF113" s="65"/>
      <c r="AFG113" s="65"/>
      <c r="AFH113" s="65"/>
      <c r="AFI113" s="65"/>
      <c r="AFJ113" s="65"/>
      <c r="AFK113" s="65"/>
      <c r="AFL113" s="65"/>
      <c r="AFM113" s="65"/>
      <c r="AFN113" s="65"/>
      <c r="AFO113" s="65"/>
      <c r="AFP113" s="65"/>
      <c r="AFQ113" s="65"/>
      <c r="AFR113" s="65"/>
      <c r="AFS113" s="65"/>
      <c r="AFT113" s="65"/>
      <c r="AFU113" s="65"/>
      <c r="AFV113" s="65"/>
      <c r="AFW113" s="65"/>
      <c r="AFX113" s="65"/>
      <c r="AFY113" s="65"/>
      <c r="AFZ113" s="65"/>
      <c r="AGA113" s="65"/>
      <c r="AGB113" s="65"/>
      <c r="AGC113" s="65"/>
      <c r="AGD113" s="65"/>
      <c r="AGE113" s="65"/>
      <c r="AGF113" s="65"/>
      <c r="AGG113" s="65"/>
      <c r="AGH113" s="65"/>
      <c r="AGI113" s="65"/>
      <c r="AGJ113" s="65"/>
      <c r="AGK113" s="65"/>
      <c r="AGL113" s="65"/>
      <c r="AGM113" s="65"/>
      <c r="AGN113" s="65"/>
      <c r="AGO113" s="65"/>
      <c r="AGP113" s="65"/>
      <c r="AGQ113" s="65"/>
      <c r="AGR113" s="65"/>
      <c r="AGS113" s="65"/>
      <c r="AGT113" s="65"/>
      <c r="AGU113" s="65"/>
      <c r="AGV113" s="65"/>
      <c r="AGW113" s="65"/>
      <c r="AGX113" s="65"/>
      <c r="AGY113" s="65"/>
      <c r="AGZ113" s="65"/>
      <c r="AHA113" s="65"/>
      <c r="AHB113" s="65"/>
      <c r="AHC113" s="65"/>
      <c r="AHD113" s="65"/>
      <c r="AHE113" s="65"/>
      <c r="AHF113" s="65"/>
      <c r="AHG113" s="65"/>
      <c r="AHH113" s="65"/>
      <c r="AHI113" s="65"/>
      <c r="AHJ113" s="65"/>
      <c r="AHK113" s="65"/>
      <c r="AHL113" s="65"/>
      <c r="AHM113" s="65"/>
      <c r="AHN113" s="65"/>
      <c r="AHO113" s="65"/>
      <c r="AHP113" s="65"/>
      <c r="AHQ113" s="65"/>
      <c r="AHR113" s="65"/>
      <c r="AHS113" s="65"/>
      <c r="AHT113" s="65"/>
      <c r="AHU113" s="65"/>
      <c r="AHV113" s="65"/>
      <c r="AHW113" s="65"/>
      <c r="AHX113" s="65"/>
      <c r="AHY113" s="65"/>
      <c r="AHZ113" s="65"/>
      <c r="AIA113" s="65"/>
      <c r="AIB113" s="65"/>
      <c r="AIC113" s="65"/>
      <c r="AID113" s="65"/>
      <c r="AIE113" s="65"/>
      <c r="AIF113" s="65"/>
      <c r="AIG113" s="65"/>
      <c r="AIH113" s="65"/>
      <c r="AII113" s="65"/>
      <c r="AIJ113" s="65"/>
      <c r="AIK113" s="65"/>
      <c r="AIL113" s="65"/>
      <c r="AIM113" s="65"/>
      <c r="AIN113" s="65"/>
      <c r="AIO113" s="65"/>
      <c r="AIP113" s="65"/>
      <c r="AIQ113" s="65"/>
      <c r="AIR113" s="65"/>
      <c r="AIS113" s="65"/>
      <c r="AIT113" s="65"/>
      <c r="AIU113" s="65"/>
      <c r="AIV113" s="65"/>
      <c r="AIW113" s="65"/>
      <c r="AIX113" s="65"/>
      <c r="AIY113" s="65"/>
      <c r="AIZ113" s="65"/>
      <c r="AJA113" s="65"/>
      <c r="AJB113" s="65"/>
      <c r="AJC113" s="65"/>
      <c r="AJD113" s="65"/>
      <c r="AJE113" s="65"/>
      <c r="AJF113" s="65"/>
      <c r="AJG113" s="65"/>
      <c r="AJH113" s="65"/>
      <c r="AJI113" s="65"/>
      <c r="AJJ113" s="65"/>
      <c r="AJK113" s="65"/>
      <c r="AJL113" s="65"/>
      <c r="AJM113" s="65"/>
      <c r="AJN113" s="65"/>
      <c r="AJO113" s="65"/>
      <c r="AJP113" s="65"/>
      <c r="AJQ113" s="65"/>
      <c r="AJR113" s="65"/>
      <c r="AJS113" s="65"/>
      <c r="AJT113" s="65"/>
      <c r="AJU113" s="65"/>
      <c r="AJV113" s="65"/>
      <c r="AJW113" s="65"/>
      <c r="AJX113" s="65"/>
      <c r="AJY113" s="65"/>
      <c r="AJZ113" s="65"/>
      <c r="AKA113" s="65"/>
      <c r="AKB113" s="65"/>
      <c r="AKC113" s="65"/>
      <c r="AKD113" s="65"/>
      <c r="AKE113" s="65"/>
      <c r="AKF113" s="65"/>
      <c r="AKG113" s="65"/>
      <c r="AKH113" s="65"/>
      <c r="AKI113" s="65"/>
      <c r="AKJ113" s="65"/>
      <c r="AKK113" s="65"/>
      <c r="AKL113" s="65"/>
      <c r="AKM113" s="65"/>
      <c r="AKN113" s="65"/>
      <c r="AKO113" s="65"/>
      <c r="AKP113" s="65"/>
      <c r="AKQ113" s="65"/>
      <c r="AKR113" s="65"/>
      <c r="AKS113" s="65"/>
      <c r="AKT113" s="65"/>
      <c r="AKU113" s="65"/>
      <c r="AKV113" s="65"/>
      <c r="AKW113" s="65"/>
      <c r="AKX113" s="65"/>
      <c r="AKY113" s="65"/>
      <c r="AKZ113" s="65"/>
      <c r="ALA113" s="65"/>
      <c r="ALB113" s="65"/>
      <c r="ALC113" s="65"/>
      <c r="ALD113" s="65"/>
      <c r="ALE113" s="65"/>
      <c r="ALF113" s="65"/>
      <c r="ALG113" s="65"/>
      <c r="ALH113" s="65"/>
      <c r="ALI113" s="65"/>
      <c r="ALJ113" s="65"/>
      <c r="ALK113" s="65"/>
      <c r="ALL113" s="65"/>
      <c r="ALM113" s="65"/>
      <c r="ALN113" s="65"/>
      <c r="ALO113" s="65"/>
      <c r="ALP113" s="65"/>
      <c r="ALQ113" s="65"/>
      <c r="ALR113" s="65"/>
      <c r="ALS113" s="65"/>
      <c r="ALT113" s="65"/>
      <c r="ALU113" s="65"/>
      <c r="ALV113" s="65"/>
      <c r="ALW113" s="65"/>
      <c r="ALX113" s="65"/>
      <c r="ALY113" s="65"/>
      <c r="ALZ113" s="65"/>
      <c r="AMA113" s="65"/>
      <c r="AMB113" s="65"/>
      <c r="AMC113" s="65"/>
      <c r="AMD113" s="65"/>
      <c r="AME113" s="65"/>
      <c r="AMF113" s="65"/>
      <c r="AMG113" s="65"/>
      <c r="AMH113" s="65"/>
      <c r="AMI113" s="65"/>
      <c r="AMJ113" s="65"/>
    </row>
    <row r="114" spans="12:1024" ht="16" customHeight="1" x14ac:dyDescent="0.25">
      <c r="L114" s="65"/>
      <c r="M114" s="66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  <c r="QI114" s="65"/>
      <c r="QJ114" s="65"/>
      <c r="QK114" s="65"/>
      <c r="QL114" s="65"/>
      <c r="QM114" s="65"/>
      <c r="QN114" s="65"/>
      <c r="QO114" s="65"/>
      <c r="QP114" s="65"/>
      <c r="QQ114" s="65"/>
      <c r="QR114" s="65"/>
      <c r="QS114" s="65"/>
      <c r="QT114" s="65"/>
      <c r="QU114" s="65"/>
      <c r="QV114" s="65"/>
      <c r="QW114" s="65"/>
      <c r="QX114" s="65"/>
      <c r="QY114" s="65"/>
      <c r="QZ114" s="65"/>
      <c r="RA114" s="65"/>
      <c r="RB114" s="65"/>
      <c r="RC114" s="65"/>
      <c r="RD114" s="65"/>
      <c r="RE114" s="65"/>
      <c r="RF114" s="65"/>
      <c r="RG114" s="65"/>
      <c r="RH114" s="65"/>
      <c r="RI114" s="65"/>
      <c r="RJ114" s="65"/>
      <c r="RK114" s="65"/>
      <c r="RL114" s="65"/>
      <c r="RM114" s="65"/>
      <c r="RN114" s="65"/>
      <c r="RO114" s="65"/>
      <c r="RP114" s="65"/>
      <c r="RQ114" s="65"/>
      <c r="RR114" s="65"/>
      <c r="RS114" s="65"/>
      <c r="RT114" s="65"/>
      <c r="RU114" s="65"/>
      <c r="RV114" s="65"/>
      <c r="RW114" s="65"/>
      <c r="RX114" s="65"/>
      <c r="RY114" s="65"/>
      <c r="RZ114" s="65"/>
      <c r="SA114" s="65"/>
      <c r="SB114" s="65"/>
      <c r="SC114" s="65"/>
      <c r="SD114" s="65"/>
      <c r="SE114" s="65"/>
      <c r="SF114" s="65"/>
      <c r="SG114" s="65"/>
      <c r="SH114" s="65"/>
      <c r="SI114" s="65"/>
      <c r="SJ114" s="65"/>
      <c r="SK114" s="65"/>
      <c r="SL114" s="65"/>
      <c r="SM114" s="65"/>
      <c r="SN114" s="65"/>
      <c r="SO114" s="65"/>
      <c r="SP114" s="65"/>
      <c r="SQ114" s="65"/>
      <c r="SR114" s="65"/>
      <c r="SS114" s="65"/>
      <c r="ST114" s="65"/>
      <c r="SU114" s="65"/>
      <c r="SV114" s="65"/>
      <c r="SW114" s="65"/>
      <c r="SX114" s="65"/>
      <c r="SY114" s="65"/>
      <c r="SZ114" s="65"/>
      <c r="TA114" s="65"/>
      <c r="TB114" s="65"/>
      <c r="TC114" s="65"/>
      <c r="TD114" s="65"/>
      <c r="TE114" s="65"/>
      <c r="TF114" s="65"/>
      <c r="TG114" s="65"/>
      <c r="TH114" s="65"/>
      <c r="TI114" s="65"/>
      <c r="TJ114" s="65"/>
      <c r="TK114" s="65"/>
      <c r="TL114" s="65"/>
      <c r="TM114" s="65"/>
      <c r="TN114" s="65"/>
      <c r="TO114" s="65"/>
      <c r="TP114" s="65"/>
      <c r="TQ114" s="65"/>
      <c r="TR114" s="65"/>
      <c r="TS114" s="65"/>
      <c r="TT114" s="65"/>
      <c r="TU114" s="65"/>
      <c r="TV114" s="65"/>
      <c r="TW114" s="65"/>
      <c r="TX114" s="65"/>
      <c r="TY114" s="65"/>
      <c r="TZ114" s="65"/>
      <c r="UA114" s="65"/>
      <c r="UB114" s="65"/>
      <c r="UC114" s="65"/>
      <c r="UD114" s="65"/>
      <c r="UE114" s="65"/>
      <c r="UF114" s="65"/>
      <c r="UG114" s="65"/>
      <c r="UH114" s="65"/>
      <c r="UI114" s="65"/>
      <c r="UJ114" s="65"/>
      <c r="UK114" s="65"/>
      <c r="UL114" s="65"/>
      <c r="UM114" s="65"/>
      <c r="UN114" s="65"/>
      <c r="UO114" s="65"/>
      <c r="UP114" s="65"/>
      <c r="UQ114" s="65"/>
      <c r="UR114" s="65"/>
      <c r="US114" s="65"/>
      <c r="UT114" s="65"/>
      <c r="UU114" s="65"/>
      <c r="UV114" s="65"/>
      <c r="UW114" s="65"/>
      <c r="UX114" s="65"/>
      <c r="UY114" s="65"/>
      <c r="UZ114" s="65"/>
      <c r="VA114" s="65"/>
      <c r="VB114" s="65"/>
      <c r="VC114" s="65"/>
      <c r="VD114" s="65"/>
      <c r="VE114" s="65"/>
      <c r="VF114" s="65"/>
      <c r="VG114" s="65"/>
      <c r="VH114" s="65"/>
      <c r="VI114" s="65"/>
      <c r="VJ114" s="65"/>
      <c r="VK114" s="65"/>
      <c r="VL114" s="65"/>
      <c r="VM114" s="65"/>
      <c r="VN114" s="65"/>
      <c r="VO114" s="65"/>
      <c r="VP114" s="65"/>
      <c r="VQ114" s="65"/>
      <c r="VR114" s="65"/>
      <c r="VS114" s="65"/>
      <c r="VT114" s="65"/>
      <c r="VU114" s="65"/>
      <c r="VV114" s="65"/>
      <c r="VW114" s="65"/>
      <c r="VX114" s="65"/>
      <c r="VY114" s="65"/>
      <c r="VZ114" s="65"/>
      <c r="WA114" s="65"/>
      <c r="WB114" s="65"/>
      <c r="WC114" s="65"/>
      <c r="WD114" s="65"/>
      <c r="WE114" s="65"/>
      <c r="WF114" s="65"/>
      <c r="WG114" s="65"/>
      <c r="WH114" s="65"/>
      <c r="WI114" s="65"/>
      <c r="WJ114" s="65"/>
      <c r="WK114" s="65"/>
      <c r="WL114" s="65"/>
      <c r="WM114" s="65"/>
      <c r="WN114" s="65"/>
      <c r="WO114" s="65"/>
      <c r="WP114" s="65"/>
      <c r="WQ114" s="65"/>
      <c r="WR114" s="65"/>
      <c r="WS114" s="65"/>
      <c r="WT114" s="65"/>
      <c r="WU114" s="65"/>
      <c r="WV114" s="65"/>
      <c r="WW114" s="65"/>
      <c r="WX114" s="65"/>
      <c r="WY114" s="65"/>
      <c r="WZ114" s="65"/>
      <c r="XA114" s="65"/>
      <c r="XB114" s="65"/>
      <c r="XC114" s="65"/>
      <c r="XD114" s="65"/>
      <c r="XE114" s="65"/>
      <c r="XF114" s="65"/>
      <c r="XG114" s="65"/>
      <c r="XH114" s="65"/>
      <c r="XI114" s="65"/>
      <c r="XJ114" s="65"/>
      <c r="XK114" s="65"/>
      <c r="XL114" s="65"/>
      <c r="XM114" s="65"/>
      <c r="XN114" s="65"/>
      <c r="XO114" s="65"/>
      <c r="XP114" s="65"/>
      <c r="XQ114" s="65"/>
      <c r="XR114" s="65"/>
      <c r="XS114" s="65"/>
      <c r="XT114" s="65"/>
      <c r="XU114" s="65"/>
      <c r="XV114" s="65"/>
      <c r="XW114" s="65"/>
      <c r="XX114" s="65"/>
      <c r="XY114" s="65"/>
      <c r="XZ114" s="65"/>
      <c r="YA114" s="65"/>
      <c r="YB114" s="65"/>
      <c r="YC114" s="65"/>
      <c r="YD114" s="65"/>
      <c r="YE114" s="65"/>
      <c r="YF114" s="65"/>
      <c r="YG114" s="65"/>
      <c r="YH114" s="65"/>
      <c r="YI114" s="65"/>
      <c r="YJ114" s="65"/>
      <c r="YK114" s="65"/>
      <c r="YL114" s="65"/>
      <c r="YM114" s="65"/>
      <c r="YN114" s="65"/>
      <c r="YO114" s="65"/>
      <c r="YP114" s="65"/>
      <c r="YQ114" s="65"/>
      <c r="YR114" s="65"/>
      <c r="YS114" s="65"/>
      <c r="YT114" s="65"/>
      <c r="YU114" s="65"/>
      <c r="YV114" s="65"/>
      <c r="YW114" s="65"/>
      <c r="YX114" s="65"/>
      <c r="YY114" s="65"/>
      <c r="YZ114" s="65"/>
      <c r="ZA114" s="65"/>
      <c r="ZB114" s="65"/>
      <c r="ZC114" s="65"/>
      <c r="ZD114" s="65"/>
      <c r="ZE114" s="65"/>
      <c r="ZF114" s="65"/>
      <c r="ZG114" s="65"/>
      <c r="ZH114" s="65"/>
      <c r="ZI114" s="65"/>
      <c r="ZJ114" s="65"/>
      <c r="ZK114" s="65"/>
      <c r="ZL114" s="65"/>
      <c r="ZM114" s="65"/>
      <c r="ZN114" s="65"/>
      <c r="ZO114" s="65"/>
      <c r="ZP114" s="65"/>
      <c r="ZQ114" s="65"/>
      <c r="ZR114" s="65"/>
      <c r="ZS114" s="65"/>
      <c r="ZT114" s="65"/>
      <c r="ZU114" s="65"/>
      <c r="ZV114" s="65"/>
      <c r="ZW114" s="65"/>
      <c r="ZX114" s="65"/>
      <c r="ZY114" s="65"/>
      <c r="ZZ114" s="65"/>
      <c r="AAA114" s="65"/>
      <c r="AAB114" s="65"/>
      <c r="AAC114" s="65"/>
      <c r="AAD114" s="65"/>
      <c r="AAE114" s="65"/>
      <c r="AAF114" s="65"/>
      <c r="AAG114" s="65"/>
      <c r="AAH114" s="65"/>
      <c r="AAI114" s="65"/>
      <c r="AAJ114" s="65"/>
      <c r="AAK114" s="65"/>
      <c r="AAL114" s="65"/>
      <c r="AAM114" s="65"/>
      <c r="AAN114" s="65"/>
      <c r="AAO114" s="65"/>
      <c r="AAP114" s="65"/>
      <c r="AAQ114" s="65"/>
      <c r="AAR114" s="65"/>
      <c r="AAS114" s="65"/>
      <c r="AAT114" s="65"/>
      <c r="AAU114" s="65"/>
      <c r="AAV114" s="65"/>
      <c r="AAW114" s="65"/>
      <c r="AAX114" s="65"/>
      <c r="AAY114" s="65"/>
      <c r="AAZ114" s="65"/>
      <c r="ABA114" s="65"/>
      <c r="ABB114" s="65"/>
      <c r="ABC114" s="65"/>
      <c r="ABD114" s="65"/>
      <c r="ABE114" s="65"/>
      <c r="ABF114" s="65"/>
      <c r="ABG114" s="65"/>
      <c r="ABH114" s="65"/>
      <c r="ABI114" s="65"/>
      <c r="ABJ114" s="65"/>
      <c r="ABK114" s="65"/>
      <c r="ABL114" s="65"/>
      <c r="ABM114" s="65"/>
      <c r="ABN114" s="65"/>
      <c r="ABO114" s="65"/>
      <c r="ABP114" s="65"/>
      <c r="ABQ114" s="65"/>
      <c r="ABR114" s="65"/>
      <c r="ABS114" s="65"/>
      <c r="ABT114" s="65"/>
      <c r="ABU114" s="65"/>
      <c r="ABV114" s="65"/>
      <c r="ABW114" s="65"/>
      <c r="ABX114" s="65"/>
      <c r="ABY114" s="65"/>
      <c r="ABZ114" s="65"/>
      <c r="ACA114" s="65"/>
      <c r="ACB114" s="65"/>
      <c r="ACC114" s="65"/>
      <c r="ACD114" s="65"/>
      <c r="ACE114" s="65"/>
      <c r="ACF114" s="65"/>
      <c r="ACG114" s="65"/>
      <c r="ACH114" s="65"/>
      <c r="ACI114" s="65"/>
      <c r="ACJ114" s="65"/>
      <c r="ACK114" s="65"/>
      <c r="ACL114" s="65"/>
      <c r="ACM114" s="65"/>
      <c r="ACN114" s="65"/>
      <c r="ACO114" s="65"/>
      <c r="ACP114" s="65"/>
      <c r="ACQ114" s="65"/>
      <c r="ACR114" s="65"/>
      <c r="ACS114" s="65"/>
      <c r="ACT114" s="65"/>
      <c r="ACU114" s="65"/>
      <c r="ACV114" s="65"/>
      <c r="ACW114" s="65"/>
      <c r="ACX114" s="65"/>
      <c r="ACY114" s="65"/>
      <c r="ACZ114" s="65"/>
      <c r="ADA114" s="65"/>
      <c r="ADB114" s="65"/>
      <c r="ADC114" s="65"/>
      <c r="ADD114" s="65"/>
      <c r="ADE114" s="65"/>
      <c r="ADF114" s="65"/>
      <c r="ADG114" s="65"/>
      <c r="ADH114" s="65"/>
      <c r="ADI114" s="65"/>
      <c r="ADJ114" s="65"/>
      <c r="ADK114" s="65"/>
      <c r="ADL114" s="65"/>
      <c r="ADM114" s="65"/>
      <c r="ADN114" s="65"/>
      <c r="ADO114" s="65"/>
      <c r="ADP114" s="65"/>
      <c r="ADQ114" s="65"/>
      <c r="ADR114" s="65"/>
      <c r="ADS114" s="65"/>
      <c r="ADT114" s="65"/>
      <c r="ADU114" s="65"/>
      <c r="ADV114" s="65"/>
      <c r="ADW114" s="65"/>
      <c r="ADX114" s="65"/>
      <c r="ADY114" s="65"/>
      <c r="ADZ114" s="65"/>
      <c r="AEA114" s="65"/>
      <c r="AEB114" s="65"/>
      <c r="AEC114" s="65"/>
      <c r="AED114" s="65"/>
      <c r="AEE114" s="65"/>
      <c r="AEF114" s="65"/>
      <c r="AEG114" s="65"/>
      <c r="AEH114" s="65"/>
      <c r="AEI114" s="65"/>
      <c r="AEJ114" s="65"/>
      <c r="AEK114" s="65"/>
      <c r="AEL114" s="65"/>
      <c r="AEM114" s="65"/>
      <c r="AEN114" s="65"/>
      <c r="AEO114" s="65"/>
      <c r="AEP114" s="65"/>
      <c r="AEQ114" s="65"/>
      <c r="AER114" s="65"/>
      <c r="AES114" s="65"/>
      <c r="AET114" s="65"/>
      <c r="AEU114" s="65"/>
      <c r="AEV114" s="65"/>
      <c r="AEW114" s="65"/>
      <c r="AEX114" s="65"/>
      <c r="AEY114" s="65"/>
      <c r="AEZ114" s="65"/>
      <c r="AFA114" s="65"/>
      <c r="AFB114" s="65"/>
      <c r="AFC114" s="65"/>
      <c r="AFD114" s="65"/>
      <c r="AFE114" s="65"/>
      <c r="AFF114" s="65"/>
      <c r="AFG114" s="65"/>
      <c r="AFH114" s="65"/>
      <c r="AFI114" s="65"/>
      <c r="AFJ114" s="65"/>
      <c r="AFK114" s="65"/>
      <c r="AFL114" s="65"/>
      <c r="AFM114" s="65"/>
      <c r="AFN114" s="65"/>
      <c r="AFO114" s="65"/>
      <c r="AFP114" s="65"/>
      <c r="AFQ114" s="65"/>
      <c r="AFR114" s="65"/>
      <c r="AFS114" s="65"/>
      <c r="AFT114" s="65"/>
      <c r="AFU114" s="65"/>
      <c r="AFV114" s="65"/>
      <c r="AFW114" s="65"/>
      <c r="AFX114" s="65"/>
      <c r="AFY114" s="65"/>
      <c r="AFZ114" s="65"/>
      <c r="AGA114" s="65"/>
      <c r="AGB114" s="65"/>
      <c r="AGC114" s="65"/>
      <c r="AGD114" s="65"/>
      <c r="AGE114" s="65"/>
      <c r="AGF114" s="65"/>
      <c r="AGG114" s="65"/>
      <c r="AGH114" s="65"/>
      <c r="AGI114" s="65"/>
      <c r="AGJ114" s="65"/>
      <c r="AGK114" s="65"/>
      <c r="AGL114" s="65"/>
      <c r="AGM114" s="65"/>
      <c r="AGN114" s="65"/>
      <c r="AGO114" s="65"/>
      <c r="AGP114" s="65"/>
      <c r="AGQ114" s="65"/>
      <c r="AGR114" s="65"/>
      <c r="AGS114" s="65"/>
      <c r="AGT114" s="65"/>
      <c r="AGU114" s="65"/>
      <c r="AGV114" s="65"/>
      <c r="AGW114" s="65"/>
      <c r="AGX114" s="65"/>
      <c r="AGY114" s="65"/>
      <c r="AGZ114" s="65"/>
      <c r="AHA114" s="65"/>
      <c r="AHB114" s="65"/>
      <c r="AHC114" s="65"/>
      <c r="AHD114" s="65"/>
      <c r="AHE114" s="65"/>
      <c r="AHF114" s="65"/>
      <c r="AHG114" s="65"/>
      <c r="AHH114" s="65"/>
      <c r="AHI114" s="65"/>
      <c r="AHJ114" s="65"/>
      <c r="AHK114" s="65"/>
      <c r="AHL114" s="65"/>
      <c r="AHM114" s="65"/>
      <c r="AHN114" s="65"/>
      <c r="AHO114" s="65"/>
      <c r="AHP114" s="65"/>
      <c r="AHQ114" s="65"/>
      <c r="AHR114" s="65"/>
      <c r="AHS114" s="65"/>
      <c r="AHT114" s="65"/>
      <c r="AHU114" s="65"/>
      <c r="AHV114" s="65"/>
      <c r="AHW114" s="65"/>
      <c r="AHX114" s="65"/>
      <c r="AHY114" s="65"/>
      <c r="AHZ114" s="65"/>
      <c r="AIA114" s="65"/>
      <c r="AIB114" s="65"/>
      <c r="AIC114" s="65"/>
      <c r="AID114" s="65"/>
      <c r="AIE114" s="65"/>
      <c r="AIF114" s="65"/>
      <c r="AIG114" s="65"/>
      <c r="AIH114" s="65"/>
      <c r="AII114" s="65"/>
      <c r="AIJ114" s="65"/>
      <c r="AIK114" s="65"/>
      <c r="AIL114" s="65"/>
      <c r="AIM114" s="65"/>
      <c r="AIN114" s="65"/>
      <c r="AIO114" s="65"/>
      <c r="AIP114" s="65"/>
      <c r="AIQ114" s="65"/>
      <c r="AIR114" s="65"/>
      <c r="AIS114" s="65"/>
      <c r="AIT114" s="65"/>
      <c r="AIU114" s="65"/>
      <c r="AIV114" s="65"/>
      <c r="AIW114" s="65"/>
      <c r="AIX114" s="65"/>
      <c r="AIY114" s="65"/>
      <c r="AIZ114" s="65"/>
      <c r="AJA114" s="65"/>
      <c r="AJB114" s="65"/>
      <c r="AJC114" s="65"/>
      <c r="AJD114" s="65"/>
      <c r="AJE114" s="65"/>
      <c r="AJF114" s="65"/>
      <c r="AJG114" s="65"/>
      <c r="AJH114" s="65"/>
      <c r="AJI114" s="65"/>
      <c r="AJJ114" s="65"/>
      <c r="AJK114" s="65"/>
      <c r="AJL114" s="65"/>
      <c r="AJM114" s="65"/>
      <c r="AJN114" s="65"/>
      <c r="AJO114" s="65"/>
      <c r="AJP114" s="65"/>
      <c r="AJQ114" s="65"/>
      <c r="AJR114" s="65"/>
      <c r="AJS114" s="65"/>
      <c r="AJT114" s="65"/>
      <c r="AJU114" s="65"/>
      <c r="AJV114" s="65"/>
      <c r="AJW114" s="65"/>
      <c r="AJX114" s="65"/>
      <c r="AJY114" s="65"/>
      <c r="AJZ114" s="65"/>
      <c r="AKA114" s="65"/>
      <c r="AKB114" s="65"/>
      <c r="AKC114" s="65"/>
      <c r="AKD114" s="65"/>
      <c r="AKE114" s="65"/>
      <c r="AKF114" s="65"/>
      <c r="AKG114" s="65"/>
      <c r="AKH114" s="65"/>
      <c r="AKI114" s="65"/>
      <c r="AKJ114" s="65"/>
      <c r="AKK114" s="65"/>
      <c r="AKL114" s="65"/>
      <c r="AKM114" s="65"/>
      <c r="AKN114" s="65"/>
      <c r="AKO114" s="65"/>
      <c r="AKP114" s="65"/>
      <c r="AKQ114" s="65"/>
      <c r="AKR114" s="65"/>
      <c r="AKS114" s="65"/>
      <c r="AKT114" s="65"/>
      <c r="AKU114" s="65"/>
      <c r="AKV114" s="65"/>
      <c r="AKW114" s="65"/>
      <c r="AKX114" s="65"/>
      <c r="AKY114" s="65"/>
      <c r="AKZ114" s="65"/>
      <c r="ALA114" s="65"/>
      <c r="ALB114" s="65"/>
      <c r="ALC114" s="65"/>
      <c r="ALD114" s="65"/>
      <c r="ALE114" s="65"/>
      <c r="ALF114" s="65"/>
      <c r="ALG114" s="65"/>
      <c r="ALH114" s="65"/>
      <c r="ALI114" s="65"/>
      <c r="ALJ114" s="65"/>
      <c r="ALK114" s="65"/>
      <c r="ALL114" s="65"/>
      <c r="ALM114" s="65"/>
      <c r="ALN114" s="65"/>
      <c r="ALO114" s="65"/>
      <c r="ALP114" s="65"/>
      <c r="ALQ114" s="65"/>
      <c r="ALR114" s="65"/>
      <c r="ALS114" s="65"/>
      <c r="ALT114" s="65"/>
      <c r="ALU114" s="65"/>
      <c r="ALV114" s="65"/>
      <c r="ALW114" s="65"/>
      <c r="ALX114" s="65"/>
      <c r="ALY114" s="65"/>
      <c r="ALZ114" s="65"/>
      <c r="AMA114" s="65"/>
      <c r="AMB114" s="65"/>
      <c r="AMC114" s="65"/>
      <c r="AMD114" s="65"/>
      <c r="AME114" s="65"/>
      <c r="AMF114" s="65"/>
      <c r="AMG114" s="65"/>
      <c r="AMH114" s="65"/>
      <c r="AMI114" s="65"/>
      <c r="AMJ114" s="65"/>
    </row>
    <row r="115" spans="12:1024" ht="16" customHeight="1" x14ac:dyDescent="0.25">
      <c r="L115" s="65"/>
      <c r="M115" s="66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  <c r="QI115" s="65"/>
      <c r="QJ115" s="65"/>
      <c r="QK115" s="65"/>
      <c r="QL115" s="65"/>
      <c r="QM115" s="65"/>
      <c r="QN115" s="65"/>
      <c r="QO115" s="65"/>
      <c r="QP115" s="65"/>
      <c r="QQ115" s="65"/>
      <c r="QR115" s="65"/>
      <c r="QS115" s="65"/>
      <c r="QT115" s="65"/>
      <c r="QU115" s="65"/>
      <c r="QV115" s="65"/>
      <c r="QW115" s="65"/>
      <c r="QX115" s="65"/>
      <c r="QY115" s="65"/>
      <c r="QZ115" s="65"/>
      <c r="RA115" s="65"/>
      <c r="RB115" s="65"/>
      <c r="RC115" s="65"/>
      <c r="RD115" s="65"/>
      <c r="RE115" s="65"/>
      <c r="RF115" s="65"/>
      <c r="RG115" s="65"/>
      <c r="RH115" s="65"/>
      <c r="RI115" s="65"/>
      <c r="RJ115" s="65"/>
      <c r="RK115" s="65"/>
      <c r="RL115" s="65"/>
      <c r="RM115" s="65"/>
      <c r="RN115" s="65"/>
      <c r="RO115" s="65"/>
      <c r="RP115" s="65"/>
      <c r="RQ115" s="65"/>
      <c r="RR115" s="65"/>
      <c r="RS115" s="65"/>
      <c r="RT115" s="65"/>
      <c r="RU115" s="65"/>
      <c r="RV115" s="65"/>
      <c r="RW115" s="65"/>
      <c r="RX115" s="65"/>
      <c r="RY115" s="65"/>
      <c r="RZ115" s="65"/>
      <c r="SA115" s="65"/>
      <c r="SB115" s="65"/>
      <c r="SC115" s="65"/>
      <c r="SD115" s="65"/>
      <c r="SE115" s="65"/>
      <c r="SF115" s="65"/>
      <c r="SG115" s="65"/>
      <c r="SH115" s="65"/>
      <c r="SI115" s="65"/>
      <c r="SJ115" s="65"/>
      <c r="SK115" s="65"/>
      <c r="SL115" s="65"/>
      <c r="SM115" s="65"/>
      <c r="SN115" s="65"/>
      <c r="SO115" s="65"/>
      <c r="SP115" s="65"/>
      <c r="SQ115" s="65"/>
      <c r="SR115" s="65"/>
      <c r="SS115" s="65"/>
      <c r="ST115" s="65"/>
      <c r="SU115" s="65"/>
      <c r="SV115" s="65"/>
      <c r="SW115" s="65"/>
      <c r="SX115" s="65"/>
      <c r="SY115" s="65"/>
      <c r="SZ115" s="65"/>
      <c r="TA115" s="65"/>
      <c r="TB115" s="65"/>
      <c r="TC115" s="65"/>
      <c r="TD115" s="65"/>
      <c r="TE115" s="65"/>
      <c r="TF115" s="65"/>
      <c r="TG115" s="65"/>
      <c r="TH115" s="65"/>
      <c r="TI115" s="65"/>
      <c r="TJ115" s="65"/>
      <c r="TK115" s="65"/>
      <c r="TL115" s="65"/>
      <c r="TM115" s="65"/>
      <c r="TN115" s="65"/>
      <c r="TO115" s="65"/>
      <c r="TP115" s="65"/>
      <c r="TQ115" s="65"/>
      <c r="TR115" s="65"/>
      <c r="TS115" s="65"/>
      <c r="TT115" s="65"/>
      <c r="TU115" s="65"/>
      <c r="TV115" s="65"/>
      <c r="TW115" s="65"/>
      <c r="TX115" s="65"/>
      <c r="TY115" s="65"/>
      <c r="TZ115" s="65"/>
      <c r="UA115" s="65"/>
      <c r="UB115" s="65"/>
      <c r="UC115" s="65"/>
      <c r="UD115" s="65"/>
      <c r="UE115" s="65"/>
      <c r="UF115" s="65"/>
      <c r="UG115" s="65"/>
      <c r="UH115" s="65"/>
      <c r="UI115" s="65"/>
      <c r="UJ115" s="65"/>
      <c r="UK115" s="65"/>
      <c r="UL115" s="65"/>
      <c r="UM115" s="65"/>
      <c r="UN115" s="65"/>
      <c r="UO115" s="65"/>
      <c r="UP115" s="65"/>
      <c r="UQ115" s="65"/>
      <c r="UR115" s="65"/>
      <c r="US115" s="65"/>
      <c r="UT115" s="65"/>
      <c r="UU115" s="65"/>
      <c r="UV115" s="65"/>
      <c r="UW115" s="65"/>
      <c r="UX115" s="65"/>
      <c r="UY115" s="65"/>
      <c r="UZ115" s="65"/>
      <c r="VA115" s="65"/>
      <c r="VB115" s="65"/>
      <c r="VC115" s="65"/>
      <c r="VD115" s="65"/>
      <c r="VE115" s="65"/>
      <c r="VF115" s="65"/>
      <c r="VG115" s="65"/>
      <c r="VH115" s="65"/>
      <c r="VI115" s="65"/>
      <c r="VJ115" s="65"/>
      <c r="VK115" s="65"/>
      <c r="VL115" s="65"/>
      <c r="VM115" s="65"/>
      <c r="VN115" s="65"/>
      <c r="VO115" s="65"/>
      <c r="VP115" s="65"/>
      <c r="VQ115" s="65"/>
      <c r="VR115" s="65"/>
      <c r="VS115" s="65"/>
      <c r="VT115" s="65"/>
      <c r="VU115" s="65"/>
      <c r="VV115" s="65"/>
      <c r="VW115" s="65"/>
      <c r="VX115" s="65"/>
      <c r="VY115" s="65"/>
      <c r="VZ115" s="65"/>
      <c r="WA115" s="65"/>
      <c r="WB115" s="65"/>
      <c r="WC115" s="65"/>
      <c r="WD115" s="65"/>
      <c r="WE115" s="65"/>
      <c r="WF115" s="65"/>
      <c r="WG115" s="65"/>
      <c r="WH115" s="65"/>
      <c r="WI115" s="65"/>
      <c r="WJ115" s="65"/>
      <c r="WK115" s="65"/>
      <c r="WL115" s="65"/>
      <c r="WM115" s="65"/>
      <c r="WN115" s="65"/>
      <c r="WO115" s="65"/>
      <c r="WP115" s="65"/>
      <c r="WQ115" s="65"/>
      <c r="WR115" s="65"/>
      <c r="WS115" s="65"/>
      <c r="WT115" s="65"/>
      <c r="WU115" s="65"/>
      <c r="WV115" s="65"/>
      <c r="WW115" s="65"/>
      <c r="WX115" s="65"/>
      <c r="WY115" s="65"/>
      <c r="WZ115" s="65"/>
      <c r="XA115" s="65"/>
      <c r="XB115" s="65"/>
      <c r="XC115" s="65"/>
      <c r="XD115" s="65"/>
      <c r="XE115" s="65"/>
      <c r="XF115" s="65"/>
      <c r="XG115" s="65"/>
      <c r="XH115" s="65"/>
      <c r="XI115" s="65"/>
      <c r="XJ115" s="65"/>
      <c r="XK115" s="65"/>
      <c r="XL115" s="65"/>
      <c r="XM115" s="65"/>
      <c r="XN115" s="65"/>
      <c r="XO115" s="65"/>
      <c r="XP115" s="65"/>
      <c r="XQ115" s="65"/>
      <c r="XR115" s="65"/>
      <c r="XS115" s="65"/>
      <c r="XT115" s="65"/>
      <c r="XU115" s="65"/>
      <c r="XV115" s="65"/>
      <c r="XW115" s="65"/>
      <c r="XX115" s="65"/>
      <c r="XY115" s="65"/>
      <c r="XZ115" s="65"/>
      <c r="YA115" s="65"/>
      <c r="YB115" s="65"/>
      <c r="YC115" s="65"/>
      <c r="YD115" s="65"/>
      <c r="YE115" s="65"/>
      <c r="YF115" s="65"/>
      <c r="YG115" s="65"/>
      <c r="YH115" s="65"/>
      <c r="YI115" s="65"/>
      <c r="YJ115" s="65"/>
      <c r="YK115" s="65"/>
      <c r="YL115" s="65"/>
      <c r="YM115" s="65"/>
      <c r="YN115" s="65"/>
      <c r="YO115" s="65"/>
      <c r="YP115" s="65"/>
      <c r="YQ115" s="65"/>
      <c r="YR115" s="65"/>
      <c r="YS115" s="65"/>
      <c r="YT115" s="65"/>
      <c r="YU115" s="65"/>
      <c r="YV115" s="65"/>
      <c r="YW115" s="65"/>
      <c r="YX115" s="65"/>
      <c r="YY115" s="65"/>
      <c r="YZ115" s="65"/>
      <c r="ZA115" s="65"/>
      <c r="ZB115" s="65"/>
      <c r="ZC115" s="65"/>
      <c r="ZD115" s="65"/>
      <c r="ZE115" s="65"/>
      <c r="ZF115" s="65"/>
      <c r="ZG115" s="65"/>
      <c r="ZH115" s="65"/>
      <c r="ZI115" s="65"/>
      <c r="ZJ115" s="65"/>
      <c r="ZK115" s="65"/>
      <c r="ZL115" s="65"/>
      <c r="ZM115" s="65"/>
      <c r="ZN115" s="65"/>
      <c r="ZO115" s="65"/>
      <c r="ZP115" s="65"/>
      <c r="ZQ115" s="65"/>
      <c r="ZR115" s="65"/>
      <c r="ZS115" s="65"/>
      <c r="ZT115" s="65"/>
      <c r="ZU115" s="65"/>
      <c r="ZV115" s="65"/>
      <c r="ZW115" s="65"/>
      <c r="ZX115" s="65"/>
      <c r="ZY115" s="65"/>
      <c r="ZZ115" s="65"/>
      <c r="AAA115" s="65"/>
      <c r="AAB115" s="65"/>
      <c r="AAC115" s="65"/>
      <c r="AAD115" s="65"/>
      <c r="AAE115" s="65"/>
      <c r="AAF115" s="65"/>
      <c r="AAG115" s="65"/>
      <c r="AAH115" s="65"/>
      <c r="AAI115" s="65"/>
      <c r="AAJ115" s="65"/>
      <c r="AAK115" s="65"/>
      <c r="AAL115" s="65"/>
      <c r="AAM115" s="65"/>
      <c r="AAN115" s="65"/>
      <c r="AAO115" s="65"/>
      <c r="AAP115" s="65"/>
      <c r="AAQ115" s="65"/>
      <c r="AAR115" s="65"/>
      <c r="AAS115" s="65"/>
      <c r="AAT115" s="65"/>
      <c r="AAU115" s="65"/>
      <c r="AAV115" s="65"/>
      <c r="AAW115" s="65"/>
      <c r="AAX115" s="65"/>
      <c r="AAY115" s="65"/>
      <c r="AAZ115" s="65"/>
      <c r="ABA115" s="65"/>
      <c r="ABB115" s="65"/>
      <c r="ABC115" s="65"/>
      <c r="ABD115" s="65"/>
      <c r="ABE115" s="65"/>
      <c r="ABF115" s="65"/>
      <c r="ABG115" s="65"/>
      <c r="ABH115" s="65"/>
      <c r="ABI115" s="65"/>
      <c r="ABJ115" s="65"/>
      <c r="ABK115" s="65"/>
      <c r="ABL115" s="65"/>
      <c r="ABM115" s="65"/>
      <c r="ABN115" s="65"/>
      <c r="ABO115" s="65"/>
      <c r="ABP115" s="65"/>
      <c r="ABQ115" s="65"/>
      <c r="ABR115" s="65"/>
      <c r="ABS115" s="65"/>
      <c r="ABT115" s="65"/>
      <c r="ABU115" s="65"/>
      <c r="ABV115" s="65"/>
      <c r="ABW115" s="65"/>
      <c r="ABX115" s="65"/>
      <c r="ABY115" s="65"/>
      <c r="ABZ115" s="65"/>
      <c r="ACA115" s="65"/>
      <c r="ACB115" s="65"/>
      <c r="ACC115" s="65"/>
      <c r="ACD115" s="65"/>
      <c r="ACE115" s="65"/>
      <c r="ACF115" s="65"/>
      <c r="ACG115" s="65"/>
      <c r="ACH115" s="65"/>
      <c r="ACI115" s="65"/>
      <c r="ACJ115" s="65"/>
      <c r="ACK115" s="65"/>
      <c r="ACL115" s="65"/>
      <c r="ACM115" s="65"/>
      <c r="ACN115" s="65"/>
      <c r="ACO115" s="65"/>
      <c r="ACP115" s="65"/>
      <c r="ACQ115" s="65"/>
      <c r="ACR115" s="65"/>
      <c r="ACS115" s="65"/>
      <c r="ACT115" s="65"/>
      <c r="ACU115" s="65"/>
      <c r="ACV115" s="65"/>
      <c r="ACW115" s="65"/>
      <c r="ACX115" s="65"/>
      <c r="ACY115" s="65"/>
      <c r="ACZ115" s="65"/>
      <c r="ADA115" s="65"/>
      <c r="ADB115" s="65"/>
      <c r="ADC115" s="65"/>
      <c r="ADD115" s="65"/>
      <c r="ADE115" s="65"/>
      <c r="ADF115" s="65"/>
      <c r="ADG115" s="65"/>
      <c r="ADH115" s="65"/>
      <c r="ADI115" s="65"/>
      <c r="ADJ115" s="65"/>
      <c r="ADK115" s="65"/>
      <c r="ADL115" s="65"/>
      <c r="ADM115" s="65"/>
      <c r="ADN115" s="65"/>
      <c r="ADO115" s="65"/>
      <c r="ADP115" s="65"/>
      <c r="ADQ115" s="65"/>
      <c r="ADR115" s="65"/>
      <c r="ADS115" s="65"/>
      <c r="ADT115" s="65"/>
      <c r="ADU115" s="65"/>
      <c r="ADV115" s="65"/>
      <c r="ADW115" s="65"/>
      <c r="ADX115" s="65"/>
      <c r="ADY115" s="65"/>
      <c r="ADZ115" s="65"/>
      <c r="AEA115" s="65"/>
      <c r="AEB115" s="65"/>
      <c r="AEC115" s="65"/>
      <c r="AED115" s="65"/>
      <c r="AEE115" s="65"/>
      <c r="AEF115" s="65"/>
      <c r="AEG115" s="65"/>
      <c r="AEH115" s="65"/>
      <c r="AEI115" s="65"/>
      <c r="AEJ115" s="65"/>
      <c r="AEK115" s="65"/>
      <c r="AEL115" s="65"/>
      <c r="AEM115" s="65"/>
      <c r="AEN115" s="65"/>
      <c r="AEO115" s="65"/>
      <c r="AEP115" s="65"/>
      <c r="AEQ115" s="65"/>
      <c r="AER115" s="65"/>
      <c r="AES115" s="65"/>
      <c r="AET115" s="65"/>
      <c r="AEU115" s="65"/>
      <c r="AEV115" s="65"/>
      <c r="AEW115" s="65"/>
      <c r="AEX115" s="65"/>
      <c r="AEY115" s="65"/>
      <c r="AEZ115" s="65"/>
      <c r="AFA115" s="65"/>
      <c r="AFB115" s="65"/>
      <c r="AFC115" s="65"/>
      <c r="AFD115" s="65"/>
      <c r="AFE115" s="65"/>
      <c r="AFF115" s="65"/>
      <c r="AFG115" s="65"/>
      <c r="AFH115" s="65"/>
      <c r="AFI115" s="65"/>
      <c r="AFJ115" s="65"/>
      <c r="AFK115" s="65"/>
      <c r="AFL115" s="65"/>
      <c r="AFM115" s="65"/>
      <c r="AFN115" s="65"/>
      <c r="AFO115" s="65"/>
      <c r="AFP115" s="65"/>
      <c r="AFQ115" s="65"/>
      <c r="AFR115" s="65"/>
      <c r="AFS115" s="65"/>
      <c r="AFT115" s="65"/>
      <c r="AFU115" s="65"/>
      <c r="AFV115" s="65"/>
      <c r="AFW115" s="65"/>
      <c r="AFX115" s="65"/>
      <c r="AFY115" s="65"/>
      <c r="AFZ115" s="65"/>
      <c r="AGA115" s="65"/>
      <c r="AGB115" s="65"/>
      <c r="AGC115" s="65"/>
      <c r="AGD115" s="65"/>
      <c r="AGE115" s="65"/>
      <c r="AGF115" s="65"/>
      <c r="AGG115" s="65"/>
      <c r="AGH115" s="65"/>
      <c r="AGI115" s="65"/>
      <c r="AGJ115" s="65"/>
      <c r="AGK115" s="65"/>
      <c r="AGL115" s="65"/>
      <c r="AGM115" s="65"/>
      <c r="AGN115" s="65"/>
      <c r="AGO115" s="65"/>
      <c r="AGP115" s="65"/>
      <c r="AGQ115" s="65"/>
      <c r="AGR115" s="65"/>
      <c r="AGS115" s="65"/>
      <c r="AGT115" s="65"/>
      <c r="AGU115" s="65"/>
      <c r="AGV115" s="65"/>
      <c r="AGW115" s="65"/>
      <c r="AGX115" s="65"/>
      <c r="AGY115" s="65"/>
      <c r="AGZ115" s="65"/>
      <c r="AHA115" s="65"/>
      <c r="AHB115" s="65"/>
      <c r="AHC115" s="65"/>
      <c r="AHD115" s="65"/>
      <c r="AHE115" s="65"/>
      <c r="AHF115" s="65"/>
      <c r="AHG115" s="65"/>
      <c r="AHH115" s="65"/>
      <c r="AHI115" s="65"/>
      <c r="AHJ115" s="65"/>
      <c r="AHK115" s="65"/>
      <c r="AHL115" s="65"/>
      <c r="AHM115" s="65"/>
      <c r="AHN115" s="65"/>
      <c r="AHO115" s="65"/>
      <c r="AHP115" s="65"/>
      <c r="AHQ115" s="65"/>
      <c r="AHR115" s="65"/>
      <c r="AHS115" s="65"/>
      <c r="AHT115" s="65"/>
      <c r="AHU115" s="65"/>
      <c r="AHV115" s="65"/>
      <c r="AHW115" s="65"/>
      <c r="AHX115" s="65"/>
      <c r="AHY115" s="65"/>
      <c r="AHZ115" s="65"/>
      <c r="AIA115" s="65"/>
      <c r="AIB115" s="65"/>
      <c r="AIC115" s="65"/>
      <c r="AID115" s="65"/>
      <c r="AIE115" s="65"/>
      <c r="AIF115" s="65"/>
      <c r="AIG115" s="65"/>
      <c r="AIH115" s="65"/>
      <c r="AII115" s="65"/>
      <c r="AIJ115" s="65"/>
      <c r="AIK115" s="65"/>
      <c r="AIL115" s="65"/>
      <c r="AIM115" s="65"/>
      <c r="AIN115" s="65"/>
      <c r="AIO115" s="65"/>
      <c r="AIP115" s="65"/>
      <c r="AIQ115" s="65"/>
      <c r="AIR115" s="65"/>
      <c r="AIS115" s="65"/>
      <c r="AIT115" s="65"/>
      <c r="AIU115" s="65"/>
      <c r="AIV115" s="65"/>
      <c r="AIW115" s="65"/>
      <c r="AIX115" s="65"/>
      <c r="AIY115" s="65"/>
      <c r="AIZ115" s="65"/>
      <c r="AJA115" s="65"/>
      <c r="AJB115" s="65"/>
      <c r="AJC115" s="65"/>
      <c r="AJD115" s="65"/>
      <c r="AJE115" s="65"/>
      <c r="AJF115" s="65"/>
      <c r="AJG115" s="65"/>
      <c r="AJH115" s="65"/>
      <c r="AJI115" s="65"/>
      <c r="AJJ115" s="65"/>
      <c r="AJK115" s="65"/>
      <c r="AJL115" s="65"/>
      <c r="AJM115" s="65"/>
      <c r="AJN115" s="65"/>
      <c r="AJO115" s="65"/>
      <c r="AJP115" s="65"/>
      <c r="AJQ115" s="65"/>
      <c r="AJR115" s="65"/>
      <c r="AJS115" s="65"/>
      <c r="AJT115" s="65"/>
      <c r="AJU115" s="65"/>
      <c r="AJV115" s="65"/>
      <c r="AJW115" s="65"/>
      <c r="AJX115" s="65"/>
      <c r="AJY115" s="65"/>
      <c r="AJZ115" s="65"/>
      <c r="AKA115" s="65"/>
      <c r="AKB115" s="65"/>
      <c r="AKC115" s="65"/>
      <c r="AKD115" s="65"/>
      <c r="AKE115" s="65"/>
      <c r="AKF115" s="65"/>
      <c r="AKG115" s="65"/>
      <c r="AKH115" s="65"/>
      <c r="AKI115" s="65"/>
      <c r="AKJ115" s="65"/>
      <c r="AKK115" s="65"/>
      <c r="AKL115" s="65"/>
      <c r="AKM115" s="65"/>
      <c r="AKN115" s="65"/>
      <c r="AKO115" s="65"/>
      <c r="AKP115" s="65"/>
      <c r="AKQ115" s="65"/>
      <c r="AKR115" s="65"/>
      <c r="AKS115" s="65"/>
      <c r="AKT115" s="65"/>
      <c r="AKU115" s="65"/>
      <c r="AKV115" s="65"/>
      <c r="AKW115" s="65"/>
      <c r="AKX115" s="65"/>
      <c r="AKY115" s="65"/>
      <c r="AKZ115" s="65"/>
      <c r="ALA115" s="65"/>
      <c r="ALB115" s="65"/>
      <c r="ALC115" s="65"/>
      <c r="ALD115" s="65"/>
      <c r="ALE115" s="65"/>
      <c r="ALF115" s="65"/>
      <c r="ALG115" s="65"/>
      <c r="ALH115" s="65"/>
      <c r="ALI115" s="65"/>
      <c r="ALJ115" s="65"/>
      <c r="ALK115" s="65"/>
      <c r="ALL115" s="65"/>
      <c r="ALM115" s="65"/>
      <c r="ALN115" s="65"/>
      <c r="ALO115" s="65"/>
      <c r="ALP115" s="65"/>
      <c r="ALQ115" s="65"/>
      <c r="ALR115" s="65"/>
      <c r="ALS115" s="65"/>
      <c r="ALT115" s="65"/>
      <c r="ALU115" s="65"/>
      <c r="ALV115" s="65"/>
      <c r="ALW115" s="65"/>
      <c r="ALX115" s="65"/>
      <c r="ALY115" s="65"/>
      <c r="ALZ115" s="65"/>
      <c r="AMA115" s="65"/>
      <c r="AMB115" s="65"/>
      <c r="AMC115" s="65"/>
      <c r="AMD115" s="65"/>
      <c r="AME115" s="65"/>
      <c r="AMF115" s="65"/>
      <c r="AMG115" s="65"/>
      <c r="AMH115" s="65"/>
      <c r="AMI115" s="65"/>
      <c r="AMJ115" s="65"/>
    </row>
    <row r="116" spans="12:1024" ht="16" customHeight="1" x14ac:dyDescent="0.25">
      <c r="L116" s="65"/>
      <c r="M116" s="66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  <c r="QI116" s="65"/>
      <c r="QJ116" s="65"/>
      <c r="QK116" s="65"/>
      <c r="QL116" s="65"/>
      <c r="QM116" s="65"/>
      <c r="QN116" s="65"/>
      <c r="QO116" s="65"/>
      <c r="QP116" s="65"/>
      <c r="QQ116" s="65"/>
      <c r="QR116" s="65"/>
      <c r="QS116" s="65"/>
      <c r="QT116" s="65"/>
      <c r="QU116" s="65"/>
      <c r="QV116" s="65"/>
      <c r="QW116" s="65"/>
      <c r="QX116" s="65"/>
      <c r="QY116" s="65"/>
      <c r="QZ116" s="65"/>
      <c r="RA116" s="65"/>
      <c r="RB116" s="65"/>
      <c r="RC116" s="65"/>
      <c r="RD116" s="65"/>
      <c r="RE116" s="65"/>
      <c r="RF116" s="65"/>
      <c r="RG116" s="65"/>
      <c r="RH116" s="65"/>
      <c r="RI116" s="65"/>
      <c r="RJ116" s="65"/>
      <c r="RK116" s="65"/>
      <c r="RL116" s="65"/>
      <c r="RM116" s="65"/>
      <c r="RN116" s="65"/>
      <c r="RO116" s="65"/>
      <c r="RP116" s="65"/>
      <c r="RQ116" s="65"/>
      <c r="RR116" s="65"/>
      <c r="RS116" s="65"/>
      <c r="RT116" s="65"/>
      <c r="RU116" s="65"/>
      <c r="RV116" s="65"/>
      <c r="RW116" s="65"/>
      <c r="RX116" s="65"/>
      <c r="RY116" s="65"/>
      <c r="RZ116" s="65"/>
      <c r="SA116" s="65"/>
      <c r="SB116" s="65"/>
      <c r="SC116" s="65"/>
      <c r="SD116" s="65"/>
      <c r="SE116" s="65"/>
      <c r="SF116" s="65"/>
      <c r="SG116" s="65"/>
      <c r="SH116" s="65"/>
      <c r="SI116" s="65"/>
      <c r="SJ116" s="65"/>
      <c r="SK116" s="65"/>
      <c r="SL116" s="65"/>
      <c r="SM116" s="65"/>
      <c r="SN116" s="65"/>
      <c r="SO116" s="65"/>
      <c r="SP116" s="65"/>
      <c r="SQ116" s="65"/>
      <c r="SR116" s="65"/>
      <c r="SS116" s="65"/>
      <c r="ST116" s="65"/>
      <c r="SU116" s="65"/>
      <c r="SV116" s="65"/>
      <c r="SW116" s="65"/>
      <c r="SX116" s="65"/>
      <c r="SY116" s="65"/>
      <c r="SZ116" s="65"/>
      <c r="TA116" s="65"/>
      <c r="TB116" s="65"/>
      <c r="TC116" s="65"/>
      <c r="TD116" s="65"/>
      <c r="TE116" s="65"/>
      <c r="TF116" s="65"/>
      <c r="TG116" s="65"/>
      <c r="TH116" s="65"/>
      <c r="TI116" s="65"/>
      <c r="TJ116" s="65"/>
      <c r="TK116" s="65"/>
      <c r="TL116" s="65"/>
      <c r="TM116" s="65"/>
      <c r="TN116" s="65"/>
      <c r="TO116" s="65"/>
      <c r="TP116" s="65"/>
      <c r="TQ116" s="65"/>
      <c r="TR116" s="65"/>
      <c r="TS116" s="65"/>
      <c r="TT116" s="65"/>
      <c r="TU116" s="65"/>
      <c r="TV116" s="65"/>
      <c r="TW116" s="65"/>
      <c r="TX116" s="65"/>
      <c r="TY116" s="65"/>
      <c r="TZ116" s="65"/>
      <c r="UA116" s="65"/>
      <c r="UB116" s="65"/>
      <c r="UC116" s="65"/>
      <c r="UD116" s="65"/>
      <c r="UE116" s="65"/>
      <c r="UF116" s="65"/>
      <c r="UG116" s="65"/>
      <c r="UH116" s="65"/>
      <c r="UI116" s="65"/>
      <c r="UJ116" s="65"/>
      <c r="UK116" s="65"/>
      <c r="UL116" s="65"/>
      <c r="UM116" s="65"/>
      <c r="UN116" s="65"/>
      <c r="UO116" s="65"/>
      <c r="UP116" s="65"/>
      <c r="UQ116" s="65"/>
      <c r="UR116" s="65"/>
      <c r="US116" s="65"/>
      <c r="UT116" s="65"/>
      <c r="UU116" s="65"/>
      <c r="UV116" s="65"/>
      <c r="UW116" s="65"/>
      <c r="UX116" s="65"/>
      <c r="UY116" s="65"/>
      <c r="UZ116" s="65"/>
      <c r="VA116" s="65"/>
      <c r="VB116" s="65"/>
      <c r="VC116" s="65"/>
      <c r="VD116" s="65"/>
      <c r="VE116" s="65"/>
      <c r="VF116" s="65"/>
      <c r="VG116" s="65"/>
      <c r="VH116" s="65"/>
      <c r="VI116" s="65"/>
      <c r="VJ116" s="65"/>
      <c r="VK116" s="65"/>
      <c r="VL116" s="65"/>
      <c r="VM116" s="65"/>
      <c r="VN116" s="65"/>
      <c r="VO116" s="65"/>
      <c r="VP116" s="65"/>
      <c r="VQ116" s="65"/>
      <c r="VR116" s="65"/>
      <c r="VS116" s="65"/>
      <c r="VT116" s="65"/>
      <c r="VU116" s="65"/>
      <c r="VV116" s="65"/>
      <c r="VW116" s="65"/>
      <c r="VX116" s="65"/>
      <c r="VY116" s="65"/>
      <c r="VZ116" s="65"/>
      <c r="WA116" s="65"/>
      <c r="WB116" s="65"/>
      <c r="WC116" s="65"/>
      <c r="WD116" s="65"/>
      <c r="WE116" s="65"/>
      <c r="WF116" s="65"/>
      <c r="WG116" s="65"/>
      <c r="WH116" s="65"/>
      <c r="WI116" s="65"/>
      <c r="WJ116" s="65"/>
      <c r="WK116" s="65"/>
      <c r="WL116" s="65"/>
      <c r="WM116" s="65"/>
      <c r="WN116" s="65"/>
      <c r="WO116" s="65"/>
      <c r="WP116" s="65"/>
      <c r="WQ116" s="65"/>
      <c r="WR116" s="65"/>
      <c r="WS116" s="65"/>
      <c r="WT116" s="65"/>
      <c r="WU116" s="65"/>
      <c r="WV116" s="65"/>
      <c r="WW116" s="65"/>
      <c r="WX116" s="65"/>
      <c r="WY116" s="65"/>
      <c r="WZ116" s="65"/>
      <c r="XA116" s="65"/>
      <c r="XB116" s="65"/>
      <c r="XC116" s="65"/>
      <c r="XD116" s="65"/>
      <c r="XE116" s="65"/>
      <c r="XF116" s="65"/>
      <c r="XG116" s="65"/>
      <c r="XH116" s="65"/>
      <c r="XI116" s="65"/>
      <c r="XJ116" s="65"/>
      <c r="XK116" s="65"/>
      <c r="XL116" s="65"/>
      <c r="XM116" s="65"/>
      <c r="XN116" s="65"/>
      <c r="XO116" s="65"/>
      <c r="XP116" s="65"/>
      <c r="XQ116" s="65"/>
      <c r="XR116" s="65"/>
      <c r="XS116" s="65"/>
      <c r="XT116" s="65"/>
      <c r="XU116" s="65"/>
      <c r="XV116" s="65"/>
      <c r="XW116" s="65"/>
      <c r="XX116" s="65"/>
      <c r="XY116" s="65"/>
      <c r="XZ116" s="65"/>
      <c r="YA116" s="65"/>
      <c r="YB116" s="65"/>
      <c r="YC116" s="65"/>
      <c r="YD116" s="65"/>
      <c r="YE116" s="65"/>
      <c r="YF116" s="65"/>
      <c r="YG116" s="65"/>
      <c r="YH116" s="65"/>
      <c r="YI116" s="65"/>
      <c r="YJ116" s="65"/>
      <c r="YK116" s="65"/>
      <c r="YL116" s="65"/>
      <c r="YM116" s="65"/>
      <c r="YN116" s="65"/>
      <c r="YO116" s="65"/>
      <c r="YP116" s="65"/>
      <c r="YQ116" s="65"/>
      <c r="YR116" s="65"/>
      <c r="YS116" s="65"/>
      <c r="YT116" s="65"/>
      <c r="YU116" s="65"/>
      <c r="YV116" s="65"/>
      <c r="YW116" s="65"/>
      <c r="YX116" s="65"/>
      <c r="YY116" s="65"/>
      <c r="YZ116" s="65"/>
      <c r="ZA116" s="65"/>
      <c r="ZB116" s="65"/>
      <c r="ZC116" s="65"/>
      <c r="ZD116" s="65"/>
      <c r="ZE116" s="65"/>
      <c r="ZF116" s="65"/>
      <c r="ZG116" s="65"/>
      <c r="ZH116" s="65"/>
      <c r="ZI116" s="65"/>
      <c r="ZJ116" s="65"/>
      <c r="ZK116" s="65"/>
      <c r="ZL116" s="65"/>
      <c r="ZM116" s="65"/>
      <c r="ZN116" s="65"/>
      <c r="ZO116" s="65"/>
      <c r="ZP116" s="65"/>
      <c r="ZQ116" s="65"/>
      <c r="ZR116" s="65"/>
      <c r="ZS116" s="65"/>
      <c r="ZT116" s="65"/>
      <c r="ZU116" s="65"/>
      <c r="ZV116" s="65"/>
      <c r="ZW116" s="65"/>
      <c r="ZX116" s="65"/>
      <c r="ZY116" s="65"/>
      <c r="ZZ116" s="65"/>
      <c r="AAA116" s="65"/>
      <c r="AAB116" s="65"/>
      <c r="AAC116" s="65"/>
      <c r="AAD116" s="65"/>
      <c r="AAE116" s="65"/>
      <c r="AAF116" s="65"/>
      <c r="AAG116" s="65"/>
      <c r="AAH116" s="65"/>
      <c r="AAI116" s="65"/>
      <c r="AAJ116" s="65"/>
      <c r="AAK116" s="65"/>
      <c r="AAL116" s="65"/>
      <c r="AAM116" s="65"/>
      <c r="AAN116" s="65"/>
      <c r="AAO116" s="65"/>
      <c r="AAP116" s="65"/>
      <c r="AAQ116" s="65"/>
      <c r="AAR116" s="65"/>
      <c r="AAS116" s="65"/>
      <c r="AAT116" s="65"/>
      <c r="AAU116" s="65"/>
      <c r="AAV116" s="65"/>
      <c r="AAW116" s="65"/>
      <c r="AAX116" s="65"/>
      <c r="AAY116" s="65"/>
      <c r="AAZ116" s="65"/>
      <c r="ABA116" s="65"/>
      <c r="ABB116" s="65"/>
      <c r="ABC116" s="65"/>
      <c r="ABD116" s="65"/>
      <c r="ABE116" s="65"/>
      <c r="ABF116" s="65"/>
      <c r="ABG116" s="65"/>
      <c r="ABH116" s="65"/>
      <c r="ABI116" s="65"/>
      <c r="ABJ116" s="65"/>
      <c r="ABK116" s="65"/>
      <c r="ABL116" s="65"/>
      <c r="ABM116" s="65"/>
      <c r="ABN116" s="65"/>
      <c r="ABO116" s="65"/>
      <c r="ABP116" s="65"/>
      <c r="ABQ116" s="65"/>
      <c r="ABR116" s="65"/>
      <c r="ABS116" s="65"/>
      <c r="ABT116" s="65"/>
      <c r="ABU116" s="65"/>
      <c r="ABV116" s="65"/>
      <c r="ABW116" s="65"/>
      <c r="ABX116" s="65"/>
      <c r="ABY116" s="65"/>
      <c r="ABZ116" s="65"/>
      <c r="ACA116" s="65"/>
      <c r="ACB116" s="65"/>
      <c r="ACC116" s="65"/>
      <c r="ACD116" s="65"/>
      <c r="ACE116" s="65"/>
      <c r="ACF116" s="65"/>
      <c r="ACG116" s="65"/>
      <c r="ACH116" s="65"/>
      <c r="ACI116" s="65"/>
      <c r="ACJ116" s="65"/>
      <c r="ACK116" s="65"/>
      <c r="ACL116" s="65"/>
      <c r="ACM116" s="65"/>
      <c r="ACN116" s="65"/>
      <c r="ACO116" s="65"/>
      <c r="ACP116" s="65"/>
      <c r="ACQ116" s="65"/>
      <c r="ACR116" s="65"/>
      <c r="ACS116" s="65"/>
      <c r="ACT116" s="65"/>
      <c r="ACU116" s="65"/>
      <c r="ACV116" s="65"/>
      <c r="ACW116" s="65"/>
      <c r="ACX116" s="65"/>
      <c r="ACY116" s="65"/>
      <c r="ACZ116" s="65"/>
      <c r="ADA116" s="65"/>
      <c r="ADB116" s="65"/>
      <c r="ADC116" s="65"/>
      <c r="ADD116" s="65"/>
      <c r="ADE116" s="65"/>
      <c r="ADF116" s="65"/>
      <c r="ADG116" s="65"/>
      <c r="ADH116" s="65"/>
      <c r="ADI116" s="65"/>
      <c r="ADJ116" s="65"/>
      <c r="ADK116" s="65"/>
      <c r="ADL116" s="65"/>
      <c r="ADM116" s="65"/>
      <c r="ADN116" s="65"/>
      <c r="ADO116" s="65"/>
      <c r="ADP116" s="65"/>
      <c r="ADQ116" s="65"/>
      <c r="ADR116" s="65"/>
      <c r="ADS116" s="65"/>
      <c r="ADT116" s="65"/>
      <c r="ADU116" s="65"/>
      <c r="ADV116" s="65"/>
      <c r="ADW116" s="65"/>
      <c r="ADX116" s="65"/>
      <c r="ADY116" s="65"/>
      <c r="ADZ116" s="65"/>
      <c r="AEA116" s="65"/>
      <c r="AEB116" s="65"/>
      <c r="AEC116" s="65"/>
      <c r="AED116" s="65"/>
      <c r="AEE116" s="65"/>
      <c r="AEF116" s="65"/>
      <c r="AEG116" s="65"/>
      <c r="AEH116" s="65"/>
      <c r="AEI116" s="65"/>
      <c r="AEJ116" s="65"/>
      <c r="AEK116" s="65"/>
      <c r="AEL116" s="65"/>
      <c r="AEM116" s="65"/>
      <c r="AEN116" s="65"/>
      <c r="AEO116" s="65"/>
      <c r="AEP116" s="65"/>
      <c r="AEQ116" s="65"/>
      <c r="AER116" s="65"/>
      <c r="AES116" s="65"/>
      <c r="AET116" s="65"/>
      <c r="AEU116" s="65"/>
      <c r="AEV116" s="65"/>
      <c r="AEW116" s="65"/>
      <c r="AEX116" s="65"/>
      <c r="AEY116" s="65"/>
      <c r="AEZ116" s="65"/>
      <c r="AFA116" s="65"/>
      <c r="AFB116" s="65"/>
      <c r="AFC116" s="65"/>
      <c r="AFD116" s="65"/>
      <c r="AFE116" s="65"/>
      <c r="AFF116" s="65"/>
      <c r="AFG116" s="65"/>
      <c r="AFH116" s="65"/>
      <c r="AFI116" s="65"/>
      <c r="AFJ116" s="65"/>
      <c r="AFK116" s="65"/>
      <c r="AFL116" s="65"/>
      <c r="AFM116" s="65"/>
      <c r="AFN116" s="65"/>
      <c r="AFO116" s="65"/>
      <c r="AFP116" s="65"/>
      <c r="AFQ116" s="65"/>
      <c r="AFR116" s="65"/>
      <c r="AFS116" s="65"/>
      <c r="AFT116" s="65"/>
      <c r="AFU116" s="65"/>
      <c r="AFV116" s="65"/>
      <c r="AFW116" s="65"/>
      <c r="AFX116" s="65"/>
      <c r="AFY116" s="65"/>
      <c r="AFZ116" s="65"/>
      <c r="AGA116" s="65"/>
      <c r="AGB116" s="65"/>
      <c r="AGC116" s="65"/>
      <c r="AGD116" s="65"/>
      <c r="AGE116" s="65"/>
      <c r="AGF116" s="65"/>
      <c r="AGG116" s="65"/>
      <c r="AGH116" s="65"/>
      <c r="AGI116" s="65"/>
      <c r="AGJ116" s="65"/>
      <c r="AGK116" s="65"/>
      <c r="AGL116" s="65"/>
      <c r="AGM116" s="65"/>
      <c r="AGN116" s="65"/>
      <c r="AGO116" s="65"/>
      <c r="AGP116" s="65"/>
      <c r="AGQ116" s="65"/>
      <c r="AGR116" s="65"/>
      <c r="AGS116" s="65"/>
      <c r="AGT116" s="65"/>
      <c r="AGU116" s="65"/>
      <c r="AGV116" s="65"/>
      <c r="AGW116" s="65"/>
      <c r="AGX116" s="65"/>
      <c r="AGY116" s="65"/>
      <c r="AGZ116" s="65"/>
      <c r="AHA116" s="65"/>
      <c r="AHB116" s="65"/>
      <c r="AHC116" s="65"/>
      <c r="AHD116" s="65"/>
      <c r="AHE116" s="65"/>
      <c r="AHF116" s="65"/>
      <c r="AHG116" s="65"/>
      <c r="AHH116" s="65"/>
      <c r="AHI116" s="65"/>
      <c r="AHJ116" s="65"/>
      <c r="AHK116" s="65"/>
      <c r="AHL116" s="65"/>
      <c r="AHM116" s="65"/>
      <c r="AHN116" s="65"/>
      <c r="AHO116" s="65"/>
      <c r="AHP116" s="65"/>
      <c r="AHQ116" s="65"/>
      <c r="AHR116" s="65"/>
      <c r="AHS116" s="65"/>
      <c r="AHT116" s="65"/>
      <c r="AHU116" s="65"/>
      <c r="AHV116" s="65"/>
      <c r="AHW116" s="65"/>
      <c r="AHX116" s="65"/>
      <c r="AHY116" s="65"/>
      <c r="AHZ116" s="65"/>
      <c r="AIA116" s="65"/>
      <c r="AIB116" s="65"/>
      <c r="AIC116" s="65"/>
      <c r="AID116" s="65"/>
      <c r="AIE116" s="65"/>
      <c r="AIF116" s="65"/>
      <c r="AIG116" s="65"/>
      <c r="AIH116" s="65"/>
      <c r="AII116" s="65"/>
      <c r="AIJ116" s="65"/>
      <c r="AIK116" s="65"/>
      <c r="AIL116" s="65"/>
      <c r="AIM116" s="65"/>
      <c r="AIN116" s="65"/>
      <c r="AIO116" s="65"/>
      <c r="AIP116" s="65"/>
      <c r="AIQ116" s="65"/>
      <c r="AIR116" s="65"/>
      <c r="AIS116" s="65"/>
      <c r="AIT116" s="65"/>
      <c r="AIU116" s="65"/>
      <c r="AIV116" s="65"/>
      <c r="AIW116" s="65"/>
      <c r="AIX116" s="65"/>
      <c r="AIY116" s="65"/>
      <c r="AIZ116" s="65"/>
      <c r="AJA116" s="65"/>
      <c r="AJB116" s="65"/>
      <c r="AJC116" s="65"/>
      <c r="AJD116" s="65"/>
      <c r="AJE116" s="65"/>
      <c r="AJF116" s="65"/>
      <c r="AJG116" s="65"/>
      <c r="AJH116" s="65"/>
      <c r="AJI116" s="65"/>
      <c r="AJJ116" s="65"/>
      <c r="AJK116" s="65"/>
      <c r="AJL116" s="65"/>
      <c r="AJM116" s="65"/>
      <c r="AJN116" s="65"/>
      <c r="AJO116" s="65"/>
      <c r="AJP116" s="65"/>
      <c r="AJQ116" s="65"/>
      <c r="AJR116" s="65"/>
      <c r="AJS116" s="65"/>
      <c r="AJT116" s="65"/>
      <c r="AJU116" s="65"/>
      <c r="AJV116" s="65"/>
      <c r="AJW116" s="65"/>
      <c r="AJX116" s="65"/>
      <c r="AJY116" s="65"/>
      <c r="AJZ116" s="65"/>
      <c r="AKA116" s="65"/>
      <c r="AKB116" s="65"/>
      <c r="AKC116" s="65"/>
      <c r="AKD116" s="65"/>
      <c r="AKE116" s="65"/>
      <c r="AKF116" s="65"/>
      <c r="AKG116" s="65"/>
      <c r="AKH116" s="65"/>
      <c r="AKI116" s="65"/>
      <c r="AKJ116" s="65"/>
      <c r="AKK116" s="65"/>
      <c r="AKL116" s="65"/>
      <c r="AKM116" s="65"/>
      <c r="AKN116" s="65"/>
      <c r="AKO116" s="65"/>
      <c r="AKP116" s="65"/>
      <c r="AKQ116" s="65"/>
      <c r="AKR116" s="65"/>
      <c r="AKS116" s="65"/>
      <c r="AKT116" s="65"/>
      <c r="AKU116" s="65"/>
      <c r="AKV116" s="65"/>
      <c r="AKW116" s="65"/>
      <c r="AKX116" s="65"/>
      <c r="AKY116" s="65"/>
      <c r="AKZ116" s="65"/>
      <c r="ALA116" s="65"/>
      <c r="ALB116" s="65"/>
      <c r="ALC116" s="65"/>
      <c r="ALD116" s="65"/>
      <c r="ALE116" s="65"/>
      <c r="ALF116" s="65"/>
      <c r="ALG116" s="65"/>
      <c r="ALH116" s="65"/>
      <c r="ALI116" s="65"/>
      <c r="ALJ116" s="65"/>
      <c r="ALK116" s="65"/>
      <c r="ALL116" s="65"/>
      <c r="ALM116" s="65"/>
      <c r="ALN116" s="65"/>
      <c r="ALO116" s="65"/>
      <c r="ALP116" s="65"/>
      <c r="ALQ116" s="65"/>
      <c r="ALR116" s="65"/>
      <c r="ALS116" s="65"/>
      <c r="ALT116" s="65"/>
      <c r="ALU116" s="65"/>
      <c r="ALV116" s="65"/>
      <c r="ALW116" s="65"/>
      <c r="ALX116" s="65"/>
      <c r="ALY116" s="65"/>
      <c r="ALZ116" s="65"/>
      <c r="AMA116" s="65"/>
      <c r="AMB116" s="65"/>
      <c r="AMC116" s="65"/>
      <c r="AMD116" s="65"/>
      <c r="AME116" s="65"/>
      <c r="AMF116" s="65"/>
      <c r="AMG116" s="65"/>
      <c r="AMH116" s="65"/>
      <c r="AMI116" s="65"/>
      <c r="AMJ116" s="65"/>
    </row>
    <row r="117" spans="12:1024" ht="16" customHeight="1" x14ac:dyDescent="0.25">
      <c r="L117" s="65"/>
      <c r="M117" s="66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  <c r="QI117" s="65"/>
      <c r="QJ117" s="65"/>
      <c r="QK117" s="65"/>
      <c r="QL117" s="65"/>
      <c r="QM117" s="65"/>
      <c r="QN117" s="65"/>
      <c r="QO117" s="65"/>
      <c r="QP117" s="65"/>
      <c r="QQ117" s="65"/>
      <c r="QR117" s="65"/>
      <c r="QS117" s="65"/>
      <c r="QT117" s="65"/>
      <c r="QU117" s="65"/>
      <c r="QV117" s="65"/>
      <c r="QW117" s="65"/>
      <c r="QX117" s="65"/>
      <c r="QY117" s="65"/>
      <c r="QZ117" s="65"/>
      <c r="RA117" s="65"/>
      <c r="RB117" s="65"/>
      <c r="RC117" s="65"/>
      <c r="RD117" s="65"/>
      <c r="RE117" s="65"/>
      <c r="RF117" s="65"/>
      <c r="RG117" s="65"/>
      <c r="RH117" s="65"/>
      <c r="RI117" s="65"/>
      <c r="RJ117" s="65"/>
      <c r="RK117" s="65"/>
      <c r="RL117" s="65"/>
      <c r="RM117" s="65"/>
      <c r="RN117" s="65"/>
      <c r="RO117" s="65"/>
      <c r="RP117" s="65"/>
      <c r="RQ117" s="65"/>
      <c r="RR117" s="65"/>
      <c r="RS117" s="65"/>
      <c r="RT117" s="65"/>
      <c r="RU117" s="65"/>
      <c r="RV117" s="65"/>
      <c r="RW117" s="65"/>
      <c r="RX117" s="65"/>
      <c r="RY117" s="65"/>
      <c r="RZ117" s="65"/>
      <c r="SA117" s="65"/>
      <c r="SB117" s="65"/>
      <c r="SC117" s="65"/>
      <c r="SD117" s="65"/>
      <c r="SE117" s="65"/>
      <c r="SF117" s="65"/>
      <c r="SG117" s="65"/>
      <c r="SH117" s="65"/>
      <c r="SI117" s="65"/>
      <c r="SJ117" s="65"/>
      <c r="SK117" s="65"/>
      <c r="SL117" s="65"/>
      <c r="SM117" s="65"/>
      <c r="SN117" s="65"/>
      <c r="SO117" s="65"/>
      <c r="SP117" s="65"/>
      <c r="SQ117" s="65"/>
      <c r="SR117" s="65"/>
      <c r="SS117" s="65"/>
      <c r="ST117" s="65"/>
      <c r="SU117" s="65"/>
      <c r="SV117" s="65"/>
      <c r="SW117" s="65"/>
      <c r="SX117" s="65"/>
      <c r="SY117" s="65"/>
      <c r="SZ117" s="65"/>
      <c r="TA117" s="65"/>
      <c r="TB117" s="65"/>
      <c r="TC117" s="65"/>
      <c r="TD117" s="65"/>
      <c r="TE117" s="65"/>
      <c r="TF117" s="65"/>
      <c r="TG117" s="65"/>
      <c r="TH117" s="65"/>
      <c r="TI117" s="65"/>
      <c r="TJ117" s="65"/>
      <c r="TK117" s="65"/>
      <c r="TL117" s="65"/>
      <c r="TM117" s="65"/>
      <c r="TN117" s="65"/>
      <c r="TO117" s="65"/>
      <c r="TP117" s="65"/>
      <c r="TQ117" s="65"/>
      <c r="TR117" s="65"/>
      <c r="TS117" s="65"/>
      <c r="TT117" s="65"/>
      <c r="TU117" s="65"/>
      <c r="TV117" s="65"/>
      <c r="TW117" s="65"/>
      <c r="TX117" s="65"/>
      <c r="TY117" s="65"/>
      <c r="TZ117" s="65"/>
      <c r="UA117" s="65"/>
      <c r="UB117" s="65"/>
      <c r="UC117" s="65"/>
      <c r="UD117" s="65"/>
      <c r="UE117" s="65"/>
      <c r="UF117" s="65"/>
      <c r="UG117" s="65"/>
      <c r="UH117" s="65"/>
      <c r="UI117" s="65"/>
      <c r="UJ117" s="65"/>
      <c r="UK117" s="65"/>
      <c r="UL117" s="65"/>
      <c r="UM117" s="65"/>
      <c r="UN117" s="65"/>
      <c r="UO117" s="65"/>
      <c r="UP117" s="65"/>
      <c r="UQ117" s="65"/>
      <c r="UR117" s="65"/>
      <c r="US117" s="65"/>
      <c r="UT117" s="65"/>
      <c r="UU117" s="65"/>
      <c r="UV117" s="65"/>
      <c r="UW117" s="65"/>
      <c r="UX117" s="65"/>
      <c r="UY117" s="65"/>
      <c r="UZ117" s="65"/>
      <c r="VA117" s="65"/>
      <c r="VB117" s="65"/>
      <c r="VC117" s="65"/>
      <c r="VD117" s="65"/>
      <c r="VE117" s="65"/>
      <c r="VF117" s="65"/>
      <c r="VG117" s="65"/>
      <c r="VH117" s="65"/>
      <c r="VI117" s="65"/>
      <c r="VJ117" s="65"/>
      <c r="VK117" s="65"/>
      <c r="VL117" s="65"/>
      <c r="VM117" s="65"/>
      <c r="VN117" s="65"/>
      <c r="VO117" s="65"/>
      <c r="VP117" s="65"/>
      <c r="VQ117" s="65"/>
      <c r="VR117" s="65"/>
      <c r="VS117" s="65"/>
      <c r="VT117" s="65"/>
      <c r="VU117" s="65"/>
      <c r="VV117" s="65"/>
      <c r="VW117" s="65"/>
      <c r="VX117" s="65"/>
      <c r="VY117" s="65"/>
      <c r="VZ117" s="65"/>
      <c r="WA117" s="65"/>
      <c r="WB117" s="65"/>
      <c r="WC117" s="65"/>
      <c r="WD117" s="65"/>
      <c r="WE117" s="65"/>
      <c r="WF117" s="65"/>
      <c r="WG117" s="65"/>
      <c r="WH117" s="65"/>
      <c r="WI117" s="65"/>
      <c r="WJ117" s="65"/>
      <c r="WK117" s="65"/>
      <c r="WL117" s="65"/>
      <c r="WM117" s="65"/>
      <c r="WN117" s="65"/>
      <c r="WO117" s="65"/>
      <c r="WP117" s="65"/>
      <c r="WQ117" s="65"/>
      <c r="WR117" s="65"/>
      <c r="WS117" s="65"/>
      <c r="WT117" s="65"/>
      <c r="WU117" s="65"/>
      <c r="WV117" s="65"/>
      <c r="WW117" s="65"/>
      <c r="WX117" s="65"/>
      <c r="WY117" s="65"/>
      <c r="WZ117" s="65"/>
      <c r="XA117" s="65"/>
      <c r="XB117" s="65"/>
      <c r="XC117" s="65"/>
      <c r="XD117" s="65"/>
      <c r="XE117" s="65"/>
      <c r="XF117" s="65"/>
      <c r="XG117" s="65"/>
      <c r="XH117" s="65"/>
      <c r="XI117" s="65"/>
      <c r="XJ117" s="65"/>
      <c r="XK117" s="65"/>
      <c r="XL117" s="65"/>
      <c r="XM117" s="65"/>
      <c r="XN117" s="65"/>
      <c r="XO117" s="65"/>
      <c r="XP117" s="65"/>
      <c r="XQ117" s="65"/>
      <c r="XR117" s="65"/>
      <c r="XS117" s="65"/>
      <c r="XT117" s="65"/>
      <c r="XU117" s="65"/>
      <c r="XV117" s="65"/>
      <c r="XW117" s="65"/>
      <c r="XX117" s="65"/>
      <c r="XY117" s="65"/>
      <c r="XZ117" s="65"/>
      <c r="YA117" s="65"/>
      <c r="YB117" s="65"/>
      <c r="YC117" s="65"/>
      <c r="YD117" s="65"/>
      <c r="YE117" s="65"/>
      <c r="YF117" s="65"/>
      <c r="YG117" s="65"/>
      <c r="YH117" s="65"/>
      <c r="YI117" s="65"/>
      <c r="YJ117" s="65"/>
      <c r="YK117" s="65"/>
      <c r="YL117" s="65"/>
      <c r="YM117" s="65"/>
      <c r="YN117" s="65"/>
      <c r="YO117" s="65"/>
      <c r="YP117" s="65"/>
      <c r="YQ117" s="65"/>
      <c r="YR117" s="65"/>
      <c r="YS117" s="65"/>
      <c r="YT117" s="65"/>
      <c r="YU117" s="65"/>
      <c r="YV117" s="65"/>
      <c r="YW117" s="65"/>
      <c r="YX117" s="65"/>
      <c r="YY117" s="65"/>
      <c r="YZ117" s="65"/>
      <c r="ZA117" s="65"/>
      <c r="ZB117" s="65"/>
      <c r="ZC117" s="65"/>
      <c r="ZD117" s="65"/>
      <c r="ZE117" s="65"/>
      <c r="ZF117" s="65"/>
      <c r="ZG117" s="65"/>
      <c r="ZH117" s="65"/>
      <c r="ZI117" s="65"/>
      <c r="ZJ117" s="65"/>
      <c r="ZK117" s="65"/>
      <c r="ZL117" s="65"/>
      <c r="ZM117" s="65"/>
      <c r="ZN117" s="65"/>
      <c r="ZO117" s="65"/>
      <c r="ZP117" s="65"/>
      <c r="ZQ117" s="65"/>
      <c r="ZR117" s="65"/>
      <c r="ZS117" s="65"/>
      <c r="ZT117" s="65"/>
      <c r="ZU117" s="65"/>
      <c r="ZV117" s="65"/>
      <c r="ZW117" s="65"/>
      <c r="ZX117" s="65"/>
      <c r="ZY117" s="65"/>
      <c r="ZZ117" s="65"/>
      <c r="AAA117" s="65"/>
      <c r="AAB117" s="65"/>
      <c r="AAC117" s="65"/>
      <c r="AAD117" s="65"/>
      <c r="AAE117" s="65"/>
      <c r="AAF117" s="65"/>
      <c r="AAG117" s="65"/>
      <c r="AAH117" s="65"/>
      <c r="AAI117" s="65"/>
      <c r="AAJ117" s="65"/>
      <c r="AAK117" s="65"/>
      <c r="AAL117" s="65"/>
      <c r="AAM117" s="65"/>
      <c r="AAN117" s="65"/>
      <c r="AAO117" s="65"/>
      <c r="AAP117" s="65"/>
      <c r="AAQ117" s="65"/>
      <c r="AAR117" s="65"/>
      <c r="AAS117" s="65"/>
      <c r="AAT117" s="65"/>
      <c r="AAU117" s="65"/>
      <c r="AAV117" s="65"/>
      <c r="AAW117" s="65"/>
      <c r="AAX117" s="65"/>
      <c r="AAY117" s="65"/>
      <c r="AAZ117" s="65"/>
      <c r="ABA117" s="65"/>
      <c r="ABB117" s="65"/>
      <c r="ABC117" s="65"/>
      <c r="ABD117" s="65"/>
      <c r="ABE117" s="65"/>
      <c r="ABF117" s="65"/>
      <c r="ABG117" s="65"/>
      <c r="ABH117" s="65"/>
      <c r="ABI117" s="65"/>
      <c r="ABJ117" s="65"/>
      <c r="ABK117" s="65"/>
      <c r="ABL117" s="65"/>
      <c r="ABM117" s="65"/>
      <c r="ABN117" s="65"/>
      <c r="ABO117" s="65"/>
      <c r="ABP117" s="65"/>
      <c r="ABQ117" s="65"/>
      <c r="ABR117" s="65"/>
      <c r="ABS117" s="65"/>
      <c r="ABT117" s="65"/>
      <c r="ABU117" s="65"/>
      <c r="ABV117" s="65"/>
      <c r="ABW117" s="65"/>
      <c r="ABX117" s="65"/>
      <c r="ABY117" s="65"/>
      <c r="ABZ117" s="65"/>
      <c r="ACA117" s="65"/>
      <c r="ACB117" s="65"/>
      <c r="ACC117" s="65"/>
      <c r="ACD117" s="65"/>
      <c r="ACE117" s="65"/>
      <c r="ACF117" s="65"/>
      <c r="ACG117" s="65"/>
      <c r="ACH117" s="65"/>
      <c r="ACI117" s="65"/>
      <c r="ACJ117" s="65"/>
      <c r="ACK117" s="65"/>
      <c r="ACL117" s="65"/>
      <c r="ACM117" s="65"/>
      <c r="ACN117" s="65"/>
      <c r="ACO117" s="65"/>
      <c r="ACP117" s="65"/>
      <c r="ACQ117" s="65"/>
      <c r="ACR117" s="65"/>
      <c r="ACS117" s="65"/>
      <c r="ACT117" s="65"/>
      <c r="ACU117" s="65"/>
      <c r="ACV117" s="65"/>
      <c r="ACW117" s="65"/>
      <c r="ACX117" s="65"/>
      <c r="ACY117" s="65"/>
      <c r="ACZ117" s="65"/>
      <c r="ADA117" s="65"/>
      <c r="ADB117" s="65"/>
      <c r="ADC117" s="65"/>
      <c r="ADD117" s="65"/>
      <c r="ADE117" s="65"/>
      <c r="ADF117" s="65"/>
      <c r="ADG117" s="65"/>
      <c r="ADH117" s="65"/>
      <c r="ADI117" s="65"/>
      <c r="ADJ117" s="65"/>
      <c r="ADK117" s="65"/>
      <c r="ADL117" s="65"/>
      <c r="ADM117" s="65"/>
      <c r="ADN117" s="65"/>
      <c r="ADO117" s="65"/>
      <c r="ADP117" s="65"/>
      <c r="ADQ117" s="65"/>
      <c r="ADR117" s="65"/>
      <c r="ADS117" s="65"/>
      <c r="ADT117" s="65"/>
      <c r="ADU117" s="65"/>
      <c r="ADV117" s="65"/>
      <c r="ADW117" s="65"/>
      <c r="ADX117" s="65"/>
      <c r="ADY117" s="65"/>
      <c r="ADZ117" s="65"/>
      <c r="AEA117" s="65"/>
      <c r="AEB117" s="65"/>
      <c r="AEC117" s="65"/>
      <c r="AED117" s="65"/>
      <c r="AEE117" s="65"/>
      <c r="AEF117" s="65"/>
      <c r="AEG117" s="65"/>
      <c r="AEH117" s="65"/>
      <c r="AEI117" s="65"/>
      <c r="AEJ117" s="65"/>
      <c r="AEK117" s="65"/>
      <c r="AEL117" s="65"/>
      <c r="AEM117" s="65"/>
      <c r="AEN117" s="65"/>
      <c r="AEO117" s="65"/>
      <c r="AEP117" s="65"/>
      <c r="AEQ117" s="65"/>
      <c r="AER117" s="65"/>
      <c r="AES117" s="65"/>
      <c r="AET117" s="65"/>
      <c r="AEU117" s="65"/>
      <c r="AEV117" s="65"/>
      <c r="AEW117" s="65"/>
      <c r="AEX117" s="65"/>
      <c r="AEY117" s="65"/>
      <c r="AEZ117" s="65"/>
      <c r="AFA117" s="65"/>
      <c r="AFB117" s="65"/>
      <c r="AFC117" s="65"/>
      <c r="AFD117" s="65"/>
      <c r="AFE117" s="65"/>
      <c r="AFF117" s="65"/>
      <c r="AFG117" s="65"/>
      <c r="AFH117" s="65"/>
      <c r="AFI117" s="65"/>
      <c r="AFJ117" s="65"/>
      <c r="AFK117" s="65"/>
      <c r="AFL117" s="65"/>
      <c r="AFM117" s="65"/>
      <c r="AFN117" s="65"/>
      <c r="AFO117" s="65"/>
      <c r="AFP117" s="65"/>
      <c r="AFQ117" s="65"/>
      <c r="AFR117" s="65"/>
      <c r="AFS117" s="65"/>
      <c r="AFT117" s="65"/>
      <c r="AFU117" s="65"/>
      <c r="AFV117" s="65"/>
      <c r="AFW117" s="65"/>
      <c r="AFX117" s="65"/>
      <c r="AFY117" s="65"/>
      <c r="AFZ117" s="65"/>
      <c r="AGA117" s="65"/>
      <c r="AGB117" s="65"/>
      <c r="AGC117" s="65"/>
      <c r="AGD117" s="65"/>
      <c r="AGE117" s="65"/>
      <c r="AGF117" s="65"/>
      <c r="AGG117" s="65"/>
      <c r="AGH117" s="65"/>
      <c r="AGI117" s="65"/>
      <c r="AGJ117" s="65"/>
      <c r="AGK117" s="65"/>
      <c r="AGL117" s="65"/>
      <c r="AGM117" s="65"/>
      <c r="AGN117" s="65"/>
      <c r="AGO117" s="65"/>
      <c r="AGP117" s="65"/>
      <c r="AGQ117" s="65"/>
      <c r="AGR117" s="65"/>
      <c r="AGS117" s="65"/>
      <c r="AGT117" s="65"/>
      <c r="AGU117" s="65"/>
      <c r="AGV117" s="65"/>
      <c r="AGW117" s="65"/>
      <c r="AGX117" s="65"/>
      <c r="AGY117" s="65"/>
      <c r="AGZ117" s="65"/>
      <c r="AHA117" s="65"/>
      <c r="AHB117" s="65"/>
      <c r="AHC117" s="65"/>
      <c r="AHD117" s="65"/>
      <c r="AHE117" s="65"/>
      <c r="AHF117" s="65"/>
      <c r="AHG117" s="65"/>
      <c r="AHH117" s="65"/>
      <c r="AHI117" s="65"/>
      <c r="AHJ117" s="65"/>
      <c r="AHK117" s="65"/>
      <c r="AHL117" s="65"/>
      <c r="AHM117" s="65"/>
      <c r="AHN117" s="65"/>
      <c r="AHO117" s="65"/>
      <c r="AHP117" s="65"/>
      <c r="AHQ117" s="65"/>
      <c r="AHR117" s="65"/>
      <c r="AHS117" s="65"/>
      <c r="AHT117" s="65"/>
      <c r="AHU117" s="65"/>
      <c r="AHV117" s="65"/>
      <c r="AHW117" s="65"/>
      <c r="AHX117" s="65"/>
      <c r="AHY117" s="65"/>
      <c r="AHZ117" s="65"/>
      <c r="AIA117" s="65"/>
      <c r="AIB117" s="65"/>
      <c r="AIC117" s="65"/>
      <c r="AID117" s="65"/>
      <c r="AIE117" s="65"/>
      <c r="AIF117" s="65"/>
      <c r="AIG117" s="65"/>
      <c r="AIH117" s="65"/>
      <c r="AII117" s="65"/>
      <c r="AIJ117" s="65"/>
      <c r="AIK117" s="65"/>
      <c r="AIL117" s="65"/>
      <c r="AIM117" s="65"/>
      <c r="AIN117" s="65"/>
      <c r="AIO117" s="65"/>
      <c r="AIP117" s="65"/>
      <c r="AIQ117" s="65"/>
      <c r="AIR117" s="65"/>
      <c r="AIS117" s="65"/>
      <c r="AIT117" s="65"/>
      <c r="AIU117" s="65"/>
      <c r="AIV117" s="65"/>
      <c r="AIW117" s="65"/>
      <c r="AIX117" s="65"/>
      <c r="AIY117" s="65"/>
      <c r="AIZ117" s="65"/>
      <c r="AJA117" s="65"/>
      <c r="AJB117" s="65"/>
      <c r="AJC117" s="65"/>
      <c r="AJD117" s="65"/>
      <c r="AJE117" s="65"/>
      <c r="AJF117" s="65"/>
      <c r="AJG117" s="65"/>
      <c r="AJH117" s="65"/>
      <c r="AJI117" s="65"/>
      <c r="AJJ117" s="65"/>
      <c r="AJK117" s="65"/>
      <c r="AJL117" s="65"/>
      <c r="AJM117" s="65"/>
      <c r="AJN117" s="65"/>
      <c r="AJO117" s="65"/>
      <c r="AJP117" s="65"/>
      <c r="AJQ117" s="65"/>
      <c r="AJR117" s="65"/>
      <c r="AJS117" s="65"/>
      <c r="AJT117" s="65"/>
      <c r="AJU117" s="65"/>
      <c r="AJV117" s="65"/>
      <c r="AJW117" s="65"/>
      <c r="AJX117" s="65"/>
      <c r="AJY117" s="65"/>
      <c r="AJZ117" s="65"/>
      <c r="AKA117" s="65"/>
      <c r="AKB117" s="65"/>
      <c r="AKC117" s="65"/>
      <c r="AKD117" s="65"/>
      <c r="AKE117" s="65"/>
      <c r="AKF117" s="65"/>
      <c r="AKG117" s="65"/>
      <c r="AKH117" s="65"/>
      <c r="AKI117" s="65"/>
      <c r="AKJ117" s="65"/>
      <c r="AKK117" s="65"/>
      <c r="AKL117" s="65"/>
      <c r="AKM117" s="65"/>
      <c r="AKN117" s="65"/>
      <c r="AKO117" s="65"/>
      <c r="AKP117" s="65"/>
      <c r="AKQ117" s="65"/>
      <c r="AKR117" s="65"/>
      <c r="AKS117" s="65"/>
      <c r="AKT117" s="65"/>
      <c r="AKU117" s="65"/>
      <c r="AKV117" s="65"/>
      <c r="AKW117" s="65"/>
      <c r="AKX117" s="65"/>
      <c r="AKY117" s="65"/>
      <c r="AKZ117" s="65"/>
      <c r="ALA117" s="65"/>
      <c r="ALB117" s="65"/>
      <c r="ALC117" s="65"/>
      <c r="ALD117" s="65"/>
      <c r="ALE117" s="65"/>
      <c r="ALF117" s="65"/>
      <c r="ALG117" s="65"/>
      <c r="ALH117" s="65"/>
      <c r="ALI117" s="65"/>
      <c r="ALJ117" s="65"/>
      <c r="ALK117" s="65"/>
      <c r="ALL117" s="65"/>
      <c r="ALM117" s="65"/>
      <c r="ALN117" s="65"/>
      <c r="ALO117" s="65"/>
      <c r="ALP117" s="65"/>
      <c r="ALQ117" s="65"/>
      <c r="ALR117" s="65"/>
      <c r="ALS117" s="65"/>
      <c r="ALT117" s="65"/>
      <c r="ALU117" s="65"/>
      <c r="ALV117" s="65"/>
      <c r="ALW117" s="65"/>
      <c r="ALX117" s="65"/>
      <c r="ALY117" s="65"/>
      <c r="ALZ117" s="65"/>
      <c r="AMA117" s="65"/>
      <c r="AMB117" s="65"/>
      <c r="AMC117" s="65"/>
      <c r="AMD117" s="65"/>
      <c r="AME117" s="65"/>
      <c r="AMF117" s="65"/>
      <c r="AMG117" s="65"/>
      <c r="AMH117" s="65"/>
      <c r="AMI117" s="65"/>
      <c r="AMJ117" s="65"/>
    </row>
    <row r="118" spans="12:1024" ht="16" customHeight="1" x14ac:dyDescent="0.25">
      <c r="L118" s="65"/>
      <c r="M118" s="66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  <c r="QI118" s="65"/>
      <c r="QJ118" s="65"/>
      <c r="QK118" s="65"/>
      <c r="QL118" s="65"/>
      <c r="QM118" s="65"/>
      <c r="QN118" s="65"/>
      <c r="QO118" s="65"/>
      <c r="QP118" s="65"/>
      <c r="QQ118" s="65"/>
      <c r="QR118" s="65"/>
      <c r="QS118" s="65"/>
      <c r="QT118" s="65"/>
      <c r="QU118" s="65"/>
      <c r="QV118" s="65"/>
      <c r="QW118" s="65"/>
      <c r="QX118" s="65"/>
      <c r="QY118" s="65"/>
      <c r="QZ118" s="65"/>
      <c r="RA118" s="65"/>
      <c r="RB118" s="65"/>
      <c r="RC118" s="65"/>
      <c r="RD118" s="65"/>
      <c r="RE118" s="65"/>
      <c r="RF118" s="65"/>
      <c r="RG118" s="65"/>
      <c r="RH118" s="65"/>
      <c r="RI118" s="65"/>
      <c r="RJ118" s="65"/>
      <c r="RK118" s="65"/>
      <c r="RL118" s="65"/>
      <c r="RM118" s="65"/>
      <c r="RN118" s="65"/>
      <c r="RO118" s="65"/>
      <c r="RP118" s="65"/>
      <c r="RQ118" s="65"/>
      <c r="RR118" s="65"/>
      <c r="RS118" s="65"/>
      <c r="RT118" s="65"/>
      <c r="RU118" s="65"/>
      <c r="RV118" s="65"/>
      <c r="RW118" s="65"/>
      <c r="RX118" s="65"/>
      <c r="RY118" s="65"/>
      <c r="RZ118" s="65"/>
      <c r="SA118" s="65"/>
      <c r="SB118" s="65"/>
      <c r="SC118" s="65"/>
      <c r="SD118" s="65"/>
      <c r="SE118" s="65"/>
      <c r="SF118" s="65"/>
      <c r="SG118" s="65"/>
      <c r="SH118" s="65"/>
      <c r="SI118" s="65"/>
      <c r="SJ118" s="65"/>
      <c r="SK118" s="65"/>
      <c r="SL118" s="65"/>
      <c r="SM118" s="65"/>
      <c r="SN118" s="65"/>
      <c r="SO118" s="65"/>
      <c r="SP118" s="65"/>
      <c r="SQ118" s="65"/>
      <c r="SR118" s="65"/>
      <c r="SS118" s="65"/>
      <c r="ST118" s="65"/>
      <c r="SU118" s="65"/>
      <c r="SV118" s="65"/>
      <c r="SW118" s="65"/>
      <c r="SX118" s="65"/>
      <c r="SY118" s="65"/>
      <c r="SZ118" s="65"/>
      <c r="TA118" s="65"/>
      <c r="TB118" s="65"/>
      <c r="TC118" s="65"/>
      <c r="TD118" s="65"/>
      <c r="TE118" s="65"/>
      <c r="TF118" s="65"/>
      <c r="TG118" s="65"/>
      <c r="TH118" s="65"/>
      <c r="TI118" s="65"/>
      <c r="TJ118" s="65"/>
      <c r="TK118" s="65"/>
      <c r="TL118" s="65"/>
      <c r="TM118" s="65"/>
      <c r="TN118" s="65"/>
      <c r="TO118" s="65"/>
      <c r="TP118" s="65"/>
      <c r="TQ118" s="65"/>
      <c r="TR118" s="65"/>
      <c r="TS118" s="65"/>
      <c r="TT118" s="65"/>
      <c r="TU118" s="65"/>
      <c r="TV118" s="65"/>
      <c r="TW118" s="65"/>
      <c r="TX118" s="65"/>
      <c r="TY118" s="65"/>
      <c r="TZ118" s="65"/>
      <c r="UA118" s="65"/>
      <c r="UB118" s="65"/>
      <c r="UC118" s="65"/>
      <c r="UD118" s="65"/>
      <c r="UE118" s="65"/>
      <c r="UF118" s="65"/>
      <c r="UG118" s="65"/>
      <c r="UH118" s="65"/>
      <c r="UI118" s="65"/>
      <c r="UJ118" s="65"/>
      <c r="UK118" s="65"/>
      <c r="UL118" s="65"/>
      <c r="UM118" s="65"/>
      <c r="UN118" s="65"/>
      <c r="UO118" s="65"/>
      <c r="UP118" s="65"/>
      <c r="UQ118" s="65"/>
      <c r="UR118" s="65"/>
      <c r="US118" s="65"/>
      <c r="UT118" s="65"/>
      <c r="UU118" s="65"/>
      <c r="UV118" s="65"/>
      <c r="UW118" s="65"/>
      <c r="UX118" s="65"/>
      <c r="UY118" s="65"/>
      <c r="UZ118" s="65"/>
      <c r="VA118" s="65"/>
      <c r="VB118" s="65"/>
      <c r="VC118" s="65"/>
      <c r="VD118" s="65"/>
      <c r="VE118" s="65"/>
      <c r="VF118" s="65"/>
      <c r="VG118" s="65"/>
      <c r="VH118" s="65"/>
      <c r="VI118" s="65"/>
      <c r="VJ118" s="65"/>
      <c r="VK118" s="65"/>
      <c r="VL118" s="65"/>
      <c r="VM118" s="65"/>
      <c r="VN118" s="65"/>
      <c r="VO118" s="65"/>
      <c r="VP118" s="65"/>
      <c r="VQ118" s="65"/>
      <c r="VR118" s="65"/>
      <c r="VS118" s="65"/>
      <c r="VT118" s="65"/>
      <c r="VU118" s="65"/>
      <c r="VV118" s="65"/>
      <c r="VW118" s="65"/>
      <c r="VX118" s="65"/>
      <c r="VY118" s="65"/>
      <c r="VZ118" s="65"/>
      <c r="WA118" s="65"/>
      <c r="WB118" s="65"/>
      <c r="WC118" s="65"/>
      <c r="WD118" s="65"/>
      <c r="WE118" s="65"/>
      <c r="WF118" s="65"/>
      <c r="WG118" s="65"/>
      <c r="WH118" s="65"/>
      <c r="WI118" s="65"/>
      <c r="WJ118" s="65"/>
      <c r="WK118" s="65"/>
      <c r="WL118" s="65"/>
      <c r="WM118" s="65"/>
      <c r="WN118" s="65"/>
      <c r="WO118" s="65"/>
      <c r="WP118" s="65"/>
      <c r="WQ118" s="65"/>
      <c r="WR118" s="65"/>
      <c r="WS118" s="65"/>
      <c r="WT118" s="65"/>
      <c r="WU118" s="65"/>
      <c r="WV118" s="65"/>
      <c r="WW118" s="65"/>
      <c r="WX118" s="65"/>
      <c r="WY118" s="65"/>
      <c r="WZ118" s="65"/>
      <c r="XA118" s="65"/>
      <c r="XB118" s="65"/>
      <c r="XC118" s="65"/>
      <c r="XD118" s="65"/>
      <c r="XE118" s="65"/>
      <c r="XF118" s="65"/>
      <c r="XG118" s="65"/>
      <c r="XH118" s="65"/>
      <c r="XI118" s="65"/>
      <c r="XJ118" s="65"/>
      <c r="XK118" s="65"/>
      <c r="XL118" s="65"/>
      <c r="XM118" s="65"/>
      <c r="XN118" s="65"/>
      <c r="XO118" s="65"/>
      <c r="XP118" s="65"/>
      <c r="XQ118" s="65"/>
      <c r="XR118" s="65"/>
      <c r="XS118" s="65"/>
      <c r="XT118" s="65"/>
      <c r="XU118" s="65"/>
      <c r="XV118" s="65"/>
      <c r="XW118" s="65"/>
      <c r="XX118" s="65"/>
      <c r="XY118" s="65"/>
      <c r="XZ118" s="65"/>
      <c r="YA118" s="65"/>
      <c r="YB118" s="65"/>
      <c r="YC118" s="65"/>
      <c r="YD118" s="65"/>
      <c r="YE118" s="65"/>
      <c r="YF118" s="65"/>
      <c r="YG118" s="65"/>
      <c r="YH118" s="65"/>
      <c r="YI118" s="65"/>
      <c r="YJ118" s="65"/>
      <c r="YK118" s="65"/>
      <c r="YL118" s="65"/>
      <c r="YM118" s="65"/>
      <c r="YN118" s="65"/>
      <c r="YO118" s="65"/>
      <c r="YP118" s="65"/>
      <c r="YQ118" s="65"/>
      <c r="YR118" s="65"/>
      <c r="YS118" s="65"/>
      <c r="YT118" s="65"/>
      <c r="YU118" s="65"/>
      <c r="YV118" s="65"/>
      <c r="YW118" s="65"/>
      <c r="YX118" s="65"/>
      <c r="YY118" s="65"/>
      <c r="YZ118" s="65"/>
      <c r="ZA118" s="65"/>
      <c r="ZB118" s="65"/>
      <c r="ZC118" s="65"/>
      <c r="ZD118" s="65"/>
      <c r="ZE118" s="65"/>
      <c r="ZF118" s="65"/>
      <c r="ZG118" s="65"/>
      <c r="ZH118" s="65"/>
      <c r="ZI118" s="65"/>
      <c r="ZJ118" s="65"/>
      <c r="ZK118" s="65"/>
      <c r="ZL118" s="65"/>
      <c r="ZM118" s="65"/>
      <c r="ZN118" s="65"/>
      <c r="ZO118" s="65"/>
      <c r="ZP118" s="65"/>
      <c r="ZQ118" s="65"/>
      <c r="ZR118" s="65"/>
      <c r="ZS118" s="65"/>
      <c r="ZT118" s="65"/>
      <c r="ZU118" s="65"/>
      <c r="ZV118" s="65"/>
      <c r="ZW118" s="65"/>
      <c r="ZX118" s="65"/>
      <c r="ZY118" s="65"/>
      <c r="ZZ118" s="65"/>
      <c r="AAA118" s="65"/>
      <c r="AAB118" s="65"/>
      <c r="AAC118" s="65"/>
      <c r="AAD118" s="65"/>
      <c r="AAE118" s="65"/>
      <c r="AAF118" s="65"/>
      <c r="AAG118" s="65"/>
      <c r="AAH118" s="65"/>
      <c r="AAI118" s="65"/>
      <c r="AAJ118" s="65"/>
      <c r="AAK118" s="65"/>
      <c r="AAL118" s="65"/>
      <c r="AAM118" s="65"/>
      <c r="AAN118" s="65"/>
      <c r="AAO118" s="65"/>
      <c r="AAP118" s="65"/>
      <c r="AAQ118" s="65"/>
      <c r="AAR118" s="65"/>
      <c r="AAS118" s="65"/>
      <c r="AAT118" s="65"/>
      <c r="AAU118" s="65"/>
      <c r="AAV118" s="65"/>
      <c r="AAW118" s="65"/>
      <c r="AAX118" s="65"/>
      <c r="AAY118" s="65"/>
      <c r="AAZ118" s="65"/>
      <c r="ABA118" s="65"/>
      <c r="ABB118" s="65"/>
      <c r="ABC118" s="65"/>
      <c r="ABD118" s="65"/>
      <c r="ABE118" s="65"/>
      <c r="ABF118" s="65"/>
      <c r="ABG118" s="65"/>
      <c r="ABH118" s="65"/>
      <c r="ABI118" s="65"/>
      <c r="ABJ118" s="65"/>
      <c r="ABK118" s="65"/>
      <c r="ABL118" s="65"/>
      <c r="ABM118" s="65"/>
      <c r="ABN118" s="65"/>
      <c r="ABO118" s="65"/>
      <c r="ABP118" s="65"/>
      <c r="ABQ118" s="65"/>
      <c r="ABR118" s="65"/>
      <c r="ABS118" s="65"/>
      <c r="ABT118" s="65"/>
      <c r="ABU118" s="65"/>
      <c r="ABV118" s="65"/>
      <c r="ABW118" s="65"/>
      <c r="ABX118" s="65"/>
      <c r="ABY118" s="65"/>
      <c r="ABZ118" s="65"/>
      <c r="ACA118" s="65"/>
      <c r="ACB118" s="65"/>
      <c r="ACC118" s="65"/>
      <c r="ACD118" s="65"/>
      <c r="ACE118" s="65"/>
      <c r="ACF118" s="65"/>
      <c r="ACG118" s="65"/>
      <c r="ACH118" s="65"/>
      <c r="ACI118" s="65"/>
      <c r="ACJ118" s="65"/>
      <c r="ACK118" s="65"/>
      <c r="ACL118" s="65"/>
      <c r="ACM118" s="65"/>
      <c r="ACN118" s="65"/>
      <c r="ACO118" s="65"/>
      <c r="ACP118" s="65"/>
      <c r="ACQ118" s="65"/>
      <c r="ACR118" s="65"/>
      <c r="ACS118" s="65"/>
      <c r="ACT118" s="65"/>
      <c r="ACU118" s="65"/>
      <c r="ACV118" s="65"/>
      <c r="ACW118" s="65"/>
      <c r="ACX118" s="65"/>
      <c r="ACY118" s="65"/>
      <c r="ACZ118" s="65"/>
      <c r="ADA118" s="65"/>
      <c r="ADB118" s="65"/>
      <c r="ADC118" s="65"/>
      <c r="ADD118" s="65"/>
      <c r="ADE118" s="65"/>
      <c r="ADF118" s="65"/>
      <c r="ADG118" s="65"/>
      <c r="ADH118" s="65"/>
      <c r="ADI118" s="65"/>
      <c r="ADJ118" s="65"/>
      <c r="ADK118" s="65"/>
      <c r="ADL118" s="65"/>
      <c r="ADM118" s="65"/>
      <c r="ADN118" s="65"/>
      <c r="ADO118" s="65"/>
      <c r="ADP118" s="65"/>
      <c r="ADQ118" s="65"/>
      <c r="ADR118" s="65"/>
      <c r="ADS118" s="65"/>
      <c r="ADT118" s="65"/>
      <c r="ADU118" s="65"/>
      <c r="ADV118" s="65"/>
      <c r="ADW118" s="65"/>
      <c r="ADX118" s="65"/>
      <c r="ADY118" s="65"/>
      <c r="ADZ118" s="65"/>
      <c r="AEA118" s="65"/>
      <c r="AEB118" s="65"/>
      <c r="AEC118" s="65"/>
      <c r="AED118" s="65"/>
      <c r="AEE118" s="65"/>
      <c r="AEF118" s="65"/>
      <c r="AEG118" s="65"/>
      <c r="AEH118" s="65"/>
      <c r="AEI118" s="65"/>
      <c r="AEJ118" s="65"/>
      <c r="AEK118" s="65"/>
      <c r="AEL118" s="65"/>
      <c r="AEM118" s="65"/>
      <c r="AEN118" s="65"/>
      <c r="AEO118" s="65"/>
      <c r="AEP118" s="65"/>
      <c r="AEQ118" s="65"/>
      <c r="AER118" s="65"/>
      <c r="AES118" s="65"/>
      <c r="AET118" s="65"/>
      <c r="AEU118" s="65"/>
      <c r="AEV118" s="65"/>
      <c r="AEW118" s="65"/>
      <c r="AEX118" s="65"/>
      <c r="AEY118" s="65"/>
      <c r="AEZ118" s="65"/>
      <c r="AFA118" s="65"/>
      <c r="AFB118" s="65"/>
      <c r="AFC118" s="65"/>
      <c r="AFD118" s="65"/>
      <c r="AFE118" s="65"/>
      <c r="AFF118" s="65"/>
      <c r="AFG118" s="65"/>
      <c r="AFH118" s="65"/>
      <c r="AFI118" s="65"/>
      <c r="AFJ118" s="65"/>
      <c r="AFK118" s="65"/>
      <c r="AFL118" s="65"/>
      <c r="AFM118" s="65"/>
      <c r="AFN118" s="65"/>
      <c r="AFO118" s="65"/>
      <c r="AFP118" s="65"/>
      <c r="AFQ118" s="65"/>
      <c r="AFR118" s="65"/>
      <c r="AFS118" s="65"/>
      <c r="AFT118" s="65"/>
      <c r="AFU118" s="65"/>
      <c r="AFV118" s="65"/>
      <c r="AFW118" s="65"/>
      <c r="AFX118" s="65"/>
      <c r="AFY118" s="65"/>
      <c r="AFZ118" s="65"/>
      <c r="AGA118" s="65"/>
      <c r="AGB118" s="65"/>
      <c r="AGC118" s="65"/>
      <c r="AGD118" s="65"/>
      <c r="AGE118" s="65"/>
      <c r="AGF118" s="65"/>
      <c r="AGG118" s="65"/>
      <c r="AGH118" s="65"/>
      <c r="AGI118" s="65"/>
      <c r="AGJ118" s="65"/>
      <c r="AGK118" s="65"/>
      <c r="AGL118" s="65"/>
      <c r="AGM118" s="65"/>
      <c r="AGN118" s="65"/>
      <c r="AGO118" s="65"/>
      <c r="AGP118" s="65"/>
      <c r="AGQ118" s="65"/>
      <c r="AGR118" s="65"/>
      <c r="AGS118" s="65"/>
      <c r="AGT118" s="65"/>
      <c r="AGU118" s="65"/>
      <c r="AGV118" s="65"/>
      <c r="AGW118" s="65"/>
      <c r="AGX118" s="65"/>
      <c r="AGY118" s="65"/>
      <c r="AGZ118" s="65"/>
      <c r="AHA118" s="65"/>
      <c r="AHB118" s="65"/>
      <c r="AHC118" s="65"/>
      <c r="AHD118" s="65"/>
      <c r="AHE118" s="65"/>
      <c r="AHF118" s="65"/>
      <c r="AHG118" s="65"/>
      <c r="AHH118" s="65"/>
      <c r="AHI118" s="65"/>
      <c r="AHJ118" s="65"/>
      <c r="AHK118" s="65"/>
      <c r="AHL118" s="65"/>
      <c r="AHM118" s="65"/>
      <c r="AHN118" s="65"/>
      <c r="AHO118" s="65"/>
      <c r="AHP118" s="65"/>
      <c r="AHQ118" s="65"/>
      <c r="AHR118" s="65"/>
      <c r="AHS118" s="65"/>
      <c r="AHT118" s="65"/>
      <c r="AHU118" s="65"/>
      <c r="AHV118" s="65"/>
      <c r="AHW118" s="65"/>
      <c r="AHX118" s="65"/>
      <c r="AHY118" s="65"/>
      <c r="AHZ118" s="65"/>
      <c r="AIA118" s="65"/>
      <c r="AIB118" s="65"/>
      <c r="AIC118" s="65"/>
      <c r="AID118" s="65"/>
      <c r="AIE118" s="65"/>
      <c r="AIF118" s="65"/>
      <c r="AIG118" s="65"/>
      <c r="AIH118" s="65"/>
      <c r="AII118" s="65"/>
      <c r="AIJ118" s="65"/>
      <c r="AIK118" s="65"/>
      <c r="AIL118" s="65"/>
      <c r="AIM118" s="65"/>
      <c r="AIN118" s="65"/>
      <c r="AIO118" s="65"/>
      <c r="AIP118" s="65"/>
      <c r="AIQ118" s="65"/>
      <c r="AIR118" s="65"/>
      <c r="AIS118" s="65"/>
      <c r="AIT118" s="65"/>
      <c r="AIU118" s="65"/>
      <c r="AIV118" s="65"/>
      <c r="AIW118" s="65"/>
      <c r="AIX118" s="65"/>
      <c r="AIY118" s="65"/>
      <c r="AIZ118" s="65"/>
      <c r="AJA118" s="65"/>
      <c r="AJB118" s="65"/>
      <c r="AJC118" s="65"/>
      <c r="AJD118" s="65"/>
      <c r="AJE118" s="65"/>
      <c r="AJF118" s="65"/>
      <c r="AJG118" s="65"/>
      <c r="AJH118" s="65"/>
      <c r="AJI118" s="65"/>
      <c r="AJJ118" s="65"/>
      <c r="AJK118" s="65"/>
      <c r="AJL118" s="65"/>
      <c r="AJM118" s="65"/>
      <c r="AJN118" s="65"/>
      <c r="AJO118" s="65"/>
      <c r="AJP118" s="65"/>
      <c r="AJQ118" s="65"/>
      <c r="AJR118" s="65"/>
      <c r="AJS118" s="65"/>
      <c r="AJT118" s="65"/>
      <c r="AJU118" s="65"/>
      <c r="AJV118" s="65"/>
      <c r="AJW118" s="65"/>
      <c r="AJX118" s="65"/>
      <c r="AJY118" s="65"/>
      <c r="AJZ118" s="65"/>
      <c r="AKA118" s="65"/>
      <c r="AKB118" s="65"/>
      <c r="AKC118" s="65"/>
      <c r="AKD118" s="65"/>
      <c r="AKE118" s="65"/>
      <c r="AKF118" s="65"/>
      <c r="AKG118" s="65"/>
      <c r="AKH118" s="65"/>
      <c r="AKI118" s="65"/>
      <c r="AKJ118" s="65"/>
      <c r="AKK118" s="65"/>
      <c r="AKL118" s="65"/>
      <c r="AKM118" s="65"/>
      <c r="AKN118" s="65"/>
      <c r="AKO118" s="65"/>
      <c r="AKP118" s="65"/>
      <c r="AKQ118" s="65"/>
      <c r="AKR118" s="65"/>
      <c r="AKS118" s="65"/>
      <c r="AKT118" s="65"/>
      <c r="AKU118" s="65"/>
      <c r="AKV118" s="65"/>
      <c r="AKW118" s="65"/>
      <c r="AKX118" s="65"/>
      <c r="AKY118" s="65"/>
      <c r="AKZ118" s="65"/>
      <c r="ALA118" s="65"/>
      <c r="ALB118" s="65"/>
      <c r="ALC118" s="65"/>
      <c r="ALD118" s="65"/>
      <c r="ALE118" s="65"/>
      <c r="ALF118" s="65"/>
      <c r="ALG118" s="65"/>
      <c r="ALH118" s="65"/>
      <c r="ALI118" s="65"/>
      <c r="ALJ118" s="65"/>
      <c r="ALK118" s="65"/>
      <c r="ALL118" s="65"/>
      <c r="ALM118" s="65"/>
      <c r="ALN118" s="65"/>
      <c r="ALO118" s="65"/>
      <c r="ALP118" s="65"/>
      <c r="ALQ118" s="65"/>
      <c r="ALR118" s="65"/>
      <c r="ALS118" s="65"/>
      <c r="ALT118" s="65"/>
      <c r="ALU118" s="65"/>
      <c r="ALV118" s="65"/>
      <c r="ALW118" s="65"/>
      <c r="ALX118" s="65"/>
      <c r="ALY118" s="65"/>
      <c r="ALZ118" s="65"/>
      <c r="AMA118" s="65"/>
      <c r="AMB118" s="65"/>
      <c r="AMC118" s="65"/>
      <c r="AMD118" s="65"/>
      <c r="AME118" s="65"/>
      <c r="AMF118" s="65"/>
      <c r="AMG118" s="65"/>
      <c r="AMH118" s="65"/>
      <c r="AMI118" s="65"/>
      <c r="AMJ118" s="65"/>
    </row>
    <row r="119" spans="12:1024" ht="16" customHeight="1" x14ac:dyDescent="0.25">
      <c r="L119" s="65"/>
      <c r="M119" s="66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  <c r="QI119" s="65"/>
      <c r="QJ119" s="65"/>
      <c r="QK119" s="65"/>
      <c r="QL119" s="65"/>
      <c r="QM119" s="65"/>
      <c r="QN119" s="65"/>
      <c r="QO119" s="65"/>
      <c r="QP119" s="65"/>
      <c r="QQ119" s="65"/>
      <c r="QR119" s="65"/>
      <c r="QS119" s="65"/>
      <c r="QT119" s="65"/>
      <c r="QU119" s="65"/>
      <c r="QV119" s="65"/>
      <c r="QW119" s="65"/>
      <c r="QX119" s="65"/>
      <c r="QY119" s="65"/>
      <c r="QZ119" s="65"/>
      <c r="RA119" s="65"/>
      <c r="RB119" s="65"/>
      <c r="RC119" s="65"/>
      <c r="RD119" s="65"/>
      <c r="RE119" s="65"/>
      <c r="RF119" s="65"/>
      <c r="RG119" s="65"/>
      <c r="RH119" s="65"/>
      <c r="RI119" s="65"/>
      <c r="RJ119" s="65"/>
      <c r="RK119" s="65"/>
      <c r="RL119" s="65"/>
      <c r="RM119" s="65"/>
      <c r="RN119" s="65"/>
      <c r="RO119" s="65"/>
      <c r="RP119" s="65"/>
      <c r="RQ119" s="65"/>
      <c r="RR119" s="65"/>
      <c r="RS119" s="65"/>
      <c r="RT119" s="65"/>
      <c r="RU119" s="65"/>
      <c r="RV119" s="65"/>
      <c r="RW119" s="65"/>
      <c r="RX119" s="65"/>
      <c r="RY119" s="65"/>
      <c r="RZ119" s="65"/>
      <c r="SA119" s="65"/>
      <c r="SB119" s="65"/>
      <c r="SC119" s="65"/>
      <c r="SD119" s="65"/>
      <c r="SE119" s="65"/>
      <c r="SF119" s="65"/>
      <c r="SG119" s="65"/>
      <c r="SH119" s="65"/>
      <c r="SI119" s="65"/>
      <c r="SJ119" s="65"/>
      <c r="SK119" s="65"/>
      <c r="SL119" s="65"/>
      <c r="SM119" s="65"/>
      <c r="SN119" s="65"/>
      <c r="SO119" s="65"/>
      <c r="SP119" s="65"/>
      <c r="SQ119" s="65"/>
      <c r="SR119" s="65"/>
      <c r="SS119" s="65"/>
      <c r="ST119" s="65"/>
      <c r="SU119" s="65"/>
      <c r="SV119" s="65"/>
      <c r="SW119" s="65"/>
      <c r="SX119" s="65"/>
      <c r="SY119" s="65"/>
      <c r="SZ119" s="65"/>
      <c r="TA119" s="65"/>
      <c r="TB119" s="65"/>
      <c r="TC119" s="65"/>
      <c r="TD119" s="65"/>
      <c r="TE119" s="65"/>
      <c r="TF119" s="65"/>
      <c r="TG119" s="65"/>
      <c r="TH119" s="65"/>
      <c r="TI119" s="65"/>
      <c r="TJ119" s="65"/>
      <c r="TK119" s="65"/>
      <c r="TL119" s="65"/>
      <c r="TM119" s="65"/>
      <c r="TN119" s="65"/>
      <c r="TO119" s="65"/>
      <c r="TP119" s="65"/>
      <c r="TQ119" s="65"/>
      <c r="TR119" s="65"/>
      <c r="TS119" s="65"/>
      <c r="TT119" s="65"/>
      <c r="TU119" s="65"/>
      <c r="TV119" s="65"/>
      <c r="TW119" s="65"/>
      <c r="TX119" s="65"/>
      <c r="TY119" s="65"/>
      <c r="TZ119" s="65"/>
      <c r="UA119" s="65"/>
      <c r="UB119" s="65"/>
      <c r="UC119" s="65"/>
      <c r="UD119" s="65"/>
      <c r="UE119" s="65"/>
      <c r="UF119" s="65"/>
      <c r="UG119" s="65"/>
      <c r="UH119" s="65"/>
      <c r="UI119" s="65"/>
      <c r="UJ119" s="65"/>
      <c r="UK119" s="65"/>
      <c r="UL119" s="65"/>
      <c r="UM119" s="65"/>
      <c r="UN119" s="65"/>
      <c r="UO119" s="65"/>
      <c r="UP119" s="65"/>
      <c r="UQ119" s="65"/>
      <c r="UR119" s="65"/>
      <c r="US119" s="65"/>
      <c r="UT119" s="65"/>
      <c r="UU119" s="65"/>
      <c r="UV119" s="65"/>
      <c r="UW119" s="65"/>
      <c r="UX119" s="65"/>
      <c r="UY119" s="65"/>
      <c r="UZ119" s="65"/>
      <c r="VA119" s="65"/>
      <c r="VB119" s="65"/>
      <c r="VC119" s="65"/>
      <c r="VD119" s="65"/>
      <c r="VE119" s="65"/>
      <c r="VF119" s="65"/>
      <c r="VG119" s="65"/>
      <c r="VH119" s="65"/>
      <c r="VI119" s="65"/>
      <c r="VJ119" s="65"/>
      <c r="VK119" s="65"/>
      <c r="VL119" s="65"/>
      <c r="VM119" s="65"/>
      <c r="VN119" s="65"/>
      <c r="VO119" s="65"/>
      <c r="VP119" s="65"/>
      <c r="VQ119" s="65"/>
      <c r="VR119" s="65"/>
      <c r="VS119" s="65"/>
      <c r="VT119" s="65"/>
      <c r="VU119" s="65"/>
      <c r="VV119" s="65"/>
      <c r="VW119" s="65"/>
      <c r="VX119" s="65"/>
      <c r="VY119" s="65"/>
      <c r="VZ119" s="65"/>
      <c r="WA119" s="65"/>
      <c r="WB119" s="65"/>
      <c r="WC119" s="65"/>
      <c r="WD119" s="65"/>
      <c r="WE119" s="65"/>
      <c r="WF119" s="65"/>
      <c r="WG119" s="65"/>
      <c r="WH119" s="65"/>
      <c r="WI119" s="65"/>
      <c r="WJ119" s="65"/>
      <c r="WK119" s="65"/>
      <c r="WL119" s="65"/>
      <c r="WM119" s="65"/>
      <c r="WN119" s="65"/>
      <c r="WO119" s="65"/>
      <c r="WP119" s="65"/>
      <c r="WQ119" s="65"/>
      <c r="WR119" s="65"/>
      <c r="WS119" s="65"/>
      <c r="WT119" s="65"/>
      <c r="WU119" s="65"/>
      <c r="WV119" s="65"/>
      <c r="WW119" s="65"/>
      <c r="WX119" s="65"/>
      <c r="WY119" s="65"/>
      <c r="WZ119" s="65"/>
      <c r="XA119" s="65"/>
      <c r="XB119" s="65"/>
      <c r="XC119" s="65"/>
      <c r="XD119" s="65"/>
      <c r="XE119" s="65"/>
      <c r="XF119" s="65"/>
      <c r="XG119" s="65"/>
      <c r="XH119" s="65"/>
      <c r="XI119" s="65"/>
      <c r="XJ119" s="65"/>
      <c r="XK119" s="65"/>
      <c r="XL119" s="65"/>
      <c r="XM119" s="65"/>
      <c r="XN119" s="65"/>
      <c r="XO119" s="65"/>
      <c r="XP119" s="65"/>
      <c r="XQ119" s="65"/>
      <c r="XR119" s="65"/>
      <c r="XS119" s="65"/>
      <c r="XT119" s="65"/>
      <c r="XU119" s="65"/>
      <c r="XV119" s="65"/>
      <c r="XW119" s="65"/>
      <c r="XX119" s="65"/>
      <c r="XY119" s="65"/>
      <c r="XZ119" s="65"/>
      <c r="YA119" s="65"/>
      <c r="YB119" s="65"/>
      <c r="YC119" s="65"/>
      <c r="YD119" s="65"/>
      <c r="YE119" s="65"/>
      <c r="YF119" s="65"/>
      <c r="YG119" s="65"/>
      <c r="YH119" s="65"/>
      <c r="YI119" s="65"/>
      <c r="YJ119" s="65"/>
      <c r="YK119" s="65"/>
      <c r="YL119" s="65"/>
      <c r="YM119" s="65"/>
      <c r="YN119" s="65"/>
      <c r="YO119" s="65"/>
      <c r="YP119" s="65"/>
      <c r="YQ119" s="65"/>
      <c r="YR119" s="65"/>
      <c r="YS119" s="65"/>
      <c r="YT119" s="65"/>
      <c r="YU119" s="65"/>
      <c r="YV119" s="65"/>
      <c r="YW119" s="65"/>
      <c r="YX119" s="65"/>
      <c r="YY119" s="65"/>
      <c r="YZ119" s="65"/>
      <c r="ZA119" s="65"/>
      <c r="ZB119" s="65"/>
      <c r="ZC119" s="65"/>
      <c r="ZD119" s="65"/>
      <c r="ZE119" s="65"/>
      <c r="ZF119" s="65"/>
      <c r="ZG119" s="65"/>
      <c r="ZH119" s="65"/>
      <c r="ZI119" s="65"/>
      <c r="ZJ119" s="65"/>
      <c r="ZK119" s="65"/>
      <c r="ZL119" s="65"/>
      <c r="ZM119" s="65"/>
      <c r="ZN119" s="65"/>
      <c r="ZO119" s="65"/>
      <c r="ZP119" s="65"/>
      <c r="ZQ119" s="65"/>
      <c r="ZR119" s="65"/>
      <c r="ZS119" s="65"/>
      <c r="ZT119" s="65"/>
      <c r="ZU119" s="65"/>
      <c r="ZV119" s="65"/>
      <c r="ZW119" s="65"/>
      <c r="ZX119" s="65"/>
      <c r="ZY119" s="65"/>
      <c r="ZZ119" s="65"/>
      <c r="AAA119" s="65"/>
      <c r="AAB119" s="65"/>
      <c r="AAC119" s="65"/>
      <c r="AAD119" s="65"/>
      <c r="AAE119" s="65"/>
      <c r="AAF119" s="65"/>
      <c r="AAG119" s="65"/>
      <c r="AAH119" s="65"/>
      <c r="AAI119" s="65"/>
      <c r="AAJ119" s="65"/>
      <c r="AAK119" s="65"/>
      <c r="AAL119" s="65"/>
      <c r="AAM119" s="65"/>
      <c r="AAN119" s="65"/>
      <c r="AAO119" s="65"/>
      <c r="AAP119" s="65"/>
      <c r="AAQ119" s="65"/>
      <c r="AAR119" s="65"/>
      <c r="AAS119" s="65"/>
      <c r="AAT119" s="65"/>
      <c r="AAU119" s="65"/>
      <c r="AAV119" s="65"/>
      <c r="AAW119" s="65"/>
      <c r="AAX119" s="65"/>
      <c r="AAY119" s="65"/>
      <c r="AAZ119" s="65"/>
      <c r="ABA119" s="65"/>
      <c r="ABB119" s="65"/>
      <c r="ABC119" s="65"/>
      <c r="ABD119" s="65"/>
      <c r="ABE119" s="65"/>
      <c r="ABF119" s="65"/>
      <c r="ABG119" s="65"/>
      <c r="ABH119" s="65"/>
      <c r="ABI119" s="65"/>
      <c r="ABJ119" s="65"/>
      <c r="ABK119" s="65"/>
      <c r="ABL119" s="65"/>
      <c r="ABM119" s="65"/>
      <c r="ABN119" s="65"/>
      <c r="ABO119" s="65"/>
      <c r="ABP119" s="65"/>
      <c r="ABQ119" s="65"/>
      <c r="ABR119" s="65"/>
      <c r="ABS119" s="65"/>
      <c r="ABT119" s="65"/>
      <c r="ABU119" s="65"/>
      <c r="ABV119" s="65"/>
      <c r="ABW119" s="65"/>
      <c r="ABX119" s="65"/>
      <c r="ABY119" s="65"/>
      <c r="ABZ119" s="65"/>
      <c r="ACA119" s="65"/>
      <c r="ACB119" s="65"/>
      <c r="ACC119" s="65"/>
      <c r="ACD119" s="65"/>
      <c r="ACE119" s="65"/>
      <c r="ACF119" s="65"/>
      <c r="ACG119" s="65"/>
      <c r="ACH119" s="65"/>
      <c r="ACI119" s="65"/>
      <c r="ACJ119" s="65"/>
      <c r="ACK119" s="65"/>
      <c r="ACL119" s="65"/>
      <c r="ACM119" s="65"/>
      <c r="ACN119" s="65"/>
      <c r="ACO119" s="65"/>
      <c r="ACP119" s="65"/>
      <c r="ACQ119" s="65"/>
      <c r="ACR119" s="65"/>
      <c r="ACS119" s="65"/>
      <c r="ACT119" s="65"/>
      <c r="ACU119" s="65"/>
      <c r="ACV119" s="65"/>
      <c r="ACW119" s="65"/>
      <c r="ACX119" s="65"/>
      <c r="ACY119" s="65"/>
      <c r="ACZ119" s="65"/>
      <c r="ADA119" s="65"/>
      <c r="ADB119" s="65"/>
      <c r="ADC119" s="65"/>
      <c r="ADD119" s="65"/>
      <c r="ADE119" s="65"/>
      <c r="ADF119" s="65"/>
      <c r="ADG119" s="65"/>
      <c r="ADH119" s="65"/>
      <c r="ADI119" s="65"/>
      <c r="ADJ119" s="65"/>
      <c r="ADK119" s="65"/>
      <c r="ADL119" s="65"/>
      <c r="ADM119" s="65"/>
      <c r="ADN119" s="65"/>
      <c r="ADO119" s="65"/>
      <c r="ADP119" s="65"/>
      <c r="ADQ119" s="65"/>
      <c r="ADR119" s="65"/>
      <c r="ADS119" s="65"/>
      <c r="ADT119" s="65"/>
      <c r="ADU119" s="65"/>
      <c r="ADV119" s="65"/>
      <c r="ADW119" s="65"/>
      <c r="ADX119" s="65"/>
      <c r="ADY119" s="65"/>
      <c r="ADZ119" s="65"/>
      <c r="AEA119" s="65"/>
      <c r="AEB119" s="65"/>
      <c r="AEC119" s="65"/>
      <c r="AED119" s="65"/>
      <c r="AEE119" s="65"/>
      <c r="AEF119" s="65"/>
      <c r="AEG119" s="65"/>
      <c r="AEH119" s="65"/>
      <c r="AEI119" s="65"/>
      <c r="AEJ119" s="65"/>
      <c r="AEK119" s="65"/>
      <c r="AEL119" s="65"/>
      <c r="AEM119" s="65"/>
      <c r="AEN119" s="65"/>
      <c r="AEO119" s="65"/>
      <c r="AEP119" s="65"/>
      <c r="AEQ119" s="65"/>
      <c r="AER119" s="65"/>
      <c r="AES119" s="65"/>
      <c r="AET119" s="65"/>
      <c r="AEU119" s="65"/>
      <c r="AEV119" s="65"/>
      <c r="AEW119" s="65"/>
      <c r="AEX119" s="65"/>
      <c r="AEY119" s="65"/>
      <c r="AEZ119" s="65"/>
      <c r="AFA119" s="65"/>
      <c r="AFB119" s="65"/>
      <c r="AFC119" s="65"/>
      <c r="AFD119" s="65"/>
      <c r="AFE119" s="65"/>
      <c r="AFF119" s="65"/>
      <c r="AFG119" s="65"/>
      <c r="AFH119" s="65"/>
      <c r="AFI119" s="65"/>
      <c r="AFJ119" s="65"/>
      <c r="AFK119" s="65"/>
      <c r="AFL119" s="65"/>
      <c r="AFM119" s="65"/>
      <c r="AFN119" s="65"/>
      <c r="AFO119" s="65"/>
      <c r="AFP119" s="65"/>
      <c r="AFQ119" s="65"/>
      <c r="AFR119" s="65"/>
      <c r="AFS119" s="65"/>
      <c r="AFT119" s="65"/>
      <c r="AFU119" s="65"/>
      <c r="AFV119" s="65"/>
      <c r="AFW119" s="65"/>
      <c r="AFX119" s="65"/>
      <c r="AFY119" s="65"/>
      <c r="AFZ119" s="65"/>
      <c r="AGA119" s="65"/>
      <c r="AGB119" s="65"/>
      <c r="AGC119" s="65"/>
      <c r="AGD119" s="65"/>
      <c r="AGE119" s="65"/>
      <c r="AGF119" s="65"/>
      <c r="AGG119" s="65"/>
      <c r="AGH119" s="65"/>
      <c r="AGI119" s="65"/>
      <c r="AGJ119" s="65"/>
      <c r="AGK119" s="65"/>
      <c r="AGL119" s="65"/>
      <c r="AGM119" s="65"/>
      <c r="AGN119" s="65"/>
      <c r="AGO119" s="65"/>
      <c r="AGP119" s="65"/>
      <c r="AGQ119" s="65"/>
      <c r="AGR119" s="65"/>
      <c r="AGS119" s="65"/>
      <c r="AGT119" s="65"/>
      <c r="AGU119" s="65"/>
      <c r="AGV119" s="65"/>
      <c r="AGW119" s="65"/>
      <c r="AGX119" s="65"/>
      <c r="AGY119" s="65"/>
      <c r="AGZ119" s="65"/>
      <c r="AHA119" s="65"/>
      <c r="AHB119" s="65"/>
      <c r="AHC119" s="65"/>
      <c r="AHD119" s="65"/>
      <c r="AHE119" s="65"/>
      <c r="AHF119" s="65"/>
      <c r="AHG119" s="65"/>
      <c r="AHH119" s="65"/>
      <c r="AHI119" s="65"/>
      <c r="AHJ119" s="65"/>
      <c r="AHK119" s="65"/>
      <c r="AHL119" s="65"/>
      <c r="AHM119" s="65"/>
      <c r="AHN119" s="65"/>
      <c r="AHO119" s="65"/>
      <c r="AHP119" s="65"/>
      <c r="AHQ119" s="65"/>
      <c r="AHR119" s="65"/>
      <c r="AHS119" s="65"/>
      <c r="AHT119" s="65"/>
      <c r="AHU119" s="65"/>
      <c r="AHV119" s="65"/>
      <c r="AHW119" s="65"/>
      <c r="AHX119" s="65"/>
      <c r="AHY119" s="65"/>
      <c r="AHZ119" s="65"/>
      <c r="AIA119" s="65"/>
      <c r="AIB119" s="65"/>
      <c r="AIC119" s="65"/>
      <c r="AID119" s="65"/>
      <c r="AIE119" s="65"/>
      <c r="AIF119" s="65"/>
      <c r="AIG119" s="65"/>
      <c r="AIH119" s="65"/>
      <c r="AII119" s="65"/>
      <c r="AIJ119" s="65"/>
      <c r="AIK119" s="65"/>
      <c r="AIL119" s="65"/>
      <c r="AIM119" s="65"/>
      <c r="AIN119" s="65"/>
      <c r="AIO119" s="65"/>
      <c r="AIP119" s="65"/>
      <c r="AIQ119" s="65"/>
      <c r="AIR119" s="65"/>
      <c r="AIS119" s="65"/>
      <c r="AIT119" s="65"/>
      <c r="AIU119" s="65"/>
      <c r="AIV119" s="65"/>
      <c r="AIW119" s="65"/>
      <c r="AIX119" s="65"/>
      <c r="AIY119" s="65"/>
      <c r="AIZ119" s="65"/>
      <c r="AJA119" s="65"/>
      <c r="AJB119" s="65"/>
      <c r="AJC119" s="65"/>
      <c r="AJD119" s="65"/>
      <c r="AJE119" s="65"/>
      <c r="AJF119" s="65"/>
      <c r="AJG119" s="65"/>
      <c r="AJH119" s="65"/>
      <c r="AJI119" s="65"/>
      <c r="AJJ119" s="65"/>
      <c r="AJK119" s="65"/>
      <c r="AJL119" s="65"/>
      <c r="AJM119" s="65"/>
      <c r="AJN119" s="65"/>
      <c r="AJO119" s="65"/>
      <c r="AJP119" s="65"/>
      <c r="AJQ119" s="65"/>
      <c r="AJR119" s="65"/>
      <c r="AJS119" s="65"/>
      <c r="AJT119" s="65"/>
      <c r="AJU119" s="65"/>
      <c r="AJV119" s="65"/>
      <c r="AJW119" s="65"/>
      <c r="AJX119" s="65"/>
      <c r="AJY119" s="65"/>
      <c r="AJZ119" s="65"/>
      <c r="AKA119" s="65"/>
      <c r="AKB119" s="65"/>
      <c r="AKC119" s="65"/>
      <c r="AKD119" s="65"/>
      <c r="AKE119" s="65"/>
      <c r="AKF119" s="65"/>
      <c r="AKG119" s="65"/>
      <c r="AKH119" s="65"/>
      <c r="AKI119" s="65"/>
      <c r="AKJ119" s="65"/>
      <c r="AKK119" s="65"/>
      <c r="AKL119" s="65"/>
      <c r="AKM119" s="65"/>
      <c r="AKN119" s="65"/>
      <c r="AKO119" s="65"/>
      <c r="AKP119" s="65"/>
      <c r="AKQ119" s="65"/>
      <c r="AKR119" s="65"/>
      <c r="AKS119" s="65"/>
      <c r="AKT119" s="65"/>
      <c r="AKU119" s="65"/>
      <c r="AKV119" s="65"/>
      <c r="AKW119" s="65"/>
      <c r="AKX119" s="65"/>
      <c r="AKY119" s="65"/>
      <c r="AKZ119" s="65"/>
      <c r="ALA119" s="65"/>
      <c r="ALB119" s="65"/>
      <c r="ALC119" s="65"/>
      <c r="ALD119" s="65"/>
      <c r="ALE119" s="65"/>
      <c r="ALF119" s="65"/>
      <c r="ALG119" s="65"/>
      <c r="ALH119" s="65"/>
      <c r="ALI119" s="65"/>
      <c r="ALJ119" s="65"/>
      <c r="ALK119" s="65"/>
      <c r="ALL119" s="65"/>
      <c r="ALM119" s="65"/>
      <c r="ALN119" s="65"/>
      <c r="ALO119" s="65"/>
      <c r="ALP119" s="65"/>
      <c r="ALQ119" s="65"/>
      <c r="ALR119" s="65"/>
      <c r="ALS119" s="65"/>
      <c r="ALT119" s="65"/>
      <c r="ALU119" s="65"/>
      <c r="ALV119" s="65"/>
      <c r="ALW119" s="65"/>
      <c r="ALX119" s="65"/>
      <c r="ALY119" s="65"/>
      <c r="ALZ119" s="65"/>
      <c r="AMA119" s="65"/>
      <c r="AMB119" s="65"/>
      <c r="AMC119" s="65"/>
      <c r="AMD119" s="65"/>
      <c r="AME119" s="65"/>
      <c r="AMF119" s="65"/>
      <c r="AMG119" s="65"/>
      <c r="AMH119" s="65"/>
      <c r="AMI119" s="65"/>
      <c r="AMJ119" s="65"/>
    </row>
    <row r="120" spans="12:1024" ht="16" customHeight="1" x14ac:dyDescent="0.25">
      <c r="L120" s="65"/>
      <c r="M120" s="66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  <c r="QI120" s="65"/>
      <c r="QJ120" s="65"/>
      <c r="QK120" s="65"/>
      <c r="QL120" s="65"/>
      <c r="QM120" s="65"/>
      <c r="QN120" s="65"/>
      <c r="QO120" s="65"/>
      <c r="QP120" s="65"/>
      <c r="QQ120" s="65"/>
      <c r="QR120" s="65"/>
      <c r="QS120" s="65"/>
      <c r="QT120" s="65"/>
      <c r="QU120" s="65"/>
      <c r="QV120" s="65"/>
      <c r="QW120" s="65"/>
      <c r="QX120" s="65"/>
      <c r="QY120" s="65"/>
      <c r="QZ120" s="65"/>
      <c r="RA120" s="65"/>
      <c r="RB120" s="65"/>
      <c r="RC120" s="65"/>
      <c r="RD120" s="65"/>
      <c r="RE120" s="65"/>
      <c r="RF120" s="65"/>
      <c r="RG120" s="65"/>
      <c r="RH120" s="65"/>
      <c r="RI120" s="65"/>
      <c r="RJ120" s="65"/>
      <c r="RK120" s="65"/>
      <c r="RL120" s="65"/>
      <c r="RM120" s="65"/>
      <c r="RN120" s="65"/>
      <c r="RO120" s="65"/>
      <c r="RP120" s="65"/>
      <c r="RQ120" s="65"/>
      <c r="RR120" s="65"/>
      <c r="RS120" s="65"/>
      <c r="RT120" s="65"/>
      <c r="RU120" s="65"/>
      <c r="RV120" s="65"/>
      <c r="RW120" s="65"/>
      <c r="RX120" s="65"/>
      <c r="RY120" s="65"/>
      <c r="RZ120" s="65"/>
      <c r="SA120" s="65"/>
      <c r="SB120" s="65"/>
      <c r="SC120" s="65"/>
      <c r="SD120" s="65"/>
      <c r="SE120" s="65"/>
      <c r="SF120" s="65"/>
      <c r="SG120" s="65"/>
      <c r="SH120" s="65"/>
      <c r="SI120" s="65"/>
      <c r="SJ120" s="65"/>
      <c r="SK120" s="65"/>
      <c r="SL120" s="65"/>
      <c r="SM120" s="65"/>
      <c r="SN120" s="65"/>
      <c r="SO120" s="65"/>
      <c r="SP120" s="65"/>
      <c r="SQ120" s="65"/>
      <c r="SR120" s="65"/>
      <c r="SS120" s="65"/>
      <c r="ST120" s="65"/>
      <c r="SU120" s="65"/>
      <c r="SV120" s="65"/>
      <c r="SW120" s="65"/>
      <c r="SX120" s="65"/>
      <c r="SY120" s="65"/>
      <c r="SZ120" s="65"/>
      <c r="TA120" s="65"/>
      <c r="TB120" s="65"/>
      <c r="TC120" s="65"/>
      <c r="TD120" s="65"/>
      <c r="TE120" s="65"/>
      <c r="TF120" s="65"/>
      <c r="TG120" s="65"/>
      <c r="TH120" s="65"/>
      <c r="TI120" s="65"/>
      <c r="TJ120" s="65"/>
      <c r="TK120" s="65"/>
      <c r="TL120" s="65"/>
      <c r="TM120" s="65"/>
      <c r="TN120" s="65"/>
      <c r="TO120" s="65"/>
      <c r="TP120" s="65"/>
      <c r="TQ120" s="65"/>
      <c r="TR120" s="65"/>
      <c r="TS120" s="65"/>
      <c r="TT120" s="65"/>
      <c r="TU120" s="65"/>
      <c r="TV120" s="65"/>
      <c r="TW120" s="65"/>
      <c r="TX120" s="65"/>
      <c r="TY120" s="65"/>
      <c r="TZ120" s="65"/>
      <c r="UA120" s="65"/>
      <c r="UB120" s="65"/>
      <c r="UC120" s="65"/>
      <c r="UD120" s="65"/>
      <c r="UE120" s="65"/>
      <c r="UF120" s="65"/>
      <c r="UG120" s="65"/>
      <c r="UH120" s="65"/>
      <c r="UI120" s="65"/>
      <c r="UJ120" s="65"/>
      <c r="UK120" s="65"/>
      <c r="UL120" s="65"/>
      <c r="UM120" s="65"/>
      <c r="UN120" s="65"/>
      <c r="UO120" s="65"/>
      <c r="UP120" s="65"/>
      <c r="UQ120" s="65"/>
      <c r="UR120" s="65"/>
      <c r="US120" s="65"/>
      <c r="UT120" s="65"/>
      <c r="UU120" s="65"/>
      <c r="UV120" s="65"/>
      <c r="UW120" s="65"/>
      <c r="UX120" s="65"/>
      <c r="UY120" s="65"/>
      <c r="UZ120" s="65"/>
      <c r="VA120" s="65"/>
      <c r="VB120" s="65"/>
      <c r="VC120" s="65"/>
      <c r="VD120" s="65"/>
      <c r="VE120" s="65"/>
      <c r="VF120" s="65"/>
      <c r="VG120" s="65"/>
      <c r="VH120" s="65"/>
      <c r="VI120" s="65"/>
      <c r="VJ120" s="65"/>
      <c r="VK120" s="65"/>
      <c r="VL120" s="65"/>
      <c r="VM120" s="65"/>
      <c r="VN120" s="65"/>
      <c r="VO120" s="65"/>
      <c r="VP120" s="65"/>
      <c r="VQ120" s="65"/>
      <c r="VR120" s="65"/>
      <c r="VS120" s="65"/>
      <c r="VT120" s="65"/>
      <c r="VU120" s="65"/>
      <c r="VV120" s="65"/>
      <c r="VW120" s="65"/>
      <c r="VX120" s="65"/>
      <c r="VY120" s="65"/>
      <c r="VZ120" s="65"/>
      <c r="WA120" s="65"/>
      <c r="WB120" s="65"/>
      <c r="WC120" s="65"/>
      <c r="WD120" s="65"/>
      <c r="WE120" s="65"/>
      <c r="WF120" s="65"/>
      <c r="WG120" s="65"/>
      <c r="WH120" s="65"/>
      <c r="WI120" s="65"/>
      <c r="WJ120" s="65"/>
      <c r="WK120" s="65"/>
      <c r="WL120" s="65"/>
      <c r="WM120" s="65"/>
      <c r="WN120" s="65"/>
      <c r="WO120" s="65"/>
      <c r="WP120" s="65"/>
      <c r="WQ120" s="65"/>
      <c r="WR120" s="65"/>
      <c r="WS120" s="65"/>
      <c r="WT120" s="65"/>
      <c r="WU120" s="65"/>
      <c r="WV120" s="65"/>
      <c r="WW120" s="65"/>
      <c r="WX120" s="65"/>
      <c r="WY120" s="65"/>
      <c r="WZ120" s="65"/>
      <c r="XA120" s="65"/>
      <c r="XB120" s="65"/>
      <c r="XC120" s="65"/>
      <c r="XD120" s="65"/>
      <c r="XE120" s="65"/>
      <c r="XF120" s="65"/>
      <c r="XG120" s="65"/>
      <c r="XH120" s="65"/>
      <c r="XI120" s="65"/>
      <c r="XJ120" s="65"/>
      <c r="XK120" s="65"/>
      <c r="XL120" s="65"/>
      <c r="XM120" s="65"/>
      <c r="XN120" s="65"/>
      <c r="XO120" s="65"/>
      <c r="XP120" s="65"/>
      <c r="XQ120" s="65"/>
      <c r="XR120" s="65"/>
      <c r="XS120" s="65"/>
      <c r="XT120" s="65"/>
      <c r="XU120" s="65"/>
      <c r="XV120" s="65"/>
      <c r="XW120" s="65"/>
      <c r="XX120" s="65"/>
      <c r="XY120" s="65"/>
      <c r="XZ120" s="65"/>
      <c r="YA120" s="65"/>
      <c r="YB120" s="65"/>
      <c r="YC120" s="65"/>
      <c r="YD120" s="65"/>
      <c r="YE120" s="65"/>
      <c r="YF120" s="65"/>
      <c r="YG120" s="65"/>
      <c r="YH120" s="65"/>
      <c r="YI120" s="65"/>
      <c r="YJ120" s="65"/>
      <c r="YK120" s="65"/>
      <c r="YL120" s="65"/>
      <c r="YM120" s="65"/>
      <c r="YN120" s="65"/>
      <c r="YO120" s="65"/>
      <c r="YP120" s="65"/>
      <c r="YQ120" s="65"/>
      <c r="YR120" s="65"/>
      <c r="YS120" s="65"/>
      <c r="YT120" s="65"/>
      <c r="YU120" s="65"/>
      <c r="YV120" s="65"/>
      <c r="YW120" s="65"/>
      <c r="YX120" s="65"/>
      <c r="YY120" s="65"/>
      <c r="YZ120" s="65"/>
      <c r="ZA120" s="65"/>
      <c r="ZB120" s="65"/>
      <c r="ZC120" s="65"/>
      <c r="ZD120" s="65"/>
      <c r="ZE120" s="65"/>
      <c r="ZF120" s="65"/>
      <c r="ZG120" s="65"/>
      <c r="ZH120" s="65"/>
      <c r="ZI120" s="65"/>
      <c r="ZJ120" s="65"/>
      <c r="ZK120" s="65"/>
      <c r="ZL120" s="65"/>
      <c r="ZM120" s="65"/>
      <c r="ZN120" s="65"/>
      <c r="ZO120" s="65"/>
      <c r="ZP120" s="65"/>
      <c r="ZQ120" s="65"/>
      <c r="ZR120" s="65"/>
      <c r="ZS120" s="65"/>
      <c r="ZT120" s="65"/>
      <c r="ZU120" s="65"/>
      <c r="ZV120" s="65"/>
      <c r="ZW120" s="65"/>
      <c r="ZX120" s="65"/>
      <c r="ZY120" s="65"/>
      <c r="ZZ120" s="65"/>
      <c r="AAA120" s="65"/>
      <c r="AAB120" s="65"/>
      <c r="AAC120" s="65"/>
      <c r="AAD120" s="65"/>
      <c r="AAE120" s="65"/>
      <c r="AAF120" s="65"/>
      <c r="AAG120" s="65"/>
      <c r="AAH120" s="65"/>
      <c r="AAI120" s="65"/>
      <c r="AAJ120" s="65"/>
      <c r="AAK120" s="65"/>
      <c r="AAL120" s="65"/>
      <c r="AAM120" s="65"/>
      <c r="AAN120" s="65"/>
      <c r="AAO120" s="65"/>
      <c r="AAP120" s="65"/>
      <c r="AAQ120" s="65"/>
      <c r="AAR120" s="65"/>
      <c r="AAS120" s="65"/>
      <c r="AAT120" s="65"/>
      <c r="AAU120" s="65"/>
      <c r="AAV120" s="65"/>
      <c r="AAW120" s="65"/>
      <c r="AAX120" s="65"/>
      <c r="AAY120" s="65"/>
      <c r="AAZ120" s="65"/>
      <c r="ABA120" s="65"/>
      <c r="ABB120" s="65"/>
      <c r="ABC120" s="65"/>
      <c r="ABD120" s="65"/>
      <c r="ABE120" s="65"/>
      <c r="ABF120" s="65"/>
      <c r="ABG120" s="65"/>
      <c r="ABH120" s="65"/>
      <c r="ABI120" s="65"/>
      <c r="ABJ120" s="65"/>
      <c r="ABK120" s="65"/>
      <c r="ABL120" s="65"/>
      <c r="ABM120" s="65"/>
      <c r="ABN120" s="65"/>
      <c r="ABO120" s="65"/>
      <c r="ABP120" s="65"/>
      <c r="ABQ120" s="65"/>
      <c r="ABR120" s="65"/>
      <c r="ABS120" s="65"/>
      <c r="ABT120" s="65"/>
      <c r="ABU120" s="65"/>
      <c r="ABV120" s="65"/>
      <c r="ABW120" s="65"/>
      <c r="ABX120" s="65"/>
      <c r="ABY120" s="65"/>
      <c r="ABZ120" s="65"/>
      <c r="ACA120" s="65"/>
      <c r="ACB120" s="65"/>
      <c r="ACC120" s="65"/>
      <c r="ACD120" s="65"/>
      <c r="ACE120" s="65"/>
      <c r="ACF120" s="65"/>
      <c r="ACG120" s="65"/>
      <c r="ACH120" s="65"/>
      <c r="ACI120" s="65"/>
      <c r="ACJ120" s="65"/>
      <c r="ACK120" s="65"/>
      <c r="ACL120" s="65"/>
      <c r="ACM120" s="65"/>
      <c r="ACN120" s="65"/>
      <c r="ACO120" s="65"/>
      <c r="ACP120" s="65"/>
      <c r="ACQ120" s="65"/>
      <c r="ACR120" s="65"/>
      <c r="ACS120" s="65"/>
      <c r="ACT120" s="65"/>
      <c r="ACU120" s="65"/>
      <c r="ACV120" s="65"/>
      <c r="ACW120" s="65"/>
      <c r="ACX120" s="65"/>
      <c r="ACY120" s="65"/>
      <c r="ACZ120" s="65"/>
      <c r="ADA120" s="65"/>
      <c r="ADB120" s="65"/>
      <c r="ADC120" s="65"/>
      <c r="ADD120" s="65"/>
      <c r="ADE120" s="65"/>
      <c r="ADF120" s="65"/>
      <c r="ADG120" s="65"/>
      <c r="ADH120" s="65"/>
      <c r="ADI120" s="65"/>
      <c r="ADJ120" s="65"/>
      <c r="ADK120" s="65"/>
      <c r="ADL120" s="65"/>
      <c r="ADM120" s="65"/>
      <c r="ADN120" s="65"/>
      <c r="ADO120" s="65"/>
      <c r="ADP120" s="65"/>
      <c r="ADQ120" s="65"/>
      <c r="ADR120" s="65"/>
      <c r="ADS120" s="65"/>
      <c r="ADT120" s="65"/>
      <c r="ADU120" s="65"/>
      <c r="ADV120" s="65"/>
      <c r="ADW120" s="65"/>
      <c r="ADX120" s="65"/>
      <c r="ADY120" s="65"/>
      <c r="ADZ120" s="65"/>
      <c r="AEA120" s="65"/>
      <c r="AEB120" s="65"/>
      <c r="AEC120" s="65"/>
      <c r="AED120" s="65"/>
      <c r="AEE120" s="65"/>
      <c r="AEF120" s="65"/>
      <c r="AEG120" s="65"/>
      <c r="AEH120" s="65"/>
      <c r="AEI120" s="65"/>
      <c r="AEJ120" s="65"/>
      <c r="AEK120" s="65"/>
      <c r="AEL120" s="65"/>
      <c r="AEM120" s="65"/>
      <c r="AEN120" s="65"/>
      <c r="AEO120" s="65"/>
      <c r="AEP120" s="65"/>
      <c r="AEQ120" s="65"/>
      <c r="AER120" s="65"/>
      <c r="AES120" s="65"/>
      <c r="AET120" s="65"/>
      <c r="AEU120" s="65"/>
      <c r="AEV120" s="65"/>
      <c r="AEW120" s="65"/>
      <c r="AEX120" s="65"/>
      <c r="AEY120" s="65"/>
      <c r="AEZ120" s="65"/>
      <c r="AFA120" s="65"/>
      <c r="AFB120" s="65"/>
      <c r="AFC120" s="65"/>
      <c r="AFD120" s="65"/>
      <c r="AFE120" s="65"/>
      <c r="AFF120" s="65"/>
      <c r="AFG120" s="65"/>
      <c r="AFH120" s="65"/>
      <c r="AFI120" s="65"/>
      <c r="AFJ120" s="65"/>
      <c r="AFK120" s="65"/>
      <c r="AFL120" s="65"/>
      <c r="AFM120" s="65"/>
      <c r="AFN120" s="65"/>
      <c r="AFO120" s="65"/>
      <c r="AFP120" s="65"/>
      <c r="AFQ120" s="65"/>
      <c r="AFR120" s="65"/>
      <c r="AFS120" s="65"/>
      <c r="AFT120" s="65"/>
      <c r="AFU120" s="65"/>
      <c r="AFV120" s="65"/>
      <c r="AFW120" s="65"/>
      <c r="AFX120" s="65"/>
      <c r="AFY120" s="65"/>
      <c r="AFZ120" s="65"/>
      <c r="AGA120" s="65"/>
      <c r="AGB120" s="65"/>
      <c r="AGC120" s="65"/>
      <c r="AGD120" s="65"/>
      <c r="AGE120" s="65"/>
      <c r="AGF120" s="65"/>
      <c r="AGG120" s="65"/>
      <c r="AGH120" s="65"/>
      <c r="AGI120" s="65"/>
      <c r="AGJ120" s="65"/>
      <c r="AGK120" s="65"/>
      <c r="AGL120" s="65"/>
      <c r="AGM120" s="65"/>
      <c r="AGN120" s="65"/>
      <c r="AGO120" s="65"/>
      <c r="AGP120" s="65"/>
      <c r="AGQ120" s="65"/>
      <c r="AGR120" s="65"/>
      <c r="AGS120" s="65"/>
      <c r="AGT120" s="65"/>
      <c r="AGU120" s="65"/>
      <c r="AGV120" s="65"/>
      <c r="AGW120" s="65"/>
      <c r="AGX120" s="65"/>
      <c r="AGY120" s="65"/>
      <c r="AGZ120" s="65"/>
      <c r="AHA120" s="65"/>
      <c r="AHB120" s="65"/>
      <c r="AHC120" s="65"/>
      <c r="AHD120" s="65"/>
      <c r="AHE120" s="65"/>
      <c r="AHF120" s="65"/>
      <c r="AHG120" s="65"/>
      <c r="AHH120" s="65"/>
      <c r="AHI120" s="65"/>
      <c r="AHJ120" s="65"/>
      <c r="AHK120" s="65"/>
      <c r="AHL120" s="65"/>
      <c r="AHM120" s="65"/>
      <c r="AHN120" s="65"/>
      <c r="AHO120" s="65"/>
      <c r="AHP120" s="65"/>
      <c r="AHQ120" s="65"/>
      <c r="AHR120" s="65"/>
      <c r="AHS120" s="65"/>
      <c r="AHT120" s="65"/>
      <c r="AHU120" s="65"/>
      <c r="AHV120" s="65"/>
      <c r="AHW120" s="65"/>
      <c r="AHX120" s="65"/>
      <c r="AHY120" s="65"/>
      <c r="AHZ120" s="65"/>
      <c r="AIA120" s="65"/>
      <c r="AIB120" s="65"/>
      <c r="AIC120" s="65"/>
      <c r="AID120" s="65"/>
      <c r="AIE120" s="65"/>
      <c r="AIF120" s="65"/>
      <c r="AIG120" s="65"/>
      <c r="AIH120" s="65"/>
      <c r="AII120" s="65"/>
      <c r="AIJ120" s="65"/>
      <c r="AIK120" s="65"/>
      <c r="AIL120" s="65"/>
      <c r="AIM120" s="65"/>
      <c r="AIN120" s="65"/>
      <c r="AIO120" s="65"/>
      <c r="AIP120" s="65"/>
      <c r="AIQ120" s="65"/>
      <c r="AIR120" s="65"/>
      <c r="AIS120" s="65"/>
      <c r="AIT120" s="65"/>
      <c r="AIU120" s="65"/>
      <c r="AIV120" s="65"/>
      <c r="AIW120" s="65"/>
      <c r="AIX120" s="65"/>
      <c r="AIY120" s="65"/>
      <c r="AIZ120" s="65"/>
      <c r="AJA120" s="65"/>
      <c r="AJB120" s="65"/>
      <c r="AJC120" s="65"/>
      <c r="AJD120" s="65"/>
      <c r="AJE120" s="65"/>
      <c r="AJF120" s="65"/>
      <c r="AJG120" s="65"/>
      <c r="AJH120" s="65"/>
      <c r="AJI120" s="65"/>
      <c r="AJJ120" s="65"/>
      <c r="AJK120" s="65"/>
      <c r="AJL120" s="65"/>
      <c r="AJM120" s="65"/>
      <c r="AJN120" s="65"/>
      <c r="AJO120" s="65"/>
      <c r="AJP120" s="65"/>
      <c r="AJQ120" s="65"/>
      <c r="AJR120" s="65"/>
      <c r="AJS120" s="65"/>
      <c r="AJT120" s="65"/>
      <c r="AJU120" s="65"/>
      <c r="AJV120" s="65"/>
      <c r="AJW120" s="65"/>
      <c r="AJX120" s="65"/>
      <c r="AJY120" s="65"/>
      <c r="AJZ120" s="65"/>
      <c r="AKA120" s="65"/>
      <c r="AKB120" s="65"/>
      <c r="AKC120" s="65"/>
      <c r="AKD120" s="65"/>
      <c r="AKE120" s="65"/>
      <c r="AKF120" s="65"/>
      <c r="AKG120" s="65"/>
      <c r="AKH120" s="65"/>
      <c r="AKI120" s="65"/>
      <c r="AKJ120" s="65"/>
      <c r="AKK120" s="65"/>
      <c r="AKL120" s="65"/>
      <c r="AKM120" s="65"/>
      <c r="AKN120" s="65"/>
      <c r="AKO120" s="65"/>
      <c r="AKP120" s="65"/>
      <c r="AKQ120" s="65"/>
      <c r="AKR120" s="65"/>
      <c r="AKS120" s="65"/>
      <c r="AKT120" s="65"/>
      <c r="AKU120" s="65"/>
      <c r="AKV120" s="65"/>
      <c r="AKW120" s="65"/>
      <c r="AKX120" s="65"/>
      <c r="AKY120" s="65"/>
      <c r="AKZ120" s="65"/>
      <c r="ALA120" s="65"/>
      <c r="ALB120" s="65"/>
      <c r="ALC120" s="65"/>
      <c r="ALD120" s="65"/>
      <c r="ALE120" s="65"/>
      <c r="ALF120" s="65"/>
      <c r="ALG120" s="65"/>
      <c r="ALH120" s="65"/>
      <c r="ALI120" s="65"/>
      <c r="ALJ120" s="65"/>
      <c r="ALK120" s="65"/>
      <c r="ALL120" s="65"/>
      <c r="ALM120" s="65"/>
      <c r="ALN120" s="65"/>
      <c r="ALO120" s="65"/>
      <c r="ALP120" s="65"/>
      <c r="ALQ120" s="65"/>
      <c r="ALR120" s="65"/>
      <c r="ALS120" s="65"/>
      <c r="ALT120" s="65"/>
      <c r="ALU120" s="65"/>
      <c r="ALV120" s="65"/>
      <c r="ALW120" s="65"/>
      <c r="ALX120" s="65"/>
      <c r="ALY120" s="65"/>
      <c r="ALZ120" s="65"/>
      <c r="AMA120" s="65"/>
      <c r="AMB120" s="65"/>
      <c r="AMC120" s="65"/>
      <c r="AMD120" s="65"/>
      <c r="AME120" s="65"/>
      <c r="AMF120" s="65"/>
      <c r="AMG120" s="65"/>
      <c r="AMH120" s="65"/>
      <c r="AMI120" s="65"/>
      <c r="AMJ120" s="65"/>
    </row>
    <row r="121" spans="12:1024" ht="16" customHeight="1" x14ac:dyDescent="0.25">
      <c r="L121" s="65"/>
      <c r="M121" s="66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  <c r="QI121" s="65"/>
      <c r="QJ121" s="65"/>
      <c r="QK121" s="65"/>
      <c r="QL121" s="65"/>
      <c r="QM121" s="65"/>
      <c r="QN121" s="65"/>
      <c r="QO121" s="65"/>
      <c r="QP121" s="65"/>
      <c r="QQ121" s="65"/>
      <c r="QR121" s="65"/>
      <c r="QS121" s="65"/>
      <c r="QT121" s="65"/>
      <c r="QU121" s="65"/>
      <c r="QV121" s="65"/>
      <c r="QW121" s="65"/>
      <c r="QX121" s="65"/>
      <c r="QY121" s="65"/>
      <c r="QZ121" s="65"/>
      <c r="RA121" s="65"/>
      <c r="RB121" s="65"/>
      <c r="RC121" s="65"/>
      <c r="RD121" s="65"/>
      <c r="RE121" s="65"/>
      <c r="RF121" s="65"/>
      <c r="RG121" s="65"/>
      <c r="RH121" s="65"/>
      <c r="RI121" s="65"/>
      <c r="RJ121" s="65"/>
      <c r="RK121" s="65"/>
      <c r="RL121" s="65"/>
      <c r="RM121" s="65"/>
      <c r="RN121" s="65"/>
      <c r="RO121" s="65"/>
      <c r="RP121" s="65"/>
      <c r="RQ121" s="65"/>
      <c r="RR121" s="65"/>
      <c r="RS121" s="65"/>
      <c r="RT121" s="65"/>
      <c r="RU121" s="65"/>
      <c r="RV121" s="65"/>
      <c r="RW121" s="65"/>
      <c r="RX121" s="65"/>
      <c r="RY121" s="65"/>
      <c r="RZ121" s="65"/>
      <c r="SA121" s="65"/>
      <c r="SB121" s="65"/>
      <c r="SC121" s="65"/>
      <c r="SD121" s="65"/>
      <c r="SE121" s="65"/>
      <c r="SF121" s="65"/>
      <c r="SG121" s="65"/>
      <c r="SH121" s="65"/>
      <c r="SI121" s="65"/>
      <c r="SJ121" s="65"/>
      <c r="SK121" s="65"/>
      <c r="SL121" s="65"/>
      <c r="SM121" s="65"/>
      <c r="SN121" s="65"/>
      <c r="SO121" s="65"/>
      <c r="SP121" s="65"/>
      <c r="SQ121" s="65"/>
      <c r="SR121" s="65"/>
      <c r="SS121" s="65"/>
      <c r="ST121" s="65"/>
      <c r="SU121" s="65"/>
      <c r="SV121" s="65"/>
      <c r="SW121" s="65"/>
      <c r="SX121" s="65"/>
      <c r="SY121" s="65"/>
      <c r="SZ121" s="65"/>
      <c r="TA121" s="65"/>
      <c r="TB121" s="65"/>
      <c r="TC121" s="65"/>
      <c r="TD121" s="65"/>
      <c r="TE121" s="65"/>
      <c r="TF121" s="65"/>
      <c r="TG121" s="65"/>
      <c r="TH121" s="65"/>
      <c r="TI121" s="65"/>
      <c r="TJ121" s="65"/>
      <c r="TK121" s="65"/>
      <c r="TL121" s="65"/>
      <c r="TM121" s="65"/>
      <c r="TN121" s="65"/>
      <c r="TO121" s="65"/>
      <c r="TP121" s="65"/>
      <c r="TQ121" s="65"/>
      <c r="TR121" s="65"/>
      <c r="TS121" s="65"/>
      <c r="TT121" s="65"/>
      <c r="TU121" s="65"/>
      <c r="TV121" s="65"/>
      <c r="TW121" s="65"/>
      <c r="TX121" s="65"/>
      <c r="TY121" s="65"/>
      <c r="TZ121" s="65"/>
      <c r="UA121" s="65"/>
      <c r="UB121" s="65"/>
      <c r="UC121" s="65"/>
      <c r="UD121" s="65"/>
      <c r="UE121" s="65"/>
      <c r="UF121" s="65"/>
      <c r="UG121" s="65"/>
      <c r="UH121" s="65"/>
      <c r="UI121" s="65"/>
      <c r="UJ121" s="65"/>
      <c r="UK121" s="65"/>
      <c r="UL121" s="65"/>
      <c r="UM121" s="65"/>
      <c r="UN121" s="65"/>
      <c r="UO121" s="65"/>
      <c r="UP121" s="65"/>
      <c r="UQ121" s="65"/>
      <c r="UR121" s="65"/>
      <c r="US121" s="65"/>
      <c r="UT121" s="65"/>
      <c r="UU121" s="65"/>
      <c r="UV121" s="65"/>
      <c r="UW121" s="65"/>
      <c r="UX121" s="65"/>
      <c r="UY121" s="65"/>
      <c r="UZ121" s="65"/>
      <c r="VA121" s="65"/>
      <c r="VB121" s="65"/>
      <c r="VC121" s="65"/>
      <c r="VD121" s="65"/>
      <c r="VE121" s="65"/>
      <c r="VF121" s="65"/>
      <c r="VG121" s="65"/>
      <c r="VH121" s="65"/>
      <c r="VI121" s="65"/>
      <c r="VJ121" s="65"/>
      <c r="VK121" s="65"/>
      <c r="VL121" s="65"/>
      <c r="VM121" s="65"/>
      <c r="VN121" s="65"/>
      <c r="VO121" s="65"/>
      <c r="VP121" s="65"/>
      <c r="VQ121" s="65"/>
      <c r="VR121" s="65"/>
      <c r="VS121" s="65"/>
      <c r="VT121" s="65"/>
      <c r="VU121" s="65"/>
      <c r="VV121" s="65"/>
      <c r="VW121" s="65"/>
      <c r="VX121" s="65"/>
      <c r="VY121" s="65"/>
      <c r="VZ121" s="65"/>
      <c r="WA121" s="65"/>
      <c r="WB121" s="65"/>
      <c r="WC121" s="65"/>
      <c r="WD121" s="65"/>
      <c r="WE121" s="65"/>
      <c r="WF121" s="65"/>
      <c r="WG121" s="65"/>
      <c r="WH121" s="65"/>
      <c r="WI121" s="65"/>
      <c r="WJ121" s="65"/>
      <c r="WK121" s="65"/>
      <c r="WL121" s="65"/>
      <c r="WM121" s="65"/>
      <c r="WN121" s="65"/>
      <c r="WO121" s="65"/>
      <c r="WP121" s="65"/>
      <c r="WQ121" s="65"/>
      <c r="WR121" s="65"/>
      <c r="WS121" s="65"/>
      <c r="WT121" s="65"/>
      <c r="WU121" s="65"/>
      <c r="WV121" s="65"/>
      <c r="WW121" s="65"/>
      <c r="WX121" s="65"/>
      <c r="WY121" s="65"/>
      <c r="WZ121" s="65"/>
      <c r="XA121" s="65"/>
      <c r="XB121" s="65"/>
      <c r="XC121" s="65"/>
      <c r="XD121" s="65"/>
      <c r="XE121" s="65"/>
      <c r="XF121" s="65"/>
      <c r="XG121" s="65"/>
      <c r="XH121" s="65"/>
      <c r="XI121" s="65"/>
      <c r="XJ121" s="65"/>
      <c r="XK121" s="65"/>
      <c r="XL121" s="65"/>
      <c r="XM121" s="65"/>
      <c r="XN121" s="65"/>
      <c r="XO121" s="65"/>
      <c r="XP121" s="65"/>
      <c r="XQ121" s="65"/>
      <c r="XR121" s="65"/>
      <c r="XS121" s="65"/>
      <c r="XT121" s="65"/>
      <c r="XU121" s="65"/>
      <c r="XV121" s="65"/>
      <c r="XW121" s="65"/>
      <c r="XX121" s="65"/>
      <c r="XY121" s="65"/>
      <c r="XZ121" s="65"/>
      <c r="YA121" s="65"/>
      <c r="YB121" s="65"/>
      <c r="YC121" s="65"/>
      <c r="YD121" s="65"/>
      <c r="YE121" s="65"/>
      <c r="YF121" s="65"/>
      <c r="YG121" s="65"/>
      <c r="YH121" s="65"/>
      <c r="YI121" s="65"/>
      <c r="YJ121" s="65"/>
      <c r="YK121" s="65"/>
      <c r="YL121" s="65"/>
      <c r="YM121" s="65"/>
      <c r="YN121" s="65"/>
      <c r="YO121" s="65"/>
      <c r="YP121" s="65"/>
      <c r="YQ121" s="65"/>
      <c r="YR121" s="65"/>
      <c r="YS121" s="65"/>
      <c r="YT121" s="65"/>
      <c r="YU121" s="65"/>
      <c r="YV121" s="65"/>
      <c r="YW121" s="65"/>
      <c r="YX121" s="65"/>
      <c r="YY121" s="65"/>
      <c r="YZ121" s="65"/>
      <c r="ZA121" s="65"/>
      <c r="ZB121" s="65"/>
      <c r="ZC121" s="65"/>
      <c r="ZD121" s="65"/>
      <c r="ZE121" s="65"/>
      <c r="ZF121" s="65"/>
      <c r="ZG121" s="65"/>
      <c r="ZH121" s="65"/>
      <c r="ZI121" s="65"/>
      <c r="ZJ121" s="65"/>
      <c r="ZK121" s="65"/>
      <c r="ZL121" s="65"/>
      <c r="ZM121" s="65"/>
      <c r="ZN121" s="65"/>
      <c r="ZO121" s="65"/>
      <c r="ZP121" s="65"/>
      <c r="ZQ121" s="65"/>
      <c r="ZR121" s="65"/>
      <c r="ZS121" s="65"/>
      <c r="ZT121" s="65"/>
      <c r="ZU121" s="65"/>
      <c r="ZV121" s="65"/>
      <c r="ZW121" s="65"/>
      <c r="ZX121" s="65"/>
      <c r="ZY121" s="65"/>
      <c r="ZZ121" s="65"/>
      <c r="AAA121" s="65"/>
      <c r="AAB121" s="65"/>
      <c r="AAC121" s="65"/>
      <c r="AAD121" s="65"/>
      <c r="AAE121" s="65"/>
      <c r="AAF121" s="65"/>
      <c r="AAG121" s="65"/>
      <c r="AAH121" s="65"/>
      <c r="AAI121" s="65"/>
      <c r="AAJ121" s="65"/>
      <c r="AAK121" s="65"/>
      <c r="AAL121" s="65"/>
      <c r="AAM121" s="65"/>
      <c r="AAN121" s="65"/>
      <c r="AAO121" s="65"/>
      <c r="AAP121" s="65"/>
      <c r="AAQ121" s="65"/>
      <c r="AAR121" s="65"/>
      <c r="AAS121" s="65"/>
      <c r="AAT121" s="65"/>
      <c r="AAU121" s="65"/>
      <c r="AAV121" s="65"/>
      <c r="AAW121" s="65"/>
      <c r="AAX121" s="65"/>
      <c r="AAY121" s="65"/>
      <c r="AAZ121" s="65"/>
      <c r="ABA121" s="65"/>
      <c r="ABB121" s="65"/>
      <c r="ABC121" s="65"/>
      <c r="ABD121" s="65"/>
      <c r="ABE121" s="65"/>
      <c r="ABF121" s="65"/>
      <c r="ABG121" s="65"/>
      <c r="ABH121" s="65"/>
      <c r="ABI121" s="65"/>
      <c r="ABJ121" s="65"/>
      <c r="ABK121" s="65"/>
      <c r="ABL121" s="65"/>
      <c r="ABM121" s="65"/>
      <c r="ABN121" s="65"/>
      <c r="ABO121" s="65"/>
      <c r="ABP121" s="65"/>
      <c r="ABQ121" s="65"/>
      <c r="ABR121" s="65"/>
      <c r="ABS121" s="65"/>
      <c r="ABT121" s="65"/>
      <c r="ABU121" s="65"/>
      <c r="ABV121" s="65"/>
      <c r="ABW121" s="65"/>
      <c r="ABX121" s="65"/>
      <c r="ABY121" s="65"/>
      <c r="ABZ121" s="65"/>
      <c r="ACA121" s="65"/>
      <c r="ACB121" s="65"/>
      <c r="ACC121" s="65"/>
      <c r="ACD121" s="65"/>
      <c r="ACE121" s="65"/>
      <c r="ACF121" s="65"/>
      <c r="ACG121" s="65"/>
      <c r="ACH121" s="65"/>
      <c r="ACI121" s="65"/>
      <c r="ACJ121" s="65"/>
      <c r="ACK121" s="65"/>
      <c r="ACL121" s="65"/>
      <c r="ACM121" s="65"/>
      <c r="ACN121" s="65"/>
      <c r="ACO121" s="65"/>
      <c r="ACP121" s="65"/>
      <c r="ACQ121" s="65"/>
      <c r="ACR121" s="65"/>
      <c r="ACS121" s="65"/>
      <c r="ACT121" s="65"/>
      <c r="ACU121" s="65"/>
      <c r="ACV121" s="65"/>
      <c r="ACW121" s="65"/>
      <c r="ACX121" s="65"/>
      <c r="ACY121" s="65"/>
      <c r="ACZ121" s="65"/>
      <c r="ADA121" s="65"/>
      <c r="ADB121" s="65"/>
      <c r="ADC121" s="65"/>
      <c r="ADD121" s="65"/>
      <c r="ADE121" s="65"/>
      <c r="ADF121" s="65"/>
      <c r="ADG121" s="65"/>
      <c r="ADH121" s="65"/>
      <c r="ADI121" s="65"/>
      <c r="ADJ121" s="65"/>
      <c r="ADK121" s="65"/>
      <c r="ADL121" s="65"/>
      <c r="ADM121" s="65"/>
      <c r="ADN121" s="65"/>
      <c r="ADO121" s="65"/>
      <c r="ADP121" s="65"/>
      <c r="ADQ121" s="65"/>
      <c r="ADR121" s="65"/>
      <c r="ADS121" s="65"/>
      <c r="ADT121" s="65"/>
      <c r="ADU121" s="65"/>
      <c r="ADV121" s="65"/>
      <c r="ADW121" s="65"/>
      <c r="ADX121" s="65"/>
      <c r="ADY121" s="65"/>
      <c r="ADZ121" s="65"/>
      <c r="AEA121" s="65"/>
      <c r="AEB121" s="65"/>
      <c r="AEC121" s="65"/>
      <c r="AED121" s="65"/>
      <c r="AEE121" s="65"/>
      <c r="AEF121" s="65"/>
      <c r="AEG121" s="65"/>
      <c r="AEH121" s="65"/>
      <c r="AEI121" s="65"/>
      <c r="AEJ121" s="65"/>
      <c r="AEK121" s="65"/>
      <c r="AEL121" s="65"/>
      <c r="AEM121" s="65"/>
      <c r="AEN121" s="65"/>
      <c r="AEO121" s="65"/>
      <c r="AEP121" s="65"/>
      <c r="AEQ121" s="65"/>
      <c r="AER121" s="65"/>
      <c r="AES121" s="65"/>
      <c r="AET121" s="65"/>
      <c r="AEU121" s="65"/>
      <c r="AEV121" s="65"/>
      <c r="AEW121" s="65"/>
      <c r="AEX121" s="65"/>
      <c r="AEY121" s="65"/>
      <c r="AEZ121" s="65"/>
      <c r="AFA121" s="65"/>
      <c r="AFB121" s="65"/>
      <c r="AFC121" s="65"/>
      <c r="AFD121" s="65"/>
      <c r="AFE121" s="65"/>
      <c r="AFF121" s="65"/>
      <c r="AFG121" s="65"/>
      <c r="AFH121" s="65"/>
      <c r="AFI121" s="65"/>
      <c r="AFJ121" s="65"/>
      <c r="AFK121" s="65"/>
      <c r="AFL121" s="65"/>
      <c r="AFM121" s="65"/>
      <c r="AFN121" s="65"/>
      <c r="AFO121" s="65"/>
      <c r="AFP121" s="65"/>
      <c r="AFQ121" s="65"/>
      <c r="AFR121" s="65"/>
      <c r="AFS121" s="65"/>
      <c r="AFT121" s="65"/>
      <c r="AFU121" s="65"/>
      <c r="AFV121" s="65"/>
      <c r="AFW121" s="65"/>
      <c r="AFX121" s="65"/>
      <c r="AFY121" s="65"/>
      <c r="AFZ121" s="65"/>
      <c r="AGA121" s="65"/>
      <c r="AGB121" s="65"/>
      <c r="AGC121" s="65"/>
      <c r="AGD121" s="65"/>
      <c r="AGE121" s="65"/>
      <c r="AGF121" s="65"/>
      <c r="AGG121" s="65"/>
      <c r="AGH121" s="65"/>
      <c r="AGI121" s="65"/>
      <c r="AGJ121" s="65"/>
      <c r="AGK121" s="65"/>
      <c r="AGL121" s="65"/>
      <c r="AGM121" s="65"/>
      <c r="AGN121" s="65"/>
      <c r="AGO121" s="65"/>
      <c r="AGP121" s="65"/>
      <c r="AGQ121" s="65"/>
      <c r="AGR121" s="65"/>
      <c r="AGS121" s="65"/>
      <c r="AGT121" s="65"/>
      <c r="AGU121" s="65"/>
      <c r="AGV121" s="65"/>
      <c r="AGW121" s="65"/>
      <c r="AGX121" s="65"/>
      <c r="AGY121" s="65"/>
      <c r="AGZ121" s="65"/>
      <c r="AHA121" s="65"/>
      <c r="AHB121" s="65"/>
      <c r="AHC121" s="65"/>
      <c r="AHD121" s="65"/>
      <c r="AHE121" s="65"/>
      <c r="AHF121" s="65"/>
      <c r="AHG121" s="65"/>
      <c r="AHH121" s="65"/>
      <c r="AHI121" s="65"/>
      <c r="AHJ121" s="65"/>
      <c r="AHK121" s="65"/>
      <c r="AHL121" s="65"/>
      <c r="AHM121" s="65"/>
      <c r="AHN121" s="65"/>
      <c r="AHO121" s="65"/>
      <c r="AHP121" s="65"/>
      <c r="AHQ121" s="65"/>
      <c r="AHR121" s="65"/>
      <c r="AHS121" s="65"/>
      <c r="AHT121" s="65"/>
      <c r="AHU121" s="65"/>
      <c r="AHV121" s="65"/>
      <c r="AHW121" s="65"/>
      <c r="AHX121" s="65"/>
      <c r="AHY121" s="65"/>
      <c r="AHZ121" s="65"/>
      <c r="AIA121" s="65"/>
      <c r="AIB121" s="65"/>
      <c r="AIC121" s="65"/>
      <c r="AID121" s="65"/>
      <c r="AIE121" s="65"/>
      <c r="AIF121" s="65"/>
      <c r="AIG121" s="65"/>
      <c r="AIH121" s="65"/>
      <c r="AII121" s="65"/>
      <c r="AIJ121" s="65"/>
      <c r="AIK121" s="65"/>
      <c r="AIL121" s="65"/>
      <c r="AIM121" s="65"/>
      <c r="AIN121" s="65"/>
      <c r="AIO121" s="65"/>
      <c r="AIP121" s="65"/>
      <c r="AIQ121" s="65"/>
      <c r="AIR121" s="65"/>
      <c r="AIS121" s="65"/>
      <c r="AIT121" s="65"/>
      <c r="AIU121" s="65"/>
      <c r="AIV121" s="65"/>
      <c r="AIW121" s="65"/>
      <c r="AIX121" s="65"/>
      <c r="AIY121" s="65"/>
      <c r="AIZ121" s="65"/>
      <c r="AJA121" s="65"/>
      <c r="AJB121" s="65"/>
      <c r="AJC121" s="65"/>
      <c r="AJD121" s="65"/>
      <c r="AJE121" s="65"/>
      <c r="AJF121" s="65"/>
      <c r="AJG121" s="65"/>
      <c r="AJH121" s="65"/>
      <c r="AJI121" s="65"/>
      <c r="AJJ121" s="65"/>
      <c r="AJK121" s="65"/>
      <c r="AJL121" s="65"/>
      <c r="AJM121" s="65"/>
      <c r="AJN121" s="65"/>
      <c r="AJO121" s="65"/>
      <c r="AJP121" s="65"/>
      <c r="AJQ121" s="65"/>
      <c r="AJR121" s="65"/>
      <c r="AJS121" s="65"/>
      <c r="AJT121" s="65"/>
      <c r="AJU121" s="65"/>
      <c r="AJV121" s="65"/>
      <c r="AJW121" s="65"/>
      <c r="AJX121" s="65"/>
      <c r="AJY121" s="65"/>
      <c r="AJZ121" s="65"/>
      <c r="AKA121" s="65"/>
      <c r="AKB121" s="65"/>
      <c r="AKC121" s="65"/>
      <c r="AKD121" s="65"/>
      <c r="AKE121" s="65"/>
      <c r="AKF121" s="65"/>
      <c r="AKG121" s="65"/>
      <c r="AKH121" s="65"/>
      <c r="AKI121" s="65"/>
      <c r="AKJ121" s="65"/>
      <c r="AKK121" s="65"/>
      <c r="AKL121" s="65"/>
      <c r="AKM121" s="65"/>
      <c r="AKN121" s="65"/>
      <c r="AKO121" s="65"/>
      <c r="AKP121" s="65"/>
      <c r="AKQ121" s="65"/>
      <c r="AKR121" s="65"/>
      <c r="AKS121" s="65"/>
      <c r="AKT121" s="65"/>
      <c r="AKU121" s="65"/>
      <c r="AKV121" s="65"/>
      <c r="AKW121" s="65"/>
      <c r="AKX121" s="65"/>
      <c r="AKY121" s="65"/>
      <c r="AKZ121" s="65"/>
      <c r="ALA121" s="65"/>
      <c r="ALB121" s="65"/>
      <c r="ALC121" s="65"/>
      <c r="ALD121" s="65"/>
      <c r="ALE121" s="65"/>
      <c r="ALF121" s="65"/>
      <c r="ALG121" s="65"/>
      <c r="ALH121" s="65"/>
      <c r="ALI121" s="65"/>
      <c r="ALJ121" s="65"/>
      <c r="ALK121" s="65"/>
      <c r="ALL121" s="65"/>
      <c r="ALM121" s="65"/>
      <c r="ALN121" s="65"/>
      <c r="ALO121" s="65"/>
      <c r="ALP121" s="65"/>
      <c r="ALQ121" s="65"/>
      <c r="ALR121" s="65"/>
      <c r="ALS121" s="65"/>
      <c r="ALT121" s="65"/>
      <c r="ALU121" s="65"/>
      <c r="ALV121" s="65"/>
      <c r="ALW121" s="65"/>
      <c r="ALX121" s="65"/>
      <c r="ALY121" s="65"/>
      <c r="ALZ121" s="65"/>
      <c r="AMA121" s="65"/>
      <c r="AMB121" s="65"/>
      <c r="AMC121" s="65"/>
      <c r="AMD121" s="65"/>
      <c r="AME121" s="65"/>
      <c r="AMF121" s="65"/>
      <c r="AMG121" s="65"/>
      <c r="AMH121" s="65"/>
      <c r="AMI121" s="65"/>
      <c r="AMJ121" s="65"/>
    </row>
    <row r="122" spans="12:1024" ht="16" customHeight="1" x14ac:dyDescent="0.25">
      <c r="L122" s="65"/>
      <c r="M122" s="66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  <c r="QI122" s="65"/>
      <c r="QJ122" s="65"/>
      <c r="QK122" s="65"/>
      <c r="QL122" s="65"/>
      <c r="QM122" s="65"/>
      <c r="QN122" s="65"/>
      <c r="QO122" s="65"/>
      <c r="QP122" s="65"/>
      <c r="QQ122" s="65"/>
      <c r="QR122" s="65"/>
      <c r="QS122" s="65"/>
      <c r="QT122" s="65"/>
      <c r="QU122" s="65"/>
      <c r="QV122" s="65"/>
      <c r="QW122" s="65"/>
      <c r="QX122" s="65"/>
      <c r="QY122" s="65"/>
      <c r="QZ122" s="65"/>
      <c r="RA122" s="65"/>
      <c r="RB122" s="65"/>
      <c r="RC122" s="65"/>
      <c r="RD122" s="65"/>
      <c r="RE122" s="65"/>
      <c r="RF122" s="65"/>
      <c r="RG122" s="65"/>
      <c r="RH122" s="65"/>
      <c r="RI122" s="65"/>
      <c r="RJ122" s="65"/>
      <c r="RK122" s="65"/>
      <c r="RL122" s="65"/>
      <c r="RM122" s="65"/>
      <c r="RN122" s="65"/>
      <c r="RO122" s="65"/>
      <c r="RP122" s="65"/>
      <c r="RQ122" s="65"/>
      <c r="RR122" s="65"/>
      <c r="RS122" s="65"/>
      <c r="RT122" s="65"/>
      <c r="RU122" s="65"/>
      <c r="RV122" s="65"/>
      <c r="RW122" s="65"/>
      <c r="RX122" s="65"/>
      <c r="RY122" s="65"/>
      <c r="RZ122" s="65"/>
      <c r="SA122" s="65"/>
      <c r="SB122" s="65"/>
      <c r="SC122" s="65"/>
      <c r="SD122" s="65"/>
      <c r="SE122" s="65"/>
      <c r="SF122" s="65"/>
      <c r="SG122" s="65"/>
      <c r="SH122" s="65"/>
      <c r="SI122" s="65"/>
      <c r="SJ122" s="65"/>
      <c r="SK122" s="65"/>
      <c r="SL122" s="65"/>
      <c r="SM122" s="65"/>
      <c r="SN122" s="65"/>
      <c r="SO122" s="65"/>
      <c r="SP122" s="65"/>
      <c r="SQ122" s="65"/>
      <c r="SR122" s="65"/>
      <c r="SS122" s="65"/>
      <c r="ST122" s="65"/>
      <c r="SU122" s="65"/>
      <c r="SV122" s="65"/>
      <c r="SW122" s="65"/>
      <c r="SX122" s="65"/>
      <c r="SY122" s="65"/>
      <c r="SZ122" s="65"/>
      <c r="TA122" s="65"/>
      <c r="TB122" s="65"/>
      <c r="TC122" s="65"/>
      <c r="TD122" s="65"/>
      <c r="TE122" s="65"/>
      <c r="TF122" s="65"/>
      <c r="TG122" s="65"/>
      <c r="TH122" s="65"/>
      <c r="TI122" s="65"/>
      <c r="TJ122" s="65"/>
      <c r="TK122" s="65"/>
      <c r="TL122" s="65"/>
      <c r="TM122" s="65"/>
      <c r="TN122" s="65"/>
      <c r="TO122" s="65"/>
      <c r="TP122" s="65"/>
      <c r="TQ122" s="65"/>
      <c r="TR122" s="65"/>
      <c r="TS122" s="65"/>
      <c r="TT122" s="65"/>
      <c r="TU122" s="65"/>
      <c r="TV122" s="65"/>
      <c r="TW122" s="65"/>
      <c r="TX122" s="65"/>
      <c r="TY122" s="65"/>
      <c r="TZ122" s="65"/>
      <c r="UA122" s="65"/>
      <c r="UB122" s="65"/>
      <c r="UC122" s="65"/>
      <c r="UD122" s="65"/>
      <c r="UE122" s="65"/>
      <c r="UF122" s="65"/>
      <c r="UG122" s="65"/>
      <c r="UH122" s="65"/>
      <c r="UI122" s="65"/>
      <c r="UJ122" s="65"/>
      <c r="UK122" s="65"/>
      <c r="UL122" s="65"/>
      <c r="UM122" s="65"/>
      <c r="UN122" s="65"/>
      <c r="UO122" s="65"/>
      <c r="UP122" s="65"/>
      <c r="UQ122" s="65"/>
      <c r="UR122" s="65"/>
      <c r="US122" s="65"/>
      <c r="UT122" s="65"/>
      <c r="UU122" s="65"/>
      <c r="UV122" s="65"/>
      <c r="UW122" s="65"/>
      <c r="UX122" s="65"/>
      <c r="UY122" s="65"/>
      <c r="UZ122" s="65"/>
      <c r="VA122" s="65"/>
      <c r="VB122" s="65"/>
      <c r="VC122" s="65"/>
      <c r="VD122" s="65"/>
      <c r="VE122" s="65"/>
      <c r="VF122" s="65"/>
      <c r="VG122" s="65"/>
      <c r="VH122" s="65"/>
      <c r="VI122" s="65"/>
      <c r="VJ122" s="65"/>
      <c r="VK122" s="65"/>
      <c r="VL122" s="65"/>
      <c r="VM122" s="65"/>
      <c r="VN122" s="65"/>
      <c r="VO122" s="65"/>
      <c r="VP122" s="65"/>
      <c r="VQ122" s="65"/>
      <c r="VR122" s="65"/>
      <c r="VS122" s="65"/>
      <c r="VT122" s="65"/>
      <c r="VU122" s="65"/>
      <c r="VV122" s="65"/>
      <c r="VW122" s="65"/>
      <c r="VX122" s="65"/>
      <c r="VY122" s="65"/>
      <c r="VZ122" s="65"/>
      <c r="WA122" s="65"/>
      <c r="WB122" s="65"/>
      <c r="WC122" s="65"/>
      <c r="WD122" s="65"/>
      <c r="WE122" s="65"/>
      <c r="WF122" s="65"/>
      <c r="WG122" s="65"/>
      <c r="WH122" s="65"/>
      <c r="WI122" s="65"/>
      <c r="WJ122" s="65"/>
      <c r="WK122" s="65"/>
      <c r="WL122" s="65"/>
      <c r="WM122" s="65"/>
      <c r="WN122" s="65"/>
      <c r="WO122" s="65"/>
      <c r="WP122" s="65"/>
      <c r="WQ122" s="65"/>
      <c r="WR122" s="65"/>
      <c r="WS122" s="65"/>
      <c r="WT122" s="65"/>
      <c r="WU122" s="65"/>
      <c r="WV122" s="65"/>
      <c r="WW122" s="65"/>
      <c r="WX122" s="65"/>
      <c r="WY122" s="65"/>
      <c r="WZ122" s="65"/>
      <c r="XA122" s="65"/>
      <c r="XB122" s="65"/>
      <c r="XC122" s="65"/>
      <c r="XD122" s="65"/>
      <c r="XE122" s="65"/>
      <c r="XF122" s="65"/>
      <c r="XG122" s="65"/>
      <c r="XH122" s="65"/>
      <c r="XI122" s="65"/>
      <c r="XJ122" s="65"/>
      <c r="XK122" s="65"/>
      <c r="XL122" s="65"/>
      <c r="XM122" s="65"/>
      <c r="XN122" s="65"/>
      <c r="XO122" s="65"/>
      <c r="XP122" s="65"/>
      <c r="XQ122" s="65"/>
      <c r="XR122" s="65"/>
      <c r="XS122" s="65"/>
      <c r="XT122" s="65"/>
      <c r="XU122" s="65"/>
      <c r="XV122" s="65"/>
      <c r="XW122" s="65"/>
      <c r="XX122" s="65"/>
      <c r="XY122" s="65"/>
      <c r="XZ122" s="65"/>
      <c r="YA122" s="65"/>
      <c r="YB122" s="65"/>
      <c r="YC122" s="65"/>
      <c r="YD122" s="65"/>
      <c r="YE122" s="65"/>
      <c r="YF122" s="65"/>
      <c r="YG122" s="65"/>
      <c r="YH122" s="65"/>
      <c r="YI122" s="65"/>
      <c r="YJ122" s="65"/>
      <c r="YK122" s="65"/>
      <c r="YL122" s="65"/>
      <c r="YM122" s="65"/>
      <c r="YN122" s="65"/>
      <c r="YO122" s="65"/>
      <c r="YP122" s="65"/>
      <c r="YQ122" s="65"/>
      <c r="YR122" s="65"/>
      <c r="YS122" s="65"/>
      <c r="YT122" s="65"/>
      <c r="YU122" s="65"/>
      <c r="YV122" s="65"/>
      <c r="YW122" s="65"/>
      <c r="YX122" s="65"/>
      <c r="YY122" s="65"/>
      <c r="YZ122" s="65"/>
      <c r="ZA122" s="65"/>
      <c r="ZB122" s="65"/>
      <c r="ZC122" s="65"/>
      <c r="ZD122" s="65"/>
      <c r="ZE122" s="65"/>
      <c r="ZF122" s="65"/>
      <c r="ZG122" s="65"/>
      <c r="ZH122" s="65"/>
      <c r="ZI122" s="65"/>
      <c r="ZJ122" s="65"/>
      <c r="ZK122" s="65"/>
      <c r="ZL122" s="65"/>
      <c r="ZM122" s="65"/>
      <c r="ZN122" s="65"/>
      <c r="ZO122" s="65"/>
      <c r="ZP122" s="65"/>
      <c r="ZQ122" s="65"/>
      <c r="ZR122" s="65"/>
      <c r="ZS122" s="65"/>
      <c r="ZT122" s="65"/>
      <c r="ZU122" s="65"/>
      <c r="ZV122" s="65"/>
      <c r="ZW122" s="65"/>
      <c r="ZX122" s="65"/>
      <c r="ZY122" s="65"/>
      <c r="ZZ122" s="65"/>
      <c r="AAA122" s="65"/>
      <c r="AAB122" s="65"/>
      <c r="AAC122" s="65"/>
      <c r="AAD122" s="65"/>
      <c r="AAE122" s="65"/>
      <c r="AAF122" s="65"/>
      <c r="AAG122" s="65"/>
      <c r="AAH122" s="65"/>
      <c r="AAI122" s="65"/>
      <c r="AAJ122" s="65"/>
      <c r="AAK122" s="65"/>
      <c r="AAL122" s="65"/>
      <c r="AAM122" s="65"/>
      <c r="AAN122" s="65"/>
      <c r="AAO122" s="65"/>
      <c r="AAP122" s="65"/>
      <c r="AAQ122" s="65"/>
      <c r="AAR122" s="65"/>
      <c r="AAS122" s="65"/>
      <c r="AAT122" s="65"/>
      <c r="AAU122" s="65"/>
      <c r="AAV122" s="65"/>
      <c r="AAW122" s="65"/>
      <c r="AAX122" s="65"/>
      <c r="AAY122" s="65"/>
      <c r="AAZ122" s="65"/>
      <c r="ABA122" s="65"/>
      <c r="ABB122" s="65"/>
      <c r="ABC122" s="65"/>
      <c r="ABD122" s="65"/>
      <c r="ABE122" s="65"/>
      <c r="ABF122" s="65"/>
      <c r="ABG122" s="65"/>
      <c r="ABH122" s="65"/>
      <c r="ABI122" s="65"/>
      <c r="ABJ122" s="65"/>
      <c r="ABK122" s="65"/>
      <c r="ABL122" s="65"/>
      <c r="ABM122" s="65"/>
      <c r="ABN122" s="65"/>
      <c r="ABO122" s="65"/>
      <c r="ABP122" s="65"/>
      <c r="ABQ122" s="65"/>
      <c r="ABR122" s="65"/>
      <c r="ABS122" s="65"/>
      <c r="ABT122" s="65"/>
      <c r="ABU122" s="65"/>
      <c r="ABV122" s="65"/>
      <c r="ABW122" s="65"/>
      <c r="ABX122" s="65"/>
      <c r="ABY122" s="65"/>
      <c r="ABZ122" s="65"/>
      <c r="ACA122" s="65"/>
      <c r="ACB122" s="65"/>
      <c r="ACC122" s="65"/>
      <c r="ACD122" s="65"/>
      <c r="ACE122" s="65"/>
      <c r="ACF122" s="65"/>
      <c r="ACG122" s="65"/>
      <c r="ACH122" s="65"/>
      <c r="ACI122" s="65"/>
      <c r="ACJ122" s="65"/>
      <c r="ACK122" s="65"/>
      <c r="ACL122" s="65"/>
      <c r="ACM122" s="65"/>
      <c r="ACN122" s="65"/>
      <c r="ACO122" s="65"/>
      <c r="ACP122" s="65"/>
      <c r="ACQ122" s="65"/>
      <c r="ACR122" s="65"/>
      <c r="ACS122" s="65"/>
      <c r="ACT122" s="65"/>
      <c r="ACU122" s="65"/>
      <c r="ACV122" s="65"/>
      <c r="ACW122" s="65"/>
      <c r="ACX122" s="65"/>
      <c r="ACY122" s="65"/>
      <c r="ACZ122" s="65"/>
      <c r="ADA122" s="65"/>
      <c r="ADB122" s="65"/>
      <c r="ADC122" s="65"/>
      <c r="ADD122" s="65"/>
      <c r="ADE122" s="65"/>
      <c r="ADF122" s="65"/>
      <c r="ADG122" s="65"/>
      <c r="ADH122" s="65"/>
      <c r="ADI122" s="65"/>
      <c r="ADJ122" s="65"/>
      <c r="ADK122" s="65"/>
      <c r="ADL122" s="65"/>
      <c r="ADM122" s="65"/>
      <c r="ADN122" s="65"/>
      <c r="ADO122" s="65"/>
      <c r="ADP122" s="65"/>
      <c r="ADQ122" s="65"/>
      <c r="ADR122" s="65"/>
      <c r="ADS122" s="65"/>
      <c r="ADT122" s="65"/>
      <c r="ADU122" s="65"/>
      <c r="ADV122" s="65"/>
      <c r="ADW122" s="65"/>
      <c r="ADX122" s="65"/>
      <c r="ADY122" s="65"/>
      <c r="ADZ122" s="65"/>
      <c r="AEA122" s="65"/>
      <c r="AEB122" s="65"/>
      <c r="AEC122" s="65"/>
      <c r="AED122" s="65"/>
      <c r="AEE122" s="65"/>
      <c r="AEF122" s="65"/>
      <c r="AEG122" s="65"/>
      <c r="AEH122" s="65"/>
      <c r="AEI122" s="65"/>
      <c r="AEJ122" s="65"/>
      <c r="AEK122" s="65"/>
      <c r="AEL122" s="65"/>
      <c r="AEM122" s="65"/>
      <c r="AEN122" s="65"/>
      <c r="AEO122" s="65"/>
      <c r="AEP122" s="65"/>
      <c r="AEQ122" s="65"/>
      <c r="AER122" s="65"/>
      <c r="AES122" s="65"/>
      <c r="AET122" s="65"/>
      <c r="AEU122" s="65"/>
      <c r="AEV122" s="65"/>
      <c r="AEW122" s="65"/>
      <c r="AEX122" s="65"/>
      <c r="AEY122" s="65"/>
      <c r="AEZ122" s="65"/>
      <c r="AFA122" s="65"/>
      <c r="AFB122" s="65"/>
      <c r="AFC122" s="65"/>
      <c r="AFD122" s="65"/>
      <c r="AFE122" s="65"/>
      <c r="AFF122" s="65"/>
      <c r="AFG122" s="65"/>
      <c r="AFH122" s="65"/>
      <c r="AFI122" s="65"/>
      <c r="AFJ122" s="65"/>
      <c r="AFK122" s="65"/>
      <c r="AFL122" s="65"/>
      <c r="AFM122" s="65"/>
      <c r="AFN122" s="65"/>
      <c r="AFO122" s="65"/>
      <c r="AFP122" s="65"/>
      <c r="AFQ122" s="65"/>
      <c r="AFR122" s="65"/>
      <c r="AFS122" s="65"/>
      <c r="AFT122" s="65"/>
      <c r="AFU122" s="65"/>
      <c r="AFV122" s="65"/>
      <c r="AFW122" s="65"/>
      <c r="AFX122" s="65"/>
      <c r="AFY122" s="65"/>
      <c r="AFZ122" s="65"/>
      <c r="AGA122" s="65"/>
      <c r="AGB122" s="65"/>
      <c r="AGC122" s="65"/>
      <c r="AGD122" s="65"/>
      <c r="AGE122" s="65"/>
      <c r="AGF122" s="65"/>
      <c r="AGG122" s="65"/>
      <c r="AGH122" s="65"/>
      <c r="AGI122" s="65"/>
      <c r="AGJ122" s="65"/>
      <c r="AGK122" s="65"/>
      <c r="AGL122" s="65"/>
      <c r="AGM122" s="65"/>
      <c r="AGN122" s="65"/>
      <c r="AGO122" s="65"/>
      <c r="AGP122" s="65"/>
      <c r="AGQ122" s="65"/>
      <c r="AGR122" s="65"/>
      <c r="AGS122" s="65"/>
      <c r="AGT122" s="65"/>
      <c r="AGU122" s="65"/>
      <c r="AGV122" s="65"/>
      <c r="AGW122" s="65"/>
      <c r="AGX122" s="65"/>
      <c r="AGY122" s="65"/>
      <c r="AGZ122" s="65"/>
      <c r="AHA122" s="65"/>
      <c r="AHB122" s="65"/>
      <c r="AHC122" s="65"/>
      <c r="AHD122" s="65"/>
      <c r="AHE122" s="65"/>
      <c r="AHF122" s="65"/>
      <c r="AHG122" s="65"/>
      <c r="AHH122" s="65"/>
      <c r="AHI122" s="65"/>
      <c r="AHJ122" s="65"/>
      <c r="AHK122" s="65"/>
      <c r="AHL122" s="65"/>
      <c r="AHM122" s="65"/>
      <c r="AHN122" s="65"/>
      <c r="AHO122" s="65"/>
      <c r="AHP122" s="65"/>
      <c r="AHQ122" s="65"/>
      <c r="AHR122" s="65"/>
      <c r="AHS122" s="65"/>
      <c r="AHT122" s="65"/>
      <c r="AHU122" s="65"/>
      <c r="AHV122" s="65"/>
      <c r="AHW122" s="65"/>
      <c r="AHX122" s="65"/>
      <c r="AHY122" s="65"/>
      <c r="AHZ122" s="65"/>
      <c r="AIA122" s="65"/>
      <c r="AIB122" s="65"/>
      <c r="AIC122" s="65"/>
      <c r="AID122" s="65"/>
      <c r="AIE122" s="65"/>
      <c r="AIF122" s="65"/>
      <c r="AIG122" s="65"/>
      <c r="AIH122" s="65"/>
      <c r="AII122" s="65"/>
      <c r="AIJ122" s="65"/>
      <c r="AIK122" s="65"/>
      <c r="AIL122" s="65"/>
      <c r="AIM122" s="65"/>
      <c r="AIN122" s="65"/>
      <c r="AIO122" s="65"/>
      <c r="AIP122" s="65"/>
      <c r="AIQ122" s="65"/>
      <c r="AIR122" s="65"/>
      <c r="AIS122" s="65"/>
      <c r="AIT122" s="65"/>
      <c r="AIU122" s="65"/>
      <c r="AIV122" s="65"/>
      <c r="AIW122" s="65"/>
      <c r="AIX122" s="65"/>
      <c r="AIY122" s="65"/>
      <c r="AIZ122" s="65"/>
      <c r="AJA122" s="65"/>
      <c r="AJB122" s="65"/>
      <c r="AJC122" s="65"/>
      <c r="AJD122" s="65"/>
      <c r="AJE122" s="65"/>
      <c r="AJF122" s="65"/>
      <c r="AJG122" s="65"/>
      <c r="AJH122" s="65"/>
      <c r="AJI122" s="65"/>
      <c r="AJJ122" s="65"/>
      <c r="AJK122" s="65"/>
      <c r="AJL122" s="65"/>
      <c r="AJM122" s="65"/>
      <c r="AJN122" s="65"/>
      <c r="AJO122" s="65"/>
      <c r="AJP122" s="65"/>
      <c r="AJQ122" s="65"/>
      <c r="AJR122" s="65"/>
      <c r="AJS122" s="65"/>
      <c r="AJT122" s="65"/>
      <c r="AJU122" s="65"/>
      <c r="AJV122" s="65"/>
      <c r="AJW122" s="65"/>
      <c r="AJX122" s="65"/>
      <c r="AJY122" s="65"/>
      <c r="AJZ122" s="65"/>
      <c r="AKA122" s="65"/>
      <c r="AKB122" s="65"/>
      <c r="AKC122" s="65"/>
      <c r="AKD122" s="65"/>
      <c r="AKE122" s="65"/>
      <c r="AKF122" s="65"/>
      <c r="AKG122" s="65"/>
      <c r="AKH122" s="65"/>
      <c r="AKI122" s="65"/>
      <c r="AKJ122" s="65"/>
      <c r="AKK122" s="65"/>
      <c r="AKL122" s="65"/>
      <c r="AKM122" s="65"/>
      <c r="AKN122" s="65"/>
      <c r="AKO122" s="65"/>
      <c r="AKP122" s="65"/>
      <c r="AKQ122" s="65"/>
      <c r="AKR122" s="65"/>
      <c r="AKS122" s="65"/>
      <c r="AKT122" s="65"/>
      <c r="AKU122" s="65"/>
      <c r="AKV122" s="65"/>
      <c r="AKW122" s="65"/>
      <c r="AKX122" s="65"/>
      <c r="AKY122" s="65"/>
      <c r="AKZ122" s="65"/>
      <c r="ALA122" s="65"/>
      <c r="ALB122" s="65"/>
      <c r="ALC122" s="65"/>
      <c r="ALD122" s="65"/>
      <c r="ALE122" s="65"/>
      <c r="ALF122" s="65"/>
      <c r="ALG122" s="65"/>
      <c r="ALH122" s="65"/>
      <c r="ALI122" s="65"/>
      <c r="ALJ122" s="65"/>
      <c r="ALK122" s="65"/>
      <c r="ALL122" s="65"/>
      <c r="ALM122" s="65"/>
      <c r="ALN122" s="65"/>
      <c r="ALO122" s="65"/>
      <c r="ALP122" s="65"/>
      <c r="ALQ122" s="65"/>
      <c r="ALR122" s="65"/>
      <c r="ALS122" s="65"/>
      <c r="ALT122" s="65"/>
      <c r="ALU122" s="65"/>
      <c r="ALV122" s="65"/>
      <c r="ALW122" s="65"/>
      <c r="ALX122" s="65"/>
      <c r="ALY122" s="65"/>
      <c r="ALZ122" s="65"/>
      <c r="AMA122" s="65"/>
      <c r="AMB122" s="65"/>
      <c r="AMC122" s="65"/>
      <c r="AMD122" s="65"/>
      <c r="AME122" s="65"/>
      <c r="AMF122" s="65"/>
      <c r="AMG122" s="65"/>
      <c r="AMH122" s="65"/>
      <c r="AMI122" s="65"/>
      <c r="AMJ122" s="65"/>
    </row>
    <row r="123" spans="12:1024" ht="16" customHeight="1" x14ac:dyDescent="0.25">
      <c r="L123" s="65"/>
      <c r="M123" s="66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  <c r="QI123" s="65"/>
      <c r="QJ123" s="65"/>
      <c r="QK123" s="65"/>
      <c r="QL123" s="65"/>
      <c r="QM123" s="65"/>
      <c r="QN123" s="65"/>
      <c r="QO123" s="65"/>
      <c r="QP123" s="65"/>
      <c r="QQ123" s="65"/>
      <c r="QR123" s="65"/>
      <c r="QS123" s="65"/>
      <c r="QT123" s="65"/>
      <c r="QU123" s="65"/>
      <c r="QV123" s="65"/>
      <c r="QW123" s="65"/>
      <c r="QX123" s="65"/>
      <c r="QY123" s="65"/>
      <c r="QZ123" s="65"/>
      <c r="RA123" s="65"/>
      <c r="RB123" s="65"/>
      <c r="RC123" s="65"/>
      <c r="RD123" s="65"/>
      <c r="RE123" s="65"/>
      <c r="RF123" s="65"/>
      <c r="RG123" s="65"/>
      <c r="RH123" s="65"/>
      <c r="RI123" s="65"/>
      <c r="RJ123" s="65"/>
      <c r="RK123" s="65"/>
      <c r="RL123" s="65"/>
      <c r="RM123" s="65"/>
      <c r="RN123" s="65"/>
      <c r="RO123" s="65"/>
      <c r="RP123" s="65"/>
      <c r="RQ123" s="65"/>
      <c r="RR123" s="65"/>
      <c r="RS123" s="65"/>
      <c r="RT123" s="65"/>
      <c r="RU123" s="65"/>
      <c r="RV123" s="65"/>
      <c r="RW123" s="65"/>
      <c r="RX123" s="65"/>
      <c r="RY123" s="65"/>
      <c r="RZ123" s="65"/>
      <c r="SA123" s="65"/>
      <c r="SB123" s="65"/>
      <c r="SC123" s="65"/>
      <c r="SD123" s="65"/>
      <c r="SE123" s="65"/>
      <c r="SF123" s="65"/>
      <c r="SG123" s="65"/>
      <c r="SH123" s="65"/>
      <c r="SI123" s="65"/>
      <c r="SJ123" s="65"/>
      <c r="SK123" s="65"/>
      <c r="SL123" s="65"/>
      <c r="SM123" s="65"/>
      <c r="SN123" s="65"/>
      <c r="SO123" s="65"/>
      <c r="SP123" s="65"/>
      <c r="SQ123" s="65"/>
      <c r="SR123" s="65"/>
      <c r="SS123" s="65"/>
      <c r="ST123" s="65"/>
      <c r="SU123" s="65"/>
      <c r="SV123" s="65"/>
      <c r="SW123" s="65"/>
      <c r="SX123" s="65"/>
      <c r="SY123" s="65"/>
      <c r="SZ123" s="65"/>
      <c r="TA123" s="65"/>
      <c r="TB123" s="65"/>
      <c r="TC123" s="65"/>
      <c r="TD123" s="65"/>
      <c r="TE123" s="65"/>
      <c r="TF123" s="65"/>
      <c r="TG123" s="65"/>
      <c r="TH123" s="65"/>
      <c r="TI123" s="65"/>
      <c r="TJ123" s="65"/>
      <c r="TK123" s="65"/>
      <c r="TL123" s="65"/>
      <c r="TM123" s="65"/>
      <c r="TN123" s="65"/>
      <c r="TO123" s="65"/>
      <c r="TP123" s="65"/>
      <c r="TQ123" s="65"/>
      <c r="TR123" s="65"/>
      <c r="TS123" s="65"/>
      <c r="TT123" s="65"/>
      <c r="TU123" s="65"/>
      <c r="TV123" s="65"/>
      <c r="TW123" s="65"/>
      <c r="TX123" s="65"/>
      <c r="TY123" s="65"/>
      <c r="TZ123" s="65"/>
      <c r="UA123" s="65"/>
      <c r="UB123" s="65"/>
      <c r="UC123" s="65"/>
      <c r="UD123" s="65"/>
      <c r="UE123" s="65"/>
      <c r="UF123" s="65"/>
      <c r="UG123" s="65"/>
      <c r="UH123" s="65"/>
      <c r="UI123" s="65"/>
      <c r="UJ123" s="65"/>
      <c r="UK123" s="65"/>
      <c r="UL123" s="65"/>
      <c r="UM123" s="65"/>
      <c r="UN123" s="65"/>
      <c r="UO123" s="65"/>
      <c r="UP123" s="65"/>
      <c r="UQ123" s="65"/>
      <c r="UR123" s="65"/>
      <c r="US123" s="65"/>
      <c r="UT123" s="65"/>
      <c r="UU123" s="65"/>
      <c r="UV123" s="65"/>
      <c r="UW123" s="65"/>
      <c r="UX123" s="65"/>
      <c r="UY123" s="65"/>
      <c r="UZ123" s="65"/>
      <c r="VA123" s="65"/>
      <c r="VB123" s="65"/>
      <c r="VC123" s="65"/>
      <c r="VD123" s="65"/>
      <c r="VE123" s="65"/>
      <c r="VF123" s="65"/>
      <c r="VG123" s="65"/>
      <c r="VH123" s="65"/>
      <c r="VI123" s="65"/>
      <c r="VJ123" s="65"/>
      <c r="VK123" s="65"/>
      <c r="VL123" s="65"/>
      <c r="VM123" s="65"/>
      <c r="VN123" s="65"/>
      <c r="VO123" s="65"/>
      <c r="VP123" s="65"/>
      <c r="VQ123" s="65"/>
      <c r="VR123" s="65"/>
      <c r="VS123" s="65"/>
      <c r="VT123" s="65"/>
      <c r="VU123" s="65"/>
      <c r="VV123" s="65"/>
      <c r="VW123" s="65"/>
      <c r="VX123" s="65"/>
      <c r="VY123" s="65"/>
      <c r="VZ123" s="65"/>
      <c r="WA123" s="65"/>
      <c r="WB123" s="65"/>
      <c r="WC123" s="65"/>
      <c r="WD123" s="65"/>
      <c r="WE123" s="65"/>
      <c r="WF123" s="65"/>
      <c r="WG123" s="65"/>
      <c r="WH123" s="65"/>
      <c r="WI123" s="65"/>
      <c r="WJ123" s="65"/>
      <c r="WK123" s="65"/>
      <c r="WL123" s="65"/>
      <c r="WM123" s="65"/>
      <c r="WN123" s="65"/>
      <c r="WO123" s="65"/>
      <c r="WP123" s="65"/>
      <c r="WQ123" s="65"/>
      <c r="WR123" s="65"/>
      <c r="WS123" s="65"/>
      <c r="WT123" s="65"/>
      <c r="WU123" s="65"/>
      <c r="WV123" s="65"/>
      <c r="WW123" s="65"/>
      <c r="WX123" s="65"/>
      <c r="WY123" s="65"/>
      <c r="WZ123" s="65"/>
      <c r="XA123" s="65"/>
      <c r="XB123" s="65"/>
      <c r="XC123" s="65"/>
      <c r="XD123" s="65"/>
      <c r="XE123" s="65"/>
      <c r="XF123" s="65"/>
      <c r="XG123" s="65"/>
      <c r="XH123" s="65"/>
      <c r="XI123" s="65"/>
      <c r="XJ123" s="65"/>
      <c r="XK123" s="65"/>
      <c r="XL123" s="65"/>
      <c r="XM123" s="65"/>
      <c r="XN123" s="65"/>
      <c r="XO123" s="65"/>
      <c r="XP123" s="65"/>
      <c r="XQ123" s="65"/>
      <c r="XR123" s="65"/>
      <c r="XS123" s="65"/>
      <c r="XT123" s="65"/>
      <c r="XU123" s="65"/>
      <c r="XV123" s="65"/>
      <c r="XW123" s="65"/>
      <c r="XX123" s="65"/>
      <c r="XY123" s="65"/>
      <c r="XZ123" s="65"/>
      <c r="YA123" s="65"/>
      <c r="YB123" s="65"/>
      <c r="YC123" s="65"/>
      <c r="YD123" s="65"/>
      <c r="YE123" s="65"/>
      <c r="YF123" s="65"/>
      <c r="YG123" s="65"/>
      <c r="YH123" s="65"/>
      <c r="YI123" s="65"/>
      <c r="YJ123" s="65"/>
      <c r="YK123" s="65"/>
      <c r="YL123" s="65"/>
      <c r="YM123" s="65"/>
      <c r="YN123" s="65"/>
      <c r="YO123" s="65"/>
      <c r="YP123" s="65"/>
      <c r="YQ123" s="65"/>
      <c r="YR123" s="65"/>
      <c r="YS123" s="65"/>
      <c r="YT123" s="65"/>
      <c r="YU123" s="65"/>
      <c r="YV123" s="65"/>
      <c r="YW123" s="65"/>
      <c r="YX123" s="65"/>
      <c r="YY123" s="65"/>
      <c r="YZ123" s="65"/>
      <c r="ZA123" s="65"/>
      <c r="ZB123" s="65"/>
      <c r="ZC123" s="65"/>
      <c r="ZD123" s="65"/>
      <c r="ZE123" s="65"/>
      <c r="ZF123" s="65"/>
      <c r="ZG123" s="65"/>
      <c r="ZH123" s="65"/>
      <c r="ZI123" s="65"/>
      <c r="ZJ123" s="65"/>
      <c r="ZK123" s="65"/>
      <c r="ZL123" s="65"/>
      <c r="ZM123" s="65"/>
      <c r="ZN123" s="65"/>
      <c r="ZO123" s="65"/>
      <c r="ZP123" s="65"/>
      <c r="ZQ123" s="65"/>
      <c r="ZR123" s="65"/>
      <c r="ZS123" s="65"/>
      <c r="ZT123" s="65"/>
      <c r="ZU123" s="65"/>
      <c r="ZV123" s="65"/>
      <c r="ZW123" s="65"/>
      <c r="ZX123" s="65"/>
      <c r="ZY123" s="65"/>
      <c r="ZZ123" s="65"/>
      <c r="AAA123" s="65"/>
      <c r="AAB123" s="65"/>
      <c r="AAC123" s="65"/>
      <c r="AAD123" s="65"/>
      <c r="AAE123" s="65"/>
      <c r="AAF123" s="65"/>
      <c r="AAG123" s="65"/>
      <c r="AAH123" s="65"/>
      <c r="AAI123" s="65"/>
      <c r="AAJ123" s="65"/>
      <c r="AAK123" s="65"/>
      <c r="AAL123" s="65"/>
      <c r="AAM123" s="65"/>
      <c r="AAN123" s="65"/>
      <c r="AAO123" s="65"/>
      <c r="AAP123" s="65"/>
      <c r="AAQ123" s="65"/>
      <c r="AAR123" s="65"/>
      <c r="AAS123" s="65"/>
      <c r="AAT123" s="65"/>
      <c r="AAU123" s="65"/>
      <c r="AAV123" s="65"/>
      <c r="AAW123" s="65"/>
      <c r="AAX123" s="65"/>
      <c r="AAY123" s="65"/>
      <c r="AAZ123" s="65"/>
      <c r="ABA123" s="65"/>
      <c r="ABB123" s="65"/>
      <c r="ABC123" s="65"/>
      <c r="ABD123" s="65"/>
      <c r="ABE123" s="65"/>
      <c r="ABF123" s="65"/>
      <c r="ABG123" s="65"/>
      <c r="ABH123" s="65"/>
      <c r="ABI123" s="65"/>
      <c r="ABJ123" s="65"/>
      <c r="ABK123" s="65"/>
      <c r="ABL123" s="65"/>
      <c r="ABM123" s="65"/>
      <c r="ABN123" s="65"/>
      <c r="ABO123" s="65"/>
      <c r="ABP123" s="65"/>
      <c r="ABQ123" s="65"/>
      <c r="ABR123" s="65"/>
      <c r="ABS123" s="65"/>
      <c r="ABT123" s="65"/>
      <c r="ABU123" s="65"/>
      <c r="ABV123" s="65"/>
      <c r="ABW123" s="65"/>
      <c r="ABX123" s="65"/>
      <c r="ABY123" s="65"/>
      <c r="ABZ123" s="65"/>
      <c r="ACA123" s="65"/>
      <c r="ACB123" s="65"/>
      <c r="ACC123" s="65"/>
      <c r="ACD123" s="65"/>
      <c r="ACE123" s="65"/>
      <c r="ACF123" s="65"/>
      <c r="ACG123" s="65"/>
      <c r="ACH123" s="65"/>
      <c r="ACI123" s="65"/>
      <c r="ACJ123" s="65"/>
      <c r="ACK123" s="65"/>
      <c r="ACL123" s="65"/>
      <c r="ACM123" s="65"/>
      <c r="ACN123" s="65"/>
      <c r="ACO123" s="65"/>
      <c r="ACP123" s="65"/>
      <c r="ACQ123" s="65"/>
      <c r="ACR123" s="65"/>
      <c r="ACS123" s="65"/>
      <c r="ACT123" s="65"/>
      <c r="ACU123" s="65"/>
      <c r="ACV123" s="65"/>
      <c r="ACW123" s="65"/>
      <c r="ACX123" s="65"/>
      <c r="ACY123" s="65"/>
      <c r="ACZ123" s="65"/>
      <c r="ADA123" s="65"/>
      <c r="ADB123" s="65"/>
      <c r="ADC123" s="65"/>
      <c r="ADD123" s="65"/>
      <c r="ADE123" s="65"/>
      <c r="ADF123" s="65"/>
      <c r="ADG123" s="65"/>
      <c r="ADH123" s="65"/>
      <c r="ADI123" s="65"/>
      <c r="ADJ123" s="65"/>
      <c r="ADK123" s="65"/>
      <c r="ADL123" s="65"/>
      <c r="ADM123" s="65"/>
      <c r="ADN123" s="65"/>
      <c r="ADO123" s="65"/>
      <c r="ADP123" s="65"/>
      <c r="ADQ123" s="65"/>
      <c r="ADR123" s="65"/>
      <c r="ADS123" s="65"/>
      <c r="ADT123" s="65"/>
      <c r="ADU123" s="65"/>
      <c r="ADV123" s="65"/>
      <c r="ADW123" s="65"/>
      <c r="ADX123" s="65"/>
      <c r="ADY123" s="65"/>
      <c r="ADZ123" s="65"/>
      <c r="AEA123" s="65"/>
      <c r="AEB123" s="65"/>
      <c r="AEC123" s="65"/>
      <c r="AED123" s="65"/>
      <c r="AEE123" s="65"/>
      <c r="AEF123" s="65"/>
      <c r="AEG123" s="65"/>
      <c r="AEH123" s="65"/>
      <c r="AEI123" s="65"/>
      <c r="AEJ123" s="65"/>
      <c r="AEK123" s="65"/>
      <c r="AEL123" s="65"/>
      <c r="AEM123" s="65"/>
      <c r="AEN123" s="65"/>
      <c r="AEO123" s="65"/>
      <c r="AEP123" s="65"/>
      <c r="AEQ123" s="65"/>
      <c r="AER123" s="65"/>
      <c r="AES123" s="65"/>
      <c r="AET123" s="65"/>
      <c r="AEU123" s="65"/>
      <c r="AEV123" s="65"/>
      <c r="AEW123" s="65"/>
      <c r="AEX123" s="65"/>
      <c r="AEY123" s="65"/>
      <c r="AEZ123" s="65"/>
      <c r="AFA123" s="65"/>
      <c r="AFB123" s="65"/>
      <c r="AFC123" s="65"/>
      <c r="AFD123" s="65"/>
      <c r="AFE123" s="65"/>
      <c r="AFF123" s="65"/>
      <c r="AFG123" s="65"/>
      <c r="AFH123" s="65"/>
      <c r="AFI123" s="65"/>
      <c r="AFJ123" s="65"/>
      <c r="AFK123" s="65"/>
      <c r="AFL123" s="65"/>
      <c r="AFM123" s="65"/>
      <c r="AFN123" s="65"/>
      <c r="AFO123" s="65"/>
      <c r="AFP123" s="65"/>
      <c r="AFQ123" s="65"/>
      <c r="AFR123" s="65"/>
      <c r="AFS123" s="65"/>
      <c r="AFT123" s="65"/>
      <c r="AFU123" s="65"/>
      <c r="AFV123" s="65"/>
      <c r="AFW123" s="65"/>
      <c r="AFX123" s="65"/>
      <c r="AFY123" s="65"/>
      <c r="AFZ123" s="65"/>
      <c r="AGA123" s="65"/>
      <c r="AGB123" s="65"/>
      <c r="AGC123" s="65"/>
      <c r="AGD123" s="65"/>
      <c r="AGE123" s="65"/>
      <c r="AGF123" s="65"/>
      <c r="AGG123" s="65"/>
      <c r="AGH123" s="65"/>
      <c r="AGI123" s="65"/>
      <c r="AGJ123" s="65"/>
      <c r="AGK123" s="65"/>
      <c r="AGL123" s="65"/>
      <c r="AGM123" s="65"/>
      <c r="AGN123" s="65"/>
      <c r="AGO123" s="65"/>
      <c r="AGP123" s="65"/>
      <c r="AGQ123" s="65"/>
      <c r="AGR123" s="65"/>
      <c r="AGS123" s="65"/>
      <c r="AGT123" s="65"/>
      <c r="AGU123" s="65"/>
      <c r="AGV123" s="65"/>
      <c r="AGW123" s="65"/>
      <c r="AGX123" s="65"/>
      <c r="AGY123" s="65"/>
      <c r="AGZ123" s="65"/>
      <c r="AHA123" s="65"/>
      <c r="AHB123" s="65"/>
      <c r="AHC123" s="65"/>
      <c r="AHD123" s="65"/>
      <c r="AHE123" s="65"/>
      <c r="AHF123" s="65"/>
      <c r="AHG123" s="65"/>
      <c r="AHH123" s="65"/>
      <c r="AHI123" s="65"/>
      <c r="AHJ123" s="65"/>
      <c r="AHK123" s="65"/>
      <c r="AHL123" s="65"/>
      <c r="AHM123" s="65"/>
      <c r="AHN123" s="65"/>
      <c r="AHO123" s="65"/>
      <c r="AHP123" s="65"/>
      <c r="AHQ123" s="65"/>
      <c r="AHR123" s="65"/>
      <c r="AHS123" s="65"/>
      <c r="AHT123" s="65"/>
      <c r="AHU123" s="65"/>
      <c r="AHV123" s="65"/>
      <c r="AHW123" s="65"/>
      <c r="AHX123" s="65"/>
      <c r="AHY123" s="65"/>
      <c r="AHZ123" s="65"/>
      <c r="AIA123" s="65"/>
      <c r="AIB123" s="65"/>
      <c r="AIC123" s="65"/>
      <c r="AID123" s="65"/>
      <c r="AIE123" s="65"/>
      <c r="AIF123" s="65"/>
      <c r="AIG123" s="65"/>
      <c r="AIH123" s="65"/>
      <c r="AII123" s="65"/>
      <c r="AIJ123" s="65"/>
      <c r="AIK123" s="65"/>
      <c r="AIL123" s="65"/>
      <c r="AIM123" s="65"/>
      <c r="AIN123" s="65"/>
      <c r="AIO123" s="65"/>
      <c r="AIP123" s="65"/>
      <c r="AIQ123" s="65"/>
      <c r="AIR123" s="65"/>
      <c r="AIS123" s="65"/>
      <c r="AIT123" s="65"/>
      <c r="AIU123" s="65"/>
      <c r="AIV123" s="65"/>
      <c r="AIW123" s="65"/>
      <c r="AIX123" s="65"/>
      <c r="AIY123" s="65"/>
      <c r="AIZ123" s="65"/>
      <c r="AJA123" s="65"/>
      <c r="AJB123" s="65"/>
      <c r="AJC123" s="65"/>
      <c r="AJD123" s="65"/>
      <c r="AJE123" s="65"/>
      <c r="AJF123" s="65"/>
      <c r="AJG123" s="65"/>
      <c r="AJH123" s="65"/>
      <c r="AJI123" s="65"/>
      <c r="AJJ123" s="65"/>
      <c r="AJK123" s="65"/>
      <c r="AJL123" s="65"/>
      <c r="AJM123" s="65"/>
      <c r="AJN123" s="65"/>
      <c r="AJO123" s="65"/>
      <c r="AJP123" s="65"/>
      <c r="AJQ123" s="65"/>
      <c r="AJR123" s="65"/>
      <c r="AJS123" s="65"/>
      <c r="AJT123" s="65"/>
      <c r="AJU123" s="65"/>
      <c r="AJV123" s="65"/>
      <c r="AJW123" s="65"/>
      <c r="AJX123" s="65"/>
      <c r="AJY123" s="65"/>
      <c r="AJZ123" s="65"/>
      <c r="AKA123" s="65"/>
      <c r="AKB123" s="65"/>
      <c r="AKC123" s="65"/>
      <c r="AKD123" s="65"/>
      <c r="AKE123" s="65"/>
      <c r="AKF123" s="65"/>
      <c r="AKG123" s="65"/>
      <c r="AKH123" s="65"/>
      <c r="AKI123" s="65"/>
      <c r="AKJ123" s="65"/>
      <c r="AKK123" s="65"/>
      <c r="AKL123" s="65"/>
      <c r="AKM123" s="65"/>
      <c r="AKN123" s="65"/>
      <c r="AKO123" s="65"/>
      <c r="AKP123" s="65"/>
      <c r="AKQ123" s="65"/>
      <c r="AKR123" s="65"/>
      <c r="AKS123" s="65"/>
      <c r="AKT123" s="65"/>
      <c r="AKU123" s="65"/>
      <c r="AKV123" s="65"/>
      <c r="AKW123" s="65"/>
      <c r="AKX123" s="65"/>
      <c r="AKY123" s="65"/>
      <c r="AKZ123" s="65"/>
      <c r="ALA123" s="65"/>
      <c r="ALB123" s="65"/>
      <c r="ALC123" s="65"/>
      <c r="ALD123" s="65"/>
      <c r="ALE123" s="65"/>
      <c r="ALF123" s="65"/>
      <c r="ALG123" s="65"/>
      <c r="ALH123" s="65"/>
      <c r="ALI123" s="65"/>
      <c r="ALJ123" s="65"/>
      <c r="ALK123" s="65"/>
      <c r="ALL123" s="65"/>
      <c r="ALM123" s="65"/>
      <c r="ALN123" s="65"/>
      <c r="ALO123" s="65"/>
      <c r="ALP123" s="65"/>
      <c r="ALQ123" s="65"/>
      <c r="ALR123" s="65"/>
      <c r="ALS123" s="65"/>
      <c r="ALT123" s="65"/>
      <c r="ALU123" s="65"/>
      <c r="ALV123" s="65"/>
      <c r="ALW123" s="65"/>
      <c r="ALX123" s="65"/>
      <c r="ALY123" s="65"/>
      <c r="ALZ123" s="65"/>
      <c r="AMA123" s="65"/>
      <c r="AMB123" s="65"/>
      <c r="AMC123" s="65"/>
      <c r="AMD123" s="65"/>
      <c r="AME123" s="65"/>
      <c r="AMF123" s="65"/>
      <c r="AMG123" s="65"/>
      <c r="AMH123" s="65"/>
      <c r="AMI123" s="65"/>
      <c r="AMJ123" s="65"/>
    </row>
    <row r="124" spans="12:1024" ht="16" customHeight="1" x14ac:dyDescent="0.25">
      <c r="L124" s="65"/>
      <c r="M124" s="66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  <c r="QI124" s="65"/>
      <c r="QJ124" s="65"/>
      <c r="QK124" s="65"/>
      <c r="QL124" s="65"/>
      <c r="QM124" s="65"/>
      <c r="QN124" s="65"/>
      <c r="QO124" s="65"/>
      <c r="QP124" s="65"/>
      <c r="QQ124" s="65"/>
      <c r="QR124" s="65"/>
      <c r="QS124" s="65"/>
      <c r="QT124" s="65"/>
      <c r="QU124" s="65"/>
      <c r="QV124" s="65"/>
      <c r="QW124" s="65"/>
      <c r="QX124" s="65"/>
      <c r="QY124" s="65"/>
      <c r="QZ124" s="65"/>
      <c r="RA124" s="65"/>
      <c r="RB124" s="65"/>
      <c r="RC124" s="65"/>
      <c r="RD124" s="65"/>
      <c r="RE124" s="65"/>
      <c r="RF124" s="65"/>
      <c r="RG124" s="65"/>
      <c r="RH124" s="65"/>
      <c r="RI124" s="65"/>
      <c r="RJ124" s="65"/>
      <c r="RK124" s="65"/>
      <c r="RL124" s="65"/>
      <c r="RM124" s="65"/>
      <c r="RN124" s="65"/>
      <c r="RO124" s="65"/>
      <c r="RP124" s="65"/>
      <c r="RQ124" s="65"/>
      <c r="RR124" s="65"/>
      <c r="RS124" s="65"/>
      <c r="RT124" s="65"/>
      <c r="RU124" s="65"/>
      <c r="RV124" s="65"/>
      <c r="RW124" s="65"/>
      <c r="RX124" s="65"/>
      <c r="RY124" s="65"/>
      <c r="RZ124" s="65"/>
      <c r="SA124" s="65"/>
      <c r="SB124" s="65"/>
      <c r="SC124" s="65"/>
      <c r="SD124" s="65"/>
      <c r="SE124" s="65"/>
      <c r="SF124" s="65"/>
      <c r="SG124" s="65"/>
      <c r="SH124" s="65"/>
      <c r="SI124" s="65"/>
      <c r="SJ124" s="65"/>
      <c r="SK124" s="65"/>
      <c r="SL124" s="65"/>
      <c r="SM124" s="65"/>
      <c r="SN124" s="65"/>
      <c r="SO124" s="65"/>
      <c r="SP124" s="65"/>
      <c r="SQ124" s="65"/>
      <c r="SR124" s="65"/>
      <c r="SS124" s="65"/>
      <c r="ST124" s="65"/>
      <c r="SU124" s="65"/>
      <c r="SV124" s="65"/>
      <c r="SW124" s="65"/>
      <c r="SX124" s="65"/>
      <c r="SY124" s="65"/>
      <c r="SZ124" s="65"/>
      <c r="TA124" s="65"/>
      <c r="TB124" s="65"/>
      <c r="TC124" s="65"/>
      <c r="TD124" s="65"/>
      <c r="TE124" s="65"/>
      <c r="TF124" s="65"/>
      <c r="TG124" s="65"/>
      <c r="TH124" s="65"/>
      <c r="TI124" s="65"/>
      <c r="TJ124" s="65"/>
      <c r="TK124" s="65"/>
      <c r="TL124" s="65"/>
      <c r="TM124" s="65"/>
      <c r="TN124" s="65"/>
      <c r="TO124" s="65"/>
      <c r="TP124" s="65"/>
      <c r="TQ124" s="65"/>
      <c r="TR124" s="65"/>
      <c r="TS124" s="65"/>
      <c r="TT124" s="65"/>
      <c r="TU124" s="65"/>
      <c r="TV124" s="65"/>
      <c r="TW124" s="65"/>
      <c r="TX124" s="65"/>
      <c r="TY124" s="65"/>
      <c r="TZ124" s="65"/>
      <c r="UA124" s="65"/>
      <c r="UB124" s="65"/>
      <c r="UC124" s="65"/>
      <c r="UD124" s="65"/>
      <c r="UE124" s="65"/>
      <c r="UF124" s="65"/>
      <c r="UG124" s="65"/>
      <c r="UH124" s="65"/>
      <c r="UI124" s="65"/>
      <c r="UJ124" s="65"/>
      <c r="UK124" s="65"/>
      <c r="UL124" s="65"/>
      <c r="UM124" s="65"/>
      <c r="UN124" s="65"/>
      <c r="UO124" s="65"/>
      <c r="UP124" s="65"/>
      <c r="UQ124" s="65"/>
      <c r="UR124" s="65"/>
      <c r="US124" s="65"/>
      <c r="UT124" s="65"/>
      <c r="UU124" s="65"/>
      <c r="UV124" s="65"/>
      <c r="UW124" s="65"/>
      <c r="UX124" s="65"/>
      <c r="UY124" s="65"/>
      <c r="UZ124" s="65"/>
      <c r="VA124" s="65"/>
      <c r="VB124" s="65"/>
      <c r="VC124" s="65"/>
      <c r="VD124" s="65"/>
      <c r="VE124" s="65"/>
      <c r="VF124" s="65"/>
      <c r="VG124" s="65"/>
      <c r="VH124" s="65"/>
      <c r="VI124" s="65"/>
      <c r="VJ124" s="65"/>
      <c r="VK124" s="65"/>
      <c r="VL124" s="65"/>
      <c r="VM124" s="65"/>
      <c r="VN124" s="65"/>
      <c r="VO124" s="65"/>
      <c r="VP124" s="65"/>
      <c r="VQ124" s="65"/>
      <c r="VR124" s="65"/>
      <c r="VS124" s="65"/>
      <c r="VT124" s="65"/>
      <c r="VU124" s="65"/>
      <c r="VV124" s="65"/>
      <c r="VW124" s="65"/>
      <c r="VX124" s="65"/>
      <c r="VY124" s="65"/>
      <c r="VZ124" s="65"/>
      <c r="WA124" s="65"/>
      <c r="WB124" s="65"/>
      <c r="WC124" s="65"/>
      <c r="WD124" s="65"/>
      <c r="WE124" s="65"/>
      <c r="WF124" s="65"/>
      <c r="WG124" s="65"/>
      <c r="WH124" s="65"/>
      <c r="WI124" s="65"/>
      <c r="WJ124" s="65"/>
      <c r="WK124" s="65"/>
      <c r="WL124" s="65"/>
      <c r="WM124" s="65"/>
      <c r="WN124" s="65"/>
      <c r="WO124" s="65"/>
      <c r="WP124" s="65"/>
      <c r="WQ124" s="65"/>
      <c r="WR124" s="65"/>
      <c r="WS124" s="65"/>
      <c r="WT124" s="65"/>
      <c r="WU124" s="65"/>
      <c r="WV124" s="65"/>
      <c r="WW124" s="65"/>
      <c r="WX124" s="65"/>
      <c r="WY124" s="65"/>
      <c r="WZ124" s="65"/>
      <c r="XA124" s="65"/>
      <c r="XB124" s="65"/>
      <c r="XC124" s="65"/>
      <c r="XD124" s="65"/>
      <c r="XE124" s="65"/>
      <c r="XF124" s="65"/>
      <c r="XG124" s="65"/>
      <c r="XH124" s="65"/>
      <c r="XI124" s="65"/>
      <c r="XJ124" s="65"/>
      <c r="XK124" s="65"/>
      <c r="XL124" s="65"/>
      <c r="XM124" s="65"/>
      <c r="XN124" s="65"/>
      <c r="XO124" s="65"/>
      <c r="XP124" s="65"/>
      <c r="XQ124" s="65"/>
      <c r="XR124" s="65"/>
      <c r="XS124" s="65"/>
      <c r="XT124" s="65"/>
      <c r="XU124" s="65"/>
      <c r="XV124" s="65"/>
      <c r="XW124" s="65"/>
      <c r="XX124" s="65"/>
      <c r="XY124" s="65"/>
      <c r="XZ124" s="65"/>
      <c r="YA124" s="65"/>
      <c r="YB124" s="65"/>
      <c r="YC124" s="65"/>
      <c r="YD124" s="65"/>
      <c r="YE124" s="65"/>
      <c r="YF124" s="65"/>
      <c r="YG124" s="65"/>
      <c r="YH124" s="65"/>
      <c r="YI124" s="65"/>
      <c r="YJ124" s="65"/>
      <c r="YK124" s="65"/>
      <c r="YL124" s="65"/>
      <c r="YM124" s="65"/>
      <c r="YN124" s="65"/>
      <c r="YO124" s="65"/>
      <c r="YP124" s="65"/>
      <c r="YQ124" s="65"/>
      <c r="YR124" s="65"/>
      <c r="YS124" s="65"/>
      <c r="YT124" s="65"/>
      <c r="YU124" s="65"/>
      <c r="YV124" s="65"/>
      <c r="YW124" s="65"/>
      <c r="YX124" s="65"/>
      <c r="YY124" s="65"/>
      <c r="YZ124" s="65"/>
      <c r="ZA124" s="65"/>
      <c r="ZB124" s="65"/>
      <c r="ZC124" s="65"/>
      <c r="ZD124" s="65"/>
      <c r="ZE124" s="65"/>
      <c r="ZF124" s="65"/>
      <c r="ZG124" s="65"/>
      <c r="ZH124" s="65"/>
      <c r="ZI124" s="65"/>
      <c r="ZJ124" s="65"/>
      <c r="ZK124" s="65"/>
      <c r="ZL124" s="65"/>
      <c r="ZM124" s="65"/>
      <c r="ZN124" s="65"/>
      <c r="ZO124" s="65"/>
      <c r="ZP124" s="65"/>
      <c r="ZQ124" s="65"/>
      <c r="ZR124" s="65"/>
      <c r="ZS124" s="65"/>
      <c r="ZT124" s="65"/>
      <c r="ZU124" s="65"/>
      <c r="ZV124" s="65"/>
      <c r="ZW124" s="65"/>
      <c r="ZX124" s="65"/>
      <c r="ZY124" s="65"/>
      <c r="ZZ124" s="65"/>
      <c r="AAA124" s="65"/>
      <c r="AAB124" s="65"/>
      <c r="AAC124" s="65"/>
      <c r="AAD124" s="65"/>
      <c r="AAE124" s="65"/>
      <c r="AAF124" s="65"/>
      <c r="AAG124" s="65"/>
      <c r="AAH124" s="65"/>
      <c r="AAI124" s="65"/>
      <c r="AAJ124" s="65"/>
      <c r="AAK124" s="65"/>
      <c r="AAL124" s="65"/>
      <c r="AAM124" s="65"/>
      <c r="AAN124" s="65"/>
      <c r="AAO124" s="65"/>
      <c r="AAP124" s="65"/>
      <c r="AAQ124" s="65"/>
      <c r="AAR124" s="65"/>
      <c r="AAS124" s="65"/>
      <c r="AAT124" s="65"/>
      <c r="AAU124" s="65"/>
      <c r="AAV124" s="65"/>
      <c r="AAW124" s="65"/>
      <c r="AAX124" s="65"/>
      <c r="AAY124" s="65"/>
      <c r="AAZ124" s="65"/>
      <c r="ABA124" s="65"/>
      <c r="ABB124" s="65"/>
      <c r="ABC124" s="65"/>
      <c r="ABD124" s="65"/>
      <c r="ABE124" s="65"/>
      <c r="ABF124" s="65"/>
      <c r="ABG124" s="65"/>
      <c r="ABH124" s="65"/>
      <c r="ABI124" s="65"/>
      <c r="ABJ124" s="65"/>
      <c r="ABK124" s="65"/>
      <c r="ABL124" s="65"/>
      <c r="ABM124" s="65"/>
      <c r="ABN124" s="65"/>
      <c r="ABO124" s="65"/>
      <c r="ABP124" s="65"/>
      <c r="ABQ124" s="65"/>
      <c r="ABR124" s="65"/>
      <c r="ABS124" s="65"/>
      <c r="ABT124" s="65"/>
      <c r="ABU124" s="65"/>
      <c r="ABV124" s="65"/>
      <c r="ABW124" s="65"/>
      <c r="ABX124" s="65"/>
      <c r="ABY124" s="65"/>
      <c r="ABZ124" s="65"/>
      <c r="ACA124" s="65"/>
      <c r="ACB124" s="65"/>
      <c r="ACC124" s="65"/>
      <c r="ACD124" s="65"/>
      <c r="ACE124" s="65"/>
      <c r="ACF124" s="65"/>
      <c r="ACG124" s="65"/>
      <c r="ACH124" s="65"/>
      <c r="ACI124" s="65"/>
      <c r="ACJ124" s="65"/>
      <c r="ACK124" s="65"/>
      <c r="ACL124" s="65"/>
      <c r="ACM124" s="65"/>
      <c r="ACN124" s="65"/>
      <c r="ACO124" s="65"/>
      <c r="ACP124" s="65"/>
      <c r="ACQ124" s="65"/>
      <c r="ACR124" s="65"/>
      <c r="ACS124" s="65"/>
      <c r="ACT124" s="65"/>
      <c r="ACU124" s="65"/>
      <c r="ACV124" s="65"/>
      <c r="ACW124" s="65"/>
      <c r="ACX124" s="65"/>
      <c r="ACY124" s="65"/>
      <c r="ACZ124" s="65"/>
      <c r="ADA124" s="65"/>
      <c r="ADB124" s="65"/>
      <c r="ADC124" s="65"/>
      <c r="ADD124" s="65"/>
      <c r="ADE124" s="65"/>
      <c r="ADF124" s="65"/>
      <c r="ADG124" s="65"/>
      <c r="ADH124" s="65"/>
      <c r="ADI124" s="65"/>
      <c r="ADJ124" s="65"/>
      <c r="ADK124" s="65"/>
      <c r="ADL124" s="65"/>
      <c r="ADM124" s="65"/>
      <c r="ADN124" s="65"/>
      <c r="ADO124" s="65"/>
      <c r="ADP124" s="65"/>
      <c r="ADQ124" s="65"/>
      <c r="ADR124" s="65"/>
      <c r="ADS124" s="65"/>
      <c r="ADT124" s="65"/>
      <c r="ADU124" s="65"/>
      <c r="ADV124" s="65"/>
      <c r="ADW124" s="65"/>
      <c r="ADX124" s="65"/>
      <c r="ADY124" s="65"/>
      <c r="ADZ124" s="65"/>
      <c r="AEA124" s="65"/>
      <c r="AEB124" s="65"/>
      <c r="AEC124" s="65"/>
      <c r="AED124" s="65"/>
      <c r="AEE124" s="65"/>
      <c r="AEF124" s="65"/>
      <c r="AEG124" s="65"/>
      <c r="AEH124" s="65"/>
      <c r="AEI124" s="65"/>
      <c r="AEJ124" s="65"/>
      <c r="AEK124" s="65"/>
      <c r="AEL124" s="65"/>
      <c r="AEM124" s="65"/>
      <c r="AEN124" s="65"/>
      <c r="AEO124" s="65"/>
      <c r="AEP124" s="65"/>
      <c r="AEQ124" s="65"/>
      <c r="AER124" s="65"/>
      <c r="AES124" s="65"/>
      <c r="AET124" s="65"/>
      <c r="AEU124" s="65"/>
      <c r="AEV124" s="65"/>
      <c r="AEW124" s="65"/>
      <c r="AEX124" s="65"/>
      <c r="AEY124" s="65"/>
      <c r="AEZ124" s="65"/>
      <c r="AFA124" s="65"/>
      <c r="AFB124" s="65"/>
      <c r="AFC124" s="65"/>
      <c r="AFD124" s="65"/>
      <c r="AFE124" s="65"/>
      <c r="AFF124" s="65"/>
      <c r="AFG124" s="65"/>
      <c r="AFH124" s="65"/>
      <c r="AFI124" s="65"/>
      <c r="AFJ124" s="65"/>
      <c r="AFK124" s="65"/>
      <c r="AFL124" s="65"/>
      <c r="AFM124" s="65"/>
      <c r="AFN124" s="65"/>
      <c r="AFO124" s="65"/>
      <c r="AFP124" s="65"/>
      <c r="AFQ124" s="65"/>
      <c r="AFR124" s="65"/>
      <c r="AFS124" s="65"/>
      <c r="AFT124" s="65"/>
      <c r="AFU124" s="65"/>
      <c r="AFV124" s="65"/>
      <c r="AFW124" s="65"/>
      <c r="AFX124" s="65"/>
      <c r="AFY124" s="65"/>
      <c r="AFZ124" s="65"/>
      <c r="AGA124" s="65"/>
      <c r="AGB124" s="65"/>
      <c r="AGC124" s="65"/>
      <c r="AGD124" s="65"/>
      <c r="AGE124" s="65"/>
      <c r="AGF124" s="65"/>
      <c r="AGG124" s="65"/>
      <c r="AGH124" s="65"/>
      <c r="AGI124" s="65"/>
      <c r="AGJ124" s="65"/>
      <c r="AGK124" s="65"/>
      <c r="AGL124" s="65"/>
      <c r="AGM124" s="65"/>
      <c r="AGN124" s="65"/>
      <c r="AGO124" s="65"/>
      <c r="AGP124" s="65"/>
      <c r="AGQ124" s="65"/>
      <c r="AGR124" s="65"/>
      <c r="AGS124" s="65"/>
      <c r="AGT124" s="65"/>
      <c r="AGU124" s="65"/>
      <c r="AGV124" s="65"/>
      <c r="AGW124" s="65"/>
      <c r="AGX124" s="65"/>
      <c r="AGY124" s="65"/>
      <c r="AGZ124" s="65"/>
      <c r="AHA124" s="65"/>
      <c r="AHB124" s="65"/>
      <c r="AHC124" s="65"/>
      <c r="AHD124" s="65"/>
      <c r="AHE124" s="65"/>
      <c r="AHF124" s="65"/>
      <c r="AHG124" s="65"/>
      <c r="AHH124" s="65"/>
      <c r="AHI124" s="65"/>
      <c r="AHJ124" s="65"/>
      <c r="AHK124" s="65"/>
      <c r="AHL124" s="65"/>
      <c r="AHM124" s="65"/>
      <c r="AHN124" s="65"/>
      <c r="AHO124" s="65"/>
      <c r="AHP124" s="65"/>
      <c r="AHQ124" s="65"/>
      <c r="AHR124" s="65"/>
      <c r="AHS124" s="65"/>
      <c r="AHT124" s="65"/>
      <c r="AHU124" s="65"/>
      <c r="AHV124" s="65"/>
      <c r="AHW124" s="65"/>
      <c r="AHX124" s="65"/>
      <c r="AHY124" s="65"/>
      <c r="AHZ124" s="65"/>
      <c r="AIA124" s="65"/>
      <c r="AIB124" s="65"/>
      <c r="AIC124" s="65"/>
      <c r="AID124" s="65"/>
      <c r="AIE124" s="65"/>
      <c r="AIF124" s="65"/>
      <c r="AIG124" s="65"/>
      <c r="AIH124" s="65"/>
      <c r="AII124" s="65"/>
      <c r="AIJ124" s="65"/>
      <c r="AIK124" s="65"/>
      <c r="AIL124" s="65"/>
      <c r="AIM124" s="65"/>
      <c r="AIN124" s="65"/>
      <c r="AIO124" s="65"/>
      <c r="AIP124" s="65"/>
      <c r="AIQ124" s="65"/>
      <c r="AIR124" s="65"/>
      <c r="AIS124" s="65"/>
      <c r="AIT124" s="65"/>
      <c r="AIU124" s="65"/>
      <c r="AIV124" s="65"/>
      <c r="AIW124" s="65"/>
      <c r="AIX124" s="65"/>
      <c r="AIY124" s="65"/>
      <c r="AIZ124" s="65"/>
      <c r="AJA124" s="65"/>
      <c r="AJB124" s="65"/>
      <c r="AJC124" s="65"/>
      <c r="AJD124" s="65"/>
      <c r="AJE124" s="65"/>
      <c r="AJF124" s="65"/>
      <c r="AJG124" s="65"/>
      <c r="AJH124" s="65"/>
      <c r="AJI124" s="65"/>
      <c r="AJJ124" s="65"/>
      <c r="AJK124" s="65"/>
      <c r="AJL124" s="65"/>
      <c r="AJM124" s="65"/>
      <c r="AJN124" s="65"/>
      <c r="AJO124" s="65"/>
      <c r="AJP124" s="65"/>
      <c r="AJQ124" s="65"/>
      <c r="AJR124" s="65"/>
      <c r="AJS124" s="65"/>
      <c r="AJT124" s="65"/>
      <c r="AJU124" s="65"/>
      <c r="AJV124" s="65"/>
      <c r="AJW124" s="65"/>
      <c r="AJX124" s="65"/>
      <c r="AJY124" s="65"/>
      <c r="AJZ124" s="65"/>
      <c r="AKA124" s="65"/>
      <c r="AKB124" s="65"/>
      <c r="AKC124" s="65"/>
      <c r="AKD124" s="65"/>
      <c r="AKE124" s="65"/>
      <c r="AKF124" s="65"/>
      <c r="AKG124" s="65"/>
      <c r="AKH124" s="65"/>
      <c r="AKI124" s="65"/>
      <c r="AKJ124" s="65"/>
      <c r="AKK124" s="65"/>
      <c r="AKL124" s="65"/>
      <c r="AKM124" s="65"/>
      <c r="AKN124" s="65"/>
      <c r="AKO124" s="65"/>
      <c r="AKP124" s="65"/>
      <c r="AKQ124" s="65"/>
      <c r="AKR124" s="65"/>
      <c r="AKS124" s="65"/>
      <c r="AKT124" s="65"/>
      <c r="AKU124" s="65"/>
      <c r="AKV124" s="65"/>
      <c r="AKW124" s="65"/>
      <c r="AKX124" s="65"/>
      <c r="AKY124" s="65"/>
      <c r="AKZ124" s="65"/>
      <c r="ALA124" s="65"/>
      <c r="ALB124" s="65"/>
      <c r="ALC124" s="65"/>
      <c r="ALD124" s="65"/>
      <c r="ALE124" s="65"/>
      <c r="ALF124" s="65"/>
      <c r="ALG124" s="65"/>
      <c r="ALH124" s="65"/>
      <c r="ALI124" s="65"/>
      <c r="ALJ124" s="65"/>
      <c r="ALK124" s="65"/>
      <c r="ALL124" s="65"/>
      <c r="ALM124" s="65"/>
      <c r="ALN124" s="65"/>
      <c r="ALO124" s="65"/>
      <c r="ALP124" s="65"/>
      <c r="ALQ124" s="65"/>
      <c r="ALR124" s="65"/>
      <c r="ALS124" s="65"/>
      <c r="ALT124" s="65"/>
      <c r="ALU124" s="65"/>
      <c r="ALV124" s="65"/>
      <c r="ALW124" s="65"/>
      <c r="ALX124" s="65"/>
      <c r="ALY124" s="65"/>
      <c r="ALZ124" s="65"/>
      <c r="AMA124" s="65"/>
      <c r="AMB124" s="65"/>
      <c r="AMC124" s="65"/>
      <c r="AMD124" s="65"/>
      <c r="AME124" s="65"/>
      <c r="AMF124" s="65"/>
      <c r="AMG124" s="65"/>
      <c r="AMH124" s="65"/>
      <c r="AMI124" s="65"/>
      <c r="AMJ124" s="65"/>
    </row>
    <row r="125" spans="12:1024" ht="20.25" customHeight="1" x14ac:dyDescent="0.25">
      <c r="L125" s="65"/>
      <c r="M125" s="66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  <c r="QI125" s="65"/>
      <c r="QJ125" s="65"/>
      <c r="QK125" s="65"/>
      <c r="QL125" s="65"/>
      <c r="QM125" s="65"/>
      <c r="QN125" s="65"/>
      <c r="QO125" s="65"/>
      <c r="QP125" s="65"/>
      <c r="QQ125" s="65"/>
      <c r="QR125" s="65"/>
      <c r="QS125" s="65"/>
      <c r="QT125" s="65"/>
      <c r="QU125" s="65"/>
      <c r="QV125" s="65"/>
      <c r="QW125" s="65"/>
      <c r="QX125" s="65"/>
      <c r="QY125" s="65"/>
      <c r="QZ125" s="65"/>
      <c r="RA125" s="65"/>
      <c r="RB125" s="65"/>
      <c r="RC125" s="65"/>
      <c r="RD125" s="65"/>
      <c r="RE125" s="65"/>
      <c r="RF125" s="65"/>
      <c r="RG125" s="65"/>
      <c r="RH125" s="65"/>
      <c r="RI125" s="65"/>
      <c r="RJ125" s="65"/>
      <c r="RK125" s="65"/>
      <c r="RL125" s="65"/>
      <c r="RM125" s="65"/>
      <c r="RN125" s="65"/>
      <c r="RO125" s="65"/>
      <c r="RP125" s="65"/>
      <c r="RQ125" s="65"/>
      <c r="RR125" s="65"/>
      <c r="RS125" s="65"/>
      <c r="RT125" s="65"/>
      <c r="RU125" s="65"/>
      <c r="RV125" s="65"/>
      <c r="RW125" s="65"/>
      <c r="RX125" s="65"/>
      <c r="RY125" s="65"/>
      <c r="RZ125" s="65"/>
      <c r="SA125" s="65"/>
      <c r="SB125" s="65"/>
      <c r="SC125" s="65"/>
      <c r="SD125" s="65"/>
      <c r="SE125" s="65"/>
      <c r="SF125" s="65"/>
      <c r="SG125" s="65"/>
      <c r="SH125" s="65"/>
      <c r="SI125" s="65"/>
      <c r="SJ125" s="65"/>
      <c r="SK125" s="65"/>
      <c r="SL125" s="65"/>
      <c r="SM125" s="65"/>
      <c r="SN125" s="65"/>
      <c r="SO125" s="65"/>
      <c r="SP125" s="65"/>
      <c r="SQ125" s="65"/>
      <c r="SR125" s="65"/>
      <c r="SS125" s="65"/>
      <c r="ST125" s="65"/>
      <c r="SU125" s="65"/>
      <c r="SV125" s="65"/>
      <c r="SW125" s="65"/>
      <c r="SX125" s="65"/>
      <c r="SY125" s="65"/>
      <c r="SZ125" s="65"/>
      <c r="TA125" s="65"/>
      <c r="TB125" s="65"/>
      <c r="TC125" s="65"/>
      <c r="TD125" s="65"/>
      <c r="TE125" s="65"/>
      <c r="TF125" s="65"/>
      <c r="TG125" s="65"/>
      <c r="TH125" s="65"/>
      <c r="TI125" s="65"/>
      <c r="TJ125" s="65"/>
      <c r="TK125" s="65"/>
      <c r="TL125" s="65"/>
      <c r="TM125" s="65"/>
      <c r="TN125" s="65"/>
      <c r="TO125" s="65"/>
      <c r="TP125" s="65"/>
      <c r="TQ125" s="65"/>
      <c r="TR125" s="65"/>
      <c r="TS125" s="65"/>
      <c r="TT125" s="65"/>
      <c r="TU125" s="65"/>
      <c r="TV125" s="65"/>
      <c r="TW125" s="65"/>
      <c r="TX125" s="65"/>
      <c r="TY125" s="65"/>
      <c r="TZ125" s="65"/>
      <c r="UA125" s="65"/>
      <c r="UB125" s="65"/>
      <c r="UC125" s="65"/>
      <c r="UD125" s="65"/>
      <c r="UE125" s="65"/>
      <c r="UF125" s="65"/>
      <c r="UG125" s="65"/>
      <c r="UH125" s="65"/>
      <c r="UI125" s="65"/>
      <c r="UJ125" s="65"/>
      <c r="UK125" s="65"/>
      <c r="UL125" s="65"/>
      <c r="UM125" s="65"/>
      <c r="UN125" s="65"/>
      <c r="UO125" s="65"/>
      <c r="UP125" s="65"/>
      <c r="UQ125" s="65"/>
      <c r="UR125" s="65"/>
      <c r="US125" s="65"/>
      <c r="UT125" s="65"/>
      <c r="UU125" s="65"/>
      <c r="UV125" s="65"/>
      <c r="UW125" s="65"/>
      <c r="UX125" s="65"/>
      <c r="UY125" s="65"/>
      <c r="UZ125" s="65"/>
      <c r="VA125" s="65"/>
      <c r="VB125" s="65"/>
      <c r="VC125" s="65"/>
      <c r="VD125" s="65"/>
      <c r="VE125" s="65"/>
      <c r="VF125" s="65"/>
      <c r="VG125" s="65"/>
      <c r="VH125" s="65"/>
      <c r="VI125" s="65"/>
      <c r="VJ125" s="65"/>
      <c r="VK125" s="65"/>
      <c r="VL125" s="65"/>
      <c r="VM125" s="65"/>
      <c r="VN125" s="65"/>
      <c r="VO125" s="65"/>
      <c r="VP125" s="65"/>
      <c r="VQ125" s="65"/>
      <c r="VR125" s="65"/>
      <c r="VS125" s="65"/>
      <c r="VT125" s="65"/>
      <c r="VU125" s="65"/>
      <c r="VV125" s="65"/>
      <c r="VW125" s="65"/>
      <c r="VX125" s="65"/>
      <c r="VY125" s="65"/>
      <c r="VZ125" s="65"/>
      <c r="WA125" s="65"/>
      <c r="WB125" s="65"/>
      <c r="WC125" s="65"/>
      <c r="WD125" s="65"/>
      <c r="WE125" s="65"/>
      <c r="WF125" s="65"/>
      <c r="WG125" s="65"/>
      <c r="WH125" s="65"/>
      <c r="WI125" s="65"/>
      <c r="WJ125" s="65"/>
      <c r="WK125" s="65"/>
      <c r="WL125" s="65"/>
      <c r="WM125" s="65"/>
      <c r="WN125" s="65"/>
      <c r="WO125" s="65"/>
      <c r="WP125" s="65"/>
      <c r="WQ125" s="65"/>
      <c r="WR125" s="65"/>
      <c r="WS125" s="65"/>
      <c r="WT125" s="65"/>
      <c r="WU125" s="65"/>
      <c r="WV125" s="65"/>
      <c r="WW125" s="65"/>
      <c r="WX125" s="65"/>
      <c r="WY125" s="65"/>
      <c r="WZ125" s="65"/>
      <c r="XA125" s="65"/>
      <c r="XB125" s="65"/>
      <c r="XC125" s="65"/>
      <c r="XD125" s="65"/>
      <c r="XE125" s="65"/>
      <c r="XF125" s="65"/>
      <c r="XG125" s="65"/>
      <c r="XH125" s="65"/>
      <c r="XI125" s="65"/>
      <c r="XJ125" s="65"/>
      <c r="XK125" s="65"/>
      <c r="XL125" s="65"/>
      <c r="XM125" s="65"/>
      <c r="XN125" s="65"/>
      <c r="XO125" s="65"/>
      <c r="XP125" s="65"/>
      <c r="XQ125" s="65"/>
      <c r="XR125" s="65"/>
      <c r="XS125" s="65"/>
      <c r="XT125" s="65"/>
      <c r="XU125" s="65"/>
      <c r="XV125" s="65"/>
      <c r="XW125" s="65"/>
      <c r="XX125" s="65"/>
      <c r="XY125" s="65"/>
      <c r="XZ125" s="65"/>
      <c r="YA125" s="65"/>
      <c r="YB125" s="65"/>
      <c r="YC125" s="65"/>
      <c r="YD125" s="65"/>
      <c r="YE125" s="65"/>
      <c r="YF125" s="65"/>
      <c r="YG125" s="65"/>
      <c r="YH125" s="65"/>
      <c r="YI125" s="65"/>
      <c r="YJ125" s="65"/>
      <c r="YK125" s="65"/>
      <c r="YL125" s="65"/>
      <c r="YM125" s="65"/>
      <c r="YN125" s="65"/>
      <c r="YO125" s="65"/>
      <c r="YP125" s="65"/>
      <c r="YQ125" s="65"/>
      <c r="YR125" s="65"/>
      <c r="YS125" s="65"/>
      <c r="YT125" s="65"/>
      <c r="YU125" s="65"/>
      <c r="YV125" s="65"/>
      <c r="YW125" s="65"/>
      <c r="YX125" s="65"/>
      <c r="YY125" s="65"/>
      <c r="YZ125" s="65"/>
      <c r="ZA125" s="65"/>
      <c r="ZB125" s="65"/>
      <c r="ZC125" s="65"/>
      <c r="ZD125" s="65"/>
      <c r="ZE125" s="65"/>
      <c r="ZF125" s="65"/>
      <c r="ZG125" s="65"/>
      <c r="ZH125" s="65"/>
      <c r="ZI125" s="65"/>
      <c r="ZJ125" s="65"/>
      <c r="ZK125" s="65"/>
      <c r="ZL125" s="65"/>
      <c r="ZM125" s="65"/>
      <c r="ZN125" s="65"/>
      <c r="ZO125" s="65"/>
      <c r="ZP125" s="65"/>
      <c r="ZQ125" s="65"/>
      <c r="ZR125" s="65"/>
      <c r="ZS125" s="65"/>
      <c r="ZT125" s="65"/>
      <c r="ZU125" s="65"/>
      <c r="ZV125" s="65"/>
      <c r="ZW125" s="65"/>
      <c r="ZX125" s="65"/>
      <c r="ZY125" s="65"/>
      <c r="ZZ125" s="65"/>
      <c r="AAA125" s="65"/>
      <c r="AAB125" s="65"/>
      <c r="AAC125" s="65"/>
      <c r="AAD125" s="65"/>
      <c r="AAE125" s="65"/>
      <c r="AAF125" s="65"/>
      <c r="AAG125" s="65"/>
      <c r="AAH125" s="65"/>
      <c r="AAI125" s="65"/>
      <c r="AAJ125" s="65"/>
      <c r="AAK125" s="65"/>
      <c r="AAL125" s="65"/>
      <c r="AAM125" s="65"/>
      <c r="AAN125" s="65"/>
      <c r="AAO125" s="65"/>
      <c r="AAP125" s="65"/>
      <c r="AAQ125" s="65"/>
      <c r="AAR125" s="65"/>
      <c r="AAS125" s="65"/>
      <c r="AAT125" s="65"/>
      <c r="AAU125" s="65"/>
      <c r="AAV125" s="65"/>
      <c r="AAW125" s="65"/>
      <c r="AAX125" s="65"/>
      <c r="AAY125" s="65"/>
      <c r="AAZ125" s="65"/>
      <c r="ABA125" s="65"/>
      <c r="ABB125" s="65"/>
      <c r="ABC125" s="65"/>
      <c r="ABD125" s="65"/>
      <c r="ABE125" s="65"/>
      <c r="ABF125" s="65"/>
      <c r="ABG125" s="65"/>
      <c r="ABH125" s="65"/>
      <c r="ABI125" s="65"/>
      <c r="ABJ125" s="65"/>
      <c r="ABK125" s="65"/>
      <c r="ABL125" s="65"/>
      <c r="ABM125" s="65"/>
      <c r="ABN125" s="65"/>
      <c r="ABO125" s="65"/>
      <c r="ABP125" s="65"/>
      <c r="ABQ125" s="65"/>
      <c r="ABR125" s="65"/>
      <c r="ABS125" s="65"/>
      <c r="ABT125" s="65"/>
      <c r="ABU125" s="65"/>
      <c r="ABV125" s="65"/>
      <c r="ABW125" s="65"/>
      <c r="ABX125" s="65"/>
      <c r="ABY125" s="65"/>
      <c r="ABZ125" s="65"/>
      <c r="ACA125" s="65"/>
      <c r="ACB125" s="65"/>
      <c r="ACC125" s="65"/>
      <c r="ACD125" s="65"/>
      <c r="ACE125" s="65"/>
      <c r="ACF125" s="65"/>
      <c r="ACG125" s="65"/>
      <c r="ACH125" s="65"/>
      <c r="ACI125" s="65"/>
      <c r="ACJ125" s="65"/>
      <c r="ACK125" s="65"/>
      <c r="ACL125" s="65"/>
      <c r="ACM125" s="65"/>
      <c r="ACN125" s="65"/>
      <c r="ACO125" s="65"/>
      <c r="ACP125" s="65"/>
      <c r="ACQ125" s="65"/>
      <c r="ACR125" s="65"/>
      <c r="ACS125" s="65"/>
      <c r="ACT125" s="65"/>
      <c r="ACU125" s="65"/>
      <c r="ACV125" s="65"/>
      <c r="ACW125" s="65"/>
      <c r="ACX125" s="65"/>
      <c r="ACY125" s="65"/>
      <c r="ACZ125" s="65"/>
      <c r="ADA125" s="65"/>
      <c r="ADB125" s="65"/>
      <c r="ADC125" s="65"/>
      <c r="ADD125" s="65"/>
      <c r="ADE125" s="65"/>
      <c r="ADF125" s="65"/>
      <c r="ADG125" s="65"/>
      <c r="ADH125" s="65"/>
      <c r="ADI125" s="65"/>
      <c r="ADJ125" s="65"/>
      <c r="ADK125" s="65"/>
      <c r="ADL125" s="65"/>
      <c r="ADM125" s="65"/>
      <c r="ADN125" s="65"/>
      <c r="ADO125" s="65"/>
      <c r="ADP125" s="65"/>
      <c r="ADQ125" s="65"/>
      <c r="ADR125" s="65"/>
      <c r="ADS125" s="65"/>
      <c r="ADT125" s="65"/>
      <c r="ADU125" s="65"/>
      <c r="ADV125" s="65"/>
      <c r="ADW125" s="65"/>
      <c r="ADX125" s="65"/>
      <c r="ADY125" s="65"/>
      <c r="ADZ125" s="65"/>
      <c r="AEA125" s="65"/>
      <c r="AEB125" s="65"/>
      <c r="AEC125" s="65"/>
      <c r="AED125" s="65"/>
      <c r="AEE125" s="65"/>
      <c r="AEF125" s="65"/>
      <c r="AEG125" s="65"/>
      <c r="AEH125" s="65"/>
      <c r="AEI125" s="65"/>
      <c r="AEJ125" s="65"/>
      <c r="AEK125" s="65"/>
      <c r="AEL125" s="65"/>
      <c r="AEM125" s="65"/>
      <c r="AEN125" s="65"/>
      <c r="AEO125" s="65"/>
      <c r="AEP125" s="65"/>
      <c r="AEQ125" s="65"/>
      <c r="AER125" s="65"/>
      <c r="AES125" s="65"/>
      <c r="AET125" s="65"/>
      <c r="AEU125" s="65"/>
      <c r="AEV125" s="65"/>
      <c r="AEW125" s="65"/>
      <c r="AEX125" s="65"/>
      <c r="AEY125" s="65"/>
      <c r="AEZ125" s="65"/>
      <c r="AFA125" s="65"/>
      <c r="AFB125" s="65"/>
      <c r="AFC125" s="65"/>
      <c r="AFD125" s="65"/>
      <c r="AFE125" s="65"/>
      <c r="AFF125" s="65"/>
      <c r="AFG125" s="65"/>
      <c r="AFH125" s="65"/>
      <c r="AFI125" s="65"/>
      <c r="AFJ125" s="65"/>
      <c r="AFK125" s="65"/>
      <c r="AFL125" s="65"/>
      <c r="AFM125" s="65"/>
      <c r="AFN125" s="65"/>
      <c r="AFO125" s="65"/>
      <c r="AFP125" s="65"/>
      <c r="AFQ125" s="65"/>
      <c r="AFR125" s="65"/>
      <c r="AFS125" s="65"/>
      <c r="AFT125" s="65"/>
      <c r="AFU125" s="65"/>
      <c r="AFV125" s="65"/>
      <c r="AFW125" s="65"/>
      <c r="AFX125" s="65"/>
      <c r="AFY125" s="65"/>
      <c r="AFZ125" s="65"/>
      <c r="AGA125" s="65"/>
      <c r="AGB125" s="65"/>
      <c r="AGC125" s="65"/>
      <c r="AGD125" s="65"/>
      <c r="AGE125" s="65"/>
      <c r="AGF125" s="65"/>
      <c r="AGG125" s="65"/>
      <c r="AGH125" s="65"/>
      <c r="AGI125" s="65"/>
      <c r="AGJ125" s="65"/>
      <c r="AGK125" s="65"/>
      <c r="AGL125" s="65"/>
      <c r="AGM125" s="65"/>
      <c r="AGN125" s="65"/>
      <c r="AGO125" s="65"/>
      <c r="AGP125" s="65"/>
      <c r="AGQ125" s="65"/>
      <c r="AGR125" s="65"/>
      <c r="AGS125" s="65"/>
      <c r="AGT125" s="65"/>
      <c r="AGU125" s="65"/>
      <c r="AGV125" s="65"/>
      <c r="AGW125" s="65"/>
      <c r="AGX125" s="65"/>
      <c r="AGY125" s="65"/>
      <c r="AGZ125" s="65"/>
      <c r="AHA125" s="65"/>
      <c r="AHB125" s="65"/>
      <c r="AHC125" s="65"/>
      <c r="AHD125" s="65"/>
      <c r="AHE125" s="65"/>
      <c r="AHF125" s="65"/>
      <c r="AHG125" s="65"/>
      <c r="AHH125" s="65"/>
      <c r="AHI125" s="65"/>
      <c r="AHJ125" s="65"/>
      <c r="AHK125" s="65"/>
      <c r="AHL125" s="65"/>
      <c r="AHM125" s="65"/>
      <c r="AHN125" s="65"/>
      <c r="AHO125" s="65"/>
      <c r="AHP125" s="65"/>
      <c r="AHQ125" s="65"/>
      <c r="AHR125" s="65"/>
      <c r="AHS125" s="65"/>
      <c r="AHT125" s="65"/>
      <c r="AHU125" s="65"/>
      <c r="AHV125" s="65"/>
      <c r="AHW125" s="65"/>
      <c r="AHX125" s="65"/>
      <c r="AHY125" s="65"/>
      <c r="AHZ125" s="65"/>
      <c r="AIA125" s="65"/>
      <c r="AIB125" s="65"/>
      <c r="AIC125" s="65"/>
      <c r="AID125" s="65"/>
      <c r="AIE125" s="65"/>
      <c r="AIF125" s="65"/>
      <c r="AIG125" s="65"/>
      <c r="AIH125" s="65"/>
      <c r="AII125" s="65"/>
      <c r="AIJ125" s="65"/>
      <c r="AIK125" s="65"/>
      <c r="AIL125" s="65"/>
      <c r="AIM125" s="65"/>
      <c r="AIN125" s="65"/>
      <c r="AIO125" s="65"/>
      <c r="AIP125" s="65"/>
      <c r="AIQ125" s="65"/>
      <c r="AIR125" s="65"/>
      <c r="AIS125" s="65"/>
      <c r="AIT125" s="65"/>
      <c r="AIU125" s="65"/>
      <c r="AIV125" s="65"/>
      <c r="AIW125" s="65"/>
      <c r="AIX125" s="65"/>
      <c r="AIY125" s="65"/>
      <c r="AIZ125" s="65"/>
      <c r="AJA125" s="65"/>
      <c r="AJB125" s="65"/>
      <c r="AJC125" s="65"/>
      <c r="AJD125" s="65"/>
      <c r="AJE125" s="65"/>
      <c r="AJF125" s="65"/>
      <c r="AJG125" s="65"/>
      <c r="AJH125" s="65"/>
      <c r="AJI125" s="65"/>
      <c r="AJJ125" s="65"/>
      <c r="AJK125" s="65"/>
      <c r="AJL125" s="65"/>
      <c r="AJM125" s="65"/>
      <c r="AJN125" s="65"/>
      <c r="AJO125" s="65"/>
      <c r="AJP125" s="65"/>
      <c r="AJQ125" s="65"/>
      <c r="AJR125" s="65"/>
      <c r="AJS125" s="65"/>
      <c r="AJT125" s="65"/>
      <c r="AJU125" s="65"/>
      <c r="AJV125" s="65"/>
      <c r="AJW125" s="65"/>
      <c r="AJX125" s="65"/>
      <c r="AJY125" s="65"/>
      <c r="AJZ125" s="65"/>
      <c r="AKA125" s="65"/>
      <c r="AKB125" s="65"/>
      <c r="AKC125" s="65"/>
      <c r="AKD125" s="65"/>
      <c r="AKE125" s="65"/>
      <c r="AKF125" s="65"/>
      <c r="AKG125" s="65"/>
      <c r="AKH125" s="65"/>
      <c r="AKI125" s="65"/>
      <c r="AKJ125" s="65"/>
      <c r="AKK125" s="65"/>
      <c r="AKL125" s="65"/>
      <c r="AKM125" s="65"/>
      <c r="AKN125" s="65"/>
      <c r="AKO125" s="65"/>
      <c r="AKP125" s="65"/>
      <c r="AKQ125" s="65"/>
      <c r="AKR125" s="65"/>
      <c r="AKS125" s="65"/>
      <c r="AKT125" s="65"/>
      <c r="AKU125" s="65"/>
      <c r="AKV125" s="65"/>
      <c r="AKW125" s="65"/>
      <c r="AKX125" s="65"/>
      <c r="AKY125" s="65"/>
      <c r="AKZ125" s="65"/>
      <c r="ALA125" s="65"/>
      <c r="ALB125" s="65"/>
      <c r="ALC125" s="65"/>
      <c r="ALD125" s="65"/>
      <c r="ALE125" s="65"/>
      <c r="ALF125" s="65"/>
      <c r="ALG125" s="65"/>
      <c r="ALH125" s="65"/>
      <c r="ALI125" s="65"/>
      <c r="ALJ125" s="65"/>
      <c r="ALK125" s="65"/>
      <c r="ALL125" s="65"/>
      <c r="ALM125" s="65"/>
      <c r="ALN125" s="65"/>
      <c r="ALO125" s="65"/>
      <c r="ALP125" s="65"/>
      <c r="ALQ125" s="65"/>
      <c r="ALR125" s="65"/>
      <c r="ALS125" s="65"/>
      <c r="ALT125" s="65"/>
      <c r="ALU125" s="65"/>
      <c r="ALV125" s="65"/>
      <c r="ALW125" s="65"/>
      <c r="ALX125" s="65"/>
      <c r="ALY125" s="65"/>
      <c r="ALZ125" s="65"/>
      <c r="AMA125" s="65"/>
      <c r="AMB125" s="65"/>
      <c r="AMC125" s="65"/>
      <c r="AMD125" s="65"/>
      <c r="AME125" s="65"/>
      <c r="AMF125" s="65"/>
      <c r="AMG125" s="65"/>
      <c r="AMH125" s="65"/>
      <c r="AMI125" s="65"/>
      <c r="AMJ125" s="65"/>
    </row>
  </sheetData>
  <mergeCells count="87">
    <mergeCell ref="C53:G53"/>
    <mergeCell ref="J75:K75"/>
    <mergeCell ref="A76:I76"/>
    <mergeCell ref="J76:K76"/>
    <mergeCell ref="A75:I75"/>
    <mergeCell ref="C62:G62"/>
    <mergeCell ref="C63:G63"/>
    <mergeCell ref="C64:G64"/>
    <mergeCell ref="C65:G65"/>
    <mergeCell ref="C66:G66"/>
    <mergeCell ref="C70:G70"/>
    <mergeCell ref="C71:G71"/>
    <mergeCell ref="C69:G69"/>
    <mergeCell ref="C73:G73"/>
    <mergeCell ref="C74:G74"/>
    <mergeCell ref="C41:G41"/>
    <mergeCell ref="C42:G42"/>
    <mergeCell ref="C43:G43"/>
    <mergeCell ref="C44:G44"/>
    <mergeCell ref="C45:G45"/>
    <mergeCell ref="C40:G40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12:G12"/>
    <mergeCell ref="C13:G13"/>
    <mergeCell ref="C14:G14"/>
    <mergeCell ref="C15:G15"/>
    <mergeCell ref="I10:I11"/>
    <mergeCell ref="A10:A11"/>
    <mergeCell ref="B10:B11"/>
    <mergeCell ref="C10:G11"/>
    <mergeCell ref="H10:H11"/>
    <mergeCell ref="K10:K11"/>
    <mergeCell ref="J10:J11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C72:G72"/>
    <mergeCell ref="C46:G46"/>
    <mergeCell ref="C47:G47"/>
    <mergeCell ref="C48:G48"/>
    <mergeCell ref="C49:G49"/>
    <mergeCell ref="C50:G50"/>
    <mergeCell ref="C51:G51"/>
    <mergeCell ref="C52:G52"/>
    <mergeCell ref="C54:G54"/>
    <mergeCell ref="C55:G55"/>
    <mergeCell ref="C56:G56"/>
    <mergeCell ref="C67:G67"/>
    <mergeCell ref="C68:G68"/>
    <mergeCell ref="C57:G57"/>
    <mergeCell ref="C58:G58"/>
    <mergeCell ref="C59:G59"/>
    <mergeCell ref="C60:G60"/>
    <mergeCell ref="C61:G61"/>
  </mergeCells>
  <conditionalFormatting sqref="C12:C17">
    <cfRule type="duplicateValues" dxfId="7" priority="13"/>
  </conditionalFormatting>
  <conditionalFormatting sqref="C12:C17">
    <cfRule type="duplicateValues" dxfId="6" priority="14"/>
    <cfRule type="duplicateValues" dxfId="5" priority="15"/>
  </conditionalFormatting>
  <conditionalFormatting sqref="C12:C17">
    <cfRule type="duplicateValues" dxfId="4" priority="16"/>
  </conditionalFormatting>
  <conditionalFormatting sqref="C12:C74">
    <cfRule type="duplicateValues" dxfId="3" priority="113"/>
  </conditionalFormatting>
  <conditionalFormatting sqref="C12:C74">
    <cfRule type="duplicateValues" dxfId="2" priority="114"/>
  </conditionalFormatting>
  <conditionalFormatting sqref="C12:C74">
    <cfRule type="duplicateValues" dxfId="1" priority="115"/>
    <cfRule type="duplicateValues" dxfId="0" priority="11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7" workbookViewId="0">
      <selection activeCell="G23" sqref="G23:Q23"/>
    </sheetView>
  </sheetViews>
  <sheetFormatPr baseColWidth="10" defaultColWidth="11" defaultRowHeight="12.5" x14ac:dyDescent="0.25"/>
  <cols>
    <col min="1" max="5" width="4.453125" style="65" customWidth="1"/>
    <col min="6" max="6" width="5.54296875" style="65" customWidth="1"/>
    <col min="7" max="7" width="4.453125" style="69" customWidth="1"/>
    <col min="8" max="14" width="4.453125" style="65" customWidth="1"/>
    <col min="15" max="16" width="14.81640625" style="65" customWidth="1"/>
    <col min="17" max="17" width="18.1796875" style="65" customWidth="1"/>
    <col min="18" max="16384" width="11" style="65"/>
  </cols>
  <sheetData>
    <row r="1" spans="1:17" ht="15.75" customHeight="1" thickBot="1" x14ac:dyDescent="0.35">
      <c r="A1" s="152" t="s">
        <v>65</v>
      </c>
      <c r="B1" s="152"/>
      <c r="C1" s="152"/>
      <c r="D1" s="153">
        <v>2021</v>
      </c>
      <c r="E1" s="153"/>
      <c r="F1" s="67"/>
      <c r="G1" s="67"/>
      <c r="H1" s="68"/>
      <c r="I1" s="68"/>
      <c r="J1" s="68"/>
      <c r="K1" s="68"/>
      <c r="L1" s="68"/>
      <c r="M1" s="68"/>
      <c r="N1" s="68"/>
      <c r="P1" s="154" t="s">
        <v>104</v>
      </c>
      <c r="Q1" s="154"/>
    </row>
    <row r="2" spans="1:17" ht="15.75" customHeight="1" thickBot="1" x14ac:dyDescent="0.3">
      <c r="H2" s="68"/>
      <c r="I2" s="68"/>
      <c r="J2" s="68"/>
      <c r="K2" s="68"/>
      <c r="L2" s="68"/>
      <c r="M2" s="68"/>
      <c r="N2" s="68"/>
      <c r="P2" s="154"/>
      <c r="Q2" s="154"/>
    </row>
    <row r="4" spans="1:17" s="70" customFormat="1" ht="18" customHeight="1" thickBot="1" x14ac:dyDescent="0.35">
      <c r="A4" s="155" t="s">
        <v>105</v>
      </c>
      <c r="B4" s="155"/>
      <c r="C4" s="155"/>
      <c r="D4" s="155"/>
      <c r="E4" s="155"/>
      <c r="F4" s="155"/>
      <c r="G4" s="156" t="s">
        <v>87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70" customFormat="1" ht="18" customHeight="1" thickBot="1" x14ac:dyDescent="0.35">
      <c r="A5" s="157" t="s">
        <v>88</v>
      </c>
      <c r="B5" s="158"/>
      <c r="C5" s="158"/>
      <c r="D5" s="158"/>
      <c r="E5" s="158"/>
      <c r="F5" s="159"/>
      <c r="G5" s="156" t="s">
        <v>106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70" customFormat="1" ht="18" customHeight="1" thickBot="1" x14ac:dyDescent="0.35">
      <c r="A6" s="157" t="s">
        <v>90</v>
      </c>
      <c r="B6" s="158"/>
      <c r="C6" s="158"/>
      <c r="D6" s="158"/>
      <c r="E6" s="158"/>
      <c r="F6" s="159"/>
      <c r="G6" s="156" t="s">
        <v>91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s="70" customFormat="1" ht="18" customHeight="1" thickBot="1" x14ac:dyDescent="0.35">
      <c r="A7" s="157" t="s">
        <v>92</v>
      </c>
      <c r="B7" s="158"/>
      <c r="C7" s="158"/>
      <c r="D7" s="158"/>
      <c r="E7" s="158"/>
      <c r="F7" s="159"/>
      <c r="G7" s="156" t="s">
        <v>91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thickBot="1" x14ac:dyDescent="0.35">
      <c r="A8" s="160" t="s">
        <v>107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18" customHeight="1" x14ac:dyDescent="0.3">
      <c r="A9" s="151" t="s">
        <v>108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71"/>
      <c r="P9" s="71"/>
      <c r="Q9" s="72"/>
    </row>
    <row r="10" spans="1:17" ht="57" customHeight="1" x14ac:dyDescent="0.25">
      <c r="A10" s="162" t="s">
        <v>141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4"/>
    </row>
    <row r="11" spans="1:17" ht="9" customHeight="1" thickBot="1" x14ac:dyDescent="0.3">
      <c r="A11" s="73"/>
      <c r="B11" s="74"/>
      <c r="C11" s="74"/>
      <c r="D11" s="74"/>
      <c r="E11" s="74"/>
      <c r="F11" s="74"/>
      <c r="G11" s="75"/>
      <c r="H11" s="74"/>
      <c r="I11" s="74"/>
      <c r="J11" s="74"/>
      <c r="K11" s="74"/>
      <c r="L11" s="74"/>
      <c r="M11" s="74"/>
      <c r="N11" s="74"/>
      <c r="O11" s="74"/>
      <c r="P11" s="74"/>
      <c r="Q11" s="76"/>
    </row>
    <row r="12" spans="1:17" ht="15.75" customHeight="1" thickBot="1" x14ac:dyDescent="0.3">
      <c r="A12" s="165" t="s">
        <v>109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.75" customHeight="1" thickBot="1" x14ac:dyDescent="0.3">
      <c r="A13" s="166" t="s">
        <v>110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111</v>
      </c>
      <c r="P13" s="167"/>
      <c r="Q13" s="168" t="s">
        <v>112</v>
      </c>
    </row>
    <row r="14" spans="1:17" ht="15.75" customHeight="1" x14ac:dyDescent="0.25">
      <c r="A14" s="77" t="s">
        <v>113</v>
      </c>
      <c r="B14" s="78" t="s">
        <v>114</v>
      </c>
      <c r="C14" s="78" t="s">
        <v>115</v>
      </c>
      <c r="D14" s="78" t="s">
        <v>116</v>
      </c>
      <c r="E14" s="78" t="s">
        <v>117</v>
      </c>
      <c r="F14" s="78" t="s">
        <v>118</v>
      </c>
      <c r="G14" s="79" t="s">
        <v>119</v>
      </c>
      <c r="H14" s="78" t="s">
        <v>120</v>
      </c>
      <c r="I14" s="78" t="s">
        <v>121</v>
      </c>
      <c r="J14" s="78" t="s">
        <v>122</v>
      </c>
      <c r="K14" s="78" t="s">
        <v>122</v>
      </c>
      <c r="L14" s="78" t="s">
        <v>123</v>
      </c>
      <c r="M14" s="80" t="s">
        <v>124</v>
      </c>
      <c r="N14" s="81" t="s">
        <v>125</v>
      </c>
      <c r="O14" s="167"/>
      <c r="P14" s="167"/>
      <c r="Q14" s="168"/>
    </row>
    <row r="15" spans="1:17" ht="29.25" customHeight="1" x14ac:dyDescent="0.25">
      <c r="A15" s="111">
        <v>30</v>
      </c>
      <c r="B15" s="111"/>
      <c r="C15" s="111"/>
      <c r="D15" s="111">
        <v>1</v>
      </c>
      <c r="E15" s="111"/>
      <c r="F15" s="111">
        <v>4901</v>
      </c>
      <c r="G15" s="111">
        <v>3</v>
      </c>
      <c r="H15" s="111">
        <v>1</v>
      </c>
      <c r="I15" s="111">
        <v>2</v>
      </c>
      <c r="J15" s="111">
        <v>5</v>
      </c>
      <c r="K15" s="111">
        <v>2</v>
      </c>
      <c r="L15" s="111"/>
      <c r="M15" s="111">
        <v>1</v>
      </c>
      <c r="N15" s="111" t="s">
        <v>126</v>
      </c>
      <c r="O15" s="169" t="s">
        <v>127</v>
      </c>
      <c r="P15" s="170"/>
      <c r="Q15" s="110">
        <f>+'Necesidades Trimestrales '!I73</f>
        <v>130632883.40000001</v>
      </c>
    </row>
    <row r="16" spans="1:17" ht="17.25" customHeight="1" x14ac:dyDescent="0.25">
      <c r="A16" s="82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4"/>
      <c r="N16" s="83"/>
      <c r="O16" s="171"/>
      <c r="P16" s="171"/>
      <c r="Q16" s="86"/>
    </row>
    <row r="17" spans="1:18" ht="17.25" customHeight="1" x14ac:dyDescent="0.25">
      <c r="A17" s="82"/>
      <c r="B17" s="83"/>
      <c r="C17" s="83"/>
      <c r="D17" s="83"/>
      <c r="E17" s="83"/>
      <c r="F17" s="85"/>
      <c r="G17" s="83"/>
      <c r="H17" s="83"/>
      <c r="I17" s="83"/>
      <c r="J17" s="83"/>
      <c r="K17" s="83"/>
      <c r="L17" s="83"/>
      <c r="M17" s="84"/>
      <c r="N17" s="85"/>
      <c r="O17" s="172"/>
      <c r="P17" s="172"/>
      <c r="Q17" s="86"/>
    </row>
    <row r="18" spans="1:18" ht="17.25" customHeight="1" x14ac:dyDescent="0.25">
      <c r="A18" s="82"/>
      <c r="B18" s="83"/>
      <c r="C18" s="83"/>
      <c r="D18" s="83"/>
      <c r="E18" s="83"/>
      <c r="F18" s="85"/>
      <c r="G18" s="83"/>
      <c r="H18" s="83"/>
      <c r="I18" s="83"/>
      <c r="J18" s="83"/>
      <c r="K18" s="83"/>
      <c r="L18" s="83"/>
      <c r="M18" s="84"/>
      <c r="N18" s="85"/>
      <c r="O18" s="172"/>
      <c r="P18" s="172"/>
      <c r="Q18" s="86"/>
    </row>
    <row r="19" spans="1:18" ht="17.25" customHeight="1" x14ac:dyDescent="0.25">
      <c r="A19" s="87"/>
      <c r="B19" s="88"/>
      <c r="C19" s="88"/>
      <c r="D19" s="88"/>
      <c r="E19" s="88"/>
      <c r="F19" s="89"/>
      <c r="G19" s="88"/>
      <c r="H19" s="88"/>
      <c r="I19" s="88"/>
      <c r="J19" s="88"/>
      <c r="K19" s="88"/>
      <c r="L19" s="88"/>
      <c r="M19" s="90"/>
      <c r="N19" s="91"/>
      <c r="O19" s="173"/>
      <c r="P19" s="173"/>
      <c r="Q19" s="86"/>
      <c r="R19" s="71"/>
    </row>
    <row r="20" spans="1:18" ht="17.25" customHeight="1" thickBot="1" x14ac:dyDescent="0.3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3"/>
      <c r="O20" s="161"/>
      <c r="P20" s="161"/>
      <c r="Q20" s="95"/>
    </row>
    <row r="21" spans="1:18" ht="36" customHeight="1" thickBot="1" x14ac:dyDescent="0.3">
      <c r="A21" s="174" t="s">
        <v>147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96">
        <f>SUM(Q15:Q20)</f>
        <v>130632883.40000001</v>
      </c>
    </row>
    <row r="22" spans="1:18" ht="18" customHeight="1" thickBot="1" x14ac:dyDescent="0.3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</row>
    <row r="23" spans="1:18" ht="17.25" customHeight="1" thickBot="1" x14ac:dyDescent="0.3">
      <c r="A23" s="176" t="s">
        <v>128</v>
      </c>
      <c r="B23" s="177"/>
      <c r="C23" s="177"/>
      <c r="D23" s="177"/>
      <c r="E23" s="177"/>
      <c r="F23" s="178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</row>
    <row r="24" spans="1:18" ht="18" customHeight="1" thickBot="1" x14ac:dyDescent="0.3">
      <c r="A24" s="180" t="s">
        <v>135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</row>
    <row r="25" spans="1:18" ht="28.5" customHeight="1" thickBot="1" x14ac:dyDescent="0.3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</row>
  </sheetData>
  <mergeCells count="29">
    <mergeCell ref="A21:P21"/>
    <mergeCell ref="A22:Q22"/>
    <mergeCell ref="A23:F23"/>
    <mergeCell ref="G23:Q23"/>
    <mergeCell ref="A24:Q25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RASGIDO</dc:creator>
  <cp:lastModifiedBy>CLAUDIA</cp:lastModifiedBy>
  <cp:lastPrinted>2021-03-10T12:22:00Z</cp:lastPrinted>
  <dcterms:created xsi:type="dcterms:W3CDTF">2020-01-09T12:08:46Z</dcterms:created>
  <dcterms:modified xsi:type="dcterms:W3CDTF">2021-05-30T01:11:49Z</dcterms:modified>
</cp:coreProperties>
</file>