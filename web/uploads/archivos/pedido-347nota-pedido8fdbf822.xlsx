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-105" windowWidth="20640" windowHeight="11760" tabRatio="488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Trimestrales'!$A$9:$I$11</definedName>
    <definedName name="_xlnm.Print_Area" localSheetId="1">' NotaPedido'!$A$1:$K$14</definedName>
    <definedName name="_xlnm.Print_Area" localSheetId="2">'Autor Gastar'!$A$1:$Q$22</definedName>
    <definedName name="_xlnm.Print_Area" localSheetId="0">'Necesidades Trimestrales'!$E$9:$E$11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3" i="2" l="1"/>
  <c r="I13" i="2" l="1"/>
  <c r="K13" i="2"/>
  <c r="J13" i="2"/>
  <c r="I11" i="1"/>
  <c r="I10" i="1"/>
  <c r="A10" i="3" l="1"/>
  <c r="G6" i="3" l="1"/>
  <c r="D7" i="2"/>
  <c r="D3" i="2"/>
  <c r="G4" i="3" s="1"/>
  <c r="D4" i="2"/>
  <c r="G5" i="3" s="1"/>
  <c r="D1" i="3" l="1"/>
  <c r="K12" i="2"/>
  <c r="J12" i="2"/>
  <c r="I12" i="2"/>
  <c r="C12" i="2"/>
  <c r="J14" i="2" l="1"/>
  <c r="Q18" i="3"/>
</calcChain>
</file>

<file path=xl/sharedStrings.xml><?xml version="1.0" encoding="utf-8"?>
<sst xmlns="http://schemas.openxmlformats.org/spreadsheetml/2006/main" count="84" uniqueCount="73">
  <si>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</si>
  <si>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</si>
  <si>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</si>
  <si>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</si>
  <si>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</si>
  <si>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</si>
  <si>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</si>
  <si>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</si>
  <si>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</si>
  <si>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</si>
  <si>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</si>
  <si>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</si>
  <si>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</si>
  <si>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</si>
  <si>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</si>
  <si>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</si>
  <si>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</si>
  <si>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</si>
  <si>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</si>
  <si>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</si>
  <si>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</si>
  <si>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</si>
  <si>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</si>
  <si>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</si>
  <si>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</si>
  <si>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</si>
  <si>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</si>
  <si>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</si>
  <si>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</si>
  <si>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</si>
  <si>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</si>
  <si>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</si>
  <si>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</si>
  <si>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</si>
  <si>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</si>
  <si>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</si>
  <si>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</si>
  <si>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</si>
  <si>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</si>
  <si>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</si>
  <si>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</si>
  <si>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</si>
  <si>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</si>
  <si>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</si>
  <si>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</si>
  <si>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</si>
  <si>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</si>
  <si>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</si>
  <si>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</si>
  <si>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</si>
  <si>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</si>
  <si>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</si>
  <si>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</si>
  <si>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</si>
  <si>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</si>
  <si>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 xml:space="preserve"> </t>
  </si>
  <si>
    <t>PRODUCTOS FARMACEUTICOS Y MEDICINALES</t>
  </si>
  <si>
    <t>Servicio de Farmacia</t>
  </si>
  <si>
    <t>PROD. MEDICO/ FARMACEUTICOS/LAB</t>
  </si>
  <si>
    <t>unidad</t>
  </si>
  <si>
    <t>INSULINA CORRIENTE HUMANA 100 UI FCO AMP 10 ML</t>
  </si>
  <si>
    <t>INSULINA NPH HUMANA 100 UI FCO AMP 10 ML</t>
  </si>
  <si>
    <t>Costo total estimado: Veinte Mil Doscientos Con 00/100.</t>
  </si>
  <si>
    <t>TOTAL DE PESOS: VEINTE MIL DOSCIENTOS CON 00/100.</t>
  </si>
  <si>
    <t>049/2021</t>
  </si>
  <si>
    <t xml:space="preserve">ANTIDIABETICOS E INSULINAS </t>
  </si>
  <si>
    <t>Para la adquisición de Insumos relacionados a ANTIDIABETICOS E INSULINAS  destinados al Servicio de Farmacia del Hospital Interzonal de Niños Eva Peron, para el normal funcionamiento del organismo.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</si>
  <si>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</si>
  <si>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</si>
  <si>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vencimiento de los bienes ofrecidos:</t>
    </r>
    <r>
      <rPr>
        <sz val="10"/>
        <rFont val="Times New Roman"/>
        <family val="1"/>
      </rPr>
      <t xml:space="preserve"> No podrán ser inferior a los 18 meses.</t>
    </r>
  </si>
  <si>
    <t>Mantenimiento de Oferta:</t>
  </si>
  <si>
    <t xml:space="preserve">45 dias habiles 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</si>
  <si>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10 corridos días de notificada la Orden de Compra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</si>
</sst>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&quot;$&quot;#,##0.00;\-&quot;$&quot;#,##0.00"/>
    <numFmt numFmtId="165" formatCode="_-* #,##0.00_-;\-* #,##0.00_-;_-* &quot;-&quot;??_-;_-@_-"/>
    <numFmt numFmtId="166" formatCode="_(\$* #,##0.00_);_(\$* \(#,##0.00\);_(\$* \-??_);_(@_)"/>
    <numFmt numFmtId="167" formatCode="_-* #,##0.00&quot; €&quot;_-;\-* #,##0.00&quot; €&quot;_-;_-* \-??&quot; €&quot;_-;_-@_-"/>
    <numFmt numFmtId="168" formatCode="[$$-2C0A]\ #,##0.00;[$$-2C0A]&quot; -&quot;#,##0.00"/>
    <numFmt numFmtId="169" formatCode="[$$-2C0A]\ #,##0.00"/>
    <numFmt numFmtId="170" formatCode="dd\-mm\-yy;@"/>
    <numFmt numFmtId="171" formatCode="&quot;$&quot;\ #,##0.00"/>
  </numFmts>
  <fonts count="27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</borders>
  <cellStyleXfs count="7">
    <xf numFmtId="0" fontId="0" fillId="0" borderId="0"/>
    <xf numFmtId="167" fontId="15" fillId="0" borderId="0" applyBorder="0" applyProtection="0"/>
    <xf numFmtId="0" fontId="2" fillId="0" borderId="1" applyProtection="0"/>
    <xf numFmtId="166" fontId="3" fillId="0" borderId="0" applyBorder="0" applyProtection="0"/>
    <xf numFmtId="0" fontId="4" fillId="2" borderId="0" applyBorder="0" applyProtection="0"/>
    <xf numFmtId="0" fontId="15" fillId="0" borderId="0"/>
    <xf numFmtId="165" fontId="1" fillId="0" borderId="0" applyFont="0" applyFill="0" applyBorder="0" applyAlignment="0" applyProtection="0"/>
  </cellStyleXfs>
  <cellXfs count="138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70" fontId="0" fillId="0" borderId="0" xfId="0" applyNumberFormat="1" applyAlignment="1">
      <alignment horizontal="left"/>
    </xf>
    <xf numFmtId="0" fontId="3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168" fontId="0" fillId="0" borderId="33" xfId="3" applyNumberFormat="1" applyFont="1" applyBorder="1" applyAlignment="1" applyProtection="1">
      <alignment horizontal="center" vertical="center"/>
    </xf>
    <xf numFmtId="168" fontId="14" fillId="0" borderId="34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16" fillId="0" borderId="5" xfId="0" applyFont="1" applyBorder="1"/>
    <xf numFmtId="0" fontId="16" fillId="0" borderId="6" xfId="0" applyFont="1" applyBorder="1"/>
    <xf numFmtId="0" fontId="16" fillId="0" borderId="9" xfId="0" applyFont="1" applyBorder="1" applyAlignment="1">
      <alignment horizontal="left" indent="3"/>
    </xf>
    <xf numFmtId="0" fontId="16" fillId="0" borderId="10" xfId="0" applyFont="1" applyBorder="1"/>
    <xf numFmtId="0" fontId="16" fillId="0" borderId="11" xfId="0" applyFont="1" applyBorder="1"/>
    <xf numFmtId="168" fontId="16" fillId="0" borderId="0" xfId="0" applyNumberFormat="1" applyFont="1"/>
    <xf numFmtId="0" fontId="6" fillId="3" borderId="12" xfId="0" applyFont="1" applyFill="1" applyBorder="1" applyAlignment="1">
      <alignment horizontal="right" vertical="center"/>
    </xf>
    <xf numFmtId="0" fontId="7" fillId="4" borderId="13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0" fillId="3" borderId="0" xfId="0" applyFill="1"/>
    <xf numFmtId="0" fontId="6" fillId="3" borderId="14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 indent="1"/>
    </xf>
    <xf numFmtId="0" fontId="24" fillId="4" borderId="0" xfId="0" applyFont="1" applyFill="1" applyAlignment="1">
      <alignment horizontal="left" wrapText="1" indent="1"/>
    </xf>
    <xf numFmtId="0" fontId="20" fillId="3" borderId="0" xfId="0" applyFont="1" applyFill="1" applyAlignment="1">
      <alignment horizontal="left" wrapText="1"/>
    </xf>
    <xf numFmtId="0" fontId="5" fillId="3" borderId="38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168" fontId="5" fillId="3" borderId="2" xfId="1" applyNumberFormat="1" applyFont="1" applyFill="1" applyBorder="1" applyAlignment="1" applyProtection="1">
      <alignment horizontal="right" vertical="center" wrapText="1"/>
    </xf>
    <xf numFmtId="3" fontId="5" fillId="3" borderId="3" xfId="0" applyNumberFormat="1" applyFont="1" applyFill="1" applyBorder="1" applyAlignment="1">
      <alignment horizontal="center" vertical="center"/>
    </xf>
    <xf numFmtId="169" fontId="16" fillId="0" borderId="0" xfId="0" applyNumberFormat="1" applyFont="1"/>
    <xf numFmtId="171" fontId="21" fillId="0" borderId="0" xfId="0" applyNumberFormat="1" applyFont="1"/>
    <xf numFmtId="171" fontId="22" fillId="0" borderId="0" xfId="0" applyNumberFormat="1" applyFont="1" applyAlignment="1">
      <alignment horizontal="left" wrapText="1"/>
    </xf>
    <xf numFmtId="169" fontId="3" fillId="3" borderId="0" xfId="0" applyNumberFormat="1" applyFont="1" applyFill="1" applyBorder="1" applyAlignment="1">
      <alignment vertical="center"/>
    </xf>
    <xf numFmtId="0" fontId="16" fillId="0" borderId="0" xfId="0" applyFont="1" applyFill="1"/>
    <xf numFmtId="0" fontId="0" fillId="0" borderId="29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15" fillId="0" borderId="30" xfId="0" applyFont="1" applyFill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left" vertical="center"/>
    </xf>
    <xf numFmtId="0" fontId="14" fillId="0" borderId="45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168" fontId="0" fillId="0" borderId="49" xfId="3" applyNumberFormat="1" applyFont="1" applyBorder="1" applyAlignment="1" applyProtection="1">
      <alignment horizontal="center" vertical="center"/>
    </xf>
    <xf numFmtId="0" fontId="16" fillId="0" borderId="7" xfId="0" applyFont="1" applyBorder="1" applyAlignment="1">
      <alignment horizontal="left" indent="3"/>
    </xf>
    <xf numFmtId="0" fontId="15" fillId="0" borderId="32" xfId="0" applyFont="1" applyBorder="1" applyAlignment="1">
      <alignment horizontal="center" vertical="center"/>
    </xf>
    <xf numFmtId="0" fontId="0" fillId="0" borderId="52" xfId="0" applyBorder="1"/>
    <xf numFmtId="0" fontId="21" fillId="0" borderId="53" xfId="0" applyFont="1" applyBorder="1" applyAlignment="1">
      <alignment horizontal="center" vertical="center"/>
    </xf>
    <xf numFmtId="0" fontId="15" fillId="0" borderId="52" xfId="0" applyFont="1" applyBorder="1" applyAlignment="1">
      <alignment wrapText="1"/>
    </xf>
    <xf numFmtId="168" fontId="21" fillId="4" borderId="54" xfId="1" applyNumberFormat="1" applyFont="1" applyFill="1" applyBorder="1" applyAlignment="1" applyProtection="1">
      <alignment horizontal="right" vertical="center" wrapText="1"/>
    </xf>
    <xf numFmtId="0" fontId="22" fillId="0" borderId="52" xfId="0" applyFont="1" applyBorder="1" applyAlignment="1">
      <alignment horizontal="center" vertical="center" wrapText="1"/>
    </xf>
    <xf numFmtId="0" fontId="5" fillId="3" borderId="53" xfId="0" applyFont="1" applyFill="1" applyBorder="1" applyAlignment="1">
      <alignment horizontal="center" vertical="center"/>
    </xf>
    <xf numFmtId="0" fontId="5" fillId="3" borderId="52" xfId="0" applyFont="1" applyFill="1" applyBorder="1" applyAlignment="1">
      <alignment horizontal="left" vertical="center"/>
    </xf>
    <xf numFmtId="3" fontId="5" fillId="3" borderId="54" xfId="0" applyNumberFormat="1" applyFont="1" applyFill="1" applyBorder="1" applyAlignment="1">
      <alignment horizontal="center" vertical="center"/>
    </xf>
    <xf numFmtId="168" fontId="5" fillId="3" borderId="52" xfId="1" applyNumberFormat="1" applyFont="1" applyFill="1" applyBorder="1" applyAlignment="1" applyProtection="1">
      <alignment horizontal="right" vertical="center" wrapText="1"/>
    </xf>
    <xf numFmtId="0" fontId="5" fillId="4" borderId="52" xfId="0" applyFont="1" applyFill="1" applyBorder="1" applyAlignment="1">
      <alignment horizontal="center" vertical="center"/>
    </xf>
    <xf numFmtId="0" fontId="5" fillId="3" borderId="52" xfId="0" applyFont="1" applyFill="1" applyBorder="1" applyAlignment="1">
      <alignment horizontal="center" vertical="center" wrapText="1"/>
    </xf>
    <xf numFmtId="0" fontId="0" fillId="3" borderId="56" xfId="0" applyFill="1" applyBorder="1" applyAlignment="1">
      <alignment horizontal="center" vertical="center" wrapText="1"/>
    </xf>
    <xf numFmtId="0" fontId="0" fillId="3" borderId="52" xfId="0" applyFill="1" applyBorder="1" applyAlignment="1">
      <alignment horizontal="center" vertical="center" wrapText="1"/>
    </xf>
    <xf numFmtId="0" fontId="21" fillId="0" borderId="58" xfId="0" applyFont="1" applyBorder="1" applyAlignment="1">
      <alignment horizontal="center" vertical="center"/>
    </xf>
    <xf numFmtId="0" fontId="0" fillId="0" borderId="57" xfId="0" applyBorder="1"/>
    <xf numFmtId="0" fontId="15" fillId="0" borderId="57" xfId="0" applyFont="1" applyBorder="1" applyAlignment="1">
      <alignment wrapText="1"/>
    </xf>
    <xf numFmtId="0" fontId="22" fillId="0" borderId="57" xfId="0" applyFont="1" applyBorder="1" applyAlignment="1">
      <alignment horizontal="center" vertical="center" wrapText="1"/>
    </xf>
    <xf numFmtId="168" fontId="21" fillId="4" borderId="59" xfId="1" applyNumberFormat="1" applyFont="1" applyFill="1" applyBorder="1" applyAlignment="1" applyProtection="1">
      <alignment horizontal="right" vertical="center" wrapText="1"/>
    </xf>
    <xf numFmtId="0" fontId="20" fillId="0" borderId="16" xfId="0" applyFont="1" applyBorder="1" applyAlignment="1">
      <alignment horizontal="center" vertical="center" wrapText="1"/>
    </xf>
    <xf numFmtId="171" fontId="25" fillId="0" borderId="16" xfId="0" applyNumberFormat="1" applyFont="1" applyBorder="1" applyAlignment="1">
      <alignment horizontal="center" vertical="center" wrapText="1"/>
    </xf>
    <xf numFmtId="0" fontId="15" fillId="3" borderId="52" xfId="0" applyFont="1" applyFill="1" applyBorder="1" applyAlignment="1">
      <alignment horizontal="left" vertical="center" wrapText="1"/>
    </xf>
    <xf numFmtId="164" fontId="0" fillId="3" borderId="52" xfId="1" applyNumberFormat="1" applyFont="1" applyFill="1" applyBorder="1" applyAlignment="1">
      <alignment vertical="center" wrapText="1"/>
    </xf>
    <xf numFmtId="0" fontId="23" fillId="0" borderId="4" xfId="0" applyFont="1" applyBorder="1" applyAlignment="1">
      <alignment horizontal="left" indent="3"/>
    </xf>
    <xf numFmtId="0" fontId="16" fillId="0" borderId="0" xfId="0" applyFont="1" applyAlignment="1">
      <alignment vertical="center"/>
    </xf>
    <xf numFmtId="0" fontId="23" fillId="0" borderId="7" xfId="0" applyFont="1" applyBorder="1" applyAlignment="1"/>
    <xf numFmtId="0" fontId="16" fillId="0" borderId="0" xfId="0" applyFont="1" applyBorder="1" applyAlignment="1">
      <alignment horizontal="center" wrapText="1"/>
    </xf>
    <xf numFmtId="0" fontId="16" fillId="0" borderId="0" xfId="0" applyFont="1" applyFill="1" applyBorder="1" applyAlignment="1">
      <alignment horizontal="center" wrapText="1"/>
    </xf>
    <xf numFmtId="0" fontId="16" fillId="0" borderId="8" xfId="0" applyFont="1" applyBorder="1" applyAlignment="1">
      <alignment horizontal="center" wrapText="1"/>
    </xf>
    <xf numFmtId="0" fontId="18" fillId="0" borderId="0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center"/>
    </xf>
    <xf numFmtId="0" fontId="24" fillId="4" borderId="0" xfId="0" applyFont="1" applyFill="1" applyBorder="1" applyAlignment="1">
      <alignment horizontal="left" wrapText="1" indent="1"/>
    </xf>
    <xf numFmtId="0" fontId="16" fillId="4" borderId="7" xfId="5" applyFont="1" applyFill="1" applyBorder="1" applyAlignment="1">
      <alignment horizontal="left" wrapText="1"/>
    </xf>
    <xf numFmtId="0" fontId="16" fillId="4" borderId="0" xfId="5" applyFont="1" applyFill="1" applyBorder="1" applyAlignment="1">
      <alignment horizontal="left" wrapText="1"/>
    </xf>
    <xf numFmtId="0" fontId="16" fillId="4" borderId="8" xfId="5" applyFont="1" applyFill="1" applyBorder="1" applyAlignment="1">
      <alignment horizontal="left" wrapText="1"/>
    </xf>
    <xf numFmtId="0" fontId="16" fillId="4" borderId="8" xfId="0" applyFont="1" applyFill="1" applyBorder="1" applyAlignment="1">
      <alignment horizontal="left" wrapText="1"/>
    </xf>
    <xf numFmtId="0" fontId="6" fillId="3" borderId="0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left" vertical="center" wrapText="1"/>
    </xf>
    <xf numFmtId="0" fontId="7" fillId="3" borderId="16" xfId="0" applyFont="1" applyFill="1" applyBorder="1" applyAlignment="1">
      <alignment horizontal="left" vertical="center" wrapText="1" indent="1"/>
    </xf>
    <xf numFmtId="0" fontId="8" fillId="3" borderId="17" xfId="0" applyFont="1" applyFill="1" applyBorder="1" applyAlignment="1">
      <alignment horizontal="left" vertical="center" wrapText="1"/>
    </xf>
    <xf numFmtId="169" fontId="8" fillId="3" borderId="16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55" xfId="0" applyFont="1" applyFill="1" applyBorder="1" applyAlignment="1">
      <alignment horizontal="left" vertical="center" wrapText="1"/>
    </xf>
    <xf numFmtId="0" fontId="8" fillId="3" borderId="18" xfId="0" applyFont="1" applyFill="1" applyBorder="1" applyAlignment="1">
      <alignment horizontal="left" vertical="center"/>
    </xf>
    <xf numFmtId="0" fontId="7" fillId="4" borderId="19" xfId="0" applyFont="1" applyFill="1" applyBorder="1" applyAlignment="1">
      <alignment horizontal="left" vertical="center" wrapText="1" indent="1"/>
    </xf>
    <xf numFmtId="0" fontId="9" fillId="3" borderId="18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0" fillId="0" borderId="21" xfId="0" applyFont="1" applyBorder="1" applyAlignment="1">
      <alignment horizontal="center"/>
    </xf>
    <xf numFmtId="3" fontId="10" fillId="0" borderId="22" xfId="0" applyNumberFormat="1" applyFont="1" applyBorder="1" applyAlignment="1">
      <alignment horizontal="center"/>
    </xf>
    <xf numFmtId="0" fontId="11" fillId="0" borderId="13" xfId="0" applyFont="1" applyBorder="1" applyAlignment="1">
      <alignment horizontal="center" vertical="center" wrapText="1"/>
    </xf>
    <xf numFmtId="0" fontId="3" fillId="0" borderId="13" xfId="0" applyFont="1" applyBorder="1"/>
    <xf numFmtId="0" fontId="12" fillId="0" borderId="13" xfId="0" applyFont="1" applyBorder="1" applyAlignment="1">
      <alignment horizontal="left" indent="1"/>
    </xf>
    <xf numFmtId="0" fontId="5" fillId="0" borderId="15" xfId="0" applyFont="1" applyBorder="1" applyAlignment="1">
      <alignment horizontal="left" vertical="center" wrapText="1"/>
    </xf>
    <xf numFmtId="0" fontId="5" fillId="0" borderId="36" xfId="0" applyFont="1" applyBorder="1" applyAlignment="1">
      <alignment horizontal="left" vertical="center" wrapText="1"/>
    </xf>
    <xf numFmtId="0" fontId="5" fillId="0" borderId="37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/>
    </xf>
    <xf numFmtId="0" fontId="12" fillId="0" borderId="24" xfId="0" applyFont="1" applyBorder="1"/>
    <xf numFmtId="0" fontId="12" fillId="0" borderId="25" xfId="0" applyFont="1" applyBorder="1" applyAlignment="1">
      <alignment horizontal="left" vertical="center" wrapText="1" indent="1"/>
    </xf>
    <xf numFmtId="0" fontId="14" fillId="0" borderId="23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0" fontId="26" fillId="0" borderId="30" xfId="0" applyFont="1" applyFill="1" applyBorder="1" applyAlignment="1">
      <alignment horizontal="left" vertical="center" wrapText="1"/>
    </xf>
    <xf numFmtId="0" fontId="15" fillId="0" borderId="32" xfId="0" applyFont="1" applyBorder="1" applyAlignment="1">
      <alignment horizontal="left" vertical="center"/>
    </xf>
    <xf numFmtId="0" fontId="0" fillId="0" borderId="32" xfId="0" applyFont="1" applyBorder="1" applyAlignment="1">
      <alignment horizontal="left" vertical="center"/>
    </xf>
    <xf numFmtId="0" fontId="10" fillId="0" borderId="21" xfId="0" applyFont="1" applyBorder="1" applyAlignment="1">
      <alignment vertical="center" wrapText="1"/>
    </xf>
    <xf numFmtId="0" fontId="10" fillId="0" borderId="35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26" fillId="0" borderId="60" xfId="0" applyFont="1" applyFill="1" applyBorder="1" applyAlignment="1">
      <alignment horizontal="center" vertical="center" wrapText="1"/>
    </xf>
    <xf numFmtId="0" fontId="26" fillId="0" borderId="61" xfId="0" applyFont="1" applyFill="1" applyBorder="1" applyAlignment="1">
      <alignment horizontal="center" vertical="center" wrapText="1"/>
    </xf>
    <xf numFmtId="0" fontId="12" fillId="4" borderId="34" xfId="0" applyFont="1" applyFill="1" applyBorder="1" applyAlignment="1">
      <alignment horizontal="left" vertical="center" wrapText="1" indent="1"/>
    </xf>
    <xf numFmtId="0" fontId="10" fillId="0" borderId="34" xfId="0" applyFont="1" applyBorder="1" applyAlignment="1">
      <alignment horizontal="left" vertical="center" wrapText="1"/>
    </xf>
    <xf numFmtId="0" fontId="0" fillId="0" borderId="23" xfId="0" applyBorder="1"/>
    <xf numFmtId="0" fontId="18" fillId="0" borderId="0" xfId="0" applyFont="1" applyBorder="1" applyAlignment="1">
      <alignment horizontal="left" vertical="center"/>
    </xf>
  </cellXfs>
  <cellStyles count="7">
    <cellStyle name="Encabezado 1" xfId="2"/>
    <cellStyle name="Millares 2" xfId="6"/>
    <cellStyle name="Moneda" xfId="1" builtinId="4"/>
    <cellStyle name="Moneda_AUTORIZACION Y NOTA DE PEDIDO" xfId="3"/>
    <cellStyle name="Neutral 1" xfId="4"/>
    <cellStyle name="Normal" xfId="0" builtinId="0"/>
    <cellStyle name="Normal 2 3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25"/>
  <sheetViews>
    <sheetView tabSelected="1" topLeftCell="A4" zoomScale="93" zoomScaleNormal="93" workbookViewId="0">
      <selection activeCell="G16" sqref="G16"/>
    </sheetView>
  </sheetViews>
  <sheetFormatPr baseColWidth="10" defaultColWidth="11" defaultRowHeight="12.75" x14ac:dyDescent="0.2"/>
  <cols>
    <col min="1" max="1" width="6.42578125" style="16" customWidth="1"/>
    <col min="2" max="2" width="10.5703125" style="16" customWidth="1"/>
    <col min="3" max="3" width="28.42578125" style="16" customWidth="1"/>
    <col min="4" max="4" width="8.42578125" style="16" customWidth="1"/>
    <col min="5" max="5" width="57.7109375" style="16" customWidth="1"/>
    <col min="6" max="6" width="11" style="16"/>
    <col min="7" max="7" width="10.42578125" style="16" bestFit="1" customWidth="1"/>
    <col min="8" max="8" width="13.85546875" style="42" customWidth="1"/>
    <col min="9" max="9" width="18.5703125" style="16" customWidth="1"/>
    <col min="10" max="11" width="11" style="16"/>
    <col min="12" max="12" width="13.140625" style="16" customWidth="1"/>
    <col min="13" max="16384" width="11" style="16"/>
  </cols>
  <sheetData>
    <row r="2" spans="1:10" ht="27" x14ac:dyDescent="0.35">
      <c r="B2" s="87" t="s">
        <v>0</v>
      </c>
      <c r="C2" s="87"/>
      <c r="D2" s="87"/>
      <c r="E2" s="87"/>
      <c r="F2" s="87"/>
      <c r="G2" s="87"/>
      <c r="H2" s="87"/>
    </row>
    <row r="3" spans="1:10" ht="12" customHeight="1" x14ac:dyDescent="0.2"/>
    <row r="4" spans="1:10" ht="34.5" customHeight="1" x14ac:dyDescent="0.25">
      <c r="A4" s="137" t="s">
        <v>1</v>
      </c>
      <c r="B4" s="137"/>
      <c r="C4" s="88" t="s">
        <v>52</v>
      </c>
      <c r="D4" s="88"/>
      <c r="E4" s="88"/>
      <c r="F4" s="17"/>
      <c r="G4" s="18"/>
      <c r="H4" s="43"/>
    </row>
    <row r="5" spans="1:10" ht="18" customHeight="1" x14ac:dyDescent="0.25">
      <c r="A5" s="86" t="s">
        <v>2</v>
      </c>
      <c r="B5" s="86"/>
      <c r="C5" s="88" t="s">
        <v>51</v>
      </c>
      <c r="D5" s="88"/>
      <c r="E5" s="88"/>
      <c r="F5" s="17"/>
      <c r="G5" s="18" t="s">
        <v>55</v>
      </c>
      <c r="H5" s="43"/>
    </row>
    <row r="6" spans="1:10" ht="16.5" customHeight="1" x14ac:dyDescent="0.25">
      <c r="A6" s="86" t="s">
        <v>3</v>
      </c>
      <c r="B6" s="86"/>
      <c r="C6" s="33">
        <v>2021</v>
      </c>
      <c r="D6" s="34"/>
      <c r="E6" s="34"/>
      <c r="F6" s="17"/>
      <c r="G6" s="18"/>
      <c r="H6" s="43"/>
    </row>
    <row r="7" spans="1:10" ht="16.5" customHeight="1" x14ac:dyDescent="0.25">
      <c r="A7" s="86" t="s">
        <v>4</v>
      </c>
      <c r="B7" s="86"/>
      <c r="C7" s="33">
        <v>2</v>
      </c>
      <c r="D7" s="34"/>
      <c r="E7" s="34"/>
      <c r="F7" s="17"/>
      <c r="G7" s="18"/>
      <c r="H7" s="43"/>
    </row>
    <row r="8" spans="1:10" ht="13.5" thickBot="1" x14ac:dyDescent="0.25">
      <c r="B8" s="17"/>
      <c r="C8" s="18"/>
      <c r="D8" s="17"/>
      <c r="E8" s="17"/>
      <c r="F8" s="17"/>
      <c r="G8" s="18"/>
      <c r="H8" s="43"/>
      <c r="J8" s="41"/>
    </row>
    <row r="9" spans="1:10" ht="36.75" thickBot="1" x14ac:dyDescent="0.25">
      <c r="A9" s="76" t="s">
        <v>5</v>
      </c>
      <c r="B9" s="76" t="s">
        <v>6</v>
      </c>
      <c r="C9" s="76" t="s">
        <v>7</v>
      </c>
      <c r="D9" s="76" t="s">
        <v>8</v>
      </c>
      <c r="E9" s="76" t="s">
        <v>9</v>
      </c>
      <c r="F9" s="76" t="s">
        <v>10</v>
      </c>
      <c r="G9" s="76" t="s">
        <v>11</v>
      </c>
      <c r="H9" s="77" t="s">
        <v>12</v>
      </c>
      <c r="I9" s="76" t="s">
        <v>13</v>
      </c>
    </row>
    <row r="10" spans="1:10" ht="25.5" x14ac:dyDescent="0.2">
      <c r="A10" s="71">
        <v>1</v>
      </c>
      <c r="B10" s="72"/>
      <c r="C10" s="73" t="s">
        <v>58</v>
      </c>
      <c r="D10" s="74">
        <v>252</v>
      </c>
      <c r="E10" s="78" t="s">
        <v>60</v>
      </c>
      <c r="F10" s="69" t="s">
        <v>59</v>
      </c>
      <c r="G10" s="70">
        <v>10</v>
      </c>
      <c r="H10" s="79">
        <v>1010</v>
      </c>
      <c r="I10" s="75">
        <f>+G10*H10</f>
        <v>10100</v>
      </c>
    </row>
    <row r="11" spans="1:10" ht="25.5" x14ac:dyDescent="0.2">
      <c r="A11" s="59">
        <v>2</v>
      </c>
      <c r="B11" s="58"/>
      <c r="C11" s="60" t="s">
        <v>58</v>
      </c>
      <c r="D11" s="62">
        <v>252</v>
      </c>
      <c r="E11" s="78" t="s">
        <v>61</v>
      </c>
      <c r="F11" s="69" t="s">
        <v>59</v>
      </c>
      <c r="G11" s="70">
        <v>10</v>
      </c>
      <c r="H11" s="79">
        <v>1010</v>
      </c>
      <c r="I11" s="61">
        <f t="shared" ref="I11" si="0">+G11*H11</f>
        <v>10100</v>
      </c>
    </row>
    <row r="12" spans="1:10" x14ac:dyDescent="0.2">
      <c r="I12" s="24"/>
    </row>
    <row r="13" spans="1:10" ht="13.5" thickBot="1" x14ac:dyDescent="0.25">
      <c r="I13" s="24"/>
    </row>
    <row r="14" spans="1:10" x14ac:dyDescent="0.2">
      <c r="B14" s="80" t="s">
        <v>67</v>
      </c>
      <c r="C14" s="19"/>
      <c r="D14" s="19"/>
      <c r="E14" s="20"/>
      <c r="F14" s="81"/>
      <c r="G14" s="45"/>
      <c r="H14" s="16"/>
    </row>
    <row r="15" spans="1:10" ht="12.75" customHeight="1" x14ac:dyDescent="0.2">
      <c r="B15" s="89" t="s">
        <v>68</v>
      </c>
      <c r="C15" s="90"/>
      <c r="D15" s="90"/>
      <c r="E15" s="91"/>
      <c r="F15" s="81"/>
      <c r="G15" s="45"/>
      <c r="H15" s="16"/>
    </row>
    <row r="16" spans="1:10" ht="26.25" customHeight="1" x14ac:dyDescent="0.2">
      <c r="B16" s="89"/>
      <c r="C16" s="90"/>
      <c r="D16" s="90"/>
      <c r="E16" s="91"/>
      <c r="F16" s="81"/>
      <c r="G16" s="45"/>
      <c r="H16" s="16"/>
    </row>
    <row r="17" spans="2:8" ht="26.25" customHeight="1" x14ac:dyDescent="0.2">
      <c r="B17" s="89" t="s">
        <v>69</v>
      </c>
      <c r="C17" s="90"/>
      <c r="D17" s="90"/>
      <c r="E17" s="91"/>
      <c r="F17" s="81"/>
      <c r="G17" s="45"/>
      <c r="H17" s="16"/>
    </row>
    <row r="18" spans="2:8" ht="26.25" customHeight="1" x14ac:dyDescent="0.2">
      <c r="B18" s="89" t="s">
        <v>72</v>
      </c>
      <c r="C18" s="90"/>
      <c r="D18" s="90"/>
      <c r="E18" s="91"/>
      <c r="F18" s="81"/>
      <c r="G18" s="45"/>
      <c r="H18" s="16"/>
    </row>
    <row r="19" spans="2:8" x14ac:dyDescent="0.2">
      <c r="B19" s="82" t="s">
        <v>70</v>
      </c>
      <c r="C19" s="83"/>
      <c r="D19" s="84"/>
      <c r="E19" s="85"/>
      <c r="F19" s="81"/>
      <c r="G19" s="45"/>
      <c r="H19" s="16"/>
    </row>
    <row r="20" spans="2:8" ht="26.25" customHeight="1" x14ac:dyDescent="0.2">
      <c r="B20" s="56"/>
      <c r="C20" s="92" t="s">
        <v>71</v>
      </c>
      <c r="D20" s="92"/>
      <c r="E20" s="92"/>
      <c r="F20" s="81"/>
      <c r="G20" s="45"/>
      <c r="H20" s="16"/>
    </row>
    <row r="21" spans="2:8" ht="13.5" thickBot="1" x14ac:dyDescent="0.25">
      <c r="B21" s="21"/>
      <c r="C21" s="22"/>
      <c r="D21" s="22"/>
      <c r="E21" s="23"/>
      <c r="F21" s="81"/>
      <c r="G21" s="45"/>
      <c r="H21" s="16"/>
    </row>
    <row r="23" spans="2:8" ht="12" customHeight="1" x14ac:dyDescent="0.2"/>
    <row r="25" spans="2:8" x14ac:dyDescent="0.2">
      <c r="E25" s="16" t="s">
        <v>55</v>
      </c>
    </row>
  </sheetData>
  <autoFilter ref="A9:I11"/>
  <mergeCells count="11">
    <mergeCell ref="B15:E16"/>
    <mergeCell ref="B17:E17"/>
    <mergeCell ref="B18:E18"/>
    <mergeCell ref="C20:E20"/>
    <mergeCell ref="A6:B6"/>
    <mergeCell ref="A7:B7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4"/>
  <sheetViews>
    <sheetView zoomScale="80" zoomScaleNormal="80" workbookViewId="0">
      <selection activeCell="D19" sqref="D19"/>
    </sheetView>
  </sheetViews>
  <sheetFormatPr baseColWidth="10" defaultColWidth="9.140625" defaultRowHeight="12.75" x14ac:dyDescent="0.2"/>
  <cols>
    <col min="1" max="1" width="5.5703125" style="27" customWidth="1"/>
    <col min="2" max="2" width="15.140625" style="27" customWidth="1"/>
    <col min="3" max="3" width="14.140625" style="27" customWidth="1"/>
    <col min="4" max="4" width="26" style="27" customWidth="1"/>
    <col min="5" max="5" width="8" style="27" customWidth="1"/>
    <col min="6" max="6" width="7.85546875" style="27" customWidth="1"/>
    <col min="7" max="7" width="48.5703125" style="27" customWidth="1"/>
    <col min="8" max="8" width="9.28515625" style="27" customWidth="1"/>
    <col min="9" max="9" width="15.5703125" style="27" customWidth="1"/>
    <col min="10" max="10" width="14.7109375" style="27" customWidth="1"/>
    <col min="11" max="11" width="15.5703125" style="27" customWidth="1"/>
    <col min="12" max="13" width="5.85546875" style="27" customWidth="1"/>
    <col min="14" max="14" width="14.140625" style="27" customWidth="1"/>
    <col min="15" max="15" width="12.5703125" style="27" customWidth="1"/>
    <col min="16" max="1024" width="9.140625" style="27"/>
    <col min="1025" max="16384" width="9.140625" style="28"/>
  </cols>
  <sheetData>
    <row r="1" spans="1:14" ht="18" customHeight="1" x14ac:dyDescent="0.2">
      <c r="A1" s="93" t="s">
        <v>14</v>
      </c>
      <c r="B1" s="93"/>
      <c r="C1" s="93"/>
      <c r="D1" s="93"/>
      <c r="E1" s="93"/>
      <c r="F1" s="93"/>
      <c r="G1" s="93"/>
      <c r="H1" s="93"/>
      <c r="I1" s="93"/>
      <c r="J1" s="25" t="s">
        <v>15</v>
      </c>
      <c r="K1" s="26" t="s">
        <v>64</v>
      </c>
    </row>
    <row r="2" spans="1:14" ht="18.75" customHeight="1" thickBot="1" x14ac:dyDescent="0.25">
      <c r="A2" s="29"/>
      <c r="B2" s="29"/>
      <c r="C2" s="29"/>
      <c r="D2" s="30"/>
      <c r="E2" s="30"/>
      <c r="F2" s="30"/>
      <c r="G2" s="30"/>
      <c r="H2" s="30"/>
      <c r="I2" s="30"/>
      <c r="J2" s="30"/>
      <c r="K2" s="30"/>
    </row>
    <row r="3" spans="1:14" ht="18.75" customHeight="1" thickBot="1" x14ac:dyDescent="0.25">
      <c r="A3" s="94" t="s">
        <v>48</v>
      </c>
      <c r="B3" s="94"/>
      <c r="C3" s="94"/>
      <c r="D3" s="95" t="str">
        <f>'Necesidades Trimestrales'!C4</f>
        <v>040 - Ministerio de Salud</v>
      </c>
      <c r="E3" s="95"/>
      <c r="F3" s="95"/>
      <c r="G3" s="95"/>
      <c r="H3" s="95"/>
      <c r="I3" s="95"/>
      <c r="J3" s="95"/>
      <c r="K3" s="95"/>
    </row>
    <row r="4" spans="1:14" ht="18.75" customHeight="1" thickBot="1" x14ac:dyDescent="0.25">
      <c r="A4" s="96" t="s">
        <v>49</v>
      </c>
      <c r="B4" s="96"/>
      <c r="C4" s="96"/>
      <c r="D4" s="95" t="str">
        <f>'Necesidades Trimestrales'!C5</f>
        <v>024 - Hospital Interzonal de Niños</v>
      </c>
      <c r="E4" s="95"/>
      <c r="F4" s="95"/>
      <c r="G4" s="95"/>
      <c r="H4" s="95"/>
      <c r="I4" s="95"/>
      <c r="J4" s="95"/>
      <c r="K4" s="95"/>
    </row>
    <row r="5" spans="1:14" ht="18.75" customHeight="1" thickBot="1" x14ac:dyDescent="0.25">
      <c r="A5" s="96" t="s">
        <v>27</v>
      </c>
      <c r="B5" s="96"/>
      <c r="C5" s="96"/>
      <c r="D5" s="95" t="s">
        <v>51</v>
      </c>
      <c r="E5" s="95"/>
      <c r="F5" s="95"/>
      <c r="G5" s="95"/>
      <c r="H5" s="95"/>
      <c r="I5" s="95"/>
      <c r="J5" s="95"/>
      <c r="K5" s="95"/>
    </row>
    <row r="6" spans="1:14" ht="16.5" customHeight="1" thickBot="1" x14ac:dyDescent="0.25">
      <c r="A6" s="94" t="s">
        <v>50</v>
      </c>
      <c r="B6" s="94"/>
      <c r="C6" s="94"/>
      <c r="D6" s="95" t="s">
        <v>57</v>
      </c>
      <c r="E6" s="95"/>
      <c r="F6" s="95"/>
      <c r="G6" s="95"/>
      <c r="H6" s="95"/>
      <c r="I6" s="95"/>
      <c r="J6" s="95"/>
      <c r="K6" s="95"/>
    </row>
    <row r="7" spans="1:14" ht="16.5" customHeight="1" x14ac:dyDescent="0.2">
      <c r="A7" s="96" t="s">
        <v>16</v>
      </c>
      <c r="B7" s="96"/>
      <c r="C7" s="96"/>
      <c r="D7" s="95" t="str">
        <f>'Necesidades Trimestrales'!C7 &amp; "° Trimestre - Año " &amp; 'Necesidades Trimestrales'!C6</f>
        <v>2° Trimestre - Año 2021</v>
      </c>
      <c r="E7" s="95"/>
      <c r="F7" s="95"/>
      <c r="G7" s="95"/>
      <c r="H7" s="95"/>
      <c r="I7" s="95"/>
      <c r="J7" s="95"/>
      <c r="K7" s="95"/>
    </row>
    <row r="8" spans="1:14" ht="16.5" customHeight="1" x14ac:dyDescent="0.2">
      <c r="A8" s="100" t="s">
        <v>17</v>
      </c>
      <c r="B8" s="100"/>
      <c r="C8" s="100"/>
      <c r="D8" s="101" t="s">
        <v>65</v>
      </c>
      <c r="E8" s="101"/>
      <c r="F8" s="101"/>
      <c r="G8" s="101"/>
      <c r="H8" s="101"/>
      <c r="I8" s="101"/>
      <c r="J8" s="101"/>
      <c r="K8" s="101"/>
    </row>
    <row r="9" spans="1:14" ht="15.75" x14ac:dyDescent="0.2">
      <c r="A9" s="31"/>
      <c r="B9" s="31"/>
      <c r="C9" s="31"/>
      <c r="D9" s="32"/>
      <c r="E9" s="32"/>
      <c r="F9" s="32"/>
      <c r="G9" s="32"/>
      <c r="H9" s="32"/>
      <c r="I9" s="32"/>
      <c r="J9" s="32"/>
      <c r="K9" s="32"/>
    </row>
    <row r="10" spans="1:14" ht="18.75" customHeight="1" x14ac:dyDescent="0.2">
      <c r="A10" s="102" t="s">
        <v>18</v>
      </c>
      <c r="B10" s="103" t="s">
        <v>19</v>
      </c>
      <c r="C10" s="103" t="s">
        <v>20</v>
      </c>
      <c r="D10" s="103"/>
      <c r="E10" s="103"/>
      <c r="F10" s="103"/>
      <c r="G10" s="103"/>
      <c r="H10" s="103" t="s">
        <v>21</v>
      </c>
      <c r="I10" s="103" t="s">
        <v>22</v>
      </c>
      <c r="J10" s="103" t="s">
        <v>23</v>
      </c>
      <c r="K10" s="104" t="s">
        <v>24</v>
      </c>
    </row>
    <row r="11" spans="1:14" ht="24" customHeight="1" thickBot="1" x14ac:dyDescent="0.25">
      <c r="A11" s="102"/>
      <c r="B11" s="103"/>
      <c r="C11" s="103"/>
      <c r="D11" s="103"/>
      <c r="E11" s="103"/>
      <c r="F11" s="103"/>
      <c r="G11" s="103"/>
      <c r="H11" s="103"/>
      <c r="I11" s="103"/>
      <c r="J11" s="103"/>
      <c r="K11" s="104"/>
    </row>
    <row r="12" spans="1:14" ht="27.75" customHeight="1" x14ac:dyDescent="0.2">
      <c r="A12" s="35">
        <v>1</v>
      </c>
      <c r="B12" s="36"/>
      <c r="C12" s="98" t="str">
        <f>'Necesidades Trimestrales'!E10</f>
        <v>INSULINA CORRIENTE HUMANA 100 UI FCO AMP 10 ML</v>
      </c>
      <c r="D12" s="98"/>
      <c r="E12" s="98"/>
      <c r="F12" s="98"/>
      <c r="G12" s="98"/>
      <c r="H12" s="37" t="s">
        <v>54</v>
      </c>
      <c r="I12" s="38" t="str">
        <f>'Necesidades Trimestrales'!F10</f>
        <v>unidad</v>
      </c>
      <c r="J12" s="39">
        <f>'Necesidades Trimestrales'!H10</f>
        <v>1010</v>
      </c>
      <c r="K12" s="40">
        <f>'Necesidades Trimestrales'!G10</f>
        <v>10</v>
      </c>
    </row>
    <row r="13" spans="1:14" ht="27.75" customHeight="1" thickBot="1" x14ac:dyDescent="0.25">
      <c r="A13" s="63">
        <v>2</v>
      </c>
      <c r="B13" s="64"/>
      <c r="C13" s="99" t="str">
        <f>'Necesidades Trimestrales'!E11</f>
        <v>INSULINA NPH HUMANA 100 UI FCO AMP 10 ML</v>
      </c>
      <c r="D13" s="99"/>
      <c r="E13" s="99"/>
      <c r="F13" s="99"/>
      <c r="G13" s="99"/>
      <c r="H13" s="67" t="s">
        <v>54</v>
      </c>
      <c r="I13" s="68" t="str">
        <f>'Necesidades Trimestrales'!F11</f>
        <v>unidad</v>
      </c>
      <c r="J13" s="66">
        <f>'Necesidades Trimestrales'!H11</f>
        <v>1010</v>
      </c>
      <c r="K13" s="65">
        <f>'Necesidades Trimestrales'!G11</f>
        <v>10</v>
      </c>
    </row>
    <row r="14" spans="1:14" ht="20.25" customHeight="1" thickBot="1" x14ac:dyDescent="0.25">
      <c r="A14" s="95" t="s">
        <v>62</v>
      </c>
      <c r="B14" s="95"/>
      <c r="C14" s="95"/>
      <c r="D14" s="95"/>
      <c r="E14" s="95"/>
      <c r="F14" s="95"/>
      <c r="G14" s="95"/>
      <c r="H14" s="95"/>
      <c r="I14" s="95"/>
      <c r="J14" s="97">
        <f>SUMPRODUCT(J12:J13,K12:K13)</f>
        <v>20200</v>
      </c>
      <c r="K14" s="97"/>
      <c r="N14" s="44"/>
    </row>
  </sheetData>
  <mergeCells count="24">
    <mergeCell ref="A14:I14"/>
    <mergeCell ref="J14:K14"/>
    <mergeCell ref="C12:G12"/>
    <mergeCell ref="C13:G1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topLeftCell="A10" zoomScale="130" zoomScaleNormal="130" workbookViewId="0">
      <selection activeCell="A21" sqref="A21:Q22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05" t="s">
        <v>3</v>
      </c>
      <c r="B1" s="105"/>
      <c r="C1" s="105"/>
      <c r="D1" s="106">
        <f>'Necesidades Trimestrales'!C6</f>
        <v>2021</v>
      </c>
      <c r="E1" s="106"/>
      <c r="F1" s="3"/>
      <c r="G1" s="3"/>
      <c r="H1" s="4"/>
      <c r="I1" s="4"/>
      <c r="J1" s="4"/>
      <c r="K1" s="4"/>
      <c r="L1" s="4"/>
      <c r="M1" s="4"/>
      <c r="N1" s="4"/>
      <c r="P1" s="107" t="s">
        <v>25</v>
      </c>
      <c r="Q1" s="107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07"/>
      <c r="Q2" s="107"/>
    </row>
    <row r="4" spans="1:17" s="5" customFormat="1" ht="18" customHeight="1" thickBot="1" x14ac:dyDescent="0.25">
      <c r="A4" s="108" t="s">
        <v>26</v>
      </c>
      <c r="B4" s="108"/>
      <c r="C4" s="108"/>
      <c r="D4" s="108"/>
      <c r="E4" s="108"/>
      <c r="F4" s="108"/>
      <c r="G4" s="109" t="str">
        <f>' NotaPedido'!D3</f>
        <v>040 - Ministerio de Salud</v>
      </c>
      <c r="H4" s="109"/>
      <c r="I4" s="109"/>
      <c r="J4" s="109"/>
      <c r="K4" s="109"/>
      <c r="L4" s="109"/>
      <c r="M4" s="109"/>
      <c r="N4" s="109"/>
      <c r="O4" s="109"/>
      <c r="P4" s="109"/>
      <c r="Q4" s="109"/>
    </row>
    <row r="5" spans="1:17" s="5" customFormat="1" ht="18" customHeight="1" thickBot="1" x14ac:dyDescent="0.25">
      <c r="A5" s="110" t="s">
        <v>49</v>
      </c>
      <c r="B5" s="111"/>
      <c r="C5" s="111"/>
      <c r="D5" s="111"/>
      <c r="E5" s="111"/>
      <c r="F5" s="112"/>
      <c r="G5" s="109" t="str">
        <f>' NotaPedido'!D4</f>
        <v>024 - Hospital Interzonal de Niños</v>
      </c>
      <c r="H5" s="109"/>
      <c r="I5" s="109"/>
      <c r="J5" s="109"/>
      <c r="K5" s="109"/>
      <c r="L5" s="109"/>
      <c r="M5" s="109"/>
      <c r="N5" s="109"/>
      <c r="O5" s="109"/>
      <c r="P5" s="109"/>
      <c r="Q5" s="109"/>
    </row>
    <row r="6" spans="1:17" s="5" customFormat="1" ht="18" customHeight="1" thickBot="1" x14ac:dyDescent="0.25">
      <c r="A6" s="110" t="s">
        <v>27</v>
      </c>
      <c r="B6" s="111"/>
      <c r="C6" s="111"/>
      <c r="D6" s="111"/>
      <c r="E6" s="111"/>
      <c r="F6" s="112"/>
      <c r="G6" s="109" t="str">
        <f>' NotaPedido'!D5</f>
        <v>024 - Hospital Interzonal de Niños</v>
      </c>
      <c r="H6" s="109"/>
      <c r="I6" s="109"/>
      <c r="J6" s="109"/>
      <c r="K6" s="109"/>
      <c r="L6" s="109"/>
      <c r="M6" s="109"/>
      <c r="N6" s="109"/>
      <c r="O6" s="109"/>
      <c r="P6" s="109"/>
      <c r="Q6" s="109"/>
    </row>
    <row r="7" spans="1:17" s="5" customFormat="1" ht="18" customHeight="1" thickBot="1" x14ac:dyDescent="0.25">
      <c r="A7" s="110" t="s">
        <v>50</v>
      </c>
      <c r="B7" s="111"/>
      <c r="C7" s="111"/>
      <c r="D7" s="111"/>
      <c r="E7" s="111"/>
      <c r="F7" s="112"/>
      <c r="G7" s="109" t="s">
        <v>57</v>
      </c>
      <c r="H7" s="109"/>
      <c r="I7" s="109"/>
      <c r="J7" s="109"/>
      <c r="K7" s="109"/>
      <c r="L7" s="109"/>
      <c r="M7" s="109"/>
      <c r="N7" s="109"/>
      <c r="O7" s="109"/>
      <c r="P7" s="109"/>
      <c r="Q7" s="109"/>
    </row>
    <row r="8" spans="1:17" ht="18" customHeight="1" thickBot="1" x14ac:dyDescent="0.25">
      <c r="A8" s="113" t="s">
        <v>28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</row>
    <row r="9" spans="1:17" ht="18" customHeight="1" x14ac:dyDescent="0.2">
      <c r="A9" s="114" t="s">
        <v>29</v>
      </c>
      <c r="B9" s="114"/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"/>
      <c r="P9" s="1"/>
      <c r="Q9" s="6"/>
    </row>
    <row r="10" spans="1:17" ht="54.75" customHeight="1" x14ac:dyDescent="0.2">
      <c r="A10" s="115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049/2021,  afectando la erogación resultante a los créditos presupuestarios aprobados a favor de esta Unidad Ejecutora, conforme al siguiente detalle:</v>
      </c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16" t="s">
        <v>30</v>
      </c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</row>
    <row r="13" spans="1:17" ht="15.75" customHeight="1" thickBot="1" x14ac:dyDescent="0.25">
      <c r="A13" s="117" t="s">
        <v>31</v>
      </c>
      <c r="B13" s="118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9" t="s">
        <v>32</v>
      </c>
      <c r="P13" s="120"/>
      <c r="Q13" s="123" t="s">
        <v>33</v>
      </c>
    </row>
    <row r="14" spans="1:17" ht="15.75" customHeight="1" thickBot="1" x14ac:dyDescent="0.25">
      <c r="A14" s="50" t="s">
        <v>34</v>
      </c>
      <c r="B14" s="51" t="s">
        <v>35</v>
      </c>
      <c r="C14" s="51" t="s">
        <v>36</v>
      </c>
      <c r="D14" s="51" t="s">
        <v>37</v>
      </c>
      <c r="E14" s="51" t="s">
        <v>38</v>
      </c>
      <c r="F14" s="51" t="s">
        <v>39</v>
      </c>
      <c r="G14" s="52" t="s">
        <v>40</v>
      </c>
      <c r="H14" s="51" t="s">
        <v>41</v>
      </c>
      <c r="I14" s="51" t="s">
        <v>42</v>
      </c>
      <c r="J14" s="51" t="s">
        <v>43</v>
      </c>
      <c r="K14" s="51" t="s">
        <v>43</v>
      </c>
      <c r="L14" s="51" t="s">
        <v>44</v>
      </c>
      <c r="M14" s="53" t="s">
        <v>45</v>
      </c>
      <c r="N14" s="54" t="s">
        <v>46</v>
      </c>
      <c r="O14" s="121"/>
      <c r="P14" s="122"/>
      <c r="Q14" s="124"/>
    </row>
    <row r="15" spans="1:17" ht="26.25" customHeight="1" x14ac:dyDescent="0.2">
      <c r="A15" s="46">
        <v>36</v>
      </c>
      <c r="B15" s="47"/>
      <c r="C15" s="47"/>
      <c r="D15" s="47">
        <v>1</v>
      </c>
      <c r="E15" s="47"/>
      <c r="F15" s="47">
        <v>4901</v>
      </c>
      <c r="G15" s="47">
        <v>3</v>
      </c>
      <c r="H15" s="47">
        <v>310</v>
      </c>
      <c r="I15" s="47">
        <v>2</v>
      </c>
      <c r="J15" s="47">
        <v>5</v>
      </c>
      <c r="K15" s="47">
        <v>2</v>
      </c>
      <c r="L15" s="47"/>
      <c r="M15" s="48">
        <v>1</v>
      </c>
      <c r="N15" s="49" t="s">
        <v>53</v>
      </c>
      <c r="O15" s="125" t="s">
        <v>56</v>
      </c>
      <c r="P15" s="125"/>
      <c r="Q15" s="55">
        <v>20200</v>
      </c>
    </row>
    <row r="16" spans="1:17" ht="17.25" customHeight="1" x14ac:dyDescent="0.2">
      <c r="A16" s="46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8"/>
      <c r="N16" s="49"/>
      <c r="O16" s="132"/>
      <c r="P16" s="133"/>
      <c r="Q16" s="55"/>
    </row>
    <row r="17" spans="1:17" ht="17.25" customHeight="1" x14ac:dyDescent="0.2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57"/>
      <c r="O17" s="126"/>
      <c r="P17" s="127"/>
      <c r="Q17" s="14"/>
    </row>
    <row r="18" spans="1:17" ht="29.25" customHeight="1" thickBot="1" x14ac:dyDescent="0.25">
      <c r="A18" s="135" t="s">
        <v>63</v>
      </c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5">
        <f>SUM(Q15:Q17)</f>
        <v>20200</v>
      </c>
    </row>
    <row r="19" spans="1:17" ht="18" customHeight="1" thickBot="1" x14ac:dyDescent="0.25">
      <c r="A19" s="136"/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</row>
    <row r="20" spans="1:17" ht="17.25" customHeight="1" thickBot="1" x14ac:dyDescent="0.25">
      <c r="A20" s="128" t="s">
        <v>47</v>
      </c>
      <c r="B20" s="129"/>
      <c r="C20" s="129"/>
      <c r="D20" s="129"/>
      <c r="E20" s="129"/>
      <c r="F20" s="130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</row>
    <row r="21" spans="1:17" ht="18" customHeight="1" thickBot="1" x14ac:dyDescent="0.25">
      <c r="A21" s="134" t="s">
        <v>66</v>
      </c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</row>
    <row r="22" spans="1:17" ht="15" customHeight="1" x14ac:dyDescent="0.2">
      <c r="A22" s="134"/>
      <c r="B22" s="134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</row>
  </sheetData>
  <mergeCells count="26">
    <mergeCell ref="A21:Q22"/>
    <mergeCell ref="A18:P18"/>
    <mergeCell ref="A19:Q19"/>
    <mergeCell ref="O15:P15"/>
    <mergeCell ref="O17:P17"/>
    <mergeCell ref="A20:F20"/>
    <mergeCell ref="G20:Q20"/>
    <mergeCell ref="O16:P16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2020-07-23T13:47:13Z</cp:lastPrinted>
  <dcterms:created xsi:type="dcterms:W3CDTF">2020-07-17T23:44:49Z</dcterms:created>
  <dcterms:modified xsi:type="dcterms:W3CDTF">2021-03-19T13:37:08Z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