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JIMENA GRIMA\Desktop\"/>
    </mc:Choice>
  </mc:AlternateContent>
  <bookViews>
    <workbookView xWindow="0" yWindow="0" windowWidth="28800" windowHeight="12330" tabRatio="337" activeTab="2"/>
  </bookViews>
  <sheets>
    <sheet name="NOTA PEDIDO" sheetId="2" r:id="rId1"/>
    <sheet name="APG" sheetId="3" r:id="rId2"/>
    <sheet name="NEC TRIM" sheetId="4" r:id="rId3"/>
    <sheet name="Hoja1" sheetId="5" r:id="rId4"/>
  </sheets>
  <definedNames>
    <definedName name="_xlnm.Print_Area" localSheetId="1">APG!$A$1:$Q$25</definedName>
    <definedName name="_xlnm.Print_Area" localSheetId="0">'NOTA PEDIDO'!$A$1:$H$24</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16" i="4" l="1"/>
  <c r="I17" i="4"/>
  <c r="I15" i="4"/>
  <c r="I18" i="4"/>
  <c r="I19" i="4"/>
  <c r="I14" i="4"/>
  <c r="L13" i="4"/>
  <c r="I13" i="4"/>
  <c r="I12" i="4"/>
  <c r="I11" i="4"/>
  <c r="I10" i="4"/>
  <c r="I9" i="4"/>
  <c r="I8" i="4"/>
  <c r="I7" i="4"/>
  <c r="I20" i="4" l="1"/>
  <c r="H23" i="2"/>
  <c r="H22" i="2"/>
  <c r="H21" i="2"/>
  <c r="H20" i="2"/>
  <c r="H19" i="2"/>
  <c r="H18" i="2"/>
  <c r="H17" i="2"/>
  <c r="H16" i="2"/>
  <c r="H15" i="2"/>
  <c r="H14" i="2"/>
  <c r="H13" i="2"/>
  <c r="H12" i="2"/>
  <c r="H11" i="2"/>
  <c r="H24" i="2" l="1"/>
  <c r="Q21" i="3" l="1"/>
  <c r="G24" i="2" l="1"/>
</calcChain>
</file>

<file path=xl/sharedStrings.xml><?xml version="1.0" encoding="utf-8"?>
<sst xmlns="http://schemas.openxmlformats.org/spreadsheetml/2006/main" count="484" uniqueCount="242">
  <si>
    <t>EJERCICIO:</t>
  </si>
  <si>
    <t>ID</t>
  </si>
  <si>
    <t>CODIGO ITEM</t>
  </si>
  <si>
    <t>DESCRIPCION</t>
  </si>
  <si>
    <t>UNIDAD DE MEDIDA</t>
  </si>
  <si>
    <t>CANTIDAD</t>
  </si>
  <si>
    <t>PRECIO UNITARIO ESTIMADO</t>
  </si>
  <si>
    <t>NOTA DE PEDIDO</t>
  </si>
  <si>
    <t xml:space="preserve">JURISDICCIÓN: </t>
  </si>
  <si>
    <t>50 - MINISTERIO DE EDUCACIÓN</t>
  </si>
  <si>
    <t>SAF:</t>
  </si>
  <si>
    <t>26 - DIRECCIÓN PROVINCIAL DE ADMINISTRACIÓN</t>
  </si>
  <si>
    <t>UNIDAD EJECUTORA:</t>
  </si>
  <si>
    <t>MINISTERIO DE EDUCACIÓN</t>
  </si>
  <si>
    <t xml:space="preserve">DEPENDENCIA SOLICITANTE: </t>
  </si>
  <si>
    <t>PERIODO UTILIZACIÓN:</t>
  </si>
  <si>
    <t>OBJETO:</t>
  </si>
  <si>
    <t>Adjunta Detalle Técnico</t>
  </si>
  <si>
    <t>Unidad</t>
  </si>
  <si>
    <t>AUTORIZACIÓN PARA GASTAR</t>
  </si>
  <si>
    <t>JURISDICCIÓN:</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</si>
  <si>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</si>
  <si>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</si>
  <si>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</si>
  <si>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</si>
  <si>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</si>
  <si>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</si>
  <si>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</si>
  <si>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</si>
  <si>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</si>
  <si>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</si>
  <si>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</si>
  <si>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</si>
  <si>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</si>
  <si>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</si>
  <si>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</si>
  <si>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</si>
  <si>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</si>
  <si>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</si>
  <si>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</si>
  <si>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</si>
  <si>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</si>
  <si>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r>
      <t xml:space="preserve">N° </t>
    </r>
    <r>
      <rPr>
        <b/>
        <sz val="11"/>
        <color rgb="FFFF0000"/>
        <rFont val="Times New Roman"/>
        <family val="1"/>
      </rPr>
      <t>xx-2022</t>
    </r>
  </si>
  <si>
    <t>CUARTO TRIMESTRE</t>
  </si>
  <si>
    <t>2.9.9-2448.1</t>
  </si>
  <si>
    <t>2.9.9-2448.8</t>
  </si>
  <si>
    <t>2.9.9-2448.39</t>
  </si>
  <si>
    <t>2.9.9-2448.32</t>
  </si>
  <si>
    <t>2.9.9-2448.50</t>
  </si>
  <si>
    <t>2.9.9-2761.2</t>
  </si>
  <si>
    <t>2.9.6-9084.97</t>
  </si>
  <si>
    <t>2.9.9-2761.3</t>
  </si>
  <si>
    <t>2.9.9-2761.10</t>
  </si>
  <si>
    <t>2.9.9-2761.5</t>
  </si>
  <si>
    <t>2.9.6-9084.96</t>
  </si>
  <si>
    <t>2.9.9-2761.4</t>
  </si>
  <si>
    <t>2.9.6-9084.7</t>
  </si>
  <si>
    <t>PELOTAS; MATERIAL: CUERO, NUMERO: 5, TIPO: FUTBOL</t>
  </si>
  <si>
    <t>PELOTAS; MATERIAL: CUERO, TIPO: VOLEY, NUMERO: UNICO</t>
  </si>
  <si>
    <t>PELOTAS; MATERIAL: CUERO, TIPO: BASQUET, NUMERO: 7</t>
  </si>
  <si>
    <t>PELOTAS; MATERIAL: CUERO, TIPO: HANDBOL, NUMERO: 3</t>
  </si>
  <si>
    <t>PELOTAS; MATERIAL: GOMA SILICONA, TIPO: GIMNASIA RITMICA, NUMERO: DIAM.18 Cm</t>
  </si>
  <si>
    <t>REDES P/DEPORTES; USO: VOLEY, MATERIAL: POLIETILENO</t>
  </si>
  <si>
    <t>R. Y A. P/PRACTICA DEPORTIVA; ELEMENTO: CONOS FLEXIBLES</t>
  </si>
  <si>
    <t>REDES P/DEPORTES; MATERIAL: POLIETILENO, USO: FUTBOL</t>
  </si>
  <si>
    <t>REDES P/DEPORTES; MATERIAL: POLIETILENO, USO: FUTBOL 5</t>
  </si>
  <si>
    <t>REDES P/DEPORTES; MATERIAL: POLIETILENO, USO: BASQUET</t>
  </si>
  <si>
    <t>R. Y A. P/PRACTICA DEPORTIVA; ELEMENTO: SOGA DE SALTO</t>
  </si>
  <si>
    <t>REDES P/DEPORTES; MATERIAL: POLIETILENO, USO: HANDBOL</t>
  </si>
  <si>
    <t>R. Y A. P/PRACTICA DEPORTIVA; ELEMENTO: VARILLA P/RED DE VOLEY</t>
  </si>
  <si>
    <t>Costo total estimado: PESOS SEIS MILLONES CIENTO VEINTE MIL CON 00/100</t>
  </si>
  <si>
    <r>
      <t xml:space="preserve">Autorizo la realización de los  trámites correspondientes, a fin de proveer a  este Organismo los bienes que se detallan en Nota  de Pedido N° </t>
    </r>
    <r>
      <rPr>
        <sz val="11"/>
        <color rgb="FFFF0000"/>
        <rFont val="Times New Roman"/>
        <family val="1"/>
      </rPr>
      <t>XX</t>
    </r>
    <r>
      <rPr>
        <b/>
        <sz val="11"/>
        <color rgb="FFFF0000"/>
        <rFont val="Times New Roman"/>
        <family val="1"/>
      </rPr>
      <t>/22,</t>
    </r>
    <r>
      <rPr>
        <sz val="11"/>
        <color rgb="FFFF0000"/>
        <rFont val="Times New Roman"/>
        <family val="1"/>
      </rPr>
      <t xml:space="preserve"> </t>
    </r>
    <r>
      <rPr>
        <sz val="11"/>
        <color theme="1"/>
        <rFont val="Times New Roman"/>
        <family val="1"/>
      </rPr>
      <t>afectando la erogación resultante a los créditos presupuestarios aprobados a favor de esta Unidad Ejecutora, conforme al siguiente detalle:</t>
    </r>
  </si>
  <si>
    <t>OTROS N.E.P.</t>
  </si>
  <si>
    <t>TOTAL DE PESOS: SEIS MILLONES CIENTO VEINTE MIL CON 00/100</t>
  </si>
  <si>
    <t>ADQUISICIÓN DE ELEMENTOS DEPORTIVOS -MINISTERIO DE EDUCACIÓN.</t>
  </si>
  <si>
    <t>SECRETARIA DE COMPRAS Y ABASTECIMIENTO</t>
  </si>
  <si>
    <t>Pedido de Necesidades Trimestrales</t>
  </si>
  <si>
    <t>JURISDICCION:</t>
  </si>
  <si>
    <t xml:space="preserve">SAF N°: </t>
  </si>
  <si>
    <t>TRIMESTRE:</t>
  </si>
  <si>
    <t>RUBRO DE COMPRA</t>
  </si>
  <si>
    <t xml:space="preserve">I.P.P. </t>
  </si>
  <si>
    <t xml:space="preserve">IMPORTE TOTAL ESTIMADO </t>
  </si>
  <si>
    <t>Descripción técnica</t>
  </si>
  <si>
    <t>Plazos y lugares de entrega</t>
  </si>
  <si>
    <t>Calidad Minima esperada</t>
  </si>
  <si>
    <t>Garantia</t>
  </si>
  <si>
    <t>2.9.9.</t>
  </si>
  <si>
    <t>2.9.9</t>
  </si>
  <si>
    <t xml:space="preserve"> 
UTILES Y PRODUCTOS DEPORTIVOS</t>
  </si>
  <si>
    <t>UTILES Y PRODUCTOS DEPORTIVOS</t>
  </si>
  <si>
    <t>COSTO TOTAL ESTIMADO: PESOS SEIS MILLONES CIENTO VEINTE MIL CON 00/100.</t>
  </si>
  <si>
    <t>ADQUISICIÓN DE ELEMENTOS DEPORTIVOS CON DESTINO A LAS INSTITUCIONES ESCOLARES DEL MINISTERIO DE EDUCACIÓN.</t>
  </si>
  <si>
    <t>ESPECIFICACIONES GENERALES PARA ESTA CONTRATACIÓN:</t>
  </si>
  <si>
    <r>
      <t xml:space="preserve">• INDICAR </t>
    </r>
    <r>
      <rPr>
        <b/>
        <u/>
        <sz val="12"/>
        <rFont val="Calibri"/>
        <family val="2"/>
      </rPr>
      <t>MARCA COMERCIAL DE PRODUCTO COTIZADO POR ÍTEM</t>
    </r>
    <r>
      <rPr>
        <sz val="12"/>
        <rFont val="Calibri"/>
        <family val="2"/>
      </rPr>
      <t>. No indicar la marca comercial del producto cotizado hará que la oferta formulada para el ítem en cuestión se la considere como que “NO SE AJUSTA A LO SOLICITADO” e implicará la DESESTIMACIÓN de la oferta.</t>
    </r>
  </si>
  <si>
    <t>• Embalaje: Apropiado para su transporte y conservación.</t>
  </si>
  <si>
    <t>• Se deberá adjuntar Folletos con características y especificaciones técnicas, y todo otro detalle que permita individualizar lo cotizado, o en su defecto hacer una apropiada descripción del bien</t>
  </si>
  <si>
    <t>ofertado (marca y modelo).</t>
  </si>
  <si>
    <t>• Ofrecer GARANTÍA: Mínima de SEIS (06) meses, sobre fallas o problemas de fabricación;</t>
  </si>
  <si>
    <t>reemplazando el ítem por uno de idénticas características.</t>
  </si>
  <si>
    <t>• Condición de calidad: El bien requerido para dar cumplimiento al objeto del presente anexo deberá ser nuevo, sin uso, libre de defectos en el diseño, materiales o de fabricación de acuerdo a las especificaciones técnicas descriptas, color indistinto, se aceptará el color que haya en stock.-</t>
  </si>
  <si>
    <t>4.3.6-6161.294</t>
  </si>
  <si>
    <t>IMPRESORAS; TIPO: LASER MONOCROMATICA, CODIGO ETAP: PR-017, VERSION ETAP: VERSION 19.0</t>
  </si>
  <si>
    <t>UNIDAD</t>
  </si>
  <si>
    <t>4.3.6-6160.232</t>
  </si>
  <si>
    <t>COMPUTADORAS; TIPO: ESCRITORIO, CODIGO ETAP: PC ESCRITORIO, VERSION ETAP: 25.0</t>
  </si>
  <si>
    <t>4.3.6-6170.58</t>
  </si>
  <si>
    <t>DIG. DE IMAGENES/ESCANER; TIPO: ESTANDAR, CODIGO ETAP: SC-002, VERSION ETAP: 22.0</t>
  </si>
  <si>
    <r>
      <t>Especificaciones Técnicas ITEM 1</t>
    </r>
    <r>
      <rPr>
        <sz val="12"/>
        <rFont val="Calibri"/>
        <family val="2"/>
      </rPr>
      <t xml:space="preserve">: </t>
    </r>
  </si>
  <si>
    <t>- Impresora Láser Monocromática (ByN).</t>
  </si>
  <si>
    <t>- Resolución mínima de impresión de 600 x 600 dpi (puntos por pulgada).</t>
  </si>
  <si>
    <t>- Velocidad de impresión: no menor de 20 ppm (páginas por minuto), en tamaño A4.</t>
  </si>
  <si>
    <t>- Tamaño de papel: Carta (215.9 x 297.4 mm), A4 (210 x 297mm), Oficio (215.9 x 355,6 mm), como</t>
  </si>
  <si>
    <t>mínimo.</t>
  </si>
  <si>
    <t>- Tipo de papel: Normal, Grueso, Fino.</t>
  </si>
  <si>
    <t>- Bandeja de entrada: Capacidad para al menos 150 hojas cortadas de 80 gr/m2.</t>
  </si>
  <si>
    <t>- Bandeja de salida: Capacidad para al menos 100 hojas cortadas de 80 gr/m2.</t>
  </si>
  <si>
    <t>- Memoria RAM: 256 MB (mínimo).- Conectividad: Interfaz USB 2.0 o superior, cable incluido. Wireless Ethernet (WiFi) compatible con IEEE</t>
  </si>
  <si>
    <t>802.11b/g/n.</t>
  </si>
  <si>
    <t>- Drivers: Windows 7, 8.1, 10 versiones de 32 y 64 bits.</t>
  </si>
  <si>
    <t>- Alimentación: 220V - 50 Hz. Cables incluidos.</t>
  </si>
  <si>
    <t>- Garantía: Ofrecer GARANTÍA: Mínima de SEIS (06) meses, sobre fallas o problemas de fabricación; reemplazando el ítem por uno de idénticas características.</t>
  </si>
  <si>
    <t>Especificaciones Técnicas ITEM 2:</t>
  </si>
  <si>
    <t>Computadoras; Tipo: Escritorio, CODIGO ETAP: PC ESCRITORIO, VERSION ETAP: 25.0 PC</t>
  </si>
  <si>
    <t>ESCRITORIO - Computadora de Escritorio estándar.</t>
  </si>
  <si>
    <t>- UNIDAD DE PROCESAMIENTO de Rendimiento Bajo - Procesador "Intel" no inferior a Core I3 de doble núcleo como mínimo, de décimo segunda generación o superior, o "AMD" no inferior a "Ryzen 3" de doble núcleo de quinta generación o superior.</t>
  </si>
  <si>
    <t>- MEMORIA Tipo DDR4 - 2666 o superior de Capacidad 8Gb mínimo.</t>
  </si>
  <si>
    <t>- DISCO DURO Tipo SSD de capacidad 240Gb mínimo.</t>
  </si>
  <si>
    <t>- VIDEO Controladora de vídeo Onboard SVGA/XGA o superior, resolución 1920x1080 Color 32 bits.</t>
  </si>
  <si>
    <t>- AUDIO Placa de Sonido Integrado.</t>
  </si>
  <si>
    <t>- NETWORK Y COMUNICACIONES − Interfaz de red Tipo: Gigabit Ethernet autosensing</t>
  </si>
  <si>
    <t>(10/100/1000BaseT) - Red Wireless (WiFi). CON Teclado Tipo español latinoamericano, del tipo</t>
  </si>
  <si>
    <t>QWERTY, que incluya función numérica. Mouse óptico.</t>
  </si>
  <si>
    <t>- MONITOR tipo Led, Tamaño diagonal: 19" como mínimo, Relación de aspecto 16:9, Conexión VGA/DSub, Hdmi. Resolución mínima 1366x768px.</t>
  </si>
  <si>
    <t>- PUERTOS INCORPORADOS − Al menos CUATRO (4) puertos USB tipo A, con sus conectores externos en el gabinete. ▪ Al menos DOS (2) puertos serán USB 2.0 ▪ Al menos DOS (2) puertos serán USB 3.1.- Al menos 1 de los puertos debe estar al frente del equipo. Parlantes 2.0.</t>
  </si>
  <si>
    <t>- Sin Sistema Operativo.</t>
  </si>
  <si>
    <t>Especificaciones Técnicas ITEM 3:</t>
  </si>
  <si>
    <t>- Digitalizador de Imágenes - Escáner de escritorio en color, a doble faz, con ingreso de los documentos a escanear mediante alimentador automático de no menos de 20 hojas.</t>
  </si>
  <si>
    <t>- Tamaños de documento escaneable: Carta (215.9 x 297.4 mm), A4 (210 x 297mm), Oficio (215.9 x 355,6mm), como mínimo.</t>
  </si>
  <si>
    <t>- Resolución: 600 x 600 dpi como mínimo.</t>
  </si>
  <si>
    <t>- Color: 24 bits como mínimo.</t>
  </si>
  <si>
    <t>- Velocidad de escaneo en régimen para tamaño A4, no inferior a: 20ppm (páginas por minuto).</t>
  </si>
  <si>
    <t>- Alimentación eléctrica: 220 V. - 50 Hz. Cable incluido.</t>
  </si>
  <si>
    <t>- Interfaz: USB 2.0 o superior. Cable incluido.</t>
  </si>
  <si>
    <t>- Drivers y Software: Incluir interfaz de software TWAIN estándar, compatible con Sistema Operativo Windows 7, 8.1 y 10. Formatos de archivos de salida TIFF, JPEG, RTF, BMP y PDF.</t>
  </si>
  <si>
    <t>• INDICAR MARCA COMERCIAL DE PRODUCTO COTIZADO POR ÍTEM. No indicar la marca comercial del producto cotizado hará que la oferta formulada para el ítem en cuestión se la considere como que “NO SE AJUSTA A LO SOLICITADO” e implicará la DESESTIMACIÓN de la oferta.</t>
  </si>
  <si>
    <t>• Se deberá adjuntar Folletos con características y especificaciones técnicas, y todo otro detalle que permita individualizar lo cotizado, o en su defecto hacer una apropiada descripción del bien ofertado (marca y modelo).</t>
  </si>
  <si>
    <t>• Ofrecer GARANTÍA: Mínima de SEIS (06) meses, sobre fallas o problemas de fabricación;reemplazando el ítem por uno de idénticas características.</t>
  </si>
  <si>
    <t>Especificidades Item N° 1:</t>
  </si>
  <si>
    <t xml:space="preserve">Deberán ser de primera calidad
</t>
  </si>
  <si>
    <r>
      <t xml:space="preserve">Mantenimiento: </t>
    </r>
    <r>
      <rPr>
        <sz val="10"/>
        <rFont val="Times New Roman"/>
        <family val="1"/>
      </rPr>
      <t>45 dias habiles</t>
    </r>
  </si>
  <si>
    <t>Tipos de superficie: Césped artificial-piso</t>
  </si>
  <si>
    <t>Material: cuero - (pvc foam)</t>
  </si>
  <si>
    <t>Tipo de costura: cosida a mano y máquina</t>
  </si>
  <si>
    <t>Uso: entrenamiento</t>
  </si>
  <si>
    <t>Paneles: 32 paneles</t>
  </si>
  <si>
    <t>La pelota se entrega desinflada, en bolsa Descripción</t>
  </si>
  <si>
    <t>Colores a disponibilidad: azul - rojo - naranja - blanco</t>
  </si>
  <si>
    <t>Material de la cámara: Cámara de aire de goma-o latex</t>
  </si>
  <si>
    <t xml:space="preserve">Mínima de SEIS (06) meses, sobre fallas o problemas de fabricación;reemplazando el ítem por uno de idénticas características.
</t>
  </si>
  <si>
    <t>Especificidades Item N° 2:</t>
  </si>
  <si>
    <t>Especificidades Item N° :</t>
  </si>
  <si>
    <t>Especificidades Item N° 4:</t>
  </si>
  <si>
    <t>Especificidades Item N° 5:</t>
  </si>
  <si>
    <t>Especificidades Item N° 6:</t>
  </si>
  <si>
    <t>Especificidades Item N° 7:</t>
  </si>
  <si>
    <t>Sí</t>
  </si>
  <si>
    <t>Circunferencia: 65-67 cm; Diámetro: 20,7- 21,3 cm</t>
  </si>
  <si>
    <t xml:space="preserve">Peso: 410-450 grs </t>
  </si>
  <si>
    <t>Peso:   260 - 280 grs</t>
  </si>
  <si>
    <t>Tipos de superficie: piso</t>
  </si>
  <si>
    <t>Material: cuero - (pvc, foam, caucho)</t>
  </si>
  <si>
    <t>Peso: 567-650 grs</t>
  </si>
  <si>
    <t xml:space="preserve">Color:  - naranja - </t>
  </si>
  <si>
    <t>Color: blanco</t>
  </si>
  <si>
    <t>Tipo de costura:  a mano o máquina</t>
  </si>
  <si>
    <t>Medida reglamentaria N° 7 Circunferencia: 75-78 cm; Diámetro: 23- 24 cm</t>
  </si>
  <si>
    <t>Medida reglamentaria N° 5 Circunferencia: 68-70 cm; Diámetro: 21,65- 22,29 cm</t>
  </si>
  <si>
    <t>Peso y tamaño reglamentarios Voley.</t>
  </si>
  <si>
    <t>Peso: 325-400 grs</t>
  </si>
  <si>
    <t>Circunferencia: 58-60 cm; Diámetro: 16 cm aprox.</t>
  </si>
  <si>
    <t>Colores a disponibilidad: azul - rojo - naranja - blanco - gris</t>
  </si>
  <si>
    <t>Peso: 400 grs aprox.</t>
  </si>
  <si>
    <t>Diámetro: 18- 20 cm</t>
  </si>
  <si>
    <t>Colores a disponibilidad: azul - rojo - naranja - blanco - rosado - varios</t>
  </si>
  <si>
    <t>Material: Goma - Silicona - Pvc, para Gimnasia Rítmica</t>
  </si>
  <si>
    <t xml:space="preserve">Medidas: Reglamentaria: 100cm x 950cm. </t>
  </si>
  <si>
    <t>Color Malla: Negro</t>
  </si>
  <si>
    <t>Medida de los cuadros de la malla: 10cm x 10cm</t>
  </si>
  <si>
    <t>Con doble banda.</t>
  </si>
  <si>
    <t>Color Banda: Blanco</t>
  </si>
  <si>
    <t>Material: Polietileno de alta resistencia. Cables de acero.</t>
  </si>
  <si>
    <t>Material: Plastico, PVC, flexibles.</t>
  </si>
  <si>
    <t>Altura: 14-20cm</t>
  </si>
  <si>
    <t>Deben ser apilables</t>
  </si>
  <si>
    <t>Colores varios.</t>
  </si>
  <si>
    <t>Especificidades Item N° 8:</t>
  </si>
  <si>
    <t xml:space="preserve">Material: Polietileno de alta resistencia. </t>
  </si>
  <si>
    <t>Color: Blanco</t>
  </si>
  <si>
    <t xml:space="preserve">Medida de los cuadros de la malla: 12cm aprox. </t>
  </si>
  <si>
    <t>Diametro de cuerda: 3mm aprox.</t>
  </si>
  <si>
    <t>Especificidades Item N° 9:</t>
  </si>
  <si>
    <t xml:space="preserve">Medidas: Reglamentaria futbol 11, para arcos de 7,32m ancho x 2,44m alto, y de 1,50 a 2,00m de profundidad. </t>
  </si>
  <si>
    <t xml:space="preserve">Medidas: Reglamentaria futbol 5, para arcos de 3,00m ancho x 2,00m alto, y de 0,60m a 1,00m de profundidad. </t>
  </si>
  <si>
    <t>Diametro de cuerda: 2,5mm aprox.</t>
  </si>
  <si>
    <t>Especificidades Item N° 10:</t>
  </si>
  <si>
    <t xml:space="preserve">Medidas: Reglamentaria basquet, para aros de 45,7cm de diametro </t>
  </si>
  <si>
    <t>Ganchos: 12</t>
  </si>
  <si>
    <t>Diametro de cuerda: 5mm aprox.</t>
  </si>
  <si>
    <t>Largo de caída de la red: 47cm aprox.</t>
  </si>
  <si>
    <t>Especificidades Item N° 11:</t>
  </si>
  <si>
    <t>Largo: 275 cm. aprox., ajustable.</t>
  </si>
  <si>
    <t xml:space="preserve">Con mango ergonómico. </t>
  </si>
  <si>
    <t xml:space="preserve">Soga para saltar, de material cable de acero recubierto. De alta resistencia. </t>
  </si>
  <si>
    <t>Especificidades Item N° 12:</t>
  </si>
  <si>
    <t xml:space="preserve">Medidas: Reglamentaria HANDBOL, para arcos de 3,00m ancho x 2,00m alto, y de 0,60m a 1,00m de profundidad. </t>
  </si>
  <si>
    <t>Medida de los cuadros de la malla: 12cm aprox. Cuadrados o Hexagonales.</t>
  </si>
  <si>
    <t>Especificidades Item N° 13:</t>
  </si>
  <si>
    <t xml:space="preserve">Varilla para Red de Voley. </t>
  </si>
  <si>
    <t>Material: Fibra de vidrio o similar.</t>
  </si>
  <si>
    <t>Medidas: 180cm x 10mm</t>
  </si>
  <si>
    <t xml:space="preserve">Color: Pintado con franjas blancas y rojas de 10cm </t>
  </si>
  <si>
    <t>Color: varios.</t>
  </si>
  <si>
    <t xml:space="preserve">Material: cuero </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</si>
  <si>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deposito del Ministerio de Educación - Sito en calle Maipú 1251 - San Fernando del Valle de Catamarca .  Se presentará Remito que deberá cumplimentar lo dispuesto por la R.G. AFIP  1415/03, sin excepción.  Los productos deberan ser nuevos, sin uso, libre de defectos en el diseño, materiales o de fabricacion, corriendo ademas los gastos de flete, acarreo, carga, descarga y seguro por cuenta del adjudicatario</t>
  </si>
  <si>
    <t xml:space="preserve">Tipo de costura: pegada </t>
  </si>
  <si>
    <t>Material de la cámara: Butilo -</t>
  </si>
  <si>
    <t>Material: cuero</t>
  </si>
  <si>
    <t>sacar</t>
  </si>
  <si>
    <t xml:space="preserve">para superficie </t>
  </si>
  <si>
    <t>no es costura</t>
  </si>
  <si>
    <t>agregar numero de item</t>
  </si>
  <si>
    <t>ok</t>
  </si>
  <si>
    <t>copiar del item 3</t>
  </si>
  <si>
    <t>no es de cuero la pelota de basquet</t>
  </si>
  <si>
    <t>sacar o dejar varios</t>
  </si>
  <si>
    <t>aproximadamente</t>
  </si>
  <si>
    <t>cambiar desde 11 hasta 18 (no vienen de 15), mas pequeños se llaman cono tortuga (hasta 10 cm)</t>
  </si>
  <si>
    <r>
      <t>Ancho de la base: 11cm</t>
    </r>
    <r>
      <rPr>
        <sz val="10"/>
        <color rgb="FFFF0000"/>
        <rFont val="Times New Roman"/>
        <family val="1"/>
      </rPr>
      <t xml:space="preserve"> hasta-</t>
    </r>
    <r>
      <rPr>
        <sz val="10"/>
        <rFont val="Times New Roman"/>
        <family val="1"/>
      </rPr>
      <t>15cm</t>
    </r>
  </si>
  <si>
    <t>tortugas: colores varios - comunes: solo naranjas</t>
  </si>
  <si>
    <t>con guias de cable de acero con doble banda</t>
  </si>
  <si>
    <t>handball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</si>
</sst>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4" formatCode="_-&quot;$&quot;\ * #,##0.00_-;\-&quot;$&quot;\ * #,##0.00_-;_-&quot;$&quot;\ * &quot;-&quot;??_-;_-@_-"/>
    <numFmt numFmtId="164" formatCode="_-* #,##0.00&quot; €&quot;_-;\-* #,##0.00&quot; €&quot;_-;_-* \-??&quot; €&quot;_-;_-@_-"/>
    <numFmt numFmtId="165" formatCode="[$$-2C0A]\ #,##0.00;[$$-2C0A]&quot; -&quot;#,##0.00"/>
    <numFmt numFmtId="166" formatCode="&quot;$&quot;\ #,##0.00"/>
    <numFmt numFmtId="167" formatCode="[$$-2C0A]\ #,##0.00"/>
    <numFmt numFmtId="168" formatCode="dd\-mm\-yy;@"/>
    <numFmt numFmtId="169" formatCode="_(\$* #,##0.00_);_(\$* \(#,##0.00\);_(\$* \-??_);_(@_)"/>
    <numFmt numFmtId="170" formatCode="_-* #,##0.00\ _€_-;\-* #,##0.00\ _€_-;_-* &quot;-&quot;??\ _€_-;_-@_-"/>
    <numFmt numFmtId="171" formatCode="_-[$$-2C0A]\ * #,##0.00_-;\-[$$-2C0A]\ * #,##0.00_-;_-[$$-2C0A]\ * &quot;-&quot;??_-;_-@_-"/>
  </numFmts>
  <fonts count="49">
    <font>
      <sz val="10"/>
      <name val="Arial"/>
      <charset val="1"/>
    </font>
    <font>
      <b/>
      <sz val="15"/>
      <color rgb="FF666699"/>
      <name val="Calibri"/>
      <family val="2"/>
      <charset val="1"/>
    </font>
    <font>
      <sz val="11"/>
      <color rgb="FF993300"/>
      <name val="Calibri"/>
      <family val="2"/>
      <charset val="1"/>
    </font>
    <font>
      <sz val="10"/>
      <name val="Arial"/>
      <family val="2"/>
    </font>
    <font>
      <sz val="10"/>
      <name val="Times New Roman"/>
      <family val="1"/>
    </font>
    <font>
      <b/>
      <sz val="11"/>
      <color rgb="FF000000"/>
      <name val="Times New Roman"/>
      <family val="1"/>
    </font>
    <font>
      <sz val="9"/>
      <name val="Times New Roman"/>
      <family val="1"/>
    </font>
    <font>
      <sz val="9"/>
      <color rgb="FF000000"/>
      <name val="Times New Roman"/>
      <family val="1"/>
    </font>
    <font>
      <b/>
      <sz val="11"/>
      <color theme="1"/>
      <name val="Calibri"/>
      <family val="2"/>
      <scheme val="minor"/>
    </font>
    <font>
      <b/>
      <u/>
      <sz val="12"/>
      <name val="Times New Roman"/>
      <family val="1"/>
      <charset val="1"/>
    </font>
    <font>
      <b/>
      <sz val="11"/>
      <name val="Times New Roman"/>
      <family val="1"/>
    </font>
    <font>
      <b/>
      <u/>
      <sz val="11"/>
      <name val="Times New Roman"/>
      <family val="1"/>
      <charset val="1"/>
    </font>
    <font>
      <sz val="11"/>
      <name val="Times New Roman"/>
      <family val="1"/>
      <charset val="1"/>
    </font>
    <font>
      <b/>
      <sz val="11"/>
      <name val="Times New Roman"/>
      <family val="1"/>
      <charset val="1"/>
    </font>
    <font>
      <sz val="11"/>
      <color rgb="FF000000"/>
      <name val="Times New Roman"/>
      <family val="1"/>
    </font>
    <font>
      <sz val="9"/>
      <name val="Times New Roman"/>
      <family val="1"/>
      <charset val="1"/>
    </font>
    <font>
      <b/>
      <u/>
      <sz val="10"/>
      <name val="Arial"/>
      <family val="2"/>
    </font>
    <font>
      <sz val="11"/>
      <name val="Times New Roman"/>
      <family val="1"/>
    </font>
    <font>
      <b/>
      <u/>
      <sz val="11"/>
      <name val="Times New Roman"/>
      <family val="1"/>
    </font>
    <font>
      <b/>
      <sz val="9"/>
      <name val="Times New Roman"/>
      <family val="1"/>
    </font>
    <font>
      <sz val="10"/>
      <name val="Arial"/>
      <family val="2"/>
      <charset val="1"/>
    </font>
    <font>
      <b/>
      <sz val="9"/>
      <color theme="1"/>
      <name val="Times New Roman"/>
      <family val="1"/>
    </font>
    <font>
      <sz val="11"/>
      <color theme="1"/>
      <name val="Times New Roman"/>
      <family val="1"/>
    </font>
    <font>
      <b/>
      <sz val="10"/>
      <color rgb="FFFF0000"/>
      <name val="Arial"/>
      <family val="2"/>
    </font>
    <font>
      <b/>
      <sz val="11"/>
      <color theme="1"/>
      <name val="Times New Roman"/>
      <family val="1"/>
    </font>
    <font>
      <b/>
      <sz val="11"/>
      <color rgb="FFFF0000"/>
      <name val="Times New Roman"/>
      <family val="1"/>
    </font>
    <font>
      <sz val="11"/>
      <color rgb="FFFF0000"/>
      <name val="Times New Roman"/>
      <family val="1"/>
    </font>
    <font>
      <sz val="11"/>
      <color theme="0"/>
      <name val="Calibri"/>
      <family val="2"/>
      <scheme val="minor"/>
    </font>
    <font>
      <b/>
      <sz val="22"/>
      <name val="Times New Roman"/>
      <family val="1"/>
    </font>
    <font>
      <b/>
      <sz val="12"/>
      <color rgb="FF000000"/>
      <name val="Times New Roman"/>
      <family val="1"/>
    </font>
    <font>
      <sz val="10"/>
      <color rgb="FF000000"/>
      <name val="Times New Roman"/>
      <family val="1"/>
    </font>
    <font>
      <b/>
      <sz val="10"/>
      <color rgb="FF000000"/>
      <name val="Times New Roman"/>
      <family val="1"/>
    </font>
    <font>
      <b/>
      <sz val="8"/>
      <color rgb="FF000000"/>
      <name val="Times New Roman"/>
      <family val="1"/>
    </font>
    <font>
      <sz val="12"/>
      <name val="Times New Roman"/>
      <family val="1"/>
      <charset val="1"/>
    </font>
    <font>
      <u/>
      <sz val="10"/>
      <name val="Times New Roman"/>
      <family val="1"/>
    </font>
    <font>
      <sz val="10"/>
      <color rgb="FF000000"/>
      <name val="TimesNewRomanPSMT"/>
    </font>
    <font>
      <sz val="10"/>
      <color theme="0"/>
      <name val="Arial"/>
      <family val="2"/>
    </font>
    <font>
      <b/>
      <sz val="12"/>
      <name val="Calibri"/>
      <family val="2"/>
    </font>
    <font>
      <sz val="12"/>
      <name val="Calibri"/>
      <family val="2"/>
    </font>
    <font>
      <b/>
      <u/>
      <sz val="12"/>
      <name val="Calibri"/>
      <family val="2"/>
    </font>
    <font>
      <b/>
      <sz val="11"/>
      <name val="Arial"/>
      <family val="2"/>
    </font>
    <font>
      <sz val="15"/>
      <color rgb="FF666666"/>
      <name val="Arial"/>
      <family val="2"/>
    </font>
    <font>
      <sz val="10"/>
      <color rgb="FF7030A0"/>
      <name val="Times New Roman"/>
      <family val="1"/>
    </font>
    <font>
      <sz val="10"/>
      <color theme="0"/>
      <name val="Times New Roman"/>
      <family val="1"/>
    </font>
    <font>
      <sz val="12"/>
      <color theme="0"/>
      <name val="Times New Roman"/>
      <family val="1"/>
      <charset val="1"/>
    </font>
    <font>
      <sz val="9"/>
      <color theme="0"/>
      <name val="Times New Roman"/>
      <family val="1"/>
    </font>
    <font>
      <b/>
      <sz val="11"/>
      <color theme="0"/>
      <name val="Arial"/>
      <family val="2"/>
    </font>
    <font>
      <b/>
      <sz val="8"/>
      <name val="Times New Roman"/>
      <family val="1"/>
    </font>
    <font>
      <sz val="10"/>
      <color rgb="FFFF0000"/>
      <name val="Times New Roman"/>
      <family val="1"/>
    </font>
  </fonts>
  <fills count="7">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
      <patternFill patternType="solid">
        <fgColor rgb="FFFFFFFF"/>
        <bgColor indexed="64"/>
      </patternFill>
    </fill>
    <fill>
      <patternFill patternType="solid">
        <fgColor rgb="FFFFFF00"/>
        <bgColor rgb="FFFFFF00"/>
      </patternFill>
    </fill>
  </fills>
  <borders count="64">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auto="1"/>
      </right>
      <top style="medium">
        <color auto="1"/>
      </top>
      <bottom style="medium">
        <color rgb="FF3D3D3D"/>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top/>
      <bottom style="medium">
        <color rgb="FF3D3D3D"/>
      </bottom>
      <diagonal/>
    </border>
    <border>
      <left/>
      <right/>
      <top/>
      <bottom style="medium">
        <color rgb="FF3D3D3D"/>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right style="thin">
        <color rgb="FF3D3D3D"/>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style="medium">
        <color indexed="64"/>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5">
    <xf numFmtId="0" fontId="0" fillId="0" borderId="0"/>
    <xf numFmtId="164" fontId="3" fillId="0" borderId="0" applyBorder="0" applyProtection="0"/>
    <xf numFmtId="0" fontId="1" fillId="0" borderId="1" applyProtection="0"/>
    <xf numFmtId="0" fontId="2" fillId="2" borderId="0" applyBorder="0" applyProtection="0"/>
    <xf numFmtId="169" fontId="20" fillId="0" borderId="0" applyBorder="0" applyProtection="0"/>
  </cellStyleXfs>
  <cellXfs count="213">
    <xf numFmtId="0" fontId="0" fillId="0" borderId="0" xfId="0"/>
    <xf numFmtId="0" fontId="11" fillId="0" borderId="5" xfId="0" applyFont="1" applyBorder="1" applyAlignment="1">
      <alignment vertical="center"/>
    </xf>
    <xf numFmtId="0" fontId="11" fillId="0" borderId="0" xfId="0" applyFont="1" applyBorder="1" applyAlignment="1">
      <alignment vertical="center"/>
    </xf>
    <xf numFmtId="0" fontId="11" fillId="0" borderId="6" xfId="0" applyFont="1" applyBorder="1" applyAlignment="1">
      <alignment vertical="center"/>
    </xf>
    <xf numFmtId="0" fontId="5" fillId="0" borderId="7" xfId="0" applyFont="1" applyBorder="1" applyAlignment="1">
      <alignment horizontal="center" vertical="center" wrapText="1"/>
    </xf>
    <xf numFmtId="0" fontId="13" fillId="0" borderId="7" xfId="0" applyFont="1" applyBorder="1" applyAlignment="1">
      <alignment horizontal="center" vertical="center" wrapText="1"/>
    </xf>
    <xf numFmtId="0" fontId="3" fillId="0" borderId="0" xfId="0" applyFont="1"/>
    <xf numFmtId="0" fontId="14" fillId="0" borderId="7" xfId="0" applyFont="1" applyBorder="1" applyAlignment="1">
      <alignment horizontal="center" vertical="center" wrapText="1"/>
    </xf>
    <xf numFmtId="0" fontId="15" fillId="0" borderId="7" xfId="0" applyFont="1" applyFill="1" applyBorder="1" applyAlignment="1">
      <alignment horizontal="center" vertical="center"/>
    </xf>
    <xf numFmtId="0" fontId="7" fillId="4" borderId="7" xfId="0" applyFont="1" applyFill="1" applyBorder="1" applyAlignment="1">
      <alignment horizontal="center" vertical="center" wrapText="1"/>
    </xf>
    <xf numFmtId="167" fontId="0" fillId="0" borderId="7" xfId="0" applyNumberFormat="1" applyBorder="1"/>
    <xf numFmtId="0" fontId="16" fillId="0" borderId="0" xfId="0" applyFont="1"/>
    <xf numFmtId="166" fontId="16" fillId="0" borderId="0" xfId="0" applyNumberFormat="1" applyFont="1"/>
    <xf numFmtId="3" fontId="10" fillId="0" borderId="3" xfId="0" applyNumberFormat="1" applyFont="1" applyBorder="1"/>
    <xf numFmtId="168" fontId="17" fillId="0" borderId="3" xfId="0" applyNumberFormat="1" applyFont="1" applyBorder="1" applyAlignment="1">
      <alignment horizontal="left"/>
    </xf>
    <xf numFmtId="0" fontId="17" fillId="0" borderId="3" xfId="0" applyFont="1" applyBorder="1"/>
    <xf numFmtId="0" fontId="17" fillId="0" borderId="5" xfId="0" applyFont="1" applyBorder="1"/>
    <xf numFmtId="0" fontId="17" fillId="0" borderId="0" xfId="0" applyFont="1"/>
    <xf numFmtId="0" fontId="17" fillId="0" borderId="0" xfId="0" applyFont="1" applyAlignment="1">
      <alignment horizontal="left"/>
    </xf>
    <xf numFmtId="168" fontId="17" fillId="0" borderId="0" xfId="0" applyNumberFormat="1" applyFont="1" applyAlignment="1">
      <alignment horizontal="left"/>
    </xf>
    <xf numFmtId="0" fontId="17" fillId="0" borderId="6" xfId="0" applyFont="1" applyBorder="1"/>
    <xf numFmtId="0" fontId="17" fillId="0" borderId="20" xfId="0" applyFont="1" applyBorder="1"/>
    <xf numFmtId="0" fontId="17" fillId="0" borderId="21" xfId="0" applyFont="1" applyBorder="1"/>
    <xf numFmtId="0" fontId="17" fillId="0" borderId="21" xfId="0" applyFont="1" applyBorder="1" applyAlignment="1">
      <alignment horizontal="left"/>
    </xf>
    <xf numFmtId="0" fontId="17" fillId="0" borderId="22" xfId="0" applyFont="1" applyBorder="1"/>
    <xf numFmtId="0" fontId="19" fillId="0" borderId="25" xfId="0" applyFont="1" applyBorder="1" applyAlignment="1">
      <alignment vertical="center"/>
    </xf>
    <xf numFmtId="0" fontId="19" fillId="0" borderId="26" xfId="0" applyFont="1" applyBorder="1" applyAlignment="1">
      <alignment vertical="center"/>
    </xf>
    <xf numFmtId="0" fontId="19" fillId="0" borderId="27" xfId="0" applyFont="1" applyBorder="1" applyAlignment="1">
      <alignment vertical="center"/>
    </xf>
    <xf numFmtId="0" fontId="19" fillId="0" borderId="28" xfId="0" applyFont="1" applyBorder="1" applyAlignment="1">
      <alignment vertical="center"/>
    </xf>
    <xf numFmtId="0" fontId="6" fillId="0" borderId="29" xfId="0" applyFont="1" applyBorder="1" applyAlignment="1">
      <alignment horizontal="center" vertical="center"/>
    </xf>
    <xf numFmtId="0" fontId="6" fillId="0" borderId="30" xfId="0" applyFont="1" applyBorder="1" applyAlignment="1">
      <alignment horizontal="center" vertical="center"/>
    </xf>
    <xf numFmtId="0" fontId="6" fillId="0" borderId="31" xfId="0" applyFont="1" applyBorder="1" applyAlignment="1">
      <alignment horizontal="center" vertical="center"/>
    </xf>
    <xf numFmtId="165" fontId="6" fillId="0" borderId="33" xfId="4" applyNumberFormat="1" applyFont="1" applyBorder="1" applyAlignment="1" applyProtection="1">
      <alignment horizontal="center" vertical="center"/>
    </xf>
    <xf numFmtId="0" fontId="6" fillId="0" borderId="34" xfId="0" applyFont="1" applyBorder="1" applyAlignment="1">
      <alignment horizontal="center" vertical="center"/>
    </xf>
    <xf numFmtId="0" fontId="6" fillId="0" borderId="35" xfId="0" applyFont="1" applyBorder="1" applyAlignment="1">
      <alignment horizontal="center" vertical="center"/>
    </xf>
    <xf numFmtId="0" fontId="6" fillId="0" borderId="36" xfId="0" applyFont="1" applyBorder="1" applyAlignment="1">
      <alignment horizontal="center" vertical="center"/>
    </xf>
    <xf numFmtId="0" fontId="6" fillId="0" borderId="37" xfId="0" applyFont="1" applyBorder="1" applyAlignment="1">
      <alignment horizontal="center" vertical="center"/>
    </xf>
    <xf numFmtId="165" fontId="6" fillId="0" borderId="40" xfId="4" applyNumberFormat="1" applyFont="1" applyBorder="1" applyAlignment="1" applyProtection="1">
      <alignment horizontal="center" vertical="center"/>
    </xf>
    <xf numFmtId="0" fontId="17" fillId="0" borderId="34" xfId="0" applyFont="1" applyBorder="1" applyAlignment="1">
      <alignment horizontal="center" vertical="center"/>
    </xf>
    <xf numFmtId="0" fontId="17" fillId="0" borderId="35" xfId="0" applyFont="1" applyBorder="1" applyAlignment="1">
      <alignment horizontal="center" vertical="center"/>
    </xf>
    <xf numFmtId="0" fontId="17" fillId="0" borderId="36" xfId="0" applyFont="1" applyBorder="1" applyAlignment="1">
      <alignment horizontal="center" vertical="center"/>
    </xf>
    <xf numFmtId="0" fontId="17" fillId="0" borderId="37" xfId="0" applyFont="1" applyBorder="1" applyAlignment="1">
      <alignment horizontal="center" vertical="center"/>
    </xf>
    <xf numFmtId="165" fontId="17" fillId="0" borderId="40" xfId="4" applyNumberFormat="1" applyFont="1" applyBorder="1" applyAlignment="1" applyProtection="1">
      <alignment horizontal="center" vertical="center"/>
    </xf>
    <xf numFmtId="0" fontId="17" fillId="0" borderId="41" xfId="0" applyFont="1" applyBorder="1" applyAlignment="1">
      <alignment horizontal="center" vertical="center"/>
    </xf>
    <xf numFmtId="0" fontId="17" fillId="0" borderId="42" xfId="0" applyFont="1" applyBorder="1" applyAlignment="1">
      <alignment horizontal="center" vertical="center"/>
    </xf>
    <xf numFmtId="0" fontId="17" fillId="0" borderId="43" xfId="0" applyFont="1" applyBorder="1" applyAlignment="1">
      <alignment horizontal="center" vertical="center"/>
    </xf>
    <xf numFmtId="165" fontId="17" fillId="0" borderId="44" xfId="4" applyNumberFormat="1" applyFont="1" applyBorder="1" applyAlignment="1" applyProtection="1">
      <alignment horizontal="center" vertical="center"/>
    </xf>
    <xf numFmtId="165" fontId="19" fillId="0" borderId="46" xfId="0" applyNumberFormat="1" applyFont="1" applyBorder="1" applyAlignment="1">
      <alignment horizontal="center" vertical="center"/>
    </xf>
    <xf numFmtId="0" fontId="14" fillId="0" borderId="8" xfId="0" applyFont="1" applyFill="1" applyBorder="1" applyAlignment="1">
      <alignment horizontal="center" vertical="center" wrapText="1"/>
    </xf>
    <xf numFmtId="0" fontId="14" fillId="0" borderId="7" xfId="0" applyFont="1" applyFill="1" applyBorder="1" applyAlignment="1">
      <alignment horizontal="center" vertical="center" wrapText="1"/>
    </xf>
    <xf numFmtId="165" fontId="4" fillId="0" borderId="8" xfId="1" applyNumberFormat="1" applyFont="1" applyFill="1" applyBorder="1" applyAlignment="1" applyProtection="1">
      <alignment horizontal="right" vertical="center" wrapText="1"/>
    </xf>
    <xf numFmtId="165" fontId="4" fillId="0" borderId="7" xfId="1" applyNumberFormat="1" applyFont="1" applyFill="1" applyBorder="1" applyAlignment="1" applyProtection="1">
      <alignment horizontal="right" vertical="center" wrapText="1"/>
    </xf>
    <xf numFmtId="0" fontId="14" fillId="0" borderId="8" xfId="0" applyFont="1" applyBorder="1" applyAlignment="1">
      <alignment horizontal="left" vertical="center" wrapText="1"/>
    </xf>
    <xf numFmtId="0" fontId="14" fillId="0" borderId="7" xfId="0" applyFont="1" applyBorder="1" applyAlignment="1">
      <alignment horizontal="left" vertical="center" wrapText="1"/>
    </xf>
    <xf numFmtId="0" fontId="22" fillId="0" borderId="7" xfId="0" applyFont="1" applyFill="1" applyBorder="1" applyAlignment="1">
      <alignment horizontal="center" vertical="center" wrapText="1"/>
    </xf>
    <xf numFmtId="0" fontId="17" fillId="0" borderId="7" xfId="0" applyFont="1" applyBorder="1" applyAlignment="1">
      <alignment horizontal="center" vertical="center"/>
    </xf>
    <xf numFmtId="0" fontId="23" fillId="0" borderId="0" xfId="0" applyFont="1"/>
    <xf numFmtId="0" fontId="24" fillId="0" borderId="9" xfId="0" applyFont="1" applyFill="1" applyBorder="1" applyAlignment="1">
      <alignment horizontal="left" vertical="center"/>
    </xf>
    <xf numFmtId="0" fontId="0" fillId="0" borderId="0" xfId="0" applyFont="1"/>
    <xf numFmtId="0" fontId="19" fillId="0" borderId="26" xfId="0" applyFont="1" applyBorder="1" applyAlignment="1">
      <alignment horizontal="center" vertical="center"/>
    </xf>
    <xf numFmtId="0" fontId="4" fillId="0" borderId="0" xfId="0" applyFont="1"/>
    <xf numFmtId="0" fontId="30" fillId="0" borderId="0" xfId="0" applyFont="1" applyAlignment="1">
      <alignment horizontal="left" wrapText="1"/>
    </xf>
    <xf numFmtId="0" fontId="29" fillId="4" borderId="0" xfId="0" applyFont="1" applyFill="1" applyAlignment="1">
      <alignment horizontal="left" wrapText="1" indent="1"/>
    </xf>
    <xf numFmtId="0" fontId="31" fillId="3" borderId="0" xfId="0" applyFont="1" applyFill="1" applyAlignment="1">
      <alignment horizontal="left" wrapText="1"/>
    </xf>
    <xf numFmtId="0" fontId="32" fillId="0" borderId="48" xfId="0" applyFont="1" applyBorder="1" applyAlignment="1">
      <alignment horizontal="center" vertical="center" wrapText="1"/>
    </xf>
    <xf numFmtId="0" fontId="32" fillId="0" borderId="49" xfId="0" applyFont="1" applyBorder="1" applyAlignment="1">
      <alignment horizontal="center" vertical="center" wrapText="1"/>
    </xf>
    <xf numFmtId="0" fontId="32" fillId="0" borderId="50" xfId="0" applyFont="1" applyBorder="1" applyAlignment="1">
      <alignment horizontal="center" vertical="center" wrapText="1"/>
    </xf>
    <xf numFmtId="44" fontId="0" fillId="0" borderId="0" xfId="0" applyNumberFormat="1"/>
    <xf numFmtId="0" fontId="6" fillId="0" borderId="51" xfId="0" applyFont="1" applyBorder="1" applyAlignment="1">
      <alignment horizontal="center" vertical="center"/>
    </xf>
    <xf numFmtId="0" fontId="0" fillId="0" borderId="51" xfId="0" applyBorder="1" applyAlignment="1">
      <alignment vertical="center" wrapText="1"/>
    </xf>
    <xf numFmtId="0" fontId="0" fillId="0" borderId="0" xfId="0" applyAlignment="1">
      <alignment vertical="center" wrapText="1"/>
    </xf>
    <xf numFmtId="0" fontId="7" fillId="0" borderId="51" xfId="0" applyFont="1" applyBorder="1" applyAlignment="1">
      <alignment horizontal="center" vertical="center" wrapText="1"/>
    </xf>
    <xf numFmtId="0" fontId="6" fillId="0" borderId="51" xfId="0" applyFont="1" applyBorder="1" applyAlignment="1">
      <alignment horizontal="center" vertical="center" wrapText="1"/>
    </xf>
    <xf numFmtId="170" fontId="0" fillId="0" borderId="0" xfId="0" applyNumberFormat="1"/>
    <xf numFmtId="0" fontId="6" fillId="0" borderId="7" xfId="0" applyFont="1" applyBorder="1" applyAlignment="1">
      <alignment horizontal="center" vertical="center"/>
    </xf>
    <xf numFmtId="0" fontId="0" fillId="0" borderId="7" xfId="0" applyBorder="1" applyAlignment="1">
      <alignment vertical="center" wrapText="1"/>
    </xf>
    <xf numFmtId="0" fontId="7" fillId="0" borderId="7" xfId="0" applyFont="1" applyBorder="1" applyAlignment="1">
      <alignment horizontal="center" vertical="center" wrapText="1"/>
    </xf>
    <xf numFmtId="0" fontId="6" fillId="0" borderId="7" xfId="0" applyFont="1" applyBorder="1" applyAlignment="1">
      <alignment horizontal="center" vertical="center" wrapText="1"/>
    </xf>
    <xf numFmtId="0" fontId="7" fillId="4" borderId="52" xfId="0" applyFont="1" applyFill="1" applyBorder="1" applyAlignment="1">
      <alignment horizontal="left" vertical="center" wrapText="1"/>
    </xf>
    <xf numFmtId="0" fontId="0" fillId="0" borderId="0" xfId="0" applyAlignment="1">
      <alignment vertical="center"/>
    </xf>
    <xf numFmtId="0" fontId="0" fillId="0" borderId="7" xfId="0" applyBorder="1" applyAlignment="1">
      <alignment vertical="center"/>
    </xf>
    <xf numFmtId="0" fontId="0" fillId="0" borderId="7" xfId="0" applyFont="1" applyBorder="1" applyAlignment="1">
      <alignment vertical="center"/>
    </xf>
    <xf numFmtId="0" fontId="6" fillId="0" borderId="0" xfId="0" applyFont="1" applyAlignment="1">
      <alignment horizontal="center" vertical="center"/>
    </xf>
    <xf numFmtId="0" fontId="7" fillId="4" borderId="0" xfId="0" applyFont="1" applyFill="1" applyBorder="1" applyAlignment="1">
      <alignment horizontal="center" vertical="center" wrapText="1"/>
    </xf>
    <xf numFmtId="0" fontId="0" fillId="0" borderId="0" xfId="0" applyAlignment="1">
      <alignment horizontal="center" vertical="center" wrapText="1"/>
    </xf>
    <xf numFmtId="0" fontId="7" fillId="0" borderId="0" xfId="0" applyFont="1" applyFill="1" applyBorder="1" applyAlignment="1">
      <alignment horizontal="center" vertical="center" wrapText="1"/>
    </xf>
    <xf numFmtId="0" fontId="33" fillId="0" borderId="0" xfId="0" applyFont="1" applyBorder="1" applyAlignment="1">
      <alignment horizontal="left" vertical="center" wrapText="1"/>
    </xf>
    <xf numFmtId="0" fontId="34" fillId="0" borderId="2" xfId="0" applyFont="1" applyBorder="1"/>
    <xf numFmtId="0" fontId="4" fillId="0" borderId="3" xfId="0" applyFont="1" applyBorder="1"/>
    <xf numFmtId="0" fontId="4" fillId="0" borderId="4" xfId="0" applyFont="1" applyBorder="1"/>
    <xf numFmtId="0" fontId="34" fillId="0" borderId="5" xfId="0" applyFont="1" applyBorder="1" applyAlignment="1">
      <alignment horizontal="left" indent="3"/>
    </xf>
    <xf numFmtId="0" fontId="4" fillId="0" borderId="0" xfId="0" applyFont="1" applyBorder="1"/>
    <xf numFmtId="0" fontId="4" fillId="0" borderId="6" xfId="0" applyFont="1" applyBorder="1"/>
    <xf numFmtId="0" fontId="4" fillId="0" borderId="5" xfId="0" applyFont="1" applyBorder="1" applyAlignment="1">
      <alignment horizontal="left" indent="3"/>
    </xf>
    <xf numFmtId="0" fontId="4" fillId="0" borderId="0" xfId="0" applyFont="1" applyBorder="1" applyAlignment="1">
      <alignment horizontal="center" wrapText="1"/>
    </xf>
    <xf numFmtId="0" fontId="4" fillId="0" borderId="58" xfId="0" applyFont="1" applyBorder="1"/>
    <xf numFmtId="0" fontId="4" fillId="0" borderId="59" xfId="0" applyFont="1" applyBorder="1"/>
    <xf numFmtId="0" fontId="7" fillId="0" borderId="0" xfId="0" applyFont="1" applyBorder="1" applyAlignment="1">
      <alignment horizontal="center" vertical="center" wrapText="1"/>
    </xf>
    <xf numFmtId="0" fontId="0" fillId="0" borderId="0" xfId="0" applyAlignment="1">
      <alignment horizontal="left" vertical="center" wrapText="1"/>
    </xf>
    <xf numFmtId="0" fontId="7" fillId="4" borderId="0" xfId="0" applyFont="1" applyFill="1" applyAlignment="1">
      <alignment horizontal="center" vertical="center" wrapText="1"/>
    </xf>
    <xf numFmtId="165" fontId="6" fillId="4" borderId="0" xfId="1" applyNumberFormat="1" applyFont="1" applyFill="1" applyBorder="1" applyAlignment="1" applyProtection="1">
      <alignment horizontal="right" vertical="center" wrapText="1"/>
    </xf>
    <xf numFmtId="0" fontId="3" fillId="0" borderId="7" xfId="0" applyFont="1" applyBorder="1" applyAlignment="1">
      <alignment vertical="center" wrapText="1"/>
    </xf>
    <xf numFmtId="0" fontId="3" fillId="0" borderId="7" xfId="0" applyFont="1" applyBorder="1" applyAlignment="1">
      <alignment vertical="center"/>
    </xf>
    <xf numFmtId="0" fontId="3" fillId="0" borderId="7" xfId="0" applyFont="1" applyBorder="1" applyAlignment="1">
      <alignment horizontal="left" vertical="center" wrapText="1"/>
    </xf>
    <xf numFmtId="0" fontId="0" fillId="0" borderId="0" xfId="0" applyAlignment="1">
      <alignment wrapText="1"/>
    </xf>
    <xf numFmtId="0" fontId="3" fillId="0" borderId="53" xfId="0" applyFont="1" applyBorder="1" applyAlignment="1">
      <alignment horizontal="left" vertical="center" wrapText="1"/>
    </xf>
    <xf numFmtId="171" fontId="3" fillId="0" borderId="51" xfId="1" applyNumberFormat="1" applyBorder="1"/>
    <xf numFmtId="171" fontId="3" fillId="0" borderId="7" xfId="1" applyNumberFormat="1" applyBorder="1"/>
    <xf numFmtId="0" fontId="35" fillId="0" borderId="0" xfId="0" applyFont="1"/>
    <xf numFmtId="0" fontId="36" fillId="0" borderId="0" xfId="0" applyFont="1"/>
    <xf numFmtId="167" fontId="27" fillId="0" borderId="0" xfId="0" applyNumberFormat="1" applyFont="1"/>
    <xf numFmtId="167" fontId="36" fillId="0" borderId="0" xfId="0" applyNumberFormat="1" applyFont="1"/>
    <xf numFmtId="0" fontId="37" fillId="0" borderId="0" xfId="0" applyFont="1" applyAlignment="1">
      <alignment horizontal="center" vertical="center"/>
    </xf>
    <xf numFmtId="0" fontId="0" fillId="0" borderId="0" xfId="0" applyAlignment="1">
      <alignment horizontal="justify" vertical="center"/>
    </xf>
    <xf numFmtId="0" fontId="38" fillId="0" borderId="0" xfId="0" applyFont="1" applyAlignment="1">
      <alignment horizontal="justify" vertical="center"/>
    </xf>
    <xf numFmtId="0" fontId="5" fillId="0" borderId="60" xfId="0" applyFont="1" applyBorder="1" applyAlignment="1">
      <alignment horizontal="center" vertical="center" wrapText="1"/>
    </xf>
    <xf numFmtId="0" fontId="5" fillId="0" borderId="61" xfId="0" applyFont="1" applyBorder="1" applyAlignment="1">
      <alignment horizontal="center" vertical="center" wrapText="1"/>
    </xf>
    <xf numFmtId="0" fontId="31" fillId="0" borderId="62" xfId="0" applyFont="1" applyBorder="1" applyAlignment="1">
      <alignment horizontal="center" vertical="center"/>
    </xf>
    <xf numFmtId="0" fontId="30" fillId="0" borderId="63" xfId="0" applyFont="1" applyBorder="1" applyAlignment="1">
      <alignment horizontal="center" vertical="center" wrapText="1"/>
    </xf>
    <xf numFmtId="0" fontId="30" fillId="0" borderId="63" xfId="0" applyFont="1" applyBorder="1" applyAlignment="1">
      <alignment vertical="center" wrapText="1"/>
    </xf>
    <xf numFmtId="0" fontId="30" fillId="0" borderId="63" xfId="0" applyFont="1" applyBorder="1" applyAlignment="1">
      <alignment horizontal="center" vertical="center"/>
    </xf>
    <xf numFmtId="0" fontId="30" fillId="5" borderId="63" xfId="0" applyFont="1" applyFill="1" applyBorder="1" applyAlignment="1">
      <alignment horizontal="center" vertical="center" wrapText="1"/>
    </xf>
    <xf numFmtId="0" fontId="30" fillId="0" borderId="59" xfId="0" applyFont="1" applyBorder="1" applyAlignment="1">
      <alignment horizontal="center" vertical="center" wrapText="1"/>
    </xf>
    <xf numFmtId="0" fontId="30" fillId="0" borderId="59" xfId="0" applyFont="1" applyBorder="1" applyAlignment="1">
      <alignment vertical="center" wrapText="1"/>
    </xf>
    <xf numFmtId="0" fontId="37" fillId="0" borderId="0" xfId="0" applyFont="1" applyAlignment="1">
      <alignment horizontal="justify" vertical="center"/>
    </xf>
    <xf numFmtId="0" fontId="4" fillId="0" borderId="5" xfId="0" applyFont="1" applyBorder="1"/>
    <xf numFmtId="0" fontId="4" fillId="4" borderId="0" xfId="0" applyFont="1" applyFill="1" applyBorder="1" applyAlignment="1">
      <alignment horizontal="left" vertical="center" wrapText="1"/>
    </xf>
    <xf numFmtId="0" fontId="4" fillId="4" borderId="6" xfId="0" applyFont="1" applyFill="1" applyBorder="1" applyAlignment="1">
      <alignment horizontal="left" vertical="center" wrapText="1"/>
    </xf>
    <xf numFmtId="0" fontId="4" fillId="0" borderId="6" xfId="0" applyFont="1" applyBorder="1" applyAlignment="1">
      <alignment horizontal="center" wrapText="1"/>
    </xf>
    <xf numFmtId="0" fontId="4" fillId="0" borderId="57" xfId="0" applyFont="1" applyBorder="1" applyAlignment="1">
      <alignment horizontal="left" indent="3"/>
    </xf>
    <xf numFmtId="44" fontId="3" fillId="0" borderId="0" xfId="0" applyNumberFormat="1" applyFont="1"/>
    <xf numFmtId="0" fontId="3" fillId="0" borderId="0" xfId="0" applyFont="1" applyAlignment="1">
      <alignment vertical="center" wrapText="1"/>
    </xf>
    <xf numFmtId="0" fontId="40" fillId="0" borderId="0" xfId="0" applyFont="1" applyAlignment="1">
      <alignment horizontal="left" vertical="center" wrapText="1" indent="1"/>
    </xf>
    <xf numFmtId="0" fontId="41" fillId="0" borderId="0" xfId="0" applyFont="1"/>
    <xf numFmtId="0" fontId="3" fillId="0" borderId="53" xfId="0" applyFont="1" applyBorder="1" applyAlignment="1">
      <alignment vertical="center" wrapText="1"/>
    </xf>
    <xf numFmtId="0" fontId="43" fillId="0" borderId="0" xfId="0" applyFont="1" applyAlignment="1">
      <alignment horizontal="left" wrapText="1"/>
    </xf>
    <xf numFmtId="44" fontId="44" fillId="0" borderId="0" xfId="0" applyNumberFormat="1" applyFont="1" applyBorder="1" applyAlignment="1">
      <alignment horizontal="left" vertical="center" wrapText="1"/>
    </xf>
    <xf numFmtId="165" fontId="45" fillId="4" borderId="0" xfId="1" applyNumberFormat="1" applyFont="1" applyFill="1" applyBorder="1" applyAlignment="1" applyProtection="1">
      <alignment horizontal="right" vertical="center" wrapText="1"/>
    </xf>
    <xf numFmtId="0" fontId="43" fillId="0" borderId="0" xfId="0" applyFont="1"/>
    <xf numFmtId="0" fontId="46" fillId="0" borderId="0" xfId="0" applyFont="1" applyAlignment="1">
      <alignment horizontal="left" vertical="center" wrapText="1" indent="1"/>
    </xf>
    <xf numFmtId="0" fontId="43" fillId="0" borderId="0" xfId="0" applyFont="1" applyAlignment="1">
      <alignment horizontal="center" wrapText="1"/>
    </xf>
    <xf numFmtId="0" fontId="44" fillId="0" borderId="0" xfId="0" applyFont="1" applyBorder="1" applyAlignment="1">
      <alignment horizontal="left" vertical="center" wrapText="1"/>
    </xf>
    <xf numFmtId="0" fontId="45" fillId="4" borderId="0" xfId="0" applyFont="1" applyFill="1" applyAlignment="1">
      <alignment horizontal="center" vertical="center" wrapText="1"/>
    </xf>
    <xf numFmtId="0" fontId="47" fillId="0" borderId="49" xfId="0" applyFont="1" applyBorder="1" applyAlignment="1">
      <alignment horizontal="center" vertical="center" wrapText="1"/>
    </xf>
    <xf numFmtId="171" fontId="3" fillId="0" borderId="51" xfId="1" applyNumberFormat="1" applyFont="1" applyBorder="1"/>
    <xf numFmtId="171" fontId="3" fillId="0" borderId="7" xfId="1" applyNumberFormat="1" applyFont="1" applyBorder="1"/>
    <xf numFmtId="0" fontId="12" fillId="0" borderId="2" xfId="0" applyFont="1" applyBorder="1" applyAlignment="1">
      <alignment horizontal="left" vertical="center"/>
    </xf>
    <xf numFmtId="0" fontId="12" fillId="0" borderId="3" xfId="0" applyFont="1" applyBorder="1" applyAlignment="1">
      <alignment horizontal="left" vertical="center"/>
    </xf>
    <xf numFmtId="0" fontId="12" fillId="0" borderId="4" xfId="0" applyFont="1" applyBorder="1" applyAlignment="1">
      <alignment horizontal="left" vertical="center"/>
    </xf>
    <xf numFmtId="0" fontId="8" fillId="0" borderId="7" xfId="0" applyFont="1" applyBorder="1" applyAlignment="1">
      <alignment horizontal="left" vertical="top" wrapText="1"/>
    </xf>
    <xf numFmtId="0" fontId="12" fillId="0" borderId="9" xfId="0" applyFont="1" applyFill="1" applyBorder="1" applyAlignment="1">
      <alignment horizontal="left" vertical="center" wrapText="1"/>
    </xf>
    <xf numFmtId="0" fontId="13" fillId="0" borderId="9" xfId="0" applyFont="1" applyBorder="1" applyAlignment="1">
      <alignment horizontal="left" vertical="center" wrapText="1"/>
    </xf>
    <xf numFmtId="0" fontId="13" fillId="0" borderId="9" xfId="0" applyFont="1" applyFill="1" applyBorder="1" applyAlignment="1">
      <alignment vertical="center" wrapText="1"/>
    </xf>
    <xf numFmtId="0" fontId="13" fillId="0" borderId="9" xfId="0" applyFont="1" applyBorder="1" applyAlignment="1">
      <alignment vertical="center" wrapText="1"/>
    </xf>
    <xf numFmtId="0" fontId="13" fillId="3" borderId="9" xfId="0" applyFont="1" applyFill="1" applyBorder="1" applyAlignment="1">
      <alignment horizontal="left"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13" fillId="0" borderId="9" xfId="0" applyFont="1" applyFill="1" applyBorder="1" applyAlignment="1">
      <alignment horizontal="left" vertical="center" wrapText="1"/>
    </xf>
    <xf numFmtId="0" fontId="6" fillId="0" borderId="19" xfId="0" applyFont="1" applyBorder="1"/>
    <xf numFmtId="0" fontId="19" fillId="0" borderId="9" xfId="0" applyFont="1" applyBorder="1" applyAlignment="1">
      <alignment vertical="center" wrapText="1"/>
    </xf>
    <xf numFmtId="0" fontId="6" fillId="0" borderId="24" xfId="0" applyFont="1" applyBorder="1" applyAlignment="1">
      <alignment vertical="center" wrapText="1"/>
    </xf>
    <xf numFmtId="0" fontId="6" fillId="0" borderId="47" xfId="0" applyFont="1" applyBorder="1" applyAlignment="1">
      <alignment horizontal="left" vertical="center" wrapText="1" indent="1"/>
    </xf>
    <xf numFmtId="0" fontId="6" fillId="0" borderId="38" xfId="0" applyFont="1" applyBorder="1" applyAlignment="1">
      <alignment horizontal="left" vertical="center" wrapText="1"/>
    </xf>
    <xf numFmtId="0" fontId="6" fillId="0" borderId="39" xfId="0" applyFont="1" applyBorder="1" applyAlignment="1">
      <alignment horizontal="left" vertical="center" wrapText="1"/>
    </xf>
    <xf numFmtId="0" fontId="17" fillId="0" borderId="37" xfId="0" applyFont="1" applyBorder="1" applyAlignment="1">
      <alignment horizontal="center"/>
    </xf>
    <xf numFmtId="0" fontId="17" fillId="0" borderId="37" xfId="0" applyFont="1" applyBorder="1" applyAlignment="1">
      <alignment horizontal="center" vertical="center"/>
    </xf>
    <xf numFmtId="0" fontId="17" fillId="0" borderId="42" xfId="0" applyFont="1" applyBorder="1" applyAlignment="1">
      <alignment horizontal="left" vertical="center"/>
    </xf>
    <xf numFmtId="0" fontId="21" fillId="0" borderId="45" xfId="0" applyFont="1" applyBorder="1" applyAlignment="1">
      <alignment horizontal="left" vertical="center" wrapText="1"/>
    </xf>
    <xf numFmtId="0" fontId="6" fillId="0" borderId="31" xfId="0" applyFont="1" applyBorder="1" applyAlignment="1">
      <alignment horizontal="left" vertical="center" wrapText="1"/>
    </xf>
    <xf numFmtId="0" fontId="6" fillId="0" borderId="32" xfId="0" applyFont="1" applyBorder="1" applyAlignment="1">
      <alignment horizontal="left" vertical="center" wrapText="1"/>
    </xf>
    <xf numFmtId="0" fontId="17" fillId="3" borderId="15" xfId="0" applyFont="1" applyFill="1" applyBorder="1" applyAlignment="1">
      <alignment horizontal="left" vertical="center"/>
    </xf>
    <xf numFmtId="0" fontId="17" fillId="3" borderId="16" xfId="0" applyFont="1" applyFill="1" applyBorder="1" applyAlignment="1">
      <alignment horizontal="left" vertical="center"/>
    </xf>
    <xf numFmtId="0" fontId="17" fillId="3" borderId="17" xfId="0" applyFont="1" applyFill="1" applyBorder="1" applyAlignment="1">
      <alignment horizontal="left" vertical="center"/>
    </xf>
    <xf numFmtId="0" fontId="17" fillId="3" borderId="14" xfId="0" applyFont="1" applyFill="1" applyBorder="1" applyAlignment="1"/>
    <xf numFmtId="0" fontId="17" fillId="0" borderId="15" xfId="0" applyFont="1" applyBorder="1" applyAlignment="1">
      <alignment horizontal="left" vertical="center"/>
    </xf>
    <xf numFmtId="0" fontId="17" fillId="0" borderId="16" xfId="0" applyFont="1" applyBorder="1" applyAlignment="1">
      <alignment horizontal="left" vertical="center"/>
    </xf>
    <xf numFmtId="0" fontId="17" fillId="0" borderId="17" xfId="0" applyFont="1" applyBorder="1" applyAlignment="1">
      <alignment horizontal="left" vertical="center"/>
    </xf>
    <xf numFmtId="0" fontId="17" fillId="0" borderId="14" xfId="0" applyFont="1" applyBorder="1" applyAlignment="1"/>
    <xf numFmtId="0" fontId="18" fillId="0" borderId="18" xfId="0" applyFont="1" applyBorder="1" applyAlignment="1">
      <alignment horizontal="left"/>
    </xf>
    <xf numFmtId="0" fontId="17" fillId="0" borderId="19" xfId="0" applyFont="1" applyBorder="1" applyAlignment="1">
      <alignment horizontal="left"/>
    </xf>
    <xf numFmtId="0" fontId="22" fillId="0" borderId="5" xfId="0" applyNumberFormat="1" applyFont="1" applyBorder="1" applyAlignment="1">
      <alignment horizontal="justify" vertical="center" wrapText="1"/>
    </xf>
    <xf numFmtId="0" fontId="22" fillId="0" borderId="0" xfId="0" applyNumberFormat="1" applyFont="1" applyBorder="1" applyAlignment="1">
      <alignment horizontal="justify" vertical="center" wrapText="1"/>
    </xf>
    <xf numFmtId="0" fontId="22" fillId="0" borderId="6" xfId="0" applyNumberFormat="1" applyFont="1" applyBorder="1" applyAlignment="1">
      <alignment horizontal="justify" vertical="center" wrapText="1"/>
    </xf>
    <xf numFmtId="0" fontId="19" fillId="0" borderId="19" xfId="0" applyFont="1" applyBorder="1" applyAlignment="1">
      <alignment horizontal="center" vertical="center"/>
    </xf>
    <xf numFmtId="0" fontId="19" fillId="0" borderId="13" xfId="0" applyFont="1" applyBorder="1" applyAlignment="1">
      <alignment horizontal="center" vertical="center"/>
    </xf>
    <xf numFmtId="0" fontId="19" fillId="0" borderId="23" xfId="0" applyFont="1" applyBorder="1" applyAlignment="1">
      <alignment horizontal="center" vertical="center" wrapText="1"/>
    </xf>
    <xf numFmtId="0" fontId="19" fillId="0" borderId="24" xfId="0" applyFont="1" applyBorder="1" applyAlignment="1">
      <alignment horizontal="center" vertical="center"/>
    </xf>
    <xf numFmtId="0" fontId="17" fillId="0" borderId="13" xfId="0" applyFont="1" applyFill="1" applyBorder="1" applyAlignment="1">
      <alignment horizontal="left" vertical="center" wrapText="1"/>
    </xf>
    <xf numFmtId="0" fontId="17" fillId="0" borderId="14" xfId="0" applyFont="1" applyFill="1" applyBorder="1" applyAlignment="1"/>
    <xf numFmtId="0" fontId="17" fillId="0" borderId="10" xfId="0" applyFont="1" applyBorder="1" applyAlignment="1">
      <alignment horizontal="center"/>
    </xf>
    <xf numFmtId="0" fontId="10" fillId="0" borderId="11" xfId="0" applyFont="1" applyBorder="1" applyAlignment="1">
      <alignment horizontal="center"/>
    </xf>
    <xf numFmtId="0" fontId="10" fillId="0" borderId="12" xfId="0" applyFont="1" applyBorder="1" applyAlignment="1">
      <alignment horizontal="center" vertical="center" wrapText="1"/>
    </xf>
    <xf numFmtId="0" fontId="17" fillId="0" borderId="13" xfId="0" applyFont="1" applyFill="1" applyBorder="1"/>
    <xf numFmtId="0" fontId="4" fillId="4" borderId="0" xfId="0" applyFont="1" applyFill="1" applyBorder="1" applyAlignment="1">
      <alignment horizontal="left" vertical="center" wrapText="1"/>
    </xf>
    <xf numFmtId="0" fontId="4" fillId="4" borderId="6" xfId="0" applyFont="1" applyFill="1" applyBorder="1" applyAlignment="1">
      <alignment horizontal="left" vertical="center" wrapText="1"/>
    </xf>
    <xf numFmtId="0" fontId="4" fillId="4" borderId="0" xfId="0" applyFont="1" applyFill="1" applyBorder="1" applyAlignment="1">
      <alignment horizontal="left" wrapText="1"/>
    </xf>
    <xf numFmtId="0" fontId="4" fillId="4" borderId="6" xfId="0" applyFont="1" applyFill="1" applyBorder="1" applyAlignment="1">
      <alignment horizontal="left" wrapText="1"/>
    </xf>
    <xf numFmtId="0" fontId="4" fillId="4" borderId="0" xfId="0" applyFont="1" applyFill="1" applyBorder="1" applyAlignment="1">
      <alignment horizontal="left" vertical="center"/>
    </xf>
    <xf numFmtId="0" fontId="4" fillId="4" borderId="6" xfId="0" applyFont="1" applyFill="1" applyBorder="1" applyAlignment="1">
      <alignment horizontal="left" vertical="center"/>
    </xf>
    <xf numFmtId="0" fontId="5" fillId="0" borderId="0" xfId="0" applyFont="1" applyAlignment="1">
      <alignment horizontal="left" vertical="center" wrapText="1"/>
    </xf>
    <xf numFmtId="0" fontId="19" fillId="0" borderId="54" xfId="0" applyFont="1" applyBorder="1" applyAlignment="1">
      <alignment horizontal="left" vertical="center" wrapText="1"/>
    </xf>
    <xf numFmtId="0" fontId="19" fillId="0" borderId="55" xfId="0" applyFont="1" applyBorder="1" applyAlignment="1">
      <alignment horizontal="left" vertical="center" wrapText="1"/>
    </xf>
    <xf numFmtId="0" fontId="19" fillId="0" borderId="56" xfId="0" applyFont="1" applyBorder="1" applyAlignment="1">
      <alignment horizontal="left" vertical="center" wrapText="1"/>
    </xf>
    <xf numFmtId="0" fontId="42" fillId="4" borderId="0" xfId="0" applyFont="1" applyFill="1" applyBorder="1" applyAlignment="1">
      <alignment horizontal="left" vertical="center" wrapText="1"/>
    </xf>
    <xf numFmtId="0" fontId="42" fillId="4" borderId="6" xfId="0" applyFont="1" applyFill="1" applyBorder="1" applyAlignment="1">
      <alignment horizontal="left" vertical="center" wrapText="1"/>
    </xf>
    <xf numFmtId="0" fontId="28" fillId="0" borderId="0" xfId="0" applyFont="1" applyAlignment="1">
      <alignment horizontal="center"/>
    </xf>
    <xf numFmtId="0" fontId="29" fillId="4" borderId="0" xfId="0" applyFont="1" applyFill="1" applyAlignment="1">
      <alignment horizontal="left" wrapText="1" indent="1"/>
    </xf>
    <xf numFmtId="0" fontId="0" fillId="0" borderId="0" xfId="0" applyAlignment="1">
      <alignment horizontal="left" wrapText="1"/>
    </xf>
    <xf numFmtId="0" fontId="3" fillId="0" borderId="0" xfId="0" applyFont="1" applyAlignment="1">
      <alignment horizontal="left" wrapText="1"/>
    </xf>
    <xf numFmtId="0" fontId="0" fillId="0" borderId="0" xfId="0" applyAlignment="1">
      <alignment horizontal="center" wrapText="1"/>
    </xf>
    <xf numFmtId="0" fontId="4" fillId="6" borderId="0" xfId="0" applyFont="1" applyFill="1" applyBorder="1" applyAlignment="1">
      <alignment horizontal="left" vertical="center" wrapText="1"/>
    </xf>
    <xf numFmtId="0" fontId="4" fillId="6" borderId="6" xfId="0" applyFont="1" applyFill="1" applyBorder="1" applyAlignment="1">
      <alignment horizontal="left" vertical="center" wrapText="1"/>
    </xf>
  </cellXfs>
  <cellStyles count="5">
    <cellStyle name="Encabezado 1" xfId="2"/>
    <cellStyle name="Moneda" xfId="1" builtinId="4"/>
    <cellStyle name="Moneda_AUTORIZACION Y NOTA DE PEDIDO" xfId="4"/>
    <cellStyle name="Neutral 1" xfId="3"/>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6EDBCCBC-A5D7-4F6E-B19D-1D7F6E4EBCF0}"/>
            </a:ext>
          </a:extLst>
        </xdr:cNvPr>
        <xdr:cNvSpPr/>
      </xdr:nvSpPr>
      <xdr:spPr>
        <a:xfrm>
          <a:off x="6255579"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C8B2281C-E18F-4241-A337-997AE3875297}"/>
            </a:ext>
          </a:extLst>
        </xdr:cNvPr>
        <xdr:cNvSpPr/>
      </xdr:nvSpPr>
      <xdr:spPr>
        <a:xfrm>
          <a:off x="6255579"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817DB5A8-6390-46BE-AC58-3E6F30D4AEDF}"/>
            </a:ext>
          </a:extLst>
        </xdr:cNvPr>
        <xdr:cNvSpPr/>
      </xdr:nvSpPr>
      <xdr:spPr>
        <a:xfrm>
          <a:off x="6255579"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9527F9E-0E95-4E47-B18B-2739E17981D6}"/>
            </a:ext>
          </a:extLst>
        </xdr:cNvPr>
        <xdr:cNvSpPr/>
      </xdr:nvSpPr>
      <xdr:spPr>
        <a:xfrm>
          <a:off x="6255579"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8"/>
  <sheetViews>
    <sheetView topLeftCell="A15" workbookViewId="0">
      <selection activeCell="F23" sqref="F23"/>
    </sheetView>
  </sheetViews>
  <sheetFormatPr baseColWidth="10" defaultColWidth="11.42578125" defaultRowHeight="12.75"/>
  <cols>
    <col min="1" max="1" width="4.5703125" customWidth="1"/>
    <col min="2" max="2" width="26.85546875" customWidth="1"/>
    <col min="3" max="3" width="39.140625" customWidth="1"/>
    <col min="4" max="4" width="12.42578125" customWidth="1"/>
    <col min="5" max="5" width="12.5703125" customWidth="1"/>
    <col min="6" max="6" width="12.7109375" customWidth="1"/>
    <col min="7" max="7" width="13.7109375" customWidth="1"/>
    <col min="8" max="8" width="13" customWidth="1"/>
    <col min="10" max="10" width="12.85546875" bestFit="1" customWidth="1"/>
  </cols>
  <sheetData>
    <row r="1" spans="1:10" ht="16.5" thickBot="1">
      <c r="A1" s="155" t="s">
        <v>7</v>
      </c>
      <c r="B1" s="156"/>
      <c r="C1" s="156"/>
      <c r="D1" s="156"/>
      <c r="E1" s="156"/>
      <c r="F1" s="157"/>
      <c r="G1" s="57" t="s">
        <v>42</v>
      </c>
    </row>
    <row r="2" spans="1:10" ht="15" thickBot="1">
      <c r="A2" s="1"/>
      <c r="B2" s="2"/>
      <c r="C2" s="2"/>
      <c r="D2" s="2"/>
      <c r="E2" s="2"/>
      <c r="F2" s="2"/>
      <c r="G2" s="3"/>
    </row>
    <row r="3" spans="1:10" ht="15.75" thickBot="1">
      <c r="A3" s="150" t="s">
        <v>8</v>
      </c>
      <c r="B3" s="150"/>
      <c r="C3" s="152" t="s">
        <v>9</v>
      </c>
      <c r="D3" s="152"/>
      <c r="E3" s="152"/>
      <c r="F3" s="152"/>
      <c r="G3" s="152"/>
    </row>
    <row r="4" spans="1:10" ht="15.75" thickBot="1">
      <c r="A4" s="150" t="s">
        <v>10</v>
      </c>
      <c r="B4" s="150"/>
      <c r="C4" s="158" t="s">
        <v>11</v>
      </c>
      <c r="D4" s="158"/>
      <c r="E4" s="158"/>
      <c r="F4" s="158"/>
      <c r="G4" s="158"/>
    </row>
    <row r="5" spans="1:10" ht="15.75" thickBot="1">
      <c r="A5" s="150" t="s">
        <v>12</v>
      </c>
      <c r="B5" s="150"/>
      <c r="C5" s="154" t="s">
        <v>75</v>
      </c>
      <c r="D5" s="154"/>
      <c r="E5" s="154"/>
      <c r="F5" s="154"/>
      <c r="G5" s="154"/>
    </row>
    <row r="6" spans="1:10" ht="15.75" thickBot="1">
      <c r="A6" s="150" t="s">
        <v>14</v>
      </c>
      <c r="B6" s="150"/>
      <c r="C6" s="151" t="s">
        <v>13</v>
      </c>
      <c r="D6" s="151"/>
      <c r="E6" s="151"/>
      <c r="F6" s="151"/>
      <c r="G6" s="151"/>
    </row>
    <row r="7" spans="1:10" ht="15.75" thickBot="1">
      <c r="A7" s="150" t="s">
        <v>15</v>
      </c>
      <c r="B7" s="150"/>
      <c r="C7" s="152" t="s">
        <v>43</v>
      </c>
      <c r="D7" s="152"/>
      <c r="E7" s="152"/>
      <c r="F7" s="152"/>
      <c r="G7" s="152"/>
    </row>
    <row r="8" spans="1:10" ht="34.9" customHeight="1" thickBot="1">
      <c r="A8" s="150" t="s">
        <v>16</v>
      </c>
      <c r="B8" s="150"/>
      <c r="C8" s="153" t="s">
        <v>74</v>
      </c>
      <c r="D8" s="153"/>
      <c r="E8" s="153"/>
      <c r="F8" s="153"/>
      <c r="G8" s="153"/>
    </row>
    <row r="9" spans="1:10" ht="15">
      <c r="A9" s="146"/>
      <c r="B9" s="147"/>
      <c r="C9" s="147"/>
      <c r="D9" s="147"/>
      <c r="E9" s="147"/>
      <c r="F9" s="147"/>
      <c r="G9" s="148"/>
    </row>
    <row r="10" spans="1:10" ht="50.25" customHeight="1" thickBot="1">
      <c r="A10" s="4" t="s">
        <v>1</v>
      </c>
      <c r="B10" s="4" t="s">
        <v>2</v>
      </c>
      <c r="C10" s="4" t="s">
        <v>3</v>
      </c>
      <c r="D10" s="5" t="s">
        <v>17</v>
      </c>
      <c r="E10" s="4" t="s">
        <v>4</v>
      </c>
      <c r="F10" s="4" t="s">
        <v>6</v>
      </c>
      <c r="G10" s="4" t="s">
        <v>5</v>
      </c>
      <c r="H10" s="109"/>
      <c r="I10" s="6"/>
      <c r="J10" s="6"/>
    </row>
    <row r="11" spans="1:10" s="6" customFormat="1" ht="30">
      <c r="A11" s="7">
        <v>1</v>
      </c>
      <c r="B11" s="48" t="s">
        <v>44</v>
      </c>
      <c r="C11" s="52" t="s">
        <v>57</v>
      </c>
      <c r="D11" s="8" t="s">
        <v>166</v>
      </c>
      <c r="E11" s="9" t="s">
        <v>18</v>
      </c>
      <c r="F11" s="50">
        <v>17000</v>
      </c>
      <c r="G11" s="48">
        <v>100</v>
      </c>
      <c r="H11" s="110">
        <f>+G11*F11</f>
        <v>1700000</v>
      </c>
    </row>
    <row r="12" spans="1:10" s="6" customFormat="1" ht="30">
      <c r="A12" s="7">
        <v>2</v>
      </c>
      <c r="B12" s="54" t="s">
        <v>45</v>
      </c>
      <c r="C12" s="53" t="s">
        <v>58</v>
      </c>
      <c r="D12" s="8" t="s">
        <v>166</v>
      </c>
      <c r="E12" s="9" t="s">
        <v>18</v>
      </c>
      <c r="F12" s="51">
        <v>14600</v>
      </c>
      <c r="G12" s="49">
        <v>100</v>
      </c>
      <c r="H12" s="110">
        <f t="shared" ref="H12:H23" si="0">F12*G12</f>
        <v>1460000</v>
      </c>
    </row>
    <row r="13" spans="1:10" s="6" customFormat="1" ht="30">
      <c r="A13" s="55">
        <v>3</v>
      </c>
      <c r="B13" s="54" t="s">
        <v>46</v>
      </c>
      <c r="C13" s="53" t="s">
        <v>59</v>
      </c>
      <c r="D13" s="8" t="s">
        <v>166</v>
      </c>
      <c r="E13" s="9" t="s">
        <v>18</v>
      </c>
      <c r="F13" s="51">
        <v>18000</v>
      </c>
      <c r="G13" s="49">
        <v>40</v>
      </c>
      <c r="H13" s="110">
        <f t="shared" si="0"/>
        <v>720000</v>
      </c>
    </row>
    <row r="14" spans="1:10" s="6" customFormat="1" ht="30">
      <c r="A14" s="55">
        <v>4</v>
      </c>
      <c r="B14" s="54" t="s">
        <v>47</v>
      </c>
      <c r="C14" s="53" t="s">
        <v>60</v>
      </c>
      <c r="D14" s="8" t="s">
        <v>166</v>
      </c>
      <c r="E14" s="9" t="s">
        <v>18</v>
      </c>
      <c r="F14" s="51">
        <v>9400</v>
      </c>
      <c r="G14" s="49">
        <v>50</v>
      </c>
      <c r="H14" s="110">
        <f t="shared" si="0"/>
        <v>470000</v>
      </c>
    </row>
    <row r="15" spans="1:10" s="6" customFormat="1" ht="45">
      <c r="A15" s="55">
        <v>5</v>
      </c>
      <c r="B15" s="54" t="s">
        <v>48</v>
      </c>
      <c r="C15" s="53" t="s">
        <v>61</v>
      </c>
      <c r="D15" s="8" t="s">
        <v>166</v>
      </c>
      <c r="E15" s="9" t="s">
        <v>18</v>
      </c>
      <c r="F15" s="51">
        <v>4500</v>
      </c>
      <c r="G15" s="49">
        <v>100</v>
      </c>
      <c r="H15" s="110">
        <f t="shared" si="0"/>
        <v>450000</v>
      </c>
    </row>
    <row r="16" spans="1:10" s="6" customFormat="1" ht="30">
      <c r="A16" s="7">
        <v>6</v>
      </c>
      <c r="B16" s="54" t="s">
        <v>49</v>
      </c>
      <c r="C16" s="53" t="s">
        <v>62</v>
      </c>
      <c r="D16" s="8" t="s">
        <v>166</v>
      </c>
      <c r="E16" s="9" t="s">
        <v>18</v>
      </c>
      <c r="F16" s="51">
        <v>9000</v>
      </c>
      <c r="G16" s="49">
        <v>40</v>
      </c>
      <c r="H16" s="110">
        <f t="shared" si="0"/>
        <v>360000</v>
      </c>
    </row>
    <row r="17" spans="1:11" s="6" customFormat="1" ht="30">
      <c r="A17" s="7">
        <v>7</v>
      </c>
      <c r="B17" s="54" t="s">
        <v>50</v>
      </c>
      <c r="C17" s="53" t="s">
        <v>63</v>
      </c>
      <c r="D17" s="8" t="s">
        <v>166</v>
      </c>
      <c r="E17" s="9" t="s">
        <v>18</v>
      </c>
      <c r="F17" s="51">
        <v>260</v>
      </c>
      <c r="G17" s="49">
        <v>200</v>
      </c>
      <c r="H17" s="110">
        <f t="shared" si="0"/>
        <v>52000</v>
      </c>
    </row>
    <row r="18" spans="1:11" s="6" customFormat="1" ht="30">
      <c r="A18" s="55">
        <v>8</v>
      </c>
      <c r="B18" s="54" t="s">
        <v>51</v>
      </c>
      <c r="C18" s="53" t="s">
        <v>64</v>
      </c>
      <c r="D18" s="8" t="s">
        <v>166</v>
      </c>
      <c r="E18" s="9" t="s">
        <v>18</v>
      </c>
      <c r="F18" s="51">
        <v>13000</v>
      </c>
      <c r="G18" s="49">
        <v>10</v>
      </c>
      <c r="H18" s="110">
        <f t="shared" si="0"/>
        <v>130000</v>
      </c>
    </row>
    <row r="19" spans="1:11" s="6" customFormat="1" ht="30">
      <c r="A19" s="55">
        <v>9</v>
      </c>
      <c r="B19" s="54" t="s">
        <v>52</v>
      </c>
      <c r="C19" s="53" t="s">
        <v>65</v>
      </c>
      <c r="D19" s="8" t="s">
        <v>166</v>
      </c>
      <c r="E19" s="9" t="s">
        <v>18</v>
      </c>
      <c r="F19" s="51">
        <v>5400</v>
      </c>
      <c r="G19" s="49">
        <v>50</v>
      </c>
      <c r="H19" s="110">
        <f t="shared" si="0"/>
        <v>270000</v>
      </c>
    </row>
    <row r="20" spans="1:11" s="6" customFormat="1" ht="30">
      <c r="A20" s="55">
        <v>10</v>
      </c>
      <c r="B20" s="54" t="s">
        <v>53</v>
      </c>
      <c r="C20" s="53" t="s">
        <v>66</v>
      </c>
      <c r="D20" s="8" t="s">
        <v>166</v>
      </c>
      <c r="E20" s="9" t="s">
        <v>18</v>
      </c>
      <c r="F20" s="51">
        <v>2000</v>
      </c>
      <c r="G20" s="49">
        <v>20</v>
      </c>
      <c r="H20" s="110">
        <f t="shared" si="0"/>
        <v>40000</v>
      </c>
    </row>
    <row r="21" spans="1:11" s="6" customFormat="1" ht="30">
      <c r="A21" s="7">
        <v>11</v>
      </c>
      <c r="B21" s="54" t="s">
        <v>54</v>
      </c>
      <c r="C21" s="53" t="s">
        <v>67</v>
      </c>
      <c r="D21" s="8" t="s">
        <v>166</v>
      </c>
      <c r="E21" s="9" t="s">
        <v>18</v>
      </c>
      <c r="F21" s="51">
        <v>700</v>
      </c>
      <c r="G21" s="49">
        <v>200</v>
      </c>
      <c r="H21" s="110">
        <f t="shared" si="0"/>
        <v>140000</v>
      </c>
    </row>
    <row r="22" spans="1:11" s="6" customFormat="1" ht="30">
      <c r="A22" s="7">
        <v>12</v>
      </c>
      <c r="B22" s="54" t="s">
        <v>55</v>
      </c>
      <c r="C22" s="53" t="s">
        <v>68</v>
      </c>
      <c r="D22" s="8" t="s">
        <v>166</v>
      </c>
      <c r="E22" s="9" t="s">
        <v>18</v>
      </c>
      <c r="F22" s="51">
        <v>5200</v>
      </c>
      <c r="G22" s="49">
        <v>30</v>
      </c>
      <c r="H22" s="110">
        <f t="shared" si="0"/>
        <v>156000</v>
      </c>
    </row>
    <row r="23" spans="1:11" ht="45">
      <c r="A23" s="55">
        <v>13</v>
      </c>
      <c r="B23" s="54" t="s">
        <v>56</v>
      </c>
      <c r="C23" s="53" t="s">
        <v>69</v>
      </c>
      <c r="D23" s="8" t="s">
        <v>166</v>
      </c>
      <c r="E23" s="9" t="s">
        <v>18</v>
      </c>
      <c r="F23" s="51">
        <v>4300</v>
      </c>
      <c r="G23" s="49">
        <v>40</v>
      </c>
      <c r="H23" s="110">
        <f t="shared" si="0"/>
        <v>172000</v>
      </c>
      <c r="I23" s="58"/>
      <c r="J23" s="58"/>
      <c r="K23" s="6"/>
    </row>
    <row r="24" spans="1:11" ht="15">
      <c r="A24" s="149" t="s">
        <v>70</v>
      </c>
      <c r="B24" s="149"/>
      <c r="C24" s="149"/>
      <c r="D24" s="149"/>
      <c r="E24" s="149"/>
      <c r="F24" s="149"/>
      <c r="G24" s="10">
        <f>SUM(H11:H23)</f>
        <v>6120000</v>
      </c>
      <c r="H24" s="111">
        <f>SUM(H11:H23)</f>
        <v>6120000</v>
      </c>
      <c r="I24" s="11"/>
      <c r="J24" s="12"/>
    </row>
    <row r="25" spans="1:11">
      <c r="H25" s="109"/>
      <c r="I25" s="58"/>
      <c r="J25" s="58"/>
    </row>
    <row r="26" spans="1:11">
      <c r="C26" s="56"/>
    </row>
    <row r="28" spans="1:11">
      <c r="C28" s="56"/>
    </row>
  </sheetData>
  <mergeCells count="15">
    <mergeCell ref="A5:B5"/>
    <mergeCell ref="C5:G5"/>
    <mergeCell ref="A1:F1"/>
    <mergeCell ref="A3:B3"/>
    <mergeCell ref="C3:G3"/>
    <mergeCell ref="A4:B4"/>
    <mergeCell ref="C4:G4"/>
    <mergeCell ref="A9:G9"/>
    <mergeCell ref="A24:F24"/>
    <mergeCell ref="A6:B6"/>
    <mergeCell ref="C6:G6"/>
    <mergeCell ref="A7:B7"/>
    <mergeCell ref="C7:G7"/>
    <mergeCell ref="A8:B8"/>
    <mergeCell ref="C8:G8"/>
  </mergeCells>
  <pageMargins left="0.7" right="0.7" top="0.75" bottom="0.75" header="0.3" footer="0.3"/>
  <pageSetup paperSize="9" scale="7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5"/>
  <sheetViews>
    <sheetView topLeftCell="A13" workbookViewId="0">
      <selection activeCell="A24" sqref="A24:Q25"/>
    </sheetView>
  </sheetViews>
  <sheetFormatPr baseColWidth="10" defaultColWidth="11.42578125" defaultRowHeight="12.75"/>
  <cols>
    <col min="1" max="1" width="3.140625" customWidth="1"/>
    <col min="2" max="2" width="3.42578125" customWidth="1"/>
    <col min="3" max="4" width="3.5703125" customWidth="1"/>
    <col min="5" max="5" width="3.42578125" customWidth="1"/>
    <col min="6" max="6" width="13.42578125" customWidth="1"/>
    <col min="7" max="8" width="3" customWidth="1"/>
    <col min="9" max="9" width="2.85546875" customWidth="1"/>
    <col min="10" max="10" width="3" customWidth="1"/>
    <col min="11" max="11" width="2.7109375" customWidth="1"/>
    <col min="12" max="12" width="3.140625" customWidth="1"/>
    <col min="13" max="13" width="2.7109375" customWidth="1"/>
    <col min="14" max="14" width="3.7109375" customWidth="1"/>
    <col min="15" max="15" width="14.42578125" customWidth="1"/>
    <col min="16" max="16" width="7.85546875" customWidth="1"/>
    <col min="17" max="17" width="13.28515625" customWidth="1"/>
  </cols>
  <sheetData>
    <row r="1" spans="1:17" ht="15.75" thickBot="1">
      <c r="A1" s="190" t="s">
        <v>0</v>
      </c>
      <c r="B1" s="190"/>
      <c r="C1" s="190"/>
      <c r="D1" s="191">
        <v>2022</v>
      </c>
      <c r="E1" s="191"/>
      <c r="F1" s="13"/>
      <c r="G1" s="13"/>
      <c r="H1" s="14"/>
      <c r="I1" s="14"/>
      <c r="J1" s="14"/>
      <c r="K1" s="14"/>
      <c r="L1" s="14"/>
      <c r="M1" s="14"/>
      <c r="N1" s="14"/>
      <c r="O1" s="15"/>
      <c r="P1" s="192" t="s">
        <v>19</v>
      </c>
      <c r="Q1" s="192"/>
    </row>
    <row r="2" spans="1:17" ht="15.75" thickBot="1">
      <c r="A2" s="16"/>
      <c r="B2" s="17"/>
      <c r="C2" s="17"/>
      <c r="D2" s="17"/>
      <c r="E2" s="17"/>
      <c r="F2" s="17"/>
      <c r="G2" s="18"/>
      <c r="H2" s="19"/>
      <c r="I2" s="19"/>
      <c r="J2" s="19"/>
      <c r="K2" s="19"/>
      <c r="L2" s="19"/>
      <c r="M2" s="19"/>
      <c r="N2" s="19"/>
      <c r="O2" s="17"/>
      <c r="P2" s="192"/>
      <c r="Q2" s="192"/>
    </row>
    <row r="3" spans="1:17" ht="15.75" thickBot="1">
      <c r="A3" s="16"/>
      <c r="B3" s="17"/>
      <c r="C3" s="17"/>
      <c r="D3" s="17"/>
      <c r="E3" s="17"/>
      <c r="F3" s="17"/>
      <c r="G3" s="18"/>
      <c r="H3" s="17"/>
      <c r="I3" s="17"/>
      <c r="J3" s="17"/>
      <c r="K3" s="17"/>
      <c r="L3" s="17"/>
      <c r="M3" s="17"/>
      <c r="N3" s="17"/>
      <c r="O3" s="17"/>
      <c r="P3" s="17"/>
      <c r="Q3" s="20"/>
    </row>
    <row r="4" spans="1:17" ht="15.75" thickBot="1">
      <c r="A4" s="193" t="s">
        <v>20</v>
      </c>
      <c r="B4" s="193"/>
      <c r="C4" s="193"/>
      <c r="D4" s="193"/>
      <c r="E4" s="193"/>
      <c r="F4" s="193"/>
      <c r="G4" s="189" t="s">
        <v>9</v>
      </c>
      <c r="H4" s="189"/>
      <c r="I4" s="189"/>
      <c r="J4" s="189"/>
      <c r="K4" s="189"/>
      <c r="L4" s="189"/>
      <c r="M4" s="189"/>
      <c r="N4" s="189"/>
      <c r="O4" s="189"/>
      <c r="P4" s="189"/>
      <c r="Q4" s="189"/>
    </row>
    <row r="5" spans="1:17" ht="15.75" thickBot="1">
      <c r="A5" s="188" t="s">
        <v>10</v>
      </c>
      <c r="B5" s="188"/>
      <c r="C5" s="188"/>
      <c r="D5" s="188"/>
      <c r="E5" s="188"/>
      <c r="F5" s="188"/>
      <c r="G5" s="189" t="s">
        <v>11</v>
      </c>
      <c r="H5" s="189"/>
      <c r="I5" s="189"/>
      <c r="J5" s="189"/>
      <c r="K5" s="189"/>
      <c r="L5" s="189"/>
      <c r="M5" s="189"/>
      <c r="N5" s="189"/>
      <c r="O5" s="189"/>
      <c r="P5" s="189"/>
      <c r="Q5" s="189"/>
    </row>
    <row r="6" spans="1:17" ht="15.75" thickBot="1">
      <c r="A6" s="171" t="s">
        <v>12</v>
      </c>
      <c r="B6" s="172"/>
      <c r="C6" s="172"/>
      <c r="D6" s="172"/>
      <c r="E6" s="172"/>
      <c r="F6" s="173"/>
      <c r="G6" s="174" t="s">
        <v>75</v>
      </c>
      <c r="H6" s="174"/>
      <c r="I6" s="174"/>
      <c r="J6" s="174"/>
      <c r="K6" s="174"/>
      <c r="L6" s="174"/>
      <c r="M6" s="174"/>
      <c r="N6" s="174"/>
      <c r="O6" s="174"/>
      <c r="P6" s="174"/>
      <c r="Q6" s="174"/>
    </row>
    <row r="7" spans="1:17" ht="15.75" thickBot="1">
      <c r="A7" s="175" t="s">
        <v>14</v>
      </c>
      <c r="B7" s="176"/>
      <c r="C7" s="176"/>
      <c r="D7" s="176"/>
      <c r="E7" s="176"/>
      <c r="F7" s="177"/>
      <c r="G7" s="178" t="s">
        <v>13</v>
      </c>
      <c r="H7" s="178"/>
      <c r="I7" s="178"/>
      <c r="J7" s="178"/>
      <c r="K7" s="178"/>
      <c r="L7" s="178"/>
      <c r="M7" s="178"/>
      <c r="N7" s="178"/>
      <c r="O7" s="178"/>
      <c r="P7" s="178"/>
      <c r="Q7" s="178"/>
    </row>
    <row r="8" spans="1:17" ht="15" thickBot="1">
      <c r="A8" s="179" t="s">
        <v>21</v>
      </c>
      <c r="B8" s="179"/>
      <c r="C8" s="179"/>
      <c r="D8" s="179"/>
      <c r="E8" s="179"/>
      <c r="F8" s="179"/>
      <c r="G8" s="179"/>
      <c r="H8" s="179"/>
      <c r="I8" s="179"/>
      <c r="J8" s="179"/>
      <c r="K8" s="179"/>
      <c r="L8" s="179"/>
      <c r="M8" s="179"/>
      <c r="N8" s="179"/>
      <c r="O8" s="179"/>
      <c r="P8" s="179"/>
      <c r="Q8" s="179"/>
    </row>
    <row r="9" spans="1:17" ht="17.649999999999999" customHeight="1">
      <c r="A9" s="180" t="s">
        <v>22</v>
      </c>
      <c r="B9" s="180"/>
      <c r="C9" s="180"/>
      <c r="D9" s="180"/>
      <c r="E9" s="180"/>
      <c r="F9" s="180"/>
      <c r="G9" s="180"/>
      <c r="H9" s="180"/>
      <c r="I9" s="180"/>
      <c r="J9" s="180"/>
      <c r="K9" s="180"/>
      <c r="L9" s="180"/>
      <c r="M9" s="180"/>
      <c r="N9" s="180"/>
      <c r="O9" s="180"/>
      <c r="P9" s="180"/>
      <c r="Q9" s="180"/>
    </row>
    <row r="10" spans="1:17" ht="48" customHeight="1">
      <c r="A10" s="181" t="s">
        <v>71</v>
      </c>
      <c r="B10" s="182"/>
      <c r="C10" s="182"/>
      <c r="D10" s="182"/>
      <c r="E10" s="182"/>
      <c r="F10" s="182"/>
      <c r="G10" s="182"/>
      <c r="H10" s="182"/>
      <c r="I10" s="182"/>
      <c r="J10" s="182"/>
      <c r="K10" s="182"/>
      <c r="L10" s="182"/>
      <c r="M10" s="182"/>
      <c r="N10" s="182"/>
      <c r="O10" s="182"/>
      <c r="P10" s="182"/>
      <c r="Q10" s="183"/>
    </row>
    <row r="11" spans="1:17" ht="15.75" thickBot="1">
      <c r="A11" s="21"/>
      <c r="B11" s="22"/>
      <c r="C11" s="22"/>
      <c r="D11" s="22"/>
      <c r="E11" s="22"/>
      <c r="F11" s="22"/>
      <c r="G11" s="23"/>
      <c r="H11" s="22"/>
      <c r="I11" s="22"/>
      <c r="J11" s="22"/>
      <c r="K11" s="22"/>
      <c r="L11" s="22"/>
      <c r="M11" s="22"/>
      <c r="N11" s="22"/>
      <c r="O11" s="22"/>
      <c r="P11" s="22"/>
      <c r="Q11" s="24"/>
    </row>
    <row r="12" spans="1:17" ht="13.5" thickBot="1">
      <c r="A12" s="184" t="s">
        <v>23</v>
      </c>
      <c r="B12" s="184"/>
      <c r="C12" s="184"/>
      <c r="D12" s="184"/>
      <c r="E12" s="184"/>
      <c r="F12" s="184"/>
      <c r="G12" s="184"/>
      <c r="H12" s="184"/>
      <c r="I12" s="184"/>
      <c r="J12" s="184"/>
      <c r="K12" s="184"/>
      <c r="L12" s="184"/>
      <c r="M12" s="184"/>
      <c r="N12" s="184"/>
      <c r="O12" s="184"/>
      <c r="P12" s="184"/>
      <c r="Q12" s="184"/>
    </row>
    <row r="13" spans="1:17" ht="13.5" thickBot="1">
      <c r="A13" s="185" t="s">
        <v>24</v>
      </c>
      <c r="B13" s="185"/>
      <c r="C13" s="185"/>
      <c r="D13" s="185"/>
      <c r="E13" s="185"/>
      <c r="F13" s="185"/>
      <c r="G13" s="185"/>
      <c r="H13" s="185"/>
      <c r="I13" s="185"/>
      <c r="J13" s="185"/>
      <c r="K13" s="185"/>
      <c r="L13" s="185"/>
      <c r="M13" s="185"/>
      <c r="N13" s="185"/>
      <c r="O13" s="186" t="s">
        <v>25</v>
      </c>
      <c r="P13" s="186"/>
      <c r="Q13" s="187" t="s">
        <v>26</v>
      </c>
    </row>
    <row r="14" spans="1:17" ht="26.1" customHeight="1" thickBot="1">
      <c r="A14" s="25" t="s">
        <v>27</v>
      </c>
      <c r="B14" s="26" t="s">
        <v>28</v>
      </c>
      <c r="C14" s="26" t="s">
        <v>29</v>
      </c>
      <c r="D14" s="26" t="s">
        <v>30</v>
      </c>
      <c r="E14" s="26" t="s">
        <v>31</v>
      </c>
      <c r="F14" s="26" t="s">
        <v>32</v>
      </c>
      <c r="G14" s="26" t="s">
        <v>33</v>
      </c>
      <c r="H14" s="59" t="s">
        <v>34</v>
      </c>
      <c r="I14" s="26" t="s">
        <v>35</v>
      </c>
      <c r="J14" s="26" t="s">
        <v>36</v>
      </c>
      <c r="K14" s="26" t="s">
        <v>36</v>
      </c>
      <c r="L14" s="26" t="s">
        <v>37</v>
      </c>
      <c r="M14" s="27" t="s">
        <v>38</v>
      </c>
      <c r="N14" s="28" t="s">
        <v>39</v>
      </c>
      <c r="O14" s="186"/>
      <c r="P14" s="186"/>
      <c r="Q14" s="187"/>
    </row>
    <row r="15" spans="1:17" ht="25.9" customHeight="1" thickBot="1">
      <c r="A15" s="29">
        <v>1</v>
      </c>
      <c r="B15" s="30">
        <v>0</v>
      </c>
      <c r="C15" s="30">
        <v>0</v>
      </c>
      <c r="D15" s="30">
        <v>1</v>
      </c>
      <c r="E15" s="30">
        <v>0</v>
      </c>
      <c r="F15" s="30">
        <v>4901</v>
      </c>
      <c r="G15" s="30">
        <v>3</v>
      </c>
      <c r="H15" s="30">
        <v>4</v>
      </c>
      <c r="I15" s="30">
        <v>2</v>
      </c>
      <c r="J15" s="30">
        <v>9</v>
      </c>
      <c r="K15" s="30">
        <v>9</v>
      </c>
      <c r="L15" s="30">
        <v>0</v>
      </c>
      <c r="M15" s="31">
        <v>1</v>
      </c>
      <c r="N15" s="30" t="s">
        <v>40</v>
      </c>
      <c r="O15" s="169" t="s">
        <v>72</v>
      </c>
      <c r="P15" s="170"/>
      <c r="Q15" s="32">
        <v>6120000</v>
      </c>
    </row>
    <row r="16" spans="1:17">
      <c r="A16" s="33"/>
      <c r="B16" s="34"/>
      <c r="C16" s="34"/>
      <c r="D16" s="34"/>
      <c r="E16" s="34"/>
      <c r="F16" s="30"/>
      <c r="G16" s="34"/>
      <c r="H16" s="34"/>
      <c r="I16" s="34"/>
      <c r="J16" s="34"/>
      <c r="K16" s="34"/>
      <c r="L16" s="34"/>
      <c r="M16" s="35"/>
      <c r="N16" s="36"/>
      <c r="O16" s="163"/>
      <c r="P16" s="164"/>
      <c r="Q16" s="37"/>
    </row>
    <row r="17" spans="1:17" ht="15">
      <c r="A17" s="38"/>
      <c r="B17" s="39"/>
      <c r="C17" s="39"/>
      <c r="D17" s="39"/>
      <c r="E17" s="39"/>
      <c r="F17" s="39"/>
      <c r="G17" s="39"/>
      <c r="H17" s="39"/>
      <c r="I17" s="39"/>
      <c r="J17" s="39"/>
      <c r="K17" s="39"/>
      <c r="L17" s="39"/>
      <c r="M17" s="40"/>
      <c r="N17" s="41"/>
      <c r="O17" s="165"/>
      <c r="P17" s="165"/>
      <c r="Q17" s="42"/>
    </row>
    <row r="18" spans="1:17" ht="15">
      <c r="A18" s="38"/>
      <c r="B18" s="39"/>
      <c r="C18" s="39"/>
      <c r="D18" s="39"/>
      <c r="E18" s="39"/>
      <c r="F18" s="39"/>
      <c r="G18" s="39"/>
      <c r="H18" s="39"/>
      <c r="I18" s="39"/>
      <c r="J18" s="39"/>
      <c r="K18" s="39"/>
      <c r="L18" s="39"/>
      <c r="M18" s="40"/>
      <c r="N18" s="41"/>
      <c r="O18" s="166"/>
      <c r="P18" s="166"/>
      <c r="Q18" s="42"/>
    </row>
    <row r="19" spans="1:17" ht="15">
      <c r="A19" s="38"/>
      <c r="B19" s="39"/>
      <c r="C19" s="39"/>
      <c r="D19" s="39"/>
      <c r="E19" s="39"/>
      <c r="F19" s="39"/>
      <c r="G19" s="39"/>
      <c r="H19" s="39"/>
      <c r="I19" s="39"/>
      <c r="J19" s="39"/>
      <c r="K19" s="39"/>
      <c r="L19" s="39"/>
      <c r="M19" s="40"/>
      <c r="N19" s="41"/>
      <c r="O19" s="166"/>
      <c r="P19" s="166"/>
      <c r="Q19" s="42"/>
    </row>
    <row r="20" spans="1:17" ht="15.75" thickBot="1">
      <c r="A20" s="43"/>
      <c r="B20" s="44"/>
      <c r="C20" s="44"/>
      <c r="D20" s="44"/>
      <c r="E20" s="44"/>
      <c r="F20" s="44"/>
      <c r="G20" s="44"/>
      <c r="H20" s="44"/>
      <c r="I20" s="44"/>
      <c r="J20" s="44"/>
      <c r="K20" s="44"/>
      <c r="L20" s="44"/>
      <c r="M20" s="45"/>
      <c r="N20" s="44"/>
      <c r="O20" s="167"/>
      <c r="P20" s="167"/>
      <c r="Q20" s="46"/>
    </row>
    <row r="21" spans="1:17" ht="13.5" thickBot="1">
      <c r="A21" s="168" t="s">
        <v>73</v>
      </c>
      <c r="B21" s="168"/>
      <c r="C21" s="168"/>
      <c r="D21" s="168"/>
      <c r="E21" s="168"/>
      <c r="F21" s="168"/>
      <c r="G21" s="168"/>
      <c r="H21" s="168"/>
      <c r="I21" s="168"/>
      <c r="J21" s="168"/>
      <c r="K21" s="168"/>
      <c r="L21" s="168"/>
      <c r="M21" s="168"/>
      <c r="N21" s="168"/>
      <c r="O21" s="168"/>
      <c r="P21" s="168"/>
      <c r="Q21" s="47">
        <f>SUM(Q15:Q20)</f>
        <v>6120000</v>
      </c>
    </row>
    <row r="22" spans="1:17" ht="13.5" thickBot="1">
      <c r="A22" s="159"/>
      <c r="B22" s="159"/>
      <c r="C22" s="159"/>
      <c r="D22" s="159"/>
      <c r="E22" s="159"/>
      <c r="F22" s="159"/>
      <c r="G22" s="159"/>
      <c r="H22" s="159"/>
      <c r="I22" s="159"/>
      <c r="J22" s="159"/>
      <c r="K22" s="159"/>
      <c r="L22" s="159"/>
      <c r="M22" s="159"/>
      <c r="N22" s="159"/>
      <c r="O22" s="159"/>
      <c r="P22" s="159"/>
      <c r="Q22" s="159"/>
    </row>
    <row r="23" spans="1:17" ht="13.5" thickBot="1">
      <c r="A23" s="160" t="s">
        <v>41</v>
      </c>
      <c r="B23" s="160"/>
      <c r="C23" s="160"/>
      <c r="D23" s="160"/>
      <c r="E23" s="160"/>
      <c r="F23" s="160"/>
      <c r="G23" s="161"/>
      <c r="H23" s="161"/>
      <c r="I23" s="161"/>
      <c r="J23" s="161"/>
      <c r="K23" s="161"/>
      <c r="L23" s="161"/>
      <c r="M23" s="161"/>
      <c r="N23" s="161"/>
      <c r="O23" s="161"/>
      <c r="P23" s="161"/>
      <c r="Q23" s="161"/>
    </row>
    <row r="24" spans="1:17" ht="13.5" thickBot="1">
      <c r="A24" s="162" t="s">
        <v>92</v>
      </c>
      <c r="B24" s="162"/>
      <c r="C24" s="162"/>
      <c r="D24" s="162"/>
      <c r="E24" s="162"/>
      <c r="F24" s="162"/>
      <c r="G24" s="162"/>
      <c r="H24" s="162"/>
      <c r="I24" s="162"/>
      <c r="J24" s="162"/>
      <c r="K24" s="162"/>
      <c r="L24" s="162"/>
      <c r="M24" s="162"/>
      <c r="N24" s="162"/>
      <c r="O24" s="162"/>
      <c r="P24" s="162"/>
      <c r="Q24" s="162"/>
    </row>
    <row r="25" spans="1:17" ht="13.5" thickBot="1">
      <c r="A25" s="162"/>
      <c r="B25" s="162"/>
      <c r="C25" s="162"/>
      <c r="D25" s="162"/>
      <c r="E25" s="162"/>
      <c r="F25" s="162"/>
      <c r="G25" s="162"/>
      <c r="H25" s="162"/>
      <c r="I25" s="162"/>
      <c r="J25" s="162"/>
      <c r="K25" s="162"/>
      <c r="L25" s="162"/>
      <c r="M25" s="162"/>
      <c r="N25" s="162"/>
      <c r="O25" s="162"/>
      <c r="P25" s="162"/>
      <c r="Q25" s="162"/>
    </row>
  </sheetData>
  <mergeCells count="29">
    <mergeCell ref="A5:F5"/>
    <mergeCell ref="G5:Q5"/>
    <mergeCell ref="A1:C1"/>
    <mergeCell ref="D1:E1"/>
    <mergeCell ref="P1:Q2"/>
    <mergeCell ref="A4:F4"/>
    <mergeCell ref="G4:Q4"/>
    <mergeCell ref="O15:P15"/>
    <mergeCell ref="A6:F6"/>
    <mergeCell ref="G6:Q6"/>
    <mergeCell ref="A7:F7"/>
    <mergeCell ref="G7:Q7"/>
    <mergeCell ref="A8:Q8"/>
    <mergeCell ref="A9:Q9"/>
    <mergeCell ref="A10:Q10"/>
    <mergeCell ref="A12:Q12"/>
    <mergeCell ref="A13:N13"/>
    <mergeCell ref="O13:P14"/>
    <mergeCell ref="Q13:Q14"/>
    <mergeCell ref="A22:Q22"/>
    <mergeCell ref="A23:F23"/>
    <mergeCell ref="G23:Q23"/>
    <mergeCell ref="A24:Q25"/>
    <mergeCell ref="O16:P16"/>
    <mergeCell ref="O17:P17"/>
    <mergeCell ref="O18:P18"/>
    <mergeCell ref="O19:P19"/>
    <mergeCell ref="O20:P20"/>
    <mergeCell ref="A21:P21"/>
  </mergeCells>
  <pageMargins left="0.7" right="0.7" top="0.75" bottom="0.75" header="0.3" footer="0.3"/>
  <pageSetup paperSize="9" scale="98"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3"/>
  <sheetViews>
    <sheetView tabSelected="1" topLeftCell="A13" workbookViewId="0">
      <selection activeCell="C312" sqref="C312:E312"/>
    </sheetView>
  </sheetViews>
  <sheetFormatPr baseColWidth="10" defaultRowHeight="12.75"/>
  <cols>
    <col min="1" max="1" width="4.5703125" customWidth="1"/>
    <col min="2" max="2" width="13" customWidth="1"/>
    <col min="3" max="3" width="22.7109375" customWidth="1"/>
    <col min="4" max="4" width="12.140625" customWidth="1"/>
    <col min="5" max="5" width="34.5703125" customWidth="1"/>
    <col min="6" max="6" width="7.28515625" customWidth="1"/>
    <col min="7" max="7" width="6.7109375" style="109" customWidth="1"/>
    <col min="8" max="8" width="12.42578125" style="109" customWidth="1"/>
    <col min="9" max="9" width="19.5703125" customWidth="1"/>
    <col min="10" max="10" width="12" bestFit="1" customWidth="1"/>
    <col min="11" max="12" width="14.5703125" bestFit="1" customWidth="1"/>
  </cols>
  <sheetData>
    <row r="1" spans="1:12" ht="27">
      <c r="A1" s="60"/>
      <c r="B1" s="206" t="s">
        <v>76</v>
      </c>
      <c r="C1" s="206"/>
      <c r="D1" s="206"/>
      <c r="E1" s="206"/>
      <c r="F1" s="206"/>
      <c r="G1" s="206"/>
      <c r="H1" s="206"/>
      <c r="I1" s="60"/>
    </row>
    <row r="2" spans="1:12" ht="15.75">
      <c r="A2" s="200" t="s">
        <v>77</v>
      </c>
      <c r="B2" s="200"/>
      <c r="C2" s="207" t="s">
        <v>9</v>
      </c>
      <c r="D2" s="207"/>
      <c r="E2" s="207"/>
      <c r="F2" s="61"/>
      <c r="G2" s="140"/>
      <c r="H2" s="135"/>
      <c r="I2" s="60"/>
    </row>
    <row r="3" spans="1:12" ht="15.75">
      <c r="A3" s="200" t="s">
        <v>78</v>
      </c>
      <c r="B3" s="200"/>
      <c r="C3" s="207" t="s">
        <v>11</v>
      </c>
      <c r="D3" s="207"/>
      <c r="E3" s="207"/>
      <c r="F3" s="61"/>
      <c r="G3" s="140"/>
      <c r="H3" s="135"/>
      <c r="I3" s="60"/>
    </row>
    <row r="4" spans="1:12" ht="15.75">
      <c r="A4" s="200" t="s">
        <v>0</v>
      </c>
      <c r="B4" s="200"/>
      <c r="C4" s="62">
        <v>2022</v>
      </c>
      <c r="D4" s="63"/>
      <c r="E4" s="63"/>
      <c r="F4" s="61"/>
      <c r="G4" s="140"/>
      <c r="H4" s="135"/>
      <c r="I4" s="60"/>
    </row>
    <row r="5" spans="1:12" ht="16.5" thickBot="1">
      <c r="A5" s="200" t="s">
        <v>79</v>
      </c>
      <c r="B5" s="200"/>
      <c r="C5" s="62">
        <v>4</v>
      </c>
      <c r="D5" s="63"/>
      <c r="E5" s="63"/>
      <c r="F5" s="61"/>
      <c r="G5" s="140"/>
      <c r="H5" s="135"/>
      <c r="I5" s="60"/>
    </row>
    <row r="6" spans="1:12" ht="32.25" thickBot="1">
      <c r="A6" s="64" t="s">
        <v>1</v>
      </c>
      <c r="B6" s="65" t="s">
        <v>2</v>
      </c>
      <c r="C6" s="65" t="s">
        <v>80</v>
      </c>
      <c r="D6" s="65" t="s">
        <v>81</v>
      </c>
      <c r="E6" s="65" t="s">
        <v>3</v>
      </c>
      <c r="F6" s="65" t="s">
        <v>4</v>
      </c>
      <c r="G6" s="143" t="s">
        <v>5</v>
      </c>
      <c r="H6" s="143" t="s">
        <v>6</v>
      </c>
      <c r="I6" s="66" t="s">
        <v>82</v>
      </c>
      <c r="K6" s="67"/>
    </row>
    <row r="7" spans="1:12" ht="38.25">
      <c r="A7" s="68">
        <v>1</v>
      </c>
      <c r="B7" s="69" t="s">
        <v>44</v>
      </c>
      <c r="C7" s="70" t="s">
        <v>89</v>
      </c>
      <c r="D7" s="71" t="s">
        <v>87</v>
      </c>
      <c r="E7" s="131" t="s">
        <v>57</v>
      </c>
      <c r="F7" s="72" t="s">
        <v>18</v>
      </c>
      <c r="G7" s="68">
        <v>100</v>
      </c>
      <c r="H7" s="144">
        <v>17000</v>
      </c>
      <c r="I7" s="106">
        <f>+G7*H7</f>
        <v>1700000</v>
      </c>
      <c r="K7" s="130"/>
      <c r="L7" s="73"/>
    </row>
    <row r="8" spans="1:12" ht="38.25">
      <c r="A8" s="68">
        <v>2</v>
      </c>
      <c r="B8" s="75" t="s">
        <v>45</v>
      </c>
      <c r="C8" s="101" t="s">
        <v>89</v>
      </c>
      <c r="D8" s="76" t="s">
        <v>88</v>
      </c>
      <c r="E8" s="101" t="s">
        <v>58</v>
      </c>
      <c r="F8" s="77" t="s">
        <v>18</v>
      </c>
      <c r="G8" s="74">
        <v>100</v>
      </c>
      <c r="H8" s="145">
        <v>14600</v>
      </c>
      <c r="I8" s="107">
        <f t="shared" ref="I8:I19" si="0">G8*H8</f>
        <v>1460000</v>
      </c>
      <c r="J8" s="78"/>
      <c r="K8" s="132"/>
      <c r="L8" s="73"/>
    </row>
    <row r="9" spans="1:12" ht="34.700000000000003" customHeight="1">
      <c r="A9" s="68">
        <v>3</v>
      </c>
      <c r="B9" s="79" t="s">
        <v>46</v>
      </c>
      <c r="C9" s="105" t="s">
        <v>89</v>
      </c>
      <c r="D9" s="76" t="s">
        <v>88</v>
      </c>
      <c r="E9" s="134" t="s">
        <v>59</v>
      </c>
      <c r="F9" s="77" t="s">
        <v>18</v>
      </c>
      <c r="G9" s="74">
        <v>40</v>
      </c>
      <c r="H9" s="145">
        <v>18000</v>
      </c>
      <c r="I9" s="107">
        <f t="shared" si="0"/>
        <v>720000</v>
      </c>
      <c r="K9" s="67"/>
      <c r="L9" s="73"/>
    </row>
    <row r="10" spans="1:12" ht="38.25">
      <c r="A10" s="68">
        <v>4</v>
      </c>
      <c r="B10" s="75" t="s">
        <v>47</v>
      </c>
      <c r="C10" s="101" t="s">
        <v>89</v>
      </c>
      <c r="D10" s="76" t="s">
        <v>88</v>
      </c>
      <c r="E10" s="101" t="s">
        <v>60</v>
      </c>
      <c r="F10" s="77" t="s">
        <v>18</v>
      </c>
      <c r="G10" s="74">
        <v>50</v>
      </c>
      <c r="H10" s="145">
        <v>9400</v>
      </c>
      <c r="I10" s="107">
        <f t="shared" si="0"/>
        <v>470000</v>
      </c>
      <c r="K10" s="67"/>
      <c r="L10" s="73"/>
    </row>
    <row r="11" spans="1:12" ht="38.25">
      <c r="A11" s="68">
        <v>5</v>
      </c>
      <c r="B11" s="102" t="s">
        <v>48</v>
      </c>
      <c r="C11" s="75" t="s">
        <v>90</v>
      </c>
      <c r="D11" s="76" t="s">
        <v>88</v>
      </c>
      <c r="E11" s="101" t="s">
        <v>61</v>
      </c>
      <c r="F11" s="77" t="s">
        <v>18</v>
      </c>
      <c r="G11" s="74">
        <v>100</v>
      </c>
      <c r="H11" s="145">
        <v>4500</v>
      </c>
      <c r="I11" s="107">
        <f t="shared" si="0"/>
        <v>450000</v>
      </c>
      <c r="K11" s="67"/>
      <c r="L11" s="73"/>
    </row>
    <row r="12" spans="1:12" ht="25.5">
      <c r="A12" s="68">
        <v>6</v>
      </c>
      <c r="B12" s="80" t="s">
        <v>49</v>
      </c>
      <c r="C12" s="75" t="s">
        <v>90</v>
      </c>
      <c r="D12" s="76" t="s">
        <v>88</v>
      </c>
      <c r="E12" s="101" t="s">
        <v>62</v>
      </c>
      <c r="F12" s="77" t="s">
        <v>18</v>
      </c>
      <c r="G12" s="74">
        <v>40</v>
      </c>
      <c r="H12" s="145">
        <v>9000</v>
      </c>
      <c r="I12" s="107">
        <f t="shared" si="0"/>
        <v>360000</v>
      </c>
      <c r="J12" s="73"/>
      <c r="K12" s="73"/>
      <c r="L12" s="73"/>
    </row>
    <row r="13" spans="1:12" ht="25.5">
      <c r="A13" s="68">
        <v>7</v>
      </c>
      <c r="B13" s="102" t="s">
        <v>50</v>
      </c>
      <c r="C13" s="75" t="s">
        <v>90</v>
      </c>
      <c r="D13" s="76" t="s">
        <v>88</v>
      </c>
      <c r="E13" s="101" t="s">
        <v>63</v>
      </c>
      <c r="F13" s="77" t="s">
        <v>18</v>
      </c>
      <c r="G13" s="74">
        <v>200</v>
      </c>
      <c r="H13" s="145">
        <v>260</v>
      </c>
      <c r="I13" s="107">
        <f t="shared" si="0"/>
        <v>52000</v>
      </c>
      <c r="J13" s="73"/>
      <c r="K13" s="67"/>
      <c r="L13" s="73">
        <f>SUM(L9:L12)</f>
        <v>0</v>
      </c>
    </row>
    <row r="14" spans="1:12" ht="25.5">
      <c r="A14" s="68">
        <v>8</v>
      </c>
      <c r="B14" s="81" t="s">
        <v>51</v>
      </c>
      <c r="C14" s="103" t="s">
        <v>90</v>
      </c>
      <c r="D14" s="76" t="s">
        <v>88</v>
      </c>
      <c r="E14" s="103" t="s">
        <v>64</v>
      </c>
      <c r="F14" s="77" t="s">
        <v>18</v>
      </c>
      <c r="G14" s="74">
        <v>10</v>
      </c>
      <c r="H14" s="145">
        <v>13000</v>
      </c>
      <c r="I14" s="107">
        <f t="shared" si="0"/>
        <v>130000</v>
      </c>
      <c r="K14" s="67"/>
    </row>
    <row r="15" spans="1:12" ht="25.5">
      <c r="A15" s="68">
        <v>9</v>
      </c>
      <c r="B15" s="81" t="s">
        <v>52</v>
      </c>
      <c r="C15" s="75" t="s">
        <v>90</v>
      </c>
      <c r="D15" s="76" t="s">
        <v>88</v>
      </c>
      <c r="E15" s="101" t="s">
        <v>65</v>
      </c>
      <c r="F15" s="77" t="s">
        <v>18</v>
      </c>
      <c r="G15" s="74">
        <v>50</v>
      </c>
      <c r="H15" s="145">
        <v>5400</v>
      </c>
      <c r="I15" s="107">
        <f t="shared" si="0"/>
        <v>270000</v>
      </c>
      <c r="K15" s="67"/>
    </row>
    <row r="16" spans="1:12" ht="25.5">
      <c r="A16" s="68">
        <v>10</v>
      </c>
      <c r="B16" s="81" t="s">
        <v>53</v>
      </c>
      <c r="C16" s="104" t="s">
        <v>90</v>
      </c>
      <c r="D16" s="76" t="s">
        <v>88</v>
      </c>
      <c r="E16" s="101" t="s">
        <v>66</v>
      </c>
      <c r="F16" s="77" t="s">
        <v>18</v>
      </c>
      <c r="G16" s="74">
        <v>20</v>
      </c>
      <c r="H16" s="145">
        <v>2000</v>
      </c>
      <c r="I16" s="107">
        <f t="shared" ref="I16" si="1">G16*H16</f>
        <v>40000</v>
      </c>
      <c r="K16" s="67"/>
    </row>
    <row r="17" spans="1:11" ht="25.5">
      <c r="A17" s="68">
        <v>11</v>
      </c>
      <c r="B17" s="81" t="s">
        <v>54</v>
      </c>
      <c r="C17" s="101" t="s">
        <v>90</v>
      </c>
      <c r="D17" s="76" t="s">
        <v>88</v>
      </c>
      <c r="E17" s="75" t="s">
        <v>67</v>
      </c>
      <c r="F17" s="77" t="s">
        <v>18</v>
      </c>
      <c r="G17" s="74">
        <v>200</v>
      </c>
      <c r="H17" s="145">
        <v>700</v>
      </c>
      <c r="I17" s="107">
        <f t="shared" si="0"/>
        <v>140000</v>
      </c>
      <c r="K17" s="67"/>
    </row>
    <row r="18" spans="1:11" ht="25.5">
      <c r="A18" s="68">
        <v>12</v>
      </c>
      <c r="B18" s="81" t="s">
        <v>55</v>
      </c>
      <c r="C18" s="75" t="s">
        <v>90</v>
      </c>
      <c r="D18" s="76" t="s">
        <v>88</v>
      </c>
      <c r="E18" s="75" t="s">
        <v>68</v>
      </c>
      <c r="F18" s="77" t="s">
        <v>18</v>
      </c>
      <c r="G18" s="74">
        <v>30</v>
      </c>
      <c r="H18" s="145">
        <v>5200</v>
      </c>
      <c r="I18" s="107">
        <f t="shared" ref="I18" si="2">G18*H18</f>
        <v>156000</v>
      </c>
      <c r="K18" s="67"/>
    </row>
    <row r="19" spans="1:11" ht="38.25">
      <c r="A19" s="68">
        <v>13</v>
      </c>
      <c r="B19" s="81" t="s">
        <v>56</v>
      </c>
      <c r="C19" s="75" t="s">
        <v>90</v>
      </c>
      <c r="D19" s="76" t="s">
        <v>88</v>
      </c>
      <c r="E19" s="101" t="s">
        <v>69</v>
      </c>
      <c r="F19" s="77" t="s">
        <v>18</v>
      </c>
      <c r="G19" s="74">
        <v>40</v>
      </c>
      <c r="H19" s="145">
        <v>4300</v>
      </c>
      <c r="I19" s="107">
        <f t="shared" si="0"/>
        <v>172000</v>
      </c>
      <c r="K19" s="67"/>
    </row>
    <row r="20" spans="1:11">
      <c r="A20" s="201" t="s">
        <v>91</v>
      </c>
      <c r="B20" s="202"/>
      <c r="C20" s="202"/>
      <c r="D20" s="202"/>
      <c r="E20" s="202"/>
      <c r="F20" s="202"/>
      <c r="G20" s="202"/>
      <c r="H20" s="203"/>
      <c r="I20" s="107">
        <f>SUM(I7:I19)</f>
        <v>6120000</v>
      </c>
      <c r="J20" s="73"/>
    </row>
    <row r="22" spans="1:11">
      <c r="B22" t="s">
        <v>93</v>
      </c>
    </row>
    <row r="23" spans="1:11" ht="29.25" customHeight="1">
      <c r="B23" s="208" t="s">
        <v>145</v>
      </c>
      <c r="C23" s="208"/>
      <c r="D23" s="208"/>
      <c r="E23" s="208"/>
      <c r="F23" s="208"/>
      <c r="G23" s="208"/>
      <c r="H23" s="208"/>
      <c r="I23" s="208"/>
    </row>
    <row r="24" spans="1:11">
      <c r="B24" t="s">
        <v>95</v>
      </c>
      <c r="E24" s="108"/>
    </row>
    <row r="25" spans="1:11" ht="27" customHeight="1">
      <c r="B25" s="209" t="s">
        <v>146</v>
      </c>
      <c r="C25" s="208"/>
      <c r="D25" s="208"/>
      <c r="E25" s="208"/>
      <c r="F25" s="208"/>
      <c r="G25" s="208"/>
      <c r="H25" s="208"/>
      <c r="I25" s="208"/>
    </row>
    <row r="26" spans="1:11">
      <c r="B26" s="6" t="s">
        <v>147</v>
      </c>
      <c r="E26" s="108"/>
    </row>
    <row r="28" spans="1:11" ht="30.75" customHeight="1">
      <c r="B28" s="208" t="s">
        <v>100</v>
      </c>
      <c r="C28" s="208"/>
      <c r="D28" s="208"/>
      <c r="E28" s="208"/>
      <c r="F28" s="208"/>
      <c r="G28" s="208"/>
      <c r="H28" s="208"/>
      <c r="I28" s="208"/>
    </row>
    <row r="29" spans="1:11" ht="15.75">
      <c r="A29" s="82"/>
      <c r="B29" s="83"/>
      <c r="C29" s="84"/>
      <c r="D29" s="85"/>
      <c r="E29" s="86"/>
      <c r="F29" s="86"/>
      <c r="G29" s="141"/>
      <c r="H29" s="136"/>
      <c r="I29" s="86"/>
      <c r="J29" s="67"/>
    </row>
    <row r="30" spans="1:11">
      <c r="A30" s="82"/>
      <c r="B30" s="83"/>
      <c r="C30" s="84"/>
      <c r="D30" s="97"/>
      <c r="E30" s="98"/>
      <c r="F30" s="99"/>
      <c r="G30" s="142"/>
      <c r="H30" s="137"/>
      <c r="I30" s="100"/>
    </row>
    <row r="31" spans="1:11" ht="13.5" thickBot="1"/>
    <row r="32" spans="1:11" s="60" customFormat="1">
      <c r="B32" s="87" t="s">
        <v>148</v>
      </c>
      <c r="C32" s="88"/>
      <c r="D32" s="88"/>
      <c r="E32" s="89"/>
      <c r="G32" s="138"/>
      <c r="H32" s="138" t="s">
        <v>57</v>
      </c>
    </row>
    <row r="33" spans="2:9" s="60" customFormat="1" ht="15">
      <c r="B33" s="125"/>
      <c r="C33" s="91"/>
      <c r="D33" s="91"/>
      <c r="E33" s="92"/>
      <c r="G33" s="138"/>
      <c r="H33" s="139"/>
    </row>
    <row r="34" spans="2:9" s="60" customFormat="1" ht="15">
      <c r="B34" s="90" t="s">
        <v>83</v>
      </c>
      <c r="C34" s="91"/>
      <c r="D34" s="91"/>
      <c r="E34" s="92"/>
      <c r="G34" s="138"/>
      <c r="H34" s="138"/>
      <c r="I34" s="132"/>
    </row>
    <row r="35" spans="2:9" s="60" customFormat="1">
      <c r="B35" s="90"/>
      <c r="C35" s="211" t="s">
        <v>153</v>
      </c>
      <c r="D35" s="211"/>
      <c r="E35" s="212"/>
      <c r="F35" s="60" t="s">
        <v>233</v>
      </c>
      <c r="G35" s="138"/>
      <c r="H35" s="138"/>
    </row>
    <row r="36" spans="2:9" s="60" customFormat="1" ht="18.75">
      <c r="B36" s="90"/>
      <c r="C36" s="194" t="s">
        <v>151</v>
      </c>
      <c r="D36" s="194"/>
      <c r="E36" s="195"/>
      <c r="F36" s="60" t="s">
        <v>229</v>
      </c>
      <c r="G36" s="138"/>
      <c r="H36" s="138"/>
      <c r="I36" s="133"/>
    </row>
    <row r="37" spans="2:9" s="60" customFormat="1" ht="18.75">
      <c r="B37" s="90"/>
      <c r="C37" s="194" t="s">
        <v>158</v>
      </c>
      <c r="D37" s="194"/>
      <c r="E37" s="195"/>
      <c r="G37" s="138"/>
      <c r="H37" s="138"/>
      <c r="I37" s="133"/>
    </row>
    <row r="38" spans="2:9" s="60" customFormat="1" ht="18.75">
      <c r="B38" s="90"/>
      <c r="C38" s="194" t="s">
        <v>223</v>
      </c>
      <c r="D38" s="194"/>
      <c r="E38" s="195"/>
      <c r="G38" s="138"/>
      <c r="H38" s="138"/>
      <c r="I38" s="133"/>
    </row>
    <row r="39" spans="2:9" s="60" customFormat="1">
      <c r="B39" s="90"/>
      <c r="C39" s="194" t="s">
        <v>168</v>
      </c>
      <c r="D39" s="194"/>
      <c r="E39" s="195"/>
      <c r="G39" s="138"/>
      <c r="H39" s="138"/>
    </row>
    <row r="40" spans="2:9" s="60" customFormat="1">
      <c r="B40" s="90"/>
      <c r="C40" s="194" t="s">
        <v>154</v>
      </c>
      <c r="D40" s="194"/>
      <c r="E40" s="195"/>
      <c r="G40" s="138"/>
      <c r="H40" s="138"/>
    </row>
    <row r="41" spans="2:9" s="60" customFormat="1">
      <c r="B41" s="90"/>
      <c r="C41" s="194" t="s">
        <v>177</v>
      </c>
      <c r="D41" s="194"/>
      <c r="E41" s="195"/>
      <c r="G41" s="138"/>
      <c r="H41" s="138"/>
    </row>
    <row r="42" spans="2:9" s="60" customFormat="1">
      <c r="B42" s="90"/>
      <c r="C42" s="194" t="s">
        <v>155</v>
      </c>
      <c r="D42" s="194"/>
      <c r="E42" s="195"/>
      <c r="G42" s="138"/>
      <c r="H42" s="138"/>
    </row>
    <row r="43" spans="2:9" s="60" customFormat="1">
      <c r="B43" s="90"/>
      <c r="C43" s="194" t="s">
        <v>156</v>
      </c>
      <c r="D43" s="194"/>
      <c r="E43" s="195"/>
      <c r="G43" s="138"/>
      <c r="H43" s="138"/>
    </row>
    <row r="44" spans="2:9" s="60" customFormat="1">
      <c r="B44" s="90"/>
      <c r="C44" s="211" t="s">
        <v>157</v>
      </c>
      <c r="D44" s="211"/>
      <c r="E44" s="212"/>
      <c r="F44" s="60" t="s">
        <v>228</v>
      </c>
      <c r="G44" s="138"/>
      <c r="H44" s="138"/>
    </row>
    <row r="45" spans="2:9" s="60" customFormat="1">
      <c r="B45" s="90"/>
      <c r="C45" s="194"/>
      <c r="D45" s="194"/>
      <c r="E45" s="195"/>
      <c r="G45" s="138"/>
      <c r="H45" s="138"/>
    </row>
    <row r="46" spans="2:9" s="60" customFormat="1">
      <c r="B46" s="90"/>
      <c r="C46" s="194"/>
      <c r="D46" s="194"/>
      <c r="E46" s="195"/>
      <c r="G46" s="138"/>
      <c r="H46" s="138"/>
    </row>
    <row r="47" spans="2:9" s="60" customFormat="1">
      <c r="B47" s="90" t="s">
        <v>84</v>
      </c>
      <c r="C47" s="91"/>
      <c r="D47" s="91"/>
      <c r="E47" s="92"/>
      <c r="G47" s="138"/>
      <c r="H47" s="138"/>
    </row>
    <row r="48" spans="2:9" s="60" customFormat="1" ht="12.75" customHeight="1">
      <c r="B48" s="93"/>
      <c r="C48" s="194" t="s">
        <v>224</v>
      </c>
      <c r="D48" s="194"/>
      <c r="E48" s="195"/>
      <c r="G48" s="138"/>
      <c r="H48" s="138"/>
    </row>
    <row r="49" spans="2:9" s="60" customFormat="1" ht="98.1" customHeight="1">
      <c r="B49" s="93"/>
      <c r="C49" s="194"/>
      <c r="D49" s="194"/>
      <c r="E49" s="195"/>
      <c r="G49" s="138"/>
      <c r="H49" s="138"/>
    </row>
    <row r="50" spans="2:9" s="60" customFormat="1" ht="20.25" customHeight="1">
      <c r="B50" s="90" t="s">
        <v>85</v>
      </c>
      <c r="C50" s="91"/>
      <c r="D50" s="91"/>
      <c r="E50" s="92"/>
      <c r="G50" s="138"/>
      <c r="H50" s="138"/>
    </row>
    <row r="51" spans="2:9" s="60" customFormat="1" ht="20.25" customHeight="1">
      <c r="B51" s="93"/>
      <c r="C51" s="194" t="s">
        <v>149</v>
      </c>
      <c r="D51" s="194"/>
      <c r="E51" s="195"/>
      <c r="G51" s="138"/>
      <c r="H51" s="138"/>
    </row>
    <row r="52" spans="2:9" s="60" customFormat="1">
      <c r="B52" s="90" t="s">
        <v>150</v>
      </c>
      <c r="C52" s="94"/>
      <c r="D52" s="94"/>
      <c r="E52" s="128"/>
      <c r="G52" s="138"/>
      <c r="H52" s="138"/>
    </row>
    <row r="53" spans="2:9" s="60" customFormat="1" ht="5.25" customHeight="1">
      <c r="B53" s="93"/>
      <c r="C53" s="196"/>
      <c r="D53" s="196"/>
      <c r="E53" s="197"/>
      <c r="G53" s="138"/>
      <c r="H53" s="138"/>
    </row>
    <row r="54" spans="2:9" s="60" customFormat="1" ht="18.75" customHeight="1">
      <c r="B54" s="90" t="s">
        <v>86</v>
      </c>
      <c r="C54" s="91"/>
      <c r="D54" s="91"/>
      <c r="E54" s="92"/>
      <c r="G54" s="138"/>
      <c r="H54" s="138"/>
    </row>
    <row r="55" spans="2:9" s="60" customFormat="1" ht="36.75" customHeight="1">
      <c r="B55" s="90"/>
      <c r="C55" s="194" t="s">
        <v>159</v>
      </c>
      <c r="D55" s="198"/>
      <c r="E55" s="199"/>
      <c r="G55" s="138"/>
      <c r="H55" s="138"/>
    </row>
    <row r="56" spans="2:9" s="60" customFormat="1" ht="13.5" thickBot="1">
      <c r="B56" s="129"/>
      <c r="C56" s="95"/>
      <c r="D56" s="95"/>
      <c r="E56" s="96"/>
      <c r="G56" s="138"/>
      <c r="H56" s="138"/>
    </row>
    <row r="59" spans="2:9" ht="13.5" thickBot="1"/>
    <row r="60" spans="2:9" s="60" customFormat="1">
      <c r="B60" s="87" t="s">
        <v>160</v>
      </c>
      <c r="C60" s="88"/>
      <c r="D60" s="88"/>
      <c r="E60" s="89"/>
      <c r="G60" s="138" t="s">
        <v>58</v>
      </c>
      <c r="H60" s="138"/>
    </row>
    <row r="61" spans="2:9" s="60" customFormat="1" ht="15">
      <c r="B61" s="125"/>
      <c r="C61" s="91"/>
      <c r="D61" s="91"/>
      <c r="E61" s="92"/>
      <c r="G61" s="138"/>
      <c r="H61" s="139"/>
    </row>
    <row r="62" spans="2:9" s="60" customFormat="1" ht="15">
      <c r="B62" s="90" t="s">
        <v>83</v>
      </c>
      <c r="C62" s="91"/>
      <c r="D62" s="91"/>
      <c r="E62" s="92"/>
      <c r="G62" s="138"/>
      <c r="H62" s="138"/>
      <c r="I62" s="132"/>
    </row>
    <row r="63" spans="2:9" s="60" customFormat="1">
      <c r="B63" s="90"/>
      <c r="C63" s="194" t="s">
        <v>225</v>
      </c>
      <c r="D63" s="194"/>
      <c r="E63" s="195"/>
      <c r="F63" s="60" t="s">
        <v>230</v>
      </c>
      <c r="G63" s="138"/>
      <c r="H63" s="138"/>
    </row>
    <row r="64" spans="2:9" s="60" customFormat="1" ht="18.75">
      <c r="B64" s="90"/>
      <c r="C64" s="194" t="s">
        <v>178</v>
      </c>
      <c r="D64" s="194"/>
      <c r="E64" s="195"/>
      <c r="G64" s="138"/>
      <c r="H64" s="138"/>
      <c r="I64" s="133"/>
    </row>
    <row r="65" spans="2:9" s="60" customFormat="1" ht="18.75">
      <c r="B65" s="90"/>
      <c r="C65" s="194" t="s">
        <v>226</v>
      </c>
      <c r="D65" s="194"/>
      <c r="E65" s="195"/>
      <c r="G65" s="138"/>
      <c r="H65" s="138"/>
      <c r="I65" s="133"/>
    </row>
    <row r="66" spans="2:9" s="60" customFormat="1" ht="18.75">
      <c r="B66" s="90"/>
      <c r="C66" s="194" t="s">
        <v>227</v>
      </c>
      <c r="D66" s="194"/>
      <c r="E66" s="195"/>
      <c r="G66" s="138"/>
      <c r="H66" s="138"/>
      <c r="I66" s="133"/>
    </row>
    <row r="67" spans="2:9" s="60" customFormat="1">
      <c r="B67" s="90"/>
      <c r="C67" s="204" t="s">
        <v>169</v>
      </c>
      <c r="D67" s="204"/>
      <c r="E67" s="205"/>
      <c r="G67" s="138"/>
      <c r="H67" s="138"/>
    </row>
    <row r="68" spans="2:9" s="60" customFormat="1">
      <c r="B68" s="90"/>
      <c r="C68" s="194" t="s">
        <v>167</v>
      </c>
      <c r="D68" s="194"/>
      <c r="E68" s="195"/>
      <c r="G68" s="138"/>
      <c r="H68" s="138"/>
    </row>
    <row r="69" spans="2:9" s="60" customFormat="1">
      <c r="B69" s="90"/>
      <c r="C69" s="194" t="s">
        <v>156</v>
      </c>
      <c r="D69" s="194"/>
      <c r="E69" s="195"/>
      <c r="G69" s="138"/>
      <c r="H69" s="138"/>
    </row>
    <row r="70" spans="2:9" s="60" customFormat="1">
      <c r="B70" s="90"/>
      <c r="C70" s="194" t="s">
        <v>174</v>
      </c>
      <c r="D70" s="194"/>
      <c r="E70" s="195"/>
      <c r="G70" s="138"/>
      <c r="H70" s="138"/>
    </row>
    <row r="71" spans="2:9" s="60" customFormat="1">
      <c r="B71" s="90"/>
      <c r="C71" s="194"/>
      <c r="D71" s="194"/>
      <c r="E71" s="195"/>
      <c r="G71" s="138"/>
      <c r="H71" s="138"/>
    </row>
    <row r="72" spans="2:9" s="60" customFormat="1">
      <c r="B72" s="90"/>
      <c r="C72" s="194"/>
      <c r="D72" s="194"/>
      <c r="E72" s="195"/>
      <c r="G72" s="138"/>
      <c r="H72" s="138"/>
    </row>
    <row r="73" spans="2:9" s="60" customFormat="1">
      <c r="B73" s="90" t="s">
        <v>84</v>
      </c>
      <c r="C73" s="91"/>
      <c r="D73" s="91"/>
      <c r="E73" s="92"/>
      <c r="G73" s="138"/>
      <c r="H73" s="138"/>
    </row>
    <row r="74" spans="2:9" s="60" customFormat="1" ht="12.75" customHeight="1">
      <c r="B74" s="93"/>
      <c r="C74" s="194" t="s">
        <v>224</v>
      </c>
      <c r="D74" s="194"/>
      <c r="E74" s="195"/>
      <c r="G74" s="138"/>
      <c r="H74" s="138"/>
    </row>
    <row r="75" spans="2:9" s="60" customFormat="1" ht="98.85" customHeight="1">
      <c r="B75" s="93"/>
      <c r="C75" s="194"/>
      <c r="D75" s="194"/>
      <c r="E75" s="195"/>
      <c r="G75" s="138"/>
      <c r="H75" s="138"/>
    </row>
    <row r="76" spans="2:9" s="60" customFormat="1" ht="20.25" customHeight="1">
      <c r="B76" s="90" t="s">
        <v>85</v>
      </c>
      <c r="C76" s="91"/>
      <c r="D76" s="91"/>
      <c r="E76" s="92"/>
      <c r="G76" s="138"/>
      <c r="H76" s="138"/>
    </row>
    <row r="77" spans="2:9" s="60" customFormat="1" ht="26.1" customHeight="1">
      <c r="B77" s="93"/>
      <c r="C77" s="194" t="s">
        <v>149</v>
      </c>
      <c r="D77" s="194"/>
      <c r="E77" s="195"/>
      <c r="G77" s="138"/>
      <c r="H77" s="138"/>
    </row>
    <row r="78" spans="2:9" s="60" customFormat="1">
      <c r="B78" s="90" t="s">
        <v>150</v>
      </c>
      <c r="C78" s="94"/>
      <c r="D78" s="94"/>
      <c r="E78" s="128"/>
      <c r="G78" s="138"/>
      <c r="H78" s="138"/>
    </row>
    <row r="79" spans="2:9" s="60" customFormat="1" ht="5.25" customHeight="1">
      <c r="B79" s="93"/>
      <c r="C79" s="196"/>
      <c r="D79" s="196"/>
      <c r="E79" s="197"/>
      <c r="G79" s="138"/>
      <c r="H79" s="138"/>
    </row>
    <row r="80" spans="2:9" s="60" customFormat="1" ht="16.7" customHeight="1">
      <c r="B80" s="90" t="s">
        <v>86</v>
      </c>
      <c r="C80" s="91"/>
      <c r="D80" s="91"/>
      <c r="E80" s="92"/>
      <c r="G80" s="138"/>
      <c r="H80" s="138"/>
    </row>
    <row r="81" spans="2:9" s="60" customFormat="1" ht="36.75" customHeight="1">
      <c r="B81" s="90"/>
      <c r="C81" s="194" t="s">
        <v>159</v>
      </c>
      <c r="D81" s="198"/>
      <c r="E81" s="199"/>
      <c r="G81" s="138"/>
      <c r="H81" s="138"/>
    </row>
    <row r="82" spans="2:9" s="60" customFormat="1" ht="13.5" thickBot="1">
      <c r="B82" s="129"/>
      <c r="C82" s="95"/>
      <c r="D82" s="95"/>
      <c r="E82" s="96"/>
      <c r="G82" s="138"/>
      <c r="H82" s="138"/>
    </row>
    <row r="84" spans="2:9" ht="13.5" thickBot="1"/>
    <row r="85" spans="2:9" s="60" customFormat="1">
      <c r="B85" s="87" t="s">
        <v>161</v>
      </c>
      <c r="C85" s="88"/>
      <c r="D85" s="88"/>
      <c r="E85" s="89"/>
      <c r="F85" s="60" t="s">
        <v>231</v>
      </c>
      <c r="G85" s="138" t="s">
        <v>59</v>
      </c>
      <c r="H85" s="138"/>
    </row>
    <row r="86" spans="2:9" s="60" customFormat="1" ht="15">
      <c r="B86" s="125"/>
      <c r="C86" s="91"/>
      <c r="D86" s="91"/>
      <c r="E86" s="92"/>
      <c r="G86" s="138"/>
      <c r="H86" s="139"/>
    </row>
    <row r="87" spans="2:9" s="60" customFormat="1" ht="15">
      <c r="B87" s="90" t="s">
        <v>83</v>
      </c>
      <c r="C87" s="91"/>
      <c r="D87" s="91"/>
      <c r="E87" s="92"/>
      <c r="F87" s="60" t="s">
        <v>232</v>
      </c>
      <c r="G87" s="138"/>
      <c r="H87" s="138"/>
      <c r="I87" s="132"/>
    </row>
    <row r="88" spans="2:9" s="60" customFormat="1">
      <c r="B88" s="90"/>
      <c r="C88" s="194" t="s">
        <v>175</v>
      </c>
      <c r="D88" s="194"/>
      <c r="E88" s="195"/>
      <c r="G88" s="138"/>
      <c r="H88" s="138"/>
    </row>
    <row r="89" spans="2:9" s="60" customFormat="1" ht="18.75">
      <c r="B89" s="90"/>
      <c r="C89" s="194" t="s">
        <v>170</v>
      </c>
      <c r="D89" s="194"/>
      <c r="E89" s="195"/>
      <c r="G89" s="138"/>
      <c r="H89" s="138"/>
      <c r="I89" s="133"/>
    </row>
    <row r="90" spans="2:9" s="60" customFormat="1" ht="18.75">
      <c r="B90" s="90"/>
      <c r="C90" s="194" t="s">
        <v>171</v>
      </c>
      <c r="D90" s="194"/>
      <c r="E90" s="195"/>
      <c r="F90" s="60" t="s">
        <v>234</v>
      </c>
      <c r="G90" s="138"/>
      <c r="H90" s="138"/>
      <c r="I90" s="133"/>
    </row>
    <row r="91" spans="2:9" s="60" customFormat="1">
      <c r="B91" s="90"/>
      <c r="C91" s="194" t="s">
        <v>172</v>
      </c>
      <c r="D91" s="194"/>
      <c r="E91" s="195"/>
      <c r="G91" s="138"/>
      <c r="H91" s="138"/>
    </row>
    <row r="92" spans="2:9" s="60" customFormat="1">
      <c r="B92" s="90"/>
      <c r="C92" s="194" t="s">
        <v>154</v>
      </c>
      <c r="D92" s="194"/>
      <c r="E92" s="195"/>
      <c r="G92" s="138"/>
      <c r="H92" s="138"/>
    </row>
    <row r="93" spans="2:9" s="60" customFormat="1">
      <c r="B93" s="90"/>
      <c r="C93" s="194" t="s">
        <v>176</v>
      </c>
      <c r="D93" s="194"/>
      <c r="E93" s="195"/>
      <c r="G93" s="138"/>
      <c r="H93" s="138"/>
    </row>
    <row r="94" spans="2:9" s="60" customFormat="1">
      <c r="B94" s="90"/>
      <c r="C94" s="194" t="s">
        <v>173</v>
      </c>
      <c r="D94" s="194"/>
      <c r="E94" s="195"/>
      <c r="G94" s="138"/>
      <c r="H94" s="138"/>
    </row>
    <row r="95" spans="2:9" s="60" customFormat="1">
      <c r="B95" s="90"/>
      <c r="C95" s="194"/>
      <c r="D95" s="194"/>
      <c r="E95" s="195"/>
      <c r="G95" s="138"/>
      <c r="H95" s="138"/>
    </row>
    <row r="96" spans="2:9" s="60" customFormat="1">
      <c r="B96" s="90"/>
      <c r="C96" s="194"/>
      <c r="D96" s="194"/>
      <c r="E96" s="195"/>
      <c r="G96" s="138"/>
      <c r="H96" s="138"/>
    </row>
    <row r="97" spans="2:9" s="60" customFormat="1">
      <c r="B97" s="90" t="s">
        <v>84</v>
      </c>
      <c r="C97" s="91"/>
      <c r="D97" s="91"/>
      <c r="E97" s="92"/>
      <c r="G97" s="138"/>
      <c r="H97" s="138"/>
    </row>
    <row r="98" spans="2:9" s="60" customFormat="1" ht="12.75" customHeight="1">
      <c r="B98" s="93"/>
      <c r="C98" s="194" t="s">
        <v>224</v>
      </c>
      <c r="D98" s="194"/>
      <c r="E98" s="195"/>
      <c r="G98" s="138"/>
      <c r="H98" s="138"/>
    </row>
    <row r="99" spans="2:9" s="60" customFormat="1" ht="98.1" customHeight="1">
      <c r="B99" s="93"/>
      <c r="C99" s="194"/>
      <c r="D99" s="194"/>
      <c r="E99" s="195"/>
      <c r="G99" s="138"/>
      <c r="H99" s="138"/>
    </row>
    <row r="100" spans="2:9" s="60" customFormat="1" ht="20.25" customHeight="1">
      <c r="B100" s="90" t="s">
        <v>85</v>
      </c>
      <c r="C100" s="91"/>
      <c r="D100" s="91"/>
      <c r="E100" s="92"/>
      <c r="G100" s="138"/>
      <c r="H100" s="138"/>
    </row>
    <row r="101" spans="2:9" s="60" customFormat="1" ht="33" customHeight="1">
      <c r="B101" s="93"/>
      <c r="C101" s="194" t="s">
        <v>149</v>
      </c>
      <c r="D101" s="194"/>
      <c r="E101" s="195"/>
      <c r="G101" s="138"/>
      <c r="H101" s="138"/>
    </row>
    <row r="102" spans="2:9" s="60" customFormat="1">
      <c r="B102" s="90" t="s">
        <v>150</v>
      </c>
      <c r="C102" s="94"/>
      <c r="D102" s="94"/>
      <c r="E102" s="128"/>
      <c r="G102" s="138"/>
      <c r="H102" s="138"/>
    </row>
    <row r="103" spans="2:9" s="60" customFormat="1" ht="5.25" customHeight="1">
      <c r="B103" s="93"/>
      <c r="C103" s="196"/>
      <c r="D103" s="196"/>
      <c r="E103" s="197"/>
      <c r="G103" s="138"/>
      <c r="H103" s="138"/>
    </row>
    <row r="104" spans="2:9" s="60" customFormat="1" ht="24" customHeight="1">
      <c r="B104" s="90" t="s">
        <v>86</v>
      </c>
      <c r="C104" s="91"/>
      <c r="D104" s="91"/>
      <c r="E104" s="92"/>
      <c r="G104" s="138"/>
      <c r="H104" s="138"/>
    </row>
    <row r="105" spans="2:9" s="60" customFormat="1" ht="36.75" customHeight="1">
      <c r="B105" s="90"/>
      <c r="C105" s="194" t="s">
        <v>159</v>
      </c>
      <c r="D105" s="198"/>
      <c r="E105" s="199"/>
      <c r="G105" s="138"/>
      <c r="H105" s="138"/>
    </row>
    <row r="106" spans="2:9" s="60" customFormat="1" ht="13.5" thickBot="1">
      <c r="B106" s="129"/>
      <c r="C106" s="95"/>
      <c r="D106" s="95"/>
      <c r="E106" s="96"/>
      <c r="G106" s="138"/>
      <c r="H106" s="138"/>
    </row>
    <row r="107" spans="2:9" ht="29.25" customHeight="1" thickBot="1">
      <c r="B107" s="208"/>
      <c r="C107" s="208"/>
      <c r="D107" s="208"/>
      <c r="E107" s="208"/>
      <c r="F107" s="208"/>
      <c r="G107" s="208"/>
      <c r="H107" s="208"/>
      <c r="I107" s="208"/>
    </row>
    <row r="108" spans="2:9" s="60" customFormat="1">
      <c r="B108" s="87" t="s">
        <v>162</v>
      </c>
      <c r="C108" s="88"/>
      <c r="D108" s="88"/>
      <c r="E108" s="89"/>
      <c r="G108" s="138" t="s">
        <v>60</v>
      </c>
      <c r="H108" s="138"/>
    </row>
    <row r="109" spans="2:9" s="60" customFormat="1" ht="15">
      <c r="B109" s="125"/>
      <c r="C109" s="91"/>
      <c r="D109" s="91"/>
      <c r="E109" s="92"/>
      <c r="G109" s="138"/>
      <c r="H109" s="139"/>
    </row>
    <row r="110" spans="2:9" s="60" customFormat="1" ht="15">
      <c r="B110" s="90" t="s">
        <v>83</v>
      </c>
      <c r="C110" s="91"/>
      <c r="D110" s="91"/>
      <c r="E110" s="92"/>
      <c r="G110" s="138"/>
      <c r="H110" s="138"/>
      <c r="I110" s="132"/>
    </row>
    <row r="111" spans="2:9" s="60" customFormat="1">
      <c r="B111" s="90"/>
      <c r="C111" s="194" t="s">
        <v>153</v>
      </c>
      <c r="D111" s="194"/>
      <c r="E111" s="195"/>
      <c r="G111" s="138"/>
      <c r="H111" s="138"/>
    </row>
    <row r="112" spans="2:9" s="60" customFormat="1" ht="18.75">
      <c r="B112" s="90"/>
      <c r="C112" s="194" t="s">
        <v>170</v>
      </c>
      <c r="D112" s="194"/>
      <c r="E112" s="195"/>
      <c r="G112" s="138"/>
      <c r="H112" s="138"/>
      <c r="I112" s="133"/>
    </row>
    <row r="113" spans="2:9" s="60" customFormat="1" ht="18.75">
      <c r="B113" s="90"/>
      <c r="C113" s="194" t="s">
        <v>158</v>
      </c>
      <c r="D113" s="194"/>
      <c r="E113" s="195"/>
      <c r="G113" s="138"/>
      <c r="H113" s="138"/>
      <c r="I113" s="133"/>
    </row>
    <row r="114" spans="2:9" s="60" customFormat="1" ht="18.75">
      <c r="B114" s="90"/>
      <c r="C114" s="194" t="s">
        <v>152</v>
      </c>
      <c r="D114" s="194"/>
      <c r="E114" s="195"/>
      <c r="G114" s="138"/>
      <c r="H114" s="138"/>
      <c r="I114" s="133"/>
    </row>
    <row r="115" spans="2:9" s="60" customFormat="1">
      <c r="B115" s="90"/>
      <c r="C115" s="194" t="s">
        <v>179</v>
      </c>
      <c r="D115" s="194"/>
      <c r="E115" s="195"/>
      <c r="G115" s="138"/>
      <c r="H115" s="138"/>
    </row>
    <row r="116" spans="2:9" s="60" customFormat="1">
      <c r="B116" s="90"/>
      <c r="C116" s="194" t="s">
        <v>154</v>
      </c>
      <c r="D116" s="194"/>
      <c r="E116" s="195"/>
      <c r="G116" s="138"/>
      <c r="H116" s="138"/>
    </row>
    <row r="117" spans="2:9" s="60" customFormat="1">
      <c r="B117" s="90"/>
      <c r="C117" s="194" t="s">
        <v>180</v>
      </c>
      <c r="D117" s="194"/>
      <c r="E117" s="195"/>
      <c r="G117" s="138"/>
      <c r="H117" s="138"/>
    </row>
    <row r="118" spans="2:9" s="60" customFormat="1">
      <c r="B118" s="90"/>
      <c r="C118" s="194" t="s">
        <v>156</v>
      </c>
      <c r="D118" s="194"/>
      <c r="E118" s="195"/>
      <c r="G118" s="138"/>
      <c r="H118" s="138"/>
    </row>
    <row r="119" spans="2:9" s="60" customFormat="1">
      <c r="B119" s="90"/>
      <c r="C119" s="194" t="s">
        <v>181</v>
      </c>
      <c r="D119" s="194"/>
      <c r="E119" s="195"/>
      <c r="F119" s="60" t="s">
        <v>228</v>
      </c>
      <c r="G119" s="138"/>
      <c r="H119" s="138"/>
    </row>
    <row r="120" spans="2:9" s="60" customFormat="1">
      <c r="B120" s="90"/>
      <c r="C120" s="194"/>
      <c r="D120" s="194"/>
      <c r="E120" s="195"/>
      <c r="G120" s="138"/>
      <c r="H120" s="138"/>
    </row>
    <row r="121" spans="2:9" s="60" customFormat="1">
      <c r="B121" s="90"/>
      <c r="C121" s="194"/>
      <c r="D121" s="194"/>
      <c r="E121" s="195"/>
      <c r="G121" s="138"/>
      <c r="H121" s="138"/>
    </row>
    <row r="122" spans="2:9" s="60" customFormat="1">
      <c r="B122" s="90" t="s">
        <v>84</v>
      </c>
      <c r="C122" s="91"/>
      <c r="D122" s="91"/>
      <c r="E122" s="92"/>
      <c r="G122" s="138"/>
      <c r="H122" s="138"/>
    </row>
    <row r="123" spans="2:9" s="60" customFormat="1" ht="12.75" customHeight="1">
      <c r="B123" s="93"/>
      <c r="C123" s="194" t="s">
        <v>224</v>
      </c>
      <c r="D123" s="194"/>
      <c r="E123" s="195"/>
      <c r="G123" s="138"/>
      <c r="H123" s="138"/>
    </row>
    <row r="124" spans="2:9" s="60" customFormat="1" ht="86.1" customHeight="1">
      <c r="B124" s="93"/>
      <c r="C124" s="194"/>
      <c r="D124" s="194"/>
      <c r="E124" s="195"/>
      <c r="G124" s="138"/>
      <c r="H124" s="138"/>
    </row>
    <row r="125" spans="2:9" s="60" customFormat="1" ht="20.25" customHeight="1">
      <c r="B125" s="90" t="s">
        <v>85</v>
      </c>
      <c r="C125" s="91"/>
      <c r="D125" s="91"/>
      <c r="E125" s="92"/>
      <c r="G125" s="138"/>
      <c r="H125" s="138"/>
    </row>
    <row r="126" spans="2:9" s="60" customFormat="1" ht="33" customHeight="1">
      <c r="B126" s="93"/>
      <c r="C126" s="194" t="s">
        <v>149</v>
      </c>
      <c r="D126" s="194"/>
      <c r="E126" s="195"/>
      <c r="G126" s="138"/>
      <c r="H126" s="138"/>
    </row>
    <row r="127" spans="2:9" s="60" customFormat="1">
      <c r="B127" s="90" t="s">
        <v>150</v>
      </c>
      <c r="C127" s="94"/>
      <c r="D127" s="94"/>
      <c r="E127" s="128"/>
      <c r="G127" s="138"/>
      <c r="H127" s="138"/>
    </row>
    <row r="128" spans="2:9" s="60" customFormat="1" ht="5.25" customHeight="1">
      <c r="B128" s="93"/>
      <c r="C128" s="196"/>
      <c r="D128" s="196"/>
      <c r="E128" s="197"/>
      <c r="G128" s="138"/>
      <c r="H128" s="138"/>
    </row>
    <row r="129" spans="2:9" s="60" customFormat="1" ht="24" customHeight="1">
      <c r="B129" s="90" t="s">
        <v>86</v>
      </c>
      <c r="C129" s="91"/>
      <c r="D129" s="91"/>
      <c r="E129" s="92"/>
      <c r="G129" s="138"/>
      <c r="H129" s="138"/>
    </row>
    <row r="130" spans="2:9" s="60" customFormat="1" ht="36.75" customHeight="1">
      <c r="B130" s="90"/>
      <c r="C130" s="194" t="s">
        <v>159</v>
      </c>
      <c r="D130" s="198"/>
      <c r="E130" s="199"/>
      <c r="G130" s="138"/>
      <c r="H130" s="138"/>
    </row>
    <row r="131" spans="2:9" s="60" customFormat="1" ht="13.5" thickBot="1">
      <c r="B131" s="129"/>
      <c r="C131" s="95"/>
      <c r="D131" s="95"/>
      <c r="E131" s="96"/>
      <c r="G131" s="138"/>
      <c r="H131" s="138"/>
    </row>
    <row r="132" spans="2:9" ht="13.5" thickBot="1">
      <c r="E132" s="108"/>
    </row>
    <row r="133" spans="2:9" s="60" customFormat="1">
      <c r="B133" s="87" t="s">
        <v>163</v>
      </c>
      <c r="C133" s="88"/>
      <c r="D133" s="88"/>
      <c r="E133" s="89"/>
      <c r="G133" s="138" t="s">
        <v>61</v>
      </c>
      <c r="H133" s="138"/>
    </row>
    <row r="134" spans="2:9" s="60" customFormat="1" ht="15">
      <c r="B134" s="125"/>
      <c r="C134" s="91"/>
      <c r="D134" s="91"/>
      <c r="E134" s="92"/>
      <c r="G134" s="138"/>
      <c r="H134" s="139"/>
    </row>
    <row r="135" spans="2:9" s="60" customFormat="1" ht="15">
      <c r="B135" s="90" t="s">
        <v>83</v>
      </c>
      <c r="C135" s="91"/>
      <c r="D135" s="91"/>
      <c r="E135" s="92"/>
      <c r="G135" s="138"/>
      <c r="H135" s="138"/>
      <c r="I135" s="132"/>
    </row>
    <row r="136" spans="2:9" s="60" customFormat="1" ht="17.649999999999999" customHeight="1">
      <c r="B136" s="90"/>
      <c r="C136" s="194" t="s">
        <v>185</v>
      </c>
      <c r="D136" s="194"/>
      <c r="E136" s="195"/>
      <c r="G136" s="138"/>
      <c r="H136" s="138"/>
    </row>
    <row r="137" spans="2:9" s="60" customFormat="1" ht="14.85" customHeight="1">
      <c r="B137" s="90"/>
      <c r="C137" s="194" t="s">
        <v>182</v>
      </c>
      <c r="D137" s="194"/>
      <c r="E137" s="195"/>
      <c r="G137" s="138"/>
      <c r="H137" s="138"/>
    </row>
    <row r="138" spans="2:9" s="60" customFormat="1" ht="16.899999999999999" customHeight="1">
      <c r="B138" s="90"/>
      <c r="C138" s="194" t="s">
        <v>154</v>
      </c>
      <c r="D138" s="194"/>
      <c r="E138" s="195"/>
      <c r="G138" s="138"/>
      <c r="H138" s="138"/>
    </row>
    <row r="139" spans="2:9" s="60" customFormat="1" ht="18.399999999999999" customHeight="1">
      <c r="B139" s="90"/>
      <c r="C139" s="194" t="s">
        <v>183</v>
      </c>
      <c r="D139" s="194"/>
      <c r="E139" s="195"/>
      <c r="G139" s="138"/>
      <c r="H139" s="138"/>
    </row>
    <row r="140" spans="2:9" s="60" customFormat="1" ht="22.15" customHeight="1">
      <c r="B140" s="90"/>
      <c r="C140" s="194" t="s">
        <v>184</v>
      </c>
      <c r="D140" s="194"/>
      <c r="E140" s="195"/>
      <c r="F140" s="60" t="s">
        <v>235</v>
      </c>
      <c r="G140" s="138"/>
      <c r="H140" s="138"/>
    </row>
    <row r="141" spans="2:9" s="60" customFormat="1">
      <c r="B141" s="90"/>
      <c r="C141" s="194"/>
      <c r="D141" s="194"/>
      <c r="E141" s="195"/>
      <c r="G141" s="138"/>
      <c r="H141" s="138"/>
    </row>
    <row r="142" spans="2:9" s="60" customFormat="1">
      <c r="B142" s="90"/>
      <c r="C142" s="194"/>
      <c r="D142" s="194"/>
      <c r="E142" s="195"/>
      <c r="G142" s="138"/>
      <c r="H142" s="138"/>
    </row>
    <row r="143" spans="2:9" s="60" customFormat="1">
      <c r="B143" s="90" t="s">
        <v>84</v>
      </c>
      <c r="C143" s="91"/>
      <c r="D143" s="91"/>
      <c r="E143" s="92"/>
      <c r="G143" s="138"/>
      <c r="H143" s="138"/>
    </row>
    <row r="144" spans="2:9" s="60" customFormat="1" ht="12.75" customHeight="1">
      <c r="B144" s="93"/>
      <c r="C144" s="194" t="s">
        <v>224</v>
      </c>
      <c r="D144" s="194"/>
      <c r="E144" s="195"/>
      <c r="G144" s="138"/>
      <c r="H144" s="138"/>
    </row>
    <row r="145" spans="2:9" s="60" customFormat="1" ht="97.5" customHeight="1">
      <c r="B145" s="93"/>
      <c r="C145" s="194"/>
      <c r="D145" s="194"/>
      <c r="E145" s="195"/>
      <c r="G145" s="138"/>
      <c r="H145" s="138"/>
    </row>
    <row r="146" spans="2:9" s="60" customFormat="1" ht="20.25" customHeight="1">
      <c r="B146" s="90" t="s">
        <v>85</v>
      </c>
      <c r="C146" s="91"/>
      <c r="D146" s="91"/>
      <c r="E146" s="92"/>
      <c r="G146" s="138"/>
      <c r="H146" s="138"/>
    </row>
    <row r="147" spans="2:9" s="60" customFormat="1" ht="33" customHeight="1">
      <c r="B147" s="93"/>
      <c r="C147" s="194" t="s">
        <v>149</v>
      </c>
      <c r="D147" s="194"/>
      <c r="E147" s="195"/>
      <c r="G147" s="138"/>
      <c r="H147" s="138"/>
    </row>
    <row r="148" spans="2:9" s="60" customFormat="1">
      <c r="B148" s="90" t="s">
        <v>150</v>
      </c>
      <c r="C148" s="94"/>
      <c r="D148" s="94"/>
      <c r="E148" s="128"/>
      <c r="G148" s="138"/>
      <c r="H148" s="138"/>
    </row>
    <row r="149" spans="2:9" s="60" customFormat="1" ht="5.25" customHeight="1">
      <c r="B149" s="93"/>
      <c r="C149" s="196"/>
      <c r="D149" s="196"/>
      <c r="E149" s="197"/>
      <c r="G149" s="138"/>
      <c r="H149" s="138"/>
    </row>
    <row r="150" spans="2:9" s="60" customFormat="1" ht="24" customHeight="1">
      <c r="B150" s="90" t="s">
        <v>86</v>
      </c>
      <c r="C150" s="91"/>
      <c r="D150" s="91"/>
      <c r="E150" s="92"/>
      <c r="G150" s="138"/>
      <c r="H150" s="138"/>
    </row>
    <row r="151" spans="2:9" s="60" customFormat="1" ht="36.75" customHeight="1">
      <c r="B151" s="90"/>
      <c r="C151" s="194" t="s">
        <v>159</v>
      </c>
      <c r="D151" s="198"/>
      <c r="E151" s="199"/>
      <c r="G151" s="138"/>
      <c r="H151" s="138"/>
    </row>
    <row r="152" spans="2:9" s="60" customFormat="1" ht="13.5" thickBot="1">
      <c r="B152" s="129"/>
      <c r="C152" s="95"/>
      <c r="D152" s="95"/>
      <c r="E152" s="96"/>
      <c r="G152" s="138"/>
      <c r="H152" s="138"/>
    </row>
    <row r="153" spans="2:9" ht="27" customHeight="1">
      <c r="B153" s="209"/>
      <c r="C153" s="208"/>
      <c r="D153" s="208"/>
      <c r="E153" s="208"/>
      <c r="F153" s="208"/>
      <c r="G153" s="208"/>
      <c r="H153" s="208"/>
      <c r="I153" s="208"/>
    </row>
    <row r="154" spans="2:9" ht="13.5" thickBot="1">
      <c r="B154" s="6"/>
      <c r="E154" s="108"/>
    </row>
    <row r="155" spans="2:9" s="60" customFormat="1">
      <c r="B155" s="87" t="s">
        <v>164</v>
      </c>
      <c r="C155" s="88"/>
      <c r="D155" s="88"/>
      <c r="E155" s="89"/>
      <c r="G155" s="138" t="s">
        <v>62</v>
      </c>
      <c r="H155" s="138"/>
    </row>
    <row r="156" spans="2:9" s="60" customFormat="1" ht="15">
      <c r="B156" s="125"/>
      <c r="C156" s="91"/>
      <c r="D156" s="91"/>
      <c r="E156" s="92"/>
      <c r="G156" s="138"/>
      <c r="H156" s="139"/>
    </row>
    <row r="157" spans="2:9" s="60" customFormat="1" ht="15">
      <c r="B157" s="90" t="s">
        <v>83</v>
      </c>
      <c r="C157" s="91"/>
      <c r="D157" s="91"/>
      <c r="E157" s="92"/>
      <c r="G157" s="138"/>
      <c r="H157" s="138"/>
      <c r="I157" s="132"/>
    </row>
    <row r="158" spans="2:9" s="60" customFormat="1">
      <c r="B158" s="90"/>
      <c r="C158" s="194"/>
      <c r="D158" s="194"/>
      <c r="E158" s="195"/>
      <c r="G158" s="138"/>
      <c r="H158" s="138"/>
    </row>
    <row r="159" spans="2:9" s="60" customFormat="1" ht="18.75">
      <c r="B159" s="90"/>
      <c r="C159" s="194" t="s">
        <v>191</v>
      </c>
      <c r="D159" s="194"/>
      <c r="E159" s="195"/>
      <c r="F159" s="60" t="s">
        <v>240</v>
      </c>
      <c r="G159" s="138"/>
      <c r="H159" s="138"/>
      <c r="I159" s="133"/>
    </row>
    <row r="160" spans="2:9" s="60" customFormat="1" ht="16.899999999999999" customHeight="1">
      <c r="B160" s="90"/>
      <c r="C160" s="194" t="s">
        <v>186</v>
      </c>
      <c r="D160" s="194"/>
      <c r="E160" s="195"/>
      <c r="F160" s="60" t="s">
        <v>236</v>
      </c>
      <c r="G160" s="138"/>
      <c r="H160" s="138"/>
    </row>
    <row r="161" spans="2:8" s="60" customFormat="1" ht="19.899999999999999" customHeight="1">
      <c r="B161" s="90"/>
      <c r="C161" s="194" t="s">
        <v>188</v>
      </c>
      <c r="D161" s="194"/>
      <c r="E161" s="195"/>
      <c r="F161" s="60" t="s">
        <v>236</v>
      </c>
      <c r="G161" s="138"/>
      <c r="H161" s="138"/>
    </row>
    <row r="162" spans="2:8" s="60" customFormat="1" ht="17.649999999999999" customHeight="1">
      <c r="B162" s="90"/>
      <c r="C162" s="194" t="s">
        <v>189</v>
      </c>
      <c r="D162" s="194"/>
      <c r="E162" s="195"/>
      <c r="G162" s="138"/>
      <c r="H162" s="138"/>
    </row>
    <row r="163" spans="2:8" s="60" customFormat="1" ht="14.85" customHeight="1">
      <c r="B163" s="90"/>
      <c r="C163" s="194" t="s">
        <v>190</v>
      </c>
      <c r="D163" s="194"/>
      <c r="E163" s="195"/>
      <c r="G163" s="138"/>
      <c r="H163" s="138"/>
    </row>
    <row r="164" spans="2:8" s="60" customFormat="1" ht="17.649999999999999" customHeight="1">
      <c r="B164" s="90"/>
      <c r="C164" s="194" t="s">
        <v>187</v>
      </c>
      <c r="D164" s="194"/>
      <c r="E164" s="195"/>
      <c r="G164" s="138"/>
      <c r="H164" s="138"/>
    </row>
    <row r="165" spans="2:8" s="60" customFormat="1">
      <c r="B165" s="90"/>
      <c r="C165" s="194"/>
      <c r="D165" s="194"/>
      <c r="E165" s="195"/>
      <c r="G165" s="138"/>
      <c r="H165" s="138"/>
    </row>
    <row r="166" spans="2:8" s="60" customFormat="1">
      <c r="B166" s="90" t="s">
        <v>84</v>
      </c>
      <c r="C166" s="91"/>
      <c r="D166" s="91"/>
      <c r="E166" s="92"/>
      <c r="G166" s="138"/>
      <c r="H166" s="138"/>
    </row>
    <row r="167" spans="2:8" s="60" customFormat="1" ht="12.75" customHeight="1">
      <c r="B167" s="93"/>
      <c r="C167" s="194" t="s">
        <v>224</v>
      </c>
      <c r="D167" s="194"/>
      <c r="E167" s="195"/>
      <c r="G167" s="138"/>
      <c r="H167" s="138"/>
    </row>
    <row r="168" spans="2:8" s="60" customFormat="1" ht="88.35" customHeight="1">
      <c r="B168" s="93"/>
      <c r="C168" s="194"/>
      <c r="D168" s="194"/>
      <c r="E168" s="195"/>
      <c r="G168" s="138"/>
      <c r="H168" s="138"/>
    </row>
    <row r="169" spans="2:8" s="60" customFormat="1" ht="20.25" customHeight="1">
      <c r="B169" s="90" t="s">
        <v>85</v>
      </c>
      <c r="C169" s="91"/>
      <c r="D169" s="91"/>
      <c r="E169" s="92"/>
      <c r="G169" s="138"/>
      <c r="H169" s="138"/>
    </row>
    <row r="170" spans="2:8" s="60" customFormat="1" ht="33" customHeight="1">
      <c r="B170" s="93"/>
      <c r="C170" s="194" t="s">
        <v>149</v>
      </c>
      <c r="D170" s="194"/>
      <c r="E170" s="195"/>
      <c r="G170" s="138"/>
      <c r="H170" s="138"/>
    </row>
    <row r="171" spans="2:8" s="60" customFormat="1">
      <c r="B171" s="90" t="s">
        <v>150</v>
      </c>
      <c r="C171" s="94"/>
      <c r="D171" s="94"/>
      <c r="E171" s="128"/>
      <c r="G171" s="138"/>
      <c r="H171" s="138"/>
    </row>
    <row r="172" spans="2:8" s="60" customFormat="1" ht="5.25" customHeight="1">
      <c r="B172" s="93"/>
      <c r="C172" s="196"/>
      <c r="D172" s="196"/>
      <c r="E172" s="197"/>
      <c r="G172" s="138"/>
      <c r="H172" s="138"/>
    </row>
    <row r="173" spans="2:8" s="60" customFormat="1" ht="24" customHeight="1">
      <c r="B173" s="90" t="s">
        <v>86</v>
      </c>
      <c r="C173" s="91"/>
      <c r="D173" s="91"/>
      <c r="E173" s="92"/>
      <c r="G173" s="138"/>
      <c r="H173" s="138"/>
    </row>
    <row r="174" spans="2:8" s="60" customFormat="1" ht="36.75" customHeight="1">
      <c r="B174" s="90"/>
      <c r="C174" s="194" t="s">
        <v>159</v>
      </c>
      <c r="D174" s="198"/>
      <c r="E174" s="199"/>
      <c r="G174" s="138"/>
      <c r="H174" s="138"/>
    </row>
    <row r="175" spans="2:8" s="60" customFormat="1" ht="13.5" thickBot="1">
      <c r="B175" s="129"/>
      <c r="C175" s="95"/>
      <c r="D175" s="95"/>
      <c r="E175" s="96"/>
      <c r="G175" s="138"/>
      <c r="H175" s="138"/>
    </row>
    <row r="177" spans="2:9" ht="30.75" customHeight="1" thickBot="1">
      <c r="B177" s="210"/>
      <c r="C177" s="210"/>
      <c r="D177" s="210"/>
      <c r="E177" s="210"/>
      <c r="F177" s="210"/>
      <c r="G177" s="210"/>
      <c r="H177" s="210"/>
      <c r="I177" s="210"/>
    </row>
    <row r="178" spans="2:9" s="60" customFormat="1">
      <c r="B178" s="87" t="s">
        <v>165</v>
      </c>
      <c r="C178" s="88"/>
      <c r="D178" s="88"/>
      <c r="E178" s="89"/>
      <c r="G178" s="138" t="s">
        <v>63</v>
      </c>
      <c r="H178" s="138"/>
    </row>
    <row r="179" spans="2:9" s="60" customFormat="1" ht="15">
      <c r="B179" s="125"/>
      <c r="C179" s="91"/>
      <c r="D179" s="91"/>
      <c r="E179" s="92"/>
      <c r="G179" s="138"/>
      <c r="H179" s="139"/>
    </row>
    <row r="180" spans="2:9" s="60" customFormat="1" ht="15">
      <c r="B180" s="90" t="s">
        <v>83</v>
      </c>
      <c r="C180" s="91"/>
      <c r="D180" s="91"/>
      <c r="E180" s="92"/>
      <c r="G180" s="138"/>
      <c r="H180" s="138"/>
      <c r="I180" s="132"/>
    </row>
    <row r="181" spans="2:9" s="60" customFormat="1" ht="18.75">
      <c r="B181" s="90"/>
      <c r="C181" s="194" t="s">
        <v>192</v>
      </c>
      <c r="D181" s="194"/>
      <c r="E181" s="195"/>
      <c r="G181" s="138"/>
      <c r="H181" s="138"/>
      <c r="I181" s="133"/>
    </row>
    <row r="182" spans="2:9" s="60" customFormat="1">
      <c r="B182" s="90"/>
      <c r="C182" s="194" t="s">
        <v>193</v>
      </c>
      <c r="D182" s="194"/>
      <c r="E182" s="195"/>
      <c r="G182" s="138"/>
      <c r="H182" s="138"/>
    </row>
    <row r="183" spans="2:9" s="60" customFormat="1" ht="19.899999999999999" customHeight="1">
      <c r="B183" s="90"/>
      <c r="C183" s="194" t="s">
        <v>154</v>
      </c>
      <c r="D183" s="194"/>
      <c r="E183" s="195"/>
      <c r="G183" s="138"/>
      <c r="H183" s="138"/>
    </row>
    <row r="184" spans="2:9" s="60" customFormat="1" ht="16.899999999999999" customHeight="1">
      <c r="B184" s="90"/>
      <c r="C184" s="194" t="s">
        <v>238</v>
      </c>
      <c r="D184" s="194"/>
      <c r="E184" s="195"/>
      <c r="F184" s="60" t="s">
        <v>237</v>
      </c>
      <c r="G184" s="138"/>
      <c r="H184" s="138"/>
    </row>
    <row r="185" spans="2:9" s="60" customFormat="1" ht="17.649999999999999" customHeight="1">
      <c r="B185" s="90"/>
      <c r="C185" s="194" t="s">
        <v>194</v>
      </c>
      <c r="D185" s="194"/>
      <c r="E185" s="195"/>
      <c r="G185" s="138"/>
      <c r="H185" s="138"/>
    </row>
    <row r="186" spans="2:9" s="60" customFormat="1" ht="19.149999999999999" customHeight="1">
      <c r="B186" s="90"/>
      <c r="C186" s="194" t="s">
        <v>195</v>
      </c>
      <c r="D186" s="194"/>
      <c r="E186" s="195"/>
      <c r="F186" s="60" t="s">
        <v>239</v>
      </c>
      <c r="G186" s="138"/>
      <c r="H186" s="138"/>
    </row>
    <row r="187" spans="2:9" s="60" customFormat="1">
      <c r="B187" s="90"/>
      <c r="C187" s="194"/>
      <c r="D187" s="194"/>
      <c r="E187" s="195"/>
      <c r="G187" s="138"/>
      <c r="H187" s="138"/>
    </row>
    <row r="188" spans="2:9" s="60" customFormat="1">
      <c r="B188" s="90" t="s">
        <v>84</v>
      </c>
      <c r="C188" s="91"/>
      <c r="D188" s="91"/>
      <c r="E188" s="92"/>
      <c r="G188" s="138"/>
      <c r="H188" s="138"/>
    </row>
    <row r="189" spans="2:9" s="60" customFormat="1" ht="12.75" customHeight="1">
      <c r="B189" s="93"/>
      <c r="C189" s="194" t="s">
        <v>224</v>
      </c>
      <c r="D189" s="194"/>
      <c r="E189" s="195"/>
      <c r="G189" s="138"/>
      <c r="H189" s="138"/>
    </row>
    <row r="190" spans="2:9" s="60" customFormat="1" ht="88.9" customHeight="1">
      <c r="B190" s="93"/>
      <c r="C190" s="194"/>
      <c r="D190" s="194"/>
      <c r="E190" s="195"/>
      <c r="G190" s="138"/>
      <c r="H190" s="138"/>
    </row>
    <row r="191" spans="2:9" s="60" customFormat="1" ht="20.25" customHeight="1">
      <c r="B191" s="90" t="s">
        <v>85</v>
      </c>
      <c r="C191" s="91"/>
      <c r="D191" s="91"/>
      <c r="E191" s="92"/>
      <c r="G191" s="138"/>
      <c r="H191" s="138"/>
    </row>
    <row r="192" spans="2:9" s="60" customFormat="1" ht="33" customHeight="1">
      <c r="B192" s="93"/>
      <c r="C192" s="194" t="s">
        <v>149</v>
      </c>
      <c r="D192" s="194"/>
      <c r="E192" s="195"/>
      <c r="G192" s="138"/>
      <c r="H192" s="138"/>
    </row>
    <row r="193" spans="2:9" s="60" customFormat="1">
      <c r="B193" s="90" t="s">
        <v>150</v>
      </c>
      <c r="C193" s="94"/>
      <c r="D193" s="94"/>
      <c r="E193" s="128"/>
      <c r="G193" s="138"/>
      <c r="H193" s="138"/>
    </row>
    <row r="194" spans="2:9" s="60" customFormat="1" ht="5.25" customHeight="1">
      <c r="B194" s="93"/>
      <c r="C194" s="196"/>
      <c r="D194" s="196"/>
      <c r="E194" s="197"/>
      <c r="G194" s="138"/>
      <c r="H194" s="138"/>
    </row>
    <row r="195" spans="2:9" s="60" customFormat="1" ht="24" customHeight="1">
      <c r="B195" s="90" t="s">
        <v>86</v>
      </c>
      <c r="C195" s="91"/>
      <c r="D195" s="91"/>
      <c r="E195" s="92"/>
      <c r="G195" s="138"/>
      <c r="H195" s="138"/>
    </row>
    <row r="196" spans="2:9" s="60" customFormat="1" ht="36.75" customHeight="1">
      <c r="B196" s="90"/>
      <c r="C196" s="194" t="s">
        <v>159</v>
      </c>
      <c r="D196" s="198"/>
      <c r="E196" s="199"/>
      <c r="G196" s="138"/>
      <c r="H196" s="138"/>
    </row>
    <row r="197" spans="2:9" s="60" customFormat="1" ht="13.5" thickBot="1">
      <c r="B197" s="129"/>
      <c r="C197" s="95"/>
      <c r="D197" s="95"/>
      <c r="E197" s="96"/>
      <c r="G197" s="138"/>
      <c r="H197" s="138"/>
    </row>
    <row r="199" spans="2:9" ht="13.5" thickBot="1"/>
    <row r="200" spans="2:9" s="60" customFormat="1">
      <c r="B200" s="87" t="s">
        <v>196</v>
      </c>
      <c r="C200" s="88"/>
      <c r="D200" s="88"/>
      <c r="E200" s="89"/>
      <c r="G200" s="138"/>
      <c r="H200" s="138"/>
    </row>
    <row r="201" spans="2:9" s="60" customFormat="1" ht="15">
      <c r="B201" s="125"/>
      <c r="C201" s="91"/>
      <c r="D201" s="91"/>
      <c r="E201" s="92"/>
      <c r="G201" s="138"/>
      <c r="H201" s="139"/>
      <c r="I201" s="60" t="s">
        <v>64</v>
      </c>
    </row>
    <row r="202" spans="2:9" s="60" customFormat="1" ht="15">
      <c r="B202" s="90" t="s">
        <v>83</v>
      </c>
      <c r="C202" s="91"/>
      <c r="D202" s="91"/>
      <c r="E202" s="92"/>
      <c r="G202" s="138"/>
      <c r="H202" s="138"/>
      <c r="I202" s="132"/>
    </row>
    <row r="203" spans="2:9" s="60" customFormat="1" ht="25.5" customHeight="1">
      <c r="B203" s="90"/>
      <c r="C203" s="194" t="s">
        <v>197</v>
      </c>
      <c r="D203" s="194"/>
      <c r="E203" s="195"/>
      <c r="G203" s="138"/>
      <c r="H203" s="138"/>
    </row>
    <row r="204" spans="2:9" s="60" customFormat="1" ht="26.1" customHeight="1">
      <c r="B204" s="90"/>
      <c r="C204" s="194" t="s">
        <v>202</v>
      </c>
      <c r="D204" s="194"/>
      <c r="E204" s="195"/>
      <c r="G204" s="138"/>
      <c r="H204" s="138"/>
      <c r="I204" s="133"/>
    </row>
    <row r="205" spans="2:9" s="60" customFormat="1" ht="18.75">
      <c r="B205" s="90"/>
      <c r="C205" s="194" t="s">
        <v>199</v>
      </c>
      <c r="D205" s="194"/>
      <c r="E205" s="195"/>
      <c r="G205" s="138"/>
      <c r="H205" s="138"/>
      <c r="I205" s="133"/>
    </row>
    <row r="206" spans="2:9" s="60" customFormat="1" ht="18.75">
      <c r="B206" s="90"/>
      <c r="C206" s="194" t="s">
        <v>200</v>
      </c>
      <c r="D206" s="194"/>
      <c r="E206" s="195"/>
      <c r="G206" s="138"/>
      <c r="H206" s="138"/>
      <c r="I206" s="133"/>
    </row>
    <row r="207" spans="2:9" s="60" customFormat="1" ht="21.2" customHeight="1">
      <c r="B207" s="90"/>
      <c r="C207" s="194" t="s">
        <v>198</v>
      </c>
      <c r="D207" s="194"/>
      <c r="E207" s="195"/>
      <c r="G207" s="138"/>
      <c r="H207" s="138"/>
    </row>
    <row r="208" spans="2:9" s="60" customFormat="1" ht="19.149999999999999" customHeight="1">
      <c r="B208" s="90"/>
      <c r="C208" s="194"/>
      <c r="D208" s="194"/>
      <c r="E208" s="195"/>
      <c r="G208" s="138"/>
      <c r="H208" s="138"/>
    </row>
    <row r="209" spans="2:9" s="60" customFormat="1">
      <c r="B209" s="90" t="s">
        <v>84</v>
      </c>
      <c r="C209" s="91"/>
      <c r="D209" s="91"/>
      <c r="E209" s="92"/>
      <c r="G209" s="138"/>
      <c r="H209" s="138"/>
    </row>
    <row r="210" spans="2:9" s="60" customFormat="1" ht="12.75" customHeight="1">
      <c r="B210" s="93"/>
      <c r="C210" s="194" t="s">
        <v>224</v>
      </c>
      <c r="D210" s="194"/>
      <c r="E210" s="195"/>
      <c r="G210" s="138"/>
      <c r="H210" s="138"/>
    </row>
    <row r="211" spans="2:9" s="60" customFormat="1" ht="87.6" customHeight="1">
      <c r="B211" s="93"/>
      <c r="C211" s="194"/>
      <c r="D211" s="194"/>
      <c r="E211" s="195"/>
      <c r="G211" s="138"/>
      <c r="H211" s="138"/>
    </row>
    <row r="212" spans="2:9" s="60" customFormat="1" ht="20.25" customHeight="1">
      <c r="B212" s="90" t="s">
        <v>85</v>
      </c>
      <c r="C212" s="91"/>
      <c r="D212" s="91"/>
      <c r="E212" s="92"/>
      <c r="G212" s="138"/>
      <c r="H212" s="138"/>
    </row>
    <row r="213" spans="2:9" s="60" customFormat="1" ht="33" customHeight="1">
      <c r="B213" s="93"/>
      <c r="C213" s="194" t="s">
        <v>149</v>
      </c>
      <c r="D213" s="194"/>
      <c r="E213" s="195"/>
      <c r="G213" s="138"/>
      <c r="H213" s="138"/>
    </row>
    <row r="214" spans="2:9" s="60" customFormat="1">
      <c r="B214" s="90" t="s">
        <v>150</v>
      </c>
      <c r="C214" s="94"/>
      <c r="D214" s="94"/>
      <c r="E214" s="128"/>
      <c r="G214" s="138"/>
      <c r="H214" s="138"/>
    </row>
    <row r="215" spans="2:9" s="60" customFormat="1" ht="5.25" customHeight="1">
      <c r="B215" s="93"/>
      <c r="C215" s="196"/>
      <c r="D215" s="196"/>
      <c r="E215" s="197"/>
      <c r="G215" s="138"/>
      <c r="H215" s="138"/>
    </row>
    <row r="216" spans="2:9" s="60" customFormat="1" ht="24" customHeight="1">
      <c r="B216" s="90" t="s">
        <v>86</v>
      </c>
      <c r="C216" s="91"/>
      <c r="D216" s="91"/>
      <c r="E216" s="92"/>
      <c r="G216" s="138"/>
      <c r="H216" s="138"/>
    </row>
    <row r="217" spans="2:9" s="60" customFormat="1" ht="36.75" customHeight="1">
      <c r="B217" s="90"/>
      <c r="C217" s="194" t="s">
        <v>159</v>
      </c>
      <c r="D217" s="198"/>
      <c r="E217" s="199"/>
      <c r="G217" s="138"/>
      <c r="H217" s="138"/>
    </row>
    <row r="218" spans="2:9" s="60" customFormat="1" ht="13.5" thickBot="1">
      <c r="B218" s="129"/>
      <c r="C218" s="95"/>
      <c r="D218" s="95"/>
      <c r="E218" s="96"/>
      <c r="G218" s="138"/>
      <c r="H218" s="138"/>
    </row>
    <row r="220" spans="2:9" ht="13.5" thickBot="1"/>
    <row r="221" spans="2:9" s="60" customFormat="1">
      <c r="B221" s="87" t="s">
        <v>201</v>
      </c>
      <c r="C221" s="88"/>
      <c r="D221" s="88"/>
      <c r="E221" s="89"/>
      <c r="G221" s="138"/>
      <c r="H221" s="138"/>
    </row>
    <row r="222" spans="2:9" s="60" customFormat="1" ht="15">
      <c r="B222" s="125"/>
      <c r="C222" s="91"/>
      <c r="D222" s="91"/>
      <c r="E222" s="92"/>
      <c r="G222" s="138"/>
      <c r="H222" s="139"/>
      <c r="I222" s="60" t="s">
        <v>65</v>
      </c>
    </row>
    <row r="223" spans="2:9" s="60" customFormat="1" ht="15">
      <c r="B223" s="90" t="s">
        <v>83</v>
      </c>
      <c r="C223" s="91"/>
      <c r="D223" s="91"/>
      <c r="E223" s="92"/>
      <c r="G223" s="138"/>
      <c r="H223" s="138"/>
      <c r="I223" s="132"/>
    </row>
    <row r="224" spans="2:9" s="60" customFormat="1" ht="16.899999999999999" customHeight="1">
      <c r="B224" s="90"/>
      <c r="C224" s="194" t="s">
        <v>197</v>
      </c>
      <c r="D224" s="194"/>
      <c r="E224" s="195"/>
      <c r="G224" s="138"/>
      <c r="H224" s="138"/>
    </row>
    <row r="225" spans="2:9" s="60" customFormat="1" ht="25.5" customHeight="1">
      <c r="B225" s="90"/>
      <c r="C225" s="194" t="s">
        <v>203</v>
      </c>
      <c r="D225" s="194"/>
      <c r="E225" s="195"/>
      <c r="G225" s="138"/>
      <c r="H225" s="138"/>
      <c r="I225" s="133"/>
    </row>
    <row r="226" spans="2:9" s="60" customFormat="1" ht="18.75">
      <c r="B226" s="90"/>
      <c r="C226" s="194" t="s">
        <v>199</v>
      </c>
      <c r="D226" s="194"/>
      <c r="E226" s="195"/>
      <c r="G226" s="138"/>
      <c r="H226" s="138"/>
      <c r="I226" s="133"/>
    </row>
    <row r="227" spans="2:9" s="60" customFormat="1" ht="18.75">
      <c r="B227" s="90"/>
      <c r="C227" s="194" t="s">
        <v>204</v>
      </c>
      <c r="D227" s="194"/>
      <c r="E227" s="195"/>
      <c r="G227" s="138"/>
      <c r="H227" s="138"/>
      <c r="I227" s="133"/>
    </row>
    <row r="228" spans="2:9" s="60" customFormat="1">
      <c r="B228" s="90"/>
      <c r="C228" s="194" t="s">
        <v>198</v>
      </c>
      <c r="D228" s="194"/>
      <c r="E228" s="195"/>
      <c r="G228" s="138"/>
      <c r="H228" s="138"/>
    </row>
    <row r="229" spans="2:9" s="60" customFormat="1">
      <c r="B229" s="90"/>
      <c r="C229" s="194"/>
      <c r="D229" s="194"/>
      <c r="E229" s="195"/>
      <c r="G229" s="138"/>
      <c r="H229" s="138"/>
    </row>
    <row r="230" spans="2:9" s="60" customFormat="1">
      <c r="B230" s="90" t="s">
        <v>84</v>
      </c>
      <c r="C230" s="91"/>
      <c r="D230" s="91"/>
      <c r="E230" s="92"/>
      <c r="G230" s="138"/>
      <c r="H230" s="138"/>
    </row>
    <row r="231" spans="2:9" s="60" customFormat="1" ht="12.75" customHeight="1">
      <c r="B231" s="93"/>
      <c r="C231" s="194" t="s">
        <v>224</v>
      </c>
      <c r="D231" s="194"/>
      <c r="E231" s="195"/>
      <c r="G231" s="138"/>
      <c r="H231" s="138"/>
    </row>
    <row r="232" spans="2:9" s="60" customFormat="1" ht="92.45" customHeight="1">
      <c r="B232" s="93"/>
      <c r="C232" s="194"/>
      <c r="D232" s="194"/>
      <c r="E232" s="195"/>
      <c r="G232" s="138"/>
      <c r="H232" s="138"/>
    </row>
    <row r="233" spans="2:9" s="60" customFormat="1" ht="20.25" customHeight="1">
      <c r="B233" s="90" t="s">
        <v>85</v>
      </c>
      <c r="C233" s="91"/>
      <c r="D233" s="91"/>
      <c r="E233" s="92"/>
      <c r="G233" s="138"/>
      <c r="H233" s="138"/>
    </row>
    <row r="234" spans="2:9" s="60" customFormat="1" ht="33" customHeight="1">
      <c r="B234" s="93"/>
      <c r="C234" s="194" t="s">
        <v>149</v>
      </c>
      <c r="D234" s="194"/>
      <c r="E234" s="195"/>
      <c r="G234" s="138"/>
      <c r="H234" s="138"/>
    </row>
    <row r="235" spans="2:9" s="60" customFormat="1">
      <c r="B235" s="90" t="s">
        <v>150</v>
      </c>
      <c r="C235" s="94"/>
      <c r="D235" s="94"/>
      <c r="E235" s="128"/>
      <c r="G235" s="138"/>
      <c r="H235" s="138"/>
    </row>
    <row r="236" spans="2:9" s="60" customFormat="1" ht="5.25" customHeight="1">
      <c r="B236" s="93"/>
      <c r="C236" s="196"/>
      <c r="D236" s="196"/>
      <c r="E236" s="197"/>
      <c r="G236" s="138"/>
      <c r="H236" s="138"/>
    </row>
    <row r="237" spans="2:9" s="60" customFormat="1" ht="24" customHeight="1">
      <c r="B237" s="90" t="s">
        <v>86</v>
      </c>
      <c r="C237" s="91"/>
      <c r="D237" s="91"/>
      <c r="E237" s="92"/>
      <c r="G237" s="138"/>
      <c r="H237" s="138"/>
    </row>
    <row r="238" spans="2:9" s="60" customFormat="1" ht="36.75" customHeight="1">
      <c r="B238" s="90"/>
      <c r="C238" s="194" t="s">
        <v>159</v>
      </c>
      <c r="D238" s="198"/>
      <c r="E238" s="199"/>
      <c r="G238" s="138"/>
      <c r="H238" s="138"/>
    </row>
    <row r="239" spans="2:9" s="60" customFormat="1" ht="13.5" thickBot="1">
      <c r="B239" s="129"/>
      <c r="C239" s="95"/>
      <c r="D239" s="95"/>
      <c r="E239" s="96"/>
      <c r="G239" s="138"/>
      <c r="H239" s="138"/>
    </row>
    <row r="241" spans="2:9" ht="13.5" thickBot="1"/>
    <row r="242" spans="2:9" s="60" customFormat="1">
      <c r="B242" s="87" t="s">
        <v>205</v>
      </c>
      <c r="C242" s="88"/>
      <c r="D242" s="88"/>
      <c r="E242" s="89"/>
      <c r="G242" s="138"/>
      <c r="H242" s="138"/>
      <c r="I242" s="60" t="s">
        <v>66</v>
      </c>
    </row>
    <row r="243" spans="2:9" s="60" customFormat="1" ht="15">
      <c r="B243" s="125"/>
      <c r="C243" s="91"/>
      <c r="D243" s="91"/>
      <c r="E243" s="92"/>
      <c r="G243" s="138"/>
      <c r="H243" s="139"/>
    </row>
    <row r="244" spans="2:9" s="60" customFormat="1" ht="15">
      <c r="B244" s="90" t="s">
        <v>83</v>
      </c>
      <c r="C244" s="91"/>
      <c r="D244" s="91"/>
      <c r="E244" s="92"/>
      <c r="G244" s="138"/>
      <c r="H244" s="138"/>
      <c r="I244" s="132"/>
    </row>
    <row r="245" spans="2:9" s="60" customFormat="1" ht="15.6" customHeight="1">
      <c r="B245" s="90"/>
      <c r="C245" s="194" t="s">
        <v>197</v>
      </c>
      <c r="D245" s="194"/>
      <c r="E245" s="195"/>
      <c r="G245" s="138"/>
      <c r="H245" s="138"/>
    </row>
    <row r="246" spans="2:9" s="60" customFormat="1" ht="24.75" customHeight="1">
      <c r="B246" s="90"/>
      <c r="C246" s="194" t="s">
        <v>206</v>
      </c>
      <c r="D246" s="194"/>
      <c r="E246" s="195"/>
      <c r="G246" s="138"/>
      <c r="H246" s="138"/>
      <c r="I246" s="133"/>
    </row>
    <row r="247" spans="2:9" s="60" customFormat="1" ht="18.399999999999999" customHeight="1">
      <c r="B247" s="90"/>
      <c r="C247" s="194" t="s">
        <v>207</v>
      </c>
      <c r="D247" s="194"/>
      <c r="E247" s="195"/>
      <c r="G247" s="138"/>
      <c r="H247" s="138"/>
      <c r="I247" s="133"/>
    </row>
    <row r="248" spans="2:9" s="60" customFormat="1" ht="19.149999999999999" customHeight="1">
      <c r="B248" s="90"/>
      <c r="C248" s="194" t="s">
        <v>208</v>
      </c>
      <c r="D248" s="194"/>
      <c r="E248" s="195"/>
      <c r="G248" s="138"/>
      <c r="H248" s="138"/>
      <c r="I248" s="133"/>
    </row>
    <row r="249" spans="2:9" s="60" customFormat="1">
      <c r="B249" s="90"/>
      <c r="C249" s="194" t="s">
        <v>198</v>
      </c>
      <c r="D249" s="194"/>
      <c r="E249" s="195"/>
      <c r="G249" s="138"/>
      <c r="H249" s="138"/>
    </row>
    <row r="250" spans="2:9" s="60" customFormat="1" ht="19.899999999999999" customHeight="1">
      <c r="B250" s="90"/>
      <c r="C250" s="194" t="s">
        <v>209</v>
      </c>
      <c r="D250" s="194"/>
      <c r="E250" s="195"/>
      <c r="G250" s="138"/>
      <c r="H250" s="138"/>
    </row>
    <row r="251" spans="2:9" s="60" customFormat="1">
      <c r="B251" s="90"/>
      <c r="C251" s="194"/>
      <c r="D251" s="194"/>
      <c r="E251" s="195"/>
      <c r="G251" s="138"/>
      <c r="H251" s="138"/>
    </row>
    <row r="252" spans="2:9" s="60" customFormat="1">
      <c r="B252" s="90" t="s">
        <v>84</v>
      </c>
      <c r="C252" s="91"/>
      <c r="D252" s="91"/>
      <c r="E252" s="92"/>
      <c r="G252" s="138"/>
      <c r="H252" s="138"/>
    </row>
    <row r="253" spans="2:9" s="60" customFormat="1" ht="12.75" customHeight="1">
      <c r="B253" s="93"/>
      <c r="C253" s="194" t="s">
        <v>224</v>
      </c>
      <c r="D253" s="194"/>
      <c r="E253" s="195"/>
      <c r="G253" s="138"/>
      <c r="H253" s="138"/>
    </row>
    <row r="254" spans="2:9" s="60" customFormat="1" ht="90.4" customHeight="1">
      <c r="B254" s="93"/>
      <c r="C254" s="194"/>
      <c r="D254" s="194"/>
      <c r="E254" s="195"/>
      <c r="G254" s="138"/>
      <c r="H254" s="138"/>
    </row>
    <row r="255" spans="2:9" s="60" customFormat="1" ht="20.25" customHeight="1">
      <c r="B255" s="90" t="s">
        <v>85</v>
      </c>
      <c r="C255" s="91"/>
      <c r="D255" s="91"/>
      <c r="E255" s="92"/>
      <c r="G255" s="138"/>
      <c r="H255" s="138"/>
    </row>
    <row r="256" spans="2:9" s="60" customFormat="1" ht="33" customHeight="1">
      <c r="B256" s="93"/>
      <c r="C256" s="194" t="s">
        <v>149</v>
      </c>
      <c r="D256" s="194"/>
      <c r="E256" s="195"/>
      <c r="G256" s="138"/>
      <c r="H256" s="138"/>
    </row>
    <row r="257" spans="2:9" s="60" customFormat="1">
      <c r="B257" s="90" t="s">
        <v>150</v>
      </c>
      <c r="C257" s="94"/>
      <c r="D257" s="94"/>
      <c r="E257" s="128"/>
      <c r="G257" s="138"/>
      <c r="H257" s="138"/>
    </row>
    <row r="258" spans="2:9" s="60" customFormat="1" ht="5.25" customHeight="1">
      <c r="B258" s="93"/>
      <c r="C258" s="196"/>
      <c r="D258" s="196"/>
      <c r="E258" s="197"/>
      <c r="G258" s="138"/>
      <c r="H258" s="138"/>
    </row>
    <row r="259" spans="2:9" s="60" customFormat="1" ht="24" customHeight="1">
      <c r="B259" s="90" t="s">
        <v>86</v>
      </c>
      <c r="C259" s="91"/>
      <c r="D259" s="91"/>
      <c r="E259" s="92"/>
      <c r="G259" s="138"/>
      <c r="H259" s="138"/>
    </row>
    <row r="260" spans="2:9" s="60" customFormat="1" ht="36.75" customHeight="1">
      <c r="B260" s="90"/>
      <c r="C260" s="194" t="s">
        <v>159</v>
      </c>
      <c r="D260" s="198"/>
      <c r="E260" s="199"/>
      <c r="G260" s="138"/>
      <c r="H260" s="138"/>
    </row>
    <row r="261" spans="2:9" s="60" customFormat="1" ht="13.5" thickBot="1">
      <c r="B261" s="129"/>
      <c r="C261" s="95"/>
      <c r="D261" s="95"/>
      <c r="E261" s="96"/>
      <c r="G261" s="138"/>
      <c r="H261" s="138"/>
    </row>
    <row r="264" spans="2:9" ht="13.5" thickBot="1"/>
    <row r="265" spans="2:9" s="60" customFormat="1">
      <c r="B265" s="87" t="s">
        <v>210</v>
      </c>
      <c r="C265" s="88"/>
      <c r="D265" s="88"/>
      <c r="E265" s="89"/>
      <c r="G265" s="138"/>
      <c r="H265" s="138"/>
    </row>
    <row r="266" spans="2:9" s="60" customFormat="1" ht="21.2" customHeight="1">
      <c r="B266" s="125"/>
      <c r="C266" s="91"/>
      <c r="D266" s="91"/>
      <c r="E266" s="92"/>
      <c r="G266" s="138"/>
      <c r="H266" s="139"/>
      <c r="I266" s="75" t="s">
        <v>67</v>
      </c>
    </row>
    <row r="267" spans="2:9" s="60" customFormat="1" ht="15">
      <c r="B267" s="90" t="s">
        <v>83</v>
      </c>
      <c r="C267" s="91"/>
      <c r="D267" s="91"/>
      <c r="E267" s="92"/>
      <c r="G267" s="138"/>
      <c r="H267" s="138"/>
      <c r="I267" s="132"/>
    </row>
    <row r="268" spans="2:9" s="60" customFormat="1" ht="23.25" customHeight="1">
      <c r="B268" s="90"/>
      <c r="C268" s="194" t="s">
        <v>213</v>
      </c>
      <c r="D268" s="194"/>
      <c r="E268" s="195"/>
      <c r="G268" s="138"/>
      <c r="H268" s="138"/>
    </row>
    <row r="269" spans="2:9" s="60" customFormat="1" ht="18.75">
      <c r="B269" s="90"/>
      <c r="C269" s="194" t="s">
        <v>211</v>
      </c>
      <c r="D269" s="194"/>
      <c r="E269" s="195"/>
      <c r="G269" s="138"/>
      <c r="H269" s="138"/>
      <c r="I269" s="133"/>
    </row>
    <row r="270" spans="2:9" s="60" customFormat="1" ht="18.75">
      <c r="B270" s="90"/>
      <c r="C270" s="126" t="s">
        <v>222</v>
      </c>
      <c r="D270" s="126"/>
      <c r="E270" s="127"/>
      <c r="G270" s="138"/>
      <c r="H270" s="138"/>
      <c r="I270" s="133"/>
    </row>
    <row r="271" spans="2:9" s="60" customFormat="1" ht="18.75">
      <c r="B271" s="90"/>
      <c r="C271" s="194" t="s">
        <v>212</v>
      </c>
      <c r="D271" s="194"/>
      <c r="E271" s="195"/>
      <c r="G271" s="138"/>
      <c r="H271" s="138"/>
      <c r="I271" s="133"/>
    </row>
    <row r="272" spans="2:9" s="60" customFormat="1">
      <c r="B272" s="90"/>
      <c r="C272" s="194"/>
      <c r="D272" s="194"/>
      <c r="E272" s="195"/>
      <c r="G272" s="138"/>
      <c r="H272" s="138"/>
    </row>
    <row r="273" spans="2:9" s="60" customFormat="1">
      <c r="B273" s="90" t="s">
        <v>84</v>
      </c>
      <c r="C273" s="91"/>
      <c r="D273" s="91"/>
      <c r="E273" s="92"/>
      <c r="G273" s="138"/>
      <c r="H273" s="138"/>
    </row>
    <row r="274" spans="2:9" s="60" customFormat="1" ht="12.75" customHeight="1">
      <c r="B274" s="93"/>
      <c r="C274" s="194" t="s">
        <v>224</v>
      </c>
      <c r="D274" s="194"/>
      <c r="E274" s="195"/>
      <c r="G274" s="138"/>
      <c r="H274" s="138"/>
    </row>
    <row r="275" spans="2:9" s="60" customFormat="1" ht="98.1" customHeight="1">
      <c r="B275" s="93"/>
      <c r="C275" s="194"/>
      <c r="D275" s="194"/>
      <c r="E275" s="195"/>
      <c r="G275" s="138"/>
      <c r="H275" s="138"/>
    </row>
    <row r="276" spans="2:9" s="60" customFormat="1" ht="20.25" customHeight="1">
      <c r="B276" s="90" t="s">
        <v>85</v>
      </c>
      <c r="C276" s="91"/>
      <c r="D276" s="91"/>
      <c r="E276" s="92"/>
      <c r="G276" s="138"/>
      <c r="H276" s="138"/>
    </row>
    <row r="277" spans="2:9" s="60" customFormat="1" ht="33" customHeight="1">
      <c r="B277" s="93"/>
      <c r="C277" s="194" t="s">
        <v>149</v>
      </c>
      <c r="D277" s="194"/>
      <c r="E277" s="195"/>
      <c r="G277" s="138"/>
      <c r="H277" s="138"/>
    </row>
    <row r="278" spans="2:9" s="60" customFormat="1">
      <c r="B278" s="90" t="s">
        <v>150</v>
      </c>
      <c r="C278" s="94"/>
      <c r="D278" s="94"/>
      <c r="E278" s="128"/>
      <c r="G278" s="138"/>
      <c r="H278" s="138"/>
    </row>
    <row r="279" spans="2:9" s="60" customFormat="1" ht="5.25" customHeight="1">
      <c r="B279" s="93"/>
      <c r="C279" s="196"/>
      <c r="D279" s="196"/>
      <c r="E279" s="197"/>
      <c r="G279" s="138"/>
      <c r="H279" s="138"/>
    </row>
    <row r="280" spans="2:9" s="60" customFormat="1" ht="24" customHeight="1">
      <c r="B280" s="90" t="s">
        <v>86</v>
      </c>
      <c r="C280" s="91"/>
      <c r="D280" s="91"/>
      <c r="E280" s="92"/>
      <c r="G280" s="138"/>
      <c r="H280" s="138"/>
    </row>
    <row r="281" spans="2:9" s="60" customFormat="1" ht="36.75" customHeight="1">
      <c r="B281" s="90"/>
      <c r="C281" s="194" t="s">
        <v>159</v>
      </c>
      <c r="D281" s="198"/>
      <c r="E281" s="199"/>
      <c r="G281" s="138"/>
      <c r="H281" s="138"/>
    </row>
    <row r="282" spans="2:9" s="60" customFormat="1" ht="13.5" thickBot="1">
      <c r="B282" s="129"/>
      <c r="C282" s="95"/>
      <c r="D282" s="95"/>
      <c r="E282" s="96"/>
      <c r="G282" s="138"/>
      <c r="H282" s="138"/>
    </row>
    <row r="284" spans="2:9" ht="13.5" thickBot="1"/>
    <row r="285" spans="2:9" s="60" customFormat="1">
      <c r="B285" s="87" t="s">
        <v>214</v>
      </c>
      <c r="C285" s="88"/>
      <c r="D285" s="88"/>
      <c r="E285" s="89"/>
      <c r="G285" s="138"/>
      <c r="H285" s="138"/>
    </row>
    <row r="286" spans="2:9" s="60" customFormat="1" ht="15">
      <c r="B286" s="125"/>
      <c r="C286" s="91"/>
      <c r="D286" s="91"/>
      <c r="E286" s="92"/>
      <c r="G286" s="138"/>
      <c r="H286" s="139"/>
    </row>
    <row r="287" spans="2:9" s="60" customFormat="1" ht="63.75">
      <c r="B287" s="90" t="s">
        <v>83</v>
      </c>
      <c r="C287" s="91"/>
      <c r="D287" s="91"/>
      <c r="E287" s="92"/>
      <c r="G287" s="138"/>
      <c r="H287" s="138"/>
      <c r="I287" s="75" t="s">
        <v>68</v>
      </c>
    </row>
    <row r="288" spans="2:9" s="60" customFormat="1" ht="16.350000000000001" customHeight="1">
      <c r="B288" s="90"/>
      <c r="C288" s="194" t="s">
        <v>197</v>
      </c>
      <c r="D288" s="194"/>
      <c r="E288" s="195"/>
      <c r="G288" s="138"/>
      <c r="H288" s="138"/>
    </row>
    <row r="289" spans="2:9" s="60" customFormat="1" ht="28.35" customHeight="1">
      <c r="B289" s="90"/>
      <c r="C289" s="194" t="s">
        <v>215</v>
      </c>
      <c r="D289" s="194"/>
      <c r="E289" s="195"/>
      <c r="F289" s="60" t="s">
        <v>241</v>
      </c>
      <c r="G289" s="138"/>
      <c r="H289" s="138"/>
      <c r="I289" s="133"/>
    </row>
    <row r="290" spans="2:9" s="60" customFormat="1" ht="18.75">
      <c r="B290" s="90"/>
      <c r="C290" s="194" t="s">
        <v>216</v>
      </c>
      <c r="D290" s="194"/>
      <c r="E290" s="195"/>
      <c r="G290" s="138"/>
      <c r="H290" s="138"/>
      <c r="I290" s="133"/>
    </row>
    <row r="291" spans="2:9" s="60" customFormat="1" ht="18.75">
      <c r="B291" s="90"/>
      <c r="C291" s="194" t="s">
        <v>204</v>
      </c>
      <c r="D291" s="194"/>
      <c r="E291" s="195"/>
      <c r="G291" s="138"/>
      <c r="H291" s="138"/>
      <c r="I291" s="133"/>
    </row>
    <row r="292" spans="2:9" s="60" customFormat="1">
      <c r="B292" s="90"/>
      <c r="C292" s="194" t="s">
        <v>198</v>
      </c>
      <c r="D292" s="194"/>
      <c r="E292" s="195"/>
      <c r="G292" s="138"/>
      <c r="H292" s="138"/>
    </row>
    <row r="293" spans="2:9" s="60" customFormat="1">
      <c r="B293" s="90"/>
      <c r="C293" s="194"/>
      <c r="D293" s="194"/>
      <c r="E293" s="195"/>
      <c r="G293" s="138"/>
      <c r="H293" s="138"/>
    </row>
    <row r="294" spans="2:9" s="60" customFormat="1">
      <c r="B294" s="90" t="s">
        <v>84</v>
      </c>
      <c r="C294" s="91"/>
      <c r="D294" s="91"/>
      <c r="E294" s="92"/>
      <c r="G294" s="138"/>
      <c r="H294" s="138"/>
    </row>
    <row r="295" spans="2:9" s="60" customFormat="1" ht="12.75" customHeight="1">
      <c r="B295" s="93"/>
      <c r="C295" s="194" t="s">
        <v>224</v>
      </c>
      <c r="D295" s="194"/>
      <c r="E295" s="195"/>
      <c r="G295" s="138"/>
      <c r="H295" s="138"/>
    </row>
    <row r="296" spans="2:9" s="60" customFormat="1" ht="89.65" customHeight="1">
      <c r="B296" s="93"/>
      <c r="C296" s="194"/>
      <c r="D296" s="194"/>
      <c r="E296" s="195"/>
      <c r="G296" s="138"/>
      <c r="H296" s="138"/>
    </row>
    <row r="297" spans="2:9" s="60" customFormat="1" ht="20.25" customHeight="1">
      <c r="B297" s="90" t="s">
        <v>85</v>
      </c>
      <c r="C297" s="91"/>
      <c r="D297" s="91"/>
      <c r="E297" s="92"/>
      <c r="G297" s="138"/>
      <c r="H297" s="138"/>
    </row>
    <row r="298" spans="2:9" s="60" customFormat="1" ht="33" customHeight="1">
      <c r="B298" s="93"/>
      <c r="C298" s="194" t="s">
        <v>149</v>
      </c>
      <c r="D298" s="194"/>
      <c r="E298" s="195"/>
      <c r="G298" s="138"/>
      <c r="H298" s="138"/>
    </row>
    <row r="299" spans="2:9" s="60" customFormat="1">
      <c r="B299" s="90" t="s">
        <v>150</v>
      </c>
      <c r="C299" s="94"/>
      <c r="D299" s="94"/>
      <c r="E299" s="128"/>
      <c r="G299" s="138"/>
      <c r="H299" s="138"/>
    </row>
    <row r="300" spans="2:9" s="60" customFormat="1" ht="5.25" customHeight="1">
      <c r="B300" s="93"/>
      <c r="C300" s="196"/>
      <c r="D300" s="196"/>
      <c r="E300" s="197"/>
      <c r="G300" s="138"/>
      <c r="H300" s="138"/>
    </row>
    <row r="301" spans="2:9" s="60" customFormat="1" ht="24" customHeight="1">
      <c r="B301" s="90" t="s">
        <v>86</v>
      </c>
      <c r="C301" s="91"/>
      <c r="D301" s="91"/>
      <c r="E301" s="92"/>
      <c r="G301" s="138"/>
      <c r="H301" s="138"/>
    </row>
    <row r="302" spans="2:9" s="60" customFormat="1" ht="36.75" customHeight="1">
      <c r="B302" s="90"/>
      <c r="C302" s="194" t="s">
        <v>159</v>
      </c>
      <c r="D302" s="198"/>
      <c r="E302" s="199"/>
      <c r="G302" s="138"/>
      <c r="H302" s="138"/>
    </row>
    <row r="303" spans="2:9" s="60" customFormat="1" ht="13.5" thickBot="1">
      <c r="B303" s="129"/>
      <c r="C303" s="95"/>
      <c r="D303" s="95"/>
      <c r="E303" s="96"/>
      <c r="G303" s="138"/>
      <c r="H303" s="138"/>
    </row>
    <row r="305" spans="2:9" ht="13.5" thickBot="1"/>
    <row r="306" spans="2:9">
      <c r="B306" s="87" t="s">
        <v>217</v>
      </c>
      <c r="C306" s="88"/>
      <c r="D306" s="88"/>
      <c r="E306" s="89"/>
    </row>
    <row r="307" spans="2:9">
      <c r="B307" s="125"/>
      <c r="C307" s="91"/>
      <c r="D307" s="91"/>
      <c r="E307" s="92"/>
      <c r="I307" t="s">
        <v>69</v>
      </c>
    </row>
    <row r="308" spans="2:9">
      <c r="B308" s="90" t="s">
        <v>83</v>
      </c>
      <c r="C308" s="91"/>
      <c r="D308" s="91"/>
      <c r="E308" s="92"/>
    </row>
    <row r="309" spans="2:9" ht="15.6" customHeight="1">
      <c r="B309" s="90"/>
      <c r="C309" s="194" t="s">
        <v>218</v>
      </c>
      <c r="D309" s="194"/>
      <c r="E309" s="195"/>
    </row>
    <row r="310" spans="2:9" ht="18.399999999999999" customHeight="1">
      <c r="B310" s="90"/>
      <c r="C310" s="194" t="s">
        <v>219</v>
      </c>
      <c r="D310" s="194"/>
      <c r="E310" s="195"/>
    </row>
    <row r="311" spans="2:9" ht="16.350000000000001" customHeight="1">
      <c r="B311" s="90"/>
      <c r="C311" s="194" t="s">
        <v>220</v>
      </c>
      <c r="D311" s="194"/>
      <c r="E311" s="195"/>
    </row>
    <row r="312" spans="2:9" ht="14.85" customHeight="1">
      <c r="B312" s="90"/>
      <c r="C312" s="194" t="s">
        <v>221</v>
      </c>
      <c r="D312" s="194"/>
      <c r="E312" s="195"/>
    </row>
    <row r="313" spans="2:9">
      <c r="B313" s="90"/>
      <c r="C313" s="194"/>
      <c r="D313" s="194"/>
      <c r="E313" s="195"/>
    </row>
    <row r="314" spans="2:9">
      <c r="B314" s="90" t="s">
        <v>84</v>
      </c>
      <c r="C314" s="91"/>
      <c r="D314" s="91"/>
      <c r="E314" s="92"/>
    </row>
    <row r="315" spans="2:9" ht="120.75" customHeight="1">
      <c r="B315" s="93"/>
      <c r="C315" s="194" t="s">
        <v>224</v>
      </c>
      <c r="D315" s="194"/>
      <c r="E315" s="195"/>
    </row>
    <row r="316" spans="2:9">
      <c r="B316" s="93"/>
      <c r="C316" s="194"/>
      <c r="D316" s="194"/>
      <c r="E316" s="195"/>
    </row>
    <row r="317" spans="2:9">
      <c r="B317" s="90" t="s">
        <v>85</v>
      </c>
      <c r="C317" s="91"/>
      <c r="D317" s="91"/>
      <c r="E317" s="92"/>
    </row>
    <row r="318" spans="2:9" ht="33.200000000000003" customHeight="1">
      <c r="B318" s="93"/>
      <c r="C318" s="194" t="s">
        <v>149</v>
      </c>
      <c r="D318" s="194"/>
      <c r="E318" s="195"/>
    </row>
    <row r="319" spans="2:9">
      <c r="B319" s="90" t="s">
        <v>150</v>
      </c>
      <c r="C319" s="94"/>
      <c r="D319" s="94"/>
      <c r="E319" s="128"/>
    </row>
    <row r="320" spans="2:9">
      <c r="B320" s="93"/>
      <c r="C320" s="196"/>
      <c r="D320" s="196"/>
      <c r="E320" s="197"/>
    </row>
    <row r="321" spans="2:5">
      <c r="B321" s="90" t="s">
        <v>86</v>
      </c>
      <c r="C321" s="91"/>
      <c r="D321" s="91"/>
      <c r="E321" s="92"/>
    </row>
    <row r="322" spans="2:5">
      <c r="B322" s="90"/>
      <c r="C322" s="194" t="s">
        <v>159</v>
      </c>
      <c r="D322" s="198"/>
      <c r="E322" s="199"/>
    </row>
    <row r="323" spans="2:5" ht="13.5" thickBot="1">
      <c r="B323" s="129"/>
      <c r="C323" s="95"/>
      <c r="D323" s="95"/>
      <c r="E323" s="96"/>
    </row>
  </sheetData>
  <mergeCells count="164">
    <mergeCell ref="C290:E290"/>
    <mergeCell ref="C291:E291"/>
    <mergeCell ref="C292:E292"/>
    <mergeCell ref="C272:E272"/>
    <mergeCell ref="C274:E275"/>
    <mergeCell ref="C277:E277"/>
    <mergeCell ref="C279:E279"/>
    <mergeCell ref="C281:E281"/>
    <mergeCell ref="C302:E302"/>
    <mergeCell ref="C293:E293"/>
    <mergeCell ref="C295:E296"/>
    <mergeCell ref="C298:E298"/>
    <mergeCell ref="C300:E300"/>
    <mergeCell ref="C256:E256"/>
    <mergeCell ref="C258:E258"/>
    <mergeCell ref="C260:E260"/>
    <mergeCell ref="C268:E268"/>
    <mergeCell ref="C251:E251"/>
    <mergeCell ref="C269:E269"/>
    <mergeCell ref="C271:E271"/>
    <mergeCell ref="C288:E288"/>
    <mergeCell ref="C289:E289"/>
    <mergeCell ref="C248:E248"/>
    <mergeCell ref="C249:E249"/>
    <mergeCell ref="C250:E250"/>
    <mergeCell ref="C234:E234"/>
    <mergeCell ref="C236:E236"/>
    <mergeCell ref="C238:E238"/>
    <mergeCell ref="C245:E245"/>
    <mergeCell ref="C246:E246"/>
    <mergeCell ref="C253:E254"/>
    <mergeCell ref="C225:E225"/>
    <mergeCell ref="C226:E226"/>
    <mergeCell ref="C210:E211"/>
    <mergeCell ref="C213:E213"/>
    <mergeCell ref="C231:E232"/>
    <mergeCell ref="C227:E227"/>
    <mergeCell ref="C228:E228"/>
    <mergeCell ref="C229:E229"/>
    <mergeCell ref="C247:E247"/>
    <mergeCell ref="C208:E208"/>
    <mergeCell ref="C196:E196"/>
    <mergeCell ref="C203:E203"/>
    <mergeCell ref="C204:E204"/>
    <mergeCell ref="C205:E205"/>
    <mergeCell ref="C206:E206"/>
    <mergeCell ref="C215:E215"/>
    <mergeCell ref="C217:E217"/>
    <mergeCell ref="C224:E224"/>
    <mergeCell ref="C187:E187"/>
    <mergeCell ref="C189:E190"/>
    <mergeCell ref="C192:E192"/>
    <mergeCell ref="C194:E194"/>
    <mergeCell ref="C183:E183"/>
    <mergeCell ref="C184:E184"/>
    <mergeCell ref="C185:E185"/>
    <mergeCell ref="C186:E186"/>
    <mergeCell ref="C207:E207"/>
    <mergeCell ref="C162:E162"/>
    <mergeCell ref="C163:E163"/>
    <mergeCell ref="C164:E164"/>
    <mergeCell ref="C159:E159"/>
    <mergeCell ref="C181:E181"/>
    <mergeCell ref="C182:E182"/>
    <mergeCell ref="C165:E165"/>
    <mergeCell ref="C167:E168"/>
    <mergeCell ref="C170:E170"/>
    <mergeCell ref="C172:E172"/>
    <mergeCell ref="C174:E174"/>
    <mergeCell ref="B177:I177"/>
    <mergeCell ref="C149:E149"/>
    <mergeCell ref="C151:E151"/>
    <mergeCell ref="C158:E158"/>
    <mergeCell ref="C140:E140"/>
    <mergeCell ref="C141:E141"/>
    <mergeCell ref="C142:E142"/>
    <mergeCell ref="B153:I153"/>
    <mergeCell ref="C160:E160"/>
    <mergeCell ref="C161:E161"/>
    <mergeCell ref="C137:E137"/>
    <mergeCell ref="C138:E138"/>
    <mergeCell ref="C139:E139"/>
    <mergeCell ref="C126:E126"/>
    <mergeCell ref="C128:E128"/>
    <mergeCell ref="C130:E130"/>
    <mergeCell ref="C136:E136"/>
    <mergeCell ref="C144:E145"/>
    <mergeCell ref="C147:E147"/>
    <mergeCell ref="C118:E118"/>
    <mergeCell ref="C119:E119"/>
    <mergeCell ref="C120:E120"/>
    <mergeCell ref="C121:E121"/>
    <mergeCell ref="C123:E124"/>
    <mergeCell ref="C114:E114"/>
    <mergeCell ref="C115:E115"/>
    <mergeCell ref="C116:E116"/>
    <mergeCell ref="C117:E117"/>
    <mergeCell ref="C105:E105"/>
    <mergeCell ref="C111:E111"/>
    <mergeCell ref="C112:E112"/>
    <mergeCell ref="C113:E113"/>
    <mergeCell ref="C94:E94"/>
    <mergeCell ref="C95:E95"/>
    <mergeCell ref="C96:E96"/>
    <mergeCell ref="C98:E99"/>
    <mergeCell ref="C101:E101"/>
    <mergeCell ref="B107:I107"/>
    <mergeCell ref="C70:E70"/>
    <mergeCell ref="C91:E91"/>
    <mergeCell ref="C92:E92"/>
    <mergeCell ref="C93:E93"/>
    <mergeCell ref="C81:E81"/>
    <mergeCell ref="C88:E88"/>
    <mergeCell ref="C89:E89"/>
    <mergeCell ref="C90:E90"/>
    <mergeCell ref="C103:E103"/>
    <mergeCell ref="B1:H1"/>
    <mergeCell ref="A2:B2"/>
    <mergeCell ref="C2:E2"/>
    <mergeCell ref="A3:B3"/>
    <mergeCell ref="C3:E3"/>
    <mergeCell ref="A4:B4"/>
    <mergeCell ref="C309:E309"/>
    <mergeCell ref="B23:I23"/>
    <mergeCell ref="B25:I25"/>
    <mergeCell ref="B28:I28"/>
    <mergeCell ref="C46:E46"/>
    <mergeCell ref="C48:E49"/>
    <mergeCell ref="C51:E51"/>
    <mergeCell ref="C53:E53"/>
    <mergeCell ref="C55:E55"/>
    <mergeCell ref="C35:E35"/>
    <mergeCell ref="C40:E40"/>
    <mergeCell ref="C36:E36"/>
    <mergeCell ref="C39:E39"/>
    <mergeCell ref="C41:E41"/>
    <mergeCell ref="C63:E63"/>
    <mergeCell ref="C64:E64"/>
    <mergeCell ref="C65:E65"/>
    <mergeCell ref="C66:E66"/>
    <mergeCell ref="C310:E310"/>
    <mergeCell ref="C311:E311"/>
    <mergeCell ref="C312:E312"/>
    <mergeCell ref="C313:E313"/>
    <mergeCell ref="C315:E316"/>
    <mergeCell ref="C318:E318"/>
    <mergeCell ref="C320:E320"/>
    <mergeCell ref="C322:E322"/>
    <mergeCell ref="A5:B5"/>
    <mergeCell ref="A20:H20"/>
    <mergeCell ref="C67:E67"/>
    <mergeCell ref="C42:E42"/>
    <mergeCell ref="C37:E37"/>
    <mergeCell ref="C38:E38"/>
    <mergeCell ref="C45:E45"/>
    <mergeCell ref="C44:E44"/>
    <mergeCell ref="C43:E43"/>
    <mergeCell ref="C71:E71"/>
    <mergeCell ref="C72:E72"/>
    <mergeCell ref="C74:E75"/>
    <mergeCell ref="C77:E77"/>
    <mergeCell ref="C79:E79"/>
    <mergeCell ref="C68:E68"/>
    <mergeCell ref="C69:E69"/>
  </mergeCell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6:H71"/>
  <sheetViews>
    <sheetView topLeftCell="A2" workbookViewId="0">
      <selection activeCell="D8" sqref="D8"/>
    </sheetView>
  </sheetViews>
  <sheetFormatPr baseColWidth="10" defaultRowHeight="12.75"/>
  <sheetData>
    <row r="6" spans="4:8" ht="15.75">
      <c r="D6" s="112" t="s">
        <v>93</v>
      </c>
    </row>
    <row r="7" spans="4:8">
      <c r="D7" s="113"/>
    </row>
    <row r="8" spans="4:8" ht="409.5">
      <c r="D8" s="114" t="s">
        <v>94</v>
      </c>
    </row>
    <row r="9" spans="4:8" ht="126">
      <c r="D9" s="114" t="s">
        <v>95</v>
      </c>
    </row>
    <row r="10" spans="4:8" ht="346.5">
      <c r="D10" s="114" t="s">
        <v>96</v>
      </c>
    </row>
    <row r="11" spans="4:8" ht="47.25">
      <c r="D11" s="114" t="s">
        <v>97</v>
      </c>
    </row>
    <row r="12" spans="4:8" ht="173.25">
      <c r="D12" s="114" t="s">
        <v>98</v>
      </c>
    </row>
    <row r="13" spans="4:8" ht="94.5">
      <c r="D13" s="114" t="s">
        <v>99</v>
      </c>
    </row>
    <row r="14" spans="4:8" ht="409.5">
      <c r="D14" s="114" t="s">
        <v>100</v>
      </c>
    </row>
    <row r="15" spans="4:8" ht="16.5" thickBot="1">
      <c r="D15" s="114"/>
    </row>
    <row r="16" spans="4:8" ht="43.5" thickBot="1">
      <c r="D16" s="115" t="s">
        <v>1</v>
      </c>
      <c r="E16" s="116" t="s">
        <v>2</v>
      </c>
      <c r="F16" s="116" t="s">
        <v>3</v>
      </c>
      <c r="G16" s="116" t="s">
        <v>4</v>
      </c>
      <c r="H16" s="116" t="s">
        <v>5</v>
      </c>
    </row>
    <row r="17" spans="4:8" ht="153.75" thickBot="1">
      <c r="D17" s="117">
        <v>1</v>
      </c>
      <c r="E17" s="118" t="s">
        <v>101</v>
      </c>
      <c r="F17" s="119" t="s">
        <v>102</v>
      </c>
      <c r="G17" s="118" t="s">
        <v>103</v>
      </c>
      <c r="H17" s="120">
        <v>10</v>
      </c>
    </row>
    <row r="18" spans="4:8" ht="102.75" thickBot="1">
      <c r="D18" s="117">
        <v>2</v>
      </c>
      <c r="E18" s="121" t="s">
        <v>104</v>
      </c>
      <c r="F18" s="119" t="s">
        <v>105</v>
      </c>
      <c r="G18" s="118" t="s">
        <v>103</v>
      </c>
      <c r="H18" s="120">
        <v>10</v>
      </c>
    </row>
    <row r="19" spans="4:8" ht="13.5" thickBot="1">
      <c r="D19" s="117"/>
      <c r="E19" s="122"/>
      <c r="F19" s="123"/>
      <c r="G19" s="118"/>
      <c r="H19" s="120"/>
    </row>
    <row r="20" spans="4:8" ht="13.5" thickBot="1">
      <c r="D20" s="117"/>
      <c r="E20" s="122"/>
      <c r="F20" s="123"/>
      <c r="G20" s="118"/>
      <c r="H20" s="120"/>
    </row>
    <row r="21" spans="4:8" ht="13.5" thickBot="1">
      <c r="D21" s="117"/>
      <c r="E21" s="122"/>
      <c r="F21" s="123"/>
      <c r="G21" s="118"/>
      <c r="H21" s="120"/>
    </row>
    <row r="22" spans="4:8" ht="13.5" thickBot="1">
      <c r="D22" s="117"/>
      <c r="E22" s="122"/>
      <c r="F22" s="123"/>
      <c r="G22" s="118"/>
      <c r="H22" s="120"/>
    </row>
    <row r="23" spans="4:8" ht="128.25" thickBot="1">
      <c r="D23" s="117">
        <v>3</v>
      </c>
      <c r="E23" s="122" t="s">
        <v>106</v>
      </c>
      <c r="F23" s="123" t="s">
        <v>107</v>
      </c>
      <c r="G23" s="118" t="s">
        <v>103</v>
      </c>
      <c r="H23" s="120">
        <v>10</v>
      </c>
    </row>
    <row r="24" spans="4:8" ht="15.75">
      <c r="D24" s="114"/>
    </row>
    <row r="25" spans="4:8" ht="15.75">
      <c r="D25" s="114"/>
    </row>
    <row r="26" spans="4:8" ht="15.75">
      <c r="D26" s="114"/>
    </row>
    <row r="27" spans="4:8" ht="15.75">
      <c r="D27" s="114"/>
    </row>
    <row r="28" spans="4:8" ht="15.75">
      <c r="D28" s="114"/>
    </row>
    <row r="29" spans="4:8" ht="15.75">
      <c r="D29" s="114"/>
    </row>
    <row r="30" spans="4:8" ht="15.75">
      <c r="D30" s="114"/>
    </row>
    <row r="31" spans="4:8" ht="15.75">
      <c r="D31" s="114"/>
    </row>
    <row r="32" spans="4:8" ht="63">
      <c r="D32" s="124" t="s">
        <v>108</v>
      </c>
    </row>
    <row r="33" spans="4:4" ht="94.5">
      <c r="D33" s="114" t="s">
        <v>109</v>
      </c>
    </row>
    <row r="34" spans="4:4" ht="141.75">
      <c r="D34" s="114" t="s">
        <v>110</v>
      </c>
    </row>
    <row r="35" spans="4:4" ht="157.5">
      <c r="D35" s="114" t="s">
        <v>111</v>
      </c>
    </row>
    <row r="36" spans="4:4" ht="173.25">
      <c r="D36" s="114" t="s">
        <v>112</v>
      </c>
    </row>
    <row r="37" spans="4:4" ht="15.75">
      <c r="D37" s="114" t="s">
        <v>113</v>
      </c>
    </row>
    <row r="38" spans="4:4" ht="78.75">
      <c r="D38" s="114" t="s">
        <v>114</v>
      </c>
    </row>
    <row r="39" spans="4:4" ht="157.5">
      <c r="D39" s="114" t="s">
        <v>115</v>
      </c>
    </row>
    <row r="40" spans="4:4" ht="141.75">
      <c r="D40" s="114" t="s">
        <v>116</v>
      </c>
    </row>
    <row r="41" spans="4:4" ht="236.25">
      <c r="D41" s="114" t="s">
        <v>117</v>
      </c>
    </row>
    <row r="42" spans="4:4" ht="31.5">
      <c r="D42" s="114" t="s">
        <v>118</v>
      </c>
    </row>
    <row r="43" spans="4:4" ht="94.5">
      <c r="D43" s="114" t="s">
        <v>119</v>
      </c>
    </row>
    <row r="44" spans="4:4" ht="94.5">
      <c r="D44" s="114" t="s">
        <v>120</v>
      </c>
    </row>
    <row r="45" spans="4:4" ht="283.5">
      <c r="D45" s="114" t="s">
        <v>121</v>
      </c>
    </row>
    <row r="46" spans="4:4" ht="15.75">
      <c r="D46" s="114"/>
    </row>
    <row r="47" spans="4:4" ht="63">
      <c r="D47" s="124" t="s">
        <v>122</v>
      </c>
    </row>
    <row r="48" spans="4:4" ht="157.5">
      <c r="D48" s="114" t="s">
        <v>123</v>
      </c>
    </row>
    <row r="49" spans="4:4" ht="94.5">
      <c r="D49" s="114" t="s">
        <v>124</v>
      </c>
    </row>
    <row r="50" spans="4:4" ht="409.5">
      <c r="D50" s="114" t="s">
        <v>125</v>
      </c>
    </row>
    <row r="51" spans="4:4" ht="126">
      <c r="D51" s="114" t="s">
        <v>126</v>
      </c>
    </row>
    <row r="52" spans="4:4" ht="94.5">
      <c r="D52" s="114" t="s">
        <v>127</v>
      </c>
    </row>
    <row r="53" spans="4:4" ht="157.5">
      <c r="D53" s="114" t="s">
        <v>128</v>
      </c>
    </row>
    <row r="54" spans="4:4" ht="63">
      <c r="D54" s="114" t="s">
        <v>129</v>
      </c>
    </row>
    <row r="55" spans="4:4" ht="173.25">
      <c r="D55" s="114" t="s">
        <v>130</v>
      </c>
    </row>
    <row r="56" spans="4:4" ht="189">
      <c r="D56" s="114" t="s">
        <v>131</v>
      </c>
    </row>
    <row r="57" spans="4:4" ht="110.25">
      <c r="D57" s="114" t="s">
        <v>132</v>
      </c>
    </row>
    <row r="58" spans="4:4" ht="267.75">
      <c r="D58" s="114" t="s">
        <v>133</v>
      </c>
    </row>
    <row r="59" spans="4:4" ht="409.5">
      <c r="D59" s="114" t="s">
        <v>134</v>
      </c>
    </row>
    <row r="60" spans="4:4" ht="47.25">
      <c r="D60" s="114" t="s">
        <v>135</v>
      </c>
    </row>
    <row r="61" spans="4:4" ht="283.5">
      <c r="D61" s="114" t="s">
        <v>121</v>
      </c>
    </row>
    <row r="62" spans="4:4" ht="63">
      <c r="D62" s="124" t="s">
        <v>136</v>
      </c>
    </row>
    <row r="63" spans="4:4" ht="330.75">
      <c r="D63" s="114" t="s">
        <v>137</v>
      </c>
    </row>
    <row r="64" spans="4:4" ht="220.5">
      <c r="D64" s="114" t="s">
        <v>138</v>
      </c>
    </row>
    <row r="65" spans="4:4" ht="78.75">
      <c r="D65" s="114" t="s">
        <v>139</v>
      </c>
    </row>
    <row r="66" spans="4:4" ht="47.25">
      <c r="D66" s="114" t="s">
        <v>140</v>
      </c>
    </row>
    <row r="67" spans="4:4" ht="189">
      <c r="D67" s="114" t="s">
        <v>141</v>
      </c>
    </row>
    <row r="68" spans="4:4" ht="110.25">
      <c r="D68" s="114" t="s">
        <v>142</v>
      </c>
    </row>
    <row r="69" spans="4:4" ht="78.75">
      <c r="D69" s="114" t="s">
        <v>143</v>
      </c>
    </row>
    <row r="70" spans="4:4" ht="315">
      <c r="D70" s="114" t="s">
        <v>144</v>
      </c>
    </row>
    <row r="71" spans="4:4" ht="283.5">
      <c r="D71" s="114"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NOTA PEDIDO</vt:lpstr>
      <vt:lpstr>APG</vt:lpstr>
      <vt:lpstr>NEC TRIM</vt:lpstr>
      <vt:lpstr>Hoja1</vt:lpstr>
      <vt:lpstr>APG!Área_de_impresión</vt:lpstr>
      <vt:lpstr>'NOTA PEDIDO'!Área_de_impresión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JIMENA GRIMA</cp:lastModifiedBy>
  <cp:revision>2</cp:revision>
  <cp:lastPrinted>2022-10-14T12:22:55Z</cp:lastPrinted>
  <dcterms:created xsi:type="dcterms:W3CDTF">2020-07-17T23:44:49Z</dcterms:created>
  <dcterms:modified xsi:type="dcterms:W3CDTF">2022-10-19T15:28:50Z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