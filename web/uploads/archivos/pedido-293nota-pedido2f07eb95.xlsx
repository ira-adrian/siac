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terapia respiratoria\HSJB\"/>
    </mc:Choice>
  </mc:AlternateContent>
  <xr:revisionPtr revIDLastSave="0" documentId="8_{D358ABA9-8A85-4697-9940-50213A1696C2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Gastar'!$A$1:$Q$24</definedName>
    <definedName name="_xlnm.Print_Area" localSheetId="1">NotaPedido!$A$1:$K$16</definedName>
  </definedNames>
  <calcPr calcId="181029"/>
</workbook>
</file>

<file path=xl/calcChain.xml><?xml version="1.0" encoding="utf-8"?>
<calcChain xmlns="http://schemas.openxmlformats.org/spreadsheetml/2006/main">
  <c r="B15" i="2" l="1"/>
  <c r="A23" i="3"/>
  <c r="A10" i="3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3" i="1"/>
  <c r="I12" i="1"/>
  <c r="I11" i="1"/>
  <c r="I10" i="1"/>
  <c r="J16" i="2" l="1"/>
  <c r="G6" i="3" l="1"/>
  <c r="G7" i="3"/>
  <c r="D7" i="2"/>
  <c r="D3" i="2"/>
  <c r="G4" i="3" s="1"/>
  <c r="D4" i="2"/>
  <c r="G5" i="3" s="1"/>
  <c r="D1" i="3" l="1"/>
  <c r="Q20" i="3"/>
</calcChain>
</file>

<file path=xl/sharedStrings.xml><?xml version="1.0" encoding="utf-8"?>
<sst xmlns="http://schemas.openxmlformats.org/spreadsheetml/2006/main" count="98" uniqueCount="81">
  <si>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</si>
  <si>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</si>
  <si>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</si>
  <si>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</si>
  <si>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</si>
  <si>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</si>
  <si>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</si>
  <si>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</si>
  <si>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</si>
  <si>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</si>
  <si>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</si>
  <si>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</si>
  <si>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</si>
  <si>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</si>
  <si>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</si>
  <si>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</si>
  <si>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</si>
  <si>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</si>
  <si>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</si>
  <si>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</si>
  <si>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</si>
  <si>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</si>
  <si>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</si>
  <si>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</si>
  <si>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</si>
  <si>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</si>
  <si>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</si>
  <si>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</si>
  <si>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</si>
  <si>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</si>
  <si>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</si>
  <si>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</si>
  <si>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</si>
  <si>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</si>
  <si>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</si>
  <si>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</si>
  <si>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</si>
  <si>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</si>
  <si>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</si>
  <si>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</si>
  <si>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</si>
  <si>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</si>
  <si>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</si>
  <si>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</si>
  <si>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</si>
  <si>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</si>
  <si>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</si>
  <si>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</si>
  <si>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</si>
  <si>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</si>
  <si>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</si>
  <si>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</si>
  <si>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</si>
  <si>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</si>
  <si>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</si>
  <si>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</si>
  <si>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</si>
  <si>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</si>
  <si>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</si>
  <si>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</si>
  <si>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</si>
  <si>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</si>
  <si>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 xml:space="preserve">45 dias habiles </t>
  </si>
  <si>
    <t>3.1</t>
  </si>
  <si>
    <t>1.1</t>
  </si>
  <si>
    <t>Utiles Menores Med. Quir. y de Lab.</t>
  </si>
  <si>
    <t xml:space="preserve">Adquisición de Insumos para Terapia Respiratoria </t>
  </si>
  <si>
    <t>CANULA PARA TRAQUEOSTOMIA Nº 7 CON BALON</t>
  </si>
  <si>
    <t>Mascara facial para ventilación N°  4, adulto completa con valvula</t>
  </si>
  <si>
    <t>MASCARA PARA NEBULIZAR ADULTO COMPLETA MASCARA+PIPETA+TUBULADURA</t>
  </si>
  <si>
    <t>RESUCITADOR MANUAL ADULTO REUTILIZABLE</t>
  </si>
  <si>
    <t>2.9.5</t>
  </si>
  <si>
    <t>UNIDAD</t>
  </si>
  <si>
    <t>UT.MENORES MED.QUIR. Y DE LAB.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</si>
  <si>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</si>
  <si>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</si>
  <si>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 xml:space="preserve">PLAZO DE ENTREGA: 20 DIAS CORRIDOS - SERVICIO DE FARMACIA - ADVA. ILLIA Y MARIANO MORENO - DE LUNES A VIERNES DE 08:00 A 11:00 HORAS </t>
  </si>
  <si>
    <t>20 dias corridos  - Servicio de Farmacia del HISJB</t>
  </si>
  <si>
    <t>Costo total estimado: CIENTO SETENTA Y CINCO MIL QUINIENTOS CON 00/100.----</t>
  </si>
  <si>
    <t>TOTAL DE PESOS: CIENTO SETENTA Y CINCO MIL QUINIENTOS CON 00/100.----</t>
  </si>
  <si>
    <t>DOCFI-2022-00884871-CAT-DASIS#HSJB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</si>
</sst>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b/>
      <sz val="10"/>
      <name val="Times New Roman"/>
      <family val="1"/>
      <charset val="1"/>
    </font>
    <font>
      <sz val="9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5" fillId="6" borderId="14" xfId="0" applyFont="1" applyFill="1" applyBorder="1" applyAlignment="1">
      <alignment vertical="center"/>
    </xf>
    <xf numFmtId="3" fontId="14" fillId="5" borderId="14" xfId="0" applyNumberFormat="1" applyFont="1" applyFill="1" applyBorder="1" applyAlignment="1">
      <alignment horizontal="center" vertical="center"/>
    </xf>
    <xf numFmtId="44" fontId="14" fillId="5" borderId="14" xfId="1" applyNumberFormat="1" applyFont="1" applyFill="1" applyBorder="1" applyAlignment="1">
      <alignment horizontal="center"/>
    </xf>
    <xf numFmtId="0" fontId="14" fillId="6" borderId="14" xfId="0" applyFont="1" applyFill="1" applyBorder="1" applyAlignment="1">
      <alignment vertical="center" wrapText="1"/>
    </xf>
    <xf numFmtId="0" fontId="26" fillId="4" borderId="11" xfId="0" applyFont="1" applyFill="1" applyBorder="1" applyAlignment="1">
      <alignment horizontal="center" vertical="center"/>
    </xf>
    <xf numFmtId="0" fontId="27" fillId="0" borderId="0" xfId="0" applyFont="1" applyBorder="1" applyAlignment="1">
      <alignment vertic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21" fillId="7" borderId="20" xfId="0" applyFont="1" applyFill="1" applyBorder="1" applyAlignment="1">
      <alignment horizontal="center" vertical="center" wrapText="1"/>
    </xf>
    <xf numFmtId="0" fontId="21" fillId="7" borderId="48" xfId="0" applyFont="1" applyFill="1" applyBorder="1" applyAlignment="1">
      <alignment horizontal="center" vertical="center" wrapText="1"/>
    </xf>
    <xf numFmtId="0" fontId="21" fillId="7" borderId="21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/>
    </xf>
    <xf numFmtId="0" fontId="15" fillId="7" borderId="48" xfId="0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center" vertical="center" wrapText="1"/>
    </xf>
    <xf numFmtId="0" fontId="15" fillId="7" borderId="48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2"/>
  <sheetViews>
    <sheetView zoomScale="85" zoomScaleNormal="85" workbookViewId="0">
      <selection activeCell="C5" sqref="C5:E5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7" t="s">
        <v>0</v>
      </c>
      <c r="C2" s="97"/>
      <c r="D2" s="97"/>
      <c r="E2" s="97"/>
      <c r="F2" s="97"/>
      <c r="G2" s="97"/>
      <c r="H2" s="97"/>
    </row>
    <row r="4" spans="1:9" ht="18" customHeight="1" x14ac:dyDescent="0.25">
      <c r="A4" s="85" t="s">
        <v>1</v>
      </c>
      <c r="B4" s="85"/>
      <c r="C4" s="98" t="s">
        <v>58</v>
      </c>
      <c r="D4" s="98"/>
      <c r="E4" s="98"/>
      <c r="F4" s="40"/>
      <c r="G4" s="41"/>
      <c r="H4" s="40"/>
    </row>
    <row r="5" spans="1:9" ht="18" customHeight="1" x14ac:dyDescent="0.25">
      <c r="A5" s="85" t="s">
        <v>2</v>
      </c>
      <c r="B5" s="85"/>
      <c r="C5" s="98" t="s">
        <v>59</v>
      </c>
      <c r="D5" s="98"/>
      <c r="E5" s="98"/>
      <c r="F5" s="40"/>
      <c r="G5" s="41"/>
      <c r="H5" s="40"/>
    </row>
    <row r="6" spans="1:9" ht="16.5" customHeight="1" x14ac:dyDescent="0.25">
      <c r="A6" s="85" t="s">
        <v>3</v>
      </c>
      <c r="B6" s="85"/>
      <c r="C6" s="61">
        <v>2022</v>
      </c>
      <c r="D6" s="62"/>
      <c r="E6" s="62"/>
      <c r="F6" s="40"/>
      <c r="G6" s="41"/>
      <c r="H6" s="40"/>
    </row>
    <row r="7" spans="1:9" ht="16.5" customHeight="1" x14ac:dyDescent="0.25">
      <c r="A7" s="85" t="s">
        <v>4</v>
      </c>
      <c r="B7" s="85"/>
      <c r="C7" s="61">
        <v>2</v>
      </c>
      <c r="D7" s="62"/>
      <c r="E7" s="62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59"/>
      <c r="C10" s="57" t="s">
        <v>73</v>
      </c>
      <c r="D10" s="58" t="s">
        <v>71</v>
      </c>
      <c r="E10" s="76" t="s">
        <v>67</v>
      </c>
      <c r="F10" s="59" t="s">
        <v>72</v>
      </c>
      <c r="G10" s="77">
        <v>15</v>
      </c>
      <c r="H10" s="78">
        <v>960</v>
      </c>
      <c r="I10" s="60">
        <f t="shared" ref="I10:I13" si="0">G10*H10</f>
        <v>14400</v>
      </c>
    </row>
    <row r="11" spans="1:9" ht="31.9" customHeight="1" thickBot="1" x14ac:dyDescent="0.25">
      <c r="A11" s="56">
        <v>2</v>
      </c>
      <c r="B11" s="59"/>
      <c r="C11" s="57" t="s">
        <v>73</v>
      </c>
      <c r="D11" s="58" t="s">
        <v>71</v>
      </c>
      <c r="E11" s="79" t="s">
        <v>68</v>
      </c>
      <c r="F11" s="59" t="s">
        <v>72</v>
      </c>
      <c r="G11" s="77">
        <v>3</v>
      </c>
      <c r="H11" s="78">
        <v>32000</v>
      </c>
      <c r="I11" s="60">
        <f t="shared" si="0"/>
        <v>96000</v>
      </c>
    </row>
    <row r="12" spans="1:9" ht="31.9" customHeight="1" thickBot="1" x14ac:dyDescent="0.25">
      <c r="A12" s="56">
        <v>3</v>
      </c>
      <c r="B12" s="59"/>
      <c r="C12" s="57" t="s">
        <v>73</v>
      </c>
      <c r="D12" s="58" t="s">
        <v>71</v>
      </c>
      <c r="E12" s="76" t="s">
        <v>69</v>
      </c>
      <c r="F12" s="59" t="s">
        <v>72</v>
      </c>
      <c r="G12" s="77">
        <v>150</v>
      </c>
      <c r="H12" s="78">
        <v>270</v>
      </c>
      <c r="I12" s="60">
        <f t="shared" si="0"/>
        <v>40500</v>
      </c>
    </row>
    <row r="13" spans="1:9" ht="31.9" customHeight="1" thickBot="1" x14ac:dyDescent="0.25">
      <c r="A13" s="56">
        <v>4</v>
      </c>
      <c r="B13" s="59"/>
      <c r="C13" s="57" t="s">
        <v>73</v>
      </c>
      <c r="D13" s="58" t="s">
        <v>71</v>
      </c>
      <c r="E13" s="79" t="s">
        <v>70</v>
      </c>
      <c r="F13" s="59" t="s">
        <v>72</v>
      </c>
      <c r="G13" s="77">
        <v>3</v>
      </c>
      <c r="H13" s="78">
        <v>8200</v>
      </c>
      <c r="I13" s="60">
        <f t="shared" si="0"/>
        <v>24600</v>
      </c>
    </row>
    <row r="14" spans="1:9" ht="13.5" thickBot="1" x14ac:dyDescent="0.25"/>
    <row r="15" spans="1:9" ht="59.25" customHeight="1" thickBot="1" x14ac:dyDescent="0.25">
      <c r="C15" s="88" t="s">
        <v>74</v>
      </c>
      <c r="D15" s="89"/>
      <c r="E15" s="90"/>
    </row>
    <row r="16" spans="1:9" ht="39.75" customHeight="1" thickBot="1" x14ac:dyDescent="0.25">
      <c r="C16" s="91" t="s">
        <v>75</v>
      </c>
      <c r="D16" s="92"/>
      <c r="E16" s="93"/>
    </row>
    <row r="17" spans="2:5" ht="39" customHeight="1" thickBot="1" x14ac:dyDescent="0.25">
      <c r="C17" s="94" t="s">
        <v>76</v>
      </c>
      <c r="D17" s="95"/>
      <c r="E17" s="96"/>
    </row>
    <row r="18" spans="2:5" ht="13.5" thickBot="1" x14ac:dyDescent="0.25"/>
    <row r="19" spans="2:5" x14ac:dyDescent="0.2">
      <c r="B19" s="42" t="s">
        <v>14</v>
      </c>
      <c r="C19" s="43"/>
      <c r="D19" s="43"/>
      <c r="E19" s="44"/>
    </row>
    <row r="20" spans="2:5" ht="5.25" customHeight="1" x14ac:dyDescent="0.2">
      <c r="B20" s="45"/>
      <c r="C20" s="46"/>
      <c r="D20" s="46"/>
      <c r="E20" s="47"/>
    </row>
    <row r="21" spans="2:5" x14ac:dyDescent="0.2">
      <c r="B21" s="48" t="s">
        <v>15</v>
      </c>
      <c r="C21" s="46"/>
      <c r="D21" s="46"/>
      <c r="E21" s="47"/>
    </row>
    <row r="22" spans="2:5" ht="41.25" customHeight="1" x14ac:dyDescent="0.2">
      <c r="B22" s="48"/>
      <c r="C22" s="82"/>
      <c r="D22" s="82"/>
      <c r="E22" s="82"/>
    </row>
    <row r="23" spans="2:5" x14ac:dyDescent="0.2">
      <c r="B23" s="48" t="s">
        <v>16</v>
      </c>
      <c r="C23" s="46"/>
      <c r="D23" s="46"/>
      <c r="E23" s="47"/>
    </row>
    <row r="24" spans="2:5" x14ac:dyDescent="0.2">
      <c r="B24" s="49"/>
      <c r="C24" s="86" t="s">
        <v>77</v>
      </c>
      <c r="D24" s="86"/>
      <c r="E24" s="86"/>
    </row>
    <row r="25" spans="2:5" x14ac:dyDescent="0.2">
      <c r="B25" s="49"/>
      <c r="C25" s="87"/>
      <c r="D25" s="87"/>
      <c r="E25" s="87"/>
    </row>
    <row r="26" spans="2:5" x14ac:dyDescent="0.2">
      <c r="B26" s="48" t="s">
        <v>17</v>
      </c>
      <c r="C26" s="46"/>
      <c r="D26" s="46"/>
      <c r="E26" s="47"/>
    </row>
    <row r="27" spans="2:5" ht="26.25" customHeight="1" x14ac:dyDescent="0.2">
      <c r="B27" s="49"/>
      <c r="C27" s="82"/>
      <c r="D27" s="82"/>
      <c r="E27" s="82"/>
    </row>
    <row r="28" spans="2:5" x14ac:dyDescent="0.2">
      <c r="B28" s="48" t="s">
        <v>18</v>
      </c>
      <c r="C28" s="50"/>
      <c r="D28" s="50"/>
      <c r="E28" s="51"/>
    </row>
    <row r="29" spans="2:5" ht="26.25" customHeight="1" x14ac:dyDescent="0.2">
      <c r="B29" s="49"/>
      <c r="C29" s="83" t="s">
        <v>62</v>
      </c>
      <c r="D29" s="83"/>
      <c r="E29" s="83"/>
    </row>
    <row r="30" spans="2:5" x14ac:dyDescent="0.2">
      <c r="B30" s="48" t="s">
        <v>19</v>
      </c>
      <c r="C30" s="46"/>
      <c r="D30" s="46"/>
      <c r="E30" s="47"/>
    </row>
    <row r="31" spans="2:5" ht="23.25" customHeight="1" x14ac:dyDescent="0.2">
      <c r="B31" s="48"/>
      <c r="C31" s="84"/>
      <c r="D31" s="84"/>
      <c r="E31" s="84"/>
    </row>
    <row r="32" spans="2:5" x14ac:dyDescent="0.2">
      <c r="B32" s="52"/>
      <c r="C32" s="53"/>
      <c r="D32" s="53"/>
      <c r="E32" s="54"/>
    </row>
  </sheetData>
  <mergeCells count="16">
    <mergeCell ref="B2:H2"/>
    <mergeCell ref="A4:B4"/>
    <mergeCell ref="C4:E4"/>
    <mergeCell ref="A5:B5"/>
    <mergeCell ref="C5:E5"/>
    <mergeCell ref="C27:E27"/>
    <mergeCell ref="C29:E29"/>
    <mergeCell ref="C31:E31"/>
    <mergeCell ref="A6:B6"/>
    <mergeCell ref="A7:B7"/>
    <mergeCell ref="C22:E22"/>
    <mergeCell ref="C24:E24"/>
    <mergeCell ref="C25:E25"/>
    <mergeCell ref="C15:E15"/>
    <mergeCell ref="C16:E16"/>
    <mergeCell ref="C17:E1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5"/>
  <sheetViews>
    <sheetView zoomScale="70" zoomScaleNormal="70" workbookViewId="0">
      <selection activeCell="D5" sqref="D5:K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10.28515625" style="2" customWidth="1"/>
    <col min="9" max="9" width="16.42578125" style="2" customWidth="1"/>
    <col min="10" max="10" width="16.5703125" style="2" customWidth="1"/>
    <col min="11" max="11" width="38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107" t="s">
        <v>20</v>
      </c>
      <c r="B1" s="107"/>
      <c r="C1" s="107"/>
      <c r="D1" s="107"/>
      <c r="E1" s="107"/>
      <c r="F1" s="107"/>
      <c r="G1" s="107"/>
      <c r="H1" s="107"/>
      <c r="I1" s="107"/>
      <c r="J1" s="3" t="s">
        <v>21</v>
      </c>
      <c r="K1" s="80" t="s">
        <v>80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108" t="s">
        <v>54</v>
      </c>
      <c r="B3" s="108"/>
      <c r="C3" s="108"/>
      <c r="D3" s="109" t="str">
        <f>'Necesidades Trimestrales'!C4</f>
        <v>40 - Ministerio de Salud</v>
      </c>
      <c r="E3" s="109"/>
      <c r="F3" s="109"/>
      <c r="G3" s="109"/>
      <c r="H3" s="109"/>
      <c r="I3" s="109"/>
      <c r="J3" s="109"/>
      <c r="K3" s="109"/>
    </row>
    <row r="4" spans="1:1024" ht="18.75" customHeight="1" thickBot="1" x14ac:dyDescent="0.25">
      <c r="A4" s="110" t="s">
        <v>55</v>
      </c>
      <c r="B4" s="110"/>
      <c r="C4" s="110"/>
      <c r="D4" s="109" t="str">
        <f>'Necesidades Trimestrales'!C5</f>
        <v>23 - Hospital Interzonal San Juan Bautista</v>
      </c>
      <c r="E4" s="109"/>
      <c r="F4" s="109"/>
      <c r="G4" s="109"/>
      <c r="H4" s="109"/>
      <c r="I4" s="109"/>
      <c r="J4" s="109"/>
      <c r="K4" s="109"/>
    </row>
    <row r="5" spans="1:1024" ht="18.75" customHeight="1" thickBot="1" x14ac:dyDescent="0.25">
      <c r="A5" s="110" t="s">
        <v>33</v>
      </c>
      <c r="B5" s="110"/>
      <c r="C5" s="110"/>
      <c r="D5" s="109" t="s">
        <v>60</v>
      </c>
      <c r="E5" s="109"/>
      <c r="F5" s="109"/>
      <c r="G5" s="109"/>
      <c r="H5" s="109"/>
      <c r="I5" s="109"/>
      <c r="J5" s="109"/>
      <c r="K5" s="109"/>
    </row>
    <row r="6" spans="1:1024" ht="16.5" customHeight="1" thickBot="1" x14ac:dyDescent="0.25">
      <c r="A6" s="108" t="s">
        <v>56</v>
      </c>
      <c r="B6" s="108"/>
      <c r="C6" s="108"/>
      <c r="D6" s="109" t="s">
        <v>61</v>
      </c>
      <c r="E6" s="109"/>
      <c r="F6" s="109"/>
      <c r="G6" s="109"/>
      <c r="H6" s="109"/>
      <c r="I6" s="109"/>
      <c r="J6" s="109"/>
      <c r="K6" s="109"/>
    </row>
    <row r="7" spans="1:1024" ht="16.5" customHeight="1" x14ac:dyDescent="0.2">
      <c r="A7" s="110" t="s">
        <v>22</v>
      </c>
      <c r="B7" s="110"/>
      <c r="C7" s="110"/>
      <c r="D7" s="109" t="str">
        <f>'Necesidades Trimestrales'!C7 &amp; "° Trimestre - Año " &amp; 'Necesidades Trimestrales'!C6</f>
        <v>2° Trimestre - Año 2022</v>
      </c>
      <c r="E7" s="109"/>
      <c r="F7" s="109"/>
      <c r="G7" s="109"/>
      <c r="H7" s="109"/>
      <c r="I7" s="109"/>
      <c r="J7" s="109"/>
      <c r="K7" s="109"/>
    </row>
    <row r="8" spans="1:1024" ht="16.5" customHeight="1" x14ac:dyDescent="0.2">
      <c r="A8" s="102" t="s">
        <v>23</v>
      </c>
      <c r="B8" s="102"/>
      <c r="C8" s="102"/>
      <c r="D8" s="103" t="s">
        <v>66</v>
      </c>
      <c r="E8" s="103"/>
      <c r="F8" s="103"/>
      <c r="G8" s="103"/>
      <c r="H8" s="103"/>
      <c r="I8" s="103"/>
      <c r="J8" s="103"/>
      <c r="K8" s="103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104" t="s">
        <v>24</v>
      </c>
      <c r="B10" s="105" t="s">
        <v>25</v>
      </c>
      <c r="C10" s="105" t="s">
        <v>26</v>
      </c>
      <c r="D10" s="105"/>
      <c r="E10" s="105"/>
      <c r="F10" s="105"/>
      <c r="G10" s="105"/>
      <c r="H10" s="105" t="s">
        <v>27</v>
      </c>
      <c r="I10" s="105" t="s">
        <v>28</v>
      </c>
      <c r="J10" s="105" t="s">
        <v>29</v>
      </c>
      <c r="K10" s="106" t="s">
        <v>30</v>
      </c>
    </row>
    <row r="11" spans="1:1024" ht="24" customHeight="1" thickBot="1" x14ac:dyDescent="0.25">
      <c r="A11" s="104"/>
      <c r="B11" s="105"/>
      <c r="C11" s="105"/>
      <c r="D11" s="105"/>
      <c r="E11" s="105"/>
      <c r="F11" s="105"/>
      <c r="G11" s="105"/>
      <c r="H11" s="105"/>
      <c r="I11" s="105"/>
      <c r="J11" s="105"/>
      <c r="K11" s="106"/>
    </row>
    <row r="12" spans="1:1024" ht="20.25" customHeight="1" thickBot="1" x14ac:dyDescent="0.25">
      <c r="A12" s="8">
        <v>1</v>
      </c>
      <c r="B12" s="63">
        <f>'Necesidades Trimestrales'!B10</f>
        <v>0</v>
      </c>
      <c r="C12" s="99" t="str">
        <f>'Necesidades Trimestrales'!E10</f>
        <v>CANULA PARA TRAQUEOSTOMIA Nº 7 CON BALON</v>
      </c>
      <c r="D12" s="99"/>
      <c r="E12" s="99"/>
      <c r="F12" s="99"/>
      <c r="G12" s="99"/>
      <c r="H12" s="64" t="s">
        <v>57</v>
      </c>
      <c r="I12" s="65" t="str">
        <f>'Necesidades Trimestrales'!F10</f>
        <v>UNIDAD</v>
      </c>
      <c r="J12" s="66">
        <f>'Necesidades Trimestrales'!H10</f>
        <v>960</v>
      </c>
      <c r="K12" s="67">
        <f>'Necesidades Trimestrales'!G10</f>
        <v>15</v>
      </c>
    </row>
    <row r="13" spans="1:1024" ht="20.25" customHeight="1" thickBot="1" x14ac:dyDescent="0.25">
      <c r="A13" s="8">
        <v>2</v>
      </c>
      <c r="B13" s="63">
        <f>'Necesidades Trimestrales'!B11</f>
        <v>0</v>
      </c>
      <c r="C13" s="99" t="str">
        <f>'Necesidades Trimestrales'!E11</f>
        <v>Mascara facial para ventilación N°  4, adulto completa con valvula</v>
      </c>
      <c r="D13" s="99"/>
      <c r="E13" s="99"/>
      <c r="F13" s="99"/>
      <c r="G13" s="99"/>
      <c r="H13" s="64" t="s">
        <v>57</v>
      </c>
      <c r="I13" s="65" t="str">
        <f>'Necesidades Trimestrales'!F11</f>
        <v>UNIDAD</v>
      </c>
      <c r="J13" s="66">
        <f>'Necesidades Trimestrales'!H11</f>
        <v>32000</v>
      </c>
      <c r="K13" s="67">
        <f>'Necesidades Trimestrales'!G11</f>
        <v>3</v>
      </c>
    </row>
    <row r="14" spans="1:1024" ht="20.25" customHeight="1" thickBot="1" x14ac:dyDescent="0.25">
      <c r="A14" s="8">
        <v>3</v>
      </c>
      <c r="B14" s="63">
        <f>'Necesidades Trimestrales'!B12</f>
        <v>0</v>
      </c>
      <c r="C14" s="99" t="str">
        <f>'Necesidades Trimestrales'!E12</f>
        <v>MASCARA PARA NEBULIZAR ADULTO COMPLETA MASCARA+PIPETA+TUBULADURA</v>
      </c>
      <c r="D14" s="99"/>
      <c r="E14" s="99"/>
      <c r="F14" s="99"/>
      <c r="G14" s="99"/>
      <c r="H14" s="64" t="s">
        <v>57</v>
      </c>
      <c r="I14" s="65" t="str">
        <f>'Necesidades Trimestrales'!F12</f>
        <v>UNIDAD</v>
      </c>
      <c r="J14" s="66">
        <f>'Necesidades Trimestrales'!H12</f>
        <v>270</v>
      </c>
      <c r="K14" s="67">
        <f>'Necesidades Trimestrales'!G12</f>
        <v>150</v>
      </c>
    </row>
    <row r="15" spans="1:1024" ht="20.25" customHeight="1" thickBot="1" x14ac:dyDescent="0.25">
      <c r="A15" s="8">
        <v>4</v>
      </c>
      <c r="B15" s="63">
        <f>'Necesidades Trimestrales'!B13</f>
        <v>0</v>
      </c>
      <c r="C15" s="99" t="str">
        <f>'Necesidades Trimestrales'!E13</f>
        <v>RESUCITADOR MANUAL ADULTO REUTILIZABLE</v>
      </c>
      <c r="D15" s="99"/>
      <c r="E15" s="99"/>
      <c r="F15" s="99"/>
      <c r="G15" s="99"/>
      <c r="H15" s="64" t="s">
        <v>57</v>
      </c>
      <c r="I15" s="65" t="str">
        <f>'Necesidades Trimestrales'!F13</f>
        <v>UNIDAD</v>
      </c>
      <c r="J15" s="66">
        <f>'Necesidades Trimestrales'!H13</f>
        <v>8200</v>
      </c>
      <c r="K15" s="67">
        <f>'Necesidades Trimestrales'!G13</f>
        <v>3</v>
      </c>
    </row>
    <row r="16" spans="1:1024" ht="20.25" customHeight="1" thickBot="1" x14ac:dyDescent="0.25">
      <c r="A16" s="100" t="s">
        <v>78</v>
      </c>
      <c r="B16" s="100"/>
      <c r="C16" s="100"/>
      <c r="D16" s="100"/>
      <c r="E16" s="100"/>
      <c r="F16" s="100"/>
      <c r="G16" s="100"/>
      <c r="H16" s="100"/>
      <c r="I16" s="100"/>
      <c r="J16" s="101">
        <f>SUMPRODUCT(J12:J15,K12:K15)</f>
        <v>175500</v>
      </c>
      <c r="K16" s="101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25" spans="9:9" x14ac:dyDescent="0.2">
      <c r="I25" s="81"/>
    </row>
  </sheetData>
  <mergeCells count="26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16:K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A16:I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4"/>
  <sheetViews>
    <sheetView tabSelected="1" zoomScale="130" zoomScaleNormal="130" workbookViewId="0">
      <selection activeCell="S7" sqref="S7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3" t="s">
        <v>3</v>
      </c>
      <c r="B1" s="133"/>
      <c r="C1" s="133"/>
      <c r="D1" s="134">
        <f>'Necesidades Trimestrales'!C6</f>
        <v>2022</v>
      </c>
      <c r="E1" s="134"/>
      <c r="F1" s="10"/>
      <c r="G1" s="10"/>
      <c r="H1" s="11"/>
      <c r="I1" s="11"/>
      <c r="J1" s="11"/>
      <c r="K1" s="11"/>
      <c r="L1" s="11"/>
      <c r="M1" s="11"/>
      <c r="N1" s="11"/>
      <c r="P1" s="135" t="s">
        <v>31</v>
      </c>
      <c r="Q1" s="13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5"/>
      <c r="Q2" s="135"/>
    </row>
    <row r="4" spans="1:17" s="12" customFormat="1" ht="18" customHeight="1" thickBot="1" x14ac:dyDescent="0.25">
      <c r="A4" s="136" t="s">
        <v>32</v>
      </c>
      <c r="B4" s="136"/>
      <c r="C4" s="136"/>
      <c r="D4" s="136"/>
      <c r="E4" s="136"/>
      <c r="F4" s="136"/>
      <c r="G4" s="131" t="str">
        <f>NotaPedido!D3</f>
        <v>40 - Ministerio de Salud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s="12" customFormat="1" ht="18" customHeight="1" thickBot="1" x14ac:dyDescent="0.25">
      <c r="A5" s="128" t="s">
        <v>55</v>
      </c>
      <c r="B5" s="129"/>
      <c r="C5" s="129"/>
      <c r="D5" s="129"/>
      <c r="E5" s="129"/>
      <c r="F5" s="130"/>
      <c r="G5" s="131" t="str">
        <f>NotaPedido!D4</f>
        <v>23 - Hospital Interzonal San Juan Bautista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s="12" customFormat="1" ht="18" customHeight="1" thickBot="1" x14ac:dyDescent="0.25">
      <c r="A6" s="128" t="s">
        <v>33</v>
      </c>
      <c r="B6" s="129"/>
      <c r="C6" s="129"/>
      <c r="D6" s="129"/>
      <c r="E6" s="129"/>
      <c r="F6" s="130"/>
      <c r="G6" s="131" t="str">
        <f>NotaPedido!D5</f>
        <v>168 - Direccion Asistencial</v>
      </c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s="12" customFormat="1" ht="18" customHeight="1" thickBot="1" x14ac:dyDescent="0.25">
      <c r="A7" s="128" t="s">
        <v>56</v>
      </c>
      <c r="B7" s="129"/>
      <c r="C7" s="129"/>
      <c r="D7" s="129"/>
      <c r="E7" s="129"/>
      <c r="F7" s="130"/>
      <c r="G7" s="131" t="str">
        <f>NotaPedido!D6</f>
        <v>Servicio de Farmacia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8" spans="1:17" ht="18" customHeight="1" thickBot="1" x14ac:dyDescent="0.25">
      <c r="A8" s="132" t="s">
        <v>34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</row>
    <row r="9" spans="1:17" ht="18" customHeight="1" x14ac:dyDescent="0.2">
      <c r="A9" s="122" t="s">
        <v>35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"/>
      <c r="P9" s="1"/>
      <c r="Q9" s="13"/>
    </row>
    <row r="10" spans="1:17" ht="54.75" customHeight="1" x14ac:dyDescent="0.2">
      <c r="A10" s="12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DOCFI-2022-00884871-CAT-DASIS#HSJB,  afectando la erogación resultante a los créditos presupuestarios aprobados a favor de esta Unidad Ejecutora, conforme al siguiente detalle: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4" t="s">
        <v>36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</row>
    <row r="13" spans="1:17" ht="15.75" customHeight="1" x14ac:dyDescent="0.2">
      <c r="A13" s="125" t="s">
        <v>37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6" t="s">
        <v>38</v>
      </c>
      <c r="P13" s="126"/>
      <c r="Q13" s="127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26"/>
      <c r="P14" s="126"/>
      <c r="Q14" s="127"/>
    </row>
    <row r="15" spans="1:17" ht="17.25" customHeight="1" x14ac:dyDescent="0.2">
      <c r="A15" s="70">
        <v>33</v>
      </c>
      <c r="B15" s="71"/>
      <c r="C15" s="71"/>
      <c r="D15" s="71">
        <v>2</v>
      </c>
      <c r="E15" s="71"/>
      <c r="F15" s="71">
        <v>4901</v>
      </c>
      <c r="G15" s="71">
        <v>3</v>
      </c>
      <c r="H15" s="72" t="s">
        <v>63</v>
      </c>
      <c r="I15" s="73">
        <v>2</v>
      </c>
      <c r="J15" s="73">
        <v>9</v>
      </c>
      <c r="K15" s="73">
        <v>5</v>
      </c>
      <c r="L15" s="71"/>
      <c r="M15" s="74">
        <v>1</v>
      </c>
      <c r="N15" s="72" t="s">
        <v>64</v>
      </c>
      <c r="O15" s="120" t="s">
        <v>65</v>
      </c>
      <c r="P15" s="120"/>
      <c r="Q15" s="23">
        <v>175500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8"/>
      <c r="I16" s="25"/>
      <c r="J16" s="25"/>
      <c r="K16" s="25"/>
      <c r="L16" s="25"/>
      <c r="M16" s="26"/>
      <c r="N16" s="69"/>
      <c r="O16" s="121"/>
      <c r="P16" s="121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8"/>
      <c r="I17" s="25"/>
      <c r="J17" s="25"/>
      <c r="K17" s="25"/>
      <c r="L17" s="25"/>
      <c r="M17" s="26"/>
      <c r="N17" s="69"/>
      <c r="O17" s="121"/>
      <c r="P17" s="121"/>
      <c r="Q17" s="28"/>
      <c r="S17" s="75"/>
    </row>
    <row r="18" spans="1:19" ht="17.25" customHeight="1" x14ac:dyDescent="0.2">
      <c r="A18" s="29"/>
      <c r="B18" s="30"/>
      <c r="C18" s="30"/>
      <c r="D18" s="30"/>
      <c r="E18" s="30"/>
      <c r="F18" s="31"/>
      <c r="G18" s="30"/>
      <c r="H18" s="30"/>
      <c r="I18" s="30"/>
      <c r="J18" s="30"/>
      <c r="K18" s="30"/>
      <c r="L18" s="30"/>
      <c r="M18" s="32"/>
      <c r="N18" s="33"/>
      <c r="O18" s="116"/>
      <c r="P18" s="116"/>
      <c r="Q18" s="28"/>
      <c r="R18" s="1"/>
    </row>
    <row r="19" spans="1:19" ht="17.25" customHeight="1" x14ac:dyDescent="0.2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6"/>
      <c r="N19" s="35"/>
      <c r="O19" s="117"/>
      <c r="P19" s="117"/>
      <c r="Q19" s="37"/>
    </row>
    <row r="20" spans="1:19" ht="20.25" customHeight="1" x14ac:dyDescent="0.2">
      <c r="A20" s="118" t="s">
        <v>79</v>
      </c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38">
        <f>SUM(Q15:Q19)</f>
        <v>175500</v>
      </c>
    </row>
    <row r="21" spans="1:19" ht="18" customHeight="1" thickBot="1" x14ac:dyDescent="0.25">
      <c r="A21" s="119"/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</row>
    <row r="22" spans="1:19" ht="17.25" customHeight="1" thickBot="1" x14ac:dyDescent="0.25">
      <c r="A22" s="111" t="s">
        <v>53</v>
      </c>
      <c r="B22" s="112"/>
      <c r="C22" s="112"/>
      <c r="D22" s="112"/>
      <c r="E22" s="112"/>
      <c r="F22" s="113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</row>
    <row r="23" spans="1:19" ht="18" customHeight="1" thickBot="1" x14ac:dyDescent="0.25">
      <c r="A23" s="115" t="str">
        <f>"Para la "&amp; NotaPedido!D8 &amp;" para ser destinados al " &amp; NotaPedido!D6 &amp;"  del HISJB del Ministerio de Salud."</f>
        <v>Para la Adquisición de Insumos para Terapia Respiratoria  para ser destinados al Servicio de Farmacia  del HISJB del Ministerio de Salud.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</row>
    <row r="24" spans="1:19" ht="15" customHeight="1" x14ac:dyDescent="0.2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</row>
  </sheetData>
  <mergeCells count="28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A9:N9"/>
    <mergeCell ref="A10:Q10"/>
    <mergeCell ref="A12:Q12"/>
    <mergeCell ref="A13:N13"/>
    <mergeCell ref="O13:P14"/>
    <mergeCell ref="Q13:Q14"/>
    <mergeCell ref="A22:F22"/>
    <mergeCell ref="G22:Q22"/>
    <mergeCell ref="A23:Q24"/>
    <mergeCell ref="O18:P18"/>
    <mergeCell ref="O19:P19"/>
    <mergeCell ref="A20:P20"/>
    <mergeCell ref="A21:Q21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2022-06-02T13:36:08Z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