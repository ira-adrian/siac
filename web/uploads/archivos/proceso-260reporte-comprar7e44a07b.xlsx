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codeName="ThisWorkbook"/>
  <mc:AlternateContent xmlns:mc="http://schemas.openxmlformats.org/markup-compatibility/2006">
    <mc:Choice Requires="x15">
      <x15ac:absPath xmlns:x15ac="http://schemas.microsoft.com/office/spreadsheetml/2010/11/ac" url="G:\Mi unidad\COMPARTIDA\HJO\43. Perecederos Policia\"/>
    </mc:Choice>
  </mc:AlternateContent>
  <xr:revisionPtr revIDLastSave="0" documentId="13_ncr:1_{F26D5C55-00AB-479A-B883-D4F5DBF38D4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uadro comparativo" sheetId="2" r:id="rId1"/>
  </sheets>
  <definedNames>
    <definedName name="Datos">'Cuadro comparativo'!$E$1:$E$5</definedName>
    <definedName name="DatosTitulos">'Cuadro comparativo'!$D$1:$D$5</definedName>
    <definedName name="PROVEEDOR">'Cuadro comparativo'!$G$8:$J$8,'Cuadro comparativo'!$K$8:$N$8,'Cuadro comparativo'!$O$8:$R$8,'Cuadro comparativo'!$S$8:$V$8,'Cuadro comparativo'!$W$8:$Z$8</definedName>
    <definedName name="Titles">'Cuadro comparativo'!$A$8:$F$8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31" i="2" l="1"/>
  <c r="M31" i="2"/>
  <c r="Q31" i="2"/>
  <c r="U31" i="2"/>
  <c r="Y31" i="2"/>
</calcChain>
</file>

<file path=xl/sharedStrings.xml><?xml version="1.0" encoding="utf-8"?>
<sst xmlns="http://schemas.openxmlformats.org/spreadsheetml/2006/main" count="211" uniqueCount="149">
  <si>
    <t>Número expediente:</t>
  </si>
  <si>
    <t>EX-2022-02158860-   -CAT-SCA#MEC</t>
  </si>
  <si>
    <t>Número proceso de compra:</t>
  </si>
  <si>
    <t>100-0209-CDI22</t>
  </si>
  <si>
    <t>Nombre descriptivo proceso de compra:</t>
  </si>
  <si>
    <t>“Adquisición de alimentos perecederos para la Escuela de Cadetes de la Policía de Catamarca”</t>
  </si>
  <si>
    <t>Unidad Operativa de Compras:</t>
  </si>
  <si>
    <t>Secretaria de Compras y Abastecimiento</t>
  </si>
  <si>
    <t>Fecha de Apertura:</t>
  </si>
  <si>
    <t>14/11/2022</t>
  </si>
  <si>
    <t>Renglón</t>
  </si>
  <si>
    <t>LOS SAUCES SRL</t>
  </si>
  <si>
    <t>LUJAIKO SRL</t>
  </si>
  <si>
    <t>maria angela mascareño</t>
  </si>
  <si>
    <t>GRUPO PROHMAX S.R.L</t>
  </si>
  <si>
    <t>JUAN ANGEL PERNA</t>
  </si>
  <si>
    <t>Alternativa</t>
  </si>
  <si>
    <t>Código</t>
  </si>
  <si>
    <t>Descripción</t>
  </si>
  <si>
    <t>Cantidad solicitada</t>
  </si>
  <si>
    <t>Unidad de medida</t>
  </si>
  <si>
    <t>Precio unitario</t>
  </si>
  <si>
    <t>Cantidad ofertada</t>
  </si>
  <si>
    <t>Total por renglón</t>
  </si>
  <si>
    <t>Especificacion técnica</t>
  </si>
  <si>
    <t xml:space="preserve">1 </t>
  </si>
  <si>
    <t xml:space="preserve">2.1.1-542.236 </t>
  </si>
  <si>
    <t xml:space="preserve">QUESOS; TIPO: CREMOSO, PRESENTACION: AL PESO, ELEM. TRANSPORTE: SIN, MATERIAL 
ELEM. TRANSPORTE: SIN, MATERIAL ENVASE: SIN, CERTIFICADO FORESTAL (GFS): SIN, 
LIBRE DE GLUTEN: A DEFINIR </t>
  </si>
  <si>
    <t xml:space="preserve">UNIDAD </t>
  </si>
  <si>
    <t xml:space="preserve">QUESO CREMOSO LAS TRES X KG.  </t>
  </si>
  <si>
    <t xml:space="preserve">QUESOS; TIPO: CREMOSO, PRESENTACION: AL PESO x KG  marca 
tremblay </t>
  </si>
  <si>
    <t xml:space="preserve">queso cremosos x kg marca: rokalac </t>
  </si>
  <si>
    <t xml:space="preserve">QUESO CREMOSO PRECIO X KILO MARCA "CRAIKENSE" . PRESENTACION EN 
HORMA CON ENVASE CERRADO. CADA HORMA DE ENTRE 4 Y 
5 KG CADA UNA. LA DIFERENCIA QUE RESULTE SE ENTREGARA 
DE MANERA SUELTA EN SU CORRESPONDIENTE ENVOLTORIO CON LOS RECAUDOS 
NECESARIOS.  </t>
  </si>
  <si>
    <t xml:space="preserve">2 </t>
  </si>
  <si>
    <t xml:space="preserve">2.1.1-541.176 </t>
  </si>
  <si>
    <t xml:space="preserve">CARNES; TIPO: VACUNA, CORTE: CUARTO TRASERO </t>
  </si>
  <si>
    <t xml:space="preserve">CARNES; TIPO: VACUNA, CORTE: CUARTO TRASERO x KG - FRIGORIFICO 
FRIAR </t>
  </si>
  <si>
    <t xml:space="preserve">cuarto trasero frigorifico bel bill </t>
  </si>
  <si>
    <t xml:space="preserve">  CARNES; TIPO: VACUNA, CORTE: CUARTO TRASERO, PRIMERA CALIDAD 
FRIGORÍFICO FAENADOR NATILLA S.A </t>
  </si>
  <si>
    <t xml:space="preserve">3 </t>
  </si>
  <si>
    <t xml:space="preserve">2.1.1-541.7 </t>
  </si>
  <si>
    <t xml:space="preserve">CARNES; ESPECIE: VACUNA, CORTE: PICADA ESPECIAL, TIPO: VACUNA </t>
  </si>
  <si>
    <t xml:space="preserve">CARNES; ESPECIE: VACUNA, CORTE: PICADA ESPECIAL, TIPO: VACUNA X KG 
FRIGORIFICO FRIAR </t>
  </si>
  <si>
    <t xml:space="preserve">carne picada propia corne frigorifico bel bil </t>
  </si>
  <si>
    <t xml:space="preserve">CARNES; ESPECIE: VACUNA, CORTE: PICADA ESPECIAL, TIPO: VACUNA PRIMERA CALIDAD, 
PROCESO DE MOLIENDA EN EL ESTABLECIMIENTO DE MI PROPIEDAD, FRIGORÍFICO 
EL CORDOBÉS  CON CARNE PROVENIENTE DEL FRIGORÍFICO NATILLA SA 
</t>
  </si>
  <si>
    <t xml:space="preserve">4 </t>
  </si>
  <si>
    <t xml:space="preserve">2.1.1-590.26 </t>
  </si>
  <si>
    <t xml:space="preserve">PESCADOS Y FRUTOS CONGELADOS; TIPO: FILET DE MERLUZA, ENVASE: BANDEJA, 
PRESENTACION: ENVASE X 10 Kg, ELEM. TRANSPORTE: PALLET RETORNABLE, MATERIAL 
ELEM. TRANSPORTE: MADERA </t>
  </si>
  <si>
    <t xml:space="preserve">PESCADO FILET D MERLUZA EPUYEN X 10 KG.  </t>
  </si>
  <si>
    <t xml:space="preserve">filet de merluza palet x 10 kg marac : marcuzzo 
</t>
  </si>
  <si>
    <t xml:space="preserve">5 </t>
  </si>
  <si>
    <t xml:space="preserve">2.1.1-456.22 </t>
  </si>
  <si>
    <t xml:space="preserve">YOGHURT; CAPACIDAD: 1 L, SABOR: FRUTILLA, TIPO: ENTERO, ENVASE: SACHET, 
AGREGADO: SIN VALOR, CONSISTENCIA: BEBIBLE, PRESENTACION: SACHET X 1 L 
</t>
  </si>
  <si>
    <t xml:space="preserve">YOGURT MANFREY SACHET SABOR FRUTILLA X 1 LTRS.  </t>
  </si>
  <si>
    <t xml:space="preserve">YOGHURT; CAPACIDAD: 1 L, SABOR: FRUTILLA, TIPO: ENTERO, ENVASE: SACHET, 
AGREGADO: SIN VALOR, CONSISTENCIA: BEBIBLE, PRESENTACION: SACHET X 1 L 
MARCA MANFREY </t>
  </si>
  <si>
    <t xml:space="preserve">yogur x 1 litro sabores varios marca: cremigal </t>
  </si>
  <si>
    <t xml:space="preserve">YOGHURT X LITRO MARCA "CREMIGAL"- SABOR FRUTILLA- TIPO ENTERO- CONSISTENCIA 
BEBIBLE- PRESENTACION SACHET X 1 LITRO </t>
  </si>
  <si>
    <t xml:space="preserve">6 </t>
  </si>
  <si>
    <t xml:space="preserve">2.1.1-6546.112 </t>
  </si>
  <si>
    <t xml:space="preserve">VERDURAS Y HORTALIZAS; ESTADO: NATURAL, PESO: 25 Kg, VARIEDAD: PAPA 
NEGRA, PRESENTACION: BOLSA </t>
  </si>
  <si>
    <t xml:space="preserve">VERDURA PAPA NEGRA EN BOLSA  </t>
  </si>
  <si>
    <t xml:space="preserve">papa negra x bolsa de 25 kg  </t>
  </si>
  <si>
    <t xml:space="preserve">7 </t>
  </si>
  <si>
    <t xml:space="preserve">2.1.1-6546.236 </t>
  </si>
  <si>
    <t xml:space="preserve">VERDURAS Y HORTALIZAS; VARIEDAD: CEBOLLA, ESTADO: NATURAL, PRESENTACION: BOLSA, PESO: 
20 Kg </t>
  </si>
  <si>
    <t xml:space="preserve">VERDURA CEBOLLA EN BOLSA.  </t>
  </si>
  <si>
    <t xml:space="preserve">cebolla bolsa x 20 kg  </t>
  </si>
  <si>
    <t xml:space="preserve">8 </t>
  </si>
  <si>
    <t xml:space="preserve">2.1.1-6546.167 </t>
  </si>
  <si>
    <t xml:space="preserve">VERDURAS Y HORTALIZAS; VARIEDAD: ZANAHORIA, PRESENTACION: BOLSA, ESTADO: NATURAL, PESO: 
20 Kg </t>
  </si>
  <si>
    <t xml:space="preserve">VERDURA ZANAHORIA EN BOLSA X 20 KG. APROXIMADAMENTE </t>
  </si>
  <si>
    <t xml:space="preserve">ZANAHORIA, PRESENTACION: BOLSA, ESTADO: NATURAL, PESO: 20 Kg </t>
  </si>
  <si>
    <t xml:space="preserve">zanahoria bolsa x 20 kg </t>
  </si>
  <si>
    <t xml:space="preserve">9 </t>
  </si>
  <si>
    <t xml:space="preserve">2.1.1-6546.390 </t>
  </si>
  <si>
    <t xml:space="preserve">VERDURAS Y HORTALIZAS; VARIEDAD: TOMATE REDONDO, ESTADO: NATURAL, PRESENTACION: CAJON, 
PESO: 17 A 22 Kg, ELEM. TRANSPORTE: SIN, MATERIAL ELEM. 
TRANSPORTE: SIN, LIBRE DE GLUTEN: SI, ORGANICO: NO </t>
  </si>
  <si>
    <t xml:space="preserve">VERDURA TOMATE REDONDO EN CAJON X 20 KG. APROXIM. </t>
  </si>
  <si>
    <t xml:space="preserve">TOMATE REDONDO, ESTADO: NATURAL, PRESENTACION: CAJON DE 20 KG. APROX. 
</t>
  </si>
  <si>
    <t xml:space="preserve">tomate redondo cajon de 17 a 22 kg aproximados </t>
  </si>
  <si>
    <t xml:space="preserve">10 </t>
  </si>
  <si>
    <t xml:space="preserve">2.1.1-6546.95 </t>
  </si>
  <si>
    <t xml:space="preserve">VERDURAS Y HORTALIZAS; VARIEDAD: MORRON VERDE, ESTADO: NATURAL, PRESENTACION: GRANEL, 
PESO: SIN VALOR </t>
  </si>
  <si>
    <t xml:space="preserve">VERDURA PIMIENTO MORRON VERDE EN CAJON  </t>
  </si>
  <si>
    <t xml:space="preserve">MORRON VERDE, ESTADO: NATURAL, PRESENTACION CAJON DE 10 KG. APROX. 
</t>
  </si>
  <si>
    <t xml:space="preserve">pimiento morron verde cajon x 10 kg </t>
  </si>
  <si>
    <t xml:space="preserve">11 </t>
  </si>
  <si>
    <t xml:space="preserve">2.1.1-6546.162 </t>
  </si>
  <si>
    <t xml:space="preserve">VERDURAS Y HORTALIZAS; VARIEDAD: ZAPALLO CRIOLLO, ESTADO: NATURAL, PRESENTACION: UNIDAD, 
PESO: SIN VALOR </t>
  </si>
  <si>
    <t xml:space="preserve">VERDURA ZAPALLO CRIOLLA X 10 KG.  </t>
  </si>
  <si>
    <t xml:space="preserve">ZAPALLO CRIOLLO, ESTADO: NATURAL, PRESENTACION: UNIDAD DE KG. 10 KG. 
APROX. C/U  </t>
  </si>
  <si>
    <t xml:space="preserve">zapallo criollo pieza x 10 kg aproxi.c/u </t>
  </si>
  <si>
    <t xml:space="preserve">12 </t>
  </si>
  <si>
    <t xml:space="preserve">2.1.1-6546.151 </t>
  </si>
  <si>
    <t xml:space="preserve">VERDURAS Y HORTALIZAS; VARIEDAD: ZAPALLITO REDONDO, ESTADO: NATURAL, PRESENTACION: CAJON, 
PESO: SIN VALOR </t>
  </si>
  <si>
    <t xml:space="preserve">VERDURA ZAPALLITO REDONDO VERDE EN CAJON X 15 KG. APROXIM. 
 </t>
  </si>
  <si>
    <t xml:space="preserve">ZAPALLITO REDONDO, ESTADO: NATURAL, PRESENTACION: CAJON </t>
  </si>
  <si>
    <t xml:space="preserve">zapallito redondo cajon x 15 kg  </t>
  </si>
  <si>
    <t xml:space="preserve">13 </t>
  </si>
  <si>
    <t xml:space="preserve">2.1.1-6546.153 </t>
  </si>
  <si>
    <t xml:space="preserve">VERDURAS Y HORTALIZAS; VARIEDAD: AJO, ESTADO: NATURAL, PRESENTACION: RISTRA, PESO: 
SIN VALOR </t>
  </si>
  <si>
    <t xml:space="preserve">VERDURA AJO EN RISTRA X 50 UND.  </t>
  </si>
  <si>
    <t xml:space="preserve">ajo en ristra x 50 unidades  </t>
  </si>
  <si>
    <t xml:space="preserve">14 </t>
  </si>
  <si>
    <t xml:space="preserve">2.1.1-6546.47 </t>
  </si>
  <si>
    <t xml:space="preserve">VERDURAS Y HORTALIZAS; VARIEDAD: CEBOLLA DE VERDEO, ESTADO: NATURAL, PRESENTACION: 
GRANEL, PESO: SIN VALOR </t>
  </si>
  <si>
    <t xml:space="preserve">VERDURA CEBOLLA DE VERDEO EN ATADO X 200 GRS APROXIM. 
 </t>
  </si>
  <si>
    <t xml:space="preserve">cebolla de verdeo por atado de 200 gr aproxi. </t>
  </si>
  <si>
    <t xml:space="preserve">15 </t>
  </si>
  <si>
    <t xml:space="preserve">2.1.1-6546.132 </t>
  </si>
  <si>
    <t xml:space="preserve">VERDURAS Y HORTALIZAS; VARIEDAD: PEREJIL, ESTADO: NATURAL, PRESENTACION: GRANEL, PESO: 
SIN VALOR </t>
  </si>
  <si>
    <t xml:space="preserve">VERDURA PEREJIL EN ATADO X 200 GRS APROXIM. </t>
  </si>
  <si>
    <t xml:space="preserve">PEREJIL, ESTADO: NATURAL, X KG </t>
  </si>
  <si>
    <t xml:space="preserve">perejil atado x 200 gr aproximados </t>
  </si>
  <si>
    <t xml:space="preserve">16 </t>
  </si>
  <si>
    <t xml:space="preserve">2.1.1-6546.34 </t>
  </si>
  <si>
    <t xml:space="preserve">VERDURAS Y HORTALIZAS; VARIEDAD: ACELGA, ESTADO: EN HOJA, PRESENTACION: ATADO, 
PESO: SIN VALOR </t>
  </si>
  <si>
    <t xml:space="preserve">VERDURA ACELGA EN ATADO X 300 GRS APROXIM.  </t>
  </si>
  <si>
    <t xml:space="preserve">ACELGA, ESTADO: EN HOJA, X KG </t>
  </si>
  <si>
    <t xml:space="preserve">acelga en hoja atado x 200 gr aproximados </t>
  </si>
  <si>
    <t xml:space="preserve">17 </t>
  </si>
  <si>
    <t xml:space="preserve">2.1.1-483.37 </t>
  </si>
  <si>
    <t xml:space="preserve">HUEVO DE GALLINA; TAMAÑO: GRANDE, COLOR: COLOR, PRESENTACION: 30 UN 
</t>
  </si>
  <si>
    <t xml:space="preserve">HUEVO DE GALLINA COLOR EN MAPLE X 30 UND.  
</t>
  </si>
  <si>
    <t xml:space="preserve">huevos de gallina maple x 30 unidades </t>
  </si>
  <si>
    <t xml:space="preserve">18 </t>
  </si>
  <si>
    <t xml:space="preserve">2.1.1-6539.170 </t>
  </si>
  <si>
    <t xml:space="preserve">FRUTAS; VARIEDAD: MANZANA RED DELICIOSA, ESTADO: NATURAL, PRESENTACION: ENVASE X 
15 Kg, ELEM. TRANSPORTE: CAJON, MATERIAL ELEM. TRANSPORTE: CARTON </t>
  </si>
  <si>
    <t xml:space="preserve">FRUTA MANZANA RED DELICIOSA EN CAJON X 18 KG. APROXIM. 
 </t>
  </si>
  <si>
    <t xml:space="preserve">MANZANA RED DELICIOSA, ESTADO: NATURAL, PRESENTACION: CAJON </t>
  </si>
  <si>
    <t xml:space="preserve">manzana red deliciosa cajon x 15 kg aproximados </t>
  </si>
  <si>
    <t xml:space="preserve">19 </t>
  </si>
  <si>
    <t xml:space="preserve">2.1.1-6539.30 </t>
  </si>
  <si>
    <t xml:space="preserve">FRUTAS; VARIEDAD: BANANA, PRESENTACION: CAJON, ESTADO: NATURAL, PESO: SIN VALOR 
</t>
  </si>
  <si>
    <t xml:space="preserve">FRUTA BANANA EN CAJON DE 20 KG. APROXIM. </t>
  </si>
  <si>
    <t xml:space="preserve">BANANA, PRESENTACION: CAJON, ESTADO: NATURAL </t>
  </si>
  <si>
    <t xml:space="preserve">banana cajon x 20 kg aproximados </t>
  </si>
  <si>
    <t xml:space="preserve">20 </t>
  </si>
  <si>
    <t xml:space="preserve">2.1.1-6539.157 </t>
  </si>
  <si>
    <t xml:space="preserve">FRUTAS; VARIEDAD: PERA, ESTADO: NATURAL, PRESENTACION: ENVASE X 20 Kg 
</t>
  </si>
  <si>
    <t xml:space="preserve">FRUTA PERA AMARILLA EN CAJON X 20 KG. APROXIM.  
</t>
  </si>
  <si>
    <t xml:space="preserve">PERA, ESTADO: NATURAL, PRESENTACION: Cajon de 20 KG Aprox. </t>
  </si>
  <si>
    <t xml:space="preserve">pera cajon x 20 kg aproximados </t>
  </si>
  <si>
    <t xml:space="preserve">21 </t>
  </si>
  <si>
    <t xml:space="preserve">2.1.1-6539.8 </t>
  </si>
  <si>
    <t xml:space="preserve">FRUTAS; VARIEDAD: NARANJA ESPECIAL, ESTADO: NATURAL, PRESENTACION: CAJON, PESO: SIN 
VALOR </t>
  </si>
  <si>
    <t xml:space="preserve">FRUTA NARANJA EN BOLSA / CAJON X 20 KG APROXIM. 
 </t>
  </si>
  <si>
    <t xml:space="preserve">NARANJA ESPECIAL, ESTADO: NATURAL, PRESENTACION: CAJON de 20 KG Aprox. 
 </t>
  </si>
  <si>
    <t xml:space="preserve">naranjas cajon x 20 kg aproximados </t>
  </si>
  <si>
    <t xml:space="preserve">Total: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</si>
</sst>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#,##0.00"/>
    <numFmt numFmtId="165" formatCode="\$\ #,##0.00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2ADD0"/>
        <bgColor rgb="FFA2ADD0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164" fontId="0" fillId="0" borderId="0" xfId="0" applyNumberFormat="1"/>
    <xf numFmtId="0" fontId="0" fillId="0" borderId="0" xfId="0" applyAlignment="1">
      <alignment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9:F31" totalsRowCount="1">
  <tableColumns count="6">
    <tableColumn id="1" xr3:uid="{00000000-0010-0000-0000-000001000000}" name="Renglón"/>
    <tableColumn id="2" xr3:uid="{00000000-0010-0000-0000-000002000000}" name="Alternativa"/>
    <tableColumn id="3" xr3:uid="{00000000-0010-0000-0000-000003000000}" name="Código" totalsRowLabel="Total: "/>
    <tableColumn id="4" xr3:uid="{00000000-0010-0000-0000-000004000000}" name="Descripción"/>
    <tableColumn id="5" xr3:uid="{00000000-0010-0000-0000-000005000000}" name="Cantidad solicitada"/>
    <tableColumn id="6" xr3:uid="{00000000-0010-0000-0000-000006000000}" name="Unidad de medida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G9:J31" totalsRowCount="1">
  <tableColumns count="4">
    <tableColumn id="1" xr3:uid="{00000000-0010-0000-0100-000001000000}" name="Precio unitario"/>
    <tableColumn id="2" xr3:uid="{00000000-0010-0000-0100-000002000000}" name="Cantidad ofertada"/>
    <tableColumn id="3" xr3:uid="{00000000-0010-0000-0100-000003000000}" name="Total por renglón" totalsRowFunction="sum"/>
    <tableColumn id="4" xr3:uid="{00000000-0010-0000-0100-000004000000}" name="Especificacion técnica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K9:N31" totalsRowCount="1">
  <tableColumns count="4">
    <tableColumn id="1" xr3:uid="{00000000-0010-0000-0200-000001000000}" name="Precio unitario"/>
    <tableColumn id="2" xr3:uid="{00000000-0010-0000-0200-000002000000}" name="Cantidad ofertada"/>
    <tableColumn id="3" xr3:uid="{00000000-0010-0000-0200-000003000000}" name="Total por renglón" totalsRowFunction="sum"/>
    <tableColumn id="4" xr3:uid="{00000000-0010-0000-0200-000004000000}" name="Especificacion técnica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O9:R31" totalsRowCount="1">
  <tableColumns count="4">
    <tableColumn id="1" xr3:uid="{00000000-0010-0000-0300-000001000000}" name="Precio unitario"/>
    <tableColumn id="2" xr3:uid="{00000000-0010-0000-0300-000002000000}" name="Cantidad ofertada"/>
    <tableColumn id="3" xr3:uid="{00000000-0010-0000-0300-000003000000}" name="Total por renglón" totalsRowFunction="sum"/>
    <tableColumn id="4" xr3:uid="{00000000-0010-0000-0300-000004000000}" name="Especificacion técnica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5" displayName="Table5" ref="S9:V31" totalsRowCount="1">
  <tableColumns count="4">
    <tableColumn id="1" xr3:uid="{00000000-0010-0000-0400-000001000000}" name="Precio unitario"/>
    <tableColumn id="2" xr3:uid="{00000000-0010-0000-0400-000002000000}" name="Cantidad ofertada"/>
    <tableColumn id="3" xr3:uid="{00000000-0010-0000-0400-000003000000}" name="Total por renglón" totalsRowFunction="sum"/>
    <tableColumn id="4" xr3:uid="{00000000-0010-0000-0400-000004000000}" name="Especificacion técnica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6" displayName="Table6" ref="W9:Z31" totalsRowCount="1">
  <tableColumns count="4">
    <tableColumn id="1" xr3:uid="{00000000-0010-0000-0500-000001000000}" name="Precio unitario"/>
    <tableColumn id="2" xr3:uid="{00000000-0010-0000-0500-000002000000}" name="Cantidad ofertada"/>
    <tableColumn id="3" xr3:uid="{00000000-0010-0000-0500-000003000000}" name="Total por renglón" totalsRowFunction="sum"/>
    <tableColumn id="4" xr3:uid="{00000000-0010-0000-0500-000004000000}" name="Especificacion técnic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1"/>
  <sheetViews>
    <sheetView tabSelected="1" workbookViewId="0">
      <pane xSplit="3" ySplit="9" topLeftCell="D10" activePane="bottomRight" state="frozenSplit"/>
      <selection pane="topRight"/>
      <selection pane="bottomLeft"/>
      <selection pane="bottomRight" activeCell="H2" sqref="H2"/>
    </sheetView>
  </sheetViews>
  <sheetFormatPr baseColWidth="10" defaultColWidth="9.140625" defaultRowHeight="15" x14ac:dyDescent="0.25"/>
  <cols>
    <col min="1" max="1" width="8.85546875" customWidth="1"/>
    <col min="2" max="2" width="11.28515625" customWidth="1"/>
    <col min="3" max="3" width="14.7109375" customWidth="1"/>
    <col min="4" max="4" width="91.7109375" customWidth="1"/>
    <col min="5" max="5" width="83.5703125" customWidth="1"/>
    <col min="6" max="6" width="17.42578125" customWidth="1"/>
    <col min="7" max="7" width="14.28515625" customWidth="1"/>
    <col min="8" max="8" width="17.28515625" customWidth="1"/>
    <col min="9" max="9" width="16.5703125" customWidth="1"/>
    <col min="10" max="10" width="61.140625" customWidth="1"/>
    <col min="11" max="11" width="14.28515625" customWidth="1"/>
    <col min="12" max="12" width="17.28515625" customWidth="1"/>
    <col min="13" max="13" width="16.5703125" customWidth="1"/>
    <col min="14" max="14" width="72.42578125" customWidth="1"/>
    <col min="15" max="15" width="14.28515625" customWidth="1"/>
    <col min="16" max="16" width="17.28515625" customWidth="1"/>
    <col min="17" max="17" width="16.5703125" customWidth="1"/>
    <col min="18" max="18" width="44.140625" customWidth="1"/>
    <col min="19" max="19" width="14.28515625" customWidth="1"/>
    <col min="20" max="20" width="17.28515625" customWidth="1"/>
    <col min="21" max="21" width="16.5703125" customWidth="1"/>
    <col min="22" max="22" width="77.140625" customWidth="1"/>
    <col min="23" max="23" width="14.28515625" customWidth="1"/>
    <col min="24" max="24" width="17.28515625" customWidth="1"/>
    <col min="25" max="25" width="16.5703125" customWidth="1"/>
    <col min="26" max="26" width="77.7109375" customWidth="1"/>
  </cols>
  <sheetData>
    <row r="1" spans="1:26" x14ac:dyDescent="0.25">
      <c r="D1" s="2" t="s">
        <v>0</v>
      </c>
      <c r="E1" s="2" t="s">
        <v>1</v>
      </c>
    </row>
    <row r="2" spans="1:26" x14ac:dyDescent="0.25">
      <c r="D2" s="2" t="s">
        <v>2</v>
      </c>
      <c r="E2" s="2" t="s">
        <v>3</v>
      </c>
    </row>
    <row r="3" spans="1:26" x14ac:dyDescent="0.25">
      <c r="D3" s="2" t="s">
        <v>4</v>
      </c>
      <c r="E3" s="2" t="s">
        <v>5</v>
      </c>
    </row>
    <row r="4" spans="1:26" x14ac:dyDescent="0.25">
      <c r="D4" s="2" t="s">
        <v>6</v>
      </c>
      <c r="E4" s="2" t="s">
        <v>7</v>
      </c>
    </row>
    <row r="5" spans="1:26" x14ac:dyDescent="0.25">
      <c r="D5" s="2" t="s">
        <v>8</v>
      </c>
      <c r="E5" s="2" t="s">
        <v>9</v>
      </c>
    </row>
    <row r="8" spans="1:26" x14ac:dyDescent="0.25">
      <c r="A8" s="1" t="s">
        <v>10</v>
      </c>
      <c r="B8" s="1"/>
      <c r="C8" s="1"/>
      <c r="D8" s="1"/>
      <c r="E8" s="1"/>
      <c r="F8" s="1"/>
      <c r="G8" s="1" t="s">
        <v>11</v>
      </c>
      <c r="H8" s="1"/>
      <c r="I8" s="1"/>
      <c r="J8" s="1"/>
      <c r="K8" s="1" t="s">
        <v>12</v>
      </c>
      <c r="L8" s="1"/>
      <c r="M8" s="1"/>
      <c r="N8" s="1"/>
      <c r="O8" s="1" t="s">
        <v>13</v>
      </c>
      <c r="P8" s="1"/>
      <c r="Q8" s="1"/>
      <c r="R8" s="1"/>
      <c r="S8" s="1" t="s">
        <v>14</v>
      </c>
      <c r="T8" s="1"/>
      <c r="U8" s="1"/>
      <c r="V8" s="1"/>
      <c r="W8" s="1" t="s">
        <v>15</v>
      </c>
      <c r="X8" s="1"/>
      <c r="Y8" s="1"/>
      <c r="Z8" s="1"/>
    </row>
    <row r="9" spans="1:26" x14ac:dyDescent="0.25">
      <c r="A9" t="s">
        <v>10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 s="3" t="s">
        <v>21</v>
      </c>
      <c r="H9" s="3" t="s">
        <v>22</v>
      </c>
      <c r="I9" t="s">
        <v>23</v>
      </c>
      <c r="J9" t="s">
        <v>24</v>
      </c>
      <c r="K9" s="3" t="s">
        <v>21</v>
      </c>
      <c r="L9" s="3" t="s">
        <v>22</v>
      </c>
      <c r="M9" t="s">
        <v>23</v>
      </c>
      <c r="N9" t="s">
        <v>24</v>
      </c>
      <c r="O9" s="3" t="s">
        <v>21</v>
      </c>
      <c r="P9" s="3" t="s">
        <v>22</v>
      </c>
      <c r="Q9" t="s">
        <v>23</v>
      </c>
      <c r="R9" t="s">
        <v>24</v>
      </c>
      <c r="S9" s="3" t="s">
        <v>21</v>
      </c>
      <c r="T9" s="3" t="s">
        <v>22</v>
      </c>
      <c r="U9" t="s">
        <v>23</v>
      </c>
      <c r="V9" t="s">
        <v>24</v>
      </c>
      <c r="W9" s="3" t="s">
        <v>21</v>
      </c>
      <c r="X9" s="3" t="s">
        <v>22</v>
      </c>
      <c r="Y9" t="s">
        <v>23</v>
      </c>
      <c r="Z9" t="s">
        <v>24</v>
      </c>
    </row>
    <row r="10" spans="1:26" ht="75" x14ac:dyDescent="0.25">
      <c r="A10" t="s">
        <v>25</v>
      </c>
      <c r="B10" t="s">
        <v>25</v>
      </c>
      <c r="C10" t="s">
        <v>26</v>
      </c>
      <c r="D10" s="4" t="s">
        <v>27</v>
      </c>
      <c r="E10">
        <v>1000</v>
      </c>
      <c r="F10" t="s">
        <v>28</v>
      </c>
      <c r="G10" s="3">
        <v>1160</v>
      </c>
      <c r="H10" s="3">
        <v>1000</v>
      </c>
      <c r="I10" s="5">
        <v>1160000</v>
      </c>
      <c r="J10" t="s">
        <v>29</v>
      </c>
      <c r="K10" s="3">
        <v>1224</v>
      </c>
      <c r="L10" s="3">
        <v>1000</v>
      </c>
      <c r="M10" s="5">
        <v>1224000</v>
      </c>
      <c r="N10" s="4" t="s">
        <v>30</v>
      </c>
      <c r="O10" s="3">
        <v>1026</v>
      </c>
      <c r="P10" s="3">
        <v>1000</v>
      </c>
      <c r="Q10" s="5">
        <v>1026000</v>
      </c>
      <c r="R10" t="s">
        <v>31</v>
      </c>
      <c r="S10" s="3">
        <v>866</v>
      </c>
      <c r="T10" s="3">
        <v>1000</v>
      </c>
      <c r="U10" s="5">
        <v>866000</v>
      </c>
      <c r="V10" s="4" t="s">
        <v>32</v>
      </c>
      <c r="W10" s="3"/>
      <c r="X10" s="3"/>
      <c r="Y10" s="5"/>
    </row>
    <row r="11" spans="1:26" ht="30" x14ac:dyDescent="0.25">
      <c r="A11" t="s">
        <v>33</v>
      </c>
      <c r="B11" t="s">
        <v>25</v>
      </c>
      <c r="C11" t="s">
        <v>34</v>
      </c>
      <c r="D11" t="s">
        <v>35</v>
      </c>
      <c r="E11">
        <v>1500</v>
      </c>
      <c r="F11" t="s">
        <v>28</v>
      </c>
      <c r="G11" s="3"/>
      <c r="H11" s="3"/>
      <c r="I11" s="5"/>
      <c r="K11" s="3">
        <v>1150</v>
      </c>
      <c r="L11" s="3">
        <v>1500</v>
      </c>
      <c r="M11" s="5">
        <v>1725000</v>
      </c>
      <c r="N11" s="4" t="s">
        <v>36</v>
      </c>
      <c r="O11" s="3">
        <v>1170</v>
      </c>
      <c r="P11" s="3">
        <v>1500</v>
      </c>
      <c r="Q11" s="5">
        <v>1755000</v>
      </c>
      <c r="R11" t="s">
        <v>37</v>
      </c>
      <c r="S11" s="3"/>
      <c r="T11" s="3"/>
      <c r="U11" s="5"/>
      <c r="W11" s="3">
        <v>1150</v>
      </c>
      <c r="X11" s="3">
        <v>1500</v>
      </c>
      <c r="Y11" s="5">
        <v>1725000</v>
      </c>
      <c r="Z11" s="4" t="s">
        <v>38</v>
      </c>
    </row>
    <row r="12" spans="1:26" ht="75" x14ac:dyDescent="0.25">
      <c r="A12" t="s">
        <v>39</v>
      </c>
      <c r="B12" t="s">
        <v>25</v>
      </c>
      <c r="C12" t="s">
        <v>40</v>
      </c>
      <c r="D12" t="s">
        <v>41</v>
      </c>
      <c r="E12">
        <v>1500</v>
      </c>
      <c r="F12" t="s">
        <v>28</v>
      </c>
      <c r="G12" s="3"/>
      <c r="H12" s="3"/>
      <c r="I12" s="5"/>
      <c r="K12" s="3">
        <v>1250</v>
      </c>
      <c r="L12" s="3">
        <v>1500</v>
      </c>
      <c r="M12" s="5">
        <v>1875000</v>
      </c>
      <c r="N12" s="4" t="s">
        <v>42</v>
      </c>
      <c r="O12" s="3">
        <v>1280</v>
      </c>
      <c r="P12" s="3">
        <v>1500</v>
      </c>
      <c r="Q12" s="5">
        <v>1920000</v>
      </c>
      <c r="R12" t="s">
        <v>43</v>
      </c>
      <c r="S12" s="3"/>
      <c r="T12" s="3"/>
      <c r="U12" s="5"/>
      <c r="W12" s="3">
        <v>1250</v>
      </c>
      <c r="X12" s="3">
        <v>1500</v>
      </c>
      <c r="Y12" s="5">
        <v>1875000</v>
      </c>
      <c r="Z12" s="4" t="s">
        <v>44</v>
      </c>
    </row>
    <row r="13" spans="1:26" ht="45" x14ac:dyDescent="0.25">
      <c r="A13" t="s">
        <v>45</v>
      </c>
      <c r="B13" t="s">
        <v>25</v>
      </c>
      <c r="C13" t="s">
        <v>46</v>
      </c>
      <c r="D13" s="4" t="s">
        <v>47</v>
      </c>
      <c r="E13">
        <v>100</v>
      </c>
      <c r="F13" t="s">
        <v>28</v>
      </c>
      <c r="G13" s="3">
        <v>15000</v>
      </c>
      <c r="H13" s="3">
        <v>100</v>
      </c>
      <c r="I13" s="5">
        <v>1500000</v>
      </c>
      <c r="J13" t="s">
        <v>48</v>
      </c>
      <c r="K13" s="3"/>
      <c r="L13" s="3"/>
      <c r="M13" s="5"/>
      <c r="O13" s="3">
        <v>9900</v>
      </c>
      <c r="P13" s="3">
        <v>100</v>
      </c>
      <c r="Q13" s="5">
        <v>990000</v>
      </c>
      <c r="R13" s="4" t="s">
        <v>49</v>
      </c>
      <c r="S13" s="3"/>
      <c r="T13" s="3"/>
      <c r="U13" s="5"/>
      <c r="W13" s="3"/>
      <c r="X13" s="3"/>
      <c r="Y13" s="5"/>
    </row>
    <row r="14" spans="1:26" ht="45" x14ac:dyDescent="0.25">
      <c r="A14" t="s">
        <v>50</v>
      </c>
      <c r="B14" t="s">
        <v>25</v>
      </c>
      <c r="C14" t="s">
        <v>51</v>
      </c>
      <c r="D14" s="4" t="s">
        <v>52</v>
      </c>
      <c r="E14">
        <v>1000</v>
      </c>
      <c r="F14" t="s">
        <v>28</v>
      </c>
      <c r="G14" s="3">
        <v>220</v>
      </c>
      <c r="H14" s="3">
        <v>1000</v>
      </c>
      <c r="I14" s="5">
        <v>220000</v>
      </c>
      <c r="J14" t="s">
        <v>53</v>
      </c>
      <c r="K14" s="3">
        <v>249.03</v>
      </c>
      <c r="L14" s="3">
        <v>1000</v>
      </c>
      <c r="M14" s="5">
        <v>249030</v>
      </c>
      <c r="N14" s="4" t="s">
        <v>54</v>
      </c>
      <c r="O14" s="3">
        <v>182</v>
      </c>
      <c r="P14" s="3">
        <v>1000</v>
      </c>
      <c r="Q14" s="5">
        <v>182000</v>
      </c>
      <c r="R14" t="s">
        <v>55</v>
      </c>
      <c r="S14" s="3">
        <v>218</v>
      </c>
      <c r="T14" s="3">
        <v>1000</v>
      </c>
      <c r="U14" s="5">
        <v>218000</v>
      </c>
      <c r="V14" s="4" t="s">
        <v>56</v>
      </c>
      <c r="W14" s="3"/>
      <c r="X14" s="3"/>
      <c r="Y14" s="5"/>
    </row>
    <row r="15" spans="1:26" ht="30" x14ac:dyDescent="0.25">
      <c r="A15" t="s">
        <v>57</v>
      </c>
      <c r="B15" t="s">
        <v>25</v>
      </c>
      <c r="C15" t="s">
        <v>58</v>
      </c>
      <c r="D15" s="4" t="s">
        <v>59</v>
      </c>
      <c r="E15">
        <v>300</v>
      </c>
      <c r="F15" t="s">
        <v>28</v>
      </c>
      <c r="G15" s="3">
        <v>2950</v>
      </c>
      <c r="H15" s="3">
        <v>300</v>
      </c>
      <c r="I15" s="5">
        <v>885000</v>
      </c>
      <c r="J15" t="s">
        <v>60</v>
      </c>
      <c r="K15" s="3">
        <v>2430</v>
      </c>
      <c r="L15" s="3">
        <v>300</v>
      </c>
      <c r="M15" s="5">
        <v>729000</v>
      </c>
      <c r="N15" s="4" t="s">
        <v>59</v>
      </c>
      <c r="O15" s="3">
        <v>1950</v>
      </c>
      <c r="P15" s="3">
        <v>300</v>
      </c>
      <c r="Q15" s="5">
        <v>585000</v>
      </c>
      <c r="R15" t="s">
        <v>61</v>
      </c>
      <c r="S15" s="3"/>
      <c r="T15" s="3"/>
      <c r="U15" s="5"/>
      <c r="W15" s="3"/>
      <c r="X15" s="3"/>
      <c r="Y15" s="5"/>
    </row>
    <row r="16" spans="1:26" ht="30" x14ac:dyDescent="0.25">
      <c r="A16" t="s">
        <v>62</v>
      </c>
      <c r="B16" t="s">
        <v>25</v>
      </c>
      <c r="C16" t="s">
        <v>63</v>
      </c>
      <c r="D16" s="4" t="s">
        <v>64</v>
      </c>
      <c r="E16">
        <v>300</v>
      </c>
      <c r="F16" t="s">
        <v>28</v>
      </c>
      <c r="G16" s="3">
        <v>4800</v>
      </c>
      <c r="H16" s="3">
        <v>300</v>
      </c>
      <c r="I16" s="5">
        <v>1440000</v>
      </c>
      <c r="J16" t="s">
        <v>65</v>
      </c>
      <c r="K16" s="3">
        <v>4500</v>
      </c>
      <c r="L16" s="3">
        <v>300</v>
      </c>
      <c r="M16" s="5">
        <v>1350000</v>
      </c>
      <c r="N16" s="4" t="s">
        <v>59</v>
      </c>
      <c r="O16" s="3">
        <v>3900</v>
      </c>
      <c r="P16" s="3">
        <v>300</v>
      </c>
      <c r="Q16" s="5">
        <v>1170000</v>
      </c>
      <c r="R16" t="s">
        <v>66</v>
      </c>
      <c r="S16" s="3"/>
      <c r="T16" s="3"/>
      <c r="U16" s="5"/>
      <c r="W16" s="3"/>
      <c r="X16" s="3"/>
      <c r="Y16" s="5"/>
    </row>
    <row r="17" spans="1:25" ht="45" x14ac:dyDescent="0.25">
      <c r="A17" t="s">
        <v>67</v>
      </c>
      <c r="B17" t="s">
        <v>25</v>
      </c>
      <c r="C17" t="s">
        <v>68</v>
      </c>
      <c r="D17" s="4" t="s">
        <v>69</v>
      </c>
      <c r="E17">
        <v>300</v>
      </c>
      <c r="F17" t="s">
        <v>28</v>
      </c>
      <c r="G17" s="3">
        <v>2350</v>
      </c>
      <c r="H17" s="3">
        <v>300</v>
      </c>
      <c r="I17" s="5">
        <v>705000</v>
      </c>
      <c r="J17" t="s">
        <v>70</v>
      </c>
      <c r="K17" s="3">
        <v>1800</v>
      </c>
      <c r="L17" s="3">
        <v>300</v>
      </c>
      <c r="M17" s="5">
        <v>540000</v>
      </c>
      <c r="N17" t="s">
        <v>71</v>
      </c>
      <c r="O17" s="3">
        <v>1200</v>
      </c>
      <c r="P17" s="3">
        <v>300</v>
      </c>
      <c r="Q17" s="5">
        <v>360000</v>
      </c>
      <c r="R17" t="s">
        <v>72</v>
      </c>
      <c r="S17" s="3"/>
      <c r="T17" s="3"/>
      <c r="U17" s="5"/>
      <c r="W17" s="3"/>
      <c r="X17" s="3"/>
      <c r="Y17" s="5"/>
    </row>
    <row r="18" spans="1:25" ht="60" x14ac:dyDescent="0.25">
      <c r="A18" t="s">
        <v>73</v>
      </c>
      <c r="B18" t="s">
        <v>25</v>
      </c>
      <c r="C18" t="s">
        <v>74</v>
      </c>
      <c r="D18" s="4" t="s">
        <v>75</v>
      </c>
      <c r="E18">
        <v>300</v>
      </c>
      <c r="F18" t="s">
        <v>28</v>
      </c>
      <c r="G18" s="3">
        <v>3450</v>
      </c>
      <c r="H18" s="3">
        <v>300</v>
      </c>
      <c r="I18" s="5">
        <v>1035000</v>
      </c>
      <c r="J18" t="s">
        <v>76</v>
      </c>
      <c r="K18" s="3">
        <v>3060</v>
      </c>
      <c r="L18" s="3">
        <v>300</v>
      </c>
      <c r="M18" s="5">
        <v>918000</v>
      </c>
      <c r="N18" s="4" t="s">
        <v>77</v>
      </c>
      <c r="O18" s="3">
        <v>2390</v>
      </c>
      <c r="P18" s="3">
        <v>300</v>
      </c>
      <c r="Q18" s="5">
        <v>717000</v>
      </c>
      <c r="R18" t="s">
        <v>78</v>
      </c>
      <c r="S18" s="3"/>
      <c r="T18" s="3"/>
      <c r="U18" s="5"/>
      <c r="W18" s="3"/>
      <c r="X18" s="3"/>
      <c r="Y18" s="5"/>
    </row>
    <row r="19" spans="1:25" ht="30" x14ac:dyDescent="0.25">
      <c r="A19" t="s">
        <v>79</v>
      </c>
      <c r="B19" t="s">
        <v>25</v>
      </c>
      <c r="C19" t="s">
        <v>80</v>
      </c>
      <c r="D19" s="4" t="s">
        <v>81</v>
      </c>
      <c r="E19">
        <v>300</v>
      </c>
      <c r="F19" t="s">
        <v>28</v>
      </c>
      <c r="G19" s="3">
        <v>2300</v>
      </c>
      <c r="H19" s="3">
        <v>300</v>
      </c>
      <c r="I19" s="5">
        <v>690000</v>
      </c>
      <c r="J19" t="s">
        <v>82</v>
      </c>
      <c r="K19" s="3">
        <v>2160</v>
      </c>
      <c r="L19" s="3">
        <v>300</v>
      </c>
      <c r="M19" s="5">
        <v>648000</v>
      </c>
      <c r="N19" s="4" t="s">
        <v>83</v>
      </c>
      <c r="O19" s="3">
        <v>2390</v>
      </c>
      <c r="P19" s="3">
        <v>300</v>
      </c>
      <c r="Q19" s="5">
        <v>717000</v>
      </c>
      <c r="R19" t="s">
        <v>84</v>
      </c>
      <c r="S19" s="3"/>
      <c r="T19" s="3"/>
      <c r="U19" s="5"/>
      <c r="W19" s="3"/>
      <c r="X19" s="3"/>
      <c r="Y19" s="5"/>
    </row>
    <row r="20" spans="1:25" ht="45" x14ac:dyDescent="0.25">
      <c r="A20" t="s">
        <v>85</v>
      </c>
      <c r="B20" t="s">
        <v>25</v>
      </c>
      <c r="C20" t="s">
        <v>86</v>
      </c>
      <c r="D20" s="4" t="s">
        <v>87</v>
      </c>
      <c r="E20">
        <v>500</v>
      </c>
      <c r="F20" t="s">
        <v>28</v>
      </c>
      <c r="G20" s="3">
        <v>4925</v>
      </c>
      <c r="H20" s="3">
        <v>500</v>
      </c>
      <c r="I20" s="5">
        <v>2462500</v>
      </c>
      <c r="J20" t="s">
        <v>88</v>
      </c>
      <c r="K20" s="3">
        <v>5940</v>
      </c>
      <c r="L20" s="3">
        <v>500</v>
      </c>
      <c r="M20" s="5">
        <v>2970000</v>
      </c>
      <c r="N20" s="4" t="s">
        <v>89</v>
      </c>
      <c r="O20" s="3">
        <v>3800</v>
      </c>
      <c r="P20" s="3">
        <v>500</v>
      </c>
      <c r="Q20" s="5">
        <v>1900000</v>
      </c>
      <c r="R20" t="s">
        <v>90</v>
      </c>
      <c r="S20" s="3"/>
      <c r="T20" s="3"/>
      <c r="U20" s="5"/>
      <c r="W20" s="3"/>
      <c r="X20" s="3"/>
      <c r="Y20" s="5"/>
    </row>
    <row r="21" spans="1:25" ht="45" x14ac:dyDescent="0.25">
      <c r="A21" t="s">
        <v>91</v>
      </c>
      <c r="B21" t="s">
        <v>25</v>
      </c>
      <c r="C21" t="s">
        <v>92</v>
      </c>
      <c r="D21" s="4" t="s">
        <v>93</v>
      </c>
      <c r="E21">
        <v>300</v>
      </c>
      <c r="F21" t="s">
        <v>28</v>
      </c>
      <c r="G21" s="3">
        <v>3650</v>
      </c>
      <c r="H21" s="3">
        <v>300</v>
      </c>
      <c r="I21" s="5">
        <v>1095000</v>
      </c>
      <c r="J21" s="4" t="s">
        <v>94</v>
      </c>
      <c r="K21" s="3">
        <v>1800</v>
      </c>
      <c r="L21" s="3">
        <v>300</v>
      </c>
      <c r="M21" s="5">
        <v>540000</v>
      </c>
      <c r="N21" t="s">
        <v>95</v>
      </c>
      <c r="O21" s="3">
        <v>1500</v>
      </c>
      <c r="P21" s="3">
        <v>300</v>
      </c>
      <c r="Q21" s="5">
        <v>450000</v>
      </c>
      <c r="R21" t="s">
        <v>96</v>
      </c>
      <c r="S21" s="3"/>
      <c r="T21" s="3"/>
      <c r="U21" s="5"/>
      <c r="W21" s="3"/>
      <c r="X21" s="3"/>
      <c r="Y21" s="5"/>
    </row>
    <row r="22" spans="1:25" ht="30" x14ac:dyDescent="0.25">
      <c r="A22" t="s">
        <v>97</v>
      </c>
      <c r="B22" t="s">
        <v>25</v>
      </c>
      <c r="C22" t="s">
        <v>98</v>
      </c>
      <c r="D22" s="4" t="s">
        <v>99</v>
      </c>
      <c r="E22">
        <v>50</v>
      </c>
      <c r="F22" t="s">
        <v>28</v>
      </c>
      <c r="G22" s="3">
        <v>4800</v>
      </c>
      <c r="H22" s="3">
        <v>50</v>
      </c>
      <c r="I22" s="5">
        <v>240000</v>
      </c>
      <c r="J22" t="s">
        <v>100</v>
      </c>
      <c r="K22" s="3">
        <v>3600</v>
      </c>
      <c r="L22" s="3">
        <v>50</v>
      </c>
      <c r="M22" s="5">
        <v>180000</v>
      </c>
      <c r="N22" t="s">
        <v>95</v>
      </c>
      <c r="O22" s="3">
        <v>3700</v>
      </c>
      <c r="P22" s="3">
        <v>50</v>
      </c>
      <c r="Q22" s="5">
        <v>185000</v>
      </c>
      <c r="R22" t="s">
        <v>101</v>
      </c>
      <c r="S22" s="3"/>
      <c r="T22" s="3"/>
      <c r="U22" s="5"/>
      <c r="W22" s="3"/>
      <c r="X22" s="3"/>
      <c r="Y22" s="5"/>
    </row>
    <row r="23" spans="1:25" ht="30" x14ac:dyDescent="0.25">
      <c r="A23" t="s">
        <v>102</v>
      </c>
      <c r="B23" t="s">
        <v>25</v>
      </c>
      <c r="C23" t="s">
        <v>103</v>
      </c>
      <c r="D23" s="4" t="s">
        <v>104</v>
      </c>
      <c r="E23">
        <v>50</v>
      </c>
      <c r="F23" t="s">
        <v>28</v>
      </c>
      <c r="G23" s="3">
        <v>79</v>
      </c>
      <c r="H23" s="3">
        <v>50</v>
      </c>
      <c r="I23" s="5">
        <v>3950</v>
      </c>
      <c r="J23" s="4" t="s">
        <v>105</v>
      </c>
      <c r="K23" s="3"/>
      <c r="L23" s="3"/>
      <c r="M23" s="5"/>
      <c r="O23" s="3">
        <v>59</v>
      </c>
      <c r="P23" s="3">
        <v>50</v>
      </c>
      <c r="Q23" s="5">
        <v>2950</v>
      </c>
      <c r="R23" t="s">
        <v>106</v>
      </c>
      <c r="S23" s="3"/>
      <c r="T23" s="3"/>
      <c r="U23" s="5"/>
      <c r="W23" s="3"/>
      <c r="X23" s="3"/>
      <c r="Y23" s="5"/>
    </row>
    <row r="24" spans="1:25" ht="30" x14ac:dyDescent="0.25">
      <c r="A24" t="s">
        <v>107</v>
      </c>
      <c r="B24" t="s">
        <v>25</v>
      </c>
      <c r="C24" t="s">
        <v>108</v>
      </c>
      <c r="D24" s="4" t="s">
        <v>109</v>
      </c>
      <c r="E24">
        <v>50</v>
      </c>
      <c r="F24" t="s">
        <v>28</v>
      </c>
      <c r="G24" s="3">
        <v>79</v>
      </c>
      <c r="H24" s="3">
        <v>50</v>
      </c>
      <c r="I24" s="5">
        <v>3950</v>
      </c>
      <c r="J24" t="s">
        <v>110</v>
      </c>
      <c r="K24" s="3">
        <v>720</v>
      </c>
      <c r="L24" s="3">
        <v>50</v>
      </c>
      <c r="M24" s="5">
        <v>36000</v>
      </c>
      <c r="N24" t="s">
        <v>111</v>
      </c>
      <c r="O24" s="3">
        <v>59</v>
      </c>
      <c r="P24" s="3">
        <v>50</v>
      </c>
      <c r="Q24" s="5">
        <v>2950</v>
      </c>
      <c r="R24" t="s">
        <v>112</v>
      </c>
      <c r="S24" s="3"/>
      <c r="T24" s="3"/>
      <c r="U24" s="5"/>
      <c r="W24" s="3"/>
      <c r="X24" s="3"/>
      <c r="Y24" s="5"/>
    </row>
    <row r="25" spans="1:25" ht="30" x14ac:dyDescent="0.25">
      <c r="A25" t="s">
        <v>113</v>
      </c>
      <c r="B25" t="s">
        <v>25</v>
      </c>
      <c r="C25" t="s">
        <v>114</v>
      </c>
      <c r="D25" s="4" t="s">
        <v>115</v>
      </c>
      <c r="E25">
        <v>50</v>
      </c>
      <c r="F25" t="s">
        <v>28</v>
      </c>
      <c r="G25" s="3">
        <v>79</v>
      </c>
      <c r="H25" s="3">
        <v>50</v>
      </c>
      <c r="I25" s="5">
        <v>3950</v>
      </c>
      <c r="J25" t="s">
        <v>116</v>
      </c>
      <c r="K25" s="3">
        <v>720</v>
      </c>
      <c r="L25" s="3">
        <v>50</v>
      </c>
      <c r="M25" s="5">
        <v>36000</v>
      </c>
      <c r="N25" t="s">
        <v>117</v>
      </c>
      <c r="O25" s="3">
        <v>59</v>
      </c>
      <c r="P25" s="3">
        <v>50</v>
      </c>
      <c r="Q25" s="5">
        <v>2950</v>
      </c>
      <c r="R25" t="s">
        <v>118</v>
      </c>
      <c r="S25" s="3"/>
      <c r="T25" s="3"/>
      <c r="U25" s="5"/>
      <c r="W25" s="3"/>
      <c r="X25" s="3"/>
      <c r="Y25" s="5"/>
    </row>
    <row r="26" spans="1:25" ht="30" x14ac:dyDescent="0.25">
      <c r="A26" t="s">
        <v>119</v>
      </c>
      <c r="B26" t="s">
        <v>25</v>
      </c>
      <c r="C26" t="s">
        <v>120</v>
      </c>
      <c r="D26" s="4" t="s">
        <v>121</v>
      </c>
      <c r="E26">
        <v>400</v>
      </c>
      <c r="F26" t="s">
        <v>28</v>
      </c>
      <c r="G26" s="3">
        <v>985</v>
      </c>
      <c r="H26" s="3">
        <v>400</v>
      </c>
      <c r="I26" s="5">
        <v>394000</v>
      </c>
      <c r="J26" s="4" t="s">
        <v>122</v>
      </c>
      <c r="K26" s="3">
        <v>1170</v>
      </c>
      <c r="L26" s="3">
        <v>400</v>
      </c>
      <c r="M26" s="5">
        <v>468000</v>
      </c>
      <c r="N26" s="4" t="s">
        <v>121</v>
      </c>
      <c r="O26" s="3">
        <v>1200</v>
      </c>
      <c r="P26" s="3">
        <v>400</v>
      </c>
      <c r="Q26" s="5">
        <v>480000</v>
      </c>
      <c r="R26" t="s">
        <v>123</v>
      </c>
      <c r="S26" s="3"/>
      <c r="T26" s="3"/>
      <c r="U26" s="5"/>
      <c r="W26" s="3"/>
      <c r="X26" s="3"/>
      <c r="Y26" s="5"/>
    </row>
    <row r="27" spans="1:25" ht="30" x14ac:dyDescent="0.25">
      <c r="A27" t="s">
        <v>124</v>
      </c>
      <c r="B27" t="s">
        <v>25</v>
      </c>
      <c r="C27" t="s">
        <v>125</v>
      </c>
      <c r="D27" s="4" t="s">
        <v>126</v>
      </c>
      <c r="E27">
        <v>150</v>
      </c>
      <c r="F27" t="s">
        <v>28</v>
      </c>
      <c r="G27" s="3">
        <v>8500</v>
      </c>
      <c r="H27" s="3">
        <v>150</v>
      </c>
      <c r="I27" s="5">
        <v>1275000</v>
      </c>
      <c r="J27" s="4" t="s">
        <v>127</v>
      </c>
      <c r="K27" s="3">
        <v>8100</v>
      </c>
      <c r="L27" s="3">
        <v>150</v>
      </c>
      <c r="M27" s="5">
        <v>1215000</v>
      </c>
      <c r="N27" t="s">
        <v>128</v>
      </c>
      <c r="O27" s="3">
        <v>5900</v>
      </c>
      <c r="P27" s="3">
        <v>150</v>
      </c>
      <c r="Q27" s="5">
        <v>885000</v>
      </c>
      <c r="R27" t="s">
        <v>129</v>
      </c>
      <c r="S27" s="3"/>
      <c r="T27" s="3"/>
      <c r="U27" s="5"/>
      <c r="W27" s="3"/>
      <c r="X27" s="3"/>
      <c r="Y27" s="5"/>
    </row>
    <row r="28" spans="1:25" ht="30" x14ac:dyDescent="0.25">
      <c r="A28" t="s">
        <v>130</v>
      </c>
      <c r="B28" t="s">
        <v>25</v>
      </c>
      <c r="C28" t="s">
        <v>131</v>
      </c>
      <c r="D28" s="4" t="s">
        <v>132</v>
      </c>
      <c r="E28">
        <v>150</v>
      </c>
      <c r="F28" t="s">
        <v>28</v>
      </c>
      <c r="G28" s="3">
        <v>6425</v>
      </c>
      <c r="H28" s="3">
        <v>150</v>
      </c>
      <c r="I28" s="5">
        <v>963750</v>
      </c>
      <c r="J28" t="s">
        <v>133</v>
      </c>
      <c r="K28" s="3">
        <v>11700</v>
      </c>
      <c r="L28" s="3">
        <v>150</v>
      </c>
      <c r="M28" s="5">
        <v>1755000</v>
      </c>
      <c r="N28" t="s">
        <v>134</v>
      </c>
      <c r="O28" s="3">
        <v>4500</v>
      </c>
      <c r="P28" s="3">
        <v>150</v>
      </c>
      <c r="Q28" s="5">
        <v>675000</v>
      </c>
      <c r="R28" t="s">
        <v>135</v>
      </c>
      <c r="S28" s="3"/>
      <c r="T28" s="3"/>
      <c r="U28" s="5"/>
      <c r="W28" s="3"/>
      <c r="X28" s="3"/>
      <c r="Y28" s="5"/>
    </row>
    <row r="29" spans="1:25" ht="30" x14ac:dyDescent="0.25">
      <c r="A29" t="s">
        <v>136</v>
      </c>
      <c r="B29" t="s">
        <v>25</v>
      </c>
      <c r="C29" t="s">
        <v>137</v>
      </c>
      <c r="D29" s="4" t="s">
        <v>138</v>
      </c>
      <c r="E29">
        <v>150</v>
      </c>
      <c r="F29" t="s">
        <v>28</v>
      </c>
      <c r="G29" s="3">
        <v>5300</v>
      </c>
      <c r="H29" s="3">
        <v>150</v>
      </c>
      <c r="I29" s="5">
        <v>795000</v>
      </c>
      <c r="J29" s="4" t="s">
        <v>139</v>
      </c>
      <c r="K29" s="3">
        <v>4680</v>
      </c>
      <c r="L29" s="3">
        <v>150</v>
      </c>
      <c r="M29" s="5">
        <v>702000</v>
      </c>
      <c r="N29" t="s">
        <v>140</v>
      </c>
      <c r="O29" s="3">
        <v>2875</v>
      </c>
      <c r="P29" s="3">
        <v>150</v>
      </c>
      <c r="Q29" s="5">
        <v>431250</v>
      </c>
      <c r="R29" t="s">
        <v>141</v>
      </c>
      <c r="S29" s="3"/>
      <c r="T29" s="3"/>
      <c r="U29" s="5"/>
      <c r="W29" s="3"/>
      <c r="X29" s="3"/>
      <c r="Y29" s="5"/>
    </row>
    <row r="30" spans="1:25" ht="45" x14ac:dyDescent="0.25">
      <c r="A30" t="s">
        <v>142</v>
      </c>
      <c r="B30" t="s">
        <v>25</v>
      </c>
      <c r="C30" t="s">
        <v>143</v>
      </c>
      <c r="D30" s="4" t="s">
        <v>144</v>
      </c>
      <c r="E30">
        <v>150</v>
      </c>
      <c r="F30" t="s">
        <v>28</v>
      </c>
      <c r="G30" s="3">
        <v>2300</v>
      </c>
      <c r="H30" s="3">
        <v>150</v>
      </c>
      <c r="I30" s="5">
        <v>345000</v>
      </c>
      <c r="J30" s="4" t="s">
        <v>145</v>
      </c>
      <c r="K30" s="3">
        <v>1620</v>
      </c>
      <c r="L30" s="3">
        <v>150</v>
      </c>
      <c r="M30" s="5">
        <v>243000</v>
      </c>
      <c r="N30" s="4" t="s">
        <v>146</v>
      </c>
      <c r="O30" s="3">
        <v>1700</v>
      </c>
      <c r="P30" s="3">
        <v>150</v>
      </c>
      <c r="Q30" s="5">
        <v>255000</v>
      </c>
      <c r="R30" t="s">
        <v>147</v>
      </c>
      <c r="S30" s="3"/>
      <c r="T30" s="3"/>
      <c r="U30" s="5"/>
      <c r="W30" s="3"/>
      <c r="X30" s="3"/>
      <c r="Y30" s="5"/>
    </row>
    <row r="31" spans="1:25" x14ac:dyDescent="0.25">
      <c r="C31" t="s">
        <v>148</v>
      </c>
      <c r="D31" s="4"/>
      <c r="G31" s="3"/>
      <c r="H31" s="3"/>
      <c r="I31" s="5">
        <f>SUBTOTAL(109,Table2[Total por renglón])</f>
        <v>15217100</v>
      </c>
      <c r="J31" s="4"/>
      <c r="K31" s="3"/>
      <c r="L31" s="3"/>
      <c r="M31" s="5">
        <f>SUBTOTAL(109,Table3[Total por renglón])</f>
        <v>17403030</v>
      </c>
      <c r="N31" s="4"/>
      <c r="O31" s="3"/>
      <c r="P31" s="3"/>
      <c r="Q31" s="5">
        <f>SUBTOTAL(109,Table4[Total por renglón])</f>
        <v>14692100</v>
      </c>
      <c r="S31" s="3"/>
      <c r="T31" s="3"/>
      <c r="U31" s="5">
        <f>SUBTOTAL(109,Table5[Total por renglón])</f>
        <v>1084000</v>
      </c>
      <c r="W31" s="3"/>
      <c r="X31" s="3"/>
      <c r="Y31" s="5">
        <f>SUBTOTAL(109,Table6[Total por renglón])</f>
        <v>3600000</v>
      </c>
    </row>
  </sheetData>
  <mergeCells count="6">
    <mergeCell ref="A8:F8"/>
    <mergeCell ref="G8:J8"/>
    <mergeCell ref="K8:N8"/>
    <mergeCell ref="O8:R8"/>
    <mergeCell ref="S8:V8"/>
    <mergeCell ref="W8:Z8"/>
  </mergeCells>
  <pageMargins left="0.75" right="0.75" top="0.75" bottom="0.5" header="0.5" footer="0.75"/>
  <tableParts count="6">
    <tablePart r:id="rId1"/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4</vt:i4>
      </vt:variant>
    </vt:vector>
  </HeadingPairs>
  <TitlesOfParts>
    <vt:vector size="5" baseType="lpstr">
      <vt:lpstr>Cuadro comparativo</vt:lpstr>
      <vt:lpstr>Datos</vt:lpstr>
      <vt:lpstr>DatosTitulos</vt:lpstr>
      <vt:lpstr>PROVEEDOR</vt:lpstr>
      <vt:lpstr>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HERNAN OLIMA</cp:lastModifiedBy>
  <dcterms:created xsi:type="dcterms:W3CDTF">2022-11-29T13:10:38Z</dcterms:created>
  <dcterms:modified xsi:type="dcterms:W3CDTF">2022-11-29T13:11:32Z</dcterms:modified>
</cp:coreProperties>
</file>