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383952-CAT-DPPR#MHP\"/>
    </mc:Choice>
  </mc:AlternateContent>
  <xr:revisionPtr revIDLastSave="0" documentId="8_{3FC985F5-C1BD-4945-84DD-2E7DB2D40B74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Gastar'!$A$1:$Q$27</definedName>
    <definedName name="_xlnm.Print_Area" localSheetId="0">'Necesidades Trimestrales'!$E$9:$E$14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J13" i="2"/>
  <c r="J14" i="2"/>
  <c r="J15" i="2"/>
  <c r="J16" i="2"/>
  <c r="J12" i="2"/>
  <c r="K12" i="2"/>
  <c r="J17" i="2" l="1"/>
  <c r="B13" i="2"/>
  <c r="B14" i="2"/>
  <c r="B15" i="2"/>
  <c r="B16" i="2"/>
  <c r="K15" i="3" l="1"/>
  <c r="I15" i="3"/>
  <c r="A10" i="3" l="1"/>
  <c r="C16" i="2" l="1"/>
  <c r="C15" i="2"/>
  <c r="C14" i="2"/>
  <c r="I14" i="2"/>
  <c r="I15" i="2"/>
  <c r="I16" i="2"/>
  <c r="I13" i="2"/>
  <c r="C13" i="2"/>
  <c r="I12" i="1" l="1"/>
  <c r="I13" i="1"/>
  <c r="I14" i="1"/>
  <c r="I11" i="1"/>
  <c r="G6" i="3" l="1"/>
  <c r="G7" i="3"/>
  <c r="D7" i="2"/>
  <c r="D3" i="2"/>
  <c r="G4" i="3" s="1"/>
  <c r="D4" i="2"/>
  <c r="G5" i="3" s="1"/>
  <c r="D1" i="3" l="1"/>
  <c r="I12" i="2"/>
  <c r="C12" i="2"/>
  <c r="B12" i="2"/>
  <c r="I10" i="1"/>
  <c r="Q22" i="3" l="1"/>
</calcChain>
</file>

<file path=xl/sharedStrings.xml><?xml version="1.0" encoding="utf-8"?>
<sst xmlns="http://schemas.openxmlformats.org/spreadsheetml/2006/main" count="111" uniqueCount="89">
  <si>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</si>
  <si>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</si>
  <si>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</si>
  <si>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</si>
  <si>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</si>
  <si>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</si>
  <si>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</si>
  <si>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</si>
  <si>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</si>
  <si>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</si>
  <si>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</si>
  <si>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</si>
  <si>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</si>
  <si>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</si>
  <si>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</si>
  <si>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</si>
  <si>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</si>
  <si>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</si>
  <si>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</si>
  <si>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</si>
  <si>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</si>
  <si>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</si>
  <si>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</si>
  <si>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</si>
  <si>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</si>
  <si>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</si>
  <si>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</si>
  <si>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</si>
  <si>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</si>
  <si>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</si>
  <si>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</si>
  <si>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</si>
  <si>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</si>
  <si>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</si>
  <si>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</si>
  <si>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</si>
  <si>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</si>
  <si>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</si>
  <si>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</si>
  <si>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</si>
  <si>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</si>
  <si>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</si>
  <si>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</si>
  <si>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</si>
  <si>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</si>
  <si>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</si>
  <si>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</si>
  <si>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</si>
  <si>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</si>
  <si>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</si>
  <si>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</si>
  <si>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</si>
  <si>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</si>
  <si>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</si>
  <si>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</si>
  <si>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Especificidades Item N° 5:</t>
  </si>
  <si>
    <t>Plazos y lugares de entrega</t>
  </si>
  <si>
    <t>4.3.6-6160.221</t>
  </si>
  <si>
    <t>INFORMATICA</t>
  </si>
  <si>
    <t>4.3.6-6169.98</t>
  </si>
  <si>
    <t>MONITORES; TIPO: TFT/LCD/LED ESTANDAR, CODIGO ETAP: MN-005, VERSION ETAP: 21.0</t>
  </si>
  <si>
    <t>4.3.6-6161.294</t>
  </si>
  <si>
    <t>IMPRESORAS; TIPO: LASER MONOCROMATICA, CODIGO ETAP: PR-017, VERSION ETAP: 19.0</t>
  </si>
  <si>
    <t>4.3.6-6191.72</t>
  </si>
  <si>
    <t>UPS; TIPO: P/SERVIDORES Y/O RACKS, CODIGO ETAP: UPS-002, VERSION ETAP: 19.0</t>
  </si>
  <si>
    <t>4.3.6-6170.58</t>
  </si>
  <si>
    <t>DIG. DE IMAGENES/ESCANER; TIPO: ESTANDAR, CODIGO ETAP: SC-002, VERSION ETAP: 22.0</t>
  </si>
  <si>
    <r>
      <t>Mantenimiento:</t>
    </r>
    <r>
      <rPr>
        <sz val="10"/>
        <rFont val="Times New Roman"/>
        <family val="1"/>
      </rPr>
      <t xml:space="preserve"> 45 dias habiles</t>
    </r>
  </si>
  <si>
    <t>Especificidades Item N° 1:</t>
  </si>
  <si>
    <t>Especificidades Item N° 2:</t>
  </si>
  <si>
    <t>Especificidades Item N° 3:</t>
  </si>
  <si>
    <t>Especificidades Item N° 4:</t>
  </si>
  <si>
    <t>SI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</si>
  <si>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Compra. A los fines de garantizar la atencion y el funcionamiento integro de los servicios de Salud que surgen originadas principalmente en las Urgencias, en el rol de Servicio Esencial por la situacion de Pandemia Covid-19.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</si>
  <si>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INFORMATICA -HOSPITAL INT. DE NIÑOS – AV. VIRGEN DEL VALLE N° 1050-CATAMARCA DE 8:00 A 12:00HS., DEBIENDO CORRER LOS GASTOS DE FLETES, ACARREO, CARGA, DESCARGA Y SEGURO A CARGO DEL ADJUDICATARIO.</t>
    </r>
  </si>
  <si>
    <t>Servicio de Informatica</t>
  </si>
  <si>
    <t>Equipamiento Informatico.</t>
  </si>
  <si>
    <t>71/2021</t>
  </si>
  <si>
    <t>Equipos para Computacion</t>
  </si>
  <si>
    <t>1.3</t>
  </si>
  <si>
    <t>Costo total estimado: Seiscientos Noventa Y Dos Mil Quinientos con 00/100.</t>
  </si>
  <si>
    <t>TOTAL DE PESOS: SEISCIENTOS NOVENTA  Y DOS MIL QUINIENTOS CON 00/100.</t>
  </si>
  <si>
    <r>
      <t xml:space="preserve">Procesador Intel Core I3, 4 nucleos (4hilos), 6 Mb smartcache 4,20 Ghz, modelo 9100 0 superior. Memoria Ram de 6 Gb o superior tipo DDR4. Disco de estado solido de SSD 500Gb o superior. Fuente de poder 550 watts o superior.  Placa Madre con salida de video HDMI y VGA. Sistema Operativo Gratuito (OS FREE, Libre). Kit de Teclado, Mouse y parlante.                                              </t>
    </r>
    <r>
      <rPr>
        <b/>
        <sz val="10"/>
        <rFont val="Times New Roman"/>
        <family val="1"/>
      </rPr>
      <t xml:space="preserve">BAPIM N° 07/18/4762 </t>
    </r>
  </si>
  <si>
    <r>
      <t xml:space="preserve">Monitor 19" tecnología LED tamaño de pantalla 18.5". Resolución Maxima:1366 x 768. Relación de Aspecto: 16:9, Angulo de Visión: 170° / 160° (H/V), Colores Despegables: 16.7 Millones de Colores Contraste Dinámico: 50,000,000:1, Brillo: 250 cd/m2, Tiempo de Respuesta: 5 ms Frecuencia de Actualización: 60 Hz Entradas: VGA y HDMI.                                                                                                         </t>
    </r>
    <r>
      <rPr>
        <b/>
        <sz val="10"/>
        <rFont val="Times New Roman"/>
        <family val="1"/>
      </rPr>
      <t>BAPIM N° 07/18/4762</t>
    </r>
    <r>
      <rPr>
        <sz val="10"/>
        <rFont val="Times New Roman"/>
        <family val="1"/>
      </rPr>
      <t xml:space="preserve"> </t>
    </r>
  </si>
  <si>
    <r>
      <t xml:space="preserve">Velocidad de impresión monocromatica de 20ppm. Tecnologia de Impresión Laser. Tipo de impresora Simple funcion. Metodo de impresión doble faz manual. Con puerto USB.                                                                                      </t>
    </r>
    <r>
      <rPr>
        <b/>
        <sz val="10"/>
        <rFont val="Times New Roman"/>
        <family val="1"/>
      </rPr>
      <t>BAPIM N° 07/18/4762</t>
    </r>
    <r>
      <rPr>
        <sz val="10"/>
        <rFont val="Times New Roman"/>
        <family val="1"/>
      </rPr>
      <t xml:space="preserve"> </t>
    </r>
  </si>
  <si>
    <r>
      <t xml:space="preserve">Potencia max. Configurable(vatios) 2.4 kilovatios/ 3.0 KVA. Tension de salida configurable para 220: tensión de salida 230 a 240  Frecuencia de salida (sincronizada con la red electrica) 50/60 Hz +/- 3 Hz. Topologia Online de doble conversion. Tipo de forma de Onda senoidal. Derivación interna automatica y manual. Cantidad de tomas 6. Puerto USB. Tiempo maximo de carga 4hs.                                    </t>
    </r>
    <r>
      <rPr>
        <b/>
        <sz val="10"/>
        <rFont val="Times New Roman"/>
        <family val="1"/>
      </rPr>
      <t>BAPIM N° 07/18/5043</t>
    </r>
  </si>
  <si>
    <r>
      <t xml:space="preserve">Velocidad de produccion 25 ppm/50 ipm. Capacidad de alimentador hasta 80 paginas de papel de 80 g/m2 (20lb). Conenctividad USB. Tamaño maximo del documento 216mm x 3000 mm. Tamaño minimo 52mm x 52 mm. Resolución de captura optica 600 dpi. Opcion de resolución de salida de imagenes hasta 1200 dpi.                                                                                                                 </t>
    </r>
    <r>
      <rPr>
        <b/>
        <sz val="10"/>
        <rFont val="Times New Roman"/>
        <family val="1"/>
      </rPr>
      <t>BAPIM N° 07/08/5513</t>
    </r>
  </si>
  <si>
    <t>Para la adquisición de Equipamiento Informatico destinados al Servico de Informatica del Hospital Interzonal de Niños Eva Peron, para el normal funcionamiento del organismo.</t>
  </si>
  <si>
    <t>COMPUTADORAS; TIPO: DE ESCRITORIO, CODIGO ETAP: PC-002-00, VERSION ETAP: 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</si>
</sst>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#,##0.00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64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166" fontId="13" fillId="0" borderId="41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 applyBorder="1"/>
    <xf numFmtId="0" fontId="15" fillId="0" borderId="8" xfId="0" applyFont="1" applyBorder="1"/>
    <xf numFmtId="0" fontId="22" fillId="0" borderId="7" xfId="0" applyFont="1" applyBorder="1" applyAlignment="1">
      <alignment horizontal="left" indent="3"/>
    </xf>
    <xf numFmtId="166" fontId="15" fillId="0" borderId="0" xfId="0" applyNumberFormat="1" applyFont="1"/>
    <xf numFmtId="0" fontId="5" fillId="3" borderId="12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21" fillId="4" borderId="2" xfId="0" applyFont="1" applyFill="1" applyBorder="1" applyAlignment="1">
      <alignment horizontal="center" vertical="center" wrapText="1"/>
    </xf>
    <xf numFmtId="166" fontId="20" fillId="4" borderId="2" xfId="1" applyNumberFormat="1" applyFont="1" applyFill="1" applyBorder="1" applyAlignment="1" applyProtection="1">
      <alignment horizontal="right" vertical="center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0" fontId="20" fillId="0" borderId="46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 wrapText="1"/>
    </xf>
    <xf numFmtId="0" fontId="21" fillId="4" borderId="45" xfId="0" applyFont="1" applyFill="1" applyBorder="1" applyAlignment="1">
      <alignment horizontal="center" vertical="center" wrapText="1"/>
    </xf>
    <xf numFmtId="166" fontId="20" fillId="4" borderId="45" xfId="1" applyNumberFormat="1" applyFont="1" applyFill="1" applyBorder="1" applyAlignment="1" applyProtection="1">
      <alignment horizontal="right" vertical="center" wrapText="1"/>
    </xf>
    <xf numFmtId="166" fontId="20" fillId="4" borderId="48" xfId="1" applyNumberFormat="1" applyFont="1" applyFill="1" applyBorder="1" applyAlignment="1" applyProtection="1">
      <alignment horizontal="right" vertical="center" wrapText="1"/>
    </xf>
    <xf numFmtId="0" fontId="0" fillId="4" borderId="49" xfId="0" applyFont="1" applyFill="1" applyBorder="1" applyAlignment="1">
      <alignment horizontal="center" vertical="center"/>
    </xf>
    <xf numFmtId="0" fontId="0" fillId="4" borderId="35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0" fontId="0" fillId="3" borderId="35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0" fillId="4" borderId="50" xfId="0" applyFont="1" applyFill="1" applyBorder="1" applyAlignment="1">
      <alignment horizontal="center" vertical="center"/>
    </xf>
    <xf numFmtId="0" fontId="0" fillId="3" borderId="50" xfId="0" applyFont="1" applyFill="1" applyBorder="1" applyAlignment="1">
      <alignment horizontal="center" vertical="center"/>
    </xf>
    <xf numFmtId="169" fontId="15" fillId="0" borderId="0" xfId="0" applyNumberFormat="1" applyFont="1"/>
    <xf numFmtId="0" fontId="22" fillId="0" borderId="4" xfId="0" applyFont="1" applyBorder="1" applyAlignment="1">
      <alignment horizontal="left" indent="3"/>
    </xf>
    <xf numFmtId="0" fontId="22" fillId="0" borderId="7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5" fillId="0" borderId="9" xfId="0" applyFont="1" applyBorder="1" applyAlignment="1">
      <alignment horizontal="left" indent="3"/>
    </xf>
    <xf numFmtId="0" fontId="15" fillId="0" borderId="10" xfId="0" applyFont="1" applyBorder="1"/>
    <xf numFmtId="0" fontId="15" fillId="0" borderId="11" xfId="0" applyFont="1" applyBorder="1"/>
    <xf numFmtId="0" fontId="15" fillId="0" borderId="5" xfId="0" applyFont="1" applyFill="1" applyBorder="1"/>
    <xf numFmtId="0" fontId="15" fillId="0" borderId="6" xfId="0" applyFont="1" applyFill="1" applyBorder="1"/>
    <xf numFmtId="0" fontId="15" fillId="0" borderId="0" xfId="0" applyFont="1" applyFill="1" applyBorder="1"/>
    <xf numFmtId="0" fontId="15" fillId="0" borderId="8" xfId="0" applyFont="1" applyFill="1" applyBorder="1"/>
    <xf numFmtId="0" fontId="0" fillId="0" borderId="2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5" xfId="0" applyBorder="1" applyAlignment="1">
      <alignment vertical="center" wrapText="1"/>
    </xf>
    <xf numFmtId="0" fontId="19" fillId="0" borderId="16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0" fillId="0" borderId="52" xfId="0" applyBorder="1" applyAlignment="1">
      <alignment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4" borderId="52" xfId="0" applyFont="1" applyFill="1" applyBorder="1" applyAlignment="1">
      <alignment horizontal="center" vertical="center" wrapText="1"/>
    </xf>
    <xf numFmtId="166" fontId="20" fillId="4" borderId="52" xfId="1" applyNumberFormat="1" applyFont="1" applyFill="1" applyBorder="1" applyAlignment="1" applyProtection="1">
      <alignment horizontal="right" vertical="center" wrapText="1"/>
    </xf>
    <xf numFmtId="166" fontId="20" fillId="4" borderId="53" xfId="1" applyNumberFormat="1" applyFont="1" applyFill="1" applyBorder="1" applyAlignment="1" applyProtection="1">
      <alignment horizontal="right" vertical="center" wrapText="1"/>
    </xf>
    <xf numFmtId="0" fontId="0" fillId="0" borderId="52" xfId="0" applyBorder="1" applyAlignment="1">
      <alignment wrapText="1"/>
    </xf>
    <xf numFmtId="0" fontId="4" fillId="3" borderId="4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6" fontId="4" fillId="3" borderId="2" xfId="1" applyNumberFormat="1" applyFont="1" applyFill="1" applyBorder="1" applyAlignment="1" applyProtection="1">
      <alignment horizontal="right" vertical="center" wrapText="1"/>
    </xf>
    <xf numFmtId="3" fontId="4" fillId="3" borderId="3" xfId="0" applyNumberFormat="1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left" vertical="center"/>
    </xf>
    <xf numFmtId="0" fontId="4" fillId="4" borderId="45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45" xfId="0" applyBorder="1" applyAlignment="1">
      <alignment wrapText="1"/>
    </xf>
    <xf numFmtId="0" fontId="22" fillId="0" borderId="0" xfId="0" applyFont="1" applyBorder="1"/>
    <xf numFmtId="0" fontId="22" fillId="0" borderId="54" xfId="0" applyFont="1" applyBorder="1"/>
    <xf numFmtId="0" fontId="15" fillId="0" borderId="55" xfId="0" applyFont="1" applyFill="1" applyBorder="1"/>
    <xf numFmtId="0" fontId="15" fillId="0" borderId="56" xfId="0" applyFont="1" applyFill="1" applyBorder="1"/>
    <xf numFmtId="0" fontId="22" fillId="0" borderId="57" xfId="0" applyFont="1" applyBorder="1" applyAlignment="1">
      <alignment horizontal="left" indent="3"/>
    </xf>
    <xf numFmtId="0" fontId="15" fillId="0" borderId="58" xfId="0" applyFont="1" applyFill="1" applyBorder="1"/>
    <xf numFmtId="0" fontId="15" fillId="0" borderId="9" xfId="0" applyFont="1" applyFill="1" applyBorder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15" fillId="0" borderId="11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0" borderId="59" xfId="0" applyFont="1" applyFill="1" applyBorder="1" applyAlignment="1">
      <alignment horizontal="left" vertical="center" wrapText="1"/>
    </xf>
    <xf numFmtId="0" fontId="15" fillId="0" borderId="60" xfId="0" applyFont="1" applyFill="1" applyBorder="1" applyAlignment="1">
      <alignment horizontal="left" vertical="center" wrapText="1"/>
    </xf>
    <xf numFmtId="0" fontId="15" fillId="0" borderId="61" xfId="0" applyFont="1" applyFill="1" applyBorder="1" applyAlignment="1">
      <alignment horizontal="left" vertical="center" wrapText="1"/>
    </xf>
    <xf numFmtId="0" fontId="15" fillId="4" borderId="7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8" xfId="5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 indent="1"/>
    </xf>
    <xf numFmtId="0" fontId="7" fillId="3" borderId="17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 wrapText="1" indent="1"/>
    </xf>
    <xf numFmtId="0" fontId="8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167" fontId="7" fillId="3" borderId="16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45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11" fillId="0" borderId="13" xfId="0" applyFont="1" applyBorder="1" applyAlignment="1">
      <alignment horizontal="left" indent="1"/>
    </xf>
    <xf numFmtId="0" fontId="4" fillId="0" borderId="15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/>
    </xf>
    <xf numFmtId="0" fontId="14" fillId="0" borderId="35" xfId="0" applyFont="1" applyBorder="1" applyAlignment="1">
      <alignment horizontal="left" vertical="center"/>
    </xf>
    <xf numFmtId="0" fontId="0" fillId="0" borderId="35" xfId="0" applyFont="1" applyBorder="1" applyAlignment="1">
      <alignment horizontal="left" vertical="center"/>
    </xf>
    <xf numFmtId="0" fontId="0" fillId="0" borderId="35" xfId="0" applyFont="1" applyBorder="1" applyAlignment="1">
      <alignment horizontal="left" vertical="center" wrapTex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9" fillId="0" borderId="21" xfId="0" applyFont="1" applyBorder="1" applyAlignment="1">
      <alignment vertical="center" wrapText="1"/>
    </xf>
    <xf numFmtId="0" fontId="9" fillId="0" borderId="42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4" borderId="41" xfId="0" applyFont="1" applyFill="1" applyBorder="1" applyAlignment="1">
      <alignment horizontal="left" vertical="center" wrapText="1" indent="1"/>
    </xf>
    <xf numFmtId="0" fontId="0" fillId="0" borderId="35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9" fillId="0" borderId="41" xfId="0" applyFont="1" applyBorder="1" applyAlignment="1">
      <alignment horizontal="left" vertical="center" wrapText="1"/>
    </xf>
    <xf numFmtId="0" fontId="0" fillId="0" borderId="23" xfId="0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42"/>
  <sheetViews>
    <sheetView tabSelected="1" zoomScale="89" zoomScaleNormal="89" workbookViewId="0">
      <selection activeCell="H19" sqref="H19"/>
    </sheetView>
  </sheetViews>
  <sheetFormatPr baseColWidth="10" defaultColWidth="11" defaultRowHeight="12.75" x14ac:dyDescent="0.2"/>
  <cols>
    <col min="1" max="1" width="4.5703125" style="31" customWidth="1"/>
    <col min="2" max="2" width="14" style="31" customWidth="1"/>
    <col min="3" max="3" width="13.5703125" style="31" customWidth="1"/>
    <col min="4" max="4" width="8.42578125" style="31" customWidth="1"/>
    <col min="5" max="5" width="43.28515625" style="31" customWidth="1"/>
    <col min="6" max="6" width="11" style="31"/>
    <col min="7" max="7" width="10.42578125" style="31" bestFit="1" customWidth="1"/>
    <col min="8" max="8" width="13.85546875" style="31" customWidth="1"/>
    <col min="9" max="9" width="18.5703125" style="31" customWidth="1"/>
    <col min="10" max="11" width="11" style="31"/>
    <col min="12" max="12" width="12.7109375" style="31" bestFit="1" customWidth="1"/>
    <col min="13" max="16384" width="11" style="31"/>
  </cols>
  <sheetData>
    <row r="2" spans="1:14" ht="27" x14ac:dyDescent="0.35">
      <c r="B2" s="116" t="s">
        <v>0</v>
      </c>
      <c r="C2" s="116"/>
      <c r="D2" s="116"/>
      <c r="E2" s="116"/>
      <c r="F2" s="116"/>
      <c r="G2" s="116"/>
      <c r="H2" s="116"/>
    </row>
    <row r="3" spans="1:14" ht="12" customHeight="1" x14ac:dyDescent="0.2"/>
    <row r="4" spans="1:14" ht="18" customHeight="1" x14ac:dyDescent="0.25">
      <c r="A4" s="117" t="s">
        <v>1</v>
      </c>
      <c r="B4" s="117"/>
      <c r="C4" s="118" t="s">
        <v>54</v>
      </c>
      <c r="D4" s="118"/>
      <c r="E4" s="118"/>
      <c r="F4" s="32"/>
      <c r="G4" s="33"/>
      <c r="H4" s="32"/>
    </row>
    <row r="5" spans="1:14" ht="18" customHeight="1" x14ac:dyDescent="0.25">
      <c r="A5" s="117" t="s">
        <v>2</v>
      </c>
      <c r="B5" s="117"/>
      <c r="C5" s="118" t="s">
        <v>53</v>
      </c>
      <c r="D5" s="118"/>
      <c r="E5" s="118"/>
      <c r="F5" s="32"/>
      <c r="G5" s="33"/>
      <c r="H5" s="32"/>
    </row>
    <row r="6" spans="1:14" ht="16.5" customHeight="1" x14ac:dyDescent="0.25">
      <c r="A6" s="117" t="s">
        <v>3</v>
      </c>
      <c r="B6" s="117"/>
      <c r="C6" s="49">
        <v>2021</v>
      </c>
      <c r="D6" s="50"/>
      <c r="E6" s="50"/>
      <c r="F6" s="32"/>
      <c r="G6" s="33"/>
      <c r="H6" s="32"/>
    </row>
    <row r="7" spans="1:14" ht="16.5" customHeight="1" x14ac:dyDescent="0.25">
      <c r="A7" s="117" t="s">
        <v>4</v>
      </c>
      <c r="B7" s="117"/>
      <c r="C7" s="49">
        <v>2</v>
      </c>
      <c r="D7" s="50"/>
      <c r="E7" s="50"/>
      <c r="F7" s="32"/>
      <c r="G7" s="33"/>
      <c r="H7" s="32"/>
    </row>
    <row r="8" spans="1:14" ht="13.5" thickBot="1" x14ac:dyDescent="0.25">
      <c r="B8" s="32"/>
      <c r="C8" s="33"/>
      <c r="D8" s="32"/>
      <c r="E8" s="32"/>
      <c r="F8" s="32"/>
      <c r="G8" s="33"/>
      <c r="H8" s="32"/>
    </row>
    <row r="9" spans="1:14" ht="39" thickBot="1" x14ac:dyDescent="0.25">
      <c r="A9" s="85" t="s">
        <v>5</v>
      </c>
      <c r="B9" s="85" t="s">
        <v>6</v>
      </c>
      <c r="C9" s="85" t="s">
        <v>7</v>
      </c>
      <c r="D9" s="85" t="s">
        <v>8</v>
      </c>
      <c r="E9" s="85" t="s">
        <v>9</v>
      </c>
      <c r="F9" s="85" t="s">
        <v>10</v>
      </c>
      <c r="G9" s="85" t="s">
        <v>11</v>
      </c>
      <c r="H9" s="85" t="s">
        <v>12</v>
      </c>
      <c r="I9" s="85" t="s">
        <v>13</v>
      </c>
    </row>
    <row r="10" spans="1:14" ht="38.25" x14ac:dyDescent="0.2">
      <c r="A10" s="54">
        <v>1</v>
      </c>
      <c r="B10" s="82" t="s">
        <v>57</v>
      </c>
      <c r="C10" s="104" t="s">
        <v>58</v>
      </c>
      <c r="D10" s="55">
        <v>436</v>
      </c>
      <c r="E10" s="105" t="s">
        <v>88</v>
      </c>
      <c r="F10" s="51" t="s">
        <v>14</v>
      </c>
      <c r="G10" s="51">
        <v>6</v>
      </c>
      <c r="H10" s="52">
        <v>60000</v>
      </c>
      <c r="I10" s="53">
        <f>H10*G10</f>
        <v>360000</v>
      </c>
      <c r="L10" s="40"/>
    </row>
    <row r="11" spans="1:14" ht="25.5" x14ac:dyDescent="0.2">
      <c r="A11" s="56">
        <v>2</v>
      </c>
      <c r="B11" s="83" t="s">
        <v>59</v>
      </c>
      <c r="C11" s="84" t="s">
        <v>58</v>
      </c>
      <c r="D11" s="57">
        <v>436</v>
      </c>
      <c r="E11" s="106" t="s">
        <v>60</v>
      </c>
      <c r="F11" s="58" t="s">
        <v>14</v>
      </c>
      <c r="G11" s="58">
        <v>6</v>
      </c>
      <c r="H11" s="59">
        <v>20000</v>
      </c>
      <c r="I11" s="60">
        <f>G11*H11</f>
        <v>120000</v>
      </c>
      <c r="L11" s="69"/>
      <c r="N11" s="69"/>
    </row>
    <row r="12" spans="1:14" ht="38.25" x14ac:dyDescent="0.2">
      <c r="A12" s="56">
        <v>3</v>
      </c>
      <c r="B12" s="83" t="s">
        <v>61</v>
      </c>
      <c r="C12" s="84" t="s">
        <v>58</v>
      </c>
      <c r="D12" s="57">
        <v>436</v>
      </c>
      <c r="E12" s="106" t="s">
        <v>62</v>
      </c>
      <c r="F12" s="58" t="s">
        <v>14</v>
      </c>
      <c r="G12" s="58">
        <v>4</v>
      </c>
      <c r="H12" s="59">
        <v>19000</v>
      </c>
      <c r="I12" s="60">
        <f t="shared" ref="I12:I14" si="0">G12*H12</f>
        <v>76000</v>
      </c>
      <c r="L12" s="40"/>
      <c r="N12" s="69"/>
    </row>
    <row r="13" spans="1:14" ht="25.5" x14ac:dyDescent="0.2">
      <c r="A13" s="56">
        <v>4</v>
      </c>
      <c r="B13" s="83" t="s">
        <v>63</v>
      </c>
      <c r="C13" s="84" t="s">
        <v>58</v>
      </c>
      <c r="D13" s="57">
        <v>436</v>
      </c>
      <c r="E13" s="106" t="s">
        <v>64</v>
      </c>
      <c r="F13" s="58" t="s">
        <v>14</v>
      </c>
      <c r="G13" s="58">
        <v>1</v>
      </c>
      <c r="H13" s="59">
        <v>86500</v>
      </c>
      <c r="I13" s="60">
        <f t="shared" si="0"/>
        <v>86500</v>
      </c>
      <c r="L13" s="40"/>
      <c r="N13" s="69"/>
    </row>
    <row r="14" spans="1:14" ht="39" thickBot="1" x14ac:dyDescent="0.25">
      <c r="A14" s="86">
        <v>5</v>
      </c>
      <c r="B14" s="87" t="s">
        <v>65</v>
      </c>
      <c r="C14" s="88" t="s">
        <v>58</v>
      </c>
      <c r="D14" s="89">
        <v>436</v>
      </c>
      <c r="E14" s="93" t="s">
        <v>66</v>
      </c>
      <c r="F14" s="90" t="s">
        <v>14</v>
      </c>
      <c r="G14" s="90">
        <v>1</v>
      </c>
      <c r="H14" s="91">
        <v>50000</v>
      </c>
      <c r="I14" s="92">
        <f t="shared" si="0"/>
        <v>50000</v>
      </c>
      <c r="L14" s="40"/>
    </row>
    <row r="15" spans="1:14" ht="13.5" thickBot="1" x14ac:dyDescent="0.25">
      <c r="I15" s="40"/>
    </row>
    <row r="16" spans="1:14" x14ac:dyDescent="0.2">
      <c r="B16" s="70" t="s">
        <v>56</v>
      </c>
      <c r="C16" s="35"/>
      <c r="D16" s="35"/>
      <c r="E16" s="36"/>
      <c r="I16" s="40"/>
    </row>
    <row r="17" spans="2:5" ht="12.75" customHeight="1" x14ac:dyDescent="0.2">
      <c r="B17" s="122" t="s">
        <v>74</v>
      </c>
      <c r="C17" s="123"/>
      <c r="D17" s="123"/>
      <c r="E17" s="124"/>
    </row>
    <row r="18" spans="2:5" ht="26.25" customHeight="1" x14ac:dyDescent="0.2">
      <c r="B18" s="122"/>
      <c r="C18" s="123"/>
      <c r="D18" s="123"/>
      <c r="E18" s="124"/>
    </row>
    <row r="19" spans="2:5" ht="39.75" customHeight="1" x14ac:dyDescent="0.2">
      <c r="B19" s="122" t="s">
        <v>73</v>
      </c>
      <c r="C19" s="123"/>
      <c r="D19" s="123"/>
      <c r="E19" s="124"/>
    </row>
    <row r="20" spans="2:5" x14ac:dyDescent="0.2">
      <c r="B20" s="71" t="s">
        <v>67</v>
      </c>
      <c r="C20" s="72"/>
      <c r="D20" s="73"/>
      <c r="E20" s="74"/>
    </row>
    <row r="21" spans="2:5" ht="13.5" thickBot="1" x14ac:dyDescent="0.25">
      <c r="B21" s="75"/>
      <c r="C21" s="76"/>
      <c r="D21" s="76"/>
      <c r="E21" s="77"/>
    </row>
    <row r="22" spans="2:5" ht="13.5" thickBot="1" x14ac:dyDescent="0.25"/>
    <row r="23" spans="2:5" x14ac:dyDescent="0.2">
      <c r="B23" s="34" t="s">
        <v>68</v>
      </c>
      <c r="C23" s="35"/>
      <c r="D23" s="35"/>
      <c r="E23" s="36"/>
    </row>
    <row r="24" spans="2:5" x14ac:dyDescent="0.2">
      <c r="B24" s="39" t="s">
        <v>15</v>
      </c>
      <c r="C24" s="37"/>
      <c r="D24" s="37"/>
      <c r="E24" s="38"/>
    </row>
    <row r="25" spans="2:5" ht="85.5" customHeight="1" thickBot="1" x14ac:dyDescent="0.25">
      <c r="B25" s="113" t="s">
        <v>82</v>
      </c>
      <c r="C25" s="114"/>
      <c r="D25" s="114"/>
      <c r="E25" s="115"/>
    </row>
    <row r="26" spans="2:5" ht="13.5" thickBot="1" x14ac:dyDescent="0.25">
      <c r="B26" s="35"/>
      <c r="C26" s="78"/>
      <c r="D26" s="78"/>
      <c r="E26" s="78"/>
    </row>
    <row r="27" spans="2:5" x14ac:dyDescent="0.2">
      <c r="B27" s="34" t="s">
        <v>69</v>
      </c>
      <c r="C27" s="78"/>
      <c r="D27" s="78"/>
      <c r="E27" s="79"/>
    </row>
    <row r="28" spans="2:5" x14ac:dyDescent="0.2">
      <c r="B28" s="39" t="s">
        <v>15</v>
      </c>
      <c r="C28" s="80"/>
      <c r="D28" s="80"/>
      <c r="E28" s="81"/>
    </row>
    <row r="29" spans="2:5" ht="73.5" customHeight="1" thickBot="1" x14ac:dyDescent="0.25">
      <c r="B29" s="113" t="s">
        <v>83</v>
      </c>
      <c r="C29" s="114"/>
      <c r="D29" s="114"/>
      <c r="E29" s="115"/>
    </row>
    <row r="31" spans="2:5" x14ac:dyDescent="0.2">
      <c r="B31" s="108" t="s">
        <v>70</v>
      </c>
      <c r="C31" s="109"/>
      <c r="D31" s="109"/>
      <c r="E31" s="110"/>
    </row>
    <row r="32" spans="2:5" x14ac:dyDescent="0.2">
      <c r="B32" s="111" t="s">
        <v>15</v>
      </c>
      <c r="C32" s="80"/>
      <c r="D32" s="80"/>
      <c r="E32" s="112"/>
    </row>
    <row r="33" spans="2:5" ht="67.5" customHeight="1" x14ac:dyDescent="0.2">
      <c r="B33" s="119" t="s">
        <v>84</v>
      </c>
      <c r="C33" s="120"/>
      <c r="D33" s="120"/>
      <c r="E33" s="121"/>
    </row>
    <row r="34" spans="2:5" x14ac:dyDescent="0.2">
      <c r="B34" s="107"/>
      <c r="C34" s="107"/>
      <c r="D34" s="107"/>
      <c r="E34" s="107"/>
    </row>
    <row r="35" spans="2:5" ht="13.5" thickBot="1" x14ac:dyDescent="0.25">
      <c r="B35" s="37"/>
      <c r="C35" s="80"/>
      <c r="D35" s="80"/>
      <c r="E35" s="80"/>
    </row>
    <row r="36" spans="2:5" x14ac:dyDescent="0.2">
      <c r="B36" s="34" t="s">
        <v>71</v>
      </c>
      <c r="C36" s="78"/>
      <c r="D36" s="78"/>
      <c r="E36" s="79"/>
    </row>
    <row r="37" spans="2:5" x14ac:dyDescent="0.2">
      <c r="B37" s="39" t="s">
        <v>15</v>
      </c>
      <c r="C37" s="80"/>
      <c r="D37" s="80"/>
      <c r="E37" s="81"/>
    </row>
    <row r="38" spans="2:5" ht="96" customHeight="1" thickBot="1" x14ac:dyDescent="0.25">
      <c r="B38" s="113" t="s">
        <v>85</v>
      </c>
      <c r="C38" s="114"/>
      <c r="D38" s="114"/>
      <c r="E38" s="115"/>
    </row>
    <row r="39" spans="2:5" ht="13.5" thickBot="1" x14ac:dyDescent="0.25"/>
    <row r="40" spans="2:5" x14ac:dyDescent="0.2">
      <c r="B40" s="34" t="s">
        <v>55</v>
      </c>
      <c r="C40" s="78"/>
      <c r="D40" s="78"/>
      <c r="E40" s="79"/>
    </row>
    <row r="41" spans="2:5" x14ac:dyDescent="0.2">
      <c r="B41" s="39" t="s">
        <v>15</v>
      </c>
      <c r="C41" s="80"/>
      <c r="D41" s="80"/>
      <c r="E41" s="81"/>
    </row>
    <row r="42" spans="2:5" ht="85.5" customHeight="1" thickBot="1" x14ac:dyDescent="0.25">
      <c r="B42" s="113" t="s">
        <v>86</v>
      </c>
      <c r="C42" s="114"/>
      <c r="D42" s="114"/>
      <c r="E42" s="115"/>
    </row>
  </sheetData>
  <mergeCells count="14">
    <mergeCell ref="B38:E38"/>
    <mergeCell ref="B42:E42"/>
    <mergeCell ref="B2:H2"/>
    <mergeCell ref="A4:B4"/>
    <mergeCell ref="C4:E4"/>
    <mergeCell ref="A5:B5"/>
    <mergeCell ref="C5:E5"/>
    <mergeCell ref="B33:E33"/>
    <mergeCell ref="B29:E29"/>
    <mergeCell ref="B25:E25"/>
    <mergeCell ref="A6:B6"/>
    <mergeCell ref="A7:B7"/>
    <mergeCell ref="B17:E18"/>
    <mergeCell ref="B19:E19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7"/>
  <sheetViews>
    <sheetView zoomScale="110" zoomScaleNormal="110" workbookViewId="0">
      <selection activeCell="D21" sqref="D21"/>
    </sheetView>
  </sheetViews>
  <sheetFormatPr baseColWidth="10" defaultColWidth="9.140625" defaultRowHeight="12.75" x14ac:dyDescent="0.2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5" style="43" customWidth="1"/>
    <col min="6" max="6" width="7.85546875" style="43" hidden="1" customWidth="1"/>
    <col min="7" max="7" width="48.5703125" style="43" hidden="1" customWidth="1"/>
    <col min="8" max="8" width="9.28515625" style="43" customWidth="1"/>
    <col min="9" max="9" width="15.5703125" style="43" customWidth="1"/>
    <col min="10" max="10" width="14.7109375" style="43" customWidth="1"/>
    <col min="11" max="11" width="15.5703125" style="43" customWidth="1"/>
    <col min="12" max="14" width="5.85546875" style="43" customWidth="1"/>
    <col min="15" max="15" width="12.5703125" style="43" customWidth="1"/>
    <col min="16" max="1024" width="9.140625" style="43"/>
    <col min="1025" max="16384" width="9.140625" style="44"/>
  </cols>
  <sheetData>
    <row r="1" spans="1:11" ht="18" customHeight="1" x14ac:dyDescent="0.2">
      <c r="A1" s="125" t="s">
        <v>16</v>
      </c>
      <c r="B1" s="125"/>
      <c r="C1" s="125"/>
      <c r="D1" s="125"/>
      <c r="E1" s="125"/>
      <c r="F1" s="125"/>
      <c r="G1" s="125"/>
      <c r="H1" s="125"/>
      <c r="I1" s="125"/>
      <c r="J1" s="41" t="s">
        <v>17</v>
      </c>
      <c r="K1" s="42" t="s">
        <v>77</v>
      </c>
    </row>
    <row r="2" spans="1:11" ht="18.75" customHeight="1" thickBot="1" x14ac:dyDescent="0.25">
      <c r="A2" s="45"/>
      <c r="B2" s="45"/>
      <c r="C2" s="45"/>
      <c r="D2" s="46"/>
      <c r="E2" s="46"/>
      <c r="F2" s="46"/>
      <c r="G2" s="46"/>
      <c r="H2" s="46"/>
      <c r="I2" s="46"/>
      <c r="J2" s="46"/>
      <c r="K2" s="46"/>
    </row>
    <row r="3" spans="1:11" ht="18.75" customHeight="1" thickBot="1" x14ac:dyDescent="0.25">
      <c r="A3" s="126" t="s">
        <v>50</v>
      </c>
      <c r="B3" s="126"/>
      <c r="C3" s="126"/>
      <c r="D3" s="127" t="str">
        <f>'Necesidades Trimestrales'!C4</f>
        <v>040 - Ministerio de Salud</v>
      </c>
      <c r="E3" s="127"/>
      <c r="F3" s="127"/>
      <c r="G3" s="127"/>
      <c r="H3" s="127"/>
      <c r="I3" s="127"/>
      <c r="J3" s="127"/>
      <c r="K3" s="127"/>
    </row>
    <row r="4" spans="1:11" ht="18.75" customHeight="1" thickBot="1" x14ac:dyDescent="0.25">
      <c r="A4" s="128" t="s">
        <v>51</v>
      </c>
      <c r="B4" s="128"/>
      <c r="C4" s="128"/>
      <c r="D4" s="127" t="str">
        <f>'Necesidades Trimestrales'!C5</f>
        <v>024 - Hospital Interzonal de Niños</v>
      </c>
      <c r="E4" s="127"/>
      <c r="F4" s="127"/>
      <c r="G4" s="127"/>
      <c r="H4" s="127"/>
      <c r="I4" s="127"/>
      <c r="J4" s="127"/>
      <c r="K4" s="127"/>
    </row>
    <row r="5" spans="1:11" ht="18.75" customHeight="1" thickBot="1" x14ac:dyDescent="0.25">
      <c r="A5" s="128" t="s">
        <v>29</v>
      </c>
      <c r="B5" s="128"/>
      <c r="C5" s="128"/>
      <c r="D5" s="127" t="s">
        <v>53</v>
      </c>
      <c r="E5" s="127"/>
      <c r="F5" s="127"/>
      <c r="G5" s="127"/>
      <c r="H5" s="127"/>
      <c r="I5" s="127"/>
      <c r="J5" s="127"/>
      <c r="K5" s="127"/>
    </row>
    <row r="6" spans="1:11" ht="16.5" customHeight="1" thickBot="1" x14ac:dyDescent="0.25">
      <c r="A6" s="126" t="s">
        <v>52</v>
      </c>
      <c r="B6" s="126"/>
      <c r="C6" s="126"/>
      <c r="D6" s="127" t="s">
        <v>75</v>
      </c>
      <c r="E6" s="127"/>
      <c r="F6" s="127"/>
      <c r="G6" s="127"/>
      <c r="H6" s="127"/>
      <c r="I6" s="127"/>
      <c r="J6" s="127"/>
      <c r="K6" s="127"/>
    </row>
    <row r="7" spans="1:11" ht="16.5" customHeight="1" x14ac:dyDescent="0.2">
      <c r="A7" s="128" t="s">
        <v>18</v>
      </c>
      <c r="B7" s="128"/>
      <c r="C7" s="128"/>
      <c r="D7" s="127" t="str">
        <f>'Necesidades Trimestrales'!C7 &amp; "° Trimestre - Año " &amp; 'Necesidades Trimestrales'!C6</f>
        <v>2° Trimestre - Año 2021</v>
      </c>
      <c r="E7" s="127"/>
      <c r="F7" s="127"/>
      <c r="G7" s="127"/>
      <c r="H7" s="127"/>
      <c r="I7" s="127"/>
      <c r="J7" s="127"/>
      <c r="K7" s="127"/>
    </row>
    <row r="8" spans="1:11" ht="16.5" customHeight="1" x14ac:dyDescent="0.2">
      <c r="A8" s="129" t="s">
        <v>19</v>
      </c>
      <c r="B8" s="129"/>
      <c r="C8" s="129"/>
      <c r="D8" s="130" t="s">
        <v>76</v>
      </c>
      <c r="E8" s="130"/>
      <c r="F8" s="130"/>
      <c r="G8" s="130"/>
      <c r="H8" s="130"/>
      <c r="I8" s="130"/>
      <c r="J8" s="130"/>
      <c r="K8" s="130"/>
    </row>
    <row r="9" spans="1:11" ht="15.75" x14ac:dyDescent="0.2">
      <c r="A9" s="47"/>
      <c r="B9" s="47"/>
      <c r="C9" s="47"/>
      <c r="D9" s="48"/>
      <c r="E9" s="48"/>
      <c r="F9" s="48"/>
      <c r="G9" s="48"/>
      <c r="H9" s="48"/>
      <c r="I9" s="48"/>
      <c r="J9" s="48"/>
      <c r="K9" s="48"/>
    </row>
    <row r="10" spans="1:11" ht="18.75" customHeight="1" x14ac:dyDescent="0.2">
      <c r="A10" s="131" t="s">
        <v>20</v>
      </c>
      <c r="B10" s="132" t="s">
        <v>21</v>
      </c>
      <c r="C10" s="132" t="s">
        <v>22</v>
      </c>
      <c r="D10" s="132"/>
      <c r="E10" s="132"/>
      <c r="F10" s="132"/>
      <c r="G10" s="132"/>
      <c r="H10" s="132" t="s">
        <v>23</v>
      </c>
      <c r="I10" s="132" t="s">
        <v>24</v>
      </c>
      <c r="J10" s="132" t="s">
        <v>25</v>
      </c>
      <c r="K10" s="133" t="s">
        <v>26</v>
      </c>
    </row>
    <row r="11" spans="1:11" ht="24" customHeight="1" thickBot="1" x14ac:dyDescent="0.25">
      <c r="A11" s="131"/>
      <c r="B11" s="132"/>
      <c r="C11" s="132"/>
      <c r="D11" s="132"/>
      <c r="E11" s="132"/>
      <c r="F11" s="132"/>
      <c r="G11" s="132"/>
      <c r="H11" s="132"/>
      <c r="I11" s="132"/>
      <c r="J11" s="132"/>
      <c r="K11" s="133"/>
    </row>
    <row r="12" spans="1:11" ht="27.75" customHeight="1" thickBot="1" x14ac:dyDescent="0.25">
      <c r="A12" s="94">
        <v>1</v>
      </c>
      <c r="B12" s="95" t="str">
        <f>'Necesidades Trimestrales'!B10</f>
        <v>4.3.6-6160.221</v>
      </c>
      <c r="C12" s="135" t="str">
        <f>'Necesidades Trimestrales'!E10</f>
        <v>COMPUTADORAS; TIPO: DE ESCRITORIO, CODIGO ETAP: PC-002-00, VERSION ETAP: 23.0</v>
      </c>
      <c r="D12" s="135"/>
      <c r="E12" s="135"/>
      <c r="F12" s="135"/>
      <c r="G12" s="135"/>
      <c r="H12" s="96" t="s">
        <v>72</v>
      </c>
      <c r="I12" s="97" t="str">
        <f>'Necesidades Trimestrales'!F10</f>
        <v>UNIDAD</v>
      </c>
      <c r="J12" s="98">
        <f>+'Necesidades Trimestrales'!H10</f>
        <v>60000</v>
      </c>
      <c r="K12" s="99">
        <f>+'Necesidades Trimestrales'!G10</f>
        <v>6</v>
      </c>
    </row>
    <row r="13" spans="1:11" ht="39.75" customHeight="1" thickBot="1" x14ac:dyDescent="0.25">
      <c r="A13" s="100">
        <v>2</v>
      </c>
      <c r="B13" s="101" t="str">
        <f>'Necesidades Trimestrales'!B11</f>
        <v>4.3.6-6169.98</v>
      </c>
      <c r="C13" s="136" t="str">
        <f>'Necesidades Trimestrales'!E11</f>
        <v>MONITORES; TIPO: TFT/LCD/LED ESTANDAR, CODIGO ETAP: MN-005, VERSION ETAP: 21.0</v>
      </c>
      <c r="D13" s="136"/>
      <c r="E13" s="136"/>
      <c r="F13" s="136"/>
      <c r="G13" s="136"/>
      <c r="H13" s="102" t="s">
        <v>72</v>
      </c>
      <c r="I13" s="103" t="str">
        <f>'Necesidades Trimestrales'!F11</f>
        <v>UNIDAD</v>
      </c>
      <c r="J13" s="98">
        <f>+'Necesidades Trimestrales'!H11</f>
        <v>20000</v>
      </c>
      <c r="K13" s="99">
        <f>+'Necesidades Trimestrales'!G11</f>
        <v>6</v>
      </c>
    </row>
    <row r="14" spans="1:11" ht="42.75" customHeight="1" thickBot="1" x14ac:dyDescent="0.25">
      <c r="A14" s="100">
        <v>3</v>
      </c>
      <c r="B14" s="101" t="str">
        <f>'Necesidades Trimestrales'!B12</f>
        <v>4.3.6-6161.294</v>
      </c>
      <c r="C14" s="136" t="str">
        <f>'Necesidades Trimestrales'!E12</f>
        <v>IMPRESORAS; TIPO: LASER MONOCROMATICA, CODIGO ETAP: PR-017, VERSION ETAP: 19.0</v>
      </c>
      <c r="D14" s="136"/>
      <c r="E14" s="136"/>
      <c r="F14" s="136"/>
      <c r="G14" s="136"/>
      <c r="H14" s="102" t="s">
        <v>72</v>
      </c>
      <c r="I14" s="103" t="str">
        <f>'Necesidades Trimestrales'!F12</f>
        <v>UNIDAD</v>
      </c>
      <c r="J14" s="98">
        <f>+'Necesidades Trimestrales'!H12</f>
        <v>19000</v>
      </c>
      <c r="K14" s="99">
        <f>+'Necesidades Trimestrales'!G12</f>
        <v>4</v>
      </c>
    </row>
    <row r="15" spans="1:11" ht="38.25" customHeight="1" thickBot="1" x14ac:dyDescent="0.25">
      <c r="A15" s="100">
        <v>4</v>
      </c>
      <c r="B15" s="101" t="str">
        <f>'Necesidades Trimestrales'!B13</f>
        <v>4.3.6-6191.72</v>
      </c>
      <c r="C15" s="136" t="str">
        <f>'Necesidades Trimestrales'!E13</f>
        <v>UPS; TIPO: P/SERVIDORES Y/O RACKS, CODIGO ETAP: UPS-002, VERSION ETAP: 19.0</v>
      </c>
      <c r="D15" s="136"/>
      <c r="E15" s="136"/>
      <c r="F15" s="136"/>
      <c r="G15" s="136"/>
      <c r="H15" s="102" t="s">
        <v>72</v>
      </c>
      <c r="I15" s="103" t="str">
        <f>'Necesidades Trimestrales'!F13</f>
        <v>UNIDAD</v>
      </c>
      <c r="J15" s="98">
        <f>+'Necesidades Trimestrales'!H13</f>
        <v>86500</v>
      </c>
      <c r="K15" s="99">
        <f>+'Necesidades Trimestrales'!G13</f>
        <v>1</v>
      </c>
    </row>
    <row r="16" spans="1:11" ht="37.5" customHeight="1" thickBot="1" x14ac:dyDescent="0.25">
      <c r="A16" s="100">
        <v>5</v>
      </c>
      <c r="B16" s="101" t="str">
        <f>'Necesidades Trimestrales'!B14</f>
        <v>4.3.6-6170.58</v>
      </c>
      <c r="C16" s="136" t="str">
        <f>'Necesidades Trimestrales'!E14</f>
        <v>DIG. DE IMAGENES/ESCANER; TIPO: ESTANDAR, CODIGO ETAP: SC-002, VERSION ETAP: 22.0</v>
      </c>
      <c r="D16" s="136"/>
      <c r="E16" s="136"/>
      <c r="F16" s="136"/>
      <c r="G16" s="136"/>
      <c r="H16" s="102" t="s">
        <v>72</v>
      </c>
      <c r="I16" s="103" t="str">
        <f>'Necesidades Trimestrales'!F14</f>
        <v>UNIDAD</v>
      </c>
      <c r="J16" s="98">
        <f>+'Necesidades Trimestrales'!H14</f>
        <v>50000</v>
      </c>
      <c r="K16" s="99">
        <f>+'Necesidades Trimestrales'!G14</f>
        <v>1</v>
      </c>
    </row>
    <row r="17" spans="1:11" ht="31.5" customHeight="1" thickBot="1" x14ac:dyDescent="0.25">
      <c r="A17" s="127" t="s">
        <v>80</v>
      </c>
      <c r="B17" s="127"/>
      <c r="C17" s="127"/>
      <c r="D17" s="127"/>
      <c r="E17" s="127"/>
      <c r="F17" s="127"/>
      <c r="G17" s="127"/>
      <c r="H17" s="127"/>
      <c r="I17" s="127"/>
      <c r="J17" s="134">
        <f>SUMPRODUCT(J12:J16,K12:K16)</f>
        <v>692500</v>
      </c>
      <c r="K17" s="134"/>
    </row>
  </sheetData>
  <mergeCells count="27">
    <mergeCell ref="A17:I17"/>
    <mergeCell ref="J17:K17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16" zoomScale="130" zoomScaleNormal="130" workbookViewId="0">
      <selection activeCell="R18" sqref="R18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7" t="s">
        <v>3</v>
      </c>
      <c r="B1" s="137"/>
      <c r="C1" s="137"/>
      <c r="D1" s="138">
        <f>'Necesidades Trimestrales'!C6</f>
        <v>2021</v>
      </c>
      <c r="E1" s="138"/>
      <c r="F1" s="3"/>
      <c r="G1" s="3"/>
      <c r="H1" s="4"/>
      <c r="I1" s="4"/>
      <c r="J1" s="4"/>
      <c r="K1" s="4"/>
      <c r="L1" s="4"/>
      <c r="M1" s="4"/>
      <c r="N1" s="4"/>
      <c r="P1" s="139" t="s">
        <v>27</v>
      </c>
      <c r="Q1" s="139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9"/>
      <c r="Q2" s="139"/>
    </row>
    <row r="4" spans="1:17" s="5" customFormat="1" ht="18" customHeight="1" thickBot="1" x14ac:dyDescent="0.25">
      <c r="A4" s="140" t="s">
        <v>28</v>
      </c>
      <c r="B4" s="140"/>
      <c r="C4" s="140"/>
      <c r="D4" s="140"/>
      <c r="E4" s="140"/>
      <c r="F4" s="140"/>
      <c r="G4" s="141" t="str">
        <f>' NotaPedido'!D3</f>
        <v>040 - Ministerio de Salud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</row>
    <row r="5" spans="1:17" s="5" customFormat="1" ht="18" customHeight="1" thickBot="1" x14ac:dyDescent="0.25">
      <c r="A5" s="142" t="s">
        <v>51</v>
      </c>
      <c r="B5" s="143"/>
      <c r="C5" s="143"/>
      <c r="D5" s="143"/>
      <c r="E5" s="143"/>
      <c r="F5" s="144"/>
      <c r="G5" s="141" t="str">
        <f>' NotaPedido'!D4</f>
        <v>024 - Hospital Interzonal de Niños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</row>
    <row r="6" spans="1:17" s="5" customFormat="1" ht="18" customHeight="1" thickBot="1" x14ac:dyDescent="0.25">
      <c r="A6" s="142" t="s">
        <v>29</v>
      </c>
      <c r="B6" s="143"/>
      <c r="C6" s="143"/>
      <c r="D6" s="143"/>
      <c r="E6" s="143"/>
      <c r="F6" s="144"/>
      <c r="G6" s="141" t="str">
        <f>' NotaPedido'!D5</f>
        <v>024 - Hospital Interzonal de Niños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</row>
    <row r="7" spans="1:17" s="5" customFormat="1" ht="18" customHeight="1" thickBot="1" x14ac:dyDescent="0.25">
      <c r="A7" s="142" t="s">
        <v>52</v>
      </c>
      <c r="B7" s="143"/>
      <c r="C7" s="143"/>
      <c r="D7" s="143"/>
      <c r="E7" s="143"/>
      <c r="F7" s="144"/>
      <c r="G7" s="141" t="str">
        <f>' NotaPedido'!D6</f>
        <v>Servicio de Informatica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8" spans="1:17" ht="18" customHeight="1" thickBot="1" x14ac:dyDescent="0.25">
      <c r="A8" s="145" t="s">
        <v>30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 x14ac:dyDescent="0.2">
      <c r="A9" s="149" t="s">
        <v>31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"/>
      <c r="P9" s="1"/>
      <c r="Q9" s="6"/>
    </row>
    <row r="10" spans="1:17" ht="54.75" customHeight="1" x14ac:dyDescent="0.2">
      <c r="A10" s="15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71/2021,  afectando la erogación resultante a los créditos presupuestarios aprobados a favor de esta Unidad Ejecutora, conforme al siguiente detalle:</v>
      </c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51" t="s">
        <v>32</v>
      </c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</row>
    <row r="13" spans="1:17" ht="15.75" customHeight="1" x14ac:dyDescent="0.2">
      <c r="A13" s="152" t="s">
        <v>33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3" t="s">
        <v>34</v>
      </c>
      <c r="P13" s="153"/>
      <c r="Q13" s="154" t="s">
        <v>35</v>
      </c>
    </row>
    <row r="14" spans="1:17" ht="15.75" customHeight="1" x14ac:dyDescent="0.2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53"/>
      <c r="P14" s="153"/>
      <c r="Q14" s="154"/>
    </row>
    <row r="15" spans="1:17" ht="17.25" customHeight="1" x14ac:dyDescent="0.2">
      <c r="A15" s="61">
        <v>36</v>
      </c>
      <c r="B15" s="67"/>
      <c r="C15" s="67"/>
      <c r="D15" s="67">
        <v>1</v>
      </c>
      <c r="E15" s="67"/>
      <c r="F15" s="67">
        <v>4901</v>
      </c>
      <c r="G15" s="67">
        <v>3</v>
      </c>
      <c r="H15" s="67">
        <v>310</v>
      </c>
      <c r="I15" s="68" t="str">
        <f>LEFT('Necesidades Trimestrales'!D11,1)</f>
        <v>4</v>
      </c>
      <c r="J15" s="68">
        <v>3</v>
      </c>
      <c r="K15" s="68" t="str">
        <f>RIGHT('Necesidades Trimestrales'!D11,1)</f>
        <v>6</v>
      </c>
      <c r="L15" s="67"/>
      <c r="M15" s="62">
        <v>1</v>
      </c>
      <c r="N15" s="63" t="s">
        <v>79</v>
      </c>
      <c r="O15" s="146" t="s">
        <v>78</v>
      </c>
      <c r="P15" s="147"/>
      <c r="Q15" s="20">
        <v>692500</v>
      </c>
    </row>
    <row r="16" spans="1:17" ht="17.25" customHeight="1" x14ac:dyDescent="0.2">
      <c r="A16" s="61"/>
      <c r="B16" s="65"/>
      <c r="C16" s="65"/>
      <c r="D16" s="65"/>
      <c r="E16" s="65"/>
      <c r="F16" s="65"/>
      <c r="G16" s="65"/>
      <c r="H16" s="65"/>
      <c r="I16" s="66"/>
      <c r="J16" s="66"/>
      <c r="K16" s="66"/>
      <c r="L16" s="65"/>
      <c r="M16" s="62"/>
      <c r="N16" s="63"/>
      <c r="O16" s="146"/>
      <c r="P16" s="147"/>
      <c r="Q16" s="20"/>
    </row>
    <row r="17" spans="1:18" ht="17.25" customHeight="1" x14ac:dyDescent="0.2">
      <c r="A17" s="61"/>
      <c r="B17" s="62"/>
      <c r="C17" s="62"/>
      <c r="D17" s="62"/>
      <c r="E17" s="62"/>
      <c r="F17" s="62"/>
      <c r="G17" s="62"/>
      <c r="H17" s="62"/>
      <c r="I17" s="64"/>
      <c r="J17" s="64"/>
      <c r="K17" s="64"/>
      <c r="L17" s="62"/>
      <c r="M17" s="62"/>
      <c r="N17" s="63"/>
      <c r="O17" s="146"/>
      <c r="P17" s="147"/>
      <c r="Q17" s="20"/>
    </row>
    <row r="18" spans="1:18" ht="23.25" customHeight="1" x14ac:dyDescent="0.2">
      <c r="A18" s="61"/>
      <c r="B18" s="62"/>
      <c r="C18" s="62"/>
      <c r="D18" s="62"/>
      <c r="E18" s="62"/>
      <c r="F18" s="62"/>
      <c r="G18" s="62"/>
      <c r="H18" s="62"/>
      <c r="I18" s="64"/>
      <c r="J18" s="64"/>
      <c r="K18" s="64"/>
      <c r="L18" s="62"/>
      <c r="M18" s="62"/>
      <c r="N18" s="63"/>
      <c r="O18" s="148"/>
      <c r="P18" s="147"/>
      <c r="Q18" s="20"/>
    </row>
    <row r="19" spans="1:18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47"/>
      <c r="P19" s="147"/>
      <c r="Q19" s="20"/>
    </row>
    <row r="20" spans="1:18" ht="17.25" customHeight="1" x14ac:dyDescent="0.2">
      <c r="A20" s="21"/>
      <c r="B20" s="22"/>
      <c r="C20" s="22"/>
      <c r="D20" s="22"/>
      <c r="E20" s="22"/>
      <c r="F20" s="23"/>
      <c r="G20" s="22"/>
      <c r="H20" s="22"/>
      <c r="I20" s="22"/>
      <c r="J20" s="22"/>
      <c r="K20" s="22"/>
      <c r="L20" s="22"/>
      <c r="M20" s="24"/>
      <c r="N20" s="25"/>
      <c r="O20" s="160"/>
      <c r="P20" s="160"/>
      <c r="Q20" s="20"/>
      <c r="R20" s="1"/>
    </row>
    <row r="21" spans="1:18" ht="17.25" customHeight="1" x14ac:dyDescent="0.2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7"/>
      <c r="O21" s="161"/>
      <c r="P21" s="161"/>
      <c r="Q21" s="29"/>
    </row>
    <row r="22" spans="1:18" ht="29.25" customHeight="1" x14ac:dyDescent="0.2">
      <c r="A22" s="162" t="s">
        <v>81</v>
      </c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30">
        <f>SUM(Q15:Q21)</f>
        <v>692500</v>
      </c>
    </row>
    <row r="23" spans="1:18" ht="18" customHeight="1" thickBot="1" x14ac:dyDescent="0.25">
      <c r="A23" s="163"/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</row>
    <row r="24" spans="1:18" ht="17.25" customHeight="1" thickBot="1" x14ac:dyDescent="0.25">
      <c r="A24" s="155" t="s">
        <v>49</v>
      </c>
      <c r="B24" s="156"/>
      <c r="C24" s="156"/>
      <c r="D24" s="156"/>
      <c r="E24" s="156"/>
      <c r="F24" s="157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</row>
    <row r="25" spans="1:18" ht="18" customHeight="1" thickBot="1" x14ac:dyDescent="0.25">
      <c r="A25" s="159" t="s">
        <v>87</v>
      </c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</row>
    <row r="26" spans="1:18" ht="15" customHeight="1" x14ac:dyDescent="0.2">
      <c r="A26" s="159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2021-04-28T14:39:37Z</cp:lastPrinted>
  <dcterms:created xsi:type="dcterms:W3CDTF">2020-07-17T23:44:49Z</dcterms:created>
  <dcterms:modified xsi:type="dcterms:W3CDTF">2021-08-11T14:04:08Z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