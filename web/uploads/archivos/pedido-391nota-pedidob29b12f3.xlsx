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xr:revisionPtr revIDLastSave="0" documentId="8_{6A64D816-AFB6-D04D-9C84-96557AC97E14}" xr6:coauthVersionLast="47" xr6:coauthVersionMax="47" xr10:uidLastSave="{00000000-0000-0000-0000-000000000000}"/>
  <bookViews>
    <workbookView xWindow="-105" yWindow="315" windowWidth="20640" windowHeight="11340" tabRatio="500" activeTab="1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0" i="3" l="1"/>
  <c r="A13" i="2"/>
  <c r="B12" i="2"/>
  <c r="C12" i="2"/>
  <c r="I12" i="2"/>
  <c r="I10" i="1"/>
  <c r="Q15" i="3"/>
  <c r="D10" i="1"/>
  <c r="J13" i="2"/>
  <c r="G6" i="3"/>
  <c r="G4" i="3"/>
  <c r="G5" i="3"/>
  <c r="D1" i="3"/>
  <c r="Q16" i="3"/>
</calcChain>
</file>

<file path=xl/sharedStrings.xml><?xml version="1.0" encoding="utf-8"?>
<sst xmlns="http://schemas.openxmlformats.org/spreadsheetml/2006/main" count="83" uniqueCount="76">
  <si>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</si>
  <si>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</si>
  <si>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</si>
  <si>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</si>
  <si>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</si>
  <si>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</si>
  <si>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</si>
  <si>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</si>
  <si>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</si>
  <si>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</si>
  <si>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</si>
  <si>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</si>
  <si>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</si>
  <si>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</si>
  <si>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</si>
  <si>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</si>
  <si>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</si>
  <si>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</si>
  <si>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</si>
  <si>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</si>
  <si>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</si>
  <si>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</si>
  <si>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</si>
  <si>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</si>
  <si>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</si>
  <si>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</si>
  <si>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</si>
  <si>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</si>
  <si>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</si>
  <si>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</si>
  <si>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</si>
  <si>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</si>
  <si>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</si>
  <si>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</si>
  <si>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</si>
  <si>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</si>
  <si>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</si>
  <si>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</si>
  <si>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</si>
  <si>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</si>
  <si>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</si>
  <si>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</si>
  <si>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</si>
  <si>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</si>
  <si>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</si>
  <si>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</si>
  <si>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</si>
  <si>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</si>
  <si>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</si>
  <si>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</si>
  <si>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</si>
  <si>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</si>
  <si>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</si>
  <si>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</si>
  <si>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</si>
  <si>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</si>
  <si>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</si>
  <si>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090 - MINISTERIO DE SEGURIDAD</t>
  </si>
  <si>
    <t>90 - MINISTERIO DE SEGURIDAD</t>
  </si>
  <si>
    <t>DIRECCIOM DE ADMINISTRACION Y RR.HH.</t>
  </si>
  <si>
    <t>COMBUSTIBLES Y LUBRICANTES</t>
  </si>
  <si>
    <t xml:space="preserve">COMBUSTIBLES Y LUBRICANTES </t>
  </si>
  <si>
    <t xml:space="preserve">Primera Calidad </t>
  </si>
  <si>
    <t>MINISTERIO DE SEGUIRIDAD</t>
  </si>
  <si>
    <t>SAF 19 - DIRECCION PROVINCIAL DE ADM. Y RR.HH. DEL MINISTERIO DE SEGURIDAD</t>
  </si>
  <si>
    <t>La adquisición de Combustibles con destino a la flota de vehiculos dependientes del Ministerio de Seguridad.</t>
  </si>
  <si>
    <t>Treinta (30) Dias</t>
  </si>
  <si>
    <t>Adquisicion de Combustible con destino a las unidades moviles del Ministerio.</t>
  </si>
  <si>
    <t>LITROS EN VALES</t>
  </si>
  <si>
    <t>DIRECCION DE ADM. Y RR.HH. MINISTERIO DE SEGURIDAD</t>
  </si>
  <si>
    <t>NO</t>
  </si>
  <si>
    <t>2.5.6-793.31</t>
  </si>
  <si>
    <t>GAS OIL; PRESENTACION: POR LITRO, USO: MOTORES DIESEL, COMERCIALIZACION: GRADO 3, DESTINO: DPTO. S.F.V. DE CATAMARCA</t>
  </si>
  <si>
    <r>
      <t xml:space="preserve">Plazo de entrega tres 3 días hábiles. Periodo de utilización  60 dias. </t>
    </r>
    <r>
      <rPr>
        <b/>
        <sz val="10"/>
        <rFont val="Times New Roman"/>
        <family val="1"/>
      </rPr>
      <t>ENTREGA EN VALES DE 10, 15 Y 20 LITROS</t>
    </r>
    <r>
      <rPr>
        <sz val="10"/>
        <rFont val="Times New Roman"/>
        <family val="1"/>
      </rPr>
      <t>, según pliego, en la</t>
    </r>
    <r>
      <rPr>
        <b/>
        <sz val="10"/>
        <rFont val="Times New Roman"/>
        <family val="1"/>
      </rPr>
      <t xml:space="preserve"> DIRECCIÓN DE ADM. Y RR.HH. </t>
    </r>
    <r>
      <rPr>
        <sz val="10"/>
        <rFont val="Times New Roman"/>
        <family val="1"/>
      </rPr>
      <t>sito en calle San Martin N° 414 , San Fernando del Valle de Catamarca, en horario de 8 a 12 horas. El COMBUSTIBLE en la boca de expendio.</t>
    </r>
  </si>
  <si>
    <t xml:space="preserve">3° TRIMESTRE </t>
  </si>
  <si>
    <r>
      <t xml:space="preserve">TOTAL DE PESOS: </t>
    </r>
    <r>
      <rPr>
        <sz val="11"/>
        <rFont val="Arial"/>
        <family val="2"/>
      </rPr>
      <t>Tres Millones Novecientos Noventa y Nueve Mil Seiscientos con 00/100.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</si>
</sst>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;[Red]&quot;$&quot;\ #,##0.00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1"/>
      <name val="Times New Roman"/>
      <family val="1"/>
    </font>
    <font>
      <u/>
      <sz val="11"/>
      <name val="Century Gothic"/>
      <family val="2"/>
    </font>
    <font>
      <sz val="11"/>
      <name val="Century Gothic"/>
      <family val="2"/>
    </font>
    <font>
      <b/>
      <sz val="10"/>
      <name val="Times New Roman"/>
      <family val="1"/>
    </font>
    <font>
      <sz val="1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/>
      <top style="medium">
        <color indexed="64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medium">
        <color indexed="64"/>
      </top>
      <bottom style="thin">
        <color rgb="FF3D3D3D"/>
      </bottom>
      <diagonal/>
    </border>
    <border>
      <left/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5" fillId="0" borderId="1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66" fontId="13" fillId="0" borderId="32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2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0" xfId="0" applyFont="1" applyBorder="1"/>
    <xf numFmtId="0" fontId="15" fillId="0" borderId="7" xfId="0" applyFont="1" applyBorder="1"/>
    <xf numFmtId="0" fontId="22" fillId="0" borderId="6" xfId="0" applyFont="1" applyBorder="1" applyAlignment="1">
      <alignment horizontal="left" indent="3"/>
    </xf>
    <xf numFmtId="0" fontId="15" fillId="0" borderId="6" xfId="0" applyFont="1" applyBorder="1" applyAlignment="1">
      <alignment horizontal="left" indent="3"/>
    </xf>
    <xf numFmtId="0" fontId="15" fillId="0" borderId="8" xfId="0" applyFont="1" applyBorder="1" applyAlignment="1">
      <alignment horizontal="left" indent="3"/>
    </xf>
    <xf numFmtId="0" fontId="19" fillId="0" borderId="0" xfId="0" applyFont="1" applyAlignment="1">
      <alignment horizontal="left" wrapText="1"/>
    </xf>
    <xf numFmtId="0" fontId="4" fillId="0" borderId="2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 wrapText="1"/>
    </xf>
    <xf numFmtId="3" fontId="4" fillId="0" borderId="20" xfId="0" applyNumberFormat="1" applyFont="1" applyFill="1" applyBorder="1" applyAlignment="1">
      <alignment horizontal="center" vertical="center"/>
    </xf>
    <xf numFmtId="166" fontId="4" fillId="0" borderId="20" xfId="1" applyNumberFormat="1" applyFont="1" applyFill="1" applyBorder="1" applyAlignment="1" applyProtection="1">
      <alignment horizontal="center" vertical="center" wrapText="1"/>
    </xf>
    <xf numFmtId="0" fontId="23" fillId="0" borderId="0" xfId="0" applyFont="1" applyFill="1" applyAlignment="1">
      <alignment horizontal="left" wrapText="1" indent="1"/>
    </xf>
    <xf numFmtId="0" fontId="15" fillId="0" borderId="0" xfId="0" applyFont="1" applyFill="1" applyBorder="1"/>
    <xf numFmtId="0" fontId="15" fillId="0" borderId="7" xfId="0" applyFont="1" applyFill="1" applyBorder="1"/>
    <xf numFmtId="0" fontId="15" fillId="0" borderId="0" xfId="0" applyFont="1" applyFill="1" applyBorder="1" applyAlignment="1">
      <alignment horizontal="center" wrapText="1"/>
    </xf>
    <xf numFmtId="0" fontId="15" fillId="0" borderId="7" xfId="0" applyFont="1" applyFill="1" applyBorder="1" applyAlignment="1">
      <alignment horizontal="center" wrapText="1"/>
    </xf>
    <xf numFmtId="0" fontId="15" fillId="0" borderId="9" xfId="0" applyFont="1" applyFill="1" applyBorder="1"/>
    <xf numFmtId="0" fontId="15" fillId="0" borderId="10" xfId="0" applyFont="1" applyFill="1" applyBorder="1"/>
    <xf numFmtId="0" fontId="15" fillId="0" borderId="0" xfId="0" applyFont="1" applyFill="1"/>
    <xf numFmtId="0" fontId="15" fillId="0" borderId="0" xfId="0" applyFont="1" applyAlignment="1"/>
    <xf numFmtId="0" fontId="15" fillId="0" borderId="0" xfId="0" applyFont="1" applyAlignment="1">
      <alignment horizontal="left" vertical="center"/>
    </xf>
    <xf numFmtId="0" fontId="6" fillId="0" borderId="12" xfId="0" applyFont="1" applyFill="1" applyBorder="1" applyAlignment="1">
      <alignment horizontal="center" vertical="center"/>
    </xf>
    <xf numFmtId="169" fontId="15" fillId="0" borderId="0" xfId="0" applyNumberFormat="1" applyFont="1" applyAlignment="1">
      <alignment horizontal="left" vertical="center"/>
    </xf>
    <xf numFmtId="0" fontId="0" fillId="0" borderId="39" xfId="0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14" fillId="0" borderId="42" xfId="0" applyFont="1" applyFill="1" applyBorder="1" applyAlignment="1">
      <alignment horizontal="center" vertical="center"/>
    </xf>
    <xf numFmtId="166" fontId="0" fillId="0" borderId="43" xfId="3" applyNumberFormat="1" applyFont="1" applyFill="1" applyBorder="1" applyAlignment="1" applyProtection="1">
      <alignment horizontal="center" vertical="center"/>
    </xf>
    <xf numFmtId="0" fontId="19" fillId="0" borderId="46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6" fontId="20" fillId="0" borderId="15" xfId="1" applyNumberFormat="1" applyFont="1" applyFill="1" applyBorder="1" applyAlignment="1" applyProtection="1">
      <alignment horizontal="center" vertical="center" wrapText="1"/>
    </xf>
    <xf numFmtId="0" fontId="25" fillId="0" borderId="0" xfId="0" applyFont="1" applyAlignment="1">
      <alignment horizontal="justify" vertical="center"/>
    </xf>
    <xf numFmtId="0" fontId="26" fillId="0" borderId="0" xfId="0" applyFont="1" applyAlignment="1">
      <alignment horizontal="justify" vertical="center"/>
    </xf>
    <xf numFmtId="0" fontId="0" fillId="0" borderId="15" xfId="0" applyBorder="1" applyAlignment="1">
      <alignment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5" fillId="0" borderId="51" xfId="0" applyFont="1" applyBorder="1" applyAlignment="1">
      <alignment vertical="center"/>
    </xf>
    <xf numFmtId="0" fontId="18" fillId="0" borderId="15" xfId="0" applyFont="1" applyFill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20" fillId="0" borderId="53" xfId="0" applyFont="1" applyBorder="1" applyAlignment="1">
      <alignment horizontal="center" vertical="center"/>
    </xf>
    <xf numFmtId="3" fontId="21" fillId="3" borderId="15" xfId="0" applyNumberFormat="1" applyFont="1" applyFill="1" applyBorder="1" applyAlignment="1">
      <alignment horizontal="center" vertical="center" wrapText="1"/>
    </xf>
    <xf numFmtId="166" fontId="20" fillId="3" borderId="15" xfId="1" applyNumberFormat="1" applyFont="1" applyFill="1" applyBorder="1" applyAlignment="1" applyProtection="1">
      <alignment horizontal="center" vertical="center" wrapText="1"/>
    </xf>
    <xf numFmtId="0" fontId="15" fillId="0" borderId="7" xfId="0" applyFont="1" applyFill="1" applyBorder="1" applyAlignment="1">
      <alignment horizontal="center" wrapText="1"/>
    </xf>
    <xf numFmtId="0" fontId="15" fillId="0" borderId="7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0" xfId="0" applyFont="1" applyFill="1" applyBorder="1" applyAlignment="1">
      <alignment vertical="center" wrapText="1"/>
    </xf>
    <xf numFmtId="0" fontId="15" fillId="0" borderId="7" xfId="0" applyFont="1" applyFill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3" fillId="0" borderId="0" xfId="0" applyFont="1" applyFill="1" applyBorder="1" applyAlignment="1">
      <alignment horizontal="left" wrapText="1" indent="1"/>
    </xf>
    <xf numFmtId="0" fontId="6" fillId="0" borderId="38" xfId="0" applyFont="1" applyBorder="1" applyAlignment="1">
      <alignment horizontal="left" vertical="center" wrapText="1" indent="1"/>
    </xf>
    <xf numFmtId="167" fontId="7" fillId="0" borderId="38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24" fillId="3" borderId="12" xfId="0" applyFont="1" applyFill="1" applyBorder="1" applyAlignment="1">
      <alignment horizontal="left" indent="1"/>
    </xf>
    <xf numFmtId="0" fontId="7" fillId="0" borderId="17" xfId="0" applyFont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 wrapText="1" indent="1"/>
    </xf>
    <xf numFmtId="0" fontId="8" fillId="0" borderId="2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 indent="1"/>
    </xf>
    <xf numFmtId="0" fontId="6" fillId="3" borderId="15" xfId="0" applyFont="1" applyFill="1" applyBorder="1" applyAlignment="1">
      <alignment horizontal="left" vertical="center" wrapText="1" indent="1"/>
    </xf>
    <xf numFmtId="0" fontId="14" fillId="0" borderId="39" xfId="0" applyFont="1" applyFill="1" applyBorder="1" applyAlignment="1">
      <alignment horizontal="left" vertical="center" wrapText="1"/>
    </xf>
    <xf numFmtId="0" fontId="0" fillId="0" borderId="42" xfId="0" applyFont="1" applyFill="1" applyBorder="1" applyAlignment="1">
      <alignment horizontal="left" vertical="center" wrapText="1"/>
    </xf>
    <xf numFmtId="0" fontId="9" fillId="0" borderId="21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32" xfId="0" applyFont="1" applyFill="1" applyBorder="1" applyAlignment="1">
      <alignment horizontal="left" vertical="center" wrapText="1" indent="1"/>
    </xf>
    <xf numFmtId="0" fontId="9" fillId="3" borderId="32" xfId="0" applyFont="1" applyFill="1" applyBorder="1" applyAlignment="1">
      <alignment horizontal="left" vertical="center" wrapText="1"/>
    </xf>
    <xf numFmtId="0" fontId="0" fillId="0" borderId="23" xfId="0" applyBorder="1"/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center" wrapText="1"/>
    </xf>
    <xf numFmtId="0" fontId="29" fillId="0" borderId="12" xfId="0" applyFont="1" applyBorder="1" applyAlignment="1">
      <alignment horizontal="left" indent="1"/>
    </xf>
    <xf numFmtId="0" fontId="12" fillId="0" borderId="12" xfId="0" applyFont="1" applyBorder="1" applyAlignment="1">
      <alignment horizontal="left"/>
    </xf>
    <xf numFmtId="0" fontId="11" fillId="3" borderId="12" xfId="0" applyFont="1" applyFill="1" applyBorder="1" applyAlignment="1">
      <alignment horizontal="left" indent="1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1" fillId="0" borderId="12" xfId="0" applyFont="1" applyBorder="1" applyAlignment="1">
      <alignment horizontal="left" indent="1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2"/>
  <sheetViews>
    <sheetView zoomScale="80" zoomScaleNormal="80" workbookViewId="0">
      <selection activeCell="C26" sqref="C26"/>
    </sheetView>
  </sheetViews>
  <sheetFormatPr defaultColWidth="11.0546875" defaultRowHeight="13.5" x14ac:dyDescent="0.15"/>
  <cols>
    <col min="1" max="1" width="4.58203125" style="23" customWidth="1"/>
    <col min="2" max="2" width="12.80859375" style="23" customWidth="1"/>
    <col min="3" max="3" width="32.36328125" style="23" customWidth="1"/>
    <col min="4" max="4" width="8.359375" style="23" customWidth="1"/>
    <col min="5" max="5" width="79.0234375" style="23" customWidth="1"/>
    <col min="6" max="6" width="11.73046875" style="23" customWidth="1"/>
    <col min="7" max="7" width="12.67578125" style="23" customWidth="1"/>
    <col min="8" max="8" width="13.88671875" style="23" customWidth="1"/>
    <col min="9" max="9" width="18.609375" style="23" customWidth="1"/>
    <col min="10" max="10" width="11.0546875" style="52"/>
    <col min="11" max="14" width="11.0546875" style="50"/>
    <col min="15" max="16384" width="11.0546875" style="23"/>
  </cols>
  <sheetData>
    <row r="2" spans="1:9" ht="27" x14ac:dyDescent="0.3">
      <c r="B2" s="84" t="s">
        <v>0</v>
      </c>
      <c r="C2" s="84"/>
      <c r="D2" s="84"/>
      <c r="E2" s="84"/>
      <c r="F2" s="84"/>
      <c r="G2" s="84"/>
      <c r="H2" s="84"/>
    </row>
    <row r="4" spans="1:9" ht="18" customHeight="1" x14ac:dyDescent="0.15">
      <c r="A4" s="78" t="s">
        <v>1</v>
      </c>
      <c r="B4" s="78"/>
      <c r="C4" s="85" t="s">
        <v>57</v>
      </c>
      <c r="D4" s="85"/>
      <c r="E4" s="85"/>
      <c r="F4" s="24"/>
      <c r="G4" s="25"/>
      <c r="H4" s="24"/>
    </row>
    <row r="5" spans="1:9" ht="18" customHeight="1" x14ac:dyDescent="0.15">
      <c r="A5" s="78" t="s">
        <v>2</v>
      </c>
      <c r="B5" s="78"/>
      <c r="C5" s="85" t="s">
        <v>64</v>
      </c>
      <c r="D5" s="85"/>
      <c r="E5" s="85"/>
      <c r="F5" s="24"/>
      <c r="G5" s="25"/>
      <c r="H5" s="24"/>
    </row>
    <row r="6" spans="1:9" ht="16.5" customHeight="1" x14ac:dyDescent="0.15">
      <c r="A6" s="78" t="s">
        <v>3</v>
      </c>
      <c r="B6" s="78"/>
      <c r="C6" s="41">
        <v>2022</v>
      </c>
      <c r="D6" s="36"/>
      <c r="E6" s="36"/>
      <c r="F6" s="24"/>
      <c r="G6" s="25"/>
      <c r="H6" s="24"/>
    </row>
    <row r="7" spans="1:9" ht="16.5" customHeight="1" x14ac:dyDescent="0.15">
      <c r="A7" s="78" t="s">
        <v>4</v>
      </c>
      <c r="B7" s="78"/>
      <c r="C7" s="41">
        <v>3</v>
      </c>
      <c r="D7" s="36"/>
      <c r="E7" s="36"/>
      <c r="F7" s="24"/>
      <c r="G7" s="25"/>
      <c r="H7" s="24"/>
    </row>
    <row r="8" spans="1:9" ht="14.25" thickBot="1" x14ac:dyDescent="0.2">
      <c r="B8" s="24"/>
      <c r="C8" s="25"/>
      <c r="D8" s="24"/>
      <c r="E8" s="24"/>
      <c r="F8" s="24"/>
      <c r="G8" s="25"/>
      <c r="H8" s="24"/>
    </row>
    <row r="9" spans="1:9" ht="35.25" thickTop="1" thickBot="1" x14ac:dyDescent="0.2">
      <c r="A9" s="59" t="s">
        <v>5</v>
      </c>
      <c r="B9" s="65" t="s">
        <v>6</v>
      </c>
      <c r="C9" s="66" t="s">
        <v>7</v>
      </c>
      <c r="D9" s="67" t="s">
        <v>8</v>
      </c>
      <c r="E9" s="68" t="s">
        <v>9</v>
      </c>
      <c r="F9" s="60" t="s">
        <v>10</v>
      </c>
      <c r="G9" s="26" t="s">
        <v>11</v>
      </c>
      <c r="H9" s="26" t="s">
        <v>12</v>
      </c>
      <c r="I9" s="26" t="s">
        <v>13</v>
      </c>
    </row>
    <row r="10" spans="1:9" ht="42.75" customHeight="1" thickBot="1" x14ac:dyDescent="0.2">
      <c r="A10" s="73">
        <v>1</v>
      </c>
      <c r="B10" s="64" t="s">
        <v>71</v>
      </c>
      <c r="C10" s="69" t="s">
        <v>60</v>
      </c>
      <c r="D10" s="71" t="str">
        <f t="shared" ref="D10" si="0">LEFT(B10,5)</f>
        <v>2.5.6</v>
      </c>
      <c r="E10" s="72" t="s">
        <v>72</v>
      </c>
      <c r="F10" s="70" t="s">
        <v>68</v>
      </c>
      <c r="G10" s="74">
        <v>20200</v>
      </c>
      <c r="H10" s="75">
        <v>198</v>
      </c>
      <c r="I10" s="61">
        <f>H10*G10</f>
        <v>3999600</v>
      </c>
    </row>
    <row r="13" spans="1:9" x14ac:dyDescent="0.15">
      <c r="B13" s="27" t="s">
        <v>14</v>
      </c>
      <c r="C13" s="28"/>
      <c r="D13" s="28"/>
      <c r="E13" s="29"/>
    </row>
    <row r="14" spans="1:9" ht="5.25" customHeight="1" x14ac:dyDescent="0.15">
      <c r="B14" s="30"/>
      <c r="C14" s="31"/>
      <c r="D14" s="31"/>
      <c r="E14" s="32"/>
    </row>
    <row r="15" spans="1:9" x14ac:dyDescent="0.15">
      <c r="B15" s="33" t="s">
        <v>15</v>
      </c>
      <c r="C15" s="31"/>
      <c r="D15" s="31"/>
      <c r="E15" s="32"/>
    </row>
    <row r="16" spans="1:9" ht="35.25" customHeight="1" x14ac:dyDescent="0.15">
      <c r="B16" s="33"/>
      <c r="C16" s="79" t="s">
        <v>72</v>
      </c>
      <c r="D16" s="79"/>
      <c r="E16" s="80"/>
    </row>
    <row r="17" spans="2:13" x14ac:dyDescent="0.15">
      <c r="B17" s="33" t="s">
        <v>16</v>
      </c>
      <c r="C17" s="42"/>
      <c r="D17" s="42"/>
      <c r="E17" s="43"/>
    </row>
    <row r="18" spans="2:13" ht="53.25" customHeight="1" x14ac:dyDescent="0.15">
      <c r="B18" s="34"/>
      <c r="C18" s="81" t="s">
        <v>73</v>
      </c>
      <c r="D18" s="81"/>
      <c r="E18" s="82"/>
      <c r="I18" s="83"/>
      <c r="J18" s="83"/>
      <c r="K18" s="83"/>
      <c r="L18" s="83"/>
      <c r="M18" s="83"/>
    </row>
    <row r="19" spans="2:13" x14ac:dyDescent="0.15">
      <c r="B19" s="33" t="s">
        <v>17</v>
      </c>
      <c r="C19" s="42"/>
      <c r="D19" s="42"/>
      <c r="E19" s="43"/>
      <c r="G19" s="49"/>
    </row>
    <row r="20" spans="2:13" x14ac:dyDescent="0.15">
      <c r="B20" s="34"/>
      <c r="C20" s="76" t="s">
        <v>62</v>
      </c>
      <c r="D20" s="76"/>
      <c r="E20" s="76"/>
    </row>
    <row r="21" spans="2:13" x14ac:dyDescent="0.15">
      <c r="B21" s="33" t="s">
        <v>18</v>
      </c>
      <c r="C21" s="44"/>
      <c r="D21" s="44"/>
      <c r="E21" s="45"/>
    </row>
    <row r="22" spans="2:13" x14ac:dyDescent="0.15">
      <c r="B22" s="34"/>
      <c r="C22" s="76" t="s">
        <v>66</v>
      </c>
      <c r="D22" s="76"/>
      <c r="E22" s="76"/>
    </row>
    <row r="23" spans="2:13" x14ac:dyDescent="0.15">
      <c r="B23" s="33" t="s">
        <v>19</v>
      </c>
      <c r="C23" s="42"/>
      <c r="D23" s="42"/>
      <c r="E23" s="43"/>
    </row>
    <row r="24" spans="2:13" x14ac:dyDescent="0.15">
      <c r="B24" s="33"/>
      <c r="C24" s="77"/>
      <c r="D24" s="77"/>
      <c r="E24" s="77"/>
    </row>
    <row r="25" spans="2:13" ht="14.25" thickBot="1" x14ac:dyDescent="0.2">
      <c r="B25" s="35"/>
      <c r="C25" s="46"/>
      <c r="D25" s="46"/>
      <c r="E25" s="47"/>
    </row>
    <row r="26" spans="2:13" x14ac:dyDescent="0.15">
      <c r="C26" s="48"/>
      <c r="D26" s="48"/>
      <c r="E26" s="48"/>
    </row>
    <row r="27" spans="2:13" x14ac:dyDescent="0.15">
      <c r="C27" s="48"/>
      <c r="D27" s="48"/>
      <c r="E27" s="48"/>
    </row>
    <row r="29" spans="2:13" x14ac:dyDescent="0.15">
      <c r="B29"/>
      <c r="C29"/>
      <c r="D29"/>
    </row>
    <row r="30" spans="2:13" x14ac:dyDescent="0.15">
      <c r="E30" s="62"/>
    </row>
    <row r="31" spans="2:13" x14ac:dyDescent="0.15">
      <c r="E31" s="63"/>
    </row>
    <row r="32" spans="2:13" x14ac:dyDescent="0.15">
      <c r="E32" s="63"/>
    </row>
  </sheetData>
  <mergeCells count="13">
    <mergeCell ref="I18:M18"/>
    <mergeCell ref="B2:H2"/>
    <mergeCell ref="A4:B4"/>
    <mergeCell ref="C4:E4"/>
    <mergeCell ref="A5:B5"/>
    <mergeCell ref="C5:E5"/>
    <mergeCell ref="C20:E20"/>
    <mergeCell ref="C22:E22"/>
    <mergeCell ref="C24:E24"/>
    <mergeCell ref="A6:B6"/>
    <mergeCell ref="A7:B7"/>
    <mergeCell ref="C16:E16"/>
    <mergeCell ref="C18:E18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tabSelected="1" topLeftCell="B2" zoomScale="110" zoomScaleNormal="110" workbookViewId="0">
      <selection activeCell="A13" sqref="A13:I13"/>
    </sheetView>
  </sheetViews>
  <sheetFormatPr defaultColWidth="9.16796875" defaultRowHeight="12.75" x14ac:dyDescent="0.15"/>
  <cols>
    <col min="1" max="1" width="5.52734375" style="2" customWidth="1"/>
    <col min="2" max="2" width="15.1015625" style="2" customWidth="1"/>
    <col min="3" max="3" width="14.15625" style="2" customWidth="1"/>
    <col min="4" max="4" width="26.0234375" style="2" customWidth="1"/>
    <col min="5" max="5" width="7.953125" style="2" customWidth="1"/>
    <col min="6" max="6" width="7.8203125" style="2" customWidth="1"/>
    <col min="7" max="7" width="41.9375" style="2" customWidth="1"/>
    <col min="8" max="8" width="9.3046875" style="2" customWidth="1"/>
    <col min="9" max="9" width="15.5078125" style="2" customWidth="1"/>
    <col min="10" max="10" width="14.6953125" style="2" customWidth="1"/>
    <col min="11" max="11" width="15.5078125" style="2" customWidth="1"/>
    <col min="12" max="14" width="5.796875" style="2" customWidth="1"/>
    <col min="15" max="15" width="12.5390625" style="2" customWidth="1"/>
    <col min="16" max="1024" width="9.16796875" style="2"/>
  </cols>
  <sheetData>
    <row r="1" spans="1:14" ht="18" customHeight="1" x14ac:dyDescent="0.15">
      <c r="A1" s="104" t="s">
        <v>20</v>
      </c>
      <c r="B1" s="104"/>
      <c r="C1" s="104"/>
      <c r="D1" s="104"/>
      <c r="E1" s="104"/>
      <c r="F1" s="104"/>
      <c r="G1" s="104"/>
      <c r="H1" s="104"/>
      <c r="I1" s="104"/>
      <c r="J1" s="3"/>
      <c r="K1" s="51"/>
    </row>
    <row r="2" spans="1:14" ht="18.75" customHeight="1" thickBot="1" x14ac:dyDescent="0.2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4" ht="18.75" customHeight="1" thickBot="1" x14ac:dyDescent="0.2">
      <c r="A3" s="105" t="s">
        <v>53</v>
      </c>
      <c r="B3" s="105"/>
      <c r="C3" s="105"/>
      <c r="D3" s="107" t="s">
        <v>58</v>
      </c>
      <c r="E3" s="107"/>
      <c r="F3" s="107"/>
      <c r="G3" s="107"/>
      <c r="H3" s="107"/>
      <c r="I3" s="107"/>
      <c r="J3" s="107"/>
      <c r="K3" s="107"/>
    </row>
    <row r="4" spans="1:14" ht="18.75" customHeight="1" thickBot="1" x14ac:dyDescent="0.2">
      <c r="A4" s="106" t="s">
        <v>54</v>
      </c>
      <c r="B4" s="106"/>
      <c r="C4" s="106"/>
      <c r="D4" s="107" t="s">
        <v>64</v>
      </c>
      <c r="E4" s="107"/>
      <c r="F4" s="107"/>
      <c r="G4" s="107"/>
      <c r="H4" s="107"/>
      <c r="I4" s="107"/>
      <c r="J4" s="107"/>
      <c r="K4" s="107"/>
    </row>
    <row r="5" spans="1:14" ht="18.75" customHeight="1" thickBot="1" x14ac:dyDescent="0.2">
      <c r="A5" s="106" t="s">
        <v>32</v>
      </c>
      <c r="B5" s="106"/>
      <c r="C5" s="106"/>
      <c r="D5" s="108" t="s">
        <v>63</v>
      </c>
      <c r="E5" s="108"/>
      <c r="F5" s="108"/>
      <c r="G5" s="108"/>
      <c r="H5" s="108"/>
      <c r="I5" s="108"/>
      <c r="J5" s="108"/>
      <c r="K5" s="108"/>
    </row>
    <row r="6" spans="1:14" ht="16.5" customHeight="1" thickBot="1" x14ac:dyDescent="0.2">
      <c r="A6" s="105" t="s">
        <v>55</v>
      </c>
      <c r="B6" s="105"/>
      <c r="C6" s="105"/>
      <c r="D6" s="91" t="s">
        <v>69</v>
      </c>
      <c r="E6" s="91"/>
      <c r="F6" s="91"/>
      <c r="G6" s="91"/>
      <c r="H6" s="91"/>
      <c r="I6" s="91"/>
      <c r="J6" s="91"/>
      <c r="K6" s="91"/>
      <c r="L6" s="91"/>
      <c r="M6" s="91"/>
      <c r="N6" s="91"/>
    </row>
    <row r="7" spans="1:14" ht="16.5" customHeight="1" thickBot="1" x14ac:dyDescent="0.2">
      <c r="A7" s="106" t="s">
        <v>21</v>
      </c>
      <c r="B7" s="106"/>
      <c r="C7" s="106"/>
      <c r="D7" s="107" t="s">
        <v>74</v>
      </c>
      <c r="E7" s="107"/>
      <c r="F7" s="107"/>
      <c r="G7" s="107"/>
      <c r="H7" s="107"/>
      <c r="I7" s="107"/>
      <c r="J7" s="107"/>
      <c r="K7" s="107"/>
    </row>
    <row r="8" spans="1:14" ht="16.5" customHeight="1" thickBot="1" x14ac:dyDescent="0.2">
      <c r="A8" s="92" t="s">
        <v>22</v>
      </c>
      <c r="B8" s="92"/>
      <c r="C8" s="92"/>
      <c r="D8" s="93" t="s">
        <v>67</v>
      </c>
      <c r="E8" s="93"/>
      <c r="F8" s="93"/>
      <c r="G8" s="93"/>
      <c r="H8" s="93"/>
      <c r="I8" s="93"/>
      <c r="J8" s="93"/>
      <c r="K8" s="93"/>
    </row>
    <row r="9" spans="1:14" ht="15" thickBot="1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4" ht="18.75" customHeight="1" thickBot="1" x14ac:dyDescent="0.2">
      <c r="A10" s="94" t="s">
        <v>23</v>
      </c>
      <c r="B10" s="96" t="s">
        <v>24</v>
      </c>
      <c r="C10" s="97" t="s">
        <v>25</v>
      </c>
      <c r="D10" s="98"/>
      <c r="E10" s="98"/>
      <c r="F10" s="98"/>
      <c r="G10" s="99"/>
      <c r="H10" s="100" t="s">
        <v>26</v>
      </c>
      <c r="I10" s="98" t="s">
        <v>27</v>
      </c>
      <c r="J10" s="98" t="s">
        <v>28</v>
      </c>
      <c r="K10" s="99" t="s">
        <v>29</v>
      </c>
    </row>
    <row r="11" spans="1:14" ht="24" customHeight="1" thickBot="1" x14ac:dyDescent="0.2">
      <c r="A11" s="95"/>
      <c r="B11" s="96"/>
      <c r="C11" s="97"/>
      <c r="D11" s="98"/>
      <c r="E11" s="98"/>
      <c r="F11" s="98"/>
      <c r="G11" s="99"/>
      <c r="H11" s="101"/>
      <c r="I11" s="102"/>
      <c r="J11" s="102"/>
      <c r="K11" s="103"/>
    </row>
    <row r="12" spans="1:14" ht="36.75" customHeight="1" thickBot="1" x14ac:dyDescent="0.2">
      <c r="A12" s="37">
        <v>1</v>
      </c>
      <c r="B12" s="64" t="str">
        <f>+'Necesidades Trimestrales'!B10</f>
        <v>2.5.6-793.31</v>
      </c>
      <c r="C12" s="88" t="str">
        <f>+'Necesidades Trimestrales'!E10</f>
        <v>GAS OIL; PRESENTACION: POR LITRO, USO: MOTORES DIESEL, COMERCIALIZACION: GRADO 3, DESTINO: DPTO. S.F.V. DE CATAMARCA</v>
      </c>
      <c r="D12" s="89"/>
      <c r="E12" s="89"/>
      <c r="F12" s="89"/>
      <c r="G12" s="90"/>
      <c r="H12" s="37" t="s">
        <v>70</v>
      </c>
      <c r="I12" s="38" t="str">
        <f>'Necesidades Trimestrales'!F10</f>
        <v>LITROS EN VALES</v>
      </c>
      <c r="J12" s="40">
        <v>198</v>
      </c>
      <c r="K12" s="39">
        <v>20200</v>
      </c>
    </row>
    <row r="13" spans="1:14" ht="20.25" customHeight="1" thickBot="1" x14ac:dyDescent="0.2">
      <c r="A13" s="86" t="str">
        <f>+'Autor Gastar'!A16:P16</f>
        <v>TOTAL DE PESOS: Tres Millones Novecientos Noventa y Nueve Mil Seiscientos con 00/100.</v>
      </c>
      <c r="B13" s="86"/>
      <c r="C13" s="86"/>
      <c r="D13" s="86"/>
      <c r="E13" s="86"/>
      <c r="F13" s="86"/>
      <c r="G13" s="86"/>
      <c r="H13" s="86"/>
      <c r="I13" s="86"/>
      <c r="J13" s="87">
        <f>SUMPRODUCT(J12:J12,K12:K12)</f>
        <v>3999600</v>
      </c>
      <c r="K13" s="87"/>
    </row>
    <row r="16" spans="1:14" x14ac:dyDescent="0.15">
      <c r="C16"/>
      <c r="D16"/>
    </row>
  </sheetData>
  <mergeCells count="23">
    <mergeCell ref="A1:I1"/>
    <mergeCell ref="A6:C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C12:G12"/>
    <mergeCell ref="D6:N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zoomScale="130" zoomScaleNormal="130" workbookViewId="0">
      <selection activeCell="S10" sqref="S10"/>
    </sheetView>
  </sheetViews>
  <sheetFormatPr defaultColWidth="11.0546875" defaultRowHeight="12.75" x14ac:dyDescent="0.15"/>
  <cols>
    <col min="1" max="5" width="4.44921875" customWidth="1"/>
    <col min="6" max="6" width="6.203125" customWidth="1"/>
    <col min="7" max="7" width="4.44921875" style="8" customWidth="1"/>
    <col min="8" max="11" width="4.44921875" customWidth="1"/>
    <col min="12" max="12" width="4.71875" customWidth="1"/>
    <col min="13" max="14" width="4.44921875" customWidth="1"/>
    <col min="15" max="16" width="14.83203125" customWidth="1"/>
    <col min="17" max="17" width="14.6953125" customWidth="1"/>
  </cols>
  <sheetData>
    <row r="1" spans="1:17" ht="15.75" customHeight="1" x14ac:dyDescent="0.15">
      <c r="A1" s="130" t="s">
        <v>3</v>
      </c>
      <c r="B1" s="130"/>
      <c r="C1" s="130"/>
      <c r="D1" s="131">
        <f>'Necesidades Trimestrales'!C6</f>
        <v>2022</v>
      </c>
      <c r="E1" s="131"/>
      <c r="F1" s="9"/>
      <c r="G1" s="9"/>
      <c r="H1" s="10"/>
      <c r="I1" s="10"/>
      <c r="J1" s="10"/>
      <c r="K1" s="10"/>
      <c r="L1" s="10"/>
      <c r="M1" s="10"/>
      <c r="N1" s="10"/>
      <c r="P1" s="132" t="s">
        <v>30</v>
      </c>
      <c r="Q1" s="132"/>
    </row>
    <row r="2" spans="1:17" ht="15.75" customHeight="1" x14ac:dyDescent="0.15">
      <c r="H2" s="10"/>
      <c r="I2" s="10"/>
      <c r="J2" s="10"/>
      <c r="K2" s="10"/>
      <c r="L2" s="10"/>
      <c r="M2" s="10"/>
      <c r="N2" s="10"/>
      <c r="P2" s="132"/>
      <c r="Q2" s="132"/>
    </row>
    <row r="4" spans="1:17" s="11" customFormat="1" ht="18" customHeight="1" thickBot="1" x14ac:dyDescent="0.2">
      <c r="A4" s="133" t="s">
        <v>31</v>
      </c>
      <c r="B4" s="133"/>
      <c r="C4" s="133"/>
      <c r="D4" s="133"/>
      <c r="E4" s="133"/>
      <c r="F4" s="133"/>
      <c r="G4" s="134" t="str">
        <f>' NotaPedido'!D3</f>
        <v>90 - MINISTERIO DE SEGURIDAD</v>
      </c>
      <c r="H4" s="134"/>
      <c r="I4" s="134"/>
      <c r="J4" s="134"/>
      <c r="K4" s="134"/>
      <c r="L4" s="134"/>
      <c r="M4" s="134"/>
      <c r="N4" s="134"/>
      <c r="O4" s="134"/>
      <c r="P4" s="134"/>
      <c r="Q4" s="134"/>
    </row>
    <row r="5" spans="1:17" s="11" customFormat="1" ht="18" customHeight="1" thickBot="1" x14ac:dyDescent="0.2">
      <c r="A5" s="124" t="s">
        <v>54</v>
      </c>
      <c r="B5" s="125"/>
      <c r="C5" s="125"/>
      <c r="D5" s="125"/>
      <c r="E5" s="125"/>
      <c r="F5" s="126"/>
      <c r="G5" s="127" t="str">
        <f>' NotaPedido'!D4</f>
        <v>SAF 19 - DIRECCION PROVINCIAL DE ADM. Y RR.HH. DEL MINISTERIO DE SEGURIDAD</v>
      </c>
      <c r="H5" s="127"/>
      <c r="I5" s="127"/>
      <c r="J5" s="127"/>
      <c r="K5" s="127"/>
      <c r="L5" s="127"/>
      <c r="M5" s="127"/>
      <c r="N5" s="127"/>
      <c r="O5" s="127"/>
      <c r="P5" s="127"/>
      <c r="Q5" s="127"/>
    </row>
    <row r="6" spans="1:17" s="11" customFormat="1" ht="18" customHeight="1" thickBot="1" x14ac:dyDescent="0.2">
      <c r="A6" s="124" t="s">
        <v>32</v>
      </c>
      <c r="B6" s="125"/>
      <c r="C6" s="125"/>
      <c r="D6" s="125"/>
      <c r="E6" s="125"/>
      <c r="F6" s="126"/>
      <c r="G6" s="129" t="str">
        <f>' NotaPedido'!D5</f>
        <v>MINISTERIO DE SEGUIRIDAD</v>
      </c>
      <c r="H6" s="129"/>
      <c r="I6" s="129"/>
      <c r="J6" s="129"/>
      <c r="K6" s="129"/>
      <c r="L6" s="129"/>
      <c r="M6" s="129"/>
      <c r="N6" s="129"/>
      <c r="O6" s="129"/>
      <c r="P6" s="129"/>
      <c r="Q6" s="129"/>
    </row>
    <row r="7" spans="1:17" s="11" customFormat="1" ht="18" customHeight="1" thickBot="1" x14ac:dyDescent="0.2">
      <c r="A7" s="124" t="s">
        <v>55</v>
      </c>
      <c r="B7" s="125"/>
      <c r="C7" s="125"/>
      <c r="D7" s="125"/>
      <c r="E7" s="125"/>
      <c r="F7" s="126"/>
      <c r="G7" s="129" t="s">
        <v>59</v>
      </c>
      <c r="H7" s="129"/>
      <c r="I7" s="129"/>
      <c r="J7" s="129"/>
      <c r="K7" s="129"/>
      <c r="L7" s="129"/>
      <c r="M7" s="129"/>
      <c r="N7" s="129"/>
      <c r="O7" s="129"/>
      <c r="P7" s="129"/>
      <c r="Q7" s="129"/>
    </row>
    <row r="8" spans="1:17" ht="18" customHeight="1" thickBot="1" x14ac:dyDescent="0.2">
      <c r="A8" s="128" t="s">
        <v>33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</row>
    <row r="9" spans="1:17" ht="18" customHeight="1" x14ac:dyDescent="0.15">
      <c r="A9" s="118" t="s">
        <v>34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"/>
      <c r="P9" s="1"/>
      <c r="Q9" s="12"/>
    </row>
    <row r="10" spans="1:17" ht="54.75" customHeight="1" x14ac:dyDescent="0.15">
      <c r="A10" s="119" t="str">
        <f>"Autorizo la realización de los  trámites correspondientes, a fin de proveer a  este Organismo los bienes y/o servicios que se detallan en Tercer Trimestre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Tercer Trimestre ,  afectando la erogación resultante a los créditos presupuestarios aprobados a favor de esta Unidad Ejecutora, conforme al siguiente detalle: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</row>
    <row r="11" spans="1:17" ht="9" customHeight="1" x14ac:dyDescent="0.15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15">
      <c r="A12" s="120" t="s">
        <v>35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</row>
    <row r="13" spans="1:17" ht="15.75" customHeight="1" x14ac:dyDescent="0.15">
      <c r="A13" s="121" t="s">
        <v>36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2" t="s">
        <v>37</v>
      </c>
      <c r="P13" s="122"/>
      <c r="Q13" s="123" t="s">
        <v>38</v>
      </c>
    </row>
    <row r="14" spans="1:17" ht="15.75" customHeight="1" thickBot="1" x14ac:dyDescent="0.2">
      <c r="A14" s="17" t="s">
        <v>39</v>
      </c>
      <c r="B14" s="18" t="s">
        <v>40</v>
      </c>
      <c r="C14" s="18" t="s">
        <v>41</v>
      </c>
      <c r="D14" s="18" t="s">
        <v>42</v>
      </c>
      <c r="E14" s="18" t="s">
        <v>43</v>
      </c>
      <c r="F14" s="18" t="s">
        <v>44</v>
      </c>
      <c r="G14" s="19" t="s">
        <v>45</v>
      </c>
      <c r="H14" s="18" t="s">
        <v>46</v>
      </c>
      <c r="I14" s="18" t="s">
        <v>47</v>
      </c>
      <c r="J14" s="18" t="s">
        <v>48</v>
      </c>
      <c r="K14" s="18" t="s">
        <v>48</v>
      </c>
      <c r="L14" s="18" t="s">
        <v>49</v>
      </c>
      <c r="M14" s="20" t="s">
        <v>50</v>
      </c>
      <c r="N14" s="21" t="s">
        <v>51</v>
      </c>
      <c r="O14" s="122"/>
      <c r="P14" s="122"/>
      <c r="Q14" s="123"/>
    </row>
    <row r="15" spans="1:17" ht="28.5" customHeight="1" x14ac:dyDescent="0.15">
      <c r="A15" s="53">
        <v>1</v>
      </c>
      <c r="B15" s="54">
        <v>0</v>
      </c>
      <c r="C15" s="54">
        <v>0</v>
      </c>
      <c r="D15" s="55">
        <v>1</v>
      </c>
      <c r="E15" s="54">
        <v>0</v>
      </c>
      <c r="F15" s="54">
        <v>4901</v>
      </c>
      <c r="G15" s="54">
        <v>2</v>
      </c>
      <c r="H15" s="55">
        <v>1</v>
      </c>
      <c r="I15" s="54">
        <v>2</v>
      </c>
      <c r="J15" s="54">
        <v>5</v>
      </c>
      <c r="K15" s="54">
        <v>6</v>
      </c>
      <c r="L15" s="54">
        <v>0</v>
      </c>
      <c r="M15" s="56">
        <v>1</v>
      </c>
      <c r="N15" s="57" t="s">
        <v>56</v>
      </c>
      <c r="O15" s="109" t="s">
        <v>61</v>
      </c>
      <c r="P15" s="110"/>
      <c r="Q15" s="58">
        <f>+'Necesidades Trimestrales'!I10</f>
        <v>3999600</v>
      </c>
    </row>
    <row r="16" spans="1:17" ht="30.75" customHeight="1" thickBot="1" x14ac:dyDescent="0.2">
      <c r="A16" s="116" t="s">
        <v>75</v>
      </c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22">
        <f>SUM(Q15:Q15)</f>
        <v>3999600</v>
      </c>
    </row>
    <row r="17" spans="1:17" ht="18" customHeight="1" thickBot="1" x14ac:dyDescent="0.2">
      <c r="A17" s="117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</row>
    <row r="18" spans="1:17" ht="17.25" customHeight="1" thickBot="1" x14ac:dyDescent="0.2">
      <c r="A18" s="111" t="s">
        <v>52</v>
      </c>
      <c r="B18" s="112"/>
      <c r="C18" s="112"/>
      <c r="D18" s="112"/>
      <c r="E18" s="112"/>
      <c r="F18" s="113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</row>
    <row r="19" spans="1:17" ht="18" customHeight="1" thickBot="1" x14ac:dyDescent="0.2">
      <c r="A19" s="115" t="s">
        <v>65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</row>
    <row r="20" spans="1:17" ht="15" customHeight="1" x14ac:dyDescent="0.15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 NotaPedido!Área_de_impresión</vt:lpstr>
      <vt:lpstr>Autor Gastar!Área_de_impresión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Karen</cp:lastModifiedBy>
  <cp:revision>2</cp:revision>
  <cp:lastPrinted>2020-07-17T22:18:48Z</cp:lastPrinted>
  <dcterms:created xsi:type="dcterms:W3CDTF">2020-07-17T23:44:49Z</dcterms:created>
  <dcterms:modified xsi:type="dcterms:W3CDTF">2022-07-25T12:53:05Z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