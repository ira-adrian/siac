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I11" i="1" l="1"/>
  <c r="I10" i="1"/>
  <c r="D3" i="2"/>
  <c r="G6" i="3" l="1"/>
  <c r="G7" i="3"/>
  <c r="D7" i="2"/>
  <c r="G4" i="3"/>
  <c r="D4" i="2"/>
  <c r="G5" i="3" s="1"/>
  <c r="A10" i="3" l="1"/>
  <c r="D1" i="3"/>
  <c r="J17" i="2"/>
  <c r="Q23" i="3"/>
</calcChain>
</file>

<file path=xl/sharedStrings.xml><?xml version="1.0" encoding="utf-8"?>
<sst xmlns="http://schemas.openxmlformats.org/spreadsheetml/2006/main" count="91" uniqueCount="78">
  <si>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</si>
  <si>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</si>
  <si>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</si>
  <si>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</si>
  <si>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</si>
  <si>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</si>
  <si>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</si>
  <si>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</si>
  <si>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</si>
  <si>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</si>
  <si>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</si>
  <si>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</si>
  <si>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</si>
  <si>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</si>
  <si>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</si>
  <si>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</si>
  <si>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</si>
  <si>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</si>
  <si>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</si>
  <si>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</si>
  <si>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</si>
  <si>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</si>
  <si>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</si>
  <si>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</si>
  <si>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</si>
  <si>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</si>
  <si>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</si>
  <si>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</si>
  <si>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</si>
  <si>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</si>
  <si>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</si>
  <si>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</si>
  <si>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</si>
  <si>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</si>
  <si>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</si>
  <si>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</si>
  <si>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</si>
  <si>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</si>
  <si>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</si>
  <si>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</si>
  <si>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</si>
  <si>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</si>
  <si>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</si>
  <si>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</si>
  <si>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</si>
  <si>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</si>
  <si>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</si>
  <si>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</si>
  <si>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</si>
  <si>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</si>
  <si>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</si>
  <si>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</si>
  <si>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</si>
  <si>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</si>
  <si>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</si>
  <si>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</si>
  <si>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</si>
  <si>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</si>
  <si>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Adquisicion de Medicamentos</t>
  </si>
  <si>
    <t>AMOXICILINA + CLAVULANICO 400/150 SUSPENSIÓN</t>
  </si>
  <si>
    <t>FENOBARBITAL 100 MG. AMPOLLAS</t>
  </si>
  <si>
    <t>No</t>
  </si>
  <si>
    <t xml:space="preserve">Unidad </t>
  </si>
  <si>
    <t>Unidad</t>
  </si>
  <si>
    <t>Productos farmaceuticos y medicinales</t>
  </si>
  <si>
    <t>2.5.2</t>
  </si>
  <si>
    <t>1.1</t>
  </si>
  <si>
    <t>Cuarto Trimestre</t>
  </si>
  <si>
    <t>DIRECCION PROVINCIAL DE FARMACIA E INSUMOS</t>
  </si>
  <si>
    <t>Costo total estimado: TRES MILLONES SETECIENTOS CINCUENTA Y DOS MIL VEINTE CON 00/100.-</t>
  </si>
  <si>
    <t>TOTAL DE PESOS: TRES MILLONES SETECIENTOS CINCUENTA Y DOS MIL VEINTE CON 00/100.-</t>
  </si>
  <si>
    <t>58-2020</t>
  </si>
  <si>
    <t>ADQUISICION DE MEDICAMENTOS PARA LA DIRECCION DE FARMACIA E INSUMOS.-</t>
  </si>
  <si>
    <t>VER ANEXO "A"</t>
  </si>
  <si>
    <t>Especificidades Item N° 1 y 2:</t>
  </si>
  <si>
    <t xml:space="preserve">Ministerio de Salud </t>
  </si>
  <si>
    <t>Chacabuco N° 169</t>
  </si>
  <si>
    <t>Plazo de entrega 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</si>
</sst>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5" fillId="0" borderId="2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9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3" fontId="4" fillId="0" borderId="3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0" xfId="0" applyBorder="1"/>
    <xf numFmtId="0" fontId="0" fillId="0" borderId="3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38" xfId="0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14" fillId="0" borderId="4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166" fontId="14" fillId="0" borderId="56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right" wrapText="1"/>
    </xf>
    <xf numFmtId="0" fontId="21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right" wrapText="1"/>
    </xf>
    <xf numFmtId="0" fontId="23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0" xfId="0" applyFont="1" applyBorder="1"/>
    <xf numFmtId="0" fontId="16" fillId="0" borderId="16" xfId="0" applyFont="1" applyBorder="1"/>
    <xf numFmtId="0" fontId="23" fillId="0" borderId="15" xfId="0" applyFont="1" applyBorder="1" applyAlignment="1">
      <alignment horizontal="left" indent="3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2" fillId="3" borderId="4" xfId="0" applyFont="1" applyFill="1" applyBorder="1" applyAlignment="1">
      <alignment horizontal="center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3" fillId="4" borderId="15" xfId="0" applyFont="1" applyFill="1" applyBorder="1" applyAlignment="1">
      <alignment horizontal="left" indent="3"/>
    </xf>
    <xf numFmtId="0" fontId="16" fillId="4" borderId="0" xfId="0" applyFont="1" applyFill="1" applyBorder="1"/>
    <xf numFmtId="0" fontId="16" fillId="4" borderId="16" xfId="0" applyFont="1" applyFill="1" applyBorder="1"/>
    <xf numFmtId="0" fontId="16" fillId="4" borderId="15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4" borderId="17" xfId="0" applyFont="1" applyFill="1" applyBorder="1" applyAlignment="1">
      <alignment horizontal="left" indent="3"/>
    </xf>
    <xf numFmtId="0" fontId="16" fillId="4" borderId="18" xfId="0" applyFont="1" applyFill="1" applyBorder="1"/>
    <xf numFmtId="0" fontId="16" fillId="4" borderId="19" xfId="0" applyFont="1" applyFill="1" applyBorder="1"/>
    <xf numFmtId="0" fontId="16" fillId="4" borderId="0" xfId="0" applyFont="1" applyFill="1"/>
    <xf numFmtId="0" fontId="6" fillId="3" borderId="2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 wrapText="1"/>
    </xf>
    <xf numFmtId="0" fontId="0" fillId="3" borderId="43" xfId="0" applyFont="1" applyFill="1" applyBorder="1" applyAlignment="1">
      <alignment horizontal="center" vertical="center"/>
    </xf>
    <xf numFmtId="0" fontId="0" fillId="3" borderId="44" xfId="0" applyFont="1" applyFill="1" applyBorder="1" applyAlignment="1">
      <alignment horizontal="center" vertical="center"/>
    </xf>
    <xf numFmtId="0" fontId="0" fillId="4" borderId="44" xfId="0" applyFont="1" applyFill="1" applyBorder="1" applyAlignment="1">
      <alignment horizontal="center" vertical="center"/>
    </xf>
    <xf numFmtId="0" fontId="0" fillId="3" borderId="45" xfId="0" applyFont="1" applyFill="1" applyBorder="1" applyAlignment="1">
      <alignment horizontal="center" vertical="center"/>
    </xf>
    <xf numFmtId="166" fontId="0" fillId="4" borderId="46" xfId="3" applyNumberFormat="1" applyFont="1" applyFill="1" applyBorder="1" applyAlignment="1" applyProtection="1">
      <alignment horizontal="center" vertical="center"/>
    </xf>
    <xf numFmtId="0" fontId="26" fillId="0" borderId="7" xfId="0" applyFont="1" applyBorder="1" applyAlignment="1">
      <alignment vertical="center" wrapText="1"/>
    </xf>
    <xf numFmtId="0" fontId="27" fillId="0" borderId="7" xfId="0" applyFont="1" applyBorder="1" applyAlignment="1">
      <alignment vertical="center" wrapText="1"/>
    </xf>
    <xf numFmtId="3" fontId="0" fillId="0" borderId="7" xfId="0" applyNumberFormat="1" applyBorder="1" applyAlignment="1">
      <alignment horizontal="center" vertical="center"/>
    </xf>
    <xf numFmtId="169" fontId="0" fillId="0" borderId="7" xfId="0" applyNumberFormat="1" applyBorder="1"/>
    <xf numFmtId="169" fontId="25" fillId="0" borderId="7" xfId="0" applyNumberFormat="1" applyFont="1" applyBorder="1" applyAlignment="1">
      <alignment horizontal="center" vertical="center"/>
    </xf>
    <xf numFmtId="169" fontId="4" fillId="0" borderId="30" xfId="0" applyNumberFormat="1" applyFont="1" applyBorder="1" applyAlignment="1">
      <alignment horizontal="center" vertical="center" wrapText="1"/>
    </xf>
    <xf numFmtId="169" fontId="4" fillId="0" borderId="3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8" fillId="0" borderId="4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15" fillId="3" borderId="44" xfId="0" applyFont="1" applyFill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0" fontId="16" fillId="3" borderId="16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4" xfId="0" applyFont="1" applyBorder="1" applyAlignment="1">
      <alignment horizontal="left" vertical="center" wrapText="1" indent="1"/>
    </xf>
    <xf numFmtId="167" fontId="7" fillId="0" borderId="24" xfId="0" applyNumberFormat="1" applyFont="1" applyBorder="1" applyAlignment="1">
      <alignment horizontal="center" vertical="center"/>
    </xf>
    <xf numFmtId="0" fontId="27" fillId="4" borderId="29" xfId="0" applyFont="1" applyFill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7" fillId="0" borderId="26" xfId="0" applyFont="1" applyBorder="1" applyAlignment="1">
      <alignment horizontal="left" vertical="center"/>
    </xf>
    <xf numFmtId="0" fontId="6" fillId="3" borderId="27" xfId="0" applyFont="1" applyFill="1" applyBorder="1" applyAlignment="1">
      <alignment horizontal="left" vertical="center" wrapText="1" indent="1"/>
    </xf>
    <xf numFmtId="0" fontId="8" fillId="0" borderId="26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 indent="1"/>
    </xf>
    <xf numFmtId="0" fontId="7" fillId="0" borderId="25" xfId="0" applyFont="1" applyBorder="1" applyAlignment="1">
      <alignment horizontal="left" vertical="center" wrapText="1"/>
    </xf>
    <xf numFmtId="0" fontId="10" fillId="0" borderId="32" xfId="0" applyFont="1" applyBorder="1" applyAlignment="1">
      <alignment vertical="center" wrapText="1"/>
    </xf>
    <xf numFmtId="0" fontId="10" fillId="0" borderId="5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3" borderId="56" xfId="0" applyFont="1" applyFill="1" applyBorder="1" applyAlignment="1">
      <alignment horizontal="left" vertical="center" wrapText="1" inden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0" fillId="0" borderId="56" xfId="0" applyFont="1" applyBorder="1" applyAlignment="1">
      <alignment horizontal="left" vertical="center" wrapText="1"/>
    </xf>
    <xf numFmtId="0" fontId="0" fillId="0" borderId="34" xfId="0" applyBorder="1"/>
    <xf numFmtId="0" fontId="15" fillId="4" borderId="44" xfId="0" applyFont="1" applyFill="1" applyBorder="1" applyAlignment="1">
      <alignment horizontal="left" vertical="center" wrapText="1"/>
    </xf>
    <xf numFmtId="0" fontId="0" fillId="4" borderId="44" xfId="0" applyFont="1" applyFill="1" applyBorder="1" applyAlignment="1">
      <alignment horizontal="left" vertical="center" wrapText="1"/>
    </xf>
    <xf numFmtId="0" fontId="12" fillId="0" borderId="35" xfId="0" applyFont="1" applyBorder="1"/>
    <xf numFmtId="0" fontId="12" fillId="0" borderId="36" xfId="0" applyFont="1" applyBorder="1" applyAlignment="1">
      <alignment horizontal="left" vertical="center" wrapText="1" indent="1"/>
    </xf>
    <xf numFmtId="0" fontId="14" fillId="0" borderId="3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indent="1"/>
    </xf>
    <xf numFmtId="0" fontId="13" fillId="0" borderId="21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0" fillId="0" borderId="33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2" fillId="0" borderId="21" xfId="0" applyFont="1" applyBorder="1"/>
    <xf numFmtId="0" fontId="16" fillId="3" borderId="0" xfId="0" applyFont="1" applyFill="1" applyBorder="1" applyAlignment="1">
      <alignment horizontal="left" vertical="center" wrapText="1"/>
    </xf>
    <xf numFmtId="0" fontId="16" fillId="3" borderId="16" xfId="0" applyFont="1" applyFill="1" applyBorder="1" applyAlignment="1">
      <alignment horizontal="left" vertical="center" wrapText="1"/>
    </xf>
    <xf numFmtId="0" fontId="16" fillId="3" borderId="16" xfId="0" applyFont="1" applyFill="1" applyBorder="1" applyAlignment="1">
      <alignment horizontal="left" vertic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32"/>
  <sheetViews>
    <sheetView tabSelected="1" topLeftCell="A13" zoomScale="130" zoomScaleNormal="130" workbookViewId="0">
      <selection activeCell="C27" sqref="C27"/>
    </sheetView>
  </sheetViews>
  <sheetFormatPr baseColWidth="10" defaultColWidth="11" defaultRowHeight="12.75" x14ac:dyDescent="0.2"/>
  <cols>
    <col min="1" max="1" width="4.5703125" style="47" customWidth="1"/>
    <col min="2" max="2" width="12.85546875" style="47" customWidth="1"/>
    <col min="3" max="3" width="32.42578125" style="47" customWidth="1"/>
    <col min="4" max="4" width="8.42578125" style="47" customWidth="1"/>
    <col min="5" max="5" width="79" style="47" customWidth="1"/>
    <col min="6" max="6" width="11" style="47"/>
    <col min="7" max="7" width="12.7109375" style="47" customWidth="1"/>
    <col min="8" max="8" width="13.85546875" style="47" customWidth="1"/>
    <col min="9" max="9" width="18.5703125" style="47" customWidth="1"/>
    <col min="10" max="16384" width="11" style="47"/>
  </cols>
  <sheetData>
    <row r="2" spans="1:9" ht="27" x14ac:dyDescent="0.35">
      <c r="B2" s="109" t="s">
        <v>0</v>
      </c>
      <c r="C2" s="109"/>
      <c r="D2" s="109"/>
      <c r="E2" s="109"/>
      <c r="F2" s="109"/>
      <c r="G2" s="109"/>
      <c r="H2" s="109"/>
    </row>
    <row r="4" spans="1:9" ht="18" customHeight="1" x14ac:dyDescent="0.25">
      <c r="A4" s="108" t="s">
        <v>1</v>
      </c>
      <c r="B4" s="108"/>
      <c r="C4" s="110" t="s">
        <v>57</v>
      </c>
      <c r="D4" s="110"/>
      <c r="E4" s="110"/>
      <c r="F4" s="48"/>
      <c r="G4" s="49"/>
      <c r="H4" s="48"/>
    </row>
    <row r="5" spans="1:9" ht="18" customHeight="1" x14ac:dyDescent="0.25">
      <c r="A5" s="108" t="s">
        <v>2</v>
      </c>
      <c r="B5" s="108"/>
      <c r="C5" s="110">
        <v>11</v>
      </c>
      <c r="D5" s="110"/>
      <c r="E5" s="110"/>
      <c r="F5" s="48"/>
      <c r="G5" s="49"/>
      <c r="H5" s="48"/>
    </row>
    <row r="6" spans="1:9" ht="16.5" customHeight="1" x14ac:dyDescent="0.25">
      <c r="A6" s="108" t="s">
        <v>3</v>
      </c>
      <c r="B6" s="108"/>
      <c r="C6" s="70">
        <v>2020</v>
      </c>
      <c r="D6" s="71"/>
      <c r="E6" s="71"/>
      <c r="F6" s="48"/>
      <c r="G6" s="49"/>
      <c r="H6" s="48"/>
    </row>
    <row r="7" spans="1:9" ht="16.5" customHeight="1" x14ac:dyDescent="0.25">
      <c r="A7" s="108" t="s">
        <v>4</v>
      </c>
      <c r="B7" s="108"/>
      <c r="C7" s="70" t="s">
        <v>67</v>
      </c>
      <c r="D7" s="71"/>
      <c r="E7" s="71"/>
      <c r="F7" s="48"/>
      <c r="G7" s="49"/>
      <c r="H7" s="48"/>
    </row>
    <row r="8" spans="1:9" x14ac:dyDescent="0.2">
      <c r="B8" s="48"/>
      <c r="C8" s="49"/>
      <c r="D8" s="48"/>
      <c r="E8" s="48"/>
      <c r="F8" s="48"/>
      <c r="G8" s="49"/>
      <c r="H8" s="48"/>
    </row>
    <row r="9" spans="1:9" ht="39.75" thickTop="1" thickBot="1" x14ac:dyDescent="0.25">
      <c r="A9" s="50" t="s">
        <v>5</v>
      </c>
      <c r="B9" s="50" t="s">
        <v>6</v>
      </c>
      <c r="C9" s="50" t="s">
        <v>7</v>
      </c>
      <c r="D9" s="50" t="s">
        <v>8</v>
      </c>
      <c r="E9" s="50" t="s">
        <v>9</v>
      </c>
      <c r="F9" s="50" t="s">
        <v>10</v>
      </c>
      <c r="G9" s="50" t="s">
        <v>11</v>
      </c>
      <c r="H9" s="50" t="s">
        <v>12</v>
      </c>
      <c r="I9" s="50" t="s">
        <v>13</v>
      </c>
    </row>
    <row r="10" spans="1:9" ht="26.25" thickBot="1" x14ac:dyDescent="0.25">
      <c r="A10" s="51">
        <v>1</v>
      </c>
      <c r="B10" s="72"/>
      <c r="C10" s="102" t="s">
        <v>64</v>
      </c>
      <c r="D10" s="52" t="s">
        <v>65</v>
      </c>
      <c r="E10" s="94" t="s">
        <v>59</v>
      </c>
      <c r="F10" s="95" t="s">
        <v>14</v>
      </c>
      <c r="G10" s="96">
        <v>9000</v>
      </c>
      <c r="H10" s="105">
        <v>410</v>
      </c>
      <c r="I10" s="73">
        <f>SUM(G10*H10)</f>
        <v>3690000</v>
      </c>
    </row>
    <row r="11" spans="1:9" ht="25.5" x14ac:dyDescent="0.2">
      <c r="A11" s="53">
        <v>2</v>
      </c>
      <c r="B11" s="54"/>
      <c r="C11" s="103" t="s">
        <v>64</v>
      </c>
      <c r="D11" s="54" t="s">
        <v>65</v>
      </c>
      <c r="E11" s="95" t="s">
        <v>60</v>
      </c>
      <c r="F11" s="95" t="s">
        <v>14</v>
      </c>
      <c r="G11" s="101">
        <v>100</v>
      </c>
      <c r="H11" s="98">
        <v>620.20000000000005</v>
      </c>
      <c r="I11" s="73">
        <f>SUM(G11*H11)</f>
        <v>62020.000000000007</v>
      </c>
    </row>
    <row r="12" spans="1:9" x14ac:dyDescent="0.2">
      <c r="A12" s="53">
        <v>3</v>
      </c>
      <c r="B12" s="54"/>
      <c r="C12" s="55"/>
      <c r="D12" s="54"/>
      <c r="E12" s="55"/>
      <c r="F12" s="56"/>
      <c r="G12" s="56"/>
      <c r="H12" s="56"/>
      <c r="I12" s="57"/>
    </row>
    <row r="13" spans="1:9" x14ac:dyDescent="0.2">
      <c r="A13" s="53">
        <v>4</v>
      </c>
      <c r="B13" s="54"/>
      <c r="C13" s="55"/>
      <c r="D13" s="54"/>
      <c r="E13" s="55"/>
      <c r="F13" s="56"/>
      <c r="G13" s="56"/>
      <c r="H13" s="56"/>
      <c r="I13" s="57"/>
    </row>
    <row r="14" spans="1:9" x14ac:dyDescent="0.2">
      <c r="A14" s="58">
        <v>5</v>
      </c>
      <c r="B14" s="59"/>
      <c r="C14" s="60"/>
      <c r="D14" s="59"/>
      <c r="E14" s="60"/>
      <c r="F14" s="61"/>
      <c r="G14" s="61"/>
      <c r="H14" s="61"/>
      <c r="I14" s="62"/>
    </row>
    <row r="17" spans="2:5" x14ac:dyDescent="0.2">
      <c r="B17" s="63" t="s">
        <v>74</v>
      </c>
      <c r="C17" s="64"/>
      <c r="D17" s="64"/>
      <c r="E17" s="65"/>
    </row>
    <row r="18" spans="2:5" ht="5.25" customHeight="1" x14ac:dyDescent="0.2">
      <c r="B18" s="66"/>
      <c r="C18" s="67"/>
      <c r="D18" s="67"/>
      <c r="E18" s="68"/>
    </row>
    <row r="19" spans="2:5" x14ac:dyDescent="0.2">
      <c r="B19" s="69" t="s">
        <v>15</v>
      </c>
      <c r="C19" s="67"/>
      <c r="D19" s="67"/>
      <c r="E19" s="68"/>
    </row>
    <row r="20" spans="2:5" ht="41.25" customHeight="1" x14ac:dyDescent="0.2">
      <c r="B20" s="74"/>
      <c r="C20" s="152" t="s">
        <v>73</v>
      </c>
      <c r="D20" s="152"/>
      <c r="E20" s="153"/>
    </row>
    <row r="21" spans="2:5" x14ac:dyDescent="0.2">
      <c r="B21" s="74" t="s">
        <v>16</v>
      </c>
      <c r="C21" s="75"/>
      <c r="D21" s="75"/>
      <c r="E21" s="76"/>
    </row>
    <row r="22" spans="2:5" x14ac:dyDescent="0.2">
      <c r="B22" s="77"/>
      <c r="C22" s="154" t="s">
        <v>75</v>
      </c>
      <c r="D22" s="154"/>
      <c r="E22" s="154"/>
    </row>
    <row r="23" spans="2:5" x14ac:dyDescent="0.2">
      <c r="B23" s="77"/>
      <c r="C23" s="154" t="s">
        <v>76</v>
      </c>
      <c r="D23" s="154"/>
      <c r="E23" s="154"/>
    </row>
    <row r="24" spans="2:5" x14ac:dyDescent="0.2">
      <c r="B24" s="77"/>
      <c r="C24" s="154" t="s">
        <v>77</v>
      </c>
      <c r="D24" s="154"/>
      <c r="E24" s="154"/>
    </row>
    <row r="25" spans="2:5" x14ac:dyDescent="0.2">
      <c r="B25" s="74" t="s">
        <v>17</v>
      </c>
      <c r="C25" s="75"/>
      <c r="D25" s="75"/>
      <c r="E25" s="76"/>
    </row>
    <row r="26" spans="2:5" ht="26.25" customHeight="1" x14ac:dyDescent="0.2">
      <c r="B26" s="77"/>
      <c r="C26" s="107"/>
      <c r="D26" s="107"/>
      <c r="E26" s="107"/>
    </row>
    <row r="27" spans="2:5" x14ac:dyDescent="0.2">
      <c r="B27" s="74" t="s">
        <v>18</v>
      </c>
      <c r="C27" s="78"/>
      <c r="D27" s="78"/>
      <c r="E27" s="79"/>
    </row>
    <row r="28" spans="2:5" ht="26.25" customHeight="1" x14ac:dyDescent="0.2">
      <c r="B28" s="77"/>
      <c r="C28" s="107"/>
      <c r="D28" s="107"/>
      <c r="E28" s="107"/>
    </row>
    <row r="29" spans="2:5" x14ac:dyDescent="0.2">
      <c r="B29" s="74" t="s">
        <v>19</v>
      </c>
      <c r="C29" s="75"/>
      <c r="D29" s="75"/>
      <c r="E29" s="76"/>
    </row>
    <row r="30" spans="2:5" ht="23.25" customHeight="1" x14ac:dyDescent="0.2">
      <c r="B30" s="74"/>
      <c r="C30" s="106"/>
      <c r="D30" s="106"/>
      <c r="E30" s="106"/>
    </row>
    <row r="31" spans="2:5" x14ac:dyDescent="0.2">
      <c r="B31" s="80"/>
      <c r="C31" s="81"/>
      <c r="D31" s="81"/>
      <c r="E31" s="82"/>
    </row>
    <row r="32" spans="2:5" x14ac:dyDescent="0.2">
      <c r="B32" s="83"/>
      <c r="C32" s="83"/>
      <c r="D32" s="83"/>
      <c r="E32" s="83"/>
    </row>
  </sheetData>
  <mergeCells count="14">
    <mergeCell ref="C24:E24"/>
    <mergeCell ref="C23:E23"/>
    <mergeCell ref="B2:H2"/>
    <mergeCell ref="A4:B4"/>
    <mergeCell ref="C4:E4"/>
    <mergeCell ref="A5:B5"/>
    <mergeCell ref="C5:E5"/>
    <mergeCell ref="A6:B6"/>
    <mergeCell ref="A7:B7"/>
    <mergeCell ref="C20:E20"/>
    <mergeCell ref="C22:E22"/>
    <mergeCell ref="C26:E26"/>
    <mergeCell ref="C28:E28"/>
    <mergeCell ref="C30:E30"/>
  </mergeCells>
  <pageMargins left="0.25" right="0.25" top="0.75" bottom="0.75" header="0.3" footer="0.3"/>
  <pageSetup paperSize="5" scale="90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="110" zoomScaleNormal="110" workbookViewId="0">
      <selection activeCell="K19" sqref="K1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1" t="s">
        <v>20</v>
      </c>
      <c r="B1" s="121"/>
      <c r="C1" s="121"/>
      <c r="D1" s="121"/>
      <c r="E1" s="121"/>
      <c r="F1" s="121"/>
      <c r="G1" s="121"/>
      <c r="H1" s="121"/>
      <c r="I1" s="121"/>
      <c r="J1" s="3" t="s">
        <v>21</v>
      </c>
      <c r="K1" s="84" t="s">
        <v>71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2" t="s">
        <v>54</v>
      </c>
      <c r="B3" s="122"/>
      <c r="C3" s="122"/>
      <c r="D3" s="123" t="str">
        <f>'Necesidades Trimestrales'!C4</f>
        <v>40 - Ministerio de Salud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25">
      <c r="A4" s="124" t="s">
        <v>55</v>
      </c>
      <c r="B4" s="124"/>
      <c r="C4" s="124"/>
      <c r="D4" s="123">
        <f>'Necesidades Trimestrales'!C5</f>
        <v>11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25">
      <c r="A5" s="124" t="s">
        <v>33</v>
      </c>
      <c r="B5" s="124"/>
      <c r="C5" s="124"/>
      <c r="D5" s="123" t="s">
        <v>68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25">
      <c r="A6" s="122" t="s">
        <v>56</v>
      </c>
      <c r="B6" s="122"/>
      <c r="C6" s="122"/>
      <c r="D6" s="123" t="s">
        <v>68</v>
      </c>
      <c r="E6" s="123"/>
      <c r="F6" s="123"/>
      <c r="G6" s="123"/>
      <c r="H6" s="123"/>
      <c r="I6" s="123"/>
      <c r="J6" s="123"/>
      <c r="K6" s="123"/>
    </row>
    <row r="7" spans="1:11" ht="16.5" customHeight="1" x14ac:dyDescent="0.2">
      <c r="A7" s="124" t="s">
        <v>22</v>
      </c>
      <c r="B7" s="124"/>
      <c r="C7" s="124"/>
      <c r="D7" s="123" t="str">
        <f>'Necesidades Trimestrales'!C7 &amp; "° Trimestre - Año " &amp; 'Necesidades Trimestrales'!C6</f>
        <v>Cuarto Trimestre° Trimestre - Año 2020</v>
      </c>
      <c r="E7" s="123"/>
      <c r="F7" s="123"/>
      <c r="G7" s="123"/>
      <c r="H7" s="123"/>
      <c r="I7" s="123"/>
      <c r="J7" s="123"/>
      <c r="K7" s="123"/>
    </row>
    <row r="8" spans="1:11" ht="16.5" customHeight="1" x14ac:dyDescent="0.2">
      <c r="A8" s="116" t="s">
        <v>23</v>
      </c>
      <c r="B8" s="116"/>
      <c r="C8" s="116"/>
      <c r="D8" s="117" t="s">
        <v>58</v>
      </c>
      <c r="E8" s="117"/>
      <c r="F8" s="117"/>
      <c r="G8" s="117"/>
      <c r="H8" s="117"/>
      <c r="I8" s="117"/>
      <c r="J8" s="117"/>
      <c r="K8" s="11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8" t="s">
        <v>24</v>
      </c>
      <c r="B10" s="119" t="s">
        <v>25</v>
      </c>
      <c r="C10" s="119" t="s">
        <v>26</v>
      </c>
      <c r="D10" s="119"/>
      <c r="E10" s="119"/>
      <c r="F10" s="119"/>
      <c r="G10" s="119"/>
      <c r="H10" s="119" t="s">
        <v>27</v>
      </c>
      <c r="I10" s="119" t="s">
        <v>28</v>
      </c>
      <c r="J10" s="119" t="s">
        <v>29</v>
      </c>
      <c r="K10" s="120" t="s">
        <v>30</v>
      </c>
    </row>
    <row r="11" spans="1:11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20.25" customHeight="1" x14ac:dyDescent="0.2">
      <c r="A12" s="85">
        <v>1</v>
      </c>
      <c r="B12" s="86"/>
      <c r="C12" s="113" t="s">
        <v>59</v>
      </c>
      <c r="D12" s="113"/>
      <c r="E12" s="113"/>
      <c r="F12" s="113"/>
      <c r="G12" s="113"/>
      <c r="H12" s="87" t="s">
        <v>61</v>
      </c>
      <c r="I12" s="88" t="s">
        <v>62</v>
      </c>
      <c r="J12" s="97">
        <v>410</v>
      </c>
      <c r="K12" s="96">
        <v>9000</v>
      </c>
    </row>
    <row r="13" spans="1:11" ht="20.25" customHeight="1" x14ac:dyDescent="0.2">
      <c r="A13" s="8">
        <v>2</v>
      </c>
      <c r="B13" s="9"/>
      <c r="C13" s="114" t="s">
        <v>60</v>
      </c>
      <c r="D13" s="114"/>
      <c r="E13" s="114"/>
      <c r="F13" s="114"/>
      <c r="G13" s="114"/>
      <c r="H13" s="10" t="s">
        <v>61</v>
      </c>
      <c r="I13" s="11" t="s">
        <v>63</v>
      </c>
      <c r="J13" s="98">
        <v>620.20000000000005</v>
      </c>
      <c r="K13" s="101">
        <v>100</v>
      </c>
    </row>
    <row r="14" spans="1:11" ht="20.25" customHeight="1" x14ac:dyDescent="0.2">
      <c r="A14" s="8">
        <v>3</v>
      </c>
      <c r="B14" s="9"/>
      <c r="C14" s="114"/>
      <c r="D14" s="114"/>
      <c r="E14" s="114"/>
      <c r="F14" s="114"/>
      <c r="G14" s="114"/>
      <c r="H14" s="10"/>
      <c r="I14" s="11"/>
      <c r="J14" s="99"/>
      <c r="K14" s="12"/>
    </row>
    <row r="15" spans="1:11" ht="20.25" customHeight="1" x14ac:dyDescent="0.2">
      <c r="A15" s="8">
        <v>4</v>
      </c>
      <c r="B15" s="9"/>
      <c r="C15" s="114"/>
      <c r="D15" s="114"/>
      <c r="E15" s="114"/>
      <c r="F15" s="114"/>
      <c r="G15" s="114"/>
      <c r="H15" s="10"/>
      <c r="I15" s="11"/>
      <c r="J15" s="99"/>
      <c r="K15" s="12"/>
    </row>
    <row r="16" spans="1:11" ht="20.25" customHeight="1" thickBot="1" x14ac:dyDescent="0.25">
      <c r="A16" s="13">
        <v>5</v>
      </c>
      <c r="B16" s="14"/>
      <c r="C16" s="115"/>
      <c r="D16" s="115"/>
      <c r="E16" s="115"/>
      <c r="F16" s="115"/>
      <c r="G16" s="115"/>
      <c r="H16" s="15"/>
      <c r="I16" s="16"/>
      <c r="J16" s="100"/>
      <c r="K16" s="17"/>
    </row>
    <row r="17" spans="1:11" ht="20.25" customHeight="1" thickBot="1" x14ac:dyDescent="0.25">
      <c r="A17" s="111" t="s">
        <v>69</v>
      </c>
      <c r="B17" s="111"/>
      <c r="C17" s="111"/>
      <c r="D17" s="111"/>
      <c r="E17" s="111"/>
      <c r="F17" s="111"/>
      <c r="G17" s="111"/>
      <c r="H17" s="111"/>
      <c r="I17" s="111"/>
      <c r="J17" s="112">
        <f>SUMPRODUCT(J12:J16,K12:K16)</f>
        <v>3752020</v>
      </c>
      <c r="K17" s="112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8" sqref="A28"/>
    </sheetView>
  </sheetViews>
  <sheetFormatPr baseColWidth="10" defaultColWidth="11" defaultRowHeight="12.75" x14ac:dyDescent="0.2"/>
  <cols>
    <col min="1" max="5" width="4.42578125" customWidth="1"/>
    <col min="6" max="6" width="5.42578125" customWidth="1"/>
    <col min="7" max="7" width="4.42578125" style="1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8" t="s">
        <v>3</v>
      </c>
      <c r="B1" s="148"/>
      <c r="C1" s="148"/>
      <c r="D1" s="149">
        <f>'Necesidades Trimestrales'!C6</f>
        <v>2020</v>
      </c>
      <c r="E1" s="149"/>
      <c r="F1" s="19"/>
      <c r="G1" s="19"/>
      <c r="H1" s="20"/>
      <c r="I1" s="20"/>
      <c r="J1" s="20"/>
      <c r="K1" s="20"/>
      <c r="L1" s="20"/>
      <c r="M1" s="20"/>
      <c r="N1" s="20"/>
      <c r="P1" s="150" t="s">
        <v>31</v>
      </c>
      <c r="Q1" s="150"/>
    </row>
    <row r="2" spans="1:17" ht="15.75" customHeight="1" x14ac:dyDescent="0.2">
      <c r="H2" s="20"/>
      <c r="I2" s="20"/>
      <c r="J2" s="20"/>
      <c r="K2" s="20"/>
      <c r="L2" s="20"/>
      <c r="M2" s="20"/>
      <c r="N2" s="20"/>
      <c r="P2" s="150"/>
      <c r="Q2" s="150"/>
    </row>
    <row r="4" spans="1:17" s="21" customFormat="1" ht="18" customHeight="1" thickBot="1" x14ac:dyDescent="0.25">
      <c r="A4" s="151" t="s">
        <v>32</v>
      </c>
      <c r="B4" s="151"/>
      <c r="C4" s="151"/>
      <c r="D4" s="151"/>
      <c r="E4" s="151"/>
      <c r="F4" s="151"/>
      <c r="G4" s="146" t="str">
        <f>' NotaPedido'!D3</f>
        <v>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21" customFormat="1" ht="18" customHeight="1" thickBot="1" x14ac:dyDescent="0.25">
      <c r="A5" s="143" t="s">
        <v>55</v>
      </c>
      <c r="B5" s="144"/>
      <c r="C5" s="144"/>
      <c r="D5" s="144"/>
      <c r="E5" s="144"/>
      <c r="F5" s="145"/>
      <c r="G5" s="146">
        <f>' NotaPedido'!D4</f>
        <v>11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21" customFormat="1" ht="18" customHeight="1" thickBot="1" x14ac:dyDescent="0.25">
      <c r="A6" s="143" t="s">
        <v>33</v>
      </c>
      <c r="B6" s="144"/>
      <c r="C6" s="144"/>
      <c r="D6" s="144"/>
      <c r="E6" s="144"/>
      <c r="F6" s="145"/>
      <c r="G6" s="146" t="str">
        <f>' NotaPedido'!D5</f>
        <v>DIRECCION PROVINCIAL DE FARMACIA E INSUMOS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21" customFormat="1" ht="18" customHeight="1" thickBot="1" x14ac:dyDescent="0.25">
      <c r="A7" s="143" t="s">
        <v>56</v>
      </c>
      <c r="B7" s="144"/>
      <c r="C7" s="144"/>
      <c r="D7" s="144"/>
      <c r="E7" s="144"/>
      <c r="F7" s="145"/>
      <c r="G7" s="146" t="str">
        <f>' NotaPedido'!D6</f>
        <v>DIRECCION PROVINCIAL DE FARMACIA E INSUMOS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47" t="s">
        <v>34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</row>
    <row r="9" spans="1:17" ht="18" customHeight="1" x14ac:dyDescent="0.2">
      <c r="A9" s="137" t="s">
        <v>35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22"/>
    </row>
    <row r="10" spans="1:17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58-2020,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9" customHeight="1" x14ac:dyDescent="0.2">
      <c r="A11" s="23"/>
      <c r="B11" s="24"/>
      <c r="C11" s="24"/>
      <c r="D11" s="24"/>
      <c r="E11" s="24"/>
      <c r="F11" s="24"/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6"/>
    </row>
    <row r="12" spans="1:17" ht="15.75" customHeight="1" x14ac:dyDescent="0.2">
      <c r="A12" s="139" t="s">
        <v>36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7" ht="15.75" customHeight="1" x14ac:dyDescent="0.2">
      <c r="A13" s="140" t="s">
        <v>37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38</v>
      </c>
      <c r="P13" s="141"/>
      <c r="Q13" s="142" t="s">
        <v>39</v>
      </c>
    </row>
    <row r="14" spans="1:17" ht="15.75" customHeight="1" x14ac:dyDescent="0.2">
      <c r="A14" s="27" t="s">
        <v>40</v>
      </c>
      <c r="B14" s="28" t="s">
        <v>41</v>
      </c>
      <c r="C14" s="28" t="s">
        <v>42</v>
      </c>
      <c r="D14" s="28" t="s">
        <v>43</v>
      </c>
      <c r="E14" s="28" t="s">
        <v>44</v>
      </c>
      <c r="F14" s="28" t="s">
        <v>45</v>
      </c>
      <c r="G14" s="29" t="s">
        <v>46</v>
      </c>
      <c r="H14" s="28" t="s">
        <v>47</v>
      </c>
      <c r="I14" s="28" t="s">
        <v>48</v>
      </c>
      <c r="J14" s="28" t="s">
        <v>49</v>
      </c>
      <c r="K14" s="28" t="s">
        <v>49</v>
      </c>
      <c r="L14" s="28" t="s">
        <v>50</v>
      </c>
      <c r="M14" s="30" t="s">
        <v>51</v>
      </c>
      <c r="N14" s="31" t="s">
        <v>52</v>
      </c>
      <c r="O14" s="141"/>
      <c r="P14" s="141"/>
      <c r="Q14" s="142"/>
    </row>
    <row r="15" spans="1:17" ht="27" customHeight="1" x14ac:dyDescent="0.2">
      <c r="A15" s="89">
        <v>30</v>
      </c>
      <c r="B15" s="90"/>
      <c r="C15" s="90"/>
      <c r="D15" s="90">
        <v>1</v>
      </c>
      <c r="E15" s="90"/>
      <c r="F15" s="90">
        <v>4901</v>
      </c>
      <c r="G15" s="90">
        <v>3</v>
      </c>
      <c r="H15" s="90">
        <v>1</v>
      </c>
      <c r="I15" s="91">
        <v>2</v>
      </c>
      <c r="J15" s="91">
        <v>5</v>
      </c>
      <c r="K15" s="91">
        <v>2</v>
      </c>
      <c r="L15" s="90"/>
      <c r="M15" s="92">
        <v>1</v>
      </c>
      <c r="N15" s="104" t="s">
        <v>66</v>
      </c>
      <c r="O15" s="135" t="s">
        <v>64</v>
      </c>
      <c r="P15" s="136"/>
      <c r="Q15" s="93">
        <v>3752020</v>
      </c>
    </row>
    <row r="16" spans="1:17" ht="27" customHeight="1" x14ac:dyDescent="0.2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35"/>
      <c r="O16" s="130"/>
      <c r="P16" s="130"/>
      <c r="Q16" s="36"/>
    </row>
    <row r="17" spans="1:18" ht="27" customHeight="1" x14ac:dyDescent="0.2">
      <c r="A17" s="32"/>
      <c r="B17" s="33"/>
      <c r="C17" s="33"/>
      <c r="D17" s="33"/>
      <c r="E17" s="33"/>
      <c r="F17" s="35"/>
      <c r="G17" s="33"/>
      <c r="H17" s="33"/>
      <c r="I17" s="33"/>
      <c r="J17" s="33"/>
      <c r="K17" s="33"/>
      <c r="L17" s="33"/>
      <c r="M17" s="34"/>
      <c r="N17" s="35"/>
      <c r="O17" s="130"/>
      <c r="P17" s="130"/>
      <c r="Q17" s="36"/>
    </row>
    <row r="18" spans="1:18" ht="27" customHeight="1" x14ac:dyDescent="0.2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5"/>
      <c r="O18" s="130"/>
      <c r="P18" s="130"/>
      <c r="Q18" s="36"/>
    </row>
    <row r="19" spans="1:18" ht="27" customHeight="1" x14ac:dyDescent="0.2">
      <c r="A19" s="32"/>
      <c r="B19" s="33"/>
      <c r="C19" s="33"/>
      <c r="D19" s="33"/>
      <c r="E19" s="33"/>
      <c r="F19" s="35"/>
      <c r="G19" s="33"/>
      <c r="H19" s="33"/>
      <c r="I19" s="33"/>
      <c r="J19" s="33"/>
      <c r="K19" s="33"/>
      <c r="L19" s="33"/>
      <c r="M19" s="34"/>
      <c r="N19" s="35"/>
      <c r="O19" s="130"/>
      <c r="P19" s="130"/>
      <c r="Q19" s="36"/>
    </row>
    <row r="20" spans="1:18" ht="27" customHeight="1" x14ac:dyDescent="0.2">
      <c r="A20" s="32"/>
      <c r="B20" s="33"/>
      <c r="C20" s="33"/>
      <c r="D20" s="33"/>
      <c r="E20" s="33"/>
      <c r="F20" s="35"/>
      <c r="G20" s="33"/>
      <c r="H20" s="33"/>
      <c r="I20" s="33"/>
      <c r="J20" s="33"/>
      <c r="K20" s="33"/>
      <c r="L20" s="33"/>
      <c r="M20" s="34"/>
      <c r="N20" s="35"/>
      <c r="O20" s="130"/>
      <c r="P20" s="130"/>
      <c r="Q20" s="36"/>
    </row>
    <row r="21" spans="1:18" ht="27" customHeight="1" x14ac:dyDescent="0.2">
      <c r="A21" s="37"/>
      <c r="B21" s="38"/>
      <c r="C21" s="38"/>
      <c r="D21" s="38"/>
      <c r="E21" s="38"/>
      <c r="F21" s="39"/>
      <c r="G21" s="38"/>
      <c r="H21" s="38"/>
      <c r="I21" s="38"/>
      <c r="J21" s="38"/>
      <c r="K21" s="38"/>
      <c r="L21" s="38"/>
      <c r="M21" s="40"/>
      <c r="N21" s="41"/>
      <c r="O21" s="131"/>
      <c r="P21" s="131"/>
      <c r="Q21" s="36"/>
      <c r="R21" s="1"/>
    </row>
    <row r="22" spans="1:18" ht="27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3"/>
      <c r="O22" s="132"/>
      <c r="P22" s="132"/>
      <c r="Q22" s="45"/>
    </row>
    <row r="23" spans="1:18" ht="36.75" customHeight="1" x14ac:dyDescent="0.2">
      <c r="A23" s="133" t="s">
        <v>70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46">
        <f>SUM(Q15:Q22)</f>
        <v>3752020</v>
      </c>
    </row>
    <row r="24" spans="1:18" ht="18" customHeight="1" thickBot="1" x14ac:dyDescent="0.25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</row>
    <row r="25" spans="1:18" ht="17.25" customHeight="1" thickBot="1" x14ac:dyDescent="0.25">
      <c r="A25" s="125" t="s">
        <v>53</v>
      </c>
      <c r="B25" s="126"/>
      <c r="C25" s="126"/>
      <c r="D25" s="126"/>
      <c r="E25" s="126"/>
      <c r="F25" s="127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1:18" ht="18" customHeight="1" thickBot="1" x14ac:dyDescent="0.25">
      <c r="A26" s="129" t="s">
        <v>72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</row>
    <row r="27" spans="1:18" ht="15" customHeight="1" x14ac:dyDescent="0.2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usuario</cp:lastModifiedBy>
  <cp:revision>2</cp:revision>
  <cp:lastPrinted>2020-11-10T14:01:16Z</cp:lastPrinted>
  <dcterms:created xsi:type="dcterms:W3CDTF">2020-07-17T23:44:49Z</dcterms:created>
  <dcterms:modified xsi:type="dcterms:W3CDTF">2020-11-11T13:55:20Z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