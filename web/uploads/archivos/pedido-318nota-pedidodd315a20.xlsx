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Trimestrales'!$A$9:$I$71</definedName>
    <definedName name="_xlnm.Print_Area" localSheetId="1">' NotaPedido'!$A$1:$K$74</definedName>
    <definedName name="_xlnm.Print_Area" localSheetId="2">'Autor Gastar'!$A$1:$Q$25</definedName>
    <definedName name="_xlnm.Print_Area" localSheetId="0">'Necesidades Trimestrales'!$E$9:$E$71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2" i="2" l="1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C48" i="2" l="1"/>
  <c r="C49" i="2"/>
  <c r="I46" i="1"/>
  <c r="I47" i="1"/>
  <c r="K32" i="2" l="1"/>
  <c r="K33" i="2"/>
  <c r="K34" i="2"/>
  <c r="K35" i="2"/>
  <c r="K36" i="2"/>
  <c r="K37" i="2"/>
  <c r="K38" i="2"/>
  <c r="K39" i="2"/>
  <c r="K40" i="2"/>
  <c r="K4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32" i="2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74" i="2" l="1"/>
  <c r="Q21" i="3"/>
</calcChain>
</file>

<file path=xl/sharedStrings.xml><?xml version="1.0" encoding="utf-8"?>
<sst xmlns="http://schemas.openxmlformats.org/spreadsheetml/2006/main" count="328" uniqueCount="137">
  <si>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</si>
  <si>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</si>
  <si>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</si>
  <si>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</si>
  <si>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</si>
  <si>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</si>
  <si>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</si>
  <si>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</si>
  <si>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</si>
  <si>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</si>
  <si>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</si>
  <si>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</si>
  <si>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</si>
  <si>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</si>
  <si>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</si>
  <si>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</si>
  <si>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</si>
  <si>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</si>
  <si>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</si>
  <si>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</si>
  <si>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</si>
  <si>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</si>
  <si>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</si>
  <si>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</si>
  <si>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</si>
  <si>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</si>
  <si>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</si>
  <si>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</si>
  <si>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</si>
  <si>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</si>
  <si>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</si>
  <si>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</si>
  <si>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</si>
  <si>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</si>
  <si>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</si>
  <si>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</si>
  <si>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</si>
  <si>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</si>
  <si>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</si>
  <si>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</si>
  <si>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</si>
  <si>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</si>
  <si>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</si>
  <si>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</si>
  <si>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</si>
  <si>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</si>
  <si>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</si>
  <si>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</si>
  <si>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</si>
  <si>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</si>
  <si>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</si>
  <si>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</si>
  <si>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</si>
  <si>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</si>
  <si>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</si>
  <si>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</si>
  <si>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</si>
  <si>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 FARMACEUTICOS/LAB</t>
  </si>
  <si>
    <t>UNIDAD</t>
  </si>
  <si>
    <t>UTILES MENORES MEDICO, QUIRURGICO Y DE LABORATORIO</t>
  </si>
  <si>
    <t>Plazos y lugares de entrega</t>
  </si>
  <si>
    <t>Descripción técnica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</si>
  <si>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</si>
  <si>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</si>
  <si>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>Suturas</t>
  </si>
  <si>
    <t xml:space="preserve">HILO DE LINO N° 30 </t>
  </si>
  <si>
    <t xml:space="preserve">HILO DE LINO N° 40 </t>
  </si>
  <si>
    <t>HILO DE LINO N° 60</t>
  </si>
  <si>
    <t>HILO DE LINO N° 80</t>
  </si>
  <si>
    <t>HILO DE LINO N°100</t>
  </si>
  <si>
    <t>HILO DE SUTURA MONOFILAMENTO 2-0 164T C/AGUJA</t>
  </si>
  <si>
    <t>HILO DE SUTURA MONOFILAMENTO 3-0 163T C/AGUJA</t>
  </si>
  <si>
    <t>HILO DE SUTURA MONOFILAMENTO 4-0 AGUJA PS-1 3/8 CIRC 24 MM</t>
  </si>
  <si>
    <t>HILO DE SUTURA TIPO SEDA 2-0 COD K833 H</t>
  </si>
  <si>
    <t>SUT.ABS.CATGUT SIMP.2-0 C/A SH Ó CT1 X 1 UNID</t>
  </si>
  <si>
    <t>SUT.ABS.CATGUT SIMP.3-0 C/A SH/CT1 X 1 UNID</t>
  </si>
  <si>
    <t>SUT.ABS.CATGUT SIMP.4-0 C/A SH X 1 UNID.</t>
  </si>
  <si>
    <t>SUT.ABS.CATGUT SIMP.5-0 C/A RB-1 X UNID.</t>
  </si>
  <si>
    <t>SUT.N/ABS.MONONYLON  4-0 (OFTAL. 0936103  ) X 1 UNID.</t>
  </si>
  <si>
    <t>SUT.N/ABS.MONONYLON  5/0 (OFTAL. 0936090)  X 1 UNID.</t>
  </si>
  <si>
    <t>SUT.N/ABS.MONONYLON  6-0  ( OFTAL. 0936081)  X 1 UNID.</t>
  </si>
  <si>
    <t>SUT.N/ABS.MONONYLON  8-0 X 1 UNID.</t>
  </si>
  <si>
    <t>SUT.N/ABS.MONONYLON  9-0 (OFTAL.)X 1 UNID.</t>
  </si>
  <si>
    <t>SUT.N/ABS.MONONYLON 10-0 (OFTAL.)X 1 UNID.</t>
  </si>
  <si>
    <t>SUT.N/ABS.MONONYLON 5-0 S/22 (OFTAL.)X 1 UNID.</t>
  </si>
  <si>
    <t>SUT.SEDA QUIRUR.NEG./TRENZ 3-0 GS 832 C/A</t>
  </si>
  <si>
    <t>SUTURA MONOCRYL 3-0 AGUJA MCP 493</t>
  </si>
  <si>
    <t>SUTURA MONOCRYL 4-0 AGUJA MCP 493</t>
  </si>
  <si>
    <t>SUTURA MONOCRYL 5-0 AGUJA MCP 493</t>
  </si>
  <si>
    <t xml:space="preserve">SUTURA QUIRURGICA ACIDO POLIGLICOLICO Nª 8/0 J546G OFTALMOLOGICO TIPO VICRYL </t>
  </si>
  <si>
    <t>SUTURA QUIRURGICA ACIDO POLIGLICOLICO TRENZADA ABSORBIBLE Nª 7/0 J546G OFTALMOLOGICO TIPO VICRYL</t>
  </si>
  <si>
    <t>SUTURA QUIRURGICA ACIDO POLIGLICOLICO TRENZADA ABSORBIBLE T/VICRYL N°2-0 J339H X 1 UNID.</t>
  </si>
  <si>
    <t>SUTURA QUIRURGICA ACIDO POLIGLICOLICO TRENZADA ABSORBIBLE T/VICRYL N°3-0 J305H X 1 UNID.</t>
  </si>
  <si>
    <t>SUTURA QUIRURGICA ACIDO POLIGLICOLICO TRENZADA ABSORBIBLE T/VICRYL N°3-0 J338H X 1 UNID.</t>
  </si>
  <si>
    <t>SUTURA QUIRURGICA ACIDO POLIGLICOLICO TRENZADA ABSORBIBLE T/VICRYL N°4-0 J304H X 1 UNID.</t>
  </si>
  <si>
    <t>SUTURA QUIRURGICA ACIDO POLIGLICOLICO TRENZADA ABSORBIBLE T/VICRYL N°5-0 J303H X 1 UNID.</t>
  </si>
  <si>
    <t>SUTURA QUIRURGICA ACIDO POLIGLICOLICO TRENZADA ABSORBIBLE T/VICRYL N°6-0 C/A J302H X 1 UNID.</t>
  </si>
  <si>
    <t>SUTURA QUIRURGICA ACIDO POLIGLICOLICO TRENZADA ABSORBIBLE TIPO VIRYL Nº 3-0 CODIGO J316 C / AGUJA</t>
  </si>
  <si>
    <t>SUTURA QUIRURGICA ACIDO POLIGLICOLICO TRENZADA ABSORBIBLE TIPO VIRYL Nº 4-0 CODIGO J315 C / AGUJA</t>
  </si>
  <si>
    <t>SUTURA QUIRURGICA ACIDO POLIGLICOLICO TRENZADA ABSORBIBLE TIPO VIRYL Nº 5-0 CODIGO J314 C / AGUJA</t>
  </si>
  <si>
    <t>SUTURA QUIRURGICA ACIDO POLIGLICOLICO TRENZADA ABSROBIBLE TIPO VICRYL  0/0 J 353 H x ud</t>
  </si>
  <si>
    <t xml:space="preserve">SUTURA QUIRURGICA ACIDO POLIGLICOLICO TRENZADA ABSROBIBLE TIPO VICRYL  1/0 J 347 H x uds   </t>
  </si>
  <si>
    <t xml:space="preserve">SUTURA QUIRURGICA ACIDO POLIGLICOLICO TRENZADA ABSROBIBLE TIPO VICRYL  1/0 JS 617 H x uds      </t>
  </si>
  <si>
    <t>SUTURA QUIRURGICA ACIDO POLIGLICOLICO TRENZADA ABSROBIBLE TIPO VICRYL  1/0J 353 H x uds</t>
  </si>
  <si>
    <t>SUTURA QUIRURGICA ACIDO POLIGLICOLICO TRENZADA ABSROBIBLE TIPO VICRYL  2/0 8423 T</t>
  </si>
  <si>
    <t>SUTURA QUIRURGICA ACIDO POLIGLICOLICO TRENZADA ABSROBIBLE TIPO VICRYL  2/0 J 356 c/a x uds</t>
  </si>
  <si>
    <t>SUTURA QUIRURGICA ACIDO POLIGLICOLICO TRENZADA ABSROBIBLE TIPO VICRYL  2/0 JS 618 s/a x uds</t>
  </si>
  <si>
    <t>SUTURA QUIRURGICA ACIDO POLIGLICOLICO TRENZADA ABSROBIBLE TIPO VICRYL  4/0 SJ 310  x uds</t>
  </si>
  <si>
    <t>SUTURA QUIRURGICA ACIDO POLIGLICOLICO TRENZADA ABSROBIBLE TIPO VICRYL  5/0 J 121 H  x uds</t>
  </si>
  <si>
    <t xml:space="preserve">SUTURA QUIRURGICA ACIDO POLIGLICOLICO TRENZADA ABSROBIBLE TIPO VICRYL  6/0 JP 492 G </t>
  </si>
  <si>
    <t>SUTURA QUIRURGICA ACIDO POLIGLICOLICO TRENZADA ABSROBIBLE TIPO VICRYL 0 J340H CON AGUJA</t>
  </si>
  <si>
    <t>SUTURA QUIRURGICA ACIDO POLIGLICOLICO TRENZADA ABSROBIBLE TIPO VICRYL 1 J341 CON AGUJA</t>
  </si>
  <si>
    <t>SUTURA QUIRURGICA ACIDO POLIGLICOLICO TRENZADA ABSROBIBLE TIPO VICRYL 2 J536 CON AGUJA /W9246</t>
  </si>
  <si>
    <t>SUTURA QUIRURGICA ACIDO POLIGLICOLICO TRENZADA ABSROBIBLE TIPO VICRYL 2/0 J317H CON AGUJA</t>
  </si>
  <si>
    <t>SUTURA QUIRURGICA POLIPROPILENO NO ABSORBIBLE TIPO PROLENE 0 CT8424</t>
  </si>
  <si>
    <t>SUTURA QUIRURGICA POLIPROPILENO NO ABSORBIBLE TIPO PROLENE 1/0  CT c/a  8425 H</t>
  </si>
  <si>
    <t>SUTURA QUIRURGICA POLIPROPILENO NO ABSORBIBLE TIPO PROLENE 2/0  536</t>
  </si>
  <si>
    <t>SUTURA QUIRURGICA POLIPROPILENO NO ABSORBIBLE TIPO PROLENE 2/0 8185</t>
  </si>
  <si>
    <t>SUTURA QUIRURGICA POLIPROPILENO NO ABSORBIBLE TIPO PROLENE 2/0 con aguja recta 8623</t>
  </si>
  <si>
    <t>SUTURA QUIRURGICA POLIPROPILENO NO ABSORBIBLE TIPO PROLENE 3/0  8622 Con aguja recta</t>
  </si>
  <si>
    <t>SUTURA QUIRURGICA POLIPROPILENO NO ABSORBIBLE TIPO PROLENE 3/0 8522 AGUJA CURVA</t>
  </si>
  <si>
    <t>SUTURA QUIRURGICA POLIPROPILENO NO ABSORBIBLE TIPO PROLENE 4/0 8521 PM</t>
  </si>
  <si>
    <t>SUTURA QUIRURGICA POLIPROPILENO NO ABSORBIBLE TIPO PROLENE 4/0 9521T</t>
  </si>
  <si>
    <t>SUTURA QUIRURGICA POLIPROPILENO NO ABSORBIBLE TIPO PROLENE 5/0 8698</t>
  </si>
  <si>
    <t xml:space="preserve">SUTURA QUIRURGICA POLIPROPILENO NO ABSORBIBLE TIPO PROLENE 6/0 8706 DOBLE AGUJA </t>
  </si>
  <si>
    <t>SUTURA QUIRURGICA POLIPROPILENO NO ABSORBIBLE TIPO PROLENE 6/0 P8697 T PLASTICA</t>
  </si>
  <si>
    <t xml:space="preserve">SUTURA QUIRURGICA POLIPROPILENO NO ABSORBIBLE TIPO PROLENE 7/0 8727 </t>
  </si>
  <si>
    <t>Especificidades Item N° 6:</t>
  </si>
  <si>
    <t>Especificidades Item N° 7:</t>
  </si>
  <si>
    <t>SI</t>
  </si>
  <si>
    <t>TIPO MONONYLON 2/0 CON AGUJA RECTA</t>
  </si>
  <si>
    <t>TIPO MONONYLON 3/0 CON AGUJA CURVA</t>
  </si>
  <si>
    <t>Costo total estimado: Cuatro Millones Setecientos Treinta Mil Setecientos Sesenta Con 88/100.</t>
  </si>
  <si>
    <t>062/2021</t>
  </si>
  <si>
    <t>TOTAL DE PESOS: CUATRO MILLONES SETECIENTOS TREINTA MIL SETECIENTOS SESENTA CON 88/100.</t>
  </si>
  <si>
    <t>Para la adquisición de Suturas destinados al Servicio de Farmacia del Hospital Interzonal de Niños Eva Peron, para el normal funcionamiento del organismo.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</si>
  <si>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Compra. A  los fines de garantizar la Atención  y  el Funcionamiento Integro de los servicio de Salud  que surgen originadas principalmente en las Urgencias,  en el rol de Servicio Esencial por la situación de Pandemia Covid-19.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</si>
</sst>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&quot;$&quot;#,##0.00;\-&quot;$&quot;#,##0.00"/>
    <numFmt numFmtId="165" formatCode="_-* #,##0.00_-;\-* #,##0.00_-;_-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7" fontId="17" fillId="0" borderId="0" applyBorder="0" applyProtection="0"/>
    <xf numFmtId="0" fontId="4" fillId="0" borderId="1" applyProtection="0"/>
    <xf numFmtId="166" fontId="5" fillId="0" borderId="0" applyBorder="0" applyProtection="0"/>
    <xf numFmtId="0" fontId="6" fillId="2" borderId="0" applyBorder="0" applyProtection="0"/>
    <xf numFmtId="0" fontId="17" fillId="0" borderId="0"/>
    <xf numFmtId="165" fontId="3" fillId="0" borderId="0" applyFont="0" applyFill="0" applyBorder="0" applyAlignment="0" applyProtection="0"/>
    <xf numFmtId="0" fontId="2" fillId="0" borderId="0"/>
    <xf numFmtId="0" fontId="1" fillId="0" borderId="0"/>
  </cellStyleXfs>
  <cellXfs count="15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5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8" fontId="0" fillId="0" borderId="33" xfId="3" applyNumberFormat="1" applyFont="1" applyBorder="1" applyAlignment="1" applyProtection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8" fontId="0" fillId="0" borderId="37" xfId="3" applyNumberFormat="1" applyFont="1" applyBorder="1" applyAlignment="1" applyProtection="1">
      <alignment horizontal="center" vertical="center"/>
    </xf>
    <xf numFmtId="168" fontId="16" fillId="0" borderId="38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25" fillId="0" borderId="4" xfId="0" applyFont="1" applyBorder="1"/>
    <xf numFmtId="0" fontId="18" fillId="0" borderId="5" xfId="0" applyFont="1" applyBorder="1"/>
    <xf numFmtId="0" fontId="18" fillId="0" borderId="6" xfId="0" applyFont="1" applyBorder="1"/>
    <xf numFmtId="0" fontId="18" fillId="0" borderId="7" xfId="0" applyFont="1" applyBorder="1"/>
    <xf numFmtId="0" fontId="18" fillId="0" borderId="0" xfId="0" applyFont="1" applyBorder="1"/>
    <xf numFmtId="0" fontId="18" fillId="0" borderId="8" xfId="0" applyFont="1" applyBorder="1"/>
    <xf numFmtId="168" fontId="18" fillId="0" borderId="0" xfId="0" applyNumberFormat="1" applyFont="1"/>
    <xf numFmtId="0" fontId="8" fillId="3" borderId="12" xfId="0" applyFont="1" applyFill="1" applyBorder="1" applyAlignment="1">
      <alignment horizontal="right" vertical="center"/>
    </xf>
    <xf numFmtId="0" fontId="9" fillId="4" borderId="1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4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0" fontId="7" fillId="3" borderId="4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8" fontId="7" fillId="3" borderId="2" xfId="1" applyNumberFormat="1" applyFont="1" applyFill="1" applyBorder="1" applyAlignment="1" applyProtection="1">
      <alignment horizontal="right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169" fontId="18" fillId="0" borderId="0" xfId="0" applyNumberFormat="1" applyFont="1"/>
    <xf numFmtId="171" fontId="23" fillId="0" borderId="0" xfId="0" applyNumberFormat="1" applyFont="1"/>
    <xf numFmtId="171" fontId="24" fillId="0" borderId="0" xfId="0" applyNumberFormat="1" applyFont="1" applyAlignment="1">
      <alignment horizontal="left" wrapText="1"/>
    </xf>
    <xf numFmtId="169" fontId="5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168" fontId="0" fillId="0" borderId="53" xfId="3" applyNumberFormat="1" applyFont="1" applyBorder="1" applyAlignment="1" applyProtection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0" fillId="0" borderId="56" xfId="0" applyBorder="1"/>
    <xf numFmtId="0" fontId="23" fillId="0" borderId="57" xfId="0" applyFont="1" applyBorder="1" applyAlignment="1">
      <alignment horizontal="center" vertical="center"/>
    </xf>
    <xf numFmtId="0" fontId="17" fillId="0" borderId="56" xfId="0" applyFont="1" applyBorder="1" applyAlignment="1">
      <alignment wrapText="1"/>
    </xf>
    <xf numFmtId="168" fontId="23" fillId="4" borderId="58" xfId="1" applyNumberFormat="1" applyFont="1" applyFill="1" applyBorder="1" applyAlignment="1" applyProtection="1">
      <alignment horizontal="right" vertical="center" wrapText="1"/>
    </xf>
    <xf numFmtId="0" fontId="24" fillId="0" borderId="56" xfId="0" applyFont="1" applyBorder="1" applyAlignment="1">
      <alignment horizontal="center" vertical="center" wrapText="1"/>
    </xf>
    <xf numFmtId="0" fontId="7" fillId="3" borderId="57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left" vertical="center"/>
    </xf>
    <xf numFmtId="3" fontId="7" fillId="3" borderId="58" xfId="0" applyNumberFormat="1" applyFont="1" applyFill="1" applyBorder="1" applyAlignment="1">
      <alignment horizontal="center" vertical="center"/>
    </xf>
    <xf numFmtId="168" fontId="7" fillId="3" borderId="56" xfId="1" applyNumberFormat="1" applyFont="1" applyFill="1" applyBorder="1" applyAlignment="1" applyProtection="1">
      <alignment horizontal="right" vertical="center" wrapText="1"/>
    </xf>
    <xf numFmtId="0" fontId="7" fillId="4" borderId="56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71" fontId="27" fillId="0" borderId="16" xfId="0" applyNumberFormat="1" applyFont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left" vertical="center"/>
    </xf>
    <xf numFmtId="0" fontId="23" fillId="0" borderId="42" xfId="0" applyFont="1" applyBorder="1" applyAlignment="1">
      <alignment horizontal="center" vertical="center"/>
    </xf>
    <xf numFmtId="0" fontId="0" fillId="0" borderId="2" xfId="0" applyBorder="1"/>
    <xf numFmtId="0" fontId="17" fillId="0" borderId="2" xfId="0" applyFont="1" applyBorder="1" applyAlignment="1">
      <alignment wrapText="1"/>
    </xf>
    <xf numFmtId="0" fontId="24" fillId="0" borderId="2" xfId="0" applyFont="1" applyBorder="1" applyAlignment="1">
      <alignment horizontal="center" vertical="center" wrapText="1"/>
    </xf>
    <xf numFmtId="168" fontId="23" fillId="4" borderId="3" xfId="1" applyNumberFormat="1" applyFont="1" applyFill="1" applyBorder="1" applyAlignment="1" applyProtection="1">
      <alignment horizontal="righ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25" fillId="0" borderId="4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0" xfId="0" applyFont="1" applyBorder="1" applyAlignment="1">
      <alignment horizontal="center" wrapText="1"/>
    </xf>
    <xf numFmtId="0" fontId="18" fillId="0" borderId="0" xfId="0" applyFont="1" applyFill="1" applyBorder="1" applyAlignment="1">
      <alignment horizontal="center" wrapText="1"/>
    </xf>
    <xf numFmtId="0" fontId="18" fillId="0" borderId="8" xfId="0" applyFont="1" applyBorder="1" applyAlignment="1">
      <alignment horizontal="center" wrapText="1"/>
    </xf>
    <xf numFmtId="0" fontId="0" fillId="0" borderId="56" xfId="0" applyBorder="1" applyAlignment="1">
      <alignment horizontal="center" vertical="center"/>
    </xf>
    <xf numFmtId="164" fontId="0" fillId="0" borderId="56" xfId="1" applyNumberFormat="1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17" fillId="0" borderId="60" xfId="5" applyFont="1" applyFill="1" applyBorder="1" applyAlignment="1">
      <alignment vertical="center" wrapText="1"/>
    </xf>
    <xf numFmtId="0" fontId="17" fillId="0" borderId="56" xfId="5" applyFont="1" applyFill="1" applyBorder="1" applyAlignment="1">
      <alignment vertical="center" wrapText="1"/>
    </xf>
    <xf numFmtId="0" fontId="17" fillId="0" borderId="60" xfId="0" applyFont="1" applyFill="1" applyBorder="1" applyAlignment="1">
      <alignment vertical="center" wrapText="1"/>
    </xf>
    <xf numFmtId="0" fontId="17" fillId="0" borderId="56" xfId="0" applyFont="1" applyFill="1" applyBorder="1" applyAlignment="1">
      <alignment vertical="center" wrapText="1"/>
    </xf>
    <xf numFmtId="0" fontId="29" fillId="0" borderId="56" xfId="8" applyFont="1" applyFill="1" applyBorder="1" applyAlignment="1">
      <alignment vertical="center" wrapText="1"/>
    </xf>
    <xf numFmtId="0" fontId="17" fillId="0" borderId="56" xfId="0" applyFont="1" applyFill="1" applyBorder="1" applyAlignment="1">
      <alignment horizontal="left" vertical="center" wrapText="1"/>
    </xf>
    <xf numFmtId="0" fontId="17" fillId="0" borderId="56" xfId="8" applyFont="1" applyFill="1" applyBorder="1" applyAlignment="1">
      <alignment horizontal="left" vertical="center" wrapText="1"/>
    </xf>
    <xf numFmtId="0" fontId="18" fillId="0" borderId="9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0" fontId="18" fillId="4" borderId="7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8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9" fillId="3" borderId="16" xfId="0" applyFont="1" applyFill="1" applyBorder="1" applyAlignment="1">
      <alignment horizontal="left" vertical="center" wrapText="1" indent="1"/>
    </xf>
    <xf numFmtId="169" fontId="10" fillId="3" borderId="16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59" xfId="0" applyFont="1" applyFill="1" applyBorder="1" applyAlignment="1">
      <alignment horizontal="left" vertical="center" wrapText="1"/>
    </xf>
    <xf numFmtId="0" fontId="7" fillId="3" borderId="56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 indent="1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4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2" fillId="0" borderId="38" xfId="0" applyFont="1" applyBorder="1" applyAlignment="1">
      <alignment horizontal="left" vertical="center" wrapText="1"/>
    </xf>
    <xf numFmtId="0" fontId="0" fillId="0" borderId="23" xfId="0" applyBorder="1"/>
    <xf numFmtId="0" fontId="28" fillId="0" borderId="30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/>
    </xf>
    <xf numFmtId="0" fontId="12" fillId="0" borderId="21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4" xfId="0" applyFont="1" applyBorder="1"/>
    <xf numFmtId="0" fontId="14" fillId="0" borderId="25" xfId="0" applyFont="1" applyBorder="1" applyAlignment="1">
      <alignment horizontal="left" vertical="center" wrapText="1" indent="1"/>
    </xf>
    <xf numFmtId="0" fontId="16" fillId="0" borderId="2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indent="1"/>
    </xf>
    <xf numFmtId="0" fontId="15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5" fillId="0" borderId="13" xfId="0" applyFont="1" applyBorder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4" xf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85"/>
  <sheetViews>
    <sheetView tabSelected="1" topLeftCell="A73" zoomScale="93" zoomScaleNormal="93" workbookViewId="0">
      <selection activeCell="G83" sqref="G83"/>
    </sheetView>
  </sheetViews>
  <sheetFormatPr baseColWidth="10" defaultColWidth="11" defaultRowHeight="12.75" x14ac:dyDescent="0.2"/>
  <cols>
    <col min="1" max="1" width="6.42578125" style="26" customWidth="1"/>
    <col min="2" max="2" width="1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3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10" t="s">
        <v>0</v>
      </c>
      <c r="C2" s="110"/>
      <c r="D2" s="110"/>
      <c r="E2" s="110"/>
      <c r="F2" s="110"/>
      <c r="G2" s="110"/>
      <c r="H2" s="110"/>
    </row>
    <row r="3" spans="1:10" ht="12" customHeight="1" x14ac:dyDescent="0.2"/>
    <row r="4" spans="1:10" ht="28.5" customHeight="1" x14ac:dyDescent="0.25">
      <c r="A4" s="106" t="s">
        <v>1</v>
      </c>
      <c r="B4" s="106"/>
      <c r="C4" s="111" t="s">
        <v>52</v>
      </c>
      <c r="D4" s="111"/>
      <c r="E4" s="111"/>
      <c r="F4" s="27"/>
      <c r="G4" s="28"/>
      <c r="H4" s="54"/>
    </row>
    <row r="5" spans="1:10" ht="18" customHeight="1" x14ac:dyDescent="0.25">
      <c r="A5" s="106" t="s">
        <v>2</v>
      </c>
      <c r="B5" s="106"/>
      <c r="C5" s="111" t="s">
        <v>51</v>
      </c>
      <c r="D5" s="111"/>
      <c r="E5" s="111"/>
      <c r="F5" s="27"/>
      <c r="G5" s="28" t="s">
        <v>55</v>
      </c>
      <c r="H5" s="54"/>
    </row>
    <row r="6" spans="1:10" ht="16.5" customHeight="1" x14ac:dyDescent="0.25">
      <c r="A6" s="106" t="s">
        <v>3</v>
      </c>
      <c r="B6" s="106"/>
      <c r="C6" s="44">
        <v>2021</v>
      </c>
      <c r="D6" s="45"/>
      <c r="E6" s="45"/>
      <c r="F6" s="27"/>
      <c r="G6" s="28"/>
      <c r="H6" s="54"/>
    </row>
    <row r="7" spans="1:10" ht="16.5" customHeight="1" x14ac:dyDescent="0.25">
      <c r="A7" s="106" t="s">
        <v>4</v>
      </c>
      <c r="B7" s="106"/>
      <c r="C7" s="44">
        <v>2</v>
      </c>
      <c r="D7" s="45"/>
      <c r="E7" s="45"/>
      <c r="F7" s="27"/>
      <c r="G7" s="28"/>
      <c r="H7" s="54"/>
    </row>
    <row r="8" spans="1:10" ht="13.5" thickBot="1" x14ac:dyDescent="0.25">
      <c r="B8" s="27"/>
      <c r="C8" s="28"/>
      <c r="D8" s="27"/>
      <c r="E8" s="27"/>
      <c r="F8" s="27"/>
      <c r="G8" s="28"/>
      <c r="H8" s="54"/>
      <c r="J8" s="52"/>
    </row>
    <row r="9" spans="1:10" ht="36.75" thickBot="1" x14ac:dyDescent="0.25">
      <c r="A9" s="78" t="s">
        <v>5</v>
      </c>
      <c r="B9" s="78" t="s">
        <v>6</v>
      </c>
      <c r="C9" s="78" t="s">
        <v>7</v>
      </c>
      <c r="D9" s="78" t="s">
        <v>8</v>
      </c>
      <c r="E9" s="78" t="s">
        <v>9</v>
      </c>
      <c r="F9" s="78" t="s">
        <v>10</v>
      </c>
      <c r="G9" s="78" t="s">
        <v>11</v>
      </c>
      <c r="H9" s="79" t="s">
        <v>12</v>
      </c>
      <c r="I9" s="78" t="s">
        <v>13</v>
      </c>
    </row>
    <row r="10" spans="1:10" ht="25.5" x14ac:dyDescent="0.2">
      <c r="A10" s="81">
        <v>1</v>
      </c>
      <c r="B10" s="82"/>
      <c r="C10" s="83" t="s">
        <v>57</v>
      </c>
      <c r="D10" s="84">
        <v>295</v>
      </c>
      <c r="E10" s="98" t="s">
        <v>65</v>
      </c>
      <c r="F10" s="86" t="s">
        <v>58</v>
      </c>
      <c r="G10" s="93">
        <v>4</v>
      </c>
      <c r="H10" s="94">
        <v>263</v>
      </c>
      <c r="I10" s="85">
        <f>+G10*H10</f>
        <v>1052</v>
      </c>
    </row>
    <row r="11" spans="1:10" ht="25.5" x14ac:dyDescent="0.2">
      <c r="A11" s="68">
        <v>2</v>
      </c>
      <c r="B11" s="67"/>
      <c r="C11" s="69" t="s">
        <v>57</v>
      </c>
      <c r="D11" s="71">
        <v>295</v>
      </c>
      <c r="E11" s="98" t="s">
        <v>66</v>
      </c>
      <c r="F11" s="87" t="s">
        <v>58</v>
      </c>
      <c r="G11" s="93">
        <v>4</v>
      </c>
      <c r="H11" s="94">
        <v>296</v>
      </c>
      <c r="I11" s="70">
        <f t="shared" ref="I11:I71" si="0">+G11*H11</f>
        <v>1184</v>
      </c>
    </row>
    <row r="12" spans="1:10" ht="25.5" x14ac:dyDescent="0.2">
      <c r="A12" s="68">
        <v>3</v>
      </c>
      <c r="B12" s="67"/>
      <c r="C12" s="69" t="s">
        <v>57</v>
      </c>
      <c r="D12" s="71">
        <v>295</v>
      </c>
      <c r="E12" s="98" t="s">
        <v>67</v>
      </c>
      <c r="F12" s="87" t="s">
        <v>58</v>
      </c>
      <c r="G12" s="93">
        <v>4</v>
      </c>
      <c r="H12" s="94">
        <v>343</v>
      </c>
      <c r="I12" s="70">
        <f t="shared" si="0"/>
        <v>1372</v>
      </c>
    </row>
    <row r="13" spans="1:10" ht="25.5" x14ac:dyDescent="0.2">
      <c r="A13" s="68">
        <v>4</v>
      </c>
      <c r="B13" s="67"/>
      <c r="C13" s="69" t="s">
        <v>57</v>
      </c>
      <c r="D13" s="71">
        <v>295</v>
      </c>
      <c r="E13" s="96" t="s">
        <v>68</v>
      </c>
      <c r="F13" s="87" t="s">
        <v>58</v>
      </c>
      <c r="G13" s="93">
        <v>4</v>
      </c>
      <c r="H13" s="94">
        <v>395</v>
      </c>
      <c r="I13" s="70">
        <f t="shared" si="0"/>
        <v>1580</v>
      </c>
    </row>
    <row r="14" spans="1:10" ht="25.5" x14ac:dyDescent="0.2">
      <c r="A14" s="68">
        <v>5</v>
      </c>
      <c r="B14" s="67"/>
      <c r="C14" s="69" t="s">
        <v>57</v>
      </c>
      <c r="D14" s="71">
        <v>295</v>
      </c>
      <c r="E14" s="96" t="s">
        <v>69</v>
      </c>
      <c r="F14" s="87" t="s">
        <v>58</v>
      </c>
      <c r="G14" s="93">
        <v>4</v>
      </c>
      <c r="H14" s="94">
        <v>421.22</v>
      </c>
      <c r="I14" s="70">
        <f t="shared" si="0"/>
        <v>1684.88</v>
      </c>
    </row>
    <row r="15" spans="1:10" ht="25.5" x14ac:dyDescent="0.2">
      <c r="A15" s="68">
        <v>6</v>
      </c>
      <c r="B15" s="67"/>
      <c r="C15" s="69" t="s">
        <v>57</v>
      </c>
      <c r="D15" s="71">
        <v>295</v>
      </c>
      <c r="E15" s="96" t="s">
        <v>70</v>
      </c>
      <c r="F15" s="87" t="s">
        <v>58</v>
      </c>
      <c r="G15" s="93">
        <v>2000</v>
      </c>
      <c r="H15" s="94">
        <v>269</v>
      </c>
      <c r="I15" s="70">
        <f t="shared" si="0"/>
        <v>538000</v>
      </c>
    </row>
    <row r="16" spans="1:10" ht="25.5" x14ac:dyDescent="0.2">
      <c r="A16" s="68">
        <v>7</v>
      </c>
      <c r="B16" s="67"/>
      <c r="C16" s="69" t="s">
        <v>57</v>
      </c>
      <c r="D16" s="71">
        <v>295</v>
      </c>
      <c r="E16" s="96" t="s">
        <v>71</v>
      </c>
      <c r="F16" s="87" t="s">
        <v>58</v>
      </c>
      <c r="G16" s="93">
        <v>2000</v>
      </c>
      <c r="H16" s="94">
        <v>269</v>
      </c>
      <c r="I16" s="70">
        <f t="shared" si="0"/>
        <v>538000</v>
      </c>
    </row>
    <row r="17" spans="1:9" ht="25.5" x14ac:dyDescent="0.2">
      <c r="A17" s="68">
        <v>8</v>
      </c>
      <c r="B17" s="67"/>
      <c r="C17" s="69" t="s">
        <v>57</v>
      </c>
      <c r="D17" s="71">
        <v>295</v>
      </c>
      <c r="E17" s="96" t="s">
        <v>72</v>
      </c>
      <c r="F17" s="87" t="s">
        <v>58</v>
      </c>
      <c r="G17" s="93">
        <v>240</v>
      </c>
      <c r="H17" s="94">
        <v>198</v>
      </c>
      <c r="I17" s="70">
        <f t="shared" si="0"/>
        <v>47520</v>
      </c>
    </row>
    <row r="18" spans="1:9" ht="25.5" x14ac:dyDescent="0.2">
      <c r="A18" s="68">
        <v>9</v>
      </c>
      <c r="B18" s="67"/>
      <c r="C18" s="69" t="s">
        <v>57</v>
      </c>
      <c r="D18" s="71">
        <v>295</v>
      </c>
      <c r="E18" s="96" t="s">
        <v>73</v>
      </c>
      <c r="F18" s="87" t="s">
        <v>58</v>
      </c>
      <c r="G18" s="93">
        <v>60</v>
      </c>
      <c r="H18" s="94">
        <v>156</v>
      </c>
      <c r="I18" s="70">
        <f t="shared" si="0"/>
        <v>9360</v>
      </c>
    </row>
    <row r="19" spans="1:9" ht="25.5" x14ac:dyDescent="0.2">
      <c r="A19" s="68">
        <v>10</v>
      </c>
      <c r="B19" s="67"/>
      <c r="C19" s="69" t="s">
        <v>57</v>
      </c>
      <c r="D19" s="71">
        <v>295</v>
      </c>
      <c r="E19" s="99" t="s">
        <v>74</v>
      </c>
      <c r="F19" s="87" t="s">
        <v>58</v>
      </c>
      <c r="G19" s="93">
        <v>24</v>
      </c>
      <c r="H19" s="94">
        <v>138</v>
      </c>
      <c r="I19" s="70">
        <f t="shared" si="0"/>
        <v>3312</v>
      </c>
    </row>
    <row r="20" spans="1:9" ht="25.5" x14ac:dyDescent="0.2">
      <c r="A20" s="68">
        <v>11</v>
      </c>
      <c r="B20" s="67"/>
      <c r="C20" s="69" t="s">
        <v>57</v>
      </c>
      <c r="D20" s="71">
        <v>295</v>
      </c>
      <c r="E20" s="99" t="s">
        <v>75</v>
      </c>
      <c r="F20" s="87" t="s">
        <v>58</v>
      </c>
      <c r="G20" s="93">
        <v>24</v>
      </c>
      <c r="H20" s="94">
        <v>138</v>
      </c>
      <c r="I20" s="70">
        <f t="shared" si="0"/>
        <v>3312</v>
      </c>
    </row>
    <row r="21" spans="1:9" ht="25.5" x14ac:dyDescent="0.2">
      <c r="A21" s="68">
        <v>12</v>
      </c>
      <c r="B21" s="67"/>
      <c r="C21" s="69" t="s">
        <v>57</v>
      </c>
      <c r="D21" s="71">
        <v>295</v>
      </c>
      <c r="E21" s="99" t="s">
        <v>76</v>
      </c>
      <c r="F21" s="87" t="s">
        <v>58</v>
      </c>
      <c r="G21" s="93">
        <v>24</v>
      </c>
      <c r="H21" s="94">
        <v>138</v>
      </c>
      <c r="I21" s="70">
        <f t="shared" si="0"/>
        <v>3312</v>
      </c>
    </row>
    <row r="22" spans="1:9" ht="25.5" x14ac:dyDescent="0.2">
      <c r="A22" s="68">
        <v>13</v>
      </c>
      <c r="B22" s="67"/>
      <c r="C22" s="69" t="s">
        <v>57</v>
      </c>
      <c r="D22" s="71">
        <v>295</v>
      </c>
      <c r="E22" s="99" t="s">
        <v>77</v>
      </c>
      <c r="F22" s="87" t="s">
        <v>58</v>
      </c>
      <c r="G22" s="93">
        <v>24</v>
      </c>
      <c r="H22" s="94">
        <v>138</v>
      </c>
      <c r="I22" s="70">
        <f t="shared" si="0"/>
        <v>3312</v>
      </c>
    </row>
    <row r="23" spans="1:9" ht="25.5" x14ac:dyDescent="0.2">
      <c r="A23" s="68">
        <v>14</v>
      </c>
      <c r="B23" s="67"/>
      <c r="C23" s="69" t="s">
        <v>57</v>
      </c>
      <c r="D23" s="71">
        <v>295</v>
      </c>
      <c r="E23" s="100" t="s">
        <v>78</v>
      </c>
      <c r="F23" s="87" t="s">
        <v>58</v>
      </c>
      <c r="G23" s="93">
        <v>48</v>
      </c>
      <c r="H23" s="94">
        <v>269</v>
      </c>
      <c r="I23" s="70">
        <f t="shared" si="0"/>
        <v>12912</v>
      </c>
    </row>
    <row r="24" spans="1:9" ht="25.5" x14ac:dyDescent="0.2">
      <c r="A24" s="68">
        <v>15</v>
      </c>
      <c r="B24" s="67"/>
      <c r="C24" s="69" t="s">
        <v>57</v>
      </c>
      <c r="D24" s="71">
        <v>295</v>
      </c>
      <c r="E24" s="100" t="s">
        <v>79</v>
      </c>
      <c r="F24" s="87" t="s">
        <v>58</v>
      </c>
      <c r="G24" s="93">
        <v>48</v>
      </c>
      <c r="H24" s="94">
        <v>269</v>
      </c>
      <c r="I24" s="70">
        <f t="shared" si="0"/>
        <v>12912</v>
      </c>
    </row>
    <row r="25" spans="1:9" ht="25.5" x14ac:dyDescent="0.2">
      <c r="A25" s="68">
        <v>16</v>
      </c>
      <c r="B25" s="67"/>
      <c r="C25" s="69" t="s">
        <v>57</v>
      </c>
      <c r="D25" s="71">
        <v>295</v>
      </c>
      <c r="E25" s="100" t="s">
        <v>80</v>
      </c>
      <c r="F25" s="87" t="s">
        <v>58</v>
      </c>
      <c r="G25" s="93">
        <v>48</v>
      </c>
      <c r="H25" s="94">
        <v>269</v>
      </c>
      <c r="I25" s="70">
        <f t="shared" si="0"/>
        <v>12912</v>
      </c>
    </row>
    <row r="26" spans="1:9" ht="25.5" x14ac:dyDescent="0.2">
      <c r="A26" s="68">
        <v>17</v>
      </c>
      <c r="B26" s="67"/>
      <c r="C26" s="69" t="s">
        <v>57</v>
      </c>
      <c r="D26" s="71">
        <v>295</v>
      </c>
      <c r="E26" s="99" t="s">
        <v>81</v>
      </c>
      <c r="F26" s="87" t="s">
        <v>58</v>
      </c>
      <c r="G26" s="93">
        <v>48</v>
      </c>
      <c r="H26" s="94">
        <v>685</v>
      </c>
      <c r="I26" s="70">
        <f t="shared" si="0"/>
        <v>32880</v>
      </c>
    </row>
    <row r="27" spans="1:9" ht="25.5" x14ac:dyDescent="0.2">
      <c r="A27" s="68">
        <v>18</v>
      </c>
      <c r="B27" s="67"/>
      <c r="C27" s="69" t="s">
        <v>57</v>
      </c>
      <c r="D27" s="71">
        <v>295</v>
      </c>
      <c r="E27" s="99" t="s">
        <v>82</v>
      </c>
      <c r="F27" s="87" t="s">
        <v>58</v>
      </c>
      <c r="G27" s="93">
        <v>48</v>
      </c>
      <c r="H27" s="94">
        <v>685</v>
      </c>
      <c r="I27" s="70">
        <f t="shared" si="0"/>
        <v>32880</v>
      </c>
    </row>
    <row r="28" spans="1:9" ht="25.5" x14ac:dyDescent="0.2">
      <c r="A28" s="68">
        <v>19</v>
      </c>
      <c r="B28" s="67"/>
      <c r="C28" s="69" t="s">
        <v>57</v>
      </c>
      <c r="D28" s="71">
        <v>295</v>
      </c>
      <c r="E28" s="99" t="s">
        <v>83</v>
      </c>
      <c r="F28" s="87" t="s">
        <v>58</v>
      </c>
      <c r="G28" s="93">
        <v>48</v>
      </c>
      <c r="H28" s="94">
        <v>685</v>
      </c>
      <c r="I28" s="70">
        <f t="shared" si="0"/>
        <v>32880</v>
      </c>
    </row>
    <row r="29" spans="1:9" ht="25.5" x14ac:dyDescent="0.2">
      <c r="A29" s="68">
        <v>20</v>
      </c>
      <c r="B29" s="67"/>
      <c r="C29" s="69" t="s">
        <v>57</v>
      </c>
      <c r="D29" s="71">
        <v>295</v>
      </c>
      <c r="E29" s="99" t="s">
        <v>84</v>
      </c>
      <c r="F29" s="87" t="s">
        <v>58</v>
      </c>
      <c r="G29" s="93">
        <v>48</v>
      </c>
      <c r="H29" s="94">
        <v>461</v>
      </c>
      <c r="I29" s="70">
        <f t="shared" si="0"/>
        <v>22128</v>
      </c>
    </row>
    <row r="30" spans="1:9" ht="25.5" x14ac:dyDescent="0.2">
      <c r="A30" s="68">
        <v>21</v>
      </c>
      <c r="B30" s="67"/>
      <c r="C30" s="69" t="s">
        <v>57</v>
      </c>
      <c r="D30" s="71">
        <v>295</v>
      </c>
      <c r="E30" s="99" t="s">
        <v>85</v>
      </c>
      <c r="F30" s="87" t="s">
        <v>58</v>
      </c>
      <c r="G30" s="93">
        <v>24</v>
      </c>
      <c r="H30" s="94">
        <v>165</v>
      </c>
      <c r="I30" s="70">
        <f t="shared" si="0"/>
        <v>3960</v>
      </c>
    </row>
    <row r="31" spans="1:9" ht="25.5" x14ac:dyDescent="0.2">
      <c r="A31" s="68">
        <v>22</v>
      </c>
      <c r="B31" s="67"/>
      <c r="C31" s="69" t="s">
        <v>57</v>
      </c>
      <c r="D31" s="71">
        <v>295</v>
      </c>
      <c r="E31" s="99" t="s">
        <v>86</v>
      </c>
      <c r="F31" s="87" t="s">
        <v>58</v>
      </c>
      <c r="G31" s="93">
        <v>480</v>
      </c>
      <c r="H31" s="94">
        <v>290</v>
      </c>
      <c r="I31" s="70">
        <f t="shared" si="0"/>
        <v>139200</v>
      </c>
    </row>
    <row r="32" spans="1:9" ht="25.5" x14ac:dyDescent="0.2">
      <c r="A32" s="68">
        <v>23</v>
      </c>
      <c r="B32" s="67"/>
      <c r="C32" s="69" t="s">
        <v>57</v>
      </c>
      <c r="D32" s="71">
        <v>295</v>
      </c>
      <c r="E32" s="99" t="s">
        <v>87</v>
      </c>
      <c r="F32" s="87" t="s">
        <v>58</v>
      </c>
      <c r="G32" s="93">
        <v>480</v>
      </c>
      <c r="H32" s="94">
        <v>290</v>
      </c>
      <c r="I32" s="70">
        <f t="shared" si="0"/>
        <v>139200</v>
      </c>
    </row>
    <row r="33" spans="1:9" ht="25.5" x14ac:dyDescent="0.2">
      <c r="A33" s="68">
        <v>24</v>
      </c>
      <c r="B33" s="67"/>
      <c r="C33" s="69" t="s">
        <v>57</v>
      </c>
      <c r="D33" s="71">
        <v>295</v>
      </c>
      <c r="E33" s="99" t="s">
        <v>88</v>
      </c>
      <c r="F33" s="87" t="s">
        <v>58</v>
      </c>
      <c r="G33" s="93">
        <v>480</v>
      </c>
      <c r="H33" s="94">
        <v>290</v>
      </c>
      <c r="I33" s="70">
        <f t="shared" si="0"/>
        <v>139200</v>
      </c>
    </row>
    <row r="34" spans="1:9" ht="25.5" x14ac:dyDescent="0.2">
      <c r="A34" s="68">
        <v>25</v>
      </c>
      <c r="B34" s="67"/>
      <c r="C34" s="69" t="s">
        <v>57</v>
      </c>
      <c r="D34" s="71">
        <v>295</v>
      </c>
      <c r="E34" s="101" t="s">
        <v>89</v>
      </c>
      <c r="F34" s="87" t="s">
        <v>58</v>
      </c>
      <c r="G34" s="93">
        <v>60</v>
      </c>
      <c r="H34" s="94">
        <v>958</v>
      </c>
      <c r="I34" s="70">
        <f t="shared" si="0"/>
        <v>57480</v>
      </c>
    </row>
    <row r="35" spans="1:9" ht="25.5" x14ac:dyDescent="0.2">
      <c r="A35" s="68">
        <v>26</v>
      </c>
      <c r="B35" s="67"/>
      <c r="C35" s="69" t="s">
        <v>57</v>
      </c>
      <c r="D35" s="71">
        <v>295</v>
      </c>
      <c r="E35" s="101" t="s">
        <v>90</v>
      </c>
      <c r="F35" s="87" t="s">
        <v>58</v>
      </c>
      <c r="G35" s="93">
        <v>60</v>
      </c>
      <c r="H35" s="94">
        <v>958</v>
      </c>
      <c r="I35" s="70">
        <f t="shared" si="0"/>
        <v>57480</v>
      </c>
    </row>
    <row r="36" spans="1:9" ht="25.5" x14ac:dyDescent="0.2">
      <c r="A36" s="68">
        <v>27</v>
      </c>
      <c r="B36" s="67"/>
      <c r="C36" s="69" t="s">
        <v>57</v>
      </c>
      <c r="D36" s="71">
        <v>295</v>
      </c>
      <c r="E36" s="99" t="s">
        <v>91</v>
      </c>
      <c r="F36" s="87" t="s">
        <v>58</v>
      </c>
      <c r="G36" s="93">
        <v>2000</v>
      </c>
      <c r="H36" s="94">
        <v>200</v>
      </c>
      <c r="I36" s="70">
        <f t="shared" si="0"/>
        <v>400000</v>
      </c>
    </row>
    <row r="37" spans="1:9" ht="25.5" x14ac:dyDescent="0.2">
      <c r="A37" s="68">
        <v>28</v>
      </c>
      <c r="B37" s="67"/>
      <c r="C37" s="69" t="s">
        <v>57</v>
      </c>
      <c r="D37" s="71">
        <v>295</v>
      </c>
      <c r="E37" s="99" t="s">
        <v>92</v>
      </c>
      <c r="F37" s="87" t="s">
        <v>58</v>
      </c>
      <c r="G37" s="93">
        <v>1000</v>
      </c>
      <c r="H37" s="94">
        <v>195</v>
      </c>
      <c r="I37" s="70">
        <f t="shared" si="0"/>
        <v>195000</v>
      </c>
    </row>
    <row r="38" spans="1:9" ht="25.5" x14ac:dyDescent="0.2">
      <c r="A38" s="68">
        <v>29</v>
      </c>
      <c r="B38" s="67"/>
      <c r="C38" s="69" t="s">
        <v>57</v>
      </c>
      <c r="D38" s="71">
        <v>295</v>
      </c>
      <c r="E38" s="99" t="s">
        <v>93</v>
      </c>
      <c r="F38" s="87" t="s">
        <v>58</v>
      </c>
      <c r="G38" s="93">
        <v>1000</v>
      </c>
      <c r="H38" s="94">
        <v>180</v>
      </c>
      <c r="I38" s="70">
        <f t="shared" si="0"/>
        <v>180000</v>
      </c>
    </row>
    <row r="39" spans="1:9" ht="25.5" x14ac:dyDescent="0.2">
      <c r="A39" s="68">
        <v>30</v>
      </c>
      <c r="B39" s="67"/>
      <c r="C39" s="69" t="s">
        <v>57</v>
      </c>
      <c r="D39" s="71">
        <v>295</v>
      </c>
      <c r="E39" s="99" t="s">
        <v>94</v>
      </c>
      <c r="F39" s="87" t="s">
        <v>58</v>
      </c>
      <c r="G39" s="93">
        <v>1500</v>
      </c>
      <c r="H39" s="94">
        <v>200</v>
      </c>
      <c r="I39" s="70">
        <f t="shared" si="0"/>
        <v>300000</v>
      </c>
    </row>
    <row r="40" spans="1:9" ht="25.5" x14ac:dyDescent="0.2">
      <c r="A40" s="68">
        <v>31</v>
      </c>
      <c r="B40" s="67"/>
      <c r="C40" s="69" t="s">
        <v>57</v>
      </c>
      <c r="D40" s="71">
        <v>295</v>
      </c>
      <c r="E40" s="99" t="s">
        <v>95</v>
      </c>
      <c r="F40" s="87" t="s">
        <v>58</v>
      </c>
      <c r="G40" s="93">
        <v>700</v>
      </c>
      <c r="H40" s="94">
        <v>238</v>
      </c>
      <c r="I40" s="70">
        <f t="shared" si="0"/>
        <v>166600</v>
      </c>
    </row>
    <row r="41" spans="1:9" ht="25.5" x14ac:dyDescent="0.2">
      <c r="A41" s="68">
        <v>32</v>
      </c>
      <c r="B41" s="67"/>
      <c r="C41" s="69" t="s">
        <v>57</v>
      </c>
      <c r="D41" s="71">
        <v>295</v>
      </c>
      <c r="E41" s="99" t="s">
        <v>96</v>
      </c>
      <c r="F41" s="87" t="s">
        <v>58</v>
      </c>
      <c r="G41" s="93">
        <v>700</v>
      </c>
      <c r="H41" s="94">
        <v>210</v>
      </c>
      <c r="I41" s="70">
        <f t="shared" si="0"/>
        <v>147000</v>
      </c>
    </row>
    <row r="42" spans="1:9" ht="25.5" x14ac:dyDescent="0.2">
      <c r="A42" s="68">
        <v>33</v>
      </c>
      <c r="B42" s="67"/>
      <c r="C42" s="69" t="s">
        <v>57</v>
      </c>
      <c r="D42" s="71">
        <v>295</v>
      </c>
      <c r="E42" s="97" t="s">
        <v>97</v>
      </c>
      <c r="F42" s="87" t="s">
        <v>58</v>
      </c>
      <c r="G42" s="93">
        <v>700</v>
      </c>
      <c r="H42" s="94">
        <v>195</v>
      </c>
      <c r="I42" s="70">
        <f t="shared" si="0"/>
        <v>136500</v>
      </c>
    </row>
    <row r="43" spans="1:9" ht="25.5" x14ac:dyDescent="0.2">
      <c r="A43" s="68">
        <v>34</v>
      </c>
      <c r="B43" s="67"/>
      <c r="C43" s="69" t="s">
        <v>57</v>
      </c>
      <c r="D43" s="71">
        <v>295</v>
      </c>
      <c r="E43" s="97" t="s">
        <v>98</v>
      </c>
      <c r="F43" s="87" t="s">
        <v>58</v>
      </c>
      <c r="G43" s="93">
        <v>700</v>
      </c>
      <c r="H43" s="94">
        <v>195</v>
      </c>
      <c r="I43" s="70">
        <f t="shared" si="0"/>
        <v>136500</v>
      </c>
    </row>
    <row r="44" spans="1:9" ht="25.5" x14ac:dyDescent="0.2">
      <c r="A44" s="68">
        <v>35</v>
      </c>
      <c r="B44" s="67"/>
      <c r="C44" s="69" t="s">
        <v>57</v>
      </c>
      <c r="D44" s="71">
        <v>295</v>
      </c>
      <c r="E44" s="97" t="s">
        <v>99</v>
      </c>
      <c r="F44" s="87" t="s">
        <v>58</v>
      </c>
      <c r="G44" s="93">
        <v>700</v>
      </c>
      <c r="H44" s="94">
        <v>195</v>
      </c>
      <c r="I44" s="70">
        <f t="shared" si="0"/>
        <v>136500</v>
      </c>
    </row>
    <row r="45" spans="1:9" ht="25.5" x14ac:dyDescent="0.2">
      <c r="A45" s="68">
        <v>36</v>
      </c>
      <c r="B45" s="67"/>
      <c r="C45" s="69" t="s">
        <v>57</v>
      </c>
      <c r="D45" s="71">
        <v>295</v>
      </c>
      <c r="E45" s="102" t="s">
        <v>100</v>
      </c>
      <c r="F45" s="87" t="s">
        <v>58</v>
      </c>
      <c r="G45" s="93">
        <v>2000</v>
      </c>
      <c r="H45" s="94">
        <v>195</v>
      </c>
      <c r="I45" s="70">
        <f t="shared" si="0"/>
        <v>390000</v>
      </c>
    </row>
    <row r="46" spans="1:9" ht="25.5" x14ac:dyDescent="0.2">
      <c r="A46" s="68">
        <v>37</v>
      </c>
      <c r="B46" s="67"/>
      <c r="C46" s="69" t="s">
        <v>57</v>
      </c>
      <c r="D46" s="71">
        <v>295</v>
      </c>
      <c r="E46" s="102" t="s">
        <v>101</v>
      </c>
      <c r="F46" s="87" t="s">
        <v>58</v>
      </c>
      <c r="G46" s="93">
        <v>500</v>
      </c>
      <c r="H46" s="94">
        <v>158</v>
      </c>
      <c r="I46" s="70">
        <f t="shared" si="0"/>
        <v>79000</v>
      </c>
    </row>
    <row r="47" spans="1:9" ht="25.5" x14ac:dyDescent="0.2">
      <c r="A47" s="68">
        <v>38</v>
      </c>
      <c r="B47" s="67"/>
      <c r="C47" s="69" t="s">
        <v>57</v>
      </c>
      <c r="D47" s="71">
        <v>295</v>
      </c>
      <c r="E47" s="102" t="s">
        <v>102</v>
      </c>
      <c r="F47" s="87" t="s">
        <v>58</v>
      </c>
      <c r="G47" s="93">
        <v>500</v>
      </c>
      <c r="H47" s="94">
        <v>158</v>
      </c>
      <c r="I47" s="70">
        <f t="shared" si="0"/>
        <v>79000</v>
      </c>
    </row>
    <row r="48" spans="1:9" ht="25.5" x14ac:dyDescent="0.2">
      <c r="A48" s="68">
        <v>39</v>
      </c>
      <c r="B48" s="67"/>
      <c r="C48" s="69" t="s">
        <v>57</v>
      </c>
      <c r="D48" s="71">
        <v>295</v>
      </c>
      <c r="E48" s="102" t="s">
        <v>103</v>
      </c>
      <c r="F48" s="87" t="s">
        <v>58</v>
      </c>
      <c r="G48" s="93">
        <v>500</v>
      </c>
      <c r="H48" s="94">
        <v>158</v>
      </c>
      <c r="I48" s="70">
        <f t="shared" si="0"/>
        <v>79000</v>
      </c>
    </row>
    <row r="49" spans="1:9" ht="25.5" x14ac:dyDescent="0.2">
      <c r="A49" s="68">
        <v>40</v>
      </c>
      <c r="B49" s="67"/>
      <c r="C49" s="69" t="s">
        <v>57</v>
      </c>
      <c r="D49" s="71">
        <v>295</v>
      </c>
      <c r="E49" s="102" t="s">
        <v>104</v>
      </c>
      <c r="F49" s="87" t="s">
        <v>58</v>
      </c>
      <c r="G49" s="93">
        <v>24</v>
      </c>
      <c r="H49" s="94">
        <v>200</v>
      </c>
      <c r="I49" s="70">
        <f t="shared" si="0"/>
        <v>4800</v>
      </c>
    </row>
    <row r="50" spans="1:9" ht="25.5" x14ac:dyDescent="0.2">
      <c r="A50" s="68">
        <v>41</v>
      </c>
      <c r="B50" s="67"/>
      <c r="C50" s="69" t="s">
        <v>57</v>
      </c>
      <c r="D50" s="71">
        <v>295</v>
      </c>
      <c r="E50" s="102" t="s">
        <v>105</v>
      </c>
      <c r="F50" s="87" t="s">
        <v>58</v>
      </c>
      <c r="G50" s="93">
        <v>24</v>
      </c>
      <c r="H50" s="94">
        <v>200</v>
      </c>
      <c r="I50" s="70">
        <f t="shared" si="0"/>
        <v>4800</v>
      </c>
    </row>
    <row r="51" spans="1:9" ht="25.5" x14ac:dyDescent="0.2">
      <c r="A51" s="68">
        <v>42</v>
      </c>
      <c r="B51" s="67"/>
      <c r="C51" s="69" t="s">
        <v>57</v>
      </c>
      <c r="D51" s="71">
        <v>295</v>
      </c>
      <c r="E51" s="102" t="s">
        <v>106</v>
      </c>
      <c r="F51" s="87" t="s">
        <v>58</v>
      </c>
      <c r="G51" s="93">
        <v>24</v>
      </c>
      <c r="H51" s="94">
        <v>230</v>
      </c>
      <c r="I51" s="70">
        <f t="shared" si="0"/>
        <v>5520</v>
      </c>
    </row>
    <row r="52" spans="1:9" ht="25.5" x14ac:dyDescent="0.2">
      <c r="A52" s="68">
        <v>43</v>
      </c>
      <c r="B52" s="67"/>
      <c r="C52" s="69" t="s">
        <v>57</v>
      </c>
      <c r="D52" s="71">
        <v>295</v>
      </c>
      <c r="E52" s="102" t="s">
        <v>107</v>
      </c>
      <c r="F52" s="87" t="s">
        <v>58</v>
      </c>
      <c r="G52" s="93">
        <v>24</v>
      </c>
      <c r="H52" s="94">
        <v>200</v>
      </c>
      <c r="I52" s="70">
        <f t="shared" si="0"/>
        <v>4800</v>
      </c>
    </row>
    <row r="53" spans="1:9" ht="25.5" x14ac:dyDescent="0.2">
      <c r="A53" s="68">
        <v>44</v>
      </c>
      <c r="B53" s="67"/>
      <c r="C53" s="69" t="s">
        <v>57</v>
      </c>
      <c r="D53" s="71">
        <v>295</v>
      </c>
      <c r="E53" s="102" t="s">
        <v>108</v>
      </c>
      <c r="F53" s="87" t="s">
        <v>58</v>
      </c>
      <c r="G53" s="93">
        <v>24</v>
      </c>
      <c r="H53" s="94">
        <v>238</v>
      </c>
      <c r="I53" s="70">
        <f t="shared" si="0"/>
        <v>5712</v>
      </c>
    </row>
    <row r="54" spans="1:9" ht="25.5" x14ac:dyDescent="0.2">
      <c r="A54" s="68">
        <v>45</v>
      </c>
      <c r="B54" s="67"/>
      <c r="C54" s="69" t="s">
        <v>57</v>
      </c>
      <c r="D54" s="71">
        <v>295</v>
      </c>
      <c r="E54" s="102" t="s">
        <v>109</v>
      </c>
      <c r="F54" s="87" t="s">
        <v>58</v>
      </c>
      <c r="G54" s="93">
        <v>24</v>
      </c>
      <c r="H54" s="94">
        <v>240</v>
      </c>
      <c r="I54" s="70">
        <f t="shared" si="0"/>
        <v>5760</v>
      </c>
    </row>
    <row r="55" spans="1:9" ht="25.5" x14ac:dyDescent="0.2">
      <c r="A55" s="68">
        <v>46</v>
      </c>
      <c r="B55" s="67"/>
      <c r="C55" s="69" t="s">
        <v>57</v>
      </c>
      <c r="D55" s="71">
        <v>295</v>
      </c>
      <c r="E55" s="99" t="s">
        <v>110</v>
      </c>
      <c r="F55" s="87" t="s">
        <v>58</v>
      </c>
      <c r="G55" s="93">
        <v>24</v>
      </c>
      <c r="H55" s="94">
        <v>240</v>
      </c>
      <c r="I55" s="70">
        <f t="shared" si="0"/>
        <v>5760</v>
      </c>
    </row>
    <row r="56" spans="1:9" ht="25.5" x14ac:dyDescent="0.2">
      <c r="A56" s="68">
        <v>47</v>
      </c>
      <c r="B56" s="67"/>
      <c r="C56" s="69" t="s">
        <v>57</v>
      </c>
      <c r="D56" s="71">
        <v>295</v>
      </c>
      <c r="E56" s="99" t="s">
        <v>111</v>
      </c>
      <c r="F56" s="87" t="s">
        <v>58</v>
      </c>
      <c r="G56" s="93">
        <v>24</v>
      </c>
      <c r="H56" s="94">
        <v>240</v>
      </c>
      <c r="I56" s="70">
        <f t="shared" si="0"/>
        <v>5760</v>
      </c>
    </row>
    <row r="57" spans="1:9" ht="25.5" x14ac:dyDescent="0.2">
      <c r="A57" s="68">
        <v>48</v>
      </c>
      <c r="B57" s="67"/>
      <c r="C57" s="69" t="s">
        <v>57</v>
      </c>
      <c r="D57" s="71">
        <v>295</v>
      </c>
      <c r="E57" s="99" t="s">
        <v>112</v>
      </c>
      <c r="F57" s="87" t="s">
        <v>58</v>
      </c>
      <c r="G57" s="93">
        <v>24</v>
      </c>
      <c r="H57" s="94">
        <v>240</v>
      </c>
      <c r="I57" s="70">
        <f t="shared" si="0"/>
        <v>5760</v>
      </c>
    </row>
    <row r="58" spans="1:9" ht="25.5" x14ac:dyDescent="0.2">
      <c r="A58" s="68">
        <v>49</v>
      </c>
      <c r="B58" s="67"/>
      <c r="C58" s="69" t="s">
        <v>57</v>
      </c>
      <c r="D58" s="71">
        <v>295</v>
      </c>
      <c r="E58" s="99" t="s">
        <v>113</v>
      </c>
      <c r="F58" s="87" t="s">
        <v>58</v>
      </c>
      <c r="G58" s="93">
        <v>24</v>
      </c>
      <c r="H58" s="94">
        <v>240</v>
      </c>
      <c r="I58" s="70">
        <f t="shared" si="0"/>
        <v>5760</v>
      </c>
    </row>
    <row r="59" spans="1:9" ht="25.5" x14ac:dyDescent="0.2">
      <c r="A59" s="68">
        <v>50</v>
      </c>
      <c r="B59" s="67"/>
      <c r="C59" s="69" t="s">
        <v>57</v>
      </c>
      <c r="D59" s="71">
        <v>295</v>
      </c>
      <c r="E59" s="99" t="s">
        <v>114</v>
      </c>
      <c r="F59" s="87" t="s">
        <v>58</v>
      </c>
      <c r="G59" s="93">
        <v>800</v>
      </c>
      <c r="H59" s="94">
        <v>121</v>
      </c>
      <c r="I59" s="70">
        <f t="shared" si="0"/>
        <v>96800</v>
      </c>
    </row>
    <row r="60" spans="1:9" ht="25.5" x14ac:dyDescent="0.2">
      <c r="A60" s="68">
        <v>51</v>
      </c>
      <c r="B60" s="67"/>
      <c r="C60" s="69" t="s">
        <v>57</v>
      </c>
      <c r="D60" s="71">
        <v>295</v>
      </c>
      <c r="E60" s="102" t="s">
        <v>115</v>
      </c>
      <c r="F60" s="87" t="s">
        <v>58</v>
      </c>
      <c r="G60" s="93">
        <v>24</v>
      </c>
      <c r="H60" s="94">
        <v>121</v>
      </c>
      <c r="I60" s="70">
        <f t="shared" si="0"/>
        <v>2904</v>
      </c>
    </row>
    <row r="61" spans="1:9" ht="25.5" x14ac:dyDescent="0.2">
      <c r="A61" s="68">
        <v>52</v>
      </c>
      <c r="B61" s="67"/>
      <c r="C61" s="69" t="s">
        <v>57</v>
      </c>
      <c r="D61" s="71">
        <v>295</v>
      </c>
      <c r="E61" s="102" t="s">
        <v>116</v>
      </c>
      <c r="F61" s="87" t="s">
        <v>58</v>
      </c>
      <c r="G61" s="93">
        <v>100</v>
      </c>
      <c r="H61" s="94">
        <v>121</v>
      </c>
      <c r="I61" s="70">
        <f t="shared" si="0"/>
        <v>12100</v>
      </c>
    </row>
    <row r="62" spans="1:9" ht="25.5" x14ac:dyDescent="0.2">
      <c r="A62" s="68">
        <v>53</v>
      </c>
      <c r="B62" s="67"/>
      <c r="C62" s="69" t="s">
        <v>57</v>
      </c>
      <c r="D62" s="71">
        <v>295</v>
      </c>
      <c r="E62" s="99" t="s">
        <v>117</v>
      </c>
      <c r="F62" s="87" t="s">
        <v>58</v>
      </c>
      <c r="G62" s="93">
        <v>100</v>
      </c>
      <c r="H62" s="94">
        <v>121</v>
      </c>
      <c r="I62" s="70">
        <f t="shared" si="0"/>
        <v>12100</v>
      </c>
    </row>
    <row r="63" spans="1:9" ht="25.5" x14ac:dyDescent="0.2">
      <c r="A63" s="68">
        <v>54</v>
      </c>
      <c r="B63" s="67"/>
      <c r="C63" s="69" t="s">
        <v>57</v>
      </c>
      <c r="D63" s="71">
        <v>295</v>
      </c>
      <c r="E63" s="102" t="s">
        <v>118</v>
      </c>
      <c r="F63" s="87" t="s">
        <v>58</v>
      </c>
      <c r="G63" s="93">
        <v>800</v>
      </c>
      <c r="H63" s="94">
        <v>121</v>
      </c>
      <c r="I63" s="70">
        <f t="shared" si="0"/>
        <v>96800</v>
      </c>
    </row>
    <row r="64" spans="1:9" ht="25.5" x14ac:dyDescent="0.2">
      <c r="A64" s="68">
        <v>55</v>
      </c>
      <c r="B64" s="67"/>
      <c r="C64" s="69" t="s">
        <v>57</v>
      </c>
      <c r="D64" s="71">
        <v>295</v>
      </c>
      <c r="E64" s="102" t="s">
        <v>119</v>
      </c>
      <c r="F64" s="87" t="s">
        <v>58</v>
      </c>
      <c r="G64" s="93">
        <v>100</v>
      </c>
      <c r="H64" s="94">
        <v>121</v>
      </c>
      <c r="I64" s="70">
        <f t="shared" si="0"/>
        <v>12100</v>
      </c>
    </row>
    <row r="65" spans="1:9" ht="25.5" x14ac:dyDescent="0.2">
      <c r="A65" s="68">
        <v>56</v>
      </c>
      <c r="B65" s="67"/>
      <c r="C65" s="69" t="s">
        <v>57</v>
      </c>
      <c r="D65" s="71">
        <v>295</v>
      </c>
      <c r="E65" s="99" t="s">
        <v>120</v>
      </c>
      <c r="F65" s="87" t="s">
        <v>58</v>
      </c>
      <c r="G65" s="93">
        <v>800</v>
      </c>
      <c r="H65" s="94">
        <v>121</v>
      </c>
      <c r="I65" s="70">
        <f t="shared" si="0"/>
        <v>96800</v>
      </c>
    </row>
    <row r="66" spans="1:9" ht="25.5" x14ac:dyDescent="0.2">
      <c r="A66" s="68">
        <v>57</v>
      </c>
      <c r="B66" s="67"/>
      <c r="C66" s="69" t="s">
        <v>57</v>
      </c>
      <c r="D66" s="71">
        <v>295</v>
      </c>
      <c r="E66" s="102" t="s">
        <v>121</v>
      </c>
      <c r="F66" s="87" t="s">
        <v>58</v>
      </c>
      <c r="G66" s="95">
        <v>100</v>
      </c>
      <c r="H66" s="94">
        <v>121</v>
      </c>
      <c r="I66" s="70">
        <f t="shared" si="0"/>
        <v>12100</v>
      </c>
    </row>
    <row r="67" spans="1:9" ht="25.5" x14ac:dyDescent="0.2">
      <c r="A67" s="68">
        <v>58</v>
      </c>
      <c r="B67" s="67"/>
      <c r="C67" s="69" t="s">
        <v>57</v>
      </c>
      <c r="D67" s="71">
        <v>295</v>
      </c>
      <c r="E67" s="102" t="s">
        <v>122</v>
      </c>
      <c r="F67" s="87" t="s">
        <v>58</v>
      </c>
      <c r="G67" s="93">
        <v>100</v>
      </c>
      <c r="H67" s="94">
        <v>121</v>
      </c>
      <c r="I67" s="70">
        <f t="shared" si="0"/>
        <v>12100</v>
      </c>
    </row>
    <row r="68" spans="1:9" ht="25.5" x14ac:dyDescent="0.2">
      <c r="A68" s="68">
        <v>59</v>
      </c>
      <c r="B68" s="67"/>
      <c r="C68" s="69" t="s">
        <v>57</v>
      </c>
      <c r="D68" s="71">
        <v>295</v>
      </c>
      <c r="E68" s="102" t="s">
        <v>123</v>
      </c>
      <c r="F68" s="87" t="s">
        <v>58</v>
      </c>
      <c r="G68" s="93">
        <v>100</v>
      </c>
      <c r="H68" s="94">
        <v>121</v>
      </c>
      <c r="I68" s="70">
        <f t="shared" si="0"/>
        <v>12100</v>
      </c>
    </row>
    <row r="69" spans="1:9" ht="25.5" x14ac:dyDescent="0.2">
      <c r="A69" s="68">
        <v>60</v>
      </c>
      <c r="B69" s="67"/>
      <c r="C69" s="69" t="s">
        <v>57</v>
      </c>
      <c r="D69" s="71">
        <v>295</v>
      </c>
      <c r="E69" s="102" t="s">
        <v>124</v>
      </c>
      <c r="F69" s="87" t="s">
        <v>58</v>
      </c>
      <c r="G69" s="93">
        <v>100</v>
      </c>
      <c r="H69" s="94">
        <v>121</v>
      </c>
      <c r="I69" s="70">
        <f t="shared" si="0"/>
        <v>12100</v>
      </c>
    </row>
    <row r="70" spans="1:9" ht="25.5" x14ac:dyDescent="0.2">
      <c r="A70" s="68">
        <v>61</v>
      </c>
      <c r="B70" s="67"/>
      <c r="C70" s="69" t="s">
        <v>57</v>
      </c>
      <c r="D70" s="71">
        <v>295</v>
      </c>
      <c r="E70" s="102" t="s">
        <v>125</v>
      </c>
      <c r="F70" s="87" t="s">
        <v>58</v>
      </c>
      <c r="G70" s="93">
        <v>100</v>
      </c>
      <c r="H70" s="94">
        <v>121</v>
      </c>
      <c r="I70" s="70">
        <f t="shared" si="0"/>
        <v>12100</v>
      </c>
    </row>
    <row r="71" spans="1:9" ht="25.5" x14ac:dyDescent="0.2">
      <c r="A71" s="68">
        <v>62</v>
      </c>
      <c r="B71" s="67"/>
      <c r="C71" s="69" t="s">
        <v>57</v>
      </c>
      <c r="D71" s="71">
        <v>295</v>
      </c>
      <c r="E71" s="102" t="s">
        <v>126</v>
      </c>
      <c r="F71" s="87" t="s">
        <v>58</v>
      </c>
      <c r="G71" s="93">
        <v>100</v>
      </c>
      <c r="H71" s="94">
        <v>121</v>
      </c>
      <c r="I71" s="70">
        <f t="shared" si="0"/>
        <v>12100</v>
      </c>
    </row>
    <row r="72" spans="1:9" ht="13.5" thickBot="1" x14ac:dyDescent="0.25">
      <c r="I72" s="35"/>
    </row>
    <row r="73" spans="1:9" x14ac:dyDescent="0.2">
      <c r="B73" s="88" t="s">
        <v>60</v>
      </c>
      <c r="C73" s="30"/>
      <c r="D73" s="30"/>
      <c r="E73" s="31"/>
      <c r="I73" s="35"/>
    </row>
    <row r="74" spans="1:9" ht="13.5" customHeight="1" x14ac:dyDescent="0.2">
      <c r="B74" s="107" t="s">
        <v>62</v>
      </c>
      <c r="C74" s="108"/>
      <c r="D74" s="108"/>
      <c r="E74" s="109"/>
    </row>
    <row r="75" spans="1:9" ht="25.5" customHeight="1" x14ac:dyDescent="0.2">
      <c r="B75" s="107"/>
      <c r="C75" s="108"/>
      <c r="D75" s="108"/>
      <c r="E75" s="109"/>
      <c r="F75" s="32"/>
      <c r="G75" s="33"/>
    </row>
    <row r="76" spans="1:9" ht="51.75" customHeight="1" x14ac:dyDescent="0.2">
      <c r="B76" s="107" t="s">
        <v>136</v>
      </c>
      <c r="C76" s="108"/>
      <c r="D76" s="108"/>
      <c r="E76" s="109"/>
      <c r="F76" s="32"/>
      <c r="G76" s="33"/>
    </row>
    <row r="77" spans="1:9" x14ac:dyDescent="0.2">
      <c r="B77" s="89" t="s">
        <v>63</v>
      </c>
      <c r="C77" s="90"/>
      <c r="D77" s="91"/>
      <c r="E77" s="92"/>
      <c r="F77" s="32"/>
      <c r="G77" s="33"/>
    </row>
    <row r="78" spans="1:9" ht="12" customHeight="1" thickBot="1" x14ac:dyDescent="0.25"/>
    <row r="79" spans="1:9" x14ac:dyDescent="0.2">
      <c r="B79" s="29" t="s">
        <v>127</v>
      </c>
      <c r="C79" s="30"/>
      <c r="D79" s="30"/>
      <c r="E79" s="31"/>
    </row>
    <row r="80" spans="1:9" x14ac:dyDescent="0.2">
      <c r="B80" s="89" t="s">
        <v>61</v>
      </c>
      <c r="C80" s="33"/>
      <c r="D80" s="33"/>
      <c r="E80" s="34"/>
    </row>
    <row r="81" spans="2:5" ht="13.5" customHeight="1" thickBot="1" x14ac:dyDescent="0.25">
      <c r="B81" s="103" t="s">
        <v>130</v>
      </c>
      <c r="C81" s="104"/>
      <c r="D81" s="104"/>
      <c r="E81" s="105"/>
    </row>
    <row r="82" spans="2:5" ht="13.5" thickBot="1" x14ac:dyDescent="0.25"/>
    <row r="83" spans="2:5" x14ac:dyDescent="0.2">
      <c r="B83" s="29" t="s">
        <v>128</v>
      </c>
      <c r="C83" s="30"/>
      <c r="D83" s="30"/>
      <c r="E83" s="31"/>
    </row>
    <row r="84" spans="2:5" x14ac:dyDescent="0.2">
      <c r="B84" s="89" t="s">
        <v>61</v>
      </c>
      <c r="C84" s="33"/>
      <c r="D84" s="33"/>
      <c r="E84" s="34"/>
    </row>
    <row r="85" spans="2:5" ht="13.5" thickBot="1" x14ac:dyDescent="0.25">
      <c r="B85" s="103" t="s">
        <v>131</v>
      </c>
      <c r="C85" s="104"/>
      <c r="D85" s="104"/>
      <c r="E85" s="105"/>
    </row>
  </sheetData>
  <autoFilter ref="A9:I71"/>
  <mergeCells count="11">
    <mergeCell ref="B2:H2"/>
    <mergeCell ref="A4:B4"/>
    <mergeCell ref="C4:E4"/>
    <mergeCell ref="A5:B5"/>
    <mergeCell ref="C5:E5"/>
    <mergeCell ref="B81:E81"/>
    <mergeCell ref="B85:E85"/>
    <mergeCell ref="A6:B6"/>
    <mergeCell ref="A7:B7"/>
    <mergeCell ref="B74:E75"/>
    <mergeCell ref="B76:E76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4"/>
  <sheetViews>
    <sheetView topLeftCell="A85" zoomScale="80" zoomScaleNormal="80" workbookViewId="0">
      <selection activeCell="K2" sqref="K2"/>
    </sheetView>
  </sheetViews>
  <sheetFormatPr baseColWidth="10" defaultColWidth="9.140625" defaultRowHeight="12.75" x14ac:dyDescent="0.2"/>
  <cols>
    <col min="1" max="1" width="5.5703125" style="38" customWidth="1"/>
    <col min="2" max="2" width="15.140625" style="38" customWidth="1"/>
    <col min="3" max="3" width="14.140625" style="38" customWidth="1"/>
    <col min="4" max="4" width="26" style="38" customWidth="1"/>
    <col min="5" max="5" width="8" style="38" customWidth="1"/>
    <col min="6" max="6" width="7.85546875" style="38" customWidth="1"/>
    <col min="7" max="7" width="48.5703125" style="38" customWidth="1"/>
    <col min="8" max="8" width="9.28515625" style="38" customWidth="1"/>
    <col min="9" max="9" width="15.5703125" style="38" customWidth="1"/>
    <col min="10" max="10" width="14.7109375" style="38" customWidth="1"/>
    <col min="11" max="11" width="15.5703125" style="38" customWidth="1"/>
    <col min="12" max="13" width="5.85546875" style="38" customWidth="1"/>
    <col min="14" max="14" width="14.140625" style="38" customWidth="1"/>
    <col min="15" max="15" width="12.5703125" style="38" customWidth="1"/>
    <col min="16" max="1024" width="9.140625" style="38"/>
    <col min="1025" max="16384" width="9.140625" style="39"/>
  </cols>
  <sheetData>
    <row r="1" spans="1:11" ht="18" customHeight="1" x14ac:dyDescent="0.2">
      <c r="A1" s="122" t="s">
        <v>14</v>
      </c>
      <c r="B1" s="122"/>
      <c r="C1" s="122"/>
      <c r="D1" s="122"/>
      <c r="E1" s="122"/>
      <c r="F1" s="122"/>
      <c r="G1" s="122"/>
      <c r="H1" s="122"/>
      <c r="I1" s="122"/>
      <c r="J1" s="36" t="s">
        <v>15</v>
      </c>
      <c r="K1" s="37" t="s">
        <v>133</v>
      </c>
    </row>
    <row r="2" spans="1:11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1" ht="18.75" customHeight="1" thickBot="1" x14ac:dyDescent="0.25">
      <c r="A3" s="123" t="s">
        <v>48</v>
      </c>
      <c r="B3" s="123"/>
      <c r="C3" s="123"/>
      <c r="D3" s="112" t="str">
        <f>'Necesidades Trimestrales'!C4</f>
        <v>040 - Ministerio de Salud</v>
      </c>
      <c r="E3" s="112"/>
      <c r="F3" s="112"/>
      <c r="G3" s="112"/>
      <c r="H3" s="112"/>
      <c r="I3" s="112"/>
      <c r="J3" s="112"/>
      <c r="K3" s="112"/>
    </row>
    <row r="4" spans="1:11" ht="18.75" customHeight="1" thickBot="1" x14ac:dyDescent="0.25">
      <c r="A4" s="124" t="s">
        <v>49</v>
      </c>
      <c r="B4" s="124"/>
      <c r="C4" s="124"/>
      <c r="D4" s="112" t="str">
        <f>'Necesidades Trimestrales'!C5</f>
        <v>024 - Hospital Interzonal de Niños</v>
      </c>
      <c r="E4" s="112"/>
      <c r="F4" s="112"/>
      <c r="G4" s="112"/>
      <c r="H4" s="112"/>
      <c r="I4" s="112"/>
      <c r="J4" s="112"/>
      <c r="K4" s="112"/>
    </row>
    <row r="5" spans="1:11" ht="18.75" customHeight="1" thickBot="1" x14ac:dyDescent="0.25">
      <c r="A5" s="124" t="s">
        <v>27</v>
      </c>
      <c r="B5" s="124"/>
      <c r="C5" s="124"/>
      <c r="D5" s="112" t="s">
        <v>51</v>
      </c>
      <c r="E5" s="112"/>
      <c r="F5" s="112"/>
      <c r="G5" s="112"/>
      <c r="H5" s="112"/>
      <c r="I5" s="112"/>
      <c r="J5" s="112"/>
      <c r="K5" s="112"/>
    </row>
    <row r="6" spans="1:11" ht="16.5" customHeight="1" thickBot="1" x14ac:dyDescent="0.25">
      <c r="A6" s="123" t="s">
        <v>50</v>
      </c>
      <c r="B6" s="123"/>
      <c r="C6" s="123"/>
      <c r="D6" s="112" t="s">
        <v>56</v>
      </c>
      <c r="E6" s="112"/>
      <c r="F6" s="112"/>
      <c r="G6" s="112"/>
      <c r="H6" s="112"/>
      <c r="I6" s="112"/>
      <c r="J6" s="112"/>
      <c r="K6" s="112"/>
    </row>
    <row r="7" spans="1:11" ht="16.5" customHeight="1" x14ac:dyDescent="0.2">
      <c r="A7" s="124" t="s">
        <v>16</v>
      </c>
      <c r="B7" s="124"/>
      <c r="C7" s="124"/>
      <c r="D7" s="112" t="str">
        <f>'Necesidades Trimestrales'!C7 &amp; "° Trimestre - Año " &amp; 'Necesidades Trimestrales'!C6</f>
        <v>2° Trimestre - Año 2021</v>
      </c>
      <c r="E7" s="112"/>
      <c r="F7" s="112"/>
      <c r="G7" s="112"/>
      <c r="H7" s="112"/>
      <c r="I7" s="112"/>
      <c r="J7" s="112"/>
      <c r="K7" s="112"/>
    </row>
    <row r="8" spans="1:11" ht="16.5" customHeight="1" x14ac:dyDescent="0.2">
      <c r="A8" s="121" t="s">
        <v>17</v>
      </c>
      <c r="B8" s="121"/>
      <c r="C8" s="121"/>
      <c r="D8" s="117" t="s">
        <v>64</v>
      </c>
      <c r="E8" s="117"/>
      <c r="F8" s="117"/>
      <c r="G8" s="117"/>
      <c r="H8" s="117"/>
      <c r="I8" s="117"/>
      <c r="J8" s="117"/>
      <c r="K8" s="117"/>
    </row>
    <row r="9" spans="1:11" ht="15.75" x14ac:dyDescent="0.2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1" ht="18.75" customHeight="1" x14ac:dyDescent="0.2">
      <c r="A10" s="118" t="s">
        <v>18</v>
      </c>
      <c r="B10" s="119" t="s">
        <v>19</v>
      </c>
      <c r="C10" s="119" t="s">
        <v>20</v>
      </c>
      <c r="D10" s="119"/>
      <c r="E10" s="119"/>
      <c r="F10" s="119"/>
      <c r="G10" s="119"/>
      <c r="H10" s="119" t="s">
        <v>21</v>
      </c>
      <c r="I10" s="119" t="s">
        <v>22</v>
      </c>
      <c r="J10" s="119" t="s">
        <v>23</v>
      </c>
      <c r="K10" s="120" t="s">
        <v>24</v>
      </c>
    </row>
    <row r="11" spans="1:11" ht="24" customHeight="1" thickBot="1" x14ac:dyDescent="0.25">
      <c r="A11" s="118"/>
      <c r="B11" s="119"/>
      <c r="C11" s="119"/>
      <c r="D11" s="119"/>
      <c r="E11" s="119"/>
      <c r="F11" s="119"/>
      <c r="G11" s="119"/>
      <c r="H11" s="119"/>
      <c r="I11" s="119"/>
      <c r="J11" s="119"/>
      <c r="K11" s="120"/>
    </row>
    <row r="12" spans="1:11" ht="27.75" customHeight="1" x14ac:dyDescent="0.2">
      <c r="A12" s="46">
        <v>1</v>
      </c>
      <c r="B12" s="47"/>
      <c r="C12" s="114" t="str">
        <f>'Necesidades Trimestrales'!E10</f>
        <v xml:space="preserve">HILO DE LINO N° 30 </v>
      </c>
      <c r="D12" s="114"/>
      <c r="E12" s="114"/>
      <c r="F12" s="114"/>
      <c r="G12" s="114"/>
      <c r="H12" s="48" t="s">
        <v>54</v>
      </c>
      <c r="I12" s="49" t="str">
        <f>'Necesidades Trimestrales'!F10</f>
        <v>UNIDAD</v>
      </c>
      <c r="J12" s="50">
        <f>'Necesidades Trimestrales'!H10</f>
        <v>263</v>
      </c>
      <c r="K12" s="51">
        <f>'Necesidades Trimestrales'!G10</f>
        <v>4</v>
      </c>
    </row>
    <row r="13" spans="1:11" ht="27.75" customHeight="1" x14ac:dyDescent="0.2">
      <c r="A13" s="72">
        <v>2</v>
      </c>
      <c r="B13" s="73"/>
      <c r="C13" s="115" t="str">
        <f>'Necesidades Trimestrales'!E11</f>
        <v xml:space="preserve">HILO DE LINO N° 40 </v>
      </c>
      <c r="D13" s="115"/>
      <c r="E13" s="115"/>
      <c r="F13" s="115"/>
      <c r="G13" s="115"/>
      <c r="H13" s="76" t="s">
        <v>54</v>
      </c>
      <c r="I13" s="77" t="str">
        <f>'Necesidades Trimestrales'!F11</f>
        <v>UNIDAD</v>
      </c>
      <c r="J13" s="75">
        <f>'Necesidades Trimestrales'!H11</f>
        <v>296</v>
      </c>
      <c r="K13" s="74">
        <f>'Necesidades Trimestrales'!G11</f>
        <v>4</v>
      </c>
    </row>
    <row r="14" spans="1:11" ht="27.75" customHeight="1" x14ac:dyDescent="0.2">
      <c r="A14" s="72">
        <v>3</v>
      </c>
      <c r="B14" s="73"/>
      <c r="C14" s="116" t="str">
        <f>'Necesidades Trimestrales'!E12</f>
        <v>HILO DE LINO N° 60</v>
      </c>
      <c r="D14" s="116"/>
      <c r="E14" s="116"/>
      <c r="F14" s="116"/>
      <c r="G14" s="116"/>
      <c r="H14" s="76" t="s">
        <v>54</v>
      </c>
      <c r="I14" s="77" t="str">
        <f>'Necesidades Trimestrales'!F12</f>
        <v>UNIDAD</v>
      </c>
      <c r="J14" s="75">
        <f>'Necesidades Trimestrales'!H12</f>
        <v>343</v>
      </c>
      <c r="K14" s="74">
        <f>'Necesidades Trimestrales'!G12</f>
        <v>4</v>
      </c>
    </row>
    <row r="15" spans="1:11" ht="27.75" customHeight="1" x14ac:dyDescent="0.2">
      <c r="A15" s="72">
        <v>4</v>
      </c>
      <c r="B15" s="73"/>
      <c r="C15" s="116" t="str">
        <f>'Necesidades Trimestrales'!E13</f>
        <v>HILO DE LINO N° 80</v>
      </c>
      <c r="D15" s="116"/>
      <c r="E15" s="116"/>
      <c r="F15" s="116"/>
      <c r="G15" s="116"/>
      <c r="H15" s="76" t="s">
        <v>54</v>
      </c>
      <c r="I15" s="77" t="str">
        <f>'Necesidades Trimestrales'!F13</f>
        <v>UNIDAD</v>
      </c>
      <c r="J15" s="75">
        <f>'Necesidades Trimestrales'!H13</f>
        <v>395</v>
      </c>
      <c r="K15" s="74">
        <f>'Necesidades Trimestrales'!G13</f>
        <v>4</v>
      </c>
    </row>
    <row r="16" spans="1:11" ht="27.75" customHeight="1" x14ac:dyDescent="0.2">
      <c r="A16" s="72">
        <v>5</v>
      </c>
      <c r="B16" s="73"/>
      <c r="C16" s="116" t="str">
        <f>'Necesidades Trimestrales'!E14</f>
        <v>HILO DE LINO N°100</v>
      </c>
      <c r="D16" s="116"/>
      <c r="E16" s="116"/>
      <c r="F16" s="116"/>
      <c r="G16" s="116"/>
      <c r="H16" s="76" t="s">
        <v>54</v>
      </c>
      <c r="I16" s="77" t="str">
        <f>'Necesidades Trimestrales'!F14</f>
        <v>UNIDAD</v>
      </c>
      <c r="J16" s="75">
        <f>'Necesidades Trimestrales'!H14</f>
        <v>421.22</v>
      </c>
      <c r="K16" s="74">
        <f>'Necesidades Trimestrales'!G14</f>
        <v>4</v>
      </c>
    </row>
    <row r="17" spans="1:11" ht="27.75" customHeight="1" x14ac:dyDescent="0.2">
      <c r="A17" s="72">
        <v>6</v>
      </c>
      <c r="B17" s="73"/>
      <c r="C17" s="116" t="str">
        <f>'Necesidades Trimestrales'!E15</f>
        <v>HILO DE SUTURA MONOFILAMENTO 2-0 164T C/AGUJA</v>
      </c>
      <c r="D17" s="116"/>
      <c r="E17" s="116"/>
      <c r="F17" s="116"/>
      <c r="G17" s="116"/>
      <c r="H17" s="76" t="s">
        <v>129</v>
      </c>
      <c r="I17" s="77" t="str">
        <f>'Necesidades Trimestrales'!F15</f>
        <v>UNIDAD</v>
      </c>
      <c r="J17" s="75">
        <f>'Necesidades Trimestrales'!H15</f>
        <v>269</v>
      </c>
      <c r="K17" s="74">
        <f>'Necesidades Trimestrales'!G15</f>
        <v>2000</v>
      </c>
    </row>
    <row r="18" spans="1:11" ht="27.75" customHeight="1" x14ac:dyDescent="0.2">
      <c r="A18" s="72">
        <v>7</v>
      </c>
      <c r="B18" s="73"/>
      <c r="C18" s="116" t="str">
        <f>'Necesidades Trimestrales'!E16</f>
        <v>HILO DE SUTURA MONOFILAMENTO 3-0 163T C/AGUJA</v>
      </c>
      <c r="D18" s="116"/>
      <c r="E18" s="116"/>
      <c r="F18" s="116"/>
      <c r="G18" s="116"/>
      <c r="H18" s="76" t="s">
        <v>129</v>
      </c>
      <c r="I18" s="77" t="str">
        <f>'Necesidades Trimestrales'!F16</f>
        <v>UNIDAD</v>
      </c>
      <c r="J18" s="75">
        <f>'Necesidades Trimestrales'!H16</f>
        <v>269</v>
      </c>
      <c r="K18" s="74">
        <f>'Necesidades Trimestrales'!G16</f>
        <v>2000</v>
      </c>
    </row>
    <row r="19" spans="1:11" ht="27.75" customHeight="1" x14ac:dyDescent="0.2">
      <c r="A19" s="72">
        <v>8</v>
      </c>
      <c r="B19" s="73"/>
      <c r="C19" s="116" t="str">
        <f>'Necesidades Trimestrales'!E17</f>
        <v>HILO DE SUTURA MONOFILAMENTO 4-0 AGUJA PS-1 3/8 CIRC 24 MM</v>
      </c>
      <c r="D19" s="116"/>
      <c r="E19" s="116"/>
      <c r="F19" s="116"/>
      <c r="G19" s="116"/>
      <c r="H19" s="76" t="s">
        <v>54</v>
      </c>
      <c r="I19" s="77" t="str">
        <f>'Necesidades Trimestrales'!F17</f>
        <v>UNIDAD</v>
      </c>
      <c r="J19" s="75">
        <f>'Necesidades Trimestrales'!H17</f>
        <v>198</v>
      </c>
      <c r="K19" s="74">
        <f>'Necesidades Trimestrales'!G17</f>
        <v>240</v>
      </c>
    </row>
    <row r="20" spans="1:11" ht="27.75" customHeight="1" x14ac:dyDescent="0.2">
      <c r="A20" s="72">
        <v>9</v>
      </c>
      <c r="B20" s="73"/>
      <c r="C20" s="116" t="str">
        <f>'Necesidades Trimestrales'!E18</f>
        <v>HILO DE SUTURA TIPO SEDA 2-0 COD K833 H</v>
      </c>
      <c r="D20" s="116"/>
      <c r="E20" s="116"/>
      <c r="F20" s="116"/>
      <c r="G20" s="116"/>
      <c r="H20" s="76" t="s">
        <v>54</v>
      </c>
      <c r="I20" s="77" t="str">
        <f>'Necesidades Trimestrales'!F18</f>
        <v>UNIDAD</v>
      </c>
      <c r="J20" s="75">
        <f>'Necesidades Trimestrales'!H18</f>
        <v>156</v>
      </c>
      <c r="K20" s="74">
        <f>'Necesidades Trimestrales'!G18</f>
        <v>60</v>
      </c>
    </row>
    <row r="21" spans="1:11" ht="27.75" customHeight="1" x14ac:dyDescent="0.2">
      <c r="A21" s="72">
        <v>10</v>
      </c>
      <c r="B21" s="73"/>
      <c r="C21" s="116" t="str">
        <f>'Necesidades Trimestrales'!E19</f>
        <v>SUT.ABS.CATGUT SIMP.2-0 C/A SH Ó CT1 X 1 UNID</v>
      </c>
      <c r="D21" s="116"/>
      <c r="E21" s="116"/>
      <c r="F21" s="116"/>
      <c r="G21" s="116"/>
      <c r="H21" s="76" t="s">
        <v>54</v>
      </c>
      <c r="I21" s="77" t="str">
        <f>'Necesidades Trimestrales'!F19</f>
        <v>UNIDAD</v>
      </c>
      <c r="J21" s="75">
        <f>'Necesidades Trimestrales'!H19</f>
        <v>138</v>
      </c>
      <c r="K21" s="74">
        <f>'Necesidades Trimestrales'!G19</f>
        <v>24</v>
      </c>
    </row>
    <row r="22" spans="1:11" ht="27.75" customHeight="1" x14ac:dyDescent="0.2">
      <c r="A22" s="72">
        <v>11</v>
      </c>
      <c r="B22" s="73"/>
      <c r="C22" s="116" t="str">
        <f>'Necesidades Trimestrales'!E20</f>
        <v>SUT.ABS.CATGUT SIMP.3-0 C/A SH/CT1 X 1 UNID</v>
      </c>
      <c r="D22" s="116"/>
      <c r="E22" s="116"/>
      <c r="F22" s="116"/>
      <c r="G22" s="116"/>
      <c r="H22" s="76" t="s">
        <v>54</v>
      </c>
      <c r="I22" s="77" t="str">
        <f>'Necesidades Trimestrales'!F20</f>
        <v>UNIDAD</v>
      </c>
      <c r="J22" s="75">
        <f>'Necesidades Trimestrales'!H20</f>
        <v>138</v>
      </c>
      <c r="K22" s="74">
        <f>'Necesidades Trimestrales'!G20</f>
        <v>24</v>
      </c>
    </row>
    <row r="23" spans="1:11" ht="27.75" customHeight="1" x14ac:dyDescent="0.2">
      <c r="A23" s="72">
        <v>12</v>
      </c>
      <c r="B23" s="73"/>
      <c r="C23" s="116" t="str">
        <f>'Necesidades Trimestrales'!E21</f>
        <v>SUT.ABS.CATGUT SIMP.4-0 C/A SH X 1 UNID.</v>
      </c>
      <c r="D23" s="116"/>
      <c r="E23" s="116"/>
      <c r="F23" s="116"/>
      <c r="G23" s="116"/>
      <c r="H23" s="76" t="s">
        <v>54</v>
      </c>
      <c r="I23" s="77" t="str">
        <f>'Necesidades Trimestrales'!F21</f>
        <v>UNIDAD</v>
      </c>
      <c r="J23" s="75">
        <f>'Necesidades Trimestrales'!H21</f>
        <v>138</v>
      </c>
      <c r="K23" s="74">
        <f>'Necesidades Trimestrales'!G21</f>
        <v>24</v>
      </c>
    </row>
    <row r="24" spans="1:11" ht="27.75" customHeight="1" x14ac:dyDescent="0.2">
      <c r="A24" s="72">
        <v>13</v>
      </c>
      <c r="B24" s="73"/>
      <c r="C24" s="116" t="str">
        <f>'Necesidades Trimestrales'!E22</f>
        <v>SUT.ABS.CATGUT SIMP.5-0 C/A RB-1 X UNID.</v>
      </c>
      <c r="D24" s="116"/>
      <c r="E24" s="116"/>
      <c r="F24" s="116"/>
      <c r="G24" s="116"/>
      <c r="H24" s="76" t="s">
        <v>54</v>
      </c>
      <c r="I24" s="77" t="str">
        <f>'Necesidades Trimestrales'!F22</f>
        <v>UNIDAD</v>
      </c>
      <c r="J24" s="75">
        <f>'Necesidades Trimestrales'!H22</f>
        <v>138</v>
      </c>
      <c r="K24" s="74">
        <f>'Necesidades Trimestrales'!G22</f>
        <v>24</v>
      </c>
    </row>
    <row r="25" spans="1:11" ht="27.75" customHeight="1" x14ac:dyDescent="0.2">
      <c r="A25" s="72">
        <v>14</v>
      </c>
      <c r="B25" s="73"/>
      <c r="C25" s="116" t="str">
        <f>'Necesidades Trimestrales'!E23</f>
        <v>SUT.N/ABS.MONONYLON  4-0 (OFTAL. 0936103  ) X 1 UNID.</v>
      </c>
      <c r="D25" s="116"/>
      <c r="E25" s="116"/>
      <c r="F25" s="116"/>
      <c r="G25" s="116"/>
      <c r="H25" s="76" t="s">
        <v>54</v>
      </c>
      <c r="I25" s="77" t="str">
        <f>'Necesidades Trimestrales'!F23</f>
        <v>UNIDAD</v>
      </c>
      <c r="J25" s="75">
        <f>'Necesidades Trimestrales'!H23</f>
        <v>269</v>
      </c>
      <c r="K25" s="74">
        <f>'Necesidades Trimestrales'!G23</f>
        <v>48</v>
      </c>
    </row>
    <row r="26" spans="1:11" ht="27.75" customHeight="1" x14ac:dyDescent="0.2">
      <c r="A26" s="72">
        <v>15</v>
      </c>
      <c r="B26" s="73"/>
      <c r="C26" s="116" t="str">
        <f>'Necesidades Trimestrales'!E24</f>
        <v>SUT.N/ABS.MONONYLON  5/0 (OFTAL. 0936090)  X 1 UNID.</v>
      </c>
      <c r="D26" s="116"/>
      <c r="E26" s="116"/>
      <c r="F26" s="116"/>
      <c r="G26" s="116"/>
      <c r="H26" s="76" t="s">
        <v>54</v>
      </c>
      <c r="I26" s="77" t="str">
        <f>'Necesidades Trimestrales'!F24</f>
        <v>UNIDAD</v>
      </c>
      <c r="J26" s="75">
        <f>'Necesidades Trimestrales'!H24</f>
        <v>269</v>
      </c>
      <c r="K26" s="74">
        <f>'Necesidades Trimestrales'!G24</f>
        <v>48</v>
      </c>
    </row>
    <row r="27" spans="1:11" ht="27.75" customHeight="1" x14ac:dyDescent="0.2">
      <c r="A27" s="72">
        <v>16</v>
      </c>
      <c r="B27" s="73"/>
      <c r="C27" s="116" t="str">
        <f>'Necesidades Trimestrales'!E25</f>
        <v>SUT.N/ABS.MONONYLON  6-0  ( OFTAL. 0936081)  X 1 UNID.</v>
      </c>
      <c r="D27" s="116"/>
      <c r="E27" s="116"/>
      <c r="F27" s="116"/>
      <c r="G27" s="116"/>
      <c r="H27" s="76" t="s">
        <v>54</v>
      </c>
      <c r="I27" s="77" t="str">
        <f>'Necesidades Trimestrales'!F25</f>
        <v>UNIDAD</v>
      </c>
      <c r="J27" s="75">
        <f>'Necesidades Trimestrales'!H25</f>
        <v>269</v>
      </c>
      <c r="K27" s="74">
        <f>'Necesidades Trimestrales'!G25</f>
        <v>48</v>
      </c>
    </row>
    <row r="28" spans="1:11" ht="27.75" customHeight="1" x14ac:dyDescent="0.2">
      <c r="A28" s="72">
        <v>17</v>
      </c>
      <c r="B28" s="73"/>
      <c r="C28" s="116" t="str">
        <f>'Necesidades Trimestrales'!E26</f>
        <v>SUT.N/ABS.MONONYLON  8-0 X 1 UNID.</v>
      </c>
      <c r="D28" s="116"/>
      <c r="E28" s="116"/>
      <c r="F28" s="116"/>
      <c r="G28" s="116"/>
      <c r="H28" s="76" t="s">
        <v>54</v>
      </c>
      <c r="I28" s="77" t="str">
        <f>'Necesidades Trimestrales'!F26</f>
        <v>UNIDAD</v>
      </c>
      <c r="J28" s="75">
        <f>'Necesidades Trimestrales'!H26</f>
        <v>685</v>
      </c>
      <c r="K28" s="74">
        <f>'Necesidades Trimestrales'!G26</f>
        <v>48</v>
      </c>
    </row>
    <row r="29" spans="1:11" ht="27.75" customHeight="1" x14ac:dyDescent="0.2">
      <c r="A29" s="72">
        <v>18</v>
      </c>
      <c r="B29" s="73"/>
      <c r="C29" s="116" t="str">
        <f>'Necesidades Trimestrales'!E27</f>
        <v>SUT.N/ABS.MONONYLON  9-0 (OFTAL.)X 1 UNID.</v>
      </c>
      <c r="D29" s="116"/>
      <c r="E29" s="116"/>
      <c r="F29" s="116"/>
      <c r="G29" s="116"/>
      <c r="H29" s="76" t="s">
        <v>54</v>
      </c>
      <c r="I29" s="77" t="str">
        <f>'Necesidades Trimestrales'!F27</f>
        <v>UNIDAD</v>
      </c>
      <c r="J29" s="75">
        <f>'Necesidades Trimestrales'!H27</f>
        <v>685</v>
      </c>
      <c r="K29" s="74">
        <f>'Necesidades Trimestrales'!G27</f>
        <v>48</v>
      </c>
    </row>
    <row r="30" spans="1:11" ht="27.75" customHeight="1" x14ac:dyDescent="0.2">
      <c r="A30" s="72">
        <v>19</v>
      </c>
      <c r="B30" s="73"/>
      <c r="C30" s="116" t="str">
        <f>'Necesidades Trimestrales'!E28</f>
        <v>SUT.N/ABS.MONONYLON 10-0 (OFTAL.)X 1 UNID.</v>
      </c>
      <c r="D30" s="116"/>
      <c r="E30" s="116"/>
      <c r="F30" s="116"/>
      <c r="G30" s="116"/>
      <c r="H30" s="76" t="s">
        <v>54</v>
      </c>
      <c r="I30" s="77" t="str">
        <f>'Necesidades Trimestrales'!F28</f>
        <v>UNIDAD</v>
      </c>
      <c r="J30" s="75">
        <f>'Necesidades Trimestrales'!H28</f>
        <v>685</v>
      </c>
      <c r="K30" s="74">
        <f>'Necesidades Trimestrales'!G28</f>
        <v>48</v>
      </c>
    </row>
    <row r="31" spans="1:11" ht="27.75" customHeight="1" x14ac:dyDescent="0.2">
      <c r="A31" s="72">
        <v>20</v>
      </c>
      <c r="B31" s="73"/>
      <c r="C31" s="116" t="str">
        <f>'Necesidades Trimestrales'!E29</f>
        <v>SUT.N/ABS.MONONYLON 5-0 S/22 (OFTAL.)X 1 UNID.</v>
      </c>
      <c r="D31" s="116"/>
      <c r="E31" s="116"/>
      <c r="F31" s="116"/>
      <c r="G31" s="116"/>
      <c r="H31" s="76" t="s">
        <v>54</v>
      </c>
      <c r="I31" s="77" t="str">
        <f>'Necesidades Trimestrales'!F29</f>
        <v>UNIDAD</v>
      </c>
      <c r="J31" s="75">
        <f>'Necesidades Trimestrales'!H29</f>
        <v>461</v>
      </c>
      <c r="K31" s="74">
        <f>'Necesidades Trimestrales'!G29</f>
        <v>48</v>
      </c>
    </row>
    <row r="32" spans="1:11" ht="27.75" customHeight="1" x14ac:dyDescent="0.2">
      <c r="A32" s="72">
        <v>21</v>
      </c>
      <c r="B32" s="80"/>
      <c r="C32" s="116" t="str">
        <f>'Necesidades Trimestrales'!E30</f>
        <v>SUT.SEDA QUIRUR.NEG./TRENZ 3-0 GS 832 C/A</v>
      </c>
      <c r="D32" s="116"/>
      <c r="E32" s="116"/>
      <c r="F32" s="116"/>
      <c r="G32" s="116"/>
      <c r="H32" s="76" t="s">
        <v>54</v>
      </c>
      <c r="I32" s="77" t="str">
        <f>'Necesidades Trimestrales'!F30</f>
        <v>UNIDAD</v>
      </c>
      <c r="J32" s="75">
        <f>'Necesidades Trimestrales'!H30</f>
        <v>165</v>
      </c>
      <c r="K32" s="74">
        <f>'Necesidades Trimestrales'!G30</f>
        <v>24</v>
      </c>
    </row>
    <row r="33" spans="1:14" ht="27.75" customHeight="1" x14ac:dyDescent="0.2">
      <c r="A33" s="72">
        <v>22</v>
      </c>
      <c r="B33" s="80"/>
      <c r="C33" s="116" t="str">
        <f>'Necesidades Trimestrales'!E31</f>
        <v>SUTURA MONOCRYL 3-0 AGUJA MCP 493</v>
      </c>
      <c r="D33" s="116"/>
      <c r="E33" s="116"/>
      <c r="F33" s="116"/>
      <c r="G33" s="116"/>
      <c r="H33" s="76" t="s">
        <v>54</v>
      </c>
      <c r="I33" s="77" t="str">
        <f>'Necesidades Trimestrales'!F31</f>
        <v>UNIDAD</v>
      </c>
      <c r="J33" s="75">
        <f>'Necesidades Trimestrales'!H31</f>
        <v>290</v>
      </c>
      <c r="K33" s="74">
        <f>'Necesidades Trimestrales'!G31</f>
        <v>480</v>
      </c>
    </row>
    <row r="34" spans="1:14" ht="27.75" customHeight="1" x14ac:dyDescent="0.2">
      <c r="A34" s="72">
        <v>23</v>
      </c>
      <c r="B34" s="80"/>
      <c r="C34" s="116" t="str">
        <f>'Necesidades Trimestrales'!E32</f>
        <v>SUTURA MONOCRYL 4-0 AGUJA MCP 493</v>
      </c>
      <c r="D34" s="116"/>
      <c r="E34" s="116"/>
      <c r="F34" s="116"/>
      <c r="G34" s="116"/>
      <c r="H34" s="76" t="s">
        <v>54</v>
      </c>
      <c r="I34" s="77" t="str">
        <f>'Necesidades Trimestrales'!F32</f>
        <v>UNIDAD</v>
      </c>
      <c r="J34" s="75">
        <f>'Necesidades Trimestrales'!H32</f>
        <v>290</v>
      </c>
      <c r="K34" s="74">
        <f>'Necesidades Trimestrales'!G32</f>
        <v>480</v>
      </c>
    </row>
    <row r="35" spans="1:14" ht="27.75" customHeight="1" x14ac:dyDescent="0.2">
      <c r="A35" s="72">
        <v>24</v>
      </c>
      <c r="B35" s="80"/>
      <c r="C35" s="116" t="str">
        <f>'Necesidades Trimestrales'!E33</f>
        <v>SUTURA MONOCRYL 5-0 AGUJA MCP 493</v>
      </c>
      <c r="D35" s="116"/>
      <c r="E35" s="116"/>
      <c r="F35" s="116"/>
      <c r="G35" s="116"/>
      <c r="H35" s="76" t="s">
        <v>54</v>
      </c>
      <c r="I35" s="77" t="str">
        <f>'Necesidades Trimestrales'!F33</f>
        <v>UNIDAD</v>
      </c>
      <c r="J35" s="75">
        <f>'Necesidades Trimestrales'!H33</f>
        <v>290</v>
      </c>
      <c r="K35" s="74">
        <f>'Necesidades Trimestrales'!G33</f>
        <v>480</v>
      </c>
    </row>
    <row r="36" spans="1:14" ht="27.75" customHeight="1" x14ac:dyDescent="0.2">
      <c r="A36" s="72">
        <v>25</v>
      </c>
      <c r="B36" s="80"/>
      <c r="C36" s="116" t="str">
        <f>'Necesidades Trimestrales'!E34</f>
        <v xml:space="preserve">SUTURA QUIRURGICA ACIDO POLIGLICOLICO Nª 8/0 J546G OFTALMOLOGICO TIPO VICRYL </v>
      </c>
      <c r="D36" s="116"/>
      <c r="E36" s="116"/>
      <c r="F36" s="116"/>
      <c r="G36" s="116"/>
      <c r="H36" s="76" t="s">
        <v>54</v>
      </c>
      <c r="I36" s="77" t="str">
        <f>'Necesidades Trimestrales'!F34</f>
        <v>UNIDAD</v>
      </c>
      <c r="J36" s="75">
        <f>'Necesidades Trimestrales'!H34</f>
        <v>958</v>
      </c>
      <c r="K36" s="74">
        <f>'Necesidades Trimestrales'!G34</f>
        <v>60</v>
      </c>
    </row>
    <row r="37" spans="1:14" ht="27.75" customHeight="1" x14ac:dyDescent="0.2">
      <c r="A37" s="72">
        <v>26</v>
      </c>
      <c r="B37" s="80"/>
      <c r="C37" s="116" t="str">
        <f>'Necesidades Trimestrales'!E35</f>
        <v>SUTURA QUIRURGICA ACIDO POLIGLICOLICO TRENZADA ABSORBIBLE Nª 7/0 J546G OFTALMOLOGICO TIPO VICRYL</v>
      </c>
      <c r="D37" s="116"/>
      <c r="E37" s="116"/>
      <c r="F37" s="116"/>
      <c r="G37" s="116"/>
      <c r="H37" s="76" t="s">
        <v>54</v>
      </c>
      <c r="I37" s="77" t="str">
        <f>'Necesidades Trimestrales'!F35</f>
        <v>UNIDAD</v>
      </c>
      <c r="J37" s="75">
        <f>'Necesidades Trimestrales'!H35</f>
        <v>958</v>
      </c>
      <c r="K37" s="74">
        <f>'Necesidades Trimestrales'!G35</f>
        <v>60</v>
      </c>
    </row>
    <row r="38" spans="1:14" ht="27.75" customHeight="1" x14ac:dyDescent="0.2">
      <c r="A38" s="72">
        <v>27</v>
      </c>
      <c r="B38" s="80"/>
      <c r="C38" s="116" t="str">
        <f>'Necesidades Trimestrales'!E36</f>
        <v>SUTURA QUIRURGICA ACIDO POLIGLICOLICO TRENZADA ABSORBIBLE T/VICRYL N°2-0 J339H X 1 UNID.</v>
      </c>
      <c r="D38" s="116"/>
      <c r="E38" s="116"/>
      <c r="F38" s="116"/>
      <c r="G38" s="116"/>
      <c r="H38" s="76" t="s">
        <v>54</v>
      </c>
      <c r="I38" s="77" t="str">
        <f>'Necesidades Trimestrales'!F36</f>
        <v>UNIDAD</v>
      </c>
      <c r="J38" s="75">
        <f>'Necesidades Trimestrales'!H36</f>
        <v>200</v>
      </c>
      <c r="K38" s="74">
        <f>'Necesidades Trimestrales'!G36</f>
        <v>2000</v>
      </c>
    </row>
    <row r="39" spans="1:14" ht="27.75" customHeight="1" x14ac:dyDescent="0.2">
      <c r="A39" s="72">
        <v>28</v>
      </c>
      <c r="B39" s="80"/>
      <c r="C39" s="116" t="str">
        <f>'Necesidades Trimestrales'!E37</f>
        <v>SUTURA QUIRURGICA ACIDO POLIGLICOLICO TRENZADA ABSORBIBLE T/VICRYL N°3-0 J305H X 1 UNID.</v>
      </c>
      <c r="D39" s="116"/>
      <c r="E39" s="116"/>
      <c r="F39" s="116"/>
      <c r="G39" s="116"/>
      <c r="H39" s="76" t="s">
        <v>54</v>
      </c>
      <c r="I39" s="77" t="str">
        <f>'Necesidades Trimestrales'!F37</f>
        <v>UNIDAD</v>
      </c>
      <c r="J39" s="75">
        <f>'Necesidades Trimestrales'!H37</f>
        <v>195</v>
      </c>
      <c r="K39" s="74">
        <f>'Necesidades Trimestrales'!G37</f>
        <v>1000</v>
      </c>
    </row>
    <row r="40" spans="1:14" ht="27.75" customHeight="1" x14ac:dyDescent="0.2">
      <c r="A40" s="72">
        <v>29</v>
      </c>
      <c r="B40" s="80"/>
      <c r="C40" s="116" t="str">
        <f>'Necesidades Trimestrales'!E38</f>
        <v>SUTURA QUIRURGICA ACIDO POLIGLICOLICO TRENZADA ABSORBIBLE T/VICRYL N°3-0 J338H X 1 UNID.</v>
      </c>
      <c r="D40" s="116"/>
      <c r="E40" s="116"/>
      <c r="F40" s="116"/>
      <c r="G40" s="116"/>
      <c r="H40" s="76" t="s">
        <v>54</v>
      </c>
      <c r="I40" s="77" t="str">
        <f>'Necesidades Trimestrales'!F38</f>
        <v>UNIDAD</v>
      </c>
      <c r="J40" s="75">
        <f>'Necesidades Trimestrales'!H38</f>
        <v>180</v>
      </c>
      <c r="K40" s="74">
        <f>'Necesidades Trimestrales'!G38</f>
        <v>1000</v>
      </c>
    </row>
    <row r="41" spans="1:14" ht="27.75" customHeight="1" x14ac:dyDescent="0.2">
      <c r="A41" s="72">
        <v>30</v>
      </c>
      <c r="B41" s="80"/>
      <c r="C41" s="116" t="str">
        <f>'Necesidades Trimestrales'!E39</f>
        <v>SUTURA QUIRURGICA ACIDO POLIGLICOLICO TRENZADA ABSORBIBLE T/VICRYL N°4-0 J304H X 1 UNID.</v>
      </c>
      <c r="D41" s="116"/>
      <c r="E41" s="116"/>
      <c r="F41" s="116"/>
      <c r="G41" s="116"/>
      <c r="H41" s="76" t="s">
        <v>54</v>
      </c>
      <c r="I41" s="77" t="str">
        <f>'Necesidades Trimestrales'!F39</f>
        <v>UNIDAD</v>
      </c>
      <c r="J41" s="75">
        <f>'Necesidades Trimestrales'!H39</f>
        <v>200</v>
      </c>
      <c r="K41" s="74">
        <f>'Necesidades Trimestrales'!G39</f>
        <v>1500</v>
      </c>
    </row>
    <row r="42" spans="1:14" ht="27.75" customHeight="1" x14ac:dyDescent="0.2">
      <c r="A42" s="72">
        <v>31</v>
      </c>
      <c r="B42" s="80"/>
      <c r="C42" s="116" t="str">
        <f>'Necesidades Trimestrales'!E40</f>
        <v>SUTURA QUIRURGICA ACIDO POLIGLICOLICO TRENZADA ABSORBIBLE T/VICRYL N°5-0 J303H X 1 UNID.</v>
      </c>
      <c r="D42" s="116"/>
      <c r="E42" s="116"/>
      <c r="F42" s="116"/>
      <c r="G42" s="116"/>
      <c r="H42" s="76" t="s">
        <v>54</v>
      </c>
      <c r="I42" s="77" t="str">
        <f>'Necesidades Trimestrales'!F40</f>
        <v>UNIDAD</v>
      </c>
      <c r="J42" s="75">
        <f>'Necesidades Trimestrales'!H40</f>
        <v>238</v>
      </c>
      <c r="K42" s="74">
        <f>'Necesidades Trimestrales'!G40</f>
        <v>700</v>
      </c>
    </row>
    <row r="43" spans="1:14" ht="27.75" customHeight="1" x14ac:dyDescent="0.2">
      <c r="A43" s="72">
        <v>32</v>
      </c>
      <c r="B43" s="80"/>
      <c r="C43" s="116" t="str">
        <f>'Necesidades Trimestrales'!E41</f>
        <v>SUTURA QUIRURGICA ACIDO POLIGLICOLICO TRENZADA ABSORBIBLE T/VICRYL N°6-0 C/A J302H X 1 UNID.</v>
      </c>
      <c r="D43" s="116"/>
      <c r="E43" s="116"/>
      <c r="F43" s="116"/>
      <c r="G43" s="116"/>
      <c r="H43" s="76" t="s">
        <v>54</v>
      </c>
      <c r="I43" s="77" t="str">
        <f>'Necesidades Trimestrales'!F41</f>
        <v>UNIDAD</v>
      </c>
      <c r="J43" s="75">
        <f>'Necesidades Trimestrales'!H41</f>
        <v>210</v>
      </c>
      <c r="K43" s="74">
        <f>'Necesidades Trimestrales'!G41</f>
        <v>700</v>
      </c>
    </row>
    <row r="44" spans="1:14" ht="27.75" customHeight="1" x14ac:dyDescent="0.2">
      <c r="A44" s="72">
        <v>33</v>
      </c>
      <c r="B44" s="80"/>
      <c r="C44" s="116" t="str">
        <f>'Necesidades Trimestrales'!E42</f>
        <v>SUTURA QUIRURGICA ACIDO POLIGLICOLICO TRENZADA ABSORBIBLE TIPO VIRYL Nº 3-0 CODIGO J316 C / AGUJA</v>
      </c>
      <c r="D44" s="116"/>
      <c r="E44" s="116"/>
      <c r="F44" s="116"/>
      <c r="G44" s="116"/>
      <c r="H44" s="76" t="s">
        <v>54</v>
      </c>
      <c r="I44" s="77" t="str">
        <f>'Necesidades Trimestrales'!F42</f>
        <v>UNIDAD</v>
      </c>
      <c r="J44" s="75">
        <f>'Necesidades Trimestrales'!H42</f>
        <v>195</v>
      </c>
      <c r="K44" s="74">
        <f>'Necesidades Trimestrales'!G42</f>
        <v>700</v>
      </c>
    </row>
    <row r="45" spans="1:14" ht="27.75" customHeight="1" x14ac:dyDescent="0.2">
      <c r="A45" s="72">
        <v>34</v>
      </c>
      <c r="B45" s="80"/>
      <c r="C45" s="116" t="str">
        <f>'Necesidades Trimestrales'!E43</f>
        <v>SUTURA QUIRURGICA ACIDO POLIGLICOLICO TRENZADA ABSORBIBLE TIPO VIRYL Nº 4-0 CODIGO J315 C / AGUJA</v>
      </c>
      <c r="D45" s="116"/>
      <c r="E45" s="116"/>
      <c r="F45" s="116"/>
      <c r="G45" s="116"/>
      <c r="H45" s="76" t="s">
        <v>54</v>
      </c>
      <c r="I45" s="77" t="str">
        <f>'Necesidades Trimestrales'!F43</f>
        <v>UNIDAD</v>
      </c>
      <c r="J45" s="75">
        <f>'Necesidades Trimestrales'!H43</f>
        <v>195</v>
      </c>
      <c r="K45" s="74">
        <f>'Necesidades Trimestrales'!G43</f>
        <v>700</v>
      </c>
    </row>
    <row r="46" spans="1:14" ht="27.75" customHeight="1" x14ac:dyDescent="0.2">
      <c r="A46" s="72">
        <v>35</v>
      </c>
      <c r="B46" s="80"/>
      <c r="C46" s="116" t="str">
        <f>'Necesidades Trimestrales'!E44</f>
        <v>SUTURA QUIRURGICA ACIDO POLIGLICOLICO TRENZADA ABSORBIBLE TIPO VIRYL Nº 5-0 CODIGO J314 C / AGUJA</v>
      </c>
      <c r="D46" s="116"/>
      <c r="E46" s="116"/>
      <c r="F46" s="116"/>
      <c r="G46" s="116"/>
      <c r="H46" s="76" t="s">
        <v>54</v>
      </c>
      <c r="I46" s="77" t="str">
        <f>'Necesidades Trimestrales'!F44</f>
        <v>UNIDAD</v>
      </c>
      <c r="J46" s="75">
        <f>'Necesidades Trimestrales'!H44</f>
        <v>195</v>
      </c>
      <c r="K46" s="74">
        <f>'Necesidades Trimestrales'!G44</f>
        <v>700</v>
      </c>
    </row>
    <row r="47" spans="1:14" ht="27.75" customHeight="1" x14ac:dyDescent="0.2">
      <c r="A47" s="72">
        <v>36</v>
      </c>
      <c r="B47" s="80"/>
      <c r="C47" s="116" t="str">
        <f>'Necesidades Trimestrales'!E45</f>
        <v>SUTURA QUIRURGICA ACIDO POLIGLICOLICO TRENZADA ABSROBIBLE TIPO VICRYL  0/0 J 353 H x ud</v>
      </c>
      <c r="D47" s="116"/>
      <c r="E47" s="116"/>
      <c r="F47" s="116"/>
      <c r="G47" s="116"/>
      <c r="H47" s="76" t="s">
        <v>54</v>
      </c>
      <c r="I47" s="77" t="str">
        <f>'Necesidades Trimestrales'!F45</f>
        <v>UNIDAD</v>
      </c>
      <c r="J47" s="75">
        <f>'Necesidades Trimestrales'!H45</f>
        <v>195</v>
      </c>
      <c r="K47" s="74">
        <f>'Necesidades Trimestrales'!G45</f>
        <v>2000</v>
      </c>
      <c r="N47" s="38" t="s">
        <v>55</v>
      </c>
    </row>
    <row r="48" spans="1:14" ht="27.75" customHeight="1" x14ac:dyDescent="0.2">
      <c r="A48" s="72">
        <v>37</v>
      </c>
      <c r="B48" s="80"/>
      <c r="C48" s="116" t="str">
        <f>'Necesidades Trimestrales'!E46</f>
        <v xml:space="preserve">SUTURA QUIRURGICA ACIDO POLIGLICOLICO TRENZADA ABSROBIBLE TIPO VICRYL  1/0 J 347 H x uds   </v>
      </c>
      <c r="D48" s="116"/>
      <c r="E48" s="116"/>
      <c r="F48" s="116"/>
      <c r="G48" s="116"/>
      <c r="H48" s="76" t="s">
        <v>54</v>
      </c>
      <c r="I48" s="77" t="str">
        <f>'Necesidades Trimestrales'!F46</f>
        <v>UNIDAD</v>
      </c>
      <c r="J48" s="75">
        <f>'Necesidades Trimestrales'!H46</f>
        <v>158</v>
      </c>
      <c r="K48" s="74">
        <f>'Necesidades Trimestrales'!G46</f>
        <v>500</v>
      </c>
    </row>
    <row r="49" spans="1:11" ht="27.75" customHeight="1" x14ac:dyDescent="0.2">
      <c r="A49" s="72">
        <v>38</v>
      </c>
      <c r="B49" s="80"/>
      <c r="C49" s="116" t="str">
        <f>'Necesidades Trimestrales'!E47</f>
        <v xml:space="preserve">SUTURA QUIRURGICA ACIDO POLIGLICOLICO TRENZADA ABSROBIBLE TIPO VICRYL  1/0 JS 617 H x uds      </v>
      </c>
      <c r="D49" s="116"/>
      <c r="E49" s="116"/>
      <c r="F49" s="116"/>
      <c r="G49" s="116"/>
      <c r="H49" s="76" t="s">
        <v>54</v>
      </c>
      <c r="I49" s="77" t="str">
        <f>'Necesidades Trimestrales'!F47</f>
        <v>UNIDAD</v>
      </c>
      <c r="J49" s="75">
        <f>'Necesidades Trimestrales'!H47</f>
        <v>158</v>
      </c>
      <c r="K49" s="74">
        <f>'Necesidades Trimestrales'!G47</f>
        <v>500</v>
      </c>
    </row>
    <row r="50" spans="1:11" ht="27.75" customHeight="1" x14ac:dyDescent="0.2">
      <c r="A50" s="72">
        <v>39</v>
      </c>
      <c r="B50" s="80"/>
      <c r="C50" s="116" t="str">
        <f>'Necesidades Trimestrales'!E48</f>
        <v>SUTURA QUIRURGICA ACIDO POLIGLICOLICO TRENZADA ABSROBIBLE TIPO VICRYL  1/0J 353 H x uds</v>
      </c>
      <c r="D50" s="116"/>
      <c r="E50" s="116"/>
      <c r="F50" s="116"/>
      <c r="G50" s="116"/>
      <c r="H50" s="76" t="s">
        <v>54</v>
      </c>
      <c r="I50" s="77" t="str">
        <f>'Necesidades Trimestrales'!F48</f>
        <v>UNIDAD</v>
      </c>
      <c r="J50" s="75">
        <f>'Necesidades Trimestrales'!H48</f>
        <v>158</v>
      </c>
      <c r="K50" s="74">
        <f>'Necesidades Trimestrales'!G48</f>
        <v>500</v>
      </c>
    </row>
    <row r="51" spans="1:11" ht="27.75" customHeight="1" x14ac:dyDescent="0.2">
      <c r="A51" s="72">
        <v>40</v>
      </c>
      <c r="B51" s="80"/>
      <c r="C51" s="116" t="str">
        <f>'Necesidades Trimestrales'!E49</f>
        <v>SUTURA QUIRURGICA ACIDO POLIGLICOLICO TRENZADA ABSROBIBLE TIPO VICRYL  2/0 8423 T</v>
      </c>
      <c r="D51" s="116"/>
      <c r="E51" s="116"/>
      <c r="F51" s="116"/>
      <c r="G51" s="116"/>
      <c r="H51" s="76" t="s">
        <v>54</v>
      </c>
      <c r="I51" s="77" t="str">
        <f>'Necesidades Trimestrales'!F49</f>
        <v>UNIDAD</v>
      </c>
      <c r="J51" s="75">
        <f>'Necesidades Trimestrales'!H49</f>
        <v>200</v>
      </c>
      <c r="K51" s="74">
        <f>'Necesidades Trimestrales'!G49</f>
        <v>24</v>
      </c>
    </row>
    <row r="52" spans="1:11" ht="27.75" customHeight="1" x14ac:dyDescent="0.2">
      <c r="A52" s="72">
        <v>41</v>
      </c>
      <c r="B52" s="80"/>
      <c r="C52" s="116" t="str">
        <f>'Necesidades Trimestrales'!E50</f>
        <v>SUTURA QUIRURGICA ACIDO POLIGLICOLICO TRENZADA ABSROBIBLE TIPO VICRYL  2/0 J 356 c/a x uds</v>
      </c>
      <c r="D52" s="116"/>
      <c r="E52" s="116"/>
      <c r="F52" s="116"/>
      <c r="G52" s="116"/>
      <c r="H52" s="76" t="s">
        <v>54</v>
      </c>
      <c r="I52" s="77" t="str">
        <f>'Necesidades Trimestrales'!F50</f>
        <v>UNIDAD</v>
      </c>
      <c r="J52" s="75">
        <f>'Necesidades Trimestrales'!H50</f>
        <v>200</v>
      </c>
      <c r="K52" s="74">
        <f>'Necesidades Trimestrales'!G50</f>
        <v>24</v>
      </c>
    </row>
    <row r="53" spans="1:11" ht="27.75" customHeight="1" x14ac:dyDescent="0.2">
      <c r="A53" s="72">
        <v>42</v>
      </c>
      <c r="B53" s="80"/>
      <c r="C53" s="116" t="str">
        <f>'Necesidades Trimestrales'!E51</f>
        <v>SUTURA QUIRURGICA ACIDO POLIGLICOLICO TRENZADA ABSROBIBLE TIPO VICRYL  2/0 JS 618 s/a x uds</v>
      </c>
      <c r="D53" s="116"/>
      <c r="E53" s="116"/>
      <c r="F53" s="116"/>
      <c r="G53" s="116"/>
      <c r="H53" s="76" t="s">
        <v>54</v>
      </c>
      <c r="I53" s="77" t="str">
        <f>'Necesidades Trimestrales'!F51</f>
        <v>UNIDAD</v>
      </c>
      <c r="J53" s="75">
        <f>'Necesidades Trimestrales'!H51</f>
        <v>230</v>
      </c>
      <c r="K53" s="74">
        <f>'Necesidades Trimestrales'!G51</f>
        <v>24</v>
      </c>
    </row>
    <row r="54" spans="1:11" ht="27.75" customHeight="1" x14ac:dyDescent="0.2">
      <c r="A54" s="72">
        <v>43</v>
      </c>
      <c r="B54" s="80"/>
      <c r="C54" s="116" t="str">
        <f>'Necesidades Trimestrales'!E52</f>
        <v>SUTURA QUIRURGICA ACIDO POLIGLICOLICO TRENZADA ABSROBIBLE TIPO VICRYL  4/0 SJ 310  x uds</v>
      </c>
      <c r="D54" s="116"/>
      <c r="E54" s="116"/>
      <c r="F54" s="116"/>
      <c r="G54" s="116"/>
      <c r="H54" s="76" t="s">
        <v>54</v>
      </c>
      <c r="I54" s="77" t="str">
        <f>'Necesidades Trimestrales'!F52</f>
        <v>UNIDAD</v>
      </c>
      <c r="J54" s="75">
        <f>'Necesidades Trimestrales'!H52</f>
        <v>200</v>
      </c>
      <c r="K54" s="74">
        <f>'Necesidades Trimestrales'!G52</f>
        <v>24</v>
      </c>
    </row>
    <row r="55" spans="1:11" ht="27.75" customHeight="1" x14ac:dyDescent="0.2">
      <c r="A55" s="72">
        <v>44</v>
      </c>
      <c r="B55" s="80"/>
      <c r="C55" s="116" t="str">
        <f>'Necesidades Trimestrales'!E53</f>
        <v>SUTURA QUIRURGICA ACIDO POLIGLICOLICO TRENZADA ABSROBIBLE TIPO VICRYL  5/0 J 121 H  x uds</v>
      </c>
      <c r="D55" s="116"/>
      <c r="E55" s="116"/>
      <c r="F55" s="116"/>
      <c r="G55" s="116"/>
      <c r="H55" s="76" t="s">
        <v>54</v>
      </c>
      <c r="I55" s="77" t="str">
        <f>'Necesidades Trimestrales'!F53</f>
        <v>UNIDAD</v>
      </c>
      <c r="J55" s="75">
        <f>'Necesidades Trimestrales'!H53</f>
        <v>238</v>
      </c>
      <c r="K55" s="74">
        <f>'Necesidades Trimestrales'!G53</f>
        <v>24</v>
      </c>
    </row>
    <row r="56" spans="1:11" ht="27.75" customHeight="1" x14ac:dyDescent="0.2">
      <c r="A56" s="72">
        <v>45</v>
      </c>
      <c r="B56" s="80"/>
      <c r="C56" s="116" t="str">
        <f>'Necesidades Trimestrales'!E54</f>
        <v xml:space="preserve">SUTURA QUIRURGICA ACIDO POLIGLICOLICO TRENZADA ABSROBIBLE TIPO VICRYL  6/0 JP 492 G </v>
      </c>
      <c r="D56" s="116"/>
      <c r="E56" s="116"/>
      <c r="F56" s="116"/>
      <c r="G56" s="116"/>
      <c r="H56" s="76" t="s">
        <v>54</v>
      </c>
      <c r="I56" s="77" t="str">
        <f>'Necesidades Trimestrales'!F54</f>
        <v>UNIDAD</v>
      </c>
      <c r="J56" s="75">
        <f>'Necesidades Trimestrales'!H54</f>
        <v>240</v>
      </c>
      <c r="K56" s="74">
        <f>'Necesidades Trimestrales'!G54</f>
        <v>24</v>
      </c>
    </row>
    <row r="57" spans="1:11" ht="27.75" customHeight="1" x14ac:dyDescent="0.2">
      <c r="A57" s="72">
        <v>46</v>
      </c>
      <c r="B57" s="80"/>
      <c r="C57" s="116" t="str">
        <f>'Necesidades Trimestrales'!E55</f>
        <v>SUTURA QUIRURGICA ACIDO POLIGLICOLICO TRENZADA ABSROBIBLE TIPO VICRYL 0 J340H CON AGUJA</v>
      </c>
      <c r="D57" s="116"/>
      <c r="E57" s="116"/>
      <c r="F57" s="116"/>
      <c r="G57" s="116"/>
      <c r="H57" s="76" t="s">
        <v>54</v>
      </c>
      <c r="I57" s="77" t="str">
        <f>'Necesidades Trimestrales'!F55</f>
        <v>UNIDAD</v>
      </c>
      <c r="J57" s="75">
        <f>'Necesidades Trimestrales'!H55</f>
        <v>240</v>
      </c>
      <c r="K57" s="74">
        <f>'Necesidades Trimestrales'!G55</f>
        <v>24</v>
      </c>
    </row>
    <row r="58" spans="1:11" ht="27.75" customHeight="1" x14ac:dyDescent="0.2">
      <c r="A58" s="72">
        <v>47</v>
      </c>
      <c r="B58" s="80"/>
      <c r="C58" s="116" t="str">
        <f>'Necesidades Trimestrales'!E56</f>
        <v>SUTURA QUIRURGICA ACIDO POLIGLICOLICO TRENZADA ABSROBIBLE TIPO VICRYL 1 J341 CON AGUJA</v>
      </c>
      <c r="D58" s="116"/>
      <c r="E58" s="116"/>
      <c r="F58" s="116"/>
      <c r="G58" s="116"/>
      <c r="H58" s="76" t="s">
        <v>54</v>
      </c>
      <c r="I58" s="77" t="str">
        <f>'Necesidades Trimestrales'!F56</f>
        <v>UNIDAD</v>
      </c>
      <c r="J58" s="75">
        <f>'Necesidades Trimestrales'!H56</f>
        <v>240</v>
      </c>
      <c r="K58" s="74">
        <f>'Necesidades Trimestrales'!G56</f>
        <v>24</v>
      </c>
    </row>
    <row r="59" spans="1:11" ht="27.75" customHeight="1" x14ac:dyDescent="0.2">
      <c r="A59" s="72">
        <v>48</v>
      </c>
      <c r="B59" s="80"/>
      <c r="C59" s="116" t="str">
        <f>'Necesidades Trimestrales'!E57</f>
        <v>SUTURA QUIRURGICA ACIDO POLIGLICOLICO TRENZADA ABSROBIBLE TIPO VICRYL 2 J536 CON AGUJA /W9246</v>
      </c>
      <c r="D59" s="116"/>
      <c r="E59" s="116"/>
      <c r="F59" s="116"/>
      <c r="G59" s="116"/>
      <c r="H59" s="76" t="s">
        <v>54</v>
      </c>
      <c r="I59" s="77" t="str">
        <f>'Necesidades Trimestrales'!F57</f>
        <v>UNIDAD</v>
      </c>
      <c r="J59" s="75">
        <f>'Necesidades Trimestrales'!H57</f>
        <v>240</v>
      </c>
      <c r="K59" s="74">
        <f>'Necesidades Trimestrales'!G57</f>
        <v>24</v>
      </c>
    </row>
    <row r="60" spans="1:11" ht="27.75" customHeight="1" x14ac:dyDescent="0.2">
      <c r="A60" s="72">
        <v>49</v>
      </c>
      <c r="B60" s="80"/>
      <c r="C60" s="116" t="str">
        <f>'Necesidades Trimestrales'!E58</f>
        <v>SUTURA QUIRURGICA ACIDO POLIGLICOLICO TRENZADA ABSROBIBLE TIPO VICRYL 2/0 J317H CON AGUJA</v>
      </c>
      <c r="D60" s="116"/>
      <c r="E60" s="116"/>
      <c r="F60" s="116"/>
      <c r="G60" s="116"/>
      <c r="H60" s="76" t="s">
        <v>54</v>
      </c>
      <c r="I60" s="77" t="str">
        <f>'Necesidades Trimestrales'!F58</f>
        <v>UNIDAD</v>
      </c>
      <c r="J60" s="75">
        <f>'Necesidades Trimestrales'!H58</f>
        <v>240</v>
      </c>
      <c r="K60" s="74">
        <f>'Necesidades Trimestrales'!G58</f>
        <v>24</v>
      </c>
    </row>
    <row r="61" spans="1:11" ht="27.75" customHeight="1" x14ac:dyDescent="0.2">
      <c r="A61" s="72">
        <v>50</v>
      </c>
      <c r="B61" s="80"/>
      <c r="C61" s="116" t="str">
        <f>'Necesidades Trimestrales'!E59</f>
        <v>SUTURA QUIRURGICA POLIPROPILENO NO ABSORBIBLE TIPO PROLENE 0 CT8424</v>
      </c>
      <c r="D61" s="116"/>
      <c r="E61" s="116"/>
      <c r="F61" s="116"/>
      <c r="G61" s="116"/>
      <c r="H61" s="76" t="s">
        <v>54</v>
      </c>
      <c r="I61" s="77" t="str">
        <f>'Necesidades Trimestrales'!F59</f>
        <v>UNIDAD</v>
      </c>
      <c r="J61" s="75">
        <f>'Necesidades Trimestrales'!H59</f>
        <v>121</v>
      </c>
      <c r="K61" s="74">
        <f>'Necesidades Trimestrales'!G59</f>
        <v>800</v>
      </c>
    </row>
    <row r="62" spans="1:11" ht="27.75" customHeight="1" x14ac:dyDescent="0.2">
      <c r="A62" s="72">
        <v>51</v>
      </c>
      <c r="B62" s="80"/>
      <c r="C62" s="116" t="str">
        <f>'Necesidades Trimestrales'!E60</f>
        <v>SUTURA QUIRURGICA POLIPROPILENO NO ABSORBIBLE TIPO PROLENE 1/0  CT c/a  8425 H</v>
      </c>
      <c r="D62" s="116"/>
      <c r="E62" s="116"/>
      <c r="F62" s="116"/>
      <c r="G62" s="116"/>
      <c r="H62" s="76" t="s">
        <v>54</v>
      </c>
      <c r="I62" s="77" t="str">
        <f>'Necesidades Trimestrales'!F60</f>
        <v>UNIDAD</v>
      </c>
      <c r="J62" s="75">
        <f>'Necesidades Trimestrales'!H60</f>
        <v>121</v>
      </c>
      <c r="K62" s="74">
        <f>'Necesidades Trimestrales'!G60</f>
        <v>24</v>
      </c>
    </row>
    <row r="63" spans="1:11" ht="27.75" customHeight="1" x14ac:dyDescent="0.2">
      <c r="A63" s="72">
        <v>52</v>
      </c>
      <c r="B63" s="80"/>
      <c r="C63" s="116" t="str">
        <f>'Necesidades Trimestrales'!E61</f>
        <v>SUTURA QUIRURGICA POLIPROPILENO NO ABSORBIBLE TIPO PROLENE 2/0  536</v>
      </c>
      <c r="D63" s="116"/>
      <c r="E63" s="116"/>
      <c r="F63" s="116"/>
      <c r="G63" s="116"/>
      <c r="H63" s="76" t="s">
        <v>54</v>
      </c>
      <c r="I63" s="77" t="str">
        <f>'Necesidades Trimestrales'!F61</f>
        <v>UNIDAD</v>
      </c>
      <c r="J63" s="75">
        <f>'Necesidades Trimestrales'!H61</f>
        <v>121</v>
      </c>
      <c r="K63" s="74">
        <f>'Necesidades Trimestrales'!G61</f>
        <v>100</v>
      </c>
    </row>
    <row r="64" spans="1:11" ht="27.75" customHeight="1" x14ac:dyDescent="0.2">
      <c r="A64" s="72">
        <v>53</v>
      </c>
      <c r="B64" s="80"/>
      <c r="C64" s="116" t="str">
        <f>'Necesidades Trimestrales'!E62</f>
        <v>SUTURA QUIRURGICA POLIPROPILENO NO ABSORBIBLE TIPO PROLENE 2/0 8185</v>
      </c>
      <c r="D64" s="116"/>
      <c r="E64" s="116"/>
      <c r="F64" s="116"/>
      <c r="G64" s="116"/>
      <c r="H64" s="76" t="s">
        <v>54</v>
      </c>
      <c r="I64" s="77" t="str">
        <f>'Necesidades Trimestrales'!F62</f>
        <v>UNIDAD</v>
      </c>
      <c r="J64" s="75">
        <f>'Necesidades Trimestrales'!H62</f>
        <v>121</v>
      </c>
      <c r="K64" s="74">
        <f>'Necesidades Trimestrales'!G62</f>
        <v>100</v>
      </c>
    </row>
    <row r="65" spans="1:14" ht="27.75" customHeight="1" x14ac:dyDescent="0.2">
      <c r="A65" s="72">
        <v>54</v>
      </c>
      <c r="B65" s="80"/>
      <c r="C65" s="116" t="str">
        <f>'Necesidades Trimestrales'!E63</f>
        <v>SUTURA QUIRURGICA POLIPROPILENO NO ABSORBIBLE TIPO PROLENE 2/0 con aguja recta 8623</v>
      </c>
      <c r="D65" s="116"/>
      <c r="E65" s="116"/>
      <c r="F65" s="116"/>
      <c r="G65" s="116"/>
      <c r="H65" s="76" t="s">
        <v>54</v>
      </c>
      <c r="I65" s="77" t="str">
        <f>'Necesidades Trimestrales'!F63</f>
        <v>UNIDAD</v>
      </c>
      <c r="J65" s="75">
        <f>'Necesidades Trimestrales'!H63</f>
        <v>121</v>
      </c>
      <c r="K65" s="74">
        <f>'Necesidades Trimestrales'!G63</f>
        <v>800</v>
      </c>
    </row>
    <row r="66" spans="1:14" ht="27.75" customHeight="1" x14ac:dyDescent="0.2">
      <c r="A66" s="72">
        <v>55</v>
      </c>
      <c r="B66" s="80"/>
      <c r="C66" s="116" t="str">
        <f>'Necesidades Trimestrales'!E64</f>
        <v>SUTURA QUIRURGICA POLIPROPILENO NO ABSORBIBLE TIPO PROLENE 3/0  8622 Con aguja recta</v>
      </c>
      <c r="D66" s="116"/>
      <c r="E66" s="116"/>
      <c r="F66" s="116"/>
      <c r="G66" s="116"/>
      <c r="H66" s="76" t="s">
        <v>54</v>
      </c>
      <c r="I66" s="77" t="str">
        <f>'Necesidades Trimestrales'!F64</f>
        <v>UNIDAD</v>
      </c>
      <c r="J66" s="75">
        <f>'Necesidades Trimestrales'!H64</f>
        <v>121</v>
      </c>
      <c r="K66" s="74">
        <f>'Necesidades Trimestrales'!G64</f>
        <v>100</v>
      </c>
    </row>
    <row r="67" spans="1:14" ht="27.75" customHeight="1" x14ac:dyDescent="0.2">
      <c r="A67" s="72">
        <v>56</v>
      </c>
      <c r="B67" s="80"/>
      <c r="C67" s="116" t="str">
        <f>'Necesidades Trimestrales'!E65</f>
        <v>SUTURA QUIRURGICA POLIPROPILENO NO ABSORBIBLE TIPO PROLENE 3/0 8522 AGUJA CURVA</v>
      </c>
      <c r="D67" s="116"/>
      <c r="E67" s="116"/>
      <c r="F67" s="116"/>
      <c r="G67" s="116"/>
      <c r="H67" s="76" t="s">
        <v>54</v>
      </c>
      <c r="I67" s="77" t="str">
        <f>'Necesidades Trimestrales'!F65</f>
        <v>UNIDAD</v>
      </c>
      <c r="J67" s="75">
        <f>'Necesidades Trimestrales'!H65</f>
        <v>121</v>
      </c>
      <c r="K67" s="74">
        <f>'Necesidades Trimestrales'!G65</f>
        <v>800</v>
      </c>
    </row>
    <row r="68" spans="1:14" ht="27.75" customHeight="1" x14ac:dyDescent="0.2">
      <c r="A68" s="72">
        <v>57</v>
      </c>
      <c r="B68" s="80"/>
      <c r="C68" s="116" t="str">
        <f>'Necesidades Trimestrales'!E66</f>
        <v>SUTURA QUIRURGICA POLIPROPILENO NO ABSORBIBLE TIPO PROLENE 4/0 8521 PM</v>
      </c>
      <c r="D68" s="116"/>
      <c r="E68" s="116"/>
      <c r="F68" s="116"/>
      <c r="G68" s="116"/>
      <c r="H68" s="76" t="s">
        <v>54</v>
      </c>
      <c r="I68" s="77" t="str">
        <f>'Necesidades Trimestrales'!F66</f>
        <v>UNIDAD</v>
      </c>
      <c r="J68" s="75">
        <f>'Necesidades Trimestrales'!H66</f>
        <v>121</v>
      </c>
      <c r="K68" s="74">
        <f>'Necesidades Trimestrales'!G66</f>
        <v>100</v>
      </c>
    </row>
    <row r="69" spans="1:14" ht="27.75" customHeight="1" x14ac:dyDescent="0.2">
      <c r="A69" s="72">
        <v>58</v>
      </c>
      <c r="B69" s="80"/>
      <c r="C69" s="116" t="str">
        <f>'Necesidades Trimestrales'!E67</f>
        <v>SUTURA QUIRURGICA POLIPROPILENO NO ABSORBIBLE TIPO PROLENE 4/0 9521T</v>
      </c>
      <c r="D69" s="116"/>
      <c r="E69" s="116"/>
      <c r="F69" s="116"/>
      <c r="G69" s="116"/>
      <c r="H69" s="76" t="s">
        <v>54</v>
      </c>
      <c r="I69" s="77" t="str">
        <f>'Necesidades Trimestrales'!F67</f>
        <v>UNIDAD</v>
      </c>
      <c r="J69" s="75">
        <f>'Necesidades Trimestrales'!H67</f>
        <v>121</v>
      </c>
      <c r="K69" s="74">
        <f>'Necesidades Trimestrales'!G67</f>
        <v>100</v>
      </c>
    </row>
    <row r="70" spans="1:14" ht="27.75" customHeight="1" x14ac:dyDescent="0.2">
      <c r="A70" s="72">
        <v>59</v>
      </c>
      <c r="B70" s="80"/>
      <c r="C70" s="116" t="str">
        <f>'Necesidades Trimestrales'!E68</f>
        <v>SUTURA QUIRURGICA POLIPROPILENO NO ABSORBIBLE TIPO PROLENE 5/0 8698</v>
      </c>
      <c r="D70" s="116"/>
      <c r="E70" s="116"/>
      <c r="F70" s="116"/>
      <c r="G70" s="116"/>
      <c r="H70" s="76" t="s">
        <v>54</v>
      </c>
      <c r="I70" s="77" t="str">
        <f>'Necesidades Trimestrales'!F68</f>
        <v>UNIDAD</v>
      </c>
      <c r="J70" s="75">
        <f>'Necesidades Trimestrales'!H68</f>
        <v>121</v>
      </c>
      <c r="K70" s="74">
        <f>'Necesidades Trimestrales'!G68</f>
        <v>100</v>
      </c>
    </row>
    <row r="71" spans="1:14" ht="27.75" customHeight="1" x14ac:dyDescent="0.2">
      <c r="A71" s="72">
        <v>60</v>
      </c>
      <c r="B71" s="80"/>
      <c r="C71" s="116" t="str">
        <f>'Necesidades Trimestrales'!E69</f>
        <v xml:space="preserve">SUTURA QUIRURGICA POLIPROPILENO NO ABSORBIBLE TIPO PROLENE 6/0 8706 DOBLE AGUJA </v>
      </c>
      <c r="D71" s="116"/>
      <c r="E71" s="116"/>
      <c r="F71" s="116"/>
      <c r="G71" s="116"/>
      <c r="H71" s="76" t="s">
        <v>54</v>
      </c>
      <c r="I71" s="77" t="str">
        <f>'Necesidades Trimestrales'!F69</f>
        <v>UNIDAD</v>
      </c>
      <c r="J71" s="75">
        <f>'Necesidades Trimestrales'!H69</f>
        <v>121</v>
      </c>
      <c r="K71" s="74">
        <f>'Necesidades Trimestrales'!G69</f>
        <v>100</v>
      </c>
    </row>
    <row r="72" spans="1:14" ht="27.75" customHeight="1" x14ac:dyDescent="0.2">
      <c r="A72" s="72">
        <v>61</v>
      </c>
      <c r="B72" s="80"/>
      <c r="C72" s="116" t="str">
        <f>'Necesidades Trimestrales'!E70</f>
        <v>SUTURA QUIRURGICA POLIPROPILENO NO ABSORBIBLE TIPO PROLENE 6/0 P8697 T PLASTICA</v>
      </c>
      <c r="D72" s="116"/>
      <c r="E72" s="116"/>
      <c r="F72" s="116"/>
      <c r="G72" s="116"/>
      <c r="H72" s="76" t="s">
        <v>54</v>
      </c>
      <c r="I72" s="77" t="str">
        <f>'Necesidades Trimestrales'!F70</f>
        <v>UNIDAD</v>
      </c>
      <c r="J72" s="75">
        <f>'Necesidades Trimestrales'!H70</f>
        <v>121</v>
      </c>
      <c r="K72" s="74">
        <f>'Necesidades Trimestrales'!G70</f>
        <v>100</v>
      </c>
    </row>
    <row r="73" spans="1:14" ht="27.75" customHeight="1" thickBot="1" x14ac:dyDescent="0.25">
      <c r="A73" s="72">
        <v>62</v>
      </c>
      <c r="B73" s="80"/>
      <c r="C73" s="116" t="str">
        <f>'Necesidades Trimestrales'!E71</f>
        <v xml:space="preserve">SUTURA QUIRURGICA POLIPROPILENO NO ABSORBIBLE TIPO PROLENE 7/0 8727 </v>
      </c>
      <c r="D73" s="116"/>
      <c r="E73" s="116"/>
      <c r="F73" s="116"/>
      <c r="G73" s="116"/>
      <c r="H73" s="76" t="s">
        <v>54</v>
      </c>
      <c r="I73" s="77" t="str">
        <f>'Necesidades Trimestrales'!F71</f>
        <v>UNIDAD</v>
      </c>
      <c r="J73" s="75">
        <f>'Necesidades Trimestrales'!H71</f>
        <v>121</v>
      </c>
      <c r="K73" s="74">
        <f>'Necesidades Trimestrales'!G71</f>
        <v>100</v>
      </c>
    </row>
    <row r="74" spans="1:14" ht="20.25" customHeight="1" thickBot="1" x14ac:dyDescent="0.25">
      <c r="A74" s="112" t="s">
        <v>132</v>
      </c>
      <c r="B74" s="112"/>
      <c r="C74" s="112"/>
      <c r="D74" s="112"/>
      <c r="E74" s="112"/>
      <c r="F74" s="112"/>
      <c r="G74" s="112"/>
      <c r="H74" s="112"/>
      <c r="I74" s="112"/>
      <c r="J74" s="113">
        <f>SUMPRODUCT(J12:J73,K12:K73)</f>
        <v>4730760.88</v>
      </c>
      <c r="K74" s="113"/>
      <c r="N74" s="55"/>
    </row>
  </sheetData>
  <mergeCells count="84">
    <mergeCell ref="C58:G58"/>
    <mergeCell ref="C73:G73"/>
    <mergeCell ref="C68:G68"/>
    <mergeCell ref="C69:G69"/>
    <mergeCell ref="C70:G70"/>
    <mergeCell ref="C71:G71"/>
    <mergeCell ref="C72:G72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46:G46"/>
    <mergeCell ref="C47:G47"/>
    <mergeCell ref="C41:G41"/>
    <mergeCell ref="C42:G42"/>
    <mergeCell ref="C43:G43"/>
    <mergeCell ref="C44:G44"/>
    <mergeCell ref="C45:G4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5:G35"/>
    <mergeCell ref="C36:G36"/>
    <mergeCell ref="C31:G31"/>
    <mergeCell ref="C26:G26"/>
    <mergeCell ref="C27:G27"/>
    <mergeCell ref="C28:G28"/>
    <mergeCell ref="C29:G29"/>
    <mergeCell ref="C30:G30"/>
    <mergeCell ref="C38:G38"/>
    <mergeCell ref="C39:G39"/>
    <mergeCell ref="C40:G40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A74:I74"/>
    <mergeCell ref="J74:K74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A8" sqref="A8:Q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3" t="s">
        <v>3</v>
      </c>
      <c r="B1" s="153"/>
      <c r="C1" s="153"/>
      <c r="D1" s="154">
        <f>'Necesidades Trimestrales'!C6</f>
        <v>2021</v>
      </c>
      <c r="E1" s="154"/>
      <c r="F1" s="3"/>
      <c r="G1" s="3"/>
      <c r="H1" s="4"/>
      <c r="I1" s="4"/>
      <c r="J1" s="4"/>
      <c r="K1" s="4"/>
      <c r="L1" s="4"/>
      <c r="M1" s="4"/>
      <c r="N1" s="4"/>
      <c r="P1" s="155" t="s">
        <v>25</v>
      </c>
      <c r="Q1" s="15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5"/>
      <c r="Q2" s="155"/>
    </row>
    <row r="4" spans="1:17" s="5" customFormat="1" ht="18" customHeight="1" thickBot="1" x14ac:dyDescent="0.25">
      <c r="A4" s="156" t="s">
        <v>26</v>
      </c>
      <c r="B4" s="156"/>
      <c r="C4" s="156"/>
      <c r="D4" s="156"/>
      <c r="E4" s="156"/>
      <c r="F4" s="156"/>
      <c r="G4" s="151" t="str">
        <f>' NotaPedido'!D3</f>
        <v>040 - Ministerio de Salud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</row>
    <row r="5" spans="1:17" s="5" customFormat="1" ht="18" customHeight="1" thickBot="1" x14ac:dyDescent="0.25">
      <c r="A5" s="148" t="s">
        <v>49</v>
      </c>
      <c r="B5" s="149"/>
      <c r="C5" s="149"/>
      <c r="D5" s="149"/>
      <c r="E5" s="149"/>
      <c r="F5" s="150"/>
      <c r="G5" s="151" t="str">
        <f>' NotaPedido'!D4</f>
        <v>024 - Hospital Interzonal de Niños</v>
      </c>
      <c r="H5" s="151"/>
      <c r="I5" s="151"/>
      <c r="J5" s="151"/>
      <c r="K5" s="151"/>
      <c r="L5" s="151"/>
      <c r="M5" s="151"/>
      <c r="N5" s="151"/>
      <c r="O5" s="151"/>
      <c r="P5" s="151"/>
      <c r="Q5" s="151"/>
    </row>
    <row r="6" spans="1:17" s="5" customFormat="1" ht="18" customHeight="1" thickBot="1" x14ac:dyDescent="0.25">
      <c r="A6" s="148" t="s">
        <v>27</v>
      </c>
      <c r="B6" s="149"/>
      <c r="C6" s="149"/>
      <c r="D6" s="149"/>
      <c r="E6" s="149"/>
      <c r="F6" s="150"/>
      <c r="G6" s="151" t="str">
        <f>' NotaPedido'!D5</f>
        <v>024 - Hospital Interzonal de Niños</v>
      </c>
      <c r="H6" s="151"/>
      <c r="I6" s="151"/>
      <c r="J6" s="151"/>
      <c r="K6" s="151"/>
      <c r="L6" s="151"/>
      <c r="M6" s="151"/>
      <c r="N6" s="151"/>
      <c r="O6" s="151"/>
      <c r="P6" s="151"/>
      <c r="Q6" s="151"/>
    </row>
    <row r="7" spans="1:17" s="5" customFormat="1" ht="18" customHeight="1" thickBot="1" x14ac:dyDescent="0.25">
      <c r="A7" s="148" t="s">
        <v>50</v>
      </c>
      <c r="B7" s="149"/>
      <c r="C7" s="149"/>
      <c r="D7" s="149"/>
      <c r="E7" s="149"/>
      <c r="F7" s="150"/>
      <c r="G7" s="151" t="s">
        <v>56</v>
      </c>
      <c r="H7" s="151"/>
      <c r="I7" s="151"/>
      <c r="J7" s="151"/>
      <c r="K7" s="151"/>
      <c r="L7" s="151"/>
      <c r="M7" s="151"/>
      <c r="N7" s="151"/>
      <c r="O7" s="151"/>
      <c r="P7" s="151"/>
      <c r="Q7" s="151"/>
    </row>
    <row r="8" spans="1:17" ht="18" customHeight="1" thickBot="1" x14ac:dyDescent="0.25">
      <c r="A8" s="152" t="s">
        <v>28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7" ht="18" customHeight="1" x14ac:dyDescent="0.2">
      <c r="A9" s="137" t="s">
        <v>29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"/>
      <c r="P9" s="1"/>
      <c r="Q9" s="6"/>
    </row>
    <row r="10" spans="1:17" ht="54.75" customHeight="1" x14ac:dyDescent="0.2">
      <c r="A10" s="13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062/2021,  afectando la erogación resultante a los créditos presupuestarios aprobados a favor de esta Unidad Ejecutora, conforme al siguiente detalle: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9" t="s">
        <v>30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</row>
    <row r="13" spans="1:17" ht="15.75" customHeight="1" thickBot="1" x14ac:dyDescent="0.25">
      <c r="A13" s="140" t="s">
        <v>31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2" t="s">
        <v>32</v>
      </c>
      <c r="P13" s="143"/>
      <c r="Q13" s="146" t="s">
        <v>33</v>
      </c>
    </row>
    <row r="14" spans="1:17" ht="15.75" customHeight="1" thickBot="1" x14ac:dyDescent="0.25">
      <c r="A14" s="60" t="s">
        <v>34</v>
      </c>
      <c r="B14" s="61" t="s">
        <v>35</v>
      </c>
      <c r="C14" s="61" t="s">
        <v>36</v>
      </c>
      <c r="D14" s="61" t="s">
        <v>37</v>
      </c>
      <c r="E14" s="61" t="s">
        <v>38</v>
      </c>
      <c r="F14" s="61" t="s">
        <v>39</v>
      </c>
      <c r="G14" s="62" t="s">
        <v>40</v>
      </c>
      <c r="H14" s="61" t="s">
        <v>41</v>
      </c>
      <c r="I14" s="61" t="s">
        <v>42</v>
      </c>
      <c r="J14" s="61" t="s">
        <v>43</v>
      </c>
      <c r="K14" s="61" t="s">
        <v>43</v>
      </c>
      <c r="L14" s="61" t="s">
        <v>44</v>
      </c>
      <c r="M14" s="63" t="s">
        <v>45</v>
      </c>
      <c r="N14" s="64" t="s">
        <v>46</v>
      </c>
      <c r="O14" s="144"/>
      <c r="P14" s="145"/>
      <c r="Q14" s="147"/>
    </row>
    <row r="15" spans="1:17" ht="26.25" customHeight="1" x14ac:dyDescent="0.2">
      <c r="A15" s="56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7">
        <v>2</v>
      </c>
      <c r="J15" s="57">
        <v>9</v>
      </c>
      <c r="K15" s="57">
        <v>5</v>
      </c>
      <c r="L15" s="57"/>
      <c r="M15" s="58">
        <v>1</v>
      </c>
      <c r="N15" s="59" t="s">
        <v>53</v>
      </c>
      <c r="O15" s="131" t="s">
        <v>59</v>
      </c>
      <c r="P15" s="131"/>
      <c r="Q15" s="65">
        <v>4730760.88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6"/>
      <c r="O16" s="132"/>
      <c r="P16" s="126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26"/>
      <c r="P17" s="126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26"/>
      <c r="P18" s="126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27"/>
      <c r="P19" s="127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28"/>
      <c r="P20" s="128"/>
      <c r="Q20" s="24"/>
    </row>
    <row r="21" spans="1:18" ht="29.25" customHeight="1" x14ac:dyDescent="0.2">
      <c r="A21" s="129" t="s">
        <v>134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25">
        <f>SUM(Q15:Q20)</f>
        <v>4730760.88</v>
      </c>
    </row>
    <row r="22" spans="1:18" ht="18" customHeight="1" thickBot="1" x14ac:dyDescent="0.25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</row>
    <row r="23" spans="1:18" ht="17.25" customHeight="1" thickBot="1" x14ac:dyDescent="0.25">
      <c r="A23" s="133" t="s">
        <v>47</v>
      </c>
      <c r="B23" s="134"/>
      <c r="C23" s="134"/>
      <c r="D23" s="134"/>
      <c r="E23" s="134"/>
      <c r="F23" s="135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</row>
    <row r="24" spans="1:18" ht="18" customHeight="1" thickBot="1" x14ac:dyDescent="0.25">
      <c r="A24" s="125" t="s">
        <v>135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</row>
    <row r="25" spans="1:18" ht="26.25" customHeight="1" x14ac:dyDescent="0.2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2021-04-07T13:10:10Z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