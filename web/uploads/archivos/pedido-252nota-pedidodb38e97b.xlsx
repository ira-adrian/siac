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Pistolas\NOTA 2\Adjuntos\"/>
    </mc:Choice>
  </mc:AlternateContent>
  <xr:revisionPtr revIDLastSave="0" documentId="13_ncr:1_{459F9218-1B51-41D0-99AF-44A27F9DC857}" xr6:coauthVersionLast="47" xr6:coauthVersionMax="47" xr10:uidLastSave="{00000000-0000-0000-0000-000000000000}"/>
  <bookViews>
    <workbookView xWindow="-120" yWindow="-120" windowWidth="20730" windowHeight="11160" tabRatio="500" firstSheet="5" activeTab="5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PAPEL DE ESCRITORIO Y CARTON" sheetId="23" state="hidden" r:id="rId5"/>
    <sheet name="EQUIPO MILITAR Y DE SEGURIDAD " sheetId="24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2">FERRETERIA!$A$1:$I$23</definedName>
    <definedName name="_xlnm.Print_Area" localSheetId="3">HERRERIA!$A$1:$I$25</definedName>
  </definedNames>
  <calcPr calcId="181029"/>
</workbook>
</file>

<file path=xl/calcChain.xml><?xml version="1.0" encoding="utf-8"?>
<calcChain xmlns="http://schemas.openxmlformats.org/spreadsheetml/2006/main"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7" i="49" l="1"/>
  <c r="I16" i="49"/>
  <c r="I15" i="49"/>
  <c r="I14" i="49"/>
  <c r="I13" i="49"/>
  <c r="I12" i="49"/>
  <c r="I11" i="49"/>
  <c r="I10" i="49"/>
  <c r="I18" i="49" s="1"/>
  <c r="G29" i="46" l="1"/>
  <c r="H14" i="46" s="1"/>
  <c r="G20" i="46"/>
  <c r="G21" i="46" s="1"/>
  <c r="H10" i="46" s="1"/>
  <c r="G22" i="46"/>
  <c r="G23" i="46" s="1"/>
  <c r="H11" i="46" s="1"/>
  <c r="I10" i="46"/>
  <c r="I11" i="46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4" i="26" l="1"/>
  <c r="I11" i="33" l="1"/>
  <c r="I12" i="32"/>
  <c r="I11" i="32"/>
  <c r="I10" i="32"/>
  <c r="I13" i="32" l="1"/>
  <c r="I10" i="28"/>
  <c r="I11" i="28" s="1"/>
  <c r="I10" i="27"/>
  <c r="I11" i="27" s="1"/>
  <c r="I13" i="26"/>
  <c r="I12" i="26"/>
  <c r="I11" i="26"/>
  <c r="I10" i="26"/>
  <c r="I10" i="25"/>
  <c r="I15" i="26" l="1"/>
  <c r="I11" i="25"/>
  <c r="I10" i="24" l="1"/>
  <c r="I11" i="24" s="1"/>
  <c r="I15" i="23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<sst xmlns="http://schemas.openxmlformats.org/spreadsheetml/2006/main" count="16988" uniqueCount="289">
  <si>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</si>
  <si>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</si>
  <si>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</si>
  <si>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</si>
  <si>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</si>
  <si>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</si>
  <si>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</si>
  <si>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</si>
  <si>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</si>
  <si>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</si>
  <si>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</si>
  <si>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</si>
  <si>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</si>
  <si>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</si>
  <si>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</si>
  <si>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</si>
  <si>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</si>
  <si>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</si>
  <si>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</si>
  <si>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</si>
  <si>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</si>
  <si>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</si>
  <si>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</si>
  <si>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</si>
  <si>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</si>
  <si>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</si>
  <si>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</si>
  <si>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</si>
  <si>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</si>
  <si>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</si>
  <si>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</si>
  <si>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</si>
  <si>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</si>
  <si>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</si>
  <si>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</si>
  <si>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</si>
  <si>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</si>
  <si>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</si>
  <si>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</si>
  <si>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</si>
  <si>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</si>
  <si>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</si>
  <si>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</si>
  <si>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</si>
  <si>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</si>
  <si>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</si>
  <si>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</si>
  <si>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</si>
  <si>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</si>
  <si>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</si>
  <si>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</si>
  <si>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</si>
  <si>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</si>
  <si>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</si>
  <si>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</si>
  <si>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</si>
  <si>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</si>
  <si>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</si>
  <si>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</si>
  <si>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</si>
  <si>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</si>
  <si>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</si>
  <si>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</si>
  <si>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</si>
  <si>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</si>
  <si>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</si>
  <si>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</si>
  <si>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</si>
  <si>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</si>
  <si>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</si>
  <si>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</si>
  <si>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</si>
  <si>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</si>
  <si>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</si>
  <si>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</si>
  <si>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</si>
  <si>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</si>
  <si>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</si>
  <si>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</si>
  <si>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</si>
  <si>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</si>
  <si>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</si>
  <si>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</si>
  <si>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</si>
  <si>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</si>
  <si>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</si>
  <si>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</si>
  <si>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</si>
  <si>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</si>
  <si>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</si>
  <si>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</si>
  <si>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</si>
  <si>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</si>
  <si>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</si>
  <si>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</si>
  <si>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</si>
  <si>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</si>
  <si>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</si>
  <si>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</si>
  <si>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</si>
  <si>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4.4.0-2939.12</t>
  </si>
  <si>
    <t xml:space="preserve">EQUIPO MILITAR Y DE SEGURIDAD </t>
  </si>
  <si>
    <t>4.4.0</t>
  </si>
  <si>
    <t>PISTOLAS; CALIBRE: 9 MM X 19 NATO, TIPO: DOBLE Y SIMPLE ACCION</t>
  </si>
  <si>
    <t>Especificidades Item</t>
  </si>
  <si>
    <t>Descripción técnica item 1</t>
  </si>
  <si>
    <t>Que Cumpla con lo Solicitado de Forma Integra.</t>
  </si>
  <si>
    <t>30 (treinta)  días</t>
  </si>
  <si>
    <t>Por defectos de fabrica GARANTIA de por de por vida - con provisión de repuestos. Garantia comercial minimo por 1 año .-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</si>
  <si>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</si>
  <si>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</si>
  <si>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</si>
  <si>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</si>
  <si>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</si>
  <si>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</si>
  <si>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</si>
  <si>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</si>
  <si>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</si>
  <si>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</si>
  <si>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</si>
  <si>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</si>
  <si>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</si>
  <si>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</si>
  <si>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</si>
  <si>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</si>
  <si>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</si>
  <si>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</si>
  <si>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</si>
  <si>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</si>
  <si>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</si>
  <si>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</si>
  <si>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</si>
  <si>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</si>
  <si>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</si>
  <si>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</si>
  <si>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</si>
  <si>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</si>
  <si>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</si>
  <si>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</si>
  <si>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</si>
  <si>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</si>
  <si>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</si>
  <si>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</si>
  <si>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</si>
  <si>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</si>
  <si>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</si>
  <si>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</si>
  <si>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</si>
  <si>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</si>
  <si>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</si>
  <si>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</si>
  <si>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</si>
  <si>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</si>
  <si>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</si>
  <si>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</si>
  <si>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</si>
  <si>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</si>
  <si>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</si>
  <si>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</si>
  <si>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</si>
  <si>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</si>
  <si>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</si>
  <si>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</si>
  <si>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</si>
  <si>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</si>
  <si>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</si>
  <si>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</si>
  <si>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</si>
  <si>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</si>
  <si>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</si>
  <si>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</si>
  <si>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</si>
  <si>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</si>
  <si>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</si>
  <si>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</si>
  <si>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</si>
  <si>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</si>
  <si>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</si>
  <si>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</si>
  <si>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</si>
  <si>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</si>
  <si>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</si>
  <si>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</si>
  <si>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</si>
  <si>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</si>
  <si>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</si>
  <si>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</si>
  <si>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</si>
  <si>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</si>
  <si>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</si>
  <si>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</si>
  <si>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</si>
  <si>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</si>
  <si>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</si>
  <si>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</si>
  <si>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</si>
  <si>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</si>
  <si>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</si>
  <si>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</si>
  <si>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</si>
  <si>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</si>
  <si>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</si>
  <si>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</si>
  <si>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</si>
  <si>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</si>
  <si>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</si>
  <si>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</si>
  <si>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</si>
  <si>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</si>
  <si>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</si>
  <si>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</si>
  <si>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</si>
  <si>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</si>
  <si>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</si>
  <si>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</si>
  <si>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</si>
  <si>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</si>
  <si>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</si>
  <si>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</si>
  <si>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</si>
  <si>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</si>
  <si>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</si>
  <si>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</si>
  <si>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</si>
  <si>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</si>
  <si>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</si>
  <si>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</si>
  <si>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</si>
  <si>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</si>
  <si>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</si>
  <si>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</si>
  <si>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</si>
  <si>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</si>
  <si>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</si>
  <si>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</si>
  <si>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</si>
  <si>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</si>
  <si>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</si>
  <si>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</si>
  <si>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</si>
  <si>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</si>
  <si>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</si>
  <si>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</si>
  <si>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</si>
  <si>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</si>
  <si>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</si>
  <si>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</si>
  <si>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</si>
  <si>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</si>
  <si>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</si>
  <si>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</si>
  <si>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</si>
  <si>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</si>
  <si>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</si>
  <si>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</si>
  <si>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</si>
  <si>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</si>
  <si>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</si>
  <si>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</si>
  <si>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</si>
  <si>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</si>
  <si>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</si>
  <si>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</si>
  <si>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</si>
  <si>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</si>
  <si>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</si>
  <si>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</si>
  <si>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</si>
  <si>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</si>
  <si>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</si>
  <si>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</si>
  <si>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</si>
  <si>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</si>
  <si>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</si>
  <si>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</si>
  <si>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</si>
  <si>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</si>
  <si>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</si>
  <si>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</si>
  <si>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</si>
  <si>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</si>
  <si>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</si>
  <si>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</si>
  <si>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</si>
  <si>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</si>
  <si>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</si>
  <si>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</si>
  <si>
    <r>
  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</t>
    </r>
    <r>
      <rPr>
        <sz val="10"/>
        <color rgb="FFFF0000"/>
        <rFont val="Century Gothic"/>
        <family val="2"/>
      </rPr>
      <t xml:space="preserve"> La registración de la factura con numero de serie de cada armamento en la ANMAC a cuenta del proveedor</t>
    </r>
    <r>
      <rPr>
        <sz val="10"/>
        <rFont val="Century Gothic"/>
        <family val="2"/>
      </rPr>
      <t xml:space="preserve">.  No se solicita muestra, </t>
    </r>
    <r>
      <rPr>
        <sz val="10"/>
        <color rgb="FFFF0000"/>
        <rFont val="Century Gothic"/>
        <family val="2"/>
      </rPr>
      <t>se solicita manual y/o folletos ilustrativos de la oferta</t>
    </r>
    <r>
      <rPr>
        <sz val="10"/>
        <rFont val="Century Gothic"/>
        <family val="2"/>
      </rPr>
      <t>.</t>
    </r>
    <r>
      <rPr>
        <b/>
        <sz val="10"/>
        <rFont val="Century Gothic"/>
        <family val="2"/>
      </rPr>
      <t xml:space="preserve"> Se solicita que en la factura se consigne como destinatario la Policia de La Provincia de Catamarca, Nº de Legitimo Usuario Colectivo 4-9162000, y que se adjunte documentacion de Legitimo Usuario Comercial de proveedor</t>
    </r>
    <r>
      <rPr>
        <sz val="10"/>
        <rFont val="Century Gothic"/>
        <family val="2"/>
      </rPr>
      <t xml:space="preserve"> .-</t>
    </r>
  </si>
  <si>
    <r>
      <t xml:space="preserve">a) LUGAR DE ENTREGA: DIVISIÓN ARMAMENTO Y MUNICIONES (Dpto Logística), sito en Chacabuco N° 809 -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</t>
    </r>
    <r>
      <rPr>
        <sz val="10"/>
        <color rgb="FFFF0000"/>
        <rFont val="Century Gothic"/>
        <family val="2"/>
      </rPr>
      <t>no podrá ser superior a cuarenta y cinco (45) días hábiles, contados a partir de la autorizacion del ANMAC</t>
    </r>
    <r>
      <rPr>
        <sz val="10"/>
        <rFont val="Century Gothic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</si>
</sst>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_-* #,##0.00&quot; €&quot;_-;\-* #,##0.00&quot; €&quot;_-;_-* \-??&quot; €&quot;_-;_-@_-"/>
    <numFmt numFmtId="169" formatCode="[$$-2C0A]\ #,##0.00;[$$-2C0A]&quot; -&quot;#,##0.00"/>
    <numFmt numFmtId="170" formatCode="_ [$$-2C0A]\ * #,##0.00_ ;_ [$$-2C0A]\ * \-#,##0.00_ ;_ [$$-2C0A]\ * &quot;-&quot;??_ ;_ @_ "/>
    <numFmt numFmtId="171" formatCode="&quot;$&quot;\ #,##0.00"/>
    <numFmt numFmtId="172" formatCode="[$$-2C0A]\ #,##0.00"/>
    <numFmt numFmtId="173" formatCode="[$$-1004]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  <font>
      <sz val="10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8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4" fontId="3" fillId="0" borderId="0" applyFont="0" applyFill="0" applyBorder="0" applyAlignment="0" applyProtection="0"/>
  </cellStyleXfs>
  <cellXfs count="412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3" borderId="11" xfId="0" applyFont="1" applyFill="1" applyBorder="1"/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70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0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2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1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1" fontId="5" fillId="3" borderId="7" xfId="0" applyNumberFormat="1" applyFont="1" applyFill="1" applyBorder="1" applyAlignment="1">
      <alignment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7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7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1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1" fontId="18" fillId="3" borderId="10" xfId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1" fontId="5" fillId="3" borderId="19" xfId="0" applyNumberFormat="1" applyFont="1" applyFill="1" applyBorder="1" applyAlignment="1">
      <alignment vertical="center"/>
    </xf>
    <xf numFmtId="167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6" fontId="18" fillId="3" borderId="4" xfId="0" applyNumberFormat="1" applyFont="1" applyFill="1" applyBorder="1" applyAlignment="1">
      <alignment horizontal="center" vertical="center"/>
    </xf>
    <xf numFmtId="167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6" fontId="18" fillId="3" borderId="7" xfId="0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vertical="center"/>
    </xf>
    <xf numFmtId="170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170" fontId="5" fillId="3" borderId="0" xfId="1" applyNumberFormat="1" applyFont="1" applyFill="1" applyBorder="1" applyAlignment="1" applyProtection="1">
      <alignment horizontal="center" vertical="center"/>
    </xf>
    <xf numFmtId="170" fontId="13" fillId="3" borderId="28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1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1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1" fontId="16" fillId="4" borderId="42" xfId="1" applyNumberFormat="1" applyFont="1" applyFill="1" applyBorder="1" applyAlignment="1" applyProtection="1">
      <alignment horizontal="center" vertical="center" wrapText="1"/>
    </xf>
    <xf numFmtId="171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70" fontId="5" fillId="3" borderId="4" xfId="1" applyNumberFormat="1" applyFont="1" applyFill="1" applyBorder="1" applyAlignment="1" applyProtection="1">
      <alignment horizontal="center" vertical="center"/>
    </xf>
    <xf numFmtId="170" fontId="5" fillId="3" borderId="5" xfId="0" applyNumberFormat="1" applyFont="1" applyFill="1" applyBorder="1" applyAlignment="1">
      <alignment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6" fontId="5" fillId="7" borderId="4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6" fontId="5" fillId="7" borderId="7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6" fontId="5" fillId="7" borderId="10" xfId="0" applyNumberFormat="1" applyFont="1" applyFill="1" applyBorder="1" applyAlignment="1">
      <alignment horizontal="center" vertical="center"/>
    </xf>
    <xf numFmtId="166" fontId="5" fillId="7" borderId="35" xfId="0" applyNumberFormat="1" applyFont="1" applyFill="1" applyBorder="1" applyAlignment="1">
      <alignment horizontal="right" vertical="center" wrapText="1"/>
    </xf>
    <xf numFmtId="166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4" xfId="0" applyFont="1" applyBorder="1" applyAlignment="1">
      <alignment horizontal="center"/>
    </xf>
    <xf numFmtId="171" fontId="5" fillId="3" borderId="52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0" borderId="53" xfId="0" applyFont="1" applyBorder="1"/>
    <xf numFmtId="173" fontId="5" fillId="0" borderId="54" xfId="0" applyNumberFormat="1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4" xfId="0" applyFont="1" applyBorder="1" applyAlignment="1">
      <alignment wrapText="1"/>
    </xf>
    <xf numFmtId="171" fontId="5" fillId="4" borderId="55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5" fontId="18" fillId="3" borderId="56" xfId="0" applyNumberFormat="1" applyFont="1" applyFill="1" applyBorder="1" applyAlignment="1">
      <alignment horizontal="center" vertical="center"/>
    </xf>
    <xf numFmtId="167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70" fontId="10" fillId="3" borderId="30" xfId="0" applyNumberFormat="1" applyFont="1" applyFill="1" applyBorder="1" applyAlignment="1">
      <alignment horizontal="center" vertical="center" wrapText="1"/>
    </xf>
    <xf numFmtId="170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7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7" fontId="18" fillId="0" borderId="4" xfId="1" applyNumberFormat="1" applyFont="1" applyBorder="1" applyAlignment="1">
      <alignment horizontal="center" vertical="center"/>
    </xf>
    <xf numFmtId="169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9" fontId="5" fillId="3" borderId="8" xfId="1" applyNumberFormat="1" applyFont="1" applyFill="1" applyBorder="1" applyAlignment="1" applyProtection="1">
      <alignment horizontal="right" vertical="center" wrapText="1"/>
    </xf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68" xfId="0" applyFont="1" applyFill="1" applyBorder="1" applyAlignment="1"/>
    <xf numFmtId="0" fontId="5" fillId="0" borderId="66" xfId="0" applyFont="1" applyFill="1" applyBorder="1" applyAlignment="1"/>
    <xf numFmtId="0" fontId="17" fillId="0" borderId="66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69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65" xfId="0" applyFont="1" applyFill="1" applyBorder="1" applyAlignment="1"/>
    <xf numFmtId="0" fontId="16" fillId="0" borderId="67" xfId="0" applyFont="1" applyFill="1" applyBorder="1" applyAlignment="1">
      <alignment wrapText="1"/>
    </xf>
    <xf numFmtId="0" fontId="16" fillId="0" borderId="66" xfId="0" applyFont="1" applyFill="1" applyBorder="1" applyAlignment="1">
      <alignment wrapText="1"/>
    </xf>
    <xf numFmtId="0" fontId="0" fillId="0" borderId="0" xfId="0" applyFont="1" applyFill="1" applyBorder="1" applyAlignment="1"/>
    <xf numFmtId="0" fontId="11" fillId="0" borderId="60" xfId="0" applyFont="1" applyFill="1" applyBorder="1" applyAlignment="1"/>
    <xf numFmtId="0" fontId="5" fillId="0" borderId="60" xfId="0" applyFont="1" applyFill="1" applyBorder="1" applyAlignment="1"/>
    <xf numFmtId="0" fontId="5" fillId="0" borderId="62" xfId="0" applyFont="1" applyFill="1" applyBorder="1" applyAlignment="1"/>
    <xf numFmtId="0" fontId="5" fillId="0" borderId="63" xfId="0" applyFont="1" applyFill="1" applyBorder="1" applyAlignment="1"/>
    <xf numFmtId="0" fontId="5" fillId="0" borderId="64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7" fontId="9" fillId="0" borderId="4" xfId="1" applyNumberFormat="1" applyFont="1" applyBorder="1" applyAlignment="1">
      <alignment horizontal="center" vertical="center"/>
    </xf>
    <xf numFmtId="169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1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justify" wrapText="1"/>
    </xf>
    <xf numFmtId="0" fontId="5" fillId="3" borderId="15" xfId="0" applyFont="1" applyFill="1" applyBorder="1" applyAlignment="1">
      <alignment horizontal="justify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8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7" borderId="15" xfId="0" applyFont="1" applyFill="1" applyBorder="1" applyAlignment="1"/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/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5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1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11" fillId="0" borderId="6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1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1" xfId="0" applyFont="1" applyFill="1" applyBorder="1" applyAlignment="1"/>
    <xf numFmtId="0" fontId="11" fillId="0" borderId="58" xfId="0" applyFont="1" applyFill="1" applyBorder="1" applyAlignment="1">
      <alignment horizontal="left"/>
    </xf>
    <xf numFmtId="0" fontId="11" fillId="0" borderId="57" xfId="0" applyFont="1" applyFill="1" applyBorder="1" applyAlignment="1">
      <alignment horizontal="left"/>
    </xf>
    <xf numFmtId="0" fontId="11" fillId="0" borderId="59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  <xf numFmtId="0" fontId="27" fillId="3" borderId="0" xfId="0" applyFont="1" applyFill="1" applyBorder="1" applyAlignment="1">
      <alignment horizontal="left" wrapText="1"/>
    </xf>
    <xf numFmtId="0" fontId="27" fillId="3" borderId="15" xfId="0" applyFont="1" applyFill="1" applyBorder="1" applyAlignment="1">
      <alignment horizontal="left" wrapText="1"/>
    </xf>
    <xf numFmtId="0" fontId="10" fillId="5" borderId="0" xfId="0" applyFont="1" applyFill="1" applyAlignment="1">
      <alignment horizontal="left" wrapText="1" indent="1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 x14ac:dyDescent="0.25">
      <c r="A4" s="340" t="s">
        <v>1</v>
      </c>
      <c r="B4" s="340"/>
      <c r="C4" s="344" t="s">
        <v>2</v>
      </c>
      <c r="D4" s="344"/>
      <c r="E4" s="344"/>
      <c r="F4" s="218"/>
      <c r="G4" s="219"/>
      <c r="H4" s="218"/>
    </row>
    <row r="5" spans="1:9" ht="18" customHeight="1" x14ac:dyDescent="0.25">
      <c r="A5" s="340" t="s">
        <v>3</v>
      </c>
      <c r="B5" s="340"/>
      <c r="C5" s="344" t="s">
        <v>4</v>
      </c>
      <c r="D5" s="344"/>
      <c r="E5" s="344"/>
      <c r="F5" s="218"/>
      <c r="G5" s="219"/>
      <c r="H5" s="218"/>
    </row>
    <row r="6" spans="1:9" ht="16.5" customHeight="1" x14ac:dyDescent="0.25">
      <c r="A6" s="340" t="s">
        <v>5</v>
      </c>
      <c r="B6" s="340"/>
      <c r="C6" s="226">
        <v>2022</v>
      </c>
      <c r="D6" s="220"/>
      <c r="E6" s="220"/>
      <c r="F6" s="218"/>
      <c r="G6" s="219"/>
      <c r="H6" s="218"/>
    </row>
    <row r="7" spans="1:9" ht="16.5" customHeight="1" x14ac:dyDescent="0.25">
      <c r="A7" s="340" t="s">
        <v>6</v>
      </c>
      <c r="B7" s="340"/>
      <c r="C7" s="226">
        <v>1</v>
      </c>
      <c r="D7" s="220"/>
      <c r="E7" s="220"/>
      <c r="F7" s="218"/>
      <c r="G7" s="219"/>
      <c r="H7" s="218"/>
    </row>
    <row r="8" spans="1:9" ht="14.25" thickBot="1" x14ac:dyDescent="0.3">
      <c r="B8" s="218"/>
      <c r="C8" s="219"/>
      <c r="D8" s="218"/>
      <c r="E8" s="218"/>
      <c r="F8" s="218"/>
      <c r="G8" s="219"/>
      <c r="H8" s="218"/>
    </row>
    <row r="9" spans="1:9" ht="38.25" x14ac:dyDescent="0.25">
      <c r="A9" s="221" t="s">
        <v>7</v>
      </c>
      <c r="B9" s="222" t="s">
        <v>8</v>
      </c>
      <c r="C9" s="222" t="s">
        <v>9</v>
      </c>
      <c r="D9" s="222" t="s">
        <v>10</v>
      </c>
      <c r="E9" s="222" t="s">
        <v>11</v>
      </c>
      <c r="F9" s="222" t="s">
        <v>12</v>
      </c>
      <c r="G9" s="222" t="s">
        <v>13</v>
      </c>
      <c r="H9" s="222" t="s">
        <v>14</v>
      </c>
      <c r="I9" s="223" t="s">
        <v>15</v>
      </c>
    </row>
    <row r="10" spans="1:9" ht="15" x14ac:dyDescent="0.25">
      <c r="A10" s="224">
        <v>1</v>
      </c>
      <c r="B10" s="312" t="s">
        <v>16</v>
      </c>
      <c r="C10" s="312" t="s">
        <v>17</v>
      </c>
      <c r="D10" s="216"/>
      <c r="E10" s="312" t="s">
        <v>18</v>
      </c>
      <c r="F10" s="216" t="s">
        <v>19</v>
      </c>
      <c r="G10" s="216">
        <v>2</v>
      </c>
      <c r="H10" s="225">
        <v>500</v>
      </c>
      <c r="I10" s="228">
        <f t="shared" ref="I10:I18" si="0">G10*H10</f>
        <v>1000</v>
      </c>
    </row>
    <row r="11" spans="1:9" ht="15" x14ac:dyDescent="0.25">
      <c r="A11" s="224">
        <v>2</v>
      </c>
      <c r="B11" s="312" t="s">
        <v>20</v>
      </c>
      <c r="C11" s="312" t="s">
        <v>17</v>
      </c>
      <c r="D11" s="216"/>
      <c r="E11" s="312" t="s">
        <v>21</v>
      </c>
      <c r="F11" s="216" t="s">
        <v>19</v>
      </c>
      <c r="G11" s="216">
        <v>5</v>
      </c>
      <c r="H11" s="225">
        <v>1550</v>
      </c>
      <c r="I11" s="228">
        <f t="shared" si="0"/>
        <v>7750</v>
      </c>
    </row>
    <row r="12" spans="1:9" ht="15" x14ac:dyDescent="0.25">
      <c r="A12" s="224">
        <v>3</v>
      </c>
      <c r="B12" s="312" t="s">
        <v>22</v>
      </c>
      <c r="C12" s="312" t="s">
        <v>17</v>
      </c>
      <c r="D12" s="216"/>
      <c r="E12" s="227" t="s">
        <v>23</v>
      </c>
      <c r="F12" s="216" t="s">
        <v>19</v>
      </c>
      <c r="G12" s="216">
        <v>5</v>
      </c>
      <c r="H12" s="225">
        <v>590</v>
      </c>
      <c r="I12" s="228">
        <f t="shared" si="0"/>
        <v>2950</v>
      </c>
    </row>
    <row r="13" spans="1:9" ht="15" x14ac:dyDescent="0.25">
      <c r="A13" s="224">
        <v>4</v>
      </c>
      <c r="B13" s="312" t="s">
        <v>24</v>
      </c>
      <c r="C13" s="312" t="s">
        <v>17</v>
      </c>
      <c r="D13" s="216"/>
      <c r="E13" s="227" t="s">
        <v>25</v>
      </c>
      <c r="F13" s="216" t="s">
        <v>19</v>
      </c>
      <c r="G13" s="216">
        <v>2</v>
      </c>
      <c r="H13" s="225">
        <v>210</v>
      </c>
      <c r="I13" s="228">
        <f t="shared" si="0"/>
        <v>420</v>
      </c>
    </row>
    <row r="14" spans="1:9" ht="15" x14ac:dyDescent="0.25">
      <c r="A14" s="224">
        <v>5</v>
      </c>
      <c r="B14" s="227"/>
      <c r="C14" s="312" t="s">
        <v>17</v>
      </c>
      <c r="D14" s="216"/>
      <c r="E14" s="227" t="s">
        <v>26</v>
      </c>
      <c r="F14" s="216" t="s">
        <v>19</v>
      </c>
      <c r="G14" s="216">
        <v>5</v>
      </c>
      <c r="H14" s="225">
        <v>300</v>
      </c>
      <c r="I14" s="228">
        <f t="shared" si="0"/>
        <v>1500</v>
      </c>
    </row>
    <row r="15" spans="1:9" ht="15" x14ac:dyDescent="0.25">
      <c r="A15" s="224">
        <v>6</v>
      </c>
      <c r="B15" s="312" t="s">
        <v>27</v>
      </c>
      <c r="C15" s="312" t="s">
        <v>17</v>
      </c>
      <c r="D15" s="216"/>
      <c r="E15" s="312" t="s">
        <v>28</v>
      </c>
      <c r="F15" s="216" t="s">
        <v>19</v>
      </c>
      <c r="G15" s="216">
        <v>5</v>
      </c>
      <c r="H15" s="225">
        <v>360</v>
      </c>
      <c r="I15" s="228">
        <f t="shared" si="0"/>
        <v>1800</v>
      </c>
    </row>
    <row r="16" spans="1:9" ht="15" x14ac:dyDescent="0.25">
      <c r="A16" s="224">
        <v>7</v>
      </c>
      <c r="B16" s="227"/>
      <c r="C16" s="312" t="s">
        <v>17</v>
      </c>
      <c r="D16" s="216"/>
      <c r="E16" s="227" t="s">
        <v>29</v>
      </c>
      <c r="F16" s="216" t="s">
        <v>19</v>
      </c>
      <c r="G16" s="216">
        <v>1</v>
      </c>
      <c r="H16" s="225">
        <v>580</v>
      </c>
      <c r="I16" s="228">
        <f t="shared" si="0"/>
        <v>580</v>
      </c>
    </row>
    <row r="17" spans="1:9" ht="15" x14ac:dyDescent="0.25">
      <c r="A17" s="224">
        <v>8</v>
      </c>
      <c r="B17" s="312"/>
      <c r="C17" s="312" t="s">
        <v>17</v>
      </c>
      <c r="D17" s="216"/>
      <c r="E17" s="227" t="s">
        <v>30</v>
      </c>
      <c r="F17" s="216" t="s">
        <v>19</v>
      </c>
      <c r="G17" s="216">
        <v>5</v>
      </c>
      <c r="H17" s="225">
        <v>1650</v>
      </c>
      <c r="I17" s="228">
        <f t="shared" si="0"/>
        <v>8250</v>
      </c>
    </row>
    <row r="18" spans="1:9" ht="15" x14ac:dyDescent="0.25">
      <c r="A18" s="224">
        <v>9</v>
      </c>
      <c r="B18" s="227"/>
      <c r="C18" s="312" t="s">
        <v>17</v>
      </c>
      <c r="D18" s="216"/>
      <c r="E18" s="227" t="s">
        <v>31</v>
      </c>
      <c r="F18" s="216" t="s">
        <v>19</v>
      </c>
      <c r="G18" s="216">
        <v>1</v>
      </c>
      <c r="H18" s="225">
        <v>6550</v>
      </c>
      <c r="I18" s="228">
        <f t="shared" si="0"/>
        <v>6550</v>
      </c>
    </row>
    <row r="19" spans="1:9" x14ac:dyDescent="0.25">
      <c r="C19" s="214"/>
      <c r="D19" s="214"/>
      <c r="I19" s="217">
        <f>SUM(I10:I18)</f>
        <v>30800</v>
      </c>
    </row>
    <row r="20" spans="1:9" x14ac:dyDescent="0.25">
      <c r="B20" s="73" t="s">
        <v>32</v>
      </c>
      <c r="C20" s="7" t="s">
        <v>33</v>
      </c>
      <c r="D20" s="7"/>
      <c r="E20" s="8"/>
    </row>
    <row r="21" spans="1:9" x14ac:dyDescent="0.25">
      <c r="B21" s="45" t="s">
        <v>34</v>
      </c>
      <c r="C21" s="69"/>
      <c r="D21" s="69"/>
      <c r="E21" s="131"/>
    </row>
    <row r="22" spans="1:9" x14ac:dyDescent="0.25">
      <c r="B22" s="74"/>
      <c r="C22" s="132"/>
      <c r="D22" s="132"/>
      <c r="E22" s="133"/>
    </row>
    <row r="23" spans="1:9" ht="67.5" customHeight="1" x14ac:dyDescent="0.25">
      <c r="B23" s="74"/>
      <c r="C23" s="341" t="s">
        <v>35</v>
      </c>
      <c r="D23" s="341"/>
      <c r="E23" s="342"/>
    </row>
    <row r="24" spans="1:9" x14ac:dyDescent="0.25">
      <c r="B24" s="45" t="s">
        <v>36</v>
      </c>
      <c r="C24" s="69"/>
      <c r="D24" s="69"/>
      <c r="E24" s="131"/>
    </row>
    <row r="25" spans="1:9" ht="27" x14ac:dyDescent="0.25">
      <c r="B25" s="74"/>
      <c r="C25" s="134" t="s">
        <v>37</v>
      </c>
      <c r="D25" s="134"/>
      <c r="E25" s="135"/>
    </row>
    <row r="26" spans="1:9" x14ac:dyDescent="0.25">
      <c r="B26" s="45" t="s">
        <v>38</v>
      </c>
      <c r="C26" s="136"/>
      <c r="D26" s="136"/>
      <c r="E26" s="137"/>
    </row>
    <row r="27" spans="1:9" x14ac:dyDescent="0.25">
      <c r="B27" s="74"/>
      <c r="C27" s="134" t="s">
        <v>39</v>
      </c>
      <c r="D27" s="134"/>
      <c r="E27" s="135"/>
    </row>
    <row r="28" spans="1:9" x14ac:dyDescent="0.25">
      <c r="B28" s="45" t="s">
        <v>40</v>
      </c>
      <c r="C28" s="69"/>
      <c r="D28" s="69"/>
      <c r="E28" s="131"/>
    </row>
    <row r="29" spans="1:9" x14ac:dyDescent="0.25">
      <c r="B29" s="45"/>
      <c r="C29" s="132" t="s">
        <v>41</v>
      </c>
      <c r="D29" s="132"/>
      <c r="E29" s="133"/>
    </row>
    <row r="30" spans="1:9" ht="14.25" thickBot="1" x14ac:dyDescent="0.3">
      <c r="B30" s="20"/>
      <c r="C30" s="138"/>
      <c r="D30" s="138"/>
      <c r="E30" s="139"/>
    </row>
    <row r="31" spans="1:9" x14ac:dyDescent="0.25">
      <c r="C31" s="6"/>
      <c r="D31" s="6"/>
      <c r="E31" s="6"/>
    </row>
    <row r="32" spans="1:9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  <row r="42" spans="3:5" x14ac:dyDescent="0.25">
      <c r="C42" s="6"/>
      <c r="D42" s="6"/>
      <c r="E42" s="6"/>
    </row>
    <row r="43" spans="3:5" x14ac:dyDescent="0.25">
      <c r="C43" s="6"/>
      <c r="D43" s="6"/>
      <c r="E43" s="6"/>
    </row>
    <row r="44" spans="3:5" x14ac:dyDescent="0.25">
      <c r="C44" s="6"/>
      <c r="D44" s="6"/>
      <c r="E44" s="6"/>
    </row>
    <row r="45" spans="3:5" x14ac:dyDescent="0.25">
      <c r="C45" s="6"/>
      <c r="D45" s="6"/>
      <c r="E45" s="6"/>
    </row>
    <row r="46" spans="3:5" x14ac:dyDescent="0.25">
      <c r="C46" s="6"/>
      <c r="D46" s="6"/>
      <c r="E46" s="6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0" x14ac:dyDescent="0.25">
      <c r="B2" s="343" t="s">
        <v>0</v>
      </c>
      <c r="C2" s="343"/>
      <c r="D2" s="343"/>
      <c r="E2" s="343"/>
      <c r="F2" s="343"/>
      <c r="G2" s="343"/>
      <c r="H2" s="343"/>
    </row>
    <row r="4" spans="1:10" ht="18" customHeight="1" x14ac:dyDescent="0.25">
      <c r="A4" s="347" t="s">
        <v>1</v>
      </c>
      <c r="B4" s="347"/>
      <c r="C4" s="348" t="s">
        <v>2</v>
      </c>
      <c r="D4" s="348"/>
      <c r="E4" s="348"/>
      <c r="F4" s="2"/>
      <c r="G4" s="3"/>
      <c r="H4" s="2"/>
    </row>
    <row r="5" spans="1:10" ht="18" customHeight="1" x14ac:dyDescent="0.25">
      <c r="A5" s="347" t="s">
        <v>3</v>
      </c>
      <c r="B5" s="347"/>
      <c r="C5" s="348" t="s">
        <v>42</v>
      </c>
      <c r="D5" s="348"/>
      <c r="E5" s="348"/>
      <c r="F5" s="2"/>
      <c r="G5" s="3"/>
      <c r="H5" s="2"/>
    </row>
    <row r="6" spans="1:10" ht="16.5" customHeight="1" x14ac:dyDescent="0.25">
      <c r="A6" s="347" t="s">
        <v>5</v>
      </c>
      <c r="B6" s="347"/>
      <c r="C6" s="75">
        <v>2022</v>
      </c>
      <c r="D6" s="4"/>
      <c r="E6" s="4"/>
      <c r="F6" s="2"/>
      <c r="G6" s="3"/>
      <c r="H6" s="2"/>
    </row>
    <row r="7" spans="1:10" ht="16.5" customHeight="1" x14ac:dyDescent="0.25">
      <c r="A7" s="347" t="s">
        <v>6</v>
      </c>
      <c r="B7" s="347"/>
      <c r="C7" s="75">
        <v>1</v>
      </c>
      <c r="D7" s="4"/>
      <c r="E7" s="4"/>
      <c r="F7" s="2"/>
      <c r="G7" s="3"/>
      <c r="H7" s="2"/>
    </row>
    <row r="8" spans="1:10" ht="14.25" thickBot="1" x14ac:dyDescent="0.3">
      <c r="B8" s="2"/>
      <c r="C8" s="3"/>
      <c r="D8" s="2"/>
      <c r="E8" s="2"/>
      <c r="F8" s="2"/>
      <c r="G8" s="3"/>
      <c r="H8" s="2"/>
    </row>
    <row r="9" spans="1:10" ht="38.25" x14ac:dyDescent="0.25">
      <c r="A9" s="76" t="s">
        <v>7</v>
      </c>
      <c r="B9" s="243" t="s">
        <v>8</v>
      </c>
      <c r="C9" s="77" t="s">
        <v>9</v>
      </c>
      <c r="D9" s="77" t="s">
        <v>10</v>
      </c>
      <c r="E9" s="78" t="s">
        <v>11</v>
      </c>
      <c r="F9" s="57" t="s">
        <v>12</v>
      </c>
      <c r="G9" s="79" t="s">
        <v>13</v>
      </c>
      <c r="H9" s="78" t="s">
        <v>14</v>
      </c>
      <c r="I9" s="80" t="s">
        <v>15</v>
      </c>
    </row>
    <row r="10" spans="1:10" ht="31.5" customHeight="1" x14ac:dyDescent="0.25">
      <c r="A10" s="249">
        <v>1</v>
      </c>
      <c r="B10" s="312" t="s">
        <v>43</v>
      </c>
      <c r="C10" s="312" t="s">
        <v>44</v>
      </c>
      <c r="D10" s="31"/>
      <c r="E10" s="313" t="s">
        <v>45</v>
      </c>
      <c r="F10" s="31" t="s">
        <v>19</v>
      </c>
      <c r="G10" s="251">
        <v>20</v>
      </c>
      <c r="H10" s="252">
        <v>12550</v>
      </c>
      <c r="I10" s="253">
        <f>G10*H10</f>
        <v>251000</v>
      </c>
    </row>
    <row r="11" spans="1:10" ht="30" customHeight="1" x14ac:dyDescent="0.25">
      <c r="A11" s="254">
        <v>2</v>
      </c>
      <c r="B11" s="312" t="s">
        <v>46</v>
      </c>
      <c r="C11" s="312" t="s">
        <v>17</v>
      </c>
      <c r="D11" s="33"/>
      <c r="E11" s="312" t="s">
        <v>47</v>
      </c>
      <c r="F11" s="33" t="s">
        <v>19</v>
      </c>
      <c r="G11" s="246">
        <v>15</v>
      </c>
      <c r="H11" s="247">
        <v>130000</v>
      </c>
      <c r="I11" s="255">
        <f t="shared" ref="I11:I16" si="0">H11*G11</f>
        <v>1950000</v>
      </c>
    </row>
    <row r="12" spans="1:10" ht="30" customHeight="1" x14ac:dyDescent="0.25">
      <c r="A12" s="254">
        <v>3</v>
      </c>
      <c r="B12" s="248"/>
      <c r="C12" s="244" t="s">
        <v>44</v>
      </c>
      <c r="D12" s="33"/>
      <c r="E12" s="245" t="s">
        <v>48</v>
      </c>
      <c r="F12" s="33" t="s">
        <v>19</v>
      </c>
      <c r="G12" s="246">
        <v>26</v>
      </c>
      <c r="H12" s="247">
        <v>21100</v>
      </c>
      <c r="I12" s="255">
        <f t="shared" si="0"/>
        <v>548600</v>
      </c>
      <c r="J12" s="229"/>
    </row>
    <row r="13" spans="1:10" ht="30" customHeight="1" x14ac:dyDescent="0.25">
      <c r="A13" s="254">
        <v>4</v>
      </c>
      <c r="B13" s="312" t="s">
        <v>49</v>
      </c>
      <c r="C13" s="312" t="s">
        <v>17</v>
      </c>
      <c r="D13" s="33"/>
      <c r="E13" s="312" t="s">
        <v>50</v>
      </c>
      <c r="F13" s="33" t="s">
        <v>19</v>
      </c>
      <c r="G13" s="246">
        <v>10</v>
      </c>
      <c r="H13" s="247">
        <v>8000</v>
      </c>
      <c r="I13" s="255">
        <f t="shared" si="0"/>
        <v>80000</v>
      </c>
    </row>
    <row r="14" spans="1:10" ht="30" customHeight="1" x14ac:dyDescent="0.25">
      <c r="A14" s="254">
        <v>5</v>
      </c>
      <c r="B14" s="312" t="s">
        <v>16</v>
      </c>
      <c r="C14" s="312" t="s">
        <v>17</v>
      </c>
      <c r="D14" s="33"/>
      <c r="E14" s="312" t="s">
        <v>18</v>
      </c>
      <c r="F14" s="33" t="s">
        <v>19</v>
      </c>
      <c r="G14" s="246">
        <v>20</v>
      </c>
      <c r="H14" s="247">
        <v>1600</v>
      </c>
      <c r="I14" s="255">
        <f t="shared" si="0"/>
        <v>32000</v>
      </c>
    </row>
    <row r="15" spans="1:10" ht="30" customHeight="1" x14ac:dyDescent="0.25">
      <c r="A15" s="254">
        <v>6</v>
      </c>
      <c r="B15" s="248"/>
      <c r="C15" s="312" t="s">
        <v>17</v>
      </c>
      <c r="D15" s="33"/>
      <c r="E15" s="245" t="s">
        <v>51</v>
      </c>
      <c r="F15" s="33" t="s">
        <v>19</v>
      </c>
      <c r="G15" s="246">
        <v>0.5</v>
      </c>
      <c r="H15" s="247">
        <v>1750</v>
      </c>
      <c r="I15" s="255">
        <f t="shared" si="0"/>
        <v>875</v>
      </c>
    </row>
    <row r="16" spans="1:10" ht="30" customHeight="1" x14ac:dyDescent="0.25">
      <c r="A16" s="254">
        <v>7</v>
      </c>
      <c r="B16" s="248"/>
      <c r="C16" s="312" t="s">
        <v>17</v>
      </c>
      <c r="D16" s="33"/>
      <c r="E16" s="245" t="s">
        <v>52</v>
      </c>
      <c r="F16" s="33" t="s">
        <v>19</v>
      </c>
      <c r="G16" s="246">
        <v>50</v>
      </c>
      <c r="H16" s="247">
        <v>250</v>
      </c>
      <c r="I16" s="255">
        <f t="shared" si="0"/>
        <v>12500</v>
      </c>
    </row>
    <row r="17" spans="2:9" ht="14.25" thickBot="1" x14ac:dyDescent="0.3">
      <c r="B17" s="6"/>
      <c r="I17" s="34">
        <f>SUM(I10:I16)</f>
        <v>2874975</v>
      </c>
    </row>
    <row r="18" spans="2:9" ht="14.25" thickBot="1" x14ac:dyDescent="0.3">
      <c r="B18" s="6"/>
    </row>
    <row r="19" spans="2:9" x14ac:dyDescent="0.25">
      <c r="B19" s="44" t="s">
        <v>53</v>
      </c>
      <c r="C19" s="7"/>
      <c r="D19" s="7"/>
      <c r="E19" s="8"/>
    </row>
    <row r="20" spans="2:9" x14ac:dyDescent="0.25">
      <c r="B20" s="349" t="s">
        <v>54</v>
      </c>
      <c r="C20" s="350"/>
      <c r="D20" s="9"/>
      <c r="E20" s="10"/>
    </row>
    <row r="21" spans="2:9" x14ac:dyDescent="0.25">
      <c r="B21" s="322"/>
      <c r="C21" s="323"/>
      <c r="D21" s="9"/>
      <c r="E21" s="10"/>
    </row>
    <row r="22" spans="2:9" x14ac:dyDescent="0.25">
      <c r="B22" s="322"/>
      <c r="C22" s="323"/>
      <c r="D22" s="9"/>
      <c r="E22" s="10"/>
    </row>
    <row r="23" spans="2:9" x14ac:dyDescent="0.25">
      <c r="B23" s="349" t="s">
        <v>55</v>
      </c>
      <c r="C23" s="350"/>
      <c r="D23" s="9"/>
      <c r="E23" s="10"/>
    </row>
    <row r="24" spans="2:9" x14ac:dyDescent="0.25">
      <c r="B24" s="322"/>
      <c r="C24" s="345"/>
      <c r="D24" s="345"/>
      <c r="E24" s="346"/>
    </row>
    <row r="25" spans="2:9" x14ac:dyDescent="0.25">
      <c r="B25" s="322"/>
      <c r="C25" s="345"/>
      <c r="D25" s="345"/>
      <c r="E25" s="346"/>
    </row>
    <row r="26" spans="2:9" x14ac:dyDescent="0.25">
      <c r="B26" s="322"/>
      <c r="C26" s="345"/>
      <c r="D26" s="345"/>
      <c r="E26" s="346"/>
    </row>
    <row r="27" spans="2:9" x14ac:dyDescent="0.25">
      <c r="B27" s="349" t="s">
        <v>56</v>
      </c>
      <c r="C27" s="350"/>
      <c r="D27" s="320"/>
      <c r="E27" s="321"/>
    </row>
    <row r="28" spans="2:9" x14ac:dyDescent="0.25">
      <c r="B28" s="322"/>
      <c r="C28" s="345"/>
      <c r="D28" s="345"/>
      <c r="E28" s="346"/>
    </row>
    <row r="29" spans="2:9" x14ac:dyDescent="0.25">
      <c r="B29" s="322"/>
      <c r="C29" s="323"/>
      <c r="D29" s="9"/>
      <c r="E29" s="10"/>
    </row>
    <row r="30" spans="2:9" x14ac:dyDescent="0.25">
      <c r="B30" s="322"/>
      <c r="C30" s="323"/>
      <c r="D30" s="9"/>
      <c r="E30" s="10"/>
    </row>
    <row r="31" spans="2:9" x14ac:dyDescent="0.25">
      <c r="B31" s="45"/>
      <c r="C31" s="345"/>
      <c r="D31" s="345"/>
      <c r="E31" s="346"/>
    </row>
    <row r="32" spans="2:9" ht="14.25" thickBot="1" x14ac:dyDescent="0.3">
      <c r="B32" s="46"/>
      <c r="C32" s="353"/>
      <c r="D32" s="353"/>
      <c r="E32" s="354"/>
    </row>
    <row r="33" spans="1:5" ht="14.25" thickBot="1" x14ac:dyDescent="0.3">
      <c r="B33" s="47"/>
      <c r="C33" s="320"/>
      <c r="D33" s="320"/>
      <c r="E33" s="320"/>
    </row>
    <row r="34" spans="1:5" x14ac:dyDescent="0.25">
      <c r="A34" s="13"/>
      <c r="B34" s="51" t="s">
        <v>34</v>
      </c>
      <c r="C34" s="48"/>
      <c r="D34" s="7"/>
      <c r="E34" s="49"/>
    </row>
    <row r="35" spans="1:5" x14ac:dyDescent="0.25">
      <c r="A35" s="13"/>
      <c r="B35" s="14"/>
      <c r="C35" s="345" t="s">
        <v>57</v>
      </c>
      <c r="D35" s="345"/>
      <c r="E35" s="346"/>
    </row>
    <row r="36" spans="1:5" x14ac:dyDescent="0.25">
      <c r="A36" s="13"/>
      <c r="B36" s="14"/>
      <c r="C36" s="355"/>
      <c r="D36" s="355"/>
      <c r="E36" s="355"/>
    </row>
    <row r="37" spans="1:5" x14ac:dyDescent="0.25">
      <c r="A37" s="13"/>
      <c r="B37" s="15" t="s">
        <v>36</v>
      </c>
      <c r="C37" s="16"/>
      <c r="D37" s="9"/>
      <c r="E37" s="325"/>
    </row>
    <row r="38" spans="1:5" x14ac:dyDescent="0.25">
      <c r="A38" s="13"/>
      <c r="B38" s="14"/>
      <c r="C38" s="345" t="s">
        <v>58</v>
      </c>
      <c r="D38" s="345"/>
      <c r="E38" s="346"/>
    </row>
    <row r="39" spans="1:5" ht="14.25" thickBot="1" x14ac:dyDescent="0.3">
      <c r="B39" s="50"/>
      <c r="C39" s="11"/>
      <c r="D39" s="11"/>
      <c r="E39" s="12"/>
    </row>
    <row r="40" spans="1:5" ht="14.25" thickBot="1" x14ac:dyDescent="0.3"/>
    <row r="41" spans="1:5" x14ac:dyDescent="0.25">
      <c r="B41" s="51" t="s">
        <v>38</v>
      </c>
      <c r="C41" s="42"/>
      <c r="D41" s="42"/>
      <c r="E41" s="43"/>
    </row>
    <row r="42" spans="1:5" x14ac:dyDescent="0.25">
      <c r="B42" s="17"/>
      <c r="C42" s="356" t="s">
        <v>59</v>
      </c>
      <c r="D42" s="356"/>
      <c r="E42" s="357"/>
    </row>
    <row r="43" spans="1:5" x14ac:dyDescent="0.25">
      <c r="B43" s="18" t="s">
        <v>40</v>
      </c>
      <c r="C43" s="9"/>
      <c r="D43" s="9"/>
      <c r="E43" s="10"/>
    </row>
    <row r="44" spans="1:5" x14ac:dyDescent="0.25">
      <c r="B44" s="19"/>
      <c r="C44" s="351" t="s">
        <v>60</v>
      </c>
      <c r="D44" s="351"/>
      <c r="E44" s="352"/>
    </row>
    <row r="45" spans="1:5" ht="14.25" thickBot="1" x14ac:dyDescent="0.3">
      <c r="B45" s="20"/>
      <c r="C45" s="11"/>
      <c r="D45" s="11"/>
      <c r="E45" s="12"/>
    </row>
  </sheetData>
  <mergeCells count="19">
    <mergeCell ref="C44:E44"/>
    <mergeCell ref="C31:E31"/>
    <mergeCell ref="C32:E32"/>
    <mergeCell ref="C35:E35"/>
    <mergeCell ref="C36:E36"/>
    <mergeCell ref="C38:E38"/>
    <mergeCell ref="C42:E42"/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6384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16384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16384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16384" ht="16.5" customHeight="1" x14ac:dyDescent="0.25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16384" ht="16.5" customHeight="1" x14ac:dyDescent="0.25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16384" ht="14.25" thickBot="1" x14ac:dyDescent="0.3">
      <c r="B8" s="2"/>
      <c r="C8" s="3"/>
      <c r="D8" s="2"/>
      <c r="E8" s="2"/>
      <c r="F8" s="2"/>
      <c r="G8" s="3"/>
      <c r="H8" s="2"/>
    </row>
    <row r="9" spans="1:16384" ht="39" thickTop="1" x14ac:dyDescent="0.25">
      <c r="A9" s="29" t="s">
        <v>7</v>
      </c>
      <c r="B9" s="145" t="s">
        <v>8</v>
      </c>
      <c r="C9" s="153" t="s">
        <v>9</v>
      </c>
      <c r="D9" s="146" t="s">
        <v>10</v>
      </c>
      <c r="E9" s="153" t="s">
        <v>11</v>
      </c>
      <c r="F9" s="147" t="s">
        <v>12</v>
      </c>
      <c r="G9" s="29" t="s">
        <v>13</v>
      </c>
      <c r="H9" s="29" t="s">
        <v>14</v>
      </c>
      <c r="I9" s="29" t="s">
        <v>15</v>
      </c>
    </row>
    <row r="10" spans="1:16384" customFormat="1" ht="14.25" x14ac:dyDescent="0.25">
      <c r="A10" s="124">
        <v>1</v>
      </c>
      <c r="B10" s="126" t="s">
        <v>61</v>
      </c>
      <c r="C10" s="126" t="s">
        <v>62</v>
      </c>
      <c r="D10" s="127" t="s">
        <v>63</v>
      </c>
      <c r="E10" s="126" t="s">
        <v>64</v>
      </c>
      <c r="F10" s="148" t="s">
        <v>65</v>
      </c>
      <c r="G10" s="129">
        <v>8</v>
      </c>
      <c r="H10" s="149" t="s">
        <v>66</v>
      </c>
      <c r="I10" s="149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 x14ac:dyDescent="0.3">
      <c r="I11" s="72" t="e">
        <f>SUM(#REF!)</f>
        <v>#REF!</v>
      </c>
    </row>
    <row r="12" spans="1:16384" ht="14.25" thickBot="1" x14ac:dyDescent="0.3"/>
    <row r="13" spans="1:16384" x14ac:dyDescent="0.25">
      <c r="B13" s="73" t="s">
        <v>32</v>
      </c>
      <c r="C13" s="7" t="s">
        <v>33</v>
      </c>
      <c r="D13" s="7"/>
      <c r="E13" s="8"/>
    </row>
    <row r="14" spans="1:16384" ht="33.75" customHeight="1" x14ac:dyDescent="0.25">
      <c r="B14" s="45" t="s">
        <v>34</v>
      </c>
      <c r="C14" s="69"/>
      <c r="D14" s="69"/>
      <c r="E14" s="131"/>
    </row>
    <row r="15" spans="1:16384" ht="3" customHeight="1" x14ac:dyDescent="0.25">
      <c r="B15" s="74"/>
      <c r="C15" s="132"/>
      <c r="D15" s="132"/>
      <c r="E15" s="133"/>
    </row>
    <row r="16" spans="1:16384" ht="66.75" customHeight="1" x14ac:dyDescent="0.25">
      <c r="B16" s="74"/>
      <c r="C16" s="341" t="s">
        <v>35</v>
      </c>
      <c r="D16" s="341"/>
      <c r="E16" s="342"/>
    </row>
    <row r="17" spans="2:5" x14ac:dyDescent="0.25">
      <c r="B17" s="45" t="s">
        <v>36</v>
      </c>
      <c r="C17" s="69"/>
      <c r="D17" s="69"/>
      <c r="E17" s="131"/>
    </row>
    <row r="18" spans="2:5" ht="27" x14ac:dyDescent="0.25">
      <c r="B18" s="74"/>
      <c r="C18" s="134" t="s">
        <v>37</v>
      </c>
      <c r="D18" s="134"/>
      <c r="E18" s="135"/>
    </row>
    <row r="19" spans="2:5" x14ac:dyDescent="0.25">
      <c r="B19" s="45" t="s">
        <v>38</v>
      </c>
      <c r="C19" s="136"/>
      <c r="D19" s="136"/>
      <c r="E19" s="137"/>
    </row>
    <row r="20" spans="2:5" x14ac:dyDescent="0.25">
      <c r="B20" s="74"/>
      <c r="C20" s="134" t="s">
        <v>39</v>
      </c>
      <c r="D20" s="134"/>
      <c r="E20" s="135"/>
    </row>
    <row r="21" spans="2:5" x14ac:dyDescent="0.25">
      <c r="B21" s="45" t="s">
        <v>40</v>
      </c>
      <c r="C21" s="69"/>
      <c r="D21" s="69"/>
      <c r="E21" s="131"/>
    </row>
    <row r="22" spans="2:5" x14ac:dyDescent="0.25">
      <c r="B22" s="45"/>
      <c r="C22" s="132" t="s">
        <v>41</v>
      </c>
      <c r="D22" s="132"/>
      <c r="E22" s="133"/>
    </row>
    <row r="23" spans="2:5" ht="14.25" thickBot="1" x14ac:dyDescent="0.3">
      <c r="B23" s="20"/>
      <c r="C23" s="138"/>
      <c r="D23" s="138"/>
      <c r="E23" s="139"/>
    </row>
    <row r="24" spans="2:5" x14ac:dyDescent="0.25">
      <c r="C24" s="6"/>
      <c r="D24" s="6"/>
      <c r="E24" s="6"/>
    </row>
    <row r="25" spans="2:5" x14ac:dyDescent="0.25">
      <c r="C25" s="6"/>
      <c r="D25" s="6"/>
      <c r="E25" s="6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9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9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9" ht="16.5" customHeight="1" x14ac:dyDescent="0.25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9" ht="16.5" customHeight="1" x14ac:dyDescent="0.25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</row>
    <row r="10" spans="1:9" ht="14.25" x14ac:dyDescent="0.25">
      <c r="A10" s="37">
        <v>1</v>
      </c>
      <c r="B10" s="126" t="s">
        <v>67</v>
      </c>
      <c r="C10" s="126" t="s">
        <v>68</v>
      </c>
      <c r="D10" s="33" t="s">
        <v>69</v>
      </c>
      <c r="E10" s="126" t="s">
        <v>70</v>
      </c>
      <c r="F10" s="140" t="s">
        <v>19</v>
      </c>
      <c r="G10" s="141">
        <v>30</v>
      </c>
      <c r="H10" s="142">
        <v>699</v>
      </c>
      <c r="I10" s="143">
        <f>H10*G10</f>
        <v>20970</v>
      </c>
    </row>
    <row r="11" spans="1:9" ht="14.25" x14ac:dyDescent="0.25">
      <c r="A11" s="39">
        <v>2</v>
      </c>
      <c r="B11" s="126" t="s">
        <v>71</v>
      </c>
      <c r="C11" s="126" t="s">
        <v>68</v>
      </c>
      <c r="D11" s="33" t="s">
        <v>69</v>
      </c>
      <c r="E11" s="126" t="s">
        <v>72</v>
      </c>
      <c r="F11" s="40" t="s">
        <v>19</v>
      </c>
      <c r="G11" s="40">
        <v>10</v>
      </c>
      <c r="H11" s="128">
        <v>699</v>
      </c>
      <c r="I11" s="130">
        <f t="shared" ref="I11:I12" si="0">H11*G11</f>
        <v>6990</v>
      </c>
    </row>
    <row r="12" spans="1:9" ht="14.25" x14ac:dyDescent="0.25">
      <c r="A12" s="144">
        <v>3</v>
      </c>
      <c r="B12" s="150" t="s">
        <v>73</v>
      </c>
      <c r="C12" s="126" t="s">
        <v>68</v>
      </c>
      <c r="D12" s="33" t="s">
        <v>69</v>
      </c>
      <c r="E12" s="126" t="s">
        <v>74</v>
      </c>
      <c r="F12" s="40" t="s">
        <v>19</v>
      </c>
      <c r="G12" s="40">
        <v>10</v>
      </c>
      <c r="H12" s="128">
        <v>699</v>
      </c>
      <c r="I12" s="130">
        <f t="shared" si="0"/>
        <v>6990</v>
      </c>
    </row>
    <row r="13" spans="1:9" ht="14.25" thickBot="1" x14ac:dyDescent="0.3">
      <c r="I13" s="72">
        <f>SUM(I10:I12)</f>
        <v>34950</v>
      </c>
    </row>
    <row r="14" spans="1:9" ht="14.25" thickBot="1" x14ac:dyDescent="0.3"/>
    <row r="15" spans="1:9" x14ac:dyDescent="0.25">
      <c r="B15" s="73" t="s">
        <v>32</v>
      </c>
      <c r="C15" s="7" t="s">
        <v>33</v>
      </c>
      <c r="D15" s="7"/>
      <c r="E15" s="8"/>
    </row>
    <row r="16" spans="1:9" ht="33.75" customHeight="1" x14ac:dyDescent="0.25">
      <c r="B16" s="45" t="s">
        <v>34</v>
      </c>
      <c r="C16" s="69"/>
      <c r="D16" s="69"/>
      <c r="E16" s="131"/>
    </row>
    <row r="17" spans="2:5" ht="3" customHeight="1" x14ac:dyDescent="0.25">
      <c r="B17" s="74"/>
      <c r="C17" s="132"/>
      <c r="D17" s="132"/>
      <c r="E17" s="133"/>
    </row>
    <row r="18" spans="2:5" ht="66.75" customHeight="1" x14ac:dyDescent="0.25">
      <c r="B18" s="74"/>
      <c r="C18" s="341" t="s">
        <v>35</v>
      </c>
      <c r="D18" s="341"/>
      <c r="E18" s="342"/>
    </row>
    <row r="19" spans="2:5" x14ac:dyDescent="0.25">
      <c r="B19" s="45" t="s">
        <v>36</v>
      </c>
      <c r="C19" s="69"/>
      <c r="D19" s="69"/>
      <c r="E19" s="131"/>
    </row>
    <row r="20" spans="2:5" ht="27" x14ac:dyDescent="0.25">
      <c r="B20" s="74"/>
      <c r="C20" s="134" t="s">
        <v>37</v>
      </c>
      <c r="D20" s="134"/>
      <c r="E20" s="135"/>
    </row>
    <row r="21" spans="2:5" x14ac:dyDescent="0.25">
      <c r="B21" s="45" t="s">
        <v>38</v>
      </c>
      <c r="C21" s="136"/>
      <c r="D21" s="136"/>
      <c r="E21" s="137"/>
    </row>
    <row r="22" spans="2:5" x14ac:dyDescent="0.25">
      <c r="B22" s="74"/>
      <c r="C22" s="134" t="s">
        <v>39</v>
      </c>
      <c r="D22" s="134"/>
      <c r="E22" s="135"/>
    </row>
    <row r="23" spans="2:5" x14ac:dyDescent="0.25">
      <c r="B23" s="45" t="s">
        <v>40</v>
      </c>
      <c r="C23" s="69"/>
      <c r="D23" s="69"/>
      <c r="E23" s="131"/>
    </row>
    <row r="24" spans="2:5" x14ac:dyDescent="0.25">
      <c r="B24" s="45"/>
      <c r="C24" s="132" t="s">
        <v>41</v>
      </c>
      <c r="D24" s="132"/>
      <c r="E24" s="133"/>
    </row>
    <row r="25" spans="2:5" ht="14.25" thickBot="1" x14ac:dyDescent="0.3">
      <c r="B25" s="20"/>
      <c r="C25" s="138"/>
      <c r="D25" s="138"/>
      <c r="E25" s="139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4" zoomScale="85" zoomScaleNormal="85" workbookViewId="0">
      <selection activeCell="A18" sqref="A18:XFD19"/>
    </sheetView>
  </sheetViews>
  <sheetFormatPr baseColWidth="10" defaultColWidth="9.140625" defaultRowHeight="13.5" x14ac:dyDescent="0.25"/>
  <cols>
    <col min="1" max="1" width="10.85546875" style="1" customWidth="1"/>
    <col min="2" max="2" width="14.5703125" style="1" customWidth="1"/>
    <col min="3" max="3" width="31.85546875" style="1" customWidth="1"/>
    <col min="4" max="4" width="9.140625" style="1"/>
    <col min="5" max="5" width="68.5703125" style="1" customWidth="1"/>
    <col min="6" max="6" width="9.140625" style="1"/>
    <col min="7" max="7" width="10.140625" style="1" customWidth="1"/>
    <col min="8" max="8" width="12.85546875" style="1" customWidth="1"/>
    <col min="9" max="9" width="16.28515625" style="1" customWidth="1"/>
    <col min="10" max="16384" width="9.140625" style="1"/>
  </cols>
  <sheetData>
    <row r="1" spans="1:9" x14ac:dyDescent="0.25">
      <c r="B1" s="343" t="s">
        <v>0</v>
      </c>
      <c r="C1" s="343"/>
      <c r="D1" s="343"/>
      <c r="E1" s="343"/>
      <c r="F1" s="343"/>
      <c r="G1" s="343"/>
      <c r="H1" s="343"/>
    </row>
    <row r="3" spans="1:9" x14ac:dyDescent="0.25">
      <c r="A3" s="347" t="s">
        <v>1</v>
      </c>
      <c r="B3" s="347"/>
      <c r="C3" s="348" t="s">
        <v>2</v>
      </c>
      <c r="D3" s="348"/>
      <c r="E3" s="348"/>
      <c r="F3" s="2"/>
      <c r="G3" s="3"/>
      <c r="H3" s="2"/>
    </row>
    <row r="4" spans="1:9" ht="18" customHeight="1" x14ac:dyDescent="0.25">
      <c r="A4" s="347" t="s">
        <v>3</v>
      </c>
      <c r="B4" s="347"/>
      <c r="C4" s="348" t="s">
        <v>42</v>
      </c>
      <c r="D4" s="348"/>
      <c r="E4" s="348"/>
      <c r="F4" s="2"/>
      <c r="G4" s="3"/>
      <c r="H4" s="2"/>
    </row>
    <row r="5" spans="1:9" ht="18" customHeight="1" x14ac:dyDescent="0.25">
      <c r="A5" s="347" t="s">
        <v>5</v>
      </c>
      <c r="B5" s="347"/>
      <c r="C5" s="75">
        <v>2021</v>
      </c>
      <c r="D5" s="4"/>
      <c r="E5" s="4"/>
      <c r="F5" s="2"/>
      <c r="G5" s="3"/>
      <c r="H5" s="2"/>
    </row>
    <row r="6" spans="1:9" ht="16.5" customHeight="1" x14ac:dyDescent="0.25">
      <c r="A6" s="347" t="s">
        <v>6</v>
      </c>
      <c r="B6" s="347"/>
      <c r="C6" s="75">
        <v>2</v>
      </c>
      <c r="D6" s="4"/>
      <c r="E6" s="4"/>
      <c r="F6" s="2"/>
      <c r="G6" s="3"/>
      <c r="H6" s="2"/>
    </row>
    <row r="7" spans="1:9" ht="16.5" customHeight="1" thickBot="1" x14ac:dyDescent="0.3">
      <c r="B7" s="2"/>
      <c r="C7" s="3"/>
      <c r="D7" s="2"/>
      <c r="E7" s="2"/>
      <c r="F7" s="2"/>
      <c r="G7" s="3"/>
      <c r="H7" s="2"/>
    </row>
    <row r="8" spans="1:9" ht="39" thickBot="1" x14ac:dyDescent="0.3">
      <c r="A8" s="21" t="s">
        <v>7</v>
      </c>
      <c r="B8" s="22" t="s">
        <v>8</v>
      </c>
      <c r="C8" s="23" t="s">
        <v>9</v>
      </c>
      <c r="D8" s="23" t="s">
        <v>10</v>
      </c>
      <c r="E8" s="24" t="s">
        <v>11</v>
      </c>
      <c r="F8" s="25" t="s">
        <v>12</v>
      </c>
      <c r="G8" s="26" t="s">
        <v>13</v>
      </c>
      <c r="H8" s="24" t="s">
        <v>14</v>
      </c>
      <c r="I8" s="27" t="s">
        <v>15</v>
      </c>
    </row>
    <row r="9" spans="1:9" ht="52.5" customHeight="1" x14ac:dyDescent="0.25">
      <c r="A9" s="116" t="s">
        <v>75</v>
      </c>
      <c r="B9" s="100" t="s">
        <v>76</v>
      </c>
      <c r="C9" s="152" t="s">
        <v>77</v>
      </c>
      <c r="D9" s="114" t="s">
        <v>78</v>
      </c>
      <c r="E9" s="101" t="s">
        <v>79</v>
      </c>
      <c r="F9" s="100" t="s">
        <v>19</v>
      </c>
      <c r="G9" s="102">
        <v>200</v>
      </c>
      <c r="H9" s="103">
        <v>291.89999999999998</v>
      </c>
      <c r="I9" s="104">
        <f t="shared" ref="I9:I13" si="0">G9*H9</f>
        <v>58379.999999999993</v>
      </c>
    </row>
    <row r="10" spans="1:9" ht="52.5" customHeight="1" x14ac:dyDescent="0.25">
      <c r="A10" s="116" t="s">
        <v>80</v>
      </c>
      <c r="B10" s="83" t="s">
        <v>81</v>
      </c>
      <c r="C10" s="152" t="s">
        <v>77</v>
      </c>
      <c r="D10" s="113" t="s">
        <v>78</v>
      </c>
      <c r="E10" s="84" t="s">
        <v>82</v>
      </c>
      <c r="F10" s="83" t="s">
        <v>19</v>
      </c>
      <c r="G10" s="85">
        <v>500</v>
      </c>
      <c r="H10" s="86">
        <v>13.2</v>
      </c>
      <c r="I10" s="87">
        <f t="shared" si="0"/>
        <v>6600</v>
      </c>
    </row>
    <row r="11" spans="1:9" ht="52.5" customHeight="1" x14ac:dyDescent="0.25">
      <c r="A11" s="116" t="s">
        <v>83</v>
      </c>
      <c r="B11" s="83" t="s">
        <v>84</v>
      </c>
      <c r="C11" s="152" t="s">
        <v>77</v>
      </c>
      <c r="D11" s="113" t="s">
        <v>78</v>
      </c>
      <c r="E11" s="84" t="s">
        <v>85</v>
      </c>
      <c r="F11" s="83" t="s">
        <v>19</v>
      </c>
      <c r="G11" s="85">
        <v>500</v>
      </c>
      <c r="H11" s="86">
        <v>11.6</v>
      </c>
      <c r="I11" s="87">
        <f t="shared" si="0"/>
        <v>5800</v>
      </c>
    </row>
    <row r="12" spans="1:9" ht="52.5" customHeight="1" x14ac:dyDescent="0.25">
      <c r="A12" s="116" t="s">
        <v>86</v>
      </c>
      <c r="B12" s="88" t="s">
        <v>87</v>
      </c>
      <c r="C12" s="152" t="s">
        <v>77</v>
      </c>
      <c r="D12" s="33" t="s">
        <v>78</v>
      </c>
      <c r="E12" s="84" t="s">
        <v>88</v>
      </c>
      <c r="F12" s="83" t="s">
        <v>19</v>
      </c>
      <c r="G12" s="85">
        <v>1000</v>
      </c>
      <c r="H12" s="86">
        <v>387.9</v>
      </c>
      <c r="I12" s="87">
        <f t="shared" si="0"/>
        <v>387900</v>
      </c>
    </row>
    <row r="13" spans="1:9" ht="52.5" customHeight="1" x14ac:dyDescent="0.25">
      <c r="A13" s="116" t="s">
        <v>89</v>
      </c>
      <c r="B13" s="151" t="s">
        <v>90</v>
      </c>
      <c r="C13" s="152" t="s">
        <v>77</v>
      </c>
      <c r="D13" s="33" t="s">
        <v>78</v>
      </c>
      <c r="E13" s="84" t="s">
        <v>91</v>
      </c>
      <c r="F13" s="83" t="s">
        <v>19</v>
      </c>
      <c r="G13" s="85">
        <v>1000</v>
      </c>
      <c r="H13" s="86">
        <v>695.18</v>
      </c>
      <c r="I13" s="87">
        <f t="shared" si="0"/>
        <v>695180</v>
      </c>
    </row>
    <row r="14" spans="1:9" s="5" customFormat="1" ht="54" x14ac:dyDescent="0.2">
      <c r="A14" s="116" t="s">
        <v>92</v>
      </c>
      <c r="B14" s="88" t="s">
        <v>93</v>
      </c>
      <c r="C14" s="152" t="s">
        <v>77</v>
      </c>
      <c r="D14" s="113" t="s">
        <v>78</v>
      </c>
      <c r="E14" s="63" t="s">
        <v>94</v>
      </c>
      <c r="F14" s="83" t="s">
        <v>19</v>
      </c>
      <c r="G14" s="94">
        <v>1500</v>
      </c>
      <c r="H14" s="95">
        <v>592.30999999999995</v>
      </c>
      <c r="I14" s="87">
        <f>G14*H14</f>
        <v>888464.99999999988</v>
      </c>
    </row>
    <row r="15" spans="1:9" s="5" customFormat="1" ht="54.75" thickBot="1" x14ac:dyDescent="0.25">
      <c r="A15" s="116" t="s">
        <v>95</v>
      </c>
      <c r="B15" s="92" t="s">
        <v>96</v>
      </c>
      <c r="C15" s="152" t="s">
        <v>77</v>
      </c>
      <c r="D15" s="115" t="s">
        <v>78</v>
      </c>
      <c r="E15" s="64" t="s">
        <v>97</v>
      </c>
      <c r="F15" s="92" t="s">
        <v>19</v>
      </c>
      <c r="G15" s="96">
        <v>1500</v>
      </c>
      <c r="H15" s="97">
        <v>481.17</v>
      </c>
      <c r="I15" s="93">
        <f t="shared" ref="I15" si="1">G15*H15</f>
        <v>721755</v>
      </c>
    </row>
    <row r="16" spans="1:9" ht="14.25" thickBot="1" x14ac:dyDescent="0.3">
      <c r="A16" s="361"/>
      <c r="B16" s="361"/>
      <c r="C16" s="361"/>
      <c r="D16" s="361"/>
      <c r="E16" s="361"/>
      <c r="F16" s="361"/>
      <c r="G16" s="361"/>
      <c r="H16" s="361"/>
      <c r="I16" s="89">
        <f>SUM(I9:I15)</f>
        <v>2764080</v>
      </c>
    </row>
    <row r="17" spans="1:5" ht="14.25" thickBot="1" x14ac:dyDescent="0.3">
      <c r="B17" s="6"/>
    </row>
    <row r="18" spans="1:5" ht="18" customHeight="1" x14ac:dyDescent="0.25">
      <c r="B18" s="90" t="s">
        <v>98</v>
      </c>
      <c r="C18" s="7"/>
      <c r="D18" s="7"/>
      <c r="E18" s="8"/>
    </row>
    <row r="19" spans="1:5" ht="13.5" customHeight="1" x14ac:dyDescent="0.25">
      <c r="B19" s="74"/>
      <c r="C19" s="9" t="s">
        <v>99</v>
      </c>
      <c r="D19" s="9"/>
      <c r="E19" s="10"/>
    </row>
    <row r="20" spans="1:5" x14ac:dyDescent="0.25">
      <c r="B20" s="74"/>
      <c r="C20" s="9"/>
      <c r="D20" s="9"/>
      <c r="E20" s="10"/>
    </row>
    <row r="21" spans="1:5" x14ac:dyDescent="0.25">
      <c r="A21" s="13"/>
      <c r="B21" s="15" t="s">
        <v>34</v>
      </c>
      <c r="C21" s="16"/>
      <c r="D21" s="9"/>
      <c r="E21" s="325"/>
    </row>
    <row r="22" spans="1:5" ht="127.5" customHeight="1" x14ac:dyDescent="0.25">
      <c r="A22" s="13"/>
      <c r="B22" s="14"/>
      <c r="C22" s="345" t="s">
        <v>57</v>
      </c>
      <c r="D22" s="345"/>
      <c r="E22" s="346"/>
    </row>
    <row r="23" spans="1:5" ht="9.75" customHeight="1" x14ac:dyDescent="0.25">
      <c r="A23" s="13"/>
      <c r="B23" s="14"/>
      <c r="C23" s="364"/>
      <c r="D23" s="364"/>
      <c r="E23" s="355"/>
    </row>
    <row r="24" spans="1:5" x14ac:dyDescent="0.25">
      <c r="A24" s="13"/>
      <c r="B24" s="15" t="s">
        <v>36</v>
      </c>
      <c r="C24" s="16"/>
      <c r="D24" s="9"/>
      <c r="E24" s="325"/>
    </row>
    <row r="25" spans="1:5" x14ac:dyDescent="0.25">
      <c r="A25" s="13"/>
      <c r="B25" s="14"/>
      <c r="C25" s="345" t="s">
        <v>58</v>
      </c>
      <c r="D25" s="345"/>
      <c r="E25" s="346"/>
    </row>
    <row r="26" spans="1:5" ht="13.5" customHeight="1" x14ac:dyDescent="0.25">
      <c r="B26" s="28"/>
      <c r="C26" s="9"/>
      <c r="D26" s="9"/>
      <c r="E26" s="10"/>
    </row>
    <row r="27" spans="1:5" x14ac:dyDescent="0.25">
      <c r="B27" s="28"/>
      <c r="C27" s="9"/>
      <c r="D27" s="9"/>
      <c r="E27" s="10"/>
    </row>
    <row r="28" spans="1:5" x14ac:dyDescent="0.25">
      <c r="B28" s="15" t="s">
        <v>38</v>
      </c>
      <c r="C28" s="314"/>
      <c r="D28" s="314"/>
      <c r="E28" s="315"/>
    </row>
    <row r="29" spans="1:5" x14ac:dyDescent="0.25">
      <c r="B29" s="17"/>
      <c r="C29" s="356" t="s">
        <v>59</v>
      </c>
      <c r="D29" s="356"/>
      <c r="E29" s="357"/>
    </row>
    <row r="30" spans="1:5" ht="30" customHeight="1" x14ac:dyDescent="0.25">
      <c r="B30" s="18" t="s">
        <v>40</v>
      </c>
      <c r="C30" s="9"/>
      <c r="D30" s="9"/>
      <c r="E30" s="10"/>
    </row>
    <row r="31" spans="1:5" ht="24.75" customHeight="1" thickBot="1" x14ac:dyDescent="0.3">
      <c r="B31" s="91"/>
      <c r="C31" s="362"/>
      <c r="D31" s="362"/>
      <c r="E31" s="363"/>
    </row>
    <row r="32" spans="1:5" ht="14.25" thickBot="1" x14ac:dyDescent="0.3">
      <c r="B32" s="20"/>
      <c r="C32" s="11"/>
      <c r="D32" s="11"/>
      <c r="E32" s="12"/>
    </row>
    <row r="39" spans="1:4" x14ac:dyDescent="0.25">
      <c r="A39" s="67"/>
      <c r="B39" s="67"/>
      <c r="C39" s="67"/>
      <c r="D39" s="67"/>
    </row>
    <row r="40" spans="1:4" x14ac:dyDescent="0.25">
      <c r="A40" s="67"/>
      <c r="B40" s="67"/>
      <c r="C40" s="67"/>
      <c r="D40" s="67"/>
    </row>
  </sheetData>
  <mergeCells count="13">
    <mergeCell ref="A5:B5"/>
    <mergeCell ref="A6:B6"/>
    <mergeCell ref="A16:H16"/>
    <mergeCell ref="C31:E31"/>
    <mergeCell ref="C22:E22"/>
    <mergeCell ref="C23:E23"/>
    <mergeCell ref="C25:E25"/>
    <mergeCell ref="C29:E29"/>
    <mergeCell ref="B1:H1"/>
    <mergeCell ref="A3:B3"/>
    <mergeCell ref="C3:E3"/>
    <mergeCell ref="A4:B4"/>
    <mergeCell ref="C4:E4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I26"/>
  <sheetViews>
    <sheetView tabSelected="1" view="pageBreakPreview" topLeftCell="A2" zoomScaleNormal="80" zoomScaleSheetLayoutView="100" workbookViewId="0">
      <selection activeCell="C23" sqref="C23:E23"/>
    </sheetView>
  </sheetViews>
  <sheetFormatPr baseColWidth="10" defaultColWidth="11" defaultRowHeight="13.5" x14ac:dyDescent="0.25"/>
  <cols>
    <col min="1" max="1" width="4.5703125" style="1" customWidth="1"/>
    <col min="2" max="2" width="14.42578125" style="1" customWidth="1"/>
    <col min="3" max="3" width="37.7109375" style="1" customWidth="1"/>
    <col min="4" max="4" width="10.28515625" style="1" customWidth="1"/>
    <col min="5" max="5" width="80.71093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 x14ac:dyDescent="0.25">
      <c r="A4" s="347" t="s">
        <v>1</v>
      </c>
      <c r="B4" s="347"/>
      <c r="C4" s="348" t="s">
        <v>2</v>
      </c>
      <c r="D4" s="348"/>
      <c r="E4" s="348"/>
      <c r="F4" s="2"/>
      <c r="G4" s="3"/>
      <c r="H4" s="2"/>
    </row>
    <row r="5" spans="1:9" ht="18" customHeight="1" x14ac:dyDescent="0.25">
      <c r="A5" s="347" t="s">
        <v>3</v>
      </c>
      <c r="B5" s="347"/>
      <c r="C5" s="348" t="s">
        <v>42</v>
      </c>
      <c r="D5" s="348"/>
      <c r="E5" s="348"/>
      <c r="F5" s="2"/>
      <c r="G5" s="3"/>
      <c r="H5" s="2"/>
    </row>
    <row r="6" spans="1:9" ht="16.5" customHeight="1" x14ac:dyDescent="0.25">
      <c r="A6" s="347" t="s">
        <v>5</v>
      </c>
      <c r="B6" s="347"/>
      <c r="C6" s="75">
        <v>2022</v>
      </c>
      <c r="D6" s="4"/>
      <c r="E6" s="4"/>
      <c r="F6" s="2"/>
      <c r="G6" s="3"/>
      <c r="H6" s="2"/>
    </row>
    <row r="7" spans="1:9" ht="16.5" customHeight="1" x14ac:dyDescent="0.25">
      <c r="A7" s="347" t="s">
        <v>6</v>
      </c>
      <c r="B7" s="347"/>
      <c r="C7" s="411">
        <v>2</v>
      </c>
      <c r="D7" s="4"/>
      <c r="E7" s="4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" thickBot="1" x14ac:dyDescent="0.3">
      <c r="A9" s="117" t="s">
        <v>7</v>
      </c>
      <c r="B9" s="77" t="s">
        <v>8</v>
      </c>
      <c r="C9" s="78" t="s">
        <v>9</v>
      </c>
      <c r="D9" s="117" t="s">
        <v>10</v>
      </c>
      <c r="E9" s="78" t="s">
        <v>11</v>
      </c>
      <c r="F9" s="80" t="s">
        <v>12</v>
      </c>
      <c r="G9" s="79" t="s">
        <v>13</v>
      </c>
      <c r="H9" s="77" t="s">
        <v>14</v>
      </c>
      <c r="I9" s="78" t="s">
        <v>15</v>
      </c>
    </row>
    <row r="10" spans="1:9" ht="30.75" customHeight="1" x14ac:dyDescent="0.25">
      <c r="A10" s="154">
        <v>1</v>
      </c>
      <c r="B10" s="155" t="s">
        <v>100</v>
      </c>
      <c r="C10" s="155" t="s">
        <v>101</v>
      </c>
      <c r="D10" s="31" t="s">
        <v>102</v>
      </c>
      <c r="E10" s="38" t="s">
        <v>103</v>
      </c>
      <c r="F10" s="156" t="s">
        <v>19</v>
      </c>
      <c r="G10" s="32">
        <v>450</v>
      </c>
      <c r="H10" s="157">
        <v>104500</v>
      </c>
      <c r="I10" s="158">
        <f>+H10*G10</f>
        <v>47025000</v>
      </c>
    </row>
    <row r="11" spans="1:9" ht="18.75" customHeight="1" thickBot="1" x14ac:dyDescent="0.3">
      <c r="A11" s="16"/>
      <c r="B11" s="68"/>
      <c r="C11" s="68"/>
      <c r="D11" s="98"/>
      <c r="E11" s="9"/>
      <c r="F11" s="316"/>
      <c r="G11" s="99"/>
      <c r="H11" s="118"/>
      <c r="I11" s="119">
        <f>SUM(I10:I10)</f>
        <v>47025000</v>
      </c>
    </row>
    <row r="12" spans="1:9" x14ac:dyDescent="0.25">
      <c r="B12" s="41" t="s">
        <v>104</v>
      </c>
      <c r="C12" s="7"/>
      <c r="D12" s="7"/>
      <c r="E12" s="8"/>
    </row>
    <row r="13" spans="1:9" x14ac:dyDescent="0.25">
      <c r="A13" s="13"/>
      <c r="B13" s="14"/>
      <c r="C13" s="16"/>
      <c r="D13" s="9"/>
      <c r="E13" s="325"/>
      <c r="F13" s="13"/>
      <c r="G13" s="13"/>
      <c r="H13" s="13"/>
      <c r="I13" s="53"/>
    </row>
    <row r="14" spans="1:9" x14ac:dyDescent="0.25">
      <c r="A14" s="13"/>
      <c r="B14" s="19" t="s">
        <v>105</v>
      </c>
      <c r="C14" s="16"/>
      <c r="D14" s="9"/>
      <c r="E14" s="325"/>
      <c r="F14" s="13"/>
      <c r="G14" s="13"/>
      <c r="H14" s="13"/>
      <c r="I14" s="53"/>
    </row>
    <row r="15" spans="1:9" ht="81" customHeight="1" x14ac:dyDescent="0.25">
      <c r="A15" s="13"/>
      <c r="B15" s="120"/>
      <c r="C15" s="345" t="s">
        <v>287</v>
      </c>
      <c r="D15" s="345"/>
      <c r="E15" s="346"/>
      <c r="F15" s="13"/>
      <c r="G15" s="13"/>
      <c r="H15" s="13"/>
      <c r="I15" s="53"/>
    </row>
    <row r="16" spans="1:9" ht="7.5" customHeight="1" x14ac:dyDescent="0.25">
      <c r="B16" s="19"/>
      <c r="C16" s="317"/>
      <c r="D16" s="317"/>
      <c r="E16" s="318"/>
    </row>
    <row r="17" spans="2:5" x14ac:dyDescent="0.25">
      <c r="B17" s="19" t="s">
        <v>34</v>
      </c>
      <c r="C17" s="9"/>
      <c r="D17" s="9"/>
      <c r="E17" s="10"/>
    </row>
    <row r="18" spans="2:5" ht="101.25" customHeight="1" x14ac:dyDescent="0.25">
      <c r="B18" s="17"/>
      <c r="C18" s="345" t="s">
        <v>288</v>
      </c>
      <c r="D18" s="345"/>
      <c r="E18" s="346"/>
    </row>
    <row r="19" spans="2:5" ht="4.5" customHeight="1" x14ac:dyDescent="0.25">
      <c r="B19" s="17"/>
      <c r="C19" s="364"/>
      <c r="D19" s="364"/>
      <c r="E19" s="355"/>
    </row>
    <row r="20" spans="2:5" x14ac:dyDescent="0.25">
      <c r="B20" s="19" t="s">
        <v>36</v>
      </c>
      <c r="C20" s="9"/>
      <c r="D20" s="9"/>
      <c r="E20" s="10"/>
    </row>
    <row r="21" spans="2:5" ht="15.75" customHeight="1" x14ac:dyDescent="0.25">
      <c r="B21" s="17"/>
      <c r="C21" s="356" t="s">
        <v>106</v>
      </c>
      <c r="D21" s="356"/>
      <c r="E21" s="357"/>
    </row>
    <row r="22" spans="2:5" x14ac:dyDescent="0.25">
      <c r="B22" s="19" t="s">
        <v>38</v>
      </c>
      <c r="C22" s="314"/>
      <c r="D22" s="314"/>
      <c r="E22" s="315"/>
    </row>
    <row r="23" spans="2:5" x14ac:dyDescent="0.25">
      <c r="B23" s="17"/>
      <c r="C23" s="409" t="s">
        <v>107</v>
      </c>
      <c r="D23" s="409"/>
      <c r="E23" s="410"/>
    </row>
    <row r="24" spans="2:5" x14ac:dyDescent="0.25">
      <c r="B24" s="19" t="s">
        <v>40</v>
      </c>
      <c r="C24" s="9"/>
      <c r="D24" s="9"/>
      <c r="E24" s="10"/>
    </row>
    <row r="25" spans="2:5" x14ac:dyDescent="0.25">
      <c r="B25" s="19"/>
      <c r="C25" s="365" t="s">
        <v>108</v>
      </c>
      <c r="D25" s="365"/>
      <c r="E25" s="366"/>
    </row>
    <row r="26" spans="2:5" ht="14.25" thickBot="1" x14ac:dyDescent="0.3">
      <c r="B26" s="20"/>
      <c r="C26" s="330"/>
      <c r="D26" s="330"/>
      <c r="E26" s="331"/>
    </row>
  </sheetData>
  <mergeCells count="13">
    <mergeCell ref="C21:E21"/>
    <mergeCell ref="C23:E23"/>
    <mergeCell ref="C25:E25"/>
    <mergeCell ref="A7:B7"/>
    <mergeCell ref="C18:E18"/>
    <mergeCell ref="C19:E19"/>
    <mergeCell ref="C15:E15"/>
    <mergeCell ref="A6:B6"/>
    <mergeCell ref="B2:H2"/>
    <mergeCell ref="A4:B4"/>
    <mergeCell ref="C4:E4"/>
    <mergeCell ref="A5:B5"/>
    <mergeCell ref="C5:E5"/>
  </mergeCells>
  <printOptions horizontalCentered="1" verticalCentered="1"/>
  <pageMargins left="0" right="0" top="0" bottom="0" header="0" footer="0"/>
  <pageSetup paperSize="190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2.7109375" style="1" customWidth="1"/>
    <col min="4" max="4" width="8.42578125" style="1" customWidth="1"/>
    <col min="5" max="5" width="110.42578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x14ac:dyDescent="0.25">
      <c r="A1" s="369"/>
      <c r="B1" s="369"/>
      <c r="C1" s="211"/>
      <c r="D1" s="211"/>
      <c r="E1" s="211"/>
      <c r="F1" s="211"/>
      <c r="G1" s="211"/>
      <c r="H1" s="211"/>
      <c r="I1" s="211"/>
    </row>
    <row r="2" spans="1:9" ht="28.5" x14ac:dyDescent="0.4">
      <c r="A2" s="211"/>
      <c r="B2" s="373" t="s">
        <v>0</v>
      </c>
      <c r="C2" s="373"/>
      <c r="D2" s="373"/>
      <c r="E2" s="373"/>
      <c r="F2" s="373"/>
      <c r="G2" s="373"/>
      <c r="H2" s="373"/>
      <c r="I2" s="211"/>
    </row>
    <row r="3" spans="1:9" x14ac:dyDescent="0.25">
      <c r="A3" s="369"/>
      <c r="B3" s="369"/>
      <c r="C3" s="211"/>
      <c r="D3" s="211"/>
      <c r="E3" s="211"/>
      <c r="F3" s="211"/>
      <c r="G3" s="211"/>
      <c r="H3" s="211"/>
      <c r="I3" s="211"/>
    </row>
    <row r="4" spans="1:9" ht="18" customHeight="1" x14ac:dyDescent="0.25">
      <c r="A4" s="374" t="s">
        <v>1</v>
      </c>
      <c r="B4" s="374"/>
      <c r="C4" s="375" t="s">
        <v>2</v>
      </c>
      <c r="D4" s="375"/>
      <c r="E4" s="375"/>
      <c r="F4" s="161"/>
      <c r="G4" s="162"/>
      <c r="H4" s="161"/>
      <c r="I4" s="211"/>
    </row>
    <row r="5" spans="1:9" ht="18" customHeight="1" x14ac:dyDescent="0.25">
      <c r="A5" s="374" t="s">
        <v>3</v>
      </c>
      <c r="B5" s="374"/>
      <c r="C5" s="375" t="s">
        <v>4</v>
      </c>
      <c r="D5" s="375"/>
      <c r="E5" s="375"/>
      <c r="F5" s="161"/>
      <c r="G5" s="162"/>
      <c r="H5" s="161"/>
      <c r="I5" s="211"/>
    </row>
    <row r="6" spans="1:9" ht="16.5" customHeight="1" x14ac:dyDescent="0.25">
      <c r="A6" s="374" t="s">
        <v>5</v>
      </c>
      <c r="B6" s="374"/>
      <c r="C6" s="328">
        <v>2021</v>
      </c>
      <c r="D6" s="163"/>
      <c r="E6" s="163"/>
      <c r="F6" s="161"/>
      <c r="G6" s="162"/>
      <c r="H6" s="161"/>
      <c r="I6" s="211"/>
    </row>
    <row r="7" spans="1:9" ht="16.5" customHeight="1" x14ac:dyDescent="0.25">
      <c r="A7" s="374" t="s">
        <v>6</v>
      </c>
      <c r="B7" s="374"/>
      <c r="C7" s="328">
        <v>3</v>
      </c>
      <c r="D7" s="163"/>
      <c r="E7" s="163"/>
      <c r="F7" s="161"/>
      <c r="G7" s="162"/>
      <c r="H7" s="161"/>
      <c r="I7" s="211"/>
    </row>
    <row r="8" spans="1:9" ht="14.25" thickBot="1" x14ac:dyDescent="0.3">
      <c r="A8" s="370"/>
      <c r="B8" s="370"/>
      <c r="C8" s="162"/>
      <c r="D8" s="161"/>
      <c r="E8" s="161"/>
      <c r="F8" s="161"/>
      <c r="G8" s="162"/>
      <c r="H8" s="161"/>
      <c r="I8" s="211"/>
    </row>
    <row r="9" spans="1:9" ht="39.75" thickTop="1" thickBot="1" x14ac:dyDescent="0.3">
      <c r="A9" s="164" t="s">
        <v>7</v>
      </c>
      <c r="B9" s="164" t="s">
        <v>8</v>
      </c>
      <c r="C9" s="164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ht="28.5" customHeight="1" x14ac:dyDescent="0.25">
      <c r="A10" s="165">
        <v>1</v>
      </c>
      <c r="B10" s="166" t="s">
        <v>109</v>
      </c>
      <c r="C10" s="167" t="s">
        <v>110</v>
      </c>
      <c r="D10" s="168" t="s">
        <v>111</v>
      </c>
      <c r="E10" s="169" t="s">
        <v>112</v>
      </c>
      <c r="F10" s="170" t="s">
        <v>19</v>
      </c>
      <c r="G10" s="168">
        <v>150</v>
      </c>
      <c r="H10" s="171">
        <v>29663</v>
      </c>
      <c r="I10" s="172">
        <v>4449450</v>
      </c>
    </row>
    <row r="11" spans="1:9" ht="28.5" customHeight="1" x14ac:dyDescent="0.25">
      <c r="A11" s="173">
        <v>2</v>
      </c>
      <c r="B11" s="174" t="s">
        <v>113</v>
      </c>
      <c r="C11" s="175" t="s">
        <v>110</v>
      </c>
      <c r="D11" s="176" t="s">
        <v>111</v>
      </c>
      <c r="E11" s="177" t="s">
        <v>114</v>
      </c>
      <c r="F11" s="178" t="s">
        <v>19</v>
      </c>
      <c r="G11" s="176">
        <v>18</v>
      </c>
      <c r="H11" s="179">
        <v>30499.35</v>
      </c>
      <c r="I11" s="180">
        <v>548988.30000000005</v>
      </c>
    </row>
    <row r="12" spans="1:9" ht="28.5" customHeight="1" x14ac:dyDescent="0.25">
      <c r="A12" s="173">
        <v>3</v>
      </c>
      <c r="B12" s="174" t="s">
        <v>115</v>
      </c>
      <c r="C12" s="175" t="s">
        <v>110</v>
      </c>
      <c r="D12" s="176" t="s">
        <v>111</v>
      </c>
      <c r="E12" s="177" t="s">
        <v>116</v>
      </c>
      <c r="F12" s="178" t="s">
        <v>19</v>
      </c>
      <c r="G12" s="176">
        <v>10</v>
      </c>
      <c r="H12" s="179">
        <v>24985</v>
      </c>
      <c r="I12" s="180">
        <v>249850</v>
      </c>
    </row>
    <row r="13" spans="1:9" ht="28.5" customHeight="1" x14ac:dyDescent="0.25">
      <c r="A13" s="173">
        <v>4</v>
      </c>
      <c r="B13" s="174" t="s">
        <v>117</v>
      </c>
      <c r="C13" s="175" t="s">
        <v>110</v>
      </c>
      <c r="D13" s="176" t="s">
        <v>111</v>
      </c>
      <c r="E13" s="181" t="s">
        <v>118</v>
      </c>
      <c r="F13" s="178" t="s">
        <v>19</v>
      </c>
      <c r="G13" s="176">
        <v>15</v>
      </c>
      <c r="H13" s="179">
        <v>15919.89</v>
      </c>
      <c r="I13" s="180">
        <v>238798.35</v>
      </c>
    </row>
    <row r="14" spans="1:9" ht="28.5" customHeight="1" x14ac:dyDescent="0.25">
      <c r="A14" s="173">
        <v>5</v>
      </c>
      <c r="B14" s="174" t="s">
        <v>119</v>
      </c>
      <c r="C14" s="175" t="s">
        <v>110</v>
      </c>
      <c r="D14" s="176" t="s">
        <v>111</v>
      </c>
      <c r="E14" s="177" t="s">
        <v>120</v>
      </c>
      <c r="F14" s="178" t="s">
        <v>19</v>
      </c>
      <c r="G14" s="176">
        <v>18</v>
      </c>
      <c r="H14" s="179">
        <v>14777</v>
      </c>
      <c r="I14" s="180">
        <v>265986</v>
      </c>
    </row>
    <row r="15" spans="1:9" ht="28.5" customHeight="1" x14ac:dyDescent="0.25">
      <c r="A15" s="173">
        <v>6</v>
      </c>
      <c r="B15" s="174" t="s">
        <v>121</v>
      </c>
      <c r="C15" s="175" t="s">
        <v>110</v>
      </c>
      <c r="D15" s="176" t="s">
        <v>111</v>
      </c>
      <c r="E15" s="177" t="s">
        <v>122</v>
      </c>
      <c r="F15" s="178" t="s">
        <v>19</v>
      </c>
      <c r="G15" s="176">
        <v>18</v>
      </c>
      <c r="H15" s="179">
        <v>23391.45</v>
      </c>
      <c r="I15" s="180">
        <v>421046.1</v>
      </c>
    </row>
    <row r="16" spans="1:9" ht="28.5" customHeight="1" x14ac:dyDescent="0.25">
      <c r="A16" s="173">
        <v>7</v>
      </c>
      <c r="B16" s="174" t="s">
        <v>123</v>
      </c>
      <c r="C16" s="175" t="s">
        <v>110</v>
      </c>
      <c r="D16" s="176" t="s">
        <v>111</v>
      </c>
      <c r="E16" s="177" t="s">
        <v>124</v>
      </c>
      <c r="F16" s="178" t="s">
        <v>19</v>
      </c>
      <c r="G16" s="176">
        <v>18</v>
      </c>
      <c r="H16" s="179">
        <v>15919.89</v>
      </c>
      <c r="I16" s="180">
        <v>286558.02</v>
      </c>
    </row>
    <row r="17" spans="1:11" ht="28.5" customHeight="1" x14ac:dyDescent="0.25">
      <c r="A17" s="173">
        <v>8</v>
      </c>
      <c r="B17" s="174" t="s">
        <v>125</v>
      </c>
      <c r="C17" s="175" t="s">
        <v>110</v>
      </c>
      <c r="D17" s="176" t="s">
        <v>111</v>
      </c>
      <c r="E17" s="177" t="s">
        <v>126</v>
      </c>
      <c r="F17" s="178" t="s">
        <v>19</v>
      </c>
      <c r="G17" s="176">
        <v>18</v>
      </c>
      <c r="H17" s="179">
        <v>32693</v>
      </c>
      <c r="I17" s="180">
        <v>588474</v>
      </c>
    </row>
    <row r="18" spans="1:11" ht="28.5" customHeight="1" x14ac:dyDescent="0.25">
      <c r="A18" s="173">
        <v>9</v>
      </c>
      <c r="B18" s="174" t="s">
        <v>127</v>
      </c>
      <c r="C18" s="175" t="s">
        <v>110</v>
      </c>
      <c r="D18" s="176" t="s">
        <v>111</v>
      </c>
      <c r="E18" s="177" t="s">
        <v>128</v>
      </c>
      <c r="F18" s="178" t="s">
        <v>19</v>
      </c>
      <c r="G18" s="176">
        <v>18</v>
      </c>
      <c r="H18" s="179">
        <v>24264</v>
      </c>
      <c r="I18" s="180">
        <v>436752</v>
      </c>
    </row>
    <row r="19" spans="1:11" ht="28.5" customHeight="1" x14ac:dyDescent="0.25">
      <c r="A19" s="173">
        <v>10</v>
      </c>
      <c r="B19" s="174" t="s">
        <v>129</v>
      </c>
      <c r="C19" s="175" t="s">
        <v>110</v>
      </c>
      <c r="D19" s="176" t="s">
        <v>111</v>
      </c>
      <c r="E19" s="177" t="s">
        <v>130</v>
      </c>
      <c r="F19" s="178" t="s">
        <v>19</v>
      </c>
      <c r="G19" s="176">
        <v>18</v>
      </c>
      <c r="H19" s="179">
        <v>20415</v>
      </c>
      <c r="I19" s="180">
        <v>367470</v>
      </c>
    </row>
    <row r="20" spans="1:11" ht="28.5" customHeight="1" x14ac:dyDescent="0.25">
      <c r="A20" s="173">
        <v>11</v>
      </c>
      <c r="B20" s="174" t="s">
        <v>131</v>
      </c>
      <c r="C20" s="175" t="s">
        <v>110</v>
      </c>
      <c r="D20" s="176" t="s">
        <v>111</v>
      </c>
      <c r="E20" s="177" t="s">
        <v>132</v>
      </c>
      <c r="F20" s="178" t="s">
        <v>19</v>
      </c>
      <c r="G20" s="176">
        <v>100</v>
      </c>
      <c r="H20" s="179">
        <v>35982</v>
      </c>
      <c r="I20" s="180">
        <v>3598200</v>
      </c>
    </row>
    <row r="21" spans="1:11" ht="28.5" customHeight="1" x14ac:dyDescent="0.25">
      <c r="A21" s="173">
        <v>12</v>
      </c>
      <c r="B21" s="174" t="s">
        <v>133</v>
      </c>
      <c r="C21" s="175" t="s">
        <v>110</v>
      </c>
      <c r="D21" s="176" t="s">
        <v>134</v>
      </c>
      <c r="E21" s="177" t="s">
        <v>135</v>
      </c>
      <c r="F21" s="178" t="s">
        <v>19</v>
      </c>
      <c r="G21" s="176">
        <v>6</v>
      </c>
      <c r="H21" s="179">
        <v>75000</v>
      </c>
      <c r="I21" s="180">
        <v>450000</v>
      </c>
    </row>
    <row r="22" spans="1:11" ht="28.5" customHeight="1" x14ac:dyDescent="0.25">
      <c r="A22" s="173">
        <v>13</v>
      </c>
      <c r="B22" s="174" t="s">
        <v>133</v>
      </c>
      <c r="C22" s="175" t="s">
        <v>110</v>
      </c>
      <c r="D22" s="176" t="s">
        <v>111</v>
      </c>
      <c r="E22" s="177" t="s">
        <v>135</v>
      </c>
      <c r="F22" s="178" t="s">
        <v>19</v>
      </c>
      <c r="G22" s="176">
        <v>4</v>
      </c>
      <c r="H22" s="179">
        <v>84995.24</v>
      </c>
      <c r="I22" s="180">
        <v>339980.96</v>
      </c>
    </row>
    <row r="23" spans="1:11" ht="28.5" customHeight="1" x14ac:dyDescent="0.25">
      <c r="A23" s="173">
        <v>14</v>
      </c>
      <c r="B23" s="182" t="s">
        <v>136</v>
      </c>
      <c r="C23" s="175" t="s">
        <v>110</v>
      </c>
      <c r="D23" s="176" t="s">
        <v>111</v>
      </c>
      <c r="E23" s="183" t="s">
        <v>137</v>
      </c>
      <c r="F23" s="178" t="s">
        <v>19</v>
      </c>
      <c r="G23" s="176">
        <v>18</v>
      </c>
      <c r="H23" s="179">
        <v>17341</v>
      </c>
      <c r="I23" s="180">
        <v>312138</v>
      </c>
    </row>
    <row r="24" spans="1:11" ht="28.5" customHeight="1" x14ac:dyDescent="0.25">
      <c r="A24" s="173">
        <v>15</v>
      </c>
      <c r="B24" s="174" t="s">
        <v>138</v>
      </c>
      <c r="C24" s="175" t="s">
        <v>110</v>
      </c>
      <c r="D24" s="176" t="s">
        <v>111</v>
      </c>
      <c r="E24" s="177" t="s">
        <v>139</v>
      </c>
      <c r="F24" s="178" t="s">
        <v>19</v>
      </c>
      <c r="G24" s="176">
        <v>18</v>
      </c>
      <c r="H24" s="179">
        <v>10307</v>
      </c>
      <c r="I24" s="180">
        <v>185526</v>
      </c>
    </row>
    <row r="25" spans="1:11" ht="28.5" customHeight="1" x14ac:dyDescent="0.25">
      <c r="A25" s="173">
        <v>16</v>
      </c>
      <c r="B25" s="174" t="s">
        <v>140</v>
      </c>
      <c r="C25" s="175" t="s">
        <v>110</v>
      </c>
      <c r="D25" s="176" t="s">
        <v>111</v>
      </c>
      <c r="E25" s="177" t="s">
        <v>141</v>
      </c>
      <c r="F25" s="178" t="s">
        <v>19</v>
      </c>
      <c r="G25" s="176">
        <v>18</v>
      </c>
      <c r="H25" s="179">
        <v>8693.6299999999992</v>
      </c>
      <c r="I25" s="180">
        <v>156485.34</v>
      </c>
    </row>
    <row r="26" spans="1:11" ht="28.5" customHeight="1" x14ac:dyDescent="0.25">
      <c r="A26" s="173">
        <v>17</v>
      </c>
      <c r="B26" s="174" t="s">
        <v>142</v>
      </c>
      <c r="C26" s="175" t="s">
        <v>110</v>
      </c>
      <c r="D26" s="176" t="s">
        <v>111</v>
      </c>
      <c r="E26" s="181" t="s">
        <v>143</v>
      </c>
      <c r="F26" s="178" t="s">
        <v>19</v>
      </c>
      <c r="G26" s="176">
        <v>18</v>
      </c>
      <c r="H26" s="179">
        <v>15662.62</v>
      </c>
      <c r="I26" s="180">
        <v>281927.15999999997</v>
      </c>
    </row>
    <row r="27" spans="1:11" ht="27.75" customHeight="1" thickBot="1" x14ac:dyDescent="0.3">
      <c r="A27" s="184">
        <v>18</v>
      </c>
      <c r="B27" s="185" t="s">
        <v>144</v>
      </c>
      <c r="C27" s="186" t="s">
        <v>110</v>
      </c>
      <c r="D27" s="187" t="s">
        <v>111</v>
      </c>
      <c r="E27" s="188" t="s">
        <v>145</v>
      </c>
      <c r="F27" s="189" t="s">
        <v>19</v>
      </c>
      <c r="G27" s="187">
        <v>18</v>
      </c>
      <c r="H27" s="190">
        <v>18143</v>
      </c>
      <c r="I27" s="191">
        <v>326574</v>
      </c>
    </row>
    <row r="28" spans="1:11" ht="14.25" thickBot="1" x14ac:dyDescent="0.3">
      <c r="A28" s="371"/>
      <c r="B28" s="371"/>
      <c r="C28" s="211"/>
      <c r="D28" s="211"/>
      <c r="E28" s="211"/>
      <c r="F28" s="211"/>
      <c r="G28" s="211"/>
      <c r="H28" s="211"/>
      <c r="I28" s="192">
        <f>SUM(I10:I27)</f>
        <v>13504204.23</v>
      </c>
    </row>
    <row r="29" spans="1:11" ht="14.25" thickBot="1" x14ac:dyDescent="0.3">
      <c r="A29" s="369"/>
      <c r="B29" s="369"/>
      <c r="C29" s="211"/>
      <c r="D29" s="211"/>
      <c r="E29" s="211"/>
      <c r="F29" s="211"/>
      <c r="G29" s="211"/>
      <c r="H29" s="211"/>
      <c r="I29" s="211"/>
    </row>
    <row r="30" spans="1:11" x14ac:dyDescent="0.25">
      <c r="A30" s="211"/>
      <c r="B30" s="193" t="s">
        <v>32</v>
      </c>
      <c r="C30" s="194"/>
      <c r="D30" s="212"/>
      <c r="E30" s="212"/>
      <c r="F30" s="212"/>
      <c r="G30" s="212"/>
      <c r="H30" s="212"/>
      <c r="I30" s="195"/>
    </row>
    <row r="31" spans="1:11" ht="15.75" customHeight="1" x14ac:dyDescent="0.25">
      <c r="A31" s="211"/>
      <c r="B31" s="329" t="s">
        <v>146</v>
      </c>
      <c r="C31" s="196"/>
      <c r="D31" s="211"/>
      <c r="E31" s="211"/>
      <c r="F31" s="211"/>
      <c r="G31" s="211"/>
      <c r="H31" s="211"/>
      <c r="I31" s="213"/>
      <c r="K31" s="68"/>
    </row>
    <row r="32" spans="1:11" ht="16.5" customHeight="1" x14ac:dyDescent="0.25">
      <c r="A32" s="211"/>
      <c r="B32" s="329"/>
      <c r="C32" s="197" t="s">
        <v>147</v>
      </c>
      <c r="D32" s="198" t="s">
        <v>148</v>
      </c>
      <c r="E32" s="211"/>
      <c r="F32" s="211"/>
      <c r="G32" s="211"/>
      <c r="H32" s="211"/>
      <c r="I32" s="213"/>
    </row>
    <row r="33" spans="1:11" ht="6.75" customHeight="1" x14ac:dyDescent="0.25">
      <c r="A33" s="211"/>
      <c r="B33" s="329"/>
      <c r="C33" s="197"/>
      <c r="D33" s="199"/>
      <c r="E33" s="211"/>
      <c r="F33" s="211"/>
      <c r="G33" s="211"/>
      <c r="H33" s="211"/>
      <c r="I33" s="213"/>
    </row>
    <row r="34" spans="1:11" ht="15.75" customHeight="1" x14ac:dyDescent="0.25">
      <c r="A34" s="211"/>
      <c r="B34" s="329" t="s">
        <v>149</v>
      </c>
      <c r="C34" s="196"/>
      <c r="D34" s="211"/>
      <c r="E34" s="211"/>
      <c r="F34" s="211"/>
      <c r="G34" s="211"/>
      <c r="H34" s="211"/>
      <c r="I34" s="213"/>
      <c r="K34" s="68"/>
    </row>
    <row r="35" spans="1:11" ht="16.5" customHeight="1" x14ac:dyDescent="0.25">
      <c r="A35" s="211"/>
      <c r="B35" s="329"/>
      <c r="C35" s="197" t="s">
        <v>147</v>
      </c>
      <c r="D35" s="198" t="s">
        <v>150</v>
      </c>
      <c r="E35" s="211"/>
      <c r="F35" s="211"/>
      <c r="G35" s="211"/>
      <c r="H35" s="211"/>
      <c r="I35" s="213"/>
    </row>
    <row r="36" spans="1:11" ht="6.75" customHeight="1" x14ac:dyDescent="0.25">
      <c r="A36" s="211"/>
      <c r="B36" s="329"/>
      <c r="C36" s="197"/>
      <c r="D36" s="200"/>
      <c r="E36" s="211"/>
      <c r="F36" s="211"/>
      <c r="G36" s="211"/>
      <c r="H36" s="211"/>
      <c r="I36" s="213"/>
    </row>
    <row r="37" spans="1:11" ht="6.75" customHeight="1" x14ac:dyDescent="0.25">
      <c r="A37" s="211"/>
      <c r="B37" s="201"/>
      <c r="C37" s="197"/>
      <c r="D37" s="199"/>
      <c r="E37" s="211"/>
      <c r="F37" s="211"/>
      <c r="G37" s="211"/>
      <c r="H37" s="211"/>
      <c r="I37" s="213"/>
    </row>
    <row r="38" spans="1:11" ht="15.75" customHeight="1" x14ac:dyDescent="0.25">
      <c r="A38" s="211"/>
      <c r="B38" s="329" t="s">
        <v>151</v>
      </c>
      <c r="C38" s="196"/>
      <c r="D38" s="211"/>
      <c r="E38" s="211"/>
      <c r="F38" s="211"/>
      <c r="G38" s="211"/>
      <c r="H38" s="211"/>
      <c r="I38" s="213"/>
      <c r="K38" s="70"/>
    </row>
    <row r="39" spans="1:11" ht="16.5" customHeight="1" x14ac:dyDescent="0.25">
      <c r="A39" s="211"/>
      <c r="B39" s="329"/>
      <c r="C39" s="197" t="s">
        <v>147</v>
      </c>
      <c r="D39" s="198" t="s">
        <v>152</v>
      </c>
      <c r="E39" s="211"/>
      <c r="F39" s="211"/>
      <c r="G39" s="211"/>
      <c r="H39" s="211"/>
      <c r="I39" s="213"/>
    </row>
    <row r="40" spans="1:11" ht="15.75" customHeight="1" x14ac:dyDescent="0.25">
      <c r="A40" s="211"/>
      <c r="B40" s="329" t="s">
        <v>153</v>
      </c>
      <c r="C40" s="196"/>
      <c r="D40" s="211"/>
      <c r="E40" s="211"/>
      <c r="F40" s="211"/>
      <c r="G40" s="211"/>
      <c r="H40" s="211"/>
      <c r="I40" s="213"/>
      <c r="K40" s="70"/>
    </row>
    <row r="41" spans="1:11" ht="16.5" customHeight="1" x14ac:dyDescent="0.25">
      <c r="A41" s="211"/>
      <c r="B41" s="329"/>
      <c r="C41" s="197" t="s">
        <v>147</v>
      </c>
      <c r="D41" s="198" t="s">
        <v>154</v>
      </c>
      <c r="E41" s="211"/>
      <c r="F41" s="211"/>
      <c r="G41" s="211"/>
      <c r="H41" s="211"/>
      <c r="I41" s="213"/>
    </row>
    <row r="42" spans="1:11" ht="6.75" customHeight="1" x14ac:dyDescent="0.25">
      <c r="A42" s="211"/>
      <c r="B42" s="201"/>
      <c r="C42" s="197"/>
      <c r="D42" s="199"/>
      <c r="E42" s="211"/>
      <c r="F42" s="211"/>
      <c r="G42" s="211"/>
      <c r="H42" s="211"/>
      <c r="I42" s="213"/>
    </row>
    <row r="43" spans="1:11" ht="15.75" customHeight="1" x14ac:dyDescent="0.25">
      <c r="A43" s="211"/>
      <c r="B43" s="329" t="s">
        <v>155</v>
      </c>
      <c r="C43" s="196"/>
      <c r="D43" s="211"/>
      <c r="E43" s="211"/>
      <c r="F43" s="211"/>
      <c r="G43" s="211"/>
      <c r="H43" s="211"/>
      <c r="I43" s="213"/>
      <c r="K43" s="70"/>
    </row>
    <row r="44" spans="1:11" ht="16.5" customHeight="1" x14ac:dyDescent="0.25">
      <c r="A44" s="211"/>
      <c r="B44" s="329"/>
      <c r="C44" s="197" t="s">
        <v>147</v>
      </c>
      <c r="D44" s="198" t="s">
        <v>156</v>
      </c>
      <c r="E44" s="211"/>
      <c r="F44" s="211"/>
      <c r="G44" s="211"/>
      <c r="H44" s="211"/>
      <c r="I44" s="213"/>
    </row>
    <row r="45" spans="1:11" ht="6.75" customHeight="1" x14ac:dyDescent="0.25">
      <c r="A45" s="211"/>
      <c r="B45" s="201"/>
      <c r="C45" s="197"/>
      <c r="D45" s="199"/>
      <c r="E45" s="211"/>
      <c r="F45" s="211"/>
      <c r="G45" s="211"/>
      <c r="H45" s="211"/>
      <c r="I45" s="213"/>
    </row>
    <row r="46" spans="1:11" ht="15.75" customHeight="1" x14ac:dyDescent="0.25">
      <c r="A46" s="211"/>
      <c r="B46" s="329" t="s">
        <v>157</v>
      </c>
      <c r="C46" s="196"/>
      <c r="D46" s="211"/>
      <c r="E46" s="211"/>
      <c r="F46" s="211"/>
      <c r="G46" s="211"/>
      <c r="H46" s="211"/>
      <c r="I46" s="213"/>
      <c r="K46" s="70"/>
    </row>
    <row r="47" spans="1:11" ht="16.5" customHeight="1" x14ac:dyDescent="0.25">
      <c r="A47" s="211"/>
      <c r="B47" s="329"/>
      <c r="C47" s="197" t="s">
        <v>147</v>
      </c>
      <c r="D47" s="198" t="s">
        <v>158</v>
      </c>
      <c r="E47" s="211"/>
      <c r="F47" s="211"/>
      <c r="G47" s="211"/>
      <c r="H47" s="211"/>
      <c r="I47" s="213"/>
    </row>
    <row r="48" spans="1:11" ht="6.75" customHeight="1" x14ac:dyDescent="0.25">
      <c r="A48" s="211"/>
      <c r="B48" s="201"/>
      <c r="C48" s="197"/>
      <c r="D48" s="200"/>
      <c r="E48" s="211"/>
      <c r="F48" s="211"/>
      <c r="G48" s="211"/>
      <c r="H48" s="211"/>
      <c r="I48" s="213"/>
    </row>
    <row r="49" spans="1:11" ht="15.75" customHeight="1" x14ac:dyDescent="0.25">
      <c r="A49" s="211"/>
      <c r="B49" s="329" t="s">
        <v>159</v>
      </c>
      <c r="C49" s="196"/>
      <c r="D49" s="211"/>
      <c r="E49" s="211"/>
      <c r="F49" s="211"/>
      <c r="G49" s="211"/>
      <c r="H49" s="211"/>
      <c r="I49" s="213"/>
      <c r="K49" s="70"/>
    </row>
    <row r="50" spans="1:11" ht="16.5" customHeight="1" x14ac:dyDescent="0.25">
      <c r="A50" s="211"/>
      <c r="B50" s="329"/>
      <c r="C50" s="197" t="s">
        <v>147</v>
      </c>
      <c r="D50" s="202" t="s">
        <v>160</v>
      </c>
      <c r="E50" s="211"/>
      <c r="F50" s="211"/>
      <c r="G50" s="211"/>
      <c r="H50" s="211"/>
      <c r="I50" s="213"/>
    </row>
    <row r="51" spans="1:11" ht="6.75" customHeight="1" x14ac:dyDescent="0.25">
      <c r="A51" s="211"/>
      <c r="B51" s="201"/>
      <c r="C51" s="197"/>
      <c r="D51" s="200"/>
      <c r="E51" s="211"/>
      <c r="F51" s="211"/>
      <c r="G51" s="211"/>
      <c r="H51" s="211"/>
      <c r="I51" s="213"/>
    </row>
    <row r="52" spans="1:11" ht="15.75" customHeight="1" x14ac:dyDescent="0.25">
      <c r="A52" s="211"/>
      <c r="B52" s="329" t="s">
        <v>161</v>
      </c>
      <c r="C52" s="196"/>
      <c r="D52" s="211"/>
      <c r="E52" s="211"/>
      <c r="F52" s="211"/>
      <c r="G52" s="211"/>
      <c r="H52" s="211"/>
      <c r="I52" s="213"/>
      <c r="K52" s="70"/>
    </row>
    <row r="53" spans="1:11" ht="16.5" customHeight="1" x14ac:dyDescent="0.25">
      <c r="A53" s="211"/>
      <c r="B53" s="329"/>
      <c r="C53" s="197" t="s">
        <v>147</v>
      </c>
      <c r="D53" s="199" t="s">
        <v>162</v>
      </c>
      <c r="E53" s="211"/>
      <c r="F53" s="211"/>
      <c r="G53" s="211"/>
      <c r="H53" s="211"/>
      <c r="I53" s="213"/>
    </row>
    <row r="54" spans="1:11" ht="6.75" customHeight="1" x14ac:dyDescent="0.25">
      <c r="A54" s="211"/>
      <c r="B54" s="201"/>
      <c r="C54" s="197"/>
      <c r="D54" s="199"/>
      <c r="E54" s="211"/>
      <c r="F54" s="211"/>
      <c r="G54" s="211"/>
      <c r="H54" s="211"/>
      <c r="I54" s="213"/>
    </row>
    <row r="55" spans="1:11" ht="15.75" customHeight="1" x14ac:dyDescent="0.25">
      <c r="A55" s="211"/>
      <c r="B55" s="329" t="s">
        <v>163</v>
      </c>
      <c r="C55" s="196"/>
      <c r="D55" s="211"/>
      <c r="E55" s="211"/>
      <c r="F55" s="211"/>
      <c r="G55" s="211"/>
      <c r="H55" s="211"/>
      <c r="I55" s="213"/>
      <c r="K55" s="70"/>
    </row>
    <row r="56" spans="1:11" ht="16.5" customHeight="1" x14ac:dyDescent="0.25">
      <c r="A56" s="211"/>
      <c r="B56" s="329"/>
      <c r="C56" s="197" t="s">
        <v>147</v>
      </c>
      <c r="D56" s="199" t="s">
        <v>164</v>
      </c>
      <c r="E56" s="211"/>
      <c r="F56" s="211"/>
      <c r="G56" s="211"/>
      <c r="H56" s="211"/>
      <c r="I56" s="213"/>
    </row>
    <row r="57" spans="1:11" ht="6.75" customHeight="1" x14ac:dyDescent="0.25">
      <c r="A57" s="211"/>
      <c r="B57" s="201"/>
      <c r="C57" s="197"/>
      <c r="D57" s="200"/>
      <c r="E57" s="211"/>
      <c r="F57" s="211"/>
      <c r="G57" s="211"/>
      <c r="H57" s="211"/>
      <c r="I57" s="213"/>
    </row>
    <row r="58" spans="1:11" ht="15.75" customHeight="1" x14ac:dyDescent="0.25">
      <c r="A58" s="211"/>
      <c r="B58" s="329" t="s">
        <v>165</v>
      </c>
      <c r="C58" s="196"/>
      <c r="D58" s="211"/>
      <c r="E58" s="211"/>
      <c r="F58" s="211"/>
      <c r="G58" s="211"/>
      <c r="H58" s="211"/>
      <c r="I58" s="213"/>
      <c r="K58" s="70"/>
    </row>
    <row r="59" spans="1:11" ht="16.5" customHeight="1" x14ac:dyDescent="0.25">
      <c r="A59" s="211"/>
      <c r="B59" s="329"/>
      <c r="C59" s="197" t="s">
        <v>147</v>
      </c>
      <c r="D59" s="199" t="s">
        <v>166</v>
      </c>
      <c r="E59" s="211"/>
      <c r="F59" s="211"/>
      <c r="G59" s="211"/>
      <c r="H59" s="211"/>
      <c r="I59" s="213"/>
    </row>
    <row r="60" spans="1:11" ht="6.75" customHeight="1" x14ac:dyDescent="0.25">
      <c r="A60" s="211"/>
      <c r="B60" s="201"/>
      <c r="C60" s="197"/>
      <c r="D60" s="199"/>
      <c r="E60" s="211"/>
      <c r="F60" s="211"/>
      <c r="G60" s="211"/>
      <c r="H60" s="211"/>
      <c r="I60" s="213"/>
    </row>
    <row r="61" spans="1:11" ht="15.75" customHeight="1" x14ac:dyDescent="0.25">
      <c r="A61" s="211"/>
      <c r="B61" s="329" t="s">
        <v>167</v>
      </c>
      <c r="C61" s="196"/>
      <c r="D61" s="211"/>
      <c r="E61" s="211"/>
      <c r="F61" s="211"/>
      <c r="G61" s="211"/>
      <c r="H61" s="211"/>
      <c r="I61" s="213"/>
      <c r="K61" s="70"/>
    </row>
    <row r="62" spans="1:11" ht="16.5" customHeight="1" x14ac:dyDescent="0.25">
      <c r="A62" s="211"/>
      <c r="B62" s="329"/>
      <c r="C62" s="197" t="s">
        <v>147</v>
      </c>
      <c r="D62" s="198" t="s">
        <v>168</v>
      </c>
      <c r="E62" s="211"/>
      <c r="F62" s="211"/>
      <c r="G62" s="211"/>
      <c r="H62" s="211"/>
      <c r="I62" s="213"/>
    </row>
    <row r="63" spans="1:11" ht="6" customHeight="1" x14ac:dyDescent="0.25">
      <c r="A63" s="211"/>
      <c r="B63" s="201"/>
      <c r="C63" s="197"/>
      <c r="D63" s="199"/>
      <c r="E63" s="211"/>
      <c r="F63" s="211"/>
      <c r="G63" s="211"/>
      <c r="H63" s="211"/>
      <c r="I63" s="213"/>
    </row>
    <row r="64" spans="1:11" ht="13.5" customHeight="1" x14ac:dyDescent="0.25">
      <c r="A64" s="211"/>
      <c r="B64" s="329" t="s">
        <v>169</v>
      </c>
      <c r="C64" s="196"/>
      <c r="D64" s="211"/>
      <c r="E64" s="211"/>
      <c r="F64" s="211"/>
      <c r="G64" s="211"/>
      <c r="H64" s="211"/>
      <c r="I64" s="213"/>
    </row>
    <row r="65" spans="1:11" ht="13.5" customHeight="1" x14ac:dyDescent="0.25">
      <c r="A65" s="211"/>
      <c r="B65" s="329"/>
      <c r="C65" s="197" t="s">
        <v>147</v>
      </c>
      <c r="D65" s="199" t="s">
        <v>170</v>
      </c>
      <c r="E65" s="211"/>
      <c r="F65" s="211"/>
      <c r="G65" s="211"/>
      <c r="H65" s="211"/>
      <c r="I65" s="213"/>
    </row>
    <row r="66" spans="1:11" ht="6" customHeight="1" x14ac:dyDescent="0.25">
      <c r="A66" s="211"/>
      <c r="B66" s="201"/>
      <c r="C66" s="197"/>
      <c r="D66" s="199"/>
      <c r="E66" s="211"/>
      <c r="F66" s="211"/>
      <c r="G66" s="211"/>
      <c r="H66" s="211"/>
      <c r="I66" s="213"/>
    </row>
    <row r="67" spans="1:11" ht="15.75" customHeight="1" x14ac:dyDescent="0.25">
      <c r="A67" s="211"/>
      <c r="B67" s="329" t="s">
        <v>171</v>
      </c>
      <c r="C67" s="196"/>
      <c r="D67" s="211"/>
      <c r="E67" s="211"/>
      <c r="F67" s="211"/>
      <c r="G67" s="211"/>
      <c r="H67" s="211"/>
      <c r="I67" s="213"/>
      <c r="K67" s="68"/>
    </row>
    <row r="68" spans="1:11" ht="18" customHeight="1" x14ac:dyDescent="0.25">
      <c r="A68" s="211"/>
      <c r="B68" s="329"/>
      <c r="C68" s="197" t="s">
        <v>147</v>
      </c>
      <c r="D68" s="199" t="s">
        <v>172</v>
      </c>
      <c r="E68" s="211"/>
      <c r="F68" s="211"/>
      <c r="G68" s="211"/>
      <c r="H68" s="211"/>
      <c r="I68" s="213"/>
    </row>
    <row r="69" spans="1:11" ht="15.75" customHeight="1" x14ac:dyDescent="0.25">
      <c r="A69" s="211"/>
      <c r="B69" s="329" t="s">
        <v>173</v>
      </c>
      <c r="C69" s="196"/>
      <c r="D69" s="211"/>
      <c r="E69" s="211"/>
      <c r="F69" s="211"/>
      <c r="G69" s="211"/>
      <c r="H69" s="211"/>
      <c r="I69" s="213"/>
      <c r="K69" s="68"/>
    </row>
    <row r="70" spans="1:11" ht="16.5" customHeight="1" x14ac:dyDescent="0.25">
      <c r="A70" s="211"/>
      <c r="B70" s="329"/>
      <c r="C70" s="197" t="s">
        <v>147</v>
      </c>
      <c r="D70" s="199" t="s">
        <v>174</v>
      </c>
      <c r="E70" s="211"/>
      <c r="F70" s="211"/>
      <c r="G70" s="211"/>
      <c r="H70" s="211"/>
      <c r="I70" s="213"/>
    </row>
    <row r="71" spans="1:11" ht="6.75" customHeight="1" x14ac:dyDescent="0.25">
      <c r="A71" s="211"/>
      <c r="B71" s="329"/>
      <c r="C71" s="197"/>
      <c r="D71" s="199"/>
      <c r="E71" s="211"/>
      <c r="F71" s="211"/>
      <c r="G71" s="211"/>
      <c r="H71" s="211"/>
      <c r="I71" s="213"/>
    </row>
    <row r="72" spans="1:11" ht="15.75" customHeight="1" x14ac:dyDescent="0.25">
      <c r="A72" s="211"/>
      <c r="B72" s="329" t="s">
        <v>175</v>
      </c>
      <c r="C72" s="196"/>
      <c r="D72" s="211"/>
      <c r="E72" s="211"/>
      <c r="F72" s="211"/>
      <c r="G72" s="211"/>
      <c r="H72" s="211"/>
      <c r="I72" s="213"/>
      <c r="K72" s="68"/>
    </row>
    <row r="73" spans="1:11" ht="16.5" customHeight="1" x14ac:dyDescent="0.25">
      <c r="A73" s="211"/>
      <c r="B73" s="329"/>
      <c r="C73" s="197" t="s">
        <v>147</v>
      </c>
      <c r="D73" s="199" t="s">
        <v>176</v>
      </c>
      <c r="E73" s="211"/>
      <c r="F73" s="211"/>
      <c r="G73" s="211"/>
      <c r="H73" s="211"/>
      <c r="I73" s="213"/>
    </row>
    <row r="74" spans="1:11" ht="6.75" customHeight="1" x14ac:dyDescent="0.25">
      <c r="A74" s="211"/>
      <c r="B74" s="329"/>
      <c r="C74" s="197"/>
      <c r="D74" s="200"/>
      <c r="E74" s="211"/>
      <c r="F74" s="211"/>
      <c r="G74" s="211"/>
      <c r="H74" s="211"/>
      <c r="I74" s="213"/>
    </row>
    <row r="75" spans="1:11" ht="6.75" customHeight="1" x14ac:dyDescent="0.25">
      <c r="A75" s="211"/>
      <c r="B75" s="201"/>
      <c r="C75" s="197"/>
      <c r="D75" s="199"/>
      <c r="E75" s="211"/>
      <c r="F75" s="211"/>
      <c r="G75" s="211"/>
      <c r="H75" s="211"/>
      <c r="I75" s="213"/>
    </row>
    <row r="76" spans="1:11" ht="15.75" customHeight="1" x14ac:dyDescent="0.25">
      <c r="A76" s="211"/>
      <c r="B76" s="329" t="s">
        <v>177</v>
      </c>
      <c r="C76" s="196"/>
      <c r="D76" s="211"/>
      <c r="E76" s="211"/>
      <c r="F76" s="211"/>
      <c r="G76" s="211"/>
      <c r="H76" s="211"/>
      <c r="I76" s="213"/>
      <c r="K76" s="70"/>
    </row>
    <row r="77" spans="1:11" ht="16.5" customHeight="1" x14ac:dyDescent="0.25">
      <c r="A77" s="211"/>
      <c r="B77" s="329"/>
      <c r="C77" s="197" t="s">
        <v>147</v>
      </c>
      <c r="D77" s="199" t="s">
        <v>178</v>
      </c>
      <c r="E77" s="211"/>
      <c r="F77" s="211"/>
      <c r="G77" s="211"/>
      <c r="H77" s="211"/>
      <c r="I77" s="213"/>
    </row>
    <row r="78" spans="1:11" ht="15.75" customHeight="1" x14ac:dyDescent="0.25">
      <c r="A78" s="211"/>
      <c r="B78" s="329" t="s">
        <v>179</v>
      </c>
      <c r="C78" s="196"/>
      <c r="D78" s="211"/>
      <c r="E78" s="211"/>
      <c r="F78" s="211"/>
      <c r="G78" s="211"/>
      <c r="H78" s="211"/>
      <c r="I78" s="213"/>
      <c r="K78" s="70"/>
    </row>
    <row r="79" spans="1:11" ht="16.5" customHeight="1" x14ac:dyDescent="0.25">
      <c r="A79" s="211"/>
      <c r="B79" s="329"/>
      <c r="C79" s="197" t="s">
        <v>147</v>
      </c>
      <c r="D79" s="199" t="s">
        <v>180</v>
      </c>
      <c r="E79" s="211"/>
      <c r="F79" s="211"/>
      <c r="G79" s="211"/>
      <c r="H79" s="211"/>
      <c r="I79" s="213"/>
    </row>
    <row r="80" spans="1:11" ht="6.75" customHeight="1" x14ac:dyDescent="0.25">
      <c r="A80" s="211"/>
      <c r="B80" s="201"/>
      <c r="C80" s="197"/>
      <c r="D80" s="199"/>
      <c r="E80" s="211"/>
      <c r="F80" s="211"/>
      <c r="G80" s="211"/>
      <c r="H80" s="211"/>
      <c r="I80" s="213"/>
    </row>
    <row r="81" spans="1:11" ht="15.75" customHeight="1" x14ac:dyDescent="0.25">
      <c r="A81" s="211"/>
      <c r="B81" s="329" t="s">
        <v>181</v>
      </c>
      <c r="C81" s="196"/>
      <c r="D81" s="211"/>
      <c r="E81" s="211"/>
      <c r="F81" s="211"/>
      <c r="G81" s="211"/>
      <c r="H81" s="211"/>
      <c r="I81" s="213"/>
      <c r="K81" s="70"/>
    </row>
    <row r="82" spans="1:11" ht="16.5" customHeight="1" x14ac:dyDescent="0.25">
      <c r="A82" s="211"/>
      <c r="B82" s="329"/>
      <c r="C82" s="197" t="s">
        <v>147</v>
      </c>
      <c r="D82" s="198" t="s">
        <v>182</v>
      </c>
      <c r="E82" s="211"/>
      <c r="F82" s="211"/>
      <c r="G82" s="211"/>
      <c r="H82" s="211"/>
      <c r="I82" s="213"/>
    </row>
    <row r="83" spans="1:11" ht="26.25" customHeight="1" x14ac:dyDescent="0.25">
      <c r="A83" s="211"/>
      <c r="B83" s="203" t="s">
        <v>34</v>
      </c>
      <c r="C83" s="196"/>
      <c r="D83" s="211"/>
      <c r="E83" s="204"/>
      <c r="F83" s="211"/>
      <c r="G83" s="211"/>
      <c r="H83" s="211"/>
      <c r="I83" s="213"/>
    </row>
    <row r="84" spans="1:11" ht="33" customHeight="1" x14ac:dyDescent="0.25">
      <c r="A84" s="367"/>
      <c r="B84" s="376"/>
      <c r="C84" s="372" t="s">
        <v>183</v>
      </c>
      <c r="D84" s="372"/>
      <c r="E84" s="372"/>
      <c r="F84" s="369"/>
      <c r="G84" s="369"/>
      <c r="H84" s="369"/>
      <c r="I84" s="367"/>
    </row>
    <row r="85" spans="1:11" ht="27" customHeight="1" x14ac:dyDescent="0.25">
      <c r="A85" s="367"/>
      <c r="B85" s="376"/>
      <c r="C85" s="372" t="s">
        <v>184</v>
      </c>
      <c r="D85" s="372"/>
      <c r="E85" s="372"/>
      <c r="F85" s="369"/>
      <c r="G85" s="369"/>
      <c r="H85" s="369"/>
      <c r="I85" s="367"/>
    </row>
    <row r="86" spans="1:11" ht="40.5" customHeight="1" x14ac:dyDescent="0.25">
      <c r="A86" s="367"/>
      <c r="B86" s="376"/>
      <c r="C86" s="372" t="s">
        <v>185</v>
      </c>
      <c r="D86" s="372"/>
      <c r="E86" s="372"/>
      <c r="F86" s="369"/>
      <c r="G86" s="369"/>
      <c r="H86" s="369"/>
      <c r="I86" s="367"/>
    </row>
    <row r="87" spans="1:11" x14ac:dyDescent="0.25">
      <c r="A87" s="211"/>
      <c r="B87" s="205" t="s">
        <v>36</v>
      </c>
      <c r="C87" s="196"/>
      <c r="D87" s="211"/>
      <c r="E87" s="204"/>
      <c r="F87" s="211"/>
      <c r="G87" s="211"/>
      <c r="H87" s="211"/>
      <c r="I87" s="213"/>
    </row>
    <row r="88" spans="1:11" ht="18.75" customHeight="1" x14ac:dyDescent="0.25">
      <c r="A88" s="211"/>
      <c r="B88" s="329"/>
      <c r="C88" s="372" t="s">
        <v>186</v>
      </c>
      <c r="D88" s="372"/>
      <c r="E88" s="372"/>
      <c r="F88" s="211"/>
      <c r="G88" s="211"/>
      <c r="H88" s="211"/>
      <c r="I88" s="213"/>
    </row>
    <row r="89" spans="1:11" x14ac:dyDescent="0.25">
      <c r="A89" s="211"/>
      <c r="B89" s="205" t="s">
        <v>38</v>
      </c>
      <c r="C89" s="327"/>
      <c r="D89" s="206"/>
      <c r="E89" s="206"/>
      <c r="F89" s="211"/>
      <c r="G89" s="211"/>
      <c r="H89" s="211"/>
      <c r="I89" s="213"/>
    </row>
    <row r="90" spans="1:11" ht="13.5" customHeight="1" x14ac:dyDescent="0.25">
      <c r="A90" s="211"/>
      <c r="B90" s="329"/>
      <c r="C90" s="368" t="s">
        <v>59</v>
      </c>
      <c r="D90" s="368"/>
      <c r="E90" s="368"/>
      <c r="F90" s="211"/>
      <c r="G90" s="211"/>
      <c r="H90" s="211"/>
      <c r="I90" s="213"/>
    </row>
    <row r="91" spans="1:11" x14ac:dyDescent="0.25">
      <c r="A91" s="211"/>
      <c r="B91" s="205" t="s">
        <v>40</v>
      </c>
      <c r="C91" s="196"/>
      <c r="D91" s="211"/>
      <c r="E91" s="211"/>
      <c r="F91" s="211"/>
      <c r="G91" s="211"/>
      <c r="H91" s="211"/>
      <c r="I91" s="213"/>
    </row>
    <row r="92" spans="1:11" ht="14.25" thickBot="1" x14ac:dyDescent="0.3">
      <c r="A92" s="211"/>
      <c r="B92" s="207"/>
      <c r="C92" s="208" t="s">
        <v>60</v>
      </c>
      <c r="D92" s="209"/>
      <c r="E92" s="209"/>
      <c r="F92" s="209"/>
      <c r="G92" s="209"/>
      <c r="H92" s="209"/>
      <c r="I92" s="210"/>
    </row>
    <row r="93" spans="1:11" x14ac:dyDescent="0.25">
      <c r="C93" s="6"/>
      <c r="D93" s="6"/>
      <c r="E93" s="6"/>
    </row>
    <row r="94" spans="1:11" x14ac:dyDescent="0.25">
      <c r="C94" s="6"/>
      <c r="D94" s="6"/>
      <c r="E94" s="6"/>
    </row>
    <row r="95" spans="1:11" x14ac:dyDescent="0.25">
      <c r="C95" s="6"/>
      <c r="D95" s="6"/>
      <c r="E95" s="6"/>
    </row>
    <row r="96" spans="1:11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</sheetData>
  <mergeCells count="23">
    <mergeCell ref="G84:G86"/>
    <mergeCell ref="H84:H86"/>
    <mergeCell ref="A7:B7"/>
    <mergeCell ref="A84:A86"/>
    <mergeCell ref="B84:B86"/>
    <mergeCell ref="C85:E85"/>
    <mergeCell ref="F84:F86"/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x14ac:dyDescent="0.25">
      <c r="B8" s="54"/>
      <c r="C8" s="54"/>
      <c r="D8" s="2"/>
      <c r="E8" s="2"/>
      <c r="F8" s="54"/>
      <c r="G8" s="54"/>
      <c r="H8" s="54"/>
    </row>
    <row r="9" spans="1:9" s="9" customFormat="1" ht="38.25" x14ac:dyDescent="0.25">
      <c r="A9" s="29" t="s">
        <v>7</v>
      </c>
      <c r="B9" s="29" t="s">
        <v>8</v>
      </c>
      <c r="C9" s="122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ht="27" x14ac:dyDescent="0.25">
      <c r="A10" s="81">
        <v>12</v>
      </c>
      <c r="B10" s="105" t="s">
        <v>188</v>
      </c>
      <c r="C10" s="121"/>
      <c r="D10" s="58" t="s">
        <v>189</v>
      </c>
      <c r="E10" s="59" t="s">
        <v>190</v>
      </c>
      <c r="F10" s="59" t="s">
        <v>19</v>
      </c>
      <c r="G10" s="106">
        <v>1000</v>
      </c>
      <c r="H10" s="107">
        <v>199</v>
      </c>
      <c r="I10" s="108">
        <f t="shared" ref="I10" si="0">H10*G10</f>
        <v>199000</v>
      </c>
    </row>
    <row r="11" spans="1:9" x14ac:dyDescent="0.25">
      <c r="I11" s="112">
        <f>SUM(I10:I10)</f>
        <v>199000</v>
      </c>
    </row>
    <row r="12" spans="1:9" x14ac:dyDescent="0.25">
      <c r="B12" s="65" t="s">
        <v>191</v>
      </c>
      <c r="C12" s="16"/>
      <c r="D12" s="9"/>
      <c r="E12" s="324"/>
    </row>
    <row r="13" spans="1:9" ht="14.25" thickBot="1" x14ac:dyDescent="0.3">
      <c r="B13" s="9"/>
      <c r="C13" s="16"/>
      <c r="D13" s="9"/>
      <c r="E13" s="324"/>
    </row>
    <row r="14" spans="1:9" x14ac:dyDescent="0.25">
      <c r="B14" s="35" t="s">
        <v>34</v>
      </c>
      <c r="C14" s="48"/>
      <c r="D14" s="7"/>
      <c r="E14" s="49"/>
    </row>
    <row r="15" spans="1:9" ht="74.25" customHeight="1" x14ac:dyDescent="0.25">
      <c r="B15" s="14"/>
      <c r="C15" s="345" t="s">
        <v>57</v>
      </c>
      <c r="D15" s="345"/>
      <c r="E15" s="346"/>
    </row>
    <row r="16" spans="1:9" x14ac:dyDescent="0.25">
      <c r="B16" s="36" t="s">
        <v>36</v>
      </c>
      <c r="C16" s="16"/>
      <c r="D16" s="9"/>
      <c r="E16" s="325"/>
    </row>
    <row r="17" spans="1:9" x14ac:dyDescent="0.25">
      <c r="B17" s="14"/>
      <c r="C17" s="345" t="s">
        <v>192</v>
      </c>
      <c r="D17" s="345"/>
      <c r="E17" s="346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 x14ac:dyDescent="0.25">
      <c r="B19" s="14"/>
      <c r="C19" s="356" t="s">
        <v>193</v>
      </c>
      <c r="D19" s="356"/>
      <c r="E19" s="357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4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160" t="s">
        <v>75</v>
      </c>
      <c r="B10" s="60" t="s">
        <v>195</v>
      </c>
      <c r="C10" s="61" t="s">
        <v>196</v>
      </c>
      <c r="D10" s="60" t="s">
        <v>197</v>
      </c>
      <c r="E10" s="52" t="s">
        <v>198</v>
      </c>
      <c r="F10" s="63" t="s">
        <v>19</v>
      </c>
      <c r="G10" s="109">
        <v>5000</v>
      </c>
      <c r="H10" s="110">
        <v>1200</v>
      </c>
      <c r="I10" s="111">
        <f t="shared" ref="I10:I14" si="0">H10*G10</f>
        <v>6000000</v>
      </c>
    </row>
    <row r="11" spans="1:9" s="5" customFormat="1" ht="27" x14ac:dyDescent="0.25">
      <c r="A11" s="160" t="s">
        <v>80</v>
      </c>
      <c r="B11" s="60" t="s">
        <v>199</v>
      </c>
      <c r="C11" s="61" t="s">
        <v>196</v>
      </c>
      <c r="D11" s="60" t="s">
        <v>197</v>
      </c>
      <c r="E11" s="52" t="s">
        <v>200</v>
      </c>
      <c r="F11" s="63" t="s">
        <v>19</v>
      </c>
      <c r="G11" s="109">
        <v>5000</v>
      </c>
      <c r="H11" s="110">
        <v>1200</v>
      </c>
      <c r="I11" s="111">
        <f t="shared" si="0"/>
        <v>6000000</v>
      </c>
    </row>
    <row r="12" spans="1:9" s="5" customFormat="1" ht="27" x14ac:dyDescent="0.25">
      <c r="A12" s="160" t="s">
        <v>83</v>
      </c>
      <c r="B12" s="60" t="s">
        <v>201</v>
      </c>
      <c r="C12" s="61" t="s">
        <v>196</v>
      </c>
      <c r="D12" s="60" t="s">
        <v>197</v>
      </c>
      <c r="E12" s="52" t="s">
        <v>202</v>
      </c>
      <c r="F12" s="63" t="s">
        <v>19</v>
      </c>
      <c r="G12" s="109">
        <v>1200</v>
      </c>
      <c r="H12" s="110">
        <v>1550</v>
      </c>
      <c r="I12" s="111">
        <f t="shared" si="0"/>
        <v>1860000</v>
      </c>
    </row>
    <row r="13" spans="1:9" s="5" customFormat="1" ht="27" x14ac:dyDescent="0.25">
      <c r="A13" s="160" t="s">
        <v>86</v>
      </c>
      <c r="B13" s="60" t="s">
        <v>203</v>
      </c>
      <c r="C13" s="61" t="s">
        <v>196</v>
      </c>
      <c r="D13" s="60" t="s">
        <v>197</v>
      </c>
      <c r="E13" s="52" t="s">
        <v>204</v>
      </c>
      <c r="F13" s="63" t="s">
        <v>19</v>
      </c>
      <c r="G13" s="109">
        <v>5000</v>
      </c>
      <c r="H13" s="110">
        <v>600</v>
      </c>
      <c r="I13" s="111">
        <f t="shared" si="0"/>
        <v>3000000</v>
      </c>
    </row>
    <row r="14" spans="1:9" s="5" customFormat="1" ht="27" x14ac:dyDescent="0.25">
      <c r="A14" s="160" t="s">
        <v>89</v>
      </c>
      <c r="B14" s="123" t="s">
        <v>205</v>
      </c>
      <c r="C14" s="61" t="s">
        <v>196</v>
      </c>
      <c r="D14" s="60" t="s">
        <v>197</v>
      </c>
      <c r="E14" s="52" t="s">
        <v>206</v>
      </c>
      <c r="F14" s="63" t="s">
        <v>19</v>
      </c>
      <c r="G14" s="109">
        <v>10000</v>
      </c>
      <c r="H14" s="110">
        <v>104</v>
      </c>
      <c r="I14" s="111">
        <f t="shared" si="0"/>
        <v>1040000</v>
      </c>
    </row>
    <row r="15" spans="1:9" x14ac:dyDescent="0.25">
      <c r="I15" s="112">
        <f>SUM(I10:I13)</f>
        <v>16860000</v>
      </c>
    </row>
    <row r="16" spans="1:9" x14ac:dyDescent="0.25">
      <c r="B16" s="65" t="s">
        <v>191</v>
      </c>
      <c r="C16" s="16"/>
      <c r="D16" s="9"/>
      <c r="E16" s="324"/>
    </row>
    <row r="17" spans="1:9" ht="14.25" thickBot="1" x14ac:dyDescent="0.3">
      <c r="B17" s="9"/>
      <c r="C17" s="16"/>
      <c r="D17" s="9"/>
      <c r="E17" s="324"/>
    </row>
    <row r="18" spans="1:9" x14ac:dyDescent="0.25">
      <c r="B18" s="35" t="s">
        <v>34</v>
      </c>
      <c r="C18" s="48"/>
      <c r="D18" s="7"/>
      <c r="E18" s="49"/>
    </row>
    <row r="19" spans="1:9" ht="79.5" customHeight="1" x14ac:dyDescent="0.25">
      <c r="B19" s="14"/>
      <c r="C19" s="345" t="s">
        <v>57</v>
      </c>
      <c r="D19" s="345"/>
      <c r="E19" s="346"/>
    </row>
    <row r="20" spans="1:9" x14ac:dyDescent="0.25">
      <c r="B20" s="36" t="s">
        <v>36</v>
      </c>
      <c r="C20" s="16"/>
      <c r="D20" s="9"/>
      <c r="E20" s="325"/>
    </row>
    <row r="21" spans="1:9" ht="46.5" customHeight="1" x14ac:dyDescent="0.25">
      <c r="B21" s="14"/>
      <c r="C21" s="345" t="s">
        <v>192</v>
      </c>
      <c r="D21" s="345"/>
      <c r="E21" s="346"/>
      <c r="F21" s="1"/>
      <c r="G21" s="1"/>
      <c r="H21" s="1"/>
      <c r="I21" s="1"/>
    </row>
    <row r="22" spans="1:9" x14ac:dyDescent="0.25">
      <c r="B22" s="36" t="s">
        <v>38</v>
      </c>
      <c r="C22" s="316"/>
      <c r="D22" s="314"/>
      <c r="E22" s="326"/>
      <c r="F22" s="1"/>
      <c r="G22" s="1"/>
      <c r="H22" s="1"/>
      <c r="I22" s="1"/>
    </row>
    <row r="23" spans="1:9" x14ac:dyDescent="0.25">
      <c r="B23" s="14"/>
      <c r="C23" s="356" t="s">
        <v>193</v>
      </c>
      <c r="D23" s="356"/>
      <c r="E23" s="357"/>
      <c r="F23" s="1"/>
      <c r="G23" s="1"/>
      <c r="H23" s="1"/>
      <c r="I23" s="1"/>
    </row>
    <row r="24" spans="1:9" x14ac:dyDescent="0.25">
      <c r="B24" s="36" t="s">
        <v>40</v>
      </c>
      <c r="C24" s="16"/>
      <c r="D24" s="9"/>
      <c r="E24" s="325"/>
      <c r="F24" s="1"/>
      <c r="G24" s="1"/>
      <c r="H24" s="1"/>
      <c r="I24" s="1"/>
    </row>
    <row r="25" spans="1:9" ht="14.25" thickBot="1" x14ac:dyDescent="0.3">
      <c r="B25" s="66"/>
      <c r="C25" s="378" t="s">
        <v>194</v>
      </c>
      <c r="D25" s="378"/>
      <c r="E25" s="379"/>
      <c r="F25" s="1"/>
      <c r="G25" s="1"/>
      <c r="H25" s="1"/>
      <c r="I25" s="1"/>
    </row>
    <row r="26" spans="1:9" x14ac:dyDescent="0.25">
      <c r="B26" s="16"/>
      <c r="C26" s="16"/>
      <c r="D26" s="9"/>
      <c r="E26" s="324"/>
      <c r="F26" s="1"/>
      <c r="G26" s="1"/>
      <c r="H26" s="1"/>
      <c r="I26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9:E19"/>
    <mergeCell ref="C21:E21"/>
    <mergeCell ref="C23:E23"/>
    <mergeCell ref="C25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17</v>
      </c>
      <c r="B10" s="123" t="s">
        <v>205</v>
      </c>
      <c r="C10" s="61" t="s">
        <v>196</v>
      </c>
      <c r="D10" s="60" t="s">
        <v>207</v>
      </c>
      <c r="E10" s="52" t="s">
        <v>206</v>
      </c>
      <c r="F10" s="63" t="s">
        <v>19</v>
      </c>
      <c r="G10" s="109">
        <v>10000</v>
      </c>
      <c r="H10" s="110">
        <v>104</v>
      </c>
      <c r="I10" s="111">
        <f t="shared" ref="I10" si="0">H10*G10</f>
        <v>1040000</v>
      </c>
    </row>
    <row r="11" spans="1:9" x14ac:dyDescent="0.25">
      <c r="I11" s="112">
        <f>SUM(I10:I10)</f>
        <v>1040000</v>
      </c>
    </row>
    <row r="12" spans="1:9" x14ac:dyDescent="0.25">
      <c r="B12" s="65" t="s">
        <v>191</v>
      </c>
      <c r="C12" s="16"/>
      <c r="D12" s="9"/>
      <c r="E12" s="324"/>
    </row>
    <row r="13" spans="1:9" ht="14.25" thickBot="1" x14ac:dyDescent="0.3">
      <c r="B13" s="9"/>
      <c r="C13" s="16"/>
      <c r="D13" s="9"/>
      <c r="E13" s="324"/>
    </row>
    <row r="14" spans="1:9" x14ac:dyDescent="0.25">
      <c r="B14" s="35" t="s">
        <v>34</v>
      </c>
      <c r="C14" s="48"/>
      <c r="D14" s="7"/>
      <c r="E14" s="49"/>
    </row>
    <row r="15" spans="1:9" ht="90" customHeight="1" x14ac:dyDescent="0.25">
      <c r="B15" s="14"/>
      <c r="C15" s="345" t="s">
        <v>57</v>
      </c>
      <c r="D15" s="345"/>
      <c r="E15" s="346"/>
    </row>
    <row r="16" spans="1:9" x14ac:dyDescent="0.25">
      <c r="B16" s="36" t="s">
        <v>36</v>
      </c>
      <c r="C16" s="16"/>
      <c r="D16" s="9"/>
      <c r="E16" s="325"/>
    </row>
    <row r="17" spans="1:9" ht="54" customHeight="1" x14ac:dyDescent="0.25">
      <c r="B17" s="14"/>
      <c r="C17" s="345" t="s">
        <v>192</v>
      </c>
      <c r="D17" s="345"/>
      <c r="E17" s="346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 x14ac:dyDescent="0.25">
      <c r="B19" s="14"/>
      <c r="C19" s="356" t="s">
        <v>193</v>
      </c>
      <c r="D19" s="356"/>
      <c r="E19" s="357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4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16</v>
      </c>
      <c r="B10" s="159" t="s">
        <v>208</v>
      </c>
      <c r="C10" s="62" t="s">
        <v>209</v>
      </c>
      <c r="D10" s="60" t="s">
        <v>210</v>
      </c>
      <c r="E10" s="52" t="s">
        <v>211</v>
      </c>
      <c r="F10" s="63" t="s">
        <v>19</v>
      </c>
      <c r="G10" s="109">
        <v>800</v>
      </c>
      <c r="H10" s="110">
        <v>850</v>
      </c>
      <c r="I10" s="111">
        <f t="shared" ref="I10" si="0">H10*G10</f>
        <v>680000</v>
      </c>
    </row>
    <row r="11" spans="1:9" x14ac:dyDescent="0.25">
      <c r="I11" s="112">
        <f>SUM(I10:I10)</f>
        <v>680000</v>
      </c>
    </row>
    <row r="12" spans="1:9" x14ac:dyDescent="0.25">
      <c r="B12" s="65" t="s">
        <v>191</v>
      </c>
      <c r="C12" s="16"/>
      <c r="D12" s="9"/>
      <c r="E12" s="324"/>
    </row>
    <row r="13" spans="1:9" ht="14.25" thickBot="1" x14ac:dyDescent="0.3">
      <c r="B13" s="9"/>
      <c r="C13" s="16"/>
      <c r="D13" s="9"/>
      <c r="E13" s="324"/>
    </row>
    <row r="14" spans="1:9" x14ac:dyDescent="0.25">
      <c r="B14" s="35" t="s">
        <v>34</v>
      </c>
      <c r="C14" s="48"/>
      <c r="D14" s="7"/>
      <c r="E14" s="49"/>
    </row>
    <row r="15" spans="1:9" x14ac:dyDescent="0.25">
      <c r="B15" s="14"/>
      <c r="C15" s="345" t="s">
        <v>57</v>
      </c>
      <c r="D15" s="345"/>
      <c r="E15" s="346"/>
    </row>
    <row r="16" spans="1:9" x14ac:dyDescent="0.25">
      <c r="B16" s="36" t="s">
        <v>36</v>
      </c>
      <c r="C16" s="16"/>
      <c r="D16" s="9"/>
      <c r="E16" s="325"/>
    </row>
    <row r="17" spans="1:9" x14ac:dyDescent="0.25">
      <c r="B17" s="14"/>
      <c r="C17" s="345" t="s">
        <v>192</v>
      </c>
      <c r="D17" s="345"/>
      <c r="E17" s="346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 x14ac:dyDescent="0.25">
      <c r="B19" s="14"/>
      <c r="C19" s="356" t="s">
        <v>193</v>
      </c>
      <c r="D19" s="356"/>
      <c r="E19" s="357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4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60" t="s">
        <v>75</v>
      </c>
      <c r="B10" s="60" t="s">
        <v>212</v>
      </c>
      <c r="C10" s="61" t="s">
        <v>110</v>
      </c>
      <c r="D10" s="60" t="s">
        <v>213</v>
      </c>
      <c r="E10" s="52" t="s">
        <v>214</v>
      </c>
      <c r="F10" s="63" t="s">
        <v>19</v>
      </c>
      <c r="G10" s="109">
        <v>40</v>
      </c>
      <c r="H10" s="110">
        <v>1062.74</v>
      </c>
      <c r="I10" s="111">
        <f t="shared" ref="I10:I24" si="0">H10*G10</f>
        <v>42509.599999999999</v>
      </c>
    </row>
    <row r="11" spans="1:9" s="5" customFormat="1" x14ac:dyDescent="0.25">
      <c r="A11" s="160" t="s">
        <v>80</v>
      </c>
      <c r="B11" s="60" t="s">
        <v>215</v>
      </c>
      <c r="C11" s="61" t="s">
        <v>110</v>
      </c>
      <c r="D11" s="60" t="s">
        <v>213</v>
      </c>
      <c r="E11" s="52" t="s">
        <v>216</v>
      </c>
      <c r="F11" s="63" t="s">
        <v>19</v>
      </c>
      <c r="G11" s="109">
        <v>40</v>
      </c>
      <c r="H11" s="110">
        <v>592.02</v>
      </c>
      <c r="I11" s="111">
        <f t="shared" si="0"/>
        <v>23680.799999999999</v>
      </c>
    </row>
    <row r="12" spans="1:9" s="5" customFormat="1" x14ac:dyDescent="0.25">
      <c r="A12" s="160" t="s">
        <v>83</v>
      </c>
      <c r="B12" s="60" t="s">
        <v>217</v>
      </c>
      <c r="C12" s="61" t="s">
        <v>110</v>
      </c>
      <c r="D12" s="60" t="s">
        <v>213</v>
      </c>
      <c r="E12" s="52" t="s">
        <v>218</v>
      </c>
      <c r="F12" s="63" t="s">
        <v>19</v>
      </c>
      <c r="G12" s="109">
        <v>40</v>
      </c>
      <c r="H12" s="110">
        <v>622.79999999999995</v>
      </c>
      <c r="I12" s="111">
        <f t="shared" si="0"/>
        <v>24912</v>
      </c>
    </row>
    <row r="13" spans="1:9" s="5" customFormat="1" x14ac:dyDescent="0.25">
      <c r="A13" s="160" t="s">
        <v>86</v>
      </c>
      <c r="B13" s="60" t="s">
        <v>219</v>
      </c>
      <c r="C13" s="61" t="s">
        <v>110</v>
      </c>
      <c r="D13" s="60" t="s">
        <v>213</v>
      </c>
      <c r="E13" s="52" t="s">
        <v>220</v>
      </c>
      <c r="F13" s="63" t="s">
        <v>19</v>
      </c>
      <c r="G13" s="109">
        <v>40</v>
      </c>
      <c r="H13" s="110">
        <v>1147.8399999999999</v>
      </c>
      <c r="I13" s="111">
        <f t="shared" ref="I13:I22" si="1">H13*G13</f>
        <v>45913.599999999999</v>
      </c>
    </row>
    <row r="14" spans="1:9" s="5" customFormat="1" x14ac:dyDescent="0.25">
      <c r="A14" s="160" t="s">
        <v>89</v>
      </c>
      <c r="B14" s="60" t="s">
        <v>221</v>
      </c>
      <c r="C14" s="61" t="s">
        <v>110</v>
      </c>
      <c r="D14" s="60" t="s">
        <v>213</v>
      </c>
      <c r="E14" s="52" t="s">
        <v>222</v>
      </c>
      <c r="F14" s="63" t="s">
        <v>19</v>
      </c>
      <c r="G14" s="109">
        <v>80</v>
      </c>
      <c r="H14" s="110">
        <v>546.77</v>
      </c>
      <c r="I14" s="111">
        <f t="shared" si="1"/>
        <v>43741.599999999999</v>
      </c>
    </row>
    <row r="15" spans="1:9" s="5" customFormat="1" x14ac:dyDescent="0.25">
      <c r="A15" s="160" t="s">
        <v>92</v>
      </c>
      <c r="B15" s="60" t="s">
        <v>223</v>
      </c>
      <c r="C15" s="61" t="s">
        <v>110</v>
      </c>
      <c r="D15" s="60" t="s">
        <v>213</v>
      </c>
      <c r="E15" s="52" t="s">
        <v>224</v>
      </c>
      <c r="F15" s="63" t="s">
        <v>19</v>
      </c>
      <c r="G15" s="109">
        <v>20</v>
      </c>
      <c r="H15" s="110">
        <v>697.03</v>
      </c>
      <c r="I15" s="111">
        <f t="shared" si="1"/>
        <v>13940.599999999999</v>
      </c>
    </row>
    <row r="16" spans="1:9" s="5" customFormat="1" x14ac:dyDescent="0.25">
      <c r="A16" s="160" t="s">
        <v>95</v>
      </c>
      <c r="B16" s="60"/>
      <c r="C16" s="61" t="s">
        <v>110</v>
      </c>
      <c r="D16" s="60" t="s">
        <v>213</v>
      </c>
      <c r="E16" s="52" t="s">
        <v>225</v>
      </c>
      <c r="F16" s="63" t="s">
        <v>19</v>
      </c>
      <c r="G16" s="109">
        <v>4</v>
      </c>
      <c r="H16" s="110">
        <v>1423.03</v>
      </c>
      <c r="I16" s="111">
        <f t="shared" si="1"/>
        <v>5692.12</v>
      </c>
    </row>
    <row r="17" spans="1:9" s="5" customFormat="1" x14ac:dyDescent="0.25">
      <c r="A17" s="160" t="s">
        <v>226</v>
      </c>
      <c r="B17" s="60" t="s">
        <v>227</v>
      </c>
      <c r="C17" s="61" t="s">
        <v>110</v>
      </c>
      <c r="D17" s="60" t="s">
        <v>213</v>
      </c>
      <c r="E17" s="52" t="s">
        <v>228</v>
      </c>
      <c r="F17" s="63" t="s">
        <v>19</v>
      </c>
      <c r="G17" s="109">
        <v>40</v>
      </c>
      <c r="H17" s="110">
        <v>622.79999999999995</v>
      </c>
      <c r="I17" s="111">
        <f t="shared" si="1"/>
        <v>24912</v>
      </c>
    </row>
    <row r="18" spans="1:9" s="5" customFormat="1" x14ac:dyDescent="0.25">
      <c r="A18" s="160" t="s">
        <v>229</v>
      </c>
      <c r="B18" s="60"/>
      <c r="C18" s="61" t="s">
        <v>110</v>
      </c>
      <c r="D18" s="60" t="s">
        <v>213</v>
      </c>
      <c r="E18" s="52" t="s">
        <v>230</v>
      </c>
      <c r="F18" s="63" t="s">
        <v>19</v>
      </c>
      <c r="G18" s="109">
        <v>4</v>
      </c>
      <c r="H18" s="110">
        <v>831</v>
      </c>
      <c r="I18" s="111">
        <f t="shared" si="1"/>
        <v>3324</v>
      </c>
    </row>
    <row r="19" spans="1:9" s="5" customFormat="1" x14ac:dyDescent="0.25">
      <c r="A19" s="160" t="s">
        <v>231</v>
      </c>
      <c r="B19" s="60" t="s">
        <v>232</v>
      </c>
      <c r="C19" s="61" t="s">
        <v>110</v>
      </c>
      <c r="D19" s="60" t="s">
        <v>213</v>
      </c>
      <c r="E19" s="52" t="s">
        <v>233</v>
      </c>
      <c r="F19" s="63" t="s">
        <v>19</v>
      </c>
      <c r="G19" s="109">
        <v>6</v>
      </c>
      <c r="H19" s="110">
        <v>1694.73</v>
      </c>
      <c r="I19" s="111">
        <f t="shared" si="1"/>
        <v>10168.380000000001</v>
      </c>
    </row>
    <row r="20" spans="1:9" s="5" customFormat="1" x14ac:dyDescent="0.25">
      <c r="A20" s="160" t="s">
        <v>234</v>
      </c>
      <c r="B20" s="60" t="s">
        <v>232</v>
      </c>
      <c r="C20" s="61" t="s">
        <v>110</v>
      </c>
      <c r="D20" s="60" t="s">
        <v>213</v>
      </c>
      <c r="E20" s="52" t="s">
        <v>233</v>
      </c>
      <c r="F20" s="63" t="s">
        <v>19</v>
      </c>
      <c r="G20" s="109">
        <v>6</v>
      </c>
      <c r="H20" s="110">
        <v>1694.73</v>
      </c>
      <c r="I20" s="111">
        <f t="shared" si="1"/>
        <v>10168.380000000001</v>
      </c>
    </row>
    <row r="21" spans="1:9" s="5" customFormat="1" x14ac:dyDescent="0.25">
      <c r="A21" s="160" t="s">
        <v>235</v>
      </c>
      <c r="B21" s="60" t="s">
        <v>236</v>
      </c>
      <c r="C21" s="61" t="s">
        <v>110</v>
      </c>
      <c r="D21" s="60" t="s">
        <v>213</v>
      </c>
      <c r="E21" s="52" t="s">
        <v>237</v>
      </c>
      <c r="F21" s="63" t="s">
        <v>19</v>
      </c>
      <c r="G21" s="109">
        <v>4</v>
      </c>
      <c r="H21" s="110">
        <v>1580.67</v>
      </c>
      <c r="I21" s="111">
        <f t="shared" si="1"/>
        <v>6322.68</v>
      </c>
    </row>
    <row r="22" spans="1:9" s="5" customFormat="1" x14ac:dyDescent="0.25">
      <c r="A22" s="160" t="s">
        <v>238</v>
      </c>
      <c r="B22" s="60" t="s">
        <v>239</v>
      </c>
      <c r="C22" s="61" t="s">
        <v>110</v>
      </c>
      <c r="D22" s="60" t="s">
        <v>213</v>
      </c>
      <c r="E22" s="52" t="s">
        <v>237</v>
      </c>
      <c r="F22" s="63" t="s">
        <v>19</v>
      </c>
      <c r="G22" s="109">
        <v>4</v>
      </c>
      <c r="H22" s="110">
        <v>1580.67</v>
      </c>
      <c r="I22" s="111">
        <f t="shared" si="1"/>
        <v>6322.68</v>
      </c>
    </row>
    <row r="23" spans="1:9" s="5" customFormat="1" x14ac:dyDescent="0.25">
      <c r="A23" s="160" t="s">
        <v>240</v>
      </c>
      <c r="B23" s="60"/>
      <c r="C23" s="61" t="s">
        <v>110</v>
      </c>
      <c r="D23" s="60" t="s">
        <v>213</v>
      </c>
      <c r="E23" s="52" t="s">
        <v>241</v>
      </c>
      <c r="F23" s="63" t="s">
        <v>19</v>
      </c>
      <c r="G23" s="109">
        <v>8</v>
      </c>
      <c r="H23" s="110">
        <v>1459.6</v>
      </c>
      <c r="I23" s="111">
        <f t="shared" si="0"/>
        <v>11676.8</v>
      </c>
    </row>
    <row r="24" spans="1:9" s="5" customFormat="1" x14ac:dyDescent="0.25">
      <c r="A24" s="160" t="s">
        <v>242</v>
      </c>
      <c r="B24" s="123"/>
      <c r="C24" s="61" t="s">
        <v>110</v>
      </c>
      <c r="D24" s="60" t="s">
        <v>213</v>
      </c>
      <c r="E24" s="52" t="s">
        <v>243</v>
      </c>
      <c r="F24" s="63" t="s">
        <v>19</v>
      </c>
      <c r="G24" s="109">
        <v>8</v>
      </c>
      <c r="H24" s="110">
        <v>1580.67</v>
      </c>
      <c r="I24" s="111">
        <f t="shared" si="0"/>
        <v>12645.36</v>
      </c>
    </row>
    <row r="25" spans="1:9" x14ac:dyDescent="0.25">
      <c r="I25" s="112">
        <f>SUM(I10:I24)</f>
        <v>285930.59999999998</v>
      </c>
    </row>
    <row r="26" spans="1:9" x14ac:dyDescent="0.25">
      <c r="B26" s="65" t="s">
        <v>191</v>
      </c>
      <c r="C26" s="16"/>
      <c r="D26" s="9"/>
      <c r="E26" s="324"/>
    </row>
    <row r="27" spans="1:9" ht="14.25" thickBot="1" x14ac:dyDescent="0.3">
      <c r="B27" s="9"/>
      <c r="C27" s="16"/>
      <c r="D27" s="9"/>
      <c r="E27" s="324"/>
    </row>
    <row r="28" spans="1:9" x14ac:dyDescent="0.25">
      <c r="B28" s="35" t="s">
        <v>34</v>
      </c>
      <c r="C28" s="48"/>
      <c r="D28" s="7"/>
      <c r="E28" s="49"/>
    </row>
    <row r="29" spans="1:9" ht="79.5" customHeight="1" x14ac:dyDescent="0.25">
      <c r="B29" s="14"/>
      <c r="C29" s="345" t="s">
        <v>57</v>
      </c>
      <c r="D29" s="345"/>
      <c r="E29" s="346"/>
    </row>
    <row r="30" spans="1:9" x14ac:dyDescent="0.25">
      <c r="B30" s="36" t="s">
        <v>36</v>
      </c>
      <c r="C30" s="16"/>
      <c r="D30" s="9"/>
      <c r="E30" s="325"/>
    </row>
    <row r="31" spans="1:9" ht="46.5" customHeight="1" x14ac:dyDescent="0.25">
      <c r="B31" s="14"/>
      <c r="C31" s="345" t="s">
        <v>192</v>
      </c>
      <c r="D31" s="345"/>
      <c r="E31" s="346"/>
      <c r="F31" s="1"/>
      <c r="G31" s="1"/>
      <c r="H31" s="1"/>
      <c r="I31" s="1"/>
    </row>
    <row r="32" spans="1:9" x14ac:dyDescent="0.25">
      <c r="B32" s="36" t="s">
        <v>38</v>
      </c>
      <c r="C32" s="316"/>
      <c r="D32" s="314"/>
      <c r="E32" s="326"/>
      <c r="F32" s="1"/>
      <c r="G32" s="1"/>
      <c r="H32" s="1"/>
      <c r="I32" s="1"/>
    </row>
    <row r="33" spans="1:9" x14ac:dyDescent="0.25">
      <c r="B33" s="14"/>
      <c r="C33" s="356" t="s">
        <v>193</v>
      </c>
      <c r="D33" s="356"/>
      <c r="E33" s="357"/>
      <c r="F33" s="1"/>
      <c r="G33" s="1"/>
      <c r="H33" s="1"/>
      <c r="I33" s="1"/>
    </row>
    <row r="34" spans="1:9" x14ac:dyDescent="0.25">
      <c r="B34" s="36" t="s">
        <v>40</v>
      </c>
      <c r="C34" s="16"/>
      <c r="D34" s="9"/>
      <c r="E34" s="325"/>
      <c r="F34" s="1"/>
      <c r="G34" s="1"/>
      <c r="H34" s="1"/>
      <c r="I34" s="1"/>
    </row>
    <row r="35" spans="1:9" ht="14.25" thickBot="1" x14ac:dyDescent="0.3">
      <c r="B35" s="66"/>
      <c r="C35" s="378" t="s">
        <v>194</v>
      </c>
      <c r="D35" s="378"/>
      <c r="E35" s="379"/>
      <c r="F35" s="1"/>
      <c r="G35" s="1"/>
      <c r="H35" s="1"/>
      <c r="I35" s="1"/>
    </row>
    <row r="36" spans="1:9" x14ac:dyDescent="0.25">
      <c r="B36" s="16"/>
      <c r="C36" s="16"/>
      <c r="D36" s="9"/>
      <c r="E36" s="324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  <row r="62" spans="1:9" x14ac:dyDescent="0.25">
      <c r="A62" s="67"/>
      <c r="B62" s="67"/>
      <c r="C62" s="67"/>
      <c r="D62" s="67"/>
      <c r="E62" s="1"/>
      <c r="F62" s="1"/>
      <c r="G62" s="1"/>
      <c r="H62" s="1"/>
      <c r="I62" s="1"/>
    </row>
    <row r="63" spans="1:9" x14ac:dyDescent="0.25">
      <c r="A63" s="67"/>
      <c r="B63" s="67"/>
      <c r="C63" s="67"/>
      <c r="D63" s="67"/>
      <c r="E63" s="1"/>
      <c r="F63" s="1"/>
      <c r="G63" s="1"/>
      <c r="H63" s="1"/>
      <c r="I63" s="1"/>
    </row>
    <row r="64" spans="1:9" x14ac:dyDescent="0.25">
      <c r="A64" s="67"/>
      <c r="B64" s="67"/>
      <c r="C64" s="67"/>
      <c r="D64" s="67"/>
      <c r="E64" s="1"/>
      <c r="F64" s="1"/>
      <c r="G64" s="1"/>
      <c r="H64" s="1"/>
      <c r="I64" s="1"/>
    </row>
    <row r="65" spans="1:9" x14ac:dyDescent="0.25">
      <c r="A65" s="67"/>
      <c r="B65" s="67"/>
      <c r="C65" s="67"/>
      <c r="D65" s="67"/>
      <c r="E65" s="1"/>
      <c r="F65" s="1"/>
      <c r="G65" s="1"/>
      <c r="H65" s="1"/>
      <c r="I65" s="1"/>
    </row>
    <row r="66" spans="1:9" x14ac:dyDescent="0.25">
      <c r="A66" s="67"/>
      <c r="B66" s="67"/>
      <c r="C66" s="67"/>
      <c r="D66" s="67"/>
      <c r="E66" s="1"/>
      <c r="F66" s="1"/>
      <c r="G66" s="1"/>
      <c r="H66" s="1"/>
      <c r="I66" s="1"/>
    </row>
    <row r="67" spans="1:9" x14ac:dyDescent="0.25">
      <c r="A67" s="67"/>
      <c r="B67" s="67"/>
      <c r="C67" s="67"/>
      <c r="D67" s="67"/>
      <c r="E67" s="1"/>
      <c r="F67" s="1"/>
      <c r="G67" s="1"/>
      <c r="H67" s="1"/>
      <c r="I67" s="1"/>
    </row>
    <row r="68" spans="1:9" x14ac:dyDescent="0.25">
      <c r="A68" s="67"/>
      <c r="B68" s="67"/>
      <c r="C68" s="67"/>
      <c r="D68" s="67"/>
      <c r="E68" s="1"/>
      <c r="F68" s="1"/>
      <c r="G68" s="1"/>
      <c r="H68" s="1"/>
      <c r="I68" s="1"/>
    </row>
    <row r="69" spans="1:9" x14ac:dyDescent="0.25">
      <c r="A69" s="67"/>
      <c r="B69" s="67"/>
      <c r="C69" s="67"/>
      <c r="D69" s="67"/>
      <c r="E69" s="1"/>
      <c r="F69" s="1"/>
      <c r="G69" s="1"/>
      <c r="H69" s="1"/>
      <c r="I69" s="1"/>
    </row>
    <row r="70" spans="1:9" x14ac:dyDescent="0.25">
      <c r="A70" s="67"/>
      <c r="B70" s="67"/>
      <c r="C70" s="67"/>
      <c r="D70" s="67"/>
      <c r="E70" s="1"/>
      <c r="F70" s="1"/>
      <c r="G70" s="1"/>
      <c r="H70" s="1"/>
      <c r="I70" s="1"/>
    </row>
    <row r="71" spans="1:9" x14ac:dyDescent="0.25">
      <c r="A71" s="67"/>
      <c r="B71" s="67"/>
      <c r="C71" s="67"/>
      <c r="D71" s="67"/>
      <c r="E71" s="1"/>
      <c r="F71" s="1"/>
      <c r="G71" s="1"/>
      <c r="H71" s="1"/>
      <c r="I71" s="1"/>
    </row>
  </sheetData>
  <mergeCells count="11">
    <mergeCell ref="A7:B7"/>
    <mergeCell ref="C29:E29"/>
    <mergeCell ref="C31:E31"/>
    <mergeCell ref="C33:E33"/>
    <mergeCell ref="C35:E3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60" t="s">
        <v>75</v>
      </c>
      <c r="B10" s="60" t="s">
        <v>244</v>
      </c>
      <c r="C10" s="61"/>
      <c r="D10" s="60"/>
      <c r="E10" s="52" t="s">
        <v>245</v>
      </c>
      <c r="F10" s="63" t="s">
        <v>19</v>
      </c>
      <c r="G10" s="109">
        <v>5</v>
      </c>
      <c r="H10" s="110"/>
      <c r="I10" s="111">
        <f t="shared" ref="I10" si="0">H10*G10</f>
        <v>0</v>
      </c>
    </row>
    <row r="11" spans="1:9" x14ac:dyDescent="0.25">
      <c r="I11" s="112">
        <f>SUM(I10:I10)</f>
        <v>0</v>
      </c>
    </row>
    <row r="12" spans="1:9" x14ac:dyDescent="0.25">
      <c r="B12" s="65" t="s">
        <v>191</v>
      </c>
      <c r="C12" s="16"/>
      <c r="D12" s="9"/>
      <c r="E12" s="324"/>
    </row>
    <row r="13" spans="1:9" ht="14.25" thickBot="1" x14ac:dyDescent="0.3">
      <c r="B13" s="9"/>
      <c r="C13" s="16"/>
      <c r="D13" s="9"/>
      <c r="E13" s="324"/>
    </row>
    <row r="14" spans="1:9" x14ac:dyDescent="0.25">
      <c r="B14" s="35" t="s">
        <v>34</v>
      </c>
      <c r="C14" s="48"/>
      <c r="D14" s="7"/>
      <c r="E14" s="49"/>
    </row>
    <row r="15" spans="1:9" ht="79.5" customHeight="1" x14ac:dyDescent="0.25">
      <c r="B15" s="14"/>
      <c r="C15" s="345" t="s">
        <v>57</v>
      </c>
      <c r="D15" s="345"/>
      <c r="E15" s="346"/>
    </row>
    <row r="16" spans="1:9" x14ac:dyDescent="0.25">
      <c r="B16" s="36" t="s">
        <v>36</v>
      </c>
      <c r="C16" s="16"/>
      <c r="D16" s="9"/>
      <c r="E16" s="325"/>
    </row>
    <row r="17" spans="1:9" ht="46.5" customHeight="1" x14ac:dyDescent="0.25">
      <c r="B17" s="14"/>
      <c r="C17" s="345" t="s">
        <v>192</v>
      </c>
      <c r="D17" s="345"/>
      <c r="E17" s="346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 x14ac:dyDescent="0.25">
      <c r="B19" s="14"/>
      <c r="C19" s="356" t="s">
        <v>193</v>
      </c>
      <c r="D19" s="356"/>
      <c r="E19" s="357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 x14ac:dyDescent="0.3">
      <c r="B21" s="66"/>
      <c r="C21" s="378" t="s">
        <v>194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4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9" customFormat="1" ht="27.75" thickBot="1" x14ac:dyDescent="0.3">
      <c r="A10" s="230">
        <v>1</v>
      </c>
      <c r="B10" s="231" t="s">
        <v>246</v>
      </c>
      <c r="C10" s="232" t="s">
        <v>196</v>
      </c>
      <c r="D10" s="231" t="s">
        <v>247</v>
      </c>
      <c r="E10" s="233" t="s">
        <v>248</v>
      </c>
      <c r="F10" s="234" t="s">
        <v>19</v>
      </c>
      <c r="G10" s="235">
        <v>500</v>
      </c>
      <c r="H10" s="236">
        <v>250</v>
      </c>
      <c r="I10" s="237">
        <f t="shared" ref="I10:I11" si="0">H10*G10</f>
        <v>125000</v>
      </c>
    </row>
    <row r="11" spans="1:9" s="5" customFormat="1" ht="27.75" thickBot="1" x14ac:dyDescent="0.25">
      <c r="A11" s="230">
        <v>2</v>
      </c>
      <c r="B11" s="231" t="s">
        <v>249</v>
      </c>
      <c r="C11" s="232" t="s">
        <v>196</v>
      </c>
      <c r="D11" s="231" t="s">
        <v>197</v>
      </c>
      <c r="E11" s="233" t="s">
        <v>250</v>
      </c>
      <c r="F11" s="234" t="s">
        <v>19</v>
      </c>
      <c r="G11" s="235">
        <v>1000</v>
      </c>
      <c r="H11" s="236">
        <v>750</v>
      </c>
      <c r="I11" s="237">
        <f t="shared" si="0"/>
        <v>750000</v>
      </c>
    </row>
    <row r="12" spans="1:9" x14ac:dyDescent="0.25">
      <c r="I12" s="112">
        <f>SUM(I10:I11)</f>
        <v>875000</v>
      </c>
    </row>
    <row r="13" spans="1:9" x14ac:dyDescent="0.25">
      <c r="B13" s="65" t="s">
        <v>191</v>
      </c>
      <c r="C13" s="16"/>
      <c r="D13" s="9"/>
      <c r="E13" s="324"/>
    </row>
    <row r="14" spans="1:9" ht="14.25" thickBot="1" x14ac:dyDescent="0.3">
      <c r="B14" s="9"/>
      <c r="C14" s="16"/>
      <c r="D14" s="9"/>
      <c r="E14" s="324"/>
    </row>
    <row r="15" spans="1:9" x14ac:dyDescent="0.25">
      <c r="B15" s="35" t="s">
        <v>34</v>
      </c>
      <c r="C15" s="48"/>
      <c r="D15" s="7"/>
      <c r="E15" s="49"/>
    </row>
    <row r="16" spans="1:9" ht="79.5" customHeight="1" x14ac:dyDescent="0.25">
      <c r="B16" s="14"/>
      <c r="C16" s="345" t="s">
        <v>57</v>
      </c>
      <c r="D16" s="345"/>
      <c r="E16" s="346"/>
    </row>
    <row r="17" spans="1:9" x14ac:dyDescent="0.25">
      <c r="B17" s="36" t="s">
        <v>36</v>
      </c>
      <c r="C17" s="16"/>
      <c r="D17" s="9"/>
      <c r="E17" s="325"/>
    </row>
    <row r="18" spans="1:9" ht="46.5" customHeight="1" x14ac:dyDescent="0.25">
      <c r="B18" s="14"/>
      <c r="C18" s="345" t="s">
        <v>192</v>
      </c>
      <c r="D18" s="345"/>
      <c r="E18" s="346"/>
      <c r="F18" s="1"/>
      <c r="G18" s="1"/>
      <c r="H18" s="1"/>
      <c r="I18" s="1"/>
    </row>
    <row r="19" spans="1:9" x14ac:dyDescent="0.25">
      <c r="B19" s="36" t="s">
        <v>38</v>
      </c>
      <c r="C19" s="316"/>
      <c r="D19" s="314"/>
      <c r="E19" s="326"/>
      <c r="F19" s="1"/>
      <c r="G19" s="1"/>
      <c r="H19" s="1"/>
      <c r="I19" s="1"/>
    </row>
    <row r="20" spans="1:9" x14ac:dyDescent="0.25">
      <c r="B20" s="14"/>
      <c r="C20" s="356" t="s">
        <v>193</v>
      </c>
      <c r="D20" s="356"/>
      <c r="E20" s="357"/>
      <c r="F20" s="1"/>
      <c r="G20" s="1"/>
      <c r="H20" s="1"/>
      <c r="I20" s="1"/>
    </row>
    <row r="21" spans="1:9" x14ac:dyDescent="0.25">
      <c r="B21" s="36" t="s">
        <v>40</v>
      </c>
      <c r="C21" s="16"/>
      <c r="D21" s="9"/>
      <c r="E21" s="325"/>
      <c r="F21" s="1"/>
      <c r="G21" s="1"/>
      <c r="H21" s="1"/>
      <c r="I21" s="1"/>
    </row>
    <row r="22" spans="1:9" ht="14.25" thickBot="1" x14ac:dyDescent="0.3">
      <c r="B22" s="66"/>
      <c r="C22" s="378" t="s">
        <v>194</v>
      </c>
      <c r="D22" s="378"/>
      <c r="E22" s="379"/>
      <c r="F22" s="1"/>
      <c r="G22" s="1"/>
      <c r="H22" s="1"/>
      <c r="I22" s="1"/>
    </row>
    <row r="23" spans="1:9" x14ac:dyDescent="0.25">
      <c r="B23" s="16"/>
      <c r="C23" s="16"/>
      <c r="D23" s="9"/>
      <c r="E23" s="324"/>
      <c r="F23" s="1"/>
      <c r="G23" s="1"/>
      <c r="H23" s="1"/>
      <c r="I23" s="1"/>
    </row>
    <row r="27" spans="1:9" x14ac:dyDescent="0.25">
      <c r="A27" s="67"/>
      <c r="B27" s="67"/>
      <c r="C27" s="67"/>
      <c r="D27" s="67"/>
      <c r="E27" s="1"/>
      <c r="F27" s="1"/>
      <c r="G27" s="1"/>
      <c r="H27" s="1"/>
      <c r="I27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5" spans="1:9" x14ac:dyDescent="0.25">
      <c r="A35" s="67"/>
      <c r="B35" s="67"/>
      <c r="C35" s="67"/>
      <c r="D35" s="67"/>
      <c r="E35" s="1"/>
      <c r="F35" s="1"/>
      <c r="G35" s="1"/>
      <c r="H35" s="1"/>
      <c r="I35" s="1"/>
    </row>
    <row r="37" spans="1:9" x14ac:dyDescent="0.25">
      <c r="A37" s="67"/>
      <c r="B37" s="67"/>
      <c r="C37" s="67"/>
      <c r="D37" s="67"/>
      <c r="E37" s="1"/>
      <c r="F37" s="1"/>
      <c r="G37" s="1"/>
      <c r="H37" s="1"/>
      <c r="I37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</sheetData>
  <mergeCells count="11">
    <mergeCell ref="A7:B7"/>
    <mergeCell ref="C16:E16"/>
    <mergeCell ref="C18:E18"/>
    <mergeCell ref="C20:E20"/>
    <mergeCell ref="C22:E22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 x14ac:dyDescent="0.25">
      <c r="A5" s="377" t="s">
        <v>3</v>
      </c>
      <c r="B5" s="377"/>
      <c r="C5" s="348" t="s">
        <v>187</v>
      </c>
      <c r="D5" s="348"/>
      <c r="E5" s="348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Bot="1" x14ac:dyDescent="0.3">
      <c r="A9" s="117" t="s">
        <v>7</v>
      </c>
      <c r="B9" s="77" t="s">
        <v>8</v>
      </c>
      <c r="C9" s="77" t="s">
        <v>9</v>
      </c>
      <c r="D9" s="77" t="s">
        <v>10</v>
      </c>
      <c r="E9" s="238" t="s">
        <v>11</v>
      </c>
      <c r="F9" s="77" t="s">
        <v>12</v>
      </c>
      <c r="G9" s="77" t="s">
        <v>13</v>
      </c>
      <c r="H9" s="77" t="s">
        <v>14</v>
      </c>
      <c r="I9" s="239" t="s">
        <v>15</v>
      </c>
    </row>
    <row r="10" spans="1:9" s="9" customFormat="1" ht="27.75" thickBot="1" x14ac:dyDescent="0.3">
      <c r="A10" s="230">
        <v>1</v>
      </c>
      <c r="B10" s="231" t="s">
        <v>251</v>
      </c>
      <c r="C10" s="232" t="s">
        <v>44</v>
      </c>
      <c r="D10" s="231" t="s">
        <v>247</v>
      </c>
      <c r="E10" s="233" t="s">
        <v>252</v>
      </c>
      <c r="F10" s="234" t="s">
        <v>19</v>
      </c>
      <c r="G10" s="235">
        <v>20</v>
      </c>
      <c r="H10" s="236">
        <v>12000</v>
      </c>
      <c r="I10" s="237">
        <f t="shared" ref="I10" si="0">H10*G10</f>
        <v>240000</v>
      </c>
    </row>
    <row r="11" spans="1:9" ht="19.5" customHeight="1" thickBot="1" x14ac:dyDescent="0.3">
      <c r="I11" s="240">
        <f>+I10</f>
        <v>240000</v>
      </c>
    </row>
    <row r="12" spans="1:9" x14ac:dyDescent="0.25">
      <c r="B12" s="215" t="s">
        <v>191</v>
      </c>
      <c r="C12" s="241"/>
      <c r="D12" s="242"/>
      <c r="E12" s="338"/>
    </row>
    <row r="13" spans="1:9" ht="55.5" customHeight="1" x14ac:dyDescent="0.25">
      <c r="B13" s="215"/>
      <c r="C13" s="241" t="s">
        <v>253</v>
      </c>
      <c r="D13" s="242"/>
      <c r="E13" s="338"/>
    </row>
    <row r="14" spans="1:9" x14ac:dyDescent="0.25">
      <c r="B14" s="65"/>
      <c r="C14" s="16"/>
      <c r="D14" s="9"/>
      <c r="E14" s="324"/>
    </row>
    <row r="15" spans="1:9" ht="14.25" thickBot="1" x14ac:dyDescent="0.3">
      <c r="B15" s="9"/>
      <c r="C15" s="16"/>
      <c r="D15" s="9"/>
      <c r="E15" s="324"/>
    </row>
    <row r="16" spans="1:9" x14ac:dyDescent="0.25">
      <c r="B16" s="35" t="s">
        <v>34</v>
      </c>
      <c r="C16" s="48"/>
      <c r="D16" s="7"/>
      <c r="E16" s="49"/>
    </row>
    <row r="17" spans="1:9" ht="79.5" customHeight="1" x14ac:dyDescent="0.25">
      <c r="B17" s="14"/>
      <c r="C17" s="345" t="s">
        <v>57</v>
      </c>
      <c r="D17" s="345"/>
      <c r="E17" s="346"/>
    </row>
    <row r="18" spans="1:9" x14ac:dyDescent="0.25">
      <c r="B18" s="36" t="s">
        <v>36</v>
      </c>
      <c r="C18" s="16"/>
      <c r="D18" s="9"/>
      <c r="E18" s="325"/>
    </row>
    <row r="19" spans="1:9" ht="46.5" customHeight="1" x14ac:dyDescent="0.25">
      <c r="B19" s="14"/>
      <c r="C19" s="345" t="s">
        <v>192</v>
      </c>
      <c r="D19" s="345"/>
      <c r="E19" s="346"/>
      <c r="F19" s="1"/>
      <c r="G19" s="1"/>
      <c r="H19" s="1"/>
      <c r="I19" s="1"/>
    </row>
    <row r="20" spans="1:9" x14ac:dyDescent="0.25">
      <c r="B20" s="36" t="s">
        <v>38</v>
      </c>
      <c r="C20" s="316"/>
      <c r="D20" s="314"/>
      <c r="E20" s="326"/>
      <c r="F20" s="1"/>
      <c r="G20" s="1"/>
      <c r="H20" s="1"/>
      <c r="I20" s="1"/>
    </row>
    <row r="21" spans="1:9" x14ac:dyDescent="0.25">
      <c r="B21" s="14"/>
      <c r="C21" s="356" t="s">
        <v>193</v>
      </c>
      <c r="D21" s="356"/>
      <c r="E21" s="357"/>
      <c r="F21" s="1"/>
      <c r="G21" s="1"/>
      <c r="H21" s="1"/>
      <c r="I21" s="1"/>
    </row>
    <row r="22" spans="1:9" x14ac:dyDescent="0.25">
      <c r="B22" s="36" t="s">
        <v>40</v>
      </c>
      <c r="C22" s="16"/>
      <c r="D22" s="9"/>
      <c r="E22" s="325"/>
      <c r="F22" s="1"/>
      <c r="G22" s="1"/>
      <c r="H22" s="1"/>
      <c r="I22" s="1"/>
    </row>
    <row r="23" spans="1:9" ht="14.25" thickBot="1" x14ac:dyDescent="0.3">
      <c r="B23" s="66"/>
      <c r="C23" s="378" t="s">
        <v>194</v>
      </c>
      <c r="D23" s="378"/>
      <c r="E23" s="379"/>
      <c r="F23" s="1"/>
      <c r="G23" s="1"/>
      <c r="H23" s="1"/>
      <c r="I23" s="1"/>
    </row>
    <row r="24" spans="1:9" x14ac:dyDescent="0.25">
      <c r="B24" s="16"/>
      <c r="C24" s="16"/>
      <c r="D24" s="9"/>
      <c r="E24" s="324"/>
      <c r="F24" s="1"/>
      <c r="G24" s="1"/>
      <c r="H24" s="1"/>
      <c r="I24" s="1"/>
    </row>
    <row r="28" spans="1:9" x14ac:dyDescent="0.25">
      <c r="A28" s="67"/>
      <c r="B28" s="67"/>
      <c r="C28" s="67"/>
      <c r="D28" s="67"/>
      <c r="E28" s="1"/>
      <c r="F28" s="1"/>
      <c r="G28" s="1"/>
      <c r="H28" s="1"/>
      <c r="I28" s="1"/>
    </row>
    <row r="31" spans="1:9" x14ac:dyDescent="0.25">
      <c r="A31" s="67"/>
      <c r="B31" s="67"/>
      <c r="C31" s="67"/>
      <c r="D31" s="67"/>
      <c r="E31" s="1"/>
      <c r="F31" s="1"/>
      <c r="G31" s="1"/>
      <c r="H31" s="1"/>
      <c r="I31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</sheetData>
  <mergeCells count="11">
    <mergeCell ref="A7:B7"/>
    <mergeCell ref="C17:E17"/>
    <mergeCell ref="C19:E19"/>
    <mergeCell ref="C21:E21"/>
    <mergeCell ref="C23:E23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baseColWidth="10" defaultColWidth="9.140625" defaultRowHeight="12.75" x14ac:dyDescent="0.2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 x14ac:dyDescent="0.4">
      <c r="A1" s="333"/>
      <c r="B1" s="382" t="s">
        <v>0</v>
      </c>
      <c r="C1" s="382"/>
      <c r="D1" s="382"/>
      <c r="E1" s="382"/>
      <c r="F1" s="382"/>
      <c r="G1" s="382"/>
      <c r="H1" s="382"/>
      <c r="I1" s="333"/>
    </row>
    <row r="2" spans="1:9" ht="12.75" customHeight="1" x14ac:dyDescent="0.25">
      <c r="A2" s="333"/>
      <c r="B2" s="333"/>
      <c r="C2" s="333"/>
      <c r="D2" s="333"/>
      <c r="E2" s="333"/>
      <c r="F2" s="333"/>
      <c r="G2" s="333"/>
      <c r="H2" s="333"/>
      <c r="I2" s="333"/>
    </row>
    <row r="3" spans="1:9" ht="12.75" customHeight="1" x14ac:dyDescent="0.25">
      <c r="A3" s="383" t="s">
        <v>1</v>
      </c>
      <c r="B3" s="383"/>
      <c r="C3" s="384" t="s">
        <v>2</v>
      </c>
      <c r="D3" s="384"/>
      <c r="E3" s="384"/>
      <c r="F3" s="272"/>
      <c r="G3" s="272"/>
      <c r="H3" s="272"/>
      <c r="I3" s="333"/>
    </row>
    <row r="4" spans="1:9" ht="12.75" customHeight="1" x14ac:dyDescent="0.25">
      <c r="A4" s="383" t="s">
        <v>3</v>
      </c>
      <c r="B4" s="383"/>
      <c r="C4" s="384" t="s">
        <v>42</v>
      </c>
      <c r="D4" s="384"/>
      <c r="E4" s="384"/>
      <c r="F4" s="272"/>
      <c r="G4" s="272"/>
      <c r="H4" s="272"/>
      <c r="I4" s="333"/>
    </row>
    <row r="5" spans="1:9" ht="15.75" customHeight="1" x14ac:dyDescent="0.25">
      <c r="A5" s="383" t="s">
        <v>5</v>
      </c>
      <c r="B5" s="383"/>
      <c r="C5" s="332">
        <v>2021</v>
      </c>
      <c r="D5" s="273"/>
      <c r="E5" s="273"/>
      <c r="F5" s="272"/>
      <c r="G5" s="272"/>
      <c r="H5" s="272"/>
      <c r="I5" s="333"/>
    </row>
    <row r="6" spans="1:9" ht="15.75" x14ac:dyDescent="0.25">
      <c r="A6" s="383" t="s">
        <v>6</v>
      </c>
      <c r="B6" s="383"/>
      <c r="C6" s="332">
        <v>4</v>
      </c>
      <c r="D6" s="273"/>
      <c r="E6" s="273"/>
      <c r="F6" s="272"/>
      <c r="G6" s="272"/>
      <c r="H6" s="272"/>
      <c r="I6" s="333"/>
    </row>
    <row r="7" spans="1:9" ht="13.5" x14ac:dyDescent="0.25">
      <c r="A7" s="333"/>
      <c r="B7" s="272"/>
      <c r="C7" s="272"/>
      <c r="D7" s="272"/>
      <c r="E7" s="272"/>
      <c r="F7" s="272"/>
      <c r="G7" s="272"/>
      <c r="H7" s="272"/>
      <c r="I7" s="333"/>
    </row>
    <row r="8" spans="1:9" ht="38.25" x14ac:dyDescent="0.2">
      <c r="A8" s="274" t="s">
        <v>7</v>
      </c>
      <c r="B8" s="275" t="s">
        <v>8</v>
      </c>
      <c r="C8" s="276" t="s">
        <v>9</v>
      </c>
      <c r="D8" s="277" t="s">
        <v>10</v>
      </c>
      <c r="E8" s="276" t="s">
        <v>11</v>
      </c>
      <c r="F8" s="278" t="s">
        <v>12</v>
      </c>
      <c r="G8" s="278" t="s">
        <v>13</v>
      </c>
      <c r="H8" s="278" t="s">
        <v>14</v>
      </c>
      <c r="I8" s="278" t="s">
        <v>15</v>
      </c>
    </row>
    <row r="9" spans="1:9" ht="14.25" x14ac:dyDescent="0.3">
      <c r="A9" s="279">
        <v>1</v>
      </c>
      <c r="B9" s="280" t="s">
        <v>254</v>
      </c>
      <c r="C9" s="280" t="s">
        <v>255</v>
      </c>
      <c r="D9" s="281" t="s">
        <v>256</v>
      </c>
      <c r="E9" s="282" t="s">
        <v>257</v>
      </c>
      <c r="F9" s="283" t="s">
        <v>19</v>
      </c>
      <c r="G9" s="284">
        <v>1</v>
      </c>
      <c r="H9" s="284">
        <v>172800</v>
      </c>
      <c r="I9" s="285">
        <f>H9*G9</f>
        <v>172800</v>
      </c>
    </row>
    <row r="10" spans="1:9" ht="14.25" x14ac:dyDescent="0.3">
      <c r="A10" s="286">
        <v>2</v>
      </c>
      <c r="B10" s="280" t="s">
        <v>254</v>
      </c>
      <c r="C10" s="280" t="s">
        <v>255</v>
      </c>
      <c r="D10" s="281" t="s">
        <v>256</v>
      </c>
      <c r="E10" s="282" t="s">
        <v>257</v>
      </c>
      <c r="F10" s="287" t="s">
        <v>19</v>
      </c>
      <c r="G10" s="288">
        <v>1</v>
      </c>
      <c r="H10" s="288">
        <f>G21</f>
        <v>766800</v>
      </c>
      <c r="I10" s="285">
        <f t="shared" ref="I10:I14" si="0">H10*G10</f>
        <v>766800</v>
      </c>
    </row>
    <row r="11" spans="1:9" ht="27.75" x14ac:dyDescent="0.3">
      <c r="A11" s="286">
        <v>3</v>
      </c>
      <c r="B11" s="280" t="s">
        <v>258</v>
      </c>
      <c r="C11" s="280" t="s">
        <v>255</v>
      </c>
      <c r="D11" s="281" t="s">
        <v>256</v>
      </c>
      <c r="E11" s="295" t="s">
        <v>259</v>
      </c>
      <c r="F11" s="287" t="s">
        <v>19</v>
      </c>
      <c r="G11" s="288">
        <v>1</v>
      </c>
      <c r="H11" s="288">
        <f>G23</f>
        <v>4108800</v>
      </c>
      <c r="I11" s="285">
        <f t="shared" si="0"/>
        <v>4108800</v>
      </c>
    </row>
    <row r="12" spans="1:9" ht="14.25" x14ac:dyDescent="0.3">
      <c r="A12" s="286">
        <v>4</v>
      </c>
      <c r="B12" s="280" t="s">
        <v>254</v>
      </c>
      <c r="C12" s="280" t="s">
        <v>255</v>
      </c>
      <c r="D12" s="281" t="s">
        <v>256</v>
      </c>
      <c r="E12" s="282" t="s">
        <v>257</v>
      </c>
      <c r="F12" s="287" t="s">
        <v>19</v>
      </c>
      <c r="G12" s="288">
        <v>1</v>
      </c>
      <c r="H12" s="288">
        <f>G25</f>
        <v>73656</v>
      </c>
      <c r="I12" s="285">
        <f t="shared" si="0"/>
        <v>73656</v>
      </c>
    </row>
    <row r="13" spans="1:9" ht="14.25" x14ac:dyDescent="0.3">
      <c r="A13" s="286">
        <v>5</v>
      </c>
      <c r="B13" s="280" t="s">
        <v>254</v>
      </c>
      <c r="C13" s="280" t="s">
        <v>255</v>
      </c>
      <c r="D13" s="281" t="s">
        <v>256</v>
      </c>
      <c r="E13" s="282" t="s">
        <v>257</v>
      </c>
      <c r="F13" s="287" t="s">
        <v>19</v>
      </c>
      <c r="G13" s="288">
        <v>1</v>
      </c>
      <c r="H13" s="288">
        <f>G27</f>
        <v>134400</v>
      </c>
      <c r="I13" s="285">
        <f t="shared" si="0"/>
        <v>134400</v>
      </c>
    </row>
    <row r="14" spans="1:9" ht="14.25" x14ac:dyDescent="0.3">
      <c r="A14" s="286">
        <v>6</v>
      </c>
      <c r="B14" s="280" t="s">
        <v>254</v>
      </c>
      <c r="C14" s="280" t="s">
        <v>255</v>
      </c>
      <c r="D14" s="281" t="s">
        <v>256</v>
      </c>
      <c r="E14" s="282" t="s">
        <v>257</v>
      </c>
      <c r="F14" s="287" t="s">
        <v>19</v>
      </c>
      <c r="G14" s="288">
        <v>1</v>
      </c>
      <c r="H14" s="288">
        <f>G29</f>
        <v>86798.799999999988</v>
      </c>
      <c r="I14" s="285">
        <f t="shared" si="0"/>
        <v>86798.799999999988</v>
      </c>
    </row>
    <row r="15" spans="1:9" ht="13.5" x14ac:dyDescent="0.25">
      <c r="A15" s="333"/>
      <c r="B15" s="333"/>
      <c r="C15" s="333"/>
      <c r="D15" s="333"/>
      <c r="E15" s="333"/>
      <c r="F15" s="333"/>
      <c r="G15" s="333"/>
      <c r="H15" s="333"/>
      <c r="I15" s="333">
        <f>SUM(I9:I14)</f>
        <v>5343254.8</v>
      </c>
    </row>
    <row r="16" spans="1:9" ht="13.5" x14ac:dyDescent="0.25">
      <c r="A16" s="333"/>
      <c r="B16" s="333"/>
      <c r="C16" s="333"/>
      <c r="D16" s="333"/>
      <c r="E16" s="333"/>
      <c r="F16" s="333"/>
      <c r="G16" s="333"/>
      <c r="H16" s="333"/>
      <c r="I16" s="333"/>
    </row>
    <row r="17" spans="1:9" ht="13.5" x14ac:dyDescent="0.25">
      <c r="A17" s="333"/>
      <c r="B17" s="390" t="s">
        <v>260</v>
      </c>
      <c r="C17" s="391"/>
      <c r="D17" s="391"/>
      <c r="E17" s="392"/>
      <c r="F17" s="297"/>
      <c r="G17" s="297"/>
      <c r="H17" s="297"/>
    </row>
    <row r="18" spans="1:9" ht="66" customHeight="1" x14ac:dyDescent="0.25">
      <c r="A18" s="333"/>
      <c r="B18" s="290" t="s">
        <v>261</v>
      </c>
      <c r="C18" s="380" t="s">
        <v>262</v>
      </c>
      <c r="D18" s="380"/>
      <c r="E18" s="381"/>
      <c r="F18" s="297"/>
      <c r="G18" s="297">
        <f>1600*12</f>
        <v>19200</v>
      </c>
      <c r="H18" s="297"/>
      <c r="I18" s="333"/>
    </row>
    <row r="19" spans="1:9" ht="12.75" customHeight="1" x14ac:dyDescent="0.25">
      <c r="A19" s="333"/>
      <c r="B19" s="385" t="s">
        <v>263</v>
      </c>
      <c r="C19" s="386"/>
      <c r="D19" s="386"/>
      <c r="E19" s="387"/>
      <c r="F19" s="297"/>
      <c r="G19" s="297">
        <f>G18*9</f>
        <v>172800</v>
      </c>
      <c r="H19" s="297"/>
    </row>
    <row r="20" spans="1:9" ht="80.25" customHeight="1" x14ac:dyDescent="0.25">
      <c r="A20" s="333"/>
      <c r="B20" s="290" t="s">
        <v>261</v>
      </c>
      <c r="C20" s="380" t="s">
        <v>264</v>
      </c>
      <c r="D20" s="380"/>
      <c r="E20" s="381"/>
      <c r="F20" s="297"/>
      <c r="G20" s="297">
        <f>900*12</f>
        <v>10800</v>
      </c>
      <c r="H20" s="297"/>
      <c r="I20" s="333"/>
    </row>
    <row r="21" spans="1:9" ht="12.75" customHeight="1" x14ac:dyDescent="0.25">
      <c r="A21" s="333"/>
      <c r="B21" s="385" t="s">
        <v>265</v>
      </c>
      <c r="C21" s="386"/>
      <c r="D21" s="386"/>
      <c r="E21" s="387"/>
      <c r="F21" s="297"/>
      <c r="G21" s="297">
        <f>G20*71</f>
        <v>766800</v>
      </c>
      <c r="H21" s="297"/>
    </row>
    <row r="22" spans="1:9" ht="96" customHeight="1" x14ac:dyDescent="0.25">
      <c r="A22" s="333"/>
      <c r="B22" s="290" t="s">
        <v>261</v>
      </c>
      <c r="C22" s="380" t="s">
        <v>266</v>
      </c>
      <c r="D22" s="380"/>
      <c r="E22" s="381"/>
      <c r="F22" s="297"/>
      <c r="G22" s="297">
        <f>3200*12</f>
        <v>38400</v>
      </c>
      <c r="H22" s="297"/>
      <c r="I22" s="333"/>
    </row>
    <row r="23" spans="1:9" ht="12.75" customHeight="1" x14ac:dyDescent="0.25">
      <c r="A23" s="333"/>
      <c r="B23" s="385" t="s">
        <v>267</v>
      </c>
      <c r="C23" s="386"/>
      <c r="D23" s="386"/>
      <c r="E23" s="387"/>
      <c r="F23" s="297"/>
      <c r="G23" s="297">
        <f>107*G22</f>
        <v>4108800</v>
      </c>
      <c r="H23" s="297"/>
    </row>
    <row r="24" spans="1:9" ht="80.25" customHeight="1" x14ac:dyDescent="0.25">
      <c r="A24" s="333"/>
      <c r="B24" s="291" t="s">
        <v>261</v>
      </c>
      <c r="C24" s="380" t="s">
        <v>268</v>
      </c>
      <c r="D24" s="380"/>
      <c r="E24" s="381"/>
      <c r="F24" s="297"/>
      <c r="G24" s="297">
        <f>1023*12</f>
        <v>12276</v>
      </c>
      <c r="H24" s="297"/>
      <c r="I24" s="333"/>
    </row>
    <row r="25" spans="1:9" ht="12.75" customHeight="1" x14ac:dyDescent="0.25">
      <c r="A25" s="333"/>
      <c r="B25" s="385" t="s">
        <v>269</v>
      </c>
      <c r="C25" s="386"/>
      <c r="D25" s="386"/>
      <c r="E25" s="387"/>
      <c r="F25" s="297"/>
      <c r="G25" s="297">
        <f>G24*6</f>
        <v>73656</v>
      </c>
      <c r="H25" s="297"/>
    </row>
    <row r="26" spans="1:9" ht="79.5" customHeight="1" x14ac:dyDescent="0.25">
      <c r="A26" s="333"/>
      <c r="B26" s="291" t="s">
        <v>261</v>
      </c>
      <c r="C26" s="380" t="s">
        <v>270</v>
      </c>
      <c r="D26" s="380"/>
      <c r="E26" s="381"/>
      <c r="F26" s="297"/>
      <c r="G26" s="297">
        <f>G18</f>
        <v>19200</v>
      </c>
      <c r="H26" s="297"/>
      <c r="I26" s="333"/>
    </row>
    <row r="27" spans="1:9" ht="12.75" customHeight="1" x14ac:dyDescent="0.25">
      <c r="A27" s="333"/>
      <c r="B27" s="385" t="s">
        <v>271</v>
      </c>
      <c r="C27" s="386"/>
      <c r="D27" s="386"/>
      <c r="E27" s="387"/>
      <c r="F27" s="297"/>
      <c r="G27" s="297">
        <f>G26*7</f>
        <v>134400</v>
      </c>
      <c r="H27" s="297"/>
    </row>
    <row r="28" spans="1:9" ht="74.25" customHeight="1" x14ac:dyDescent="0.25">
      <c r="A28" s="333"/>
      <c r="B28" s="291" t="s">
        <v>261</v>
      </c>
      <c r="C28" s="380" t="s">
        <v>272</v>
      </c>
      <c r="D28" s="380"/>
      <c r="E28" s="381"/>
      <c r="F28" s="297"/>
      <c r="G28" s="297">
        <v>17359.759999999998</v>
      </c>
      <c r="H28" s="297"/>
      <c r="I28" s="333"/>
    </row>
    <row r="29" spans="1:9" ht="12.75" customHeight="1" x14ac:dyDescent="0.25">
      <c r="A29" s="333"/>
      <c r="B29" s="385" t="s">
        <v>34</v>
      </c>
      <c r="C29" s="386"/>
      <c r="D29" s="386"/>
      <c r="E29" s="387"/>
      <c r="F29" s="333"/>
      <c r="G29" s="297">
        <f>G28*5</f>
        <v>86798.799999999988</v>
      </c>
      <c r="H29" s="333"/>
    </row>
    <row r="30" spans="1:9" ht="96.75" customHeight="1" x14ac:dyDescent="0.25">
      <c r="A30" s="333"/>
      <c r="B30" s="291" t="s">
        <v>261</v>
      </c>
      <c r="C30" s="380" t="s">
        <v>273</v>
      </c>
      <c r="D30" s="380"/>
      <c r="E30" s="381"/>
      <c r="F30" s="333"/>
      <c r="G30" s="296"/>
      <c r="H30" s="333"/>
      <c r="I30" s="333"/>
    </row>
    <row r="31" spans="1:9" ht="12.75" customHeight="1" x14ac:dyDescent="0.25">
      <c r="A31" s="333"/>
      <c r="B31" s="291" t="s">
        <v>261</v>
      </c>
      <c r="C31" s="388" t="s">
        <v>261</v>
      </c>
      <c r="D31" s="388"/>
      <c r="E31" s="389"/>
      <c r="F31" s="333"/>
      <c r="G31" s="333"/>
      <c r="H31" s="333"/>
      <c r="I31" s="333"/>
    </row>
    <row r="32" spans="1:9" ht="12.75" customHeight="1" x14ac:dyDescent="0.25">
      <c r="A32" s="333"/>
      <c r="B32" s="385" t="s">
        <v>36</v>
      </c>
      <c r="C32" s="386"/>
      <c r="D32" s="386"/>
      <c r="E32" s="387"/>
      <c r="F32" s="333"/>
      <c r="G32" s="333"/>
      <c r="H32" s="333"/>
    </row>
    <row r="33" spans="1:9" ht="34.5" customHeight="1" x14ac:dyDescent="0.25">
      <c r="A33" s="333"/>
      <c r="B33" s="291" t="s">
        <v>261</v>
      </c>
      <c r="C33" s="380" t="s">
        <v>274</v>
      </c>
      <c r="D33" s="380"/>
      <c r="E33" s="381"/>
      <c r="F33" s="333"/>
      <c r="G33" s="333"/>
      <c r="H33" s="333"/>
      <c r="I33" s="333"/>
    </row>
    <row r="34" spans="1:9" ht="12.75" customHeight="1" x14ac:dyDescent="0.25">
      <c r="A34" s="333"/>
      <c r="B34" s="385" t="s">
        <v>38</v>
      </c>
      <c r="C34" s="386"/>
      <c r="D34" s="386"/>
      <c r="E34" s="387"/>
      <c r="F34" s="333"/>
      <c r="G34" s="333"/>
      <c r="H34" s="333"/>
    </row>
    <row r="35" spans="1:9" ht="12.75" customHeight="1" x14ac:dyDescent="0.25">
      <c r="A35" s="333"/>
      <c r="B35" s="291" t="s">
        <v>261</v>
      </c>
      <c r="C35" s="380" t="s">
        <v>275</v>
      </c>
      <c r="D35" s="380"/>
      <c r="E35" s="381"/>
      <c r="F35" s="333"/>
      <c r="G35" s="333"/>
      <c r="H35" s="333"/>
      <c r="I35" s="333"/>
    </row>
    <row r="36" spans="1:9" ht="12.75" customHeight="1" x14ac:dyDescent="0.25">
      <c r="A36" s="333"/>
      <c r="B36" s="385" t="s">
        <v>40</v>
      </c>
      <c r="C36" s="386"/>
      <c r="D36" s="386"/>
      <c r="E36" s="387"/>
      <c r="F36" s="333"/>
      <c r="G36" s="333"/>
      <c r="H36" s="333"/>
    </row>
    <row r="37" spans="1:9" ht="12.75" customHeight="1" x14ac:dyDescent="0.25">
      <c r="A37" s="333"/>
      <c r="B37" s="290" t="s">
        <v>261</v>
      </c>
      <c r="C37" s="388" t="s">
        <v>194</v>
      </c>
      <c r="D37" s="388"/>
      <c r="E37" s="389"/>
      <c r="F37" s="333"/>
      <c r="G37" s="333"/>
      <c r="H37" s="333"/>
      <c r="I37" s="333"/>
    </row>
    <row r="38" spans="1:9" ht="12.75" customHeight="1" x14ac:dyDescent="0.25">
      <c r="A38" s="333"/>
      <c r="B38" s="292" t="s">
        <v>261</v>
      </c>
      <c r="C38" s="293" t="s">
        <v>261</v>
      </c>
      <c r="D38" s="293" t="s">
        <v>261</v>
      </c>
      <c r="E38" s="294" t="s">
        <v>261</v>
      </c>
      <c r="F38" s="333"/>
      <c r="G38" s="333"/>
      <c r="H38" s="333"/>
      <c r="I38" s="333"/>
    </row>
    <row r="39" spans="1:9" ht="13.5" x14ac:dyDescent="0.25">
      <c r="A39" s="333"/>
      <c r="B39" s="333"/>
      <c r="C39" s="333"/>
      <c r="D39" s="333"/>
      <c r="E39" s="333"/>
      <c r="F39" s="333"/>
      <c r="G39" s="333"/>
      <c r="H39" s="333"/>
      <c r="I39" s="333"/>
    </row>
    <row r="40" spans="1:9" ht="13.5" x14ac:dyDescent="0.25">
      <c r="A40" s="333"/>
      <c r="B40" s="333"/>
      <c r="C40" s="333"/>
      <c r="D40" s="333"/>
      <c r="E40" s="333"/>
      <c r="F40" s="333"/>
      <c r="G40" s="333"/>
      <c r="H40" s="333"/>
      <c r="I40" s="333"/>
    </row>
    <row r="41" spans="1:9" ht="13.5" x14ac:dyDescent="0.25">
      <c r="A41" s="333"/>
      <c r="B41" s="333"/>
      <c r="C41" s="333"/>
      <c r="D41" s="333"/>
      <c r="E41" s="333"/>
      <c r="F41" s="333"/>
      <c r="G41" s="333"/>
      <c r="H41" s="333"/>
      <c r="I41" s="333"/>
    </row>
    <row r="42" spans="1:9" ht="13.5" x14ac:dyDescent="0.25">
      <c r="A42" s="333"/>
      <c r="B42" s="333"/>
      <c r="C42" s="333"/>
      <c r="D42" s="333"/>
      <c r="E42" s="333"/>
      <c r="F42" s="333"/>
      <c r="G42" s="333"/>
      <c r="H42" s="333"/>
      <c r="I42" s="333"/>
    </row>
    <row r="43" spans="1:9" ht="13.5" x14ac:dyDescent="0.25">
      <c r="A43" s="333"/>
      <c r="B43" s="333"/>
      <c r="C43" s="333"/>
      <c r="D43" s="333"/>
      <c r="E43" s="333"/>
      <c r="F43" s="333"/>
      <c r="G43" s="333"/>
      <c r="H43" s="333"/>
      <c r="I43" s="333"/>
    </row>
    <row r="44" spans="1:9" ht="15" x14ac:dyDescent="0.25">
      <c r="A44" s="312"/>
      <c r="B44" s="312"/>
      <c r="C44" s="312"/>
      <c r="D44" s="312"/>
      <c r="E44" s="289"/>
      <c r="F44" s="289"/>
      <c r="G44" s="289"/>
      <c r="H44" s="289"/>
      <c r="I44" s="289"/>
    </row>
    <row r="45" spans="1:9" ht="15" x14ac:dyDescent="0.25">
      <c r="A45" s="312"/>
      <c r="B45" s="312"/>
      <c r="C45" s="312"/>
      <c r="D45" s="312"/>
      <c r="E45" s="289"/>
      <c r="F45" s="289"/>
      <c r="G45" s="289"/>
      <c r="H45" s="289"/>
      <c r="I45" s="289"/>
    </row>
    <row r="46" spans="1:9" ht="15" x14ac:dyDescent="0.25">
      <c r="A46" s="312"/>
      <c r="B46" s="312"/>
      <c r="C46" s="312"/>
      <c r="D46" s="312"/>
      <c r="E46" s="289"/>
      <c r="F46" s="289"/>
      <c r="G46" s="289"/>
      <c r="H46" s="289"/>
      <c r="I46" s="289"/>
    </row>
    <row r="47" spans="1:9" ht="13.5" x14ac:dyDescent="0.25">
      <c r="A47" s="333"/>
      <c r="B47" s="333"/>
      <c r="C47" s="333"/>
      <c r="D47" s="333"/>
      <c r="E47" s="333"/>
      <c r="F47" s="333"/>
      <c r="G47" s="333"/>
      <c r="H47" s="333"/>
      <c r="I47" s="333"/>
    </row>
    <row r="48" spans="1:9" ht="13.5" x14ac:dyDescent="0.25">
      <c r="A48" s="333"/>
      <c r="B48" s="333"/>
      <c r="C48" s="333"/>
      <c r="D48" s="333"/>
      <c r="E48" s="333"/>
      <c r="F48" s="333"/>
      <c r="G48" s="333"/>
      <c r="H48" s="333"/>
      <c r="I48" s="333"/>
    </row>
  </sheetData>
  <mergeCells count="28"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baseColWidth="10" defaultColWidth="11.42578125" defaultRowHeight="12.75" x14ac:dyDescent="0.2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42" customFormat="1" ht="13.5" x14ac:dyDescent="0.25"/>
    <row r="2" spans="1:9" s="242" customFormat="1" ht="28.5" x14ac:dyDescent="0.4">
      <c r="B2" s="394" t="s">
        <v>0</v>
      </c>
      <c r="C2" s="394"/>
      <c r="D2" s="394"/>
      <c r="E2" s="394"/>
      <c r="F2" s="394"/>
      <c r="G2" s="394"/>
      <c r="H2" s="394"/>
    </row>
    <row r="3" spans="1:9" s="242" customFormat="1" ht="13.5" x14ac:dyDescent="0.25"/>
    <row r="4" spans="1:9" s="242" customFormat="1" ht="18" customHeight="1" x14ac:dyDescent="0.25">
      <c r="A4" s="393" t="s">
        <v>1</v>
      </c>
      <c r="B4" s="393"/>
      <c r="C4" s="395" t="s">
        <v>2</v>
      </c>
      <c r="D4" s="395"/>
      <c r="E4" s="395"/>
      <c r="F4" s="256"/>
      <c r="G4" s="298"/>
      <c r="H4" s="256"/>
    </row>
    <row r="5" spans="1:9" s="242" customFormat="1" ht="18" customHeight="1" x14ac:dyDescent="0.25">
      <c r="A5" s="393" t="s">
        <v>3</v>
      </c>
      <c r="B5" s="393"/>
      <c r="C5" s="395" t="s">
        <v>4</v>
      </c>
      <c r="D5" s="395"/>
      <c r="E5" s="395"/>
      <c r="F5" s="256"/>
      <c r="G5" s="298"/>
      <c r="H5" s="256"/>
    </row>
    <row r="6" spans="1:9" s="242" customFormat="1" ht="16.5" customHeight="1" x14ac:dyDescent="0.25">
      <c r="A6" s="393" t="s">
        <v>5</v>
      </c>
      <c r="B6" s="393"/>
      <c r="C6" s="334">
        <v>2021</v>
      </c>
      <c r="D6" s="319"/>
      <c r="E6" s="319"/>
      <c r="F6" s="256"/>
      <c r="G6" s="298"/>
      <c r="H6" s="256"/>
    </row>
    <row r="7" spans="1:9" s="242" customFormat="1" ht="16.5" customHeight="1" x14ac:dyDescent="0.25">
      <c r="A7" s="393" t="s">
        <v>6</v>
      </c>
      <c r="B7" s="393"/>
      <c r="C7" s="334">
        <v>3</v>
      </c>
      <c r="D7" s="319"/>
      <c r="E7" s="319"/>
      <c r="F7" s="256"/>
      <c r="G7" s="298"/>
      <c r="H7" s="256"/>
    </row>
    <row r="8" spans="1:9" s="242" customFormat="1" ht="14.25" thickBot="1" x14ac:dyDescent="0.3">
      <c r="B8" s="256"/>
      <c r="C8" s="298"/>
      <c r="D8" s="256"/>
      <c r="E8" s="256"/>
      <c r="F8" s="256"/>
      <c r="G8" s="298"/>
      <c r="H8" s="256"/>
    </row>
    <row r="9" spans="1:9" s="242" customFormat="1" ht="39.75" thickTop="1" thickBot="1" x14ac:dyDescent="0.3">
      <c r="A9" s="299" t="s">
        <v>7</v>
      </c>
      <c r="B9" s="300" t="s">
        <v>8</v>
      </c>
      <c r="C9" s="301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s="242" customFormat="1" ht="27.75" customHeight="1" thickBot="1" x14ac:dyDescent="0.3">
      <c r="A10" s="302">
        <v>1</v>
      </c>
      <c r="B10" s="250"/>
      <c r="C10" s="303" t="s">
        <v>276</v>
      </c>
      <c r="D10" s="170" t="s">
        <v>277</v>
      </c>
      <c r="E10" s="304" t="s">
        <v>278</v>
      </c>
      <c r="F10" s="170" t="s">
        <v>19</v>
      </c>
      <c r="G10" s="305">
        <v>1</v>
      </c>
      <c r="H10" s="306">
        <v>24500</v>
      </c>
      <c r="I10" s="307">
        <f>+H10*G10</f>
        <v>24500</v>
      </c>
    </row>
    <row r="11" spans="1:9" s="242" customFormat="1" ht="27.75" customHeight="1" thickBot="1" x14ac:dyDescent="0.3">
      <c r="A11" s="302">
        <v>2</v>
      </c>
      <c r="B11" s="257"/>
      <c r="C11" s="303" t="s">
        <v>276</v>
      </c>
      <c r="D11" s="170" t="s">
        <v>277</v>
      </c>
      <c r="E11" s="304" t="s">
        <v>279</v>
      </c>
      <c r="F11" s="170" t="s">
        <v>19</v>
      </c>
      <c r="G11" s="305">
        <v>1</v>
      </c>
      <c r="H11" s="306">
        <v>7000</v>
      </c>
      <c r="I11" s="307">
        <f t="shared" ref="I11:I17" si="0">+H11*G11</f>
        <v>7000</v>
      </c>
    </row>
    <row r="12" spans="1:9" s="242" customFormat="1" ht="27" customHeight="1" thickBot="1" x14ac:dyDescent="0.3">
      <c r="A12" s="302">
        <v>3</v>
      </c>
      <c r="B12" s="257"/>
      <c r="C12" s="303" t="s">
        <v>276</v>
      </c>
      <c r="D12" s="170" t="s">
        <v>277</v>
      </c>
      <c r="E12" s="308" t="s">
        <v>280</v>
      </c>
      <c r="F12" s="170" t="s">
        <v>19</v>
      </c>
      <c r="G12" s="305">
        <v>1</v>
      </c>
      <c r="H12" s="306">
        <v>74800</v>
      </c>
      <c r="I12" s="307">
        <f t="shared" si="0"/>
        <v>74800</v>
      </c>
    </row>
    <row r="13" spans="1:9" s="242" customFormat="1" ht="26.25" customHeight="1" thickBot="1" x14ac:dyDescent="0.3">
      <c r="A13" s="302">
        <v>4</v>
      </c>
      <c r="B13" s="257"/>
      <c r="C13" s="303" t="s">
        <v>276</v>
      </c>
      <c r="D13" s="170" t="s">
        <v>277</v>
      </c>
      <c r="E13" s="309" t="s">
        <v>281</v>
      </c>
      <c r="F13" s="170" t="s">
        <v>19</v>
      </c>
      <c r="G13" s="305">
        <v>1</v>
      </c>
      <c r="H13" s="306">
        <v>8800</v>
      </c>
      <c r="I13" s="307">
        <f t="shared" si="0"/>
        <v>8800</v>
      </c>
    </row>
    <row r="14" spans="1:9" s="242" customFormat="1" ht="26.25" customHeight="1" thickBot="1" x14ac:dyDescent="0.3">
      <c r="A14" s="302">
        <v>5</v>
      </c>
      <c r="B14" s="257"/>
      <c r="C14" s="303" t="s">
        <v>276</v>
      </c>
      <c r="D14" s="170" t="s">
        <v>277</v>
      </c>
      <c r="E14" s="309" t="s">
        <v>282</v>
      </c>
      <c r="F14" s="170" t="s">
        <v>19</v>
      </c>
      <c r="G14" s="305">
        <v>1</v>
      </c>
      <c r="H14" s="306">
        <v>19200</v>
      </c>
      <c r="I14" s="307">
        <f t="shared" si="0"/>
        <v>19200</v>
      </c>
    </row>
    <row r="15" spans="1:9" s="242" customFormat="1" ht="26.25" customHeight="1" thickBot="1" x14ac:dyDescent="0.3">
      <c r="A15" s="302">
        <v>6</v>
      </c>
      <c r="B15" s="257"/>
      <c r="C15" s="303" t="s">
        <v>276</v>
      </c>
      <c r="D15" s="170" t="s">
        <v>277</v>
      </c>
      <c r="E15" s="309" t="s">
        <v>283</v>
      </c>
      <c r="F15" s="170" t="s">
        <v>19</v>
      </c>
      <c r="G15" s="305">
        <v>1</v>
      </c>
      <c r="H15" s="306">
        <v>8000</v>
      </c>
      <c r="I15" s="307">
        <f t="shared" si="0"/>
        <v>8000</v>
      </c>
    </row>
    <row r="16" spans="1:9" s="242" customFormat="1" ht="26.25" customHeight="1" thickBot="1" x14ac:dyDescent="0.3">
      <c r="A16" s="302">
        <v>7</v>
      </c>
      <c r="B16" s="257"/>
      <c r="C16" s="303" t="s">
        <v>276</v>
      </c>
      <c r="D16" s="170" t="s">
        <v>277</v>
      </c>
      <c r="E16" s="309" t="s">
        <v>284</v>
      </c>
      <c r="F16" s="170" t="s">
        <v>19</v>
      </c>
      <c r="G16" s="305">
        <v>1</v>
      </c>
      <c r="H16" s="306">
        <v>24000</v>
      </c>
      <c r="I16" s="307">
        <f t="shared" si="0"/>
        <v>24000</v>
      </c>
    </row>
    <row r="17" spans="1:9" s="242" customFormat="1" ht="28.5" customHeight="1" thickBot="1" x14ac:dyDescent="0.3">
      <c r="A17" s="302">
        <v>8</v>
      </c>
      <c r="B17" s="257"/>
      <c r="C17" s="303" t="s">
        <v>276</v>
      </c>
      <c r="D17" s="170" t="s">
        <v>277</v>
      </c>
      <c r="E17" s="309" t="s">
        <v>285</v>
      </c>
      <c r="F17" s="178" t="s">
        <v>19</v>
      </c>
      <c r="G17" s="305">
        <v>1</v>
      </c>
      <c r="H17" s="306">
        <v>10600</v>
      </c>
      <c r="I17" s="307">
        <f t="shared" si="0"/>
        <v>10600</v>
      </c>
    </row>
    <row r="18" spans="1:9" s="242" customFormat="1" ht="18.75" customHeight="1" thickBot="1" x14ac:dyDescent="0.3">
      <c r="B18" s="258"/>
      <c r="I18" s="310">
        <f>SUM(I10:I17)</f>
        <v>176900</v>
      </c>
    </row>
    <row r="19" spans="1:9" s="242" customFormat="1" ht="13.5" x14ac:dyDescent="0.25">
      <c r="B19" s="259" t="s">
        <v>53</v>
      </c>
      <c r="C19" s="212"/>
      <c r="D19" s="212"/>
      <c r="E19" s="195"/>
    </row>
    <row r="20" spans="1:9" s="242" customFormat="1" ht="13.5" x14ac:dyDescent="0.25">
      <c r="B20" s="396"/>
      <c r="C20" s="397"/>
      <c r="E20" s="213"/>
    </row>
    <row r="21" spans="1:9" s="242" customFormat="1" ht="181.5" customHeight="1" x14ac:dyDescent="0.25">
      <c r="B21" s="335"/>
      <c r="C21" s="398"/>
      <c r="D21" s="398"/>
      <c r="E21" s="399"/>
    </row>
    <row r="22" spans="1:9" s="242" customFormat="1" ht="13.5" customHeight="1" x14ac:dyDescent="0.25">
      <c r="B22" s="396"/>
      <c r="C22" s="397"/>
      <c r="D22" s="336"/>
      <c r="E22" s="337"/>
    </row>
    <row r="23" spans="1:9" s="242" customFormat="1" ht="21.75" customHeight="1" x14ac:dyDescent="0.25">
      <c r="B23" s="335"/>
      <c r="C23" s="400"/>
      <c r="D23" s="400"/>
      <c r="E23" s="401"/>
    </row>
    <row r="24" spans="1:9" s="242" customFormat="1" ht="33.75" customHeight="1" x14ac:dyDescent="0.25">
      <c r="B24" s="335"/>
      <c r="C24" s="400"/>
      <c r="D24" s="400"/>
      <c r="E24" s="401"/>
    </row>
    <row r="25" spans="1:9" s="242" customFormat="1" ht="133.5" customHeight="1" x14ac:dyDescent="0.25">
      <c r="B25" s="335"/>
      <c r="C25" s="400"/>
      <c r="D25" s="400"/>
      <c r="E25" s="401"/>
    </row>
    <row r="26" spans="1:9" s="242" customFormat="1" ht="13.5" x14ac:dyDescent="0.25">
      <c r="B26" s="396"/>
      <c r="C26" s="397"/>
      <c r="E26" s="213"/>
    </row>
    <row r="27" spans="1:9" s="242" customFormat="1" ht="333" customHeight="1" x14ac:dyDescent="0.25">
      <c r="B27" s="335"/>
      <c r="C27" s="398"/>
      <c r="D27" s="398"/>
      <c r="E27" s="399"/>
    </row>
    <row r="28" spans="1:9" s="242" customFormat="1" ht="13.5" x14ac:dyDescent="0.25">
      <c r="B28" s="396"/>
      <c r="C28" s="397"/>
      <c r="E28" s="213"/>
    </row>
    <row r="29" spans="1:9" s="242" customFormat="1" ht="159" customHeight="1" x14ac:dyDescent="0.25">
      <c r="B29" s="335"/>
      <c r="C29" s="398"/>
      <c r="D29" s="398"/>
      <c r="E29" s="399"/>
    </row>
    <row r="30" spans="1:9" s="242" customFormat="1" ht="13.5" x14ac:dyDescent="0.25">
      <c r="B30" s="396"/>
      <c r="C30" s="397"/>
      <c r="E30" s="213"/>
    </row>
    <row r="31" spans="1:9" s="242" customFormat="1" ht="189.75" customHeight="1" x14ac:dyDescent="0.25">
      <c r="B31" s="335"/>
      <c r="C31" s="398"/>
      <c r="D31" s="398"/>
      <c r="E31" s="399"/>
    </row>
    <row r="32" spans="1:9" s="242" customFormat="1" ht="13.5" x14ac:dyDescent="0.25">
      <c r="B32" s="396"/>
      <c r="C32" s="397"/>
      <c r="E32" s="213"/>
    </row>
    <row r="33" spans="2:5" s="242" customFormat="1" ht="13.5" x14ac:dyDescent="0.25">
      <c r="B33" s="335"/>
      <c r="C33" s="398"/>
      <c r="D33" s="398"/>
      <c r="E33" s="399"/>
    </row>
    <row r="34" spans="2:5" s="242" customFormat="1" ht="14.25" thickBot="1" x14ac:dyDescent="0.3">
      <c r="B34" s="311"/>
      <c r="C34" s="404"/>
      <c r="D34" s="404"/>
      <c r="E34" s="405"/>
    </row>
    <row r="35" spans="2:5" s="242" customFormat="1" ht="14.25" thickBot="1" x14ac:dyDescent="0.3">
      <c r="B35" s="260"/>
      <c r="C35" s="336"/>
      <c r="D35" s="336"/>
      <c r="E35" s="336"/>
    </row>
    <row r="36" spans="2:5" s="242" customFormat="1" ht="13.5" x14ac:dyDescent="0.25">
      <c r="B36" s="261" t="s">
        <v>34</v>
      </c>
      <c r="C36" s="262"/>
      <c r="D36" s="212"/>
      <c r="E36" s="263"/>
    </row>
    <row r="37" spans="2:5" s="242" customFormat="1" ht="13.5" x14ac:dyDescent="0.25">
      <c r="B37" s="264"/>
      <c r="C37" s="400" t="s">
        <v>57</v>
      </c>
      <c r="D37" s="400"/>
      <c r="E37" s="401"/>
    </row>
    <row r="38" spans="2:5" s="242" customFormat="1" ht="13.5" x14ac:dyDescent="0.25">
      <c r="B38" s="264"/>
      <c r="C38" s="406"/>
      <c r="D38" s="406"/>
      <c r="E38" s="406"/>
    </row>
    <row r="39" spans="2:5" s="242" customFormat="1" ht="13.5" x14ac:dyDescent="0.25">
      <c r="B39" s="205" t="s">
        <v>36</v>
      </c>
      <c r="C39" s="241"/>
      <c r="E39" s="339"/>
    </row>
    <row r="40" spans="2:5" s="242" customFormat="1" ht="13.5" x14ac:dyDescent="0.25">
      <c r="B40" s="264"/>
      <c r="C40" s="400" t="s">
        <v>286</v>
      </c>
      <c r="D40" s="400"/>
      <c r="E40" s="401"/>
    </row>
    <row r="41" spans="2:5" s="242" customFormat="1" ht="14.25" thickBot="1" x14ac:dyDescent="0.3">
      <c r="B41" s="265"/>
      <c r="C41" s="209"/>
      <c r="D41" s="209"/>
      <c r="E41" s="210"/>
    </row>
    <row r="42" spans="2:5" s="242" customFormat="1" ht="14.25" thickBot="1" x14ac:dyDescent="0.3"/>
    <row r="43" spans="2:5" s="242" customFormat="1" ht="13.5" x14ac:dyDescent="0.25">
      <c r="B43" s="261" t="s">
        <v>38</v>
      </c>
      <c r="C43" s="266"/>
      <c r="D43" s="266"/>
      <c r="E43" s="267"/>
    </row>
    <row r="44" spans="2:5" s="242" customFormat="1" ht="13.5" x14ac:dyDescent="0.25">
      <c r="B44" s="268"/>
      <c r="C44" s="407" t="s">
        <v>59</v>
      </c>
      <c r="D44" s="407"/>
      <c r="E44" s="408"/>
    </row>
    <row r="45" spans="2:5" s="242" customFormat="1" ht="13.5" x14ac:dyDescent="0.25">
      <c r="B45" s="269" t="s">
        <v>40</v>
      </c>
      <c r="E45" s="213"/>
    </row>
    <row r="46" spans="2:5" s="242" customFormat="1" ht="13.5" x14ac:dyDescent="0.25">
      <c r="B46" s="270"/>
      <c r="C46" s="402" t="s">
        <v>60</v>
      </c>
      <c r="D46" s="402"/>
      <c r="E46" s="403"/>
    </row>
    <row r="47" spans="2:5" s="242" customFormat="1" ht="14.25" thickBot="1" x14ac:dyDescent="0.3">
      <c r="B47" s="271"/>
      <c r="C47" s="209"/>
      <c r="D47" s="209"/>
      <c r="E47" s="210"/>
    </row>
  </sheetData>
  <mergeCells count="25">
    <mergeCell ref="C46:E46"/>
    <mergeCell ref="C33:E33"/>
    <mergeCell ref="C34:E34"/>
    <mergeCell ref="C37:E37"/>
    <mergeCell ref="C38:E38"/>
    <mergeCell ref="C40:E40"/>
    <mergeCell ref="C44:E44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ACCESORIOS CANES</vt:lpstr>
      <vt:lpstr>EQUIPO DE EQUITACION Y CORREAJE</vt:lpstr>
      <vt:lpstr>FERRETERIA</vt:lpstr>
      <vt:lpstr>HERRERIA</vt:lpstr>
      <vt:lpstr>PAPEL DE ESCRITORIO Y CARTON</vt:lpstr>
      <vt:lpstr>EQUIPO MILITAR Y DE SEGURIDAD </vt:lpstr>
      <vt:lpstr>Hoja1</vt:lpstr>
      <vt:lpstr>CUBIERTAS Y CÁMARAS DE AIRE</vt:lpstr>
      <vt:lpstr>Productos de Papel y Cartón</vt:lpstr>
      <vt:lpstr>UTILES MENORES M.Q.L</vt:lpstr>
      <vt:lpstr>PROD FARMACEUTICOS</vt:lpstr>
      <vt:lpstr>INSECTICIDA F.OTROS</vt:lpstr>
      <vt:lpstr>REPUESTO</vt:lpstr>
      <vt:lpstr>VEHICULO BLINDADO</vt:lpstr>
      <vt:lpstr>ALCOHOL BARBIJO</vt:lpstr>
      <vt:lpstr>CAMPERA ADICIONAL</vt:lpstr>
      <vt:lpstr>SEGUROS</vt:lpstr>
      <vt:lpstr>COMPUTADORA</vt:lpstr>
      <vt:lpstr>FERRETERIA!Área_de_impresión</vt:lpstr>
      <vt:lpstr>HERRERIA!Área_de_impresión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Armeria</dc:creator>
  <cp:keywords/>
  <dc:description/>
  <cp:lastModifiedBy>USUARIO</cp:lastModifiedBy>
  <cp:revision>2</cp:revision>
  <dcterms:created xsi:type="dcterms:W3CDTF">2020-07-17T23:44:49Z</dcterms:created>
  <dcterms:modified xsi:type="dcterms:W3CDTF">2022-06-21T16:34:07Z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