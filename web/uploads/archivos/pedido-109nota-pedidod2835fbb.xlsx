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351278-CAT-DPPR#MHP\"/>
    </mc:Choice>
  </mc:AlternateContent>
  <xr:revisionPtr revIDLastSave="0" documentId="8_{EC43C407-7373-4F41-BF71-8FF41EDCBCC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Nota de Pedido" sheetId="2" r:id="rId2"/>
    <sheet name="APG" sheetId="3" r:id="rId3"/>
  </sheets>
  <definedNames>
    <definedName name="_xlnm.Print_Area" localSheetId="0">'Necesidades trimestrales'!$A$1:$I$21</definedName>
  </definedNames>
  <calcPr calcId="181029"/>
</workbook>
</file>

<file path=xl/calcChain.xml><?xml version="1.0" encoding="utf-8"?>
<calcChain xmlns="http://schemas.openxmlformats.org/spreadsheetml/2006/main">
  <c r="B13" i="2" l="1"/>
  <c r="B14" i="2"/>
  <c r="B12" i="2"/>
  <c r="K13" i="2"/>
  <c r="K14" i="2"/>
  <c r="K12" i="2"/>
  <c r="J13" i="2"/>
  <c r="J14" i="2"/>
  <c r="J12" i="2"/>
  <c r="C13" i="2"/>
  <c r="C14" i="2"/>
  <c r="I10" i="1"/>
  <c r="J15" i="2" l="1"/>
  <c r="L12" i="2"/>
  <c r="L13" i="2"/>
  <c r="L14" i="2"/>
  <c r="L15" i="2" l="1"/>
  <c r="Q18" i="3"/>
  <c r="I12" i="1"/>
  <c r="I11" i="1"/>
</calcChain>
</file>

<file path=xl/sharedStrings.xml><?xml version="1.0" encoding="utf-8"?>
<sst xmlns="http://schemas.openxmlformats.org/spreadsheetml/2006/main" count="102" uniqueCount="80">
  <si>
    <t>Pedido de Necesidades Trimestrales</t>
  </si>
  <si>
    <t>JURISDICCION:</t>
  </si>
  <si>
    <t>040 - Ministerio de Salud</t>
  </si>
  <si>
    <t xml:space="preserve">SAF N°: </t>
  </si>
  <si>
    <t>024 - Hospital Interzonal de Niños</t>
  </si>
  <si>
    <t>EJERCICIO:</t>
  </si>
  <si>
    <t>TRIMESTRE:</t>
  </si>
  <si>
    <t>ID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</si>
  <si>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</si>
  <si>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</si>
  <si>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</si>
  <si>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</si>
  <si>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</si>
  <si>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</si>
  <si>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</si>
  <si>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</si>
  <si>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</si>
  <si>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</si>
  <si>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</si>
  <si>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</si>
  <si>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</si>
  <si>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</si>
  <si>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</si>
  <si>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</si>
  <si>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</si>
  <si>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</si>
  <si>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</si>
  <si>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</si>
  <si>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</si>
  <si>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</si>
  <si>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</si>
  <si>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</si>
  <si>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</si>
  <si>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</si>
  <si>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</si>
  <si>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</si>
  <si>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</si>
  <si>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</si>
  <si>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</si>
  <si>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</si>
  <si>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</si>
  <si>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</si>
  <si>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</si>
  <si>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</si>
  <si>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</si>
  <si>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</si>
  <si>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</si>
  <si>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</si>
  <si>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</si>
  <si>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</si>
  <si>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</si>
  <si>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</si>
  <si>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</si>
  <si>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</si>
  <si>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</si>
  <si>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de notificada la Orden de Compra</t>
    </r>
  </si>
  <si>
    <t xml:space="preserve">45 dias habiles </t>
  </si>
  <si>
    <t>024- Hospital Interzonal de Niños</t>
  </si>
  <si>
    <t xml:space="preserve">2 do Trimestre </t>
  </si>
  <si>
    <t xml:space="preserve">040- Ministerio de Slud </t>
  </si>
  <si>
    <t>040- Ministerio de Salud</t>
  </si>
  <si>
    <t>Mantenimiento de Oferta:</t>
  </si>
  <si>
    <t>2.2.9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</si>
  <si>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</si>
  <si>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070/2021</t>
  </si>
  <si>
    <t>ALMOHADAS; CONSTRUCCION: FIBRA Y POLIESTER, DIMENSION: 80 X 40 Cm</t>
  </si>
  <si>
    <t>2.2.9-702.32</t>
  </si>
  <si>
    <t>COLCHONES; CONSTRUCCION: ESPUMA POLIURETANO, DIMENSION: 190 X 70 Cm, ESPESOR: 18 Cm, DENSIDAD: 24 kg/cm3, TERMINACION: TELA IMPERMEABLE</t>
  </si>
  <si>
    <t>2.2.9-701.169</t>
  </si>
  <si>
    <t>COLCHONES; CONSTRUCCION: ESPUMA ALTA DENSIDAD, DIMENSION: 190 X 80 Cm, ESPESOR: 20 Cm, DENSIDAD: 28 Kg/m3, TERMINACION: MATELASSEADO</t>
  </si>
  <si>
    <t>2.2.9-701.195</t>
  </si>
  <si>
    <t>ARTICULOS DEL HOGAR</t>
  </si>
  <si>
    <t xml:space="preserve">Autorizo la realización de los  trámites correspondientes, a fin de proveer a  este Organismo los bienes y/o servicios que se detallan en Nota  de Pedido N° 070/2021,  afectando la erogación resultante a los créditos presupuestarios aprobados a favor de esta Unidad Ejecutora, conforme al siguiente detalle:                
</t>
  </si>
  <si>
    <t xml:space="preserve">COSTO TOTAL ESTIMADO : OCHOCIENTOS SESENTA Y NUEVE MIL NOVECIENTOS CINCUENTA Y SIETE CON 00/100 : </t>
  </si>
  <si>
    <t>TOTAL DE PESOS: OCHOCIENTOS SESENTA Y NUEVE MIL NOVECIENTOS CINCUENTA Y SIETE CON 00/100.</t>
  </si>
  <si>
    <t>Para la adquisición de COLCHONES Y ALMOHADONES destinados a la  Direccion Asistencial del Hospital Interzonal de Niños Eva Peron, para el normal funcionamiento del organismo.</t>
  </si>
  <si>
    <t xml:space="preserve">Dirección Asistencial </t>
  </si>
  <si>
    <t xml:space="preserve">Colchones y Almohadones </t>
  </si>
  <si>
    <t>Otros no Especificados Preced.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</si>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</sst>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&quot;$&quot;#,##0.00"/>
    <numFmt numFmtId="166" formatCode="_ [$$-2C0A]\ * #,##0.00_ ;_ [$$-2C0A]\ * \-#,##0.00_ ;_ [$$-2C0A]\ * &quot;-&quot;??_ ;_ @_ "/>
    <numFmt numFmtId="167" formatCode="[$$-2C0A]\ #,##0.00;[$$-2C0A]&quot; -&quot;#,##0.00"/>
    <numFmt numFmtId="168" formatCode="dd\-mm\-yy;@"/>
    <numFmt numFmtId="169" formatCode="_(\$* #,##0.00_);_(\$* \(#,##0.00\);_(\$* \-??_);_(@_)"/>
    <numFmt numFmtId="170" formatCode="&quot;$&quot;\ 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Bookman Old Style"/>
      <family val="1"/>
    </font>
    <font>
      <sz val="1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3D3D3D"/>
      </left>
      <right/>
      <top/>
      <bottom style="thin">
        <color rgb="FF3D3D3D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9" fontId="16" fillId="0" borderId="0" applyBorder="0" applyProtection="0"/>
    <xf numFmtId="0" fontId="10" fillId="0" borderId="0"/>
  </cellStyleXfs>
  <cellXfs count="138">
    <xf numFmtId="0" fontId="0" fillId="0" borderId="0" xfId="0"/>
    <xf numFmtId="0" fontId="3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6" fillId="2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11" fillId="3" borderId="2" xfId="0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15" fillId="3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3" fontId="17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20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21" xfId="0" applyBorder="1"/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3" xfId="0" applyBorder="1"/>
    <xf numFmtId="0" fontId="9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3" borderId="0" xfId="0" applyFont="1" applyFill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22" fillId="0" borderId="36" xfId="0" applyFont="1" applyBorder="1" applyAlignment="1">
      <alignment horizontal="left" indent="3"/>
    </xf>
    <xf numFmtId="0" fontId="3" fillId="0" borderId="37" xfId="0" applyFont="1" applyBorder="1"/>
    <xf numFmtId="0" fontId="3" fillId="0" borderId="38" xfId="0" applyFont="1" applyBorder="1"/>
    <xf numFmtId="0" fontId="3" fillId="0" borderId="39" xfId="0" applyFont="1" applyBorder="1" applyAlignment="1">
      <alignment horizontal="left" indent="3"/>
    </xf>
    <xf numFmtId="0" fontId="3" fillId="0" borderId="41" xfId="0" applyFont="1" applyBorder="1" applyAlignment="1">
      <alignment horizontal="left" indent="3"/>
    </xf>
    <xf numFmtId="0" fontId="3" fillId="0" borderId="42" xfId="0" applyFont="1" applyBorder="1"/>
    <xf numFmtId="0" fontId="3" fillId="0" borderId="43" xfId="0" applyFont="1" applyBorder="1"/>
    <xf numFmtId="165" fontId="9" fillId="0" borderId="13" xfId="0" applyNumberFormat="1" applyFont="1" applyBorder="1" applyAlignment="1">
      <alignment horizontal="right"/>
    </xf>
    <xf numFmtId="0" fontId="15" fillId="3" borderId="11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4" borderId="0" xfId="0" applyFill="1"/>
    <xf numFmtId="170" fontId="0" fillId="0" borderId="0" xfId="0" applyNumberFormat="1"/>
    <xf numFmtId="0" fontId="3" fillId="0" borderId="0" xfId="0" applyFont="1" applyFill="1"/>
    <xf numFmtId="0" fontId="0" fillId="0" borderId="0" xfId="0" applyFill="1"/>
    <xf numFmtId="170" fontId="0" fillId="0" borderId="13" xfId="1" applyNumberFormat="1" applyFont="1" applyBorder="1" applyAlignment="1"/>
    <xf numFmtId="167" fontId="0" fillId="0" borderId="30" xfId="2" applyNumberFormat="1" applyFont="1" applyBorder="1" applyAlignment="1" applyProtection="1">
      <alignment vertical="center"/>
    </xf>
    <xf numFmtId="167" fontId="21" fillId="0" borderId="31" xfId="0" applyNumberFormat="1" applyFont="1" applyBorder="1" applyAlignment="1">
      <alignment vertical="center"/>
    </xf>
    <xf numFmtId="0" fontId="22" fillId="0" borderId="37" xfId="0" applyFont="1" applyBorder="1" applyAlignment="1">
      <alignment horizontal="left" indent="3"/>
    </xf>
    <xf numFmtId="0" fontId="3" fillId="0" borderId="0" xfId="0" applyFont="1" applyBorder="1" applyAlignment="1">
      <alignment horizontal="left" indent="3"/>
    </xf>
    <xf numFmtId="0" fontId="3" fillId="0" borderId="42" xfId="0" applyFont="1" applyBorder="1" applyAlignment="1">
      <alignment horizontal="left" indent="3"/>
    </xf>
    <xf numFmtId="0" fontId="0" fillId="0" borderId="0" xfId="0" applyBorder="1" applyAlignment="1">
      <alignment horizontal="center"/>
    </xf>
    <xf numFmtId="0" fontId="0" fillId="0" borderId="40" xfId="0" applyBorder="1"/>
    <xf numFmtId="0" fontId="0" fillId="0" borderId="39" xfId="0" applyBorder="1"/>
    <xf numFmtId="0" fontId="15" fillId="3" borderId="47" xfId="0" applyFont="1" applyFill="1" applyBorder="1" applyAlignment="1">
      <alignment horizontal="center" vertical="center"/>
    </xf>
    <xf numFmtId="0" fontId="15" fillId="0" borderId="47" xfId="0" applyFont="1" applyFill="1" applyBorder="1" applyAlignment="1">
      <alignment horizontal="center" vertical="center"/>
    </xf>
    <xf numFmtId="0" fontId="24" fillId="0" borderId="47" xfId="0" applyFont="1" applyFill="1" applyBorder="1" applyAlignment="1">
      <alignment horizontal="center"/>
    </xf>
    <xf numFmtId="165" fontId="24" fillId="0" borderId="47" xfId="0" applyNumberFormat="1" applyFont="1" applyFill="1" applyBorder="1" applyAlignment="1">
      <alignment horizontal="center"/>
    </xf>
    <xf numFmtId="166" fontId="23" fillId="0" borderId="47" xfId="1" applyNumberFormat="1" applyFont="1" applyFill="1" applyBorder="1"/>
    <xf numFmtId="0" fontId="24" fillId="0" borderId="13" xfId="0" applyFont="1" applyFill="1" applyBorder="1" applyAlignment="1">
      <alignment horizontal="center"/>
    </xf>
    <xf numFmtId="165" fontId="24" fillId="0" borderId="13" xfId="0" applyNumberFormat="1" applyFont="1" applyFill="1" applyBorder="1" applyAlignment="1">
      <alignment horizontal="center"/>
    </xf>
    <xf numFmtId="166" fontId="23" fillId="0" borderId="13" xfId="1" applyNumberFormat="1" applyFont="1" applyFill="1" applyBorder="1"/>
    <xf numFmtId="0" fontId="8" fillId="5" borderId="1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23" fillId="0" borderId="47" xfId="0" applyFont="1" applyFill="1" applyBorder="1" applyAlignment="1">
      <alignment horizontal="center" vertical="center" wrapText="1"/>
    </xf>
    <xf numFmtId="0" fontId="23" fillId="0" borderId="47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3" fillId="2" borderId="40" xfId="0" applyFont="1" applyFill="1" applyBorder="1" applyAlignment="1">
      <alignment horizontal="left" wrapText="1"/>
    </xf>
    <xf numFmtId="0" fontId="4" fillId="0" borderId="0" xfId="0" applyFont="1" applyBorder="1" applyAlignment="1">
      <alignment horizontal="left"/>
    </xf>
    <xf numFmtId="0" fontId="3" fillId="2" borderId="39" xfId="3" applyFont="1" applyFill="1" applyBorder="1" applyAlignment="1">
      <alignment horizontal="left" wrapText="1"/>
    </xf>
    <xf numFmtId="0" fontId="3" fillId="2" borderId="0" xfId="3" applyFont="1" applyFill="1" applyBorder="1" applyAlignment="1">
      <alignment horizontal="left" wrapText="1"/>
    </xf>
    <xf numFmtId="0" fontId="3" fillId="2" borderId="40" xfId="3" applyFont="1" applyFill="1" applyBorder="1" applyAlignment="1">
      <alignment horizontal="left" wrapText="1"/>
    </xf>
    <xf numFmtId="0" fontId="4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left" wrapText="1" indent="1"/>
    </xf>
    <xf numFmtId="0" fontId="22" fillId="0" borderId="39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40" xfId="0" applyFont="1" applyBorder="1" applyAlignment="1">
      <alignment horizontal="left"/>
    </xf>
    <xf numFmtId="0" fontId="8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 indent="1"/>
    </xf>
    <xf numFmtId="0" fontId="13" fillId="3" borderId="6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 wrapText="1" inden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46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/>
    </xf>
    <xf numFmtId="170" fontId="2" fillId="0" borderId="34" xfId="0" applyNumberFormat="1" applyFont="1" applyBorder="1" applyAlignment="1">
      <alignment horizontal="center"/>
    </xf>
    <xf numFmtId="170" fontId="2" fillId="0" borderId="35" xfId="0" applyNumberFormat="1" applyFont="1" applyBorder="1" applyAlignment="1">
      <alignment horizontal="center"/>
    </xf>
    <xf numFmtId="0" fontId="2" fillId="0" borderId="33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9" fillId="0" borderId="33" xfId="0" applyFont="1" applyBorder="1" applyAlignment="1">
      <alignment horizontal="left" wrapText="1"/>
    </xf>
    <xf numFmtId="0" fontId="9" fillId="0" borderId="34" xfId="0" applyFont="1" applyBorder="1" applyAlignment="1">
      <alignment horizontal="left" wrapText="1"/>
    </xf>
    <xf numFmtId="0" fontId="9" fillId="0" borderId="35" xfId="0" applyFont="1" applyBorder="1" applyAlignment="1">
      <alignment horizontal="left" wrapText="1"/>
    </xf>
    <xf numFmtId="0" fontId="19" fillId="0" borderId="18" xfId="0" applyFont="1" applyBorder="1"/>
    <xf numFmtId="0" fontId="0" fillId="0" borderId="14" xfId="0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16" fillId="0" borderId="3" xfId="0" applyFont="1" applyBorder="1"/>
    <xf numFmtId="0" fontId="19" fillId="0" borderId="3" xfId="0" applyFont="1" applyBorder="1" applyAlignment="1">
      <alignment horizontal="left" indent="1"/>
    </xf>
    <xf numFmtId="0" fontId="15" fillId="0" borderId="5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/>
    </xf>
    <xf numFmtId="0" fontId="0" fillId="0" borderId="28" xfId="0" applyBorder="1" applyAlignment="1">
      <alignment horizontal="left" vertical="center"/>
    </xf>
    <xf numFmtId="0" fontId="19" fillId="0" borderId="19" xfId="0" applyFont="1" applyBorder="1" applyAlignment="1">
      <alignment horizontal="left" vertical="center" wrapText="1" indent="1"/>
    </xf>
    <xf numFmtId="0" fontId="21" fillId="0" borderId="2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0" fillId="0" borderId="33" xfId="0" applyBorder="1" applyAlignment="1">
      <alignment horizontal="left" wrapText="1"/>
    </xf>
    <xf numFmtId="0" fontId="0" fillId="0" borderId="35" xfId="0" applyBorder="1" applyAlignment="1">
      <alignment horizontal="left" wrapText="1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17" fillId="0" borderId="31" xfId="0" applyFont="1" applyBorder="1" applyAlignment="1">
      <alignment horizontal="left" vertical="center" wrapText="1"/>
    </xf>
    <xf numFmtId="0" fontId="0" fillId="0" borderId="22" xfId="0" applyBorder="1"/>
    <xf numFmtId="0" fontId="17" fillId="0" borderId="14" xfId="0" applyFont="1" applyBorder="1" applyAlignment="1">
      <alignment vertical="center" wrapText="1"/>
    </xf>
    <xf numFmtId="0" fontId="17" fillId="0" borderId="32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9" fillId="0" borderId="23" xfId="0" applyFont="1" applyBorder="1" applyAlignment="1">
      <alignment vertical="center" wrapText="1"/>
    </xf>
    <xf numFmtId="0" fontId="19" fillId="2" borderId="31" xfId="0" applyFont="1" applyFill="1" applyBorder="1" applyAlignment="1">
      <alignment horizontal="left" vertical="center" wrapText="1" indent="1"/>
    </xf>
  </cellXfs>
  <cellStyles count="4">
    <cellStyle name="Moneda" xfId="1" builtinId="4"/>
    <cellStyle name="Moneda_AUTORIZACION Y NOTA DE PEDIDO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activeCell="E12" sqref="E12"/>
    </sheetView>
  </sheetViews>
  <sheetFormatPr baseColWidth="10" defaultRowHeight="15" x14ac:dyDescent="0.25"/>
  <cols>
    <col min="1" max="1" width="5.85546875" customWidth="1"/>
    <col min="2" max="2" width="14.5703125" customWidth="1"/>
    <col min="3" max="3" width="18.42578125" customWidth="1"/>
    <col min="4" max="4" width="11.42578125" style="38"/>
    <col min="5" max="5" width="61.85546875" customWidth="1"/>
    <col min="9" max="9" width="13.28515625" customWidth="1"/>
  </cols>
  <sheetData>
    <row r="1" spans="1:14" ht="38.25" customHeight="1" x14ac:dyDescent="0.35">
      <c r="A1" s="1"/>
      <c r="B1" s="1"/>
      <c r="C1" s="80" t="s">
        <v>0</v>
      </c>
      <c r="D1" s="80"/>
      <c r="E1" s="80"/>
      <c r="F1" s="80"/>
      <c r="G1" s="80"/>
      <c r="H1" s="80"/>
      <c r="I1" s="80"/>
      <c r="J1" s="1"/>
    </row>
    <row r="2" spans="1:14" ht="27" hidden="1" x14ac:dyDescent="0.35">
      <c r="A2" s="1"/>
      <c r="B2" s="1"/>
      <c r="C2" s="84"/>
      <c r="D2" s="84"/>
      <c r="E2" s="84"/>
      <c r="F2" s="84"/>
      <c r="G2" s="84"/>
      <c r="H2" s="84"/>
      <c r="I2" s="1"/>
      <c r="J2" s="1"/>
    </row>
    <row r="3" spans="1:14" ht="16.5" hidden="1" customHeight="1" x14ac:dyDescent="0.25">
      <c r="A3" s="1"/>
      <c r="B3" s="1"/>
      <c r="C3" s="1"/>
      <c r="D3" s="35"/>
      <c r="E3" s="1"/>
      <c r="F3" s="1"/>
      <c r="G3" s="1"/>
      <c r="H3" s="1"/>
      <c r="I3" s="1"/>
      <c r="J3" s="1"/>
    </row>
    <row r="4" spans="1:14" ht="30.75" customHeight="1" x14ac:dyDescent="0.25">
      <c r="A4" s="89" t="s">
        <v>1</v>
      </c>
      <c r="B4" s="89"/>
      <c r="C4" s="40" t="s">
        <v>2</v>
      </c>
      <c r="D4" s="39"/>
      <c r="E4" s="39"/>
      <c r="F4" s="2"/>
      <c r="G4" s="3"/>
      <c r="H4" s="2"/>
      <c r="I4" s="1"/>
      <c r="J4" s="1"/>
    </row>
    <row r="5" spans="1:14" ht="15.75" x14ac:dyDescent="0.25">
      <c r="A5" s="90" t="s">
        <v>3</v>
      </c>
      <c r="B5" s="90"/>
      <c r="C5" s="85" t="s">
        <v>4</v>
      </c>
      <c r="D5" s="85"/>
      <c r="E5" s="85"/>
      <c r="F5" s="2"/>
      <c r="G5" s="3"/>
      <c r="H5" s="2"/>
      <c r="I5" s="1"/>
      <c r="J5" s="1"/>
    </row>
    <row r="6" spans="1:14" ht="15.75" customHeight="1" x14ac:dyDescent="0.25">
      <c r="A6" s="90" t="s">
        <v>5</v>
      </c>
      <c r="B6" s="90"/>
      <c r="C6" s="4">
        <v>2021</v>
      </c>
      <c r="D6" s="36"/>
      <c r="E6" s="5"/>
      <c r="F6" s="2"/>
      <c r="G6" s="3"/>
      <c r="H6" s="2"/>
      <c r="I6" s="1"/>
      <c r="J6" s="1"/>
    </row>
    <row r="7" spans="1:14" ht="15.75" customHeight="1" x14ac:dyDescent="0.25">
      <c r="A7" s="90" t="s">
        <v>6</v>
      </c>
      <c r="B7" s="90"/>
      <c r="C7" s="4">
        <v>2</v>
      </c>
      <c r="D7" s="36"/>
      <c r="E7" s="5"/>
      <c r="F7" s="2"/>
      <c r="G7" s="3"/>
      <c r="H7" s="2"/>
      <c r="I7" s="1"/>
      <c r="J7" s="1"/>
    </row>
    <row r="8" spans="1:14" ht="15.75" thickBot="1" x14ac:dyDescent="0.3">
      <c r="A8" s="1"/>
      <c r="B8" s="1"/>
      <c r="C8" s="3"/>
      <c r="D8" s="3"/>
      <c r="E8" s="2"/>
      <c r="F8" s="2"/>
      <c r="G8" s="3"/>
      <c r="H8" s="2"/>
      <c r="I8" s="1"/>
      <c r="J8" s="1"/>
    </row>
    <row r="9" spans="1:14" ht="39" thickBot="1" x14ac:dyDescent="0.3">
      <c r="A9" s="72" t="s">
        <v>7</v>
      </c>
      <c r="B9" s="72" t="s">
        <v>25</v>
      </c>
      <c r="C9" s="72" t="s">
        <v>8</v>
      </c>
      <c r="D9" s="72" t="s">
        <v>9</v>
      </c>
      <c r="E9" s="77" t="s">
        <v>10</v>
      </c>
      <c r="F9" s="72" t="s">
        <v>11</v>
      </c>
      <c r="G9" s="72" t="s">
        <v>12</v>
      </c>
      <c r="H9" s="72" t="s">
        <v>13</v>
      </c>
      <c r="I9" s="73" t="s">
        <v>14</v>
      </c>
      <c r="J9" s="1"/>
    </row>
    <row r="10" spans="1:14" ht="42" customHeight="1" thickBot="1" x14ac:dyDescent="0.35">
      <c r="A10" s="75">
        <v>1</v>
      </c>
      <c r="B10" s="64" t="s">
        <v>66</v>
      </c>
      <c r="C10" s="74" t="s">
        <v>71</v>
      </c>
      <c r="D10" s="65" t="s">
        <v>62</v>
      </c>
      <c r="E10" s="78" t="s">
        <v>65</v>
      </c>
      <c r="F10" s="66" t="s">
        <v>15</v>
      </c>
      <c r="G10" s="66">
        <v>49</v>
      </c>
      <c r="H10" s="67">
        <v>800</v>
      </c>
      <c r="I10" s="68">
        <f>+H10*G10</f>
        <v>39200</v>
      </c>
      <c r="J10" s="53"/>
      <c r="K10" s="54"/>
      <c r="L10" s="54"/>
      <c r="M10" s="54"/>
    </row>
    <row r="11" spans="1:14" s="51" customFormat="1" ht="55.5" customHeight="1" thickBot="1" x14ac:dyDescent="0.35">
      <c r="A11" s="76">
        <v>2</v>
      </c>
      <c r="B11" s="49" t="s">
        <v>68</v>
      </c>
      <c r="C11" s="74" t="s">
        <v>71</v>
      </c>
      <c r="D11" s="65" t="s">
        <v>62</v>
      </c>
      <c r="E11" s="78" t="s">
        <v>67</v>
      </c>
      <c r="F11" s="69" t="s">
        <v>15</v>
      </c>
      <c r="G11" s="69">
        <v>8</v>
      </c>
      <c r="H11" s="70">
        <v>17760</v>
      </c>
      <c r="I11" s="71">
        <f t="shared" ref="I11:I12" si="0">+H11*G11</f>
        <v>142080</v>
      </c>
      <c r="J11" s="53"/>
      <c r="K11" s="54"/>
      <c r="L11" s="54"/>
      <c r="M11" s="54"/>
      <c r="N11" s="54"/>
    </row>
    <row r="12" spans="1:14" ht="60" customHeight="1" x14ac:dyDescent="0.3">
      <c r="A12" s="76">
        <v>3</v>
      </c>
      <c r="B12" s="49" t="s">
        <v>70</v>
      </c>
      <c r="C12" s="74" t="s">
        <v>71</v>
      </c>
      <c r="D12" s="65" t="s">
        <v>62</v>
      </c>
      <c r="E12" s="78" t="s">
        <v>69</v>
      </c>
      <c r="F12" s="69" t="s">
        <v>15</v>
      </c>
      <c r="G12" s="69">
        <v>41</v>
      </c>
      <c r="H12" s="70">
        <v>16797</v>
      </c>
      <c r="I12" s="71">
        <f t="shared" si="0"/>
        <v>688677</v>
      </c>
      <c r="J12" s="53"/>
      <c r="K12" s="54"/>
      <c r="L12" s="54"/>
      <c r="M12" s="54"/>
    </row>
    <row r="13" spans="1:14" ht="15.75" thickBot="1" x14ac:dyDescent="0.3">
      <c r="D13"/>
      <c r="J13" s="1"/>
    </row>
    <row r="14" spans="1:14" ht="27.75" customHeight="1" x14ac:dyDescent="0.25">
      <c r="A14" s="41" t="s">
        <v>54</v>
      </c>
      <c r="B14" s="58"/>
      <c r="C14" s="42"/>
      <c r="D14" s="42"/>
      <c r="E14" s="43"/>
      <c r="F14" s="1"/>
      <c r="G14" s="1"/>
      <c r="H14" s="1"/>
      <c r="I14" s="1"/>
      <c r="J14" s="1"/>
    </row>
    <row r="15" spans="1:14" ht="33.75" customHeight="1" x14ac:dyDescent="0.25">
      <c r="A15" s="81" t="s">
        <v>63</v>
      </c>
      <c r="B15" s="82"/>
      <c r="C15" s="82"/>
      <c r="D15" s="82"/>
      <c r="E15" s="83"/>
      <c r="F15" s="1"/>
      <c r="G15" s="1"/>
      <c r="H15" s="1"/>
      <c r="I15" s="1"/>
      <c r="J15" s="1"/>
    </row>
    <row r="16" spans="1:14" x14ac:dyDescent="0.25">
      <c r="A16" s="81"/>
      <c r="B16" s="82"/>
      <c r="C16" s="82"/>
      <c r="D16" s="82"/>
      <c r="E16" s="83"/>
      <c r="F16" s="1"/>
      <c r="G16" s="1"/>
      <c r="H16" s="1"/>
      <c r="I16" s="1"/>
      <c r="J16" s="1"/>
    </row>
    <row r="17" spans="1:10" x14ac:dyDescent="0.25">
      <c r="A17" s="81" t="s">
        <v>55</v>
      </c>
      <c r="B17" s="82"/>
      <c r="C17" s="82"/>
      <c r="D17" s="82"/>
      <c r="E17" s="83"/>
      <c r="F17" s="1"/>
      <c r="G17" s="1"/>
      <c r="H17" s="1"/>
      <c r="I17" s="1"/>
      <c r="J17" s="1"/>
    </row>
    <row r="18" spans="1:10" x14ac:dyDescent="0.25">
      <c r="A18" s="86" t="s">
        <v>61</v>
      </c>
      <c r="B18" s="87"/>
      <c r="C18" s="87"/>
      <c r="D18" s="87"/>
      <c r="E18" s="88"/>
      <c r="F18" s="1"/>
      <c r="G18" s="1"/>
      <c r="H18" s="1"/>
      <c r="I18" s="1"/>
      <c r="J18" s="1"/>
    </row>
    <row r="19" spans="1:10" x14ac:dyDescent="0.25">
      <c r="A19" s="44"/>
      <c r="B19" s="59"/>
      <c r="C19" s="79" t="s">
        <v>56</v>
      </c>
      <c r="D19" s="79"/>
      <c r="E19" s="79"/>
      <c r="F19" s="1"/>
      <c r="G19" s="1"/>
      <c r="H19" s="1"/>
      <c r="I19" s="1"/>
      <c r="J19" s="1"/>
    </row>
    <row r="20" spans="1:10" ht="15.75" thickBot="1" x14ac:dyDescent="0.3">
      <c r="A20" s="45"/>
      <c r="B20" s="60"/>
      <c r="C20" s="46"/>
      <c r="D20" s="46"/>
      <c r="E20" s="47"/>
      <c r="F20" s="1"/>
      <c r="G20" s="1"/>
      <c r="H20" s="1"/>
      <c r="I20" s="1"/>
      <c r="J20" s="1"/>
    </row>
    <row r="21" spans="1:10" x14ac:dyDescent="0.25">
      <c r="A21" s="1"/>
      <c r="B21" s="1"/>
      <c r="F21" s="1"/>
      <c r="G21" s="1"/>
      <c r="H21" s="1"/>
      <c r="I21" s="1"/>
      <c r="J21" s="1"/>
    </row>
    <row r="22" spans="1:10" ht="51.75" customHeight="1" x14ac:dyDescent="0.25">
      <c r="D22"/>
      <c r="J22" s="1"/>
    </row>
    <row r="23" spans="1:10" ht="9.75" customHeight="1" x14ac:dyDescent="0.25">
      <c r="D23"/>
      <c r="J23" s="1"/>
    </row>
    <row r="24" spans="1:10" ht="27.75" customHeight="1" x14ac:dyDescent="0.25">
      <c r="D24"/>
      <c r="J24" s="1"/>
    </row>
    <row r="25" spans="1:10" ht="15" customHeight="1" x14ac:dyDescent="0.25">
      <c r="D25"/>
      <c r="J25" s="1"/>
    </row>
    <row r="26" spans="1:10" x14ac:dyDescent="0.25">
      <c r="D26"/>
      <c r="J26" s="1"/>
    </row>
    <row r="27" spans="1:10" ht="27" customHeight="1" x14ac:dyDescent="0.25">
      <c r="D27"/>
      <c r="J27" s="1"/>
    </row>
    <row r="28" spans="1:10" x14ac:dyDescent="0.25">
      <c r="D28"/>
      <c r="J28" s="1"/>
    </row>
    <row r="29" spans="1:10" ht="28.5" customHeight="1" x14ac:dyDescent="0.25">
      <c r="D29"/>
      <c r="J29" s="1"/>
    </row>
    <row r="30" spans="1:10" x14ac:dyDescent="0.25">
      <c r="D30"/>
      <c r="J30" s="1"/>
    </row>
    <row r="31" spans="1:10" ht="26.25" customHeight="1" x14ac:dyDescent="0.25">
      <c r="D31"/>
      <c r="J31" s="1"/>
    </row>
    <row r="32" spans="1:10" x14ac:dyDescent="0.25">
      <c r="D32"/>
      <c r="J32" s="1"/>
    </row>
    <row r="33" spans="1:10" x14ac:dyDescent="0.25">
      <c r="D33"/>
      <c r="J33" s="1"/>
    </row>
    <row r="34" spans="1:10" x14ac:dyDescent="0.25">
      <c r="D34"/>
      <c r="J34" s="1"/>
    </row>
    <row r="35" spans="1:10" ht="4.5" customHeight="1" x14ac:dyDescent="0.25">
      <c r="A35" s="63"/>
      <c r="B35" s="19"/>
      <c r="C35" s="19"/>
      <c r="D35" s="61"/>
      <c r="E35" s="62"/>
      <c r="J35" s="1"/>
    </row>
    <row r="36" spans="1:10" ht="18" customHeight="1" x14ac:dyDescent="0.25">
      <c r="J36" s="1"/>
    </row>
    <row r="37" spans="1:10" ht="40.5" customHeight="1" x14ac:dyDescent="0.25">
      <c r="J37" s="1"/>
    </row>
    <row r="38" spans="1:10" ht="29.25" customHeight="1" x14ac:dyDescent="0.25">
      <c r="J38" s="1"/>
    </row>
    <row r="39" spans="1:10" ht="24" customHeight="1" x14ac:dyDescent="0.25">
      <c r="J39" s="1"/>
    </row>
    <row r="40" spans="1:10" x14ac:dyDescent="0.25">
      <c r="J40" s="1"/>
    </row>
    <row r="41" spans="1:10" x14ac:dyDescent="0.25">
      <c r="J41" s="1"/>
    </row>
    <row r="42" spans="1:10" x14ac:dyDescent="0.25">
      <c r="J42" s="1"/>
    </row>
  </sheetData>
  <mergeCells count="11">
    <mergeCell ref="C19:E19"/>
    <mergeCell ref="C1:I1"/>
    <mergeCell ref="A15:E16"/>
    <mergeCell ref="C2:H2"/>
    <mergeCell ref="C5:E5"/>
    <mergeCell ref="A18:E18"/>
    <mergeCell ref="A4:B4"/>
    <mergeCell ref="A5:B5"/>
    <mergeCell ref="A6:B6"/>
    <mergeCell ref="A7:B7"/>
    <mergeCell ref="A17:E17"/>
  </mergeCells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"/>
  <sheetViews>
    <sheetView topLeftCell="A10" workbookViewId="0">
      <selection activeCell="B14" sqref="B14"/>
    </sheetView>
  </sheetViews>
  <sheetFormatPr baseColWidth="10" defaultRowHeight="15" x14ac:dyDescent="0.25"/>
  <cols>
    <col min="2" max="2" width="15.5703125" customWidth="1"/>
    <col min="4" max="4" width="11.5703125" customWidth="1"/>
    <col min="7" max="7" width="19" customWidth="1"/>
    <col min="10" max="10" width="16.42578125" customWidth="1"/>
    <col min="12" max="12" width="0.5703125" customWidth="1"/>
  </cols>
  <sheetData>
    <row r="1" spans="1:12" ht="16.5" thickBot="1" x14ac:dyDescent="0.3">
      <c r="A1" s="100" t="s">
        <v>16</v>
      </c>
      <c r="B1" s="100"/>
      <c r="C1" s="100"/>
      <c r="D1" s="100"/>
      <c r="E1" s="100"/>
      <c r="F1" s="100"/>
      <c r="G1" s="100"/>
      <c r="H1" s="100"/>
      <c r="I1" s="100"/>
      <c r="J1" s="6" t="s">
        <v>17</v>
      </c>
      <c r="K1" s="7" t="s">
        <v>64</v>
      </c>
    </row>
    <row r="2" spans="1:12" ht="16.5" thickBot="1" x14ac:dyDescent="0.3">
      <c r="A2" s="8"/>
      <c r="B2" s="8"/>
      <c r="C2" s="8"/>
      <c r="D2" s="9"/>
      <c r="E2" s="9"/>
      <c r="F2" s="9"/>
      <c r="G2" s="9"/>
      <c r="H2" s="9"/>
      <c r="I2" s="9"/>
      <c r="J2" s="9"/>
      <c r="K2" s="9"/>
    </row>
    <row r="3" spans="1:12" ht="16.5" thickBot="1" x14ac:dyDescent="0.3">
      <c r="A3" s="93" t="s">
        <v>18</v>
      </c>
      <c r="B3" s="93"/>
      <c r="C3" s="93"/>
      <c r="D3" s="94" t="s">
        <v>59</v>
      </c>
      <c r="E3" s="94"/>
      <c r="F3" s="94"/>
      <c r="G3" s="94"/>
      <c r="H3" s="94"/>
      <c r="I3" s="94"/>
      <c r="J3" s="94"/>
      <c r="K3" s="94"/>
    </row>
    <row r="4" spans="1:12" ht="16.5" thickBot="1" x14ac:dyDescent="0.3">
      <c r="A4" s="95" t="s">
        <v>19</v>
      </c>
      <c r="B4" s="95"/>
      <c r="C4" s="95"/>
      <c r="D4" s="94" t="s">
        <v>57</v>
      </c>
      <c r="E4" s="94"/>
      <c r="F4" s="94"/>
      <c r="G4" s="94"/>
      <c r="H4" s="94"/>
      <c r="I4" s="94"/>
      <c r="J4" s="94"/>
      <c r="K4" s="94"/>
    </row>
    <row r="5" spans="1:12" ht="16.5" thickBot="1" x14ac:dyDescent="0.3">
      <c r="A5" s="95" t="s">
        <v>20</v>
      </c>
      <c r="B5" s="95"/>
      <c r="C5" s="95"/>
      <c r="D5" s="94" t="s">
        <v>4</v>
      </c>
      <c r="E5" s="94"/>
      <c r="F5" s="94"/>
      <c r="G5" s="94"/>
      <c r="H5" s="94"/>
      <c r="I5" s="94"/>
      <c r="J5" s="94"/>
      <c r="K5" s="94"/>
    </row>
    <row r="6" spans="1:12" ht="16.5" thickBot="1" x14ac:dyDescent="0.3">
      <c r="A6" s="93" t="s">
        <v>21</v>
      </c>
      <c r="B6" s="93"/>
      <c r="C6" s="93"/>
      <c r="D6" s="94" t="s">
        <v>76</v>
      </c>
      <c r="E6" s="94"/>
      <c r="F6" s="94"/>
      <c r="G6" s="94"/>
      <c r="H6" s="94"/>
      <c r="I6" s="94"/>
      <c r="J6" s="94"/>
      <c r="K6" s="94"/>
    </row>
    <row r="7" spans="1:12" ht="16.5" thickBot="1" x14ac:dyDescent="0.3">
      <c r="A7" s="95" t="s">
        <v>22</v>
      </c>
      <c r="B7" s="95"/>
      <c r="C7" s="95"/>
      <c r="D7" s="94" t="s">
        <v>58</v>
      </c>
      <c r="E7" s="94"/>
      <c r="F7" s="94"/>
      <c r="G7" s="94"/>
      <c r="H7" s="94"/>
      <c r="I7" s="94"/>
      <c r="J7" s="94"/>
      <c r="K7" s="94"/>
    </row>
    <row r="8" spans="1:12" ht="16.5" thickBot="1" x14ac:dyDescent="0.3">
      <c r="A8" s="96" t="s">
        <v>23</v>
      </c>
      <c r="B8" s="96"/>
      <c r="C8" s="96"/>
      <c r="D8" s="97" t="s">
        <v>77</v>
      </c>
      <c r="E8" s="97"/>
      <c r="F8" s="97"/>
      <c r="G8" s="97"/>
      <c r="H8" s="97"/>
      <c r="I8" s="97"/>
      <c r="J8" s="97"/>
      <c r="K8" s="97"/>
    </row>
    <row r="9" spans="1:12" ht="16.5" thickBot="1" x14ac:dyDescent="0.3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</row>
    <row r="10" spans="1:12" ht="15.75" thickBot="1" x14ac:dyDescent="0.3">
      <c r="A10" s="92" t="s">
        <v>24</v>
      </c>
      <c r="B10" s="98" t="s">
        <v>25</v>
      </c>
      <c r="C10" s="98" t="s">
        <v>26</v>
      </c>
      <c r="D10" s="98"/>
      <c r="E10" s="98"/>
      <c r="F10" s="98"/>
      <c r="G10" s="98"/>
      <c r="H10" s="98" t="s">
        <v>27</v>
      </c>
      <c r="I10" s="98" t="s">
        <v>28</v>
      </c>
      <c r="J10" s="98" t="s">
        <v>29</v>
      </c>
      <c r="K10" s="91" t="s">
        <v>30</v>
      </c>
    </row>
    <row r="11" spans="1:12" ht="32.25" customHeight="1" thickBot="1" x14ac:dyDescent="0.3">
      <c r="A11" s="92"/>
      <c r="B11" s="98"/>
      <c r="C11" s="99"/>
      <c r="D11" s="99"/>
      <c r="E11" s="99"/>
      <c r="F11" s="99"/>
      <c r="G11" s="99"/>
      <c r="H11" s="98"/>
      <c r="I11" s="98"/>
      <c r="J11" s="98"/>
      <c r="K11" s="91"/>
    </row>
    <row r="12" spans="1:12" ht="33" customHeight="1" thickBot="1" x14ac:dyDescent="0.3">
      <c r="A12" s="12">
        <v>1</v>
      </c>
      <c r="B12" s="49" t="str">
        <f>'Necesidades trimestrales'!B10</f>
        <v>2.2.9-702.32</v>
      </c>
      <c r="C12" s="105" t="s">
        <v>65</v>
      </c>
      <c r="D12" s="106"/>
      <c r="E12" s="106"/>
      <c r="F12" s="106"/>
      <c r="G12" s="107"/>
      <c r="H12" s="13" t="s">
        <v>31</v>
      </c>
      <c r="I12" s="34" t="s">
        <v>15</v>
      </c>
      <c r="J12" s="48">
        <f>'Necesidades trimestrales'!H10</f>
        <v>800</v>
      </c>
      <c r="K12" s="34">
        <f>'Necesidades trimestrales'!G10</f>
        <v>49</v>
      </c>
      <c r="L12" s="52">
        <f>+K12*J12</f>
        <v>39200</v>
      </c>
    </row>
    <row r="13" spans="1:12" ht="51" customHeight="1" thickBot="1" x14ac:dyDescent="0.3">
      <c r="A13" s="14">
        <v>2</v>
      </c>
      <c r="B13" s="49" t="str">
        <f>'Necesidades trimestrales'!B11</f>
        <v>2.2.9-701.169</v>
      </c>
      <c r="C13" s="105" t="str">
        <f>'Necesidades trimestrales'!E11</f>
        <v>COLCHONES; CONSTRUCCION: ESPUMA POLIURETANO, DIMENSION: 190 X 70 Cm, ESPESOR: 18 Cm, DENSIDAD: 24 kg/cm3, TERMINACION: TELA IMPERMEABLE</v>
      </c>
      <c r="D13" s="106"/>
      <c r="E13" s="106"/>
      <c r="F13" s="106"/>
      <c r="G13" s="107"/>
      <c r="H13" s="15" t="s">
        <v>31</v>
      </c>
      <c r="I13" s="34" t="s">
        <v>15</v>
      </c>
      <c r="J13" s="48">
        <f>'Necesidades trimestrales'!H11</f>
        <v>17760</v>
      </c>
      <c r="K13" s="34">
        <f>'Necesidades trimestrales'!G11</f>
        <v>8</v>
      </c>
      <c r="L13" s="52">
        <f t="shared" ref="L13:L14" si="0">+K13*J13</f>
        <v>142080</v>
      </c>
    </row>
    <row r="14" spans="1:12" ht="54.75" customHeight="1" x14ac:dyDescent="0.25">
      <c r="A14" s="14">
        <v>3</v>
      </c>
      <c r="B14" s="49" t="str">
        <f>'Necesidades trimestrales'!B12</f>
        <v>2.2.9-701.195</v>
      </c>
      <c r="C14" s="105" t="str">
        <f>'Necesidades trimestrales'!E12</f>
        <v>COLCHONES; CONSTRUCCION: ESPUMA ALTA DENSIDAD, DIMENSION: 190 X 80 Cm, ESPESOR: 20 Cm, DENSIDAD: 28 Kg/m3, TERMINACION: MATELASSEADO</v>
      </c>
      <c r="D14" s="106"/>
      <c r="E14" s="106"/>
      <c r="F14" s="106"/>
      <c r="G14" s="107"/>
      <c r="H14" s="15" t="s">
        <v>31</v>
      </c>
      <c r="I14" s="34" t="s">
        <v>15</v>
      </c>
      <c r="J14" s="48">
        <f>'Necesidades trimestrales'!H12</f>
        <v>16797</v>
      </c>
      <c r="K14" s="34">
        <f>'Necesidades trimestrales'!G12</f>
        <v>41</v>
      </c>
      <c r="L14" s="52">
        <f t="shared" si="0"/>
        <v>688677</v>
      </c>
    </row>
    <row r="15" spans="1:12" ht="30.75" customHeight="1" x14ac:dyDescent="0.25">
      <c r="A15" s="103" t="s">
        <v>73</v>
      </c>
      <c r="B15" s="104"/>
      <c r="C15" s="104"/>
      <c r="D15" s="104"/>
      <c r="E15" s="104"/>
      <c r="F15" s="104"/>
      <c r="G15" s="104"/>
      <c r="H15" s="104"/>
      <c r="I15" s="104"/>
      <c r="J15" s="101">
        <f>SUMPRODUCT(J12:J14,K12:K14)</f>
        <v>869957</v>
      </c>
      <c r="K15" s="102"/>
      <c r="L15" s="52">
        <f>SUM(L12:L14)</f>
        <v>869957</v>
      </c>
    </row>
    <row r="47" ht="34.5" customHeight="1" x14ac:dyDescent="0.25"/>
  </sheetData>
  <mergeCells count="25">
    <mergeCell ref="J15:K15"/>
    <mergeCell ref="A15:I15"/>
    <mergeCell ref="C12:G12"/>
    <mergeCell ref="C13:G13"/>
    <mergeCell ref="C14:G14"/>
    <mergeCell ref="A5:C5"/>
    <mergeCell ref="D5:K5"/>
    <mergeCell ref="A1:I1"/>
    <mergeCell ref="A3:C3"/>
    <mergeCell ref="D3:K3"/>
    <mergeCell ref="A4:C4"/>
    <mergeCell ref="D4:K4"/>
    <mergeCell ref="K10:K11"/>
    <mergeCell ref="A10:A11"/>
    <mergeCell ref="A6:C6"/>
    <mergeCell ref="D6:K6"/>
    <mergeCell ref="A7:C7"/>
    <mergeCell ref="D7:K7"/>
    <mergeCell ref="A8:C8"/>
    <mergeCell ref="D8:K8"/>
    <mergeCell ref="B10:B11"/>
    <mergeCell ref="C10:G11"/>
    <mergeCell ref="H10:H11"/>
    <mergeCell ref="I10:I11"/>
    <mergeCell ref="J10:J11"/>
  </mergeCells>
  <pageMargins left="0.7" right="0.7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4"/>
  <sheetViews>
    <sheetView topLeftCell="A4" zoomScaleNormal="100" workbookViewId="0">
      <selection activeCell="N16" sqref="N16"/>
    </sheetView>
  </sheetViews>
  <sheetFormatPr baseColWidth="10" defaultRowHeight="15" x14ac:dyDescent="0.25"/>
  <cols>
    <col min="1" max="1" width="9.7109375" customWidth="1"/>
    <col min="2" max="2" width="3.5703125" bestFit="1" customWidth="1"/>
    <col min="3" max="3" width="3.85546875" customWidth="1"/>
    <col min="4" max="4" width="5" customWidth="1"/>
    <col min="5" max="5" width="5.140625" customWidth="1"/>
    <col min="6" max="6" width="8.140625" customWidth="1"/>
    <col min="7" max="7" width="6.7109375" customWidth="1"/>
    <col min="8" max="8" width="6.140625" customWidth="1"/>
    <col min="9" max="9" width="5.28515625" customWidth="1"/>
    <col min="10" max="10" width="5.7109375" customWidth="1"/>
    <col min="11" max="11" width="6.5703125" customWidth="1"/>
    <col min="12" max="12" width="4.28515625" customWidth="1"/>
    <col min="13" max="13" width="6" customWidth="1"/>
    <col min="14" max="14" width="6.85546875" customWidth="1"/>
    <col min="16" max="16" width="14.5703125" customWidth="1"/>
    <col min="17" max="17" width="14.7109375" customWidth="1"/>
  </cols>
  <sheetData>
    <row r="1" spans="1:17" ht="15.75" thickBot="1" x14ac:dyDescent="0.3">
      <c r="A1" s="109" t="s">
        <v>5</v>
      </c>
      <c r="B1" s="109"/>
      <c r="C1" s="109"/>
      <c r="D1" s="110">
        <v>2021</v>
      </c>
      <c r="E1" s="110"/>
      <c r="F1" s="16"/>
      <c r="G1" s="16"/>
      <c r="H1" s="17"/>
      <c r="I1" s="17"/>
      <c r="J1" s="17"/>
      <c r="K1" s="17"/>
      <c r="L1" s="17"/>
      <c r="M1" s="17"/>
      <c r="N1" s="17"/>
      <c r="P1" s="111" t="s">
        <v>32</v>
      </c>
      <c r="Q1" s="111"/>
    </row>
    <row r="2" spans="1:17" ht="15.75" thickBot="1" x14ac:dyDescent="0.3">
      <c r="G2" s="18"/>
      <c r="H2" s="17"/>
      <c r="I2" s="17"/>
      <c r="J2" s="17"/>
      <c r="K2" s="17"/>
      <c r="L2" s="17"/>
      <c r="M2" s="17"/>
      <c r="N2" s="17"/>
      <c r="P2" s="111"/>
      <c r="Q2" s="111"/>
    </row>
    <row r="3" spans="1:17" ht="15.75" thickBot="1" x14ac:dyDescent="0.3">
      <c r="G3" s="18"/>
    </row>
    <row r="4" spans="1:17" ht="15.75" thickBot="1" x14ac:dyDescent="0.3">
      <c r="A4" s="112" t="s">
        <v>33</v>
      </c>
      <c r="B4" s="112"/>
      <c r="C4" s="112"/>
      <c r="D4" s="112"/>
      <c r="E4" s="112"/>
      <c r="F4" s="112"/>
      <c r="G4" s="113" t="s">
        <v>60</v>
      </c>
      <c r="H4" s="113"/>
      <c r="I4" s="113"/>
      <c r="J4" s="113"/>
      <c r="K4" s="113"/>
      <c r="L4" s="113"/>
      <c r="M4" s="113"/>
      <c r="N4" s="113"/>
      <c r="O4" s="113"/>
      <c r="P4" s="113"/>
      <c r="Q4" s="113"/>
    </row>
    <row r="5" spans="1:17" ht="15.75" thickBot="1" x14ac:dyDescent="0.3">
      <c r="A5" s="114" t="s">
        <v>19</v>
      </c>
      <c r="B5" s="115"/>
      <c r="C5" s="115"/>
      <c r="D5" s="115"/>
      <c r="E5" s="115"/>
      <c r="F5" s="116"/>
      <c r="G5" s="113" t="s">
        <v>57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</row>
    <row r="6" spans="1:17" ht="15.75" thickBot="1" x14ac:dyDescent="0.3">
      <c r="A6" s="114" t="s">
        <v>20</v>
      </c>
      <c r="B6" s="115"/>
      <c r="C6" s="115"/>
      <c r="D6" s="115"/>
      <c r="E6" s="115"/>
      <c r="F6" s="116"/>
      <c r="G6" s="113" t="s">
        <v>57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</row>
    <row r="7" spans="1:17" ht="15.75" thickBot="1" x14ac:dyDescent="0.3">
      <c r="A7" s="114" t="s">
        <v>21</v>
      </c>
      <c r="B7" s="115"/>
      <c r="C7" s="115"/>
      <c r="D7" s="115"/>
      <c r="E7" s="115"/>
      <c r="F7" s="116"/>
      <c r="G7" s="113" t="s">
        <v>76</v>
      </c>
      <c r="H7" s="113"/>
      <c r="I7" s="113"/>
      <c r="J7" s="113"/>
      <c r="K7" s="113"/>
      <c r="L7" s="113"/>
      <c r="M7" s="113"/>
      <c r="N7" s="113"/>
      <c r="O7" s="113"/>
      <c r="P7" s="113"/>
      <c r="Q7" s="113"/>
    </row>
    <row r="8" spans="1:17" ht="15.75" thickBot="1" x14ac:dyDescent="0.3">
      <c r="A8" s="117" t="s">
        <v>34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</row>
    <row r="9" spans="1:17" x14ac:dyDescent="0.25">
      <c r="A9" s="108" t="s">
        <v>35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9"/>
      <c r="P9" s="19"/>
      <c r="Q9" s="20"/>
    </row>
    <row r="10" spans="1:17" ht="65.25" customHeight="1" x14ac:dyDescent="0.25">
      <c r="A10" s="119" t="s">
        <v>72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15.75" thickBot="1" x14ac:dyDescent="0.3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thickBot="1" x14ac:dyDescent="0.3">
      <c r="A12" s="120" t="s">
        <v>36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24.75" customHeight="1" thickBot="1" x14ac:dyDescent="0.3">
      <c r="A13" s="121" t="s">
        <v>37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38</v>
      </c>
      <c r="P13" s="123"/>
      <c r="Q13" s="126" t="s">
        <v>39</v>
      </c>
    </row>
    <row r="14" spans="1:17" ht="19.5" customHeight="1" x14ac:dyDescent="0.25">
      <c r="A14" s="25" t="s">
        <v>40</v>
      </c>
      <c r="B14" s="26" t="s">
        <v>41</v>
      </c>
      <c r="C14" s="26" t="s">
        <v>42</v>
      </c>
      <c r="D14" s="26" t="s">
        <v>43</v>
      </c>
      <c r="E14" s="26" t="s">
        <v>44</v>
      </c>
      <c r="F14" s="26" t="s">
        <v>45</v>
      </c>
      <c r="G14" s="27" t="s">
        <v>46</v>
      </c>
      <c r="H14" s="26" t="s">
        <v>47</v>
      </c>
      <c r="I14" s="26" t="s">
        <v>48</v>
      </c>
      <c r="J14" s="26" t="s">
        <v>49</v>
      </c>
      <c r="K14" s="26" t="s">
        <v>49</v>
      </c>
      <c r="L14" s="26" t="s">
        <v>50</v>
      </c>
      <c r="M14" s="28" t="s">
        <v>51</v>
      </c>
      <c r="N14" s="29" t="s">
        <v>52</v>
      </c>
      <c r="O14" s="124"/>
      <c r="P14" s="125"/>
      <c r="Q14" s="126"/>
    </row>
    <row r="15" spans="1:17" ht="36.75" customHeight="1" x14ac:dyDescent="0.25">
      <c r="A15" s="37">
        <v>36</v>
      </c>
      <c r="B15" s="33"/>
      <c r="C15" s="33"/>
      <c r="D15" s="37">
        <v>1</v>
      </c>
      <c r="E15" s="33"/>
      <c r="F15" s="37">
        <v>4901</v>
      </c>
      <c r="G15" s="37">
        <v>3</v>
      </c>
      <c r="H15" s="37">
        <v>310</v>
      </c>
      <c r="I15" s="37">
        <v>2</v>
      </c>
      <c r="J15" s="37">
        <v>2</v>
      </c>
      <c r="K15" s="37">
        <v>9</v>
      </c>
      <c r="L15" s="33"/>
      <c r="M15" s="37">
        <v>1</v>
      </c>
      <c r="N15" s="37" t="s">
        <v>79</v>
      </c>
      <c r="O15" s="127" t="s">
        <v>78</v>
      </c>
      <c r="P15" s="128"/>
      <c r="Q15" s="55">
        <v>869957</v>
      </c>
    </row>
    <row r="16" spans="1:17" ht="26.2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129"/>
      <c r="P16" s="130"/>
      <c r="Q16" s="50"/>
    </row>
    <row r="17" spans="1:17" ht="32.25" customHeight="1" thickBot="1" x14ac:dyDescent="0.3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2"/>
      <c r="N17" s="31"/>
      <c r="O17" s="118"/>
      <c r="P17" s="118"/>
      <c r="Q17" s="56"/>
    </row>
    <row r="18" spans="1:17" ht="34.5" customHeight="1" thickBot="1" x14ac:dyDescent="0.3">
      <c r="A18" s="131" t="s">
        <v>74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57">
        <f>SUM(Q15:Q17)</f>
        <v>869957</v>
      </c>
    </row>
    <row r="19" spans="1:17" ht="15.75" thickBot="1" x14ac:dyDescent="0.3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</row>
    <row r="20" spans="1:17" ht="15.75" thickBot="1" x14ac:dyDescent="0.3">
      <c r="A20" s="133" t="s">
        <v>53</v>
      </c>
      <c r="B20" s="134"/>
      <c r="C20" s="134"/>
      <c r="D20" s="134"/>
      <c r="E20" s="134"/>
      <c r="F20" s="135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</row>
    <row r="21" spans="1:17" ht="15.75" thickBot="1" x14ac:dyDescent="0.3">
      <c r="A21" s="137" t="s">
        <v>75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</row>
    <row r="22" spans="1:17" ht="15.75" thickBot="1" x14ac:dyDescent="0.3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</row>
    <row r="23" spans="1:17" x14ac:dyDescent="0.25">
      <c r="G23" s="18"/>
    </row>
    <row r="24" spans="1:17" x14ac:dyDescent="0.25">
      <c r="G24" s="18"/>
    </row>
  </sheetData>
  <mergeCells count="26">
    <mergeCell ref="A18:P18"/>
    <mergeCell ref="A19:Q19"/>
    <mergeCell ref="A20:F20"/>
    <mergeCell ref="G20:Q20"/>
    <mergeCell ref="A21:Q22"/>
    <mergeCell ref="O17:P17"/>
    <mergeCell ref="A10:Q10"/>
    <mergeCell ref="A12:Q12"/>
    <mergeCell ref="A13:N13"/>
    <mergeCell ref="O13:P14"/>
    <mergeCell ref="Q13:Q14"/>
    <mergeCell ref="O15:P15"/>
    <mergeCell ref="O16:P16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Nota de Pedido</vt:lpstr>
      <vt:lpstr>APG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2021-04-26T14:46:21Z</cp:lastPrinted>
  <dcterms:created xsi:type="dcterms:W3CDTF">2021-03-16T13:57:57Z</dcterms:created>
  <dcterms:modified xsi:type="dcterms:W3CDTF">2021-08-11T15:11:12Z</dcterms:modified>
</cp:coreProperties>
</file>