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Neumaticos\"/>
    </mc:Choice>
  </mc:AlternateContent>
  <bookViews>
    <workbookView xWindow="15" yWindow="0" windowWidth="10065" windowHeight="7080" tabRatio="500"/>
  </bookViews>
  <sheets>
    <sheet name="Necesidades Trimestrales" sheetId="1" r:id="rId1"/>
    <sheet name=" NotaPedido" sheetId="2" state="hidden" r:id="rId2"/>
    <sheet name="Autor Gastar" sheetId="3" state="hidden" r:id="rId3"/>
  </sheets>
  <externalReferences>
    <externalReference r:id="rId4"/>
  </externalReferences>
  <definedNames>
    <definedName name="_xlnm.Print_Area" localSheetId="1">' NotaPedido'!$A$1:$K$30</definedName>
    <definedName name="_xlnm.Print_Area" localSheetId="2">'Autor Gastar'!$A$1:$Q$27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2" i="1" l="1"/>
  <c r="I10" i="1"/>
  <c r="I37" i="1"/>
  <c r="I17" i="1" l="1"/>
  <c r="I18" i="1"/>
  <c r="I19" i="1"/>
  <c r="I20" i="1"/>
  <c r="I21" i="1"/>
  <c r="I35" i="1"/>
  <c r="I36" i="1"/>
  <c r="I34" i="1"/>
  <c r="I32" i="1"/>
  <c r="I31" i="1"/>
  <c r="I30" i="1"/>
  <c r="I29" i="1"/>
  <c r="I28" i="1"/>
  <c r="I27" i="1"/>
  <c r="I26" i="1"/>
  <c r="I25" i="1"/>
  <c r="I24" i="1"/>
  <c r="I23" i="1"/>
  <c r="E17" i="3" l="1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I11" i="1"/>
  <c r="I12" i="1"/>
  <c r="I13" i="1"/>
  <c r="I14" i="1"/>
  <c r="I15" i="1"/>
  <c r="I16" i="1"/>
  <c r="I33" i="1"/>
  <c r="I38" i="1" l="1"/>
  <c r="G6" i="3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J30" i="2" l="1"/>
  <c r="Q15" i="3" l="1"/>
  <c r="Q16" i="3" s="1"/>
</calcChain>
</file>

<file path=xl/sharedStrings.xml><?xml version="1.0" encoding="utf-8"?>
<sst xmlns="http://schemas.openxmlformats.org/spreadsheetml/2006/main" count="336" uniqueCount="185">
  <si>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</si>
  <si>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</si>
  <si>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</si>
  <si>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</si>
  <si>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</si>
  <si>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</si>
  <si>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</si>
  <si>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</si>
  <si>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</si>
  <si>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</si>
  <si>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</si>
  <si>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</si>
  <si>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</si>
  <si>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</si>
  <si>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</si>
  <si>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</si>
  <si>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2.4.4-6818.744 </t>
  </si>
  <si>
    <t>REPUESTOS</t>
  </si>
  <si>
    <t>2.4.4.</t>
  </si>
  <si>
    <t>NEUMATICOS; VEHICULO: CAMIONETA, CONSTRUCCION: RADIAL, ARMADO: S/CAMARA, MEDIDA: 235/70R16</t>
  </si>
  <si>
    <t>UNIDAD</t>
  </si>
  <si>
    <t>2.4.4-6818.530</t>
  </si>
  <si>
    <t>NEUMATICOS; VEHICULO: CAMIONETA, CONSTRUCCION: RADIAL, ARMADO: S/CAMARA, MEDIDA: 245/70R16</t>
  </si>
  <si>
    <t>2.4.4-6818.244</t>
  </si>
  <si>
    <t>NEUMATICOS; VEHICULO: AUTOMOVIL, CONSTRUCCION: RADIAL, ARMADO: S/CAMARA, MEDIDA: 205/55R16</t>
  </si>
  <si>
    <t>2.4.4-6818.97</t>
  </si>
  <si>
    <t>NEUMATICOS; VEHICULO: AUTOMOVIL, ARMADO: S/CAMARA, MEDIDA: 175/70R14, CONSTRUCCION: RADIAL</t>
  </si>
  <si>
    <t>2.4.4-6818.77</t>
  </si>
  <si>
    <t>NEUMATICOS; VEHICULO: AUTOMOVIL, ARMADO: C/CAMARA, MEDIDA: 175/70R13, CONSTRUCCION: CONVENCIONAL</t>
  </si>
  <si>
    <t>2.4.4-6818.89</t>
  </si>
  <si>
    <t>NEUMATICOS; VEHICULO: AUTOMOVIL, CONSTRUCCION: CONVENCIONAL, ARMADO: C/CAMARA, MEDIDA: 185/60R14</t>
  </si>
  <si>
    <t>2.4.4-6818.891</t>
  </si>
  <si>
    <t>NEUMATICOS; VEHICULO: MINIBUS, CONSTRUCCION: RADIAL, ARMADO: SIN CAMARA, MEDIDA: 195/75R16</t>
  </si>
  <si>
    <t>2.4.4-6818.810</t>
  </si>
  <si>
    <t>NEUMATICOS; VEHICULO: MINIBUS, CONSTRUCCION: RADIAL, ARMADO: S/CAMARA, MEDIDA: 225/75R16</t>
  </si>
  <si>
    <t>2.4.4-6818.989</t>
  </si>
  <si>
    <t xml:space="preserve">NEUMATICOS; VEHICULO: CAMIONETA, CONSTRUCCION: RADIAL, ARMADO: S/CAMARA, MEDIDA: 225/70 R17 </t>
  </si>
  <si>
    <t>2.4.4-6818.1032</t>
  </si>
  <si>
    <t>2.4.4</t>
  </si>
  <si>
    <t>NEUMATICOS; VEHICULO: CAMION, CONSTRUCCION: RADIAL, ARMADO: S/CAMARA, MEDIDA: SEGUN PLIEGO</t>
  </si>
  <si>
    <t>2.4.4-6818.340</t>
  </si>
  <si>
    <t>NEUMATICOS; VEHICULO: CAMION, CONSTRUCCION: RADIAL, ARMADO: S/CAMARA, MEDIDA: 315/80 R22,5</t>
  </si>
  <si>
    <t>2.4.4-6818.765</t>
  </si>
  <si>
    <t>NEUMATICOS; VEHICULO: CAMION, CONSTRUCCION: C/CAMARA, ARMADO: RADIAL, MEDIDA: 295/80R22,5</t>
  </si>
  <si>
    <t>2.4.4-6818.615</t>
  </si>
  <si>
    <t>NEUMATICOS; VEHICULO: CAMION , CONSTRUCCION: C/CAMARA, ARMADO: RADIAL, MEDIDA: 11R22,5</t>
  </si>
  <si>
    <t>2.4.4-6818.667</t>
  </si>
  <si>
    <t>NEUMATICOS; VEHICULO: CAMION, CONSTRUCCION: RADIAL, ARMADO: C/CAMARA, MEDIDA: 7,5 X 16 pulg</t>
  </si>
  <si>
    <t>2.4.4-6818.148</t>
  </si>
  <si>
    <t>NEUMATICOS; VEHICULO: MOTO, CONSTRUCCION: RADIAL, ARMADO: SIN VALOR, MEDIDA: 120/90R18</t>
  </si>
  <si>
    <t>2.4.4-6818.341</t>
  </si>
  <si>
    <t>NEUMATICOS; VEHICULO: MOTO, CONSTRUCCION: RADIAL, ARMADO: S/CAMARA, MEDIDA: SIN VALOR</t>
  </si>
  <si>
    <t>2.4.4-6818.1028</t>
  </si>
  <si>
    <t>NEUMATICOS; VEHICULO: MOTO, CONSTRUCCION: RADIAL, ARMADO: S/CAMARA, MEDIDA: 110/90-17</t>
  </si>
  <si>
    <t>2.4.4-6818.1027</t>
  </si>
  <si>
    <t>NEUMATICOS; VEHICULO: MOTO, CONSTRUCCION: RADIAL, ARMADO: S/CAMARA, MEDIDA: 90/90-19</t>
  </si>
  <si>
    <t>2.4.4-6818.397</t>
  </si>
  <si>
    <t>NEUMATICOS; VEHICULO: MOTO, CONSTRUCCION: RADIAL, ARMADO: S/CAMARA, MEDIDA: 120/80-18</t>
  </si>
  <si>
    <t>2.4.4-6818.510</t>
  </si>
  <si>
    <t>NEUMATICOS; VEHICULO: MOTO, CONSTRUCCION: RADIAL, ARMADO: S/CAMARA, MEDIDA: 160/60R17</t>
  </si>
  <si>
    <t>2.4.4-6818.683</t>
  </si>
  <si>
    <t>NEUMATICOS; VEHICULO: MOTO, CONSTRUCCION: RADIAL, ARMADO: S/CAMARA, MEDIDA: 120/70R17</t>
  </si>
  <si>
    <t>2.4.4-6818.631</t>
  </si>
  <si>
    <t>NEUMATICOS; VEHICULO: MOTO, CONSTRUCCION: RADIAL, ARMADO: C/CAMARA, MEDIDA: 90/90-21</t>
  </si>
  <si>
    <t>2.4.4-6818.395</t>
  </si>
  <si>
    <t>NEUMATICOS; VEHICULO: MOTO, CONSTRUCCION: RADIAL, ARMADO: S/CAMARA, MEDIDA: 130/80-17</t>
  </si>
  <si>
    <t>2.4.4-6818.1033</t>
  </si>
  <si>
    <t>NEUMATICOS; VEHICULO: CAMION, CONSTRUCCION: RADIAL, ARMADO: S/CAMARA, MEDIDA: 235/75R17.5</t>
  </si>
  <si>
    <t>2.4.4-6818.1034</t>
  </si>
  <si>
    <t>NEUMATICOS; VEHICULO: MOTO, CONSTRUCCION: RADIAL, ARMADO: S/CAMARA, MEDIDA: 100/80-17</t>
  </si>
  <si>
    <t>2.4.4-6818.203</t>
  </si>
  <si>
    <t>NEUMATICOS; VEHICULO: CUATRICICLO, CONSTRUCCION: RADIAL, ARMADO: S/CAMARA, MEDIDA: 25 X 10-12</t>
  </si>
  <si>
    <t>Especificidades</t>
  </si>
  <si>
    <t xml:space="preserve"> Item N° : 01</t>
  </si>
  <si>
    <t>Descripción técnica</t>
  </si>
  <si>
    <t>MARCA TOYOTA/VOLKSWAGEN. MODELO: HILUX/AMAROK   ELEMENTO: NEUMATICO  MED. 235/70/16 CANTIDAD: 90/AMAROK- 90/HILUX</t>
  </si>
  <si>
    <t xml:space="preserve"> Item N° : 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</si>
  <si>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</t>
    </r>
    <r>
      <rPr>
        <sz val="10"/>
        <rFont val="Century Gothic"/>
        <family val="2"/>
      </rP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</si>
  <si>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</si>
  <si>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</si>
  <si>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</si>
  <si>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175/70/14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</si>
  <si>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</si>
  <si>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</si>
  <si>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</si>
  <si>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CORSA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MED. 175/70/13</t>
    </r>
  </si>
  <si>
    <t xml:space="preserve"> Item N° : 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</si>
  <si>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</si>
  <si>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</si>
  <si>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TRANSIT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COMBI MED.195/75/16   </t>
    </r>
  </si>
  <si>
    <t xml:space="preserve"> Item N° : 09</t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</si>
  <si>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MERCEDEZ BENZ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SPLINTER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MINIBUS MED.225/75/16    </t>
    </r>
  </si>
  <si>
    <t xml:space="preserve"> Item N° : 10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</si>
  <si>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</si>
  <si>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11</t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</si>
  <si>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 VOLKSWAGEN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9150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MED.215/75/17.5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</si>
  <si>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</si>
  <si>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VOLKSWAGEN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13,180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</si>
  <si>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13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</si>
  <si>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CARGO 1119   ELEMENTO: NEUMATICO PARA CAMION MED. 315/80/22,5</t>
    </r>
  </si>
  <si>
    <t xml:space="preserve"> Item N° : 14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</si>
  <si>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CARGO 1832   ELEMENTO: NEUMATICO PARA CAMION MED. 295/80/22.5</t>
    </r>
  </si>
  <si>
    <t xml:space="preserve"> Item N° : 15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</si>
  <si>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VOLKSWAGEN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13,180 ELEMENTO: NEUMATICO PARA CAMION MED. 11R22.5</t>
    </r>
  </si>
  <si>
    <t xml:space="preserve"> Item N° : 16</t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</si>
  <si>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4000 ELEMENTO: NEUMATICO PARA CAMION  </t>
    </r>
    <r>
      <rPr>
        <u/>
        <sz val="10"/>
        <rFont val="Century Gothic"/>
        <family val="2"/>
      </rPr>
      <t>MEDIDA:</t>
    </r>
    <r>
      <rPr>
        <sz val="10"/>
        <rFont val="Century Gothic"/>
        <family val="2"/>
      </rPr>
      <t xml:space="preserve"> 7.50 R 16</t>
    </r>
  </si>
  <si>
    <t xml:space="preserve"> Item N° : 17</t>
  </si>
  <si>
    <t xml:space="preserve"> ELEMENTO: NEUMATICO PARA MOTOCICLETA GILERA 200 CC MED. 120/90/18. CON CAMARA</t>
  </si>
  <si>
    <t xml:space="preserve"> Item N° : 18</t>
  </si>
  <si>
    <r>
      <t xml:space="preserve"> ELEMENTO: </t>
    </r>
    <r>
      <rPr>
        <sz val="10"/>
        <rFont val="Century Gothic"/>
        <family val="2"/>
      </rPr>
      <t>NEUMATICO PARA MOTOCICLETA HONDA TWISTER 250 CC MED. 140/70/17</t>
    </r>
  </si>
  <si>
    <t xml:space="preserve"> Item N° : 19</t>
  </si>
  <si>
    <r>
      <t xml:space="preserve"> ELEMENTO: </t>
    </r>
    <r>
      <rPr>
        <sz val="10"/>
        <rFont val="Century Gothic"/>
        <family val="2"/>
      </rPr>
      <t>NEUMATICO PARA MOTOCICLETA HONDA HONDA XR 150 CC MED. 110/90/17</t>
    </r>
  </si>
  <si>
    <t xml:space="preserve"> Item N° : 20</t>
  </si>
  <si>
    <r>
      <t xml:space="preserve"> ELEMENTO: </t>
    </r>
    <r>
      <rPr>
        <sz val="10"/>
        <rFont val="Century Gothic"/>
        <family val="2"/>
      </rPr>
      <t>NEUMATICO PARA MOTOCICLETA HONDA HONDA XR 150 CC MED. 90/90/19</t>
    </r>
  </si>
  <si>
    <t xml:space="preserve"> Item N° : 21</t>
  </si>
  <si>
    <t xml:space="preserve"> ELEMENTO: NEUMATICO PARA MOTOCICLETA YAMAHA XTZ 250 CC Y CORVEN TRIAX 250 CC MED. 120/80/18 CANTIDAD: 25 UNIDADES YAMAHA/ 10 UNIDADES CORVEN TRIAX</t>
  </si>
  <si>
    <t xml:space="preserve"> Item N° : 22</t>
  </si>
  <si>
    <r>
      <t xml:space="preserve"> ELEMENTO: </t>
    </r>
    <r>
      <rPr>
        <sz val="10"/>
        <rFont val="Century Gothic"/>
        <family val="2"/>
      </rPr>
      <t>NEUMATICO PARA MOTOCICLETA BENELLI TRK 502 CC MED. 160/60/17</t>
    </r>
  </si>
  <si>
    <t xml:space="preserve"> Item N° : 23</t>
  </si>
  <si>
    <r>
      <t xml:space="preserve"> ELEMENTO: </t>
    </r>
    <r>
      <rPr>
        <sz val="10"/>
        <rFont val="Century Gothic"/>
        <family val="2"/>
      </rPr>
      <t>NEUMATICO PARA MOTOCICLETA BENELLI TRK 502 CC MED. 120/70/17</t>
    </r>
  </si>
  <si>
    <t xml:space="preserve"> Item N° : 24</t>
  </si>
  <si>
    <t xml:space="preserve"> ELEMENTO: NEUMATICO PARA MOTOCICLETA HONDA TORNADO 250 CC Y YAMAHA XTZ 250 CC MED. 90/90/21 CANTIDAD: 20 UNIDADES HONDA TORNADO 250; 20 UNIDADES YAMAHA
XTZ 250</t>
  </si>
  <si>
    <t xml:space="preserve"> Item N° : 25</t>
  </si>
  <si>
    <r>
      <t xml:space="preserve"> ELEMENTO: </t>
    </r>
    <r>
      <rPr>
        <sz val="10"/>
        <rFont val="Century Gothic"/>
        <family val="2"/>
      </rPr>
      <t>NEUMATICO PARA MOTOCICLETA HONDA FALCON MED. 130/80/17</t>
    </r>
  </si>
  <si>
    <t xml:space="preserve"> Item N° : 26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</si>
  <si>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FORD 1119, 235/75/17.5</t>
    </r>
  </si>
  <si>
    <t xml:space="preserve"> Item N° : 27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</si>
  <si>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MOTOCICLETA  TWISTER 250 C.C. 100/80/17</t>
    </r>
  </si>
  <si>
    <t xml:space="preserve"> Item N° : 28</t>
  </si>
  <si>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CUATRICICLO HONDA FOREMAN SIN CAMARA RODADO 25X10-12</t>
    </r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</si>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</sst>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u/>
      <sz val="10"/>
      <name val="Times New Roman"/>
      <family val="1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11"/>
      <color theme="1"/>
      <name val="Calibri"/>
      <family val="2"/>
    </font>
    <font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6" fontId="7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96">
    <xf numFmtId="0" fontId="0" fillId="0" borderId="0" xfId="0"/>
    <xf numFmtId="0" fontId="8" fillId="4" borderId="0" xfId="0" applyFont="1" applyFill="1"/>
    <xf numFmtId="0" fontId="12" fillId="4" borderId="0" xfId="0" applyFont="1" applyFill="1" applyAlignment="1">
      <alignment horizontal="left" wrapText="1"/>
    </xf>
    <xf numFmtId="0" fontId="12" fillId="4" borderId="0" xfId="0" applyFont="1" applyFill="1" applyAlignment="1">
      <alignment horizontal="center" wrapText="1"/>
    </xf>
    <xf numFmtId="0" fontId="11" fillId="3" borderId="0" xfId="0" applyFont="1" applyFill="1" applyAlignment="1">
      <alignment horizontal="left" wrapText="1" indent="1"/>
    </xf>
    <xf numFmtId="0" fontId="13" fillId="4" borderId="0" xfId="0" applyFont="1" applyFill="1" applyAlignment="1">
      <alignment horizontal="left" wrapText="1"/>
    </xf>
    <xf numFmtId="0" fontId="13" fillId="4" borderId="2" xfId="0" applyFont="1" applyFill="1" applyBorder="1" applyAlignment="1">
      <alignment horizontal="center" vertical="center" wrapText="1"/>
    </xf>
    <xf numFmtId="0" fontId="8" fillId="5" borderId="0" xfId="0" applyFont="1" applyFill="1" applyBorder="1"/>
    <xf numFmtId="0" fontId="8" fillId="5" borderId="0" xfId="0" applyFont="1" applyFill="1" applyBorder="1" applyAlignment="1">
      <alignment horizontal="left" vertical="center"/>
    </xf>
    <xf numFmtId="0" fontId="14" fillId="5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/>
    <xf numFmtId="168" fontId="8" fillId="5" borderId="0" xfId="0" applyNumberFormat="1" applyFont="1" applyFill="1" applyBorder="1"/>
    <xf numFmtId="0" fontId="8" fillId="5" borderId="0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6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4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5" fillId="3" borderId="0" xfId="0" applyFont="1" applyFill="1" applyBorder="1" applyAlignment="1">
      <alignment vertical="center" wrapText="1"/>
    </xf>
    <xf numFmtId="0" fontId="21" fillId="3" borderId="10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left" vertical="center"/>
    </xf>
    <xf numFmtId="0" fontId="8" fillId="3" borderId="41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right" vertical="center"/>
    </xf>
    <xf numFmtId="0" fontId="8" fillId="4" borderId="0" xfId="0" applyFont="1" applyFill="1" applyBorder="1" applyAlignment="1">
      <alignment vertical="center"/>
    </xf>
    <xf numFmtId="0" fontId="22" fillId="4" borderId="11" xfId="0" applyFont="1" applyFill="1" applyBorder="1" applyAlignment="1">
      <alignment vertical="center"/>
    </xf>
    <xf numFmtId="0" fontId="22" fillId="4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 indent="1"/>
    </xf>
    <xf numFmtId="0" fontId="8" fillId="4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 wrapText="1"/>
    </xf>
    <xf numFmtId="164" fontId="8" fillId="7" borderId="7" xfId="1" applyNumberFormat="1" applyFont="1" applyFill="1" applyBorder="1" applyAlignment="1">
      <alignment horizontal="center" vertical="center"/>
    </xf>
    <xf numFmtId="3" fontId="8" fillId="7" borderId="7" xfId="0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 wrapText="1"/>
    </xf>
    <xf numFmtId="164" fontId="8" fillId="7" borderId="41" xfId="1" applyNumberFormat="1" applyFont="1" applyFill="1" applyBorder="1" applyAlignment="1">
      <alignment horizontal="center" vertical="center"/>
    </xf>
    <xf numFmtId="0" fontId="8" fillId="7" borderId="41" xfId="0" applyFont="1" applyFill="1" applyBorder="1" applyAlignment="1">
      <alignment horizontal="center" vertical="center"/>
    </xf>
    <xf numFmtId="3" fontId="20" fillId="7" borderId="0" xfId="0" applyNumberFormat="1" applyFont="1" applyFill="1" applyBorder="1" applyAlignment="1"/>
    <xf numFmtId="169" fontId="8" fillId="7" borderId="0" xfId="0" applyNumberFormat="1" applyFont="1" applyFill="1" applyBorder="1" applyAlignment="1">
      <alignment horizontal="left"/>
    </xf>
    <xf numFmtId="0" fontId="8" fillId="7" borderId="0" xfId="0" applyFont="1" applyFill="1" applyBorder="1"/>
    <xf numFmtId="0" fontId="0" fillId="4" borderId="0" xfId="0" applyFill="1"/>
    <xf numFmtId="0" fontId="8" fillId="7" borderId="0" xfId="0" applyFont="1" applyFill="1" applyBorder="1" applyAlignment="1">
      <alignment horizontal="left"/>
    </xf>
    <xf numFmtId="0" fontId="2" fillId="4" borderId="0" xfId="0" applyFont="1" applyFill="1"/>
    <xf numFmtId="0" fontId="8" fillId="7" borderId="9" xfId="0" applyFont="1" applyFill="1" applyBorder="1"/>
    <xf numFmtId="0" fontId="8" fillId="7" borderId="23" xfId="0" applyFont="1" applyFill="1" applyBorder="1"/>
    <xf numFmtId="0" fontId="8" fillId="7" borderId="11" xfId="0" applyFont="1" applyFill="1" applyBorder="1"/>
    <xf numFmtId="0" fontId="8" fillId="7" borderId="11" xfId="0" applyFont="1" applyFill="1" applyBorder="1" applyAlignment="1">
      <alignment horizontal="left"/>
    </xf>
    <xf numFmtId="0" fontId="8" fillId="7" borderId="24" xfId="0" applyFont="1" applyFill="1" applyBorder="1"/>
    <xf numFmtId="0" fontId="15" fillId="7" borderId="26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left" vertical="center"/>
    </xf>
    <xf numFmtId="0" fontId="15" fillId="7" borderId="28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167" fontId="8" fillId="7" borderId="32" xfId="3" applyNumberFormat="1" applyFont="1" applyFill="1" applyBorder="1" applyAlignment="1" applyProtection="1">
      <alignment horizontal="center" vertical="center"/>
    </xf>
    <xf numFmtId="0" fontId="8" fillId="7" borderId="21" xfId="0" applyFont="1" applyFill="1" applyBorder="1" applyAlignment="1"/>
    <xf numFmtId="0" fontId="8" fillId="7" borderId="0" xfId="0" applyFont="1" applyFill="1" applyBorder="1" applyAlignment="1"/>
    <xf numFmtId="0" fontId="8" fillId="7" borderId="25" xfId="0" applyFont="1" applyFill="1" applyBorder="1" applyAlignment="1"/>
    <xf numFmtId="0" fontId="0" fillId="4" borderId="0" xfId="0" applyFill="1" applyAlignment="1">
      <alignment horizontal="left"/>
    </xf>
    <xf numFmtId="0" fontId="8" fillId="6" borderId="0" xfId="0" applyFont="1" applyFill="1"/>
    <xf numFmtId="0" fontId="8" fillId="5" borderId="7" xfId="0" applyFont="1" applyFill="1" applyBorder="1"/>
    <xf numFmtId="170" fontId="15" fillId="5" borderId="7" xfId="0" applyNumberFormat="1" applyFont="1" applyFill="1" applyBorder="1"/>
    <xf numFmtId="0" fontId="8" fillId="5" borderId="54" xfId="0" applyFont="1" applyFill="1" applyBorder="1"/>
    <xf numFmtId="0" fontId="15" fillId="5" borderId="7" xfId="0" applyFont="1" applyFill="1" applyBorder="1"/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vertical="center" wrapText="1"/>
    </xf>
    <xf numFmtId="0" fontId="8" fillId="5" borderId="5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/>
    </xf>
    <xf numFmtId="167" fontId="8" fillId="5" borderId="5" xfId="1" applyNumberFormat="1" applyFont="1" applyFill="1" applyBorder="1" applyAlignment="1" applyProtection="1">
      <alignment horizontal="right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vertical="center"/>
    </xf>
    <xf numFmtId="0" fontId="8" fillId="5" borderId="54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/>
    </xf>
    <xf numFmtId="167" fontId="8" fillId="5" borderId="8" xfId="1" applyNumberFormat="1" applyFont="1" applyFill="1" applyBorder="1" applyAlignment="1" applyProtection="1">
      <alignment horizontal="right" vertical="center" wrapText="1"/>
    </xf>
    <xf numFmtId="0" fontId="8" fillId="6" borderId="7" xfId="0" applyFont="1" applyFill="1" applyBorder="1" applyAlignment="1">
      <alignment vertical="center"/>
    </xf>
    <xf numFmtId="0" fontId="8" fillId="6" borderId="54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center" vertical="center"/>
    </xf>
    <xf numFmtId="167" fontId="8" fillId="6" borderId="8" xfId="1" applyNumberFormat="1" applyFont="1" applyFill="1" applyBorder="1" applyAlignment="1" applyProtection="1">
      <alignment horizontal="right" vertical="center" wrapText="1"/>
    </xf>
    <xf numFmtId="0" fontId="25" fillId="0" borderId="7" xfId="0" applyFont="1" applyBorder="1"/>
    <xf numFmtId="0" fontId="8" fillId="5" borderId="45" xfId="0" applyFont="1" applyFill="1" applyBorder="1" applyAlignment="1">
      <alignment vertical="center"/>
    </xf>
    <xf numFmtId="0" fontId="8" fillId="5" borderId="55" xfId="0" applyFont="1" applyFill="1" applyBorder="1" applyAlignment="1">
      <alignment horizontal="left" vertical="center" wrapText="1"/>
    </xf>
    <xf numFmtId="0" fontId="8" fillId="5" borderId="46" xfId="0" applyFont="1" applyFill="1" applyBorder="1" applyAlignment="1">
      <alignment horizontal="center" vertical="center"/>
    </xf>
    <xf numFmtId="167" fontId="8" fillId="5" borderId="47" xfId="1" applyNumberFormat="1" applyFont="1" applyFill="1" applyBorder="1" applyAlignment="1" applyProtection="1">
      <alignment horizontal="right" vertical="center" wrapText="1"/>
    </xf>
    <xf numFmtId="0" fontId="8" fillId="5" borderId="48" xfId="0" applyFont="1" applyFill="1" applyBorder="1" applyAlignment="1">
      <alignment vertical="center"/>
    </xf>
    <xf numFmtId="0" fontId="8" fillId="5" borderId="56" xfId="0" applyFont="1" applyFill="1" applyBorder="1" applyAlignment="1">
      <alignment horizontal="left" vertical="center" wrapText="1"/>
    </xf>
    <xf numFmtId="0" fontId="8" fillId="5" borderId="49" xfId="0" applyFont="1" applyFill="1" applyBorder="1" applyAlignment="1">
      <alignment horizontal="center" vertical="center"/>
    </xf>
    <xf numFmtId="0" fontId="8" fillId="5" borderId="51" xfId="0" applyFont="1" applyFill="1" applyBorder="1" applyAlignment="1">
      <alignment vertical="center"/>
    </xf>
    <xf numFmtId="0" fontId="8" fillId="5" borderId="57" xfId="0" applyFont="1" applyFill="1" applyBorder="1" applyAlignment="1">
      <alignment horizontal="left" vertical="center" wrapText="1"/>
    </xf>
    <xf numFmtId="0" fontId="8" fillId="5" borderId="50" xfId="0" applyFont="1" applyFill="1" applyBorder="1" applyAlignment="1">
      <alignment horizontal="center" vertical="center"/>
    </xf>
    <xf numFmtId="167" fontId="8" fillId="5" borderId="52" xfId="1" applyNumberFormat="1" applyFont="1" applyFill="1" applyBorder="1" applyAlignment="1" applyProtection="1">
      <alignment horizontal="righ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14" fillId="5" borderId="58" xfId="0" applyFont="1" applyFill="1" applyBorder="1" applyAlignment="1">
      <alignment horizontal="left" vertical="center"/>
    </xf>
    <xf numFmtId="0" fontId="8" fillId="5" borderId="59" xfId="0" applyFont="1" applyFill="1" applyBorder="1" applyAlignment="1">
      <alignment horizontal="left" vertical="center"/>
    </xf>
    <xf numFmtId="0" fontId="8" fillId="5" borderId="59" xfId="0" applyFont="1" applyFill="1" applyBorder="1"/>
    <xf numFmtId="0" fontId="8" fillId="5" borderId="60" xfId="0" applyFont="1" applyFill="1" applyBorder="1"/>
    <xf numFmtId="0" fontId="8" fillId="5" borderId="61" xfId="0" applyFont="1" applyFill="1" applyBorder="1" applyAlignment="1">
      <alignment horizontal="left" vertical="center"/>
    </xf>
    <xf numFmtId="0" fontId="8" fillId="5" borderId="62" xfId="0" applyFont="1" applyFill="1" applyBorder="1"/>
    <xf numFmtId="0" fontId="17" fillId="5" borderId="61" xfId="0" applyFont="1" applyFill="1" applyBorder="1" applyAlignment="1">
      <alignment horizontal="left" vertical="center"/>
    </xf>
    <xf numFmtId="0" fontId="18" fillId="5" borderId="61" xfId="0" applyFont="1" applyFill="1" applyBorder="1" applyAlignment="1">
      <alignment horizontal="left" vertical="center"/>
    </xf>
    <xf numFmtId="0" fontId="8" fillId="5" borderId="63" xfId="0" applyFont="1" applyFill="1" applyBorder="1" applyAlignment="1">
      <alignment horizontal="left" vertical="center"/>
    </xf>
    <xf numFmtId="0" fontId="8" fillId="5" borderId="64" xfId="0" applyFont="1" applyFill="1" applyBorder="1" applyAlignment="1">
      <alignment horizontal="left" vertical="center"/>
    </xf>
    <xf numFmtId="0" fontId="8" fillId="5" borderId="64" xfId="0" applyFont="1" applyFill="1" applyBorder="1"/>
    <xf numFmtId="0" fontId="8" fillId="5" borderId="65" xfId="0" applyFont="1" applyFill="1" applyBorder="1"/>
    <xf numFmtId="0" fontId="14" fillId="5" borderId="0" xfId="0" applyFont="1" applyFill="1" applyBorder="1" applyAlignment="1">
      <alignment vertical="center"/>
    </xf>
    <xf numFmtId="0" fontId="8" fillId="7" borderId="4" xfId="0" applyFont="1" applyFill="1" applyBorder="1" applyAlignment="1">
      <alignment vertical="top" wrapText="1"/>
    </xf>
    <xf numFmtId="0" fontId="12" fillId="7" borderId="4" xfId="0" applyFont="1" applyFill="1" applyBorder="1" applyAlignment="1">
      <alignment horizontal="center" vertical="center" wrapText="1"/>
    </xf>
    <xf numFmtId="3" fontId="8" fillId="7" borderId="4" xfId="0" applyNumberFormat="1" applyFont="1" applyFill="1" applyBorder="1" applyAlignment="1">
      <alignment horizontal="center" vertical="center"/>
    </xf>
    <xf numFmtId="164" fontId="8" fillId="7" borderId="4" xfId="1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12" fillId="4" borderId="7" xfId="0" applyFont="1" applyFill="1" applyBorder="1" applyAlignment="1">
      <alignment horizontal="center" vertical="center" wrapText="1"/>
    </xf>
    <xf numFmtId="3" fontId="8" fillId="4" borderId="7" xfId="0" applyNumberFormat="1" applyFont="1" applyFill="1" applyBorder="1" applyAlignment="1">
      <alignment horizontal="center" vertical="center"/>
    </xf>
    <xf numFmtId="164" fontId="8" fillId="4" borderId="7" xfId="1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top" wrapText="1"/>
    </xf>
    <xf numFmtId="0" fontId="8" fillId="4" borderId="7" xfId="0" applyFont="1" applyFill="1" applyBorder="1" applyAlignment="1">
      <alignment wrapText="1"/>
    </xf>
    <xf numFmtId="0" fontId="8" fillId="7" borderId="46" xfId="0" applyFont="1" applyFill="1" applyBorder="1" applyAlignment="1">
      <alignment vertical="center" wrapText="1"/>
    </xf>
    <xf numFmtId="0" fontId="12" fillId="7" borderId="46" xfId="0" applyFont="1" applyFill="1" applyBorder="1" applyAlignment="1">
      <alignment horizontal="center" vertical="center" wrapText="1"/>
    </xf>
    <xf numFmtId="0" fontId="8" fillId="7" borderId="46" xfId="0" applyFont="1" applyFill="1" applyBorder="1" applyAlignment="1">
      <alignment horizontal="center" vertical="center"/>
    </xf>
    <xf numFmtId="164" fontId="8" fillId="7" borderId="46" xfId="1" applyNumberFormat="1" applyFont="1" applyFill="1" applyBorder="1" applyAlignment="1">
      <alignment horizontal="center" vertical="center"/>
    </xf>
    <xf numFmtId="0" fontId="8" fillId="7" borderId="49" xfId="0" applyFont="1" applyFill="1" applyBorder="1" applyAlignment="1">
      <alignment vertical="center" wrapText="1"/>
    </xf>
    <xf numFmtId="0" fontId="12" fillId="7" borderId="49" xfId="0" applyFont="1" applyFill="1" applyBorder="1" applyAlignment="1">
      <alignment horizontal="center" vertical="center" wrapText="1"/>
    </xf>
    <xf numFmtId="0" fontId="8" fillId="7" borderId="49" xfId="0" applyFont="1" applyFill="1" applyBorder="1" applyAlignment="1">
      <alignment horizontal="center" vertical="center"/>
    </xf>
    <xf numFmtId="164" fontId="8" fillId="7" borderId="49" xfId="1" applyNumberFormat="1" applyFont="1" applyFill="1" applyBorder="1" applyAlignment="1">
      <alignment horizontal="center" vertical="center"/>
    </xf>
    <xf numFmtId="0" fontId="8" fillId="7" borderId="50" xfId="0" applyFont="1" applyFill="1" applyBorder="1" applyAlignment="1">
      <alignment vertical="center" wrapText="1"/>
    </xf>
    <xf numFmtId="0" fontId="12" fillId="7" borderId="50" xfId="0" applyFont="1" applyFill="1" applyBorder="1" applyAlignment="1">
      <alignment horizontal="center" vertical="center" wrapText="1"/>
    </xf>
    <xf numFmtId="0" fontId="8" fillId="7" borderId="50" xfId="0" applyFont="1" applyFill="1" applyBorder="1" applyAlignment="1">
      <alignment horizontal="center" vertical="center"/>
    </xf>
    <xf numFmtId="164" fontId="8" fillId="7" borderId="50" xfId="1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wrapText="1"/>
    </xf>
    <xf numFmtId="0" fontId="26" fillId="4" borderId="0" xfId="0" applyFont="1" applyFill="1" applyAlignment="1">
      <alignment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vertical="center"/>
    </xf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wrapText="1"/>
    </xf>
    <xf numFmtId="0" fontId="9" fillId="4" borderId="0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left" wrapText="1" indent="1"/>
    </xf>
    <xf numFmtId="0" fontId="14" fillId="5" borderId="0" xfId="0" applyFont="1" applyFill="1" applyBorder="1" applyAlignment="1">
      <alignment wrapText="1"/>
    </xf>
    <xf numFmtId="0" fontId="14" fillId="5" borderId="62" xfId="0" applyFont="1" applyFill="1" applyBorder="1" applyAlignment="1">
      <alignment wrapText="1"/>
    </xf>
    <xf numFmtId="0" fontId="8" fillId="5" borderId="0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left" vertical="center" wrapText="1"/>
    </xf>
    <xf numFmtId="168" fontId="23" fillId="4" borderId="13" xfId="0" applyNumberFormat="1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right" vertical="center" wrapText="1"/>
    </xf>
    <xf numFmtId="0" fontId="21" fillId="4" borderId="37" xfId="0" applyFont="1" applyFill="1" applyBorder="1" applyAlignment="1">
      <alignment horizontal="right" vertical="center" wrapText="1"/>
    </xf>
    <xf numFmtId="0" fontId="21" fillId="4" borderId="37" xfId="0" applyFont="1" applyFill="1" applyBorder="1" applyAlignment="1">
      <alignment horizontal="left" vertical="center" wrapText="1"/>
    </xf>
    <xf numFmtId="0" fontId="21" fillId="4" borderId="19" xfId="0" applyFont="1" applyFill="1" applyBorder="1" applyAlignment="1">
      <alignment horizontal="left" vertical="center" wrapText="1"/>
    </xf>
    <xf numFmtId="0" fontId="8" fillId="4" borderId="41" xfId="0" applyFont="1" applyFill="1" applyBorder="1" applyAlignment="1">
      <alignment horizontal="left" vertical="center" wrapText="1"/>
    </xf>
    <xf numFmtId="0" fontId="23" fillId="4" borderId="15" xfId="0" applyFont="1" applyFill="1" applyBorder="1" applyAlignment="1">
      <alignment horizontal="left" vertical="center"/>
    </xf>
    <xf numFmtId="0" fontId="21" fillId="3" borderId="16" xfId="0" applyFont="1" applyFill="1" applyBorder="1" applyAlignment="1">
      <alignment horizontal="left" vertical="center" wrapText="1" indent="1"/>
    </xf>
    <xf numFmtId="0" fontId="20" fillId="4" borderId="15" xfId="0" applyFont="1" applyFill="1" applyBorder="1" applyAlignment="1">
      <alignment horizontal="center" vertical="center"/>
    </xf>
    <xf numFmtId="0" fontId="20" fillId="4" borderId="38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0" fillId="4" borderId="40" xfId="0" applyFont="1" applyFill="1" applyBorder="1" applyAlignment="1">
      <alignment horizontal="center" vertical="center" wrapText="1"/>
    </xf>
    <xf numFmtId="0" fontId="22" fillId="4" borderId="0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left" vertical="center" wrapText="1"/>
    </xf>
    <xf numFmtId="0" fontId="21" fillId="4" borderId="13" xfId="0" applyFont="1" applyFill="1" applyBorder="1" applyAlignment="1">
      <alignment horizontal="left" vertical="center" wrapText="1" indent="1"/>
    </xf>
    <xf numFmtId="0" fontId="23" fillId="4" borderId="14" xfId="0" applyFont="1" applyFill="1" applyBorder="1" applyAlignment="1">
      <alignment horizontal="left" vertical="center" wrapText="1"/>
    </xf>
    <xf numFmtId="0" fontId="16" fillId="7" borderId="33" xfId="0" applyFont="1" applyFill="1" applyBorder="1" applyAlignment="1">
      <alignment horizontal="left" vertical="center" wrapText="1" indent="1"/>
    </xf>
    <xf numFmtId="0" fontId="8" fillId="7" borderId="30" xfId="0" applyFont="1" applyFill="1" applyBorder="1" applyAlignment="1">
      <alignment horizontal="left" vertical="center" wrapText="1"/>
    </xf>
    <xf numFmtId="0" fontId="20" fillId="7" borderId="42" xfId="0" applyFont="1" applyFill="1" applyBorder="1" applyAlignment="1">
      <alignment horizontal="left" wrapText="1"/>
    </xf>
    <xf numFmtId="0" fontId="20" fillId="7" borderId="43" xfId="0" applyFont="1" applyFill="1" applyBorder="1" applyAlignment="1">
      <alignment horizontal="left" wrapText="1"/>
    </xf>
    <xf numFmtId="0" fontId="20" fillId="7" borderId="44" xfId="0" applyFont="1" applyFill="1" applyBorder="1" applyAlignment="1">
      <alignment horizontal="left" wrapText="1"/>
    </xf>
    <xf numFmtId="0" fontId="20" fillId="7" borderId="18" xfId="0" applyFont="1" applyFill="1" applyBorder="1" applyAlignment="1">
      <alignment vertical="center" wrapText="1"/>
    </xf>
    <xf numFmtId="0" fontId="20" fillId="7" borderId="34" xfId="0" applyFont="1" applyFill="1" applyBorder="1" applyAlignment="1">
      <alignment vertical="center" wrapText="1"/>
    </xf>
    <xf numFmtId="0" fontId="20" fillId="7" borderId="16" xfId="0" applyFont="1" applyFill="1" applyBorder="1" applyAlignment="1">
      <alignment vertical="center" wrapText="1"/>
    </xf>
    <xf numFmtId="0" fontId="16" fillId="7" borderId="25" xfId="0" applyFont="1" applyFill="1" applyBorder="1" applyAlignment="1">
      <alignment vertical="center" wrapText="1"/>
    </xf>
    <xf numFmtId="0" fontId="8" fillId="7" borderId="0" xfId="0" applyFont="1" applyFill="1" applyBorder="1" applyAlignment="1">
      <alignment horizontal="left" vertical="top"/>
    </xf>
    <xf numFmtId="0" fontId="16" fillId="7" borderId="21" xfId="0" applyFont="1" applyFill="1" applyBorder="1" applyAlignment="1"/>
    <xf numFmtId="0" fontId="16" fillId="7" borderId="22" xfId="0" applyFont="1" applyFill="1" applyBorder="1" applyAlignment="1">
      <alignment horizontal="left" vertical="center" wrapText="1" indent="1"/>
    </xf>
    <xf numFmtId="0" fontId="15" fillId="7" borderId="20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left" vertical="center" wrapText="1"/>
    </xf>
    <xf numFmtId="0" fontId="8" fillId="7" borderId="35" xfId="0" applyFont="1" applyFill="1" applyBorder="1" applyAlignment="1">
      <alignment horizontal="left" vertical="center" wrapText="1"/>
    </xf>
    <xf numFmtId="0" fontId="8" fillId="7" borderId="36" xfId="0" applyFont="1" applyFill="1" applyBorder="1" applyAlignment="1">
      <alignment horizontal="left" vertical="center" wrapText="1"/>
    </xf>
    <xf numFmtId="0" fontId="16" fillId="7" borderId="12" xfId="0" applyFont="1" applyFill="1" applyBorder="1" applyAlignment="1">
      <alignment horizontal="left" indent="1"/>
    </xf>
    <xf numFmtId="0" fontId="16" fillId="7" borderId="35" xfId="0" applyFont="1" applyFill="1" applyBorder="1" applyAlignment="1">
      <alignment horizontal="left" indent="1"/>
    </xf>
    <xf numFmtId="0" fontId="16" fillId="7" borderId="36" xfId="0" applyFont="1" applyFill="1" applyBorder="1" applyAlignment="1">
      <alignment horizontal="left" indent="1"/>
    </xf>
    <xf numFmtId="0" fontId="18" fillId="7" borderId="10" xfId="0" applyFont="1" applyFill="1" applyBorder="1" applyAlignment="1">
      <alignment horizontal="left"/>
    </xf>
    <xf numFmtId="0" fontId="8" fillId="7" borderId="18" xfId="0" applyFont="1" applyFill="1" applyBorder="1" applyAlignment="1">
      <alignment horizontal="center"/>
    </xf>
    <xf numFmtId="3" fontId="20" fillId="7" borderId="19" xfId="0" applyNumberFormat="1" applyFont="1" applyFill="1" applyBorder="1" applyAlignment="1">
      <alignment horizontal="center"/>
    </xf>
    <xf numFmtId="0" fontId="21" fillId="7" borderId="10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2021-nota%20pedido/31-%20REPUESTOS%20Y%20ACCESORIOS/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04"/>
  <sheetViews>
    <sheetView tabSelected="1" topLeftCell="A76" zoomScale="85" zoomScaleNormal="85" zoomScaleSheetLayoutView="85" workbookViewId="0">
      <selection activeCell="G3" sqref="G3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1.5703125" style="1" customWidth="1"/>
    <col min="4" max="4" width="8.28515625" style="1" customWidth="1"/>
    <col min="5" max="5" width="75" style="1" customWidth="1"/>
    <col min="6" max="6" width="11.140625" style="1" customWidth="1"/>
    <col min="7" max="7" width="10.5703125" style="1" customWidth="1"/>
    <col min="8" max="8" width="15.140625" style="1" customWidth="1"/>
    <col min="9" max="9" width="18.5703125" style="1" customWidth="1"/>
    <col min="10" max="16384" width="11" style="1"/>
  </cols>
  <sheetData>
    <row r="2" spans="1:9" ht="28.5" x14ac:dyDescent="0.4">
      <c r="B2" s="143" t="s">
        <v>0</v>
      </c>
      <c r="C2" s="143"/>
      <c r="D2" s="143"/>
      <c r="E2" s="143"/>
      <c r="F2" s="143"/>
      <c r="G2" s="143"/>
      <c r="H2" s="143"/>
    </row>
    <row r="4" spans="1:9" ht="18" customHeight="1" x14ac:dyDescent="0.25">
      <c r="A4" s="144" t="s">
        <v>1</v>
      </c>
      <c r="B4" s="144"/>
      <c r="C4" s="145" t="s">
        <v>2</v>
      </c>
      <c r="D4" s="145"/>
      <c r="E4" s="145"/>
      <c r="F4" s="2"/>
      <c r="G4" s="3"/>
      <c r="H4" s="2"/>
    </row>
    <row r="5" spans="1:9" ht="18" customHeight="1" x14ac:dyDescent="0.25">
      <c r="A5" s="144" t="s">
        <v>3</v>
      </c>
      <c r="B5" s="144"/>
      <c r="C5" s="145" t="s">
        <v>4</v>
      </c>
      <c r="D5" s="145"/>
      <c r="E5" s="145"/>
      <c r="F5" s="2"/>
      <c r="G5" s="3"/>
      <c r="H5" s="2"/>
    </row>
    <row r="6" spans="1:9" ht="16.5" customHeight="1" x14ac:dyDescent="0.25">
      <c r="A6" s="144" t="s">
        <v>5</v>
      </c>
      <c r="B6" s="144"/>
      <c r="C6" s="4">
        <v>2022</v>
      </c>
      <c r="D6" s="5"/>
      <c r="E6" s="5"/>
      <c r="F6" s="2"/>
      <c r="G6" s="3"/>
      <c r="H6" s="2"/>
    </row>
    <row r="7" spans="1:9" ht="16.5" customHeight="1" x14ac:dyDescent="0.25">
      <c r="A7" s="144" t="s">
        <v>6</v>
      </c>
      <c r="B7" s="144"/>
      <c r="C7" s="4">
        <v>2</v>
      </c>
      <c r="D7" s="5"/>
      <c r="E7" s="5"/>
      <c r="F7" s="2"/>
      <c r="G7" s="3"/>
      <c r="H7" s="2"/>
    </row>
    <row r="8" spans="1:9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27" x14ac:dyDescent="0.25">
      <c r="A10" s="74">
        <v>1</v>
      </c>
      <c r="B10" s="75" t="s">
        <v>16</v>
      </c>
      <c r="C10" s="76" t="s">
        <v>17</v>
      </c>
      <c r="D10" s="77" t="s">
        <v>18</v>
      </c>
      <c r="E10" s="114" t="s">
        <v>19</v>
      </c>
      <c r="F10" s="115" t="s">
        <v>20</v>
      </c>
      <c r="G10" s="116">
        <v>180</v>
      </c>
      <c r="H10" s="117">
        <v>59020</v>
      </c>
      <c r="I10" s="78">
        <f>G10*H10</f>
        <v>10623600</v>
      </c>
    </row>
    <row r="11" spans="1:9" ht="27" x14ac:dyDescent="0.25">
      <c r="A11" s="79">
        <v>2</v>
      </c>
      <c r="B11" s="80" t="s">
        <v>21</v>
      </c>
      <c r="C11" s="81" t="s">
        <v>17</v>
      </c>
      <c r="D11" s="82" t="s">
        <v>18</v>
      </c>
      <c r="E11" s="118" t="s">
        <v>22</v>
      </c>
      <c r="F11" s="37" t="s">
        <v>20</v>
      </c>
      <c r="G11" s="39">
        <v>30</v>
      </c>
      <c r="H11" s="38">
        <v>56550</v>
      </c>
      <c r="I11" s="83">
        <f t="shared" ref="I11:I33" si="0">G11*H11</f>
        <v>1696500</v>
      </c>
    </row>
    <row r="12" spans="1:9" ht="27" x14ac:dyDescent="0.25">
      <c r="A12" s="79">
        <v>3</v>
      </c>
      <c r="B12" s="80" t="s">
        <v>23</v>
      </c>
      <c r="C12" s="81" t="s">
        <v>17</v>
      </c>
      <c r="D12" s="82" t="s">
        <v>18</v>
      </c>
      <c r="E12" s="118" t="s">
        <v>24</v>
      </c>
      <c r="F12" s="37" t="s">
        <v>20</v>
      </c>
      <c r="G12" s="39">
        <v>2</v>
      </c>
      <c r="H12" s="38">
        <v>49000</v>
      </c>
      <c r="I12" s="83">
        <f t="shared" si="0"/>
        <v>98000</v>
      </c>
    </row>
    <row r="13" spans="1:9" ht="27" x14ac:dyDescent="0.25">
      <c r="A13" s="79">
        <v>4</v>
      </c>
      <c r="B13" s="80" t="s">
        <v>25</v>
      </c>
      <c r="C13" s="81" t="s">
        <v>17</v>
      </c>
      <c r="D13" s="82" t="s">
        <v>18</v>
      </c>
      <c r="E13" s="118" t="s">
        <v>26</v>
      </c>
      <c r="F13" s="37" t="s">
        <v>20</v>
      </c>
      <c r="G13" s="40">
        <v>6</v>
      </c>
      <c r="H13" s="38">
        <v>28500</v>
      </c>
      <c r="I13" s="83">
        <f t="shared" si="0"/>
        <v>171000</v>
      </c>
    </row>
    <row r="14" spans="1:9" ht="27.75" thickBot="1" x14ac:dyDescent="0.3">
      <c r="A14" s="79">
        <v>5</v>
      </c>
      <c r="B14" s="80" t="s">
        <v>25</v>
      </c>
      <c r="C14" s="81" t="s">
        <v>17</v>
      </c>
      <c r="D14" s="82" t="s">
        <v>18</v>
      </c>
      <c r="E14" s="118" t="s">
        <v>26</v>
      </c>
      <c r="F14" s="37" t="s">
        <v>20</v>
      </c>
      <c r="G14" s="40">
        <v>2</v>
      </c>
      <c r="H14" s="38">
        <v>28500</v>
      </c>
      <c r="I14" s="83">
        <f t="shared" si="0"/>
        <v>57000</v>
      </c>
    </row>
    <row r="15" spans="1:9" ht="32.25" customHeight="1" x14ac:dyDescent="0.25">
      <c r="A15" s="74">
        <v>6</v>
      </c>
      <c r="B15" s="80" t="s">
        <v>27</v>
      </c>
      <c r="C15" s="81" t="s">
        <v>17</v>
      </c>
      <c r="D15" s="82" t="s">
        <v>18</v>
      </c>
      <c r="E15" s="118" t="s">
        <v>28</v>
      </c>
      <c r="F15" s="37" t="s">
        <v>20</v>
      </c>
      <c r="G15" s="39">
        <v>2</v>
      </c>
      <c r="H15" s="38">
        <v>21190</v>
      </c>
      <c r="I15" s="83">
        <f t="shared" si="0"/>
        <v>42380</v>
      </c>
    </row>
    <row r="16" spans="1:9" ht="27" x14ac:dyDescent="0.25">
      <c r="A16" s="79">
        <v>7</v>
      </c>
      <c r="B16" s="80" t="s">
        <v>29</v>
      </c>
      <c r="C16" s="81" t="s">
        <v>17</v>
      </c>
      <c r="D16" s="82" t="s">
        <v>18</v>
      </c>
      <c r="E16" s="118" t="s">
        <v>30</v>
      </c>
      <c r="F16" s="37" t="s">
        <v>20</v>
      </c>
      <c r="G16" s="39">
        <v>10</v>
      </c>
      <c r="H16" s="38">
        <v>29100</v>
      </c>
      <c r="I16" s="83">
        <f t="shared" si="0"/>
        <v>291000</v>
      </c>
    </row>
    <row r="17" spans="1:9" s="69" customFormat="1" ht="27" x14ac:dyDescent="0.25">
      <c r="A17" s="79">
        <v>8</v>
      </c>
      <c r="B17" s="84" t="s">
        <v>31</v>
      </c>
      <c r="C17" s="85" t="s">
        <v>17</v>
      </c>
      <c r="D17" s="86" t="s">
        <v>18</v>
      </c>
      <c r="E17" s="119" t="s">
        <v>32</v>
      </c>
      <c r="F17" s="120" t="s">
        <v>20</v>
      </c>
      <c r="G17" s="121">
        <v>6</v>
      </c>
      <c r="H17" s="122">
        <v>54600</v>
      </c>
      <c r="I17" s="87">
        <f t="shared" si="0"/>
        <v>327600</v>
      </c>
    </row>
    <row r="18" spans="1:9" s="69" customFormat="1" ht="27" x14ac:dyDescent="0.25">
      <c r="A18" s="79">
        <v>9</v>
      </c>
      <c r="B18" s="84" t="s">
        <v>33</v>
      </c>
      <c r="C18" s="85" t="s">
        <v>17</v>
      </c>
      <c r="D18" s="86" t="s">
        <v>18</v>
      </c>
      <c r="E18" s="119" t="s">
        <v>34</v>
      </c>
      <c r="F18" s="120" t="s">
        <v>20</v>
      </c>
      <c r="G18" s="121">
        <v>10</v>
      </c>
      <c r="H18" s="122">
        <v>64090</v>
      </c>
      <c r="I18" s="87">
        <f t="shared" si="0"/>
        <v>640900</v>
      </c>
    </row>
    <row r="19" spans="1:9" s="69" customFormat="1" ht="27" x14ac:dyDescent="0.25">
      <c r="A19" s="79">
        <v>10</v>
      </c>
      <c r="B19" s="84" t="s">
        <v>35</v>
      </c>
      <c r="C19" s="85" t="s">
        <v>17</v>
      </c>
      <c r="D19" s="86" t="s">
        <v>18</v>
      </c>
      <c r="E19" s="119" t="s">
        <v>36</v>
      </c>
      <c r="F19" s="120" t="s">
        <v>20</v>
      </c>
      <c r="G19" s="121">
        <v>80</v>
      </c>
      <c r="H19" s="122">
        <v>91455</v>
      </c>
      <c r="I19" s="87">
        <f t="shared" si="0"/>
        <v>7316400</v>
      </c>
    </row>
    <row r="20" spans="1:9" s="69" customFormat="1" ht="26.25" customHeight="1" x14ac:dyDescent="0.25">
      <c r="A20" s="79">
        <v>11</v>
      </c>
      <c r="B20" s="84" t="s">
        <v>37</v>
      </c>
      <c r="C20" s="85" t="s">
        <v>17</v>
      </c>
      <c r="D20" s="86" t="s">
        <v>38</v>
      </c>
      <c r="E20" s="119" t="s">
        <v>39</v>
      </c>
      <c r="F20" s="120" t="s">
        <v>20</v>
      </c>
      <c r="G20" s="121">
        <v>2</v>
      </c>
      <c r="H20" s="122">
        <v>105000</v>
      </c>
      <c r="I20" s="87">
        <f t="shared" si="0"/>
        <v>210000</v>
      </c>
    </row>
    <row r="21" spans="1:9" s="69" customFormat="1" ht="28.5" customHeight="1" x14ac:dyDescent="0.25">
      <c r="A21" s="79">
        <v>12</v>
      </c>
      <c r="B21" s="84" t="s">
        <v>37</v>
      </c>
      <c r="C21" s="85" t="s">
        <v>17</v>
      </c>
      <c r="D21" s="86" t="s">
        <v>18</v>
      </c>
      <c r="E21" s="119" t="s">
        <v>39</v>
      </c>
      <c r="F21" s="120" t="s">
        <v>20</v>
      </c>
      <c r="G21" s="121">
        <v>2</v>
      </c>
      <c r="H21" s="122">
        <v>137800</v>
      </c>
      <c r="I21" s="87">
        <f t="shared" si="0"/>
        <v>275600</v>
      </c>
    </row>
    <row r="22" spans="1:9" ht="27" x14ac:dyDescent="0.25">
      <c r="A22" s="79">
        <v>13</v>
      </c>
      <c r="B22" s="88" t="s">
        <v>40</v>
      </c>
      <c r="C22" s="81" t="s">
        <v>17</v>
      </c>
      <c r="D22" s="82" t="s">
        <v>18</v>
      </c>
      <c r="E22" s="118" t="s">
        <v>41</v>
      </c>
      <c r="F22" s="37" t="s">
        <v>20</v>
      </c>
      <c r="G22" s="39">
        <v>2</v>
      </c>
      <c r="H22" s="38">
        <v>190000</v>
      </c>
      <c r="I22" s="83">
        <f>G22*H22</f>
        <v>380000</v>
      </c>
    </row>
    <row r="23" spans="1:9" ht="27" x14ac:dyDescent="0.25">
      <c r="A23" s="79">
        <v>14</v>
      </c>
      <c r="B23" s="88" t="s">
        <v>42</v>
      </c>
      <c r="C23" s="81" t="s">
        <v>17</v>
      </c>
      <c r="D23" s="82" t="s">
        <v>38</v>
      </c>
      <c r="E23" s="137" t="s">
        <v>43</v>
      </c>
      <c r="F23" s="37" t="s">
        <v>20</v>
      </c>
      <c r="G23" s="39">
        <v>2</v>
      </c>
      <c r="H23" s="38">
        <v>148000</v>
      </c>
      <c r="I23" s="83">
        <f t="shared" ref="I23:I32" si="1">G23*H23</f>
        <v>296000</v>
      </c>
    </row>
    <row r="24" spans="1:9" ht="27" x14ac:dyDescent="0.25">
      <c r="A24" s="79">
        <v>15</v>
      </c>
      <c r="B24" s="88" t="s">
        <v>44</v>
      </c>
      <c r="C24" s="81" t="s">
        <v>17</v>
      </c>
      <c r="D24" s="82" t="s">
        <v>38</v>
      </c>
      <c r="E24" s="138" t="s">
        <v>45</v>
      </c>
      <c r="F24" s="37" t="s">
        <v>20</v>
      </c>
      <c r="G24" s="39">
        <v>4</v>
      </c>
      <c r="H24" s="38">
        <v>85000</v>
      </c>
      <c r="I24" s="83">
        <f t="shared" si="1"/>
        <v>340000</v>
      </c>
    </row>
    <row r="25" spans="1:9" ht="27" x14ac:dyDescent="0.25">
      <c r="A25" s="79">
        <v>16</v>
      </c>
      <c r="B25" s="88" t="s">
        <v>46</v>
      </c>
      <c r="C25" s="81" t="s">
        <v>17</v>
      </c>
      <c r="D25" s="82" t="s">
        <v>38</v>
      </c>
      <c r="E25" s="118" t="s">
        <v>47</v>
      </c>
      <c r="F25" s="37" t="s">
        <v>20</v>
      </c>
      <c r="G25" s="39">
        <v>2</v>
      </c>
      <c r="H25" s="38">
        <v>59100</v>
      </c>
      <c r="I25" s="83">
        <f t="shared" si="1"/>
        <v>118200</v>
      </c>
    </row>
    <row r="26" spans="1:9" ht="27" x14ac:dyDescent="0.25">
      <c r="A26" s="79">
        <v>17</v>
      </c>
      <c r="B26" s="88" t="s">
        <v>48</v>
      </c>
      <c r="C26" s="81" t="s">
        <v>17</v>
      </c>
      <c r="D26" s="82" t="s">
        <v>38</v>
      </c>
      <c r="E26" s="123" t="s">
        <v>49</v>
      </c>
      <c r="F26" s="37" t="s">
        <v>20</v>
      </c>
      <c r="G26" s="39">
        <v>10</v>
      </c>
      <c r="H26" s="38">
        <v>23000</v>
      </c>
      <c r="I26" s="83">
        <f t="shared" si="1"/>
        <v>230000</v>
      </c>
    </row>
    <row r="27" spans="1:9" ht="31.5" customHeight="1" x14ac:dyDescent="0.25">
      <c r="A27" s="79">
        <v>18</v>
      </c>
      <c r="B27" s="84" t="s">
        <v>50</v>
      </c>
      <c r="C27" s="100" t="s">
        <v>17</v>
      </c>
      <c r="D27" s="82" t="s">
        <v>38</v>
      </c>
      <c r="E27" s="124" t="s">
        <v>51</v>
      </c>
      <c r="F27" s="37" t="s">
        <v>20</v>
      </c>
      <c r="G27" s="39">
        <v>2</v>
      </c>
      <c r="H27" s="38">
        <v>21870</v>
      </c>
      <c r="I27" s="83">
        <f t="shared" si="1"/>
        <v>43740</v>
      </c>
    </row>
    <row r="28" spans="1:9" ht="27" x14ac:dyDescent="0.25">
      <c r="A28" s="79">
        <v>19</v>
      </c>
      <c r="B28" s="88" t="s">
        <v>52</v>
      </c>
      <c r="C28" s="81" t="s">
        <v>17</v>
      </c>
      <c r="D28" s="82" t="s">
        <v>38</v>
      </c>
      <c r="E28" s="123" t="s">
        <v>53</v>
      </c>
      <c r="F28" s="37" t="s">
        <v>20</v>
      </c>
      <c r="G28" s="39">
        <v>20</v>
      </c>
      <c r="H28" s="38">
        <v>19690</v>
      </c>
      <c r="I28" s="83">
        <f t="shared" si="1"/>
        <v>393800</v>
      </c>
    </row>
    <row r="29" spans="1:9" ht="27" x14ac:dyDescent="0.25">
      <c r="A29" s="79">
        <v>20</v>
      </c>
      <c r="B29" s="88" t="s">
        <v>54</v>
      </c>
      <c r="C29" s="81" t="s">
        <v>17</v>
      </c>
      <c r="D29" s="82" t="s">
        <v>38</v>
      </c>
      <c r="E29" s="123" t="s">
        <v>55</v>
      </c>
      <c r="F29" s="37" t="s">
        <v>20</v>
      </c>
      <c r="G29" s="39">
        <v>25</v>
      </c>
      <c r="H29" s="38">
        <v>16250</v>
      </c>
      <c r="I29" s="83">
        <f t="shared" si="1"/>
        <v>406250</v>
      </c>
    </row>
    <row r="30" spans="1:9" ht="27" x14ac:dyDescent="0.25">
      <c r="A30" s="79">
        <v>21</v>
      </c>
      <c r="B30" s="88" t="s">
        <v>56</v>
      </c>
      <c r="C30" s="81" t="s">
        <v>17</v>
      </c>
      <c r="D30" s="82" t="s">
        <v>38</v>
      </c>
      <c r="E30" s="123" t="s">
        <v>57</v>
      </c>
      <c r="F30" s="37" t="s">
        <v>20</v>
      </c>
      <c r="G30" s="39">
        <v>35</v>
      </c>
      <c r="H30" s="38">
        <v>23800</v>
      </c>
      <c r="I30" s="83">
        <f t="shared" si="1"/>
        <v>833000</v>
      </c>
    </row>
    <row r="31" spans="1:9" ht="27" x14ac:dyDescent="0.25">
      <c r="A31" s="79">
        <v>22</v>
      </c>
      <c r="B31" s="88" t="s">
        <v>58</v>
      </c>
      <c r="C31" s="81" t="s">
        <v>17</v>
      </c>
      <c r="D31" s="82" t="s">
        <v>38</v>
      </c>
      <c r="E31" s="123" t="s">
        <v>59</v>
      </c>
      <c r="F31" s="37" t="s">
        <v>20</v>
      </c>
      <c r="G31" s="39">
        <v>5</v>
      </c>
      <c r="H31" s="38">
        <v>36400</v>
      </c>
      <c r="I31" s="83">
        <f t="shared" si="1"/>
        <v>182000</v>
      </c>
    </row>
    <row r="32" spans="1:9" ht="27" x14ac:dyDescent="0.25">
      <c r="A32" s="79">
        <v>23</v>
      </c>
      <c r="B32" s="88" t="s">
        <v>60</v>
      </c>
      <c r="C32" s="81" t="s">
        <v>17</v>
      </c>
      <c r="D32" s="82" t="s">
        <v>38</v>
      </c>
      <c r="E32" s="123" t="s">
        <v>61</v>
      </c>
      <c r="F32" s="37" t="s">
        <v>20</v>
      </c>
      <c r="G32" s="39">
        <v>5</v>
      </c>
      <c r="H32" s="38">
        <v>30505</v>
      </c>
      <c r="I32" s="83">
        <f t="shared" si="1"/>
        <v>152525</v>
      </c>
    </row>
    <row r="33" spans="1:9" ht="27" x14ac:dyDescent="0.25">
      <c r="A33" s="79">
        <v>24</v>
      </c>
      <c r="B33" s="80" t="s">
        <v>62</v>
      </c>
      <c r="C33" s="81" t="s">
        <v>17</v>
      </c>
      <c r="D33" s="82" t="s">
        <v>18</v>
      </c>
      <c r="E33" s="118" t="s">
        <v>63</v>
      </c>
      <c r="F33" s="37" t="s">
        <v>20</v>
      </c>
      <c r="G33" s="39">
        <v>40</v>
      </c>
      <c r="H33" s="38">
        <v>18500</v>
      </c>
      <c r="I33" s="83">
        <f t="shared" si="0"/>
        <v>740000</v>
      </c>
    </row>
    <row r="34" spans="1:9" ht="27" x14ac:dyDescent="0.25">
      <c r="A34" s="79">
        <v>25</v>
      </c>
      <c r="B34" s="89" t="s">
        <v>64</v>
      </c>
      <c r="C34" s="90" t="s">
        <v>17</v>
      </c>
      <c r="D34" s="91" t="s">
        <v>18</v>
      </c>
      <c r="E34" s="125" t="s">
        <v>65</v>
      </c>
      <c r="F34" s="126" t="s">
        <v>20</v>
      </c>
      <c r="G34" s="127">
        <v>2</v>
      </c>
      <c r="H34" s="128">
        <v>18260</v>
      </c>
      <c r="I34" s="92">
        <f>G34*H34</f>
        <v>36520</v>
      </c>
    </row>
    <row r="35" spans="1:9" ht="27" x14ac:dyDescent="0.25">
      <c r="A35" s="79">
        <v>26</v>
      </c>
      <c r="B35" s="93" t="s">
        <v>66</v>
      </c>
      <c r="C35" s="94" t="s">
        <v>17</v>
      </c>
      <c r="D35" s="95" t="s">
        <v>18</v>
      </c>
      <c r="E35" s="129" t="s">
        <v>67</v>
      </c>
      <c r="F35" s="130" t="s">
        <v>20</v>
      </c>
      <c r="G35" s="131">
        <v>4</v>
      </c>
      <c r="H35" s="132">
        <v>175500</v>
      </c>
      <c r="I35" s="92">
        <f>G35*H35</f>
        <v>702000</v>
      </c>
    </row>
    <row r="36" spans="1:9" ht="27" x14ac:dyDescent="0.25">
      <c r="A36" s="79">
        <v>27</v>
      </c>
      <c r="B36" s="96" t="s">
        <v>68</v>
      </c>
      <c r="C36" s="97" t="s">
        <v>17</v>
      </c>
      <c r="D36" s="98" t="s">
        <v>18</v>
      </c>
      <c r="E36" s="133" t="s">
        <v>69</v>
      </c>
      <c r="F36" s="134" t="s">
        <v>20</v>
      </c>
      <c r="G36" s="135">
        <v>2</v>
      </c>
      <c r="H36" s="136">
        <v>14630</v>
      </c>
      <c r="I36" s="99">
        <f>G36*H36</f>
        <v>29260</v>
      </c>
    </row>
    <row r="37" spans="1:9" ht="27" x14ac:dyDescent="0.25">
      <c r="A37" s="79">
        <v>28</v>
      </c>
      <c r="B37" s="96" t="s">
        <v>70</v>
      </c>
      <c r="C37" s="97" t="s">
        <v>17</v>
      </c>
      <c r="D37" s="98" t="s">
        <v>18</v>
      </c>
      <c r="E37" s="133" t="s">
        <v>71</v>
      </c>
      <c r="F37" s="134" t="s">
        <v>20</v>
      </c>
      <c r="G37" s="135">
        <v>4</v>
      </c>
      <c r="H37" s="136">
        <v>54000</v>
      </c>
      <c r="I37" s="99">
        <f>G37*H37</f>
        <v>216000</v>
      </c>
    </row>
    <row r="38" spans="1:9" x14ac:dyDescent="0.25">
      <c r="A38" s="70"/>
      <c r="B38" s="70"/>
      <c r="C38" s="72"/>
      <c r="D38" s="70"/>
      <c r="E38" s="70"/>
      <c r="F38" s="73"/>
      <c r="G38" s="73"/>
      <c r="H38" s="73"/>
      <c r="I38" s="71">
        <f>SUM(I10:I37)</f>
        <v>26849275</v>
      </c>
    </row>
    <row r="39" spans="1:9" ht="14.25" thickBot="1" x14ac:dyDescent="0.3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101" t="s">
        <v>72</v>
      </c>
      <c r="C40" s="102"/>
      <c r="D40" s="103"/>
      <c r="E40" s="103"/>
      <c r="F40" s="103"/>
      <c r="G40" s="103"/>
      <c r="H40" s="103"/>
      <c r="I40" s="104"/>
    </row>
    <row r="41" spans="1:9" x14ac:dyDescent="0.25">
      <c r="A41" s="7"/>
      <c r="B41" s="105" t="s">
        <v>73</v>
      </c>
      <c r="C41" s="8"/>
      <c r="D41" s="7"/>
      <c r="E41" s="7"/>
      <c r="F41" s="7"/>
      <c r="G41" s="7"/>
      <c r="H41" s="7"/>
      <c r="I41" s="106"/>
    </row>
    <row r="42" spans="1:9" ht="35.25" customHeight="1" x14ac:dyDescent="0.25">
      <c r="A42" s="7"/>
      <c r="B42" s="105"/>
      <c r="C42" s="9" t="s">
        <v>74</v>
      </c>
      <c r="D42" s="149" t="s">
        <v>75</v>
      </c>
      <c r="E42" s="149"/>
      <c r="F42" s="149"/>
      <c r="G42" s="7"/>
      <c r="H42" s="7"/>
      <c r="I42" s="106"/>
    </row>
    <row r="43" spans="1:9" x14ac:dyDescent="0.25">
      <c r="A43" s="7"/>
      <c r="B43" s="105" t="s">
        <v>76</v>
      </c>
      <c r="C43" s="8"/>
      <c r="D43" s="7"/>
      <c r="E43" s="7"/>
      <c r="F43" s="7"/>
      <c r="G43" s="7"/>
      <c r="H43" s="7"/>
      <c r="I43" s="106"/>
    </row>
    <row r="44" spans="1:9" x14ac:dyDescent="0.25">
      <c r="A44" s="7"/>
      <c r="B44" s="105"/>
      <c r="C44" s="9" t="s">
        <v>74</v>
      </c>
      <c r="D44" s="140" t="s">
        <v>77</v>
      </c>
      <c r="E44" s="10"/>
      <c r="F44" s="7"/>
      <c r="G44" s="7"/>
      <c r="H44" s="7"/>
      <c r="I44" s="106"/>
    </row>
    <row r="45" spans="1:9" x14ac:dyDescent="0.25">
      <c r="A45" s="7"/>
      <c r="B45" s="105" t="s">
        <v>78</v>
      </c>
      <c r="C45" s="8"/>
      <c r="D45" s="7"/>
      <c r="E45" s="7"/>
      <c r="F45" s="7"/>
      <c r="G45" s="7"/>
      <c r="H45" s="7"/>
      <c r="I45" s="106"/>
    </row>
    <row r="46" spans="1:9" x14ac:dyDescent="0.25">
      <c r="A46" s="7"/>
      <c r="B46" s="105"/>
      <c r="C46" s="9" t="s">
        <v>74</v>
      </c>
      <c r="D46" s="140" t="s">
        <v>79</v>
      </c>
      <c r="E46" s="10"/>
      <c r="F46" s="7"/>
      <c r="G46" s="7"/>
      <c r="H46" s="7"/>
      <c r="I46" s="106"/>
    </row>
    <row r="47" spans="1:9" x14ac:dyDescent="0.25">
      <c r="A47" s="7"/>
      <c r="B47" s="105" t="s">
        <v>80</v>
      </c>
      <c r="C47" s="8"/>
      <c r="D47" s="7"/>
      <c r="E47" s="7"/>
      <c r="F47" s="7"/>
      <c r="G47" s="7"/>
      <c r="H47" s="7"/>
      <c r="I47" s="106"/>
    </row>
    <row r="48" spans="1:9" x14ac:dyDescent="0.25">
      <c r="A48" s="7"/>
      <c r="B48" s="105"/>
      <c r="C48" s="9" t="s">
        <v>74</v>
      </c>
      <c r="D48" s="140" t="s">
        <v>81</v>
      </c>
      <c r="E48" s="10"/>
      <c r="F48" s="7"/>
      <c r="G48" s="7"/>
      <c r="H48" s="7"/>
      <c r="I48" s="106"/>
    </row>
    <row r="49" spans="1:9" x14ac:dyDescent="0.25">
      <c r="A49" s="7"/>
      <c r="B49" s="105" t="s">
        <v>82</v>
      </c>
      <c r="C49" s="8"/>
      <c r="D49" s="7"/>
      <c r="E49" s="7"/>
      <c r="F49" s="7"/>
      <c r="G49" s="7"/>
      <c r="H49" s="7"/>
      <c r="I49" s="106"/>
    </row>
    <row r="50" spans="1:9" x14ac:dyDescent="0.25">
      <c r="A50" s="7"/>
      <c r="B50" s="105"/>
      <c r="C50" s="9" t="s">
        <v>74</v>
      </c>
      <c r="D50" s="113" t="s">
        <v>83</v>
      </c>
      <c r="E50" s="10"/>
      <c r="F50" s="7"/>
      <c r="G50" s="7"/>
      <c r="H50" s="7"/>
      <c r="I50" s="106"/>
    </row>
    <row r="51" spans="1:9" x14ac:dyDescent="0.25">
      <c r="A51" s="7"/>
      <c r="B51" s="105" t="s">
        <v>84</v>
      </c>
      <c r="C51" s="8"/>
      <c r="D51" s="7"/>
      <c r="E51" s="7"/>
      <c r="F51" s="7"/>
      <c r="G51" s="7"/>
      <c r="H51" s="7"/>
      <c r="I51" s="106"/>
    </row>
    <row r="52" spans="1:9" x14ac:dyDescent="0.25">
      <c r="A52" s="7"/>
      <c r="B52" s="105"/>
      <c r="C52" s="9" t="s">
        <v>74</v>
      </c>
      <c r="D52" s="140" t="s">
        <v>85</v>
      </c>
      <c r="E52" s="10"/>
      <c r="F52" s="7"/>
      <c r="G52" s="7"/>
      <c r="H52" s="7"/>
      <c r="I52" s="106"/>
    </row>
    <row r="53" spans="1:9" x14ac:dyDescent="0.25">
      <c r="A53" s="7"/>
      <c r="B53" s="105" t="s">
        <v>86</v>
      </c>
      <c r="C53" s="8"/>
      <c r="D53" s="7"/>
      <c r="E53" s="7"/>
      <c r="F53" s="7"/>
      <c r="G53" s="7"/>
      <c r="H53" s="7"/>
      <c r="I53" s="106"/>
    </row>
    <row r="54" spans="1:9" x14ac:dyDescent="0.25">
      <c r="A54" s="7"/>
      <c r="B54" s="105"/>
      <c r="C54" s="9" t="s">
        <v>74</v>
      </c>
      <c r="D54" s="11" t="s">
        <v>87</v>
      </c>
      <c r="E54" s="10"/>
      <c r="F54" s="7"/>
      <c r="G54" s="7"/>
      <c r="H54" s="7"/>
      <c r="I54" s="106"/>
    </row>
    <row r="55" spans="1:9" x14ac:dyDescent="0.25">
      <c r="A55" s="7"/>
      <c r="B55" s="105" t="s">
        <v>88</v>
      </c>
      <c r="C55" s="8"/>
      <c r="D55" s="7"/>
      <c r="E55" s="7"/>
      <c r="F55" s="7"/>
      <c r="G55" s="7"/>
      <c r="H55" s="7"/>
      <c r="I55" s="106"/>
    </row>
    <row r="56" spans="1:9" x14ac:dyDescent="0.25">
      <c r="A56" s="7"/>
      <c r="B56" s="105"/>
      <c r="C56" s="9" t="s">
        <v>74</v>
      </c>
      <c r="D56" s="140" t="s">
        <v>89</v>
      </c>
      <c r="E56" s="10"/>
      <c r="F56" s="7"/>
      <c r="G56" s="7"/>
      <c r="H56" s="7"/>
      <c r="I56" s="106"/>
    </row>
    <row r="57" spans="1:9" x14ac:dyDescent="0.25">
      <c r="A57" s="7"/>
      <c r="B57" s="105" t="s">
        <v>90</v>
      </c>
      <c r="C57" s="8"/>
      <c r="D57" s="7"/>
      <c r="E57" s="7"/>
      <c r="F57" s="7"/>
      <c r="G57" s="7"/>
      <c r="H57" s="7"/>
      <c r="I57" s="106"/>
    </row>
    <row r="58" spans="1:9" x14ac:dyDescent="0.25">
      <c r="A58" s="7"/>
      <c r="B58" s="105"/>
      <c r="C58" s="9" t="s">
        <v>74</v>
      </c>
      <c r="D58" s="140" t="s">
        <v>91</v>
      </c>
      <c r="E58" s="10"/>
      <c r="F58" s="7"/>
      <c r="G58" s="7"/>
      <c r="H58" s="7"/>
      <c r="I58" s="106"/>
    </row>
    <row r="59" spans="1:9" x14ac:dyDescent="0.25">
      <c r="A59" s="7"/>
      <c r="B59" s="105" t="s">
        <v>92</v>
      </c>
      <c r="C59" s="8"/>
      <c r="D59" s="7"/>
      <c r="E59" s="7"/>
      <c r="F59" s="7"/>
      <c r="G59" s="7"/>
      <c r="H59" s="7"/>
      <c r="I59" s="106"/>
    </row>
    <row r="60" spans="1:9" x14ac:dyDescent="0.25">
      <c r="A60" s="7"/>
      <c r="B60" s="105"/>
      <c r="C60" s="9" t="s">
        <v>74</v>
      </c>
      <c r="D60" s="140" t="s">
        <v>93</v>
      </c>
      <c r="E60" s="10"/>
      <c r="F60" s="7"/>
      <c r="G60" s="7"/>
      <c r="H60" s="7"/>
      <c r="I60" s="106"/>
    </row>
    <row r="61" spans="1:9" x14ac:dyDescent="0.25">
      <c r="A61" s="7"/>
      <c r="B61" s="105" t="s">
        <v>94</v>
      </c>
      <c r="C61" s="8"/>
      <c r="D61" s="7"/>
      <c r="E61" s="7"/>
      <c r="F61" s="7"/>
      <c r="G61" s="7"/>
      <c r="H61" s="7"/>
      <c r="I61" s="106"/>
    </row>
    <row r="62" spans="1:9" x14ac:dyDescent="0.25">
      <c r="A62" s="7"/>
      <c r="B62" s="105"/>
      <c r="C62" s="9" t="s">
        <v>74</v>
      </c>
      <c r="D62" s="140" t="s">
        <v>95</v>
      </c>
      <c r="E62" s="10"/>
      <c r="F62" s="7"/>
      <c r="G62" s="7"/>
      <c r="H62" s="7"/>
      <c r="I62" s="106"/>
    </row>
    <row r="63" spans="1:9" x14ac:dyDescent="0.25">
      <c r="A63" s="7"/>
      <c r="B63" s="105" t="s">
        <v>96</v>
      </c>
      <c r="C63" s="8"/>
      <c r="D63" s="7"/>
      <c r="E63" s="7"/>
      <c r="F63" s="7"/>
      <c r="G63" s="7"/>
      <c r="H63" s="7"/>
      <c r="I63" s="106"/>
    </row>
    <row r="64" spans="1:9" x14ac:dyDescent="0.25">
      <c r="A64" s="7"/>
      <c r="B64" s="105"/>
      <c r="C64" s="9" t="s">
        <v>74</v>
      </c>
      <c r="D64" s="140" t="s">
        <v>97</v>
      </c>
      <c r="E64" s="10"/>
      <c r="F64" s="7"/>
      <c r="G64" s="7"/>
      <c r="H64" s="7"/>
      <c r="I64" s="106"/>
    </row>
    <row r="65" spans="1:9" x14ac:dyDescent="0.25">
      <c r="A65" s="7"/>
      <c r="B65" s="105" t="s">
        <v>98</v>
      </c>
      <c r="C65" s="8"/>
      <c r="D65" s="7"/>
      <c r="E65" s="7"/>
      <c r="F65" s="7"/>
      <c r="G65" s="7"/>
      <c r="H65" s="7"/>
      <c r="I65" s="106"/>
    </row>
    <row r="66" spans="1:9" x14ac:dyDescent="0.25">
      <c r="A66" s="7"/>
      <c r="B66" s="105"/>
      <c r="C66" s="9" t="s">
        <v>74</v>
      </c>
      <c r="D66" s="140" t="s">
        <v>99</v>
      </c>
      <c r="E66" s="10"/>
      <c r="F66" s="7"/>
      <c r="G66" s="7"/>
      <c r="H66" s="7"/>
      <c r="I66" s="106"/>
    </row>
    <row r="67" spans="1:9" x14ac:dyDescent="0.25">
      <c r="A67" s="7"/>
      <c r="B67" s="105" t="s">
        <v>100</v>
      </c>
      <c r="C67" s="8"/>
      <c r="D67" s="7"/>
      <c r="E67" s="7"/>
      <c r="F67" s="7"/>
      <c r="G67" s="7"/>
      <c r="H67" s="7"/>
      <c r="I67" s="106"/>
    </row>
    <row r="68" spans="1:9" x14ac:dyDescent="0.25">
      <c r="A68" s="7"/>
      <c r="B68" s="105"/>
      <c r="C68" s="9" t="s">
        <v>74</v>
      </c>
      <c r="D68" s="140" t="s">
        <v>101</v>
      </c>
      <c r="E68" s="10"/>
      <c r="F68" s="7"/>
      <c r="G68" s="7"/>
      <c r="H68" s="7"/>
      <c r="I68" s="106"/>
    </row>
    <row r="69" spans="1:9" x14ac:dyDescent="0.25">
      <c r="A69" s="7"/>
      <c r="B69" s="105" t="s">
        <v>102</v>
      </c>
      <c r="C69" s="8"/>
      <c r="D69" s="7"/>
      <c r="E69" s="7"/>
      <c r="F69" s="7"/>
      <c r="G69" s="7"/>
      <c r="H69" s="7"/>
      <c r="I69" s="106"/>
    </row>
    <row r="70" spans="1:9" x14ac:dyDescent="0.25">
      <c r="A70" s="7"/>
      <c r="B70" s="105"/>
      <c r="C70" s="9" t="s">
        <v>74</v>
      </c>
      <c r="D70" s="140" t="s">
        <v>103</v>
      </c>
      <c r="E70" s="10"/>
      <c r="F70" s="7"/>
      <c r="G70" s="7"/>
      <c r="H70" s="7"/>
      <c r="I70" s="106"/>
    </row>
    <row r="71" spans="1:9" x14ac:dyDescent="0.25">
      <c r="A71" s="7"/>
      <c r="B71" s="105" t="s">
        <v>104</v>
      </c>
      <c r="C71" s="8"/>
      <c r="D71" s="7"/>
      <c r="E71" s="7"/>
      <c r="F71" s="7"/>
      <c r="G71" s="7"/>
      <c r="H71" s="7"/>
      <c r="I71" s="106"/>
    </row>
    <row r="72" spans="1:9" x14ac:dyDescent="0.25">
      <c r="A72" s="7"/>
      <c r="B72" s="105"/>
      <c r="C72" s="9" t="s">
        <v>74</v>
      </c>
      <c r="D72" s="140" t="s">
        <v>105</v>
      </c>
      <c r="E72" s="10"/>
      <c r="F72" s="7"/>
      <c r="G72" s="7"/>
      <c r="H72" s="7"/>
      <c r="I72" s="106"/>
    </row>
    <row r="73" spans="1:9" x14ac:dyDescent="0.25">
      <c r="A73" s="7"/>
      <c r="B73" s="105" t="s">
        <v>106</v>
      </c>
      <c r="C73" s="9"/>
      <c r="D73" s="113"/>
      <c r="E73" s="10"/>
      <c r="F73" s="7"/>
      <c r="G73" s="7"/>
      <c r="H73" s="7"/>
      <c r="I73" s="106"/>
    </row>
    <row r="74" spans="1:9" x14ac:dyDescent="0.25">
      <c r="A74" s="7"/>
      <c r="B74" s="105"/>
      <c r="C74" s="9" t="s">
        <v>74</v>
      </c>
      <c r="D74" s="113" t="s">
        <v>107</v>
      </c>
      <c r="E74" s="10"/>
      <c r="F74" s="7"/>
      <c r="G74" s="7"/>
      <c r="H74" s="7"/>
      <c r="I74" s="106"/>
    </row>
    <row r="75" spans="1:9" x14ac:dyDescent="0.25">
      <c r="A75" s="7"/>
      <c r="B75" s="105" t="s">
        <v>108</v>
      </c>
      <c r="C75" s="9"/>
      <c r="D75" s="113"/>
      <c r="E75" s="10"/>
      <c r="F75" s="7"/>
      <c r="G75" s="7"/>
      <c r="H75" s="7"/>
      <c r="I75" s="106"/>
    </row>
    <row r="76" spans="1:9" x14ac:dyDescent="0.25">
      <c r="A76" s="7"/>
      <c r="B76" s="105"/>
      <c r="C76" s="9" t="s">
        <v>74</v>
      </c>
      <c r="D76" s="113" t="s">
        <v>109</v>
      </c>
      <c r="E76" s="10"/>
      <c r="F76" s="7"/>
      <c r="G76" s="7"/>
      <c r="H76" s="7"/>
      <c r="I76" s="106"/>
    </row>
    <row r="77" spans="1:9" x14ac:dyDescent="0.25">
      <c r="A77" s="7"/>
      <c r="B77" s="105" t="s">
        <v>110</v>
      </c>
      <c r="C77" s="9"/>
      <c r="D77" s="113"/>
      <c r="E77" s="10"/>
      <c r="F77" s="7"/>
      <c r="G77" s="7"/>
      <c r="H77" s="7"/>
      <c r="I77" s="106"/>
    </row>
    <row r="78" spans="1:9" x14ac:dyDescent="0.25">
      <c r="A78" s="7"/>
      <c r="B78" s="105"/>
      <c r="C78" s="9" t="s">
        <v>74</v>
      </c>
      <c r="D78" s="113" t="s">
        <v>111</v>
      </c>
      <c r="E78" s="10"/>
      <c r="F78" s="7"/>
      <c r="G78" s="7"/>
      <c r="H78" s="7"/>
      <c r="I78" s="106"/>
    </row>
    <row r="79" spans="1:9" x14ac:dyDescent="0.25">
      <c r="A79" s="7"/>
      <c r="B79" s="105" t="s">
        <v>112</v>
      </c>
      <c r="C79" s="9"/>
      <c r="D79" s="113"/>
      <c r="E79" s="10"/>
      <c r="F79" s="7"/>
      <c r="G79" s="7"/>
      <c r="H79" s="7"/>
      <c r="I79" s="106"/>
    </row>
    <row r="80" spans="1:9" x14ac:dyDescent="0.25">
      <c r="A80" s="7"/>
      <c r="B80" s="105"/>
      <c r="C80" s="9" t="s">
        <v>74</v>
      </c>
      <c r="D80" s="113" t="s">
        <v>113</v>
      </c>
      <c r="E80" s="10"/>
      <c r="F80" s="7"/>
      <c r="G80" s="7"/>
      <c r="H80" s="7"/>
      <c r="I80" s="106"/>
    </row>
    <row r="81" spans="1:9" x14ac:dyDescent="0.25">
      <c r="A81" s="7"/>
      <c r="B81" s="105" t="s">
        <v>114</v>
      </c>
      <c r="C81" s="9"/>
      <c r="D81" s="113"/>
      <c r="E81" s="10"/>
      <c r="F81" s="7"/>
      <c r="G81" s="7"/>
      <c r="H81" s="7"/>
      <c r="I81" s="106"/>
    </row>
    <row r="82" spans="1:9" ht="31.5" customHeight="1" x14ac:dyDescent="0.25">
      <c r="A82" s="7"/>
      <c r="B82" s="105"/>
      <c r="C82" s="9" t="s">
        <v>74</v>
      </c>
      <c r="D82" s="149" t="s">
        <v>115</v>
      </c>
      <c r="E82" s="149"/>
      <c r="F82" s="149"/>
      <c r="G82" s="149"/>
      <c r="H82" s="149"/>
      <c r="I82" s="106"/>
    </row>
    <row r="83" spans="1:9" x14ac:dyDescent="0.25">
      <c r="A83" s="7"/>
      <c r="B83" s="105" t="s">
        <v>116</v>
      </c>
      <c r="C83" s="9"/>
      <c r="D83" s="113"/>
      <c r="E83" s="10"/>
      <c r="F83" s="7"/>
      <c r="G83" s="7"/>
      <c r="H83" s="7"/>
      <c r="I83" s="106"/>
    </row>
    <row r="84" spans="1:9" x14ac:dyDescent="0.25">
      <c r="A84" s="7"/>
      <c r="B84" s="105"/>
      <c r="C84" s="9" t="s">
        <v>74</v>
      </c>
      <c r="D84" s="113" t="s">
        <v>117</v>
      </c>
      <c r="E84" s="10"/>
      <c r="F84" s="7"/>
      <c r="G84" s="7"/>
      <c r="H84" s="7"/>
      <c r="I84" s="106"/>
    </row>
    <row r="85" spans="1:9" x14ac:dyDescent="0.25">
      <c r="A85" s="7"/>
      <c r="B85" s="105" t="s">
        <v>118</v>
      </c>
      <c r="C85" s="9"/>
      <c r="D85" s="113"/>
      <c r="E85" s="10"/>
      <c r="F85" s="7"/>
      <c r="G85" s="7"/>
      <c r="H85" s="7"/>
      <c r="I85" s="106"/>
    </row>
    <row r="86" spans="1:9" ht="21.75" customHeight="1" x14ac:dyDescent="0.25">
      <c r="A86" s="7"/>
      <c r="B86" s="105"/>
      <c r="C86" s="9" t="s">
        <v>74</v>
      </c>
      <c r="D86" s="113" t="s">
        <v>119</v>
      </c>
      <c r="E86" s="10"/>
      <c r="F86" s="7"/>
      <c r="G86" s="7"/>
      <c r="H86" s="7"/>
      <c r="I86" s="106"/>
    </row>
    <row r="87" spans="1:9" ht="9.75" customHeight="1" x14ac:dyDescent="0.25">
      <c r="A87" s="7"/>
      <c r="B87" s="105" t="s">
        <v>120</v>
      </c>
      <c r="C87" s="9"/>
      <c r="D87" s="113"/>
      <c r="E87" s="10"/>
      <c r="F87" s="7"/>
      <c r="G87" s="7"/>
      <c r="H87" s="7"/>
      <c r="I87" s="106"/>
    </row>
    <row r="88" spans="1:9" ht="45.75" customHeight="1" x14ac:dyDescent="0.25">
      <c r="A88" s="7"/>
      <c r="B88" s="105"/>
      <c r="C88" s="9" t="s">
        <v>74</v>
      </c>
      <c r="D88" s="146" t="s">
        <v>121</v>
      </c>
      <c r="E88" s="146"/>
      <c r="F88" s="146"/>
      <c r="G88" s="146"/>
      <c r="H88" s="146"/>
      <c r="I88" s="147"/>
    </row>
    <row r="89" spans="1:9" x14ac:dyDescent="0.25">
      <c r="A89" s="7"/>
      <c r="B89" s="105" t="s">
        <v>122</v>
      </c>
      <c r="C89" s="9"/>
      <c r="D89" s="113"/>
      <c r="E89" s="10"/>
      <c r="F89" s="7"/>
      <c r="G89" s="7"/>
      <c r="H89" s="7"/>
      <c r="I89" s="106"/>
    </row>
    <row r="90" spans="1:9" x14ac:dyDescent="0.25">
      <c r="A90" s="7"/>
      <c r="B90" s="105"/>
      <c r="C90" s="9" t="s">
        <v>74</v>
      </c>
      <c r="D90" s="113" t="s">
        <v>123</v>
      </c>
      <c r="E90" s="10"/>
      <c r="F90" s="7"/>
      <c r="G90" s="7"/>
      <c r="H90" s="7"/>
      <c r="I90" s="106"/>
    </row>
    <row r="91" spans="1:9" x14ac:dyDescent="0.25">
      <c r="A91" s="7"/>
      <c r="B91" s="105" t="s">
        <v>124</v>
      </c>
      <c r="C91" s="9"/>
      <c r="D91" s="113"/>
      <c r="E91" s="10"/>
      <c r="F91" s="7"/>
      <c r="G91" s="7"/>
      <c r="H91" s="7"/>
      <c r="I91" s="106"/>
    </row>
    <row r="92" spans="1:9" x14ac:dyDescent="0.25">
      <c r="A92" s="7"/>
      <c r="B92" s="105"/>
      <c r="C92" s="9" t="s">
        <v>74</v>
      </c>
      <c r="D92" s="140" t="s">
        <v>125</v>
      </c>
      <c r="E92" s="10"/>
      <c r="F92" s="7"/>
      <c r="G92" s="7"/>
      <c r="H92" s="7"/>
      <c r="I92" s="106"/>
    </row>
    <row r="93" spans="1:9" x14ac:dyDescent="0.25">
      <c r="A93" s="7"/>
      <c r="B93" s="105" t="s">
        <v>126</v>
      </c>
      <c r="C93" s="9"/>
      <c r="D93" s="140"/>
      <c r="E93" s="10"/>
      <c r="F93" s="7"/>
      <c r="G93" s="7"/>
      <c r="H93" s="7"/>
      <c r="I93" s="106"/>
    </row>
    <row r="94" spans="1:9" x14ac:dyDescent="0.25">
      <c r="A94" s="7"/>
      <c r="B94" s="105"/>
      <c r="C94" s="9" t="s">
        <v>74</v>
      </c>
      <c r="D94" s="148" t="s">
        <v>127</v>
      </c>
      <c r="E94" s="148"/>
      <c r="F94" s="7"/>
      <c r="G94" s="7"/>
      <c r="H94" s="7"/>
      <c r="I94" s="106"/>
    </row>
    <row r="95" spans="1:9" x14ac:dyDescent="0.25">
      <c r="A95" s="7"/>
      <c r="B95" s="105" t="s">
        <v>128</v>
      </c>
      <c r="C95" s="9"/>
      <c r="D95" s="140"/>
      <c r="E95" s="10"/>
      <c r="F95" s="7"/>
      <c r="G95" s="7"/>
      <c r="H95" s="7"/>
      <c r="I95" s="106"/>
    </row>
    <row r="96" spans="1:9" x14ac:dyDescent="0.25">
      <c r="A96" s="7"/>
      <c r="B96" s="105"/>
      <c r="C96" s="9" t="s">
        <v>74</v>
      </c>
      <c r="D96" s="140" t="s">
        <v>129</v>
      </c>
      <c r="E96" s="10"/>
      <c r="F96" s="7"/>
      <c r="G96" s="7"/>
      <c r="H96" s="7"/>
      <c r="I96" s="106"/>
    </row>
    <row r="97" spans="1:9" ht="21.75" customHeight="1" x14ac:dyDescent="0.25">
      <c r="A97" s="7"/>
      <c r="B97" s="107" t="s">
        <v>130</v>
      </c>
      <c r="C97" s="8"/>
      <c r="D97" s="7"/>
      <c r="E97" s="12"/>
      <c r="F97" s="7"/>
      <c r="G97" s="7"/>
      <c r="H97" s="7"/>
      <c r="I97" s="106"/>
    </row>
    <row r="98" spans="1:9" ht="116.25" customHeight="1" x14ac:dyDescent="0.25">
      <c r="A98" s="7"/>
      <c r="B98" s="105"/>
      <c r="C98" s="141" t="s">
        <v>131</v>
      </c>
      <c r="D98" s="141"/>
      <c r="E98" s="141"/>
      <c r="F98" s="7"/>
      <c r="G98" s="7"/>
      <c r="H98" s="7"/>
      <c r="I98" s="106"/>
    </row>
    <row r="99" spans="1:9" x14ac:dyDescent="0.25">
      <c r="A99" s="7"/>
      <c r="B99" s="108" t="s">
        <v>132</v>
      </c>
      <c r="C99" s="8"/>
      <c r="D99" s="7"/>
      <c r="E99" s="12"/>
      <c r="F99" s="7"/>
      <c r="G99" s="7"/>
      <c r="H99" s="7"/>
      <c r="I99" s="106"/>
    </row>
    <row r="100" spans="1:9" x14ac:dyDescent="0.25">
      <c r="A100" s="7"/>
      <c r="B100" s="105"/>
      <c r="C100" s="141" t="s">
        <v>133</v>
      </c>
      <c r="D100" s="141"/>
      <c r="E100" s="141"/>
      <c r="F100" s="7"/>
      <c r="G100" s="7"/>
      <c r="H100" s="7"/>
      <c r="I100" s="106"/>
    </row>
    <row r="101" spans="1:9" x14ac:dyDescent="0.25">
      <c r="A101" s="7"/>
      <c r="B101" s="108" t="s">
        <v>134</v>
      </c>
      <c r="C101" s="139"/>
      <c r="D101" s="13"/>
      <c r="E101" s="13"/>
      <c r="F101" s="7"/>
      <c r="G101" s="7"/>
      <c r="H101" s="7"/>
      <c r="I101" s="106"/>
    </row>
    <row r="102" spans="1:9" x14ac:dyDescent="0.25">
      <c r="A102" s="7"/>
      <c r="B102" s="105"/>
      <c r="C102" s="142" t="s">
        <v>135</v>
      </c>
      <c r="D102" s="142"/>
      <c r="E102" s="142"/>
      <c r="F102" s="7"/>
      <c r="G102" s="7"/>
      <c r="H102" s="7"/>
      <c r="I102" s="106"/>
    </row>
    <row r="103" spans="1:9" x14ac:dyDescent="0.25">
      <c r="A103" s="7"/>
      <c r="B103" s="108" t="s">
        <v>136</v>
      </c>
      <c r="C103" s="8"/>
      <c r="D103" s="7"/>
      <c r="E103" s="7"/>
      <c r="F103" s="7"/>
      <c r="G103" s="7"/>
      <c r="H103" s="7"/>
      <c r="I103" s="106"/>
    </row>
    <row r="104" spans="1:9" ht="14.25" thickBot="1" x14ac:dyDescent="0.3">
      <c r="A104" s="7"/>
      <c r="B104" s="109"/>
      <c r="C104" s="110" t="s">
        <v>137</v>
      </c>
      <c r="D104" s="111"/>
      <c r="E104" s="111"/>
      <c r="F104" s="111"/>
      <c r="G104" s="111"/>
      <c r="H104" s="111"/>
      <c r="I104" s="112"/>
    </row>
  </sheetData>
  <mergeCells count="14">
    <mergeCell ref="C98:E98"/>
    <mergeCell ref="C100:E100"/>
    <mergeCell ref="C102:E102"/>
    <mergeCell ref="B2:H2"/>
    <mergeCell ref="A4:B4"/>
    <mergeCell ref="C4:E4"/>
    <mergeCell ref="A5:B5"/>
    <mergeCell ref="C5:E5"/>
    <mergeCell ref="A6:B6"/>
    <mergeCell ref="A7:B7"/>
    <mergeCell ref="D88:I88"/>
    <mergeCell ref="D94:E94"/>
    <mergeCell ref="D42:F42"/>
    <mergeCell ref="D82:H82"/>
  </mergeCells>
  <pageMargins left="0.7" right="0.7" top="0.75" bottom="0.75" header="0.51180555555555496" footer="0.51180555555555496"/>
  <pageSetup paperSize="190" scale="69" firstPageNumber="0" fitToHeight="0" orientation="landscape" verticalDpi="300" r:id="rId1"/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 x14ac:dyDescent="0.25"/>
  <cols>
    <col min="1" max="1" width="5.5703125" style="31" customWidth="1"/>
    <col min="2" max="2" width="15.140625" style="31" customWidth="1"/>
    <col min="3" max="3" width="14.140625" style="31" customWidth="1"/>
    <col min="4" max="4" width="26" style="31" customWidth="1"/>
    <col min="5" max="5" width="8" style="31" customWidth="1"/>
    <col min="6" max="6" width="7.85546875" style="31" customWidth="1"/>
    <col min="7" max="7" width="45.7109375" style="31" customWidth="1"/>
    <col min="8" max="8" width="9.28515625" style="31" customWidth="1"/>
    <col min="9" max="9" width="15.5703125" style="31" customWidth="1"/>
    <col min="10" max="10" width="14.7109375" style="31" customWidth="1"/>
    <col min="11" max="11" width="15.5703125" style="31" customWidth="1"/>
    <col min="12" max="14" width="5.85546875" style="31" customWidth="1"/>
    <col min="15" max="15" width="12.5703125" style="31" customWidth="1"/>
    <col min="16" max="1024" width="9.140625" style="31"/>
    <col min="1025" max="16384" width="9.140625" style="1"/>
  </cols>
  <sheetData>
    <row r="1" spans="1:11" ht="18" customHeight="1" x14ac:dyDescent="0.25">
      <c r="A1" s="165" t="s">
        <v>138</v>
      </c>
      <c r="B1" s="165"/>
      <c r="C1" s="165"/>
      <c r="D1" s="165"/>
      <c r="E1" s="165"/>
      <c r="F1" s="165"/>
      <c r="G1" s="165"/>
      <c r="H1" s="165"/>
      <c r="I1" s="165"/>
      <c r="J1" s="30" t="s">
        <v>139</v>
      </c>
      <c r="K1" s="25" t="s">
        <v>140</v>
      </c>
    </row>
    <row r="2" spans="1:11" ht="18.75" customHeight="1" thickBot="1" x14ac:dyDescent="0.3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</row>
    <row r="3" spans="1:11" ht="18.75" customHeight="1" thickBot="1" x14ac:dyDescent="0.3">
      <c r="A3" s="166" t="s">
        <v>141</v>
      </c>
      <c r="B3" s="166"/>
      <c r="C3" s="166"/>
      <c r="D3" s="167" t="str">
        <f>'Necesidades Trimestrales'!C4</f>
        <v>90 - Ministerio de Seguridad</v>
      </c>
      <c r="E3" s="167"/>
      <c r="F3" s="167"/>
      <c r="G3" s="167"/>
      <c r="H3" s="167"/>
      <c r="I3" s="167"/>
      <c r="J3" s="167"/>
      <c r="K3" s="167"/>
    </row>
    <row r="4" spans="1:11" ht="18.75" customHeight="1" thickBot="1" x14ac:dyDescent="0.3">
      <c r="A4" s="168" t="s">
        <v>142</v>
      </c>
      <c r="B4" s="168"/>
      <c r="C4" s="168"/>
      <c r="D4" s="167" t="str">
        <f>'Necesidades Trimestrales'!C5</f>
        <v>7- Dirección Provincial de Administración de la Policía de la Provincia de Catamarca</v>
      </c>
      <c r="E4" s="167"/>
      <c r="F4" s="167"/>
      <c r="G4" s="167"/>
      <c r="H4" s="167"/>
      <c r="I4" s="167"/>
      <c r="J4" s="167"/>
      <c r="K4" s="167"/>
    </row>
    <row r="5" spans="1:11" ht="18.75" customHeight="1" thickBot="1" x14ac:dyDescent="0.3">
      <c r="A5" s="168" t="s">
        <v>143</v>
      </c>
      <c r="B5" s="168"/>
      <c r="C5" s="168"/>
      <c r="D5" s="167" t="s">
        <v>144</v>
      </c>
      <c r="E5" s="167"/>
      <c r="F5" s="167"/>
      <c r="G5" s="167"/>
      <c r="H5" s="167"/>
      <c r="I5" s="167"/>
      <c r="J5" s="167"/>
      <c r="K5" s="167"/>
    </row>
    <row r="6" spans="1:11" ht="16.5" customHeight="1" thickBot="1" x14ac:dyDescent="0.3">
      <c r="A6" s="166" t="s">
        <v>145</v>
      </c>
      <c r="B6" s="166"/>
      <c r="C6" s="166"/>
      <c r="D6" s="167" t="s">
        <v>146</v>
      </c>
      <c r="E6" s="167"/>
      <c r="F6" s="167"/>
      <c r="G6" s="167"/>
      <c r="H6" s="167"/>
      <c r="I6" s="167"/>
      <c r="J6" s="167"/>
      <c r="K6" s="167"/>
    </row>
    <row r="7" spans="1:11" ht="16.5" customHeight="1" x14ac:dyDescent="0.25">
      <c r="A7" s="168" t="s">
        <v>147</v>
      </c>
      <c r="B7" s="168"/>
      <c r="C7" s="168"/>
      <c r="D7" s="167" t="str">
        <f>'Necesidades Trimestrales'!C7 &amp; "° Trimestre - Año " &amp; 'Necesidades Trimestrales'!C6</f>
        <v>2° Trimestre - Año 2022</v>
      </c>
      <c r="E7" s="167"/>
      <c r="F7" s="167"/>
      <c r="G7" s="167"/>
      <c r="H7" s="167"/>
      <c r="I7" s="167"/>
      <c r="J7" s="167"/>
      <c r="K7" s="167"/>
    </row>
    <row r="8" spans="1:11" ht="16.5" customHeight="1" x14ac:dyDescent="0.25">
      <c r="A8" s="157" t="s">
        <v>148</v>
      </c>
      <c r="B8" s="157"/>
      <c r="C8" s="157"/>
      <c r="D8" s="158" t="s">
        <v>149</v>
      </c>
      <c r="E8" s="158"/>
      <c r="F8" s="158"/>
      <c r="G8" s="158"/>
      <c r="H8" s="158"/>
      <c r="I8" s="158"/>
      <c r="J8" s="158"/>
      <c r="K8" s="158"/>
    </row>
    <row r="9" spans="1:11" ht="17.25" x14ac:dyDescent="0.25">
      <c r="A9" s="34"/>
      <c r="B9" s="34"/>
      <c r="C9" s="34"/>
      <c r="D9" s="35"/>
      <c r="E9" s="35"/>
      <c r="F9" s="35"/>
      <c r="G9" s="35"/>
      <c r="H9" s="35"/>
      <c r="I9" s="35"/>
      <c r="J9" s="35"/>
      <c r="K9" s="35"/>
    </row>
    <row r="10" spans="1:11" ht="18.75" customHeight="1" thickBot="1" x14ac:dyDescent="0.3">
      <c r="A10" s="159" t="s">
        <v>150</v>
      </c>
      <c r="B10" s="161" t="s">
        <v>151</v>
      </c>
      <c r="C10" s="161" t="s">
        <v>152</v>
      </c>
      <c r="D10" s="161"/>
      <c r="E10" s="161"/>
      <c r="F10" s="161"/>
      <c r="G10" s="161"/>
      <c r="H10" s="161" t="s">
        <v>153</v>
      </c>
      <c r="I10" s="161" t="s">
        <v>154</v>
      </c>
      <c r="J10" s="161" t="s">
        <v>155</v>
      </c>
      <c r="K10" s="163" t="s">
        <v>156</v>
      </c>
    </row>
    <row r="11" spans="1:11" ht="24" customHeight="1" x14ac:dyDescent="0.25">
      <c r="A11" s="160"/>
      <c r="B11" s="162"/>
      <c r="C11" s="162"/>
      <c r="D11" s="162"/>
      <c r="E11" s="162"/>
      <c r="F11" s="162"/>
      <c r="G11" s="162"/>
      <c r="H11" s="162"/>
      <c r="I11" s="162"/>
      <c r="J11" s="162"/>
      <c r="K11" s="164"/>
    </row>
    <row r="12" spans="1:11" ht="20.25" customHeight="1" x14ac:dyDescent="0.25">
      <c r="A12" s="36">
        <v>1</v>
      </c>
      <c r="B12" s="26" t="str">
        <f>'Necesidades Trimestrales'!B10</f>
        <v xml:space="preserve">2.4.4-6818.744 </v>
      </c>
      <c r="C12" s="150" t="str">
        <f>'Necesidades Trimestrales'!E10</f>
        <v>NEUMATICOS; VEHICULO: CAMIONETA, CONSTRUCCION: RADIAL, ARMADO: S/CAMARA, MEDIDA: 235/70R16</v>
      </c>
      <c r="D12" s="150"/>
      <c r="E12" s="150"/>
      <c r="F12" s="150"/>
      <c r="G12" s="150"/>
      <c r="H12" s="27" t="s">
        <v>157</v>
      </c>
      <c r="I12" s="37" t="s">
        <v>20</v>
      </c>
      <c r="J12" s="38">
        <f>'Necesidades Trimestrales'!H10</f>
        <v>59020</v>
      </c>
      <c r="K12" s="39">
        <f>'Necesidades Trimestrales'!G10</f>
        <v>180</v>
      </c>
    </row>
    <row r="13" spans="1:11" ht="20.25" customHeight="1" x14ac:dyDescent="0.25">
      <c r="A13" s="36">
        <v>2</v>
      </c>
      <c r="B13" s="26" t="str">
        <f>'Necesidades Trimestrales'!B11</f>
        <v>2.4.4-6818.530</v>
      </c>
      <c r="C13" s="150" t="str">
        <f>'Necesidades Trimestrales'!E11</f>
        <v>NEUMATICOS; VEHICULO: CAMIONETA, CONSTRUCCION: RADIAL, ARMADO: S/CAMARA, MEDIDA: 245/70R16</v>
      </c>
      <c r="D13" s="150"/>
      <c r="E13" s="150"/>
      <c r="F13" s="150"/>
      <c r="G13" s="150"/>
      <c r="H13" s="27" t="s">
        <v>157</v>
      </c>
      <c r="I13" s="37" t="s">
        <v>20</v>
      </c>
      <c r="J13" s="38">
        <f>'Necesidades Trimestrales'!H11</f>
        <v>56550</v>
      </c>
      <c r="K13" s="39">
        <f>'Necesidades Trimestrales'!G11</f>
        <v>30</v>
      </c>
    </row>
    <row r="14" spans="1:11" ht="20.25" customHeight="1" x14ac:dyDescent="0.25">
      <c r="A14" s="36">
        <v>3</v>
      </c>
      <c r="B14" s="26" t="str">
        <f>'Necesidades Trimestrales'!B12</f>
        <v>2.4.4-6818.244</v>
      </c>
      <c r="C14" s="150" t="str">
        <f>'Necesidades Trimestrales'!E12</f>
        <v>NEUMATICOS; VEHICULO: AUTOMOVIL, CONSTRUCCION: RADIAL, ARMADO: S/CAMARA, MEDIDA: 205/55R16</v>
      </c>
      <c r="D14" s="150"/>
      <c r="E14" s="150"/>
      <c r="F14" s="150"/>
      <c r="G14" s="150"/>
      <c r="H14" s="27" t="s">
        <v>157</v>
      </c>
      <c r="I14" s="37" t="s">
        <v>20</v>
      </c>
      <c r="J14" s="38">
        <f>'Necesidades Trimestrales'!H12</f>
        <v>49000</v>
      </c>
      <c r="K14" s="39">
        <f>'Necesidades Trimestrales'!G12</f>
        <v>2</v>
      </c>
    </row>
    <row r="15" spans="1:11" ht="32.25" customHeight="1" x14ac:dyDescent="0.25">
      <c r="A15" s="36">
        <v>4</v>
      </c>
      <c r="B15" s="26" t="str">
        <f>'Necesidades Trimestrales'!B13</f>
        <v>2.4.4-6818.97</v>
      </c>
      <c r="C15" s="150" t="str">
        <f>'Necesidades Trimestrales'!E13</f>
        <v>NEUMATICOS; VEHICULO: AUTOMOVIL, ARMADO: S/CAMARA, MEDIDA: 175/70R14, CONSTRUCCION: RADIAL</v>
      </c>
      <c r="D15" s="150"/>
      <c r="E15" s="150"/>
      <c r="F15" s="150"/>
      <c r="G15" s="150"/>
      <c r="H15" s="27" t="s">
        <v>157</v>
      </c>
      <c r="I15" s="37" t="s">
        <v>20</v>
      </c>
      <c r="J15" s="38">
        <f>'Necesidades Trimestrales'!H13</f>
        <v>28500</v>
      </c>
      <c r="K15" s="40">
        <f>'Necesidades Trimestrales'!G13</f>
        <v>6</v>
      </c>
    </row>
    <row r="16" spans="1:11" ht="19.5" customHeight="1" x14ac:dyDescent="0.25">
      <c r="A16" s="36">
        <v>5</v>
      </c>
      <c r="B16" s="26" t="str">
        <f>'Necesidades Trimestrales'!B14</f>
        <v>2.4.4-6818.97</v>
      </c>
      <c r="C16" s="150" t="str">
        <f>'Necesidades Trimestrales'!E14</f>
        <v>NEUMATICOS; VEHICULO: AUTOMOVIL, ARMADO: S/CAMARA, MEDIDA: 175/70R14, CONSTRUCCION: RADIAL</v>
      </c>
      <c r="D16" s="150"/>
      <c r="E16" s="150"/>
      <c r="F16" s="150"/>
      <c r="G16" s="150"/>
      <c r="H16" s="27" t="s">
        <v>157</v>
      </c>
      <c r="I16" s="37" t="s">
        <v>20</v>
      </c>
      <c r="J16" s="38">
        <f>'Necesidades Trimestrales'!H14</f>
        <v>28500</v>
      </c>
      <c r="K16" s="40">
        <f>'Necesidades Trimestrales'!G14</f>
        <v>2</v>
      </c>
    </row>
    <row r="17" spans="1:11" ht="32.25" customHeight="1" x14ac:dyDescent="0.25">
      <c r="A17" s="36">
        <v>6</v>
      </c>
      <c r="B17" s="26" t="str">
        <f>'Necesidades Trimestrales'!B15</f>
        <v>2.4.4-6818.77</v>
      </c>
      <c r="C17" s="150" t="str">
        <f>'Necesidades Trimestrales'!E15</f>
        <v>NEUMATICOS; VEHICULO: AUTOMOVIL, ARMADO: C/CAMARA, MEDIDA: 175/70R13, CONSTRUCCION: CONVENCIONAL</v>
      </c>
      <c r="D17" s="150"/>
      <c r="E17" s="150"/>
      <c r="F17" s="150"/>
      <c r="G17" s="150"/>
      <c r="H17" s="27" t="s">
        <v>157</v>
      </c>
      <c r="I17" s="37" t="s">
        <v>20</v>
      </c>
      <c r="J17" s="38">
        <f>'Necesidades Trimestrales'!H15</f>
        <v>21190</v>
      </c>
      <c r="K17" s="39">
        <f>'Necesidades Trimestrales'!G15</f>
        <v>2</v>
      </c>
    </row>
    <row r="18" spans="1:11" ht="32.25" customHeight="1" x14ac:dyDescent="0.25">
      <c r="A18" s="36">
        <v>7</v>
      </c>
      <c r="B18" s="26" t="str">
        <f>'Necesidades Trimestrales'!B16</f>
        <v>2.4.4-6818.89</v>
      </c>
      <c r="C18" s="150" t="str">
        <f>'Necesidades Trimestrales'!E16</f>
        <v>NEUMATICOS; VEHICULO: AUTOMOVIL, CONSTRUCCION: CONVENCIONAL, ARMADO: C/CAMARA, MEDIDA: 185/60R14</v>
      </c>
      <c r="D18" s="150"/>
      <c r="E18" s="150"/>
      <c r="F18" s="150"/>
      <c r="G18" s="150"/>
      <c r="H18" s="27" t="s">
        <v>157</v>
      </c>
      <c r="I18" s="37" t="s">
        <v>20</v>
      </c>
      <c r="J18" s="38">
        <f>'Necesidades Trimestrales'!H16</f>
        <v>29100</v>
      </c>
      <c r="K18" s="39">
        <f>'Necesidades Trimestrales'!G16</f>
        <v>10</v>
      </c>
    </row>
    <row r="19" spans="1:11" ht="20.25" customHeight="1" x14ac:dyDescent="0.25">
      <c r="A19" s="36">
        <v>8</v>
      </c>
      <c r="B19" s="26" t="e">
        <f>'Necesidades Trimestrales'!#REF!</f>
        <v>#REF!</v>
      </c>
      <c r="C19" s="150" t="e">
        <f>'Necesidades Trimestrales'!#REF!</f>
        <v>#REF!</v>
      </c>
      <c r="D19" s="150"/>
      <c r="E19" s="150"/>
      <c r="F19" s="150"/>
      <c r="G19" s="150"/>
      <c r="H19" s="27" t="s">
        <v>157</v>
      </c>
      <c r="I19" s="37" t="s">
        <v>20</v>
      </c>
      <c r="J19" s="38" t="e">
        <f>'Necesidades Trimestrales'!#REF!</f>
        <v>#REF!</v>
      </c>
      <c r="K19" s="39" t="e">
        <f>'Necesidades Trimestrales'!#REF!</f>
        <v>#REF!</v>
      </c>
    </row>
    <row r="20" spans="1:11" ht="20.25" customHeight="1" x14ac:dyDescent="0.25">
      <c r="A20" s="36">
        <v>9</v>
      </c>
      <c r="B20" s="26" t="str">
        <f>'Necesidades Trimestrales'!B17</f>
        <v>2.4.4-6818.891</v>
      </c>
      <c r="C20" s="150" t="str">
        <f>'Necesidades Trimestrales'!E17</f>
        <v>NEUMATICOS; VEHICULO: MINIBUS, CONSTRUCCION: RADIAL, ARMADO: SIN CAMARA, MEDIDA: 195/75R16</v>
      </c>
      <c r="D20" s="150"/>
      <c r="E20" s="150"/>
      <c r="F20" s="150"/>
      <c r="G20" s="150"/>
      <c r="H20" s="27" t="s">
        <v>157</v>
      </c>
      <c r="I20" s="37" t="s">
        <v>20</v>
      </c>
      <c r="J20" s="38">
        <f>'Necesidades Trimestrales'!H17</f>
        <v>54600</v>
      </c>
      <c r="K20" s="39">
        <f>'Necesidades Trimestrales'!G17</f>
        <v>6</v>
      </c>
    </row>
    <row r="21" spans="1:11" ht="20.25" customHeight="1" x14ac:dyDescent="0.25">
      <c r="A21" s="36">
        <v>10</v>
      </c>
      <c r="B21" s="26" t="str">
        <f>'Necesidades Trimestrales'!B18</f>
        <v>2.4.4-6818.810</v>
      </c>
      <c r="C21" s="150" t="str">
        <f>'Necesidades Trimestrales'!E18</f>
        <v>NEUMATICOS; VEHICULO: MINIBUS, CONSTRUCCION: RADIAL, ARMADO: S/CAMARA, MEDIDA: 225/75R16</v>
      </c>
      <c r="D21" s="150"/>
      <c r="E21" s="150"/>
      <c r="F21" s="150"/>
      <c r="G21" s="150"/>
      <c r="H21" s="27" t="s">
        <v>157</v>
      </c>
      <c r="I21" s="37" t="s">
        <v>20</v>
      </c>
      <c r="J21" s="38">
        <f>'Necesidades Trimestrales'!H18</f>
        <v>64090</v>
      </c>
      <c r="K21" s="39">
        <f>'Necesidades Trimestrales'!G18</f>
        <v>10</v>
      </c>
    </row>
    <row r="22" spans="1:11" ht="20.25" customHeight="1" x14ac:dyDescent="0.25">
      <c r="A22" s="36">
        <v>11</v>
      </c>
      <c r="B22" s="26" t="str">
        <f>'Necesidades Trimestrales'!B19</f>
        <v>2.4.4-6818.989</v>
      </c>
      <c r="C22" s="150" t="str">
        <f>'Necesidades Trimestrales'!E19</f>
        <v xml:space="preserve">NEUMATICOS; VEHICULO: CAMIONETA, CONSTRUCCION: RADIAL, ARMADO: S/CAMARA, MEDIDA: 225/70 R17 </v>
      </c>
      <c r="D22" s="150"/>
      <c r="E22" s="150"/>
      <c r="F22" s="150"/>
      <c r="G22" s="150"/>
      <c r="H22" s="27" t="s">
        <v>157</v>
      </c>
      <c r="I22" s="37" t="s">
        <v>20</v>
      </c>
      <c r="J22" s="38">
        <f>'Necesidades Trimestrales'!H19</f>
        <v>91455</v>
      </c>
      <c r="K22" s="39">
        <f>'Necesidades Trimestrales'!G19</f>
        <v>80</v>
      </c>
    </row>
    <row r="23" spans="1:11" ht="20.25" customHeight="1" x14ac:dyDescent="0.25">
      <c r="A23" s="36">
        <v>12</v>
      </c>
      <c r="B23" s="26" t="str">
        <f>'Necesidades Trimestrales'!B20</f>
        <v>2.4.4-6818.1032</v>
      </c>
      <c r="C23" s="150" t="str">
        <f>'Necesidades Trimestrales'!E20</f>
        <v>NEUMATICOS; VEHICULO: CAMION, CONSTRUCCION: RADIAL, ARMADO: S/CAMARA, MEDIDA: SEGUN PLIEGO</v>
      </c>
      <c r="D23" s="150"/>
      <c r="E23" s="150"/>
      <c r="F23" s="150"/>
      <c r="G23" s="150"/>
      <c r="H23" s="27" t="s">
        <v>157</v>
      </c>
      <c r="I23" s="37" t="s">
        <v>20</v>
      </c>
      <c r="J23" s="38">
        <f>'Necesidades Trimestrales'!H20</f>
        <v>105000</v>
      </c>
      <c r="K23" s="39">
        <f>'Necesidades Trimestrales'!G20</f>
        <v>2</v>
      </c>
    </row>
    <row r="24" spans="1:11" ht="20.25" customHeight="1" x14ac:dyDescent="0.25">
      <c r="A24" s="36">
        <v>13</v>
      </c>
      <c r="B24" s="26" t="str">
        <f>'Necesidades Trimestrales'!B21</f>
        <v>2.4.4-6818.1032</v>
      </c>
      <c r="C24" s="150" t="str">
        <f>'Necesidades Trimestrales'!E21</f>
        <v>NEUMATICOS; VEHICULO: CAMION, CONSTRUCCION: RADIAL, ARMADO: S/CAMARA, MEDIDA: SEGUN PLIEGO</v>
      </c>
      <c r="D24" s="150"/>
      <c r="E24" s="150"/>
      <c r="F24" s="150"/>
      <c r="G24" s="150"/>
      <c r="H24" s="27" t="s">
        <v>157</v>
      </c>
      <c r="I24" s="37" t="s">
        <v>20</v>
      </c>
      <c r="J24" s="38">
        <f>'Necesidades Trimestrales'!H21</f>
        <v>137800</v>
      </c>
      <c r="K24" s="39">
        <f>'Necesidades Trimestrales'!G21</f>
        <v>2</v>
      </c>
    </row>
    <row r="25" spans="1:11" ht="20.25" customHeight="1" x14ac:dyDescent="0.25">
      <c r="A25" s="36">
        <v>14</v>
      </c>
      <c r="B25" s="26" t="e">
        <f>'Necesidades Trimestrales'!#REF!</f>
        <v>#REF!</v>
      </c>
      <c r="C25" s="150" t="e">
        <f>'Necesidades Trimestrales'!#REF!</f>
        <v>#REF!</v>
      </c>
      <c r="D25" s="150"/>
      <c r="E25" s="150"/>
      <c r="F25" s="150"/>
      <c r="G25" s="150"/>
      <c r="H25" s="27" t="s">
        <v>157</v>
      </c>
      <c r="I25" s="37" t="s">
        <v>20</v>
      </c>
      <c r="J25" s="38" t="e">
        <f>'Necesidades Trimestrales'!#REF!</f>
        <v>#REF!</v>
      </c>
      <c r="K25" s="39" t="e">
        <f>'Necesidades Trimestrales'!#REF!</f>
        <v>#REF!</v>
      </c>
    </row>
    <row r="26" spans="1:11" ht="20.25" customHeight="1" x14ac:dyDescent="0.25">
      <c r="A26" s="36">
        <v>15</v>
      </c>
      <c r="B26" s="26" t="str">
        <f>'Necesidades Trimestrales'!B33</f>
        <v>2.4.4-6818.631</v>
      </c>
      <c r="C26" s="150" t="str">
        <f>'Necesidades Trimestrales'!E33</f>
        <v>NEUMATICOS; VEHICULO: MOTO, CONSTRUCCION: RADIAL, ARMADO: C/CAMARA, MEDIDA: 90/90-21</v>
      </c>
      <c r="D26" s="150"/>
      <c r="E26" s="150"/>
      <c r="F26" s="150"/>
      <c r="G26" s="150"/>
      <c r="H26" s="27" t="s">
        <v>157</v>
      </c>
      <c r="I26" s="37" t="s">
        <v>20</v>
      </c>
      <c r="J26" s="38">
        <f>'Necesidades Trimestrales'!H33</f>
        <v>18500</v>
      </c>
      <c r="K26" s="39">
        <f>'Necesidades Trimestrales'!G33</f>
        <v>40</v>
      </c>
    </row>
    <row r="27" spans="1:11" ht="20.25" customHeight="1" x14ac:dyDescent="0.25">
      <c r="A27" s="36">
        <v>16</v>
      </c>
      <c r="B27" s="26" t="e">
        <f>'Necesidades Trimestrales'!#REF!</f>
        <v>#REF!</v>
      </c>
      <c r="C27" s="150" t="e">
        <f>'Necesidades Trimestrales'!#REF!</f>
        <v>#REF!</v>
      </c>
      <c r="D27" s="150"/>
      <c r="E27" s="150"/>
      <c r="F27" s="150"/>
      <c r="G27" s="150"/>
      <c r="H27" s="27" t="s">
        <v>157</v>
      </c>
      <c r="I27" s="37" t="s">
        <v>20</v>
      </c>
      <c r="J27" s="38" t="e">
        <f>'Necesidades Trimestrales'!#REF!</f>
        <v>#REF!</v>
      </c>
      <c r="K27" s="39" t="e">
        <f>'Necesidades Trimestrales'!#REF!</f>
        <v>#REF!</v>
      </c>
    </row>
    <row r="28" spans="1:11" ht="20.25" customHeight="1" x14ac:dyDescent="0.25">
      <c r="A28" s="36">
        <v>17</v>
      </c>
      <c r="B28" s="26" t="e">
        <f>'Necesidades Trimestrales'!#REF!</f>
        <v>#REF!</v>
      </c>
      <c r="C28" s="150" t="e">
        <f>'Necesidades Trimestrales'!#REF!</f>
        <v>#REF!</v>
      </c>
      <c r="D28" s="150"/>
      <c r="E28" s="150"/>
      <c r="F28" s="150"/>
      <c r="G28" s="150"/>
      <c r="H28" s="27" t="s">
        <v>157</v>
      </c>
      <c r="I28" s="37" t="s">
        <v>20</v>
      </c>
      <c r="J28" s="38" t="e">
        <f>'Necesidades Trimestrales'!#REF!</f>
        <v>#REF!</v>
      </c>
      <c r="K28" s="40" t="e">
        <f>'Necesidades Trimestrales'!#REF!</f>
        <v>#REF!</v>
      </c>
    </row>
    <row r="29" spans="1:11" ht="20.25" customHeight="1" thickBot="1" x14ac:dyDescent="0.3">
      <c r="A29" s="41">
        <v>18</v>
      </c>
      <c r="B29" s="28" t="e">
        <f>'Necesidades Trimestrales'!#REF!</f>
        <v>#REF!</v>
      </c>
      <c r="C29" s="156" t="e">
        <f>'Necesidades Trimestrales'!#REF!</f>
        <v>#REF!</v>
      </c>
      <c r="D29" s="156"/>
      <c r="E29" s="156"/>
      <c r="F29" s="156"/>
      <c r="G29" s="156"/>
      <c r="H29" s="29" t="s">
        <v>157</v>
      </c>
      <c r="I29" s="42" t="s">
        <v>20</v>
      </c>
      <c r="J29" s="43" t="e">
        <f>'Necesidades Trimestrales'!#REF!</f>
        <v>#REF!</v>
      </c>
      <c r="K29" s="44" t="e">
        <f>'Necesidades Trimestrales'!#REF!</f>
        <v>#REF!</v>
      </c>
    </row>
    <row r="30" spans="1:11" ht="20.25" customHeight="1" thickBot="1" x14ac:dyDescent="0.3">
      <c r="A30" s="152" t="s">
        <v>158</v>
      </c>
      <c r="B30" s="153"/>
      <c r="C30" s="153"/>
      <c r="D30" s="154" t="s">
        <v>159</v>
      </c>
      <c r="E30" s="154"/>
      <c r="F30" s="154"/>
      <c r="G30" s="154"/>
      <c r="H30" s="154"/>
      <c r="I30" s="155"/>
      <c r="J30" s="151" t="e">
        <f>SUMPRODUCT(J12:J29,K12:K29)</f>
        <v>#REF!</v>
      </c>
      <c r="K30" s="151"/>
    </row>
  </sheetData>
  <mergeCells count="4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J30:K30"/>
    <mergeCell ref="A30:C30"/>
    <mergeCell ref="D30:I3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 x14ac:dyDescent="0.2"/>
  <cols>
    <col min="1" max="6" width="4.42578125" style="48" customWidth="1"/>
    <col min="7" max="7" width="4.42578125" style="68" customWidth="1"/>
    <col min="8" max="14" width="4.42578125" style="48" customWidth="1"/>
    <col min="15" max="16" width="14.85546875" style="48" customWidth="1"/>
    <col min="17" max="17" width="14.7109375" style="48" customWidth="1"/>
    <col min="18" max="16384" width="11" style="48"/>
  </cols>
  <sheetData>
    <row r="1" spans="1:17" ht="15.75" customHeight="1" thickBot="1" x14ac:dyDescent="0.3">
      <c r="A1" s="192" t="s">
        <v>5</v>
      </c>
      <c r="B1" s="192"/>
      <c r="C1" s="192"/>
      <c r="D1" s="193">
        <f>'[1]Necesidades Trimestrales'!C6</f>
        <v>2021</v>
      </c>
      <c r="E1" s="193"/>
      <c r="F1" s="45"/>
      <c r="G1" s="45"/>
      <c r="H1" s="46"/>
      <c r="I1" s="46"/>
      <c r="J1" s="46"/>
      <c r="K1" s="46"/>
      <c r="L1" s="46"/>
      <c r="M1" s="46"/>
      <c r="N1" s="46"/>
      <c r="O1" s="47"/>
      <c r="P1" s="194" t="s">
        <v>160</v>
      </c>
      <c r="Q1" s="194"/>
    </row>
    <row r="2" spans="1:17" ht="15.75" customHeight="1" thickBot="1" x14ac:dyDescent="0.3">
      <c r="A2" s="47"/>
      <c r="B2" s="47"/>
      <c r="C2" s="47"/>
      <c r="D2" s="47"/>
      <c r="E2" s="47"/>
      <c r="F2" s="47"/>
      <c r="G2" s="49"/>
      <c r="H2" s="46"/>
      <c r="I2" s="46"/>
      <c r="J2" s="46"/>
      <c r="K2" s="46"/>
      <c r="L2" s="46"/>
      <c r="M2" s="46"/>
      <c r="N2" s="46"/>
      <c r="O2" s="47"/>
      <c r="P2" s="194"/>
      <c r="Q2" s="194"/>
    </row>
    <row r="3" spans="1:17" ht="14.25" thickBot="1" x14ac:dyDescent="0.3">
      <c r="A3" s="47"/>
      <c r="B3" s="47"/>
      <c r="C3" s="47"/>
      <c r="D3" s="47"/>
      <c r="E3" s="47"/>
      <c r="F3" s="47"/>
      <c r="G3" s="49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17" s="50" customFormat="1" ht="18" customHeight="1" thickBot="1" x14ac:dyDescent="0.35">
      <c r="A4" s="195" t="s">
        <v>161</v>
      </c>
      <c r="B4" s="195"/>
      <c r="C4" s="195"/>
      <c r="D4" s="195"/>
      <c r="E4" s="195"/>
      <c r="F4" s="195"/>
      <c r="G4" s="188" t="str">
        <f>' NotaPedido'!D3</f>
        <v>90 - Ministerio de Seguridad</v>
      </c>
      <c r="H4" s="189"/>
      <c r="I4" s="189"/>
      <c r="J4" s="189"/>
      <c r="K4" s="189"/>
      <c r="L4" s="189"/>
      <c r="M4" s="189"/>
      <c r="N4" s="189"/>
      <c r="O4" s="189"/>
      <c r="P4" s="189"/>
      <c r="Q4" s="190"/>
    </row>
    <row r="5" spans="1:17" s="50" customFormat="1" ht="18" customHeight="1" thickBot="1" x14ac:dyDescent="0.35">
      <c r="A5" s="185" t="s">
        <v>142</v>
      </c>
      <c r="B5" s="186"/>
      <c r="C5" s="186"/>
      <c r="D5" s="186"/>
      <c r="E5" s="186"/>
      <c r="F5" s="187"/>
      <c r="G5" s="188" t="str">
        <f>' NotaPedido'!D4</f>
        <v>7- Dirección Provincial de Administración de la Policía de la Provincia de Catamarca</v>
      </c>
      <c r="H5" s="189"/>
      <c r="I5" s="189"/>
      <c r="J5" s="189"/>
      <c r="K5" s="189"/>
      <c r="L5" s="189"/>
      <c r="M5" s="189"/>
      <c r="N5" s="189"/>
      <c r="O5" s="189"/>
      <c r="P5" s="189"/>
      <c r="Q5" s="190"/>
    </row>
    <row r="6" spans="1:17" s="50" customFormat="1" ht="18" customHeight="1" thickBot="1" x14ac:dyDescent="0.35">
      <c r="A6" s="185" t="s">
        <v>143</v>
      </c>
      <c r="B6" s="186"/>
      <c r="C6" s="186"/>
      <c r="D6" s="186"/>
      <c r="E6" s="186"/>
      <c r="F6" s="187"/>
      <c r="G6" s="188" t="str">
        <f>' NotaPedido'!D5</f>
        <v>Jefatura de Policía de la Provincia de Catamarca</v>
      </c>
      <c r="H6" s="189"/>
      <c r="I6" s="189"/>
      <c r="J6" s="189"/>
      <c r="K6" s="189"/>
      <c r="L6" s="189"/>
      <c r="M6" s="189"/>
      <c r="N6" s="189"/>
      <c r="O6" s="189"/>
      <c r="P6" s="189"/>
      <c r="Q6" s="190"/>
    </row>
    <row r="7" spans="1:17" s="50" customFormat="1" ht="24.75" customHeight="1" thickBot="1" x14ac:dyDescent="0.35">
      <c r="A7" s="185" t="s">
        <v>145</v>
      </c>
      <c r="B7" s="186"/>
      <c r="C7" s="186"/>
      <c r="D7" s="186"/>
      <c r="E7" s="186"/>
      <c r="F7" s="187"/>
      <c r="G7" s="188" t="str">
        <f>' NotaPedido'!D6</f>
        <v>División Transporte- Dpto. Logistica (D-4)</v>
      </c>
      <c r="H7" s="189"/>
      <c r="I7" s="189"/>
      <c r="J7" s="189"/>
      <c r="K7" s="189"/>
      <c r="L7" s="189"/>
      <c r="M7" s="189"/>
      <c r="N7" s="189"/>
      <c r="O7" s="189"/>
      <c r="P7" s="189"/>
      <c r="Q7" s="190"/>
    </row>
    <row r="8" spans="1:17" ht="18" customHeight="1" thickBot="1" x14ac:dyDescent="0.25">
      <c r="A8" s="191" t="s">
        <v>162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</row>
    <row r="9" spans="1:17" ht="18" customHeight="1" x14ac:dyDescent="0.3">
      <c r="A9" s="179" t="s">
        <v>163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47"/>
      <c r="P9" s="47"/>
      <c r="Q9" s="51"/>
    </row>
    <row r="10" spans="1:17" ht="66.75" customHeight="1" x14ac:dyDescent="0.2">
      <c r="A10" s="18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</row>
    <row r="11" spans="1:17" ht="9" customHeight="1" thickBot="1" x14ac:dyDescent="0.3">
      <c r="A11" s="52"/>
      <c r="B11" s="53"/>
      <c r="C11" s="53"/>
      <c r="D11" s="53"/>
      <c r="E11" s="53"/>
      <c r="F11" s="53"/>
      <c r="G11" s="54"/>
      <c r="H11" s="53"/>
      <c r="I11" s="53"/>
      <c r="J11" s="53"/>
      <c r="K11" s="53"/>
      <c r="L11" s="53"/>
      <c r="M11" s="53"/>
      <c r="N11" s="53"/>
      <c r="O11" s="53"/>
      <c r="P11" s="53"/>
      <c r="Q11" s="55"/>
    </row>
    <row r="12" spans="1:17" ht="15.75" customHeight="1" thickBot="1" x14ac:dyDescent="0.25">
      <c r="A12" s="181" t="s">
        <v>164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customHeight="1" thickBot="1" x14ac:dyDescent="0.25">
      <c r="A13" s="182" t="s">
        <v>165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166</v>
      </c>
      <c r="P13" s="183"/>
      <c r="Q13" s="184" t="s">
        <v>167</v>
      </c>
    </row>
    <row r="14" spans="1:17" ht="15.75" customHeight="1" thickBot="1" x14ac:dyDescent="0.25">
      <c r="A14" s="56" t="s">
        <v>168</v>
      </c>
      <c r="B14" s="57" t="s">
        <v>169</v>
      </c>
      <c r="C14" s="57" t="s">
        <v>170</v>
      </c>
      <c r="D14" s="57" t="s">
        <v>171</v>
      </c>
      <c r="E14" s="57" t="s">
        <v>172</v>
      </c>
      <c r="F14" s="57" t="s">
        <v>173</v>
      </c>
      <c r="G14" s="58" t="s">
        <v>174</v>
      </c>
      <c r="H14" s="57" t="s">
        <v>175</v>
      </c>
      <c r="I14" s="57" t="s">
        <v>176</v>
      </c>
      <c r="J14" s="57" t="s">
        <v>177</v>
      </c>
      <c r="K14" s="57" t="s">
        <v>177</v>
      </c>
      <c r="L14" s="57" t="s">
        <v>178</v>
      </c>
      <c r="M14" s="59" t="s">
        <v>179</v>
      </c>
      <c r="N14" s="60" t="s">
        <v>180</v>
      </c>
      <c r="O14" s="183"/>
      <c r="P14" s="183"/>
      <c r="Q14" s="184"/>
    </row>
    <row r="15" spans="1:17" ht="17.25" customHeight="1" thickBot="1" x14ac:dyDescent="0.25">
      <c r="A15" s="61">
        <v>16</v>
      </c>
      <c r="B15" s="62">
        <v>0</v>
      </c>
      <c r="C15" s="62">
        <v>0</v>
      </c>
      <c r="D15" s="62">
        <v>1</v>
      </c>
      <c r="E15" s="62">
        <v>0</v>
      </c>
      <c r="F15" s="62">
        <v>10</v>
      </c>
      <c r="G15" s="62">
        <v>2</v>
      </c>
      <c r="H15" s="62">
        <v>1</v>
      </c>
      <c r="I15" s="62">
        <v>2</v>
      </c>
      <c r="J15" s="62">
        <v>4</v>
      </c>
      <c r="K15" s="62">
        <v>4</v>
      </c>
      <c r="L15" s="62">
        <v>0</v>
      </c>
      <c r="M15" s="63">
        <v>1</v>
      </c>
      <c r="N15" s="62" t="s">
        <v>181</v>
      </c>
      <c r="O15" s="170" t="s">
        <v>182</v>
      </c>
      <c r="P15" s="170"/>
      <c r="Q15" s="64">
        <f>'Necesidades Trimestrales'!I38</f>
        <v>26849275</v>
      </c>
    </row>
    <row r="16" spans="1:17" ht="23.25" customHeight="1" thickBot="1" x14ac:dyDescent="0.25">
      <c r="A16" s="171" t="s">
        <v>183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3"/>
      <c r="Q16" s="64">
        <f>+Q15</f>
        <v>26849275</v>
      </c>
    </row>
    <row r="17" spans="1:18" ht="21.75" customHeight="1" thickBot="1" x14ac:dyDescent="0.3">
      <c r="A17" s="65"/>
      <c r="B17" s="66"/>
      <c r="C17" s="66"/>
      <c r="D17" s="66"/>
      <c r="E17" s="178" t="str">
        <f>' NotaPedido'!D30</f>
        <v>Trece Millones Quinientos Cuatro Mil Doscientos Cuatro con 00/100.</v>
      </c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67"/>
    </row>
    <row r="18" spans="1:18" ht="17.25" customHeight="1" thickBot="1" x14ac:dyDescent="0.25">
      <c r="A18" s="174" t="s">
        <v>184</v>
      </c>
      <c r="B18" s="175"/>
      <c r="C18" s="175"/>
      <c r="D18" s="175"/>
      <c r="E18" s="175"/>
      <c r="F18" s="176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</row>
    <row r="19" spans="1:18" ht="17.25" customHeight="1" thickBot="1" x14ac:dyDescent="0.25">
      <c r="A19" s="169" t="str">
        <f>' NotaPedido'!D8</f>
        <v>Adquisición de CUBIERTAS destinadas a las Unidades Moviles de la Policia de Catamarca.-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</row>
    <row r="20" spans="1:18" ht="17.25" customHeight="1" thickBot="1" x14ac:dyDescent="0.25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</row>
    <row r="21" spans="1:18" ht="17.25" customHeight="1" x14ac:dyDescent="0.2">
      <c r="A21" s="17"/>
      <c r="B21" s="17"/>
      <c r="C21" s="17"/>
      <c r="D21" s="17"/>
      <c r="E21" s="17"/>
      <c r="F21" s="18"/>
      <c r="G21" s="17"/>
      <c r="H21" s="17"/>
      <c r="I21" s="17"/>
      <c r="J21" s="17"/>
      <c r="K21" s="17"/>
      <c r="L21" s="17"/>
      <c r="M21" s="17"/>
      <c r="N21" s="17"/>
      <c r="O21" s="21"/>
      <c r="P21" s="21"/>
      <c r="Q21" s="16"/>
      <c r="R21" s="14"/>
    </row>
    <row r="22" spans="1:18" ht="17.2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1"/>
      <c r="P22" s="21"/>
      <c r="Q22" s="16"/>
    </row>
    <row r="23" spans="1:18" ht="20.25" customHeight="1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19"/>
    </row>
    <row r="24" spans="1:18" ht="18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18" ht="17.25" customHeight="1" x14ac:dyDescent="0.2">
      <c r="A25" s="22"/>
      <c r="B25" s="22"/>
      <c r="C25" s="22"/>
      <c r="D25" s="22"/>
      <c r="E25" s="22"/>
      <c r="F25" s="22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8" ht="18" customHeight="1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1:18" ht="15" customHeight="1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18" x14ac:dyDescent="0.2">
      <c r="A28" s="14"/>
      <c r="B28" s="14"/>
      <c r="C28" s="14"/>
      <c r="D28" s="14"/>
      <c r="E28" s="14"/>
      <c r="F28" s="14"/>
      <c r="G28" s="15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8" x14ac:dyDescent="0.2">
      <c r="A29" s="14"/>
      <c r="B29" s="14"/>
      <c r="C29" s="14"/>
      <c r="D29" s="14"/>
      <c r="E29" s="14"/>
      <c r="F29" s="14"/>
      <c r="G29" s="15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8" x14ac:dyDescent="0.2">
      <c r="A30" s="14"/>
      <c r="B30" s="14"/>
      <c r="C30" s="14"/>
      <c r="D30" s="14"/>
      <c r="E30" s="14"/>
      <c r="F30" s="14"/>
      <c r="G30" s="15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8" x14ac:dyDescent="0.2">
      <c r="A31" s="14"/>
      <c r="B31" s="14"/>
      <c r="C31" s="14"/>
      <c r="D31" s="14"/>
      <c r="E31" s="14"/>
      <c r="F31" s="14"/>
      <c r="G31" s="15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8" x14ac:dyDescent="0.2">
      <c r="A32" s="14"/>
      <c r="B32" s="14"/>
      <c r="C32" s="14"/>
      <c r="D32" s="14"/>
      <c r="E32" s="14"/>
      <c r="F32" s="14"/>
      <c r="G32" s="15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2">
      <c r="A33" s="14"/>
      <c r="B33" s="14"/>
      <c r="C33" s="14"/>
      <c r="D33" s="14"/>
      <c r="E33" s="14"/>
      <c r="F33" s="14"/>
      <c r="G33" s="15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x14ac:dyDescent="0.2">
      <c r="A34" s="14"/>
      <c r="B34" s="14"/>
      <c r="C34" s="14"/>
      <c r="D34" s="14"/>
      <c r="E34" s="14"/>
      <c r="F34" s="14"/>
      <c r="G34" s="15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x14ac:dyDescent="0.2">
      <c r="A35" s="14"/>
      <c r="B35" s="14"/>
      <c r="C35" s="14"/>
      <c r="D35" s="14"/>
      <c r="E35" s="14"/>
      <c r="F35" s="14"/>
      <c r="G35" s="15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x14ac:dyDescent="0.2">
      <c r="A36" s="14"/>
      <c r="B36" s="14"/>
      <c r="C36" s="14"/>
      <c r="D36" s="14"/>
      <c r="E36" s="14"/>
      <c r="F36" s="14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x14ac:dyDescent="0.2">
      <c r="A37" s="14"/>
      <c r="B37" s="14"/>
      <c r="C37" s="14"/>
      <c r="D37" s="14"/>
      <c r="E37" s="14"/>
      <c r="F37" s="14"/>
      <c r="G37" s="15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x14ac:dyDescent="0.2">
      <c r="A38" s="14"/>
      <c r="B38" s="14"/>
      <c r="C38" s="14"/>
      <c r="D38" s="14"/>
      <c r="E38" s="14"/>
      <c r="F38" s="14"/>
      <c r="G38" s="15"/>
      <c r="H38" s="14"/>
      <c r="I38" s="14"/>
      <c r="J38" s="14"/>
      <c r="K38" s="14"/>
      <c r="L38" s="14"/>
      <c r="M38" s="14"/>
      <c r="N38" s="14"/>
      <c r="O38" s="14"/>
      <c r="P38" s="14"/>
      <c r="Q38" s="14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A19:Q20"/>
    <mergeCell ref="O15:P15"/>
    <mergeCell ref="A16:P16"/>
    <mergeCell ref="A18:F18"/>
    <mergeCell ref="G18:Q18"/>
    <mergeCell ref="E17:P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COMPRAS</cp:lastModifiedBy>
  <cp:revision>2</cp:revision>
  <dcterms:created xsi:type="dcterms:W3CDTF">2020-07-17T23:44:49Z</dcterms:created>
  <dcterms:modified xsi:type="dcterms:W3CDTF">2022-06-01T12:31:20Z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