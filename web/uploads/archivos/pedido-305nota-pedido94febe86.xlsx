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3° trimestre 2022\Combustible\"/>
    </mc:Choice>
  </mc:AlternateContent>
  <xr:revisionPtr revIDLastSave="0" documentId="13_ncr:1_{2D0AC70B-2D52-4362-B8A8-D78AF55EE16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3" i="2" l="1"/>
  <c r="Q23" i="3"/>
  <c r="I10" i="1"/>
  <c r="J12" i="2" l="1"/>
  <c r="A10" i="3"/>
  <c r="K12" i="2"/>
  <c r="I12" i="2"/>
  <c r="C12" i="2"/>
  <c r="B12" i="2"/>
  <c r="D10" i="1"/>
  <c r="G6" i="3" l="1"/>
  <c r="G7" i="3"/>
  <c r="D7" i="2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<sst xmlns="http://schemas.openxmlformats.org/spreadsheetml/2006/main" count="86" uniqueCount="80">
  <si>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</si>
  <si>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</si>
  <si>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</si>
  <si>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</si>
  <si>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</si>
  <si>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</si>
  <si>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</si>
  <si>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</si>
  <si>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</si>
  <si>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</si>
  <si>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</si>
  <si>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</si>
  <si>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</si>
  <si>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</si>
  <si>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</si>
  <si>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</si>
  <si>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</si>
  <si>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</si>
  <si>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</si>
  <si>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</si>
  <si>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</si>
  <si>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</si>
  <si>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</si>
  <si>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</si>
  <si>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</si>
  <si>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</si>
  <si>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</si>
  <si>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</si>
  <si>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</si>
  <si>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</si>
  <si>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</si>
  <si>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</si>
  <si>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</si>
  <si>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</si>
  <si>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</si>
  <si>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</si>
  <si>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</si>
  <si>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</si>
  <si>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</si>
  <si>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</si>
  <si>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</si>
  <si>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</si>
  <si>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</si>
  <si>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</si>
  <si>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</si>
  <si>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</si>
  <si>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</si>
  <si>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</si>
  <si>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</si>
  <si>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</si>
  <si>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</si>
  <si>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</si>
  <si>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</si>
  <si>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</si>
  <si>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</si>
  <si>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</si>
  <si>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</si>
  <si>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Direccion Mantenimiento</t>
  </si>
  <si>
    <t>1.1</t>
  </si>
  <si>
    <t>COMBUSTIBLES Y LUBRICANTES</t>
  </si>
  <si>
    <t>LITROS</t>
  </si>
  <si>
    <t>Combustibles y Lubricantes</t>
  </si>
  <si>
    <t>Especificidades Item N° 5:</t>
  </si>
  <si>
    <t>Item N° 1</t>
  </si>
  <si>
    <t>25 DE MAYO -HERNANDO DE PEDRAZA 1650</t>
  </si>
  <si>
    <t xml:space="preserve">CON BOCA DE EXPENDIO EN SAN FERNANDO DEL VALLE DE CATAMARCA - DIRECCION DE MANTENIMIENTO MATERNIDAD PROVINCIAL  </t>
  </si>
  <si>
    <t>2.5.6-793.31</t>
  </si>
  <si>
    <t>GAS OIL; PRESENTACION: POR LITRO, USO: MOTORES DIESEL, COMERCIALIZACION: GRADO 3, DESTINO: DPTO. S.F.V. DE CATAMARCA</t>
  </si>
  <si>
    <t>Combustible dirigido a motorizaciones diesel modernas .CON BAJO CONTENIDO DE AZUFRE INFERIOR A 10 ppm</t>
  </si>
  <si>
    <t>SI</t>
  </si>
  <si>
    <t>Adquisicion de combustible</t>
  </si>
  <si>
    <t>Dos furgones Mercedes Benz sprinter 313 CDI Patente: KIY 113 Y KIY 114. Dos ambulancia Fiat Ducato MAXICARGO patente:NPE 527- IVECO DAYLY 3.0 HPI patente: JDK 554.Un tanqueta de combustible para 1500 lt patente:101 KIY 114. Marca IGARRETA y generador de energia VOLVO-Potencia max 630 KVA.</t>
  </si>
  <si>
    <t xml:space="preserve">Deberan entregar vales por su equivalente a 10 litros </t>
  </si>
  <si>
    <t>10(DIEZ) DIAS HABILES</t>
  </si>
  <si>
    <t>30(TREINTA) DIAS HABILES</t>
  </si>
  <si>
    <t>Costo total estimado: SETECIENTOS NOVENTA Y NUEVE MIL QUINIENTOS  CON 00/100</t>
  </si>
  <si>
    <t>/2022</t>
  </si>
  <si>
    <t>40-Ministerio de Salud</t>
  </si>
  <si>
    <t>TOTAL DE PESOS: SETECIENTOS NOVENTA Y NUEVE MIL QUINIENTOS CON 00/100</t>
  </si>
  <si>
    <t>Para la Adquisición de Combustible tipo Grado 3 principalmente para grupo electrogeno y unidades de la Institucion.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</si>
</sst>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\ #,##0.00;[Red]\-&quot;$&quot;\ #,##0.00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b/>
      <sz val="10"/>
      <name val="Arial"/>
      <family val="2"/>
    </font>
    <font>
      <b/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15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0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21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4" fillId="0" borderId="19" xfId="0" applyFont="1" applyFill="1" applyBorder="1" applyAlignment="1">
      <alignment horizontal="left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 wrapText="1"/>
    </xf>
    <xf numFmtId="166" fontId="4" fillId="0" borderId="19" xfId="1" applyNumberFormat="1" applyFont="1" applyFill="1" applyBorder="1" applyAlignment="1" applyProtection="1">
      <alignment horizontal="right" vertical="center" wrapText="1"/>
    </xf>
    <xf numFmtId="3" fontId="4" fillId="0" borderId="19" xfId="0" applyNumberFormat="1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15" fillId="0" borderId="7" xfId="0" applyFont="1" applyBorder="1" applyAlignment="1">
      <alignment horizontal="left"/>
    </xf>
    <xf numFmtId="0" fontId="19" fillId="0" borderId="48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8" fontId="19" fillId="0" borderId="48" xfId="0" applyNumberFormat="1" applyFont="1" applyBorder="1" applyAlignment="1">
      <alignment horizontal="center" vertical="center" wrapText="1"/>
    </xf>
    <xf numFmtId="8" fontId="19" fillId="0" borderId="49" xfId="0" applyNumberFormat="1" applyFont="1" applyBorder="1" applyAlignment="1">
      <alignment horizontal="center" vertical="center" wrapText="1"/>
    </xf>
    <xf numFmtId="49" fontId="6" fillId="0" borderId="11" xfId="0" applyNumberFormat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1" fillId="0" borderId="0" xfId="0" applyFont="1" applyFill="1" applyBorder="1" applyAlignment="1">
      <alignment horizontal="left" wrapText="1" inden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4" fillId="0" borderId="19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0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9" fillId="0" borderId="44" xfId="0" applyFont="1" applyBorder="1" applyAlignment="1">
      <alignment horizontal="left" vertical="center" wrapText="1"/>
    </xf>
    <xf numFmtId="0" fontId="0" fillId="0" borderId="22" xfId="0" applyBorder="1"/>
    <xf numFmtId="0" fontId="0" fillId="0" borderId="32" xfId="0" applyFont="1" applyBorder="1" applyAlignment="1">
      <alignment horizontal="left" vertical="center" wrapText="1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9" fillId="0" borderId="20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0" fillId="0" borderId="14" xfId="0" applyBorder="1"/>
    <xf numFmtId="0" fontId="15" fillId="0" borderId="52" xfId="0" applyFont="1" applyBorder="1"/>
    <xf numFmtId="0" fontId="15" fillId="0" borderId="53" xfId="0" applyFont="1" applyBorder="1" applyAlignment="1">
      <alignment horizontal="left" indent="3"/>
    </xf>
    <xf numFmtId="0" fontId="22" fillId="0" borderId="52" xfId="0" applyFont="1" applyBorder="1"/>
    <xf numFmtId="0" fontId="22" fillId="0" borderId="52" xfId="0" applyFont="1" applyBorder="1" applyAlignment="1">
      <alignment horizontal="center" wrapText="1"/>
    </xf>
    <xf numFmtId="0" fontId="23" fillId="0" borderId="0" xfId="0" applyFont="1" applyBorder="1"/>
    <xf numFmtId="0" fontId="23" fillId="0" borderId="7" xfId="0" applyFont="1" applyBorder="1"/>
    <xf numFmtId="0" fontId="23" fillId="0" borderId="0" xfId="0" applyFont="1" applyBorder="1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7" xfId="0" applyFont="1" applyBorder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wrapText="1"/>
    </xf>
    <xf numFmtId="0" fontId="26" fillId="0" borderId="3" xfId="0" applyFont="1" applyBorder="1"/>
    <xf numFmtId="0" fontId="26" fillId="0" borderId="4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0"/>
  <sheetViews>
    <sheetView tabSelected="1" zoomScale="86" zoomScaleNormal="86" workbookViewId="0">
      <selection activeCell="B10" sqref="B10"/>
    </sheetView>
  </sheetViews>
  <sheetFormatPr baseColWidth="10" defaultColWidth="11" defaultRowHeight="12.75" x14ac:dyDescent="0.2"/>
  <cols>
    <col min="1" max="1" width="4.5703125" style="39" customWidth="1"/>
    <col min="2" max="2" width="16.140625" style="39" customWidth="1"/>
    <col min="3" max="3" width="32.42578125" style="39" customWidth="1"/>
    <col min="4" max="4" width="8.42578125" style="39" customWidth="1"/>
    <col min="5" max="5" width="83.28515625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70" t="s">
        <v>0</v>
      </c>
      <c r="C2" s="70"/>
      <c r="D2" s="70"/>
      <c r="E2" s="70"/>
      <c r="F2" s="70"/>
      <c r="G2" s="70"/>
      <c r="H2" s="70"/>
    </row>
    <row r="4" spans="1:9" ht="18" customHeight="1" x14ac:dyDescent="0.25">
      <c r="A4" s="69" t="s">
        <v>1</v>
      </c>
      <c r="B4" s="69"/>
      <c r="C4" s="71" t="s">
        <v>77</v>
      </c>
      <c r="D4" s="71"/>
      <c r="E4" s="71"/>
      <c r="F4" s="40"/>
      <c r="G4" s="41"/>
      <c r="H4" s="40"/>
    </row>
    <row r="5" spans="1:9" ht="18" customHeight="1" x14ac:dyDescent="0.25">
      <c r="A5" s="69" t="s">
        <v>2</v>
      </c>
      <c r="B5" s="69"/>
      <c r="C5" s="71" t="s">
        <v>56</v>
      </c>
      <c r="D5" s="71"/>
      <c r="E5" s="71"/>
      <c r="F5" s="40"/>
      <c r="G5" s="41"/>
      <c r="H5" s="40"/>
    </row>
    <row r="6" spans="1:9" ht="16.5" customHeight="1" x14ac:dyDescent="0.25">
      <c r="A6" s="69" t="s">
        <v>3</v>
      </c>
      <c r="B6" s="69"/>
      <c r="C6" s="50">
        <v>2022</v>
      </c>
      <c r="D6" s="51"/>
      <c r="E6" s="51"/>
      <c r="F6" s="40"/>
      <c r="G6" s="41"/>
      <c r="H6" s="40"/>
    </row>
    <row r="7" spans="1:9" ht="16.5" customHeight="1" x14ac:dyDescent="0.25">
      <c r="A7" s="69" t="s">
        <v>4</v>
      </c>
      <c r="B7" s="69"/>
      <c r="C7" s="50">
        <v>3</v>
      </c>
      <c r="D7" s="51"/>
      <c r="E7" s="51"/>
      <c r="F7" s="40"/>
      <c r="G7" s="41"/>
      <c r="H7" s="40"/>
    </row>
    <row r="8" spans="1:9" x14ac:dyDescent="0.2">
      <c r="B8" s="40"/>
      <c r="C8" s="41"/>
      <c r="D8" s="40"/>
      <c r="E8" s="40"/>
      <c r="F8" s="40"/>
      <c r="G8" s="41"/>
      <c r="H8" s="40"/>
    </row>
    <row r="9" spans="1:9" ht="39.75" thickTop="1" thickBot="1" x14ac:dyDescent="0.25">
      <c r="A9" s="42" t="s">
        <v>5</v>
      </c>
      <c r="B9" s="42" t="s">
        <v>6</v>
      </c>
      <c r="C9" s="42" t="s">
        <v>7</v>
      </c>
      <c r="D9" s="42" t="s">
        <v>8</v>
      </c>
      <c r="E9" s="42" t="s">
        <v>9</v>
      </c>
      <c r="F9" s="42" t="s">
        <v>10</v>
      </c>
      <c r="G9" s="42" t="s">
        <v>11</v>
      </c>
      <c r="H9" s="42" t="s">
        <v>12</v>
      </c>
      <c r="I9" s="42" t="s">
        <v>13</v>
      </c>
    </row>
    <row r="10" spans="1:9" ht="45.75" customHeight="1" thickBot="1" x14ac:dyDescent="0.25">
      <c r="A10" s="110">
        <v>1</v>
      </c>
      <c r="B10" s="112" t="s">
        <v>66</v>
      </c>
      <c r="C10" s="111" t="s">
        <v>59</v>
      </c>
      <c r="D10" s="63" t="str">
        <f>LEFT(B10,5)</f>
        <v>2.5.6</v>
      </c>
      <c r="E10" s="62" t="s">
        <v>67</v>
      </c>
      <c r="F10" s="62" t="s">
        <v>60</v>
      </c>
      <c r="G10" s="62">
        <v>5000</v>
      </c>
      <c r="H10" s="64">
        <v>159.9</v>
      </c>
      <c r="I10" s="65">
        <f>G10*H10</f>
        <v>799500</v>
      </c>
    </row>
    <row r="12" spans="1:9" ht="13.5" thickBot="1" x14ac:dyDescent="0.25"/>
    <row r="13" spans="1:9" customFormat="1" x14ac:dyDescent="0.2">
      <c r="B13" s="125" t="s">
        <v>62</v>
      </c>
      <c r="C13" s="126" t="s">
        <v>63</v>
      </c>
      <c r="D13" s="43"/>
      <c r="E13" s="44"/>
      <c r="F13" s="39"/>
      <c r="G13" s="39"/>
      <c r="H13" s="39"/>
    </row>
    <row r="14" spans="1:9" customFormat="1" ht="13.5" thickBot="1" x14ac:dyDescent="0.25">
      <c r="B14" s="45"/>
      <c r="C14" s="46"/>
      <c r="D14" s="46"/>
      <c r="E14" s="47"/>
      <c r="F14" s="39"/>
      <c r="G14" s="39"/>
      <c r="H14" s="39"/>
    </row>
    <row r="15" spans="1:9" customFormat="1" ht="25.5" x14ac:dyDescent="0.2">
      <c r="B15" s="124" t="s">
        <v>14</v>
      </c>
      <c r="C15" s="46"/>
      <c r="D15" s="46"/>
      <c r="E15" s="47"/>
      <c r="F15" s="39"/>
      <c r="G15" s="39"/>
      <c r="H15" s="39"/>
    </row>
    <row r="16" spans="1:9" customFormat="1" ht="15" x14ac:dyDescent="0.25">
      <c r="B16" s="115"/>
      <c r="C16" s="117" t="s">
        <v>68</v>
      </c>
      <c r="D16" s="117"/>
      <c r="E16" s="118"/>
      <c r="F16" s="39"/>
      <c r="G16" s="39"/>
      <c r="H16" s="39"/>
    </row>
    <row r="17" spans="2:8" customFormat="1" ht="43.5" customHeight="1" x14ac:dyDescent="0.2">
      <c r="B17" s="115"/>
      <c r="C17" s="119" t="s">
        <v>71</v>
      </c>
      <c r="D17" s="120"/>
      <c r="E17" s="121"/>
      <c r="F17" s="39"/>
      <c r="G17" s="39"/>
      <c r="H17" s="39"/>
    </row>
    <row r="18" spans="2:8" customFormat="1" ht="43.5" customHeight="1" x14ac:dyDescent="0.2">
      <c r="B18" s="115"/>
      <c r="C18" s="122" t="s">
        <v>72</v>
      </c>
      <c r="D18" s="122"/>
      <c r="E18" s="123"/>
      <c r="F18" s="39"/>
      <c r="G18" s="39"/>
      <c r="H18" s="39"/>
    </row>
    <row r="19" spans="2:8" customFormat="1" ht="25.5" x14ac:dyDescent="0.2">
      <c r="B19" s="116" t="s">
        <v>15</v>
      </c>
      <c r="C19" s="46"/>
      <c r="D19" s="46"/>
      <c r="E19" s="47" t="s">
        <v>73</v>
      </c>
      <c r="F19" s="39"/>
      <c r="G19" s="39"/>
      <c r="H19" s="39"/>
    </row>
    <row r="20" spans="2:8" customFormat="1" x14ac:dyDescent="0.2">
      <c r="B20" s="115"/>
      <c r="C20" s="67"/>
      <c r="D20" s="67"/>
      <c r="E20" s="68"/>
      <c r="F20" s="39"/>
      <c r="G20" s="39"/>
      <c r="H20" s="39"/>
    </row>
    <row r="21" spans="2:8" customFormat="1" x14ac:dyDescent="0.2">
      <c r="B21" s="115"/>
      <c r="C21" s="46" t="s">
        <v>65</v>
      </c>
      <c r="D21" s="46"/>
      <c r="E21" s="61"/>
      <c r="F21" s="39"/>
      <c r="G21" s="39"/>
      <c r="H21" s="39"/>
    </row>
    <row r="22" spans="2:8" customFormat="1" x14ac:dyDescent="0.2">
      <c r="B22" s="115"/>
      <c r="C22" s="46" t="s">
        <v>64</v>
      </c>
      <c r="D22" s="46"/>
      <c r="E22" s="47"/>
      <c r="F22" s="39"/>
      <c r="G22" s="39"/>
      <c r="H22" s="39"/>
    </row>
    <row r="23" spans="2:8" customFormat="1" x14ac:dyDescent="0.2">
      <c r="B23" s="115"/>
      <c r="C23" s="46"/>
      <c r="D23" s="46"/>
      <c r="E23" s="47"/>
      <c r="F23" s="39"/>
      <c r="G23" s="39"/>
      <c r="H23" s="39"/>
    </row>
    <row r="24" spans="2:8" customFormat="1" ht="25.5" x14ac:dyDescent="0.2">
      <c r="B24" s="116" t="s">
        <v>16</v>
      </c>
      <c r="C24" s="46"/>
      <c r="D24" s="46"/>
      <c r="E24" s="47"/>
      <c r="F24" s="39"/>
      <c r="G24" s="39"/>
      <c r="H24" s="39"/>
    </row>
    <row r="25" spans="2:8" customFormat="1" x14ac:dyDescent="0.2">
      <c r="B25" s="115"/>
      <c r="C25" s="46"/>
      <c r="D25" s="46"/>
      <c r="E25" s="47"/>
      <c r="F25" s="39"/>
      <c r="G25" s="39"/>
      <c r="H25" s="39"/>
    </row>
    <row r="26" spans="2:8" customFormat="1" x14ac:dyDescent="0.2">
      <c r="B26" s="115" t="s">
        <v>17</v>
      </c>
      <c r="C26" s="46"/>
      <c r="D26" s="46"/>
      <c r="E26" s="47" t="s">
        <v>74</v>
      </c>
      <c r="F26" s="39"/>
      <c r="G26" s="39"/>
      <c r="H26" s="39"/>
    </row>
    <row r="27" spans="2:8" customFormat="1" x14ac:dyDescent="0.2">
      <c r="B27" s="115"/>
      <c r="C27" s="46"/>
      <c r="D27" s="46"/>
      <c r="E27" s="47"/>
      <c r="F27" s="39"/>
      <c r="G27" s="39"/>
      <c r="H27" s="39"/>
    </row>
    <row r="28" spans="2:8" customFormat="1" x14ac:dyDescent="0.2">
      <c r="B28" s="115" t="s">
        <v>18</v>
      </c>
      <c r="C28" s="46"/>
      <c r="D28" s="46"/>
      <c r="E28" s="47"/>
      <c r="F28" s="39"/>
      <c r="G28" s="39"/>
      <c r="H28" s="39"/>
    </row>
    <row r="29" spans="2:8" customFormat="1" x14ac:dyDescent="0.2">
      <c r="B29" s="113"/>
      <c r="C29" s="46"/>
      <c r="D29" s="46"/>
      <c r="E29" s="47"/>
      <c r="F29" s="39"/>
      <c r="G29" s="39"/>
      <c r="H29" s="39"/>
    </row>
    <row r="30" spans="2:8" ht="13.5" thickBot="1" x14ac:dyDescent="0.25">
      <c r="B30" s="114"/>
      <c r="C30" s="48"/>
      <c r="D30" s="48"/>
      <c r="E30" s="49"/>
    </row>
  </sheetData>
  <mergeCells count="10">
    <mergeCell ref="C20:E20"/>
    <mergeCell ref="A6:B6"/>
    <mergeCell ref="A7:B7"/>
    <mergeCell ref="B2:H2"/>
    <mergeCell ref="A4:B4"/>
    <mergeCell ref="C4:E4"/>
    <mergeCell ref="A5:B5"/>
    <mergeCell ref="C5:E5"/>
    <mergeCell ref="C17:E17"/>
    <mergeCell ref="C18:E18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zoomScale="75" zoomScaleNormal="75" workbookViewId="0">
      <selection activeCell="D6" sqref="D6:K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80" t="s">
        <v>19</v>
      </c>
      <c r="B1" s="80"/>
      <c r="C1" s="80"/>
      <c r="D1" s="80"/>
      <c r="E1" s="80"/>
      <c r="F1" s="80"/>
      <c r="G1" s="80"/>
      <c r="H1" s="80"/>
      <c r="I1" s="80"/>
      <c r="J1" s="3" t="s">
        <v>20</v>
      </c>
      <c r="K1" s="66" t="s">
        <v>76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81" t="s">
        <v>53</v>
      </c>
      <c r="B3" s="81"/>
      <c r="C3" s="81"/>
      <c r="D3" s="82" t="str">
        <f>'Necesidades Trimestrales'!C4</f>
        <v>40-Ministerio de Salud</v>
      </c>
      <c r="E3" s="82"/>
      <c r="F3" s="82"/>
      <c r="G3" s="82"/>
      <c r="H3" s="82"/>
      <c r="I3" s="82"/>
      <c r="J3" s="82"/>
      <c r="K3" s="82"/>
    </row>
    <row r="4" spans="1:11" ht="18.75" customHeight="1" thickBot="1" x14ac:dyDescent="0.25">
      <c r="A4" s="83" t="s">
        <v>54</v>
      </c>
      <c r="B4" s="83"/>
      <c r="C4" s="83"/>
      <c r="D4" s="82" t="str">
        <f>'Necesidades Trimestrales'!C5</f>
        <v>28- Maternidad Provincial 25 de Mayo</v>
      </c>
      <c r="E4" s="82"/>
      <c r="F4" s="82"/>
      <c r="G4" s="82"/>
      <c r="H4" s="82"/>
      <c r="I4" s="82"/>
      <c r="J4" s="82"/>
      <c r="K4" s="82"/>
    </row>
    <row r="5" spans="1:11" ht="18.75" customHeight="1" thickBot="1" x14ac:dyDescent="0.25">
      <c r="A5" s="83" t="s">
        <v>32</v>
      </c>
      <c r="B5" s="83"/>
      <c r="C5" s="83"/>
      <c r="D5" s="82" t="s">
        <v>57</v>
      </c>
      <c r="E5" s="82"/>
      <c r="F5" s="82"/>
      <c r="G5" s="82"/>
      <c r="H5" s="82"/>
      <c r="I5" s="82"/>
      <c r="J5" s="82"/>
      <c r="K5" s="82"/>
    </row>
    <row r="6" spans="1:11" ht="16.5" customHeight="1" thickBot="1" x14ac:dyDescent="0.25">
      <c r="A6" s="81" t="s">
        <v>55</v>
      </c>
      <c r="B6" s="81"/>
      <c r="C6" s="81"/>
      <c r="D6" s="82" t="s">
        <v>57</v>
      </c>
      <c r="E6" s="82"/>
      <c r="F6" s="82"/>
      <c r="G6" s="82"/>
      <c r="H6" s="82"/>
      <c r="I6" s="82"/>
      <c r="J6" s="82"/>
      <c r="K6" s="82"/>
    </row>
    <row r="7" spans="1:11" ht="16.5" customHeight="1" thickBot="1" x14ac:dyDescent="0.25">
      <c r="A7" s="83" t="s">
        <v>21</v>
      </c>
      <c r="B7" s="83"/>
      <c r="C7" s="83"/>
      <c r="D7" s="82" t="str">
        <f>'Necesidades Trimestrales'!C7 &amp; "° Trimestre - Año " &amp; 'Necesidades Trimestrales'!C6</f>
        <v>3° Trimestre - Año 2022</v>
      </c>
      <c r="E7" s="82"/>
      <c r="F7" s="82"/>
      <c r="G7" s="82"/>
      <c r="H7" s="82"/>
      <c r="I7" s="82"/>
      <c r="J7" s="82"/>
      <c r="K7" s="82"/>
    </row>
    <row r="8" spans="1:11" ht="16.5" customHeight="1" x14ac:dyDescent="0.2">
      <c r="A8" s="75" t="s">
        <v>22</v>
      </c>
      <c r="B8" s="75"/>
      <c r="C8" s="75"/>
      <c r="D8" s="76" t="s">
        <v>70</v>
      </c>
      <c r="E8" s="76"/>
      <c r="F8" s="76"/>
      <c r="G8" s="76"/>
      <c r="H8" s="76"/>
      <c r="I8" s="76"/>
      <c r="J8" s="76"/>
      <c r="K8" s="76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77" t="s">
        <v>23</v>
      </c>
      <c r="B10" s="78" t="s">
        <v>24</v>
      </c>
      <c r="C10" s="78" t="s">
        <v>25</v>
      </c>
      <c r="D10" s="78"/>
      <c r="E10" s="78"/>
      <c r="F10" s="78"/>
      <c r="G10" s="78"/>
      <c r="H10" s="78" t="s">
        <v>26</v>
      </c>
      <c r="I10" s="78" t="s">
        <v>27</v>
      </c>
      <c r="J10" s="78" t="s">
        <v>28</v>
      </c>
      <c r="K10" s="79" t="s">
        <v>29</v>
      </c>
    </row>
    <row r="11" spans="1:11" ht="24" customHeight="1" thickBot="1" x14ac:dyDescent="0.25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9"/>
    </row>
    <row r="12" spans="1:11" ht="54" customHeight="1" thickBot="1" x14ac:dyDescent="0.25">
      <c r="A12" s="8">
        <v>1</v>
      </c>
      <c r="B12" s="52" t="str">
        <f>'Necesidades Trimestrales'!B10</f>
        <v>2.5.6-793.31</v>
      </c>
      <c r="C12" s="74" t="str">
        <f>'Necesidades Trimestrales'!E10</f>
        <v>GAS OIL; PRESENTACION: POR LITRO, USO: MOTORES DIESEL, COMERCIALIZACION: GRADO 3, DESTINO: DPTO. S.F.V. DE CATAMARCA</v>
      </c>
      <c r="D12" s="74"/>
      <c r="E12" s="74"/>
      <c r="F12" s="74"/>
      <c r="G12" s="74"/>
      <c r="H12" s="53" t="s">
        <v>69</v>
      </c>
      <c r="I12" s="54" t="str">
        <f>'Necesidades Trimestrales'!F10</f>
        <v>LITROS</v>
      </c>
      <c r="J12" s="55">
        <f>'Necesidades Trimestrales'!H10</f>
        <v>159.9</v>
      </c>
      <c r="K12" s="56">
        <f>'Necesidades Trimestrales'!G10</f>
        <v>5000</v>
      </c>
    </row>
    <row r="13" spans="1:11" ht="35.25" customHeight="1" thickBot="1" x14ac:dyDescent="0.25">
      <c r="A13" s="72" t="s">
        <v>75</v>
      </c>
      <c r="B13" s="72"/>
      <c r="C13" s="72"/>
      <c r="D13" s="72"/>
      <c r="E13" s="72"/>
      <c r="F13" s="72"/>
      <c r="G13" s="72"/>
      <c r="H13" s="72"/>
      <c r="I13" s="72"/>
      <c r="J13" s="73">
        <f>SUMPRODUCT(J12*K12)</f>
        <v>799500</v>
      </c>
      <c r="K13" s="73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16" zoomScale="130" zoomScaleNormal="130" workbookViewId="0">
      <selection activeCell="A26" sqref="A26:Q27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06" t="s">
        <v>3</v>
      </c>
      <c r="B1" s="106"/>
      <c r="C1" s="106"/>
      <c r="D1" s="107">
        <f>'Necesidades Trimestrales'!C6</f>
        <v>2022</v>
      </c>
      <c r="E1" s="107"/>
      <c r="F1" s="10"/>
      <c r="G1" s="10"/>
      <c r="H1" s="11"/>
      <c r="I1" s="11"/>
      <c r="J1" s="11"/>
      <c r="K1" s="11"/>
      <c r="L1" s="11"/>
      <c r="M1" s="11"/>
      <c r="N1" s="11"/>
      <c r="P1" s="108" t="s">
        <v>30</v>
      </c>
      <c r="Q1" s="108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8"/>
      <c r="Q2" s="108"/>
    </row>
    <row r="4" spans="1:17" s="12" customFormat="1" ht="18" customHeight="1" thickBot="1" x14ac:dyDescent="0.25">
      <c r="A4" s="109" t="s">
        <v>31</v>
      </c>
      <c r="B4" s="109"/>
      <c r="C4" s="109"/>
      <c r="D4" s="109"/>
      <c r="E4" s="109"/>
      <c r="F4" s="109"/>
      <c r="G4" s="104" t="str">
        <f>' NotaPedido'!D3</f>
        <v>40-Ministerio de Salud</v>
      </c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 spans="1:17" s="12" customFormat="1" ht="18" customHeight="1" thickBot="1" x14ac:dyDescent="0.25">
      <c r="A5" s="101" t="s">
        <v>54</v>
      </c>
      <c r="B5" s="102"/>
      <c r="C5" s="102"/>
      <c r="D5" s="102"/>
      <c r="E5" s="102"/>
      <c r="F5" s="103"/>
      <c r="G5" s="104" t="str">
        <f>' NotaPedido'!D4</f>
        <v>28- Maternidad Provincial 25 de Mayo</v>
      </c>
      <c r="H5" s="104"/>
      <c r="I5" s="104"/>
      <c r="J5" s="104"/>
      <c r="K5" s="104"/>
      <c r="L5" s="104"/>
      <c r="M5" s="104"/>
      <c r="N5" s="104"/>
      <c r="O5" s="104"/>
      <c r="P5" s="104"/>
      <c r="Q5" s="104"/>
    </row>
    <row r="6" spans="1:17" s="12" customFormat="1" ht="18" customHeight="1" thickBot="1" x14ac:dyDescent="0.25">
      <c r="A6" s="101" t="s">
        <v>32</v>
      </c>
      <c r="B6" s="102"/>
      <c r="C6" s="102"/>
      <c r="D6" s="102"/>
      <c r="E6" s="102"/>
      <c r="F6" s="103"/>
      <c r="G6" s="104" t="str">
        <f>' NotaPedido'!D5</f>
        <v>Direccion Mantenimiento</v>
      </c>
      <c r="H6" s="104"/>
      <c r="I6" s="104"/>
      <c r="J6" s="104"/>
      <c r="K6" s="104"/>
      <c r="L6" s="104"/>
      <c r="M6" s="104"/>
      <c r="N6" s="104"/>
      <c r="O6" s="104"/>
      <c r="P6" s="104"/>
      <c r="Q6" s="104"/>
    </row>
    <row r="7" spans="1:17" s="12" customFormat="1" ht="18" customHeight="1" thickBot="1" x14ac:dyDescent="0.25">
      <c r="A7" s="101" t="s">
        <v>55</v>
      </c>
      <c r="B7" s="102"/>
      <c r="C7" s="102"/>
      <c r="D7" s="102"/>
      <c r="E7" s="102"/>
      <c r="F7" s="103"/>
      <c r="G7" s="104" t="str">
        <f>' NotaPedido'!D6</f>
        <v>Direccion Mantenimiento</v>
      </c>
      <c r="H7" s="104"/>
      <c r="I7" s="104"/>
      <c r="J7" s="104"/>
      <c r="K7" s="104"/>
      <c r="L7" s="104"/>
      <c r="M7" s="104"/>
      <c r="N7" s="104"/>
      <c r="O7" s="104"/>
      <c r="P7" s="104"/>
      <c r="Q7" s="104"/>
    </row>
    <row r="8" spans="1:17" ht="18" customHeight="1" thickBot="1" x14ac:dyDescent="0.25">
      <c r="A8" s="105" t="s">
        <v>33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</row>
    <row r="9" spans="1:17" ht="18" customHeight="1" x14ac:dyDescent="0.2">
      <c r="A9" s="95" t="s">
        <v>34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1"/>
      <c r="P9" s="1"/>
      <c r="Q9" s="13"/>
    </row>
    <row r="10" spans="1:17" ht="54.75" customHeight="1" x14ac:dyDescent="0.2">
      <c r="A10" s="9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/2022,  afectando la erogación resultante a los créditos presupuestarios aprobados a favor de esta Unidad Ejecutora, conforme al siguiente detalle: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97" t="s">
        <v>35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</row>
    <row r="13" spans="1:17" ht="15.75" customHeight="1" x14ac:dyDescent="0.2">
      <c r="A13" s="98" t="s">
        <v>36</v>
      </c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9" t="s">
        <v>37</v>
      </c>
      <c r="P13" s="99"/>
      <c r="Q13" s="100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99"/>
      <c r="P14" s="99"/>
      <c r="Q14" s="100"/>
    </row>
    <row r="15" spans="1:17" ht="17.25" customHeight="1" x14ac:dyDescent="0.2">
      <c r="A15" s="57">
        <v>42</v>
      </c>
      <c r="B15" s="58"/>
      <c r="C15" s="58"/>
      <c r="D15" s="58">
        <v>4</v>
      </c>
      <c r="E15" s="58"/>
      <c r="F15" s="58">
        <v>4901</v>
      </c>
      <c r="G15" s="58">
        <v>3</v>
      </c>
      <c r="H15" s="58">
        <v>1</v>
      </c>
      <c r="I15" s="58">
        <v>2</v>
      </c>
      <c r="J15" s="58">
        <v>5</v>
      </c>
      <c r="K15" s="58">
        <v>6</v>
      </c>
      <c r="L15" s="58"/>
      <c r="M15" s="59">
        <v>1</v>
      </c>
      <c r="N15" s="60" t="s">
        <v>58</v>
      </c>
      <c r="O15" s="94" t="s">
        <v>61</v>
      </c>
      <c r="P15" s="94"/>
      <c r="Q15" s="23">
        <v>799500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7"/>
      <c r="O16" s="89"/>
      <c r="P16" s="89"/>
      <c r="Q16" s="28"/>
    </row>
    <row r="17" spans="1:18" ht="17.25" customHeight="1" x14ac:dyDescent="0.2">
      <c r="A17" s="24"/>
      <c r="B17" s="25"/>
      <c r="C17" s="25"/>
      <c r="D17" s="25"/>
      <c r="E17" s="25"/>
      <c r="F17" s="27"/>
      <c r="G17" s="25"/>
      <c r="H17" s="25"/>
      <c r="I17" s="25"/>
      <c r="J17" s="25"/>
      <c r="K17" s="25"/>
      <c r="L17" s="25"/>
      <c r="M17" s="26"/>
      <c r="N17" s="27"/>
      <c r="O17" s="89"/>
      <c r="P17" s="89"/>
      <c r="Q17" s="28"/>
    </row>
    <row r="18" spans="1:18" ht="17.25" customHeight="1" x14ac:dyDescent="0.2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6"/>
      <c r="N18" s="27"/>
      <c r="O18" s="89"/>
      <c r="P18" s="89"/>
      <c r="Q18" s="28"/>
    </row>
    <row r="19" spans="1:18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89"/>
      <c r="P19" s="89"/>
      <c r="Q19" s="28"/>
    </row>
    <row r="20" spans="1:18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89"/>
      <c r="P20" s="89"/>
      <c r="Q20" s="28"/>
    </row>
    <row r="21" spans="1:18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90"/>
      <c r="P21" s="90"/>
      <c r="Q21" s="28"/>
      <c r="R21" s="1"/>
    </row>
    <row r="22" spans="1:18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91"/>
      <c r="P22" s="91"/>
      <c r="Q22" s="37"/>
    </row>
    <row r="23" spans="1:18" ht="20.25" customHeight="1" x14ac:dyDescent="0.2">
      <c r="A23" s="92" t="s">
        <v>78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38">
        <f>SUM(Q15:Q22)</f>
        <v>799500</v>
      </c>
    </row>
    <row r="24" spans="1:18" ht="18" customHeight="1" thickBot="1" x14ac:dyDescent="0.25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</row>
    <row r="25" spans="1:18" ht="17.25" customHeight="1" thickBot="1" x14ac:dyDescent="0.25">
      <c r="A25" s="84" t="s">
        <v>52</v>
      </c>
      <c r="B25" s="85"/>
      <c r="C25" s="85"/>
      <c r="D25" s="85"/>
      <c r="E25" s="85"/>
      <c r="F25" s="86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</row>
    <row r="26" spans="1:18" ht="18" customHeight="1" thickBot="1" x14ac:dyDescent="0.25">
      <c r="A26" s="88" t="s">
        <v>79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</row>
    <row r="27" spans="1:18" ht="15" customHeight="1" x14ac:dyDescent="0.2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2022-06-15T14:55:54Z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