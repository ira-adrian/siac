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500"/>
  </bookViews>
  <sheets>
    <sheet name="SAF 011" sheetId="3" r:id="rId1"/>
    <sheet name=" NotaPedido" sheetId="1" r:id="rId2"/>
    <sheet name="Autor Gastar" sheetId="2" r:id="rId3"/>
  </sheets>
  <definedNames>
    <definedName name="_xlnm.Print_Area" localSheetId="1">' NotaPedido'!$A$1:$K$14</definedName>
    <definedName name="_xlnm.Print_Area" localSheetId="2">'Autor Gastar'!$A$1:$Q$31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1" i="2" l="1"/>
  <c r="G6" i="2"/>
  <c r="G7" i="2"/>
  <c r="D4" i="1"/>
  <c r="G5" i="2" s="1"/>
  <c r="D3" i="1"/>
  <c r="G4" i="2" s="1"/>
  <c r="K12" i="1"/>
  <c r="J12" i="1"/>
  <c r="J14" i="1" s="1"/>
  <c r="I12" i="1"/>
  <c r="C12" i="1"/>
  <c r="B12" i="1"/>
  <c r="I10" i="3" l="1"/>
  <c r="I11" i="3" s="1"/>
  <c r="Q15" i="2" l="1"/>
  <c r="Q28" i="2" l="1"/>
</calcChain>
</file>

<file path=xl/sharedStrings.xml><?xml version="1.0" encoding="utf-8"?>
<sst xmlns="http://schemas.openxmlformats.org/spreadsheetml/2006/main" count="88" uniqueCount="79">
  <si>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</si>
  <si>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</si>
  <si>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</si>
  <si>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</si>
  <si>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</si>
  <si>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</si>
  <si>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</si>
  <si>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</si>
  <si>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</si>
  <si>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</si>
  <si>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</si>
  <si>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</si>
  <si>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</si>
  <si>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</si>
  <si>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</si>
  <si>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</si>
  <si>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</si>
  <si>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</si>
  <si>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</si>
  <si>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</si>
  <si>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</si>
  <si>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</si>
  <si>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</si>
  <si>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</si>
  <si>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</si>
  <si>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</si>
  <si>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</si>
  <si>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</si>
  <si>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</si>
  <si>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</si>
  <si>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</si>
  <si>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</si>
  <si>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</si>
  <si>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</si>
  <si>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</si>
  <si>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</si>
  <si>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</si>
  <si>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</si>
  <si>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-</t>
  </si>
  <si>
    <t>SI</t>
  </si>
  <si>
    <t>Pedido de Necesidades Trimestrales</t>
  </si>
  <si>
    <t>JURISDICCION:</t>
  </si>
  <si>
    <t>040 - MINISTERIO DE SALUD</t>
  </si>
  <si>
    <t xml:space="preserve">SAF N°: </t>
  </si>
  <si>
    <t>011 - DIRECCION PROVINCIAL DE ADMINISTRACION - MS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</si>
  <si>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</si>
  <si>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</si>
  <si>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</si>
  <si>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</si>
  <si>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</si>
  <si>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</si>
  <si>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</si>
  <si>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</si>
  <si>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</si>
  <si>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</si>
  <si>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</si>
  <si>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</si>
  <si>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</si>
  <si>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</si>
  <si>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</si>
  <si>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</si>
  <si>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TOTAL RUBRO INFORMATICA</t>
  </si>
  <si>
    <t>3° TRIMESTRE 2022</t>
  </si>
  <si>
    <t>VER ANEXO I</t>
  </si>
  <si>
    <t>1.1</t>
  </si>
  <si>
    <t>DETALLE TECNICO Y ESPECIFICACIONES</t>
  </si>
  <si>
    <t>4.3.3-9165.1</t>
  </si>
  <si>
    <t>EQUIPOS</t>
  </si>
  <si>
    <t>4.3.3</t>
  </si>
  <si>
    <t>EQUIPOS DE MONITOREO; USO: TERAPIA INTENSIVA/CORONARIA, CANTIDAD DE MONITORES: 1</t>
  </si>
  <si>
    <t>UNIDAD</t>
  </si>
  <si>
    <t>MINISTERIO DE SALUD - CHACABUCO N° 169 - en el horario de 8:00hs a 12:00hs de lunes a viernes. DEBIENDO CORRER LOS GASTOS DE FLETES, ACARREO, CARGA, DESCARGA Y SEGURO A CARGO DEL ADJUDICATARIO.</t>
  </si>
  <si>
    <t xml:space="preserve"> XX/2022</t>
  </si>
  <si>
    <t xml:space="preserve">Costo total estimado: PESOS UN MILLON QUINIENTOS CUARENTA MIL SEISCIENTOS CUATRO CON 79/100.- </t>
  </si>
  <si>
    <t>EQUIPOS SANITARIOS Y DE LABORATORIO</t>
  </si>
  <si>
    <r>
      <t xml:space="preserve">Autorizo la realización de los  trámites correspondientes, a fin de proveer a  este Organismo los bienes, servicios o ejecución de obras públicas que se detallan en Nota  de Pedido N° </t>
    </r>
    <r>
      <rPr>
        <b/>
        <sz val="11"/>
        <rFont val="Arial"/>
        <family val="2"/>
      </rPr>
      <t xml:space="preserve"> XX/2022</t>
    </r>
    <r>
      <rPr>
        <sz val="11"/>
        <rFont val="Arial"/>
        <family val="2"/>
        <charset val="1"/>
      </rPr>
      <t>, afectando la erogación resultante a los créditos presupuestarios aprobados a favor de esta Unidad Ejecutora, conforme al siguiente detalle:</t>
    </r>
  </si>
  <si>
    <t>352 - MINISTERIO DE SALUD</t>
  </si>
  <si>
    <t>ADQ. DE EQUIPOS SANITARIOS (MONITORES MULTIPARAMETRICOS) CON DESTINO A CENTROS DE SALUD DE LA PROVINCIA .-</t>
  </si>
  <si>
    <t xml:space="preserve">TOTAL DE PESOS: UN MILLON QUINIENTOS CUARENTA MIL SEISCIENTOS CUATRO CON 79/100.-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</si>
</sst>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_-[$$-2C0A]\ * #,##0.00_-;\-[$$-2C0A]\ * #,##0.00_-;_-[$$-2C0A]\ * &quot;-&quot;??_-;_-@_-"/>
    <numFmt numFmtId="168" formatCode="_-&quot;$&quot;* #,##0.00_-;\-&quot;$&quot;* #,##0.00_-;_-&quot;$&quot;* &quot;-&quot;??_-;_-@_-"/>
    <numFmt numFmtId="169" formatCode="&quot;$&quot;\ #,##0.00"/>
  </numFmts>
  <fonts count="37" x14ac:knownFonts="1">
    <font>
      <sz val="10"/>
      <name val="Arial"/>
      <charset val="1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sz val="12"/>
      <name val="Times New Roman"/>
      <family val="1"/>
    </font>
    <font>
      <b/>
      <sz val="11"/>
      <name val="Arial"/>
      <family val="2"/>
    </font>
    <font>
      <i/>
      <sz val="12"/>
      <color rgb="FFFF0000"/>
      <name val="Times New Roman"/>
      <family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Times New Roman"/>
      <family val="1"/>
    </font>
    <font>
      <u/>
      <sz val="10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44" fontId="22" fillId="0" borderId="0" applyFont="0" applyFill="0" applyBorder="0" applyAlignment="0" applyProtection="0"/>
    <xf numFmtId="0" fontId="1" fillId="0" borderId="0"/>
    <xf numFmtId="0" fontId="1" fillId="0" borderId="0"/>
  </cellStyleXfs>
  <cellXfs count="160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3" fillId="0" borderId="18" xfId="0" applyNumberFormat="1" applyFont="1" applyBorder="1" applyAlignment="1"/>
    <xf numFmtId="165" fontId="0" fillId="0" borderId="18" xfId="0" applyNumberFormat="1" applyBorder="1" applyAlignment="1">
      <alignment horizontal="left"/>
    </xf>
    <xf numFmtId="0" fontId="0" fillId="0" borderId="18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4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2" applyNumberFormat="1" applyFont="1" applyBorder="1" applyAlignment="1" applyProtection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2" applyNumberFormat="1" applyFont="1" applyBorder="1" applyAlignment="1" applyProtection="1">
      <alignment horizontal="center" vertical="center"/>
    </xf>
    <xf numFmtId="166" fontId="17" fillId="0" borderId="3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7" fontId="0" fillId="0" borderId="41" xfId="2" applyNumberFormat="1" applyFont="1" applyBorder="1" applyAlignment="1" applyProtection="1">
      <alignment horizontal="center" vertical="center" wrapText="1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3" fillId="0" borderId="0" xfId="0" applyFont="1" applyFill="1"/>
    <xf numFmtId="168" fontId="23" fillId="0" borderId="0" xfId="0" applyNumberFormat="1" applyFont="1" applyFill="1"/>
    <xf numFmtId="0" fontId="27" fillId="0" borderId="0" xfId="0" applyFont="1" applyFill="1" applyAlignment="1">
      <alignment horizontal="left" wrapText="1"/>
    </xf>
    <xf numFmtId="0" fontId="27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left" wrapText="1" indent="1"/>
    </xf>
    <xf numFmtId="0" fontId="28" fillId="0" borderId="0" xfId="0" applyFont="1" applyFill="1" applyAlignment="1">
      <alignment horizontal="left" wrapText="1"/>
    </xf>
    <xf numFmtId="0" fontId="1" fillId="0" borderId="53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30" fillId="0" borderId="53" xfId="0" applyFont="1" applyFill="1" applyBorder="1" applyAlignment="1">
      <alignment horizontal="center" vertical="center" wrapText="1"/>
    </xf>
    <xf numFmtId="168" fontId="1" fillId="0" borderId="53" xfId="4" applyNumberFormat="1" applyFont="1" applyFill="1" applyBorder="1" applyAlignment="1" applyProtection="1">
      <alignment horizontal="right" vertical="center" wrapText="1"/>
    </xf>
    <xf numFmtId="168" fontId="31" fillId="0" borderId="17" xfId="0" applyNumberFormat="1" applyFont="1" applyFill="1" applyBorder="1"/>
    <xf numFmtId="0" fontId="23" fillId="0" borderId="0" xfId="0" applyFont="1" applyFill="1" applyBorder="1"/>
    <xf numFmtId="0" fontId="23" fillId="0" borderId="0" xfId="6" applyFont="1" applyFill="1" applyBorder="1" applyAlignment="1">
      <alignment horizontal="left" vertical="center" wrapText="1"/>
    </xf>
    <xf numFmtId="0" fontId="23" fillId="0" borderId="0" xfId="6" applyFont="1" applyFill="1" applyBorder="1" applyAlignment="1">
      <alignment horizontal="left" vertical="center"/>
    </xf>
    <xf numFmtId="0" fontId="23" fillId="0" borderId="0" xfId="6" applyFont="1" applyFill="1" applyBorder="1" applyAlignment="1">
      <alignment horizontal="center" vertical="center"/>
    </xf>
    <xf numFmtId="0" fontId="23" fillId="0" borderId="0" xfId="6" applyFont="1" applyFill="1" applyBorder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3" fillId="0" borderId="0" xfId="6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6" applyFont="1" applyBorder="1" applyAlignment="1">
      <alignment horizontal="left" vertical="center"/>
    </xf>
    <xf numFmtId="0" fontId="32" fillId="0" borderId="0" xfId="0" applyFont="1" applyFill="1" applyBorder="1" applyAlignment="1"/>
    <xf numFmtId="0" fontId="23" fillId="0" borderId="37" xfId="0" applyFont="1" applyFill="1" applyBorder="1"/>
    <xf numFmtId="0" fontId="23" fillId="0" borderId="38" xfId="0" applyFont="1" applyFill="1" applyBorder="1"/>
    <xf numFmtId="0" fontId="23" fillId="0" borderId="39" xfId="0" applyFont="1" applyFill="1" applyBorder="1"/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3" fontId="11" fillId="0" borderId="56" xfId="0" applyNumberFormat="1" applyFont="1" applyBorder="1" applyAlignment="1">
      <alignment horizontal="center" vertical="center"/>
    </xf>
    <xf numFmtId="0" fontId="29" fillId="0" borderId="52" xfId="0" applyFont="1" applyFill="1" applyBorder="1" applyAlignment="1">
      <alignment horizontal="center" vertical="center" wrapText="1"/>
    </xf>
    <xf numFmtId="168" fontId="29" fillId="0" borderId="52" xfId="0" applyNumberFormat="1" applyFont="1" applyFill="1" applyBorder="1" applyAlignment="1">
      <alignment horizontal="center" vertical="center" wrapText="1"/>
    </xf>
    <xf numFmtId="3" fontId="1" fillId="0" borderId="53" xfId="0" applyNumberFormat="1" applyFont="1" applyFill="1" applyBorder="1" applyAlignment="1">
      <alignment horizontal="center" vertical="center"/>
    </xf>
    <xf numFmtId="44" fontId="1" fillId="0" borderId="53" xfId="4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3" fillId="0" borderId="16" xfId="0" applyFont="1" applyBorder="1" applyAlignment="1">
      <alignment vertical="center"/>
    </xf>
    <xf numFmtId="0" fontId="33" fillId="0" borderId="51" xfId="0" applyFont="1" applyBorder="1" applyAlignment="1">
      <alignment vertical="center"/>
    </xf>
    <xf numFmtId="0" fontId="33" fillId="0" borderId="17" xfId="0" applyFont="1" applyBorder="1" applyAlignment="1">
      <alignment vertical="center"/>
    </xf>
    <xf numFmtId="0" fontId="33" fillId="0" borderId="50" xfId="0" applyFont="1" applyBorder="1" applyAlignment="1">
      <alignment vertical="center"/>
    </xf>
    <xf numFmtId="0" fontId="34" fillId="0" borderId="2" xfId="6" applyFont="1" applyFill="1" applyBorder="1" applyAlignment="1">
      <alignment horizontal="center" vertical="center" wrapText="1"/>
    </xf>
    <xf numFmtId="0" fontId="23" fillId="0" borderId="12" xfId="6" applyFont="1" applyFill="1" applyBorder="1" applyAlignment="1">
      <alignment horizontal="center" vertical="center" wrapText="1"/>
    </xf>
    <xf numFmtId="169" fontId="23" fillId="0" borderId="0" xfId="0" applyNumberFormat="1" applyFont="1" applyFill="1" applyAlignment="1">
      <alignment horizontal="center" vertical="center"/>
    </xf>
    <xf numFmtId="0" fontId="1" fillId="0" borderId="53" xfId="0" applyFont="1" applyFill="1" applyBorder="1" applyAlignment="1">
      <alignment horizontal="left" vertical="center" wrapText="1"/>
    </xf>
    <xf numFmtId="0" fontId="35" fillId="0" borderId="26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 wrapText="1"/>
    </xf>
    <xf numFmtId="167" fontId="11" fillId="0" borderId="58" xfId="0" applyNumberFormat="1" applyFont="1" applyBorder="1" applyAlignment="1">
      <alignment horizontal="center" vertical="center" wrapText="1"/>
    </xf>
    <xf numFmtId="3" fontId="11" fillId="0" borderId="59" xfId="0" applyNumberFormat="1" applyFont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168" fontId="23" fillId="0" borderId="0" xfId="0" applyNumberFormat="1" applyFont="1" applyFill="1" applyAlignment="1">
      <alignment vertical="center"/>
    </xf>
    <xf numFmtId="0" fontId="23" fillId="0" borderId="7" xfId="0" applyFont="1" applyFill="1" applyBorder="1" applyAlignment="1">
      <alignment vertical="center"/>
    </xf>
    <xf numFmtId="169" fontId="23" fillId="0" borderId="0" xfId="0" applyNumberFormat="1" applyFont="1" applyFill="1" applyAlignment="1">
      <alignment vertical="center"/>
    </xf>
    <xf numFmtId="0" fontId="23" fillId="0" borderId="0" xfId="5" applyFont="1" applyFill="1" applyBorder="1" applyAlignment="1">
      <alignment vertical="center" wrapText="1"/>
    </xf>
    <xf numFmtId="0" fontId="23" fillId="0" borderId="7" xfId="5" applyFont="1" applyFill="1" applyBorder="1" applyAlignment="1">
      <alignment vertical="center" wrapText="1"/>
    </xf>
    <xf numFmtId="0" fontId="23" fillId="0" borderId="12" xfId="6" applyFont="1" applyBorder="1" applyAlignment="1">
      <alignment horizontal="center" vertical="center" wrapText="1"/>
    </xf>
    <xf numFmtId="0" fontId="23" fillId="0" borderId="0" xfId="5" applyFont="1" applyFill="1" applyBorder="1" applyAlignment="1">
      <alignment horizontal="left" vertical="center" wrapText="1"/>
    </xf>
    <xf numFmtId="0" fontId="23" fillId="0" borderId="7" xfId="5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31" fillId="0" borderId="16" xfId="0" applyFont="1" applyFill="1" applyBorder="1" applyAlignment="1">
      <alignment horizontal="center"/>
    </xf>
    <xf numFmtId="0" fontId="31" fillId="0" borderId="51" xfId="0" applyFont="1" applyFill="1" applyBorder="1" applyAlignment="1">
      <alignment horizontal="center"/>
    </xf>
    <xf numFmtId="0" fontId="31" fillId="0" borderId="17" xfId="0" applyFont="1" applyFill="1" applyBorder="1" applyAlignment="1">
      <alignment horizontal="center"/>
    </xf>
    <xf numFmtId="0" fontId="34" fillId="0" borderId="18" xfId="6" applyFont="1" applyFill="1" applyBorder="1" applyAlignment="1">
      <alignment horizontal="left" vertical="center" wrapText="1"/>
    </xf>
    <xf numFmtId="0" fontId="34" fillId="0" borderId="43" xfId="6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wrapText="1" indent="1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 indent="1"/>
    </xf>
    <xf numFmtId="167" fontId="19" fillId="0" borderId="16" xfId="0" applyNumberFormat="1" applyFont="1" applyBorder="1" applyAlignment="1">
      <alignment horizontal="center" vertical="center"/>
    </xf>
    <xf numFmtId="167" fontId="19" fillId="0" borderId="17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58" xfId="0" applyFont="1" applyBorder="1" applyAlignment="1">
      <alignment vertical="center" wrapText="1"/>
    </xf>
    <xf numFmtId="0" fontId="21" fillId="0" borderId="55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center"/>
    </xf>
    <xf numFmtId="3" fontId="13" fillId="0" borderId="17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 applyAlignment="1">
      <alignment horizontal="left" indent="1"/>
    </xf>
    <xf numFmtId="0" fontId="11" fillId="0" borderId="19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49" fontId="15" fillId="0" borderId="23" xfId="0" applyNumberFormat="1" applyFont="1" applyBorder="1" applyAlignment="1">
      <alignment horizontal="justify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8" fillId="0" borderId="28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center"/>
    </xf>
    <xf numFmtId="0" fontId="0" fillId="0" borderId="2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3" fillId="0" borderId="35" xfId="0" applyFont="1" applyBorder="1" applyAlignment="1">
      <alignment horizontal="left" vertical="center" wrapText="1"/>
    </xf>
    <xf numFmtId="0" fontId="0" fillId="0" borderId="22" xfId="0" applyBorder="1"/>
    <xf numFmtId="0" fontId="13" fillId="0" borderId="9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23" fillId="0" borderId="0" xfId="6" applyFont="1" applyFill="1" applyBorder="1" applyAlignment="1">
      <alignment horizontal="left" vertical="center" wrapText="1"/>
    </xf>
    <xf numFmtId="0" fontId="23" fillId="0" borderId="7" xfId="6" applyFont="1" applyFill="1" applyBorder="1" applyAlignment="1">
      <alignment horizontal="left" vertical="center" wrapText="1"/>
    </xf>
  </cellXfs>
  <cellStyles count="7">
    <cellStyle name="Encabezado 1" xfId="1"/>
    <cellStyle name="Moneda" xfId="4" builtinId="4"/>
    <cellStyle name="Moneda_AUTORIZACION Y NOTA DE PEDIDO" xfId="2"/>
    <cellStyle name="Neutral 1" xfId="3"/>
    <cellStyle name="Normal" xfId="0" builtinId="0"/>
    <cellStyle name="Normal 2 2" xfId="6"/>
    <cellStyle name="Normal 2 3" xfId="5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H18" sqref="H18"/>
    </sheetView>
  </sheetViews>
  <sheetFormatPr baseColWidth="10" defaultColWidth="11" defaultRowHeight="12.75" x14ac:dyDescent="0.2"/>
  <cols>
    <col min="1" max="1" width="5.85546875" style="47" customWidth="1"/>
    <col min="2" max="2" width="14" style="47" customWidth="1"/>
    <col min="3" max="3" width="21.42578125" style="47" customWidth="1"/>
    <col min="4" max="4" width="8.42578125" style="47" customWidth="1"/>
    <col min="5" max="5" width="75.42578125" style="47" customWidth="1"/>
    <col min="6" max="6" width="13.5703125" style="47" customWidth="1"/>
    <col min="7" max="7" width="10.42578125" style="47" bestFit="1" customWidth="1"/>
    <col min="8" max="8" width="15.7109375" style="47" customWidth="1"/>
    <col min="9" max="9" width="18.5703125" style="48" customWidth="1"/>
    <col min="10" max="12" width="11" style="47"/>
    <col min="13" max="13" width="12" style="47" bestFit="1" customWidth="1"/>
    <col min="14" max="16384" width="11" style="47"/>
  </cols>
  <sheetData>
    <row r="1" spans="1:11" x14ac:dyDescent="0.2">
      <c r="A1" s="47">
        <v>2022</v>
      </c>
    </row>
    <row r="2" spans="1:11" ht="27" x14ac:dyDescent="0.35">
      <c r="B2" s="115" t="s">
        <v>40</v>
      </c>
      <c r="C2" s="115"/>
      <c r="D2" s="115"/>
      <c r="E2" s="115"/>
      <c r="F2" s="115"/>
      <c r="G2" s="115"/>
      <c r="H2" s="115"/>
    </row>
    <row r="4" spans="1:11" ht="15.75" x14ac:dyDescent="0.25">
      <c r="A4" s="109" t="s">
        <v>41</v>
      </c>
      <c r="B4" s="109"/>
      <c r="C4" s="116" t="s">
        <v>42</v>
      </c>
      <c r="D4" s="116"/>
      <c r="E4" s="116"/>
      <c r="F4" s="49"/>
      <c r="G4" s="50"/>
      <c r="H4" s="49"/>
    </row>
    <row r="5" spans="1:11" ht="15.75" x14ac:dyDescent="0.25">
      <c r="A5" s="109" t="s">
        <v>43</v>
      </c>
      <c r="B5" s="109"/>
      <c r="C5" s="116" t="s">
        <v>44</v>
      </c>
      <c r="D5" s="116"/>
      <c r="E5" s="116"/>
      <c r="F5" s="49"/>
      <c r="G5" s="50"/>
      <c r="H5" s="49"/>
    </row>
    <row r="6" spans="1:11" ht="15.75" x14ac:dyDescent="0.25">
      <c r="A6" s="109" t="s">
        <v>15</v>
      </c>
      <c r="B6" s="109"/>
      <c r="C6" s="51">
        <v>2022</v>
      </c>
      <c r="D6" s="52"/>
      <c r="E6" s="52"/>
      <c r="F6" s="49"/>
      <c r="G6" s="50"/>
      <c r="H6" s="49"/>
    </row>
    <row r="7" spans="1:11" ht="15.75" x14ac:dyDescent="0.25">
      <c r="A7" s="109" t="s">
        <v>45</v>
      </c>
      <c r="B7" s="109"/>
      <c r="C7" s="51">
        <v>3</v>
      </c>
      <c r="D7" s="52"/>
      <c r="E7" s="52"/>
      <c r="F7" s="49"/>
      <c r="G7" s="50"/>
      <c r="H7" s="49"/>
    </row>
    <row r="8" spans="1:11" x14ac:dyDescent="0.2">
      <c r="B8" s="49"/>
      <c r="C8" s="50"/>
      <c r="D8" s="49"/>
      <c r="E8" s="49"/>
      <c r="F8" s="49"/>
      <c r="G8" s="50"/>
      <c r="H8" s="49"/>
    </row>
    <row r="9" spans="1:11" ht="38.25" x14ac:dyDescent="0.2">
      <c r="A9" s="77" t="s">
        <v>46</v>
      </c>
      <c r="B9" s="77" t="s">
        <v>47</v>
      </c>
      <c r="C9" s="77" t="s">
        <v>48</v>
      </c>
      <c r="D9" s="77" t="s">
        <v>49</v>
      </c>
      <c r="E9" s="77" t="s">
        <v>50</v>
      </c>
      <c r="F9" s="77" t="s">
        <v>51</v>
      </c>
      <c r="G9" s="77" t="s">
        <v>52</v>
      </c>
      <c r="H9" s="77" t="s">
        <v>53</v>
      </c>
      <c r="I9" s="78" t="s">
        <v>54</v>
      </c>
    </row>
    <row r="10" spans="1:11" s="81" customFormat="1" ht="45" customHeight="1" thickBot="1" x14ac:dyDescent="0.25">
      <c r="A10" s="53">
        <v>1</v>
      </c>
      <c r="B10" s="54" t="s">
        <v>66</v>
      </c>
      <c r="C10" s="55" t="s">
        <v>67</v>
      </c>
      <c r="D10" s="56" t="s">
        <v>68</v>
      </c>
      <c r="E10" s="90" t="s">
        <v>69</v>
      </c>
      <c r="F10" s="54" t="s">
        <v>70</v>
      </c>
      <c r="G10" s="79">
        <v>3</v>
      </c>
      <c r="H10" s="80">
        <v>513534.93</v>
      </c>
      <c r="I10" s="57">
        <f t="shared" ref="I10" si="0">+G10*H10</f>
        <v>1540604.79</v>
      </c>
      <c r="K10" s="82"/>
    </row>
    <row r="11" spans="1:11" ht="13.5" thickBot="1" x14ac:dyDescent="0.25">
      <c r="A11" s="110" t="s">
        <v>61</v>
      </c>
      <c r="B11" s="111"/>
      <c r="C11" s="111"/>
      <c r="D11" s="111"/>
      <c r="E11" s="111"/>
      <c r="F11" s="111"/>
      <c r="G11" s="111"/>
      <c r="H11" s="112"/>
      <c r="I11" s="58">
        <f>SUM(I10:I10)</f>
        <v>1540604.79</v>
      </c>
    </row>
    <row r="12" spans="1:11" ht="13.5" thickBot="1" x14ac:dyDescent="0.25"/>
    <row r="13" spans="1:11" s="81" customFormat="1" ht="41.25" customHeight="1" x14ac:dyDescent="0.2">
      <c r="B13" s="100"/>
      <c r="C13" s="87" t="s">
        <v>65</v>
      </c>
      <c r="D13" s="113" t="s">
        <v>63</v>
      </c>
      <c r="E13" s="114"/>
      <c r="I13" s="101"/>
    </row>
    <row r="14" spans="1:11" s="81" customFormat="1" x14ac:dyDescent="0.2">
      <c r="B14" s="100"/>
      <c r="C14" s="88"/>
      <c r="D14" s="60"/>
      <c r="E14" s="102"/>
      <c r="I14" s="101"/>
    </row>
    <row r="15" spans="1:11" s="81" customFormat="1" x14ac:dyDescent="0.2">
      <c r="B15" s="100"/>
      <c r="C15" s="88" t="s">
        <v>55</v>
      </c>
      <c r="D15" s="61" t="s">
        <v>56</v>
      </c>
      <c r="E15" s="102"/>
      <c r="I15" s="101"/>
    </row>
    <row r="16" spans="1:11" s="81" customFormat="1" x14ac:dyDescent="0.2">
      <c r="B16" s="100"/>
      <c r="C16" s="88"/>
      <c r="D16" s="62"/>
      <c r="E16" s="102"/>
      <c r="I16" s="101"/>
    </row>
    <row r="17" spans="1:9" s="81" customFormat="1" ht="59.25" customHeight="1" x14ac:dyDescent="0.2">
      <c r="B17" s="100"/>
      <c r="C17" s="88" t="s">
        <v>57</v>
      </c>
      <c r="D17" s="158" t="s">
        <v>71</v>
      </c>
      <c r="E17" s="159"/>
      <c r="F17" s="64"/>
      <c r="G17" s="64"/>
      <c r="H17" s="103"/>
      <c r="I17" s="101"/>
    </row>
    <row r="18" spans="1:9" s="81" customFormat="1" x14ac:dyDescent="0.2">
      <c r="B18" s="104"/>
      <c r="C18" s="88"/>
      <c r="D18" s="63"/>
      <c r="E18" s="105"/>
      <c r="F18" s="64"/>
      <c r="G18" s="89"/>
      <c r="H18" s="103"/>
      <c r="I18" s="101"/>
    </row>
    <row r="19" spans="1:9" s="81" customFormat="1" ht="17.25" customHeight="1" x14ac:dyDescent="0.2">
      <c r="B19" s="104"/>
      <c r="C19" s="106" t="s">
        <v>58</v>
      </c>
      <c r="D19" s="65"/>
      <c r="E19" s="105"/>
      <c r="F19" s="66"/>
      <c r="G19" s="66"/>
      <c r="H19" s="103"/>
      <c r="I19" s="101"/>
    </row>
    <row r="20" spans="1:9" s="81" customFormat="1" x14ac:dyDescent="0.2">
      <c r="B20" s="104"/>
      <c r="C20" s="106"/>
      <c r="D20" s="65"/>
      <c r="E20" s="105"/>
      <c r="F20" s="66"/>
      <c r="G20" s="66"/>
      <c r="H20" s="103"/>
    </row>
    <row r="21" spans="1:9" s="81" customFormat="1" x14ac:dyDescent="0.2">
      <c r="B21" s="107"/>
      <c r="C21" s="106" t="s">
        <v>59</v>
      </c>
      <c r="D21" s="67" t="s">
        <v>60</v>
      </c>
      <c r="E21" s="108"/>
      <c r="F21" s="66"/>
      <c r="G21" s="66"/>
      <c r="H21" s="103"/>
    </row>
    <row r="22" spans="1:9" ht="13.5" thickBot="1" x14ac:dyDescent="0.25">
      <c r="B22" s="68"/>
      <c r="C22" s="69"/>
      <c r="D22" s="70"/>
      <c r="E22" s="71"/>
      <c r="I22" s="47"/>
    </row>
    <row r="23" spans="1:9" x14ac:dyDescent="0.2">
      <c r="A23" s="59"/>
      <c r="B23" s="59"/>
      <c r="C23" s="59"/>
      <c r="D23" s="59"/>
      <c r="E23" s="59"/>
      <c r="F23" s="59"/>
      <c r="I23" s="47"/>
    </row>
  </sheetData>
  <mergeCells count="10">
    <mergeCell ref="D17:E17"/>
    <mergeCell ref="A7:B7"/>
    <mergeCell ref="A11:H11"/>
    <mergeCell ref="D13:E13"/>
    <mergeCell ref="B2:H2"/>
    <mergeCell ref="A4:B4"/>
    <mergeCell ref="C4:E4"/>
    <mergeCell ref="A5:B5"/>
    <mergeCell ref="C5:E5"/>
    <mergeCell ref="A6:B6"/>
  </mergeCells>
  <conditionalFormatting sqref="C15:C21">
    <cfRule type="duplicateValues" dxfId="3" priority="1"/>
  </conditionalFormatting>
  <conditionalFormatting sqref="C15:C21">
    <cfRule type="duplicateValues" dxfId="2" priority="2"/>
  </conditionalFormatting>
  <conditionalFormatting sqref="C15:C21">
    <cfRule type="duplicateValues" dxfId="1" priority="3"/>
  </conditionalFormatting>
  <conditionalFormatting sqref="C15:C21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115" zoomScaleNormal="115" workbookViewId="0">
      <selection activeCell="E17" sqref="E1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7.8554687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2" t="s">
        <v>1</v>
      </c>
      <c r="K1" s="93" t="s">
        <v>72</v>
      </c>
    </row>
    <row r="2" spans="1:11" ht="18.75" customHeight="1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8.75" customHeight="1" thickBot="1" x14ac:dyDescent="0.25">
      <c r="A3" s="118" t="s">
        <v>2</v>
      </c>
      <c r="B3" s="118"/>
      <c r="C3" s="118"/>
      <c r="D3" s="83" t="str">
        <f>'SAF 011'!C4</f>
        <v>040 - MINISTERIO DE SALUD</v>
      </c>
      <c r="E3" s="84"/>
      <c r="F3" s="84"/>
      <c r="G3" s="84"/>
      <c r="H3" s="84"/>
      <c r="I3" s="84"/>
      <c r="J3" s="84"/>
      <c r="K3" s="85"/>
    </row>
    <row r="4" spans="1:11" ht="18.75" customHeight="1" thickBot="1" x14ac:dyDescent="0.25">
      <c r="A4" s="119" t="s">
        <v>3</v>
      </c>
      <c r="B4" s="119"/>
      <c r="C4" s="119"/>
      <c r="D4" s="83" t="str">
        <f>'SAF 011'!C5</f>
        <v>011 - DIRECCION PROVINCIAL DE ADMINISTRACION - MS</v>
      </c>
      <c r="E4" s="84"/>
      <c r="F4" s="84"/>
      <c r="G4" s="84"/>
      <c r="H4" s="84"/>
      <c r="I4" s="84"/>
      <c r="J4" s="84"/>
      <c r="K4" s="85"/>
    </row>
    <row r="5" spans="1:11" ht="18.75" customHeight="1" thickBot="1" x14ac:dyDescent="0.25">
      <c r="A5" s="119" t="s">
        <v>4</v>
      </c>
      <c r="B5" s="119"/>
      <c r="C5" s="119"/>
      <c r="D5" s="83" t="s">
        <v>76</v>
      </c>
      <c r="E5" s="84"/>
      <c r="F5" s="84"/>
      <c r="G5" s="84"/>
      <c r="H5" s="84"/>
      <c r="I5" s="84"/>
      <c r="J5" s="84"/>
      <c r="K5" s="85"/>
    </row>
    <row r="6" spans="1:11" ht="16.5" customHeight="1" thickBot="1" x14ac:dyDescent="0.25">
      <c r="A6" s="118" t="s">
        <v>5</v>
      </c>
      <c r="B6" s="118"/>
      <c r="C6" s="118"/>
      <c r="D6" s="83" t="s">
        <v>76</v>
      </c>
      <c r="E6" s="84"/>
      <c r="F6" s="84"/>
      <c r="G6" s="84"/>
      <c r="H6" s="84"/>
      <c r="I6" s="84"/>
      <c r="J6" s="84"/>
      <c r="K6" s="85"/>
    </row>
    <row r="7" spans="1:11" ht="16.5" customHeight="1" thickBot="1" x14ac:dyDescent="0.25">
      <c r="A7" s="119" t="s">
        <v>6</v>
      </c>
      <c r="B7" s="119"/>
      <c r="C7" s="119"/>
      <c r="D7" s="83" t="s">
        <v>62</v>
      </c>
      <c r="E7" s="84"/>
      <c r="F7" s="84"/>
      <c r="G7" s="84"/>
      <c r="H7" s="84"/>
      <c r="I7" s="84"/>
      <c r="J7" s="84"/>
      <c r="K7" s="85"/>
    </row>
    <row r="8" spans="1:11" ht="16.5" customHeight="1" thickBot="1" x14ac:dyDescent="0.25">
      <c r="A8" s="123" t="s">
        <v>7</v>
      </c>
      <c r="B8" s="123"/>
      <c r="C8" s="123"/>
      <c r="D8" s="86" t="s">
        <v>77</v>
      </c>
      <c r="E8" s="84"/>
      <c r="F8" s="84"/>
      <c r="G8" s="84"/>
      <c r="H8" s="84"/>
      <c r="I8" s="84"/>
      <c r="J8" s="84"/>
      <c r="K8" s="85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18.75" customHeight="1" thickBot="1" x14ac:dyDescent="0.25">
      <c r="A10" s="124" t="s">
        <v>8</v>
      </c>
      <c r="B10" s="125" t="s">
        <v>9</v>
      </c>
      <c r="C10" s="125" t="s">
        <v>10</v>
      </c>
      <c r="D10" s="125"/>
      <c r="E10" s="125"/>
      <c r="F10" s="125"/>
      <c r="G10" s="125"/>
      <c r="H10" s="125" t="s">
        <v>11</v>
      </c>
      <c r="I10" s="125" t="s">
        <v>12</v>
      </c>
      <c r="J10" s="125" t="s">
        <v>13</v>
      </c>
      <c r="K10" s="126" t="s">
        <v>14</v>
      </c>
    </row>
    <row r="11" spans="1:11" ht="24" customHeight="1" thickBot="1" x14ac:dyDescent="0.25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ht="39.75" customHeight="1" x14ac:dyDescent="0.2">
      <c r="A12" s="94">
        <v>1</v>
      </c>
      <c r="B12" s="95" t="str">
        <f>'SAF 011'!B10</f>
        <v>4.3.3-9165.1</v>
      </c>
      <c r="C12" s="127" t="str">
        <f>'SAF 011'!E10</f>
        <v>EQUIPOS DE MONITOREO; USO: TERAPIA INTENSIVA/CORONARIA, CANTIDAD DE MONITORES: 1</v>
      </c>
      <c r="D12" s="127"/>
      <c r="E12" s="127"/>
      <c r="F12" s="127"/>
      <c r="G12" s="127"/>
      <c r="H12" s="96" t="s">
        <v>39</v>
      </c>
      <c r="I12" s="97" t="str">
        <f>'SAF 011'!F10</f>
        <v>UNIDAD</v>
      </c>
      <c r="J12" s="98">
        <f>'SAF 011'!H10</f>
        <v>513534.93</v>
      </c>
      <c r="K12" s="99">
        <f>'SAF 011'!G10</f>
        <v>3</v>
      </c>
    </row>
    <row r="13" spans="1:11" ht="15" customHeight="1" thickBot="1" x14ac:dyDescent="0.25">
      <c r="A13" s="72"/>
      <c r="B13" s="73"/>
      <c r="C13" s="128"/>
      <c r="D13" s="128"/>
      <c r="E13" s="128"/>
      <c r="F13" s="128"/>
      <c r="G13" s="128"/>
      <c r="H13" s="74"/>
      <c r="I13" s="75"/>
      <c r="J13" s="75"/>
      <c r="K13" s="76"/>
    </row>
    <row r="14" spans="1:11" ht="25.5" customHeight="1" thickBot="1" x14ac:dyDescent="0.25">
      <c r="A14" s="120" t="s">
        <v>73</v>
      </c>
      <c r="B14" s="120"/>
      <c r="C14" s="120"/>
      <c r="D14" s="120"/>
      <c r="E14" s="120"/>
      <c r="F14" s="120"/>
      <c r="G14" s="120"/>
      <c r="H14" s="120"/>
      <c r="I14" s="120"/>
      <c r="J14" s="121">
        <f>SUMPRODUCT(J12:J12,K12:K12)</f>
        <v>1540604.79</v>
      </c>
      <c r="K14" s="122"/>
    </row>
  </sheetData>
  <mergeCells count="18">
    <mergeCell ref="A7:C7"/>
    <mergeCell ref="C12:G12"/>
    <mergeCell ref="C13:G13"/>
    <mergeCell ref="A14:I14"/>
    <mergeCell ref="J14:K14"/>
    <mergeCell ref="A8:C8"/>
    <mergeCell ref="A10:A11"/>
    <mergeCell ref="B10:B11"/>
    <mergeCell ref="C10:G11"/>
    <mergeCell ref="H10:H11"/>
    <mergeCell ref="I10:I11"/>
    <mergeCell ref="J10:J11"/>
    <mergeCell ref="K10:K11"/>
    <mergeCell ref="A1:I1"/>
    <mergeCell ref="A3:C3"/>
    <mergeCell ref="A4:C4"/>
    <mergeCell ref="A5:C5"/>
    <mergeCell ref="A6:C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opLeftCell="A13" zoomScale="130" zoomScaleNormal="130" workbookViewId="0">
      <selection activeCell="J22" sqref="J22"/>
    </sheetView>
  </sheetViews>
  <sheetFormatPr baseColWidth="10" defaultColWidth="11" defaultRowHeight="12.75" x14ac:dyDescent="0.2"/>
  <cols>
    <col min="1" max="5" width="4.42578125" customWidth="1"/>
    <col min="6" max="6" width="5.140625" customWidth="1"/>
    <col min="7" max="7" width="4.42578125" style="11" customWidth="1"/>
    <col min="8" max="14" width="4.42578125" customWidth="1"/>
    <col min="15" max="15" width="14.85546875" customWidth="1"/>
    <col min="16" max="16" width="14.42578125" customWidth="1"/>
    <col min="17" max="17" width="15.42578125" customWidth="1"/>
  </cols>
  <sheetData>
    <row r="1" spans="1:17" ht="15.75" customHeight="1" x14ac:dyDescent="0.25">
      <c r="A1" s="129" t="s">
        <v>15</v>
      </c>
      <c r="B1" s="129"/>
      <c r="C1" s="129"/>
      <c r="D1" s="130">
        <v>2022</v>
      </c>
      <c r="E1" s="130"/>
      <c r="F1" s="12"/>
      <c r="G1" s="12"/>
      <c r="H1" s="13"/>
      <c r="I1" s="13"/>
      <c r="J1" s="13"/>
      <c r="K1" s="13"/>
      <c r="L1" s="13"/>
      <c r="M1" s="13"/>
      <c r="N1" s="13"/>
      <c r="O1" s="14"/>
      <c r="P1" s="131" t="s">
        <v>16</v>
      </c>
      <c r="Q1" s="131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31"/>
      <c r="Q2" s="131"/>
    </row>
    <row r="3" spans="1:17" x14ac:dyDescent="0.2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thickBot="1" x14ac:dyDescent="0.25">
      <c r="A4" s="132" t="s">
        <v>17</v>
      </c>
      <c r="B4" s="132"/>
      <c r="C4" s="132"/>
      <c r="D4" s="132"/>
      <c r="E4" s="132"/>
      <c r="F4" s="132"/>
      <c r="G4" s="133" t="str">
        <f>' NotaPedido'!D3</f>
        <v>040 - MINISTERIO DE SALUD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20" customFormat="1" ht="18" customHeight="1" thickBot="1" x14ac:dyDescent="0.25">
      <c r="A5" s="134" t="s">
        <v>3</v>
      </c>
      <c r="B5" s="134"/>
      <c r="C5" s="134"/>
      <c r="D5" s="134"/>
      <c r="E5" s="134"/>
      <c r="F5" s="134"/>
      <c r="G5" s="133" t="str">
        <f>' NotaPedido'!D4</f>
        <v>011 - DIRECCION PROVINCIAL DE ADMINISTRACION - MS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20" customFormat="1" ht="18" customHeight="1" thickBot="1" x14ac:dyDescent="0.25">
      <c r="A6" s="134" t="s">
        <v>4</v>
      </c>
      <c r="B6" s="134"/>
      <c r="C6" s="134"/>
      <c r="D6" s="134"/>
      <c r="E6" s="134"/>
      <c r="F6" s="134"/>
      <c r="G6" s="133" t="str">
        <f>' NotaPedido'!D5</f>
        <v>352 - MINISTERIO DE SALUD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20" customFormat="1" ht="18" customHeight="1" thickBot="1" x14ac:dyDescent="0.25">
      <c r="A7" s="134" t="s">
        <v>5</v>
      </c>
      <c r="B7" s="134"/>
      <c r="C7" s="134"/>
      <c r="D7" s="134"/>
      <c r="E7" s="134"/>
      <c r="F7" s="134"/>
      <c r="G7" s="133" t="str">
        <f>' NotaPedido'!D6</f>
        <v>352 - MINISTERIO DE SALUD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5" t="s">
        <v>18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7" ht="18" customHeight="1" x14ac:dyDescent="0.2">
      <c r="A9" s="136" t="s">
        <v>19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</row>
    <row r="10" spans="1:17" ht="60" customHeight="1" x14ac:dyDescent="0.2">
      <c r="A10" s="137" t="s">
        <v>75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x14ac:dyDescent="0.2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thickBot="1" x14ac:dyDescent="0.25">
      <c r="A12" s="138" t="s">
        <v>20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thickBot="1" x14ac:dyDescent="0.25">
      <c r="A13" s="139" t="s">
        <v>21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22</v>
      </c>
      <c r="P13" s="140"/>
      <c r="Q13" s="142" t="s">
        <v>23</v>
      </c>
    </row>
    <row r="14" spans="1:17" ht="15.75" customHeight="1" thickBot="1" x14ac:dyDescent="0.25">
      <c r="A14" s="42" t="s">
        <v>24</v>
      </c>
      <c r="B14" s="43" t="s">
        <v>25</v>
      </c>
      <c r="C14" s="43" t="s">
        <v>26</v>
      </c>
      <c r="D14" s="43" t="s">
        <v>27</v>
      </c>
      <c r="E14" s="43" t="s">
        <v>28</v>
      </c>
      <c r="F14" s="43" t="s">
        <v>29</v>
      </c>
      <c r="G14" s="44" t="s">
        <v>30</v>
      </c>
      <c r="H14" s="43" t="s">
        <v>31</v>
      </c>
      <c r="I14" s="43" t="s">
        <v>32</v>
      </c>
      <c r="J14" s="43" t="s">
        <v>33</v>
      </c>
      <c r="K14" s="43" t="s">
        <v>33</v>
      </c>
      <c r="L14" s="43" t="s">
        <v>34</v>
      </c>
      <c r="M14" s="45" t="s">
        <v>35</v>
      </c>
      <c r="N14" s="46" t="s">
        <v>36</v>
      </c>
      <c r="O14" s="141"/>
      <c r="P14" s="141"/>
      <c r="Q14" s="143"/>
    </row>
    <row r="15" spans="1:17" ht="24" customHeight="1" x14ac:dyDescent="0.2">
      <c r="A15" s="91">
        <v>1</v>
      </c>
      <c r="B15" s="92" t="s">
        <v>38</v>
      </c>
      <c r="C15" s="92" t="s">
        <v>38</v>
      </c>
      <c r="D15" s="92">
        <v>1</v>
      </c>
      <c r="E15" s="92" t="s">
        <v>38</v>
      </c>
      <c r="F15" s="92">
        <v>4901</v>
      </c>
      <c r="G15" s="26">
        <v>3</v>
      </c>
      <c r="H15" s="26">
        <v>1</v>
      </c>
      <c r="I15" s="26">
        <v>4</v>
      </c>
      <c r="J15" s="26">
        <v>3</v>
      </c>
      <c r="K15" s="26">
        <v>3</v>
      </c>
      <c r="L15" s="40" t="s">
        <v>38</v>
      </c>
      <c r="M15" s="27">
        <v>1</v>
      </c>
      <c r="N15" s="40" t="s">
        <v>64</v>
      </c>
      <c r="O15" s="144" t="s">
        <v>74</v>
      </c>
      <c r="P15" s="145"/>
      <c r="Q15" s="41">
        <f>' NotaPedido'!J14</f>
        <v>1540604.79</v>
      </c>
    </row>
    <row r="16" spans="1:17" ht="17.2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8"/>
      <c r="O16" s="146"/>
      <c r="P16" s="146"/>
      <c r="Q16" s="29"/>
    </row>
    <row r="17" spans="1:18" ht="17.25" customHeight="1" x14ac:dyDescent="0.2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/>
      <c r="N17" s="28"/>
      <c r="O17" s="147"/>
      <c r="P17" s="147"/>
      <c r="Q17" s="29"/>
    </row>
    <row r="18" spans="1:18" ht="17.2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8"/>
      <c r="O18" s="148"/>
      <c r="P18" s="148"/>
      <c r="Q18" s="29"/>
    </row>
    <row r="19" spans="1:18" ht="17.25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  <c r="N19" s="28"/>
      <c r="O19" s="148"/>
      <c r="P19" s="148"/>
      <c r="Q19" s="29"/>
    </row>
    <row r="20" spans="1:18" ht="17.2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8"/>
      <c r="O20" s="148"/>
      <c r="P20" s="148"/>
      <c r="Q20" s="29"/>
    </row>
    <row r="21" spans="1:18" ht="17.2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28"/>
      <c r="O21" s="148"/>
      <c r="P21" s="148"/>
      <c r="Q21" s="29"/>
    </row>
    <row r="22" spans="1:18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8"/>
      <c r="O22" s="148"/>
      <c r="P22" s="148"/>
      <c r="Q22" s="29"/>
    </row>
    <row r="23" spans="1:18" ht="17.25" customHeight="1" x14ac:dyDescent="0.2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28"/>
      <c r="O23" s="148"/>
      <c r="P23" s="148"/>
      <c r="Q23" s="29"/>
    </row>
    <row r="24" spans="1:18" ht="17.25" customHeight="1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/>
      <c r="N24" s="28"/>
      <c r="O24" s="148"/>
      <c r="P24" s="148"/>
      <c r="Q24" s="29"/>
    </row>
    <row r="25" spans="1:18" ht="17.25" customHeight="1" x14ac:dyDescent="0.2">
      <c r="A25" s="25"/>
      <c r="B25" s="26"/>
      <c r="C25" s="26"/>
      <c r="D25" s="26"/>
      <c r="E25" s="26"/>
      <c r="F25" s="28"/>
      <c r="G25" s="26"/>
      <c r="H25" s="26"/>
      <c r="I25" s="26"/>
      <c r="J25" s="26"/>
      <c r="K25" s="26"/>
      <c r="L25" s="26"/>
      <c r="M25" s="27"/>
      <c r="N25" s="28"/>
      <c r="O25" s="146"/>
      <c r="P25" s="146"/>
      <c r="Q25" s="29"/>
    </row>
    <row r="26" spans="1:18" ht="17.25" customHeight="1" x14ac:dyDescent="0.2">
      <c r="A26" s="30"/>
      <c r="B26" s="31"/>
      <c r="C26" s="31"/>
      <c r="D26" s="31"/>
      <c r="E26" s="31"/>
      <c r="F26" s="32"/>
      <c r="G26" s="31"/>
      <c r="H26" s="31"/>
      <c r="I26" s="31"/>
      <c r="J26" s="31"/>
      <c r="K26" s="31"/>
      <c r="L26" s="31"/>
      <c r="M26" s="33"/>
      <c r="N26" s="34"/>
      <c r="O26" s="152"/>
      <c r="P26" s="152"/>
      <c r="Q26" s="29"/>
      <c r="R26" s="16"/>
    </row>
    <row r="27" spans="1:18" ht="17.25" customHeight="1" x14ac:dyDescent="0.2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36"/>
      <c r="O27" s="153"/>
      <c r="P27" s="153"/>
      <c r="Q27" s="38"/>
    </row>
    <row r="28" spans="1:18" ht="33" customHeight="1" x14ac:dyDescent="0.2">
      <c r="A28" s="154" t="s">
        <v>78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39">
        <f>SUM(Q15:Q27)</f>
        <v>1540604.79</v>
      </c>
    </row>
    <row r="29" spans="1:18" ht="18" customHeight="1" x14ac:dyDescent="0.2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</row>
    <row r="30" spans="1:18" ht="17.25" customHeight="1" thickBot="1" x14ac:dyDescent="0.25">
      <c r="A30" s="156" t="s">
        <v>37</v>
      </c>
      <c r="B30" s="156"/>
      <c r="C30" s="156"/>
      <c r="D30" s="156"/>
      <c r="E30" s="156"/>
      <c r="F30" s="156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</row>
    <row r="31" spans="1:18" ht="37.5" customHeight="1" thickBot="1" x14ac:dyDescent="0.25">
      <c r="A31" s="149" t="str">
        <f>' NotaPedido'!D8</f>
        <v>ADQ. DE EQUIPOS SANITARIOS (MONITORES MULTIPARAMETRICOS) CON DESTINO A CENTROS DE SALUD DE LA PROVINCIA .-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1"/>
    </row>
  </sheetData>
  <mergeCells count="36">
    <mergeCell ref="A31:Q31"/>
    <mergeCell ref="O25:P25"/>
    <mergeCell ref="O26:P26"/>
    <mergeCell ref="O27:P27"/>
    <mergeCell ref="A28:P28"/>
    <mergeCell ref="A29:Q29"/>
    <mergeCell ref="A30:F30"/>
    <mergeCell ref="G30:Q30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SAF 011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2020-07-21T14:18:42Z</cp:lastPrinted>
  <dcterms:created xsi:type="dcterms:W3CDTF">2020-07-17T23:44:49Z</dcterms:created>
  <dcterms:modified xsi:type="dcterms:W3CDTF">2022-07-14T21:36:55Z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