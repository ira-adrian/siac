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ara la POCHA con cariño\Adq.de Indumentaria de Trabajo\nuevo\"/>
    </mc:Choice>
  </mc:AlternateContent>
  <xr:revisionPtr revIDLastSave="0" documentId="13_ncr:1_{F79AEF17-7B51-4502-A3A1-63CD85D65F0D}" xr6:coauthVersionLast="47" xr6:coauthVersionMax="47" xr10:uidLastSave="{00000000-0000-0000-0000-000000000000}"/>
  <bookViews>
    <workbookView xWindow="-120" yWindow="-120" windowWidth="29040" windowHeight="15840" tabRatio="500" firstSheet="2" activeTab="2" xr2:uid="{00000000-000D-0000-FFFF-FFFF00000000}"/>
  </bookViews>
  <sheets>
    <sheet name=" NotaPedido" sheetId="2" state="hidden" r:id="rId1"/>
    <sheet name="Autor Gastar" sheetId="3" state="hidden" r:id="rId2"/>
    <sheet name="Necesidades Trimestrales Ind." sheetId="4" r:id="rId3"/>
  </sheets>
  <externalReferences>
    <externalReference r:id="rId4"/>
  </externalReferences>
  <definedNames>
    <definedName name="_xlnm.Print_Area" localSheetId="0">' NotaPedido'!$A$1:$K$30</definedName>
    <definedName name="_xlnm.Print_Area" localSheetId="1">'Autor Gastar'!$A$1:$Q$27</definedName>
    <definedName name="_xlnm.Print_Area" localSheetId="2">'Necesidades Trimestrales Ind.'!$A$1:$I$28</definedName>
  </definedNames>
  <calcPr calcId="181029"/>
  <fileRecoveryPr autoRecover="0"/>
</workbook>
</file>

<file path=xl/calcChain.xml><?xml version="1.0" encoding="utf-8"?>
<calcChain xmlns="http://schemas.openxmlformats.org/spreadsheetml/2006/main">
  <c r="I12" i="4" l="1"/>
  <c r="I11" i="4"/>
  <c r="I10" i="4"/>
  <c r="I9" i="4"/>
  <c r="I13" i="4" l="1"/>
  <c r="E17" i="3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<sst xmlns="http://schemas.openxmlformats.org/spreadsheetml/2006/main" count="138" uniqueCount="90">
  <si>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</si>
  <si>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</si>
  <si>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</si>
  <si>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</si>
  <si>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</si>
  <si>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</si>
  <si>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</si>
  <si>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</si>
  <si>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</si>
  <si>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</si>
  <si>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</si>
  <si>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</si>
  <si>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</si>
  <si>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</si>
  <si>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</si>
  <si>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</si>
  <si>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</si>
  <si>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</si>
  <si>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</si>
  <si>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</si>
  <si>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</si>
  <si>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</si>
  <si>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</si>
  <si>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</si>
  <si>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</si>
  <si>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</si>
  <si>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</si>
  <si>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</si>
  <si>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</si>
  <si>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</si>
  <si>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</si>
  <si>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</si>
  <si>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</si>
  <si>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</si>
  <si>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</si>
  <si>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</si>
  <si>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</si>
  <si>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</si>
  <si>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</si>
  <si>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</si>
  <si>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</si>
  <si>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</si>
  <si>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</si>
  <si>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</si>
  <si>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</si>
  <si>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</si>
  <si>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</si>
  <si>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</si>
  <si>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</si>
  <si>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</si>
  <si>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</si>
  <si>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</si>
  <si>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</si>
  <si>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</si>
  <si>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</si>
  <si>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</si>
  <si>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</si>
  <si>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</si>
  <si>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</si>
  <si>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</si>
  <si>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</si>
  <si>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</si>
  <si>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</si>
  <si>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</si>
  <si>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</si>
  <si>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</si>
  <si>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 xml:space="preserve">  </t>
  </si>
  <si>
    <t>b) FORMA DE LA ENTREGA: Libre de flete, acarreo y embalaje, como así también, de todo riesgo de pérdida o destrucción total o parcial, por causas ajenas a la Institución.</t>
  </si>
  <si>
    <t>45 (cuarenta y cinco)  días habiles.-</t>
  </si>
  <si>
    <t>de corresponder se debera especificar</t>
  </si>
  <si>
    <t>65- MINISTERIO DE AGUA, ENERGÍA Y MEDIO AMBIENTE</t>
  </si>
  <si>
    <t>31- SECRETARÍA DE ADMINISTRACIÓN</t>
  </si>
  <si>
    <t>INDUMENTARIA TEXTIL Y CONFECCIONES</t>
  </si>
  <si>
    <t>2.2.2</t>
  </si>
  <si>
    <t>PANTALONES; TIPO:CARGO, TELA: GRAFA, SEXO: MASCULINO, CRITERIO SOCIAL: SIN, CRITERIO DE SEGURIDAD: SELLO DE SEGURIDAD.</t>
  </si>
  <si>
    <t>2.2.2-6731.27</t>
  </si>
  <si>
    <t>2.2.2-6738.186</t>
  </si>
  <si>
    <t>CAMISAS; TIPO DE TRABAJO, TELA: GRAFA, MANGA: LARGA, COSTURA: REFORZADA, BOLSILLO: 2</t>
  </si>
  <si>
    <t>2.2.2-838.483</t>
  </si>
  <si>
    <t>GUARDAPOLVOS; USO: LABORATORIO; MODELO: CLÁSICO; ABOTONADO: CON, TELA: ALGODÓN Y POLIESTER.</t>
  </si>
  <si>
    <t>2.2.2-6728.11</t>
  </si>
  <si>
    <t>CALZADO DE SEGURIDAD; SUELA: GOMA; MATERIAL: CUERO; TIPO: BOTÍN MODELO FRANCÉS; PUNTERA: CON.</t>
  </si>
  <si>
    <t>PAR</t>
  </si>
  <si>
    <t>PRIMERA CALIDAD - SE REQUIERE MUESTRA</t>
  </si>
  <si>
    <t xml:space="preserve">a) LUGAR DE ENTREGA: Dirección de Recursos Humanos y Control de Gestión del Ministerio de Agua, Energía y Medio Ambiente- Av. Belgrano S/N°- Pabellón N° 2- CAPE- 
</t>
  </si>
  <si>
    <t>COSTO TOTAL ESTIMADO: SETENTA Y OCHO MILLONES QUINIENTOS CINCUENTA Y OCHO MIL CON 00/100</t>
  </si>
  <si>
    <t>Especificidades para todos los ITEMS</t>
  </si>
  <si>
    <t>Descripción técnica:</t>
  </si>
  <si>
    <t xml:space="preserve">                               Según Anexo de especificaciones técnicas y talles</t>
  </si>
  <si>
    <t>c)  PLAZO DE ENTREGA: dentro de los 45 días hábiles de notificada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</si>
</sst>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6" fontId="8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47">
    <xf numFmtId="0" fontId="0" fillId="0" borderId="0" xfId="0"/>
    <xf numFmtId="0" fontId="9" fillId="4" borderId="0" xfId="0" applyFont="1" applyFill="1"/>
    <xf numFmtId="0" fontId="11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wrapText="1"/>
    </xf>
    <xf numFmtId="0" fontId="12" fillId="4" borderId="0" xfId="0" applyFont="1" applyFill="1" applyAlignment="1">
      <alignment horizontal="left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0" fontId="20" fillId="4" borderId="0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64" fontId="9" fillId="6" borderId="2" xfId="1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164" fontId="9" fillId="6" borderId="35" xfId="1" applyNumberFormat="1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3" fontId="17" fillId="6" borderId="0" xfId="0" applyNumberFormat="1" applyFont="1" applyFill="1" applyBorder="1" applyAlignment="1"/>
    <xf numFmtId="169" fontId="9" fillId="6" borderId="0" xfId="0" applyNumberFormat="1" applyFont="1" applyFill="1" applyBorder="1" applyAlignment="1">
      <alignment horizontal="left"/>
    </xf>
    <xf numFmtId="0" fontId="9" fillId="6" borderId="0" xfId="0" applyFont="1" applyFill="1" applyBorder="1"/>
    <xf numFmtId="0" fontId="0" fillId="4" borderId="0" xfId="0" applyFill="1"/>
    <xf numFmtId="0" fontId="9" fillId="6" borderId="0" xfId="0" applyFont="1" applyFill="1" applyBorder="1" applyAlignment="1">
      <alignment horizontal="left"/>
    </xf>
    <xf numFmtId="0" fontId="3" fillId="4" borderId="0" xfId="0" applyFont="1" applyFill="1"/>
    <xf numFmtId="0" fontId="9" fillId="6" borderId="3" xfId="0" applyFont="1" applyFill="1" applyBorder="1"/>
    <xf numFmtId="0" fontId="9" fillId="6" borderId="17" xfId="0" applyFont="1" applyFill="1" applyBorder="1"/>
    <xf numFmtId="0" fontId="9" fillId="6" borderId="5" xfId="0" applyFont="1" applyFill="1" applyBorder="1"/>
    <xf numFmtId="0" fontId="9" fillId="6" borderId="5" xfId="0" applyFont="1" applyFill="1" applyBorder="1" applyAlignment="1">
      <alignment horizontal="left"/>
    </xf>
    <xf numFmtId="0" fontId="9" fillId="6" borderId="18" xfId="0" applyFont="1" applyFill="1" applyBorder="1"/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167" fontId="9" fillId="6" borderId="26" xfId="3" applyNumberFormat="1" applyFont="1" applyFill="1" applyBorder="1" applyAlignment="1" applyProtection="1">
      <alignment horizontal="center" vertical="center"/>
    </xf>
    <xf numFmtId="0" fontId="9" fillId="6" borderId="15" xfId="0" applyFont="1" applyFill="1" applyBorder="1" applyAlignment="1"/>
    <xf numFmtId="0" fontId="9" fillId="6" borderId="0" xfId="0" applyFont="1" applyFill="1" applyBorder="1" applyAlignment="1"/>
    <xf numFmtId="0" fontId="9" fillId="6" borderId="19" xfId="0" applyFont="1" applyFill="1" applyBorder="1" applyAlignment="1"/>
    <xf numFmtId="0" fontId="0" fillId="4" borderId="0" xfId="0" applyFill="1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left" vertical="center"/>
    </xf>
    <xf numFmtId="0" fontId="9" fillId="5" borderId="40" xfId="0" applyFont="1" applyFill="1" applyBorder="1"/>
    <xf numFmtId="0" fontId="9" fillId="5" borderId="41" xfId="0" applyFont="1" applyFill="1" applyBorder="1"/>
    <xf numFmtId="0" fontId="15" fillId="5" borderId="42" xfId="0" applyFont="1" applyFill="1" applyBorder="1" applyAlignment="1">
      <alignment horizontal="left" vertical="center"/>
    </xf>
    <xf numFmtId="0" fontId="9" fillId="5" borderId="43" xfId="0" applyFont="1" applyFill="1" applyBorder="1"/>
    <xf numFmtId="0" fontId="9" fillId="5" borderId="42" xfId="0" applyFont="1" applyFill="1" applyBorder="1" applyAlignment="1">
      <alignment horizontal="left" vertical="center"/>
    </xf>
    <xf numFmtId="0" fontId="16" fillId="5" borderId="42" xfId="0" applyFont="1" applyFill="1" applyBorder="1" applyAlignment="1">
      <alignment horizontal="left" vertical="center"/>
    </xf>
    <xf numFmtId="0" fontId="9" fillId="5" borderId="44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 wrapText="1"/>
    </xf>
    <xf numFmtId="0" fontId="15" fillId="5" borderId="39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3" fontId="23" fillId="0" borderId="2" xfId="0" applyNumberFormat="1" applyFont="1" applyFill="1" applyBorder="1" applyAlignment="1">
      <alignment horizontal="center" vertical="center"/>
    </xf>
    <xf numFmtId="164" fontId="23" fillId="6" borderId="2" xfId="1" applyNumberFormat="1" applyFont="1" applyFill="1" applyBorder="1" applyAlignment="1">
      <alignment horizontal="center" vertical="center"/>
    </xf>
    <xf numFmtId="167" fontId="23" fillId="5" borderId="2" xfId="1" applyNumberFormat="1" applyFont="1" applyFill="1" applyBorder="1" applyAlignment="1" applyProtection="1">
      <alignment horizontal="center" vertical="center" wrapText="1"/>
    </xf>
    <xf numFmtId="3" fontId="23" fillId="4" borderId="0" xfId="0" applyNumberFormat="1" applyFont="1" applyFill="1"/>
    <xf numFmtId="0" fontId="23" fillId="4" borderId="0" xfId="0" applyFont="1" applyFill="1"/>
    <xf numFmtId="0" fontId="23" fillId="5" borderId="0" xfId="0" applyFont="1" applyFill="1" applyBorder="1"/>
    <xf numFmtId="170" fontId="24" fillId="5" borderId="0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wrapText="1" indent="1"/>
    </xf>
    <xf numFmtId="170" fontId="24" fillId="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left" vertical="center" wrapText="1" indent="1"/>
    </xf>
    <xf numFmtId="0" fontId="20" fillId="4" borderId="8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 wrapText="1" indent="1"/>
    </xf>
    <xf numFmtId="0" fontId="17" fillId="4" borderId="9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168" fontId="20" fillId="4" borderId="7" xfId="0" applyNumberFormat="1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left" vertical="center" wrapText="1"/>
    </xf>
    <xf numFmtId="0" fontId="18" fillId="4" borderId="13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/>
    </xf>
    <xf numFmtId="3" fontId="17" fillId="6" borderId="13" xfId="0" applyNumberFormat="1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/>
    <xf numFmtId="0" fontId="14" fillId="6" borderId="6" xfId="0" applyFont="1" applyFill="1" applyBorder="1" applyAlignment="1">
      <alignment horizontal="left" indent="1"/>
    </xf>
    <xf numFmtId="0" fontId="14" fillId="6" borderId="29" xfId="0" applyFont="1" applyFill="1" applyBorder="1" applyAlignment="1">
      <alignment horizontal="left" indent="1"/>
    </xf>
    <xf numFmtId="0" fontId="14" fillId="6" borderId="30" xfId="0" applyFont="1" applyFill="1" applyBorder="1" applyAlignment="1">
      <alignment horizontal="left" indent="1"/>
    </xf>
    <xf numFmtId="0" fontId="9" fillId="6" borderId="6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/>
    </xf>
    <xf numFmtId="0" fontId="14" fillId="6" borderId="15" xfId="0" applyFont="1" applyFill="1" applyBorder="1" applyAlignment="1"/>
    <xf numFmtId="0" fontId="14" fillId="6" borderId="16" xfId="0" applyFont="1" applyFill="1" applyBorder="1" applyAlignment="1">
      <alignment horizontal="left" vertical="center" wrapText="1" indent="1"/>
    </xf>
    <xf numFmtId="0" fontId="13" fillId="6" borderId="1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left" vertical="center" wrapText="1" indent="1"/>
    </xf>
    <xf numFmtId="0" fontId="9" fillId="6" borderId="24" xfId="0" applyFont="1" applyFill="1" applyBorder="1" applyAlignment="1">
      <alignment horizontal="left" vertical="center" wrapText="1"/>
    </xf>
    <xf numFmtId="0" fontId="17" fillId="6" borderId="36" xfId="0" applyFont="1" applyFill="1" applyBorder="1" applyAlignment="1">
      <alignment horizontal="left" wrapText="1"/>
    </xf>
    <xf numFmtId="0" fontId="17" fillId="6" borderId="37" xfId="0" applyFont="1" applyFill="1" applyBorder="1" applyAlignment="1">
      <alignment horizontal="left" wrapText="1"/>
    </xf>
    <xf numFmtId="0" fontId="17" fillId="6" borderId="38" xfId="0" applyFont="1" applyFill="1" applyBorder="1" applyAlignment="1">
      <alignment horizontal="left" wrapText="1"/>
    </xf>
    <xf numFmtId="0" fontId="17" fillId="6" borderId="12" xfId="0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0" fontId="17" fillId="6" borderId="10" xfId="0" applyFont="1" applyFill="1" applyBorder="1" applyAlignment="1">
      <alignment vertical="center" wrapText="1"/>
    </xf>
    <xf numFmtId="0" fontId="14" fillId="6" borderId="19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left" vertical="top"/>
    </xf>
    <xf numFmtId="0" fontId="9" fillId="5" borderId="45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 wrapText="1"/>
    </xf>
    <xf numFmtId="0" fontId="9" fillId="5" borderId="43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wrapText="1"/>
    </xf>
    <xf numFmtId="0" fontId="9" fillId="5" borderId="43" xfId="0" applyFont="1" applyFill="1" applyBorder="1" applyAlignment="1">
      <alignment horizontal="left" wrapText="1"/>
    </xf>
    <xf numFmtId="0" fontId="24" fillId="0" borderId="47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vertical="center" wrapText="1"/>
    </xf>
    <xf numFmtId="0" fontId="10" fillId="4" borderId="0" xfId="0" applyFont="1" applyFill="1" applyBorder="1" applyAlignment="1"/>
    <xf numFmtId="0" fontId="12" fillId="3" borderId="0" xfId="0" applyFont="1" applyFill="1" applyBorder="1" applyAlignment="1">
      <alignment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olicia\Desktop\2021-nota%20pedido\31-%20REPUESTOS%20Y%20ACCESORIOS\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5.710937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4" width="5.85546875" style="26" customWidth="1"/>
    <col min="15" max="15" width="12.5703125" style="26" customWidth="1"/>
    <col min="16" max="1024" width="9.140625" style="26"/>
    <col min="1025" max="16384" width="9.140625" style="1"/>
  </cols>
  <sheetData>
    <row r="1" spans="1:11" ht="18" customHeight="1" x14ac:dyDescent="0.25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25" t="s">
        <v>20</v>
      </c>
      <c r="K1" s="20" t="s">
        <v>21</v>
      </c>
    </row>
    <row r="2" spans="1:11" ht="18.75" customHeight="1" thickBot="1" x14ac:dyDescent="0.3">
      <c r="A2" s="27"/>
      <c r="B2" s="27"/>
      <c r="C2" s="27"/>
      <c r="D2" s="28"/>
      <c r="E2" s="28"/>
      <c r="F2" s="28"/>
      <c r="G2" s="28"/>
      <c r="H2" s="28"/>
      <c r="I2" s="28"/>
      <c r="J2" s="28"/>
      <c r="K2" s="28"/>
    </row>
    <row r="3" spans="1:11" ht="18.75" customHeight="1" thickBot="1" x14ac:dyDescent="0.3">
      <c r="A3" s="90" t="s">
        <v>22</v>
      </c>
      <c r="B3" s="90"/>
      <c r="C3" s="90"/>
      <c r="D3" s="91" t="e">
        <f>#REF!</f>
        <v>#REF!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3">
      <c r="A4" s="92" t="s">
        <v>23</v>
      </c>
      <c r="B4" s="92"/>
      <c r="C4" s="92"/>
      <c r="D4" s="91" t="e">
        <f>#REF!</f>
        <v>#REF!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3">
      <c r="A5" s="92" t="s">
        <v>24</v>
      </c>
      <c r="B5" s="92"/>
      <c r="C5" s="92"/>
      <c r="D5" s="91" t="s">
        <v>25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3">
      <c r="A6" s="90" t="s">
        <v>26</v>
      </c>
      <c r="B6" s="90"/>
      <c r="C6" s="90"/>
      <c r="D6" s="91" t="s">
        <v>27</v>
      </c>
      <c r="E6" s="91"/>
      <c r="F6" s="91"/>
      <c r="G6" s="91"/>
      <c r="H6" s="91"/>
      <c r="I6" s="91"/>
      <c r="J6" s="91"/>
      <c r="K6" s="91"/>
    </row>
    <row r="7" spans="1:11" ht="16.5" customHeight="1" x14ac:dyDescent="0.25">
      <c r="A7" s="92" t="s">
        <v>28</v>
      </c>
      <c r="B7" s="92"/>
      <c r="C7" s="92"/>
      <c r="D7" s="91" t="e">
        <f>#REF! &amp; "° Trimestre - Año " &amp;#REF!</f>
        <v>#REF!</v>
      </c>
      <c r="E7" s="91"/>
      <c r="F7" s="91"/>
      <c r="G7" s="91"/>
      <c r="H7" s="91"/>
      <c r="I7" s="91"/>
      <c r="J7" s="91"/>
      <c r="K7" s="91"/>
    </row>
    <row r="8" spans="1:11" ht="16.5" customHeight="1" x14ac:dyDescent="0.25">
      <c r="A8" s="93" t="s">
        <v>29</v>
      </c>
      <c r="B8" s="93"/>
      <c r="C8" s="93"/>
      <c r="D8" s="94" t="s">
        <v>30</v>
      </c>
      <c r="E8" s="94"/>
      <c r="F8" s="94"/>
      <c r="G8" s="94"/>
      <c r="H8" s="94"/>
      <c r="I8" s="94"/>
      <c r="J8" s="94"/>
      <c r="K8" s="94"/>
    </row>
    <row r="9" spans="1:11" ht="17.25" x14ac:dyDescent="0.25">
      <c r="A9" s="29"/>
      <c r="B9" s="29"/>
      <c r="C9" s="29"/>
      <c r="D9" s="30"/>
      <c r="E9" s="30"/>
      <c r="F9" s="30"/>
      <c r="G9" s="30"/>
      <c r="H9" s="30"/>
      <c r="I9" s="30"/>
      <c r="J9" s="30"/>
      <c r="K9" s="30"/>
    </row>
    <row r="10" spans="1:11" ht="18.75" customHeight="1" thickBot="1" x14ac:dyDescent="0.3">
      <c r="A10" s="95" t="s">
        <v>31</v>
      </c>
      <c r="B10" s="97" t="s">
        <v>32</v>
      </c>
      <c r="C10" s="97" t="s">
        <v>33</v>
      </c>
      <c r="D10" s="97"/>
      <c r="E10" s="97"/>
      <c r="F10" s="97"/>
      <c r="G10" s="97"/>
      <c r="H10" s="97" t="s">
        <v>34</v>
      </c>
      <c r="I10" s="97" t="s">
        <v>35</v>
      </c>
      <c r="J10" s="97" t="s">
        <v>36</v>
      </c>
      <c r="K10" s="99" t="s">
        <v>37</v>
      </c>
    </row>
    <row r="11" spans="1:11" ht="24" customHeight="1" x14ac:dyDescent="0.25">
      <c r="A11" s="96"/>
      <c r="B11" s="98"/>
      <c r="C11" s="98"/>
      <c r="D11" s="98"/>
      <c r="E11" s="98"/>
      <c r="F11" s="98"/>
      <c r="G11" s="98"/>
      <c r="H11" s="98"/>
      <c r="I11" s="98"/>
      <c r="J11" s="98"/>
      <c r="K11" s="100"/>
    </row>
    <row r="12" spans="1:11" ht="20.25" customHeight="1" x14ac:dyDescent="0.25">
      <c r="A12" s="31">
        <v>1</v>
      </c>
      <c r="B12" s="21" t="e">
        <f>#REF!</f>
        <v>#REF!</v>
      </c>
      <c r="C12" s="101" t="e">
        <f>#REF!</f>
        <v>#REF!</v>
      </c>
      <c r="D12" s="101"/>
      <c r="E12" s="101"/>
      <c r="F12" s="101"/>
      <c r="G12" s="101"/>
      <c r="H12" s="22" t="s">
        <v>38</v>
      </c>
      <c r="I12" s="32" t="s">
        <v>14</v>
      </c>
      <c r="J12" s="33" t="e">
        <f>#REF!</f>
        <v>#REF!</v>
      </c>
      <c r="K12" s="34" t="e">
        <f>#REF!</f>
        <v>#REF!</v>
      </c>
    </row>
    <row r="13" spans="1:11" ht="20.25" customHeight="1" x14ac:dyDescent="0.25">
      <c r="A13" s="31">
        <v>2</v>
      </c>
      <c r="B13" s="21" t="e">
        <f>#REF!</f>
        <v>#REF!</v>
      </c>
      <c r="C13" s="101" t="e">
        <f>#REF!</f>
        <v>#REF!</v>
      </c>
      <c r="D13" s="101"/>
      <c r="E13" s="101"/>
      <c r="F13" s="101"/>
      <c r="G13" s="101"/>
      <c r="H13" s="22" t="s">
        <v>38</v>
      </c>
      <c r="I13" s="32" t="s">
        <v>14</v>
      </c>
      <c r="J13" s="33" t="e">
        <f>#REF!</f>
        <v>#REF!</v>
      </c>
      <c r="K13" s="34" t="e">
        <f>#REF!</f>
        <v>#REF!</v>
      </c>
    </row>
    <row r="14" spans="1:11" ht="20.25" customHeight="1" x14ac:dyDescent="0.25">
      <c r="A14" s="31">
        <v>3</v>
      </c>
      <c r="B14" s="21" t="e">
        <f>#REF!</f>
        <v>#REF!</v>
      </c>
      <c r="C14" s="101" t="e">
        <f>#REF!</f>
        <v>#REF!</v>
      </c>
      <c r="D14" s="101"/>
      <c r="E14" s="101"/>
      <c r="F14" s="101"/>
      <c r="G14" s="101"/>
      <c r="H14" s="22" t="s">
        <v>38</v>
      </c>
      <c r="I14" s="32" t="s">
        <v>14</v>
      </c>
      <c r="J14" s="33" t="e">
        <f>#REF!</f>
        <v>#REF!</v>
      </c>
      <c r="K14" s="34" t="e">
        <f>#REF!</f>
        <v>#REF!</v>
      </c>
    </row>
    <row r="15" spans="1:11" ht="32.25" customHeight="1" x14ac:dyDescent="0.25">
      <c r="A15" s="31">
        <v>4</v>
      </c>
      <c r="B15" s="21" t="e">
        <f>#REF!</f>
        <v>#REF!</v>
      </c>
      <c r="C15" s="101" t="e">
        <f>#REF!</f>
        <v>#REF!</v>
      </c>
      <c r="D15" s="101"/>
      <c r="E15" s="101"/>
      <c r="F15" s="101"/>
      <c r="G15" s="101"/>
      <c r="H15" s="22" t="s">
        <v>38</v>
      </c>
      <c r="I15" s="32" t="s">
        <v>14</v>
      </c>
      <c r="J15" s="33" t="e">
        <f>#REF!</f>
        <v>#REF!</v>
      </c>
      <c r="K15" s="35" t="e">
        <f>#REF!</f>
        <v>#REF!</v>
      </c>
    </row>
    <row r="16" spans="1:11" ht="19.5" customHeight="1" x14ac:dyDescent="0.25">
      <c r="A16" s="31">
        <v>5</v>
      </c>
      <c r="B16" s="21" t="e">
        <f>#REF!</f>
        <v>#REF!</v>
      </c>
      <c r="C16" s="101" t="e">
        <f>#REF!</f>
        <v>#REF!</v>
      </c>
      <c r="D16" s="101"/>
      <c r="E16" s="101"/>
      <c r="F16" s="101"/>
      <c r="G16" s="101"/>
      <c r="H16" s="22" t="s">
        <v>38</v>
      </c>
      <c r="I16" s="32" t="s">
        <v>14</v>
      </c>
      <c r="J16" s="33" t="e">
        <f>#REF!</f>
        <v>#REF!</v>
      </c>
      <c r="K16" s="35" t="e">
        <f>#REF!</f>
        <v>#REF!</v>
      </c>
    </row>
    <row r="17" spans="1:11" ht="32.25" customHeight="1" x14ac:dyDescent="0.25">
      <c r="A17" s="31">
        <v>6</v>
      </c>
      <c r="B17" s="21" t="e">
        <f>#REF!</f>
        <v>#REF!</v>
      </c>
      <c r="C17" s="101" t="e">
        <f>#REF!</f>
        <v>#REF!</v>
      </c>
      <c r="D17" s="101"/>
      <c r="E17" s="101"/>
      <c r="F17" s="101"/>
      <c r="G17" s="101"/>
      <c r="H17" s="22" t="s">
        <v>38</v>
      </c>
      <c r="I17" s="32" t="s">
        <v>14</v>
      </c>
      <c r="J17" s="33" t="e">
        <f>#REF!</f>
        <v>#REF!</v>
      </c>
      <c r="K17" s="34" t="e">
        <f>#REF!</f>
        <v>#REF!</v>
      </c>
    </row>
    <row r="18" spans="1:11" ht="32.25" customHeight="1" x14ac:dyDescent="0.25">
      <c r="A18" s="31">
        <v>7</v>
      </c>
      <c r="B18" s="21" t="e">
        <f>#REF!</f>
        <v>#REF!</v>
      </c>
      <c r="C18" s="101" t="e">
        <f>#REF!</f>
        <v>#REF!</v>
      </c>
      <c r="D18" s="101"/>
      <c r="E18" s="101"/>
      <c r="F18" s="101"/>
      <c r="G18" s="101"/>
      <c r="H18" s="22" t="s">
        <v>38</v>
      </c>
      <c r="I18" s="32" t="s">
        <v>14</v>
      </c>
      <c r="J18" s="33" t="e">
        <f>#REF!</f>
        <v>#REF!</v>
      </c>
      <c r="K18" s="34" t="e">
        <f>#REF!</f>
        <v>#REF!</v>
      </c>
    </row>
    <row r="19" spans="1:11" ht="20.25" customHeight="1" x14ac:dyDescent="0.25">
      <c r="A19" s="31">
        <v>8</v>
      </c>
      <c r="B19" s="21" t="e">
        <f>#REF!</f>
        <v>#REF!</v>
      </c>
      <c r="C19" s="101" t="e">
        <f>#REF!</f>
        <v>#REF!</v>
      </c>
      <c r="D19" s="101"/>
      <c r="E19" s="101"/>
      <c r="F19" s="101"/>
      <c r="G19" s="101"/>
      <c r="H19" s="22" t="s">
        <v>38</v>
      </c>
      <c r="I19" s="32" t="s">
        <v>14</v>
      </c>
      <c r="J19" s="33" t="e">
        <f>#REF!</f>
        <v>#REF!</v>
      </c>
      <c r="K19" s="34" t="e">
        <f>#REF!</f>
        <v>#REF!</v>
      </c>
    </row>
    <row r="20" spans="1:11" ht="20.25" customHeight="1" x14ac:dyDescent="0.25">
      <c r="A20" s="31">
        <v>9</v>
      </c>
      <c r="B20" s="21" t="e">
        <f>#REF!</f>
        <v>#REF!</v>
      </c>
      <c r="C20" s="101" t="e">
        <f>#REF!</f>
        <v>#REF!</v>
      </c>
      <c r="D20" s="101"/>
      <c r="E20" s="101"/>
      <c r="F20" s="101"/>
      <c r="G20" s="101"/>
      <c r="H20" s="22" t="s">
        <v>38</v>
      </c>
      <c r="I20" s="32" t="s">
        <v>14</v>
      </c>
      <c r="J20" s="33" t="e">
        <f>#REF!</f>
        <v>#REF!</v>
      </c>
      <c r="K20" s="34" t="e">
        <f>#REF!</f>
        <v>#REF!</v>
      </c>
    </row>
    <row r="21" spans="1:11" ht="20.25" customHeight="1" x14ac:dyDescent="0.25">
      <c r="A21" s="31">
        <v>10</v>
      </c>
      <c r="B21" s="21" t="e">
        <f>#REF!</f>
        <v>#REF!</v>
      </c>
      <c r="C21" s="101" t="e">
        <f>#REF!</f>
        <v>#REF!</v>
      </c>
      <c r="D21" s="101"/>
      <c r="E21" s="101"/>
      <c r="F21" s="101"/>
      <c r="G21" s="101"/>
      <c r="H21" s="22" t="s">
        <v>38</v>
      </c>
      <c r="I21" s="32" t="s">
        <v>14</v>
      </c>
      <c r="J21" s="33" t="e">
        <f>#REF!</f>
        <v>#REF!</v>
      </c>
      <c r="K21" s="34" t="e">
        <f>#REF!</f>
        <v>#REF!</v>
      </c>
    </row>
    <row r="22" spans="1:11" ht="20.25" customHeight="1" x14ac:dyDescent="0.25">
      <c r="A22" s="31">
        <v>11</v>
      </c>
      <c r="B22" s="21" t="e">
        <f>#REF!</f>
        <v>#REF!</v>
      </c>
      <c r="C22" s="101" t="e">
        <f>#REF!</f>
        <v>#REF!</v>
      </c>
      <c r="D22" s="101"/>
      <c r="E22" s="101"/>
      <c r="F22" s="101"/>
      <c r="G22" s="101"/>
      <c r="H22" s="22" t="s">
        <v>38</v>
      </c>
      <c r="I22" s="32" t="s">
        <v>14</v>
      </c>
      <c r="J22" s="33" t="e">
        <f>#REF!</f>
        <v>#REF!</v>
      </c>
      <c r="K22" s="34" t="e">
        <f>#REF!</f>
        <v>#REF!</v>
      </c>
    </row>
    <row r="23" spans="1:11" ht="20.25" customHeight="1" x14ac:dyDescent="0.25">
      <c r="A23" s="31">
        <v>12</v>
      </c>
      <c r="B23" s="21" t="e">
        <f>#REF!</f>
        <v>#REF!</v>
      </c>
      <c r="C23" s="101" t="e">
        <f>#REF!</f>
        <v>#REF!</v>
      </c>
      <c r="D23" s="101"/>
      <c r="E23" s="101"/>
      <c r="F23" s="101"/>
      <c r="G23" s="101"/>
      <c r="H23" s="22" t="s">
        <v>38</v>
      </c>
      <c r="I23" s="32" t="s">
        <v>14</v>
      </c>
      <c r="J23" s="33" t="e">
        <f>#REF!</f>
        <v>#REF!</v>
      </c>
      <c r="K23" s="34" t="e">
        <f>#REF!</f>
        <v>#REF!</v>
      </c>
    </row>
    <row r="24" spans="1:11" ht="20.25" customHeight="1" x14ac:dyDescent="0.25">
      <c r="A24" s="31">
        <v>13</v>
      </c>
      <c r="B24" s="21" t="e">
        <f>#REF!</f>
        <v>#REF!</v>
      </c>
      <c r="C24" s="101" t="e">
        <f>#REF!</f>
        <v>#REF!</v>
      </c>
      <c r="D24" s="101"/>
      <c r="E24" s="101"/>
      <c r="F24" s="101"/>
      <c r="G24" s="101"/>
      <c r="H24" s="22" t="s">
        <v>38</v>
      </c>
      <c r="I24" s="32" t="s">
        <v>14</v>
      </c>
      <c r="J24" s="33" t="e">
        <f>#REF!</f>
        <v>#REF!</v>
      </c>
      <c r="K24" s="34" t="e">
        <f>#REF!</f>
        <v>#REF!</v>
      </c>
    </row>
    <row r="25" spans="1:11" ht="20.25" customHeight="1" x14ac:dyDescent="0.25">
      <c r="A25" s="31">
        <v>14</v>
      </c>
      <c r="B25" s="21" t="e">
        <f>#REF!</f>
        <v>#REF!</v>
      </c>
      <c r="C25" s="101" t="e">
        <f>#REF!</f>
        <v>#REF!</v>
      </c>
      <c r="D25" s="101"/>
      <c r="E25" s="101"/>
      <c r="F25" s="101"/>
      <c r="G25" s="101"/>
      <c r="H25" s="22" t="s">
        <v>38</v>
      </c>
      <c r="I25" s="32" t="s">
        <v>14</v>
      </c>
      <c r="J25" s="33" t="e">
        <f>#REF!</f>
        <v>#REF!</v>
      </c>
      <c r="K25" s="34" t="e">
        <f>#REF!</f>
        <v>#REF!</v>
      </c>
    </row>
    <row r="26" spans="1:11" ht="20.25" customHeight="1" x14ac:dyDescent="0.25">
      <c r="A26" s="31">
        <v>15</v>
      </c>
      <c r="B26" s="21" t="e">
        <f>#REF!</f>
        <v>#REF!</v>
      </c>
      <c r="C26" s="101" t="e">
        <f>#REF!</f>
        <v>#REF!</v>
      </c>
      <c r="D26" s="101"/>
      <c r="E26" s="101"/>
      <c r="F26" s="101"/>
      <c r="G26" s="101"/>
      <c r="H26" s="22" t="s">
        <v>38</v>
      </c>
      <c r="I26" s="32" t="s">
        <v>14</v>
      </c>
      <c r="J26" s="33" t="e">
        <f>#REF!</f>
        <v>#REF!</v>
      </c>
      <c r="K26" s="34" t="e">
        <f>#REF!</f>
        <v>#REF!</v>
      </c>
    </row>
    <row r="27" spans="1:11" ht="20.25" customHeight="1" x14ac:dyDescent="0.25">
      <c r="A27" s="31">
        <v>16</v>
      </c>
      <c r="B27" s="21" t="e">
        <f>#REF!</f>
        <v>#REF!</v>
      </c>
      <c r="C27" s="101" t="e">
        <f>#REF!</f>
        <v>#REF!</v>
      </c>
      <c r="D27" s="101"/>
      <c r="E27" s="101"/>
      <c r="F27" s="101"/>
      <c r="G27" s="101"/>
      <c r="H27" s="22" t="s">
        <v>38</v>
      </c>
      <c r="I27" s="32" t="s">
        <v>14</v>
      </c>
      <c r="J27" s="33" t="e">
        <f>#REF!</f>
        <v>#REF!</v>
      </c>
      <c r="K27" s="34" t="e">
        <f>#REF!</f>
        <v>#REF!</v>
      </c>
    </row>
    <row r="28" spans="1:11" ht="20.25" customHeight="1" x14ac:dyDescent="0.25">
      <c r="A28" s="31">
        <v>17</v>
      </c>
      <c r="B28" s="21" t="e">
        <f>#REF!</f>
        <v>#REF!</v>
      </c>
      <c r="C28" s="101" t="e">
        <f>#REF!</f>
        <v>#REF!</v>
      </c>
      <c r="D28" s="101"/>
      <c r="E28" s="101"/>
      <c r="F28" s="101"/>
      <c r="G28" s="101"/>
      <c r="H28" s="22" t="s">
        <v>38</v>
      </c>
      <c r="I28" s="32" t="s">
        <v>14</v>
      </c>
      <c r="J28" s="33" t="e">
        <f>#REF!</f>
        <v>#REF!</v>
      </c>
      <c r="K28" s="35" t="e">
        <f>#REF!</f>
        <v>#REF!</v>
      </c>
    </row>
    <row r="29" spans="1:11" ht="20.25" customHeight="1" thickBot="1" x14ac:dyDescent="0.3">
      <c r="A29" s="36">
        <v>18</v>
      </c>
      <c r="B29" s="23" t="e">
        <f>#REF!</f>
        <v>#REF!</v>
      </c>
      <c r="C29" s="102" t="e">
        <f>#REF!</f>
        <v>#REF!</v>
      </c>
      <c r="D29" s="102"/>
      <c r="E29" s="102"/>
      <c r="F29" s="102"/>
      <c r="G29" s="102"/>
      <c r="H29" s="24" t="s">
        <v>38</v>
      </c>
      <c r="I29" s="37" t="s">
        <v>14</v>
      </c>
      <c r="J29" s="38" t="e">
        <f>#REF!</f>
        <v>#REF!</v>
      </c>
      <c r="K29" s="39" t="e">
        <f>#REF!</f>
        <v>#REF!</v>
      </c>
    </row>
    <row r="30" spans="1:11" ht="20.25" customHeight="1" thickBot="1" x14ac:dyDescent="0.3">
      <c r="A30" s="104" t="s">
        <v>39</v>
      </c>
      <c r="B30" s="105"/>
      <c r="C30" s="105"/>
      <c r="D30" s="106" t="s">
        <v>40</v>
      </c>
      <c r="E30" s="106"/>
      <c r="F30" s="106"/>
      <c r="G30" s="106"/>
      <c r="H30" s="106"/>
      <c r="I30" s="107"/>
      <c r="J30" s="103" t="e">
        <f>SUMPRODUCT(J12:J29,K12:K29)</f>
        <v>#REF!</v>
      </c>
      <c r="K30" s="103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3" customWidth="1"/>
    <col min="7" max="7" width="4.42578125" style="63" customWidth="1"/>
    <col min="8" max="14" width="4.42578125" style="43" customWidth="1"/>
    <col min="15" max="16" width="14.85546875" style="43" customWidth="1"/>
    <col min="17" max="17" width="14.7109375" style="43" customWidth="1"/>
    <col min="18" max="16384" width="11" style="43"/>
  </cols>
  <sheetData>
    <row r="1" spans="1:17" ht="15.75" customHeight="1" thickBot="1" x14ac:dyDescent="0.3">
      <c r="A1" s="108" t="s">
        <v>3</v>
      </c>
      <c r="B1" s="108"/>
      <c r="C1" s="108"/>
      <c r="D1" s="109">
        <f>'[1]Necesidades Trimestrales'!C6</f>
        <v>2021</v>
      </c>
      <c r="E1" s="109"/>
      <c r="F1" s="40"/>
      <c r="G1" s="40"/>
      <c r="H1" s="41"/>
      <c r="I1" s="41"/>
      <c r="J1" s="41"/>
      <c r="K1" s="41"/>
      <c r="L1" s="41"/>
      <c r="M1" s="41"/>
      <c r="N1" s="41"/>
      <c r="O1" s="42"/>
      <c r="P1" s="110" t="s">
        <v>41</v>
      </c>
      <c r="Q1" s="110"/>
    </row>
    <row r="2" spans="1:17" ht="15.75" customHeight="1" thickBot="1" x14ac:dyDescent="0.3">
      <c r="A2" s="42"/>
      <c r="B2" s="42"/>
      <c r="C2" s="42"/>
      <c r="D2" s="42"/>
      <c r="E2" s="42"/>
      <c r="F2" s="42"/>
      <c r="G2" s="44"/>
      <c r="H2" s="41"/>
      <c r="I2" s="41"/>
      <c r="J2" s="41"/>
      <c r="K2" s="41"/>
      <c r="L2" s="41"/>
      <c r="M2" s="41"/>
      <c r="N2" s="41"/>
      <c r="O2" s="42"/>
      <c r="P2" s="110"/>
      <c r="Q2" s="110"/>
    </row>
    <row r="3" spans="1:17" ht="14.25" thickBot="1" x14ac:dyDescent="0.3">
      <c r="A3" s="42"/>
      <c r="B3" s="42"/>
      <c r="C3" s="42"/>
      <c r="D3" s="42"/>
      <c r="E3" s="42"/>
      <c r="F3" s="42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s="45" customFormat="1" ht="18" customHeight="1" thickBot="1" x14ac:dyDescent="0.35">
      <c r="A4" s="111" t="s">
        <v>42</v>
      </c>
      <c r="B4" s="111"/>
      <c r="C4" s="111"/>
      <c r="D4" s="111"/>
      <c r="E4" s="111"/>
      <c r="F4" s="111"/>
      <c r="G4" s="112" t="e">
        <f>' NotaPedido'!D3</f>
        <v>#REF!</v>
      </c>
      <c r="H4" s="113"/>
      <c r="I4" s="113"/>
      <c r="J4" s="113"/>
      <c r="K4" s="113"/>
      <c r="L4" s="113"/>
      <c r="M4" s="113"/>
      <c r="N4" s="113"/>
      <c r="O4" s="113"/>
      <c r="P4" s="113"/>
      <c r="Q4" s="114"/>
    </row>
    <row r="5" spans="1:17" s="45" customFormat="1" ht="18" customHeight="1" thickBot="1" x14ac:dyDescent="0.35">
      <c r="A5" s="115" t="s">
        <v>23</v>
      </c>
      <c r="B5" s="116"/>
      <c r="C5" s="116"/>
      <c r="D5" s="116"/>
      <c r="E5" s="116"/>
      <c r="F5" s="117"/>
      <c r="G5" s="112" t="e">
        <f>' NotaPedido'!D4</f>
        <v>#REF!</v>
      </c>
      <c r="H5" s="113"/>
      <c r="I5" s="113"/>
      <c r="J5" s="113"/>
      <c r="K5" s="113"/>
      <c r="L5" s="113"/>
      <c r="M5" s="113"/>
      <c r="N5" s="113"/>
      <c r="O5" s="113"/>
      <c r="P5" s="113"/>
      <c r="Q5" s="114"/>
    </row>
    <row r="6" spans="1:17" s="45" customFormat="1" ht="18" customHeight="1" thickBot="1" x14ac:dyDescent="0.35">
      <c r="A6" s="115" t="s">
        <v>24</v>
      </c>
      <c r="B6" s="116"/>
      <c r="C6" s="116"/>
      <c r="D6" s="116"/>
      <c r="E6" s="116"/>
      <c r="F6" s="117"/>
      <c r="G6" s="112" t="str">
        <f>' NotaPedido'!D5</f>
        <v>Jefatura de Policía de la Provincia de Catamarca</v>
      </c>
      <c r="H6" s="113"/>
      <c r="I6" s="113"/>
      <c r="J6" s="113"/>
      <c r="K6" s="113"/>
      <c r="L6" s="113"/>
      <c r="M6" s="113"/>
      <c r="N6" s="113"/>
      <c r="O6" s="113"/>
      <c r="P6" s="113"/>
      <c r="Q6" s="114"/>
    </row>
    <row r="7" spans="1:17" s="45" customFormat="1" ht="24.75" customHeight="1" thickBot="1" x14ac:dyDescent="0.35">
      <c r="A7" s="115" t="s">
        <v>26</v>
      </c>
      <c r="B7" s="116"/>
      <c r="C7" s="116"/>
      <c r="D7" s="116"/>
      <c r="E7" s="116"/>
      <c r="F7" s="117"/>
      <c r="G7" s="112" t="str">
        <f>' NotaPedido'!D6</f>
        <v>División Transporte- Dpto. Logistica (D-4)</v>
      </c>
      <c r="H7" s="113"/>
      <c r="I7" s="113"/>
      <c r="J7" s="113"/>
      <c r="K7" s="113"/>
      <c r="L7" s="113"/>
      <c r="M7" s="113"/>
      <c r="N7" s="113"/>
      <c r="O7" s="113"/>
      <c r="P7" s="113"/>
      <c r="Q7" s="114"/>
    </row>
    <row r="8" spans="1:17" ht="18" customHeight="1" thickBot="1" x14ac:dyDescent="0.25">
      <c r="A8" s="118" t="s">
        <v>43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3">
      <c r="A9" s="119" t="s">
        <v>44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42"/>
      <c r="P9" s="42"/>
      <c r="Q9" s="46"/>
    </row>
    <row r="10" spans="1:17" ht="66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thickBot="1" x14ac:dyDescent="0.3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ht="15.75" customHeight="1" thickBot="1" x14ac:dyDescent="0.25">
      <c r="A12" s="121" t="s">
        <v>45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thickBot="1" x14ac:dyDescent="0.25">
      <c r="A13" s="122" t="s">
        <v>46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47</v>
      </c>
      <c r="P13" s="123"/>
      <c r="Q13" s="124" t="s">
        <v>48</v>
      </c>
    </row>
    <row r="14" spans="1:17" ht="15.75" customHeight="1" thickBot="1" x14ac:dyDescent="0.25">
      <c r="A14" s="51" t="s">
        <v>49</v>
      </c>
      <c r="B14" s="52" t="s">
        <v>50</v>
      </c>
      <c r="C14" s="52" t="s">
        <v>51</v>
      </c>
      <c r="D14" s="52" t="s">
        <v>52</v>
      </c>
      <c r="E14" s="52" t="s">
        <v>53</v>
      </c>
      <c r="F14" s="52" t="s">
        <v>54</v>
      </c>
      <c r="G14" s="53" t="s">
        <v>55</v>
      </c>
      <c r="H14" s="52" t="s">
        <v>56</v>
      </c>
      <c r="I14" s="52" t="s">
        <v>57</v>
      </c>
      <c r="J14" s="52" t="s">
        <v>58</v>
      </c>
      <c r="K14" s="52" t="s">
        <v>58</v>
      </c>
      <c r="L14" s="52" t="s">
        <v>59</v>
      </c>
      <c r="M14" s="54" t="s">
        <v>60</v>
      </c>
      <c r="N14" s="55" t="s">
        <v>61</v>
      </c>
      <c r="O14" s="123"/>
      <c r="P14" s="123"/>
      <c r="Q14" s="124"/>
    </row>
    <row r="15" spans="1:17" ht="17.25" customHeight="1" thickBot="1" x14ac:dyDescent="0.25">
      <c r="A15" s="56">
        <v>16</v>
      </c>
      <c r="B15" s="57">
        <v>0</v>
      </c>
      <c r="C15" s="57">
        <v>0</v>
      </c>
      <c r="D15" s="57">
        <v>1</v>
      </c>
      <c r="E15" s="57">
        <v>0</v>
      </c>
      <c r="F15" s="57">
        <v>10</v>
      </c>
      <c r="G15" s="57">
        <v>2</v>
      </c>
      <c r="H15" s="57">
        <v>1</v>
      </c>
      <c r="I15" s="57">
        <v>2</v>
      </c>
      <c r="J15" s="57">
        <v>4</v>
      </c>
      <c r="K15" s="57">
        <v>4</v>
      </c>
      <c r="L15" s="57">
        <v>0</v>
      </c>
      <c r="M15" s="58">
        <v>1</v>
      </c>
      <c r="N15" s="57" t="s">
        <v>62</v>
      </c>
      <c r="O15" s="126" t="s">
        <v>63</v>
      </c>
      <c r="P15" s="126"/>
      <c r="Q15" s="59" t="e">
        <f>#REF!</f>
        <v>#REF!</v>
      </c>
    </row>
    <row r="16" spans="1:17" ht="23.25" customHeight="1" thickBot="1" x14ac:dyDescent="0.25">
      <c r="A16" s="127" t="s">
        <v>64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9"/>
      <c r="Q16" s="59" t="e">
        <f>+Q15</f>
        <v>#REF!</v>
      </c>
    </row>
    <row r="17" spans="1:18" ht="21.75" customHeight="1" thickBot="1" x14ac:dyDescent="0.3">
      <c r="A17" s="60"/>
      <c r="B17" s="61"/>
      <c r="C17" s="61"/>
      <c r="D17" s="61"/>
      <c r="E17" s="134" t="str">
        <f>' NotaPedido'!D30</f>
        <v>Trece Millones Quinientos Cuatro Mil Doscientos Cuatro con 00/100.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62"/>
    </row>
    <row r="18" spans="1:18" ht="17.25" customHeight="1" thickBot="1" x14ac:dyDescent="0.25">
      <c r="A18" s="130" t="s">
        <v>65</v>
      </c>
      <c r="B18" s="131"/>
      <c r="C18" s="131"/>
      <c r="D18" s="131"/>
      <c r="E18" s="131"/>
      <c r="F18" s="13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8" ht="17.25" customHeight="1" thickBot="1" x14ac:dyDescent="0.25">
      <c r="A19" s="125" t="str">
        <f>' NotaPedido'!D8</f>
        <v>Adquisición de CUBIERTAS destinadas a las Unidades Moviles de la Policia de Catamarca.-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</row>
    <row r="20" spans="1:18" ht="17.25" customHeight="1" thickBot="1" x14ac:dyDescent="0.2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</row>
    <row r="21" spans="1:18" ht="17.25" customHeight="1" x14ac:dyDescent="0.2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12"/>
      <c r="N21" s="12"/>
      <c r="O21" s="16"/>
      <c r="P21" s="16"/>
      <c r="Q21" s="11"/>
      <c r="R21" s="9"/>
    </row>
    <row r="22" spans="1:18" ht="17.2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6"/>
      <c r="P22" s="16"/>
      <c r="Q22" s="11"/>
    </row>
    <row r="23" spans="1:18" ht="20.2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4"/>
    </row>
    <row r="24" spans="1:18" ht="18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8" ht="17.25" customHeight="1" x14ac:dyDescent="0.2">
      <c r="A25" s="17"/>
      <c r="B25" s="17"/>
      <c r="C25" s="17"/>
      <c r="D25" s="17"/>
      <c r="E25" s="17"/>
      <c r="F25" s="1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8" ht="18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8" ht="1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8" x14ac:dyDescent="0.2">
      <c r="A28" s="9"/>
      <c r="B28" s="9"/>
      <c r="C28" s="9"/>
      <c r="D28" s="9"/>
      <c r="E28" s="9"/>
      <c r="F28" s="9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x14ac:dyDescent="0.2">
      <c r="A29" s="9"/>
      <c r="B29" s="9"/>
      <c r="C29" s="9"/>
      <c r="D29" s="9"/>
      <c r="E29" s="9"/>
      <c r="F29" s="9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x14ac:dyDescent="0.2">
      <c r="A30" s="9"/>
      <c r="B30" s="9"/>
      <c r="C30" s="9"/>
      <c r="D30" s="9"/>
      <c r="E30" s="9"/>
      <c r="F30" s="9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x14ac:dyDescent="0.2">
      <c r="A31" s="9"/>
      <c r="B31" s="9"/>
      <c r="C31" s="9"/>
      <c r="D31" s="9"/>
      <c r="E31" s="9"/>
      <c r="F31" s="9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x14ac:dyDescent="0.2">
      <c r="A32" s="9"/>
      <c r="B32" s="9"/>
      <c r="C32" s="9"/>
      <c r="D32" s="9"/>
      <c r="E32" s="9"/>
      <c r="F32" s="9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B37" s="9"/>
      <c r="C37" s="9"/>
      <c r="D37" s="9"/>
      <c r="E37" s="9"/>
      <c r="F37" s="9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B38" s="9"/>
      <c r="C38" s="9"/>
      <c r="D38" s="9"/>
      <c r="E38" s="9"/>
      <c r="F38" s="9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tabSelected="1" workbookViewId="0">
      <selection activeCell="N11" sqref="N11"/>
    </sheetView>
  </sheetViews>
  <sheetFormatPr baseColWidth="10" defaultColWidth="11" defaultRowHeight="13.5" x14ac:dyDescent="0.25"/>
  <cols>
    <col min="1" max="1" width="4.5703125" style="1" customWidth="1"/>
    <col min="2" max="2" width="15.710937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6384" width="11" style="1"/>
  </cols>
  <sheetData>
    <row r="1" spans="1:10" ht="28.5" x14ac:dyDescent="0.4">
      <c r="B1" s="145" t="s">
        <v>0</v>
      </c>
      <c r="C1" s="145"/>
      <c r="D1" s="145"/>
      <c r="E1" s="145"/>
      <c r="F1" s="145"/>
      <c r="G1" s="145"/>
      <c r="H1" s="145"/>
    </row>
    <row r="3" spans="1:10" ht="15" customHeight="1" x14ac:dyDescent="0.25">
      <c r="A3" s="144" t="s">
        <v>1</v>
      </c>
      <c r="B3" s="144"/>
      <c r="C3" s="146" t="s">
        <v>70</v>
      </c>
      <c r="D3" s="146"/>
      <c r="E3" s="146"/>
      <c r="F3" s="2"/>
      <c r="G3" s="3"/>
      <c r="H3" s="2"/>
    </row>
    <row r="4" spans="1:10" ht="15" customHeight="1" x14ac:dyDescent="0.25">
      <c r="A4" s="144" t="s">
        <v>2</v>
      </c>
      <c r="B4" s="144"/>
      <c r="C4" s="146" t="s">
        <v>71</v>
      </c>
      <c r="D4" s="146"/>
      <c r="E4" s="146"/>
      <c r="F4" s="2"/>
      <c r="G4" s="3"/>
      <c r="H4" s="2"/>
    </row>
    <row r="5" spans="1:10" ht="15" customHeight="1" x14ac:dyDescent="0.25">
      <c r="A5" s="144" t="s">
        <v>3</v>
      </c>
      <c r="B5" s="144"/>
      <c r="C5" s="87">
        <v>2022</v>
      </c>
      <c r="D5" s="4"/>
      <c r="E5" s="4"/>
      <c r="F5" s="2"/>
      <c r="G5" s="3"/>
      <c r="H5" s="2"/>
    </row>
    <row r="6" spans="1:10" ht="15" customHeight="1" x14ac:dyDescent="0.25">
      <c r="A6" s="144" t="s">
        <v>4</v>
      </c>
      <c r="B6" s="144"/>
      <c r="C6" s="87">
        <v>4</v>
      </c>
      <c r="D6" s="4"/>
      <c r="E6" s="4"/>
      <c r="F6" s="2"/>
      <c r="G6" s="3"/>
      <c r="H6" s="2"/>
    </row>
    <row r="7" spans="1:10" x14ac:dyDescent="0.25">
      <c r="B7" s="2"/>
      <c r="C7" s="3"/>
      <c r="D7" s="2"/>
      <c r="E7" s="2"/>
      <c r="F7" s="2"/>
      <c r="G7" s="3"/>
      <c r="H7" s="2"/>
    </row>
    <row r="8" spans="1:10" ht="36" customHeight="1" x14ac:dyDescent="0.25">
      <c r="A8" s="64" t="s">
        <v>5</v>
      </c>
      <c r="B8" s="64" t="s">
        <v>6</v>
      </c>
      <c r="C8" s="64" t="s">
        <v>7</v>
      </c>
      <c r="D8" s="64" t="s">
        <v>8</v>
      </c>
      <c r="E8" s="64" t="s">
        <v>9</v>
      </c>
      <c r="F8" s="64" t="s">
        <v>10</v>
      </c>
      <c r="G8" s="64" t="s">
        <v>11</v>
      </c>
      <c r="H8" s="64" t="s">
        <v>12</v>
      </c>
      <c r="I8" s="64" t="s">
        <v>13</v>
      </c>
    </row>
    <row r="9" spans="1:10" s="84" customFormat="1" ht="30.75" customHeight="1" x14ac:dyDescent="0.3">
      <c r="A9" s="75">
        <v>1</v>
      </c>
      <c r="B9" s="75" t="s">
        <v>76</v>
      </c>
      <c r="C9" s="76" t="s">
        <v>72</v>
      </c>
      <c r="D9" s="77" t="s">
        <v>73</v>
      </c>
      <c r="E9" s="78" t="s">
        <v>74</v>
      </c>
      <c r="F9" s="79" t="s">
        <v>14</v>
      </c>
      <c r="G9" s="80">
        <v>2376</v>
      </c>
      <c r="H9" s="81">
        <v>7500</v>
      </c>
      <c r="I9" s="82">
        <f>G9*H9</f>
        <v>17820000</v>
      </c>
      <c r="J9" s="83"/>
    </row>
    <row r="10" spans="1:10" s="84" customFormat="1" ht="30.75" customHeight="1" x14ac:dyDescent="0.3">
      <c r="A10" s="75">
        <v>2</v>
      </c>
      <c r="B10" s="77" t="s">
        <v>75</v>
      </c>
      <c r="C10" s="76" t="s">
        <v>72</v>
      </c>
      <c r="D10" s="77" t="s">
        <v>73</v>
      </c>
      <c r="E10" s="78" t="s">
        <v>77</v>
      </c>
      <c r="F10" s="79" t="s">
        <v>14</v>
      </c>
      <c r="G10" s="80">
        <v>2376</v>
      </c>
      <c r="H10" s="81">
        <v>7500</v>
      </c>
      <c r="I10" s="82">
        <f t="shared" ref="I10:I12" si="0">G10*H10</f>
        <v>17820000</v>
      </c>
    </row>
    <row r="11" spans="1:10" s="84" customFormat="1" ht="30.75" customHeight="1" x14ac:dyDescent="0.3">
      <c r="A11" s="75">
        <v>3</v>
      </c>
      <c r="B11" s="77" t="s">
        <v>78</v>
      </c>
      <c r="C11" s="76" t="s">
        <v>72</v>
      </c>
      <c r="D11" s="77" t="s">
        <v>73</v>
      </c>
      <c r="E11" s="78" t="s">
        <v>79</v>
      </c>
      <c r="F11" s="79" t="s">
        <v>14</v>
      </c>
      <c r="G11" s="80">
        <v>10</v>
      </c>
      <c r="H11" s="81">
        <v>15000</v>
      </c>
      <c r="I11" s="82">
        <f t="shared" si="0"/>
        <v>150000</v>
      </c>
      <c r="J11" s="84" t="s">
        <v>66</v>
      </c>
    </row>
    <row r="12" spans="1:10" s="84" customFormat="1" ht="30.75" customHeight="1" x14ac:dyDescent="0.3">
      <c r="A12" s="75">
        <v>4</v>
      </c>
      <c r="B12" s="77" t="s">
        <v>80</v>
      </c>
      <c r="C12" s="76" t="s">
        <v>72</v>
      </c>
      <c r="D12" s="77" t="s">
        <v>73</v>
      </c>
      <c r="E12" s="78" t="s">
        <v>81</v>
      </c>
      <c r="F12" s="79" t="s">
        <v>82</v>
      </c>
      <c r="G12" s="80">
        <v>2376</v>
      </c>
      <c r="H12" s="81">
        <v>18000</v>
      </c>
      <c r="I12" s="82">
        <f t="shared" si="0"/>
        <v>42768000</v>
      </c>
    </row>
    <row r="13" spans="1:10" s="84" customFormat="1" ht="30.75" customHeight="1" x14ac:dyDescent="0.3">
      <c r="A13" s="85"/>
      <c r="B13" s="85"/>
      <c r="C13" s="85"/>
      <c r="D13" s="85"/>
      <c r="E13" s="141" t="s">
        <v>85</v>
      </c>
      <c r="F13" s="142"/>
      <c r="G13" s="142"/>
      <c r="H13" s="143"/>
      <c r="I13" s="88">
        <f>SUM(I9:I12)</f>
        <v>78558000</v>
      </c>
    </row>
    <row r="14" spans="1:10" s="84" customFormat="1" ht="30.75" customHeight="1" x14ac:dyDescent="0.3">
      <c r="A14" s="85"/>
      <c r="B14" s="85"/>
      <c r="C14" s="85"/>
      <c r="D14" s="85"/>
      <c r="E14" s="85"/>
      <c r="F14" s="85"/>
      <c r="G14" s="85"/>
      <c r="H14" s="85"/>
      <c r="I14" s="86"/>
    </row>
    <row r="15" spans="1:10" ht="14.25" x14ac:dyDescent="0.25">
      <c r="A15" s="5"/>
      <c r="B15" s="74" t="s">
        <v>86</v>
      </c>
      <c r="C15" s="65"/>
      <c r="D15" s="66"/>
      <c r="E15" s="66"/>
      <c r="F15" s="66"/>
      <c r="G15" s="66"/>
      <c r="H15" s="66"/>
      <c r="I15" s="67"/>
    </row>
    <row r="16" spans="1:10" ht="18" customHeight="1" x14ac:dyDescent="0.25">
      <c r="A16" s="5"/>
      <c r="B16" s="71" t="s">
        <v>87</v>
      </c>
      <c r="C16" s="6"/>
      <c r="D16" s="5"/>
      <c r="E16" s="5"/>
      <c r="F16" s="5"/>
      <c r="G16" s="5"/>
      <c r="H16" s="5"/>
      <c r="I16" s="69"/>
    </row>
    <row r="17" spans="1:9" ht="18" customHeight="1" x14ac:dyDescent="0.25">
      <c r="A17" s="5"/>
      <c r="B17" s="70" t="s">
        <v>88</v>
      </c>
      <c r="C17" s="6"/>
      <c r="D17" s="5"/>
      <c r="E17" s="5"/>
      <c r="F17" s="5"/>
      <c r="G17" s="5"/>
      <c r="H17" s="5"/>
      <c r="I17" s="69"/>
    </row>
    <row r="18" spans="1:9" ht="18" customHeight="1" x14ac:dyDescent="0.25">
      <c r="A18" s="5"/>
      <c r="B18" s="68"/>
      <c r="C18" s="6"/>
      <c r="D18" s="5"/>
      <c r="E18" s="5"/>
      <c r="F18" s="5"/>
      <c r="G18" s="5"/>
      <c r="H18" s="5"/>
      <c r="I18" s="69"/>
    </row>
    <row r="19" spans="1:9" ht="21.75" customHeight="1" x14ac:dyDescent="0.25">
      <c r="A19" s="5"/>
      <c r="B19" s="71" t="s">
        <v>15</v>
      </c>
      <c r="C19" s="6"/>
      <c r="D19" s="5"/>
      <c r="E19" s="7"/>
      <c r="F19" s="5"/>
      <c r="G19" s="5"/>
      <c r="H19" s="5"/>
      <c r="I19" s="69"/>
    </row>
    <row r="20" spans="1:9" ht="29.25" customHeight="1" x14ac:dyDescent="0.25">
      <c r="A20" s="5"/>
      <c r="B20" s="68"/>
      <c r="C20" s="137" t="s">
        <v>84</v>
      </c>
      <c r="D20" s="137"/>
      <c r="E20" s="137"/>
      <c r="F20" s="137"/>
      <c r="G20" s="137"/>
      <c r="H20" s="137"/>
      <c r="I20" s="138"/>
    </row>
    <row r="21" spans="1:9" ht="19.5" customHeight="1" x14ac:dyDescent="0.25">
      <c r="A21" s="5"/>
      <c r="B21" s="68"/>
      <c r="C21" s="137" t="s">
        <v>67</v>
      </c>
      <c r="D21" s="137"/>
      <c r="E21" s="137"/>
      <c r="F21" s="137"/>
      <c r="G21" s="137"/>
      <c r="H21" s="137"/>
      <c r="I21" s="138"/>
    </row>
    <row r="22" spans="1:9" ht="25.5" customHeight="1" x14ac:dyDescent="0.25">
      <c r="A22" s="5"/>
      <c r="B22" s="70"/>
      <c r="C22" s="137" t="s">
        <v>89</v>
      </c>
      <c r="D22" s="137"/>
      <c r="E22" s="137"/>
      <c r="F22" s="137"/>
      <c r="G22" s="137"/>
      <c r="H22" s="137"/>
      <c r="I22" s="138"/>
    </row>
    <row r="23" spans="1:9" x14ac:dyDescent="0.25">
      <c r="A23" s="5"/>
      <c r="B23" s="71" t="s">
        <v>16</v>
      </c>
      <c r="C23" s="6"/>
      <c r="D23" s="5"/>
      <c r="E23" s="7"/>
      <c r="F23" s="5"/>
      <c r="G23" s="5"/>
      <c r="H23" s="5"/>
      <c r="I23" s="69"/>
    </row>
    <row r="24" spans="1:9" ht="27.75" customHeight="1" x14ac:dyDescent="0.25">
      <c r="A24" s="5"/>
      <c r="B24" s="70"/>
      <c r="C24" s="137" t="s">
        <v>83</v>
      </c>
      <c r="D24" s="137"/>
      <c r="E24" s="137"/>
      <c r="F24" s="137"/>
      <c r="G24" s="137"/>
      <c r="H24" s="137"/>
      <c r="I24" s="138"/>
    </row>
    <row r="25" spans="1:9" x14ac:dyDescent="0.25">
      <c r="A25" s="5"/>
      <c r="B25" s="71" t="s">
        <v>17</v>
      </c>
      <c r="C25" s="73"/>
      <c r="D25" s="8"/>
      <c r="E25" s="8"/>
      <c r="F25" s="5"/>
      <c r="G25" s="5"/>
      <c r="H25" s="5"/>
      <c r="I25" s="69"/>
    </row>
    <row r="26" spans="1:9" x14ac:dyDescent="0.25">
      <c r="A26" s="5"/>
      <c r="B26" s="70"/>
      <c r="C26" s="139" t="s">
        <v>68</v>
      </c>
      <c r="D26" s="139"/>
      <c r="E26" s="139"/>
      <c r="F26" s="139"/>
      <c r="G26" s="139"/>
      <c r="H26" s="139"/>
      <c r="I26" s="140"/>
    </row>
    <row r="27" spans="1:9" x14ac:dyDescent="0.25">
      <c r="A27" s="5"/>
      <c r="B27" s="71" t="s">
        <v>18</v>
      </c>
      <c r="C27" s="6"/>
      <c r="D27" s="5"/>
      <c r="E27" s="5"/>
      <c r="F27" s="5"/>
      <c r="G27" s="5"/>
      <c r="H27" s="5"/>
      <c r="I27" s="69"/>
    </row>
    <row r="28" spans="1:9" x14ac:dyDescent="0.25">
      <c r="A28" s="5"/>
      <c r="B28" s="72"/>
      <c r="C28" s="135" t="s">
        <v>69</v>
      </c>
      <c r="D28" s="135"/>
      <c r="E28" s="135"/>
      <c r="F28" s="135"/>
      <c r="G28" s="135"/>
      <c r="H28" s="135"/>
      <c r="I28" s="136"/>
    </row>
  </sheetData>
  <mergeCells count="7">
    <mergeCell ref="E13:H13"/>
    <mergeCell ref="C28:I28"/>
    <mergeCell ref="C20:I20"/>
    <mergeCell ref="C21:I21"/>
    <mergeCell ref="C22:I22"/>
    <mergeCell ref="C24:I24"/>
    <mergeCell ref="C26:I26"/>
  </mergeCells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 Ind.</vt:lpstr>
      <vt:lpstr>' NotaPedido'!Área_de_impresión</vt:lpstr>
      <vt:lpstr>'Autor Gastar'!Área_de_impresión</vt:lpstr>
      <vt:lpstr>'Necesidades Trimestrales Ind.'!Área_de_impresión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cp:lastPrinted>2022-11-29T10:39:37Z</cp:lastPrinted>
  <dcterms:created xsi:type="dcterms:W3CDTF">2020-07-17T23:44:49Z</dcterms:created>
  <dcterms:modified xsi:type="dcterms:W3CDTF">2022-12-01T13:33:31Z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