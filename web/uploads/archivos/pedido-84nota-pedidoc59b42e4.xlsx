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385" yWindow="-15" windowWidth="14430" windowHeight="12840" activeTab="2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011'!$A$9:$AY$9</definedName>
  </definedNames>
  <calcPr calcId="152511"/>
</workbook>
</file>

<file path=xl/calcChain.xml><?xml version="1.0" encoding="utf-8"?>
<calcChain xmlns="http://schemas.openxmlformats.org/spreadsheetml/2006/main">
  <c r="M13" i="2" l="1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AW15" i="1" l="1"/>
  <c r="AY15" i="1" s="1"/>
  <c r="AW16" i="1"/>
  <c r="AY16" i="1" s="1"/>
  <c r="AW22" i="1"/>
  <c r="AW23" i="1"/>
  <c r="AW28" i="1"/>
  <c r="T16" i="1"/>
  <c r="T15" i="1"/>
  <c r="T13" i="1"/>
  <c r="AW10" i="1"/>
  <c r="AY10" i="1" s="1"/>
  <c r="AW13" i="1"/>
  <c r="AY13" i="1" s="1"/>
  <c r="AY22" i="1"/>
  <c r="AY23" i="1"/>
  <c r="AY28" i="1"/>
  <c r="T10" i="1"/>
  <c r="T22" i="1"/>
  <c r="T23" i="1"/>
  <c r="T28" i="1"/>
  <c r="A41" i="3" l="1"/>
  <c r="K12" i="2"/>
  <c r="J12" i="2"/>
  <c r="I12" i="2"/>
  <c r="C12" i="2"/>
  <c r="M12" i="2" l="1"/>
  <c r="G6" i="3"/>
  <c r="G7" i="3"/>
  <c r="D4" i="2"/>
  <c r="G5" i="3" s="1"/>
  <c r="D3" i="2"/>
  <c r="G4" i="3" s="1"/>
  <c r="M33" i="2" l="1"/>
  <c r="Q15" i="3" s="1"/>
  <c r="Q38" i="3" s="1"/>
  <c r="AW29" i="1"/>
  <c r="AY29" i="1" s="1"/>
  <c r="T29" i="1"/>
  <c r="AW27" i="1"/>
  <c r="AY27" i="1" s="1"/>
  <c r="AY30" i="1" s="1"/>
  <c r="T27" i="1"/>
  <c r="AW26" i="1"/>
  <c r="AY26" i="1" s="1"/>
  <c r="T26" i="1"/>
  <c r="AW25" i="1"/>
  <c r="AY25" i="1" s="1"/>
  <c r="T25" i="1"/>
  <c r="AW24" i="1"/>
  <c r="AY24" i="1" s="1"/>
  <c r="T24" i="1"/>
  <c r="AW21" i="1"/>
  <c r="AY21" i="1" s="1"/>
  <c r="T21" i="1"/>
  <c r="AW20" i="1"/>
  <c r="AY20" i="1" s="1"/>
  <c r="T20" i="1"/>
  <c r="AW19" i="1"/>
  <c r="AY19" i="1" s="1"/>
  <c r="T19" i="1"/>
  <c r="AW18" i="1"/>
  <c r="AY18" i="1" s="1"/>
  <c r="T18" i="1"/>
  <c r="AW17" i="1"/>
  <c r="AY17" i="1" s="1"/>
  <c r="T17" i="1"/>
  <c r="AW14" i="1"/>
  <c r="AY14" i="1" s="1"/>
  <c r="T14" i="1"/>
  <c r="AW12" i="1"/>
  <c r="AY12" i="1" s="1"/>
  <c r="T12" i="1"/>
  <c r="AW11" i="1"/>
  <c r="AY11" i="1" s="1"/>
  <c r="T11" i="1"/>
  <c r="J33" i="2" l="1"/>
</calcChain>
</file>

<file path=xl/sharedStrings.xml><?xml version="1.0" encoding="utf-8"?>
<sst xmlns="http://schemas.openxmlformats.org/spreadsheetml/2006/main" count="222" uniqueCount="144">
  <si>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</si>
  <si>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</si>
  <si>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</si>
  <si>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</si>
  <si>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</si>
  <si>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</si>
  <si>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</si>
  <si>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</si>
  <si>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</si>
  <si>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</si>
  <si>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</si>
  <si>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</si>
  <si>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</si>
  <si>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</si>
  <si>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</si>
  <si>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</si>
  <si>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</si>
  <si>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</si>
  <si>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</si>
  <si>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</si>
  <si>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</si>
  <si>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</si>
  <si>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</si>
  <si>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</si>
  <si>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</si>
  <si>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</si>
  <si>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</si>
  <si>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</si>
  <si>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</si>
  <si>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</si>
  <si>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</si>
  <si>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</si>
  <si>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</si>
  <si>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</si>
  <si>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</si>
  <si>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</si>
  <si>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</si>
  <si>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</si>
  <si>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</si>
  <si>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</si>
  <si>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</si>
  <si>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</si>
  <si>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</si>
  <si>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</si>
  <si>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</si>
  <si>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</si>
  <si>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</si>
  <si>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</si>
  <si>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</si>
  <si>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</si>
  <si>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</si>
  <si>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</si>
  <si>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</si>
  <si>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</si>
  <si>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</si>
  <si>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</si>
  <si>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</si>
  <si>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>PRECIO UNITARIO ESTIMADO</t>
  </si>
  <si>
    <t xml:space="preserve">IMPORTE TOTAL ESTIMADO </t>
  </si>
  <si>
    <t>ESPECIFICACION TECNICA</t>
  </si>
  <si>
    <t>UNIDAD</t>
  </si>
  <si>
    <t>CAJA</t>
  </si>
  <si>
    <t>PROD. MEDICO/FARMACEUTICOS/LAB</t>
  </si>
  <si>
    <t>2.5.2</t>
  </si>
  <si>
    <t>AMPOLLA</t>
  </si>
  <si>
    <t>COMPRIMIDO</t>
  </si>
  <si>
    <t>APOSITO HIDROCOLOIDE CUADRADO 10 X 10 CM</t>
  </si>
  <si>
    <t xml:space="preserve">BETAMETASONA G 12 MG ( 6 MG ACETATO/6 MG FOSFATO ) AMPOLLA </t>
  </si>
  <si>
    <t>DEXAMETASONA 8 MG AMPOLLA x 2 ml</t>
  </si>
  <si>
    <t>ERGONOVINA AMPOLLA x 2 ml</t>
  </si>
  <si>
    <t xml:space="preserve">ISOXUPRINA 10 MG/ 2 ML. AMPOLLA </t>
  </si>
  <si>
    <t>LEVOTIROXINA 100 MG COMPRIMIDOS</t>
  </si>
  <si>
    <t>LEVOTIROXINA 25 MG COMPRIMIDOS</t>
  </si>
  <si>
    <t>LEVOTIROXINA 75 MG COMPRIMIDOS</t>
  </si>
  <si>
    <t>METILPREDNISOLONA 500 MG FCO AMPOLLA</t>
  </si>
  <si>
    <t>METILPREDNISONA 40 MG COMPRIMIDO</t>
  </si>
  <si>
    <t>NITROFURAZONA 0,2 % APOSITOS  X 20 UNIDADES</t>
  </si>
  <si>
    <t xml:space="preserve">VASELINA SOLIDA X 1KG 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</si>
  <si>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</si>
  <si>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</si>
  <si>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</si>
  <si>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</si>
  <si>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</si>
  <si>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</si>
  <si>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</si>
  <si>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</si>
  <si>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</si>
  <si>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</si>
  <si>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</si>
  <si>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</si>
  <si>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</si>
  <si>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</si>
  <si>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</si>
  <si>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</si>
  <si>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</si>
  <si>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</si>
  <si>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</si>
  <si>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</si>
  <si>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</si>
  <si>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</si>
  <si>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</si>
  <si>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</si>
  <si>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</si>
  <si>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</si>
  <si>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</si>
  <si>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</si>
  <si>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</si>
  <si>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</si>
  <si>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</si>
  <si>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</si>
  <si>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</si>
  <si>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</si>
  <si>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</si>
  <si>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</si>
  <si>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</si>
  <si>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</si>
  <si>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</si>
  <si>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</si>
  <si>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</si>
  <si>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</si>
  <si>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</si>
  <si>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</si>
  <si>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</si>
  <si>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</si>
  <si>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1.1</t>
  </si>
  <si>
    <t>PRODUCTOS FARMACEUTICOS Y MEDICINALES</t>
  </si>
  <si>
    <t xml:space="preserve"> 04/2022</t>
  </si>
  <si>
    <t>SI</t>
  </si>
  <si>
    <t>Autorizo la realización de los  trámites correspondientes, a fin de proveer a  este Organismo los bienes que se detallan en Nota  de Pedido N° 04/2022 afectando la erogación resultante a los créditos presupuestarios aprobados a favor de esta Unidad Ejecutora, conforme al siguiente detalle:</t>
  </si>
  <si>
    <t>AMINIFILINA 240 MG AMPOLLA X 10 ML</t>
  </si>
  <si>
    <t>BUDESONIDE AEROSOL 200 MCG/PUFF ( 100 DOSIS )</t>
  </si>
  <si>
    <t>DIFENHIDRAMINA 0,25% JARABE</t>
  </si>
  <si>
    <t>FRASCO</t>
  </si>
  <si>
    <t>DIFENILHIDRAMINA 10MG AMPOLLA x 5 ml</t>
  </si>
  <si>
    <t>LORATADINA 10MG COMPRIMIDO</t>
  </si>
  <si>
    <t>LORATADINA 1MG/ML JARABE x 60 ml</t>
  </si>
  <si>
    <t>SALBUTAMOL AEROSOL CON  AEROCAMARA x 250 dosis</t>
  </si>
  <si>
    <t>veinte (20) dias habiles</t>
  </si>
  <si>
    <t>TOTAL RUBRO TERAPIA DERMATOLOGICA/SISTEMA GENITOURINARIO Y HORMONAS SEXUALES /HORMONAS SISTEMICAS /CORTICOIDES SISTEMICOS/RESPIRATORIO/ANTIHISTAMINICOS</t>
  </si>
  <si>
    <t>ADQUISICION DEL RUBRO TERAPIA DERMATOLOGICA/SISTEMA GENITOURINARIO Y HORMONAS SEXUALES /HORMONAS SISTEMICAS /CORTICOIDES SISTEMICOS/RESPIRATORIO/ANTIHISTAMINICOS</t>
  </si>
  <si>
    <t>Costo total estimado: QUINCE MILLONES QUINIENTOS CUARENTA Y NUEVE MIL CUATROCIENTOS NOVENTA Y UNO CON 40/100.-</t>
  </si>
  <si>
    <t>TOTAL DE PESOS: QUINCE MILLONES QUINIENTOS CUARENTA Y NUEVE MIL CUATROCIENTOS NOVENTA Y UNO CON 40/100.-</t>
  </si>
  <si>
    <t>OXITOCINA 10 UI INYECTABLE x 1 ml</t>
  </si>
  <si>
    <t>CUATRIMESTRAL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</si>
</sst>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"/>
    <numFmt numFmtId="165" formatCode="_-[$$-2C0A]\ * #,##0.00_-;\-[$$-2C0A]\ * #,##0.00_-;_-[$$-2C0A]\ * &quot;-&quot;??_-;_-@_-"/>
    <numFmt numFmtId="166" formatCode="[$$-2C0A]\ #,##0.00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7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0" fillId="0" borderId="0" applyBorder="0" applyProtection="0"/>
    <xf numFmtId="0" fontId="24" fillId="0" borderId="62" applyProtection="0"/>
    <xf numFmtId="0" fontId="24" fillId="0" borderId="62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5" fillId="4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208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8" fillId="0" borderId="1" xfId="0" applyFont="1" applyBorder="1"/>
    <xf numFmtId="3" fontId="7" fillId="0" borderId="7" xfId="2" applyNumberFormat="1" applyFont="1" applyBorder="1" applyAlignment="1">
      <alignment horizontal="center" vertical="center" wrapText="1"/>
    </xf>
    <xf numFmtId="3" fontId="7" fillId="0" borderId="6" xfId="2" applyNumberFormat="1" applyFont="1" applyBorder="1" applyAlignment="1">
      <alignment horizontal="center" vertical="center" wrapText="1"/>
    </xf>
    <xf numFmtId="3" fontId="7" fillId="0" borderId="3" xfId="2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8" fillId="0" borderId="0" xfId="0" applyFont="1"/>
    <xf numFmtId="3" fontId="10" fillId="0" borderId="9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0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8" fillId="0" borderId="3" xfId="0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165" fontId="8" fillId="0" borderId="2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4" fillId="0" borderId="23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left" vertical="center" wrapText="1" indent="1"/>
    </xf>
    <xf numFmtId="3" fontId="18" fillId="0" borderId="34" xfId="0" applyNumberFormat="1" applyFont="1" applyBorder="1" applyAlignment="1"/>
    <xf numFmtId="168" fontId="0" fillId="0" borderId="34" xfId="0" applyNumberFormat="1" applyBorder="1" applyAlignment="1">
      <alignment horizontal="left"/>
    </xf>
    <xf numFmtId="0" fontId="0" fillId="0" borderId="34" xfId="0" applyBorder="1"/>
    <xf numFmtId="0" fontId="0" fillId="0" borderId="2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7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40" xfId="0" applyBorder="1"/>
    <xf numFmtId="0" fontId="23" fillId="0" borderId="43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4" xfId="0" applyFont="1" applyBorder="1" applyAlignment="1">
      <alignment horizontal="left" vertical="center"/>
    </xf>
    <xf numFmtId="0" fontId="23" fillId="0" borderId="45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0" fontId="0" fillId="0" borderId="50" xfId="7" applyNumberFormat="1" applyFont="1" applyBorder="1" applyAlignment="1" applyProtection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170" fontId="0" fillId="0" borderId="55" xfId="7" applyNumberFormat="1" applyFont="1" applyBorder="1" applyAlignment="1" applyProtection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0" fontId="0" fillId="0" borderId="59" xfId="7" applyNumberFormat="1" applyFont="1" applyBorder="1" applyAlignment="1" applyProtection="1">
      <alignment horizontal="center" vertical="center"/>
    </xf>
    <xf numFmtId="170" fontId="23" fillId="0" borderId="61" xfId="0" applyNumberFormat="1" applyFont="1" applyBorder="1" applyAlignment="1">
      <alignment horizontal="center" vertical="center"/>
    </xf>
    <xf numFmtId="0" fontId="26" fillId="0" borderId="12" xfId="5" applyFont="1" applyFill="1" applyBorder="1" applyAlignment="1">
      <alignment horizontal="center" vertical="center" wrapText="1"/>
    </xf>
    <xf numFmtId="0" fontId="26" fillId="0" borderId="23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6" fillId="0" borderId="23" xfId="5" applyFont="1" applyFill="1" applyBorder="1" applyAlignment="1">
      <alignment horizontal="center" wrapText="1"/>
    </xf>
    <xf numFmtId="0" fontId="26" fillId="0" borderId="23" xfId="5" applyFont="1" applyBorder="1" applyAlignment="1">
      <alignment horizontal="center" wrapText="1"/>
    </xf>
    <xf numFmtId="0" fontId="26" fillId="0" borderId="63" xfId="5" applyFont="1" applyBorder="1" applyAlignment="1">
      <alignment horizontal="center" wrapText="1"/>
    </xf>
    <xf numFmtId="0" fontId="0" fillId="0" borderId="17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/>
    <xf numFmtId="0" fontId="28" fillId="0" borderId="27" xfId="0" applyFont="1" applyBorder="1" applyAlignment="1">
      <alignment horizontal="center" vertical="center"/>
    </xf>
    <xf numFmtId="0" fontId="28" fillId="0" borderId="11" xfId="0" applyFont="1" applyBorder="1" applyAlignment="1">
      <alignment horizontal="left" vertical="center"/>
    </xf>
    <xf numFmtId="0" fontId="28" fillId="0" borderId="29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8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3" fontId="28" fillId="0" borderId="28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3" fontId="28" fillId="0" borderId="30" xfId="0" applyNumberFormat="1" applyFont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3" fontId="28" fillId="0" borderId="70" xfId="0" applyNumberFormat="1" applyFont="1" applyBorder="1" applyAlignment="1">
      <alignment horizontal="center" vertical="center"/>
    </xf>
    <xf numFmtId="165" fontId="12" fillId="0" borderId="13" xfId="0" applyNumberFormat="1" applyFont="1" applyBorder="1" applyAlignment="1">
      <alignment horizontal="right" vertical="center"/>
    </xf>
    <xf numFmtId="165" fontId="12" fillId="0" borderId="0" xfId="0" applyNumberFormat="1" applyFont="1" applyBorder="1" applyAlignment="1">
      <alignment vertical="center"/>
    </xf>
    <xf numFmtId="165" fontId="13" fillId="0" borderId="0" xfId="0" applyNumberFormat="1" applyFont="1" applyBorder="1" applyAlignment="1">
      <alignment horizontal="left" vertical="center" wrapText="1" indent="1"/>
    </xf>
    <xf numFmtId="165" fontId="28" fillId="0" borderId="11" xfId="0" applyNumberFormat="1" applyFont="1" applyBorder="1" applyAlignment="1">
      <alignment horizontal="center" vertical="center" wrapText="1"/>
    </xf>
    <xf numFmtId="165" fontId="28" fillId="0" borderId="1" xfId="0" applyNumberFormat="1" applyFont="1" applyBorder="1" applyAlignment="1">
      <alignment horizontal="center" vertical="center" wrapText="1"/>
    </xf>
    <xf numFmtId="165" fontId="28" fillId="0" borderId="2" xfId="0" applyNumberFormat="1" applyFont="1" applyBorder="1" applyAlignment="1">
      <alignment horizontal="center" vertical="center" wrapText="1"/>
    </xf>
    <xf numFmtId="165" fontId="0" fillId="0" borderId="0" xfId="0" applyNumberFormat="1"/>
    <xf numFmtId="165" fontId="27" fillId="0" borderId="0" xfId="0" applyNumberFormat="1" applyFont="1"/>
    <xf numFmtId="0" fontId="30" fillId="0" borderId="0" xfId="0" applyFont="1" applyAlignment="1">
      <alignment horizontal="center" vertical="center"/>
    </xf>
    <xf numFmtId="165" fontId="30" fillId="0" borderId="0" xfId="0" applyNumberFormat="1" applyFont="1" applyAlignment="1">
      <alignment horizontal="center" vertical="center"/>
    </xf>
    <xf numFmtId="0" fontId="32" fillId="0" borderId="0" xfId="0" applyFont="1"/>
    <xf numFmtId="0" fontId="2" fillId="0" borderId="0" xfId="0" applyFont="1"/>
    <xf numFmtId="165" fontId="29" fillId="0" borderId="0" xfId="0" applyNumberFormat="1" applyFont="1"/>
    <xf numFmtId="3" fontId="7" fillId="0" borderId="2" xfId="2" applyNumberFormat="1" applyFont="1" applyBorder="1" applyAlignment="1">
      <alignment horizontal="center" vertical="center" wrapText="1"/>
    </xf>
    <xf numFmtId="0" fontId="8" fillId="0" borderId="2" xfId="0" applyFont="1" applyBorder="1"/>
    <xf numFmtId="3" fontId="8" fillId="0" borderId="1" xfId="0" applyNumberFormat="1" applyFont="1" applyFill="1" applyBorder="1" applyAlignment="1">
      <alignment horizontal="center" vertical="center"/>
    </xf>
    <xf numFmtId="165" fontId="8" fillId="0" borderId="1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/>
    </xf>
    <xf numFmtId="3" fontId="8" fillId="0" borderId="3" xfId="0" applyNumberFormat="1" applyFont="1" applyFill="1" applyBorder="1" applyAlignment="1">
      <alignment horizontal="center" vertical="center"/>
    </xf>
    <xf numFmtId="3" fontId="8" fillId="0" borderId="2" xfId="0" applyNumberFormat="1" applyFont="1" applyFill="1" applyBorder="1" applyAlignment="1">
      <alignment horizontal="center" vertical="center"/>
    </xf>
    <xf numFmtId="165" fontId="8" fillId="0" borderId="3" xfId="0" applyNumberFormat="1" applyFont="1" applyFill="1" applyBorder="1" applyAlignment="1">
      <alignment horizontal="center" vertical="center"/>
    </xf>
    <xf numFmtId="165" fontId="8" fillId="0" borderId="2" xfId="0" applyNumberFormat="1" applyFont="1" applyFill="1" applyBorder="1" applyAlignment="1">
      <alignment horizontal="center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7" xfId="5" applyFont="1" applyFill="1" applyBorder="1" applyAlignment="1">
      <alignment horizontal="left" vertical="center" wrapText="1"/>
    </xf>
    <xf numFmtId="0" fontId="3" fillId="0" borderId="64" xfId="5" applyFont="1" applyBorder="1" applyAlignment="1">
      <alignment horizontal="left" vertical="center" wrapText="1"/>
    </xf>
    <xf numFmtId="0" fontId="3" fillId="0" borderId="66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/>
    </xf>
    <xf numFmtId="0" fontId="3" fillId="0" borderId="34" xfId="5" applyFont="1" applyFill="1" applyBorder="1" applyAlignment="1">
      <alignment horizontal="left" vertical="center" wrapText="1"/>
    </xf>
    <xf numFmtId="0" fontId="3" fillId="0" borderId="65" xfId="5" applyFont="1" applyFill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 indent="1"/>
    </xf>
    <xf numFmtId="0" fontId="11" fillId="0" borderId="12" xfId="0" applyFont="1" applyBorder="1" applyAlignment="1">
      <alignment horizontal="center" vertical="center"/>
    </xf>
    <xf numFmtId="0" fontId="14" fillId="0" borderId="18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 wrapText="1" indent="1"/>
    </xf>
    <xf numFmtId="0" fontId="28" fillId="0" borderId="67" xfId="0" applyFont="1" applyBorder="1" applyAlignment="1">
      <alignment horizontal="left" vertical="center" wrapText="1"/>
    </xf>
    <xf numFmtId="0" fontId="28" fillId="0" borderId="68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 wrapText="1"/>
    </xf>
    <xf numFmtId="165" fontId="15" fillId="0" borderId="25" xfId="0" applyNumberFormat="1" applyFont="1" applyBorder="1" applyAlignment="1">
      <alignment horizontal="center" vertical="center" wrapText="1"/>
    </xf>
    <xf numFmtId="0" fontId="17" fillId="0" borderId="19" xfId="0" applyFont="1" applyBorder="1" applyAlignment="1">
      <alignment horizontal="left" vertical="center" wrapText="1" indent="1"/>
    </xf>
    <xf numFmtId="166" fontId="13" fillId="0" borderId="19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left"/>
    </xf>
    <xf numFmtId="0" fontId="0" fillId="0" borderId="32" xfId="0" applyFont="1" applyBorder="1" applyAlignment="1">
      <alignment horizontal="center"/>
    </xf>
    <xf numFmtId="3" fontId="18" fillId="0" borderId="33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 vertical="center" wrapText="1"/>
    </xf>
    <xf numFmtId="0" fontId="20" fillId="0" borderId="35" xfId="0" applyFont="1" applyBorder="1"/>
    <xf numFmtId="0" fontId="21" fillId="0" borderId="36" xfId="0" applyFont="1" applyBorder="1" applyAlignment="1">
      <alignment horizontal="left" indent="1"/>
    </xf>
    <xf numFmtId="0" fontId="16" fillId="0" borderId="35" xfId="0" applyFont="1" applyBorder="1" applyAlignment="1">
      <alignment horizontal="left" vertical="center" wrapText="1"/>
    </xf>
    <xf numFmtId="0" fontId="22" fillId="0" borderId="37" xfId="0" applyFont="1" applyBorder="1" applyAlignment="1">
      <alignment horizontal="left"/>
    </xf>
    <xf numFmtId="0" fontId="0" fillId="0" borderId="54" xfId="0" applyFont="1" applyBorder="1" applyAlignment="1">
      <alignment horizontal="center" vertical="center"/>
    </xf>
    <xf numFmtId="49" fontId="21" fillId="0" borderId="39" xfId="0" applyNumberFormat="1" applyFont="1" applyBorder="1" applyAlignment="1">
      <alignment horizontal="justify" vertical="center" wrapText="1"/>
    </xf>
    <xf numFmtId="0" fontId="23" fillId="0" borderId="38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/>
    </xf>
    <xf numFmtId="0" fontId="0" fillId="0" borderId="48" xfId="0" applyFont="1" applyBorder="1" applyAlignment="1">
      <alignment horizontal="left" vertical="center" wrapText="1"/>
    </xf>
    <xf numFmtId="0" fontId="0" fillId="0" borderId="54" xfId="0" applyFont="1" applyBorder="1" applyAlignment="1">
      <alignment horizontal="left" vertical="center"/>
    </xf>
    <xf numFmtId="0" fontId="0" fillId="0" borderId="54" xfId="0" applyBorder="1" applyAlignment="1">
      <alignment horizontal="center"/>
    </xf>
    <xf numFmtId="0" fontId="18" fillId="0" borderId="19" xfId="0" applyFont="1" applyBorder="1" applyAlignment="1">
      <alignment vertical="center" wrapText="1"/>
    </xf>
    <xf numFmtId="0" fontId="21" fillId="0" borderId="42" xfId="0" applyFont="1" applyBorder="1" applyAlignment="1">
      <alignment vertical="center" wrapText="1"/>
    </xf>
    <xf numFmtId="0" fontId="21" fillId="0" borderId="31" xfId="0" applyFont="1" applyBorder="1" applyAlignment="1">
      <alignment horizontal="left" vertical="center" wrapText="1" indent="1"/>
    </xf>
    <xf numFmtId="0" fontId="0" fillId="0" borderId="54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18" fillId="0" borderId="60" xfId="0" applyFont="1" applyBorder="1" applyAlignment="1">
      <alignment horizontal="left" vertical="center" wrapText="1"/>
    </xf>
    <xf numFmtId="0" fontId="0" fillId="0" borderId="38" xfId="0" applyBorder="1"/>
  </cellXfs>
  <cellStyles count="33">
    <cellStyle name="Encabezado 1" xfId="8"/>
    <cellStyle name="Encabezado 1 2" xfId="9"/>
    <cellStyle name="Millares 2" xfId="10"/>
    <cellStyle name="Millares 2 2" xfId="11"/>
    <cellStyle name="Moneda" xfId="1" builtinId="4"/>
    <cellStyle name="Moneda 2" xfId="3"/>
    <cellStyle name="Moneda 2 2" xfId="12"/>
    <cellStyle name="Moneda 3" xfId="13"/>
    <cellStyle name="Moneda 4" xfId="14"/>
    <cellStyle name="Moneda 5" xfId="15"/>
    <cellStyle name="Moneda_AUTORIZACION Y NOTA DE PEDIDO" xfId="7"/>
    <cellStyle name="Neutral 1" xfId="16"/>
    <cellStyle name="Normal" xfId="0" builtinId="0"/>
    <cellStyle name="Normal 2" xfId="2"/>
    <cellStyle name="Normal 2 2" xfId="5"/>
    <cellStyle name="Normal 3" xfId="17"/>
    <cellStyle name="Normal 3 2" xfId="18"/>
    <cellStyle name="Normal 3 2 2" xfId="19"/>
    <cellStyle name="Normal 3 3" xfId="20"/>
    <cellStyle name="Normal 3 4" xfId="21"/>
    <cellStyle name="Normal 3 4 2" xfId="22"/>
    <cellStyle name="Normal 4" xfId="6"/>
    <cellStyle name="Normal 4 2" xfId="23"/>
    <cellStyle name="Normal 4 3" xfId="24"/>
    <cellStyle name="Normal 4 3 2" xfId="25"/>
    <cellStyle name="Normal 5" xfId="4"/>
    <cellStyle name="Normal 5 2" xfId="26"/>
    <cellStyle name="Normal 6" xfId="27"/>
    <cellStyle name="Normal 7" xfId="28"/>
    <cellStyle name="Normal 8" xfId="29"/>
    <cellStyle name="Normal 8 2" xfId="30"/>
    <cellStyle name="Normal 8 3" xfId="31"/>
    <cellStyle name="Normal 8 4" xfId="32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0"/>
  <sheetViews>
    <sheetView zoomScaleNormal="100" workbookViewId="0">
      <selection activeCell="E24" sqref="E24"/>
    </sheetView>
  </sheetViews>
  <sheetFormatPr baseColWidth="10" defaultRowHeight="15" x14ac:dyDescent="0.25"/>
  <cols>
    <col min="1" max="1" width="5.42578125" style="58" bestFit="1" customWidth="1"/>
    <col min="2" max="2" width="14" style="58" bestFit="1" customWidth="1"/>
    <col min="3" max="3" width="38.7109375" style="58" customWidth="1"/>
    <col min="4" max="4" width="5.85546875" style="58" bestFit="1" customWidth="1"/>
    <col min="5" max="5" width="69.5703125" style="59" bestFit="1" customWidth="1"/>
    <col min="6" max="6" width="11.7109375" style="58" bestFit="1" customWidth="1"/>
    <col min="7" max="7" width="16.28515625" style="58" hidden="1" customWidth="1"/>
    <col min="8" max="8" width="10.7109375" style="58" hidden="1" customWidth="1"/>
    <col min="9" max="9" width="7.140625" style="58" hidden="1" customWidth="1"/>
    <col min="10" max="10" width="8.140625" style="58" hidden="1" customWidth="1"/>
    <col min="11" max="11" width="9.42578125" style="58" hidden="1" customWidth="1"/>
    <col min="12" max="12" width="14" style="58" hidden="1" customWidth="1"/>
    <col min="13" max="13" width="8.140625" style="58" hidden="1" customWidth="1"/>
    <col min="14" max="14" width="10.7109375" style="58" hidden="1" customWidth="1"/>
    <col min="15" max="15" width="4.42578125" style="58" hidden="1" customWidth="1"/>
    <col min="16" max="16" width="12.28515625" style="58" hidden="1" customWidth="1"/>
    <col min="17" max="17" width="8.7109375" style="58" hidden="1" customWidth="1"/>
    <col min="18" max="18" width="10.140625" style="58" hidden="1" customWidth="1"/>
    <col min="19" max="19" width="9.7109375" style="60" hidden="1" customWidth="1"/>
    <col min="20" max="20" width="13.85546875" style="61" hidden="1" customWidth="1"/>
    <col min="21" max="21" width="14" style="58" hidden="1" customWidth="1"/>
    <col min="22" max="22" width="11.7109375" style="58" hidden="1" customWidth="1"/>
    <col min="23" max="23" width="5" style="58" hidden="1" customWidth="1"/>
    <col min="24" max="24" width="7.140625" style="58" hidden="1" customWidth="1"/>
    <col min="25" max="25" width="9.140625" style="58" hidden="1" customWidth="1"/>
    <col min="26" max="26" width="10.42578125" style="58" hidden="1" customWidth="1"/>
    <col min="27" max="28" width="13.5703125" style="58" hidden="1" customWidth="1"/>
    <col min="29" max="29" width="5.42578125" style="58" hidden="1" customWidth="1"/>
    <col min="30" max="30" width="12" style="58" hidden="1" customWidth="1"/>
    <col min="31" max="31" width="9.7109375" style="58" hidden="1" customWidth="1"/>
    <col min="32" max="32" width="10.85546875" style="58" hidden="1" customWidth="1"/>
    <col min="33" max="33" width="12.140625" style="58" hidden="1" customWidth="1"/>
    <col min="34" max="34" width="10.140625" style="58" hidden="1" customWidth="1"/>
    <col min="35" max="36" width="9.7109375" style="58" hidden="1" customWidth="1"/>
    <col min="37" max="37" width="5" style="58" hidden="1" customWidth="1"/>
    <col min="38" max="38" width="7.140625" style="58" hidden="1" customWidth="1"/>
    <col min="39" max="39" width="5.7109375" style="58" hidden="1" customWidth="1"/>
    <col min="40" max="40" width="7.5703125" style="61" hidden="1" customWidth="1"/>
    <col min="41" max="42" width="8.85546875" style="58" hidden="1" customWidth="1"/>
    <col min="43" max="43" width="13.85546875" style="58" hidden="1" customWidth="1"/>
    <col min="44" max="44" width="12.7109375" style="61" hidden="1" customWidth="1"/>
    <col min="45" max="45" width="14.7109375" style="62" hidden="1" customWidth="1"/>
    <col min="46" max="46" width="14.7109375" style="58" hidden="1" customWidth="1"/>
    <col min="47" max="47" width="6" style="62" hidden="1" customWidth="1"/>
    <col min="48" max="48" width="12.5703125" style="58" hidden="1" customWidth="1"/>
    <col min="49" max="49" width="11.140625" style="60" customWidth="1"/>
    <col min="50" max="50" width="10.7109375" style="61" bestFit="1" customWidth="1"/>
    <col min="51" max="51" width="15.140625" style="61" bestFit="1" customWidth="1"/>
    <col min="52" max="52" width="22.85546875" bestFit="1" customWidth="1"/>
  </cols>
  <sheetData>
    <row r="1" spans="1:52" ht="14.45" x14ac:dyDescent="0.3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8"/>
      <c r="U1" s="5"/>
      <c r="V1" s="3"/>
      <c r="W1" s="7"/>
      <c r="X1" s="3"/>
      <c r="Y1" s="7"/>
      <c r="Z1" s="3"/>
      <c r="AA1" s="7"/>
      <c r="AB1" s="3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8"/>
      <c r="AO1" s="7"/>
      <c r="AP1" s="3"/>
      <c r="AQ1" s="7"/>
      <c r="AR1" s="8"/>
      <c r="AS1" s="9"/>
      <c r="AT1" s="3"/>
      <c r="AU1" s="9"/>
      <c r="AV1" s="3"/>
      <c r="AW1" s="7"/>
      <c r="AX1" s="10"/>
      <c r="AY1" s="8"/>
    </row>
    <row r="2" spans="1:52" s="145" customFormat="1" ht="18" x14ac:dyDescent="0.35">
      <c r="A2" s="143"/>
      <c r="B2" s="164" t="s">
        <v>0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44"/>
    </row>
    <row r="3" spans="1:52" ht="14.45" x14ac:dyDescent="0.3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8"/>
      <c r="U3" s="5"/>
      <c r="V3" s="3"/>
      <c r="W3" s="7"/>
      <c r="X3" s="3"/>
      <c r="Y3" s="7"/>
      <c r="Z3" s="3"/>
      <c r="AA3" s="7"/>
      <c r="AB3" s="3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8"/>
      <c r="AO3" s="7"/>
      <c r="AP3" s="3"/>
      <c r="AQ3" s="7"/>
      <c r="AR3" s="8"/>
      <c r="AS3" s="9"/>
      <c r="AT3" s="3"/>
      <c r="AU3" s="9"/>
      <c r="AV3" s="3"/>
      <c r="AW3" s="7"/>
      <c r="AX3" s="10"/>
      <c r="AY3" s="8"/>
    </row>
    <row r="4" spans="1:52" ht="14.45" x14ac:dyDescent="0.3">
      <c r="A4" s="163" t="s">
        <v>1</v>
      </c>
      <c r="B4" s="163"/>
      <c r="C4" s="116" t="s">
        <v>2</v>
      </c>
      <c r="D4" s="116"/>
      <c r="E4" s="116"/>
      <c r="F4" s="11"/>
      <c r="G4" s="11"/>
      <c r="H4" s="11"/>
      <c r="I4" s="11"/>
      <c r="J4" s="11"/>
      <c r="K4" s="11"/>
      <c r="L4" s="11"/>
      <c r="M4" s="12"/>
      <c r="N4" s="13"/>
      <c r="O4" s="14"/>
      <c r="P4" s="11"/>
      <c r="Q4" s="12"/>
      <c r="R4" s="11"/>
      <c r="S4" s="14"/>
      <c r="T4" s="15"/>
      <c r="U4" s="12"/>
      <c r="V4" s="11"/>
      <c r="W4" s="14"/>
      <c r="X4" s="11"/>
      <c r="Y4" s="14"/>
      <c r="Z4" s="11"/>
      <c r="AA4" s="14"/>
      <c r="AB4" s="11"/>
      <c r="AC4" s="14"/>
      <c r="AD4" s="11"/>
      <c r="AE4" s="14"/>
      <c r="AF4" s="11"/>
      <c r="AG4" s="14"/>
      <c r="AH4" s="11"/>
      <c r="AI4" s="14"/>
      <c r="AJ4" s="11"/>
      <c r="AK4" s="14"/>
      <c r="AL4" s="11"/>
      <c r="AM4" s="14"/>
      <c r="AN4" s="15"/>
      <c r="AO4" s="14"/>
      <c r="AP4" s="11"/>
      <c r="AQ4" s="14"/>
      <c r="AR4" s="15"/>
      <c r="AS4" s="16"/>
      <c r="AT4" s="11"/>
      <c r="AU4" s="16"/>
      <c r="AV4" s="11"/>
      <c r="AW4" s="14"/>
      <c r="AX4" s="10"/>
      <c r="AY4" s="8"/>
    </row>
    <row r="5" spans="1:52" ht="15" customHeight="1" x14ac:dyDescent="0.25">
      <c r="A5" s="163" t="s">
        <v>3</v>
      </c>
      <c r="B5" s="163"/>
      <c r="C5" s="116" t="s">
        <v>4</v>
      </c>
      <c r="D5" s="116"/>
      <c r="E5" s="116"/>
      <c r="F5" s="11"/>
      <c r="G5" s="11"/>
      <c r="H5" s="11"/>
      <c r="I5" s="11"/>
      <c r="J5" s="11"/>
      <c r="K5" s="11"/>
      <c r="L5" s="11"/>
      <c r="M5" s="12"/>
      <c r="N5" s="13"/>
      <c r="O5" s="14"/>
      <c r="P5" s="11"/>
      <c r="Q5" s="12"/>
      <c r="R5" s="11"/>
      <c r="S5" s="14"/>
      <c r="T5" s="15"/>
      <c r="U5" s="12"/>
      <c r="V5" s="11"/>
      <c r="W5" s="14"/>
      <c r="X5" s="11"/>
      <c r="Y5" s="14"/>
      <c r="Z5" s="11"/>
      <c r="AA5" s="14"/>
      <c r="AB5" s="11"/>
      <c r="AC5" s="14"/>
      <c r="AD5" s="11"/>
      <c r="AE5" s="14"/>
      <c r="AF5" s="11"/>
      <c r="AG5" s="14"/>
      <c r="AH5" s="11"/>
      <c r="AI5" s="14"/>
      <c r="AJ5" s="11"/>
      <c r="AK5" s="14"/>
      <c r="AL5" s="11"/>
      <c r="AM5" s="14"/>
      <c r="AN5" s="15"/>
      <c r="AO5" s="14"/>
      <c r="AP5" s="11"/>
      <c r="AQ5" s="14"/>
      <c r="AR5" s="15"/>
      <c r="AS5" s="16"/>
      <c r="AT5" s="11"/>
      <c r="AU5" s="16"/>
      <c r="AV5" s="11"/>
      <c r="AW5" s="14"/>
      <c r="AX5" s="10"/>
      <c r="AY5" s="8"/>
    </row>
    <row r="6" spans="1:52" ht="14.45" x14ac:dyDescent="0.3">
      <c r="A6" s="163" t="s">
        <v>5</v>
      </c>
      <c r="B6" s="163"/>
      <c r="C6" s="117">
        <v>2022</v>
      </c>
      <c r="D6" s="118"/>
      <c r="E6" s="117"/>
      <c r="F6" s="11"/>
      <c r="G6" s="11"/>
      <c r="H6" s="11"/>
      <c r="I6" s="11"/>
      <c r="J6" s="11"/>
      <c r="K6" s="11"/>
      <c r="L6" s="11"/>
      <c r="M6" s="12"/>
      <c r="N6" s="13"/>
      <c r="O6" s="14"/>
      <c r="P6" s="11"/>
      <c r="Q6" s="12"/>
      <c r="R6" s="11"/>
      <c r="S6" s="14"/>
      <c r="T6" s="15"/>
      <c r="U6" s="12"/>
      <c r="V6" s="11"/>
      <c r="W6" s="14"/>
      <c r="X6" s="11"/>
      <c r="Y6" s="14"/>
      <c r="Z6" s="11"/>
      <c r="AA6" s="14"/>
      <c r="AB6" s="11"/>
      <c r="AC6" s="14"/>
      <c r="AD6" s="11"/>
      <c r="AE6" s="14"/>
      <c r="AF6" s="11"/>
      <c r="AG6" s="14"/>
      <c r="AH6" s="11"/>
      <c r="AI6" s="14"/>
      <c r="AJ6" s="11"/>
      <c r="AK6" s="14"/>
      <c r="AL6" s="11"/>
      <c r="AM6" s="14"/>
      <c r="AN6" s="15"/>
      <c r="AO6" s="14"/>
      <c r="AP6" s="11"/>
      <c r="AQ6" s="14"/>
      <c r="AR6" s="15"/>
      <c r="AS6" s="16"/>
      <c r="AT6" s="11"/>
      <c r="AU6" s="16"/>
      <c r="AV6" s="11"/>
      <c r="AW6" s="14"/>
      <c r="AX6" s="10"/>
      <c r="AY6" s="8"/>
    </row>
    <row r="7" spans="1:52" ht="14.45" x14ac:dyDescent="0.3">
      <c r="A7" s="163" t="s">
        <v>6</v>
      </c>
      <c r="B7" s="163"/>
      <c r="C7" s="117" t="s">
        <v>7</v>
      </c>
      <c r="D7" s="118"/>
      <c r="E7" s="117"/>
      <c r="F7" s="11"/>
      <c r="G7" s="11"/>
      <c r="H7" s="11"/>
      <c r="I7" s="11"/>
      <c r="J7" s="11"/>
      <c r="K7" s="11"/>
      <c r="L7" s="11"/>
      <c r="M7" s="12"/>
      <c r="N7" s="13"/>
      <c r="O7" s="14"/>
      <c r="P7" s="11"/>
      <c r="Q7" s="12"/>
      <c r="R7" s="11"/>
      <c r="S7" s="14"/>
      <c r="T7" s="15"/>
      <c r="U7" s="12"/>
      <c r="V7" s="11"/>
      <c r="W7" s="14"/>
      <c r="X7" s="11"/>
      <c r="Y7" s="14"/>
      <c r="Z7" s="11"/>
      <c r="AA7" s="14"/>
      <c r="AB7" s="11"/>
      <c r="AC7" s="14"/>
      <c r="AD7" s="11"/>
      <c r="AE7" s="14"/>
      <c r="AF7" s="11"/>
      <c r="AG7" s="14"/>
      <c r="AH7" s="11"/>
      <c r="AI7" s="14"/>
      <c r="AJ7" s="11"/>
      <c r="AK7" s="14"/>
      <c r="AL7" s="11"/>
      <c r="AM7" s="14"/>
      <c r="AN7" s="15"/>
      <c r="AO7" s="14"/>
      <c r="AP7" s="11"/>
      <c r="AQ7" s="14"/>
      <c r="AR7" s="15"/>
      <c r="AS7" s="16"/>
      <c r="AT7" s="11"/>
      <c r="AU7" s="16"/>
      <c r="AV7" s="11"/>
      <c r="AW7" s="14"/>
      <c r="AX7" s="10"/>
      <c r="AY7" s="8"/>
    </row>
    <row r="8" spans="1:52" ht="14.45" x14ac:dyDescent="0.3">
      <c r="A8" s="3"/>
      <c r="B8" s="11"/>
      <c r="C8" s="11"/>
      <c r="D8" s="11"/>
      <c r="E8" s="17"/>
      <c r="F8" s="11"/>
      <c r="G8" s="11"/>
      <c r="H8" s="11"/>
      <c r="I8" s="11"/>
      <c r="J8" s="11"/>
      <c r="K8" s="11"/>
      <c r="L8" s="11"/>
      <c r="M8" s="12"/>
      <c r="N8" s="13"/>
      <c r="O8" s="14"/>
      <c r="P8" s="11"/>
      <c r="Q8" s="12"/>
      <c r="R8" s="11"/>
      <c r="S8" s="14"/>
      <c r="T8" s="15"/>
      <c r="U8" s="12"/>
      <c r="V8" s="11"/>
      <c r="W8" s="14"/>
      <c r="X8" s="11"/>
      <c r="Y8" s="14"/>
      <c r="Z8" s="11"/>
      <c r="AA8" s="14"/>
      <c r="AB8" s="11"/>
      <c r="AC8" s="14"/>
      <c r="AD8" s="11"/>
      <c r="AE8" s="14"/>
      <c r="AF8" s="11"/>
      <c r="AG8" s="14"/>
      <c r="AH8" s="11"/>
      <c r="AI8" s="14"/>
      <c r="AJ8" s="11"/>
      <c r="AK8" s="14"/>
      <c r="AL8" s="11"/>
      <c r="AM8" s="14"/>
      <c r="AN8" s="15"/>
      <c r="AO8" s="14"/>
      <c r="AP8" s="11"/>
      <c r="AQ8" s="14"/>
      <c r="AR8" s="15"/>
      <c r="AS8" s="16"/>
      <c r="AT8" s="11"/>
      <c r="AU8" s="16"/>
      <c r="AV8" s="11"/>
      <c r="AW8" s="14"/>
      <c r="AX8" s="10"/>
      <c r="AY8" s="8"/>
    </row>
    <row r="9" spans="1:52" ht="52.9" x14ac:dyDescent="0.3">
      <c r="A9" s="18" t="s">
        <v>8</v>
      </c>
      <c r="B9" s="18" t="s">
        <v>9</v>
      </c>
      <c r="C9" s="19" t="s">
        <v>10</v>
      </c>
      <c r="D9" s="18" t="s">
        <v>11</v>
      </c>
      <c r="E9" s="20" t="s">
        <v>12</v>
      </c>
      <c r="F9" s="19" t="s">
        <v>13</v>
      </c>
      <c r="G9" s="19" t="s">
        <v>14</v>
      </c>
      <c r="H9" s="19" t="s">
        <v>15</v>
      </c>
      <c r="I9" s="21" t="s">
        <v>16</v>
      </c>
      <c r="J9" s="19" t="s">
        <v>17</v>
      </c>
      <c r="K9" s="19" t="s">
        <v>18</v>
      </c>
      <c r="L9" s="19" t="s">
        <v>19</v>
      </c>
      <c r="M9" s="22" t="s">
        <v>20</v>
      </c>
      <c r="N9" s="23" t="s">
        <v>21</v>
      </c>
      <c r="O9" s="24" t="s">
        <v>22</v>
      </c>
      <c r="P9" s="19" t="s">
        <v>23</v>
      </c>
      <c r="Q9" s="22" t="s">
        <v>24</v>
      </c>
      <c r="R9" s="19" t="s">
        <v>25</v>
      </c>
      <c r="S9" s="24" t="s">
        <v>26</v>
      </c>
      <c r="T9" s="25" t="s">
        <v>27</v>
      </c>
      <c r="U9" s="22" t="s">
        <v>28</v>
      </c>
      <c r="V9" s="19" t="s">
        <v>29</v>
      </c>
      <c r="W9" s="24" t="s">
        <v>30</v>
      </c>
      <c r="X9" s="19" t="s">
        <v>31</v>
      </c>
      <c r="Y9" s="24" t="s">
        <v>32</v>
      </c>
      <c r="Z9" s="19" t="s">
        <v>33</v>
      </c>
      <c r="AA9" s="24" t="s">
        <v>34</v>
      </c>
      <c r="AB9" s="19" t="s">
        <v>35</v>
      </c>
      <c r="AC9" s="26" t="s">
        <v>36</v>
      </c>
      <c r="AD9" s="19" t="s">
        <v>37</v>
      </c>
      <c r="AE9" s="24" t="s">
        <v>38</v>
      </c>
      <c r="AF9" s="19" t="s">
        <v>39</v>
      </c>
      <c r="AG9" s="24" t="s">
        <v>40</v>
      </c>
      <c r="AH9" s="19" t="s">
        <v>41</v>
      </c>
      <c r="AI9" s="24" t="s">
        <v>42</v>
      </c>
      <c r="AJ9" s="19" t="s">
        <v>43</v>
      </c>
      <c r="AK9" s="24" t="s">
        <v>44</v>
      </c>
      <c r="AL9" s="19" t="s">
        <v>45</v>
      </c>
      <c r="AM9" s="26" t="s">
        <v>46</v>
      </c>
      <c r="AN9" s="25" t="s">
        <v>47</v>
      </c>
      <c r="AO9" s="26" t="s">
        <v>48</v>
      </c>
      <c r="AP9" s="19" t="s">
        <v>49</v>
      </c>
      <c r="AQ9" s="24" t="s">
        <v>50</v>
      </c>
      <c r="AR9" s="25" t="s">
        <v>51</v>
      </c>
      <c r="AS9" s="27" t="s">
        <v>52</v>
      </c>
      <c r="AT9" s="19" t="s">
        <v>53</v>
      </c>
      <c r="AU9" s="27" t="s">
        <v>54</v>
      </c>
      <c r="AV9" s="19" t="s">
        <v>55</v>
      </c>
      <c r="AW9" s="24" t="s">
        <v>56</v>
      </c>
      <c r="AX9" s="28" t="s">
        <v>57</v>
      </c>
      <c r="AY9" s="25" t="s">
        <v>58</v>
      </c>
      <c r="AZ9" s="29" t="s">
        <v>59</v>
      </c>
    </row>
    <row r="10" spans="1:52" s="38" customFormat="1" ht="13.9" x14ac:dyDescent="0.3">
      <c r="A10" s="45">
        <v>1</v>
      </c>
      <c r="B10" s="45"/>
      <c r="C10" s="152" t="s">
        <v>62</v>
      </c>
      <c r="D10" s="152" t="s">
        <v>63</v>
      </c>
      <c r="E10" s="153" t="s">
        <v>129</v>
      </c>
      <c r="F10" s="154" t="s">
        <v>64</v>
      </c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155">
        <v>500</v>
      </c>
      <c r="T10" s="46">
        <f t="shared" ref="T10:T29" si="0">+S10*AX10</f>
        <v>49000</v>
      </c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6"/>
      <c r="AO10" s="45"/>
      <c r="AP10" s="45"/>
      <c r="AQ10" s="45"/>
      <c r="AR10" s="46"/>
      <c r="AS10" s="47"/>
      <c r="AT10" s="45"/>
      <c r="AU10" s="47"/>
      <c r="AV10" s="45"/>
      <c r="AW10" s="35">
        <f t="shared" ref="AW10:AW29" si="1">+AQ10+AO10+AM10+AK10+AI10+AG10+AE10+AC10+AA10+Y10+W10+U10+S10+Q10+O10+M10+K10+I10+AS10+G10+AU10</f>
        <v>500</v>
      </c>
      <c r="AX10" s="157">
        <v>98</v>
      </c>
      <c r="AY10" s="46">
        <f t="shared" ref="AY10:AY29" si="2">+AW10*AX10</f>
        <v>49000</v>
      </c>
      <c r="AZ10" s="32"/>
    </row>
    <row r="11" spans="1:52" s="38" customFormat="1" ht="13.9" x14ac:dyDescent="0.3">
      <c r="A11" s="45">
        <v>2</v>
      </c>
      <c r="B11" s="30"/>
      <c r="C11" s="53" t="s">
        <v>62</v>
      </c>
      <c r="D11" s="53" t="s">
        <v>63</v>
      </c>
      <c r="E11" s="49" t="s">
        <v>66</v>
      </c>
      <c r="F11" s="30" t="s">
        <v>60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50">
        <v>50</v>
      </c>
      <c r="T11" s="46">
        <f t="shared" si="0"/>
        <v>27564.999999999996</v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51"/>
      <c r="AO11" s="30"/>
      <c r="AP11" s="30"/>
      <c r="AQ11" s="30"/>
      <c r="AR11" s="51"/>
      <c r="AS11" s="52"/>
      <c r="AT11" s="30"/>
      <c r="AU11" s="52"/>
      <c r="AV11" s="30"/>
      <c r="AW11" s="31">
        <f t="shared" si="1"/>
        <v>50</v>
      </c>
      <c r="AX11" s="51">
        <v>551.29999999999995</v>
      </c>
      <c r="AY11" s="46">
        <f t="shared" si="2"/>
        <v>27564.999999999996</v>
      </c>
      <c r="AZ11" s="32"/>
    </row>
    <row r="12" spans="1:52" s="38" customFormat="1" ht="13.9" x14ac:dyDescent="0.3">
      <c r="A12" s="45">
        <v>3</v>
      </c>
      <c r="B12" s="30"/>
      <c r="C12" s="53" t="s">
        <v>62</v>
      </c>
      <c r="D12" s="53" t="s">
        <v>63</v>
      </c>
      <c r="E12" s="49" t="s">
        <v>67</v>
      </c>
      <c r="F12" s="30" t="s">
        <v>64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50">
        <v>5000</v>
      </c>
      <c r="T12" s="46">
        <f t="shared" si="0"/>
        <v>1900000</v>
      </c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51"/>
      <c r="AO12" s="30"/>
      <c r="AP12" s="30"/>
      <c r="AQ12" s="30"/>
      <c r="AR12" s="51"/>
      <c r="AS12" s="52"/>
      <c r="AT12" s="30"/>
      <c r="AU12" s="52"/>
      <c r="AV12" s="30"/>
      <c r="AW12" s="31">
        <f t="shared" si="1"/>
        <v>5000</v>
      </c>
      <c r="AX12" s="51">
        <v>380</v>
      </c>
      <c r="AY12" s="46">
        <f t="shared" si="2"/>
        <v>1900000</v>
      </c>
      <c r="AZ12" s="32"/>
    </row>
    <row r="13" spans="1:52" s="38" customFormat="1" ht="13.9" x14ac:dyDescent="0.3">
      <c r="A13" s="45">
        <v>4</v>
      </c>
      <c r="B13" s="30"/>
      <c r="C13" s="53" t="s">
        <v>62</v>
      </c>
      <c r="D13" s="53" t="s">
        <v>63</v>
      </c>
      <c r="E13" s="49" t="s">
        <v>130</v>
      </c>
      <c r="F13" s="30" t="s">
        <v>60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150">
        <v>1000</v>
      </c>
      <c r="T13" s="46">
        <f t="shared" si="0"/>
        <v>780000</v>
      </c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51"/>
      <c r="AO13" s="30"/>
      <c r="AP13" s="30"/>
      <c r="AQ13" s="30"/>
      <c r="AR13" s="51"/>
      <c r="AS13" s="52"/>
      <c r="AT13" s="30"/>
      <c r="AU13" s="52"/>
      <c r="AV13" s="30"/>
      <c r="AW13" s="31">
        <f t="shared" si="1"/>
        <v>1000</v>
      </c>
      <c r="AX13" s="151">
        <v>780</v>
      </c>
      <c r="AY13" s="46">
        <f t="shared" si="2"/>
        <v>780000</v>
      </c>
      <c r="AZ13" s="32"/>
    </row>
    <row r="14" spans="1:52" s="38" customFormat="1" ht="13.9" x14ac:dyDescent="0.3">
      <c r="A14" s="45">
        <v>5</v>
      </c>
      <c r="B14" s="30"/>
      <c r="C14" s="53" t="s">
        <v>62</v>
      </c>
      <c r="D14" s="53" t="s">
        <v>63</v>
      </c>
      <c r="E14" s="49" t="s">
        <v>68</v>
      </c>
      <c r="F14" s="30" t="s">
        <v>64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50">
        <v>60000</v>
      </c>
      <c r="T14" s="46">
        <f t="shared" si="0"/>
        <v>3720000</v>
      </c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51"/>
      <c r="AO14" s="30"/>
      <c r="AP14" s="30"/>
      <c r="AQ14" s="30"/>
      <c r="AR14" s="51"/>
      <c r="AS14" s="52"/>
      <c r="AT14" s="30"/>
      <c r="AU14" s="52"/>
      <c r="AV14" s="30"/>
      <c r="AW14" s="31">
        <f t="shared" si="1"/>
        <v>60000</v>
      </c>
      <c r="AX14" s="51">
        <v>62</v>
      </c>
      <c r="AY14" s="46">
        <f t="shared" si="2"/>
        <v>3720000</v>
      </c>
      <c r="AZ14" s="32"/>
    </row>
    <row r="15" spans="1:52" s="38" customFormat="1" ht="13.9" x14ac:dyDescent="0.3">
      <c r="A15" s="45">
        <v>6</v>
      </c>
      <c r="B15" s="30"/>
      <c r="C15" s="53" t="s">
        <v>62</v>
      </c>
      <c r="D15" s="53" t="s">
        <v>63</v>
      </c>
      <c r="E15" s="49" t="s">
        <v>131</v>
      </c>
      <c r="F15" s="30" t="s">
        <v>132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150">
        <v>16000</v>
      </c>
      <c r="T15" s="46">
        <f t="shared" si="0"/>
        <v>2688000</v>
      </c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51"/>
      <c r="AO15" s="30"/>
      <c r="AP15" s="30"/>
      <c r="AQ15" s="30"/>
      <c r="AR15" s="51"/>
      <c r="AS15" s="52"/>
      <c r="AT15" s="30"/>
      <c r="AU15" s="52"/>
      <c r="AV15" s="30"/>
      <c r="AW15" s="31">
        <f t="shared" si="1"/>
        <v>16000</v>
      </c>
      <c r="AX15" s="151">
        <v>168</v>
      </c>
      <c r="AY15" s="46">
        <f t="shared" si="2"/>
        <v>2688000</v>
      </c>
      <c r="AZ15" s="32"/>
    </row>
    <row r="16" spans="1:52" s="38" customFormat="1" ht="13.9" x14ac:dyDescent="0.3">
      <c r="A16" s="45">
        <v>7</v>
      </c>
      <c r="B16" s="30"/>
      <c r="C16" s="53" t="s">
        <v>62</v>
      </c>
      <c r="D16" s="53" t="s">
        <v>63</v>
      </c>
      <c r="E16" s="49" t="s">
        <v>133</v>
      </c>
      <c r="F16" s="30" t="s">
        <v>64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150">
        <v>5000</v>
      </c>
      <c r="T16" s="46">
        <f t="shared" si="0"/>
        <v>275000</v>
      </c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51"/>
      <c r="AO16" s="30"/>
      <c r="AP16" s="30"/>
      <c r="AQ16" s="30"/>
      <c r="AR16" s="51"/>
      <c r="AS16" s="52"/>
      <c r="AT16" s="30"/>
      <c r="AU16" s="52"/>
      <c r="AV16" s="30"/>
      <c r="AW16" s="31">
        <f t="shared" si="1"/>
        <v>5000</v>
      </c>
      <c r="AX16" s="151">
        <v>55</v>
      </c>
      <c r="AY16" s="46">
        <f t="shared" si="2"/>
        <v>275000</v>
      </c>
      <c r="AZ16" s="32"/>
    </row>
    <row r="17" spans="1:52" s="38" customFormat="1" ht="13.9" x14ac:dyDescent="0.3">
      <c r="A17" s="45">
        <v>8</v>
      </c>
      <c r="B17" s="30"/>
      <c r="C17" s="53" t="s">
        <v>62</v>
      </c>
      <c r="D17" s="53" t="s">
        <v>63</v>
      </c>
      <c r="E17" s="49" t="s">
        <v>69</v>
      </c>
      <c r="F17" s="30" t="s">
        <v>64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50">
        <v>1000</v>
      </c>
      <c r="T17" s="46">
        <f t="shared" si="0"/>
        <v>60320</v>
      </c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51"/>
      <c r="AO17" s="30"/>
      <c r="AP17" s="30"/>
      <c r="AQ17" s="30"/>
      <c r="AR17" s="51"/>
      <c r="AS17" s="52"/>
      <c r="AT17" s="30"/>
      <c r="AU17" s="52"/>
      <c r="AV17" s="30"/>
      <c r="AW17" s="31">
        <f t="shared" si="1"/>
        <v>1000</v>
      </c>
      <c r="AX17" s="51">
        <v>60.32</v>
      </c>
      <c r="AY17" s="46">
        <f t="shared" si="2"/>
        <v>60320</v>
      </c>
      <c r="AZ17" s="32"/>
    </row>
    <row r="18" spans="1:52" s="38" customFormat="1" ht="13.9" x14ac:dyDescent="0.3">
      <c r="A18" s="45">
        <v>9</v>
      </c>
      <c r="B18" s="30"/>
      <c r="C18" s="53" t="s">
        <v>62</v>
      </c>
      <c r="D18" s="53" t="s">
        <v>63</v>
      </c>
      <c r="E18" s="49" t="s">
        <v>70</v>
      </c>
      <c r="F18" s="30" t="s">
        <v>64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50">
        <v>2000</v>
      </c>
      <c r="T18" s="46">
        <f t="shared" si="0"/>
        <v>90000</v>
      </c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51"/>
      <c r="AO18" s="30"/>
      <c r="AP18" s="30"/>
      <c r="AQ18" s="30"/>
      <c r="AR18" s="51"/>
      <c r="AS18" s="52"/>
      <c r="AT18" s="30"/>
      <c r="AU18" s="52"/>
      <c r="AV18" s="30"/>
      <c r="AW18" s="31">
        <f t="shared" si="1"/>
        <v>2000</v>
      </c>
      <c r="AX18" s="51">
        <v>45</v>
      </c>
      <c r="AY18" s="46">
        <f t="shared" si="2"/>
        <v>90000</v>
      </c>
      <c r="AZ18" s="32"/>
    </row>
    <row r="19" spans="1:52" s="38" customFormat="1" ht="13.9" x14ac:dyDescent="0.3">
      <c r="A19" s="45">
        <v>10</v>
      </c>
      <c r="B19" s="30"/>
      <c r="C19" s="53" t="s">
        <v>62</v>
      </c>
      <c r="D19" s="53" t="s">
        <v>63</v>
      </c>
      <c r="E19" s="49" t="s">
        <v>71</v>
      </c>
      <c r="F19" s="30" t="s">
        <v>65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50">
        <v>10000</v>
      </c>
      <c r="T19" s="46">
        <f t="shared" si="0"/>
        <v>178000</v>
      </c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51"/>
      <c r="AO19" s="30"/>
      <c r="AP19" s="30"/>
      <c r="AQ19" s="30"/>
      <c r="AR19" s="51"/>
      <c r="AS19" s="52"/>
      <c r="AT19" s="30"/>
      <c r="AU19" s="52"/>
      <c r="AV19" s="30"/>
      <c r="AW19" s="31">
        <f t="shared" si="1"/>
        <v>10000</v>
      </c>
      <c r="AX19" s="51">
        <v>17.8</v>
      </c>
      <c r="AY19" s="46">
        <f t="shared" si="2"/>
        <v>178000</v>
      </c>
      <c r="AZ19" s="32"/>
    </row>
    <row r="20" spans="1:52" s="38" customFormat="1" ht="13.9" x14ac:dyDescent="0.3">
      <c r="A20" s="45">
        <v>11</v>
      </c>
      <c r="B20" s="30"/>
      <c r="C20" s="53" t="s">
        <v>62</v>
      </c>
      <c r="D20" s="53" t="s">
        <v>63</v>
      </c>
      <c r="E20" s="49" t="s">
        <v>72</v>
      </c>
      <c r="F20" s="30" t="s">
        <v>65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50">
        <v>10000</v>
      </c>
      <c r="T20" s="46">
        <f t="shared" si="0"/>
        <v>74500</v>
      </c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51"/>
      <c r="AO20" s="30"/>
      <c r="AP20" s="30"/>
      <c r="AQ20" s="30"/>
      <c r="AR20" s="51"/>
      <c r="AS20" s="52"/>
      <c r="AT20" s="30"/>
      <c r="AU20" s="52"/>
      <c r="AV20" s="30"/>
      <c r="AW20" s="31">
        <f t="shared" si="1"/>
        <v>10000</v>
      </c>
      <c r="AX20" s="51">
        <v>7.45</v>
      </c>
      <c r="AY20" s="46">
        <f t="shared" si="2"/>
        <v>74500</v>
      </c>
      <c r="AZ20" s="32"/>
    </row>
    <row r="21" spans="1:52" s="38" customFormat="1" ht="13.9" x14ac:dyDescent="0.3">
      <c r="A21" s="45">
        <v>12</v>
      </c>
      <c r="B21" s="30"/>
      <c r="C21" s="53" t="s">
        <v>62</v>
      </c>
      <c r="D21" s="53" t="s">
        <v>63</v>
      </c>
      <c r="E21" s="49" t="s">
        <v>73</v>
      </c>
      <c r="F21" s="30" t="s">
        <v>65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50">
        <v>20000</v>
      </c>
      <c r="T21" s="46">
        <f t="shared" si="0"/>
        <v>238000</v>
      </c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51"/>
      <c r="AO21" s="30"/>
      <c r="AP21" s="30"/>
      <c r="AQ21" s="30"/>
      <c r="AR21" s="51"/>
      <c r="AS21" s="52"/>
      <c r="AT21" s="30"/>
      <c r="AU21" s="52"/>
      <c r="AV21" s="30"/>
      <c r="AW21" s="31">
        <f t="shared" si="1"/>
        <v>20000</v>
      </c>
      <c r="AX21" s="51">
        <v>11.9</v>
      </c>
      <c r="AY21" s="46">
        <f t="shared" si="2"/>
        <v>238000</v>
      </c>
      <c r="AZ21" s="32"/>
    </row>
    <row r="22" spans="1:52" s="38" customFormat="1" ht="13.9" x14ac:dyDescent="0.3">
      <c r="A22" s="45">
        <v>13</v>
      </c>
      <c r="B22" s="53"/>
      <c r="C22" s="53" t="s">
        <v>62</v>
      </c>
      <c r="D22" s="53" t="s">
        <v>63</v>
      </c>
      <c r="E22" s="54" t="s">
        <v>134</v>
      </c>
      <c r="F22" s="53" t="s">
        <v>65</v>
      </c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156">
        <v>30000</v>
      </c>
      <c r="T22" s="51">
        <f t="shared" si="0"/>
        <v>510000</v>
      </c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5"/>
      <c r="AO22" s="53"/>
      <c r="AP22" s="53"/>
      <c r="AQ22" s="53"/>
      <c r="AR22" s="55"/>
      <c r="AS22" s="56"/>
      <c r="AT22" s="53"/>
      <c r="AU22" s="56"/>
      <c r="AV22" s="53"/>
      <c r="AW22" s="148">
        <f t="shared" si="1"/>
        <v>30000</v>
      </c>
      <c r="AX22" s="158">
        <v>17</v>
      </c>
      <c r="AY22" s="48">
        <f t="shared" si="2"/>
        <v>510000</v>
      </c>
      <c r="AZ22" s="149"/>
    </row>
    <row r="23" spans="1:52" s="38" customFormat="1" ht="13.9" x14ac:dyDescent="0.3">
      <c r="A23" s="45">
        <v>14</v>
      </c>
      <c r="B23" s="30"/>
      <c r="C23" s="53" t="s">
        <v>62</v>
      </c>
      <c r="D23" s="53" t="s">
        <v>63</v>
      </c>
      <c r="E23" s="49" t="s">
        <v>135</v>
      </c>
      <c r="F23" s="30" t="s">
        <v>132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150">
        <v>6000</v>
      </c>
      <c r="T23" s="51">
        <f t="shared" si="0"/>
        <v>2280000</v>
      </c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51"/>
      <c r="AO23" s="30"/>
      <c r="AP23" s="30"/>
      <c r="AQ23" s="30"/>
      <c r="AR23" s="51"/>
      <c r="AS23" s="52"/>
      <c r="AT23" s="30"/>
      <c r="AU23" s="52"/>
      <c r="AV23" s="30"/>
      <c r="AW23" s="31">
        <f t="shared" si="1"/>
        <v>6000</v>
      </c>
      <c r="AX23" s="151">
        <v>380</v>
      </c>
      <c r="AY23" s="51">
        <f t="shared" si="2"/>
        <v>2280000</v>
      </c>
      <c r="AZ23" s="32"/>
    </row>
    <row r="24" spans="1:52" s="38" customFormat="1" ht="13.9" x14ac:dyDescent="0.3">
      <c r="A24" s="45">
        <v>15</v>
      </c>
      <c r="B24" s="30"/>
      <c r="C24" s="30" t="s">
        <v>62</v>
      </c>
      <c r="D24" s="30" t="s">
        <v>63</v>
      </c>
      <c r="E24" s="49" t="s">
        <v>74</v>
      </c>
      <c r="F24" s="30" t="s">
        <v>64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50">
        <v>20</v>
      </c>
      <c r="T24" s="51">
        <f t="shared" si="0"/>
        <v>23660</v>
      </c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51"/>
      <c r="AO24" s="30"/>
      <c r="AP24" s="30"/>
      <c r="AQ24" s="30"/>
      <c r="AR24" s="51"/>
      <c r="AS24" s="52"/>
      <c r="AT24" s="30"/>
      <c r="AU24" s="52"/>
      <c r="AV24" s="30"/>
      <c r="AW24" s="31">
        <f t="shared" si="1"/>
        <v>20</v>
      </c>
      <c r="AX24" s="51">
        <v>1183</v>
      </c>
      <c r="AY24" s="51">
        <f t="shared" si="2"/>
        <v>23660</v>
      </c>
      <c r="AZ24" s="32"/>
    </row>
    <row r="25" spans="1:52" s="38" customFormat="1" ht="13.9" x14ac:dyDescent="0.3">
      <c r="A25" s="45">
        <v>16</v>
      </c>
      <c r="B25" s="30"/>
      <c r="C25" s="30" t="s">
        <v>62</v>
      </c>
      <c r="D25" s="30" t="s">
        <v>63</v>
      </c>
      <c r="E25" s="49" t="s">
        <v>75</v>
      </c>
      <c r="F25" s="30" t="s">
        <v>65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50">
        <v>1500</v>
      </c>
      <c r="T25" s="51">
        <f t="shared" si="0"/>
        <v>105300</v>
      </c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51"/>
      <c r="AO25" s="30"/>
      <c r="AP25" s="30"/>
      <c r="AQ25" s="30"/>
      <c r="AR25" s="51"/>
      <c r="AS25" s="52"/>
      <c r="AT25" s="30"/>
      <c r="AU25" s="52"/>
      <c r="AV25" s="30"/>
      <c r="AW25" s="31">
        <f t="shared" si="1"/>
        <v>1500</v>
      </c>
      <c r="AX25" s="51">
        <v>70.2</v>
      </c>
      <c r="AY25" s="51">
        <f t="shared" si="2"/>
        <v>105300</v>
      </c>
      <c r="AZ25" s="32"/>
    </row>
    <row r="26" spans="1:52" s="38" customFormat="1" ht="13.9" x14ac:dyDescent="0.3">
      <c r="A26" s="45">
        <v>17</v>
      </c>
      <c r="B26" s="30"/>
      <c r="C26" s="30" t="s">
        <v>62</v>
      </c>
      <c r="D26" s="30" t="s">
        <v>63</v>
      </c>
      <c r="E26" s="49" t="s">
        <v>76</v>
      </c>
      <c r="F26" s="30" t="s">
        <v>61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50">
        <v>200</v>
      </c>
      <c r="T26" s="51">
        <f t="shared" si="0"/>
        <v>118908</v>
      </c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51"/>
      <c r="AO26" s="30"/>
      <c r="AP26" s="30"/>
      <c r="AQ26" s="30"/>
      <c r="AR26" s="51"/>
      <c r="AS26" s="52"/>
      <c r="AT26" s="30"/>
      <c r="AU26" s="52"/>
      <c r="AV26" s="30"/>
      <c r="AW26" s="31">
        <f t="shared" si="1"/>
        <v>200</v>
      </c>
      <c r="AX26" s="51">
        <v>594.54</v>
      </c>
      <c r="AY26" s="51">
        <f t="shared" si="2"/>
        <v>118908</v>
      </c>
      <c r="AZ26" s="32"/>
    </row>
    <row r="27" spans="1:52" s="38" customFormat="1" ht="13.9" x14ac:dyDescent="0.3">
      <c r="A27" s="45">
        <v>18</v>
      </c>
      <c r="B27" s="30"/>
      <c r="C27" s="30" t="s">
        <v>62</v>
      </c>
      <c r="D27" s="30" t="s">
        <v>63</v>
      </c>
      <c r="E27" s="49" t="s">
        <v>142</v>
      </c>
      <c r="F27" s="30" t="s">
        <v>64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50">
        <v>1000</v>
      </c>
      <c r="T27" s="51">
        <f t="shared" si="0"/>
        <v>65000</v>
      </c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51"/>
      <c r="AO27" s="30"/>
      <c r="AP27" s="30"/>
      <c r="AQ27" s="30"/>
      <c r="AR27" s="51"/>
      <c r="AS27" s="52"/>
      <c r="AT27" s="30"/>
      <c r="AU27" s="52"/>
      <c r="AV27" s="30"/>
      <c r="AW27" s="31">
        <f t="shared" si="1"/>
        <v>1000</v>
      </c>
      <c r="AX27" s="51">
        <v>65</v>
      </c>
      <c r="AY27" s="51">
        <f t="shared" si="2"/>
        <v>65000</v>
      </c>
      <c r="AZ27" s="32"/>
    </row>
    <row r="28" spans="1:52" s="38" customFormat="1" ht="13.9" x14ac:dyDescent="0.3">
      <c r="A28" s="45">
        <v>19</v>
      </c>
      <c r="B28" s="30"/>
      <c r="C28" s="30" t="s">
        <v>62</v>
      </c>
      <c r="D28" s="30" t="s">
        <v>63</v>
      </c>
      <c r="E28" s="49" t="s">
        <v>136</v>
      </c>
      <c r="F28" s="30" t="s">
        <v>60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150">
        <v>4000</v>
      </c>
      <c r="T28" s="51">
        <f t="shared" si="0"/>
        <v>2320000</v>
      </c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51"/>
      <c r="AO28" s="30"/>
      <c r="AP28" s="30"/>
      <c r="AQ28" s="30"/>
      <c r="AR28" s="51"/>
      <c r="AS28" s="52"/>
      <c r="AT28" s="30"/>
      <c r="AU28" s="52"/>
      <c r="AV28" s="30"/>
      <c r="AW28" s="31">
        <f t="shared" si="1"/>
        <v>4000</v>
      </c>
      <c r="AX28" s="151">
        <v>580</v>
      </c>
      <c r="AY28" s="51">
        <f t="shared" si="2"/>
        <v>2320000</v>
      </c>
      <c r="AZ28" s="32"/>
    </row>
    <row r="29" spans="1:52" s="38" customFormat="1" ht="14.45" thickBot="1" x14ac:dyDescent="0.35">
      <c r="A29" s="45">
        <v>20</v>
      </c>
      <c r="B29" s="30"/>
      <c r="C29" s="30" t="s">
        <v>62</v>
      </c>
      <c r="D29" s="30" t="s">
        <v>63</v>
      </c>
      <c r="E29" s="49" t="s">
        <v>77</v>
      </c>
      <c r="F29" s="30" t="s">
        <v>60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50">
        <v>30</v>
      </c>
      <c r="T29" s="51">
        <f t="shared" si="0"/>
        <v>46238.400000000001</v>
      </c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51"/>
      <c r="AO29" s="30"/>
      <c r="AP29" s="30"/>
      <c r="AQ29" s="30"/>
      <c r="AR29" s="51"/>
      <c r="AS29" s="52"/>
      <c r="AT29" s="30"/>
      <c r="AU29" s="52"/>
      <c r="AV29" s="30"/>
      <c r="AW29" s="33">
        <f t="shared" si="1"/>
        <v>30</v>
      </c>
      <c r="AX29" s="51">
        <v>1541.28</v>
      </c>
      <c r="AY29" s="51">
        <f t="shared" si="2"/>
        <v>46238.400000000001</v>
      </c>
      <c r="AZ29" s="32"/>
    </row>
    <row r="30" spans="1:52" s="44" customFormat="1" ht="42" thickBot="1" x14ac:dyDescent="0.35">
      <c r="A30" s="42"/>
      <c r="B30" s="37"/>
      <c r="C30" s="37"/>
      <c r="D30" s="37"/>
      <c r="E30" s="36" t="s">
        <v>138</v>
      </c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9"/>
      <c r="T30" s="40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40"/>
      <c r="AO30" s="37"/>
      <c r="AP30" s="37"/>
      <c r="AQ30" s="37"/>
      <c r="AR30" s="40"/>
      <c r="AS30" s="41"/>
      <c r="AT30" s="37"/>
      <c r="AU30" s="41"/>
      <c r="AV30" s="37"/>
      <c r="AW30" s="34"/>
      <c r="AX30" s="40"/>
      <c r="AY30" s="57">
        <f>+SUM(AY10:AY29)</f>
        <v>15549491.4</v>
      </c>
      <c r="AZ30" s="43"/>
    </row>
    <row r="31" spans="1:52" thickBot="1" x14ac:dyDescent="0.35"/>
    <row r="32" spans="1:52" ht="150" customHeight="1" x14ac:dyDescent="0.25">
      <c r="C32" s="108" t="s">
        <v>115</v>
      </c>
      <c r="D32" s="165" t="s">
        <v>116</v>
      </c>
      <c r="E32" s="166"/>
    </row>
    <row r="33" spans="3:5" x14ac:dyDescent="0.25">
      <c r="C33" s="109"/>
      <c r="D33" s="110"/>
      <c r="E33" s="114"/>
    </row>
    <row r="34" spans="3:5" x14ac:dyDescent="0.25">
      <c r="C34" s="111" t="s">
        <v>117</v>
      </c>
      <c r="D34" s="159" t="s">
        <v>137</v>
      </c>
      <c r="E34" s="160"/>
    </row>
    <row r="35" spans="3:5" x14ac:dyDescent="0.25">
      <c r="C35" s="111"/>
      <c r="D35" s="110"/>
      <c r="E35" s="114"/>
    </row>
    <row r="36" spans="3:5" ht="27" customHeight="1" x14ac:dyDescent="0.25">
      <c r="C36" s="111" t="s">
        <v>118</v>
      </c>
      <c r="D36" s="159" t="s">
        <v>119</v>
      </c>
      <c r="E36" s="160"/>
    </row>
    <row r="37" spans="3:5" x14ac:dyDescent="0.25">
      <c r="C37" s="111"/>
      <c r="D37" s="110"/>
      <c r="E37" s="114"/>
    </row>
    <row r="38" spans="3:5" x14ac:dyDescent="0.25">
      <c r="C38" s="112" t="s">
        <v>120</v>
      </c>
      <c r="D38" s="115"/>
      <c r="E38" s="114"/>
    </row>
    <row r="39" spans="3:5" x14ac:dyDescent="0.25">
      <c r="C39" s="112"/>
      <c r="D39" s="115"/>
      <c r="E39" s="114"/>
    </row>
    <row r="40" spans="3:5" ht="15.75" thickBot="1" x14ac:dyDescent="0.3">
      <c r="C40" s="113" t="s">
        <v>121</v>
      </c>
      <c r="D40" s="161" t="s">
        <v>122</v>
      </c>
      <c r="E40" s="162"/>
    </row>
  </sheetData>
  <sortState ref="C10:AY29">
    <sortCondition ref="E10:E29"/>
  </sortState>
  <mergeCells count="9">
    <mergeCell ref="D36:E36"/>
    <mergeCell ref="D40:E40"/>
    <mergeCell ref="A7:B7"/>
    <mergeCell ref="A6:B6"/>
    <mergeCell ref="B2:AX2"/>
    <mergeCell ref="A4:B4"/>
    <mergeCell ref="A5:B5"/>
    <mergeCell ref="D32:E32"/>
    <mergeCell ref="D34:E34"/>
  </mergeCells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34:C40">
    <cfRule type="duplicateValues" dxfId="3" priority="1"/>
  </conditionalFormatting>
  <conditionalFormatting sqref="C34:C40">
    <cfRule type="duplicateValues" dxfId="2" priority="2"/>
  </conditionalFormatting>
  <conditionalFormatting sqref="C34:C40">
    <cfRule type="duplicateValues" dxfId="1" priority="3"/>
  </conditionalFormatting>
  <conditionalFormatting sqref="C34:C40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selection activeCell="M1" sqref="M1:M1048576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141" customWidth="1"/>
    <col min="11" max="11" width="15.5703125" customWidth="1"/>
    <col min="13" max="13" width="15.5703125" style="142" bestFit="1" customWidth="1"/>
  </cols>
  <sheetData>
    <row r="1" spans="1:13" ht="30.75" thickBot="1" x14ac:dyDescent="0.3">
      <c r="A1" s="169" t="s">
        <v>78</v>
      </c>
      <c r="B1" s="169"/>
      <c r="C1" s="169"/>
      <c r="D1" s="169"/>
      <c r="E1" s="169"/>
      <c r="F1" s="169"/>
      <c r="G1" s="169"/>
      <c r="H1" s="169"/>
      <c r="I1" s="169"/>
      <c r="J1" s="135" t="s">
        <v>79</v>
      </c>
      <c r="K1" s="63" t="s">
        <v>126</v>
      </c>
    </row>
    <row r="2" spans="1:13" ht="16.149999999999999" thickBot="1" x14ac:dyDescent="0.35">
      <c r="A2" s="64"/>
      <c r="B2" s="65"/>
      <c r="C2" s="65"/>
      <c r="D2" s="66"/>
      <c r="E2" s="66"/>
      <c r="F2" s="66"/>
      <c r="G2" s="66"/>
      <c r="H2" s="66"/>
      <c r="I2" s="66"/>
      <c r="J2" s="136"/>
      <c r="K2" s="67"/>
    </row>
    <row r="3" spans="1:13" ht="16.5" thickBot="1" x14ac:dyDescent="0.3">
      <c r="A3" s="170" t="s">
        <v>80</v>
      </c>
      <c r="B3" s="170"/>
      <c r="C3" s="170"/>
      <c r="D3" s="168" t="str">
        <f>'SAF 011'!C4</f>
        <v>040 - MINISTERIO DE SALUD</v>
      </c>
      <c r="E3" s="168"/>
      <c r="F3" s="168"/>
      <c r="G3" s="168"/>
      <c r="H3" s="168"/>
      <c r="I3" s="168"/>
      <c r="J3" s="168"/>
      <c r="K3" s="168"/>
    </row>
    <row r="4" spans="1:13" ht="16.149999999999999" thickBot="1" x14ac:dyDescent="0.35">
      <c r="A4" s="167" t="s">
        <v>81</v>
      </c>
      <c r="B4" s="167"/>
      <c r="C4" s="167"/>
      <c r="D4" s="168" t="str">
        <f>'SAF 011'!C5</f>
        <v>011 - DIRECCION PROVINCIAL DE ADMINISTRACION - MINISTERIO DE SALUD</v>
      </c>
      <c r="E4" s="168"/>
      <c r="F4" s="168"/>
      <c r="G4" s="168"/>
      <c r="H4" s="168"/>
      <c r="I4" s="168"/>
      <c r="J4" s="168"/>
      <c r="K4" s="168"/>
    </row>
    <row r="5" spans="1:13" ht="16.149999999999999" thickBot="1" x14ac:dyDescent="0.35">
      <c r="A5" s="167" t="s">
        <v>82</v>
      </c>
      <c r="B5" s="167"/>
      <c r="C5" s="167"/>
      <c r="D5" s="168" t="s">
        <v>123</v>
      </c>
      <c r="E5" s="168"/>
      <c r="F5" s="168"/>
      <c r="G5" s="168"/>
      <c r="H5" s="168"/>
      <c r="I5" s="168"/>
      <c r="J5" s="168"/>
      <c r="K5" s="168"/>
    </row>
    <row r="6" spans="1:13" ht="16.149999999999999" thickBot="1" x14ac:dyDescent="0.35">
      <c r="A6" s="170" t="s">
        <v>83</v>
      </c>
      <c r="B6" s="170"/>
      <c r="C6" s="170"/>
      <c r="D6" s="168" t="s">
        <v>123</v>
      </c>
      <c r="E6" s="168"/>
      <c r="F6" s="168"/>
      <c r="G6" s="168"/>
      <c r="H6" s="168"/>
      <c r="I6" s="168"/>
      <c r="J6" s="168"/>
      <c r="K6" s="168"/>
    </row>
    <row r="7" spans="1:13" ht="16.5" thickBot="1" x14ac:dyDescent="0.3">
      <c r="A7" s="167" t="s">
        <v>84</v>
      </c>
      <c r="B7" s="167"/>
      <c r="C7" s="167"/>
      <c r="D7" s="168" t="s">
        <v>143</v>
      </c>
      <c r="E7" s="168"/>
      <c r="F7" s="168"/>
      <c r="G7" s="168"/>
      <c r="H7" s="168"/>
      <c r="I7" s="168"/>
      <c r="J7" s="168"/>
      <c r="K7" s="168"/>
    </row>
    <row r="8" spans="1:13" ht="35.25" customHeight="1" thickBot="1" x14ac:dyDescent="0.35">
      <c r="A8" s="173" t="s">
        <v>85</v>
      </c>
      <c r="B8" s="173"/>
      <c r="C8" s="173"/>
      <c r="D8" s="174" t="s">
        <v>139</v>
      </c>
      <c r="E8" s="174"/>
      <c r="F8" s="174"/>
      <c r="G8" s="174"/>
      <c r="H8" s="174"/>
      <c r="I8" s="174"/>
      <c r="J8" s="174"/>
      <c r="K8" s="174"/>
    </row>
    <row r="9" spans="1:13" ht="16.149999999999999" thickBot="1" x14ac:dyDescent="0.35">
      <c r="A9" s="68"/>
      <c r="B9" s="69"/>
      <c r="C9" s="69"/>
      <c r="D9" s="70"/>
      <c r="E9" s="70"/>
      <c r="F9" s="70"/>
      <c r="G9" s="70"/>
      <c r="H9" s="70"/>
      <c r="I9" s="70"/>
      <c r="J9" s="137"/>
      <c r="K9" s="71"/>
    </row>
    <row r="10" spans="1:13" ht="15.75" thickBot="1" x14ac:dyDescent="0.3">
      <c r="A10" s="171" t="s">
        <v>86</v>
      </c>
      <c r="B10" s="172" t="s">
        <v>87</v>
      </c>
      <c r="C10" s="172" t="s">
        <v>88</v>
      </c>
      <c r="D10" s="172"/>
      <c r="E10" s="172"/>
      <c r="F10" s="172"/>
      <c r="G10" s="172"/>
      <c r="H10" s="172" t="s">
        <v>89</v>
      </c>
      <c r="I10" s="172" t="s">
        <v>90</v>
      </c>
      <c r="J10" s="180" t="s">
        <v>91</v>
      </c>
      <c r="K10" s="178" t="s">
        <v>92</v>
      </c>
    </row>
    <row r="11" spans="1:13" ht="28.5" customHeight="1" thickBot="1" x14ac:dyDescent="0.3">
      <c r="A11" s="171"/>
      <c r="B11" s="172"/>
      <c r="C11" s="172"/>
      <c r="D11" s="172"/>
      <c r="E11" s="172"/>
      <c r="F11" s="172"/>
      <c r="G11" s="172"/>
      <c r="H11" s="172"/>
      <c r="I11" s="172"/>
      <c r="J11" s="180"/>
      <c r="K11" s="178"/>
    </row>
    <row r="12" spans="1:13" s="119" customFormat="1" ht="14.45" x14ac:dyDescent="0.3">
      <c r="A12" s="120">
        <v>1</v>
      </c>
      <c r="B12" s="121"/>
      <c r="C12" s="179" t="str">
        <f>'SAF 011'!E10</f>
        <v>AMINIFILINA 240 MG AMPOLLA X 10 ML</v>
      </c>
      <c r="D12" s="179"/>
      <c r="E12" s="179"/>
      <c r="F12" s="179"/>
      <c r="G12" s="179"/>
      <c r="H12" s="124" t="s">
        <v>127</v>
      </c>
      <c r="I12" s="125" t="str">
        <f>'SAF 011'!F10</f>
        <v>AMPOLLA</v>
      </c>
      <c r="J12" s="138">
        <f>'SAF 011'!AX10</f>
        <v>98</v>
      </c>
      <c r="K12" s="126">
        <f>'SAF 011'!S10</f>
        <v>500</v>
      </c>
      <c r="M12" s="142">
        <f>+J12*K12</f>
        <v>49000</v>
      </c>
    </row>
    <row r="13" spans="1:13" s="119" customFormat="1" ht="16.5" customHeight="1" x14ac:dyDescent="0.3">
      <c r="A13" s="122">
        <v>2</v>
      </c>
      <c r="B13" s="123"/>
      <c r="C13" s="175" t="str">
        <f>'SAF 011'!E11</f>
        <v>APOSITO HIDROCOLOIDE CUADRADO 10 X 10 CM</v>
      </c>
      <c r="D13" s="176"/>
      <c r="E13" s="176"/>
      <c r="F13" s="176"/>
      <c r="G13" s="177"/>
      <c r="H13" s="127" t="s">
        <v>127</v>
      </c>
      <c r="I13" s="128" t="str">
        <f>'SAF 011'!F11</f>
        <v>UNIDAD</v>
      </c>
      <c r="J13" s="139">
        <f>'SAF 011'!AX11</f>
        <v>551.29999999999995</v>
      </c>
      <c r="K13" s="129">
        <f>'SAF 011'!S11</f>
        <v>50</v>
      </c>
      <c r="M13" s="142">
        <f t="shared" ref="M13:M31" si="0">+J13*K13</f>
        <v>27564.999999999996</v>
      </c>
    </row>
    <row r="14" spans="1:13" s="119" customFormat="1" ht="16.5" customHeight="1" x14ac:dyDescent="0.3">
      <c r="A14" s="122">
        <v>3</v>
      </c>
      <c r="B14" s="123"/>
      <c r="C14" s="175" t="str">
        <f>'SAF 011'!E12</f>
        <v xml:space="preserve">BETAMETASONA G 12 MG ( 6 MG ACETATO/6 MG FOSFATO ) AMPOLLA </v>
      </c>
      <c r="D14" s="176"/>
      <c r="E14" s="176"/>
      <c r="F14" s="176"/>
      <c r="G14" s="177"/>
      <c r="H14" s="127" t="s">
        <v>127</v>
      </c>
      <c r="I14" s="128" t="str">
        <f>'SAF 011'!F12</f>
        <v>AMPOLLA</v>
      </c>
      <c r="J14" s="139">
        <f>'SAF 011'!AX12</f>
        <v>380</v>
      </c>
      <c r="K14" s="129">
        <f>'SAF 011'!S12</f>
        <v>5000</v>
      </c>
      <c r="M14" s="142">
        <f t="shared" si="0"/>
        <v>1900000</v>
      </c>
    </row>
    <row r="15" spans="1:13" s="119" customFormat="1" ht="16.5" customHeight="1" x14ac:dyDescent="0.3">
      <c r="A15" s="122">
        <v>4</v>
      </c>
      <c r="B15" s="123"/>
      <c r="C15" s="175" t="str">
        <f>'SAF 011'!E13</f>
        <v>BUDESONIDE AEROSOL 200 MCG/PUFF ( 100 DOSIS )</v>
      </c>
      <c r="D15" s="176"/>
      <c r="E15" s="176"/>
      <c r="F15" s="176"/>
      <c r="G15" s="177"/>
      <c r="H15" s="127" t="s">
        <v>127</v>
      </c>
      <c r="I15" s="128" t="str">
        <f>'SAF 011'!F13</f>
        <v>UNIDAD</v>
      </c>
      <c r="J15" s="139">
        <f>'SAF 011'!AX13</f>
        <v>780</v>
      </c>
      <c r="K15" s="129">
        <f>'SAF 011'!S13</f>
        <v>1000</v>
      </c>
      <c r="M15" s="142">
        <f t="shared" si="0"/>
        <v>780000</v>
      </c>
    </row>
    <row r="16" spans="1:13" s="119" customFormat="1" ht="16.5" customHeight="1" x14ac:dyDescent="0.3">
      <c r="A16" s="122">
        <v>5</v>
      </c>
      <c r="B16" s="123"/>
      <c r="C16" s="175" t="str">
        <f>'SAF 011'!E14</f>
        <v>DEXAMETASONA 8 MG AMPOLLA x 2 ml</v>
      </c>
      <c r="D16" s="176"/>
      <c r="E16" s="176"/>
      <c r="F16" s="176"/>
      <c r="G16" s="177"/>
      <c r="H16" s="127" t="s">
        <v>127</v>
      </c>
      <c r="I16" s="128" t="str">
        <f>'SAF 011'!F14</f>
        <v>AMPOLLA</v>
      </c>
      <c r="J16" s="139">
        <f>'SAF 011'!AX14</f>
        <v>62</v>
      </c>
      <c r="K16" s="129">
        <f>'SAF 011'!S14</f>
        <v>60000</v>
      </c>
      <c r="M16" s="142">
        <f t="shared" si="0"/>
        <v>3720000</v>
      </c>
    </row>
    <row r="17" spans="1:13" s="119" customFormat="1" ht="16.5" customHeight="1" x14ac:dyDescent="0.3">
      <c r="A17" s="122">
        <v>6</v>
      </c>
      <c r="B17" s="123"/>
      <c r="C17" s="175" t="str">
        <f>'SAF 011'!E15</f>
        <v>DIFENHIDRAMINA 0,25% JARABE</v>
      </c>
      <c r="D17" s="176"/>
      <c r="E17" s="176"/>
      <c r="F17" s="176"/>
      <c r="G17" s="177"/>
      <c r="H17" s="127" t="s">
        <v>127</v>
      </c>
      <c r="I17" s="128" t="str">
        <f>'SAF 011'!F15</f>
        <v>FRASCO</v>
      </c>
      <c r="J17" s="139">
        <f>'SAF 011'!AX15</f>
        <v>168</v>
      </c>
      <c r="K17" s="129">
        <f>'SAF 011'!S15</f>
        <v>16000</v>
      </c>
      <c r="M17" s="142">
        <f t="shared" si="0"/>
        <v>2688000</v>
      </c>
    </row>
    <row r="18" spans="1:13" s="119" customFormat="1" ht="16.5" customHeight="1" x14ac:dyDescent="0.3">
      <c r="A18" s="122">
        <v>7</v>
      </c>
      <c r="B18" s="123"/>
      <c r="C18" s="175" t="str">
        <f>'SAF 011'!E16</f>
        <v>DIFENILHIDRAMINA 10MG AMPOLLA x 5 ml</v>
      </c>
      <c r="D18" s="176"/>
      <c r="E18" s="176"/>
      <c r="F18" s="176"/>
      <c r="G18" s="177"/>
      <c r="H18" s="127" t="s">
        <v>127</v>
      </c>
      <c r="I18" s="128" t="str">
        <f>'SAF 011'!F16</f>
        <v>AMPOLLA</v>
      </c>
      <c r="J18" s="139">
        <f>'SAF 011'!AX16</f>
        <v>55</v>
      </c>
      <c r="K18" s="129">
        <f>'SAF 011'!S16</f>
        <v>5000</v>
      </c>
      <c r="M18" s="142">
        <f t="shared" si="0"/>
        <v>275000</v>
      </c>
    </row>
    <row r="19" spans="1:13" s="119" customFormat="1" ht="16.5" customHeight="1" x14ac:dyDescent="0.3">
      <c r="A19" s="122">
        <v>8</v>
      </c>
      <c r="B19" s="123"/>
      <c r="C19" s="175" t="str">
        <f>'SAF 011'!E17</f>
        <v>ERGONOVINA AMPOLLA x 2 ml</v>
      </c>
      <c r="D19" s="176"/>
      <c r="E19" s="176"/>
      <c r="F19" s="176"/>
      <c r="G19" s="177"/>
      <c r="H19" s="127" t="s">
        <v>127</v>
      </c>
      <c r="I19" s="128" t="str">
        <f>'SAF 011'!F17</f>
        <v>AMPOLLA</v>
      </c>
      <c r="J19" s="139">
        <f>'SAF 011'!AX17</f>
        <v>60.32</v>
      </c>
      <c r="K19" s="129">
        <f>'SAF 011'!S17</f>
        <v>1000</v>
      </c>
      <c r="M19" s="142">
        <f t="shared" si="0"/>
        <v>60320</v>
      </c>
    </row>
    <row r="20" spans="1:13" s="119" customFormat="1" ht="16.5" customHeight="1" x14ac:dyDescent="0.3">
      <c r="A20" s="122">
        <v>9</v>
      </c>
      <c r="B20" s="123"/>
      <c r="C20" s="175" t="str">
        <f>'SAF 011'!E18</f>
        <v xml:space="preserve">ISOXUPRINA 10 MG/ 2 ML. AMPOLLA </v>
      </c>
      <c r="D20" s="176"/>
      <c r="E20" s="176"/>
      <c r="F20" s="176"/>
      <c r="G20" s="177"/>
      <c r="H20" s="127" t="s">
        <v>127</v>
      </c>
      <c r="I20" s="128" t="str">
        <f>'SAF 011'!F18</f>
        <v>AMPOLLA</v>
      </c>
      <c r="J20" s="139">
        <f>'SAF 011'!AX18</f>
        <v>45</v>
      </c>
      <c r="K20" s="129">
        <f>'SAF 011'!S18</f>
        <v>2000</v>
      </c>
      <c r="M20" s="142">
        <f t="shared" si="0"/>
        <v>90000</v>
      </c>
    </row>
    <row r="21" spans="1:13" s="119" customFormat="1" ht="16.5" customHeight="1" x14ac:dyDescent="0.3">
      <c r="A21" s="122">
        <v>10</v>
      </c>
      <c r="B21" s="123"/>
      <c r="C21" s="175" t="str">
        <f>'SAF 011'!E19</f>
        <v>LEVOTIROXINA 100 MG COMPRIMIDOS</v>
      </c>
      <c r="D21" s="176"/>
      <c r="E21" s="176"/>
      <c r="F21" s="176"/>
      <c r="G21" s="177"/>
      <c r="H21" s="127" t="s">
        <v>127</v>
      </c>
      <c r="I21" s="128" t="str">
        <f>'SAF 011'!F19</f>
        <v>COMPRIMIDO</v>
      </c>
      <c r="J21" s="139">
        <f>'SAF 011'!AX19</f>
        <v>17.8</v>
      </c>
      <c r="K21" s="129">
        <f>'SAF 011'!S19</f>
        <v>10000</v>
      </c>
      <c r="M21" s="142">
        <f t="shared" si="0"/>
        <v>178000</v>
      </c>
    </row>
    <row r="22" spans="1:13" s="119" customFormat="1" ht="16.5" customHeight="1" x14ac:dyDescent="0.3">
      <c r="A22" s="122">
        <v>11</v>
      </c>
      <c r="B22" s="123"/>
      <c r="C22" s="175" t="str">
        <f>'SAF 011'!E20</f>
        <v>LEVOTIROXINA 25 MG COMPRIMIDOS</v>
      </c>
      <c r="D22" s="176"/>
      <c r="E22" s="176"/>
      <c r="F22" s="176"/>
      <c r="G22" s="177"/>
      <c r="H22" s="127" t="s">
        <v>127</v>
      </c>
      <c r="I22" s="128" t="str">
        <f>'SAF 011'!F20</f>
        <v>COMPRIMIDO</v>
      </c>
      <c r="J22" s="139">
        <f>'SAF 011'!AX20</f>
        <v>7.45</v>
      </c>
      <c r="K22" s="129">
        <f>'SAF 011'!S20</f>
        <v>10000</v>
      </c>
      <c r="M22" s="142">
        <f t="shared" si="0"/>
        <v>74500</v>
      </c>
    </row>
    <row r="23" spans="1:13" s="119" customFormat="1" ht="16.5" customHeight="1" x14ac:dyDescent="0.3">
      <c r="A23" s="122">
        <v>12</v>
      </c>
      <c r="B23" s="123"/>
      <c r="C23" s="175" t="str">
        <f>'SAF 011'!E21</f>
        <v>LEVOTIROXINA 75 MG COMPRIMIDOS</v>
      </c>
      <c r="D23" s="176"/>
      <c r="E23" s="176"/>
      <c r="F23" s="176"/>
      <c r="G23" s="177"/>
      <c r="H23" s="127" t="s">
        <v>127</v>
      </c>
      <c r="I23" s="128" t="str">
        <f>'SAF 011'!F21</f>
        <v>COMPRIMIDO</v>
      </c>
      <c r="J23" s="139">
        <f>'SAF 011'!AX21</f>
        <v>11.9</v>
      </c>
      <c r="K23" s="129">
        <f>'SAF 011'!S21</f>
        <v>20000</v>
      </c>
      <c r="M23" s="142">
        <f t="shared" si="0"/>
        <v>238000</v>
      </c>
    </row>
    <row r="24" spans="1:13" s="119" customFormat="1" ht="16.5" customHeight="1" x14ac:dyDescent="0.3">
      <c r="A24" s="122">
        <v>13</v>
      </c>
      <c r="B24" s="123"/>
      <c r="C24" s="175" t="str">
        <f>'SAF 011'!E22</f>
        <v>LORATADINA 10MG COMPRIMIDO</v>
      </c>
      <c r="D24" s="176"/>
      <c r="E24" s="176"/>
      <c r="F24" s="176"/>
      <c r="G24" s="177"/>
      <c r="H24" s="127" t="s">
        <v>127</v>
      </c>
      <c r="I24" s="128" t="str">
        <f>'SAF 011'!F22</f>
        <v>COMPRIMIDO</v>
      </c>
      <c r="J24" s="139">
        <f>'SAF 011'!AX22</f>
        <v>17</v>
      </c>
      <c r="K24" s="129">
        <f>'SAF 011'!S22</f>
        <v>30000</v>
      </c>
      <c r="M24" s="142">
        <f t="shared" si="0"/>
        <v>510000</v>
      </c>
    </row>
    <row r="25" spans="1:13" s="119" customFormat="1" ht="16.5" customHeight="1" x14ac:dyDescent="0.3">
      <c r="A25" s="122">
        <v>14</v>
      </c>
      <c r="B25" s="123"/>
      <c r="C25" s="175" t="str">
        <f>'SAF 011'!E23</f>
        <v>LORATADINA 1MG/ML JARABE x 60 ml</v>
      </c>
      <c r="D25" s="176"/>
      <c r="E25" s="176"/>
      <c r="F25" s="176"/>
      <c r="G25" s="177"/>
      <c r="H25" s="127" t="s">
        <v>127</v>
      </c>
      <c r="I25" s="128" t="str">
        <f>'SAF 011'!F23</f>
        <v>FRASCO</v>
      </c>
      <c r="J25" s="139">
        <f>'SAF 011'!AX23</f>
        <v>380</v>
      </c>
      <c r="K25" s="129">
        <f>'SAF 011'!S23</f>
        <v>6000</v>
      </c>
      <c r="M25" s="142">
        <f t="shared" si="0"/>
        <v>2280000</v>
      </c>
    </row>
    <row r="26" spans="1:13" s="119" customFormat="1" ht="16.5" customHeight="1" x14ac:dyDescent="0.3">
      <c r="A26" s="122">
        <v>15</v>
      </c>
      <c r="B26" s="123"/>
      <c r="C26" s="175" t="str">
        <f>'SAF 011'!E24</f>
        <v>METILPREDNISOLONA 500 MG FCO AMPOLLA</v>
      </c>
      <c r="D26" s="176"/>
      <c r="E26" s="176"/>
      <c r="F26" s="176"/>
      <c r="G26" s="177"/>
      <c r="H26" s="127" t="s">
        <v>127</v>
      </c>
      <c r="I26" s="128" t="str">
        <f>'SAF 011'!F24</f>
        <v>AMPOLLA</v>
      </c>
      <c r="J26" s="139">
        <f>'SAF 011'!AX24</f>
        <v>1183</v>
      </c>
      <c r="K26" s="129">
        <f>'SAF 011'!S24</f>
        <v>20</v>
      </c>
      <c r="M26" s="142">
        <f t="shared" si="0"/>
        <v>23660</v>
      </c>
    </row>
    <row r="27" spans="1:13" s="119" customFormat="1" ht="16.5" customHeight="1" x14ac:dyDescent="0.3">
      <c r="A27" s="122">
        <v>16</v>
      </c>
      <c r="B27" s="123"/>
      <c r="C27" s="175" t="str">
        <f>'SAF 011'!E25</f>
        <v>METILPREDNISONA 40 MG COMPRIMIDO</v>
      </c>
      <c r="D27" s="176"/>
      <c r="E27" s="176"/>
      <c r="F27" s="176"/>
      <c r="G27" s="177"/>
      <c r="H27" s="127" t="s">
        <v>127</v>
      </c>
      <c r="I27" s="128" t="str">
        <f>'SAF 011'!F25</f>
        <v>COMPRIMIDO</v>
      </c>
      <c r="J27" s="139">
        <f>'SAF 011'!AX25</f>
        <v>70.2</v>
      </c>
      <c r="K27" s="129">
        <f>'SAF 011'!S25</f>
        <v>1500</v>
      </c>
      <c r="M27" s="142">
        <f t="shared" si="0"/>
        <v>105300</v>
      </c>
    </row>
    <row r="28" spans="1:13" s="119" customFormat="1" ht="16.5" customHeight="1" x14ac:dyDescent="0.3">
      <c r="A28" s="122">
        <v>17</v>
      </c>
      <c r="B28" s="123"/>
      <c r="C28" s="175" t="str">
        <f>'SAF 011'!E26</f>
        <v>NITROFURAZONA 0,2 % APOSITOS  X 20 UNIDADES</v>
      </c>
      <c r="D28" s="176"/>
      <c r="E28" s="176"/>
      <c r="F28" s="176"/>
      <c r="G28" s="177"/>
      <c r="H28" s="127" t="s">
        <v>127</v>
      </c>
      <c r="I28" s="128" t="str">
        <f>'SAF 011'!F26</f>
        <v>CAJA</v>
      </c>
      <c r="J28" s="139">
        <f>'SAF 011'!AX26</f>
        <v>594.54</v>
      </c>
      <c r="K28" s="129">
        <f>'SAF 011'!S26</f>
        <v>200</v>
      </c>
      <c r="M28" s="142">
        <f t="shared" si="0"/>
        <v>118908</v>
      </c>
    </row>
    <row r="29" spans="1:13" s="119" customFormat="1" ht="16.5" customHeight="1" x14ac:dyDescent="0.3">
      <c r="A29" s="122">
        <v>18</v>
      </c>
      <c r="B29" s="123"/>
      <c r="C29" s="175" t="str">
        <f>'SAF 011'!E27</f>
        <v>OXITOCINA 10 UI INYECTABLE x 1 ml</v>
      </c>
      <c r="D29" s="176"/>
      <c r="E29" s="176"/>
      <c r="F29" s="176"/>
      <c r="G29" s="177"/>
      <c r="H29" s="127" t="s">
        <v>127</v>
      </c>
      <c r="I29" s="128" t="str">
        <f>'SAF 011'!F27</f>
        <v>AMPOLLA</v>
      </c>
      <c r="J29" s="139">
        <f>'SAF 011'!AX27</f>
        <v>65</v>
      </c>
      <c r="K29" s="129">
        <f>'SAF 011'!S27</f>
        <v>1000</v>
      </c>
      <c r="M29" s="142">
        <f t="shared" si="0"/>
        <v>65000</v>
      </c>
    </row>
    <row r="30" spans="1:13" s="119" customFormat="1" ht="16.5" customHeight="1" x14ac:dyDescent="0.3">
      <c r="A30" s="122">
        <v>19</v>
      </c>
      <c r="B30" s="123"/>
      <c r="C30" s="175" t="str">
        <f>'SAF 011'!E28</f>
        <v>SALBUTAMOL AEROSOL CON  AEROCAMARA x 250 dosis</v>
      </c>
      <c r="D30" s="176"/>
      <c r="E30" s="176"/>
      <c r="F30" s="176"/>
      <c r="G30" s="177"/>
      <c r="H30" s="127" t="s">
        <v>127</v>
      </c>
      <c r="I30" s="128" t="str">
        <f>'SAF 011'!F28</f>
        <v>UNIDAD</v>
      </c>
      <c r="J30" s="139">
        <f>'SAF 011'!AX28</f>
        <v>580</v>
      </c>
      <c r="K30" s="129">
        <f>'SAF 011'!S28</f>
        <v>4000</v>
      </c>
      <c r="M30" s="142">
        <f t="shared" si="0"/>
        <v>2320000</v>
      </c>
    </row>
    <row r="31" spans="1:13" s="119" customFormat="1" ht="15" customHeight="1" x14ac:dyDescent="0.3">
      <c r="A31" s="122">
        <v>20</v>
      </c>
      <c r="B31" s="123"/>
      <c r="C31" s="175" t="str">
        <f>'SAF 011'!E29</f>
        <v xml:space="preserve">VASELINA SOLIDA X 1KG </v>
      </c>
      <c r="D31" s="176"/>
      <c r="E31" s="176"/>
      <c r="F31" s="176"/>
      <c r="G31" s="177"/>
      <c r="H31" s="127" t="s">
        <v>127</v>
      </c>
      <c r="I31" s="128" t="str">
        <f>'SAF 011'!F29</f>
        <v>UNIDAD</v>
      </c>
      <c r="J31" s="139">
        <f>'SAF 011'!AX29</f>
        <v>1541.28</v>
      </c>
      <c r="K31" s="129">
        <f>'SAF 011'!S29</f>
        <v>30</v>
      </c>
      <c r="M31" s="142">
        <f t="shared" si="0"/>
        <v>46238.400000000001</v>
      </c>
    </row>
    <row r="32" spans="1:13" s="119" customFormat="1" thickBot="1" x14ac:dyDescent="0.35">
      <c r="A32" s="130"/>
      <c r="B32" s="131"/>
      <c r="C32" s="183"/>
      <c r="D32" s="183"/>
      <c r="E32" s="183"/>
      <c r="F32" s="183"/>
      <c r="G32" s="183"/>
      <c r="H32" s="132"/>
      <c r="I32" s="133"/>
      <c r="J32" s="140"/>
      <c r="K32" s="134"/>
      <c r="M32" s="142"/>
    </row>
    <row r="33" spans="1:13" s="146" customFormat="1" ht="39" customHeight="1" thickBot="1" x14ac:dyDescent="0.35">
      <c r="A33" s="181" t="s">
        <v>140</v>
      </c>
      <c r="B33" s="181"/>
      <c r="C33" s="181"/>
      <c r="D33" s="181"/>
      <c r="E33" s="181"/>
      <c r="F33" s="181"/>
      <c r="G33" s="181"/>
      <c r="H33" s="181"/>
      <c r="I33" s="181"/>
      <c r="J33" s="182">
        <f>+M33</f>
        <v>15549491.4</v>
      </c>
      <c r="K33" s="182"/>
      <c r="M33" s="147">
        <f>SUM(M12:M32)</f>
        <v>15549491.4</v>
      </c>
    </row>
  </sheetData>
  <mergeCells count="43">
    <mergeCell ref="C29:G29"/>
    <mergeCell ref="C30:G30"/>
    <mergeCell ref="A33:I33"/>
    <mergeCell ref="J33:K33"/>
    <mergeCell ref="C17:G17"/>
    <mergeCell ref="C18:G18"/>
    <mergeCell ref="C19:G19"/>
    <mergeCell ref="C20:G20"/>
    <mergeCell ref="C31:G31"/>
    <mergeCell ref="C32:G32"/>
    <mergeCell ref="C21:G21"/>
    <mergeCell ref="C22:G22"/>
    <mergeCell ref="C23:G23"/>
    <mergeCell ref="C24:G24"/>
    <mergeCell ref="C25:G25"/>
    <mergeCell ref="C26:G26"/>
    <mergeCell ref="C27:G27"/>
    <mergeCell ref="C28:G28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workbookViewId="0">
      <selection activeCell="A39" sqref="A39:Q39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85" t="s">
        <v>5</v>
      </c>
      <c r="B1" s="185"/>
      <c r="C1" s="185"/>
      <c r="D1" s="186">
        <v>2022</v>
      </c>
      <c r="E1" s="186"/>
      <c r="F1" s="72"/>
      <c r="G1" s="72"/>
      <c r="H1" s="73"/>
      <c r="I1" s="73"/>
      <c r="J1" s="73"/>
      <c r="K1" s="73"/>
      <c r="L1" s="73"/>
      <c r="M1" s="73"/>
      <c r="N1" s="73"/>
      <c r="O1" s="74"/>
      <c r="P1" s="187" t="s">
        <v>93</v>
      </c>
      <c r="Q1" s="187"/>
    </row>
    <row r="2" spans="1:17" ht="15.75" thickBot="1" x14ac:dyDescent="0.3">
      <c r="A2" s="75"/>
      <c r="B2" s="76"/>
      <c r="C2" s="76"/>
      <c r="D2" s="76"/>
      <c r="E2" s="76"/>
      <c r="F2" s="76"/>
      <c r="G2" s="77"/>
      <c r="H2" s="78"/>
      <c r="I2" s="78"/>
      <c r="J2" s="78"/>
      <c r="K2" s="78"/>
      <c r="L2" s="78"/>
      <c r="M2" s="78"/>
      <c r="N2" s="78"/>
      <c r="O2" s="76"/>
      <c r="P2" s="187"/>
      <c r="Q2" s="187"/>
    </row>
    <row r="3" spans="1:17" thickBot="1" x14ac:dyDescent="0.35">
      <c r="A3" s="75"/>
      <c r="B3" s="76"/>
      <c r="C3" s="76"/>
      <c r="D3" s="76"/>
      <c r="E3" s="76"/>
      <c r="F3" s="76"/>
      <c r="G3" s="77"/>
      <c r="H3" s="76"/>
      <c r="I3" s="76"/>
      <c r="J3" s="76"/>
      <c r="K3" s="76"/>
      <c r="L3" s="76"/>
      <c r="M3" s="76"/>
      <c r="N3" s="76"/>
      <c r="O3" s="76"/>
      <c r="P3" s="76"/>
      <c r="Q3" s="79"/>
    </row>
    <row r="4" spans="1:17" ht="15.75" thickBot="1" x14ac:dyDescent="0.3">
      <c r="A4" s="188" t="s">
        <v>94</v>
      </c>
      <c r="B4" s="188"/>
      <c r="C4" s="188"/>
      <c r="D4" s="188"/>
      <c r="E4" s="188"/>
      <c r="F4" s="188"/>
      <c r="G4" s="189" t="str">
        <f>NP!D3</f>
        <v>040 - MINISTERIO DE SALUD</v>
      </c>
      <c r="H4" s="189"/>
      <c r="I4" s="189"/>
      <c r="J4" s="189"/>
      <c r="K4" s="189"/>
      <c r="L4" s="189"/>
      <c r="M4" s="189"/>
      <c r="N4" s="189"/>
      <c r="O4" s="189"/>
      <c r="P4" s="189"/>
      <c r="Q4" s="189"/>
    </row>
    <row r="5" spans="1:17" thickBot="1" x14ac:dyDescent="0.35">
      <c r="A5" s="190" t="s">
        <v>81</v>
      </c>
      <c r="B5" s="190"/>
      <c r="C5" s="190"/>
      <c r="D5" s="190"/>
      <c r="E5" s="190"/>
      <c r="F5" s="190"/>
      <c r="G5" s="189" t="str">
        <f>NP!D4</f>
        <v>011 - DIRECCION PROVINCIAL DE ADMINISTRACION - MINISTERIO DE SALUD</v>
      </c>
      <c r="H5" s="189"/>
      <c r="I5" s="189"/>
      <c r="J5" s="189"/>
      <c r="K5" s="189"/>
      <c r="L5" s="189"/>
      <c r="M5" s="189"/>
      <c r="N5" s="189"/>
      <c r="O5" s="189"/>
      <c r="P5" s="189"/>
      <c r="Q5" s="189"/>
    </row>
    <row r="6" spans="1:17" thickBot="1" x14ac:dyDescent="0.35">
      <c r="A6" s="190" t="s">
        <v>82</v>
      </c>
      <c r="B6" s="190"/>
      <c r="C6" s="190"/>
      <c r="D6" s="190"/>
      <c r="E6" s="190"/>
      <c r="F6" s="190"/>
      <c r="G6" s="189" t="str">
        <f>NP!D5</f>
        <v>DIRECCION PROVINCIAL DE FARMACIA E INSUMOS</v>
      </c>
      <c r="H6" s="189"/>
      <c r="I6" s="189"/>
      <c r="J6" s="189"/>
      <c r="K6" s="189"/>
      <c r="L6" s="189"/>
      <c r="M6" s="189"/>
      <c r="N6" s="189"/>
      <c r="O6" s="189"/>
      <c r="P6" s="189"/>
      <c r="Q6" s="189"/>
    </row>
    <row r="7" spans="1:17" thickBot="1" x14ac:dyDescent="0.35">
      <c r="A7" s="190" t="s">
        <v>83</v>
      </c>
      <c r="B7" s="190"/>
      <c r="C7" s="190"/>
      <c r="D7" s="190"/>
      <c r="E7" s="190"/>
      <c r="F7" s="190"/>
      <c r="G7" s="189" t="str">
        <f>NP!D6</f>
        <v>DIRECCION PROVINCIAL DE FARMACIA E INSUMOS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</row>
    <row r="8" spans="1:17" ht="15.75" thickBot="1" x14ac:dyDescent="0.3">
      <c r="A8" s="191" t="s">
        <v>95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</row>
    <row r="9" spans="1:17" ht="20.25" customHeight="1" x14ac:dyDescent="0.25">
      <c r="A9" s="184" t="s">
        <v>96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</row>
    <row r="10" spans="1:17" ht="69" customHeight="1" x14ac:dyDescent="0.25">
      <c r="A10" s="193" t="s">
        <v>128</v>
      </c>
      <c r="B10" s="193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</row>
    <row r="11" spans="1:17" thickBot="1" x14ac:dyDescent="0.35">
      <c r="A11" s="80"/>
      <c r="B11" s="81"/>
      <c r="C11" s="81"/>
      <c r="D11" s="81"/>
      <c r="E11" s="81"/>
      <c r="F11" s="81"/>
      <c r="G11" s="82"/>
      <c r="H11" s="81"/>
      <c r="I11" s="81"/>
      <c r="J11" s="81"/>
      <c r="K11" s="81"/>
      <c r="L11" s="81"/>
      <c r="M11" s="81"/>
      <c r="N11" s="81"/>
      <c r="O11" s="81"/>
      <c r="P11" s="81"/>
      <c r="Q11" s="83"/>
    </row>
    <row r="12" spans="1:17" ht="15.75" thickBot="1" x14ac:dyDescent="0.3">
      <c r="A12" s="194" t="s">
        <v>97</v>
      </c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</row>
    <row r="13" spans="1:17" ht="15.75" thickBot="1" x14ac:dyDescent="0.3">
      <c r="A13" s="195" t="s">
        <v>98</v>
      </c>
      <c r="B13" s="195"/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6" t="s">
        <v>99</v>
      </c>
      <c r="P13" s="196"/>
      <c r="Q13" s="197" t="s">
        <v>100</v>
      </c>
    </row>
    <row r="14" spans="1:17" ht="15.75" thickBot="1" x14ac:dyDescent="0.3">
      <c r="A14" s="84" t="s">
        <v>101</v>
      </c>
      <c r="B14" s="85" t="s">
        <v>102</v>
      </c>
      <c r="C14" s="85" t="s">
        <v>103</v>
      </c>
      <c r="D14" s="85" t="s">
        <v>104</v>
      </c>
      <c r="E14" s="85" t="s">
        <v>105</v>
      </c>
      <c r="F14" s="85" t="s">
        <v>106</v>
      </c>
      <c r="G14" s="86" t="s">
        <v>107</v>
      </c>
      <c r="H14" s="85" t="s">
        <v>108</v>
      </c>
      <c r="I14" s="85" t="s">
        <v>109</v>
      </c>
      <c r="J14" s="85" t="s">
        <v>110</v>
      </c>
      <c r="K14" s="85" t="s">
        <v>110</v>
      </c>
      <c r="L14" s="85" t="s">
        <v>111</v>
      </c>
      <c r="M14" s="87" t="s">
        <v>112</v>
      </c>
      <c r="N14" s="88" t="s">
        <v>113</v>
      </c>
      <c r="O14" s="196"/>
      <c r="P14" s="196"/>
      <c r="Q14" s="197"/>
    </row>
    <row r="15" spans="1:17" ht="33.75" customHeight="1" x14ac:dyDescent="0.3">
      <c r="A15" s="89">
        <v>30</v>
      </c>
      <c r="B15" s="90"/>
      <c r="C15" s="90"/>
      <c r="D15" s="90">
        <v>1</v>
      </c>
      <c r="E15" s="90"/>
      <c r="F15" s="90">
        <v>4901</v>
      </c>
      <c r="G15" s="90">
        <v>3</v>
      </c>
      <c r="H15" s="90">
        <v>1</v>
      </c>
      <c r="I15" s="90">
        <v>2</v>
      </c>
      <c r="J15" s="90">
        <v>5</v>
      </c>
      <c r="K15" s="90">
        <v>2</v>
      </c>
      <c r="L15" s="90"/>
      <c r="M15" s="91">
        <v>1</v>
      </c>
      <c r="N15" s="90" t="s">
        <v>124</v>
      </c>
      <c r="O15" s="198" t="s">
        <v>125</v>
      </c>
      <c r="P15" s="198"/>
      <c r="Q15" s="92">
        <f>NP!M33</f>
        <v>15549491.4</v>
      </c>
    </row>
    <row r="16" spans="1:17" ht="14.45" x14ac:dyDescent="0.3">
      <c r="A16" s="93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5"/>
      <c r="N16" s="96"/>
      <c r="O16" s="199"/>
      <c r="P16" s="199"/>
      <c r="Q16" s="97"/>
    </row>
    <row r="17" spans="1:17" ht="14.45" x14ac:dyDescent="0.3">
      <c r="A17" s="93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5"/>
      <c r="N17" s="96"/>
      <c r="O17" s="200"/>
      <c r="P17" s="200"/>
      <c r="Q17" s="97"/>
    </row>
    <row r="18" spans="1:17" ht="14.45" x14ac:dyDescent="0.3">
      <c r="A18" s="93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5"/>
      <c r="N18" s="96"/>
      <c r="O18" s="192"/>
      <c r="P18" s="192"/>
      <c r="Q18" s="97"/>
    </row>
    <row r="19" spans="1:17" ht="14.45" x14ac:dyDescent="0.3">
      <c r="A19" s="93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5"/>
      <c r="N19" s="96"/>
      <c r="O19" s="192"/>
      <c r="P19" s="192"/>
      <c r="Q19" s="97"/>
    </row>
    <row r="20" spans="1:17" ht="14.45" x14ac:dyDescent="0.3">
      <c r="A20" s="9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5"/>
      <c r="N20" s="96"/>
      <c r="O20" s="192"/>
      <c r="P20" s="192"/>
      <c r="Q20" s="97"/>
    </row>
    <row r="21" spans="1:17" ht="14.45" x14ac:dyDescent="0.3">
      <c r="A21" s="93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5"/>
      <c r="N21" s="96"/>
      <c r="O21" s="192"/>
      <c r="P21" s="192"/>
      <c r="Q21" s="97"/>
    </row>
    <row r="22" spans="1:17" ht="14.45" x14ac:dyDescent="0.3">
      <c r="A22" s="93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5"/>
      <c r="N22" s="96"/>
      <c r="O22" s="192"/>
      <c r="P22" s="192"/>
      <c r="Q22" s="97"/>
    </row>
    <row r="23" spans="1:17" ht="14.45" x14ac:dyDescent="0.3">
      <c r="A23" s="93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5"/>
      <c r="N23" s="96"/>
      <c r="O23" s="192"/>
      <c r="P23" s="192"/>
      <c r="Q23" s="97"/>
    </row>
    <row r="24" spans="1:17" ht="14.45" x14ac:dyDescent="0.3">
      <c r="A24" s="93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5"/>
      <c r="N24" s="96"/>
      <c r="O24" s="192"/>
      <c r="P24" s="192"/>
      <c r="Q24" s="97"/>
    </row>
    <row r="25" spans="1:17" ht="14.45" x14ac:dyDescent="0.3">
      <c r="A25" s="93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96"/>
      <c r="O25" s="192"/>
      <c r="P25" s="192"/>
      <c r="Q25" s="97"/>
    </row>
    <row r="26" spans="1:17" ht="14.45" x14ac:dyDescent="0.3">
      <c r="A26" s="93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5"/>
      <c r="N26" s="96"/>
      <c r="O26" s="192"/>
      <c r="P26" s="192"/>
      <c r="Q26" s="97"/>
    </row>
    <row r="27" spans="1:17" ht="14.45" x14ac:dyDescent="0.3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96"/>
      <c r="O27" s="192"/>
      <c r="P27" s="192"/>
      <c r="Q27" s="97"/>
    </row>
    <row r="28" spans="1:17" ht="14.45" x14ac:dyDescent="0.3">
      <c r="A28" s="93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5"/>
      <c r="N28" s="96"/>
      <c r="O28" s="192"/>
      <c r="P28" s="192"/>
      <c r="Q28" s="97"/>
    </row>
    <row r="29" spans="1:17" ht="14.45" x14ac:dyDescent="0.3">
      <c r="A29" s="93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5"/>
      <c r="N29" s="96"/>
      <c r="O29" s="192"/>
      <c r="P29" s="192"/>
      <c r="Q29" s="97"/>
    </row>
    <row r="30" spans="1:17" ht="14.45" x14ac:dyDescent="0.3">
      <c r="A30" s="93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5"/>
      <c r="N30" s="96"/>
      <c r="O30" s="192"/>
      <c r="P30" s="192"/>
      <c r="Q30" s="97"/>
    </row>
    <row r="31" spans="1:17" ht="14.45" x14ac:dyDescent="0.3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96"/>
      <c r="O31" s="192"/>
      <c r="P31" s="192"/>
      <c r="Q31" s="97"/>
    </row>
    <row r="32" spans="1:17" ht="14.45" x14ac:dyDescent="0.3">
      <c r="A32" s="93"/>
      <c r="B32" s="94"/>
      <c r="C32" s="94"/>
      <c r="D32" s="94"/>
      <c r="E32" s="94"/>
      <c r="F32" s="96"/>
      <c r="G32" s="94"/>
      <c r="H32" s="94"/>
      <c r="I32" s="94"/>
      <c r="J32" s="94"/>
      <c r="K32" s="94"/>
      <c r="L32" s="94"/>
      <c r="M32" s="95"/>
      <c r="N32" s="96"/>
      <c r="O32" s="199"/>
      <c r="P32" s="199"/>
      <c r="Q32" s="97"/>
    </row>
    <row r="33" spans="1:17" ht="14.45" x14ac:dyDescent="0.3">
      <c r="A33" s="93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5"/>
      <c r="N33" s="96"/>
      <c r="O33" s="199"/>
      <c r="P33" s="199"/>
      <c r="Q33" s="97"/>
    </row>
    <row r="34" spans="1:17" ht="14.45" x14ac:dyDescent="0.3">
      <c r="A34" s="93"/>
      <c r="B34" s="94"/>
      <c r="C34" s="94"/>
      <c r="D34" s="94"/>
      <c r="E34" s="94"/>
      <c r="F34" s="96"/>
      <c r="G34" s="94"/>
      <c r="H34" s="94"/>
      <c r="I34" s="94"/>
      <c r="J34" s="94"/>
      <c r="K34" s="94"/>
      <c r="L34" s="94"/>
      <c r="M34" s="95"/>
      <c r="N34" s="96"/>
      <c r="O34" s="199"/>
      <c r="P34" s="199"/>
      <c r="Q34" s="97"/>
    </row>
    <row r="35" spans="1:17" ht="14.45" x14ac:dyDescent="0.3">
      <c r="A35" s="93"/>
      <c r="B35" s="94"/>
      <c r="C35" s="94"/>
      <c r="D35" s="94"/>
      <c r="E35" s="94"/>
      <c r="F35" s="96"/>
      <c r="G35" s="94"/>
      <c r="H35" s="94"/>
      <c r="I35" s="94"/>
      <c r="J35" s="94"/>
      <c r="K35" s="94"/>
      <c r="L35" s="94"/>
      <c r="M35" s="95"/>
      <c r="N35" s="96"/>
      <c r="O35" s="199"/>
      <c r="P35" s="199"/>
      <c r="Q35" s="97"/>
    </row>
    <row r="36" spans="1:17" ht="14.45" x14ac:dyDescent="0.3">
      <c r="A36" s="98"/>
      <c r="B36" s="99"/>
      <c r="C36" s="99"/>
      <c r="D36" s="99"/>
      <c r="E36" s="99"/>
      <c r="F36" s="100"/>
      <c r="G36" s="99"/>
      <c r="H36" s="99"/>
      <c r="I36" s="99"/>
      <c r="J36" s="99"/>
      <c r="K36" s="99"/>
      <c r="L36" s="99"/>
      <c r="M36" s="101"/>
      <c r="N36" s="102"/>
      <c r="O36" s="204"/>
      <c r="P36" s="204"/>
      <c r="Q36" s="97"/>
    </row>
    <row r="37" spans="1:17" thickBot="1" x14ac:dyDescent="0.35">
      <c r="A37" s="103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5"/>
      <c r="N37" s="104"/>
      <c r="O37" s="205"/>
      <c r="P37" s="205"/>
      <c r="Q37" s="106"/>
    </row>
    <row r="38" spans="1:17" ht="34.5" customHeight="1" thickBot="1" x14ac:dyDescent="0.35">
      <c r="A38" s="206" t="s">
        <v>141</v>
      </c>
      <c r="B38" s="206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107">
        <f>SUM(Q15:Q37)</f>
        <v>15549491.4</v>
      </c>
    </row>
    <row r="39" spans="1:17" thickBot="1" x14ac:dyDescent="0.35">
      <c r="A39" s="207"/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</row>
    <row r="40" spans="1:17" ht="15.75" thickBot="1" x14ac:dyDescent="0.3">
      <c r="A40" s="201" t="s">
        <v>114</v>
      </c>
      <c r="B40" s="201"/>
      <c r="C40" s="201"/>
      <c r="D40" s="201"/>
      <c r="E40" s="201"/>
      <c r="F40" s="201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</row>
    <row r="41" spans="1:17" ht="15.75" thickBot="1" x14ac:dyDescent="0.3">
      <c r="A41" s="203" t="str">
        <f>NP!D8</f>
        <v>ADQUISICION DEL RUBRO TERAPIA DERMATOLOGICA/SISTEMA GENITOURINARIO Y HORMONAS SEXUALES /HORMONAS SISTEMICAS /CORTICOIDES SISTEMICOS/RESPIRATORIO/ANTIHISTAMINICOS</v>
      </c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</row>
    <row r="42" spans="1:17" ht="15.75" thickBot="1" x14ac:dyDescent="0.3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2021-12-21T17:55:07Z</dcterms:created>
  <dcterms:modified xsi:type="dcterms:W3CDTF">2022-02-15T17:19:34Z</dcterms:modified>
</cp:coreProperties>
</file>