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EF83D9B-F201-47E6-B4F2-D8DFA651202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NotaPedido'!$A$1:$K$13</definedName>
    <definedName name="_xlnm.Print_Area" localSheetId="2">'Autor Gastar'!$A$1:$Q$21</definedName>
    <definedName name="_xlnm.Print_Area" localSheetId="0">'Necesidades Trimestrales'!$A$1:$I$41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0" i="1" l="1"/>
  <c r="R31" i="1" s="1"/>
  <c r="K11" i="1" s="1"/>
  <c r="G23" i="1" l="1"/>
  <c r="G24" i="1" s="1"/>
  <c r="G21" i="1"/>
  <c r="G22" i="1" s="1"/>
  <c r="G19" i="1"/>
  <c r="G20" i="1" s="1"/>
  <c r="G17" i="1"/>
  <c r="G25" i="1" s="1"/>
  <c r="M13" i="1"/>
  <c r="O13" i="1" s="1"/>
  <c r="H13" i="1" s="1"/>
  <c r="I13" i="1" s="1"/>
  <c r="M12" i="1"/>
  <c r="O12" i="1" s="1"/>
  <c r="M11" i="1"/>
  <c r="O11" i="1" s="1"/>
  <c r="H11" i="1" s="1"/>
  <c r="I11" i="1" s="1"/>
  <c r="M10" i="1"/>
  <c r="O10" i="1" s="1"/>
  <c r="M9" i="1"/>
  <c r="O9" i="1" s="1"/>
  <c r="H9" i="1" l="1"/>
  <c r="I9" i="1" s="1"/>
  <c r="H10" i="1"/>
  <c r="I10" i="1" s="1"/>
  <c r="H12" i="1"/>
  <c r="I12" i="1" s="1"/>
  <c r="G18" i="1"/>
  <c r="A17" i="3"/>
  <c r="I14" i="1" l="1"/>
  <c r="C12" i="2"/>
  <c r="J13" i="2" l="1"/>
  <c r="G6" i="3"/>
  <c r="G7" i="3"/>
  <c r="D7" i="2"/>
  <c r="D3" i="2"/>
  <c r="G4" i="3" s="1"/>
  <c r="D4" i="2"/>
  <c r="G5" i="3" s="1"/>
  <c r="Q15" i="3" l="1"/>
  <c r="Q16" i="3" s="1"/>
  <c r="A10" i="3"/>
  <c r="D1" i="3"/>
  <c r="K12" i="2"/>
  <c r="J12" i="2"/>
  <c r="I12" i="2"/>
  <c r="B12" i="2"/>
  <c r="I15" i="3"/>
  <c r="K15" i="3" l="1"/>
  <c r="J15" i="3"/>
</calcChain>
</file>

<file path=xl/sharedStrings.xml><?xml version="1.0" encoding="utf-8"?>
<sst xmlns="http://schemas.openxmlformats.org/spreadsheetml/2006/main" count="138" uniqueCount="97">
  <si>
    <t>Pedido de Necesidades Trimestrales</t>
  </si>
  <si>
    <t>JURISDICCION:</t>
  </si>
  <si>
    <t>90 - Ministerio de Seguridad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</si>
  <si>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</si>
  <si>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</si>
  <si>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</si>
  <si>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</si>
  <si>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</si>
  <si>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</si>
  <si>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</si>
  <si>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</si>
  <si>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</si>
  <si>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</si>
  <si>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</si>
  <si>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</si>
  <si>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3.5.4-2065.1</t>
  </si>
  <si>
    <t>BANCOS Y SEGUROS</t>
  </si>
  <si>
    <t>SEGURO DE RESPONSABILIDAD; DESCRIPCION: SEGURO DE RESPONSABILIDAD</t>
  </si>
  <si>
    <t>UNIDAD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</si>
  <si>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</si>
  <si>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</si>
  <si>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</si>
  <si>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</si>
  <si>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</si>
  <si>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Plazos y lugares de entrega</t>
  </si>
  <si>
    <t>Calidad Minima esperada</t>
  </si>
  <si>
    <t>Mantenimiento</t>
  </si>
  <si>
    <t>30 (treinta) días</t>
  </si>
  <si>
    <t>Garantia</t>
  </si>
  <si>
    <t>*</t>
  </si>
  <si>
    <t>NOTA DE PEDIDO</t>
  </si>
  <si>
    <t>N°</t>
  </si>
  <si>
    <t>41/2020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</si>
  <si>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</si>
  <si>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</si>
  <si>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</si>
  <si>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</si>
  <si>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</si>
  <si>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Sección Control Patrimonial - Dpto. Logistica (D-4)</t>
  </si>
  <si>
    <t>PERIODO UTILIZACIÓN:</t>
  </si>
  <si>
    <t>OBJETO:</t>
  </si>
  <si>
    <t xml:space="preserve">Renovacion de Seguro Obligatorio de Responsabilidad Civil del Automotor 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</si>
  <si>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</si>
  <si>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</si>
  <si>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</si>
  <si>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</si>
  <si>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</si>
  <si>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</si>
  <si>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</si>
  <si>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</si>
  <si>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Costo total estimado: </t>
  </si>
  <si>
    <t>Un Millon Quinientos Diecisiete Mil Cientoo Noventa y Nuene con 57/100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</si>
  <si>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</si>
  <si>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</si>
  <si>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</si>
  <si>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</si>
  <si>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</si>
  <si>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</si>
  <si>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</si>
  <si>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</si>
  <si>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</si>
  <si>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</si>
  <si>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</si>
  <si>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</si>
  <si>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</si>
  <si>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</si>
  <si>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</si>
  <si>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</si>
  <si>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</si>
  <si>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</si>
  <si>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</si>
  <si>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</si>
  <si>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</si>
  <si>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</si>
  <si>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PRIMAS Y GASTOS DE SEGUROS</t>
  </si>
  <si>
    <t xml:space="preserve">TOTAL DE PESOS: </t>
  </si>
  <si>
    <t>JUSTIFICACIÓN:</t>
  </si>
  <si>
    <t>Para la Renovaciòn de Seguro Obligatorio de Responsabilidad Civil del Automotor para los vehiculos pertenecientes a la Institucion Policial.-</t>
  </si>
  <si>
    <t>7 - Direccion Provincial de Administracion de la Policia de Catamarca</t>
  </si>
  <si>
    <t>PRECIO UNITARIO</t>
  </si>
  <si>
    <t>TOTAL*UNIDAD</t>
  </si>
  <si>
    <t>CANT VEH</t>
  </si>
  <si>
    <t xml:space="preserve">TOTAL </t>
  </si>
  <si>
    <t>3.5.4</t>
  </si>
  <si>
    <t> </t>
  </si>
  <si>
    <t>Que cumpla íntegramente con lo solicitado y se extienda a todo y cada uno de los vehiculos desagregados en la planilla anexa a la presente.</t>
  </si>
  <si>
    <t>x año</t>
  </si>
  <si>
    <t>cant scio</t>
  </si>
  <si>
    <t>total</t>
  </si>
  <si>
    <t>unidades</t>
  </si>
  <si>
    <r>
      <rPr>
        <b/>
        <sz val="10"/>
        <rFont val="Century Gothic"/>
        <family val="2"/>
      </rPr>
      <t>CARACTERÍSTICAS:</t>
    </r>
    <r>
      <rPr>
        <sz val="10"/>
        <rFont val="Century Gothic"/>
        <family val="2"/>
      </rPr>
      <t xml:space="preserve">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</t>
    </r>
    <r>
      <rPr>
        <b/>
        <u/>
        <sz val="10"/>
        <rFont val="Century Gothic"/>
        <family val="2"/>
      </rPr>
      <t>AUTOS;</t>
    </r>
    <r>
      <rPr>
        <sz val="10"/>
        <rFont val="Century Gothic"/>
        <family val="2"/>
      </rPr>
      <t xml:space="preserve"> TOTAL DE VEHICULOS: 12 (DOCE) que integran el Parque Automotor Policial, cuyos datos se detallan en Anexo. VIGENCIA: desde  el 29/06/2022 al 29/06/2023. (ANUAL- 12 MESES)  ANEXO I ORDEN 01 AL 12.-</t>
    </r>
  </si>
  <si>
    <r>
      <rPr>
        <b/>
        <sz val="10"/>
        <rFont val="Century Gothic"/>
        <family val="2"/>
      </rPr>
      <t>CARACTERÍSTICAS:</t>
    </r>
    <r>
      <rPr>
        <sz val="10"/>
        <rFont val="Century Gothic"/>
        <family val="2"/>
      </rPr>
      <t xml:space="preserve">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</t>
    </r>
    <r>
      <rPr>
        <b/>
        <u/>
        <sz val="10"/>
        <rFont val="Century Gothic"/>
        <family val="2"/>
      </rPr>
      <t>MOTOS;</t>
    </r>
    <r>
      <rPr>
        <sz val="10"/>
        <rFont val="Century Gothic"/>
        <family val="2"/>
      </rPr>
      <t xml:space="preserve"> TOTAL DE VEHICULOS: 234 (DOSCIENTOS TREINTA Y DOS) que integran el Parque Automotor Policial, cuyos datos se detallan en Anexo. VIGENCIA: desde  el 29/06/2022 al 29/06/2023. (ANUAL- 12 MESES)  ANEXO I ORDEN 13 AL 246.</t>
    </r>
  </si>
  <si>
    <r>
      <rPr>
        <b/>
        <sz val="10"/>
        <rFont val="Century Gothic"/>
        <family val="2"/>
      </rPr>
      <t>CARACTERÍSTICAS:</t>
    </r>
    <r>
      <rPr>
        <sz val="10"/>
        <rFont val="Century Gothic"/>
        <family val="2"/>
      </rPr>
      <t xml:space="preserve">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</t>
    </r>
    <r>
      <rPr>
        <b/>
        <u/>
        <sz val="10"/>
        <rFont val="Century Gothic"/>
        <family val="2"/>
      </rPr>
      <t>CAMIONETA;</t>
    </r>
    <r>
      <rPr>
        <sz val="10"/>
        <rFont val="Century Gothic"/>
        <family val="2"/>
      </rPr>
      <t xml:space="preserve"> TOTAL DE VEHICULOS: 27 (VEINTISIETE) que integran el Parque Automotor Policial, cuyos datos se detallan en Anexo. VIGENCIA: desde  el 29/06/2022 al 29/06/2023. (ANUAL- 12 MESES)  ANEXO I ORDEN 247 AL 273.</t>
    </r>
  </si>
  <si>
    <t>camionetas c/l</t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</si>
  <si>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</t>
    </r>
    <r>
      <rPr>
        <b/>
        <u/>
        <sz val="10"/>
        <rFont val="Century Gothic"/>
        <family val="2"/>
      </rPr>
      <t>UTILITARIO;</t>
    </r>
    <r>
      <rPr>
        <sz val="10"/>
        <rFont val="Century Gothic"/>
        <family val="2"/>
      </rPr>
      <t xml:space="preserve"> TOTAL DE VEHICULOS: 03 (TRES) que integran el Parque Automotor Policial, cuyos datos se detallan en Anexo. VIGENCIA: desde  el 29/06/2022 al 29/06/2023. (ANUAL- 12 MESES)  274 AL 276.</t>
    </r>
  </si>
  <si>
    <r>
      <rPr>
        <b/>
        <sz val="10"/>
        <rFont val="Century Gothic"/>
        <family val="2"/>
      </rPr>
      <t>CARACTERÍSTICAS:</t>
    </r>
    <r>
      <rPr>
        <sz val="10"/>
        <rFont val="Century Gothic"/>
        <family val="2"/>
      </rPr>
      <t xml:space="preserve">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</t>
    </r>
    <r>
      <rPr>
        <b/>
        <u/>
        <sz val="10"/>
        <rFont val="Century Gothic"/>
        <family val="2"/>
      </rPr>
      <t>CAMIONES:</t>
    </r>
    <r>
      <rPr>
        <sz val="10"/>
        <rFont val="Century Gothic"/>
        <family val="2"/>
      </rPr>
      <t xml:space="preserve"> TOTAL DE VEHICULOS: 02 (DOS) que integran el Parque Automotor Policial, cuyos datos se detallan en Anexo. VIGENCIA: desde  el 29/06/2022 al 29/06/2023. (ANUAL- 12 MESES)  ANEXO I ORDEN 277 AL 278.</t>
    </r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</si>
  <si>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 xml:space="preserve"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</si>
</sst>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€_-;\-* #,##0.00\ _€_-;_-* &quot;-&quot;??\ _€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  <numFmt numFmtId="171" formatCode="_ [$$-2C0A]\ * #,##0.00_ ;_ [$$-2C0A]\ * \-#,##0.00_ ;_ [$$-2C0A]\ * &quot;-&quot;??_ ;_ @_ "/>
    <numFmt numFmtId="172" formatCode="_ &quot;$&quot;\ * #,##0.00_ ;_ &quot;$&quot;\ * \-#,##0.00_ ;_ &quot;$&quot;\ * &quot;-&quot;??_ ;_ @_ "/>
    <numFmt numFmtId="173" formatCode="_ * #,##0.00_ ;_ * \-#,##0.00_ ;_ * &quot;-&quot;??_ ;_ @_ 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FFFFFF"/>
      <name val="Arial"/>
      <family val="2"/>
    </font>
    <font>
      <sz val="10"/>
      <color rgb="FFFFFFFF"/>
      <name val="Century Gothic"/>
      <family val="2"/>
    </font>
    <font>
      <sz val="11"/>
      <color rgb="FF000000"/>
      <name val="Calibri"/>
      <family val="2"/>
    </font>
    <font>
      <sz val="10"/>
      <color theme="0"/>
      <name val="Arial"/>
      <family val="2"/>
    </font>
    <font>
      <sz val="10"/>
      <color theme="0" tint="-0.34998626667073579"/>
      <name val="Arial"/>
      <family val="2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8">
    <xf numFmtId="0" fontId="0" fillId="0" borderId="0"/>
    <xf numFmtId="166" fontId="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128">
    <xf numFmtId="0" fontId="0" fillId="0" borderId="0" xfId="0"/>
    <xf numFmtId="0" fontId="18" fillId="0" borderId="3" xfId="0" applyFont="1" applyFill="1" applyBorder="1" applyAlignment="1">
      <alignment horizontal="right" vertical="center"/>
    </xf>
    <xf numFmtId="0" fontId="19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18" fillId="0" borderId="5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 indent="1"/>
    </xf>
    <xf numFmtId="0" fontId="7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center" vertical="center" wrapText="1"/>
    </xf>
    <xf numFmtId="167" fontId="7" fillId="0" borderId="12" xfId="1" applyNumberFormat="1" applyFont="1" applyFill="1" applyBorder="1" applyAlignment="1" applyProtection="1">
      <alignment horizontal="right" vertical="center" wrapText="1"/>
    </xf>
    <xf numFmtId="3" fontId="7" fillId="0" borderId="12" xfId="0" applyNumberFormat="1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 wrapText="1"/>
    </xf>
    <xf numFmtId="3" fontId="21" fillId="3" borderId="0" xfId="0" applyNumberFormat="1" applyFont="1" applyFill="1" applyBorder="1" applyAlignment="1"/>
    <xf numFmtId="169" fontId="7" fillId="3" borderId="0" xfId="0" applyNumberFormat="1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 applyBorder="1"/>
    <xf numFmtId="0" fontId="7" fillId="3" borderId="3" xfId="0" applyFont="1" applyFill="1" applyBorder="1"/>
    <xf numFmtId="0" fontId="7" fillId="3" borderId="18" xfId="0" applyFont="1" applyFill="1" applyBorder="1"/>
    <xf numFmtId="0" fontId="7" fillId="3" borderId="5" xfId="0" applyFont="1" applyFill="1" applyBorder="1"/>
    <xf numFmtId="0" fontId="7" fillId="3" borderId="5" xfId="0" applyFont="1" applyFill="1" applyBorder="1" applyAlignment="1">
      <alignment horizontal="left"/>
    </xf>
    <xf numFmtId="0" fontId="7" fillId="3" borderId="19" xfId="0" applyFont="1" applyFill="1" applyBorder="1"/>
    <xf numFmtId="0" fontId="17" fillId="3" borderId="2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left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167" fontId="7" fillId="3" borderId="7" xfId="3" applyNumberFormat="1" applyFont="1" applyFill="1" applyBorder="1" applyAlignment="1" applyProtection="1">
      <alignment horizontal="center" vertical="center"/>
    </xf>
    <xf numFmtId="0" fontId="26" fillId="3" borderId="0" xfId="0" applyFont="1" applyFill="1"/>
    <xf numFmtId="0" fontId="7" fillId="3" borderId="0" xfId="0" applyFont="1" applyFill="1" applyBorder="1" applyAlignment="1"/>
    <xf numFmtId="0" fontId="0" fillId="3" borderId="0" xfId="0" applyFill="1"/>
    <xf numFmtId="0" fontId="11" fillId="3" borderId="0" xfId="0" applyFont="1" applyFill="1" applyBorder="1" applyAlignment="1">
      <alignment wrapText="1"/>
    </xf>
    <xf numFmtId="0" fontId="10" fillId="3" borderId="0" xfId="0" applyFont="1" applyFill="1" applyBorder="1" applyAlignment="1">
      <alignment horizontal="left" wrapText="1"/>
    </xf>
    <xf numFmtId="0" fontId="12" fillId="3" borderId="0" xfId="0" applyFont="1" applyFill="1" applyBorder="1" applyAlignment="1">
      <alignment wrapText="1"/>
    </xf>
    <xf numFmtId="0" fontId="12" fillId="3" borderId="31" xfId="0" applyFont="1" applyFill="1" applyBorder="1" applyAlignment="1">
      <alignment wrapText="1"/>
    </xf>
    <xf numFmtId="0" fontId="12" fillId="3" borderId="38" xfId="0" applyFont="1" applyFill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12" fillId="3" borderId="39" xfId="0" applyFont="1" applyFill="1" applyBorder="1" applyAlignment="1">
      <alignment wrapText="1"/>
    </xf>
    <xf numFmtId="0" fontId="12" fillId="3" borderId="32" xfId="0" applyFont="1" applyFill="1" applyBorder="1" applyAlignment="1">
      <alignment wrapText="1"/>
    </xf>
    <xf numFmtId="0" fontId="13" fillId="3" borderId="40" xfId="0" applyFont="1" applyFill="1" applyBorder="1" applyAlignment="1"/>
    <xf numFmtId="0" fontId="7" fillId="3" borderId="40" xfId="0" applyFont="1" applyFill="1" applyBorder="1" applyAlignment="1"/>
    <xf numFmtId="0" fontId="14" fillId="3" borderId="40" xfId="0" applyFont="1" applyFill="1" applyBorder="1" applyAlignment="1">
      <alignment wrapText="1"/>
    </xf>
    <xf numFmtId="0" fontId="13" fillId="3" borderId="40" xfId="0" applyFont="1" applyFill="1" applyBorder="1" applyAlignment="1">
      <alignment wrapText="1"/>
    </xf>
    <xf numFmtId="0" fontId="13" fillId="3" borderId="40" xfId="0" applyFont="1" applyFill="1" applyBorder="1" applyAlignment="1">
      <alignment horizontal="center" wrapText="1"/>
    </xf>
    <xf numFmtId="170" fontId="13" fillId="3" borderId="40" xfId="0" applyNumberFormat="1" applyFont="1" applyFill="1" applyBorder="1" applyAlignment="1">
      <alignment wrapText="1"/>
    </xf>
    <xf numFmtId="170" fontId="13" fillId="3" borderId="49" xfId="0" applyNumberFormat="1" applyFont="1" applyFill="1" applyBorder="1" applyAlignment="1">
      <alignment wrapText="1"/>
    </xf>
    <xf numFmtId="170" fontId="17" fillId="3" borderId="7" xfId="0" applyNumberFormat="1" applyFont="1" applyFill="1" applyBorder="1" applyAlignment="1"/>
    <xf numFmtId="0" fontId="11" fillId="3" borderId="0" xfId="0" applyFont="1" applyFill="1" applyBorder="1" applyAlignment="1"/>
    <xf numFmtId="0" fontId="15" fillId="3" borderId="44" xfId="0" applyFont="1" applyFill="1" applyBorder="1" applyAlignment="1"/>
    <xf numFmtId="0" fontId="24" fillId="3" borderId="0" xfId="0" applyFont="1" applyFill="1" applyBorder="1" applyAlignment="1"/>
    <xf numFmtId="0" fontId="7" fillId="3" borderId="44" xfId="0" applyFont="1" applyFill="1" applyBorder="1" applyAlignment="1"/>
    <xf numFmtId="0" fontId="7" fillId="3" borderId="46" xfId="0" applyFont="1" applyFill="1" applyBorder="1" applyAlignment="1"/>
    <xf numFmtId="0" fontId="7" fillId="3" borderId="47" xfId="0" applyFont="1" applyFill="1" applyBorder="1" applyAlignment="1"/>
    <xf numFmtId="0" fontId="7" fillId="3" borderId="48" xfId="0" applyFont="1" applyFill="1" applyBorder="1" applyAlignment="1"/>
    <xf numFmtId="0" fontId="25" fillId="3" borderId="0" xfId="0" applyFont="1" applyFill="1" applyBorder="1" applyAlignment="1"/>
    <xf numFmtId="0" fontId="0" fillId="3" borderId="0" xfId="0" applyFont="1" applyFill="1" applyBorder="1" applyAlignment="1"/>
    <xf numFmtId="0" fontId="23" fillId="3" borderId="0" xfId="0" applyFont="1" applyFill="1" applyBorder="1" applyAlignment="1"/>
    <xf numFmtId="0" fontId="27" fillId="3" borderId="0" xfId="0" applyFont="1" applyFill="1"/>
    <xf numFmtId="0" fontId="26" fillId="3" borderId="0" xfId="0" applyFont="1" applyFill="1" applyBorder="1"/>
    <xf numFmtId="164" fontId="28" fillId="3" borderId="0" xfId="11" applyNumberFormat="1" applyFont="1" applyFill="1" applyBorder="1" applyAlignment="1" applyProtection="1">
      <alignment horizontal="right"/>
      <protection hidden="1"/>
    </xf>
    <xf numFmtId="0" fontId="26" fillId="3" borderId="0" xfId="0" applyFont="1" applyFill="1" applyBorder="1" applyAlignment="1">
      <alignment horizontal="center" vertical="center"/>
    </xf>
    <xf numFmtId="171" fontId="26" fillId="3" borderId="0" xfId="0" applyNumberFormat="1" applyFont="1" applyFill="1" applyBorder="1"/>
    <xf numFmtId="171" fontId="26" fillId="3" borderId="0" xfId="1" applyNumberFormat="1" applyFont="1" applyFill="1" applyBorder="1"/>
    <xf numFmtId="164" fontId="26" fillId="3" borderId="0" xfId="0" applyNumberFormat="1" applyFont="1" applyFill="1" applyBorder="1"/>
    <xf numFmtId="0" fontId="7" fillId="3" borderId="0" xfId="0" applyFont="1" applyFill="1" applyBorder="1" applyAlignment="1">
      <alignment wrapText="1"/>
    </xf>
    <xf numFmtId="0" fontId="7" fillId="3" borderId="45" xfId="0" applyFont="1" applyFill="1" applyBorder="1" applyAlignment="1">
      <alignment wrapText="1"/>
    </xf>
    <xf numFmtId="0" fontId="15" fillId="3" borderId="44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left"/>
    </xf>
    <xf numFmtId="0" fontId="15" fillId="3" borderId="45" xfId="0" applyFont="1" applyFill="1" applyBorder="1" applyAlignment="1">
      <alignment horizontal="left"/>
    </xf>
    <xf numFmtId="0" fontId="8" fillId="3" borderId="0" xfId="0" applyFont="1" applyFill="1" applyBorder="1" applyAlignment="1"/>
    <xf numFmtId="0" fontId="15" fillId="3" borderId="41" xfId="0" applyFont="1" applyFill="1" applyBorder="1" applyAlignment="1">
      <alignment horizontal="left"/>
    </xf>
    <xf numFmtId="0" fontId="15" fillId="3" borderId="42" xfId="0" applyFont="1" applyFill="1" applyBorder="1" applyAlignment="1">
      <alignment horizontal="left"/>
    </xf>
    <xf numFmtId="0" fontId="15" fillId="3" borderId="43" xfId="0" applyFont="1" applyFill="1" applyBorder="1" applyAlignment="1">
      <alignment horizontal="left"/>
    </xf>
    <xf numFmtId="0" fontId="9" fillId="3" borderId="0" xfId="0" applyFont="1" applyFill="1" applyBorder="1" applyAlignment="1">
      <alignment wrapText="1"/>
    </xf>
    <xf numFmtId="0" fontId="10" fillId="3" borderId="0" xfId="0" applyFont="1" applyFill="1" applyBorder="1" applyAlignment="1">
      <alignment wrapText="1"/>
    </xf>
    <xf numFmtId="0" fontId="7" fillId="3" borderId="0" xfId="0" applyFont="1" applyFill="1" applyBorder="1" applyAlignment="1"/>
    <xf numFmtId="0" fontId="7" fillId="3" borderId="45" xfId="0" applyFont="1" applyFill="1" applyBorder="1" applyAlignment="1"/>
    <xf numFmtId="0" fontId="18" fillId="0" borderId="0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left" vertical="center" wrapText="1" indent="1"/>
    </xf>
    <xf numFmtId="0" fontId="20" fillId="0" borderId="8" xfId="0" applyFont="1" applyFill="1" applyBorder="1" applyAlignment="1">
      <alignment horizontal="left" vertical="center" wrapText="1"/>
    </xf>
    <xf numFmtId="168" fontId="20" fillId="0" borderId="7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 indent="1"/>
    </xf>
    <xf numFmtId="0" fontId="21" fillId="0" borderId="9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left" vertical="center" wrapText="1"/>
    </xf>
    <xf numFmtId="0" fontId="19" fillId="0" borderId="13" xfId="0" applyFont="1" applyFill="1" applyBorder="1" applyAlignment="1">
      <alignment horizontal="right" vertical="center" wrapText="1"/>
    </xf>
    <xf numFmtId="0" fontId="19" fillId="0" borderId="33" xfId="0" applyFont="1" applyFill="1" applyBorder="1" applyAlignment="1">
      <alignment horizontal="right" vertical="center" wrapText="1"/>
    </xf>
    <xf numFmtId="0" fontId="21" fillId="3" borderId="34" xfId="0" applyFont="1" applyFill="1" applyBorder="1" applyAlignment="1">
      <alignment horizontal="left" vertical="center" wrapText="1"/>
    </xf>
    <xf numFmtId="0" fontId="21" fillId="3" borderId="35" xfId="0" applyFont="1" applyFill="1" applyBorder="1" applyAlignment="1">
      <alignment horizontal="left" vertical="center" wrapText="1"/>
    </xf>
    <xf numFmtId="167" fontId="17" fillId="3" borderId="36" xfId="0" applyNumberFormat="1" applyFont="1" applyFill="1" applyBorder="1" applyAlignment="1">
      <alignment horizontal="center" vertical="center"/>
    </xf>
    <xf numFmtId="167" fontId="17" fillId="3" borderId="37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3" fontId="21" fillId="3" borderId="14" xfId="0" applyNumberFormat="1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/>
    <xf numFmtId="0" fontId="22" fillId="3" borderId="4" xfId="0" applyFont="1" applyFill="1" applyBorder="1" applyAlignment="1">
      <alignment horizontal="left" indent="1"/>
    </xf>
    <xf numFmtId="0" fontId="7" fillId="3" borderId="6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3" borderId="30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/>
    </xf>
    <xf numFmtId="0" fontId="7" fillId="3" borderId="25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22" fillId="3" borderId="16" xfId="0" applyFont="1" applyFill="1" applyBorder="1" applyAlignment="1"/>
    <xf numFmtId="0" fontId="22" fillId="3" borderId="17" xfId="0" applyFont="1" applyFill="1" applyBorder="1" applyAlignment="1">
      <alignment horizontal="left" vertical="center" wrapText="1" indent="1"/>
    </xf>
    <xf numFmtId="0" fontId="17" fillId="3" borderId="1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vertical="center" wrapText="1"/>
    </xf>
    <xf numFmtId="0" fontId="21" fillId="3" borderId="28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vertical="center" wrapText="1"/>
    </xf>
    <xf numFmtId="0" fontId="22" fillId="3" borderId="20" xfId="0" applyFont="1" applyFill="1" applyBorder="1" applyAlignment="1">
      <alignment vertical="center" wrapText="1"/>
    </xf>
    <xf numFmtId="0" fontId="22" fillId="3" borderId="27" xfId="0" applyFont="1" applyFill="1" applyBorder="1" applyAlignment="1">
      <alignment horizontal="left" vertical="center" wrapText="1" inden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/>
    <xf numFmtId="0" fontId="7" fillId="3" borderId="17" xfId="0" applyFont="1" applyFill="1" applyBorder="1" applyAlignment="1"/>
  </cellXfs>
  <cellStyles count="18">
    <cellStyle name="Encabezado 1" xfId="2" xr:uid="{00000000-0005-0000-0000-000000000000}"/>
    <cellStyle name="Millares 2" xfId="17" xr:uid="{00000000-0005-0000-0000-000001000000}"/>
    <cellStyle name="Moneda" xfId="1" builtinId="4"/>
    <cellStyle name="Moneda 2" xfId="16" xr:uid="{00000000-0005-0000-0000-000003000000}"/>
    <cellStyle name="Moneda_AUTORIZACION Y NOTA DE PEDIDO" xfId="3" xr:uid="{00000000-0005-0000-0000-000004000000}"/>
    <cellStyle name="Neutral 1" xfId="4" xr:uid="{00000000-0005-0000-0000-000005000000}"/>
    <cellStyle name="Normal" xfId="0" builtinId="0"/>
    <cellStyle name="Normal 2" xfId="12" xr:uid="{00000000-0005-0000-0000-000007000000}"/>
    <cellStyle name="Normal 2 44" xfId="8" xr:uid="{00000000-0005-0000-0000-000008000000}"/>
    <cellStyle name="Normal 2 44 2" xfId="9" xr:uid="{00000000-0005-0000-0000-000009000000}"/>
    <cellStyle name="Normal 27 2" xfId="5" xr:uid="{00000000-0005-0000-0000-00000A000000}"/>
    <cellStyle name="Normal 3" xfId="15" xr:uid="{00000000-0005-0000-0000-00000B000000}"/>
    <cellStyle name="Normal 4" xfId="11" xr:uid="{00000000-0005-0000-0000-00000C000000}"/>
    <cellStyle name="Normal 4 10" xfId="10" xr:uid="{00000000-0005-0000-0000-00000D000000}"/>
    <cellStyle name="Normal 49" xfId="7" xr:uid="{00000000-0005-0000-0000-00000E000000}"/>
    <cellStyle name="Normal 5" xfId="6" xr:uid="{00000000-0005-0000-0000-00000F000000}"/>
    <cellStyle name="Porcentaje 2" xfId="13" xr:uid="{00000000-0005-0000-0000-000010000000}"/>
    <cellStyle name="Porcentaje 3" xfId="14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zoomScale="85" zoomScaleNormal="85" zoomScaleSheetLayoutView="40" zoomScalePageLayoutView="40" workbookViewId="0">
      <selection activeCell="K19" sqref="K19"/>
    </sheetView>
  </sheetViews>
  <sheetFormatPr baseColWidth="10" defaultColWidth="9.140625" defaultRowHeight="12.75" x14ac:dyDescent="0.2"/>
  <cols>
    <col min="1" max="1" width="4.7109375" style="37" customWidth="1"/>
    <col min="2" max="2" width="14.7109375" style="37" customWidth="1"/>
    <col min="3" max="3" width="22.7109375" style="37" customWidth="1"/>
    <col min="4" max="4" width="9.140625" style="37"/>
    <col min="5" max="5" width="83.140625" style="37" customWidth="1"/>
    <col min="6" max="6" width="9.140625" style="37"/>
    <col min="7" max="7" width="11.85546875" style="37" customWidth="1"/>
    <col min="8" max="8" width="14.7109375" style="37" customWidth="1"/>
    <col min="9" max="9" width="16.140625" style="37" customWidth="1"/>
    <col min="10" max="10" width="9.140625" style="35" customWidth="1"/>
    <col min="11" max="11" width="11.85546875" style="65" bestFit="1" customWidth="1"/>
    <col min="12" max="12" width="6.28515625" style="65" customWidth="1"/>
    <col min="13" max="13" width="11.7109375" style="65" bestFit="1" customWidth="1"/>
    <col min="14" max="14" width="9.140625" style="65"/>
    <col min="15" max="15" width="14.28515625" style="65" bestFit="1" customWidth="1"/>
    <col min="16" max="17" width="9.140625" style="65"/>
    <col min="18" max="18" width="14.42578125" style="65" bestFit="1" customWidth="1"/>
    <col min="19" max="21" width="9.140625" style="65"/>
    <col min="22" max="22" width="9.140625" style="64"/>
    <col min="23" max="16384" width="9.140625" style="37"/>
  </cols>
  <sheetData>
    <row r="1" spans="1:18" ht="42.75" customHeight="1" x14ac:dyDescent="0.4">
      <c r="A1" s="36"/>
      <c r="B1" s="76" t="s">
        <v>0</v>
      </c>
      <c r="C1" s="76"/>
      <c r="D1" s="76"/>
      <c r="E1" s="76"/>
      <c r="F1" s="76"/>
      <c r="G1" s="76"/>
      <c r="H1" s="76"/>
      <c r="I1" s="36"/>
    </row>
    <row r="2" spans="1:18" ht="12.7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R2" s="65" t="s">
        <v>93</v>
      </c>
    </row>
    <row r="3" spans="1:18" ht="12.75" customHeight="1" x14ac:dyDescent="0.25">
      <c r="A3" s="80" t="s">
        <v>1</v>
      </c>
      <c r="B3" s="80"/>
      <c r="C3" s="81" t="s">
        <v>2</v>
      </c>
      <c r="D3" s="81"/>
      <c r="E3" s="81"/>
      <c r="F3" s="38"/>
      <c r="G3" s="38"/>
      <c r="H3" s="38"/>
      <c r="I3" s="36"/>
      <c r="R3" s="66">
        <v>58134.323170149197</v>
      </c>
    </row>
    <row r="4" spans="1:18" ht="12.75" customHeight="1" x14ac:dyDescent="0.25">
      <c r="A4" s="80" t="s">
        <v>3</v>
      </c>
      <c r="B4" s="80"/>
      <c r="C4" s="81" t="s">
        <v>78</v>
      </c>
      <c r="D4" s="81"/>
      <c r="E4" s="81"/>
      <c r="F4" s="38"/>
      <c r="G4" s="38"/>
      <c r="H4" s="38"/>
      <c r="I4" s="36"/>
      <c r="R4" s="66">
        <v>54108.00730555645</v>
      </c>
    </row>
    <row r="5" spans="1:18" ht="15.75" customHeight="1" x14ac:dyDescent="0.25">
      <c r="A5" s="80" t="s">
        <v>4</v>
      </c>
      <c r="B5" s="80"/>
      <c r="C5" s="39">
        <v>2022</v>
      </c>
      <c r="D5" s="40"/>
      <c r="E5" s="40"/>
      <c r="F5" s="38"/>
      <c r="G5" s="38"/>
      <c r="H5" s="38"/>
      <c r="I5" s="36"/>
      <c r="R5" s="66">
        <v>55772.494585661298</v>
      </c>
    </row>
    <row r="6" spans="1:18" ht="15.75" x14ac:dyDescent="0.25">
      <c r="A6" s="80" t="s">
        <v>5</v>
      </c>
      <c r="B6" s="80"/>
      <c r="C6" s="39">
        <v>2</v>
      </c>
      <c r="D6" s="40"/>
      <c r="E6" s="40"/>
      <c r="F6" s="38"/>
      <c r="G6" s="38"/>
      <c r="H6" s="38"/>
      <c r="I6" s="36"/>
      <c r="R6" s="66">
        <v>54108.00730555645</v>
      </c>
    </row>
    <row r="7" spans="1:18" ht="14.25" thickBot="1" x14ac:dyDescent="0.3">
      <c r="A7" s="36"/>
      <c r="B7" s="38"/>
      <c r="C7" s="38"/>
      <c r="D7" s="38"/>
      <c r="E7" s="38"/>
      <c r="F7" s="38"/>
      <c r="G7" s="38"/>
      <c r="H7" s="38"/>
      <c r="I7" s="36"/>
      <c r="K7" s="65" t="s">
        <v>79</v>
      </c>
      <c r="L7" s="65" t="s">
        <v>12</v>
      </c>
      <c r="M7" s="65" t="s">
        <v>80</v>
      </c>
      <c r="N7" s="65" t="s">
        <v>81</v>
      </c>
      <c r="O7" s="65" t="s">
        <v>82</v>
      </c>
      <c r="R7" s="66">
        <v>55772.494585661298</v>
      </c>
    </row>
    <row r="8" spans="1:18" ht="39" thickTop="1" x14ac:dyDescent="0.2">
      <c r="A8" s="41" t="s">
        <v>6</v>
      </c>
      <c r="B8" s="42" t="s">
        <v>7</v>
      </c>
      <c r="C8" s="43" t="s">
        <v>8</v>
      </c>
      <c r="D8" s="44" t="s">
        <v>9</v>
      </c>
      <c r="E8" s="43" t="s">
        <v>10</v>
      </c>
      <c r="F8" s="45" t="s">
        <v>11</v>
      </c>
      <c r="G8" s="45" t="s">
        <v>12</v>
      </c>
      <c r="H8" s="45" t="s">
        <v>13</v>
      </c>
      <c r="I8" s="45" t="s">
        <v>14</v>
      </c>
      <c r="K8" s="67" t="s">
        <v>86</v>
      </c>
      <c r="L8" s="67" t="s">
        <v>87</v>
      </c>
      <c r="M8" s="67" t="s">
        <v>88</v>
      </c>
      <c r="N8" s="67" t="s">
        <v>89</v>
      </c>
      <c r="O8" s="67" t="s">
        <v>88</v>
      </c>
      <c r="R8" s="66">
        <v>55772.494585661298</v>
      </c>
    </row>
    <row r="9" spans="1:18" ht="14.25" x14ac:dyDescent="0.3">
      <c r="A9" s="46">
        <v>1</v>
      </c>
      <c r="B9" s="47" t="s">
        <v>15</v>
      </c>
      <c r="C9" s="47" t="s">
        <v>16</v>
      </c>
      <c r="D9" s="48" t="s">
        <v>83</v>
      </c>
      <c r="E9" s="47" t="s">
        <v>17</v>
      </c>
      <c r="F9" s="49" t="s">
        <v>18</v>
      </c>
      <c r="G9" s="50">
        <v>1</v>
      </c>
      <c r="H9" s="51">
        <f>O9</f>
        <v>129298.0084809406</v>
      </c>
      <c r="I9" s="51">
        <f>H9*G9</f>
        <v>129298.0084809406</v>
      </c>
      <c r="K9" s="66">
        <v>10774.834040078384</v>
      </c>
      <c r="L9" s="65">
        <v>1</v>
      </c>
      <c r="M9" s="68">
        <f>K9*L9</f>
        <v>10774.834040078384</v>
      </c>
      <c r="N9" s="65">
        <v>12</v>
      </c>
      <c r="O9" s="68">
        <f>M9*N9</f>
        <v>129298.0084809406</v>
      </c>
      <c r="R9" s="66">
        <v>60770.107267073305</v>
      </c>
    </row>
    <row r="10" spans="1:18" ht="14.25" x14ac:dyDescent="0.3">
      <c r="A10" s="46">
        <v>2</v>
      </c>
      <c r="B10" s="47" t="s">
        <v>15</v>
      </c>
      <c r="C10" s="47" t="s">
        <v>16</v>
      </c>
      <c r="D10" s="48" t="s">
        <v>83</v>
      </c>
      <c r="E10" s="47" t="s">
        <v>17</v>
      </c>
      <c r="F10" s="49" t="s">
        <v>18</v>
      </c>
      <c r="G10" s="50">
        <v>1</v>
      </c>
      <c r="H10" s="51">
        <f t="shared" ref="H10:H13" si="0">O10</f>
        <v>1679193.36</v>
      </c>
      <c r="I10" s="51">
        <f t="shared" ref="I10:I12" si="1">H10*G10</f>
        <v>1679193.36</v>
      </c>
      <c r="K10" s="69">
        <v>7176.04</v>
      </c>
      <c r="L10" s="65">
        <v>1</v>
      </c>
      <c r="M10" s="68">
        <f>K10*L10</f>
        <v>7176.04</v>
      </c>
      <c r="N10" s="65">
        <v>234</v>
      </c>
      <c r="O10" s="68">
        <f t="shared" ref="O10:O13" si="2">M10*N10</f>
        <v>1679193.36</v>
      </c>
      <c r="R10" s="66">
        <v>60770.107267073305</v>
      </c>
    </row>
    <row r="11" spans="1:18" ht="14.25" x14ac:dyDescent="0.3">
      <c r="A11" s="46">
        <v>3</v>
      </c>
      <c r="B11" s="47" t="s">
        <v>15</v>
      </c>
      <c r="C11" s="47" t="s">
        <v>16</v>
      </c>
      <c r="D11" s="48" t="s">
        <v>83</v>
      </c>
      <c r="E11" s="47" t="s">
        <v>17</v>
      </c>
      <c r="F11" s="49" t="s">
        <v>18</v>
      </c>
      <c r="G11" s="50">
        <v>1</v>
      </c>
      <c r="H11" s="51">
        <f t="shared" si="0"/>
        <v>1549192.0663213623</v>
      </c>
      <c r="I11" s="51">
        <f>H11*G11</f>
        <v>1549192.0663213623</v>
      </c>
      <c r="K11" s="70">
        <f>R31</f>
        <v>57377.483937828234</v>
      </c>
      <c r="L11" s="65">
        <v>1</v>
      </c>
      <c r="M11" s="68">
        <f t="shared" ref="M11:M13" si="3">K11*L11</f>
        <v>57377.483937828234</v>
      </c>
      <c r="N11" s="65">
        <v>27</v>
      </c>
      <c r="O11" s="68">
        <f t="shared" si="2"/>
        <v>1549192.0663213623</v>
      </c>
      <c r="R11" s="66">
        <v>60770.107267073305</v>
      </c>
    </row>
    <row r="12" spans="1:18" ht="14.25" x14ac:dyDescent="0.3">
      <c r="A12" s="46">
        <v>4</v>
      </c>
      <c r="B12" s="47" t="s">
        <v>15</v>
      </c>
      <c r="C12" s="47" t="s">
        <v>16</v>
      </c>
      <c r="D12" s="48" t="s">
        <v>83</v>
      </c>
      <c r="E12" s="47" t="s">
        <v>17</v>
      </c>
      <c r="F12" s="49" t="s">
        <v>18</v>
      </c>
      <c r="G12" s="50">
        <v>1</v>
      </c>
      <c r="H12" s="51">
        <f t="shared" si="0"/>
        <v>168000</v>
      </c>
      <c r="I12" s="51">
        <f t="shared" si="1"/>
        <v>168000</v>
      </c>
      <c r="K12" s="69">
        <v>56000</v>
      </c>
      <c r="L12" s="65">
        <v>1</v>
      </c>
      <c r="M12" s="68">
        <f t="shared" si="3"/>
        <v>56000</v>
      </c>
      <c r="N12" s="65">
        <v>3</v>
      </c>
      <c r="O12" s="68">
        <f t="shared" si="2"/>
        <v>168000</v>
      </c>
      <c r="R12" s="66">
        <v>54108.00730555645</v>
      </c>
    </row>
    <row r="13" spans="1:18" ht="15" thickBot="1" x14ac:dyDescent="0.35">
      <c r="A13" s="46">
        <v>5</v>
      </c>
      <c r="B13" s="47" t="s">
        <v>15</v>
      </c>
      <c r="C13" s="47" t="s">
        <v>16</v>
      </c>
      <c r="D13" s="48" t="s">
        <v>83</v>
      </c>
      <c r="E13" s="47" t="s">
        <v>17</v>
      </c>
      <c r="F13" s="49" t="s">
        <v>18</v>
      </c>
      <c r="G13" s="50">
        <v>1</v>
      </c>
      <c r="H13" s="51">
        <f t="shared" si="0"/>
        <v>48544</v>
      </c>
      <c r="I13" s="52">
        <f>H13*G13</f>
        <v>48544</v>
      </c>
      <c r="K13" s="69">
        <v>24272</v>
      </c>
      <c r="L13" s="65">
        <v>1</v>
      </c>
      <c r="M13" s="68">
        <f t="shared" si="3"/>
        <v>24272</v>
      </c>
      <c r="N13" s="65">
        <v>2</v>
      </c>
      <c r="O13" s="68">
        <f t="shared" si="2"/>
        <v>48544</v>
      </c>
      <c r="R13" s="66">
        <v>60770.107267073305</v>
      </c>
    </row>
    <row r="14" spans="1:18" ht="14.25" thickBot="1" x14ac:dyDescent="0.3">
      <c r="A14" s="36"/>
      <c r="B14" s="36"/>
      <c r="C14" s="36"/>
      <c r="D14" s="36"/>
      <c r="E14" s="36"/>
      <c r="F14" s="36"/>
      <c r="G14" s="36"/>
      <c r="H14" s="36"/>
      <c r="I14" s="53">
        <f>SUM(I9:I13)</f>
        <v>3574227.4348023031</v>
      </c>
      <c r="R14" s="66">
        <v>60770.107267073305</v>
      </c>
    </row>
    <row r="15" spans="1:18" ht="14.25" thickBot="1" x14ac:dyDescent="0.3">
      <c r="A15" s="36"/>
      <c r="B15" s="36"/>
      <c r="C15" s="36"/>
      <c r="D15" s="36"/>
      <c r="E15" s="36"/>
      <c r="F15" s="36"/>
      <c r="G15" s="36"/>
      <c r="H15" s="36"/>
      <c r="I15" s="36"/>
      <c r="R15" s="66">
        <v>60770.107267073305</v>
      </c>
    </row>
    <row r="16" spans="1:18" ht="13.5" x14ac:dyDescent="0.25">
      <c r="A16" s="36"/>
      <c r="B16" s="77" t="s">
        <v>19</v>
      </c>
      <c r="C16" s="78"/>
      <c r="D16" s="78"/>
      <c r="E16" s="79"/>
      <c r="F16" s="54"/>
      <c r="G16" s="54"/>
      <c r="H16" s="54"/>
      <c r="R16" s="66">
        <v>60770.107267073305</v>
      </c>
    </row>
    <row r="17" spans="1:18" ht="77.25" customHeight="1" x14ac:dyDescent="0.25">
      <c r="A17" s="36"/>
      <c r="B17" s="55" t="s">
        <v>84</v>
      </c>
      <c r="C17" s="71" t="s">
        <v>90</v>
      </c>
      <c r="D17" s="71"/>
      <c r="E17" s="72"/>
      <c r="F17" s="54"/>
      <c r="G17" s="56">
        <f>1600*12</f>
        <v>19200</v>
      </c>
      <c r="H17" s="54"/>
      <c r="I17" s="36"/>
      <c r="R17" s="66">
        <v>51887.307318384184</v>
      </c>
    </row>
    <row r="18" spans="1:18" ht="13.5" x14ac:dyDescent="0.25">
      <c r="A18" s="36"/>
      <c r="B18" s="73" t="s">
        <v>20</v>
      </c>
      <c r="C18" s="74"/>
      <c r="D18" s="74"/>
      <c r="E18" s="75"/>
      <c r="F18" s="54"/>
      <c r="G18" s="56">
        <f>G17*9</f>
        <v>172800</v>
      </c>
      <c r="H18" s="54"/>
      <c r="R18" s="66">
        <v>42308.211508522603</v>
      </c>
    </row>
    <row r="19" spans="1:18" ht="84.75" customHeight="1" x14ac:dyDescent="0.25">
      <c r="A19" s="36"/>
      <c r="B19" s="55" t="s">
        <v>84</v>
      </c>
      <c r="C19" s="71" t="s">
        <v>91</v>
      </c>
      <c r="D19" s="71"/>
      <c r="E19" s="72"/>
      <c r="F19" s="54"/>
      <c r="G19" s="56">
        <f>900*12</f>
        <v>10800</v>
      </c>
      <c r="H19" s="54"/>
      <c r="I19" s="36"/>
      <c r="R19" s="66">
        <v>58694.235539934001</v>
      </c>
    </row>
    <row r="20" spans="1:18" ht="13.5" x14ac:dyDescent="0.25">
      <c r="A20" s="36"/>
      <c r="B20" s="73" t="s">
        <v>21</v>
      </c>
      <c r="C20" s="74"/>
      <c r="D20" s="74"/>
      <c r="E20" s="75"/>
      <c r="F20" s="54"/>
      <c r="G20" s="56">
        <f>G19*71</f>
        <v>766800</v>
      </c>
      <c r="H20" s="54"/>
      <c r="R20" s="66">
        <v>60770.107267073305</v>
      </c>
    </row>
    <row r="21" spans="1:18" ht="98.25" customHeight="1" x14ac:dyDescent="0.25">
      <c r="A21" s="36"/>
      <c r="B21" s="55" t="s">
        <v>84</v>
      </c>
      <c r="C21" s="71" t="s">
        <v>92</v>
      </c>
      <c r="D21" s="71"/>
      <c r="E21" s="72"/>
      <c r="F21" s="54"/>
      <c r="G21" s="56">
        <f>3200*12</f>
        <v>38400</v>
      </c>
      <c r="H21" s="54"/>
      <c r="I21" s="36"/>
      <c r="R21" s="66">
        <v>60770.107267073305</v>
      </c>
    </row>
    <row r="22" spans="1:18" ht="13.5" x14ac:dyDescent="0.25">
      <c r="A22" s="36"/>
      <c r="B22" s="73" t="s">
        <v>22</v>
      </c>
      <c r="C22" s="74"/>
      <c r="D22" s="74"/>
      <c r="E22" s="75"/>
      <c r="F22" s="54"/>
      <c r="G22" s="56">
        <f>107*G21</f>
        <v>4108800</v>
      </c>
      <c r="H22" s="54"/>
      <c r="R22" s="66">
        <v>59954.801508727971</v>
      </c>
    </row>
    <row r="23" spans="1:18" ht="82.5" customHeight="1" x14ac:dyDescent="0.25">
      <c r="A23" s="36"/>
      <c r="B23" s="57" t="s">
        <v>84</v>
      </c>
      <c r="C23" s="71" t="s">
        <v>94</v>
      </c>
      <c r="D23" s="71"/>
      <c r="E23" s="72"/>
      <c r="F23" s="54"/>
      <c r="G23" s="56">
        <f>1023*12</f>
        <v>12276</v>
      </c>
      <c r="H23" s="54"/>
      <c r="I23" s="36"/>
      <c r="R23" s="66">
        <v>59954.801508727971</v>
      </c>
    </row>
    <row r="24" spans="1:18" ht="13.5" x14ac:dyDescent="0.25">
      <c r="A24" s="36"/>
      <c r="B24" s="73" t="s">
        <v>23</v>
      </c>
      <c r="C24" s="74"/>
      <c r="D24" s="74"/>
      <c r="E24" s="75"/>
      <c r="F24" s="54"/>
      <c r="G24" s="56">
        <f>G23*6</f>
        <v>73656</v>
      </c>
      <c r="H24" s="54"/>
      <c r="R24" s="66">
        <v>59954.801508727971</v>
      </c>
    </row>
    <row r="25" spans="1:18" ht="86.25" customHeight="1" x14ac:dyDescent="0.25">
      <c r="A25" s="36"/>
      <c r="B25" s="57" t="s">
        <v>84</v>
      </c>
      <c r="C25" s="71" t="s">
        <v>95</v>
      </c>
      <c r="D25" s="71"/>
      <c r="E25" s="72"/>
      <c r="F25" s="54"/>
      <c r="G25" s="56">
        <f>G17</f>
        <v>19200</v>
      </c>
      <c r="H25" s="54"/>
      <c r="I25" s="36"/>
      <c r="R25" s="66">
        <v>59954.801508727971</v>
      </c>
    </row>
    <row r="26" spans="1:18" ht="13.5" x14ac:dyDescent="0.25">
      <c r="A26" s="36"/>
      <c r="B26" s="73" t="s">
        <v>24</v>
      </c>
      <c r="C26" s="74"/>
      <c r="D26" s="74"/>
      <c r="E26" s="75"/>
      <c r="F26" s="36"/>
      <c r="G26" s="56"/>
      <c r="H26" s="36"/>
      <c r="R26" s="66">
        <v>59954.801508727971</v>
      </c>
    </row>
    <row r="27" spans="1:18" ht="88.5" customHeight="1" x14ac:dyDescent="0.25">
      <c r="A27" s="36"/>
      <c r="B27" s="57" t="s">
        <v>84</v>
      </c>
      <c r="C27" s="71" t="s">
        <v>96</v>
      </c>
      <c r="D27" s="71"/>
      <c r="E27" s="72"/>
      <c r="F27" s="36"/>
      <c r="G27" s="56"/>
      <c r="H27" s="36"/>
      <c r="I27" s="36"/>
      <c r="R27" s="66">
        <v>63070.665827534787</v>
      </c>
    </row>
    <row r="28" spans="1:18" ht="13.5" x14ac:dyDescent="0.25">
      <c r="A28" s="36"/>
      <c r="B28" s="57" t="s">
        <v>84</v>
      </c>
      <c r="C28" s="82" t="s">
        <v>84</v>
      </c>
      <c r="D28" s="82"/>
      <c r="E28" s="83"/>
      <c r="F28" s="36"/>
      <c r="G28" s="56"/>
      <c r="H28" s="36"/>
      <c r="I28" s="36"/>
      <c r="R28" s="66">
        <v>47869.616693788819</v>
      </c>
    </row>
    <row r="29" spans="1:18" ht="17.25" customHeight="1" x14ac:dyDescent="0.25">
      <c r="A29" s="36"/>
      <c r="B29" s="73" t="s">
        <v>25</v>
      </c>
      <c r="C29" s="74"/>
      <c r="D29" s="74"/>
      <c r="E29" s="75"/>
      <c r="F29" s="36"/>
      <c r="G29" s="56"/>
      <c r="H29" s="36"/>
      <c r="R29" s="66">
        <v>50881.227642095677</v>
      </c>
    </row>
    <row r="30" spans="1:18" ht="13.5" x14ac:dyDescent="0.25">
      <c r="A30" s="36"/>
      <c r="B30" s="57" t="s">
        <v>84</v>
      </c>
      <c r="C30" s="71" t="s">
        <v>85</v>
      </c>
      <c r="D30" s="71"/>
      <c r="E30" s="72"/>
      <c r="F30" s="36"/>
      <c r="G30" s="56"/>
      <c r="H30" s="36"/>
      <c r="I30" s="36"/>
      <c r="R30" s="70">
        <f>SUM(R3:R29)</f>
        <v>1549192.0663213623</v>
      </c>
    </row>
    <row r="31" spans="1:18" ht="16.5" customHeight="1" x14ac:dyDescent="0.25">
      <c r="A31" s="36"/>
      <c r="B31" s="73" t="s">
        <v>26</v>
      </c>
      <c r="C31" s="74"/>
      <c r="D31" s="74"/>
      <c r="E31" s="75"/>
      <c r="F31" s="36"/>
      <c r="G31" s="56"/>
      <c r="H31" s="36"/>
      <c r="R31" s="70">
        <f>R30/27</f>
        <v>57377.483937828234</v>
      </c>
    </row>
    <row r="32" spans="1:18" ht="24.75" customHeight="1" x14ac:dyDescent="0.25">
      <c r="A32" s="36"/>
      <c r="B32" s="57" t="s">
        <v>84</v>
      </c>
      <c r="C32" s="71" t="s">
        <v>27</v>
      </c>
      <c r="D32" s="71"/>
      <c r="E32" s="72"/>
      <c r="F32" s="36"/>
      <c r="G32" s="56"/>
      <c r="H32" s="36"/>
      <c r="I32" s="36"/>
    </row>
    <row r="33" spans="1:9" ht="15" customHeight="1" x14ac:dyDescent="0.25">
      <c r="A33" s="36"/>
      <c r="B33" s="73" t="s">
        <v>28</v>
      </c>
      <c r="C33" s="74"/>
      <c r="D33" s="74"/>
      <c r="E33" s="75"/>
      <c r="F33" s="36"/>
      <c r="G33" s="56"/>
      <c r="H33" s="36"/>
    </row>
    <row r="34" spans="1:9" ht="26.25" customHeight="1" x14ac:dyDescent="0.25">
      <c r="A34" s="36"/>
      <c r="B34" s="55" t="s">
        <v>84</v>
      </c>
      <c r="C34" s="82" t="s">
        <v>29</v>
      </c>
      <c r="D34" s="82"/>
      <c r="E34" s="83"/>
      <c r="F34" s="36"/>
      <c r="G34" s="56"/>
      <c r="H34" s="36"/>
      <c r="I34" s="36"/>
    </row>
    <row r="35" spans="1:9" ht="13.5" customHeight="1" thickBot="1" x14ac:dyDescent="0.3">
      <c r="A35" s="36"/>
      <c r="B35" s="58" t="s">
        <v>84</v>
      </c>
      <c r="C35" s="59" t="s">
        <v>84</v>
      </c>
      <c r="D35" s="59" t="s">
        <v>84</v>
      </c>
      <c r="E35" s="60" t="s">
        <v>84</v>
      </c>
      <c r="F35" s="36"/>
      <c r="G35" s="56"/>
      <c r="H35" s="36"/>
      <c r="I35" s="36"/>
    </row>
    <row r="36" spans="1:9" ht="13.5" x14ac:dyDescent="0.25">
      <c r="A36" s="36"/>
      <c r="B36" s="36"/>
      <c r="C36" s="36"/>
      <c r="D36" s="36"/>
      <c r="E36" s="36"/>
      <c r="F36" s="36"/>
      <c r="G36" s="56"/>
      <c r="H36" s="36"/>
      <c r="I36" s="36"/>
    </row>
    <row r="37" spans="1:9" ht="13.5" x14ac:dyDescent="0.25">
      <c r="A37" s="36"/>
      <c r="B37" s="36"/>
      <c r="C37" s="36"/>
      <c r="D37" s="36"/>
      <c r="E37" s="36"/>
      <c r="F37" s="36"/>
      <c r="G37" s="56"/>
      <c r="H37" s="36"/>
      <c r="I37" s="36"/>
    </row>
    <row r="38" spans="1:9" ht="13.5" x14ac:dyDescent="0.25">
      <c r="A38" s="36"/>
      <c r="B38" s="36"/>
      <c r="C38" s="36"/>
      <c r="D38" s="36"/>
      <c r="E38" s="36"/>
      <c r="F38" s="36"/>
      <c r="G38" s="56"/>
      <c r="H38" s="36"/>
      <c r="I38" s="36"/>
    </row>
    <row r="39" spans="1:9" ht="26.25" customHeight="1" x14ac:dyDescent="0.25">
      <c r="A39" s="36"/>
      <c r="B39" s="36"/>
      <c r="C39" s="36"/>
      <c r="D39" s="36"/>
      <c r="E39" s="36"/>
      <c r="F39" s="36"/>
      <c r="G39" s="56"/>
      <c r="H39" s="36"/>
      <c r="I39" s="36"/>
    </row>
    <row r="40" spans="1:9" ht="13.5" x14ac:dyDescent="0.25">
      <c r="A40" s="36"/>
      <c r="B40" s="36"/>
      <c r="C40" s="36"/>
      <c r="D40" s="36"/>
      <c r="E40" s="36"/>
      <c r="F40" s="36"/>
      <c r="G40" s="56"/>
      <c r="H40" s="36"/>
      <c r="I40" s="36"/>
    </row>
    <row r="41" spans="1:9" ht="26.25" customHeight="1" x14ac:dyDescent="0.25">
      <c r="A41" s="61"/>
      <c r="B41" s="61"/>
      <c r="C41" s="61"/>
      <c r="D41" s="61"/>
      <c r="E41" s="62"/>
      <c r="F41" s="62"/>
      <c r="G41" s="63"/>
      <c r="H41" s="62"/>
      <c r="I41" s="62"/>
    </row>
    <row r="42" spans="1:9" ht="15" x14ac:dyDescent="0.25">
      <c r="A42" s="61"/>
      <c r="B42" s="61"/>
      <c r="C42" s="61"/>
      <c r="D42" s="61"/>
      <c r="E42" s="62"/>
      <c r="F42" s="62"/>
      <c r="G42" s="62"/>
      <c r="H42" s="62"/>
      <c r="I42" s="62"/>
    </row>
    <row r="43" spans="1:9" ht="23.25" customHeight="1" x14ac:dyDescent="0.25">
      <c r="A43" s="61"/>
      <c r="B43" s="61"/>
      <c r="C43" s="61"/>
      <c r="D43" s="61"/>
      <c r="E43" s="62"/>
      <c r="F43" s="62"/>
      <c r="G43" s="62"/>
      <c r="H43" s="62"/>
      <c r="I43" s="62"/>
    </row>
    <row r="44" spans="1:9" ht="13.5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ht="14.2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ht="14.25" customHeight="1" x14ac:dyDescent="0.2"/>
    <row r="47" spans="1:9" ht="14.25" customHeight="1" x14ac:dyDescent="0.2"/>
    <row r="49" ht="39" customHeight="1" x14ac:dyDescent="0.2"/>
  </sheetData>
  <mergeCells count="26">
    <mergeCell ref="B33:E33"/>
    <mergeCell ref="C34:E34"/>
    <mergeCell ref="C28:E28"/>
    <mergeCell ref="B29:E29"/>
    <mergeCell ref="C30:E30"/>
    <mergeCell ref="B31:E31"/>
    <mergeCell ref="C32:E32"/>
    <mergeCell ref="B1:H1"/>
    <mergeCell ref="B16:E16"/>
    <mergeCell ref="C17:E17"/>
    <mergeCell ref="B18:E18"/>
    <mergeCell ref="B20:E20"/>
    <mergeCell ref="A5:B5"/>
    <mergeCell ref="A6:B6"/>
    <mergeCell ref="C19:E19"/>
    <mergeCell ref="A3:B3"/>
    <mergeCell ref="C3:E3"/>
    <mergeCell ref="A4:B4"/>
    <mergeCell ref="C4:E4"/>
    <mergeCell ref="C21:E21"/>
    <mergeCell ref="C23:E23"/>
    <mergeCell ref="C25:E25"/>
    <mergeCell ref="C27:E27"/>
    <mergeCell ref="B22:E22"/>
    <mergeCell ref="B24:E24"/>
    <mergeCell ref="B26:E26"/>
  </mergeCells>
  <pageMargins left="0.44270833333333331" right="0.41666666666666669" top="0.75" bottom="0.75" header="0.51180555555555496" footer="0.51180555555555496"/>
  <pageSetup paperSize="190" scale="78" firstPageNumber="0" orientation="landscape" horizontalDpi="300" verticalDpi="300" r:id="rId1"/>
  <rowBreaks count="1" manualBreakCount="1">
    <brk id="23" max="16383" man="1"/>
  </rowBreaks>
  <colBreaks count="1" manualBreakCount="1">
    <brk id="9" max="4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workbookViewId="0">
      <selection activeCell="D19" sqref="D19"/>
    </sheetView>
  </sheetViews>
  <sheetFormatPr baseColWidth="10" defaultColWidth="9.140625" defaultRowHeight="13.5" x14ac:dyDescent="0.25"/>
  <cols>
    <col min="1" max="1" width="5.5703125" style="3" customWidth="1"/>
    <col min="2" max="2" width="15.140625" style="3" customWidth="1"/>
    <col min="3" max="3" width="14.140625" style="3" customWidth="1"/>
    <col min="4" max="4" width="26" style="3" customWidth="1"/>
    <col min="5" max="5" width="8" style="3" customWidth="1"/>
    <col min="6" max="6" width="7.85546875" style="3" customWidth="1"/>
    <col min="7" max="7" width="42" style="3" customWidth="1"/>
    <col min="8" max="8" width="9.28515625" style="3" customWidth="1"/>
    <col min="9" max="9" width="15.5703125" style="3" customWidth="1"/>
    <col min="10" max="10" width="14.7109375" style="3" customWidth="1"/>
    <col min="11" max="11" width="15.5703125" style="3" customWidth="1"/>
    <col min="12" max="14" width="5.85546875" style="3" customWidth="1"/>
    <col min="15" max="15" width="12.5703125" style="3" customWidth="1"/>
    <col min="16" max="1024" width="9.140625" style="3"/>
    <col min="1025" max="16384" width="9.140625" style="4"/>
  </cols>
  <sheetData>
    <row r="1" spans="1:11" ht="18" customHeight="1" x14ac:dyDescent="0.25">
      <c r="A1" s="84" t="s">
        <v>30</v>
      </c>
      <c r="B1" s="84"/>
      <c r="C1" s="84"/>
      <c r="D1" s="84"/>
      <c r="E1" s="84"/>
      <c r="F1" s="84"/>
      <c r="G1" s="84"/>
      <c r="H1" s="84"/>
      <c r="I1" s="84"/>
      <c r="J1" s="1" t="s">
        <v>31</v>
      </c>
      <c r="K1" s="2" t="s">
        <v>32</v>
      </c>
    </row>
    <row r="2" spans="1:11" ht="18.75" customHeight="1" thickBo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3">
      <c r="A3" s="85" t="s">
        <v>33</v>
      </c>
      <c r="B3" s="85"/>
      <c r="C3" s="85"/>
      <c r="D3" s="86" t="e">
        <f>'Necesidades Trimestrales'!#REF!</f>
        <v>#REF!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3">
      <c r="A4" s="87" t="s">
        <v>34</v>
      </c>
      <c r="B4" s="87"/>
      <c r="C4" s="87"/>
      <c r="D4" s="86" t="e">
        <f>'Necesidades Trimestrales'!#REF!</f>
        <v>#REF!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3">
      <c r="A5" s="87" t="s">
        <v>35</v>
      </c>
      <c r="B5" s="87"/>
      <c r="C5" s="87"/>
      <c r="D5" s="86" t="s">
        <v>36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3">
      <c r="A6" s="85" t="s">
        <v>37</v>
      </c>
      <c r="B6" s="85"/>
      <c r="C6" s="85"/>
      <c r="D6" s="86" t="s">
        <v>38</v>
      </c>
      <c r="E6" s="86"/>
      <c r="F6" s="86"/>
      <c r="G6" s="86"/>
      <c r="H6" s="86"/>
      <c r="I6" s="86"/>
      <c r="J6" s="86"/>
      <c r="K6" s="86"/>
    </row>
    <row r="7" spans="1:11" ht="16.5" customHeight="1" x14ac:dyDescent="0.25">
      <c r="A7" s="87" t="s">
        <v>39</v>
      </c>
      <c r="B7" s="87"/>
      <c r="C7" s="87"/>
      <c r="D7" s="86" t="str">
        <f>'Necesidades Trimestrales'!C6 &amp; "° Trimestre - Año " &amp; 'Necesidades Trimestrales'!C5</f>
        <v>2° Trimestre - Año 2022</v>
      </c>
      <c r="E7" s="86"/>
      <c r="F7" s="86"/>
      <c r="G7" s="86"/>
      <c r="H7" s="86"/>
      <c r="I7" s="86"/>
      <c r="J7" s="86"/>
      <c r="K7" s="86"/>
    </row>
    <row r="8" spans="1:11" ht="16.5" customHeight="1" x14ac:dyDescent="0.25">
      <c r="A8" s="90" t="s">
        <v>40</v>
      </c>
      <c r="B8" s="90"/>
      <c r="C8" s="90"/>
      <c r="D8" s="91" t="s">
        <v>41</v>
      </c>
      <c r="E8" s="91"/>
      <c r="F8" s="91"/>
      <c r="G8" s="91"/>
      <c r="H8" s="91"/>
      <c r="I8" s="91"/>
      <c r="J8" s="91"/>
      <c r="K8" s="91"/>
    </row>
    <row r="9" spans="1:11" ht="17.25" x14ac:dyDescent="0.25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5">
      <c r="A10" s="92" t="s">
        <v>42</v>
      </c>
      <c r="B10" s="93" t="s">
        <v>43</v>
      </c>
      <c r="C10" s="93" t="s">
        <v>44</v>
      </c>
      <c r="D10" s="93"/>
      <c r="E10" s="93"/>
      <c r="F10" s="93"/>
      <c r="G10" s="93"/>
      <c r="H10" s="93" t="s">
        <v>45</v>
      </c>
      <c r="I10" s="93" t="s">
        <v>46</v>
      </c>
      <c r="J10" s="93" t="s">
        <v>47</v>
      </c>
      <c r="K10" s="94" t="s">
        <v>48</v>
      </c>
    </row>
    <row r="11" spans="1:11" ht="24" customHeigh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1" ht="20.25" customHeight="1" thickBot="1" x14ac:dyDescent="0.3">
      <c r="A12" s="9">
        <v>1</v>
      </c>
      <c r="B12" s="10" t="str">
        <f>'Necesidades Trimestrales'!B9</f>
        <v>3.5.4-2065.1</v>
      </c>
      <c r="C12" s="89" t="str">
        <f>'Necesidades Trimestrales'!E9</f>
        <v>SEGURO DE RESPONSABILIDAD; DESCRIPCION: SEGURO DE RESPONSABILIDAD</v>
      </c>
      <c r="D12" s="89"/>
      <c r="E12" s="89"/>
      <c r="F12" s="89"/>
      <c r="G12" s="89"/>
      <c r="H12" s="9" t="s">
        <v>49</v>
      </c>
      <c r="I12" s="11" t="str">
        <f>'Necesidades Trimestrales'!F9</f>
        <v>UNIDAD</v>
      </c>
      <c r="J12" s="12">
        <f>'Necesidades Trimestrales'!H9</f>
        <v>129298.0084809406</v>
      </c>
      <c r="K12" s="13">
        <f>'Necesidades Trimestrales'!G9</f>
        <v>1</v>
      </c>
    </row>
    <row r="13" spans="1:11" ht="20.25" customHeight="1" thickBot="1" x14ac:dyDescent="0.3">
      <c r="A13" s="96" t="s">
        <v>50</v>
      </c>
      <c r="B13" s="97"/>
      <c r="C13" s="97"/>
      <c r="D13" s="95" t="s">
        <v>51</v>
      </c>
      <c r="E13" s="95"/>
      <c r="F13" s="95"/>
      <c r="G13" s="95"/>
      <c r="H13" s="14"/>
      <c r="I13" s="15"/>
      <c r="J13" s="88">
        <f>'Necesidades Trimestrales'!I9</f>
        <v>129298.0084809406</v>
      </c>
      <c r="K13" s="88"/>
    </row>
  </sheetData>
  <mergeCells count="24"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D13:G13"/>
    <mergeCell ref="A13:C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zoomScale="130" zoomScaleNormal="130" workbookViewId="0">
      <selection activeCell="N26" sqref="N26"/>
    </sheetView>
  </sheetViews>
  <sheetFormatPr baseColWidth="10" defaultColWidth="11" defaultRowHeight="13.5" x14ac:dyDescent="0.25"/>
  <cols>
    <col min="1" max="6" width="4.42578125" style="18" customWidth="1"/>
    <col min="7" max="7" width="4.42578125" style="19" customWidth="1"/>
    <col min="8" max="14" width="4.42578125" style="18" customWidth="1"/>
    <col min="15" max="16" width="14.85546875" style="18" customWidth="1"/>
    <col min="17" max="17" width="14.7109375" style="18" customWidth="1"/>
    <col min="18" max="16384" width="11" style="18"/>
  </cols>
  <sheetData>
    <row r="1" spans="1:17" ht="15.75" customHeight="1" x14ac:dyDescent="0.25">
      <c r="A1" s="102" t="s">
        <v>4</v>
      </c>
      <c r="B1" s="102"/>
      <c r="C1" s="102"/>
      <c r="D1" s="103">
        <f>'Necesidades Trimestrales'!C5</f>
        <v>2022</v>
      </c>
      <c r="E1" s="103"/>
      <c r="F1" s="16"/>
      <c r="G1" s="16"/>
      <c r="H1" s="17"/>
      <c r="I1" s="17"/>
      <c r="J1" s="17"/>
      <c r="K1" s="17"/>
      <c r="L1" s="17"/>
      <c r="M1" s="17"/>
      <c r="N1" s="17"/>
      <c r="P1" s="104" t="s">
        <v>52</v>
      </c>
      <c r="Q1" s="104"/>
    </row>
    <row r="2" spans="1:17" ht="15.75" customHeight="1" x14ac:dyDescent="0.25">
      <c r="H2" s="17"/>
      <c r="I2" s="17"/>
      <c r="J2" s="17"/>
      <c r="K2" s="17"/>
      <c r="L2" s="17"/>
      <c r="M2" s="17"/>
      <c r="N2" s="17"/>
      <c r="P2" s="104"/>
      <c r="Q2" s="104"/>
    </row>
    <row r="4" spans="1:17" ht="18" customHeight="1" thickBot="1" x14ac:dyDescent="0.35">
      <c r="A4" s="105" t="s">
        <v>53</v>
      </c>
      <c r="B4" s="105"/>
      <c r="C4" s="105"/>
      <c r="D4" s="105"/>
      <c r="E4" s="105"/>
      <c r="F4" s="105"/>
      <c r="G4" s="106" t="e">
        <f>' NotaPedido'!D3</f>
        <v>#REF!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ht="18" customHeight="1" thickBot="1" x14ac:dyDescent="0.35">
      <c r="A5" s="107" t="s">
        <v>34</v>
      </c>
      <c r="B5" s="108"/>
      <c r="C5" s="108"/>
      <c r="D5" s="108"/>
      <c r="E5" s="108"/>
      <c r="F5" s="109"/>
      <c r="G5" s="106" t="e">
        <f>' NotaPedido'!D4</f>
        <v>#REF!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ht="18" customHeight="1" thickBot="1" x14ac:dyDescent="0.35">
      <c r="A6" s="107" t="s">
        <v>35</v>
      </c>
      <c r="B6" s="108"/>
      <c r="C6" s="108"/>
      <c r="D6" s="108"/>
      <c r="E6" s="108"/>
      <c r="F6" s="109"/>
      <c r="G6" s="106" t="str">
        <f>' NotaPedido'!D5</f>
        <v>Jefatura de Policía de la Provincia de Catamarca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ht="18" customHeight="1" thickBot="1" x14ac:dyDescent="0.35">
      <c r="A7" s="107" t="s">
        <v>37</v>
      </c>
      <c r="B7" s="108"/>
      <c r="C7" s="108"/>
      <c r="D7" s="108"/>
      <c r="E7" s="108"/>
      <c r="F7" s="109"/>
      <c r="G7" s="106" t="str">
        <f>' NotaPedido'!D6</f>
        <v>Sección Control Patrimonial - Dpto. Logistica (D-4)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3">
      <c r="A8" s="110" t="s">
        <v>54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7" ht="18" customHeight="1" x14ac:dyDescent="0.3">
      <c r="A9" s="113" t="s">
        <v>55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20"/>
      <c r="P9" s="20"/>
      <c r="Q9" s="21"/>
    </row>
    <row r="10" spans="1:17" ht="54.75" customHeight="1" x14ac:dyDescent="0.25">
      <c r="A10" s="11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41/2020,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5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5">
      <c r="A12" s="115" t="s">
        <v>56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5">
      <c r="A13" s="116" t="s">
        <v>57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58</v>
      </c>
      <c r="P13" s="117"/>
      <c r="Q13" s="118" t="s">
        <v>59</v>
      </c>
    </row>
    <row r="14" spans="1:17" ht="15.75" customHeight="1" thickBot="1" x14ac:dyDescent="0.3">
      <c r="A14" s="26" t="s">
        <v>60</v>
      </c>
      <c r="B14" s="27" t="s">
        <v>61</v>
      </c>
      <c r="C14" s="27" t="s">
        <v>62</v>
      </c>
      <c r="D14" s="27" t="s">
        <v>63</v>
      </c>
      <c r="E14" s="27" t="s">
        <v>64</v>
      </c>
      <c r="F14" s="27" t="s">
        <v>65</v>
      </c>
      <c r="G14" s="28" t="s">
        <v>66</v>
      </c>
      <c r="H14" s="27" t="s">
        <v>67</v>
      </c>
      <c r="I14" s="27" t="s">
        <v>68</v>
      </c>
      <c r="J14" s="27" t="s">
        <v>69</v>
      </c>
      <c r="K14" s="27" t="s">
        <v>69</v>
      </c>
      <c r="L14" s="27" t="s">
        <v>70</v>
      </c>
      <c r="M14" s="29" t="s">
        <v>71</v>
      </c>
      <c r="N14" s="30" t="s">
        <v>72</v>
      </c>
      <c r="O14" s="117"/>
      <c r="P14" s="117"/>
      <c r="Q14" s="118"/>
    </row>
    <row r="15" spans="1:17" ht="17.25" customHeight="1" thickBot="1" x14ac:dyDescent="0.3">
      <c r="A15" s="31">
        <v>16</v>
      </c>
      <c r="B15" s="32">
        <v>0</v>
      </c>
      <c r="C15" s="32">
        <v>0</v>
      </c>
      <c r="D15" s="32">
        <v>1</v>
      </c>
      <c r="E15" s="32">
        <v>0</v>
      </c>
      <c r="F15" s="32">
        <v>10</v>
      </c>
      <c r="G15" s="32">
        <v>2</v>
      </c>
      <c r="H15" s="32">
        <v>1</v>
      </c>
      <c r="I15" s="32" t="str">
        <f>LEFT('Necesidades Trimestrales'!D9,1)</f>
        <v>3</v>
      </c>
      <c r="J15" s="32" t="str">
        <f>MID('Necesidades Trimestrales'!D9,3,1)</f>
        <v>5</v>
      </c>
      <c r="K15" s="32" t="str">
        <f>RIGHT('Necesidades Trimestrales'!D9,1)</f>
        <v>4</v>
      </c>
      <c r="L15" s="32">
        <v>0</v>
      </c>
      <c r="M15" s="33">
        <v>1</v>
      </c>
      <c r="N15" s="32" t="s">
        <v>73</v>
      </c>
      <c r="O15" s="111" t="s">
        <v>74</v>
      </c>
      <c r="P15" s="112"/>
      <c r="Q15" s="34">
        <f>'Necesidades Trimestrales'!I9</f>
        <v>129298.0084809406</v>
      </c>
    </row>
    <row r="16" spans="1:17" ht="17.25" customHeight="1" x14ac:dyDescent="0.25">
      <c r="A16" s="98" t="s">
        <v>75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00">
        <f>SUM(Q15)</f>
        <v>129298.0084809406</v>
      </c>
    </row>
    <row r="17" spans="1:17" ht="14.25" customHeight="1" thickBot="1" x14ac:dyDescent="0.3">
      <c r="A17" s="124" t="str">
        <f>' NotaPedido'!D13</f>
        <v>Un Millon Quinientos Diecisiete Mil Cientoo Noventa y Nuene con 57/100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01"/>
    </row>
    <row r="18" spans="1:17" ht="18" customHeight="1" thickBot="1" x14ac:dyDescent="0.3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</row>
    <row r="19" spans="1:17" ht="17.25" customHeight="1" thickBot="1" x14ac:dyDescent="0.3">
      <c r="A19" s="119" t="s">
        <v>76</v>
      </c>
      <c r="B19" s="120"/>
      <c r="C19" s="120"/>
      <c r="D19" s="120"/>
      <c r="E19" s="120"/>
      <c r="F19" s="121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</row>
    <row r="20" spans="1:17" ht="18" customHeight="1" thickBot="1" x14ac:dyDescent="0.3">
      <c r="A20" s="123" t="s">
        <v>77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</row>
    <row r="21" spans="1:17" ht="15" customHeight="1" x14ac:dyDescent="0.25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</row>
  </sheetData>
  <mergeCells count="26">
    <mergeCell ref="A19:F19"/>
    <mergeCell ref="G19:Q19"/>
    <mergeCell ref="A20:Q21"/>
    <mergeCell ref="A17:P17"/>
    <mergeCell ref="A18:Q18"/>
    <mergeCell ref="A10:Q10"/>
    <mergeCell ref="A12:Q12"/>
    <mergeCell ref="A13:N13"/>
    <mergeCell ref="O13:P14"/>
    <mergeCell ref="Q13:Q14"/>
    <mergeCell ref="A16:P16"/>
    <mergeCell ref="Q16:Q17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9:N9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Armeria</dc:creator>
  <cp:lastModifiedBy>ELIAS QUINTAR</cp:lastModifiedBy>
  <cp:revision>2</cp:revision>
  <dcterms:created xsi:type="dcterms:W3CDTF">2020-07-17T23:44:49Z</dcterms:created>
  <dcterms:modified xsi:type="dcterms:W3CDTF">2022-03-25T14:02:59Z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