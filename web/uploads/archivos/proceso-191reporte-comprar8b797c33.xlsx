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UDIA V. NICOLA\Downloads\"/>
    </mc:Choice>
  </mc:AlternateContent>
  <bookViews>
    <workbookView xWindow="0" yWindow="0" windowWidth="28800" windowHeight="11610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comparativo'!$W$8:$Z$8,'Cuadro comparativo'!$AA$8:$AD$8,'Cuadro comparativo'!$AE$8:$AH$8</definedName>
    <definedName name="Titles">'Cuadro comparativo'!$A$8:$F$8</definedName>
  </definedNames>
  <calcPr calcId="162913"/>
</workbook>
</file>

<file path=xl/calcChain.xml><?xml version="1.0" encoding="utf-8"?>
<calcChain xmlns="http://schemas.openxmlformats.org/spreadsheetml/2006/main">
  <c r="I99" i="2" l="1"/>
  <c r="M99" i="2"/>
  <c r="Q99" i="2"/>
  <c r="U99" i="2"/>
  <c r="Y99" i="2"/>
  <c r="AC99" i="2"/>
  <c r="AG99" i="2"/>
</calcChain>
</file>

<file path=xl/sharedStrings.xml><?xml version="1.0" encoding="utf-8"?>
<sst xmlns="http://schemas.openxmlformats.org/spreadsheetml/2006/main" count="673" uniqueCount="461">
  <si>
    <t>Número expediente:</t>
  </si>
  <si>
    <t>EX-2022-01605516-   -CAT-DPCBS#MEC</t>
  </si>
  <si>
    <t>Número proceso de compra:</t>
  </si>
  <si>
    <t>100-0061-CPR22</t>
  </si>
  <si>
    <t>Nombre descriptivo proceso de compra:</t>
  </si>
  <si>
    <t>ADQUISICIÓN DE DESCARTABLES COMPLEJOS DESTINADOS A LOS DISTINTOS ORGANISMOS DE SALUD</t>
  </si>
  <si>
    <t>Unidad Operativa de Compras:</t>
  </si>
  <si>
    <t>Secretaria de Compras y Abastecimiento</t>
  </si>
  <si>
    <t>Fecha de Apertura:</t>
  </si>
  <si>
    <t>14/09/2022</t>
  </si>
  <si>
    <t>Renglón</t>
  </si>
  <si>
    <t>MAURICIO MOSSE</t>
  </si>
  <si>
    <t>ANA GABRIELA CORDOBA</t>
  </si>
  <si>
    <t>Euro Swiss SA</t>
  </si>
  <si>
    <t>PRODUMED SRL</t>
  </si>
  <si>
    <t>ELIO OMAR CANDUSSI</t>
  </si>
  <si>
    <t>DROGUERIA PHARMA CENTER S.R.L</t>
  </si>
  <si>
    <t>NATIVA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</si>
  <si>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</si>
  <si>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</si>
  <si>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</si>
  <si>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</si>
  <si>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</si>
  <si>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</si>
  <si>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</si>
  <si>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</si>
  <si>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</si>
  <si>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</si>
  <si>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2.9.5-3020.3 </t>
  </si>
  <si>
    <t xml:space="preserve">BOLSAS P/COLOSTOMIA; TIPO: DESCARTABLE ADHESIVA P/ ADULTOS, DIAMETRO DE ARO: 
SIN ARO </t>
  </si>
  <si>
    <t xml:space="preserve">UNIDAD </t>
  </si>
  <si>
    <t xml:space="preserve">BOLSA DE COLOSTOMIA 1 PIEZA, CERRADA, OPACA, RECORTABLE, FILTRO DE 
CARBON, BARRERA STOMAHESIVE - 20-70 MM - CONVATEC (LÍNEA ESTEEM) 
- ANMAT:PM 2391-1 </t>
  </si>
  <si>
    <t xml:space="preserve">BOLSAS P/COLOSTOMIA; TIPO: DESCARTABLE ADHESIVA P/ ADULTOS, DIAMETRO DE ARO: 
SIN ARO BRAUN  PM 669-229 </t>
  </si>
  <si>
    <t xml:space="preserve">Bolsa de colost rec 10-70mm, transparente  Euromix EURO SWISS 
SA 1440-149  </t>
  </si>
  <si>
    <t xml:space="preserve">BOLSA COLOSTOM REC 10-70 MM TRANSPARENTE MARCA EUROMIX ANMAT 1440-149 
</t>
  </si>
  <si>
    <t xml:space="preserve">BOLSA CERR.TRA.REC. 10-70 MM COLOPLAST- COD 5687  </t>
  </si>
  <si>
    <t xml:space="preserve">2 </t>
  </si>
  <si>
    <t xml:space="preserve">2.9.5-3020.8 </t>
  </si>
  <si>
    <t xml:space="preserve">BOLSAS P/COLOSTOMIA; TIPO: DESCARTABLE ADHESIVA PEDIATRICA, DIAMETRO: REGULABLE </t>
  </si>
  <si>
    <t xml:space="preserve">BOLSA DE COLOSTOMIA Para niños de + de 4,5 Kg 
Drenable c/Barrera Protectora Recortable - 8/50 MM Transparente - ACTIVE 
LIFE (Convatec) - Anmat:PM 2391-1 </t>
  </si>
  <si>
    <t xml:space="preserve">BOLSA ILEOSTOMIA REC 10-35 MM MARCA COLOPLAST COD 8002 ANMAT 
710-02 </t>
  </si>
  <si>
    <t xml:space="preserve">BOL P/COL. PEDIAT.AB.TR.REC.COLOPLAST - COD 8002  </t>
  </si>
  <si>
    <t xml:space="preserve">3 </t>
  </si>
  <si>
    <t xml:space="preserve">2.9.5-4198.93 </t>
  </si>
  <si>
    <t xml:space="preserve">ELEMENTOS DESC. P/CIRUGIAS; TIPO: CAMPO QUIRURGICO 60 X 45 Cm, 
PRESENTACION: UNIDAD </t>
  </si>
  <si>
    <t xml:space="preserve">MARCA SURGICAL ANMAT 1833-1 </t>
  </si>
  <si>
    <t xml:space="preserve">"Steri Drape 45x60 cm (x 10 u) 1050 Surgical Drape 
1050"  </t>
  </si>
  <si>
    <t xml:space="preserve">4 </t>
  </si>
  <si>
    <t xml:space="preserve">2.9.5-2161.473 </t>
  </si>
  <si>
    <t xml:space="preserve">CATETERES/SONDAS; NUMERO: 7 FR X 26 CM, TIPO: DOBLE J 
COOK </t>
  </si>
  <si>
    <t xml:space="preserve">MARCA COOK ANMAT 696-597 </t>
  </si>
  <si>
    <t xml:space="preserve">CATETERES/SONDAS; NUMERO: 7 FR X 26 CM, DOBLE J COOK 
</t>
  </si>
  <si>
    <t xml:space="preserve">5 </t>
  </si>
  <si>
    <t xml:space="preserve">2.9.5-2161.587 </t>
  </si>
  <si>
    <t xml:space="preserve">CATETERES/SONDAS; NUMERO: 2,0 FR X 15 CM, TIPO: EPICUTANEO PEDIATRICO 
</t>
  </si>
  <si>
    <t xml:space="preserve">SILMAG COD 540-15 ANMAT 2142-113 </t>
  </si>
  <si>
    <t xml:space="preserve">CATETERES/SONDAS; NUMERO: 2,0 FR X 15 CM, TIPO: EPICUTANEO PEDIATRICO 
SILMAG </t>
  </si>
  <si>
    <t xml:space="preserve">540-15 </t>
  </si>
  <si>
    <t xml:space="preserve">6 </t>
  </si>
  <si>
    <t xml:space="preserve">2.9.5-2161.588 </t>
  </si>
  <si>
    <t xml:space="preserve">CATETERES/SONDAS; NUMERO: 2,0 FR X 30 CM, TIPO: EPICUTANEO PEDIATRICO 
</t>
  </si>
  <si>
    <t xml:space="preserve">SILMAG COD 540-30 ANMAT 2142-113 </t>
  </si>
  <si>
    <t xml:space="preserve">CATETERES/SONDAS; NUMERO: 2,0 FR X 30 CM, TIPO: EPICUTANEO PEDIATRICO 
SILMAG </t>
  </si>
  <si>
    <t xml:space="preserve">540-30 </t>
  </si>
  <si>
    <t xml:space="preserve">7 </t>
  </si>
  <si>
    <t xml:space="preserve">2.9.5-2161.589 </t>
  </si>
  <si>
    <t xml:space="preserve">CATETERES/SONDAS; NUMERO: 1,8 FR X 15 CM , TIPO: EPICUTANEO 
PREMATURO </t>
  </si>
  <si>
    <t xml:space="preserve">SILMAG COD 541-15 ANMAT 2142-113 </t>
  </si>
  <si>
    <t xml:space="preserve">CATETERES/SONDAS; NUMERO: 1,8 FR X 15 CM , TIPO: EPICUTANEO 
PREMATURO SILMAG </t>
  </si>
  <si>
    <t xml:space="preserve">541-30 </t>
  </si>
  <si>
    <t xml:space="preserve">8 </t>
  </si>
  <si>
    <t xml:space="preserve">2.9.5-2161.391 </t>
  </si>
  <si>
    <t xml:space="preserve">CATETERES/SONDAS; NUMERO: 1,8 FR X 30 CM , TIPO: EPICUTANEO 
PREMATURO </t>
  </si>
  <si>
    <t xml:space="preserve">SILMAG COD 541-30 ANMAT 2142-113 </t>
  </si>
  <si>
    <t xml:space="preserve">CATETERES/SONDAS; NUMERO: 1,8 FR X 30 CM , TIPO: EPICUTANEO 
PREMATURO SILMAG </t>
  </si>
  <si>
    <t xml:space="preserve">541-15 </t>
  </si>
  <si>
    <t xml:space="preserve">9 </t>
  </si>
  <si>
    <t xml:space="preserve">2.9.5-2161.594 </t>
  </si>
  <si>
    <t xml:space="preserve">CATETERES/SONDAS NUMERO 2 FR X 30 CM TIPO PICC PERCUTANEO 
CON INTRODUCTOR PELABLE </t>
  </si>
  <si>
    <t xml:space="preserve">SILMAG COD 650-02-30-S ANMAT 39-592 </t>
  </si>
  <si>
    <t xml:space="preserve">650-02-30-S </t>
  </si>
  <si>
    <t xml:space="preserve">10 </t>
  </si>
  <si>
    <t xml:space="preserve">2.9.5-2161.595 </t>
  </si>
  <si>
    <t xml:space="preserve">CATETERES/SONDAS NUMERO 3 FR X 50 CM TIPO PICC PERCUTANEO 
CON INTRODUCTOR PELABLE </t>
  </si>
  <si>
    <t xml:space="preserve">SILMAG COD 650-03-50-S ANMAT 39-592 </t>
  </si>
  <si>
    <t xml:space="preserve">650-03-50-S </t>
  </si>
  <si>
    <t xml:space="preserve">11 </t>
  </si>
  <si>
    <t xml:space="preserve">2.9.5-2161.567 </t>
  </si>
  <si>
    <t xml:space="preserve">CATETERES/SONDAS; NUMERO: 4 FR X 65 CM, TIPO: PICC PERCUTANEO 
CON INTRODUCTOR PELABLE </t>
  </si>
  <si>
    <t xml:space="preserve">SILMAG COD 650-04-65-S ANMAT 39-592 </t>
  </si>
  <si>
    <t xml:space="preserve">650-04-65-S </t>
  </si>
  <si>
    <t xml:space="preserve">12 </t>
  </si>
  <si>
    <t xml:space="preserve">2.9.5-2161.83 </t>
  </si>
  <si>
    <t xml:space="preserve">CATETERES/SONDAS; NUMERO: 2,5, TIPO: UMBILICAL ARTERIAL, PRESENTACION: UNIDAD </t>
  </si>
  <si>
    <t xml:space="preserve">SILMAG COD 544-25 ANMAT 39-592 </t>
  </si>
  <si>
    <t xml:space="preserve">CATETERES/SONDAS; NUMERO: 2,5, TIPO: UMBILICAL ARTERIAL, PRESENTACION: UNIDAD SILMAG </t>
  </si>
  <si>
    <t xml:space="preserve">544-25 </t>
  </si>
  <si>
    <t xml:space="preserve">13 </t>
  </si>
  <si>
    <t xml:space="preserve">2.9.5-2161.569 </t>
  </si>
  <si>
    <t xml:space="preserve">CATETERES/SONDAS; NUMERO: 3 FR, TIPO: UMBILICAL ARTERIAL, PRESENTACION: UNIDAD </t>
  </si>
  <si>
    <t xml:space="preserve">CATETERES/SONDAS; NUMERO: 3 FR, TIPO: UMBILICAL ARTERIAL, PRESENTACION: UNIDAD SILMAG 
</t>
  </si>
  <si>
    <t xml:space="preserve">14 </t>
  </si>
  <si>
    <t xml:space="preserve">2.9.5-2161.82 </t>
  </si>
  <si>
    <t xml:space="preserve">CATETERES/SONDAS; NUMERO: 3,5, TIPO: UMBILICAL ARTERIAL, PRESENTACION: UNIDAD </t>
  </si>
  <si>
    <t xml:space="preserve">SILMAG COD 544-35 ANMAT 39-592 </t>
  </si>
  <si>
    <t xml:space="preserve">CATETERES/SONDAS; NUMERO: 3,5, TIPO: UMBILICAL ARTERIAL, PRESENTACION: UNIDAD SILMAG </t>
  </si>
  <si>
    <t xml:space="preserve">544-35 </t>
  </si>
  <si>
    <t xml:space="preserve">15 </t>
  </si>
  <si>
    <t xml:space="preserve">2.9.5-2161.571 </t>
  </si>
  <si>
    <t xml:space="preserve">CATETERES/SONDAS; NUMERO: 3,5 FR, TIPO: UMBILICAL VENOSO, PRESENTACION: UNIDAD </t>
  </si>
  <si>
    <t xml:space="preserve">SILMAG COD 543-35 ANMAT 39-592 </t>
  </si>
  <si>
    <t xml:space="preserve">CATETERES/SONDAS; NUMERO: 3,5 FR, TIPO: UMBILICAL VENOSO, PRESENTACION: UNIDAD SILMAG 
</t>
  </si>
  <si>
    <t xml:space="preserve">543-35 </t>
  </si>
  <si>
    <t xml:space="preserve">16 </t>
  </si>
  <si>
    <t xml:space="preserve">2.9.5-2161.572 </t>
  </si>
  <si>
    <t xml:space="preserve">CATETERES/SONDAS; NUMERO: 4 FR, TIPO: UMBILICAL VENOSO, PRESENTACION: UNIDAD </t>
  </si>
  <si>
    <t xml:space="preserve">SILMAG COD 543-40 ANMAT 39-592 </t>
  </si>
  <si>
    <t xml:space="preserve">CATETERES/SONDAS; NUMERO: 4 FR, TIPO: UMBILICAL VENOSO, PRESENTACION: UNIDAD SILMAG 
</t>
  </si>
  <si>
    <t xml:space="preserve">543-40 </t>
  </si>
  <si>
    <t xml:space="preserve">17 </t>
  </si>
  <si>
    <t xml:space="preserve">2.9.5-2161.574 </t>
  </si>
  <si>
    <t xml:space="preserve">CATETERES/SONDAS; NUMERO: 2,5 FR, TIPO: UMBILICAL VENOSO, PRESENTACION: UNIDAD </t>
  </si>
  <si>
    <t xml:space="preserve">SILMAG COD 543-25 ANMAT 39-592 </t>
  </si>
  <si>
    <t xml:space="preserve">CATETERES/SONDAS; NUMERO: 2,5 FR, TIPO: UMBILICAL VENOSO, PRESENTACION: UNIDAD SILMAG 
</t>
  </si>
  <si>
    <t xml:space="preserve">543-25 </t>
  </si>
  <si>
    <t xml:space="preserve">18 </t>
  </si>
  <si>
    <t xml:space="preserve">2.9.5-8436.8 </t>
  </si>
  <si>
    <t xml:space="preserve">FILTROS DE DESLUOCOTIZACION; USO: NEONATAL PEDIATRICO, CAPACIDAD DE FILTRADO: 1 
UNIDAD DE GLOBULOS ROJOS, CAPACIDAD DEL FILTRO: LOGARITMO 4 </t>
  </si>
  <si>
    <t xml:space="preserve">FILTRO DE LEUCORREDUCCION FTS-RC202 - GLOBULOS ROJOS - SIMPLE. BOLSA 
- WEIGAO. ANMAT PM 2106-7  </t>
  </si>
  <si>
    <t xml:space="preserve">FILTRO BIOR 01 PEDIATRICO PF AR041111 FRESENIUS KABI ANMAT 648-87 
 </t>
  </si>
  <si>
    <t xml:space="preserve">FILTROS DE DESLUOCOTIZACION; USO: NEONATAL PEDIATRICO, CAPACIDAD DE FILTRADO: 1 
UNIDAD DE GLOBULOS ROJOS, CAPACIDAD DEL FILTRO: LOGARITMO 4 DEMOTEK/WEIGAO 
</t>
  </si>
  <si>
    <t xml:space="preserve">19 </t>
  </si>
  <si>
    <t xml:space="preserve">2.9.5-6286.5 </t>
  </si>
  <si>
    <t xml:space="preserve">HEMOSTATICOS ABSORBIBLES; TIPO: SURGIEL, MEDIDA: 5 X 7,5 Cm, PRESENTACION: 
UNIDAD </t>
  </si>
  <si>
    <t xml:space="preserve">Hemost de celulosa  -gasa oxidada- 50x75mm CURATAMP EURO SWISS 
SA 1440-47  </t>
  </si>
  <si>
    <t xml:space="preserve">HEMOSTATICOS ABSORBIBLES; TIPO: SURGIEL, MEDIDA: 5 X 7,5 Cm, PRESENTACION: 
UNIDAD EQUIMEDICAL </t>
  </si>
  <si>
    <t xml:space="preserve">20 </t>
  </si>
  <si>
    <t xml:space="preserve">2.9.5-6700.2 </t>
  </si>
  <si>
    <t xml:space="preserve">TROCAR DE PUNCION; USO: PUNCION TORAXICO, TIPO: N°8, CAMISA: SIN 
</t>
  </si>
  <si>
    <t xml:space="preserve">ARGYLE ANMAR 2220-60 </t>
  </si>
  <si>
    <t xml:space="preserve">TRONCAR TORACICO C/CAT 8FG  POLYMED </t>
  </si>
  <si>
    <t xml:space="preserve">21 </t>
  </si>
  <si>
    <t xml:space="preserve">2.9.5-9265.3 </t>
  </si>
  <si>
    <t xml:space="preserve">BOLSAS P/HEMOTERAPIA; TIPO: TRIPLE P/ EXTRACCION DE SANGRE, CAPACIDAD: 450 
mL, ACCESORIO: GUIA + AGUJA </t>
  </si>
  <si>
    <t xml:space="preserve">BOLSA DE SANGRE CPD + SAG-M CON DERIVACION - TRIPLE 
- 450 ML - WEIGAO. ANMAT PM 2106-24 </t>
  </si>
  <si>
    <t xml:space="preserve">BOLSAS P/HEMOTERAPIA; TIPO: TRIPLE P/ EXTRACCION DE SANGRE, CAPACIDAD: 450 
mL, ACCESORIO: GUIA + AGUJA DEMOTEK </t>
  </si>
  <si>
    <t xml:space="preserve">22 </t>
  </si>
  <si>
    <t xml:space="preserve">2.9.5-2694.24 </t>
  </si>
  <si>
    <t xml:space="preserve">BOLSAS P/TRANSFUSIONES SANGRE; CAPACIDAD: 400 mL, SOLUCIONES: SIN, TIPO: TRANSFERENCIA 
</t>
  </si>
  <si>
    <t xml:space="preserve">BOLSA DE TRANSFERENCIA - 400 ML - WEIGAO. ANMAT PM 
2106-24 </t>
  </si>
  <si>
    <t xml:space="preserve">BOLSAS P/TRANSFUSIONES SANGRE; CAPACIDAD: 400 mL, SOLUCIONES: SIN, TIPO: TRANSFERENCIA 
DEMOTEK </t>
  </si>
  <si>
    <t xml:space="preserve">23 </t>
  </si>
  <si>
    <t xml:space="preserve">2.9.5-7900.10 </t>
  </si>
  <si>
    <t xml:space="preserve">BOLSAS P/ILEOSTOMIA; MATERIAL: PLASTICO DESCARTABLE, MEDIDA: SIN VALOR </t>
  </si>
  <si>
    <t xml:space="preserve">BOLSA DE COLOSTOMIA Drenable, c/barrera protectora. Recortable/Cambios frecuentes - 19-64 
mm Transparente - ACTIVE LIFE (Convatec) </t>
  </si>
  <si>
    <t xml:space="preserve">COLOPLAST COD 5985 ANMAT 710-02 </t>
  </si>
  <si>
    <t xml:space="preserve">"BOLSA DRE. TRA. REC. 10-70 MM COLOPLAST COD 5985"  
</t>
  </si>
  <si>
    <t xml:space="preserve">24 </t>
  </si>
  <si>
    <t xml:space="preserve">2.9.5-8220.15 </t>
  </si>
  <si>
    <t xml:space="preserve">CANASTILLAS DE DORMIA; TIPO: HELICOIDAL, DIMENSION: 2.8 MM, USO: P/EXTRACCION 
DE CALCULOS </t>
  </si>
  <si>
    <t xml:space="preserve">MARFLOW ANMAT 2024-17 </t>
  </si>
  <si>
    <t xml:space="preserve">25 </t>
  </si>
  <si>
    <t xml:space="preserve">2.9.5-2161.586 </t>
  </si>
  <si>
    <t xml:space="preserve">CATETERES/SONDAS; NUMERO: 4,7 FR X 26 CM, TIPO: DOBLE J 
COOK </t>
  </si>
  <si>
    <t xml:space="preserve">COOK ANMAT 696-597 </t>
  </si>
  <si>
    <t xml:space="preserve">CATETERES/SONDAS; NUMERO: 4,7 FR X 26 CM, DOBLE J COOK 
</t>
  </si>
  <si>
    <t xml:space="preserve">26 </t>
  </si>
  <si>
    <t xml:space="preserve">2.9.5-2161.147 </t>
  </si>
  <si>
    <t xml:space="preserve">CATETERES/SONDAS; NUMERO: 3, TIPO: FOGARTY </t>
  </si>
  <si>
    <t xml:space="preserve">Cateter embolectomia (Fogarty)  3fr 80cm HAGMED EURO SWISS SA 
1440-119  </t>
  </si>
  <si>
    <t xml:space="preserve">FOGARTY 80 CM MARCA HAGMED ANMAT 1440-119 </t>
  </si>
  <si>
    <t xml:space="preserve">Cateter embolectomia (Fogarty) 3fr 80cm HAGMED  </t>
  </si>
  <si>
    <t xml:space="preserve">CATETERES/SONDAS; NUMERO: 3, TIPO: FOGARTY BALTON/HANGMED </t>
  </si>
  <si>
    <t xml:space="preserve">27 </t>
  </si>
  <si>
    <t xml:space="preserve">2.9.5-2161.519 </t>
  </si>
  <si>
    <t xml:space="preserve">CATETERES/SONDAS; NUMERO: 4 , TIPO: FOGARTY </t>
  </si>
  <si>
    <t xml:space="preserve">Cateter embolectomia (Fogarty)  4fr 80cm HAGMED EURO SWISS SA 
1440-119  </t>
  </si>
  <si>
    <t xml:space="preserve">Cateter embolectomia (Fogarty) 4fr 80cm HAGMED  </t>
  </si>
  <si>
    <t xml:space="preserve">CATETERES/SONDAS; NUMERO: 4 , TIPO: FOGARTY BALTON/HANGMED </t>
  </si>
  <si>
    <t xml:space="preserve">28 </t>
  </si>
  <si>
    <t xml:space="preserve">2.9.5-2161.148 </t>
  </si>
  <si>
    <t xml:space="preserve">CATETERES/SONDAS; NUMERO: 5, TIPO: FOGARTY </t>
  </si>
  <si>
    <t xml:space="preserve">Cateter embolectomia (Fogarty)  5fr 80cm HAGMED  EURO SWISS 
SA 1440-119  </t>
  </si>
  <si>
    <t xml:space="preserve">TIPO FOGARTY 80 CM MARCA HAGMED ANMAT 1440-119 </t>
  </si>
  <si>
    <t xml:space="preserve">Cateter embolectomia (Fogarty) 5fr 80cm HAGMED  </t>
  </si>
  <si>
    <t xml:space="preserve">CATETERES/SONDAS; NUMERO: 5, TIPO: FOGARTY BALTON/HANGMED </t>
  </si>
  <si>
    <t xml:space="preserve">29 </t>
  </si>
  <si>
    <t xml:space="preserve">2.9.5-2161.358 </t>
  </si>
  <si>
    <t xml:space="preserve">CATETERES/SONDAS; NUMERO: 12 FR X 20 CM , TIPO: DOBLE 
LUMEN HEMODIALISIS SUBCLAVIA </t>
  </si>
  <si>
    <t xml:space="preserve">CATETERES/SONDAS; NUMERO: 12 FR X 20 CM , TIPO: DOBLE 
LUMEN HEMODIALISIS SUBCLAVIA ARROW   PM 921-176 DISP 1085 
</t>
  </si>
  <si>
    <t xml:space="preserve">MARCA KFF ANMAT 1594-31 </t>
  </si>
  <si>
    <t xml:space="preserve">CATETERES/SONDAS; NUMERO: 12 FR X 20 CM , TIPO: DOBLE 
LUMEN HEMODIALISIS SUBCLAVIA MEDICAL TECHNOLOGY/BAHIE </t>
  </si>
  <si>
    <t xml:space="preserve">30 </t>
  </si>
  <si>
    <t xml:space="preserve">2.9.5-2161.568 </t>
  </si>
  <si>
    <t xml:space="preserve">CATETERES/SONDAS; NUMERO: SEGÚN PLIEGO, TIPO: PERMANENTE PORT-A- CATH </t>
  </si>
  <si>
    <t xml:space="preserve">CATETERES/SONDAS; NUMERO: SEGÚN PLIEGO, TIPO: PERMANENTE PORT-A- CATH VORTEX </t>
  </si>
  <si>
    <t xml:space="preserve">31 </t>
  </si>
  <si>
    <t xml:space="preserve">2.9.5-5294.5 </t>
  </si>
  <si>
    <t xml:space="preserve">CERAS P/HUESOS; USO: HEMOSTASIA, PRESENTACION: UNIDAD ESTERIL DE 2,5 GR 
</t>
  </si>
  <si>
    <t xml:space="preserve">MARCA COVIDIEN ANMAT 2142-175 </t>
  </si>
  <si>
    <t xml:space="preserve">Cera para huesos CO1000 PolySuture  </t>
  </si>
  <si>
    <t xml:space="preserve">CERAS P/HUESOS; USO: HEMOSTASIA, PRESENTACION: UNIDAD ESTERIL DE 2,5 GR 
COVIDIEN </t>
  </si>
  <si>
    <t xml:space="preserve">32 </t>
  </si>
  <si>
    <t xml:space="preserve">2.9.5-6379.9 </t>
  </si>
  <si>
    <t xml:space="preserve">CLAVIJAS DE CIRUGÍA; TIPO: STEIMANN; DIÁMETRO: 3,5 MM; MATERIAL: ACERO 
INOXIDABLE; PRESENTACIÓN: UNIDAD </t>
  </si>
  <si>
    <t xml:space="preserve">33 </t>
  </si>
  <si>
    <t xml:space="preserve">2.9.5-6379.7 </t>
  </si>
  <si>
    <t xml:space="preserve">CLAVIJAS DE CIRUGIA; TIPO: STEIMANN, MATERIAL: ACERO INOXIDABLE, DIAMETRO: 4 
mm, PRESENTACION: UNIDAD </t>
  </si>
  <si>
    <t xml:space="preserve">34 </t>
  </si>
  <si>
    <t xml:space="preserve">2.9.5-6286.11 </t>
  </si>
  <si>
    <t xml:space="preserve">HEMOSTATICOS ABSORBIBLES; TIPO: TOPICO, MEDIDA: 5 X 7,5 Cm, PRESENTACION: 
UNIDAD </t>
  </si>
  <si>
    <t xml:space="preserve">Hemost de  gelatina -esponja- 80x50x10mm CURASPON EURO SWISS SA 
1440-41  </t>
  </si>
  <si>
    <t xml:space="preserve">HEMOGELITA STANDARD 8 X 5 CM MARCA TAGUM ANMAT 1231-12 
</t>
  </si>
  <si>
    <t xml:space="preserve">HEMOSTATICOS ABSORBIBLES; TIPO: TOPICO, MEDIDA: 5 X 7,5 Cm, PRESENTACION: 
UNIDAD SURGICEL </t>
  </si>
  <si>
    <t xml:space="preserve">35 </t>
  </si>
  <si>
    <t xml:space="preserve">2.9.5-448.45 </t>
  </si>
  <si>
    <t xml:space="preserve">FRASCOS ESTERILES; CAPACIDAD: 2500 mL, PRESENTACION: UNIDAD, GRABADO: SIN, USO: 
DRENAJE </t>
  </si>
  <si>
    <t xml:space="preserve">Frasco bitubulado est x 2500cc PLASTIMED  </t>
  </si>
  <si>
    <t xml:space="preserve">36 </t>
  </si>
  <si>
    <t xml:space="preserve">2.9.5-6509.23 </t>
  </si>
  <si>
    <t xml:space="preserve">SET DE TUBULADURA; USO: P/EQUIPO DE HEMODIALISIS, PRESENTACION: UNIDAD, TIPO: 
ARTERIAL </t>
  </si>
  <si>
    <t xml:space="preserve">LINEA DE SANGRE DESECHABLE ARTERIAL - MODELO FB-A002V01 -  
- MEDICAL DEVICES. ANMAT PM 2106-26 </t>
  </si>
  <si>
    <t xml:space="preserve">MARCA NIPRO COD A 315 ANMAT 877-24 </t>
  </si>
  <si>
    <t xml:space="preserve">SET DE TUBULADURA; USO: P/EQUIPO DE HEMODIALISIS, PRESENTACION: UNIDAD, TIPO: 
ARTERIAL NIPRO </t>
  </si>
  <si>
    <t xml:space="preserve">37 </t>
  </si>
  <si>
    <t xml:space="preserve">2.9.5-6509.17 </t>
  </si>
  <si>
    <t xml:space="preserve">SET DE TUBULADURA; USO: P/EQUIPO DE HEMODIALISIS, PRESENTACION: UNIDAD, TIPO: 
VENOSA </t>
  </si>
  <si>
    <t xml:space="preserve">LINEA DE SANGRE DESECHABLE VENOSA - MODELO FB-A002V01 -  
- MEDICAL DEVICES. ANMAT PM 2106-26 </t>
  </si>
  <si>
    <t xml:space="preserve">MARCA NIPRO COD V703 ANMAT 877-24 </t>
  </si>
  <si>
    <t xml:space="preserve">SET DE TUBULADURA; USO: P/EQUIPO DE HEMODIALISIS, PRESENTACION: UNIDAD, TIPO: 
VENOSA NIPRO </t>
  </si>
  <si>
    <t xml:space="preserve">38 </t>
  </si>
  <si>
    <t xml:space="preserve">2.9.5-7517.6 </t>
  </si>
  <si>
    <t xml:space="preserve">MALLAS P/EVENTRACCIÓN; MEDIDA: 30 X 30 CM; TIPO: VICRYL; MATERIAL: 
POLIGLACTINA; USO: CIRUGÍA </t>
  </si>
  <si>
    <t xml:space="preserve">MALLAS P/EVENTRACCIÓN; MEDIDA: 30 X 30 CM; TIPO: VICRYL; MATERIAL: 
POLIGLACTINA; USO: CIRUGÍA BBRAUN </t>
  </si>
  <si>
    <t xml:space="preserve">39 </t>
  </si>
  <si>
    <t xml:space="preserve">2.9.5-2161.564 </t>
  </si>
  <si>
    <t xml:space="preserve">CATÉTERES/SONDAS; NÚMERO: 16 FRENCH; TIPO: SET  MALECOT P/NEFROSTOMÍA COOK 
</t>
  </si>
  <si>
    <t xml:space="preserve">MARCA COOK ANMAT 696-724 </t>
  </si>
  <si>
    <t xml:space="preserve">Cateter malecot 16fr (pezzer) WELL LEAD  </t>
  </si>
  <si>
    <t xml:space="preserve">CATÉTERES/SONDAS; NÚMERO: 16 FRENCH; SET MALECOT P/NEFROSTOMÍA COOK </t>
  </si>
  <si>
    <t xml:space="preserve">40 </t>
  </si>
  <si>
    <t xml:space="preserve">2.9.5-2161.159 </t>
  </si>
  <si>
    <t xml:space="preserve">CATETERES/SONDAS; NUMERO: K108, TIPO: ALIMENTACION ENTERAL </t>
  </si>
  <si>
    <t xml:space="preserve">MARCA RIVERO ANMAT NO LLEVA PM </t>
  </si>
  <si>
    <t xml:space="preserve">Sonda t/K108 PVC est p/nut enteral TOMFAC-FIRTS  </t>
  </si>
  <si>
    <t xml:space="preserve">CATETERES/SONDAS; NUMERO: K108, TIPO: ALIMENTACION ENTERAL RIVERO </t>
  </si>
  <si>
    <t xml:space="preserve">41 </t>
  </si>
  <si>
    <t xml:space="preserve">2.9.5-3020.18 </t>
  </si>
  <si>
    <t xml:space="preserve">BOLSAS P/COLOSTOMIA; TIPO: NEONATAL, DIAMETRO: REGULABLE </t>
  </si>
  <si>
    <t xml:space="preserve">COD 18711 - BOLSA SENSURA MIO KIDS 1 PIEZA Ab.Trsp.Pediat 
 </t>
  </si>
  <si>
    <t xml:space="preserve">42 </t>
  </si>
  <si>
    <t xml:space="preserve">2.9.5-2161.556 </t>
  </si>
  <si>
    <t xml:space="preserve">CATETERES/SONDAS; NUMERO: SIN DATOS, TIPO: DOBLE P/LAVADO BRONCO ALVEOLAR P/DIAGNOSTICO 
NEUMONIA </t>
  </si>
  <si>
    <t xml:space="preserve">CATETERES/SONDAS; NUMERO: SIN DATOS, TIPO: DOBLE P/LAVADO BRONCO ALVEOLAR P/DIAGNOSTICO 
NEUMONIA PLASTIMED </t>
  </si>
  <si>
    <t xml:space="preserve">43 </t>
  </si>
  <si>
    <t xml:space="preserve">2.9.5-2161.590 </t>
  </si>
  <si>
    <t xml:space="preserve">CATETERES/SONDAS; NUMERO: 9 FR X 15 CM TIPO DOBLE LUMEN 
HEMODIALISIS </t>
  </si>
  <si>
    <t xml:space="preserve">CATETERES/SONDAS; NUMERO: 9 FR X 15 CM TIPO DOBLE LUMEN 
HEMODIALISIS MAHURKAR </t>
  </si>
  <si>
    <t xml:space="preserve">44 </t>
  </si>
  <si>
    <t xml:space="preserve">2.9.5-6379.1 </t>
  </si>
  <si>
    <t xml:space="preserve">CLAVIJAS DE CIRUGIA; TIPO: KIRSCHNER, MATERIAL: ACERO INOXIDABLE, DIAMETRO: 0,5 
mm, PRESENTACION: UNIDAD </t>
  </si>
  <si>
    <t xml:space="preserve">45 </t>
  </si>
  <si>
    <t xml:space="preserve">2.9.5-6379.2 </t>
  </si>
  <si>
    <t xml:space="preserve">CLAVIJAS DE CIRUGIA; TIPO: KIRSCHNER, MATERIAL: ACERO INOXIDABLE, DIAMETRO: 1 
mm, PRESENTACION: UNIDAD </t>
  </si>
  <si>
    <t xml:space="preserve">46 </t>
  </si>
  <si>
    <t xml:space="preserve">2.9.5-6379.3 </t>
  </si>
  <si>
    <t xml:space="preserve">CLAVIJAS DE CIRUGIA; TIPO: KIRSCHNER, MATERIAL: ACERO INOXIDABLE, DIAMETRO: 1,5 
mm, PRESENTACION: UNIDAD </t>
  </si>
  <si>
    <t xml:space="preserve">47 </t>
  </si>
  <si>
    <t xml:space="preserve">2.9.5-448.95 </t>
  </si>
  <si>
    <t xml:space="preserve">FRASCOS ESTERILES; CAPACIDAD: 750 CC, PRESENTACION: UNIDAD, GRABADO: SIN, USO: 
BITUBULADO DRENAJE </t>
  </si>
  <si>
    <t xml:space="preserve">MARCA DREN ANMAT 782-6 </t>
  </si>
  <si>
    <t xml:space="preserve">Frasco bitubulado est x 750cc PLASTIMED  </t>
  </si>
  <si>
    <t xml:space="preserve">48 </t>
  </si>
  <si>
    <t xml:space="preserve">2.9.5-6520.1 </t>
  </si>
  <si>
    <t xml:space="preserve">TRADUCTORES DE PRESION; USO: P/MEDIR PRESION ARTERIAL </t>
  </si>
  <si>
    <t xml:space="preserve">MARCA EDWARDS ANMAT 340-112 </t>
  </si>
  <si>
    <t xml:space="preserve">"Transductor de presión inv completo EDWARDS LIFESCIENCES 30CC/60IM 150CM"  
</t>
  </si>
  <si>
    <t xml:space="preserve">49 </t>
  </si>
  <si>
    <t xml:space="preserve">2.9.5-2161.566 </t>
  </si>
  <si>
    <t xml:space="preserve">CATÉTERES/SONDAS; NÚMERO: 5 FRENCH 30 CM.; TIPO: P/VÍA CENTRAL DOBLE 
LUMEN </t>
  </si>
  <si>
    <t xml:space="preserve">MARCA BALTON ANMAT 646-14 </t>
  </si>
  <si>
    <t xml:space="preserve">CATÉTERES/SONDAS; NÚMERO: 5 FRENCH 30 CM.; TIPO: P/VÍA CENTRAL DOBLE 
LUMEN BALTON </t>
  </si>
  <si>
    <t xml:space="preserve">50 </t>
  </si>
  <si>
    <t xml:space="preserve">2.9.5-2161.549 </t>
  </si>
  <si>
    <t xml:space="preserve">CATETERES/SONDAS; NUMERO: 10 FR, TIPO: GASTRICA SILICONA 100% CON LÍNEA 
RADIOPACA </t>
  </si>
  <si>
    <t xml:space="preserve">MARCASILMAG COD 391-10 ANMAT 2142-113 </t>
  </si>
  <si>
    <t xml:space="preserve">391-10 </t>
  </si>
  <si>
    <t xml:space="preserve">51 </t>
  </si>
  <si>
    <t xml:space="preserve">2.9.5-2161.550 </t>
  </si>
  <si>
    <t xml:space="preserve">CATETERES/SONDAS; NUMERO: 7 FR, TIPO: GASTRICA SILICONA 100% CON LÍNEA 
RADIOPACA </t>
  </si>
  <si>
    <t xml:space="preserve">MARCA SILMAG COD 392-07 ANMAT 2142-113 </t>
  </si>
  <si>
    <t xml:space="preserve">392-07 </t>
  </si>
  <si>
    <t xml:space="preserve">52 </t>
  </si>
  <si>
    <t xml:space="preserve">2.9.5-2161.551 </t>
  </si>
  <si>
    <t xml:space="preserve">CATETERES/SONDAS; NUMERO: 9 FR, TIPO: GASTRICA SILICONA 100% CON LÍNEA 
RADIOPACA </t>
  </si>
  <si>
    <t xml:space="preserve">MARCA SILMAG COD 392-09 ANMAT 2142-113 </t>
  </si>
  <si>
    <t xml:space="preserve">53 </t>
  </si>
  <si>
    <t xml:space="preserve">2.9.5-2161.584 </t>
  </si>
  <si>
    <t xml:space="preserve">CATETERES/SONDAS; NUMERO: 10 FR, TIPO: SILICONA TRANSPILORICA C/LASTRE Y MAND. 
</t>
  </si>
  <si>
    <t xml:space="preserve">MARCA SILMAG COD 398-10 ANMAT 2142-113 </t>
  </si>
  <si>
    <t xml:space="preserve">54 </t>
  </si>
  <si>
    <t xml:space="preserve">2.9.5-441.473 </t>
  </si>
  <si>
    <t xml:space="preserve">AGUJAS QUIRURGICAS; TIPO: P/BIOPSIA MEDULA OSEA, ESPECIFICACION: 11G X 10 
MM, PRESENTACION: UNIDAD </t>
  </si>
  <si>
    <t xml:space="preserve">55 </t>
  </si>
  <si>
    <t xml:space="preserve">2.9.5-441.474 </t>
  </si>
  <si>
    <t xml:space="preserve">AGUJAS QUIRURGICAS; TIPO: P/BIOPSIA MEDULA OSEA, ESPECIFICACION: 8G X 15 
MM, PRESENTACION: UNIDAD </t>
  </si>
  <si>
    <t xml:space="preserve">56 </t>
  </si>
  <si>
    <t xml:space="preserve">2.9.5-441.475 </t>
  </si>
  <si>
    <t xml:space="preserve">AGUJAS QUIRURGICAS; TIPO: PUNCION Y ASP. DE MEDULA OSEA, ESPECIFICACION: 
18G, PRESENTACION: POR UNIDAD </t>
  </si>
  <si>
    <t xml:space="preserve">57 </t>
  </si>
  <si>
    <t xml:space="preserve">2.9.5-441.476 </t>
  </si>
  <si>
    <t xml:space="preserve">AGUJAS QUIRURGICAS; TIPO: PUNCION Y ASP. DE MEDULA OSEA, ESPECIFICACION: 
16G, PRESENTACION: POR UNIDAD </t>
  </si>
  <si>
    <t xml:space="preserve">58 </t>
  </si>
  <si>
    <t xml:space="preserve">2.9.5-6700.5 </t>
  </si>
  <si>
    <t xml:space="preserve">TROCAR DE PUNCION; USO: PUNCION TORAXICO, TIPO: N°10, CAMISA: SIN 
</t>
  </si>
  <si>
    <t xml:space="preserve">MARCA POLYMED ANMAT 928-231 </t>
  </si>
  <si>
    <t xml:space="preserve">Trocar torácico c/cat 10FG POLYMED  </t>
  </si>
  <si>
    <t xml:space="preserve">59 </t>
  </si>
  <si>
    <t xml:space="preserve">2.9.5-6700.4 </t>
  </si>
  <si>
    <t xml:space="preserve">TROCAR DE PUNCION; USO: PUNCION TORAXICO, TIPO: N°12, CAMISA: SIN 
</t>
  </si>
  <si>
    <t xml:space="preserve">Trocar torácico c/cat 12FG POLYMED  </t>
  </si>
  <si>
    <t xml:space="preserve">60 </t>
  </si>
  <si>
    <t xml:space="preserve">2.9.5-6700.28 </t>
  </si>
  <si>
    <t xml:space="preserve">TROCAR DE PUNCION; USO: PUNCION TORAXICA, TIPO: Nº 14, CAMISA: 
SIN </t>
  </si>
  <si>
    <t xml:space="preserve">Trocar torácico c/cat 14FG POLYMED  </t>
  </si>
  <si>
    <t xml:space="preserve">61 </t>
  </si>
  <si>
    <t xml:space="preserve">2.9.5-6700.3 </t>
  </si>
  <si>
    <t xml:space="preserve">TROCAR DE PUNCION; USO: PUNCION TORAXICO, TIPO: N°16 FR, CAMISA: 
SIN </t>
  </si>
  <si>
    <t xml:space="preserve">Trocar torácico c/cat 16FG POLYMED  </t>
  </si>
  <si>
    <t xml:space="preserve">62 </t>
  </si>
  <si>
    <t xml:space="preserve">2.9.5-6700.27 </t>
  </si>
  <si>
    <t xml:space="preserve">TROCAR DE PUNCION; USO: PUNCION TORAXICA, TIPO: N° 18 FR, 
CAMISA: SIN </t>
  </si>
  <si>
    <t xml:space="preserve">Trocar torácico c/cat 18FG POLYMED  </t>
  </si>
  <si>
    <t xml:space="preserve">63 </t>
  </si>
  <si>
    <t xml:space="preserve">2.9.5-6700.17 </t>
  </si>
  <si>
    <t xml:space="preserve">TROCAR DE PUNCION; USO: PUNCION TORAXICO, TIPO: Nº20 FR, CAMISA: 
SIN </t>
  </si>
  <si>
    <t xml:space="preserve">Trocar torácico c/cat 20FG POLYMED  </t>
  </si>
  <si>
    <t xml:space="preserve">64 </t>
  </si>
  <si>
    <t xml:space="preserve">2.9.5-6700.30 </t>
  </si>
  <si>
    <t xml:space="preserve">TROCAR DE PUNCION; USO: PUNCION TORAXICO, TIPO: N° 22 FR, 
CAMISA: SIN </t>
  </si>
  <si>
    <t xml:space="preserve">Trocar torácico c/cat 22FG POLYMED  </t>
  </si>
  <si>
    <t xml:space="preserve">65 </t>
  </si>
  <si>
    <t xml:space="preserve">2.9.5-6700.26 </t>
  </si>
  <si>
    <t xml:space="preserve">TROCAR DE PUNCION; USO: PUNCION TORAXICA, TIPO: N° 24 FR, 
CAMISA: SIN </t>
  </si>
  <si>
    <t xml:space="preserve">Trocar torácico c/cat 24FG POLYMED  </t>
  </si>
  <si>
    <t xml:space="preserve">66 </t>
  </si>
  <si>
    <t xml:space="preserve">2.9.5-6700.31 </t>
  </si>
  <si>
    <t xml:space="preserve">TROCAR DE PUNCION; USO: PUNCION TORAXICO, TIPO: N° 28 FR, 
CAMISA: SIN </t>
  </si>
  <si>
    <t xml:space="preserve">Trocar torácico c/cat 28FG POLYMED  </t>
  </si>
  <si>
    <t xml:space="preserve">67 </t>
  </si>
  <si>
    <t xml:space="preserve">2.9.5-4198.41 </t>
  </si>
  <si>
    <t xml:space="preserve">ELEMENTOS DESC. P/CIRUGIAS; TIPO: CAMPO QUIRURGICO 120 X 130 Cm, 
PRESENTACION: UNIDAD </t>
  </si>
  <si>
    <t xml:space="preserve">MARCA SURGICAL ANMAT 1883-1 </t>
  </si>
  <si>
    <t xml:space="preserve">Steri Drape 120x130cm (x10u) 1015 SURGICAL DRAPE  </t>
  </si>
  <si>
    <t xml:space="preserve">68 </t>
  </si>
  <si>
    <t xml:space="preserve">2.9.5-2161.554 </t>
  </si>
  <si>
    <t xml:space="preserve">CATETERES/SONDAS; NUMERO: 12 FRENCH, TIPO: DIALISIS PERITONEAL </t>
  </si>
  <si>
    <t xml:space="preserve">TIPO DIALISIS PERITONEAL MARCA SILMAG COD 711-12-37  ANMAT 229-17 
</t>
  </si>
  <si>
    <t xml:space="preserve">CATETERES/SONDAS; NUMERO: 12 FRENCH, TIPO: DIALISIS PERITONEAL COVIDIEN </t>
  </si>
  <si>
    <t xml:space="preserve">69 </t>
  </si>
  <si>
    <t xml:space="preserve">2.9.5-2161.555 </t>
  </si>
  <si>
    <t xml:space="preserve">CATETERES/SONDAS; NUMERO: 15 FRENCH, TIPO: DIALISIS PERITONEAL </t>
  </si>
  <si>
    <t xml:space="preserve">MARCA SILMAG COD 711-15-42 ANMAT 229-17 </t>
  </si>
  <si>
    <t xml:space="preserve">CATETERES/SONDAS; NUMERO: 15 FRENCH, TIPO: DIALISIS PERITONEAL COVIDIEN </t>
  </si>
  <si>
    <t xml:space="preserve">70 </t>
  </si>
  <si>
    <t xml:space="preserve">2.9.5-2161.573 </t>
  </si>
  <si>
    <t xml:space="preserve">CATETERES/SONDAS; NUMERO: 5 FR, TIPO: UMBILICAL VENOSO, PRESENTACION: UNIDAD </t>
  </si>
  <si>
    <t xml:space="preserve">MARCA SILMAG COD 543-50 ANMAT 39-592 </t>
  </si>
  <si>
    <t xml:space="preserve">71 </t>
  </si>
  <si>
    <t xml:space="preserve">2.9.5-6379.10 </t>
  </si>
  <si>
    <t xml:space="preserve">CLAVIJAS DE CIRUGIA; TIPO: STEIMANN, MATERIAL: ACERO INOXIDABLE, DIAMETRO:  
5 MM, PRESENTACION: UNIDAD </t>
  </si>
  <si>
    <t xml:space="preserve">72 </t>
  </si>
  <si>
    <t xml:space="preserve">2.9.5-6379.5 </t>
  </si>
  <si>
    <t xml:space="preserve">CLAVIJAS DE CIRUGIA; TIPO: KIRSCHNER, MATERIAL: ACERO INOXIDABLE, DIAMETRO: 2 
MM, PRESENTACION: UNIDAD </t>
  </si>
  <si>
    <t xml:space="preserve">73 </t>
  </si>
  <si>
    <t xml:space="preserve">2.9.5-6379.6 </t>
  </si>
  <si>
    <t xml:space="preserve">CLAVIJAS DE CIRUGÍA; TIPO: KIRSCHNER; DIÁMETRO: 2,5 MM; MATERIAL: ACERO 
INOXIDABLE; PRESENTACIÓN: UNIDAD </t>
  </si>
  <si>
    <t xml:space="preserve">74 </t>
  </si>
  <si>
    <t xml:space="preserve">2.9.5-6752.2 </t>
  </si>
  <si>
    <t xml:space="preserve">ASPIRADORES MÉDICOS; TIPO: HEMOSUCTOR PLÁSTICO; CAPACIDAD: 750/800 CM3; EQUIPO: INDIVIDUAL, 
USO: QUIRÚRGICO </t>
  </si>
  <si>
    <t xml:space="preserve">MARCA SURGICA SUPPLY ANMAT 1883-7 </t>
  </si>
  <si>
    <t xml:space="preserve">Hemosuctor p/drenaje quirurg 800ml SURG SUPPLY  </t>
  </si>
  <si>
    <t xml:space="preserve">75 </t>
  </si>
  <si>
    <t xml:space="preserve">2.9.5-2496.403 </t>
  </si>
  <si>
    <t xml:space="preserve">SUTURAS MECANICAS; TIPO: LIGA CLIPS MEDIUM LT200, USO: QUIRURGICO, PRESENTACION: 
UNIDAD </t>
  </si>
  <si>
    <t xml:space="preserve">PRESENTACION UNIDAD (UNIDAD =POUCH X 6 CLIPS) MARCA CLIP.AR ANMAT 
14-8 </t>
  </si>
  <si>
    <t xml:space="preserve">SUTURAS MECANICAS; TIPO: LIGA CLIPS MEDIUM LT200, USO: QUIRURGICO, PRESENTACION: 
UNIDAD WELFARE </t>
  </si>
  <si>
    <t xml:space="preserve">76 </t>
  </si>
  <si>
    <t xml:space="preserve">2.9.5-2496.402 </t>
  </si>
  <si>
    <t xml:space="preserve">SUTURAS MECANICAS; TIPO: LIGA CLIPS LARGE LT300, USO: QUIRURGICO, PRESENTACION: 
UNIDAD </t>
  </si>
  <si>
    <t xml:space="preserve">MARCA ABLE ANMAT 904-8 </t>
  </si>
  <si>
    <t xml:space="preserve">Clip de titanio t/LT-300 ABLE  </t>
  </si>
  <si>
    <t xml:space="preserve">SUTURAS MECANICAS; TIPO: LIGA CLIPS LARGE LT300, USO: QUIRURGICO, PRESENTACION: 
UNIDAD ABLE </t>
  </si>
  <si>
    <t xml:space="preserve">77 </t>
  </si>
  <si>
    <t xml:space="preserve">2.9.5-2496.461 </t>
  </si>
  <si>
    <t xml:space="preserve">SUTURAS MECANICAS; TIPO: LIGA CLIPS LARGE LT400, USO: QUIRURGICO, PRESENTACION: 
UNIDAD </t>
  </si>
  <si>
    <t xml:space="preserve">SUTURAS MECANICAS; TIPO: LIGA CLIPS LARGE LT400, USO: QUIRURGICO, PRESENTACION: 
UNIDAD WELFARE </t>
  </si>
  <si>
    <t xml:space="preserve">78 </t>
  </si>
  <si>
    <t xml:space="preserve">2.9.5-7517.9 </t>
  </si>
  <si>
    <t xml:space="preserve">MALLAS P/EVENTRACCION; MEDIDA: 30 X 30 CM; TIPO: PROLENE; MATERIAL: 
POLIPROPILENO; USO: CIRUGÍA </t>
  </si>
  <si>
    <t xml:space="preserve">MALLA DE POLIPROPILENO - 30x30 cm - ASSUMESH (Italia) - 
Anmat:PM 2057-1 </t>
  </si>
  <si>
    <t xml:space="preserve">MARCA TAGUM ANMAT 1231-14 </t>
  </si>
  <si>
    <t xml:space="preserve">Malla de Polipropileno 30x30cm SURMESH  </t>
  </si>
  <si>
    <t xml:space="preserve">MALLAS P/EVENTRACCION; MEDIDA: 30 X 30 CM; TIPO: PROLENE; MATERIAL: 
POLIPROPILENO; USO: CIRUGÍA SURGIKAL </t>
  </si>
  <si>
    <t xml:space="preserve">79 </t>
  </si>
  <si>
    <t xml:space="preserve">2.9.5-6543.41 </t>
  </si>
  <si>
    <t xml:space="preserve">SET P/ANESTESIA; TIPO: PERIDURAL, CANTIDAD DE COMPONENTES: IGUAL O MAS 
DE 5; CON AGUJA TUOHY 20G; COMPONENTES:  CON AGUJA 
TUOHY 20G </t>
  </si>
  <si>
    <t xml:space="preserve">SET P/ANESTESIA; TIPO: PERIDURAL, CANTIDAD DE COMPONENTES: IGUAL O MAS 
DE 5; CON AGUJA TUOHY 20G; COMPONENTES: CON AGUJA TUOHY 
20G BALTON </t>
  </si>
  <si>
    <t xml:space="preserve">80 </t>
  </si>
  <si>
    <t xml:space="preserve">2.9.5-2161.496 </t>
  </si>
  <si>
    <t xml:space="preserve">CATÉTERES/SONDAS; NÚMERO: 14 FRENCH; TIPO: SET  MALECOT P/NEFROSTOMÍA COOK 
</t>
  </si>
  <si>
    <t xml:space="preserve">Cateter malecot 14fr (pezzer) WELL LEAD  </t>
  </si>
  <si>
    <t xml:space="preserve">CATÉTERES/SONDAS; NÚMERO: 14 FRENCH; SET MALECOT P/NEFROSTOMÍA COOK </t>
  </si>
  <si>
    <t xml:space="preserve">81 </t>
  </si>
  <si>
    <t xml:space="preserve">2.9.5-2161.547 </t>
  </si>
  <si>
    <t xml:space="preserve">CATETERES/SONDAS; NUMERO: 4 FRENCH 13 CM, TIPO: P/VIA CENTRAL DOBLE 
LUMEN </t>
  </si>
  <si>
    <t xml:space="preserve">CATETERES/SONDAS; NUMERO: 4 FRENCH 13 CM, TIPO: P/VIA CENTRAL DOBLE 
LUMEN ARROW   PM 921-176 DISP 1085 </t>
  </si>
  <si>
    <t xml:space="preserve">MARCA ARROW ANMAT 921-2 </t>
  </si>
  <si>
    <t xml:space="preserve">TIPO ARROW </t>
  </si>
  <si>
    <t xml:space="preserve">CATETERES/SONDAS; NUMERO: 4 FRENCH 13 CM, TIPO: P/VIA CENTRAL DOBLE 
LUMEN BALTON </t>
  </si>
  <si>
    <t xml:space="preserve">82 </t>
  </si>
  <si>
    <t xml:space="preserve">2.9.5-2161.394 </t>
  </si>
  <si>
    <t xml:space="preserve">CATETERES/SONDAS; NUMERO: 20, TIPO: HEMATURIA </t>
  </si>
  <si>
    <t xml:space="preserve">Sonda foley hematurica 3v 20fr CHROMA EURO SWISS SA 1440-145 
 </t>
  </si>
  <si>
    <t xml:space="preserve">MARCA SILMAG COD 450-20-3-M ANMAT 229-76 </t>
  </si>
  <si>
    <t xml:space="preserve">Sonda foley hematurica 3v 20fr CHROMA  </t>
  </si>
  <si>
    <t xml:space="preserve">83 </t>
  </si>
  <si>
    <t xml:space="preserve">2.9.5-2161.100 </t>
  </si>
  <si>
    <t xml:space="preserve">CATETERES/SONDAS; NUMERO: 22, TIPO: HEMATURIA </t>
  </si>
  <si>
    <t xml:space="preserve">Sonda foley hematurica 3v 22fr CHROMA EURO SWISS SA 1440-145 
 </t>
  </si>
  <si>
    <t xml:space="preserve">MARCA SILMAG COD 450-220-3-M ANMAT 229-76 </t>
  </si>
  <si>
    <t xml:space="preserve">Sonda foley hematurica 3v 22fr CHROMA  </t>
  </si>
  <si>
    <t xml:space="preserve">84 </t>
  </si>
  <si>
    <t xml:space="preserve">2.9.5-2161.215 </t>
  </si>
  <si>
    <t xml:space="preserve">CATETERES/SONDAS; NUMERO: 18, TIPO: HEMATURIA </t>
  </si>
  <si>
    <t xml:space="preserve">Sonda foley hematurica 3v 18fr CHROMA EURO SWISS SA 1440-145 
 </t>
  </si>
  <si>
    <t xml:space="preserve">MARCA SILMAG COD 450-18-3-M ANMAT 229-76 </t>
  </si>
  <si>
    <t xml:space="preserve">Sonda foley hematurica 3v 18fr CHROMA  </t>
  </si>
  <si>
    <t xml:space="preserve">85 </t>
  </si>
  <si>
    <t xml:space="preserve">2.9.5-2161.101 </t>
  </si>
  <si>
    <t xml:space="preserve">CATETERES/SONDAS; NUMERO: 24, TIPO: HEMATURIA </t>
  </si>
  <si>
    <t xml:space="preserve">Sonda foley hematurica 3v 24fr CHROMA EURO SWISS SA 1440-145 
</t>
  </si>
  <si>
    <t xml:space="preserve">MARCA SILMAG COD 450-24-3-M ANMAT 229-76 </t>
  </si>
  <si>
    <t xml:space="preserve">Sonda foley hematurica 3v 24fr CHROMA  </t>
  </si>
  <si>
    <t xml:space="preserve">86 </t>
  </si>
  <si>
    <t xml:space="preserve">2.9.5-2161.580 </t>
  </si>
  <si>
    <t xml:space="preserve">CATETERES/SONDAS; NUMERO: 12 FR, TIPO: GASTRICA SILICONA 100% CON LÍNEA 
RADIOPACA </t>
  </si>
  <si>
    <t xml:space="preserve">MARCA SILMAG COD 391-12 ANMAT 2142-113 </t>
  </si>
  <si>
    <t xml:space="preserve">87 </t>
  </si>
  <si>
    <t xml:space="preserve">2.9.5-2161.581 </t>
  </si>
  <si>
    <t xml:space="preserve">CATETERES/SONDAS; NUMERO: 14 FR, TIPO: GASTRICA SILICONA 100% CON LÍNEA 
RADIOPACA </t>
  </si>
  <si>
    <t xml:space="preserve">MARCA SIMAG COD 391-14 ANMAT 2142-113 </t>
  </si>
  <si>
    <t xml:space="preserve">88 </t>
  </si>
  <si>
    <t xml:space="preserve">2.9.5-2161.523 </t>
  </si>
  <si>
    <t xml:space="preserve">CATETERES/SONDAS; NUMERO: 28, TIPO: DRENAJE TORAXICO </t>
  </si>
  <si>
    <t xml:space="preserve">MARCA SILMAG COD 150-28 ANMAT 229-01 </t>
  </si>
  <si>
    <t xml:space="preserve">89 </t>
  </si>
  <si>
    <t xml:space="preserve">2.9.5-2161.597 </t>
  </si>
  <si>
    <t xml:space="preserve">CATÉTERES/SONDAS; NÚMERO: 40; TIPO: DRENAJE TORÁXICO </t>
  </si>
  <si>
    <t xml:space="preserve">MARCA SILMAG COD 150-40 ANMAT 229-01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</si>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</sst>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9:F99" totalsRowCount="1">
  <tableColumns count="6">
    <tableColumn id="1" name="Renglón"/>
    <tableColumn id="2" name="Alternativa"/>
    <tableColumn id="3" name="Código" totalsRowLabel="Total: "/>
    <tableColumn id="4" name="Descripción"/>
    <tableColumn id="5" name="Cantidad solicitada"/>
    <tableColumn id="6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9:J99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K9:N99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O9:R99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S9:V99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W9:Z99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A9:AD99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E9:AH99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9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2.85546875" customWidth="1"/>
    <col min="5" max="5" width="90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3.5703125" customWidth="1"/>
    <col min="11" max="11" width="14.28515625" customWidth="1"/>
    <col min="12" max="12" width="17.28515625" customWidth="1"/>
    <col min="13" max="13" width="16.5703125" customWidth="1"/>
    <col min="14" max="14" width="78.5703125" customWidth="1"/>
    <col min="15" max="15" width="14.28515625" customWidth="1"/>
    <col min="16" max="16" width="17.28515625" customWidth="1"/>
    <col min="17" max="17" width="16.5703125" customWidth="1"/>
    <col min="18" max="18" width="62.140625" customWidth="1"/>
    <col min="19" max="19" width="14.28515625" customWidth="1"/>
    <col min="20" max="20" width="17.28515625" customWidth="1"/>
    <col min="21" max="21" width="16.5703125" customWidth="1"/>
    <col min="22" max="22" width="76.28515625" customWidth="1"/>
    <col min="23" max="23" width="14.28515625" customWidth="1"/>
    <col min="24" max="24" width="17.28515625" customWidth="1"/>
    <col min="25" max="25" width="16.5703125" customWidth="1"/>
    <col min="26" max="26" width="72.7109375" customWidth="1"/>
    <col min="27" max="27" width="14.28515625" customWidth="1"/>
    <col min="28" max="28" width="17.28515625" customWidth="1"/>
    <col min="29" max="29" width="16.5703125" customWidth="1"/>
    <col min="30" max="30" width="91.85546875" customWidth="1"/>
    <col min="31" max="31" width="14.28515625" customWidth="1"/>
    <col min="32" max="32" width="17.28515625" customWidth="1"/>
    <col min="33" max="33" width="16.5703125" customWidth="1"/>
    <col min="34" max="34" width="20.28515625" customWidth="1"/>
  </cols>
  <sheetData>
    <row r="1" spans="1:34" x14ac:dyDescent="0.25">
      <c r="D1" s="2" t="s">
        <v>0</v>
      </c>
      <c r="E1" s="2" t="s">
        <v>1</v>
      </c>
    </row>
    <row r="2" spans="1:34" x14ac:dyDescent="0.25">
      <c r="D2" s="2" t="s">
        <v>2</v>
      </c>
      <c r="E2" s="2" t="s">
        <v>3</v>
      </c>
    </row>
    <row r="3" spans="1:34" x14ac:dyDescent="0.25">
      <c r="D3" s="2" t="s">
        <v>4</v>
      </c>
      <c r="E3" s="2" t="s">
        <v>5</v>
      </c>
    </row>
    <row r="4" spans="1:34" x14ac:dyDescent="0.25">
      <c r="D4" s="2" t="s">
        <v>6</v>
      </c>
      <c r="E4" s="2" t="s">
        <v>7</v>
      </c>
    </row>
    <row r="5" spans="1:34" x14ac:dyDescent="0.25">
      <c r="D5" s="2" t="s">
        <v>8</v>
      </c>
      <c r="E5" s="2" t="s">
        <v>9</v>
      </c>
    </row>
    <row r="8" spans="1:3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  <c r="AA8" s="1" t="s">
        <v>16</v>
      </c>
      <c r="AB8" s="1"/>
      <c r="AC8" s="1"/>
      <c r="AD8" s="1"/>
      <c r="AE8" s="1" t="s">
        <v>17</v>
      </c>
      <c r="AF8" s="1"/>
      <c r="AG8" s="1"/>
      <c r="AH8" s="1"/>
    </row>
    <row r="9" spans="1:34" x14ac:dyDescent="0.25">
      <c r="A9" t="s">
        <v>10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s="3" t="s">
        <v>23</v>
      </c>
      <c r="H9" s="3" t="s">
        <v>24</v>
      </c>
      <c r="I9" t="s">
        <v>25</v>
      </c>
      <c r="J9" t="s">
        <v>26</v>
      </c>
      <c r="K9" s="3" t="s">
        <v>23</v>
      </c>
      <c r="L9" s="3" t="s">
        <v>24</v>
      </c>
      <c r="M9" t="s">
        <v>25</v>
      </c>
      <c r="N9" t="s">
        <v>26</v>
      </c>
      <c r="O9" s="3" t="s">
        <v>23</v>
      </c>
      <c r="P9" s="3" t="s">
        <v>24</v>
      </c>
      <c r="Q9" t="s">
        <v>25</v>
      </c>
      <c r="R9" t="s">
        <v>26</v>
      </c>
      <c r="S9" s="3" t="s">
        <v>23</v>
      </c>
      <c r="T9" s="3" t="s">
        <v>24</v>
      </c>
      <c r="U9" t="s">
        <v>25</v>
      </c>
      <c r="V9" t="s">
        <v>26</v>
      </c>
      <c r="W9" s="3" t="s">
        <v>23</v>
      </c>
      <c r="X9" s="3" t="s">
        <v>24</v>
      </c>
      <c r="Y9" t="s">
        <v>25</v>
      </c>
      <c r="Z9" t="s">
        <v>26</v>
      </c>
      <c r="AA9" s="3" t="s">
        <v>23</v>
      </c>
      <c r="AB9" s="3" t="s">
        <v>24</v>
      </c>
      <c r="AC9" t="s">
        <v>25</v>
      </c>
      <c r="AD9" t="s">
        <v>26</v>
      </c>
      <c r="AE9" s="3" t="s">
        <v>23</v>
      </c>
      <c r="AF9" s="3" t="s">
        <v>24</v>
      </c>
      <c r="AG9" t="s">
        <v>25</v>
      </c>
      <c r="AH9" t="s">
        <v>26</v>
      </c>
    </row>
    <row r="10" spans="1:34" ht="45" x14ac:dyDescent="0.25">
      <c r="A10" t="s">
        <v>27</v>
      </c>
      <c r="B10" t="s">
        <v>27</v>
      </c>
      <c r="C10" t="s">
        <v>28</v>
      </c>
      <c r="D10" s="4" t="s">
        <v>29</v>
      </c>
      <c r="E10">
        <v>120</v>
      </c>
      <c r="F10" t="s">
        <v>30</v>
      </c>
      <c r="G10" s="3">
        <v>220</v>
      </c>
      <c r="H10" s="3">
        <v>120</v>
      </c>
      <c r="I10" s="5">
        <v>26400</v>
      </c>
      <c r="J10" s="4" t="s">
        <v>31</v>
      </c>
      <c r="K10" s="3">
        <v>218.4</v>
      </c>
      <c r="L10" s="3">
        <v>120</v>
      </c>
      <c r="M10" s="5">
        <v>26208</v>
      </c>
      <c r="N10" s="4" t="s">
        <v>32</v>
      </c>
      <c r="O10" s="3">
        <v>236.11</v>
      </c>
      <c r="P10" s="3">
        <v>120</v>
      </c>
      <c r="Q10" s="5">
        <v>28333.200000000001</v>
      </c>
      <c r="R10" s="4" t="s">
        <v>33</v>
      </c>
      <c r="S10" s="3">
        <v>255.1</v>
      </c>
      <c r="T10" s="3">
        <v>120</v>
      </c>
      <c r="U10" s="5">
        <v>30612</v>
      </c>
      <c r="V10" s="4" t="s">
        <v>34</v>
      </c>
      <c r="W10" s="3">
        <v>505</v>
      </c>
      <c r="X10" s="3">
        <v>120</v>
      </c>
      <c r="Y10" s="5">
        <v>60600</v>
      </c>
      <c r="Z10" t="s">
        <v>35</v>
      </c>
      <c r="AA10" s="3"/>
      <c r="AB10" s="3"/>
      <c r="AC10" s="5"/>
      <c r="AE10" s="3"/>
      <c r="AF10" s="3"/>
      <c r="AG10" s="5"/>
    </row>
    <row r="11" spans="1:34" ht="45" x14ac:dyDescent="0.25">
      <c r="A11" t="s">
        <v>36</v>
      </c>
      <c r="B11" t="s">
        <v>27</v>
      </c>
      <c r="C11" t="s">
        <v>37</v>
      </c>
      <c r="D11" t="s">
        <v>38</v>
      </c>
      <c r="E11">
        <v>60</v>
      </c>
      <c r="F11" t="s">
        <v>30</v>
      </c>
      <c r="G11" s="3">
        <v>429</v>
      </c>
      <c r="H11" s="3">
        <v>60</v>
      </c>
      <c r="I11" s="5">
        <v>25740</v>
      </c>
      <c r="J11" s="4" t="s">
        <v>39</v>
      </c>
      <c r="K11" s="3"/>
      <c r="L11" s="3"/>
      <c r="M11" s="5"/>
      <c r="O11" s="3"/>
      <c r="P11" s="3"/>
      <c r="Q11" s="5"/>
      <c r="S11" s="3">
        <v>929.2</v>
      </c>
      <c r="T11" s="3">
        <v>60</v>
      </c>
      <c r="U11" s="5">
        <v>55752</v>
      </c>
      <c r="V11" s="4" t="s">
        <v>40</v>
      </c>
      <c r="W11" s="3">
        <v>1208</v>
      </c>
      <c r="X11" s="3">
        <v>60</v>
      </c>
      <c r="Y11" s="5">
        <v>72480</v>
      </c>
      <c r="Z11" t="s">
        <v>41</v>
      </c>
      <c r="AA11" s="3"/>
      <c r="AB11" s="3"/>
      <c r="AC11" s="5"/>
      <c r="AE11" s="3"/>
      <c r="AF11" s="3"/>
      <c r="AG11" s="5"/>
    </row>
    <row r="12" spans="1:34" ht="30" x14ac:dyDescent="0.25">
      <c r="A12" t="s">
        <v>42</v>
      </c>
      <c r="B12" t="s">
        <v>27</v>
      </c>
      <c r="C12" t="s">
        <v>43</v>
      </c>
      <c r="D12" s="4" t="s">
        <v>44</v>
      </c>
      <c r="E12">
        <v>30</v>
      </c>
      <c r="F12" t="s">
        <v>30</v>
      </c>
      <c r="G12" s="3"/>
      <c r="H12" s="3"/>
      <c r="I12" s="5"/>
      <c r="K12" s="3"/>
      <c r="L12" s="3"/>
      <c r="M12" s="5"/>
      <c r="O12" s="3"/>
      <c r="P12" s="3"/>
      <c r="Q12" s="5"/>
      <c r="S12" s="3">
        <v>748</v>
      </c>
      <c r="T12" s="3">
        <v>30</v>
      </c>
      <c r="U12" s="5">
        <v>22440</v>
      </c>
      <c r="V12" t="s">
        <v>45</v>
      </c>
      <c r="W12" s="3">
        <v>9647</v>
      </c>
      <c r="X12" s="3">
        <v>30</v>
      </c>
      <c r="Y12" s="5">
        <v>289410</v>
      </c>
      <c r="Z12" s="4" t="s">
        <v>46</v>
      </c>
      <c r="AA12" s="3"/>
      <c r="AB12" s="3"/>
      <c r="AC12" s="5"/>
      <c r="AE12" s="3"/>
      <c r="AF12" s="3"/>
      <c r="AG12" s="5"/>
    </row>
    <row r="13" spans="1:34" ht="30" x14ac:dyDescent="0.25">
      <c r="A13" t="s">
        <v>47</v>
      </c>
      <c r="B13" t="s">
        <v>27</v>
      </c>
      <c r="C13" t="s">
        <v>48</v>
      </c>
      <c r="D13" s="4" t="s">
        <v>49</v>
      </c>
      <c r="E13">
        <v>18</v>
      </c>
      <c r="F13" t="s">
        <v>30</v>
      </c>
      <c r="G13" s="3"/>
      <c r="H13" s="3"/>
      <c r="I13" s="5"/>
      <c r="K13" s="3"/>
      <c r="L13" s="3"/>
      <c r="M13" s="5"/>
      <c r="O13" s="3"/>
      <c r="P13" s="3"/>
      <c r="Q13" s="5"/>
      <c r="S13" s="3">
        <v>12510.5</v>
      </c>
      <c r="T13" s="3">
        <v>18</v>
      </c>
      <c r="U13" s="5">
        <v>225189</v>
      </c>
      <c r="V13" t="s">
        <v>50</v>
      </c>
      <c r="W13" s="3"/>
      <c r="X13" s="3"/>
      <c r="Y13" s="5"/>
      <c r="AA13" s="3">
        <v>24000</v>
      </c>
      <c r="AB13" s="3">
        <v>18</v>
      </c>
      <c r="AC13" s="5">
        <v>432000</v>
      </c>
      <c r="AD13" s="4" t="s">
        <v>51</v>
      </c>
      <c r="AE13" s="3"/>
      <c r="AF13" s="3"/>
      <c r="AG13" s="5"/>
    </row>
    <row r="14" spans="1:34" ht="30" x14ac:dyDescent="0.25">
      <c r="A14" t="s">
        <v>52</v>
      </c>
      <c r="B14" t="s">
        <v>27</v>
      </c>
      <c r="C14" t="s">
        <v>53</v>
      </c>
      <c r="D14" s="4" t="s">
        <v>54</v>
      </c>
      <c r="E14">
        <v>60</v>
      </c>
      <c r="F14" t="s">
        <v>30</v>
      </c>
      <c r="G14" s="3"/>
      <c r="H14" s="3"/>
      <c r="I14" s="5"/>
      <c r="K14" s="3"/>
      <c r="L14" s="3"/>
      <c r="M14" s="5"/>
      <c r="O14" s="3"/>
      <c r="P14" s="3"/>
      <c r="Q14" s="5"/>
      <c r="S14" s="3">
        <v>10119</v>
      </c>
      <c r="T14" s="3">
        <v>60</v>
      </c>
      <c r="U14" s="5">
        <v>607140</v>
      </c>
      <c r="V14" t="s">
        <v>55</v>
      </c>
      <c r="W14" s="3"/>
      <c r="X14" s="3"/>
      <c r="Y14" s="5"/>
      <c r="AA14" s="3">
        <v>9200</v>
      </c>
      <c r="AB14" s="3">
        <v>60</v>
      </c>
      <c r="AC14" s="5">
        <v>552000</v>
      </c>
      <c r="AD14" s="4" t="s">
        <v>56</v>
      </c>
      <c r="AE14" s="3">
        <v>12158.61</v>
      </c>
      <c r="AF14" s="3">
        <v>60</v>
      </c>
      <c r="AG14" s="5">
        <v>729516.6</v>
      </c>
      <c r="AH14" t="s">
        <v>57</v>
      </c>
    </row>
    <row r="15" spans="1:34" ht="30" x14ac:dyDescent="0.25">
      <c r="A15" t="s">
        <v>58</v>
      </c>
      <c r="B15" t="s">
        <v>27</v>
      </c>
      <c r="C15" t="s">
        <v>59</v>
      </c>
      <c r="D15" s="4" t="s">
        <v>60</v>
      </c>
      <c r="E15">
        <v>60</v>
      </c>
      <c r="F15" t="s">
        <v>30</v>
      </c>
      <c r="G15" s="3"/>
      <c r="H15" s="3"/>
      <c r="I15" s="5"/>
      <c r="K15" s="3"/>
      <c r="L15" s="3"/>
      <c r="M15" s="5"/>
      <c r="O15" s="3"/>
      <c r="P15" s="3"/>
      <c r="Q15" s="5"/>
      <c r="S15" s="3">
        <v>10119</v>
      </c>
      <c r="T15" s="3">
        <v>60</v>
      </c>
      <c r="U15" s="5">
        <v>607140</v>
      </c>
      <c r="V15" t="s">
        <v>61</v>
      </c>
      <c r="W15" s="3"/>
      <c r="X15" s="3"/>
      <c r="Y15" s="5"/>
      <c r="AA15" s="3">
        <v>9200</v>
      </c>
      <c r="AB15" s="3">
        <v>60</v>
      </c>
      <c r="AC15" s="5">
        <v>552000</v>
      </c>
      <c r="AD15" s="4" t="s">
        <v>62</v>
      </c>
      <c r="AE15" s="3">
        <v>12158.61</v>
      </c>
      <c r="AF15" s="3">
        <v>60</v>
      </c>
      <c r="AG15" s="5">
        <v>729516.6</v>
      </c>
      <c r="AH15" t="s">
        <v>63</v>
      </c>
    </row>
    <row r="16" spans="1:34" ht="30" x14ac:dyDescent="0.25">
      <c r="A16" t="s">
        <v>64</v>
      </c>
      <c r="B16" t="s">
        <v>27</v>
      </c>
      <c r="C16" t="s">
        <v>65</v>
      </c>
      <c r="D16" s="4" t="s">
        <v>66</v>
      </c>
      <c r="E16">
        <v>60</v>
      </c>
      <c r="F16" t="s">
        <v>30</v>
      </c>
      <c r="G16" s="3"/>
      <c r="H16" s="3"/>
      <c r="I16" s="5"/>
      <c r="K16" s="3"/>
      <c r="L16" s="3"/>
      <c r="M16" s="5"/>
      <c r="O16" s="3"/>
      <c r="P16" s="3"/>
      <c r="Q16" s="5"/>
      <c r="S16" s="3">
        <v>7678</v>
      </c>
      <c r="T16" s="3">
        <v>60</v>
      </c>
      <c r="U16" s="5">
        <v>460680</v>
      </c>
      <c r="V16" t="s">
        <v>67</v>
      </c>
      <c r="W16" s="3"/>
      <c r="X16" s="3"/>
      <c r="Y16" s="5"/>
      <c r="AA16" s="3">
        <v>9200</v>
      </c>
      <c r="AB16" s="3">
        <v>60</v>
      </c>
      <c r="AC16" s="5">
        <v>552000</v>
      </c>
      <c r="AD16" s="4" t="s">
        <v>68</v>
      </c>
      <c r="AE16" s="3">
        <v>14031.64</v>
      </c>
      <c r="AF16" s="3">
        <v>60</v>
      </c>
      <c r="AG16" s="5">
        <v>841898.4</v>
      </c>
      <c r="AH16" t="s">
        <v>69</v>
      </c>
    </row>
    <row r="17" spans="1:34" ht="30" x14ac:dyDescent="0.25">
      <c r="A17" t="s">
        <v>70</v>
      </c>
      <c r="B17" t="s">
        <v>27</v>
      </c>
      <c r="C17" t="s">
        <v>71</v>
      </c>
      <c r="D17" s="4" t="s">
        <v>72</v>
      </c>
      <c r="E17">
        <v>60</v>
      </c>
      <c r="F17" t="s">
        <v>30</v>
      </c>
      <c r="G17" s="3"/>
      <c r="H17" s="3"/>
      <c r="I17" s="5"/>
      <c r="K17" s="3"/>
      <c r="L17" s="3"/>
      <c r="M17" s="5"/>
      <c r="O17" s="3"/>
      <c r="P17" s="3"/>
      <c r="Q17" s="5"/>
      <c r="S17" s="3">
        <v>11678</v>
      </c>
      <c r="T17" s="3">
        <v>60</v>
      </c>
      <c r="U17" s="5">
        <v>700680</v>
      </c>
      <c r="V17" t="s">
        <v>73</v>
      </c>
      <c r="W17" s="3"/>
      <c r="X17" s="3"/>
      <c r="Y17" s="5"/>
      <c r="AA17" s="3">
        <v>10779</v>
      </c>
      <c r="AB17" s="3">
        <v>60</v>
      </c>
      <c r="AC17" s="5">
        <v>646740</v>
      </c>
      <c r="AD17" s="4" t="s">
        <v>74</v>
      </c>
      <c r="AE17" s="3">
        <v>11981.64</v>
      </c>
      <c r="AF17" s="3">
        <v>60</v>
      </c>
      <c r="AG17" s="5">
        <v>718898.4</v>
      </c>
      <c r="AH17" t="s">
        <v>75</v>
      </c>
    </row>
    <row r="18" spans="1:34" ht="30" x14ac:dyDescent="0.25">
      <c r="A18" t="s">
        <v>76</v>
      </c>
      <c r="B18" t="s">
        <v>27</v>
      </c>
      <c r="C18" t="s">
        <v>77</v>
      </c>
      <c r="D18" s="4" t="s">
        <v>78</v>
      </c>
      <c r="E18">
        <v>30</v>
      </c>
      <c r="F18" t="s">
        <v>30</v>
      </c>
      <c r="G18" s="3"/>
      <c r="H18" s="3"/>
      <c r="I18" s="5"/>
      <c r="K18" s="3"/>
      <c r="L18" s="3"/>
      <c r="M18" s="5"/>
      <c r="O18" s="3"/>
      <c r="P18" s="3"/>
      <c r="Q18" s="5"/>
      <c r="S18" s="3">
        <v>20546</v>
      </c>
      <c r="T18" s="3">
        <v>30</v>
      </c>
      <c r="U18" s="5">
        <v>616380</v>
      </c>
      <c r="V18" t="s">
        <v>79</v>
      </c>
      <c r="W18" s="3"/>
      <c r="X18" s="3"/>
      <c r="Y18" s="5"/>
      <c r="AA18" s="3"/>
      <c r="AB18" s="3"/>
      <c r="AC18" s="5"/>
      <c r="AE18" s="3">
        <v>24687.58</v>
      </c>
      <c r="AF18" s="3">
        <v>30</v>
      </c>
      <c r="AG18" s="5">
        <v>740627.4</v>
      </c>
      <c r="AH18" t="s">
        <v>80</v>
      </c>
    </row>
    <row r="19" spans="1:34" ht="30" x14ac:dyDescent="0.25">
      <c r="A19" t="s">
        <v>81</v>
      </c>
      <c r="B19" t="s">
        <v>27</v>
      </c>
      <c r="C19" t="s">
        <v>82</v>
      </c>
      <c r="D19" s="4" t="s">
        <v>83</v>
      </c>
      <c r="E19">
        <v>10</v>
      </c>
      <c r="F19" t="s">
        <v>30</v>
      </c>
      <c r="G19" s="3"/>
      <c r="H19" s="3"/>
      <c r="I19" s="5"/>
      <c r="K19" s="3"/>
      <c r="L19" s="3"/>
      <c r="M19" s="5"/>
      <c r="O19" s="3"/>
      <c r="P19" s="3"/>
      <c r="Q19" s="5"/>
      <c r="S19" s="3">
        <v>20546</v>
      </c>
      <c r="T19" s="3">
        <v>10</v>
      </c>
      <c r="U19" s="5">
        <v>205460</v>
      </c>
      <c r="V19" t="s">
        <v>84</v>
      </c>
      <c r="W19" s="3"/>
      <c r="X19" s="3"/>
      <c r="Y19" s="5"/>
      <c r="AA19" s="3"/>
      <c r="AB19" s="3"/>
      <c r="AC19" s="5"/>
      <c r="AE19" s="3">
        <v>24687.58</v>
      </c>
      <c r="AF19" s="3">
        <v>10</v>
      </c>
      <c r="AG19" s="5">
        <v>246875.8</v>
      </c>
      <c r="AH19" t="s">
        <v>85</v>
      </c>
    </row>
    <row r="20" spans="1:34" ht="30" x14ac:dyDescent="0.25">
      <c r="A20" t="s">
        <v>86</v>
      </c>
      <c r="B20" t="s">
        <v>27</v>
      </c>
      <c r="C20" t="s">
        <v>87</v>
      </c>
      <c r="D20" s="4" t="s">
        <v>88</v>
      </c>
      <c r="E20">
        <v>10</v>
      </c>
      <c r="F20" t="s">
        <v>30</v>
      </c>
      <c r="G20" s="3"/>
      <c r="H20" s="3"/>
      <c r="I20" s="5"/>
      <c r="K20" s="3"/>
      <c r="L20" s="3"/>
      <c r="M20" s="5"/>
      <c r="O20" s="3"/>
      <c r="P20" s="3"/>
      <c r="Q20" s="5"/>
      <c r="S20" s="3">
        <v>20546</v>
      </c>
      <c r="T20" s="3">
        <v>10</v>
      </c>
      <c r="U20" s="5">
        <v>205460</v>
      </c>
      <c r="V20" t="s">
        <v>89</v>
      </c>
      <c r="W20" s="3"/>
      <c r="X20" s="3"/>
      <c r="Y20" s="5"/>
      <c r="AA20" s="3"/>
      <c r="AB20" s="3"/>
      <c r="AC20" s="5"/>
      <c r="AE20" s="3">
        <v>24687.58</v>
      </c>
      <c r="AF20" s="3">
        <v>10</v>
      </c>
      <c r="AG20" s="5">
        <v>246875.8</v>
      </c>
      <c r="AH20" t="s">
        <v>90</v>
      </c>
    </row>
    <row r="21" spans="1:34" x14ac:dyDescent="0.25">
      <c r="A21" t="s">
        <v>91</v>
      </c>
      <c r="B21" t="s">
        <v>27</v>
      </c>
      <c r="C21" t="s">
        <v>92</v>
      </c>
      <c r="D21" t="s">
        <v>93</v>
      </c>
      <c r="E21">
        <v>100</v>
      </c>
      <c r="F21" t="s">
        <v>30</v>
      </c>
      <c r="G21" s="3"/>
      <c r="H21" s="3"/>
      <c r="I21" s="5"/>
      <c r="K21" s="3"/>
      <c r="L21" s="3"/>
      <c r="M21" s="5"/>
      <c r="O21" s="3"/>
      <c r="P21" s="3"/>
      <c r="Q21" s="5"/>
      <c r="S21" s="3">
        <v>1972.5</v>
      </c>
      <c r="T21" s="3">
        <v>100</v>
      </c>
      <c r="U21" s="5">
        <v>197250</v>
      </c>
      <c r="V21" t="s">
        <v>94</v>
      </c>
      <c r="W21" s="3"/>
      <c r="X21" s="3"/>
      <c r="Y21" s="5"/>
      <c r="AA21" s="3">
        <v>3073</v>
      </c>
      <c r="AB21" s="3">
        <v>100</v>
      </c>
      <c r="AC21" s="5">
        <v>307300</v>
      </c>
      <c r="AD21" t="s">
        <v>95</v>
      </c>
      <c r="AE21" s="3">
        <v>2370.0100000000002</v>
      </c>
      <c r="AF21" s="3">
        <v>100</v>
      </c>
      <c r="AG21" s="5">
        <v>237001</v>
      </c>
      <c r="AH21" t="s">
        <v>96</v>
      </c>
    </row>
    <row r="22" spans="1:34" ht="30" x14ac:dyDescent="0.25">
      <c r="A22" t="s">
        <v>97</v>
      </c>
      <c r="B22" t="s">
        <v>27</v>
      </c>
      <c r="C22" t="s">
        <v>98</v>
      </c>
      <c r="D22" t="s">
        <v>99</v>
      </c>
      <c r="E22">
        <v>100</v>
      </c>
      <c r="F22" t="s">
        <v>30</v>
      </c>
      <c r="G22" s="3"/>
      <c r="H22" s="3"/>
      <c r="I22" s="5"/>
      <c r="K22" s="3"/>
      <c r="L22" s="3"/>
      <c r="M22" s="5"/>
      <c r="O22" s="3"/>
      <c r="P22" s="3"/>
      <c r="Q22" s="5"/>
      <c r="S22" s="3"/>
      <c r="T22" s="3"/>
      <c r="U22" s="5"/>
      <c r="W22" s="3"/>
      <c r="X22" s="3"/>
      <c r="Y22" s="5"/>
      <c r="AA22" s="3">
        <v>3900</v>
      </c>
      <c r="AB22" s="3">
        <v>100</v>
      </c>
      <c r="AC22" s="5">
        <v>390000</v>
      </c>
      <c r="AD22" s="4" t="s">
        <v>100</v>
      </c>
      <c r="AE22" s="3"/>
      <c r="AF22" s="3"/>
      <c r="AG22" s="5"/>
    </row>
    <row r="23" spans="1:34" x14ac:dyDescent="0.25">
      <c r="A23" t="s">
        <v>101</v>
      </c>
      <c r="B23" t="s">
        <v>27</v>
      </c>
      <c r="C23" t="s">
        <v>102</v>
      </c>
      <c r="D23" t="s">
        <v>103</v>
      </c>
      <c r="E23">
        <v>50</v>
      </c>
      <c r="F23" t="s">
        <v>30</v>
      </c>
      <c r="G23" s="3"/>
      <c r="H23" s="3"/>
      <c r="I23" s="5"/>
      <c r="K23" s="3"/>
      <c r="L23" s="3"/>
      <c r="M23" s="5"/>
      <c r="O23" s="3"/>
      <c r="P23" s="3"/>
      <c r="Q23" s="5"/>
      <c r="S23" s="3">
        <v>1051.2</v>
      </c>
      <c r="T23" s="3">
        <v>50</v>
      </c>
      <c r="U23" s="5">
        <v>52560</v>
      </c>
      <c r="V23" t="s">
        <v>104</v>
      </c>
      <c r="W23" s="3"/>
      <c r="X23" s="3"/>
      <c r="Y23" s="5"/>
      <c r="AA23" s="3">
        <v>3900</v>
      </c>
      <c r="AB23" s="3">
        <v>50</v>
      </c>
      <c r="AC23" s="5">
        <v>195000</v>
      </c>
      <c r="AD23" t="s">
        <v>105</v>
      </c>
      <c r="AE23" s="3">
        <v>1262.94</v>
      </c>
      <c r="AF23" s="3">
        <v>50</v>
      </c>
      <c r="AG23" s="5">
        <v>63147</v>
      </c>
      <c r="AH23" t="s">
        <v>106</v>
      </c>
    </row>
    <row r="24" spans="1:34" ht="30" x14ac:dyDescent="0.25">
      <c r="A24" t="s">
        <v>107</v>
      </c>
      <c r="B24" t="s">
        <v>27</v>
      </c>
      <c r="C24" t="s">
        <v>108</v>
      </c>
      <c r="D24" t="s">
        <v>109</v>
      </c>
      <c r="E24">
        <v>120</v>
      </c>
      <c r="F24" t="s">
        <v>30</v>
      </c>
      <c r="G24" s="3"/>
      <c r="H24" s="3"/>
      <c r="I24" s="5"/>
      <c r="K24" s="3"/>
      <c r="L24" s="3"/>
      <c r="M24" s="5"/>
      <c r="O24" s="3"/>
      <c r="P24" s="3"/>
      <c r="Q24" s="5"/>
      <c r="S24" s="3">
        <v>2002.5</v>
      </c>
      <c r="T24" s="3">
        <v>120</v>
      </c>
      <c r="U24" s="5">
        <v>240300</v>
      </c>
      <c r="V24" t="s">
        <v>110</v>
      </c>
      <c r="W24" s="3"/>
      <c r="X24" s="3"/>
      <c r="Y24" s="5"/>
      <c r="AA24" s="3">
        <v>3900</v>
      </c>
      <c r="AB24" s="3">
        <v>120</v>
      </c>
      <c r="AC24" s="5">
        <v>468000</v>
      </c>
      <c r="AD24" s="4" t="s">
        <v>111</v>
      </c>
      <c r="AE24" s="3">
        <v>2406.11</v>
      </c>
      <c r="AF24" s="3">
        <v>120</v>
      </c>
      <c r="AG24" s="5">
        <v>288733.2</v>
      </c>
      <c r="AH24" t="s">
        <v>112</v>
      </c>
    </row>
    <row r="25" spans="1:34" ht="30" x14ac:dyDescent="0.25">
      <c r="A25" t="s">
        <v>113</v>
      </c>
      <c r="B25" t="s">
        <v>27</v>
      </c>
      <c r="C25" t="s">
        <v>114</v>
      </c>
      <c r="D25" t="s">
        <v>115</v>
      </c>
      <c r="E25">
        <v>50</v>
      </c>
      <c r="F25" t="s">
        <v>30</v>
      </c>
      <c r="G25" s="3"/>
      <c r="H25" s="3"/>
      <c r="I25" s="5"/>
      <c r="K25" s="3"/>
      <c r="L25" s="3"/>
      <c r="M25" s="5"/>
      <c r="O25" s="3"/>
      <c r="P25" s="3"/>
      <c r="Q25" s="5"/>
      <c r="S25" s="3">
        <v>2002.5</v>
      </c>
      <c r="T25" s="3">
        <v>50</v>
      </c>
      <c r="U25" s="5">
        <v>100125</v>
      </c>
      <c r="V25" t="s">
        <v>116</v>
      </c>
      <c r="W25" s="3"/>
      <c r="X25" s="3"/>
      <c r="Y25" s="5"/>
      <c r="AA25" s="3">
        <v>3900</v>
      </c>
      <c r="AB25" s="3">
        <v>50</v>
      </c>
      <c r="AC25" s="5">
        <v>195000</v>
      </c>
      <c r="AD25" s="4" t="s">
        <v>117</v>
      </c>
      <c r="AE25" s="3">
        <v>2406.11</v>
      </c>
      <c r="AF25" s="3">
        <v>50</v>
      </c>
      <c r="AG25" s="5">
        <v>120305.5</v>
      </c>
      <c r="AH25" t="s">
        <v>118</v>
      </c>
    </row>
    <row r="26" spans="1:34" ht="30" x14ac:dyDescent="0.25">
      <c r="A26" t="s">
        <v>119</v>
      </c>
      <c r="B26" t="s">
        <v>27</v>
      </c>
      <c r="C26" t="s">
        <v>120</v>
      </c>
      <c r="D26" t="s">
        <v>121</v>
      </c>
      <c r="E26">
        <v>50</v>
      </c>
      <c r="F26" t="s">
        <v>30</v>
      </c>
      <c r="G26" s="3"/>
      <c r="H26" s="3"/>
      <c r="I26" s="5"/>
      <c r="K26" s="3"/>
      <c r="L26" s="3"/>
      <c r="M26" s="5"/>
      <c r="O26" s="3"/>
      <c r="P26" s="3"/>
      <c r="Q26" s="5"/>
      <c r="S26" s="3">
        <v>3832.5</v>
      </c>
      <c r="T26" s="3">
        <v>50</v>
      </c>
      <c r="U26" s="5">
        <v>191625</v>
      </c>
      <c r="V26" t="s">
        <v>122</v>
      </c>
      <c r="W26" s="3"/>
      <c r="X26" s="3"/>
      <c r="Y26" s="5"/>
      <c r="AA26" s="3">
        <v>3775</v>
      </c>
      <c r="AB26" s="3">
        <v>50</v>
      </c>
      <c r="AC26" s="5">
        <v>188750</v>
      </c>
      <c r="AD26" s="4" t="s">
        <v>123</v>
      </c>
      <c r="AE26" s="3">
        <v>4605.0200000000004</v>
      </c>
      <c r="AF26" s="3">
        <v>50</v>
      </c>
      <c r="AG26" s="5">
        <v>230251</v>
      </c>
      <c r="AH26" t="s">
        <v>124</v>
      </c>
    </row>
    <row r="27" spans="1:34" ht="45" x14ac:dyDescent="0.25">
      <c r="A27" t="s">
        <v>125</v>
      </c>
      <c r="B27" t="s">
        <v>27</v>
      </c>
      <c r="C27" t="s">
        <v>126</v>
      </c>
      <c r="D27" s="4" t="s">
        <v>127</v>
      </c>
      <c r="E27">
        <v>100</v>
      </c>
      <c r="F27" t="s">
        <v>30</v>
      </c>
      <c r="G27" s="3">
        <v>4970</v>
      </c>
      <c r="H27" s="3">
        <v>100</v>
      </c>
      <c r="I27" s="5">
        <v>497000</v>
      </c>
      <c r="J27" s="4" t="s">
        <v>128</v>
      </c>
      <c r="K27" s="3"/>
      <c r="L27" s="3"/>
      <c r="M27" s="5"/>
      <c r="O27" s="3"/>
      <c r="P27" s="3"/>
      <c r="Q27" s="5"/>
      <c r="S27" s="3">
        <v>11744.6</v>
      </c>
      <c r="T27" s="3">
        <v>100</v>
      </c>
      <c r="U27" s="5">
        <v>1174460</v>
      </c>
      <c r="V27" s="4" t="s">
        <v>129</v>
      </c>
      <c r="W27" s="3"/>
      <c r="X27" s="3"/>
      <c r="Y27" s="5"/>
      <c r="AA27" s="3">
        <v>5900</v>
      </c>
      <c r="AB27" s="3">
        <v>100</v>
      </c>
      <c r="AC27" s="5">
        <v>590000</v>
      </c>
      <c r="AD27" s="4" t="s">
        <v>130</v>
      </c>
      <c r="AE27" s="3"/>
      <c r="AF27" s="3"/>
      <c r="AG27" s="5"/>
    </row>
    <row r="28" spans="1:34" ht="45" x14ac:dyDescent="0.25">
      <c r="A28" t="s">
        <v>131</v>
      </c>
      <c r="B28" t="s">
        <v>27</v>
      </c>
      <c r="C28" t="s">
        <v>132</v>
      </c>
      <c r="D28" s="4" t="s">
        <v>133</v>
      </c>
      <c r="E28">
        <v>156</v>
      </c>
      <c r="F28" t="s">
        <v>30</v>
      </c>
      <c r="G28" s="3"/>
      <c r="H28" s="3"/>
      <c r="I28" s="5"/>
      <c r="K28" s="3"/>
      <c r="L28" s="3"/>
      <c r="M28" s="5"/>
      <c r="O28" s="3">
        <v>1925.55</v>
      </c>
      <c r="P28" s="3">
        <v>156</v>
      </c>
      <c r="Q28" s="5">
        <v>300385.8</v>
      </c>
      <c r="R28" s="4" t="s">
        <v>134</v>
      </c>
      <c r="S28" s="3"/>
      <c r="T28" s="3"/>
      <c r="U28" s="5"/>
      <c r="W28" s="3"/>
      <c r="X28" s="3"/>
      <c r="Y28" s="5"/>
      <c r="AA28" s="3">
        <v>1800</v>
      </c>
      <c r="AB28" s="3">
        <v>156</v>
      </c>
      <c r="AC28" s="5">
        <v>280800</v>
      </c>
      <c r="AD28" s="4" t="s">
        <v>135</v>
      </c>
      <c r="AE28" s="3"/>
      <c r="AF28" s="3"/>
      <c r="AG28" s="5"/>
    </row>
    <row r="29" spans="1:34" ht="30" x14ac:dyDescent="0.25">
      <c r="A29" t="s">
        <v>136</v>
      </c>
      <c r="B29" t="s">
        <v>27</v>
      </c>
      <c r="C29" t="s">
        <v>137</v>
      </c>
      <c r="D29" s="4" t="s">
        <v>138</v>
      </c>
      <c r="E29">
        <v>40</v>
      </c>
      <c r="F29" t="s">
        <v>30</v>
      </c>
      <c r="G29" s="3"/>
      <c r="H29" s="3"/>
      <c r="I29" s="5"/>
      <c r="K29" s="3"/>
      <c r="L29" s="3"/>
      <c r="M29" s="5"/>
      <c r="O29" s="3"/>
      <c r="P29" s="3"/>
      <c r="Q29" s="5"/>
      <c r="S29" s="3">
        <v>1745</v>
      </c>
      <c r="T29" s="3">
        <v>40</v>
      </c>
      <c r="U29" s="5">
        <v>69800</v>
      </c>
      <c r="V29" t="s">
        <v>139</v>
      </c>
      <c r="W29" s="3">
        <v>1962</v>
      </c>
      <c r="X29" s="3">
        <v>40</v>
      </c>
      <c r="Y29" s="5">
        <v>78480</v>
      </c>
      <c r="Z29" t="s">
        <v>140</v>
      </c>
      <c r="AA29" s="3"/>
      <c r="AB29" s="3"/>
      <c r="AC29" s="5"/>
      <c r="AE29" s="3"/>
      <c r="AF29" s="3"/>
      <c r="AG29" s="5"/>
    </row>
    <row r="30" spans="1:34" ht="30" x14ac:dyDescent="0.25">
      <c r="A30" t="s">
        <v>141</v>
      </c>
      <c r="B30" t="s">
        <v>27</v>
      </c>
      <c r="C30" t="s">
        <v>142</v>
      </c>
      <c r="D30" s="4" t="s">
        <v>143</v>
      </c>
      <c r="E30">
        <v>600</v>
      </c>
      <c r="F30" t="s">
        <v>30</v>
      </c>
      <c r="G30" s="3">
        <v>1684</v>
      </c>
      <c r="H30" s="3">
        <v>600</v>
      </c>
      <c r="I30" s="5">
        <v>1010400</v>
      </c>
      <c r="J30" s="4" t="s">
        <v>144</v>
      </c>
      <c r="K30" s="3"/>
      <c r="L30" s="3"/>
      <c r="M30" s="5"/>
      <c r="O30" s="3"/>
      <c r="P30" s="3"/>
      <c r="Q30" s="5"/>
      <c r="S30" s="3"/>
      <c r="T30" s="3"/>
      <c r="U30" s="5"/>
      <c r="W30" s="3"/>
      <c r="X30" s="3"/>
      <c r="Y30" s="5"/>
      <c r="AA30" s="3">
        <v>2150</v>
      </c>
      <c r="AB30" s="3">
        <v>600</v>
      </c>
      <c r="AC30" s="5">
        <v>1290000</v>
      </c>
      <c r="AD30" s="4" t="s">
        <v>145</v>
      </c>
      <c r="AE30" s="3"/>
      <c r="AF30" s="3"/>
      <c r="AG30" s="5"/>
    </row>
    <row r="31" spans="1:34" ht="30" x14ac:dyDescent="0.25">
      <c r="A31" t="s">
        <v>146</v>
      </c>
      <c r="B31" t="s">
        <v>27</v>
      </c>
      <c r="C31" t="s">
        <v>147</v>
      </c>
      <c r="D31" s="4" t="s">
        <v>148</v>
      </c>
      <c r="E31">
        <v>430</v>
      </c>
      <c r="F31" t="s">
        <v>30</v>
      </c>
      <c r="G31" s="3">
        <v>510</v>
      </c>
      <c r="H31" s="3">
        <v>430</v>
      </c>
      <c r="I31" s="5">
        <v>219300</v>
      </c>
      <c r="J31" s="4" t="s">
        <v>149</v>
      </c>
      <c r="K31" s="3"/>
      <c r="L31" s="3"/>
      <c r="M31" s="5"/>
      <c r="O31" s="3"/>
      <c r="P31" s="3"/>
      <c r="Q31" s="5"/>
      <c r="S31" s="3"/>
      <c r="T31" s="3"/>
      <c r="U31" s="5"/>
      <c r="W31" s="3"/>
      <c r="X31" s="3"/>
      <c r="Y31" s="5"/>
      <c r="AA31" s="3">
        <v>530</v>
      </c>
      <c r="AB31" s="3">
        <v>430</v>
      </c>
      <c r="AC31" s="5">
        <v>227900</v>
      </c>
      <c r="AD31" s="4" t="s">
        <v>150</v>
      </c>
      <c r="AE31" s="3"/>
      <c r="AF31" s="3"/>
      <c r="AG31" s="5"/>
    </row>
    <row r="32" spans="1:34" ht="45" x14ac:dyDescent="0.25">
      <c r="A32" t="s">
        <v>151</v>
      </c>
      <c r="B32" t="s">
        <v>27</v>
      </c>
      <c r="C32" t="s">
        <v>152</v>
      </c>
      <c r="D32" t="s">
        <v>153</v>
      </c>
      <c r="E32">
        <v>30</v>
      </c>
      <c r="F32" t="s">
        <v>30</v>
      </c>
      <c r="G32" s="3">
        <v>259</v>
      </c>
      <c r="H32" s="3">
        <v>30</v>
      </c>
      <c r="I32" s="5">
        <v>7770</v>
      </c>
      <c r="J32" s="4" t="s">
        <v>154</v>
      </c>
      <c r="K32" s="3"/>
      <c r="L32" s="3"/>
      <c r="M32" s="5"/>
      <c r="O32" s="3"/>
      <c r="P32" s="3"/>
      <c r="Q32" s="5"/>
      <c r="S32" s="3">
        <v>533</v>
      </c>
      <c r="T32" s="3">
        <v>30</v>
      </c>
      <c r="U32" s="5">
        <v>15990</v>
      </c>
      <c r="V32" t="s">
        <v>155</v>
      </c>
      <c r="W32" s="3">
        <v>694</v>
      </c>
      <c r="X32" s="3">
        <v>30</v>
      </c>
      <c r="Y32" s="5">
        <v>20820</v>
      </c>
      <c r="Z32" s="4" t="s">
        <v>156</v>
      </c>
      <c r="AA32" s="3"/>
      <c r="AB32" s="3"/>
      <c r="AC32" s="5"/>
      <c r="AE32" s="3"/>
      <c r="AF32" s="3"/>
      <c r="AG32" s="5"/>
    </row>
    <row r="33" spans="1:33" ht="30" x14ac:dyDescent="0.25">
      <c r="A33" t="s">
        <v>157</v>
      </c>
      <c r="B33" t="s">
        <v>27</v>
      </c>
      <c r="C33" t="s">
        <v>158</v>
      </c>
      <c r="D33" s="4" t="s">
        <v>159</v>
      </c>
      <c r="E33">
        <v>11</v>
      </c>
      <c r="F33" t="s">
        <v>30</v>
      </c>
      <c r="G33" s="3"/>
      <c r="H33" s="3"/>
      <c r="I33" s="5"/>
      <c r="K33" s="3"/>
      <c r="L33" s="3"/>
      <c r="M33" s="5"/>
      <c r="O33" s="3"/>
      <c r="P33" s="3"/>
      <c r="Q33" s="5"/>
      <c r="S33" s="3">
        <v>56584</v>
      </c>
      <c r="T33" s="3">
        <v>11</v>
      </c>
      <c r="U33" s="5">
        <v>622424</v>
      </c>
      <c r="V33" t="s">
        <v>160</v>
      </c>
      <c r="W33" s="3"/>
      <c r="X33" s="3"/>
      <c r="Y33" s="5"/>
      <c r="AA33" s="3"/>
      <c r="AB33" s="3"/>
      <c r="AC33" s="5"/>
      <c r="AE33" s="3"/>
      <c r="AF33" s="3"/>
      <c r="AG33" s="5"/>
    </row>
    <row r="34" spans="1:33" ht="30" x14ac:dyDescent="0.25">
      <c r="A34" t="s">
        <v>161</v>
      </c>
      <c r="B34" t="s">
        <v>27</v>
      </c>
      <c r="C34" t="s">
        <v>162</v>
      </c>
      <c r="D34" s="4" t="s">
        <v>163</v>
      </c>
      <c r="E34">
        <v>16</v>
      </c>
      <c r="F34" t="s">
        <v>30</v>
      </c>
      <c r="G34" s="3"/>
      <c r="H34" s="3"/>
      <c r="I34" s="5"/>
      <c r="K34" s="3"/>
      <c r="L34" s="3"/>
      <c r="M34" s="5"/>
      <c r="O34" s="3"/>
      <c r="P34" s="3"/>
      <c r="Q34" s="5"/>
      <c r="S34" s="3">
        <v>12510.5</v>
      </c>
      <c r="T34" s="3">
        <v>16</v>
      </c>
      <c r="U34" s="5">
        <v>200168</v>
      </c>
      <c r="V34" t="s">
        <v>164</v>
      </c>
      <c r="W34" s="3"/>
      <c r="X34" s="3"/>
      <c r="Y34" s="5"/>
      <c r="AA34" s="3">
        <v>68000</v>
      </c>
      <c r="AB34" s="3">
        <v>16</v>
      </c>
      <c r="AC34" s="5">
        <v>1088000</v>
      </c>
      <c r="AD34" s="4" t="s">
        <v>165</v>
      </c>
      <c r="AE34" s="3"/>
      <c r="AF34" s="3"/>
      <c r="AG34" s="5"/>
    </row>
    <row r="35" spans="1:33" ht="30" x14ac:dyDescent="0.25">
      <c r="A35" t="s">
        <v>166</v>
      </c>
      <c r="B35" t="s">
        <v>27</v>
      </c>
      <c r="C35" t="s">
        <v>167</v>
      </c>
      <c r="D35" t="s">
        <v>168</v>
      </c>
      <c r="E35">
        <v>12</v>
      </c>
      <c r="F35" t="s">
        <v>30</v>
      </c>
      <c r="G35" s="3"/>
      <c r="H35" s="3"/>
      <c r="I35" s="5"/>
      <c r="K35" s="3"/>
      <c r="L35" s="3"/>
      <c r="M35" s="5"/>
      <c r="O35" s="3">
        <v>3398.85</v>
      </c>
      <c r="P35" s="3">
        <v>12</v>
      </c>
      <c r="Q35" s="5">
        <v>40786.199999999997</v>
      </c>
      <c r="R35" s="4" t="s">
        <v>169</v>
      </c>
      <c r="S35" s="3">
        <v>3758.5</v>
      </c>
      <c r="T35" s="3">
        <v>12</v>
      </c>
      <c r="U35" s="5">
        <v>45102</v>
      </c>
      <c r="V35" t="s">
        <v>170</v>
      </c>
      <c r="W35" s="3">
        <v>4038</v>
      </c>
      <c r="X35" s="3">
        <v>12</v>
      </c>
      <c r="Y35" s="5">
        <v>48456</v>
      </c>
      <c r="Z35" t="s">
        <v>171</v>
      </c>
      <c r="AA35" s="3">
        <v>4500</v>
      </c>
      <c r="AB35" s="3">
        <v>12</v>
      </c>
      <c r="AC35" s="5">
        <v>54000</v>
      </c>
      <c r="AD35" t="s">
        <v>172</v>
      </c>
      <c r="AE35" s="3"/>
      <c r="AF35" s="3"/>
      <c r="AG35" s="5"/>
    </row>
    <row r="36" spans="1:33" ht="30" x14ac:dyDescent="0.25">
      <c r="A36" t="s">
        <v>173</v>
      </c>
      <c r="B36" t="s">
        <v>27</v>
      </c>
      <c r="C36" t="s">
        <v>174</v>
      </c>
      <c r="D36" t="s">
        <v>175</v>
      </c>
      <c r="E36">
        <v>12</v>
      </c>
      <c r="F36" t="s">
        <v>30</v>
      </c>
      <c r="G36" s="3"/>
      <c r="H36" s="3"/>
      <c r="I36" s="5"/>
      <c r="K36" s="3"/>
      <c r="L36" s="3"/>
      <c r="M36" s="5"/>
      <c r="O36" s="3">
        <v>3398.85</v>
      </c>
      <c r="P36" s="3">
        <v>12</v>
      </c>
      <c r="Q36" s="5">
        <v>40786.199999999997</v>
      </c>
      <c r="R36" s="4" t="s">
        <v>176</v>
      </c>
      <c r="S36" s="3">
        <v>3758.5</v>
      </c>
      <c r="T36" s="3">
        <v>12</v>
      </c>
      <c r="U36" s="5">
        <v>45102</v>
      </c>
      <c r="V36" t="s">
        <v>170</v>
      </c>
      <c r="W36" s="3">
        <v>4038</v>
      </c>
      <c r="X36" s="3">
        <v>12</v>
      </c>
      <c r="Y36" s="5">
        <v>48456</v>
      </c>
      <c r="Z36" t="s">
        <v>177</v>
      </c>
      <c r="AA36" s="3">
        <v>4500</v>
      </c>
      <c r="AB36" s="3">
        <v>12</v>
      </c>
      <c r="AC36" s="5">
        <v>54000</v>
      </c>
      <c r="AD36" t="s">
        <v>178</v>
      </c>
      <c r="AE36" s="3"/>
      <c r="AF36" s="3"/>
      <c r="AG36" s="5"/>
    </row>
    <row r="37" spans="1:33" ht="30" x14ac:dyDescent="0.25">
      <c r="A37" t="s">
        <v>179</v>
      </c>
      <c r="B37" t="s">
        <v>27</v>
      </c>
      <c r="C37" t="s">
        <v>180</v>
      </c>
      <c r="D37" t="s">
        <v>181</v>
      </c>
      <c r="E37">
        <v>12</v>
      </c>
      <c r="F37" t="s">
        <v>30</v>
      </c>
      <c r="G37" s="3"/>
      <c r="H37" s="3"/>
      <c r="I37" s="5"/>
      <c r="K37" s="3"/>
      <c r="L37" s="3"/>
      <c r="M37" s="5"/>
      <c r="O37" s="3">
        <v>3398.85</v>
      </c>
      <c r="P37" s="3">
        <v>12</v>
      </c>
      <c r="Q37" s="5">
        <v>40786.199999999997</v>
      </c>
      <c r="R37" s="4" t="s">
        <v>182</v>
      </c>
      <c r="S37" s="3">
        <v>3758.5</v>
      </c>
      <c r="T37" s="3">
        <v>12</v>
      </c>
      <c r="U37" s="5">
        <v>45102</v>
      </c>
      <c r="V37" t="s">
        <v>183</v>
      </c>
      <c r="W37" s="3">
        <v>4038</v>
      </c>
      <c r="X37" s="3">
        <v>12</v>
      </c>
      <c r="Y37" s="5">
        <v>48456</v>
      </c>
      <c r="Z37" t="s">
        <v>184</v>
      </c>
      <c r="AA37" s="3">
        <v>4500</v>
      </c>
      <c r="AB37" s="3">
        <v>12</v>
      </c>
      <c r="AC37" s="5">
        <v>54000</v>
      </c>
      <c r="AD37" t="s">
        <v>185</v>
      </c>
      <c r="AE37" s="3"/>
      <c r="AF37" s="3"/>
      <c r="AG37" s="5"/>
    </row>
    <row r="38" spans="1:33" ht="45" x14ac:dyDescent="0.25">
      <c r="A38" t="s">
        <v>186</v>
      </c>
      <c r="B38" t="s">
        <v>27</v>
      </c>
      <c r="C38" t="s">
        <v>187</v>
      </c>
      <c r="D38" s="4" t="s">
        <v>188</v>
      </c>
      <c r="E38">
        <v>93</v>
      </c>
      <c r="F38" t="s">
        <v>30</v>
      </c>
      <c r="G38" s="3"/>
      <c r="H38" s="3"/>
      <c r="I38" s="5"/>
      <c r="K38" s="3">
        <v>23848</v>
      </c>
      <c r="L38" s="3">
        <v>93</v>
      </c>
      <c r="M38" s="5">
        <v>2217864</v>
      </c>
      <c r="N38" s="4" t="s">
        <v>189</v>
      </c>
      <c r="O38" s="3"/>
      <c r="P38" s="3"/>
      <c r="Q38" s="5"/>
      <c r="S38" s="3">
        <v>7191</v>
      </c>
      <c r="T38" s="3">
        <v>93</v>
      </c>
      <c r="U38" s="5">
        <v>668763</v>
      </c>
      <c r="V38" t="s">
        <v>190</v>
      </c>
      <c r="W38" s="3"/>
      <c r="X38" s="3"/>
      <c r="Y38" s="5"/>
      <c r="AA38" s="3">
        <v>5800</v>
      </c>
      <c r="AB38" s="3">
        <v>93</v>
      </c>
      <c r="AC38" s="5">
        <v>539400</v>
      </c>
      <c r="AD38" s="4" t="s">
        <v>191</v>
      </c>
      <c r="AE38" s="3"/>
      <c r="AF38" s="3"/>
      <c r="AG38" s="5"/>
    </row>
    <row r="39" spans="1:33" x14ac:dyDescent="0.25">
      <c r="A39" t="s">
        <v>192</v>
      </c>
      <c r="B39" t="s">
        <v>27</v>
      </c>
      <c r="C39" t="s">
        <v>193</v>
      </c>
      <c r="D39" t="s">
        <v>194</v>
      </c>
      <c r="E39">
        <v>4</v>
      </c>
      <c r="F39" t="s">
        <v>30</v>
      </c>
      <c r="G39" s="3"/>
      <c r="H39" s="3"/>
      <c r="I39" s="5"/>
      <c r="K39" s="3"/>
      <c r="L39" s="3"/>
      <c r="M39" s="5"/>
      <c r="O39" s="3"/>
      <c r="P39" s="3"/>
      <c r="Q39" s="5"/>
      <c r="S39" s="3"/>
      <c r="T39" s="3"/>
      <c r="U39" s="5"/>
      <c r="W39" s="3"/>
      <c r="X39" s="3"/>
      <c r="Y39" s="5"/>
      <c r="AA39" s="3">
        <v>98600</v>
      </c>
      <c r="AB39" s="3">
        <v>4</v>
      </c>
      <c r="AC39" s="5">
        <v>394400</v>
      </c>
      <c r="AD39" t="s">
        <v>195</v>
      </c>
      <c r="AE39" s="3"/>
      <c r="AF39" s="3"/>
      <c r="AG39" s="5"/>
    </row>
    <row r="40" spans="1:33" ht="30" x14ac:dyDescent="0.25">
      <c r="A40" t="s">
        <v>196</v>
      </c>
      <c r="B40" t="s">
        <v>27</v>
      </c>
      <c r="C40" t="s">
        <v>197</v>
      </c>
      <c r="D40" s="4" t="s">
        <v>198</v>
      </c>
      <c r="E40">
        <v>220</v>
      </c>
      <c r="F40" t="s">
        <v>30</v>
      </c>
      <c r="G40" s="3"/>
      <c r="H40" s="3"/>
      <c r="I40" s="5"/>
      <c r="K40" s="3"/>
      <c r="L40" s="3"/>
      <c r="M40" s="5"/>
      <c r="O40" s="3"/>
      <c r="P40" s="3"/>
      <c r="Q40" s="5"/>
      <c r="S40" s="3">
        <v>449.9</v>
      </c>
      <c r="T40" s="3">
        <v>220</v>
      </c>
      <c r="U40" s="5">
        <v>98978</v>
      </c>
      <c r="V40" t="s">
        <v>199</v>
      </c>
      <c r="W40" s="3">
        <v>509</v>
      </c>
      <c r="X40" s="3">
        <v>220</v>
      </c>
      <c r="Y40" s="5">
        <v>111980</v>
      </c>
      <c r="Z40" t="s">
        <v>200</v>
      </c>
      <c r="AA40" s="3">
        <v>400</v>
      </c>
      <c r="AB40" s="3">
        <v>220</v>
      </c>
      <c r="AC40" s="5">
        <v>88000</v>
      </c>
      <c r="AD40" s="4" t="s">
        <v>201</v>
      </c>
      <c r="AE40" s="3"/>
      <c r="AF40" s="3"/>
      <c r="AG40" s="5"/>
    </row>
    <row r="41" spans="1:33" ht="30" x14ac:dyDescent="0.25">
      <c r="A41" t="s">
        <v>202</v>
      </c>
      <c r="B41" t="s">
        <v>27</v>
      </c>
      <c r="C41" t="s">
        <v>203</v>
      </c>
      <c r="D41" s="4" t="s">
        <v>204</v>
      </c>
      <c r="E41">
        <v>30</v>
      </c>
      <c r="F41" t="s">
        <v>30</v>
      </c>
      <c r="G41" s="3"/>
      <c r="H41" s="3"/>
      <c r="I41" s="5"/>
      <c r="K41" s="3"/>
      <c r="L41" s="3"/>
      <c r="M41" s="5"/>
      <c r="O41" s="3"/>
      <c r="P41" s="3"/>
      <c r="Q41" s="5"/>
      <c r="S41" s="3"/>
      <c r="T41" s="3"/>
      <c r="U41" s="5"/>
      <c r="W41" s="3"/>
      <c r="X41" s="3"/>
      <c r="Y41" s="5"/>
      <c r="AA41" s="3"/>
      <c r="AB41" s="3"/>
      <c r="AC41" s="5"/>
      <c r="AE41" s="3"/>
      <c r="AF41" s="3"/>
      <c r="AG41" s="5"/>
    </row>
    <row r="42" spans="1:33" ht="30" x14ac:dyDescent="0.25">
      <c r="A42" t="s">
        <v>205</v>
      </c>
      <c r="B42" t="s">
        <v>27</v>
      </c>
      <c r="C42" t="s">
        <v>206</v>
      </c>
      <c r="D42" s="4" t="s">
        <v>207</v>
      </c>
      <c r="E42">
        <v>150</v>
      </c>
      <c r="F42" t="s">
        <v>30</v>
      </c>
      <c r="G42" s="3"/>
      <c r="H42" s="3"/>
      <c r="I42" s="5"/>
      <c r="K42" s="3"/>
      <c r="L42" s="3"/>
      <c r="M42" s="5"/>
      <c r="O42" s="3"/>
      <c r="P42" s="3"/>
      <c r="Q42" s="5"/>
      <c r="S42" s="3"/>
      <c r="T42" s="3"/>
      <c r="U42" s="5"/>
      <c r="W42" s="3"/>
      <c r="X42" s="3"/>
      <c r="Y42" s="5"/>
      <c r="AA42" s="3"/>
      <c r="AB42" s="3"/>
      <c r="AC42" s="5"/>
      <c r="AE42" s="3"/>
      <c r="AF42" s="3"/>
      <c r="AG42" s="5"/>
    </row>
    <row r="43" spans="1:33" ht="45" x14ac:dyDescent="0.25">
      <c r="A43" t="s">
        <v>208</v>
      </c>
      <c r="B43" t="s">
        <v>27</v>
      </c>
      <c r="C43" t="s">
        <v>209</v>
      </c>
      <c r="D43" s="4" t="s">
        <v>210</v>
      </c>
      <c r="E43">
        <v>98</v>
      </c>
      <c r="F43" t="s">
        <v>30</v>
      </c>
      <c r="G43" s="3"/>
      <c r="H43" s="3"/>
      <c r="I43" s="5"/>
      <c r="K43" s="3"/>
      <c r="L43" s="3"/>
      <c r="M43" s="5"/>
      <c r="O43" s="3">
        <v>686.25</v>
      </c>
      <c r="P43" s="3">
        <v>98</v>
      </c>
      <c r="Q43" s="5">
        <v>67252.5</v>
      </c>
      <c r="R43" s="4" t="s">
        <v>211</v>
      </c>
      <c r="S43" s="3">
        <v>1920</v>
      </c>
      <c r="T43" s="3">
        <v>98</v>
      </c>
      <c r="U43" s="5">
        <v>188160</v>
      </c>
      <c r="V43" s="4" t="s">
        <v>212</v>
      </c>
      <c r="W43" s="3"/>
      <c r="X43" s="3"/>
      <c r="Y43" s="5"/>
      <c r="AA43" s="3">
        <v>2000</v>
      </c>
      <c r="AB43" s="3">
        <v>98</v>
      </c>
      <c r="AC43" s="5">
        <v>196000</v>
      </c>
      <c r="AD43" s="4" t="s">
        <v>213</v>
      </c>
      <c r="AE43" s="3"/>
      <c r="AF43" s="3"/>
      <c r="AG43" s="5"/>
    </row>
    <row r="44" spans="1:33" ht="30" x14ac:dyDescent="0.25">
      <c r="A44" t="s">
        <v>214</v>
      </c>
      <c r="B44" t="s">
        <v>27</v>
      </c>
      <c r="C44" t="s">
        <v>215</v>
      </c>
      <c r="D44" s="4" t="s">
        <v>216</v>
      </c>
      <c r="E44">
        <v>80</v>
      </c>
      <c r="F44" t="s">
        <v>30</v>
      </c>
      <c r="G44" s="3"/>
      <c r="H44" s="3"/>
      <c r="I44" s="5"/>
      <c r="K44" s="3"/>
      <c r="L44" s="3"/>
      <c r="M44" s="5"/>
      <c r="O44" s="3"/>
      <c r="P44" s="3"/>
      <c r="Q44" s="5"/>
      <c r="S44" s="3"/>
      <c r="T44" s="3"/>
      <c r="U44" s="5"/>
      <c r="W44" s="3">
        <v>1571</v>
      </c>
      <c r="X44" s="3">
        <v>80</v>
      </c>
      <c r="Y44" s="5">
        <v>125680</v>
      </c>
      <c r="Z44" t="s">
        <v>217</v>
      </c>
      <c r="AA44" s="3"/>
      <c r="AB44" s="3"/>
      <c r="AC44" s="5"/>
      <c r="AE44" s="3"/>
      <c r="AF44" s="3"/>
      <c r="AG44" s="5"/>
    </row>
    <row r="45" spans="1:33" ht="30" x14ac:dyDescent="0.25">
      <c r="A45" t="s">
        <v>218</v>
      </c>
      <c r="B45" t="s">
        <v>27</v>
      </c>
      <c r="C45" t="s">
        <v>219</v>
      </c>
      <c r="D45" s="4" t="s">
        <v>220</v>
      </c>
      <c r="E45">
        <v>1500</v>
      </c>
      <c r="F45" t="s">
        <v>30</v>
      </c>
      <c r="G45" s="3">
        <v>389</v>
      </c>
      <c r="H45" s="3">
        <v>1500</v>
      </c>
      <c r="I45" s="5">
        <v>583500</v>
      </c>
      <c r="J45" s="4" t="s">
        <v>221</v>
      </c>
      <c r="K45" s="3"/>
      <c r="L45" s="3"/>
      <c r="M45" s="5"/>
      <c r="O45" s="3"/>
      <c r="P45" s="3"/>
      <c r="Q45" s="5"/>
      <c r="S45" s="3">
        <v>433.8</v>
      </c>
      <c r="T45" s="3">
        <v>1500</v>
      </c>
      <c r="U45" s="5">
        <v>650700</v>
      </c>
      <c r="V45" t="s">
        <v>222</v>
      </c>
      <c r="W45" s="3"/>
      <c r="X45" s="3"/>
      <c r="Y45" s="5"/>
      <c r="AA45" s="3">
        <v>325</v>
      </c>
      <c r="AB45" s="3">
        <v>1500</v>
      </c>
      <c r="AC45" s="5">
        <v>487500</v>
      </c>
      <c r="AD45" s="4" t="s">
        <v>223</v>
      </c>
      <c r="AE45" s="3"/>
      <c r="AF45" s="3"/>
      <c r="AG45" s="5"/>
    </row>
    <row r="46" spans="1:33" ht="30" x14ac:dyDescent="0.25">
      <c r="A46" t="s">
        <v>224</v>
      </c>
      <c r="B46" t="s">
        <v>27</v>
      </c>
      <c r="C46" t="s">
        <v>225</v>
      </c>
      <c r="D46" s="4" t="s">
        <v>226</v>
      </c>
      <c r="E46">
        <v>1500</v>
      </c>
      <c r="F46" t="s">
        <v>30</v>
      </c>
      <c r="G46" s="3">
        <v>389</v>
      </c>
      <c r="H46" s="3">
        <v>1500</v>
      </c>
      <c r="I46" s="5">
        <v>583500</v>
      </c>
      <c r="J46" s="4" t="s">
        <v>227</v>
      </c>
      <c r="K46" s="3"/>
      <c r="L46" s="3"/>
      <c r="M46" s="5"/>
      <c r="O46" s="3"/>
      <c r="P46" s="3"/>
      <c r="Q46" s="5"/>
      <c r="S46" s="3">
        <v>433.8</v>
      </c>
      <c r="T46" s="3">
        <v>1500</v>
      </c>
      <c r="U46" s="5">
        <v>650700</v>
      </c>
      <c r="V46" t="s">
        <v>228</v>
      </c>
      <c r="W46" s="3"/>
      <c r="X46" s="3"/>
      <c r="Y46" s="5"/>
      <c r="AA46" s="3">
        <v>325</v>
      </c>
      <c r="AB46" s="3">
        <v>1500</v>
      </c>
      <c r="AC46" s="5">
        <v>487500</v>
      </c>
      <c r="AD46" s="4" t="s">
        <v>229</v>
      </c>
      <c r="AE46" s="3"/>
      <c r="AF46" s="3"/>
      <c r="AG46" s="5"/>
    </row>
    <row r="47" spans="1:33" ht="30" x14ac:dyDescent="0.25">
      <c r="A47" t="s">
        <v>230</v>
      </c>
      <c r="B47" t="s">
        <v>27</v>
      </c>
      <c r="C47" t="s">
        <v>231</v>
      </c>
      <c r="D47" s="4" t="s">
        <v>232</v>
      </c>
      <c r="E47">
        <v>23</v>
      </c>
      <c r="F47" t="s">
        <v>30</v>
      </c>
      <c r="G47" s="3"/>
      <c r="H47" s="3"/>
      <c r="I47" s="5"/>
      <c r="K47" s="3"/>
      <c r="L47" s="3"/>
      <c r="M47" s="5"/>
      <c r="O47" s="3"/>
      <c r="P47" s="3"/>
      <c r="Q47" s="5"/>
      <c r="S47" s="3"/>
      <c r="T47" s="3"/>
      <c r="U47" s="5"/>
      <c r="W47" s="3"/>
      <c r="X47" s="3"/>
      <c r="Y47" s="5"/>
      <c r="AA47" s="3">
        <v>185000</v>
      </c>
      <c r="AB47" s="3">
        <v>23</v>
      </c>
      <c r="AC47" s="5">
        <v>4255000</v>
      </c>
      <c r="AD47" s="4" t="s">
        <v>233</v>
      </c>
      <c r="AE47" s="3"/>
      <c r="AF47" s="3"/>
      <c r="AG47" s="5"/>
    </row>
    <row r="48" spans="1:33" ht="30" x14ac:dyDescent="0.25">
      <c r="A48" t="s">
        <v>234</v>
      </c>
      <c r="B48" t="s">
        <v>27</v>
      </c>
      <c r="C48" t="s">
        <v>235</v>
      </c>
      <c r="D48" s="4" t="s">
        <v>236</v>
      </c>
      <c r="E48">
        <v>11</v>
      </c>
      <c r="F48" t="s">
        <v>30</v>
      </c>
      <c r="G48" s="3"/>
      <c r="H48" s="3"/>
      <c r="I48" s="5"/>
      <c r="K48" s="3"/>
      <c r="L48" s="3"/>
      <c r="M48" s="5"/>
      <c r="O48" s="3"/>
      <c r="P48" s="3"/>
      <c r="Q48" s="5"/>
      <c r="S48" s="3">
        <v>62407</v>
      </c>
      <c r="T48" s="3">
        <v>11</v>
      </c>
      <c r="U48" s="5">
        <v>686477</v>
      </c>
      <c r="V48" t="s">
        <v>237</v>
      </c>
      <c r="W48" s="3">
        <v>358</v>
      </c>
      <c r="X48" s="3">
        <v>11</v>
      </c>
      <c r="Y48" s="5">
        <v>3938</v>
      </c>
      <c r="Z48" t="s">
        <v>238</v>
      </c>
      <c r="AA48" s="3">
        <v>64000</v>
      </c>
      <c r="AB48" s="3">
        <v>11</v>
      </c>
      <c r="AC48" s="5">
        <v>704000</v>
      </c>
      <c r="AD48" t="s">
        <v>239</v>
      </c>
      <c r="AE48" s="3"/>
      <c r="AF48" s="3"/>
      <c r="AG48" s="5"/>
    </row>
    <row r="49" spans="1:34" x14ac:dyDescent="0.25">
      <c r="A49" t="s">
        <v>240</v>
      </c>
      <c r="B49" t="s">
        <v>27</v>
      </c>
      <c r="C49" t="s">
        <v>241</v>
      </c>
      <c r="D49" t="s">
        <v>242</v>
      </c>
      <c r="E49">
        <v>110</v>
      </c>
      <c r="F49" t="s">
        <v>30</v>
      </c>
      <c r="G49" s="3"/>
      <c r="H49" s="3"/>
      <c r="I49" s="5"/>
      <c r="K49" s="3"/>
      <c r="L49" s="3"/>
      <c r="M49" s="5"/>
      <c r="O49" s="3"/>
      <c r="P49" s="3"/>
      <c r="Q49" s="5"/>
      <c r="S49" s="3">
        <v>13271.3</v>
      </c>
      <c r="T49" s="3">
        <v>110</v>
      </c>
      <c r="U49" s="5">
        <v>1459843</v>
      </c>
      <c r="V49" t="s">
        <v>243</v>
      </c>
      <c r="W49" s="3">
        <v>920</v>
      </c>
      <c r="X49" s="3">
        <v>110</v>
      </c>
      <c r="Y49" s="5">
        <v>101200</v>
      </c>
      <c r="Z49" t="s">
        <v>244</v>
      </c>
      <c r="AA49" s="3">
        <v>4100</v>
      </c>
      <c r="AB49" s="3">
        <v>110</v>
      </c>
      <c r="AC49" s="5">
        <v>451000</v>
      </c>
      <c r="AD49" t="s">
        <v>245</v>
      </c>
      <c r="AE49" s="3"/>
      <c r="AF49" s="3"/>
      <c r="AG49" s="5"/>
    </row>
    <row r="50" spans="1:34" ht="30" x14ac:dyDescent="0.25">
      <c r="A50" t="s">
        <v>246</v>
      </c>
      <c r="B50" t="s">
        <v>27</v>
      </c>
      <c r="C50" t="s">
        <v>247</v>
      </c>
      <c r="D50" t="s">
        <v>248</v>
      </c>
      <c r="E50">
        <v>30</v>
      </c>
      <c r="F50" t="s">
        <v>30</v>
      </c>
      <c r="G50" s="3"/>
      <c r="H50" s="3"/>
      <c r="I50" s="5"/>
      <c r="K50" s="3"/>
      <c r="L50" s="3"/>
      <c r="M50" s="5"/>
      <c r="O50" s="3"/>
      <c r="P50" s="3"/>
      <c r="Q50" s="5"/>
      <c r="S50" s="3"/>
      <c r="T50" s="3"/>
      <c r="U50" s="5"/>
      <c r="W50" s="3">
        <v>2017</v>
      </c>
      <c r="X50" s="3">
        <v>30</v>
      </c>
      <c r="Y50" s="5">
        <v>60510</v>
      </c>
      <c r="Z50" s="4" t="s">
        <v>249</v>
      </c>
      <c r="AA50" s="3"/>
      <c r="AB50" s="3"/>
      <c r="AC50" s="5"/>
      <c r="AE50" s="3"/>
      <c r="AF50" s="3"/>
      <c r="AG50" s="5"/>
    </row>
    <row r="51" spans="1:34" ht="45" x14ac:dyDescent="0.25">
      <c r="A51" t="s">
        <v>250</v>
      </c>
      <c r="B51" t="s">
        <v>27</v>
      </c>
      <c r="C51" t="s">
        <v>251</v>
      </c>
      <c r="D51" s="4" t="s">
        <v>252</v>
      </c>
      <c r="E51">
        <v>33</v>
      </c>
      <c r="F51" t="s">
        <v>30</v>
      </c>
      <c r="G51" s="3"/>
      <c r="H51" s="3"/>
      <c r="I51" s="5"/>
      <c r="K51" s="3"/>
      <c r="L51" s="3"/>
      <c r="M51" s="5"/>
      <c r="O51" s="3"/>
      <c r="P51" s="3"/>
      <c r="Q51" s="5"/>
      <c r="S51" s="3"/>
      <c r="T51" s="3"/>
      <c r="U51" s="5"/>
      <c r="W51" s="3"/>
      <c r="X51" s="3"/>
      <c r="Y51" s="5"/>
      <c r="AA51" s="3">
        <v>9300</v>
      </c>
      <c r="AB51" s="3">
        <v>33</v>
      </c>
      <c r="AC51" s="5">
        <v>306900</v>
      </c>
      <c r="AD51" s="4" t="s">
        <v>253</v>
      </c>
      <c r="AE51" s="3"/>
      <c r="AF51" s="3"/>
      <c r="AG51" s="5"/>
    </row>
    <row r="52" spans="1:34" ht="30" x14ac:dyDescent="0.25">
      <c r="A52" t="s">
        <v>254</v>
      </c>
      <c r="B52" t="s">
        <v>27</v>
      </c>
      <c r="C52" t="s">
        <v>255</v>
      </c>
      <c r="D52" s="4" t="s">
        <v>256</v>
      </c>
      <c r="E52">
        <v>6</v>
      </c>
      <c r="F52" t="s">
        <v>30</v>
      </c>
      <c r="G52" s="3"/>
      <c r="H52" s="3"/>
      <c r="I52" s="5"/>
      <c r="K52" s="3"/>
      <c r="L52" s="3"/>
      <c r="M52" s="5"/>
      <c r="O52" s="3"/>
      <c r="P52" s="3"/>
      <c r="Q52" s="5"/>
      <c r="S52" s="3"/>
      <c r="T52" s="3"/>
      <c r="U52" s="5"/>
      <c r="W52" s="3"/>
      <c r="X52" s="3"/>
      <c r="Y52" s="5"/>
      <c r="AA52" s="3">
        <v>68000</v>
      </c>
      <c r="AB52" s="3">
        <v>6</v>
      </c>
      <c r="AC52" s="5">
        <v>408000</v>
      </c>
      <c r="AD52" s="4" t="s">
        <v>257</v>
      </c>
      <c r="AE52" s="3"/>
      <c r="AF52" s="3"/>
      <c r="AG52" s="5"/>
    </row>
    <row r="53" spans="1:34" ht="30" x14ac:dyDescent="0.25">
      <c r="A53" t="s">
        <v>258</v>
      </c>
      <c r="B53" t="s">
        <v>27</v>
      </c>
      <c r="C53" t="s">
        <v>259</v>
      </c>
      <c r="D53" s="4" t="s">
        <v>260</v>
      </c>
      <c r="E53">
        <v>130</v>
      </c>
      <c r="F53" t="s">
        <v>30</v>
      </c>
      <c r="G53" s="3"/>
      <c r="H53" s="3"/>
      <c r="I53" s="5"/>
      <c r="K53" s="3"/>
      <c r="L53" s="3"/>
      <c r="M53" s="5"/>
      <c r="O53" s="3"/>
      <c r="P53" s="3"/>
      <c r="Q53" s="5"/>
      <c r="S53" s="3"/>
      <c r="T53" s="3"/>
      <c r="U53" s="5"/>
      <c r="W53" s="3"/>
      <c r="X53" s="3"/>
      <c r="Y53" s="5"/>
      <c r="AA53" s="3"/>
      <c r="AB53" s="3"/>
      <c r="AC53" s="5"/>
      <c r="AE53" s="3"/>
      <c r="AF53" s="3"/>
      <c r="AG53" s="5"/>
    </row>
    <row r="54" spans="1:34" ht="30" x14ac:dyDescent="0.25">
      <c r="A54" t="s">
        <v>261</v>
      </c>
      <c r="B54" t="s">
        <v>27</v>
      </c>
      <c r="C54" t="s">
        <v>262</v>
      </c>
      <c r="D54" s="4" t="s">
        <v>263</v>
      </c>
      <c r="E54">
        <v>110</v>
      </c>
      <c r="F54" t="s">
        <v>30</v>
      </c>
      <c r="G54" s="3"/>
      <c r="H54" s="3"/>
      <c r="I54" s="5"/>
      <c r="K54" s="3"/>
      <c r="L54" s="3"/>
      <c r="M54" s="5"/>
      <c r="O54" s="3"/>
      <c r="P54" s="3"/>
      <c r="Q54" s="5"/>
      <c r="S54" s="3"/>
      <c r="T54" s="3"/>
      <c r="U54" s="5"/>
      <c r="W54" s="3"/>
      <c r="X54" s="3"/>
      <c r="Y54" s="5"/>
      <c r="AA54" s="3"/>
      <c r="AB54" s="3"/>
      <c r="AC54" s="5"/>
      <c r="AE54" s="3"/>
      <c r="AF54" s="3"/>
      <c r="AG54" s="5"/>
    </row>
    <row r="55" spans="1:34" ht="30" x14ac:dyDescent="0.25">
      <c r="A55" t="s">
        <v>264</v>
      </c>
      <c r="B55" t="s">
        <v>27</v>
      </c>
      <c r="C55" t="s">
        <v>265</v>
      </c>
      <c r="D55" s="4" t="s">
        <v>266</v>
      </c>
      <c r="E55">
        <v>130</v>
      </c>
      <c r="F55" t="s">
        <v>30</v>
      </c>
      <c r="G55" s="3"/>
      <c r="H55" s="3"/>
      <c r="I55" s="5"/>
      <c r="K55" s="3"/>
      <c r="L55" s="3"/>
      <c r="M55" s="5"/>
      <c r="O55" s="3"/>
      <c r="P55" s="3"/>
      <c r="Q55" s="5"/>
      <c r="S55" s="3"/>
      <c r="T55" s="3"/>
      <c r="U55" s="5"/>
      <c r="W55" s="3"/>
      <c r="X55" s="3"/>
      <c r="Y55" s="5"/>
      <c r="AA55" s="3"/>
      <c r="AB55" s="3"/>
      <c r="AC55" s="5"/>
      <c r="AE55" s="3"/>
      <c r="AF55" s="3"/>
      <c r="AG55" s="5"/>
    </row>
    <row r="56" spans="1:34" ht="30" x14ac:dyDescent="0.25">
      <c r="A56" t="s">
        <v>267</v>
      </c>
      <c r="B56" t="s">
        <v>27</v>
      </c>
      <c r="C56" t="s">
        <v>268</v>
      </c>
      <c r="D56" s="4" t="s">
        <v>269</v>
      </c>
      <c r="E56">
        <v>70</v>
      </c>
      <c r="F56" t="s">
        <v>30</v>
      </c>
      <c r="G56" s="3"/>
      <c r="H56" s="3"/>
      <c r="I56" s="5"/>
      <c r="K56" s="3"/>
      <c r="L56" s="3"/>
      <c r="M56" s="5"/>
      <c r="O56" s="3"/>
      <c r="P56" s="3"/>
      <c r="Q56" s="5"/>
      <c r="S56" s="3">
        <v>257.5</v>
      </c>
      <c r="T56" s="3">
        <v>70</v>
      </c>
      <c r="U56" s="5">
        <v>18025</v>
      </c>
      <c r="V56" t="s">
        <v>270</v>
      </c>
      <c r="W56" s="3">
        <v>347</v>
      </c>
      <c r="X56" s="3">
        <v>70</v>
      </c>
      <c r="Y56" s="5">
        <v>24290</v>
      </c>
      <c r="Z56" t="s">
        <v>271</v>
      </c>
      <c r="AA56" s="3"/>
      <c r="AB56" s="3"/>
      <c r="AC56" s="5"/>
      <c r="AE56" s="3"/>
      <c r="AF56" s="3"/>
      <c r="AG56" s="5"/>
    </row>
    <row r="57" spans="1:34" ht="45" x14ac:dyDescent="0.25">
      <c r="A57" t="s">
        <v>272</v>
      </c>
      <c r="B57" t="s">
        <v>27</v>
      </c>
      <c r="C57" t="s">
        <v>273</v>
      </c>
      <c r="D57" t="s">
        <v>274</v>
      </c>
      <c r="E57">
        <v>100</v>
      </c>
      <c r="F57" t="s">
        <v>30</v>
      </c>
      <c r="G57" s="3"/>
      <c r="H57" s="3"/>
      <c r="I57" s="5"/>
      <c r="K57" s="3"/>
      <c r="L57" s="3"/>
      <c r="M57" s="5"/>
      <c r="O57" s="3"/>
      <c r="P57" s="3"/>
      <c r="Q57" s="5"/>
      <c r="S57" s="3">
        <v>4544.8999999999996</v>
      </c>
      <c r="T57" s="3">
        <v>100</v>
      </c>
      <c r="U57" s="5">
        <v>454490</v>
      </c>
      <c r="V57" t="s">
        <v>275</v>
      </c>
      <c r="W57" s="3">
        <v>5134</v>
      </c>
      <c r="X57" s="3">
        <v>100</v>
      </c>
      <c r="Y57" s="5">
        <v>513400</v>
      </c>
      <c r="Z57" s="4" t="s">
        <v>276</v>
      </c>
      <c r="AA57" s="3"/>
      <c r="AB57" s="3"/>
      <c r="AC57" s="5"/>
      <c r="AE57" s="3"/>
      <c r="AF57" s="3"/>
      <c r="AG57" s="5"/>
    </row>
    <row r="58" spans="1:34" ht="30" x14ac:dyDescent="0.25">
      <c r="A58" t="s">
        <v>277</v>
      </c>
      <c r="B58" t="s">
        <v>27</v>
      </c>
      <c r="C58" t="s">
        <v>278</v>
      </c>
      <c r="D58" s="4" t="s">
        <v>279</v>
      </c>
      <c r="E58">
        <v>100</v>
      </c>
      <c r="F58" t="s">
        <v>30</v>
      </c>
      <c r="G58" s="3"/>
      <c r="H58" s="3"/>
      <c r="I58" s="5"/>
      <c r="K58" s="3"/>
      <c r="L58" s="3"/>
      <c r="M58" s="5"/>
      <c r="O58" s="3"/>
      <c r="P58" s="3"/>
      <c r="Q58" s="5"/>
      <c r="S58" s="3">
        <v>6682.2</v>
      </c>
      <c r="T58" s="3">
        <v>100</v>
      </c>
      <c r="U58" s="5">
        <v>668220</v>
      </c>
      <c r="V58" t="s">
        <v>280</v>
      </c>
      <c r="W58" s="3"/>
      <c r="X58" s="3"/>
      <c r="Y58" s="5"/>
      <c r="AA58" s="3">
        <v>6480</v>
      </c>
      <c r="AB58" s="3">
        <v>100</v>
      </c>
      <c r="AC58" s="5">
        <v>648000</v>
      </c>
      <c r="AD58" s="4" t="s">
        <v>281</v>
      </c>
      <c r="AE58" s="3"/>
      <c r="AF58" s="3"/>
      <c r="AG58" s="5"/>
    </row>
    <row r="59" spans="1:34" ht="30" x14ac:dyDescent="0.25">
      <c r="A59" t="s">
        <v>282</v>
      </c>
      <c r="B59" t="s">
        <v>27</v>
      </c>
      <c r="C59" t="s">
        <v>283</v>
      </c>
      <c r="D59" s="4" t="s">
        <v>284</v>
      </c>
      <c r="E59">
        <v>240</v>
      </c>
      <c r="F59" t="s">
        <v>30</v>
      </c>
      <c r="G59" s="3"/>
      <c r="H59" s="3"/>
      <c r="I59" s="5"/>
      <c r="K59" s="3"/>
      <c r="L59" s="3"/>
      <c r="M59" s="5"/>
      <c r="O59" s="3"/>
      <c r="P59" s="3"/>
      <c r="Q59" s="5"/>
      <c r="S59" s="3">
        <v>1934.4</v>
      </c>
      <c r="T59" s="3">
        <v>240</v>
      </c>
      <c r="U59" s="5">
        <v>464256</v>
      </c>
      <c r="V59" t="s">
        <v>285</v>
      </c>
      <c r="W59" s="3"/>
      <c r="X59" s="3"/>
      <c r="Y59" s="5"/>
      <c r="AA59" s="3"/>
      <c r="AB59" s="3"/>
      <c r="AC59" s="5"/>
      <c r="AE59" s="3">
        <v>2324.33</v>
      </c>
      <c r="AF59" s="3">
        <v>240</v>
      </c>
      <c r="AG59" s="5">
        <v>557839.19999999995</v>
      </c>
      <c r="AH59" t="s">
        <v>286</v>
      </c>
    </row>
    <row r="60" spans="1:34" ht="30" x14ac:dyDescent="0.25">
      <c r="A60" t="s">
        <v>287</v>
      </c>
      <c r="B60" t="s">
        <v>27</v>
      </c>
      <c r="C60" t="s">
        <v>288</v>
      </c>
      <c r="D60" s="4" t="s">
        <v>289</v>
      </c>
      <c r="E60">
        <v>240</v>
      </c>
      <c r="F60" t="s">
        <v>30</v>
      </c>
      <c r="G60" s="3"/>
      <c r="H60" s="3"/>
      <c r="I60" s="5"/>
      <c r="K60" s="3"/>
      <c r="L60" s="3"/>
      <c r="M60" s="5"/>
      <c r="O60" s="3"/>
      <c r="P60" s="3"/>
      <c r="Q60" s="5"/>
      <c r="S60" s="3">
        <v>1934.4</v>
      </c>
      <c r="T60" s="3">
        <v>240</v>
      </c>
      <c r="U60" s="5">
        <v>464256</v>
      </c>
      <c r="V60" t="s">
        <v>290</v>
      </c>
      <c r="W60" s="3"/>
      <c r="X60" s="3"/>
      <c r="Y60" s="5"/>
      <c r="AA60" s="3"/>
      <c r="AB60" s="3"/>
      <c r="AC60" s="5"/>
      <c r="AE60" s="3">
        <v>2324.33</v>
      </c>
      <c r="AF60" s="3">
        <v>240</v>
      </c>
      <c r="AG60" s="5">
        <v>557839.19999999995</v>
      </c>
      <c r="AH60" t="s">
        <v>291</v>
      </c>
    </row>
    <row r="61" spans="1:34" ht="30" x14ac:dyDescent="0.25">
      <c r="A61" t="s">
        <v>292</v>
      </c>
      <c r="B61" t="s">
        <v>27</v>
      </c>
      <c r="C61" t="s">
        <v>293</v>
      </c>
      <c r="D61" s="4" t="s">
        <v>294</v>
      </c>
      <c r="E61">
        <v>240</v>
      </c>
      <c r="F61" t="s">
        <v>30</v>
      </c>
      <c r="G61" s="3"/>
      <c r="H61" s="3"/>
      <c r="I61" s="5"/>
      <c r="K61" s="3"/>
      <c r="L61" s="3"/>
      <c r="M61" s="5"/>
      <c r="O61" s="3"/>
      <c r="P61" s="3"/>
      <c r="Q61" s="5"/>
      <c r="S61" s="3">
        <v>1934.4</v>
      </c>
      <c r="T61" s="3">
        <v>240</v>
      </c>
      <c r="U61" s="5">
        <v>464256</v>
      </c>
      <c r="V61" t="s">
        <v>295</v>
      </c>
      <c r="W61" s="3"/>
      <c r="X61" s="3"/>
      <c r="Y61" s="5"/>
      <c r="AA61" s="3"/>
      <c r="AB61" s="3"/>
      <c r="AC61" s="5"/>
      <c r="AE61" s="3"/>
      <c r="AF61" s="3"/>
      <c r="AG61" s="5"/>
    </row>
    <row r="62" spans="1:34" ht="30" x14ac:dyDescent="0.25">
      <c r="A62" t="s">
        <v>296</v>
      </c>
      <c r="B62" t="s">
        <v>27</v>
      </c>
      <c r="C62" t="s">
        <v>297</v>
      </c>
      <c r="D62" s="4" t="s">
        <v>298</v>
      </c>
      <c r="E62">
        <v>10</v>
      </c>
      <c r="F62" t="s">
        <v>30</v>
      </c>
      <c r="G62" s="3"/>
      <c r="H62" s="3"/>
      <c r="I62" s="5"/>
      <c r="K62" s="3"/>
      <c r="L62" s="3"/>
      <c r="M62" s="5"/>
      <c r="O62" s="3"/>
      <c r="P62" s="3"/>
      <c r="Q62" s="5"/>
      <c r="S62" s="3">
        <v>6424</v>
      </c>
      <c r="T62" s="3">
        <v>10</v>
      </c>
      <c r="U62" s="5">
        <v>64240</v>
      </c>
      <c r="V62" t="s">
        <v>299</v>
      </c>
      <c r="W62" s="3"/>
      <c r="X62" s="3"/>
      <c r="Y62" s="5"/>
      <c r="AA62" s="3"/>
      <c r="AB62" s="3"/>
      <c r="AC62" s="5"/>
      <c r="AE62" s="3"/>
      <c r="AF62" s="3"/>
      <c r="AG62" s="5"/>
    </row>
    <row r="63" spans="1:34" ht="30" x14ac:dyDescent="0.25">
      <c r="A63" t="s">
        <v>300</v>
      </c>
      <c r="B63" t="s">
        <v>27</v>
      </c>
      <c r="C63" t="s">
        <v>301</v>
      </c>
      <c r="D63" s="4" t="s">
        <v>302</v>
      </c>
      <c r="E63">
        <v>20</v>
      </c>
      <c r="F63" t="s">
        <v>30</v>
      </c>
      <c r="G63" s="3"/>
      <c r="H63" s="3"/>
      <c r="I63" s="5"/>
      <c r="K63" s="3"/>
      <c r="L63" s="3"/>
      <c r="M63" s="5"/>
      <c r="O63" s="3"/>
      <c r="P63" s="3"/>
      <c r="Q63" s="5"/>
      <c r="S63" s="3"/>
      <c r="T63" s="3"/>
      <c r="U63" s="5"/>
      <c r="W63" s="3"/>
      <c r="X63" s="3"/>
      <c r="Y63" s="5"/>
      <c r="AA63" s="3"/>
      <c r="AB63" s="3"/>
      <c r="AC63" s="5"/>
      <c r="AE63" s="3"/>
      <c r="AF63" s="3"/>
      <c r="AG63" s="5"/>
    </row>
    <row r="64" spans="1:34" ht="30" x14ac:dyDescent="0.25">
      <c r="A64" t="s">
        <v>303</v>
      </c>
      <c r="B64" t="s">
        <v>27</v>
      </c>
      <c r="C64" t="s">
        <v>304</v>
      </c>
      <c r="D64" s="4" t="s">
        <v>305</v>
      </c>
      <c r="E64">
        <v>20</v>
      </c>
      <c r="F64" t="s">
        <v>30</v>
      </c>
      <c r="G64" s="3"/>
      <c r="H64" s="3"/>
      <c r="I64" s="5"/>
      <c r="K64" s="3"/>
      <c r="L64" s="3"/>
      <c r="M64" s="5"/>
      <c r="O64" s="3"/>
      <c r="P64" s="3"/>
      <c r="Q64" s="5"/>
      <c r="S64" s="3"/>
      <c r="T64" s="3"/>
      <c r="U64" s="5"/>
      <c r="W64" s="3"/>
      <c r="X64" s="3"/>
      <c r="Y64" s="5"/>
      <c r="AA64" s="3"/>
      <c r="AB64" s="3"/>
      <c r="AC64" s="5"/>
      <c r="AE64" s="3"/>
      <c r="AF64" s="3"/>
      <c r="AG64" s="5"/>
    </row>
    <row r="65" spans="1:33" ht="30" x14ac:dyDescent="0.25">
      <c r="A65" t="s">
        <v>306</v>
      </c>
      <c r="B65" t="s">
        <v>27</v>
      </c>
      <c r="C65" t="s">
        <v>307</v>
      </c>
      <c r="D65" s="4" t="s">
        <v>308</v>
      </c>
      <c r="E65">
        <v>20</v>
      </c>
      <c r="F65" t="s">
        <v>30</v>
      </c>
      <c r="G65" s="3"/>
      <c r="H65" s="3"/>
      <c r="I65" s="5"/>
      <c r="K65" s="3"/>
      <c r="L65" s="3"/>
      <c r="M65" s="5"/>
      <c r="O65" s="3"/>
      <c r="P65" s="3"/>
      <c r="Q65" s="5"/>
      <c r="S65" s="3"/>
      <c r="T65" s="3"/>
      <c r="U65" s="5"/>
      <c r="W65" s="3"/>
      <c r="X65" s="3"/>
      <c r="Y65" s="5"/>
      <c r="AA65" s="3"/>
      <c r="AB65" s="3"/>
      <c r="AC65" s="5"/>
      <c r="AE65" s="3"/>
      <c r="AF65" s="3"/>
      <c r="AG65" s="5"/>
    </row>
    <row r="66" spans="1:33" ht="30" x14ac:dyDescent="0.25">
      <c r="A66" t="s">
        <v>309</v>
      </c>
      <c r="B66" t="s">
        <v>27</v>
      </c>
      <c r="C66" t="s">
        <v>310</v>
      </c>
      <c r="D66" s="4" t="s">
        <v>311</v>
      </c>
      <c r="E66">
        <v>20</v>
      </c>
      <c r="F66" t="s">
        <v>30</v>
      </c>
      <c r="G66" s="3"/>
      <c r="H66" s="3"/>
      <c r="I66" s="5"/>
      <c r="K66" s="3"/>
      <c r="L66" s="3"/>
      <c r="M66" s="5"/>
      <c r="O66" s="3"/>
      <c r="P66" s="3"/>
      <c r="Q66" s="5"/>
      <c r="S66" s="3"/>
      <c r="T66" s="3"/>
      <c r="U66" s="5"/>
      <c r="W66" s="3"/>
      <c r="X66" s="3"/>
      <c r="Y66" s="5"/>
      <c r="AA66" s="3"/>
      <c r="AB66" s="3"/>
      <c r="AC66" s="5"/>
      <c r="AE66" s="3"/>
      <c r="AF66" s="3"/>
      <c r="AG66" s="5"/>
    </row>
    <row r="67" spans="1:33" ht="30" x14ac:dyDescent="0.25">
      <c r="A67" t="s">
        <v>312</v>
      </c>
      <c r="B67" t="s">
        <v>27</v>
      </c>
      <c r="C67" t="s">
        <v>313</v>
      </c>
      <c r="D67" s="4" t="s">
        <v>314</v>
      </c>
      <c r="E67">
        <v>20</v>
      </c>
      <c r="F67" t="s">
        <v>30</v>
      </c>
      <c r="G67" s="3"/>
      <c r="H67" s="3"/>
      <c r="I67" s="5"/>
      <c r="K67" s="3"/>
      <c r="L67" s="3"/>
      <c r="M67" s="5"/>
      <c r="O67" s="3"/>
      <c r="P67" s="3"/>
      <c r="Q67" s="5"/>
      <c r="S67" s="3">
        <v>1736.7</v>
      </c>
      <c r="T67" s="3">
        <v>20</v>
      </c>
      <c r="U67" s="5">
        <v>34734</v>
      </c>
      <c r="V67" t="s">
        <v>315</v>
      </c>
      <c r="W67" s="3">
        <v>1962</v>
      </c>
      <c r="X67" s="3">
        <v>20</v>
      </c>
      <c r="Y67" s="5">
        <v>39240</v>
      </c>
      <c r="Z67" t="s">
        <v>316</v>
      </c>
      <c r="AA67" s="3"/>
      <c r="AB67" s="3"/>
      <c r="AC67" s="5"/>
      <c r="AE67" s="3"/>
      <c r="AF67" s="3"/>
      <c r="AG67" s="5"/>
    </row>
    <row r="68" spans="1:33" ht="30" x14ac:dyDescent="0.25">
      <c r="A68" t="s">
        <v>317</v>
      </c>
      <c r="B68" t="s">
        <v>27</v>
      </c>
      <c r="C68" t="s">
        <v>318</v>
      </c>
      <c r="D68" s="4" t="s">
        <v>319</v>
      </c>
      <c r="E68">
        <v>20</v>
      </c>
      <c r="F68" t="s">
        <v>30</v>
      </c>
      <c r="G68" s="3"/>
      <c r="H68" s="3"/>
      <c r="I68" s="5"/>
      <c r="K68" s="3"/>
      <c r="L68" s="3"/>
      <c r="M68" s="5"/>
      <c r="O68" s="3"/>
      <c r="P68" s="3"/>
      <c r="Q68" s="5"/>
      <c r="S68" s="3">
        <v>1736.7</v>
      </c>
      <c r="T68" s="3">
        <v>20</v>
      </c>
      <c r="U68" s="5">
        <v>34734</v>
      </c>
      <c r="V68" t="s">
        <v>315</v>
      </c>
      <c r="W68" s="3">
        <v>1962</v>
      </c>
      <c r="X68" s="3">
        <v>20</v>
      </c>
      <c r="Y68" s="5">
        <v>39240</v>
      </c>
      <c r="Z68" t="s">
        <v>320</v>
      </c>
      <c r="AA68" s="3"/>
      <c r="AB68" s="3"/>
      <c r="AC68" s="5"/>
      <c r="AE68" s="3"/>
      <c r="AF68" s="3"/>
      <c r="AG68" s="5"/>
    </row>
    <row r="69" spans="1:33" ht="30" x14ac:dyDescent="0.25">
      <c r="A69" t="s">
        <v>321</v>
      </c>
      <c r="B69" t="s">
        <v>27</v>
      </c>
      <c r="C69" t="s">
        <v>322</v>
      </c>
      <c r="D69" s="4" t="s">
        <v>323</v>
      </c>
      <c r="E69">
        <v>20</v>
      </c>
      <c r="F69" t="s">
        <v>30</v>
      </c>
      <c r="G69" s="3"/>
      <c r="H69" s="3"/>
      <c r="I69" s="5"/>
      <c r="K69" s="3"/>
      <c r="L69" s="3"/>
      <c r="M69" s="5"/>
      <c r="O69" s="3"/>
      <c r="P69" s="3"/>
      <c r="Q69" s="5"/>
      <c r="S69" s="3">
        <v>1736.7</v>
      </c>
      <c r="T69" s="3">
        <v>20</v>
      </c>
      <c r="U69" s="5">
        <v>34734</v>
      </c>
      <c r="V69" t="s">
        <v>315</v>
      </c>
      <c r="W69" s="3">
        <v>1962</v>
      </c>
      <c r="X69" s="3">
        <v>20</v>
      </c>
      <c r="Y69" s="5">
        <v>39240</v>
      </c>
      <c r="Z69" t="s">
        <v>324</v>
      </c>
      <c r="AA69" s="3"/>
      <c r="AB69" s="3"/>
      <c r="AC69" s="5"/>
      <c r="AE69" s="3"/>
      <c r="AF69" s="3"/>
      <c r="AG69" s="5"/>
    </row>
    <row r="70" spans="1:33" ht="30" x14ac:dyDescent="0.25">
      <c r="A70" t="s">
        <v>325</v>
      </c>
      <c r="B70" t="s">
        <v>27</v>
      </c>
      <c r="C70" t="s">
        <v>326</v>
      </c>
      <c r="D70" s="4" t="s">
        <v>327</v>
      </c>
      <c r="E70">
        <v>20</v>
      </c>
      <c r="F70" t="s">
        <v>30</v>
      </c>
      <c r="G70" s="3"/>
      <c r="H70" s="3"/>
      <c r="I70" s="5"/>
      <c r="K70" s="3"/>
      <c r="L70" s="3"/>
      <c r="M70" s="5"/>
      <c r="O70" s="3"/>
      <c r="P70" s="3"/>
      <c r="Q70" s="5"/>
      <c r="S70" s="3">
        <v>1736.7</v>
      </c>
      <c r="T70" s="3">
        <v>20</v>
      </c>
      <c r="U70" s="5">
        <v>34734</v>
      </c>
      <c r="V70" t="s">
        <v>315</v>
      </c>
      <c r="W70" s="3">
        <v>1962</v>
      </c>
      <c r="X70" s="3">
        <v>20</v>
      </c>
      <c r="Y70" s="5">
        <v>39240</v>
      </c>
      <c r="Z70" t="s">
        <v>328</v>
      </c>
      <c r="AA70" s="3"/>
      <c r="AB70" s="3"/>
      <c r="AC70" s="5"/>
      <c r="AE70" s="3"/>
      <c r="AF70" s="3"/>
      <c r="AG70" s="5"/>
    </row>
    <row r="71" spans="1:33" ht="30" x14ac:dyDescent="0.25">
      <c r="A71" t="s">
        <v>329</v>
      </c>
      <c r="B71" t="s">
        <v>27</v>
      </c>
      <c r="C71" t="s">
        <v>330</v>
      </c>
      <c r="D71" s="4" t="s">
        <v>331</v>
      </c>
      <c r="E71">
        <v>40</v>
      </c>
      <c r="F71" t="s">
        <v>30</v>
      </c>
      <c r="G71" s="3"/>
      <c r="H71" s="3"/>
      <c r="I71" s="5"/>
      <c r="K71" s="3"/>
      <c r="L71" s="3"/>
      <c r="M71" s="5"/>
      <c r="O71" s="3"/>
      <c r="P71" s="3"/>
      <c r="Q71" s="5"/>
      <c r="S71" s="3">
        <v>1736.7</v>
      </c>
      <c r="T71" s="3">
        <v>40</v>
      </c>
      <c r="U71" s="5">
        <v>69468</v>
      </c>
      <c r="V71" t="s">
        <v>315</v>
      </c>
      <c r="W71" s="3">
        <v>1962</v>
      </c>
      <c r="X71" s="3">
        <v>40</v>
      </c>
      <c r="Y71" s="5">
        <v>78480</v>
      </c>
      <c r="Z71" t="s">
        <v>332</v>
      </c>
      <c r="AA71" s="3"/>
      <c r="AB71" s="3"/>
      <c r="AC71" s="5"/>
      <c r="AE71" s="3"/>
      <c r="AF71" s="3"/>
      <c r="AG71" s="5"/>
    </row>
    <row r="72" spans="1:33" ht="30" x14ac:dyDescent="0.25">
      <c r="A72" t="s">
        <v>333</v>
      </c>
      <c r="B72" t="s">
        <v>27</v>
      </c>
      <c r="C72" t="s">
        <v>334</v>
      </c>
      <c r="D72" s="4" t="s">
        <v>335</v>
      </c>
      <c r="E72">
        <v>30</v>
      </c>
      <c r="F72" t="s">
        <v>30</v>
      </c>
      <c r="G72" s="3"/>
      <c r="H72" s="3"/>
      <c r="I72" s="5"/>
      <c r="K72" s="3"/>
      <c r="L72" s="3"/>
      <c r="M72" s="5"/>
      <c r="O72" s="3"/>
      <c r="P72" s="3"/>
      <c r="Q72" s="5"/>
      <c r="S72" s="3">
        <v>1736.7</v>
      </c>
      <c r="T72" s="3">
        <v>30</v>
      </c>
      <c r="U72" s="5">
        <v>52101</v>
      </c>
      <c r="V72" t="s">
        <v>315</v>
      </c>
      <c r="W72" s="3">
        <v>1962</v>
      </c>
      <c r="X72" s="3">
        <v>30</v>
      </c>
      <c r="Y72" s="5">
        <v>58860</v>
      </c>
      <c r="Z72" t="s">
        <v>336</v>
      </c>
      <c r="AA72" s="3"/>
      <c r="AB72" s="3"/>
      <c r="AC72" s="5"/>
      <c r="AE72" s="3"/>
      <c r="AF72" s="3"/>
      <c r="AG72" s="5"/>
    </row>
    <row r="73" spans="1:33" ht="30" x14ac:dyDescent="0.25">
      <c r="A73" t="s">
        <v>337</v>
      </c>
      <c r="B73" t="s">
        <v>27</v>
      </c>
      <c r="C73" t="s">
        <v>338</v>
      </c>
      <c r="D73" s="4" t="s">
        <v>339</v>
      </c>
      <c r="E73">
        <v>20</v>
      </c>
      <c r="F73" t="s">
        <v>30</v>
      </c>
      <c r="G73" s="3"/>
      <c r="H73" s="3"/>
      <c r="I73" s="5"/>
      <c r="K73" s="3"/>
      <c r="L73" s="3"/>
      <c r="M73" s="5"/>
      <c r="O73" s="3"/>
      <c r="P73" s="3"/>
      <c r="Q73" s="5"/>
      <c r="S73" s="3">
        <v>1736.7</v>
      </c>
      <c r="T73" s="3">
        <v>20</v>
      </c>
      <c r="U73" s="5">
        <v>34734</v>
      </c>
      <c r="V73" t="s">
        <v>315</v>
      </c>
      <c r="W73" s="3">
        <v>1962</v>
      </c>
      <c r="X73" s="3">
        <v>20</v>
      </c>
      <c r="Y73" s="5">
        <v>39240</v>
      </c>
      <c r="Z73" t="s">
        <v>340</v>
      </c>
      <c r="AA73" s="3"/>
      <c r="AB73" s="3"/>
      <c r="AC73" s="5"/>
      <c r="AE73" s="3"/>
      <c r="AF73" s="3"/>
      <c r="AG73" s="5"/>
    </row>
    <row r="74" spans="1:33" ht="30" x14ac:dyDescent="0.25">
      <c r="A74" t="s">
        <v>341</v>
      </c>
      <c r="B74" t="s">
        <v>27</v>
      </c>
      <c r="C74" t="s">
        <v>342</v>
      </c>
      <c r="D74" s="4" t="s">
        <v>343</v>
      </c>
      <c r="E74">
        <v>20</v>
      </c>
      <c r="F74" t="s">
        <v>30</v>
      </c>
      <c r="G74" s="3"/>
      <c r="H74" s="3"/>
      <c r="I74" s="5"/>
      <c r="K74" s="3"/>
      <c r="L74" s="3"/>
      <c r="M74" s="5"/>
      <c r="O74" s="3"/>
      <c r="P74" s="3"/>
      <c r="Q74" s="5"/>
      <c r="S74" s="3">
        <v>1736.7</v>
      </c>
      <c r="T74" s="3">
        <v>20</v>
      </c>
      <c r="U74" s="5">
        <v>34734</v>
      </c>
      <c r="V74" t="s">
        <v>315</v>
      </c>
      <c r="W74" s="3">
        <v>1962</v>
      </c>
      <c r="X74" s="3">
        <v>20</v>
      </c>
      <c r="Y74" s="5">
        <v>39240</v>
      </c>
      <c r="Z74" t="s">
        <v>344</v>
      </c>
      <c r="AA74" s="3"/>
      <c r="AB74" s="3"/>
      <c r="AC74" s="5"/>
      <c r="AE74" s="3"/>
      <c r="AF74" s="3"/>
      <c r="AG74" s="5"/>
    </row>
    <row r="75" spans="1:33" ht="30" x14ac:dyDescent="0.25">
      <c r="A75" t="s">
        <v>345</v>
      </c>
      <c r="B75" t="s">
        <v>27</v>
      </c>
      <c r="C75" t="s">
        <v>346</v>
      </c>
      <c r="D75" s="4" t="s">
        <v>347</v>
      </c>
      <c r="E75">
        <v>10</v>
      </c>
      <c r="F75" t="s">
        <v>30</v>
      </c>
      <c r="G75" s="3"/>
      <c r="H75" s="3"/>
      <c r="I75" s="5"/>
      <c r="K75" s="3"/>
      <c r="L75" s="3"/>
      <c r="M75" s="5"/>
      <c r="O75" s="3"/>
      <c r="P75" s="3"/>
      <c r="Q75" s="5"/>
      <c r="S75" s="3">
        <v>1736.7</v>
      </c>
      <c r="T75" s="3">
        <v>10</v>
      </c>
      <c r="U75" s="5">
        <v>17367</v>
      </c>
      <c r="V75" t="s">
        <v>315</v>
      </c>
      <c r="W75" s="3">
        <v>1962</v>
      </c>
      <c r="X75" s="3">
        <v>10</v>
      </c>
      <c r="Y75" s="5">
        <v>19620</v>
      </c>
      <c r="Z75" t="s">
        <v>348</v>
      </c>
      <c r="AA75" s="3"/>
      <c r="AB75" s="3"/>
      <c r="AC75" s="5"/>
      <c r="AE75" s="3"/>
      <c r="AF75" s="3"/>
      <c r="AG75" s="5"/>
    </row>
    <row r="76" spans="1:33" ht="30" x14ac:dyDescent="0.25">
      <c r="A76" t="s">
        <v>349</v>
      </c>
      <c r="B76" t="s">
        <v>27</v>
      </c>
      <c r="C76" t="s">
        <v>350</v>
      </c>
      <c r="D76" s="4" t="s">
        <v>351</v>
      </c>
      <c r="E76">
        <v>15</v>
      </c>
      <c r="F76" t="s">
        <v>30</v>
      </c>
      <c r="G76" s="3"/>
      <c r="H76" s="3"/>
      <c r="I76" s="5"/>
      <c r="K76" s="3"/>
      <c r="L76" s="3"/>
      <c r="M76" s="5"/>
      <c r="O76" s="3"/>
      <c r="P76" s="3"/>
      <c r="Q76" s="5"/>
      <c r="S76" s="3">
        <v>1044</v>
      </c>
      <c r="T76" s="3">
        <v>15</v>
      </c>
      <c r="U76" s="5">
        <v>15660</v>
      </c>
      <c r="V76" t="s">
        <v>352</v>
      </c>
      <c r="W76" s="3">
        <v>13644</v>
      </c>
      <c r="X76" s="3">
        <v>15</v>
      </c>
      <c r="Y76" s="5">
        <v>204660</v>
      </c>
      <c r="Z76" t="s">
        <v>353</v>
      </c>
      <c r="AA76" s="3"/>
      <c r="AB76" s="3"/>
      <c r="AC76" s="5"/>
      <c r="AE76" s="3"/>
      <c r="AF76" s="3"/>
      <c r="AG76" s="5"/>
    </row>
    <row r="77" spans="1:33" ht="30" x14ac:dyDescent="0.25">
      <c r="A77" t="s">
        <v>354</v>
      </c>
      <c r="B77" t="s">
        <v>27</v>
      </c>
      <c r="C77" t="s">
        <v>355</v>
      </c>
      <c r="D77" t="s">
        <v>356</v>
      </c>
      <c r="E77">
        <v>3</v>
      </c>
      <c r="F77" t="s">
        <v>30</v>
      </c>
      <c r="G77" s="3"/>
      <c r="H77" s="3"/>
      <c r="I77" s="5"/>
      <c r="K77" s="3"/>
      <c r="L77" s="3"/>
      <c r="M77" s="5"/>
      <c r="O77" s="3"/>
      <c r="P77" s="3"/>
      <c r="Q77" s="5"/>
      <c r="S77" s="3">
        <v>29439</v>
      </c>
      <c r="T77" s="3">
        <v>3</v>
      </c>
      <c r="U77" s="5">
        <v>88317</v>
      </c>
      <c r="V77" s="4" t="s">
        <v>357</v>
      </c>
      <c r="W77" s="3"/>
      <c r="X77" s="3"/>
      <c r="Y77" s="5"/>
      <c r="AA77" s="3">
        <v>38500</v>
      </c>
      <c r="AB77" s="3">
        <v>3</v>
      </c>
      <c r="AC77" s="5">
        <v>115500</v>
      </c>
      <c r="AD77" t="s">
        <v>358</v>
      </c>
      <c r="AE77" s="3"/>
      <c r="AF77" s="3"/>
      <c r="AG77" s="5"/>
    </row>
    <row r="78" spans="1:33" x14ac:dyDescent="0.25">
      <c r="A78" t="s">
        <v>359</v>
      </c>
      <c r="B78" t="s">
        <v>27</v>
      </c>
      <c r="C78" t="s">
        <v>360</v>
      </c>
      <c r="D78" t="s">
        <v>361</v>
      </c>
      <c r="E78">
        <v>3</v>
      </c>
      <c r="F78" t="s">
        <v>30</v>
      </c>
      <c r="G78" s="3"/>
      <c r="H78" s="3"/>
      <c r="I78" s="5"/>
      <c r="K78" s="3"/>
      <c r="L78" s="3"/>
      <c r="M78" s="5"/>
      <c r="O78" s="3"/>
      <c r="P78" s="3"/>
      <c r="Q78" s="5"/>
      <c r="S78" s="3">
        <v>29439</v>
      </c>
      <c r="T78" s="3">
        <v>3</v>
      </c>
      <c r="U78" s="5">
        <v>88317</v>
      </c>
      <c r="V78" t="s">
        <v>362</v>
      </c>
      <c r="W78" s="3"/>
      <c r="X78" s="3"/>
      <c r="Y78" s="5"/>
      <c r="AA78" s="3">
        <v>38500</v>
      </c>
      <c r="AB78" s="3">
        <v>3</v>
      </c>
      <c r="AC78" s="5">
        <v>115500</v>
      </c>
      <c r="AD78" t="s">
        <v>363</v>
      </c>
      <c r="AE78" s="3"/>
      <c r="AF78" s="3"/>
      <c r="AG78" s="5"/>
    </row>
    <row r="79" spans="1:33" x14ac:dyDescent="0.25">
      <c r="A79" t="s">
        <v>364</v>
      </c>
      <c r="B79" t="s">
        <v>27</v>
      </c>
      <c r="C79" t="s">
        <v>365</v>
      </c>
      <c r="D79" t="s">
        <v>366</v>
      </c>
      <c r="E79">
        <v>20</v>
      </c>
      <c r="F79" t="s">
        <v>30</v>
      </c>
      <c r="G79" s="3"/>
      <c r="H79" s="3"/>
      <c r="I79" s="5"/>
      <c r="K79" s="3"/>
      <c r="L79" s="3"/>
      <c r="M79" s="5"/>
      <c r="O79" s="3"/>
      <c r="P79" s="3"/>
      <c r="Q79" s="5"/>
      <c r="S79" s="3">
        <v>2002.5</v>
      </c>
      <c r="T79" s="3">
        <v>20</v>
      </c>
      <c r="U79" s="5">
        <v>40050</v>
      </c>
      <c r="V79" t="s">
        <v>367</v>
      </c>
      <c r="W79" s="3"/>
      <c r="X79" s="3"/>
      <c r="Y79" s="5"/>
      <c r="AA79" s="3"/>
      <c r="AB79" s="3"/>
      <c r="AC79" s="5"/>
      <c r="AE79" s="3"/>
      <c r="AF79" s="3"/>
      <c r="AG79" s="5"/>
    </row>
    <row r="80" spans="1:33" ht="30" x14ac:dyDescent="0.25">
      <c r="A80" t="s">
        <v>368</v>
      </c>
      <c r="B80" t="s">
        <v>27</v>
      </c>
      <c r="C80" t="s">
        <v>369</v>
      </c>
      <c r="D80" s="4" t="s">
        <v>370</v>
      </c>
      <c r="E80">
        <v>20</v>
      </c>
      <c r="F80" t="s">
        <v>30</v>
      </c>
      <c r="G80" s="3"/>
      <c r="H80" s="3"/>
      <c r="I80" s="5"/>
      <c r="K80" s="3"/>
      <c r="L80" s="3"/>
      <c r="M80" s="5"/>
      <c r="O80" s="3"/>
      <c r="P80" s="3"/>
      <c r="Q80" s="5"/>
      <c r="S80" s="3"/>
      <c r="T80" s="3"/>
      <c r="U80" s="5"/>
      <c r="W80" s="3"/>
      <c r="X80" s="3"/>
      <c r="Y80" s="5"/>
      <c r="AA80" s="3"/>
      <c r="AB80" s="3"/>
      <c r="AC80" s="5"/>
      <c r="AE80" s="3"/>
      <c r="AF80" s="3"/>
      <c r="AG80" s="5"/>
    </row>
    <row r="81" spans="1:33" ht="30" x14ac:dyDescent="0.25">
      <c r="A81" t="s">
        <v>371</v>
      </c>
      <c r="B81" t="s">
        <v>27</v>
      </c>
      <c r="C81" t="s">
        <v>372</v>
      </c>
      <c r="D81" s="4" t="s">
        <v>373</v>
      </c>
      <c r="E81">
        <v>100</v>
      </c>
      <c r="F81" t="s">
        <v>30</v>
      </c>
      <c r="G81" s="3"/>
      <c r="H81" s="3"/>
      <c r="I81" s="5"/>
      <c r="K81" s="3"/>
      <c r="L81" s="3"/>
      <c r="M81" s="5"/>
      <c r="O81" s="3"/>
      <c r="P81" s="3"/>
      <c r="Q81" s="5"/>
      <c r="S81" s="3"/>
      <c r="T81" s="3"/>
      <c r="U81" s="5"/>
      <c r="W81" s="3"/>
      <c r="X81" s="3"/>
      <c r="Y81" s="5"/>
      <c r="AA81" s="3"/>
      <c r="AB81" s="3"/>
      <c r="AC81" s="5"/>
      <c r="AE81" s="3"/>
      <c r="AF81" s="3"/>
      <c r="AG81" s="5"/>
    </row>
    <row r="82" spans="1:33" ht="30" x14ac:dyDescent="0.25">
      <c r="A82" t="s">
        <v>374</v>
      </c>
      <c r="B82" t="s">
        <v>27</v>
      </c>
      <c r="C82" t="s">
        <v>375</v>
      </c>
      <c r="D82" s="4" t="s">
        <v>376</v>
      </c>
      <c r="E82">
        <v>100</v>
      </c>
      <c r="F82" t="s">
        <v>30</v>
      </c>
      <c r="G82" s="3"/>
      <c r="H82" s="3"/>
      <c r="I82" s="5"/>
      <c r="K82" s="3"/>
      <c r="L82" s="3"/>
      <c r="M82" s="5"/>
      <c r="O82" s="3"/>
      <c r="P82" s="3"/>
      <c r="Q82" s="5"/>
      <c r="S82" s="3"/>
      <c r="T82" s="3"/>
      <c r="U82" s="5"/>
      <c r="W82" s="3"/>
      <c r="X82" s="3"/>
      <c r="Y82" s="5"/>
      <c r="AA82" s="3"/>
      <c r="AB82" s="3"/>
      <c r="AC82" s="5"/>
      <c r="AE82" s="3"/>
      <c r="AF82" s="3"/>
      <c r="AG82" s="5"/>
    </row>
    <row r="83" spans="1:33" ht="45" x14ac:dyDescent="0.25">
      <c r="A83" t="s">
        <v>377</v>
      </c>
      <c r="B83" t="s">
        <v>27</v>
      </c>
      <c r="C83" t="s">
        <v>378</v>
      </c>
      <c r="D83" s="4" t="s">
        <v>379</v>
      </c>
      <c r="E83">
        <v>50</v>
      </c>
      <c r="F83" t="s">
        <v>30</v>
      </c>
      <c r="G83" s="3"/>
      <c r="H83" s="3"/>
      <c r="I83" s="5"/>
      <c r="K83" s="3"/>
      <c r="L83" s="3"/>
      <c r="M83" s="5"/>
      <c r="O83" s="3"/>
      <c r="P83" s="3"/>
      <c r="Q83" s="5"/>
      <c r="S83" s="3">
        <v>2531.5</v>
      </c>
      <c r="T83" s="3">
        <v>50</v>
      </c>
      <c r="U83" s="5">
        <v>126575</v>
      </c>
      <c r="V83" t="s">
        <v>380</v>
      </c>
      <c r="W83" s="3">
        <v>2860</v>
      </c>
      <c r="X83" s="3">
        <v>50</v>
      </c>
      <c r="Y83" s="5">
        <v>143000</v>
      </c>
      <c r="Z83" t="s">
        <v>381</v>
      </c>
      <c r="AA83" s="3"/>
      <c r="AB83" s="3"/>
      <c r="AC83" s="5"/>
      <c r="AE83" s="3"/>
      <c r="AF83" s="3"/>
      <c r="AG83" s="5"/>
    </row>
    <row r="84" spans="1:33" ht="30" x14ac:dyDescent="0.25">
      <c r="A84" t="s">
        <v>382</v>
      </c>
      <c r="B84" t="s">
        <v>27</v>
      </c>
      <c r="C84" t="s">
        <v>383</v>
      </c>
      <c r="D84" s="4" t="s">
        <v>384</v>
      </c>
      <c r="E84">
        <v>20</v>
      </c>
      <c r="F84" t="s">
        <v>30</v>
      </c>
      <c r="G84" s="3"/>
      <c r="H84" s="3"/>
      <c r="I84" s="5"/>
      <c r="K84" s="3"/>
      <c r="L84" s="3"/>
      <c r="M84" s="5"/>
      <c r="O84" s="3"/>
      <c r="P84" s="3"/>
      <c r="Q84" s="5"/>
      <c r="S84" s="3">
        <v>1648.5</v>
      </c>
      <c r="T84" s="3">
        <v>20</v>
      </c>
      <c r="U84" s="5">
        <v>32970</v>
      </c>
      <c r="V84" s="4" t="s">
        <v>385</v>
      </c>
      <c r="W84" s="3"/>
      <c r="X84" s="3"/>
      <c r="Y84" s="5"/>
      <c r="AA84" s="3">
        <v>2100</v>
      </c>
      <c r="AB84" s="3">
        <v>20</v>
      </c>
      <c r="AC84" s="5">
        <v>42000</v>
      </c>
      <c r="AD84" s="4" t="s">
        <v>386</v>
      </c>
      <c r="AE84" s="3"/>
      <c r="AF84" s="3"/>
      <c r="AG84" s="5"/>
    </row>
    <row r="85" spans="1:33" ht="30" x14ac:dyDescent="0.25">
      <c r="A85" t="s">
        <v>387</v>
      </c>
      <c r="B85" t="s">
        <v>27</v>
      </c>
      <c r="C85" t="s">
        <v>388</v>
      </c>
      <c r="D85" s="4" t="s">
        <v>389</v>
      </c>
      <c r="E85">
        <v>50</v>
      </c>
      <c r="F85" t="s">
        <v>30</v>
      </c>
      <c r="G85" s="3"/>
      <c r="H85" s="3"/>
      <c r="I85" s="5"/>
      <c r="K85" s="3"/>
      <c r="L85" s="3"/>
      <c r="M85" s="5"/>
      <c r="O85" s="3"/>
      <c r="P85" s="3"/>
      <c r="Q85" s="5"/>
      <c r="S85" s="3">
        <v>784</v>
      </c>
      <c r="T85" s="3">
        <v>50</v>
      </c>
      <c r="U85" s="5">
        <v>39200</v>
      </c>
      <c r="V85" t="s">
        <v>390</v>
      </c>
      <c r="W85" s="3">
        <v>886</v>
      </c>
      <c r="X85" s="3">
        <v>50</v>
      </c>
      <c r="Y85" s="5">
        <v>44300</v>
      </c>
      <c r="Z85" t="s">
        <v>391</v>
      </c>
      <c r="AA85" s="3">
        <v>850</v>
      </c>
      <c r="AB85" s="3">
        <v>50</v>
      </c>
      <c r="AC85" s="5">
        <v>42500</v>
      </c>
      <c r="AD85" s="4" t="s">
        <v>392</v>
      </c>
      <c r="AE85" s="3"/>
      <c r="AF85" s="3"/>
      <c r="AG85" s="5"/>
    </row>
    <row r="86" spans="1:33" ht="30" x14ac:dyDescent="0.25">
      <c r="A86" t="s">
        <v>393</v>
      </c>
      <c r="B86" t="s">
        <v>27</v>
      </c>
      <c r="C86" t="s">
        <v>394</v>
      </c>
      <c r="D86" s="4" t="s">
        <v>395</v>
      </c>
      <c r="E86">
        <v>20</v>
      </c>
      <c r="F86" t="s">
        <v>30</v>
      </c>
      <c r="G86" s="3"/>
      <c r="H86" s="3"/>
      <c r="I86" s="5"/>
      <c r="K86" s="3"/>
      <c r="L86" s="3"/>
      <c r="M86" s="5"/>
      <c r="O86" s="3"/>
      <c r="P86" s="3"/>
      <c r="Q86" s="5"/>
      <c r="S86" s="3"/>
      <c r="T86" s="3"/>
      <c r="U86" s="5"/>
      <c r="W86" s="3"/>
      <c r="X86" s="3"/>
      <c r="Y86" s="5"/>
      <c r="AA86" s="3">
        <v>2100</v>
      </c>
      <c r="AB86" s="3">
        <v>20</v>
      </c>
      <c r="AC86" s="5">
        <v>42000</v>
      </c>
      <c r="AD86" s="4" t="s">
        <v>396</v>
      </c>
      <c r="AE86" s="3"/>
      <c r="AF86" s="3"/>
      <c r="AG86" s="5"/>
    </row>
    <row r="87" spans="1:33" ht="30" x14ac:dyDescent="0.25">
      <c r="A87" t="s">
        <v>397</v>
      </c>
      <c r="B87" t="s">
        <v>27</v>
      </c>
      <c r="C87" t="s">
        <v>398</v>
      </c>
      <c r="D87" s="4" t="s">
        <v>399</v>
      </c>
      <c r="E87">
        <v>20</v>
      </c>
      <c r="F87" t="s">
        <v>30</v>
      </c>
      <c r="G87" s="3">
        <v>11966</v>
      </c>
      <c r="H87" s="3">
        <v>20</v>
      </c>
      <c r="I87" s="5">
        <v>239320</v>
      </c>
      <c r="J87" s="4" t="s">
        <v>400</v>
      </c>
      <c r="K87" s="3"/>
      <c r="L87" s="3"/>
      <c r="M87" s="5"/>
      <c r="O87" s="3"/>
      <c r="P87" s="3"/>
      <c r="Q87" s="5"/>
      <c r="S87" s="3">
        <v>10334.5</v>
      </c>
      <c r="T87" s="3">
        <v>20</v>
      </c>
      <c r="U87" s="5">
        <v>206690</v>
      </c>
      <c r="V87" t="s">
        <v>401</v>
      </c>
      <c r="W87" s="3">
        <v>8347</v>
      </c>
      <c r="X87" s="3">
        <v>20</v>
      </c>
      <c r="Y87" s="5">
        <v>166940</v>
      </c>
      <c r="Z87" t="s">
        <v>402</v>
      </c>
      <c r="AA87" s="3">
        <v>6900</v>
      </c>
      <c r="AB87" s="3">
        <v>20</v>
      </c>
      <c r="AC87" s="5">
        <v>138000</v>
      </c>
      <c r="AD87" s="4" t="s">
        <v>403</v>
      </c>
      <c r="AE87" s="3"/>
      <c r="AF87" s="3"/>
      <c r="AG87" s="5"/>
    </row>
    <row r="88" spans="1:33" ht="45" x14ac:dyDescent="0.25">
      <c r="A88" t="s">
        <v>404</v>
      </c>
      <c r="B88" t="s">
        <v>27</v>
      </c>
      <c r="C88" t="s">
        <v>405</v>
      </c>
      <c r="D88" s="4" t="s">
        <v>406</v>
      </c>
      <c r="E88">
        <v>5</v>
      </c>
      <c r="F88" t="s">
        <v>30</v>
      </c>
      <c r="G88" s="3"/>
      <c r="H88" s="3"/>
      <c r="I88" s="5"/>
      <c r="K88" s="3"/>
      <c r="L88" s="3"/>
      <c r="M88" s="5"/>
      <c r="O88" s="3"/>
      <c r="P88" s="3"/>
      <c r="Q88" s="5"/>
      <c r="S88" s="3"/>
      <c r="T88" s="3"/>
      <c r="U88" s="5"/>
      <c r="W88" s="3"/>
      <c r="X88" s="3"/>
      <c r="Y88" s="5"/>
      <c r="AA88" s="3">
        <v>18500</v>
      </c>
      <c r="AB88" s="3">
        <v>5</v>
      </c>
      <c r="AC88" s="5">
        <v>92500</v>
      </c>
      <c r="AD88" s="4" t="s">
        <v>407</v>
      </c>
      <c r="AE88" s="3"/>
      <c r="AF88" s="3"/>
      <c r="AG88" s="5"/>
    </row>
    <row r="89" spans="1:33" ht="30" x14ac:dyDescent="0.25">
      <c r="A89" t="s">
        <v>408</v>
      </c>
      <c r="B89" t="s">
        <v>27</v>
      </c>
      <c r="C89" t="s">
        <v>409</v>
      </c>
      <c r="D89" s="4" t="s">
        <v>410</v>
      </c>
      <c r="E89">
        <v>5</v>
      </c>
      <c r="F89" t="s">
        <v>30</v>
      </c>
      <c r="G89" s="3"/>
      <c r="H89" s="3"/>
      <c r="I89" s="5"/>
      <c r="K89" s="3"/>
      <c r="L89" s="3"/>
      <c r="M89" s="5"/>
      <c r="O89" s="3"/>
      <c r="P89" s="3"/>
      <c r="Q89" s="5"/>
      <c r="S89" s="3">
        <v>57980.6</v>
      </c>
      <c r="T89" s="3">
        <v>5</v>
      </c>
      <c r="U89" s="5">
        <v>289903</v>
      </c>
      <c r="V89" t="s">
        <v>237</v>
      </c>
      <c r="W89" s="3">
        <v>358</v>
      </c>
      <c r="X89" s="3">
        <v>5</v>
      </c>
      <c r="Y89" s="5">
        <v>1790</v>
      </c>
      <c r="Z89" t="s">
        <v>411</v>
      </c>
      <c r="AA89" s="3">
        <v>54000</v>
      </c>
      <c r="AB89" s="3">
        <v>5</v>
      </c>
      <c r="AC89" s="5">
        <v>270000</v>
      </c>
      <c r="AD89" t="s">
        <v>412</v>
      </c>
      <c r="AE89" s="3"/>
      <c r="AF89" s="3"/>
      <c r="AG89" s="5"/>
    </row>
    <row r="90" spans="1:33" ht="30" x14ac:dyDescent="0.25">
      <c r="A90" t="s">
        <v>413</v>
      </c>
      <c r="B90" t="s">
        <v>27</v>
      </c>
      <c r="C90" t="s">
        <v>414</v>
      </c>
      <c r="D90" s="4" t="s">
        <v>415</v>
      </c>
      <c r="E90">
        <v>20</v>
      </c>
      <c r="F90" t="s">
        <v>30</v>
      </c>
      <c r="G90" s="3"/>
      <c r="H90" s="3"/>
      <c r="I90" s="5"/>
      <c r="K90" s="3">
        <v>22916.400000000001</v>
      </c>
      <c r="L90" s="3">
        <v>20</v>
      </c>
      <c r="M90" s="5">
        <v>458328</v>
      </c>
      <c r="N90" s="4" t="s">
        <v>416</v>
      </c>
      <c r="O90" s="3"/>
      <c r="P90" s="3"/>
      <c r="Q90" s="5"/>
      <c r="S90" s="3">
        <v>30024</v>
      </c>
      <c r="T90" s="3">
        <v>20</v>
      </c>
      <c r="U90" s="5">
        <v>600480</v>
      </c>
      <c r="V90" t="s">
        <v>417</v>
      </c>
      <c r="W90" s="3">
        <v>33912</v>
      </c>
      <c r="X90" s="3">
        <v>20</v>
      </c>
      <c r="Y90" s="5">
        <v>678240</v>
      </c>
      <c r="Z90" t="s">
        <v>418</v>
      </c>
      <c r="AA90" s="3">
        <v>6900</v>
      </c>
      <c r="AB90" s="3">
        <v>20</v>
      </c>
      <c r="AC90" s="5">
        <v>138000</v>
      </c>
      <c r="AD90" s="4" t="s">
        <v>419</v>
      </c>
      <c r="AE90" s="3"/>
      <c r="AF90" s="3"/>
      <c r="AG90" s="5"/>
    </row>
    <row r="91" spans="1:33" ht="30" x14ac:dyDescent="0.25">
      <c r="A91" t="s">
        <v>420</v>
      </c>
      <c r="B91" t="s">
        <v>27</v>
      </c>
      <c r="C91" t="s">
        <v>421</v>
      </c>
      <c r="D91" t="s">
        <v>422</v>
      </c>
      <c r="E91">
        <v>50</v>
      </c>
      <c r="F91" t="s">
        <v>30</v>
      </c>
      <c r="G91" s="3"/>
      <c r="H91" s="3"/>
      <c r="I91" s="5"/>
      <c r="K91" s="3"/>
      <c r="L91" s="3"/>
      <c r="M91" s="5"/>
      <c r="O91" s="3">
        <v>2449.5</v>
      </c>
      <c r="P91" s="3">
        <v>50</v>
      </c>
      <c r="Q91" s="5">
        <v>122475</v>
      </c>
      <c r="R91" s="4" t="s">
        <v>423</v>
      </c>
      <c r="S91" s="3">
        <v>853.5</v>
      </c>
      <c r="T91" s="3">
        <v>50</v>
      </c>
      <c r="U91" s="5">
        <v>42675</v>
      </c>
      <c r="V91" t="s">
        <v>424</v>
      </c>
      <c r="W91" s="3">
        <v>3155</v>
      </c>
      <c r="X91" s="3">
        <v>50</v>
      </c>
      <c r="Y91" s="5">
        <v>157750</v>
      </c>
      <c r="Z91" t="s">
        <v>425</v>
      </c>
      <c r="AA91" s="3"/>
      <c r="AB91" s="3"/>
      <c r="AC91" s="5"/>
      <c r="AE91" s="3"/>
      <c r="AF91" s="3"/>
      <c r="AG91" s="5"/>
    </row>
    <row r="92" spans="1:33" ht="30" x14ac:dyDescent="0.25">
      <c r="A92" t="s">
        <v>426</v>
      </c>
      <c r="B92" t="s">
        <v>27</v>
      </c>
      <c r="C92" t="s">
        <v>427</v>
      </c>
      <c r="D92" t="s">
        <v>428</v>
      </c>
      <c r="E92">
        <v>20</v>
      </c>
      <c r="F92" t="s">
        <v>30</v>
      </c>
      <c r="G92" s="3"/>
      <c r="H92" s="3"/>
      <c r="I92" s="5"/>
      <c r="K92" s="3"/>
      <c r="L92" s="3"/>
      <c r="M92" s="5"/>
      <c r="O92" s="3">
        <v>2449.5</v>
      </c>
      <c r="P92" s="3">
        <v>20</v>
      </c>
      <c r="Q92" s="5">
        <v>48990</v>
      </c>
      <c r="R92" s="4" t="s">
        <v>429</v>
      </c>
      <c r="S92" s="3">
        <v>853.5</v>
      </c>
      <c r="T92" s="3">
        <v>20</v>
      </c>
      <c r="U92" s="5">
        <v>17070</v>
      </c>
      <c r="V92" t="s">
        <v>430</v>
      </c>
      <c r="W92" s="3">
        <v>3155</v>
      </c>
      <c r="X92" s="3">
        <v>20</v>
      </c>
      <c r="Y92" s="5">
        <v>63100</v>
      </c>
      <c r="Z92" t="s">
        <v>431</v>
      </c>
      <c r="AA92" s="3"/>
      <c r="AB92" s="3"/>
      <c r="AC92" s="5"/>
      <c r="AE92" s="3"/>
      <c r="AF92" s="3"/>
      <c r="AG92" s="5"/>
    </row>
    <row r="93" spans="1:33" ht="30" x14ac:dyDescent="0.25">
      <c r="A93" t="s">
        <v>432</v>
      </c>
      <c r="B93" t="s">
        <v>27</v>
      </c>
      <c r="C93" t="s">
        <v>433</v>
      </c>
      <c r="D93" t="s">
        <v>434</v>
      </c>
      <c r="E93">
        <v>40</v>
      </c>
      <c r="F93" t="s">
        <v>30</v>
      </c>
      <c r="G93" s="3"/>
      <c r="H93" s="3"/>
      <c r="I93" s="5"/>
      <c r="K93" s="3"/>
      <c r="L93" s="3"/>
      <c r="M93" s="5"/>
      <c r="O93" s="3">
        <v>2449.5</v>
      </c>
      <c r="P93" s="3">
        <v>40</v>
      </c>
      <c r="Q93" s="5">
        <v>97980</v>
      </c>
      <c r="R93" s="4" t="s">
        <v>435</v>
      </c>
      <c r="S93" s="3">
        <v>853.5</v>
      </c>
      <c r="T93" s="3">
        <v>40</v>
      </c>
      <c r="U93" s="5">
        <v>34140</v>
      </c>
      <c r="V93" t="s">
        <v>436</v>
      </c>
      <c r="W93" s="3">
        <v>3155</v>
      </c>
      <c r="X93" s="3">
        <v>40</v>
      </c>
      <c r="Y93" s="5">
        <v>126200</v>
      </c>
      <c r="Z93" t="s">
        <v>437</v>
      </c>
      <c r="AA93" s="3"/>
      <c r="AB93" s="3"/>
      <c r="AC93" s="5"/>
      <c r="AE93" s="3"/>
      <c r="AF93" s="3"/>
      <c r="AG93" s="5"/>
    </row>
    <row r="94" spans="1:33" ht="30" x14ac:dyDescent="0.25">
      <c r="A94" t="s">
        <v>438</v>
      </c>
      <c r="B94" t="s">
        <v>27</v>
      </c>
      <c r="C94" t="s">
        <v>439</v>
      </c>
      <c r="D94" t="s">
        <v>440</v>
      </c>
      <c r="E94">
        <v>15</v>
      </c>
      <c r="F94" t="s">
        <v>30</v>
      </c>
      <c r="G94" s="3"/>
      <c r="H94" s="3"/>
      <c r="I94" s="5"/>
      <c r="K94" s="3"/>
      <c r="L94" s="3"/>
      <c r="M94" s="5"/>
      <c r="O94" s="3">
        <v>2449.5</v>
      </c>
      <c r="P94" s="3">
        <v>15</v>
      </c>
      <c r="Q94" s="5">
        <v>36742.5</v>
      </c>
      <c r="R94" s="4" t="s">
        <v>441</v>
      </c>
      <c r="S94" s="3">
        <v>854</v>
      </c>
      <c r="T94" s="3">
        <v>15</v>
      </c>
      <c r="U94" s="5">
        <v>12810</v>
      </c>
      <c r="V94" t="s">
        <v>442</v>
      </c>
      <c r="W94" s="3">
        <v>3155</v>
      </c>
      <c r="X94" s="3">
        <v>15</v>
      </c>
      <c r="Y94" s="5">
        <v>47325</v>
      </c>
      <c r="Z94" t="s">
        <v>443</v>
      </c>
      <c r="AA94" s="3"/>
      <c r="AB94" s="3"/>
      <c r="AC94" s="5"/>
      <c r="AE94" s="3"/>
      <c r="AF94" s="3"/>
      <c r="AG94" s="5"/>
    </row>
    <row r="95" spans="1:33" ht="30" x14ac:dyDescent="0.25">
      <c r="A95" t="s">
        <v>444</v>
      </c>
      <c r="B95" t="s">
        <v>27</v>
      </c>
      <c r="C95" t="s">
        <v>445</v>
      </c>
      <c r="D95" s="4" t="s">
        <v>446</v>
      </c>
      <c r="E95">
        <v>40</v>
      </c>
      <c r="F95" t="s">
        <v>30</v>
      </c>
      <c r="G95" s="3"/>
      <c r="H95" s="3"/>
      <c r="I95" s="5"/>
      <c r="K95" s="3"/>
      <c r="L95" s="3"/>
      <c r="M95" s="5"/>
      <c r="O95" s="3"/>
      <c r="P95" s="3"/>
      <c r="Q95" s="5"/>
      <c r="S95" s="3">
        <v>1934.4</v>
      </c>
      <c r="T95" s="3">
        <v>40</v>
      </c>
      <c r="U95" s="5">
        <v>77376</v>
      </c>
      <c r="V95" t="s">
        <v>447</v>
      </c>
      <c r="W95" s="3"/>
      <c r="X95" s="3"/>
      <c r="Y95" s="5"/>
      <c r="AA95" s="3"/>
      <c r="AB95" s="3"/>
      <c r="AC95" s="5"/>
      <c r="AE95" s="3"/>
      <c r="AF95" s="3"/>
      <c r="AG95" s="5"/>
    </row>
    <row r="96" spans="1:33" ht="30" x14ac:dyDescent="0.25">
      <c r="A96" t="s">
        <v>448</v>
      </c>
      <c r="B96" t="s">
        <v>27</v>
      </c>
      <c r="C96" t="s">
        <v>449</v>
      </c>
      <c r="D96" s="4" t="s">
        <v>450</v>
      </c>
      <c r="E96">
        <v>40</v>
      </c>
      <c r="F96" t="s">
        <v>30</v>
      </c>
      <c r="G96" s="3"/>
      <c r="H96" s="3"/>
      <c r="I96" s="5"/>
      <c r="K96" s="3"/>
      <c r="L96" s="3"/>
      <c r="M96" s="5"/>
      <c r="O96" s="3"/>
      <c r="P96" s="3"/>
      <c r="Q96" s="5"/>
      <c r="S96" s="3">
        <v>1934.4</v>
      </c>
      <c r="T96" s="3">
        <v>40</v>
      </c>
      <c r="U96" s="5">
        <v>77376</v>
      </c>
      <c r="V96" t="s">
        <v>451</v>
      </c>
      <c r="W96" s="3"/>
      <c r="X96" s="3"/>
      <c r="Y96" s="5"/>
      <c r="AA96" s="3"/>
      <c r="AB96" s="3"/>
      <c r="AC96" s="5"/>
      <c r="AE96" s="3"/>
      <c r="AF96" s="3"/>
      <c r="AG96" s="5"/>
    </row>
    <row r="97" spans="1:33" x14ac:dyDescent="0.25">
      <c r="A97" t="s">
        <v>452</v>
      </c>
      <c r="B97" t="s">
        <v>27</v>
      </c>
      <c r="C97" t="s">
        <v>453</v>
      </c>
      <c r="D97" t="s">
        <v>454</v>
      </c>
      <c r="E97">
        <v>40</v>
      </c>
      <c r="F97" t="s">
        <v>30</v>
      </c>
      <c r="G97" s="3"/>
      <c r="H97" s="3"/>
      <c r="I97" s="5"/>
      <c r="K97" s="3"/>
      <c r="L97" s="3"/>
      <c r="M97" s="5"/>
      <c r="O97" s="3"/>
      <c r="P97" s="3"/>
      <c r="Q97" s="5"/>
      <c r="S97" s="3">
        <v>4093.4</v>
      </c>
      <c r="T97" s="3">
        <v>40</v>
      </c>
      <c r="U97" s="5">
        <v>163736</v>
      </c>
      <c r="V97" t="s">
        <v>455</v>
      </c>
      <c r="W97" s="3"/>
      <c r="X97" s="3"/>
      <c r="Y97" s="5"/>
      <c r="AA97" s="3"/>
      <c r="AB97" s="3"/>
      <c r="AC97" s="5"/>
      <c r="AE97" s="3"/>
      <c r="AF97" s="3"/>
      <c r="AG97" s="5"/>
    </row>
    <row r="98" spans="1:33" x14ac:dyDescent="0.25">
      <c r="A98" t="s">
        <v>456</v>
      </c>
      <c r="B98" t="s">
        <v>27</v>
      </c>
      <c r="C98" t="s">
        <v>457</v>
      </c>
      <c r="D98" t="s">
        <v>458</v>
      </c>
      <c r="E98">
        <v>20</v>
      </c>
      <c r="F98" t="s">
        <v>30</v>
      </c>
      <c r="G98" s="3"/>
      <c r="H98" s="3"/>
      <c r="I98" s="5"/>
      <c r="K98" s="3"/>
      <c r="L98" s="3"/>
      <c r="M98" s="5"/>
      <c r="O98" s="3"/>
      <c r="P98" s="3"/>
      <c r="Q98" s="5"/>
      <c r="S98" s="3">
        <v>5915</v>
      </c>
      <c r="T98" s="3">
        <v>20</v>
      </c>
      <c r="U98" s="5">
        <v>118300</v>
      </c>
      <c r="V98" t="s">
        <v>459</v>
      </c>
      <c r="W98" s="3"/>
      <c r="X98" s="3"/>
      <c r="Y98" s="5"/>
      <c r="AA98" s="3"/>
      <c r="AB98" s="3"/>
      <c r="AC98" s="5"/>
      <c r="AE98" s="3"/>
      <c r="AF98" s="3"/>
      <c r="AG98" s="5"/>
    </row>
    <row r="99" spans="1:33" x14ac:dyDescent="0.25">
      <c r="C99" t="s">
        <v>460</v>
      </c>
      <c r="G99" s="3"/>
      <c r="H99" s="3"/>
      <c r="I99" s="5">
        <f>SUBTOTAL(109,Table2[Total por renglón])</f>
        <v>3192930</v>
      </c>
      <c r="K99" s="3"/>
      <c r="L99" s="3"/>
      <c r="M99" s="5">
        <f>SUBTOTAL(109,Table3[Total por renglón])</f>
        <v>2702400</v>
      </c>
      <c r="O99" s="3"/>
      <c r="P99" s="3"/>
      <c r="Q99" s="5">
        <f>SUBTOTAL(109,Table4[Total por renglón])</f>
        <v>824517.60000000009</v>
      </c>
      <c r="S99" s="3"/>
      <c r="T99" s="3"/>
      <c r="U99" s="5">
        <f>SUBTOTAL(109,Table5[Total por renglón])</f>
        <v>16157290</v>
      </c>
      <c r="W99" s="3"/>
      <c r="X99" s="3"/>
      <c r="Y99" s="5">
        <f>SUBTOTAL(109,Table6[Total por renglón])</f>
        <v>3633861</v>
      </c>
      <c r="AA99" s="3"/>
      <c r="AB99" s="3"/>
      <c r="AC99" s="5">
        <f>SUBTOTAL(109,Table7[Total por renglón])</f>
        <v>18079190</v>
      </c>
      <c r="AE99" s="3"/>
      <c r="AF99" s="3"/>
      <c r="AG99" s="5">
        <f>SUBTOTAL(109,Table8[Total por renglón])</f>
        <v>6309325.1000000006</v>
      </c>
    </row>
  </sheetData>
  <mergeCells count="8">
    <mergeCell ref="AA8:AD8"/>
    <mergeCell ref="AE8:AH8"/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V. NICOLA</cp:lastModifiedBy>
  <dcterms:created xsi:type="dcterms:W3CDTF">2022-09-21T15:51:11Z</dcterms:created>
  <dcterms:modified xsi:type="dcterms:W3CDTF">2022-09-21T15:51:32Z</dcterms:modified>
</cp:coreProperties>
</file>