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BFA5128-0E82-4CA7-B22E-D3AAA99DE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tiles de Escritorio" sheetId="1" r:id="rId1"/>
    <sheet name="Autor Gastar" sheetId="2" r:id="rId2"/>
  </sheets>
  <externalReferences>
    <externalReference r:id="rId3"/>
    <externalReference r:id="rId4"/>
  </externalReferences>
  <definedNames>
    <definedName name="_xlnm._FilterDatabase" localSheetId="0" hidden="1">'Utiles de Escritorio'!$A$9:$I$89</definedName>
    <definedName name="_xlcn.WorksheetConnection_RelevamientodeHardMinisteriodeTrabajoyRRHH20base.xlsxTabla11" hidden="1">[1]!Tabla1[#Data]</definedName>
    <definedName name="_xlnm.Print_Area" localSheetId="1">'Autor Gastar'!$A$1:$Q$31</definedName>
    <definedName name="ORGANIGRAMA">#REF!</definedName>
    <definedName name="toner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5" i="2" l="1"/>
  <c r="G7" i="2" l="1"/>
  <c r="C174" i="1" l="1"/>
  <c r="I88" i="1"/>
  <c r="I87" i="1"/>
  <c r="I86" i="1"/>
  <c r="I85" i="1"/>
  <c r="I84" i="1"/>
  <c r="I83" i="1"/>
  <c r="I82" i="1"/>
  <c r="I81" i="1"/>
  <c r="I80" i="1"/>
  <c r="I79" i="1"/>
  <c r="I78" i="1"/>
  <c r="D78" i="1"/>
  <c r="I77" i="1"/>
  <c r="D77" i="1"/>
  <c r="I76" i="1"/>
  <c r="D76" i="1"/>
  <c r="I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Q15" i="2" s="1"/>
  <c r="Q30" i="2" s="1"/>
  <c r="I89" i="1" l="1"/>
</calcChain>
</file>

<file path=xl/sharedStrings.xml><?xml version="1.0" encoding="utf-8"?>
<sst xmlns="http://schemas.openxmlformats.org/spreadsheetml/2006/main" count="454" uniqueCount="249">
  <si>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</si>
  <si>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</si>
  <si>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</si>
  <si>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</si>
  <si>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</si>
  <si>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</si>
  <si>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</si>
  <si>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</si>
  <si>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</si>
  <si>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</si>
  <si>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</si>
  <si>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</si>
  <si>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</si>
  <si>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</si>
  <si>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2.9.2-851.19</t>
  </si>
  <si>
    <t>LIBRERIA,PAP. Y UTILES OFICINA</t>
  </si>
  <si>
    <r>
      <rPr>
        <b/>
        <sz val="10"/>
        <rFont val="Times New Roman"/>
        <family val="1"/>
      </rPr>
      <t>HILOS P/EMPAQUETAR</t>
    </r>
    <r>
      <rPr>
        <sz val="10"/>
        <rFont val="Times New Roman"/>
        <family val="1"/>
      </rPr>
      <t xml:space="preserve">; RENDIMIENTO: SIN VALOR, TIPO: </t>
    </r>
    <r>
      <rPr>
        <b/>
        <sz val="10"/>
        <rFont val="Times New Roman"/>
        <family val="1"/>
      </rPr>
      <t>POLIPROPILENO, PESO: 400 GR,</t>
    </r>
    <r>
      <rPr>
        <sz val="10"/>
        <rFont val="Times New Roman"/>
        <family val="1"/>
      </rPr>
      <t xml:space="preserve"> LONGITUD: SIN VALOR, LONGITUD OVILLO: SIN VALOR</t>
    </r>
  </si>
  <si>
    <t>UNIDAD</t>
  </si>
  <si>
    <t>2.9.2-2230.46</t>
  </si>
  <si>
    <r>
      <rPr>
        <b/>
        <sz val="10"/>
        <rFont val="Times New Roman"/>
        <family val="1"/>
      </rPr>
      <t>CARATULAS</t>
    </r>
    <r>
      <rPr>
        <sz val="10"/>
        <rFont val="Times New Roman"/>
        <family val="1"/>
      </rPr>
      <t xml:space="preserve">; TIPO: P/EXPEDIENTE, PRESENTACION: </t>
    </r>
    <r>
      <rPr>
        <b/>
        <sz val="10"/>
        <rFont val="Times New Roman"/>
        <family val="1"/>
      </rPr>
      <t xml:space="preserve">PAQUETE X 500 </t>
    </r>
    <r>
      <rPr>
        <sz val="10"/>
        <rFont val="Times New Roman"/>
        <family val="1"/>
      </rPr>
      <t>UN, MATERIAL: CARTULINA, DIMENSION: A4</t>
    </r>
  </si>
  <si>
    <t>PAQUETE</t>
  </si>
  <si>
    <t>2.3.1-6563.1009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</si>
  <si>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</si>
  <si>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2.3.1-6563.846</t>
  </si>
  <si>
    <r>
      <t xml:space="preserve">PAPELES EN HOJA; TIPO DE PAPEL: </t>
    </r>
    <r>
      <rPr>
        <b/>
        <sz val="10"/>
        <rFont val="Times New Roman"/>
        <family val="1"/>
      </rPr>
      <t xml:space="preserve">CARTULINA, DIMENSION: 76 X 112 </t>
    </r>
    <r>
      <rPr>
        <sz val="10"/>
        <rFont val="Times New Roman"/>
        <family val="1"/>
      </rPr>
      <t>Cm, GRAMAJE: 176 GR/M2, PRESENTACION: UNIDAD, CERTIFICADO FORESTAL (GFS): SIN, PORC. FIBRAS RECICLADAS: 0 %</t>
    </r>
  </si>
  <si>
    <t>2.3.1-6563.868</t>
  </si>
  <si>
    <r>
      <t xml:space="preserve">PAPELES EN HOJA; TIPO DE PAPEL: </t>
    </r>
    <r>
      <rPr>
        <b/>
        <sz val="10"/>
        <rFont val="Times New Roman"/>
        <family val="1"/>
      </rPr>
      <t>AFICHE, DIMENSION: 70 X 100</t>
    </r>
    <r>
      <rPr>
        <sz val="10"/>
        <rFont val="Times New Roman"/>
        <family val="1"/>
      </rPr>
      <t xml:space="preserve"> Cm, GRAMAJE: 65 GR/M2, PRESENTACION: UNIDAD, CERTIFICADO FORESTAL (GFS): CON, PORC. FIBRAS RECICLADAS: 40 %</t>
    </r>
  </si>
  <si>
    <t>2.3.1-6563.938</t>
  </si>
  <si>
    <r>
      <t>PAPELES EN HOJA; TIPO DE PAPEL:</t>
    </r>
    <r>
      <rPr>
        <b/>
        <sz val="10"/>
        <rFont val="Times New Roman"/>
        <family val="1"/>
      </rPr>
      <t xml:space="preserve"> P/FORRAR, DIMENSION: 48 X 80</t>
    </r>
    <r>
      <rPr>
        <sz val="10"/>
        <rFont val="Times New Roman"/>
        <family val="1"/>
      </rPr>
      <t xml:space="preserve"> Cm, GRAMAJE: NO CORRESPONDE, PRESENTACION: UNIDAD, CERTIFICADO FORESTAL (GFS): SIN, PORC. FIBRAS RECICLADAS: 0 %, CERT. FIBRA ALTERNATIVA (FCA): SIN</t>
    </r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</si>
  <si>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</si>
  <si>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</si>
  <si>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2.3.1-6587.291</t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</si>
  <si>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</si>
  <si>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2.3.1-6587.333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</si>
  <si>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</si>
  <si>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</si>
  <si>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</si>
  <si>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</si>
  <si>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</si>
  <si>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</si>
  <si>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</si>
  <si>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2.9.2-1062.14</t>
  </si>
  <si>
    <r>
      <rPr>
        <b/>
        <sz val="10"/>
        <rFont val="Times New Roman"/>
        <family val="1"/>
      </rPr>
      <t>PAPELES ANOTADOR AUTOADHESIVOS</t>
    </r>
    <r>
      <rPr>
        <sz val="10"/>
        <rFont val="Times New Roman"/>
        <family val="1"/>
      </rPr>
      <t>; PRESENTACION: 100 HOJAS, LARGO X ANCHO: 50 X 50 mm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</si>
  <si>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</si>
  <si>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</si>
  <si>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2.9.2-673.49</t>
  </si>
  <si>
    <r>
      <rPr>
        <b/>
        <sz val="10"/>
        <rFont val="Times New Roman"/>
        <family val="1"/>
      </rPr>
      <t>SEÑALADORES;</t>
    </r>
    <r>
      <rPr>
        <sz val="10"/>
        <rFont val="Times New Roman"/>
        <family val="1"/>
      </rPr>
      <t xml:space="preserve"> TIPO: BANDERA ADHESIVA, MATERIAL: PLASTICO, MEDIDA: 1 X 5 Cm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</si>
  <si>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</si>
  <si>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</si>
  <si>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</si>
  <si>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</si>
  <si>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</si>
  <si>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</si>
  <si>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</si>
  <si>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</si>
  <si>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</si>
  <si>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</si>
  <si>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</si>
  <si>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</si>
  <si>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</si>
  <si>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</si>
  <si>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t>2.9.2-1358.34</t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</si>
  <si>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</si>
  <si>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t>2.9.2-1358.35</t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</si>
  <si>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</si>
  <si>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t>2.9.2-1428.23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</si>
  <si>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12 Cm, PRESENTACION: 500 GR, ESPESOR: 5 mm</t>
    </r>
  </si>
  <si>
    <t>2.9.2-1428.38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</si>
  <si>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10 Cm, PRESENTACION: BOLSA DE 500 GR, ESPESOR: 1 mm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</si>
  <si>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</si>
  <si>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</si>
  <si>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</si>
  <si>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</si>
  <si>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</si>
  <si>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</si>
  <si>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</si>
  <si>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</si>
  <si>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</si>
  <si>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</si>
  <si>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t>2.9.2-1954.5</t>
  </si>
  <si>
    <r>
      <rPr>
        <b/>
        <sz val="10"/>
        <rFont val="Times New Roman"/>
        <family val="1"/>
      </rPr>
      <t>BORRADORES</t>
    </r>
    <r>
      <rPr>
        <sz val="10"/>
        <rFont val="Times New Roman"/>
        <family val="1"/>
      </rPr>
      <t>; MATERIAL: PLASTICO-FELPA, TIPO: PARA MARCADOR</t>
    </r>
  </si>
  <si>
    <t>2.9.2-261.14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</si>
  <si>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</si>
  <si>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2.9.2-262.4</t>
  </si>
  <si>
    <r>
      <t xml:space="preserve">ADHESIVOS P/PAPEL;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</si>
  <si>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</si>
  <si>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</si>
  <si>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</si>
  <si>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</si>
  <si>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</si>
  <si>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</si>
  <si>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2.9.2-291.3</t>
  </si>
  <si>
    <r>
      <rPr>
        <b/>
        <sz val="10"/>
        <rFont val="Times New Roman"/>
        <family val="1"/>
      </rPr>
      <t>ALMOHADILLAS P/SELLOS</t>
    </r>
    <r>
      <rPr>
        <sz val="10"/>
        <rFont val="Times New Roman"/>
        <family val="1"/>
      </rPr>
      <t>; MEDIDA: 8 X 12 Cm, MATERIAL: PLASTICO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</si>
  <si>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</si>
  <si>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</si>
  <si>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</si>
  <si>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</si>
  <si>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</si>
  <si>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</si>
  <si>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</si>
  <si>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</si>
  <si>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</si>
  <si>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t>2.9.2-323.4</t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</si>
  <si>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</si>
  <si>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2.9.2-4984.5</t>
  </si>
  <si>
    <r>
      <rPr>
        <b/>
        <sz val="10"/>
        <rFont val="Times New Roman"/>
        <family val="1"/>
      </rPr>
      <t>LAPICERAS ESTILOGRAFICAS</t>
    </r>
    <r>
      <rPr>
        <sz val="10"/>
        <rFont val="Times New Roman"/>
        <family val="1"/>
      </rPr>
      <t>; TIPO: TRAZO FINO, MATERIAL: PLASTICO Y METAL  , RECARGABLE: NO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</si>
  <si>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</si>
  <si>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</si>
  <si>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CAJA</t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</si>
  <si>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</si>
  <si>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</si>
  <si>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</si>
  <si>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</si>
  <si>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</si>
  <si>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</si>
  <si>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2.9.2-700.28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</si>
  <si>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10/50, PRESENTACION: CAJA X 1000 UNIDADES</t>
    </r>
  </si>
  <si>
    <t>CAJAS</t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</si>
  <si>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</si>
  <si>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</si>
  <si>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</si>
  <si>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</si>
  <si>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</si>
  <si>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</si>
  <si>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</si>
  <si>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</si>
  <si>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</si>
  <si>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</si>
  <si>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2.9.2-844.13</t>
  </si>
  <si>
    <r>
      <rPr>
        <b/>
        <sz val="10"/>
        <rFont val="Times New Roman"/>
        <family val="1"/>
      </rPr>
      <t>PORTA CINTA ADHESIVA</t>
    </r>
    <r>
      <rPr>
        <sz val="10"/>
        <rFont val="Times New Roman"/>
        <family val="1"/>
      </rPr>
      <t>; MATERIAL: PLASTICO, ROLLO: 50 M, MEDIDA: 50 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</si>
  <si>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</si>
  <si>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</si>
  <si>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</si>
  <si>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</si>
  <si>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</si>
  <si>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</si>
  <si>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2.9.2-850.1</t>
  </si>
  <si>
    <r>
      <rPr>
        <b/>
        <sz val="10"/>
        <rFont val="Times New Roman"/>
        <family val="1"/>
      </rPr>
      <t>CAJAS DE ARCHIVO</t>
    </r>
    <r>
      <rPr>
        <sz val="10"/>
        <rFont val="Times New Roman"/>
        <family val="1"/>
      </rPr>
      <t>; DIMENSION: 26.5 X 38 X 9 Cm, COLOR: AZUL, MATERIAL: PLASTICO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</si>
  <si>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</si>
  <si>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</si>
  <si>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</si>
  <si>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</si>
  <si>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</si>
  <si>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</si>
  <si>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2.9.2-858.7</t>
  </si>
  <si>
    <r>
      <rPr>
        <b/>
        <sz val="10"/>
        <rFont val="Times New Roman"/>
        <family val="1"/>
      </rPr>
      <t>PERFORADORAS</t>
    </r>
    <r>
      <rPr>
        <sz val="10"/>
        <rFont val="Times New Roman"/>
        <family val="1"/>
      </rPr>
      <t>; DIST. ENTRE AGUJ.: FIJO, N° PERFORACIONES: 2, MATERIAL ESTRUCTURA: FUNDICION HIERRO BASE MADERA, GUIA POSICION PAPEL: CON, TAMAÑO: GRANDE, MATERIAL: FUNDICION HIERRO BASE MADERA</t>
    </r>
  </si>
  <si>
    <t>2.9.2-866.4</t>
  </si>
  <si>
    <r>
      <rPr>
        <b/>
        <sz val="10"/>
        <rFont val="Times New Roman"/>
        <family val="1"/>
      </rPr>
      <t>MAQUINAS SACABROCHE</t>
    </r>
    <r>
      <rPr>
        <sz val="10"/>
        <rFont val="Times New Roman"/>
        <family val="1"/>
      </rPr>
      <t>S; EXTRACTOR: ACERO INOXIDABLE, MATERIAL: PLASTICO</t>
    </r>
  </si>
  <si>
    <t>2.3.3-4360.2</t>
  </si>
  <si>
    <t>IMPRENTA Y EDITORIALES</t>
  </si>
  <si>
    <r>
      <rPr>
        <b/>
        <sz val="10"/>
        <rFont val="Times New Roman"/>
        <family val="1"/>
      </rPr>
      <t>LIBROS NOVEDADES DE GUARDIA</t>
    </r>
    <r>
      <rPr>
        <sz val="10"/>
        <rFont val="Times New Roman"/>
        <family val="1"/>
      </rPr>
      <t>; TAPA: CARTON, COLOR: NEGRO, NUMERO DE HOJAS: 200, CANT. DE HOJAS: 200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</si>
  <si>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</si>
  <si>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</si>
  <si>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</si>
  <si>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</si>
  <si>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2.9.2-698.4</t>
  </si>
  <si>
    <r>
      <rPr>
        <b/>
        <sz val="10"/>
        <rFont val="Times New Roman"/>
        <family val="1"/>
      </rPr>
      <t xml:space="preserve">ALMOHADILLAS MOJADEDOS; </t>
    </r>
    <r>
      <rPr>
        <sz val="10"/>
        <rFont val="Times New Roman"/>
        <family val="1"/>
      </rPr>
      <t>MATERIAL TAPA: PLASTICO, MEDIDA: D.7.5 Cm, FORMA: REDONDA</t>
    </r>
  </si>
  <si>
    <t>2.9.2-1611.1</t>
  </si>
  <si>
    <t>2.9.2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</si>
  <si>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</si>
  <si>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t>2.9.2-1611.21</t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</si>
  <si>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</si>
  <si>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t>2.9.2-272.19</t>
  </si>
  <si>
    <r>
      <rPr>
        <b/>
        <u/>
        <sz val="10"/>
        <rFont val="Times New Roman"/>
        <family val="1"/>
      </rPr>
      <t>BANDEJAS PORTAPAPELES</t>
    </r>
    <r>
      <rPr>
        <sz val="10"/>
        <rFont val="Times New Roman"/>
        <family val="1"/>
      </rPr>
      <t>; MATERIAL: ACRILICO, TIPO: 3 NIVELES, TAMAÑO: 23 X 38 Cm</t>
    </r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</si>
  <si>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</si>
  <si>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2.9.2-4039.58</t>
  </si>
  <si>
    <r>
      <rPr>
        <b/>
        <u/>
        <sz val="10"/>
        <rFont val="Times New Roman"/>
        <family val="1"/>
      </rPr>
      <t>ANILLOS P/ENCUADERNAR</t>
    </r>
    <r>
      <rPr>
        <sz val="10"/>
        <rFont val="Times New Roman"/>
        <family val="1"/>
      </rPr>
      <t>; MATERIAL: PVC, DIAMETRO: 14 mm, LARGO: 33 Cm, TIPO: ESPIRAL</t>
    </r>
  </si>
  <si>
    <t>2.9.2-4039.59</t>
  </si>
  <si>
    <r>
      <rPr>
        <b/>
        <u/>
        <sz val="10"/>
        <rFont val="Times New Roman"/>
        <family val="1"/>
      </rPr>
      <t>ANILLOS P/ENCUADERNAR;</t>
    </r>
    <r>
      <rPr>
        <sz val="10"/>
        <rFont val="Times New Roman"/>
        <family val="1"/>
      </rPr>
      <t xml:space="preserve"> MATERIAL: PVC, DIAMETRO: 17 mm, LARGO: 33 Cm, TIPO: ESPIRAL</t>
    </r>
  </si>
  <si>
    <t>2.9.2-4039.48</t>
  </si>
  <si>
    <r>
      <rPr>
        <b/>
        <u/>
        <sz val="10"/>
        <rFont val="Times New Roman"/>
        <family val="1"/>
      </rPr>
      <t>ANILLOS P/ENCUADERNAR</t>
    </r>
    <r>
      <rPr>
        <sz val="10"/>
        <rFont val="Times New Roman"/>
        <family val="1"/>
      </rPr>
      <t>; MATERIAL: PVC, DIAMETRO: 23 mm, LARGO: 29,7 Cm, TIPO: ESPIRAL</t>
    </r>
  </si>
  <si>
    <t>2.9.2-4039.49</t>
  </si>
  <si>
    <r>
      <rPr>
        <b/>
        <u/>
        <sz val="10"/>
        <rFont val="Times New Roman"/>
        <family val="1"/>
      </rPr>
      <t>ANILLOS P/ENCUADERNAR;</t>
    </r>
    <r>
      <rPr>
        <sz val="10"/>
        <rFont val="Times New Roman"/>
        <family val="1"/>
      </rPr>
      <t xml:space="preserve"> MATERIAL: PVC, DIAMETRO: 30 mm, LARGO: 29,7 Cm, TIPO: ESPIRAL</t>
    </r>
  </si>
  <si>
    <t>2.9.2-4039.46</t>
  </si>
  <si>
    <r>
      <rPr>
        <b/>
        <u/>
        <sz val="10"/>
        <rFont val="Times New Roman"/>
        <family val="1"/>
      </rPr>
      <t xml:space="preserve">ANILLOS P/ENCUADERNAR; </t>
    </r>
    <r>
      <rPr>
        <sz val="10"/>
        <rFont val="Times New Roman"/>
        <family val="1"/>
      </rPr>
      <t>MATERIAL: PVC, DIAMETRO: 7 mm, LARGO: 29,7 Cm, TIPO: ESPIRAL</t>
    </r>
  </si>
  <si>
    <t>2.9.2-863.7</t>
  </si>
  <si>
    <r>
      <rPr>
        <b/>
        <u/>
        <sz val="10"/>
        <rFont val="Times New Roman"/>
        <family val="1"/>
      </rPr>
      <t>PORTA LAPICES</t>
    </r>
    <r>
      <rPr>
        <u/>
        <sz val="10"/>
        <rFont val="Times New Roman"/>
        <family val="1"/>
      </rPr>
      <t>;</t>
    </r>
    <r>
      <rPr>
        <sz val="10"/>
        <rFont val="Times New Roman"/>
        <family val="1"/>
      </rPr>
      <t xml:space="preserve"> MATERIAL: ACRILICO, SECCION: RECTANGULAR</t>
    </r>
  </si>
  <si>
    <t>Especificidades Ítem N° 1:</t>
  </si>
  <si>
    <t>Descripción técnica</t>
  </si>
  <si>
    <r>
      <rPr>
        <b/>
        <sz val="14"/>
        <rFont val="Times New Roman"/>
        <family val="1"/>
      </rPr>
      <t xml:space="preserve">HILOS P/EMPAQUETAR; </t>
    </r>
    <r>
      <rPr>
        <sz val="10"/>
        <rFont val="Times New Roman"/>
        <family val="1"/>
      </rPr>
      <t xml:space="preserve">RENDIMIENTO: SIN VALOR, TIPO: POLIPROPILENO, PESO: 400 GR, </t>
    </r>
    <r>
      <rPr>
        <b/>
        <sz val="14"/>
        <rFont val="Times New Roman"/>
        <family val="1"/>
      </rPr>
      <t>LONGITUD: 250 MTS, LONGITUD OVILLO: 250 MTS. ESPESOR: 2 mm.</t>
    </r>
  </si>
  <si>
    <t>Especificidades Ítem N° 2:</t>
  </si>
  <si>
    <r>
      <t xml:space="preserve">CARATULAS; TIPO: P/EXPEDIENTE, PRESENTACION: </t>
    </r>
    <r>
      <rPr>
        <b/>
        <u/>
        <sz val="14"/>
        <rFont val="Times New Roman"/>
        <family val="1"/>
      </rPr>
      <t>PAQUETE X 500</t>
    </r>
    <r>
      <rPr>
        <sz val="10"/>
        <rFont val="Times New Roman"/>
        <family val="1"/>
      </rPr>
      <t xml:space="preserve"> UN, MATERIAL: CARTULINA, DIMENSION: A4</t>
    </r>
  </si>
  <si>
    <t>Especificidades Ítem N° 8:</t>
  </si>
  <si>
    <r>
      <t xml:space="preserve">PAPELES ENCUADERNADOS; CANT. DE HOJAS: 120 HOJAS, TAMAÑO: 16 X 21 Cm, TIPO: RAYADO ESPIRALADO, CERTIFICADO FORESTAL (GFS): SIN, PORC. FIBRAS RECICLADAS: SIN VALOR %, CERT. FIBRA ALTERNATIVA (FCA): SIN
</t>
    </r>
    <r>
      <rPr>
        <b/>
        <u/>
        <sz val="14"/>
        <rFont val="Times New Roman"/>
        <family val="1"/>
      </rPr>
      <t>ESPIRALADO CON TAPA DURA. FORMATO: RAYADO</t>
    </r>
  </si>
  <si>
    <t>Especificidades Ítem N° 10:</t>
  </si>
  <si>
    <r>
      <t>PAPELES ENCUADERNADOS; CANT. DE HOJAS: 100, TAMAÑO: A4, TIPO: CUADERNO ESPIRALADO TAPA DURA, CERTIFICADO FORESTAL (GFS): SIN, PORC. FIBRAS RECICLADAS: 0 %, CERT. FIBRA ALTERNATIVA (FCA): SIN.</t>
    </r>
    <r>
      <rPr>
        <sz val="14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RAYADO</t>
    </r>
    <r>
      <rPr>
        <sz val="14"/>
        <rFont val="Times New Roman"/>
        <family val="1"/>
      </rPr>
      <t>.</t>
    </r>
  </si>
  <si>
    <t>Especificidades Item N° 15 :</t>
  </si>
  <si>
    <r>
      <t>SEÑALADORES; TIPO: BANDERA ADHESIVA, MATERIAL: PLASTICO, MEDIDA: 1 X 5 Cm - BANDERITAS AUTOADHESIVAS CON PEGAMENTO BASE AL AGUA</t>
    </r>
    <r>
      <rPr>
        <sz val="16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5 HILERAS DE BANDERITAS DE 25 C/U</t>
    </r>
    <r>
      <rPr>
        <b/>
        <sz val="16"/>
        <rFont val="Times New Roman"/>
        <family val="1"/>
      </rPr>
      <t xml:space="preserve"> </t>
    </r>
    <r>
      <rPr>
        <sz val="16"/>
        <rFont val="Times New Roman"/>
        <family val="1"/>
      </rPr>
      <t>(</t>
    </r>
    <r>
      <rPr>
        <sz val="10"/>
        <rFont val="Times New Roman"/>
        <family val="1"/>
      </rPr>
      <t>125 BANDERITAS 10mmX50mm) REPOSICIONABLES</t>
    </r>
  </si>
  <si>
    <t>Especificidades Ítem N° 23:</t>
  </si>
  <si>
    <t>Especificidades Ítem N° 24:</t>
  </si>
  <si>
    <r>
      <t xml:space="preserve">BIBLIORATOS; ANCHO: 80 mm, ANILLO: 2 Y PALANCA, TAMAÑO: A4, MATERIAL: CARTON FORRADO EN PVC. </t>
    </r>
    <r>
      <rPr>
        <b/>
        <sz val="14"/>
        <rFont val="Times New Roman"/>
        <family val="1"/>
      </rPr>
      <t>COLOR: GRIS.</t>
    </r>
  </si>
  <si>
    <t>Especificidades Ítem N° 42</t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</si>
  <si>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ROJA</t>
    </r>
  </si>
  <si>
    <t>Especificidades Ítem N° 43</t>
  </si>
  <si>
    <r>
      <t xml:space="preserve">BOLIGRAFOS; TRAZO: GRUESO, COLOR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VERDE</t>
    </r>
  </si>
  <si>
    <t>Especificidades Ítem N° 61</t>
  </si>
  <si>
    <r>
      <t>BROCHES P/EXPEDIENTE; TIPO: MARIPOSA, LONG.DE CUERPO: 65 mm.</t>
    </r>
    <r>
      <rPr>
        <b/>
        <sz val="20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 UNIDADES</t>
    </r>
  </si>
  <si>
    <t>Especificidades Ítem N° 62</t>
  </si>
  <si>
    <r>
      <t>BROCHES P/EXPEDIENTE; TIPO: MARIPOSA, LONG.DE CUERPO: 25 mm.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</t>
    </r>
    <r>
      <rPr>
        <b/>
        <sz val="20"/>
        <rFont val="Times New Roman"/>
        <family val="1"/>
      </rPr>
      <t xml:space="preserve"> </t>
    </r>
  </si>
  <si>
    <t>Especificidades Ítem N° 63</t>
  </si>
  <si>
    <r>
      <t xml:space="preserve">BROCHES P/EXPEDIENTE; TIPO: MARIPOSA, LONG.DE CUERPO: 75 mm </t>
    </r>
    <r>
      <rPr>
        <b/>
        <sz val="14"/>
        <rFont val="Times New Roman"/>
        <family val="1"/>
      </rPr>
      <t xml:space="preserve">PRESENTACION: CAJA X 100 </t>
    </r>
  </si>
  <si>
    <t>Especificidades Item N° 66:</t>
  </si>
  <si>
    <t>Plazos y lugares de entrega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</si>
  <si>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</si>
  <si>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</si>
  <si>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</si>
  <si>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30 (treinta)  días habiles</t>
  </si>
  <si>
    <t>Garantia</t>
  </si>
  <si>
    <t>AUTORIZACION PARA GASTAR</t>
  </si>
  <si>
    <t>JURISDICCIÓN:</t>
  </si>
  <si>
    <t>SAF:</t>
  </si>
  <si>
    <t>UNIDAD EJECUTORA: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</si>
  <si>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</si>
  <si>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</si>
  <si>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</si>
  <si>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</si>
  <si>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</si>
  <si>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</si>
  <si>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</si>
  <si>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</si>
  <si>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</si>
  <si>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</si>
  <si>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</si>
  <si>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</si>
  <si>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</si>
  <si>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</si>
  <si>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</si>
  <si>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</si>
  <si>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</si>
  <si>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</si>
  <si>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</si>
  <si>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</si>
  <si>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</si>
  <si>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HILADOS Y TELAS</t>
  </si>
  <si>
    <t>PAPEL DE ESCRITORIO Y CARTON</t>
  </si>
  <si>
    <t>UTILES DE ESCRITORIO, OFICINA Y ENSEÑANZA</t>
  </si>
  <si>
    <t>JUSTIFICACIÓN: Adquisición de Utiles de Escritorio para las distintas dependencias de este Ministerio.</t>
  </si>
  <si>
    <t>12- Ministerio de Trabajo, Planificacion y Recursos Humanos</t>
  </si>
  <si>
    <t>22 - Subsecretaria de Administracion Financiera del Ministerio de Trabajo, Planificacion y Recursos Humanos</t>
  </si>
  <si>
    <t>Ministerio de Trabajo, Planificacion y Reursos Humanos</t>
  </si>
  <si>
    <t>2.2.1</t>
  </si>
  <si>
    <t>PAPEL DE ESCRITORIO Y CARTON6</t>
  </si>
  <si>
    <t>TINTAS P/SELLOS; TIPO DE SELLO: DE GOMA, COLOR: NEGRO, PRESENTACION: ENVASE X 50 CM3, ENVASE: 50 CM3</t>
  </si>
  <si>
    <t>Especificidades Ítem N° 37</t>
  </si>
  <si>
    <t>LIBRO DE RECIBO TAPA DURA X 200 HOJAS RAYADAS DOBLE FAZ - MEDIDAS: TAMAÑO 22 X 14 CM. APAISADO</t>
  </si>
  <si>
    <t>Autorizo la realización de los  trámites correspondientes, a fin de proveer a  este Organismo los bienes y/o servicios que se detallan en la Necesidad Trimestral Programada para el 1er Trimestre,  afectando la erogación resultante a los créditos presupuestarios aprobados a favor de esta Unidad Ejecutora, conforme al siguiente detalle:</t>
  </si>
  <si>
    <t>MONTO TOTAL ESTIMADO: Dos Millones Cuarenta Mil Trescientos Once con 90/100</t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</si>
  <si>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14"/>
        <rFont val="Times New Roman"/>
        <family val="1"/>
      </rPr>
      <t>PAQUETE DE 10  UNIDADES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QUINCE (15) PAQUETES DE 10 UNIDADES, EN TOTAL 150 UNIDADES.</t>
    </r>
  </si>
  <si>
    <r>
      <t xml:space="preserve">CARPETAS; COLOR: NEGRO, TIPO: </t>
    </r>
    <r>
      <rPr>
        <b/>
        <u/>
        <sz val="14"/>
        <rFont val="Times New Roman"/>
        <family val="1"/>
      </rPr>
      <t>TAPA TRANSPARENTE,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PRESENTACION:</t>
    </r>
    <r>
      <rPr>
        <b/>
        <sz val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QUINCE (15) PAQUETES DE 10 UNIDADES, EN TOTAL 150 UNIDADES.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</si>
</sst>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$-2C0A]\ * #,##0.00_ ;_ [$$-2C0A]\ * \-#,##0.00_ ;_ [$$-2C0A]\ * &quot;-&quot;??_ ;_ @_ "/>
    <numFmt numFmtId="165" formatCode="_-* #,##0.00&quot; €&quot;_-;\-* #,##0.00&quot; €&quot;_-;_-* \-??&quot; €&quot;_-;_-@_-"/>
    <numFmt numFmtId="166" formatCode="dd\-mm\-yy;@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20"/>
      <name val="Times New Roman"/>
      <family val="1"/>
    </font>
    <font>
      <u/>
      <sz val="14"/>
      <name val="Times New Roman"/>
      <family val="1"/>
    </font>
    <font>
      <b/>
      <sz val="20"/>
      <name val="Times New Roman"/>
      <family val="1"/>
    </font>
    <font>
      <b/>
      <u/>
      <sz val="11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7" fillId="0" borderId="0" applyBorder="0" applyProtection="0"/>
    <xf numFmtId="0" fontId="25" fillId="0" borderId="22" applyProtection="0"/>
    <xf numFmtId="0" fontId="26" fillId="2" borderId="0" applyBorder="0" applyProtection="0"/>
    <xf numFmtId="0" fontId="1" fillId="0" borderId="0"/>
    <xf numFmtId="0" fontId="1" fillId="0" borderId="0"/>
  </cellStyleXfs>
  <cellXfs count="18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4" fontId="7" fillId="0" borderId="0" xfId="1" applyNumberFormat="1" applyAlignment="1">
      <alignment horizontal="center" vertical="center"/>
    </xf>
    <xf numFmtId="0" fontId="5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164" fontId="7" fillId="0" borderId="2" xfId="1" applyNumberForma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3" fontId="10" fillId="0" borderId="5" xfId="0" applyNumberFormat="1" applyFont="1" applyFill="1" applyBorder="1" applyAlignment="1">
      <alignment horizontal="center" vertical="center"/>
    </xf>
    <xf numFmtId="164" fontId="7" fillId="0" borderId="5" xfId="1" applyNumberFormat="1" applyBorder="1" applyAlignment="1">
      <alignment horizontal="center" vertical="center"/>
    </xf>
    <xf numFmtId="164" fontId="2" fillId="0" borderId="6" xfId="1" applyNumberFormat="1" applyFont="1" applyFill="1" applyBorder="1" applyAlignment="1" applyProtection="1">
      <alignment horizontal="right" vertical="center" wrapText="1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/>
    </xf>
    <xf numFmtId="164" fontId="2" fillId="0" borderId="7" xfId="1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164" fontId="7" fillId="0" borderId="5" xfId="1" applyNumberFormat="1" applyFill="1" applyBorder="1" applyAlignment="1">
      <alignment horizontal="center" vertical="center"/>
    </xf>
    <xf numFmtId="0" fontId="2" fillId="0" borderId="0" xfId="0" applyFont="1" applyFill="1"/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164" fontId="7" fillId="0" borderId="9" xfId="1" applyNumberFormat="1" applyBorder="1" applyAlignment="1">
      <alignment horizontal="center" vertical="center"/>
    </xf>
    <xf numFmtId="164" fontId="2" fillId="0" borderId="10" xfId="1" applyNumberFormat="1" applyFont="1" applyFill="1" applyBorder="1" applyAlignment="1" applyProtection="1">
      <alignment horizontal="right" vertical="center" wrapText="1"/>
    </xf>
    <xf numFmtId="0" fontId="6" fillId="0" borderId="9" xfId="0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 applyAlignment="1"/>
    <xf numFmtId="0" fontId="2" fillId="0" borderId="12" xfId="0" applyFont="1" applyBorder="1" applyAlignment="1">
      <alignment horizontal="center" wrapText="1"/>
    </xf>
    <xf numFmtId="0" fontId="2" fillId="0" borderId="12" xfId="0" applyFont="1" applyBorder="1"/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/>
    </xf>
    <xf numFmtId="164" fontId="7" fillId="0" borderId="12" xfId="1" applyNumberFormat="1" applyBorder="1" applyAlignment="1">
      <alignment horizontal="center" vertical="center"/>
    </xf>
    <xf numFmtId="164" fontId="9" fillId="0" borderId="13" xfId="0" applyNumberFormat="1" applyFont="1" applyBorder="1"/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4" fillId="0" borderId="14" xfId="0" applyFont="1" applyBorder="1" applyAlignment="1"/>
    <xf numFmtId="0" fontId="2" fillId="0" borderId="15" xfId="0" applyFont="1" applyBorder="1" applyAlignment="1">
      <alignment horizontal="center" wrapText="1"/>
    </xf>
    <xf numFmtId="0" fontId="2" fillId="0" borderId="15" xfId="0" applyFont="1" applyBorder="1"/>
    <xf numFmtId="0" fontId="2" fillId="0" borderId="16" xfId="0" applyFont="1" applyBorder="1" applyAlignment="1">
      <alignment wrapText="1"/>
    </xf>
    <xf numFmtId="0" fontId="2" fillId="0" borderId="17" xfId="0" applyFont="1" applyBorder="1" applyAlignment="1"/>
    <xf numFmtId="0" fontId="2" fillId="0" borderId="0" xfId="0" applyFont="1" applyBorder="1" applyAlignment="1">
      <alignment horizontal="center" wrapText="1"/>
    </xf>
    <xf numFmtId="0" fontId="2" fillId="0" borderId="0" xfId="0" applyFont="1" applyBorder="1"/>
    <xf numFmtId="0" fontId="2" fillId="0" borderId="18" xfId="0" applyFont="1" applyBorder="1" applyAlignment="1">
      <alignment wrapText="1"/>
    </xf>
    <xf numFmtId="0" fontId="14" fillId="0" borderId="17" xfId="0" applyFont="1" applyBorder="1" applyAlignment="1"/>
    <xf numFmtId="0" fontId="14" fillId="0" borderId="19" xfId="0" applyFont="1" applyBorder="1" applyAlignment="1"/>
    <xf numFmtId="0" fontId="14" fillId="0" borderId="0" xfId="0" applyFont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2" fillId="0" borderId="19" xfId="0" applyFont="1" applyBorder="1" applyAlignment="1"/>
    <xf numFmtId="0" fontId="2" fillId="0" borderId="20" xfId="0" applyFont="1" applyBorder="1" applyAlignment="1">
      <alignment horizontal="center" wrapText="1"/>
    </xf>
    <xf numFmtId="0" fontId="2" fillId="0" borderId="20" xfId="0" applyFont="1" applyBorder="1"/>
    <xf numFmtId="0" fontId="2" fillId="0" borderId="2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164" fontId="7" fillId="0" borderId="0" xfId="1" applyNumberFormat="1" applyBorder="1" applyAlignment="1">
      <alignment horizontal="center" vertical="center"/>
    </xf>
    <xf numFmtId="164" fontId="2" fillId="0" borderId="0" xfId="0" applyNumberFormat="1" applyFont="1" applyBorder="1"/>
    <xf numFmtId="0" fontId="24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2" fillId="0" borderId="0" xfId="0" applyFont="1" applyFill="1" applyBorder="1"/>
    <xf numFmtId="0" fontId="2" fillId="0" borderId="18" xfId="0" applyFont="1" applyFill="1" applyBorder="1" applyAlignment="1">
      <alignment horizontal="left" wrapText="1"/>
    </xf>
    <xf numFmtId="0" fontId="2" fillId="0" borderId="19" xfId="0" applyFont="1" applyBorder="1"/>
    <xf numFmtId="0" fontId="15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left" indent="3"/>
    </xf>
    <xf numFmtId="0" fontId="15" fillId="0" borderId="17" xfId="0" applyFont="1" applyBorder="1" applyAlignment="1"/>
    <xf numFmtId="0" fontId="14" fillId="0" borderId="17" xfId="0" applyFont="1" applyBorder="1" applyAlignment="1">
      <alignment horizontal="left" indent="3"/>
    </xf>
    <xf numFmtId="0" fontId="2" fillId="0" borderId="19" xfId="0" applyFont="1" applyBorder="1" applyAlignment="1">
      <alignment horizontal="left" indent="3"/>
    </xf>
    <xf numFmtId="3" fontId="28" fillId="0" borderId="0" xfId="0" applyNumberFormat="1" applyFont="1" applyBorder="1" applyAlignment="1"/>
    <xf numFmtId="166" fontId="27" fillId="0" borderId="0" xfId="0" applyNumberFormat="1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left"/>
    </xf>
    <xf numFmtId="167" fontId="7" fillId="0" borderId="0" xfId="1" applyNumberFormat="1"/>
    <xf numFmtId="0" fontId="27" fillId="0" borderId="0" xfId="0" applyFont="1" applyBorder="1"/>
    <xf numFmtId="167" fontId="7" fillId="0" borderId="34" xfId="1" applyNumberFormat="1" applyBorder="1"/>
    <xf numFmtId="0" fontId="27" fillId="0" borderId="35" xfId="0" applyFont="1" applyBorder="1"/>
    <xf numFmtId="0" fontId="27" fillId="0" borderId="0" xfId="0" applyFont="1" applyBorder="1" applyAlignment="1">
      <alignment horizontal="left"/>
    </xf>
    <xf numFmtId="0" fontId="32" fillId="0" borderId="42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167" fontId="7" fillId="0" borderId="7" xfId="1" applyNumberFormat="1" applyBorder="1" applyProtection="1"/>
    <xf numFmtId="168" fontId="27" fillId="0" borderId="0" xfId="0" applyNumberFormat="1" applyFont="1"/>
    <xf numFmtId="167" fontId="27" fillId="0" borderId="0" xfId="0" applyNumberFormat="1" applyFont="1"/>
    <xf numFmtId="169" fontId="27" fillId="0" borderId="0" xfId="0" applyNumberFormat="1" applyFont="1"/>
    <xf numFmtId="167" fontId="33" fillId="0" borderId="49" xfId="1" applyNumberFormat="1" applyFont="1" applyBorder="1"/>
    <xf numFmtId="0" fontId="27" fillId="0" borderId="1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167" fontId="7" fillId="0" borderId="3" xfId="1" applyNumberFormat="1" applyBorder="1" applyProtection="1"/>
    <xf numFmtId="167" fontId="7" fillId="0" borderId="7" xfId="1" applyNumberFormat="1" applyBorder="1"/>
    <xf numFmtId="0" fontId="9" fillId="0" borderId="5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2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18" xfId="0" applyFont="1" applyFill="1" applyBorder="1" applyAlignment="1">
      <alignment horizontal="left" wrapText="1"/>
    </xf>
    <xf numFmtId="0" fontId="2" fillId="0" borderId="20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wrapText="1"/>
    </xf>
    <xf numFmtId="0" fontId="16" fillId="0" borderId="18" xfId="0" applyFont="1" applyFill="1" applyBorder="1" applyAlignment="1">
      <alignment horizontal="left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167" fontId="7" fillId="0" borderId="41" xfId="1" applyNumberFormat="1" applyBorder="1"/>
    <xf numFmtId="167" fontId="7" fillId="0" borderId="48" xfId="1" applyNumberFormat="1" applyBorder="1"/>
    <xf numFmtId="0" fontId="27" fillId="0" borderId="23" xfId="0" applyFont="1" applyFill="1" applyBorder="1" applyAlignment="1">
      <alignment horizontal="left"/>
    </xf>
    <xf numFmtId="0" fontId="27" fillId="0" borderId="24" xfId="0" applyFont="1" applyFill="1" applyBorder="1" applyAlignment="1">
      <alignment horizontal="left"/>
    </xf>
    <xf numFmtId="0" fontId="27" fillId="0" borderId="25" xfId="0" applyFont="1" applyFill="1" applyBorder="1" applyAlignment="1">
      <alignment horizontal="left"/>
    </xf>
    <xf numFmtId="0" fontId="27" fillId="0" borderId="23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3" fontId="28" fillId="0" borderId="24" xfId="0" applyNumberFormat="1" applyFont="1" applyBorder="1" applyAlignment="1">
      <alignment horizontal="center"/>
    </xf>
    <xf numFmtId="3" fontId="28" fillId="0" borderId="25" xfId="0" applyNumberFormat="1" applyFont="1" applyBorder="1" applyAlignment="1">
      <alignment horizontal="center"/>
    </xf>
    <xf numFmtId="0" fontId="29" fillId="0" borderId="26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7" fillId="0" borderId="30" xfId="0" applyFont="1" applyBorder="1"/>
    <xf numFmtId="0" fontId="27" fillId="0" borderId="31" xfId="0" applyFont="1" applyBorder="1"/>
    <xf numFmtId="0" fontId="27" fillId="0" borderId="32" xfId="0" applyFont="1" applyBorder="1"/>
    <xf numFmtId="0" fontId="30" fillId="0" borderId="30" xfId="0" applyFont="1" applyBorder="1" applyAlignment="1">
      <alignment horizontal="left" indent="1"/>
    </xf>
    <xf numFmtId="0" fontId="30" fillId="0" borderId="31" xfId="0" applyFont="1" applyBorder="1" applyAlignment="1">
      <alignment horizontal="left" indent="1"/>
    </xf>
    <xf numFmtId="0" fontId="30" fillId="0" borderId="32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27" fillId="0" borderId="31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wrapText="1" indent="1"/>
    </xf>
    <xf numFmtId="0" fontId="30" fillId="0" borderId="31" xfId="0" applyFont="1" applyBorder="1" applyAlignment="1">
      <alignment horizontal="left" wrapText="1" indent="1"/>
    </xf>
    <xf numFmtId="0" fontId="30" fillId="0" borderId="32" xfId="0" applyFont="1" applyBorder="1" applyAlignment="1">
      <alignment horizontal="left" wrapText="1" indent="1"/>
    </xf>
    <xf numFmtId="0" fontId="27" fillId="0" borderId="2" xfId="0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left"/>
    </xf>
    <xf numFmtId="0" fontId="31" fillId="0" borderId="31" xfId="0" applyFont="1" applyBorder="1" applyAlignment="1">
      <alignment horizontal="left"/>
    </xf>
    <xf numFmtId="0" fontId="31" fillId="0" borderId="32" xfId="0" applyFont="1" applyBorder="1" applyAlignment="1">
      <alignment horizontal="left"/>
    </xf>
    <xf numFmtId="0" fontId="30" fillId="0" borderId="26" xfId="0" applyFont="1" applyBorder="1"/>
    <xf numFmtId="0" fontId="30" fillId="0" borderId="33" xfId="0" applyFont="1" applyBorder="1"/>
    <xf numFmtId="0" fontId="30" fillId="0" borderId="35" xfId="0" applyFont="1" applyBorder="1" applyAlignment="1">
      <alignment horizontal="left" vertical="center" wrapText="1" indent="1"/>
    </xf>
    <xf numFmtId="0" fontId="30" fillId="0" borderId="0" xfId="0" applyFont="1" applyBorder="1" applyAlignment="1">
      <alignment horizontal="left" vertical="center" wrapText="1" indent="1"/>
    </xf>
    <xf numFmtId="0" fontId="30" fillId="0" borderId="34" xfId="0" applyFont="1" applyBorder="1" applyAlignment="1">
      <alignment horizontal="left" vertical="center" wrapText="1" indent="1"/>
    </xf>
    <xf numFmtId="0" fontId="32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</cellXfs>
  <cellStyles count="6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NECESIDADES%201ER%20TRIMESTRE%202022%20SAF%20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ER"/>
      <sheetName val="COMBUSTIBLE"/>
      <sheetName val="BIDONES DE AGUA"/>
      <sheetName val="Hoja1"/>
      <sheetName val="Utiles de Escritorio"/>
      <sheetName val="ELEM. LIMPIEZA"/>
      <sheetName val="SEGURO DE VIDA"/>
      <sheetName val="ALQUILER DE INMUEBLE"/>
      <sheetName val="MODELOS DE IMPRESORAS Y TONER"/>
      <sheetName val="PARQUE AUTOMOTOR"/>
      <sheetName val="TONER PLANIFICACION"/>
    </sheetNames>
    <sheetDataSet>
      <sheetData sheetId="0">
        <row r="4">
          <cell r="C4" t="str">
            <v>12 -Ministerio de Trabajo, Planificacion y Recursos Humanos</v>
          </cell>
        </row>
        <row r="190">
          <cell r="C190" t="str">
            <v>a) LUGAR DE ENTREGA:  Oficina Central del Ministerio de Trabajo, Planificacion y Recursos Humanos, sito en Av. Colon Nº 960 -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4"/>
  <sheetViews>
    <sheetView tabSelected="1" topLeftCell="A6" zoomScale="90" zoomScaleNormal="90" workbookViewId="0">
      <selection activeCell="C125" sqref="C125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140625" style="55" customWidth="1"/>
    <col min="4" max="4" width="8.85546875" style="1" customWidth="1"/>
    <col min="5" max="5" width="79" style="56" customWidth="1"/>
    <col min="6" max="6" width="11" style="1"/>
    <col min="7" max="7" width="12.7109375" style="57" customWidth="1"/>
    <col min="8" max="8" width="13.85546875" style="5" customWidth="1"/>
    <col min="9" max="9" width="18.5703125" style="2" customWidth="1"/>
    <col min="10" max="10" width="65.5703125" style="1" customWidth="1"/>
    <col min="11" max="16384" width="11" style="1"/>
  </cols>
  <sheetData>
    <row r="2" spans="1:9" ht="27" x14ac:dyDescent="0.35">
      <c r="B2" s="122" t="s">
        <v>0</v>
      </c>
      <c r="C2" s="122"/>
      <c r="D2" s="122"/>
      <c r="E2" s="122"/>
      <c r="F2" s="122"/>
      <c r="G2" s="122"/>
      <c r="H2" s="122"/>
    </row>
    <row r="4" spans="1:9" ht="18" customHeight="1" x14ac:dyDescent="0.25">
      <c r="A4" s="121" t="s">
        <v>1</v>
      </c>
      <c r="B4" s="121"/>
      <c r="C4" s="123" t="s">
        <v>237</v>
      </c>
      <c r="D4" s="123"/>
      <c r="E4" s="123"/>
      <c r="F4" s="3"/>
      <c r="G4" s="4"/>
    </row>
    <row r="5" spans="1:9" ht="18" customHeight="1" x14ac:dyDescent="0.25">
      <c r="A5" s="121" t="s">
        <v>2</v>
      </c>
      <c r="B5" s="121"/>
      <c r="C5" s="123" t="s">
        <v>238</v>
      </c>
      <c r="D5" s="123"/>
      <c r="E5" s="123"/>
      <c r="F5" s="3"/>
      <c r="G5" s="4"/>
    </row>
    <row r="6" spans="1:9" ht="16.5" customHeight="1" x14ac:dyDescent="0.25">
      <c r="A6" s="121" t="s">
        <v>3</v>
      </c>
      <c r="B6" s="121"/>
      <c r="C6" s="6">
        <v>2022</v>
      </c>
      <c r="D6" s="7"/>
      <c r="E6" s="7"/>
      <c r="F6" s="3"/>
      <c r="G6" s="4"/>
    </row>
    <row r="7" spans="1:9" ht="16.5" customHeight="1" x14ac:dyDescent="0.25">
      <c r="A7" s="121" t="s">
        <v>4</v>
      </c>
      <c r="B7" s="121"/>
      <c r="C7" s="6">
        <v>1</v>
      </c>
      <c r="D7" s="7"/>
      <c r="E7" s="7"/>
      <c r="F7" s="3"/>
      <c r="G7" s="4"/>
    </row>
    <row r="8" spans="1:9" ht="13.5" thickBot="1" x14ac:dyDescent="0.25">
      <c r="B8" s="3"/>
      <c r="C8" s="4"/>
      <c r="D8" s="3"/>
      <c r="E8" s="3"/>
      <c r="F8" s="3"/>
      <c r="G8" s="4"/>
    </row>
    <row r="9" spans="1:9" ht="35.25" customHeight="1" x14ac:dyDescent="0.2">
      <c r="A9" s="8" t="s">
        <v>5</v>
      </c>
      <c r="B9" s="9" t="s">
        <v>6</v>
      </c>
      <c r="C9" s="10" t="s">
        <v>7</v>
      </c>
      <c r="D9" s="10" t="s">
        <v>8</v>
      </c>
      <c r="E9" s="10" t="s">
        <v>9</v>
      </c>
      <c r="F9" s="10" t="s">
        <v>10</v>
      </c>
      <c r="G9" s="10" t="s">
        <v>11</v>
      </c>
      <c r="H9" s="11" t="s">
        <v>12</v>
      </c>
      <c r="I9" s="12" t="s">
        <v>13</v>
      </c>
    </row>
    <row r="10" spans="1:9" ht="35.25" customHeight="1" x14ac:dyDescent="0.2">
      <c r="A10" s="13">
        <v>1</v>
      </c>
      <c r="B10" s="14" t="s">
        <v>14</v>
      </c>
      <c r="C10" s="15" t="s">
        <v>15</v>
      </c>
      <c r="D10" s="16" t="s">
        <v>240</v>
      </c>
      <c r="E10" s="17" t="s">
        <v>16</v>
      </c>
      <c r="F10" s="18" t="s">
        <v>17</v>
      </c>
      <c r="G10" s="19">
        <v>10</v>
      </c>
      <c r="H10" s="20">
        <v>890</v>
      </c>
      <c r="I10" s="21">
        <f t="shared" ref="I10:I78" si="0">+H10*G10</f>
        <v>8900</v>
      </c>
    </row>
    <row r="11" spans="1:9" ht="34.5" customHeight="1" x14ac:dyDescent="0.2">
      <c r="A11" s="13">
        <v>2</v>
      </c>
      <c r="B11" s="14" t="s">
        <v>18</v>
      </c>
      <c r="C11" s="15" t="s">
        <v>15</v>
      </c>
      <c r="D11" s="16" t="str">
        <f>+LEFT(B11,5)</f>
        <v>2.9.2</v>
      </c>
      <c r="E11" s="17" t="s">
        <v>19</v>
      </c>
      <c r="F11" s="18" t="s">
        <v>20</v>
      </c>
      <c r="G11" s="22">
        <v>2</v>
      </c>
      <c r="H11" s="20">
        <v>1560</v>
      </c>
      <c r="I11" s="21">
        <f t="shared" si="0"/>
        <v>3120</v>
      </c>
    </row>
    <row r="12" spans="1:9" ht="49.5" customHeight="1" x14ac:dyDescent="0.2">
      <c r="A12" s="13">
        <v>3</v>
      </c>
      <c r="B12" s="14" t="s">
        <v>21</v>
      </c>
      <c r="C12" s="15" t="s">
        <v>15</v>
      </c>
      <c r="D12" s="15" t="str">
        <f t="shared" ref="D12:D74" si="1">+LEFT(B12,5)</f>
        <v>2.3.1</v>
      </c>
      <c r="E12" s="17" t="s">
        <v>22</v>
      </c>
      <c r="F12" s="23" t="s">
        <v>17</v>
      </c>
      <c r="G12" s="24">
        <v>400</v>
      </c>
      <c r="H12" s="20">
        <v>1010</v>
      </c>
      <c r="I12" s="25">
        <f t="shared" si="0"/>
        <v>404000</v>
      </c>
    </row>
    <row r="13" spans="1:9" ht="49.5" customHeight="1" x14ac:dyDescent="0.2">
      <c r="A13" s="13">
        <v>4</v>
      </c>
      <c r="B13" s="14" t="s">
        <v>23</v>
      </c>
      <c r="C13" s="15" t="s">
        <v>15</v>
      </c>
      <c r="D13" s="16" t="str">
        <f t="shared" si="1"/>
        <v>2.3.1</v>
      </c>
      <c r="E13" s="17" t="s">
        <v>24</v>
      </c>
      <c r="F13" s="18" t="s">
        <v>17</v>
      </c>
      <c r="G13" s="22">
        <v>30</v>
      </c>
      <c r="H13" s="20">
        <v>24</v>
      </c>
      <c r="I13" s="25">
        <f t="shared" si="0"/>
        <v>720</v>
      </c>
    </row>
    <row r="14" spans="1:9" ht="49.5" customHeight="1" x14ac:dyDescent="0.2">
      <c r="A14" s="13">
        <v>5</v>
      </c>
      <c r="B14" s="14" t="s">
        <v>25</v>
      </c>
      <c r="C14" s="15" t="s">
        <v>15</v>
      </c>
      <c r="D14" s="16" t="str">
        <f t="shared" si="1"/>
        <v>2.3.1</v>
      </c>
      <c r="E14" s="17" t="s">
        <v>26</v>
      </c>
      <c r="F14" s="18" t="s">
        <v>17</v>
      </c>
      <c r="G14" s="22">
        <v>30</v>
      </c>
      <c r="H14" s="20">
        <v>39</v>
      </c>
      <c r="I14" s="25">
        <f t="shared" si="0"/>
        <v>1170</v>
      </c>
    </row>
    <row r="15" spans="1:9" ht="49.5" customHeight="1" x14ac:dyDescent="0.2">
      <c r="A15" s="13">
        <v>6</v>
      </c>
      <c r="B15" s="14" t="s">
        <v>27</v>
      </c>
      <c r="C15" s="15" t="s">
        <v>15</v>
      </c>
      <c r="D15" s="16" t="str">
        <f t="shared" si="1"/>
        <v>2.3.1</v>
      </c>
      <c r="E15" s="17" t="s">
        <v>28</v>
      </c>
      <c r="F15" s="18" t="s">
        <v>17</v>
      </c>
      <c r="G15" s="22">
        <v>10</v>
      </c>
      <c r="H15" s="20">
        <v>69</v>
      </c>
      <c r="I15" s="25">
        <f t="shared" si="0"/>
        <v>690</v>
      </c>
    </row>
    <row r="16" spans="1:9" ht="40.5" customHeight="1" x14ac:dyDescent="0.2">
      <c r="A16" s="13">
        <v>7</v>
      </c>
      <c r="B16" s="14" t="s">
        <v>29</v>
      </c>
      <c r="C16" s="15" t="s">
        <v>15</v>
      </c>
      <c r="D16" s="15" t="str">
        <f t="shared" si="1"/>
        <v>2.3.1</v>
      </c>
      <c r="E16" s="17" t="s">
        <v>30</v>
      </c>
      <c r="F16" s="23" t="s">
        <v>17</v>
      </c>
      <c r="G16" s="26">
        <v>400</v>
      </c>
      <c r="H16" s="20">
        <v>695</v>
      </c>
      <c r="I16" s="25">
        <f t="shared" si="0"/>
        <v>278000</v>
      </c>
    </row>
    <row r="17" spans="1:9" ht="49.5" customHeight="1" x14ac:dyDescent="0.2">
      <c r="A17" s="13">
        <v>8</v>
      </c>
      <c r="B17" s="14" t="s">
        <v>31</v>
      </c>
      <c r="C17" s="15" t="s">
        <v>15</v>
      </c>
      <c r="D17" s="15" t="str">
        <f t="shared" si="1"/>
        <v>2.3.1</v>
      </c>
      <c r="E17" s="17" t="s">
        <v>32</v>
      </c>
      <c r="F17" s="18" t="s">
        <v>17</v>
      </c>
      <c r="G17" s="22">
        <v>80</v>
      </c>
      <c r="H17" s="20">
        <v>900</v>
      </c>
      <c r="I17" s="25">
        <f t="shared" si="0"/>
        <v>72000</v>
      </c>
    </row>
    <row r="18" spans="1:9" ht="49.5" customHeight="1" x14ac:dyDescent="0.2">
      <c r="A18" s="13">
        <v>9</v>
      </c>
      <c r="B18" s="14" t="s">
        <v>33</v>
      </c>
      <c r="C18" s="15" t="s">
        <v>15</v>
      </c>
      <c r="D18" s="16" t="str">
        <f t="shared" si="1"/>
        <v>2.3.1</v>
      </c>
      <c r="E18" s="17" t="s">
        <v>34</v>
      </c>
      <c r="F18" s="18" t="s">
        <v>17</v>
      </c>
      <c r="G18" s="22">
        <v>80</v>
      </c>
      <c r="H18" s="20">
        <v>459</v>
      </c>
      <c r="I18" s="25">
        <f t="shared" si="0"/>
        <v>36720</v>
      </c>
    </row>
    <row r="19" spans="1:9" ht="49.5" customHeight="1" x14ac:dyDescent="0.2">
      <c r="A19" s="13">
        <v>10</v>
      </c>
      <c r="B19" s="14" t="s">
        <v>35</v>
      </c>
      <c r="C19" s="15" t="s">
        <v>15</v>
      </c>
      <c r="D19" s="16" t="str">
        <f t="shared" si="1"/>
        <v>2.3.1</v>
      </c>
      <c r="E19" s="17" t="s">
        <v>36</v>
      </c>
      <c r="F19" s="18" t="s">
        <v>17</v>
      </c>
      <c r="G19" s="22">
        <v>50</v>
      </c>
      <c r="H19" s="20">
        <v>1286</v>
      </c>
      <c r="I19" s="25">
        <f t="shared" si="0"/>
        <v>64300</v>
      </c>
    </row>
    <row r="20" spans="1:9" ht="49.5" customHeight="1" x14ac:dyDescent="0.2">
      <c r="A20" s="13">
        <v>11</v>
      </c>
      <c r="B20" s="14" t="s">
        <v>37</v>
      </c>
      <c r="C20" s="15" t="s">
        <v>15</v>
      </c>
      <c r="D20" s="16" t="str">
        <f t="shared" si="1"/>
        <v>2.3.1</v>
      </c>
      <c r="E20" s="17" t="s">
        <v>38</v>
      </c>
      <c r="F20" s="18" t="s">
        <v>17</v>
      </c>
      <c r="G20" s="22">
        <v>100</v>
      </c>
      <c r="H20" s="20">
        <v>17.52</v>
      </c>
      <c r="I20" s="25">
        <f t="shared" si="0"/>
        <v>1752</v>
      </c>
    </row>
    <row r="21" spans="1:9" ht="49.5" customHeight="1" x14ac:dyDescent="0.2">
      <c r="A21" s="13">
        <v>12</v>
      </c>
      <c r="B21" s="14" t="s">
        <v>39</v>
      </c>
      <c r="C21" s="15" t="s">
        <v>15</v>
      </c>
      <c r="D21" s="16" t="str">
        <f t="shared" si="1"/>
        <v>2.3.1</v>
      </c>
      <c r="E21" s="17" t="s">
        <v>40</v>
      </c>
      <c r="F21" s="18" t="s">
        <v>17</v>
      </c>
      <c r="G21" s="22">
        <v>200</v>
      </c>
      <c r="H21" s="20">
        <v>7.8</v>
      </c>
      <c r="I21" s="25">
        <f t="shared" si="0"/>
        <v>1560</v>
      </c>
    </row>
    <row r="22" spans="1:9" ht="43.5" customHeight="1" x14ac:dyDescent="0.2">
      <c r="A22" s="13">
        <v>13</v>
      </c>
      <c r="B22" s="14" t="s">
        <v>41</v>
      </c>
      <c r="C22" s="15" t="s">
        <v>15</v>
      </c>
      <c r="D22" s="16" t="str">
        <f t="shared" si="1"/>
        <v>2.9.2</v>
      </c>
      <c r="E22" s="17" t="s">
        <v>42</v>
      </c>
      <c r="F22" s="18" t="s">
        <v>17</v>
      </c>
      <c r="G22" s="22">
        <v>100</v>
      </c>
      <c r="H22" s="20">
        <v>167</v>
      </c>
      <c r="I22" s="25">
        <f t="shared" si="0"/>
        <v>16700</v>
      </c>
    </row>
    <row r="23" spans="1:9" ht="49.5" customHeight="1" x14ac:dyDescent="0.2">
      <c r="A23" s="13">
        <v>14</v>
      </c>
      <c r="B23" s="14" t="s">
        <v>43</v>
      </c>
      <c r="C23" s="15" t="s">
        <v>15</v>
      </c>
      <c r="D23" s="16" t="str">
        <f t="shared" si="1"/>
        <v>2.9.2</v>
      </c>
      <c r="E23" s="17" t="s">
        <v>44</v>
      </c>
      <c r="F23" s="18" t="s">
        <v>17</v>
      </c>
      <c r="G23" s="24">
        <v>50</v>
      </c>
      <c r="H23" s="20">
        <v>480</v>
      </c>
      <c r="I23" s="25">
        <f t="shared" si="0"/>
        <v>24000</v>
      </c>
    </row>
    <row r="24" spans="1:9" ht="33.75" customHeight="1" x14ac:dyDescent="0.2">
      <c r="A24" s="13">
        <v>15</v>
      </c>
      <c r="B24" s="14" t="s">
        <v>45</v>
      </c>
      <c r="C24" s="15" t="s">
        <v>15</v>
      </c>
      <c r="D24" s="16" t="str">
        <f t="shared" si="1"/>
        <v>2.9.2</v>
      </c>
      <c r="E24" s="17" t="s">
        <v>46</v>
      </c>
      <c r="F24" s="18" t="s">
        <v>20</v>
      </c>
      <c r="G24" s="24">
        <v>60</v>
      </c>
      <c r="H24" s="20">
        <v>180</v>
      </c>
      <c r="I24" s="25">
        <f t="shared" si="0"/>
        <v>10800</v>
      </c>
    </row>
    <row r="25" spans="1:9" ht="42.75" customHeight="1" x14ac:dyDescent="0.2">
      <c r="A25" s="13">
        <v>16</v>
      </c>
      <c r="B25" s="14" t="s">
        <v>47</v>
      </c>
      <c r="C25" s="15" t="s">
        <v>15</v>
      </c>
      <c r="D25" s="16" t="str">
        <f t="shared" si="1"/>
        <v>2.9.2</v>
      </c>
      <c r="E25" s="17" t="s">
        <v>48</v>
      </c>
      <c r="F25" s="18" t="s">
        <v>17</v>
      </c>
      <c r="G25" s="22">
        <v>40</v>
      </c>
      <c r="H25" s="20">
        <v>275</v>
      </c>
      <c r="I25" s="25">
        <f t="shared" si="0"/>
        <v>11000</v>
      </c>
    </row>
    <row r="26" spans="1:9" ht="40.5" customHeight="1" x14ac:dyDescent="0.2">
      <c r="A26" s="13">
        <v>17</v>
      </c>
      <c r="B26" s="14" t="s">
        <v>49</v>
      </c>
      <c r="C26" s="15" t="s">
        <v>15</v>
      </c>
      <c r="D26" s="16" t="str">
        <f t="shared" si="1"/>
        <v>2.9.2</v>
      </c>
      <c r="E26" s="17" t="s">
        <v>50</v>
      </c>
      <c r="F26" s="18" t="s">
        <v>17</v>
      </c>
      <c r="G26" s="22">
        <v>40</v>
      </c>
      <c r="H26" s="20">
        <v>87.5</v>
      </c>
      <c r="I26" s="25">
        <f t="shared" si="0"/>
        <v>3500</v>
      </c>
    </row>
    <row r="27" spans="1:9" ht="41.25" customHeight="1" x14ac:dyDescent="0.2">
      <c r="A27" s="13">
        <v>18</v>
      </c>
      <c r="B27" s="14" t="s">
        <v>51</v>
      </c>
      <c r="C27" s="15" t="s">
        <v>15</v>
      </c>
      <c r="D27" s="16" t="str">
        <f t="shared" si="1"/>
        <v>2.9.2</v>
      </c>
      <c r="E27" s="17" t="s">
        <v>52</v>
      </c>
      <c r="F27" s="18" t="s">
        <v>17</v>
      </c>
      <c r="G27" s="24">
        <v>40</v>
      </c>
      <c r="H27" s="20">
        <v>205</v>
      </c>
      <c r="I27" s="25">
        <f t="shared" si="0"/>
        <v>8200</v>
      </c>
    </row>
    <row r="28" spans="1:9" ht="41.25" customHeight="1" x14ac:dyDescent="0.2">
      <c r="A28" s="13">
        <v>19</v>
      </c>
      <c r="B28" s="14" t="s">
        <v>53</v>
      </c>
      <c r="C28" s="15" t="s">
        <v>15</v>
      </c>
      <c r="D28" s="16" t="str">
        <f t="shared" si="1"/>
        <v>2.9.2</v>
      </c>
      <c r="E28" s="17" t="s">
        <v>54</v>
      </c>
      <c r="F28" s="18" t="s">
        <v>17</v>
      </c>
      <c r="G28" s="24">
        <v>120</v>
      </c>
      <c r="H28" s="20">
        <v>107</v>
      </c>
      <c r="I28" s="25">
        <f t="shared" si="0"/>
        <v>12840</v>
      </c>
    </row>
    <row r="29" spans="1:9" ht="39.75" customHeight="1" x14ac:dyDescent="0.2">
      <c r="A29" s="13">
        <v>20</v>
      </c>
      <c r="B29" s="14" t="s">
        <v>55</v>
      </c>
      <c r="C29" s="15" t="s">
        <v>15</v>
      </c>
      <c r="D29" s="16" t="str">
        <f t="shared" si="1"/>
        <v>2.9.2</v>
      </c>
      <c r="E29" s="17" t="s">
        <v>56</v>
      </c>
      <c r="F29" s="18" t="s">
        <v>17</v>
      </c>
      <c r="G29" s="24">
        <v>120</v>
      </c>
      <c r="H29" s="20">
        <v>108.17</v>
      </c>
      <c r="I29" s="25">
        <f t="shared" si="0"/>
        <v>12980.4</v>
      </c>
    </row>
    <row r="30" spans="1:9" ht="36" customHeight="1" x14ac:dyDescent="0.2">
      <c r="A30" s="13">
        <v>21</v>
      </c>
      <c r="B30" s="14" t="s">
        <v>57</v>
      </c>
      <c r="C30" s="15" t="s">
        <v>15</v>
      </c>
      <c r="D30" s="15" t="str">
        <f t="shared" si="1"/>
        <v>2.9.2</v>
      </c>
      <c r="E30" s="17" t="s">
        <v>58</v>
      </c>
      <c r="F30" s="23" t="s">
        <v>17</v>
      </c>
      <c r="G30" s="24">
        <v>250</v>
      </c>
      <c r="H30" s="20">
        <v>38.83</v>
      </c>
      <c r="I30" s="25">
        <f t="shared" si="0"/>
        <v>9707.5</v>
      </c>
    </row>
    <row r="31" spans="1:9" ht="36.75" customHeight="1" x14ac:dyDescent="0.2">
      <c r="A31" s="13">
        <v>22</v>
      </c>
      <c r="B31" s="14" t="s">
        <v>59</v>
      </c>
      <c r="C31" s="15" t="s">
        <v>15</v>
      </c>
      <c r="D31" s="15" t="str">
        <f t="shared" si="1"/>
        <v>2.9.2</v>
      </c>
      <c r="E31" s="17" t="s">
        <v>60</v>
      </c>
      <c r="F31" s="23" t="s">
        <v>17</v>
      </c>
      <c r="G31" s="24">
        <v>120</v>
      </c>
      <c r="H31" s="20">
        <v>150</v>
      </c>
      <c r="I31" s="25">
        <f t="shared" si="0"/>
        <v>18000</v>
      </c>
    </row>
    <row r="32" spans="1:9" ht="31.5" customHeight="1" x14ac:dyDescent="0.2">
      <c r="A32" s="13">
        <v>23</v>
      </c>
      <c r="B32" s="27" t="s">
        <v>61</v>
      </c>
      <c r="C32" s="15" t="s">
        <v>15</v>
      </c>
      <c r="D32" s="16" t="str">
        <f t="shared" si="1"/>
        <v>2.9.2</v>
      </c>
      <c r="E32" s="17" t="s">
        <v>62</v>
      </c>
      <c r="F32" s="18" t="s">
        <v>20</v>
      </c>
      <c r="G32" s="24">
        <v>15</v>
      </c>
      <c r="H32" s="20">
        <v>615</v>
      </c>
      <c r="I32" s="25">
        <f t="shared" si="0"/>
        <v>9225</v>
      </c>
    </row>
    <row r="33" spans="1:10" ht="36" customHeight="1" x14ac:dyDescent="0.2">
      <c r="A33" s="13">
        <v>24</v>
      </c>
      <c r="B33" s="14" t="s">
        <v>63</v>
      </c>
      <c r="C33" s="15" t="s">
        <v>15</v>
      </c>
      <c r="D33" s="16" t="str">
        <f t="shared" si="1"/>
        <v>2.9.2</v>
      </c>
      <c r="E33" s="17" t="s">
        <v>64</v>
      </c>
      <c r="F33" s="18" t="s">
        <v>20</v>
      </c>
      <c r="G33" s="24">
        <v>15</v>
      </c>
      <c r="H33" s="20">
        <v>525</v>
      </c>
      <c r="I33" s="25">
        <f t="shared" si="0"/>
        <v>7875</v>
      </c>
    </row>
    <row r="34" spans="1:10" ht="30" customHeight="1" x14ac:dyDescent="0.2">
      <c r="A34" s="13">
        <v>25</v>
      </c>
      <c r="B34" s="14" t="s">
        <v>65</v>
      </c>
      <c r="C34" s="15" t="s">
        <v>15</v>
      </c>
      <c r="D34" s="16" t="str">
        <f t="shared" si="1"/>
        <v>2.9.2</v>
      </c>
      <c r="E34" s="17" t="s">
        <v>66</v>
      </c>
      <c r="F34" s="18" t="s">
        <v>17</v>
      </c>
      <c r="G34" s="24">
        <v>7</v>
      </c>
      <c r="H34" s="20">
        <v>700</v>
      </c>
      <c r="I34" s="25">
        <f t="shared" si="0"/>
        <v>4900</v>
      </c>
    </row>
    <row r="35" spans="1:10" ht="37.5" customHeight="1" x14ac:dyDescent="0.2">
      <c r="A35" s="13">
        <v>26</v>
      </c>
      <c r="B35" s="14" t="s">
        <v>67</v>
      </c>
      <c r="C35" s="15" t="s">
        <v>15</v>
      </c>
      <c r="D35" s="16" t="str">
        <f t="shared" si="1"/>
        <v>2.9.2</v>
      </c>
      <c r="E35" s="17" t="s">
        <v>68</v>
      </c>
      <c r="F35" s="18" t="s">
        <v>17</v>
      </c>
      <c r="G35" s="24">
        <v>7</v>
      </c>
      <c r="H35" s="20">
        <v>504</v>
      </c>
      <c r="I35" s="25">
        <f t="shared" si="0"/>
        <v>3528</v>
      </c>
    </row>
    <row r="36" spans="1:10" ht="36.75" customHeight="1" x14ac:dyDescent="0.2">
      <c r="A36" s="13">
        <v>27</v>
      </c>
      <c r="B36" s="14" t="s">
        <v>69</v>
      </c>
      <c r="C36" s="15" t="s">
        <v>15</v>
      </c>
      <c r="D36" s="16" t="str">
        <f t="shared" si="1"/>
        <v>2.9.2</v>
      </c>
      <c r="E36" s="17" t="s">
        <v>70</v>
      </c>
      <c r="F36" s="18" t="s">
        <v>71</v>
      </c>
      <c r="G36" s="24">
        <v>80</v>
      </c>
      <c r="H36" s="20">
        <v>188</v>
      </c>
      <c r="I36" s="25">
        <f t="shared" si="0"/>
        <v>15040</v>
      </c>
    </row>
    <row r="37" spans="1:10" ht="36" customHeight="1" x14ac:dyDescent="0.2">
      <c r="A37" s="13">
        <v>28</v>
      </c>
      <c r="B37" s="14" t="s">
        <v>72</v>
      </c>
      <c r="C37" s="15" t="s">
        <v>15</v>
      </c>
      <c r="D37" s="16" t="str">
        <f t="shared" si="1"/>
        <v>2.9.2</v>
      </c>
      <c r="E37" s="120" t="s">
        <v>242</v>
      </c>
      <c r="F37" s="18" t="s">
        <v>17</v>
      </c>
      <c r="G37" s="24">
        <v>80</v>
      </c>
      <c r="H37" s="20">
        <v>188</v>
      </c>
      <c r="I37" s="25">
        <f t="shared" si="0"/>
        <v>15040</v>
      </c>
      <c r="J37" s="56"/>
    </row>
    <row r="38" spans="1:10" ht="39.75" customHeight="1" x14ac:dyDescent="0.2">
      <c r="A38" s="13">
        <v>29</v>
      </c>
      <c r="B38" s="14" t="s">
        <v>73</v>
      </c>
      <c r="C38" s="15" t="s">
        <v>15</v>
      </c>
      <c r="D38" s="16" t="str">
        <f t="shared" si="1"/>
        <v>2.9.2</v>
      </c>
      <c r="E38" s="17" t="s">
        <v>74</v>
      </c>
      <c r="F38" s="18" t="s">
        <v>17</v>
      </c>
      <c r="G38" s="24">
        <v>80</v>
      </c>
      <c r="H38" s="20">
        <v>165</v>
      </c>
      <c r="I38" s="25">
        <f t="shared" si="0"/>
        <v>13200</v>
      </c>
    </row>
    <row r="39" spans="1:10" ht="34.5" customHeight="1" x14ac:dyDescent="0.2">
      <c r="A39" s="13">
        <v>30</v>
      </c>
      <c r="B39" s="14" t="s">
        <v>75</v>
      </c>
      <c r="C39" s="15" t="s">
        <v>15</v>
      </c>
      <c r="D39" s="16" t="str">
        <f t="shared" si="1"/>
        <v>2.9.2</v>
      </c>
      <c r="E39" s="17" t="s">
        <v>76</v>
      </c>
      <c r="F39" s="18" t="s">
        <v>17</v>
      </c>
      <c r="G39" s="24">
        <v>80</v>
      </c>
      <c r="H39" s="20">
        <v>212</v>
      </c>
      <c r="I39" s="25">
        <f t="shared" si="0"/>
        <v>16960</v>
      </c>
    </row>
    <row r="40" spans="1:10" ht="37.5" customHeight="1" x14ac:dyDescent="0.2">
      <c r="A40" s="13">
        <v>31</v>
      </c>
      <c r="B40" s="28" t="s">
        <v>77</v>
      </c>
      <c r="C40" s="29" t="s">
        <v>15</v>
      </c>
      <c r="D40" s="16" t="str">
        <f t="shared" si="1"/>
        <v>2.9.2</v>
      </c>
      <c r="E40" s="30" t="s">
        <v>78</v>
      </c>
      <c r="F40" s="31" t="s">
        <v>17</v>
      </c>
      <c r="G40" s="32">
        <v>100</v>
      </c>
      <c r="H40" s="20">
        <v>240</v>
      </c>
      <c r="I40" s="25">
        <f t="shared" si="0"/>
        <v>24000</v>
      </c>
    </row>
    <row r="41" spans="1:10" ht="27.75" customHeight="1" x14ac:dyDescent="0.2">
      <c r="A41" s="13">
        <v>32</v>
      </c>
      <c r="B41" s="14" t="s">
        <v>79</v>
      </c>
      <c r="C41" s="15" t="s">
        <v>15</v>
      </c>
      <c r="D41" s="16" t="str">
        <f t="shared" si="1"/>
        <v>2.9.2</v>
      </c>
      <c r="E41" s="17" t="s">
        <v>80</v>
      </c>
      <c r="F41" s="18" t="s">
        <v>17</v>
      </c>
      <c r="G41" s="24">
        <v>10</v>
      </c>
      <c r="H41" s="20">
        <v>350</v>
      </c>
      <c r="I41" s="25">
        <f t="shared" si="0"/>
        <v>3500</v>
      </c>
    </row>
    <row r="42" spans="1:10" ht="38.25" customHeight="1" x14ac:dyDescent="0.2">
      <c r="A42" s="13">
        <v>33</v>
      </c>
      <c r="B42" s="14" t="s">
        <v>81</v>
      </c>
      <c r="C42" s="15" t="s">
        <v>15</v>
      </c>
      <c r="D42" s="16" t="str">
        <f t="shared" si="1"/>
        <v>2.9.2</v>
      </c>
      <c r="E42" s="17" t="s">
        <v>82</v>
      </c>
      <c r="F42" s="18" t="s">
        <v>17</v>
      </c>
      <c r="G42" s="24">
        <v>50</v>
      </c>
      <c r="H42" s="20">
        <v>993</v>
      </c>
      <c r="I42" s="25">
        <f t="shared" si="0"/>
        <v>49650</v>
      </c>
    </row>
    <row r="43" spans="1:10" ht="24.75" customHeight="1" x14ac:dyDescent="0.2">
      <c r="A43" s="13">
        <v>34</v>
      </c>
      <c r="B43" s="14" t="s">
        <v>83</v>
      </c>
      <c r="C43" s="15" t="s">
        <v>15</v>
      </c>
      <c r="D43" s="16" t="str">
        <f t="shared" si="1"/>
        <v>2.9.2</v>
      </c>
      <c r="E43" s="17" t="s">
        <v>84</v>
      </c>
      <c r="F43" s="18" t="s">
        <v>17</v>
      </c>
      <c r="G43" s="24">
        <v>50</v>
      </c>
      <c r="H43" s="20">
        <v>170</v>
      </c>
      <c r="I43" s="25">
        <f t="shared" si="0"/>
        <v>8500</v>
      </c>
    </row>
    <row r="44" spans="1:10" ht="24.75" customHeight="1" x14ac:dyDescent="0.2">
      <c r="A44" s="13">
        <v>35</v>
      </c>
      <c r="B44" s="14" t="s">
        <v>85</v>
      </c>
      <c r="C44" s="15" t="s">
        <v>15</v>
      </c>
      <c r="D44" s="16" t="str">
        <f t="shared" si="1"/>
        <v>2.9.2</v>
      </c>
      <c r="E44" s="17" t="s">
        <v>86</v>
      </c>
      <c r="F44" s="18" t="s">
        <v>17</v>
      </c>
      <c r="G44" s="24">
        <v>80</v>
      </c>
      <c r="H44" s="20">
        <v>143</v>
      </c>
      <c r="I44" s="25">
        <f t="shared" si="0"/>
        <v>11440</v>
      </c>
    </row>
    <row r="45" spans="1:10" ht="36.75" customHeight="1" x14ac:dyDescent="0.2">
      <c r="A45" s="13">
        <v>36</v>
      </c>
      <c r="B45" s="14" t="s">
        <v>87</v>
      </c>
      <c r="C45" s="15" t="s">
        <v>15</v>
      </c>
      <c r="D45" s="16" t="str">
        <f t="shared" si="1"/>
        <v>2.9.2</v>
      </c>
      <c r="E45" s="17" t="s">
        <v>88</v>
      </c>
      <c r="F45" s="18" t="s">
        <v>17</v>
      </c>
      <c r="G45" s="24">
        <v>120</v>
      </c>
      <c r="H45" s="20">
        <v>246.3</v>
      </c>
      <c r="I45" s="25">
        <f t="shared" si="0"/>
        <v>29556</v>
      </c>
    </row>
    <row r="46" spans="1:10" ht="36" customHeight="1" x14ac:dyDescent="0.2">
      <c r="A46" s="13">
        <v>37</v>
      </c>
      <c r="B46" s="14" t="s">
        <v>89</v>
      </c>
      <c r="C46" s="15" t="s">
        <v>15</v>
      </c>
      <c r="D46" s="16" t="str">
        <f t="shared" si="1"/>
        <v>2.9.2</v>
      </c>
      <c r="E46" s="17" t="s">
        <v>90</v>
      </c>
      <c r="F46" s="18" t="s">
        <v>17</v>
      </c>
      <c r="G46" s="24">
        <v>120</v>
      </c>
      <c r="H46" s="20">
        <v>286</v>
      </c>
      <c r="I46" s="25">
        <f t="shared" si="0"/>
        <v>34320</v>
      </c>
    </row>
    <row r="47" spans="1:10" ht="28.5" customHeight="1" x14ac:dyDescent="0.2">
      <c r="A47" s="13">
        <v>38</v>
      </c>
      <c r="B47" s="14" t="s">
        <v>91</v>
      </c>
      <c r="C47" s="15" t="s">
        <v>15</v>
      </c>
      <c r="D47" s="16" t="str">
        <f t="shared" si="1"/>
        <v>2.9.2</v>
      </c>
      <c r="E47" s="17" t="s">
        <v>92</v>
      </c>
      <c r="F47" s="18" t="s">
        <v>17</v>
      </c>
      <c r="G47" s="24">
        <v>50</v>
      </c>
      <c r="H47" s="20">
        <v>360</v>
      </c>
      <c r="I47" s="25">
        <f t="shared" si="0"/>
        <v>18000</v>
      </c>
    </row>
    <row r="48" spans="1:10" ht="27.75" customHeight="1" x14ac:dyDescent="0.2">
      <c r="A48" s="13">
        <v>39</v>
      </c>
      <c r="B48" s="14" t="s">
        <v>93</v>
      </c>
      <c r="C48" s="15" t="s">
        <v>15</v>
      </c>
      <c r="D48" s="16" t="str">
        <f>+LEFT(B48,5)</f>
        <v>2.9.2</v>
      </c>
      <c r="E48" s="33" t="s">
        <v>94</v>
      </c>
      <c r="F48" s="18" t="s">
        <v>17</v>
      </c>
      <c r="G48" s="24">
        <v>500</v>
      </c>
      <c r="H48" s="20">
        <v>76</v>
      </c>
      <c r="I48" s="25">
        <f t="shared" si="0"/>
        <v>38000</v>
      </c>
    </row>
    <row r="49" spans="1:9" ht="27.75" customHeight="1" x14ac:dyDescent="0.2">
      <c r="A49" s="13">
        <v>40</v>
      </c>
      <c r="B49" s="14" t="s">
        <v>95</v>
      </c>
      <c r="C49" s="15" t="s">
        <v>15</v>
      </c>
      <c r="D49" s="16" t="str">
        <f>+LEFT(B49,5)</f>
        <v>2.9.2</v>
      </c>
      <c r="E49" s="33" t="s">
        <v>96</v>
      </c>
      <c r="F49" s="18" t="s">
        <v>17</v>
      </c>
      <c r="G49" s="24">
        <v>500</v>
      </c>
      <c r="H49" s="20">
        <v>96</v>
      </c>
      <c r="I49" s="25">
        <f t="shared" si="0"/>
        <v>48000</v>
      </c>
    </row>
    <row r="50" spans="1:9" ht="25.5" customHeight="1" x14ac:dyDescent="0.2">
      <c r="A50" s="13">
        <v>41</v>
      </c>
      <c r="B50" s="14" t="s">
        <v>97</v>
      </c>
      <c r="C50" s="15" t="s">
        <v>15</v>
      </c>
      <c r="D50" s="16" t="str">
        <f>+LEFT(B50,5)</f>
        <v>2.9.2</v>
      </c>
      <c r="E50" s="33" t="s">
        <v>98</v>
      </c>
      <c r="F50" s="18" t="s">
        <v>17</v>
      </c>
      <c r="G50" s="24">
        <v>800</v>
      </c>
      <c r="H50" s="20">
        <v>130</v>
      </c>
      <c r="I50" s="25">
        <f t="shared" si="0"/>
        <v>104000</v>
      </c>
    </row>
    <row r="51" spans="1:9" ht="28.5" customHeight="1" x14ac:dyDescent="0.2">
      <c r="A51" s="13">
        <v>42</v>
      </c>
      <c r="B51" s="14" t="s">
        <v>99</v>
      </c>
      <c r="C51" s="15" t="s">
        <v>15</v>
      </c>
      <c r="D51" s="16" t="str">
        <f>+LEFT(B51,5)</f>
        <v>2.9.2</v>
      </c>
      <c r="E51" s="33" t="s">
        <v>100</v>
      </c>
      <c r="F51" s="18" t="s">
        <v>17</v>
      </c>
      <c r="G51" s="24">
        <v>300</v>
      </c>
      <c r="H51" s="20">
        <v>75</v>
      </c>
      <c r="I51" s="25">
        <f t="shared" si="0"/>
        <v>22500</v>
      </c>
    </row>
    <row r="52" spans="1:9" ht="28.5" customHeight="1" x14ac:dyDescent="0.2">
      <c r="A52" s="13">
        <v>43</v>
      </c>
      <c r="B52" s="14" t="s">
        <v>99</v>
      </c>
      <c r="C52" s="15" t="s">
        <v>15</v>
      </c>
      <c r="D52" s="16" t="str">
        <f>+LEFT(B52,5)</f>
        <v>2.9.2</v>
      </c>
      <c r="E52" s="33" t="s">
        <v>101</v>
      </c>
      <c r="F52" s="18" t="s">
        <v>17</v>
      </c>
      <c r="G52" s="24">
        <v>300</v>
      </c>
      <c r="H52" s="20">
        <v>75</v>
      </c>
      <c r="I52" s="25">
        <f t="shared" si="0"/>
        <v>22500</v>
      </c>
    </row>
    <row r="53" spans="1:9" ht="34.5" customHeight="1" x14ac:dyDescent="0.2">
      <c r="A53" s="13">
        <v>44</v>
      </c>
      <c r="B53" s="14" t="s">
        <v>102</v>
      </c>
      <c r="C53" s="15" t="s">
        <v>15</v>
      </c>
      <c r="D53" s="16" t="str">
        <f t="shared" si="1"/>
        <v>2.9.2</v>
      </c>
      <c r="E53" s="17" t="s">
        <v>103</v>
      </c>
      <c r="F53" s="18" t="s">
        <v>17</v>
      </c>
      <c r="G53" s="24">
        <v>200</v>
      </c>
      <c r="H53" s="20">
        <v>188</v>
      </c>
      <c r="I53" s="25">
        <f t="shared" si="0"/>
        <v>37600</v>
      </c>
    </row>
    <row r="54" spans="1:9" ht="36.75" customHeight="1" x14ac:dyDescent="0.2">
      <c r="A54" s="13">
        <v>45</v>
      </c>
      <c r="B54" s="14" t="s">
        <v>104</v>
      </c>
      <c r="C54" s="15" t="s">
        <v>15</v>
      </c>
      <c r="D54" s="16" t="str">
        <f t="shared" si="1"/>
        <v>2.9.2</v>
      </c>
      <c r="E54" s="17" t="s">
        <v>105</v>
      </c>
      <c r="F54" s="18" t="s">
        <v>17</v>
      </c>
      <c r="G54" s="24">
        <v>60</v>
      </c>
      <c r="H54" s="20">
        <v>567</v>
      </c>
      <c r="I54" s="25">
        <f t="shared" si="0"/>
        <v>34020</v>
      </c>
    </row>
    <row r="55" spans="1:9" ht="36.75" customHeight="1" x14ac:dyDescent="0.2">
      <c r="A55" s="13">
        <v>46</v>
      </c>
      <c r="B55" s="14" t="s">
        <v>106</v>
      </c>
      <c r="C55" s="15" t="s">
        <v>15</v>
      </c>
      <c r="D55" s="16" t="str">
        <f t="shared" si="1"/>
        <v>2.9.2</v>
      </c>
      <c r="E55" s="17" t="s">
        <v>107</v>
      </c>
      <c r="F55" s="18" t="s">
        <v>108</v>
      </c>
      <c r="G55" s="24">
        <v>20</v>
      </c>
      <c r="H55" s="20">
        <v>283</v>
      </c>
      <c r="I55" s="25">
        <f t="shared" si="0"/>
        <v>5660</v>
      </c>
    </row>
    <row r="56" spans="1:9" ht="37.5" customHeight="1" x14ac:dyDescent="0.2">
      <c r="A56" s="13">
        <v>47</v>
      </c>
      <c r="B56" s="14" t="s">
        <v>109</v>
      </c>
      <c r="C56" s="15" t="s">
        <v>15</v>
      </c>
      <c r="D56" s="16" t="str">
        <f t="shared" si="1"/>
        <v>2.9.2</v>
      </c>
      <c r="E56" s="17" t="s">
        <v>110</v>
      </c>
      <c r="F56" s="18" t="s">
        <v>108</v>
      </c>
      <c r="G56" s="24">
        <v>20</v>
      </c>
      <c r="H56" s="20">
        <v>153</v>
      </c>
      <c r="I56" s="25">
        <f t="shared" si="0"/>
        <v>3060</v>
      </c>
    </row>
    <row r="57" spans="1:9" ht="27.75" customHeight="1" x14ac:dyDescent="0.2">
      <c r="A57" s="13">
        <v>48</v>
      </c>
      <c r="B57" s="14" t="s">
        <v>111</v>
      </c>
      <c r="C57" s="15" t="s">
        <v>15</v>
      </c>
      <c r="D57" s="16" t="str">
        <f t="shared" si="1"/>
        <v>2.9.2</v>
      </c>
      <c r="E57" s="17" t="s">
        <v>112</v>
      </c>
      <c r="F57" s="18" t="s">
        <v>108</v>
      </c>
      <c r="G57" s="24">
        <v>30</v>
      </c>
      <c r="H57" s="20">
        <v>86</v>
      </c>
      <c r="I57" s="25">
        <f t="shared" si="0"/>
        <v>2580</v>
      </c>
    </row>
    <row r="58" spans="1:9" ht="24.75" customHeight="1" x14ac:dyDescent="0.2">
      <c r="A58" s="13">
        <v>49</v>
      </c>
      <c r="B58" s="14" t="s">
        <v>113</v>
      </c>
      <c r="C58" s="15" t="s">
        <v>15</v>
      </c>
      <c r="D58" s="16" t="str">
        <f t="shared" si="1"/>
        <v>2.9.2</v>
      </c>
      <c r="E58" s="17" t="s">
        <v>114</v>
      </c>
      <c r="F58" s="18" t="s">
        <v>17</v>
      </c>
      <c r="G58" s="24">
        <v>80</v>
      </c>
      <c r="H58" s="20">
        <v>65</v>
      </c>
      <c r="I58" s="25">
        <f t="shared" si="0"/>
        <v>5200</v>
      </c>
    </row>
    <row r="59" spans="1:9" ht="33" customHeight="1" x14ac:dyDescent="0.2">
      <c r="A59" s="13">
        <v>50</v>
      </c>
      <c r="B59" s="14" t="s">
        <v>115</v>
      </c>
      <c r="C59" s="15" t="s">
        <v>15</v>
      </c>
      <c r="D59" s="15" t="str">
        <f t="shared" si="1"/>
        <v>2.9.2</v>
      </c>
      <c r="E59" s="17" t="s">
        <v>116</v>
      </c>
      <c r="F59" s="23" t="s">
        <v>117</v>
      </c>
      <c r="G59" s="24">
        <v>50</v>
      </c>
      <c r="H59" s="20">
        <v>190</v>
      </c>
      <c r="I59" s="25">
        <f t="shared" si="0"/>
        <v>9500</v>
      </c>
    </row>
    <row r="60" spans="1:9" ht="33.75" customHeight="1" x14ac:dyDescent="0.2">
      <c r="A60" s="13">
        <v>51</v>
      </c>
      <c r="B60" s="14" t="s">
        <v>118</v>
      </c>
      <c r="C60" s="15" t="s">
        <v>15</v>
      </c>
      <c r="D60" s="15" t="str">
        <f t="shared" si="1"/>
        <v>2.9.2</v>
      </c>
      <c r="E60" s="17" t="s">
        <v>119</v>
      </c>
      <c r="F60" s="23" t="s">
        <v>108</v>
      </c>
      <c r="G60" s="24">
        <v>20</v>
      </c>
      <c r="H60" s="20">
        <v>255</v>
      </c>
      <c r="I60" s="25">
        <f t="shared" si="0"/>
        <v>5100</v>
      </c>
    </row>
    <row r="61" spans="1:9" s="36" customFormat="1" ht="29.25" customHeight="1" x14ac:dyDescent="0.2">
      <c r="A61" s="13">
        <v>52</v>
      </c>
      <c r="B61" s="34" t="s">
        <v>120</v>
      </c>
      <c r="C61" s="23" t="s">
        <v>15</v>
      </c>
      <c r="D61" s="23" t="str">
        <f t="shared" si="1"/>
        <v>2.9.2</v>
      </c>
      <c r="E61" s="33" t="s">
        <v>121</v>
      </c>
      <c r="F61" s="18" t="s">
        <v>17</v>
      </c>
      <c r="G61" s="26">
        <v>10</v>
      </c>
      <c r="H61" s="35">
        <v>390</v>
      </c>
      <c r="I61" s="25">
        <f t="shared" si="0"/>
        <v>3900</v>
      </c>
    </row>
    <row r="62" spans="1:9" ht="49.5" customHeight="1" x14ac:dyDescent="0.2">
      <c r="A62" s="13">
        <v>53</v>
      </c>
      <c r="B62" s="14" t="s">
        <v>122</v>
      </c>
      <c r="C62" s="15" t="s">
        <v>15</v>
      </c>
      <c r="D62" s="15" t="str">
        <f t="shared" si="1"/>
        <v>2.9.2</v>
      </c>
      <c r="E62" s="17" t="s">
        <v>123</v>
      </c>
      <c r="F62" s="23" t="s">
        <v>17</v>
      </c>
      <c r="G62" s="24">
        <v>50</v>
      </c>
      <c r="H62" s="20">
        <v>149</v>
      </c>
      <c r="I62" s="25">
        <f t="shared" si="0"/>
        <v>7450</v>
      </c>
    </row>
    <row r="63" spans="1:9" ht="49.5" customHeight="1" x14ac:dyDescent="0.2">
      <c r="A63" s="13">
        <v>54</v>
      </c>
      <c r="B63" s="14" t="s">
        <v>124</v>
      </c>
      <c r="C63" s="15" t="s">
        <v>15</v>
      </c>
      <c r="D63" s="16" t="str">
        <f t="shared" si="1"/>
        <v>2.9.2</v>
      </c>
      <c r="E63" s="17" t="s">
        <v>125</v>
      </c>
      <c r="F63" s="18" t="s">
        <v>17</v>
      </c>
      <c r="G63" s="24">
        <v>50</v>
      </c>
      <c r="H63" s="20">
        <v>204</v>
      </c>
      <c r="I63" s="25">
        <f t="shared" si="0"/>
        <v>10200</v>
      </c>
    </row>
    <row r="64" spans="1:9" ht="33" customHeight="1" x14ac:dyDescent="0.2">
      <c r="A64" s="13">
        <v>55</v>
      </c>
      <c r="B64" s="14" t="s">
        <v>126</v>
      </c>
      <c r="C64" s="15" t="s">
        <v>15</v>
      </c>
      <c r="D64" s="16" t="str">
        <f t="shared" si="1"/>
        <v>2.9.2</v>
      </c>
      <c r="E64" s="17" t="s">
        <v>127</v>
      </c>
      <c r="F64" s="18" t="s">
        <v>17</v>
      </c>
      <c r="G64" s="24">
        <v>200</v>
      </c>
      <c r="H64" s="20">
        <v>321</v>
      </c>
      <c r="I64" s="25">
        <f t="shared" si="0"/>
        <v>64200</v>
      </c>
    </row>
    <row r="65" spans="1:9" ht="31.5" customHeight="1" x14ac:dyDescent="0.2">
      <c r="A65" s="13">
        <v>56</v>
      </c>
      <c r="B65" s="14" t="s">
        <v>128</v>
      </c>
      <c r="C65" s="15" t="s">
        <v>15</v>
      </c>
      <c r="D65" s="16" t="str">
        <f t="shared" si="1"/>
        <v>2.9.2</v>
      </c>
      <c r="E65" s="17" t="s">
        <v>129</v>
      </c>
      <c r="F65" s="18" t="s">
        <v>17</v>
      </c>
      <c r="G65" s="24">
        <v>20</v>
      </c>
      <c r="H65" s="20">
        <v>505</v>
      </c>
      <c r="I65" s="25">
        <f t="shared" si="0"/>
        <v>10100</v>
      </c>
    </row>
    <row r="66" spans="1:9" ht="27" customHeight="1" x14ac:dyDescent="0.2">
      <c r="A66" s="13">
        <v>57</v>
      </c>
      <c r="B66" s="14" t="s">
        <v>130</v>
      </c>
      <c r="C66" s="15" t="s">
        <v>15</v>
      </c>
      <c r="D66" s="16" t="str">
        <f t="shared" si="1"/>
        <v>2.9.2</v>
      </c>
      <c r="E66" s="33" t="s">
        <v>131</v>
      </c>
      <c r="F66" s="18" t="s">
        <v>17</v>
      </c>
      <c r="G66" s="24">
        <v>120</v>
      </c>
      <c r="H66" s="20">
        <v>65</v>
      </c>
      <c r="I66" s="25">
        <f t="shared" si="0"/>
        <v>7800</v>
      </c>
    </row>
    <row r="67" spans="1:9" ht="33" customHeight="1" x14ac:dyDescent="0.2">
      <c r="A67" s="13">
        <v>58</v>
      </c>
      <c r="B67" s="14" t="s">
        <v>132</v>
      </c>
      <c r="C67" s="15" t="s">
        <v>15</v>
      </c>
      <c r="D67" s="16" t="str">
        <f>+LEFT(B67,5)</f>
        <v>2.9.2</v>
      </c>
      <c r="E67" s="33" t="s">
        <v>133</v>
      </c>
      <c r="F67" s="18" t="s">
        <v>17</v>
      </c>
      <c r="G67" s="24">
        <v>100</v>
      </c>
      <c r="H67" s="20">
        <v>65</v>
      </c>
      <c r="I67" s="25">
        <f t="shared" si="0"/>
        <v>6500</v>
      </c>
    </row>
    <row r="68" spans="1:9" ht="42" customHeight="1" x14ac:dyDescent="0.2">
      <c r="A68" s="13">
        <v>59</v>
      </c>
      <c r="B68" s="14" t="s">
        <v>134</v>
      </c>
      <c r="C68" s="15" t="s">
        <v>15</v>
      </c>
      <c r="D68" s="16" t="str">
        <f>+LEFT(B68,5)</f>
        <v>2.9.2</v>
      </c>
      <c r="E68" s="33" t="s">
        <v>135</v>
      </c>
      <c r="F68" s="18" t="s">
        <v>108</v>
      </c>
      <c r="G68" s="24">
        <v>8</v>
      </c>
      <c r="H68" s="20">
        <v>1067</v>
      </c>
      <c r="I68" s="25">
        <f t="shared" si="0"/>
        <v>8536</v>
      </c>
    </row>
    <row r="69" spans="1:9" ht="39" customHeight="1" x14ac:dyDescent="0.2">
      <c r="A69" s="13">
        <v>60</v>
      </c>
      <c r="B69" s="14" t="s">
        <v>136</v>
      </c>
      <c r="C69" s="15" t="s">
        <v>15</v>
      </c>
      <c r="D69" s="16" t="str">
        <f t="shared" si="1"/>
        <v>2.9.2</v>
      </c>
      <c r="E69" s="17" t="s">
        <v>137</v>
      </c>
      <c r="F69" s="18" t="s">
        <v>17</v>
      </c>
      <c r="G69" s="24">
        <v>50</v>
      </c>
      <c r="H69" s="20">
        <v>410</v>
      </c>
      <c r="I69" s="25">
        <f t="shared" si="0"/>
        <v>20500</v>
      </c>
    </row>
    <row r="70" spans="1:9" ht="28.5" customHeight="1" x14ac:dyDescent="0.2">
      <c r="A70" s="13">
        <v>61</v>
      </c>
      <c r="B70" s="14" t="s">
        <v>138</v>
      </c>
      <c r="C70" s="15" t="s">
        <v>15</v>
      </c>
      <c r="D70" s="16" t="str">
        <f t="shared" si="1"/>
        <v>2.9.2</v>
      </c>
      <c r="E70" s="17" t="s">
        <v>139</v>
      </c>
      <c r="F70" s="18" t="s">
        <v>108</v>
      </c>
      <c r="G70" s="24">
        <v>20</v>
      </c>
      <c r="H70" s="20">
        <v>543</v>
      </c>
      <c r="I70" s="25">
        <f t="shared" si="0"/>
        <v>10860</v>
      </c>
    </row>
    <row r="71" spans="1:9" ht="30" customHeight="1" x14ac:dyDescent="0.2">
      <c r="A71" s="13">
        <v>62</v>
      </c>
      <c r="B71" s="14" t="s">
        <v>140</v>
      </c>
      <c r="C71" s="15" t="s">
        <v>15</v>
      </c>
      <c r="D71" s="16" t="str">
        <f t="shared" si="1"/>
        <v>2.9.2</v>
      </c>
      <c r="E71" s="17" t="s">
        <v>141</v>
      </c>
      <c r="F71" s="18" t="s">
        <v>108</v>
      </c>
      <c r="G71" s="24">
        <v>20</v>
      </c>
      <c r="H71" s="20">
        <v>400</v>
      </c>
      <c r="I71" s="25">
        <f t="shared" si="0"/>
        <v>8000</v>
      </c>
    </row>
    <row r="72" spans="1:9" ht="29.25" customHeight="1" x14ac:dyDescent="0.2">
      <c r="A72" s="13">
        <v>63</v>
      </c>
      <c r="B72" s="14" t="s">
        <v>142</v>
      </c>
      <c r="C72" s="15" t="s">
        <v>15</v>
      </c>
      <c r="D72" s="16" t="str">
        <f t="shared" si="1"/>
        <v>2.9.2</v>
      </c>
      <c r="E72" s="17" t="s">
        <v>143</v>
      </c>
      <c r="F72" s="18" t="s">
        <v>108</v>
      </c>
      <c r="G72" s="24">
        <v>20</v>
      </c>
      <c r="H72" s="20">
        <v>638</v>
      </c>
      <c r="I72" s="25">
        <f t="shared" si="0"/>
        <v>12760</v>
      </c>
    </row>
    <row r="73" spans="1:9" ht="49.5" customHeight="1" x14ac:dyDescent="0.2">
      <c r="A73" s="13">
        <v>64</v>
      </c>
      <c r="B73" s="14" t="s">
        <v>144</v>
      </c>
      <c r="C73" s="15" t="s">
        <v>15</v>
      </c>
      <c r="D73" s="16" t="str">
        <f t="shared" si="1"/>
        <v>2.9.2</v>
      </c>
      <c r="E73" s="17" t="s">
        <v>145</v>
      </c>
      <c r="F73" s="18" t="s">
        <v>17</v>
      </c>
      <c r="G73" s="24">
        <v>20</v>
      </c>
      <c r="H73" s="20">
        <v>2890</v>
      </c>
      <c r="I73" s="25">
        <f t="shared" si="0"/>
        <v>57800</v>
      </c>
    </row>
    <row r="74" spans="1:9" s="38" customFormat="1" ht="42.75" customHeight="1" x14ac:dyDescent="0.2">
      <c r="A74" s="13">
        <v>65</v>
      </c>
      <c r="B74" s="17" t="s">
        <v>146</v>
      </c>
      <c r="C74" s="17" t="s">
        <v>15</v>
      </c>
      <c r="D74" s="16" t="str">
        <f t="shared" si="1"/>
        <v>2.9.2</v>
      </c>
      <c r="E74" s="17" t="s">
        <v>147</v>
      </c>
      <c r="F74" s="17" t="s">
        <v>17</v>
      </c>
      <c r="G74" s="37">
        <v>50</v>
      </c>
      <c r="H74" s="20">
        <v>210</v>
      </c>
      <c r="I74" s="25">
        <f t="shared" si="0"/>
        <v>10500</v>
      </c>
    </row>
    <row r="75" spans="1:9" s="38" customFormat="1" ht="43.5" customHeight="1" x14ac:dyDescent="0.2">
      <c r="A75" s="13">
        <v>66</v>
      </c>
      <c r="B75" s="17" t="s">
        <v>148</v>
      </c>
      <c r="C75" s="17" t="s">
        <v>149</v>
      </c>
      <c r="D75" s="16" t="s">
        <v>158</v>
      </c>
      <c r="E75" s="17" t="s">
        <v>150</v>
      </c>
      <c r="F75" s="17" t="s">
        <v>17</v>
      </c>
      <c r="G75" s="37">
        <v>20</v>
      </c>
      <c r="H75" s="20">
        <v>999</v>
      </c>
      <c r="I75" s="25">
        <f t="shared" si="0"/>
        <v>19980</v>
      </c>
    </row>
    <row r="76" spans="1:9" s="38" customFormat="1" ht="29.25" customHeight="1" x14ac:dyDescent="0.2">
      <c r="A76" s="13">
        <v>67</v>
      </c>
      <c r="B76" s="17" t="s">
        <v>151</v>
      </c>
      <c r="C76" s="17" t="s">
        <v>15</v>
      </c>
      <c r="D76" s="16" t="str">
        <f t="shared" ref="D76" si="2">+LEFT(B76,5)</f>
        <v>2.3.1</v>
      </c>
      <c r="E76" s="17" t="s">
        <v>152</v>
      </c>
      <c r="F76" s="17" t="s">
        <v>108</v>
      </c>
      <c r="G76" s="37">
        <v>10</v>
      </c>
      <c r="H76" s="20">
        <v>224</v>
      </c>
      <c r="I76" s="25">
        <f t="shared" si="0"/>
        <v>2240</v>
      </c>
    </row>
    <row r="77" spans="1:9" s="38" customFormat="1" ht="28.5" customHeight="1" x14ac:dyDescent="0.2">
      <c r="A77" s="13">
        <v>68</v>
      </c>
      <c r="B77" s="17" t="s">
        <v>153</v>
      </c>
      <c r="C77" s="17" t="s">
        <v>15</v>
      </c>
      <c r="D77" s="16" t="str">
        <f>+LEFT(B77,5)</f>
        <v>2.9.2</v>
      </c>
      <c r="E77" s="17" t="s">
        <v>154</v>
      </c>
      <c r="F77" s="17" t="s">
        <v>17</v>
      </c>
      <c r="G77" s="37">
        <v>20</v>
      </c>
      <c r="H77" s="20">
        <v>160</v>
      </c>
      <c r="I77" s="25">
        <f t="shared" si="0"/>
        <v>3200</v>
      </c>
    </row>
    <row r="78" spans="1:9" s="38" customFormat="1" ht="37.5" customHeight="1" x14ac:dyDescent="0.2">
      <c r="A78" s="39">
        <v>69</v>
      </c>
      <c r="B78" s="40" t="s">
        <v>155</v>
      </c>
      <c r="C78" s="40" t="s">
        <v>15</v>
      </c>
      <c r="D78" s="16" t="str">
        <f>+LEFT(B78,5)</f>
        <v>2.9.2</v>
      </c>
      <c r="E78" s="40" t="s">
        <v>156</v>
      </c>
      <c r="F78" s="40" t="s">
        <v>17</v>
      </c>
      <c r="G78" s="41">
        <v>50</v>
      </c>
      <c r="H78" s="42">
        <v>173</v>
      </c>
      <c r="I78" s="43">
        <f t="shared" si="0"/>
        <v>8650</v>
      </c>
    </row>
    <row r="79" spans="1:9" s="38" customFormat="1" ht="37.5" customHeight="1" x14ac:dyDescent="0.2">
      <c r="A79" s="39">
        <v>70</v>
      </c>
      <c r="B79" s="40" t="s">
        <v>157</v>
      </c>
      <c r="C79" s="40" t="s">
        <v>15</v>
      </c>
      <c r="D79" s="44" t="s">
        <v>158</v>
      </c>
      <c r="E79" s="40" t="s">
        <v>159</v>
      </c>
      <c r="F79" s="40" t="s">
        <v>17</v>
      </c>
      <c r="G79" s="45">
        <v>800</v>
      </c>
      <c r="H79" s="42">
        <v>6.55</v>
      </c>
      <c r="I79" s="43">
        <f t="shared" ref="I79:I88" si="3">+H79*G79</f>
        <v>5240</v>
      </c>
    </row>
    <row r="80" spans="1:9" s="38" customFormat="1" ht="37.5" customHeight="1" x14ac:dyDescent="0.2">
      <c r="A80" s="39">
        <v>71</v>
      </c>
      <c r="B80" s="40" t="s">
        <v>160</v>
      </c>
      <c r="C80" s="40" t="s">
        <v>15</v>
      </c>
      <c r="D80" s="44" t="s">
        <v>158</v>
      </c>
      <c r="E80" s="40" t="s">
        <v>161</v>
      </c>
      <c r="F80" s="40" t="s">
        <v>17</v>
      </c>
      <c r="G80" s="45">
        <v>800</v>
      </c>
      <c r="H80" s="42">
        <v>5.86</v>
      </c>
      <c r="I80" s="43">
        <f t="shared" si="3"/>
        <v>4688</v>
      </c>
    </row>
    <row r="81" spans="1:9" s="38" customFormat="1" ht="37.5" customHeight="1" x14ac:dyDescent="0.2">
      <c r="A81" s="39">
        <v>72</v>
      </c>
      <c r="B81" s="40" t="s">
        <v>162</v>
      </c>
      <c r="C81" s="40" t="s">
        <v>15</v>
      </c>
      <c r="D81" s="44" t="s">
        <v>158</v>
      </c>
      <c r="E81" s="40" t="s">
        <v>163</v>
      </c>
      <c r="F81" s="40" t="s">
        <v>17</v>
      </c>
      <c r="G81" s="45">
        <v>20</v>
      </c>
      <c r="H81" s="42">
        <v>4890</v>
      </c>
      <c r="I81" s="43">
        <f t="shared" si="3"/>
        <v>97800</v>
      </c>
    </row>
    <row r="82" spans="1:9" s="38" customFormat="1" ht="37.5" customHeight="1" x14ac:dyDescent="0.2">
      <c r="A82" s="39">
        <v>73</v>
      </c>
      <c r="B82" s="40" t="s">
        <v>81</v>
      </c>
      <c r="C82" s="40" t="s">
        <v>15</v>
      </c>
      <c r="D82" s="44" t="s">
        <v>158</v>
      </c>
      <c r="E82" s="40" t="s">
        <v>164</v>
      </c>
      <c r="F82" s="40" t="s">
        <v>17</v>
      </c>
      <c r="G82" s="45">
        <v>20</v>
      </c>
      <c r="H82" s="42">
        <v>2478</v>
      </c>
      <c r="I82" s="43">
        <f t="shared" si="3"/>
        <v>49560</v>
      </c>
    </row>
    <row r="83" spans="1:9" s="38" customFormat="1" ht="37.5" customHeight="1" x14ac:dyDescent="0.2">
      <c r="A83" s="39">
        <v>74</v>
      </c>
      <c r="B83" s="40" t="s">
        <v>165</v>
      </c>
      <c r="C83" s="40" t="s">
        <v>15</v>
      </c>
      <c r="D83" s="44" t="s">
        <v>158</v>
      </c>
      <c r="E83" s="40" t="s">
        <v>166</v>
      </c>
      <c r="F83" s="40" t="s">
        <v>17</v>
      </c>
      <c r="G83" s="45">
        <v>50</v>
      </c>
      <c r="H83" s="42">
        <v>13.98</v>
      </c>
      <c r="I83" s="43">
        <f t="shared" si="3"/>
        <v>699</v>
      </c>
    </row>
    <row r="84" spans="1:9" s="38" customFormat="1" ht="37.5" customHeight="1" x14ac:dyDescent="0.2">
      <c r="A84" s="39">
        <v>75</v>
      </c>
      <c r="B84" s="40" t="s">
        <v>167</v>
      </c>
      <c r="C84" s="40" t="s">
        <v>15</v>
      </c>
      <c r="D84" s="44" t="s">
        <v>158</v>
      </c>
      <c r="E84" s="40" t="s">
        <v>168</v>
      </c>
      <c r="F84" s="40" t="s">
        <v>17</v>
      </c>
      <c r="G84" s="45">
        <v>50</v>
      </c>
      <c r="H84" s="42">
        <v>12.3</v>
      </c>
      <c r="I84" s="43">
        <f t="shared" si="3"/>
        <v>615</v>
      </c>
    </row>
    <row r="85" spans="1:9" s="38" customFormat="1" ht="37.5" customHeight="1" x14ac:dyDescent="0.2">
      <c r="A85" s="39">
        <v>76</v>
      </c>
      <c r="B85" s="40" t="s">
        <v>169</v>
      </c>
      <c r="C85" s="40" t="s">
        <v>15</v>
      </c>
      <c r="D85" s="44" t="s">
        <v>158</v>
      </c>
      <c r="E85" s="40" t="s">
        <v>170</v>
      </c>
      <c r="F85" s="40" t="s">
        <v>17</v>
      </c>
      <c r="G85" s="45">
        <v>40</v>
      </c>
      <c r="H85" s="42">
        <v>14.7</v>
      </c>
      <c r="I85" s="43">
        <f t="shared" si="3"/>
        <v>588</v>
      </c>
    </row>
    <row r="86" spans="1:9" s="38" customFormat="1" ht="37.5" customHeight="1" x14ac:dyDescent="0.2">
      <c r="A86" s="39">
        <v>77</v>
      </c>
      <c r="B86" s="40" t="s">
        <v>171</v>
      </c>
      <c r="C86" s="40" t="s">
        <v>15</v>
      </c>
      <c r="D86" s="44" t="s">
        <v>158</v>
      </c>
      <c r="E86" s="40" t="s">
        <v>172</v>
      </c>
      <c r="F86" s="40" t="s">
        <v>17</v>
      </c>
      <c r="G86" s="45">
        <v>40</v>
      </c>
      <c r="H86" s="42">
        <v>26.25</v>
      </c>
      <c r="I86" s="43">
        <f t="shared" si="3"/>
        <v>1050</v>
      </c>
    </row>
    <row r="87" spans="1:9" s="38" customFormat="1" ht="37.5" customHeight="1" x14ac:dyDescent="0.2">
      <c r="A87" s="39">
        <v>78</v>
      </c>
      <c r="B87" s="40" t="s">
        <v>173</v>
      </c>
      <c r="C87" s="40" t="s">
        <v>15</v>
      </c>
      <c r="D87" s="44" t="s">
        <v>158</v>
      </c>
      <c r="E87" s="40" t="s">
        <v>174</v>
      </c>
      <c r="F87" s="40" t="s">
        <v>17</v>
      </c>
      <c r="G87" s="45">
        <v>50</v>
      </c>
      <c r="H87" s="42">
        <v>5.64</v>
      </c>
      <c r="I87" s="43">
        <f t="shared" si="3"/>
        <v>282</v>
      </c>
    </row>
    <row r="88" spans="1:9" s="38" customFormat="1" ht="37.5" customHeight="1" x14ac:dyDescent="0.2">
      <c r="A88" s="39">
        <v>79</v>
      </c>
      <c r="B88" s="40" t="s">
        <v>175</v>
      </c>
      <c r="C88" s="40" t="s">
        <v>15</v>
      </c>
      <c r="D88" s="44" t="s">
        <v>158</v>
      </c>
      <c r="E88" s="40" t="s">
        <v>176</v>
      </c>
      <c r="F88" s="40" t="s">
        <v>17</v>
      </c>
      <c r="G88" s="45">
        <v>20</v>
      </c>
      <c r="H88" s="42">
        <v>175</v>
      </c>
      <c r="I88" s="43">
        <f t="shared" si="3"/>
        <v>3500</v>
      </c>
    </row>
    <row r="89" spans="1:9" ht="13.5" thickBot="1" x14ac:dyDescent="0.25">
      <c r="A89" s="46"/>
      <c r="B89" s="47"/>
      <c r="C89" s="48"/>
      <c r="D89" s="49"/>
      <c r="E89" s="50"/>
      <c r="F89" s="49"/>
      <c r="G89" s="51"/>
      <c r="H89" s="52"/>
      <c r="I89" s="53">
        <f>SUM(I10:I88)</f>
        <v>2040311.9</v>
      </c>
    </row>
    <row r="90" spans="1:9" ht="18" customHeight="1" x14ac:dyDescent="0.2">
      <c r="B90" s="54"/>
    </row>
    <row r="91" spans="1:9" ht="13.5" thickBot="1" x14ac:dyDescent="0.25">
      <c r="B91" s="54"/>
    </row>
    <row r="92" spans="1:9" x14ac:dyDescent="0.2">
      <c r="B92" s="58" t="s">
        <v>177</v>
      </c>
      <c r="C92" s="59"/>
      <c r="D92" s="60"/>
      <c r="E92" s="61"/>
      <c r="F92" s="57"/>
    </row>
    <row r="93" spans="1:9" x14ac:dyDescent="0.2">
      <c r="B93" s="62"/>
      <c r="C93" s="63"/>
      <c r="D93" s="64"/>
      <c r="E93" s="65"/>
      <c r="F93" s="57"/>
    </row>
    <row r="94" spans="1:9" ht="16.5" customHeight="1" x14ac:dyDescent="0.2">
      <c r="B94" s="66" t="s">
        <v>178</v>
      </c>
      <c r="C94" s="63"/>
      <c r="D94" s="64"/>
      <c r="E94" s="65"/>
      <c r="F94" s="57"/>
    </row>
    <row r="95" spans="1:9" ht="65.25" customHeight="1" thickBot="1" x14ac:dyDescent="0.25">
      <c r="B95" s="67"/>
      <c r="C95" s="127" t="s">
        <v>179</v>
      </c>
      <c r="D95" s="127"/>
      <c r="E95" s="128"/>
      <c r="F95" s="57"/>
    </row>
    <row r="96" spans="1:9" ht="13.5" thickBot="1" x14ac:dyDescent="0.25">
      <c r="B96" s="54"/>
    </row>
    <row r="97" spans="2:6" x14ac:dyDescent="0.2">
      <c r="B97" s="58" t="s">
        <v>180</v>
      </c>
      <c r="C97" s="59"/>
      <c r="D97" s="60"/>
      <c r="E97" s="61"/>
      <c r="F97" s="57"/>
    </row>
    <row r="98" spans="2:6" x14ac:dyDescent="0.2">
      <c r="B98" s="62"/>
      <c r="C98" s="63"/>
      <c r="D98" s="64"/>
      <c r="E98" s="65"/>
      <c r="F98" s="57"/>
    </row>
    <row r="99" spans="2:6" ht="16.5" customHeight="1" x14ac:dyDescent="0.2">
      <c r="B99" s="66" t="s">
        <v>178</v>
      </c>
      <c r="C99" s="63"/>
      <c r="D99" s="64"/>
      <c r="E99" s="65"/>
      <c r="F99" s="57"/>
    </row>
    <row r="100" spans="2:6" ht="39" customHeight="1" thickBot="1" x14ac:dyDescent="0.25">
      <c r="B100" s="67"/>
      <c r="C100" s="127" t="s">
        <v>181</v>
      </c>
      <c r="D100" s="127"/>
      <c r="E100" s="128"/>
      <c r="F100" s="57"/>
    </row>
    <row r="101" spans="2:6" ht="29.25" customHeight="1" thickBot="1" x14ac:dyDescent="0.25">
      <c r="B101" s="68"/>
      <c r="C101" s="69"/>
      <c r="D101" s="69"/>
      <c r="E101" s="69"/>
      <c r="F101" s="57"/>
    </row>
    <row r="102" spans="2:6" x14ac:dyDescent="0.2">
      <c r="B102" s="58" t="s">
        <v>182</v>
      </c>
      <c r="C102" s="59"/>
      <c r="D102" s="60"/>
      <c r="E102" s="61"/>
      <c r="F102" s="57"/>
    </row>
    <row r="103" spans="2:6" x14ac:dyDescent="0.2">
      <c r="B103" s="62"/>
      <c r="C103" s="63"/>
      <c r="D103" s="64"/>
      <c r="E103" s="65"/>
      <c r="F103" s="57"/>
    </row>
    <row r="104" spans="2:6" ht="17.25" customHeight="1" x14ac:dyDescent="0.2">
      <c r="B104" s="66" t="s">
        <v>178</v>
      </c>
      <c r="C104" s="63"/>
      <c r="D104" s="64"/>
      <c r="E104" s="65"/>
      <c r="F104" s="57"/>
    </row>
    <row r="105" spans="2:6" ht="55.5" customHeight="1" thickBot="1" x14ac:dyDescent="0.25">
      <c r="B105" s="67"/>
      <c r="C105" s="127" t="s">
        <v>183</v>
      </c>
      <c r="D105" s="127"/>
      <c r="E105" s="128"/>
      <c r="F105" s="57"/>
    </row>
    <row r="106" spans="2:6" ht="21" customHeight="1" thickBot="1" x14ac:dyDescent="0.25">
      <c r="B106" s="68"/>
      <c r="C106" s="69"/>
      <c r="D106" s="69"/>
      <c r="E106" s="69"/>
      <c r="F106" s="57"/>
    </row>
    <row r="107" spans="2:6" x14ac:dyDescent="0.2">
      <c r="B107" s="58" t="s">
        <v>184</v>
      </c>
      <c r="C107" s="59"/>
      <c r="D107" s="60"/>
      <c r="E107" s="61"/>
      <c r="F107" s="57"/>
    </row>
    <row r="108" spans="2:6" x14ac:dyDescent="0.2">
      <c r="B108" s="62"/>
      <c r="C108" s="63"/>
      <c r="D108" s="64"/>
      <c r="E108" s="65"/>
      <c r="F108" s="57"/>
    </row>
    <row r="109" spans="2:6" ht="21.75" customHeight="1" x14ac:dyDescent="0.2">
      <c r="B109" s="66" t="s">
        <v>178</v>
      </c>
      <c r="C109" s="63"/>
      <c r="D109" s="64"/>
      <c r="E109" s="65"/>
      <c r="F109" s="57"/>
    </row>
    <row r="110" spans="2:6" ht="54.75" customHeight="1" thickBot="1" x14ac:dyDescent="0.25">
      <c r="B110" s="67"/>
      <c r="C110" s="127" t="s">
        <v>185</v>
      </c>
      <c r="D110" s="127"/>
      <c r="E110" s="128"/>
      <c r="F110" s="57"/>
    </row>
    <row r="111" spans="2:6" ht="13.5" thickBot="1" x14ac:dyDescent="0.25">
      <c r="B111" s="54"/>
    </row>
    <row r="112" spans="2:6" x14ac:dyDescent="0.2">
      <c r="B112" s="58" t="s">
        <v>186</v>
      </c>
      <c r="C112" s="59"/>
      <c r="D112" s="60"/>
      <c r="E112" s="61"/>
    </row>
    <row r="113" spans="2:6" x14ac:dyDescent="0.2">
      <c r="B113" s="62"/>
      <c r="C113" s="63"/>
      <c r="D113" s="64"/>
      <c r="E113" s="65"/>
    </row>
    <row r="114" spans="2:6" x14ac:dyDescent="0.2">
      <c r="B114" s="66" t="s">
        <v>178</v>
      </c>
      <c r="C114" s="63"/>
      <c r="D114" s="64"/>
      <c r="E114" s="65"/>
    </row>
    <row r="115" spans="2:6" ht="51.75" customHeight="1" x14ac:dyDescent="0.2">
      <c r="B115" s="66"/>
      <c r="C115" s="129" t="s">
        <v>187</v>
      </c>
      <c r="D115" s="129"/>
      <c r="E115" s="130"/>
    </row>
    <row r="116" spans="2:6" ht="13.5" thickBot="1" x14ac:dyDescent="0.25">
      <c r="B116" s="70"/>
      <c r="C116" s="71"/>
      <c r="D116" s="72"/>
      <c r="E116" s="73"/>
    </row>
    <row r="117" spans="2:6" ht="13.5" thickBot="1" x14ac:dyDescent="0.25">
      <c r="B117" s="54"/>
    </row>
    <row r="118" spans="2:6" x14ac:dyDescent="0.2">
      <c r="B118" s="58" t="s">
        <v>188</v>
      </c>
      <c r="C118" s="59"/>
      <c r="D118" s="60"/>
      <c r="E118" s="61"/>
      <c r="F118" s="57"/>
    </row>
    <row r="119" spans="2:6" x14ac:dyDescent="0.2">
      <c r="B119" s="62"/>
      <c r="C119" s="63"/>
      <c r="D119" s="64"/>
      <c r="E119" s="65"/>
      <c r="F119" s="57"/>
    </row>
    <row r="120" spans="2:6" ht="29.25" customHeight="1" x14ac:dyDescent="0.2">
      <c r="B120" s="66" t="s">
        <v>178</v>
      </c>
      <c r="C120" s="63"/>
      <c r="D120" s="64"/>
      <c r="E120" s="65"/>
      <c r="F120" s="57"/>
    </row>
    <row r="121" spans="2:6" ht="77.25" customHeight="1" thickBot="1" x14ac:dyDescent="0.25">
      <c r="B121" s="67"/>
      <c r="C121" s="131" t="s">
        <v>248</v>
      </c>
      <c r="D121" s="131"/>
      <c r="E121" s="132"/>
      <c r="F121" s="57"/>
    </row>
    <row r="122" spans="2:6" ht="13.5" thickBot="1" x14ac:dyDescent="0.25">
      <c r="B122" s="54"/>
      <c r="F122" s="57"/>
    </row>
    <row r="123" spans="2:6" x14ac:dyDescent="0.2">
      <c r="B123" s="58" t="s">
        <v>189</v>
      </c>
      <c r="C123" s="59"/>
      <c r="D123" s="60"/>
      <c r="E123" s="61"/>
      <c r="F123" s="57"/>
    </row>
    <row r="124" spans="2:6" x14ac:dyDescent="0.2">
      <c r="B124" s="62"/>
      <c r="C124" s="63"/>
      <c r="D124" s="64"/>
      <c r="E124" s="65"/>
      <c r="F124" s="57"/>
    </row>
    <row r="125" spans="2:6" ht="27.75" customHeight="1" x14ac:dyDescent="0.2">
      <c r="B125" s="66" t="s">
        <v>178</v>
      </c>
      <c r="C125" s="63"/>
      <c r="D125" s="64"/>
      <c r="E125" s="65"/>
      <c r="F125" s="57"/>
    </row>
    <row r="126" spans="2:6" ht="67.5" customHeight="1" x14ac:dyDescent="0.2">
      <c r="B126" s="66"/>
      <c r="C126" s="124" t="s">
        <v>247</v>
      </c>
      <c r="D126" s="124"/>
      <c r="E126" s="133"/>
      <c r="F126" s="57"/>
    </row>
    <row r="127" spans="2:6" ht="15.75" customHeight="1" thickBot="1" x14ac:dyDescent="0.25">
      <c r="B127" s="70"/>
      <c r="C127" s="71"/>
      <c r="D127" s="72"/>
      <c r="E127" s="73"/>
      <c r="F127" s="57"/>
    </row>
    <row r="128" spans="2:6" ht="13.5" thickBot="1" x14ac:dyDescent="0.25">
      <c r="B128" s="54"/>
    </row>
    <row r="129" spans="2:6" x14ac:dyDescent="0.2">
      <c r="B129" s="58" t="s">
        <v>243</v>
      </c>
      <c r="C129" s="59"/>
      <c r="D129" s="60"/>
      <c r="E129" s="61"/>
      <c r="F129" s="57"/>
    </row>
    <row r="130" spans="2:6" x14ac:dyDescent="0.2">
      <c r="B130" s="62"/>
      <c r="C130" s="63"/>
      <c r="D130" s="64"/>
      <c r="E130" s="65"/>
      <c r="F130" s="57"/>
    </row>
    <row r="131" spans="2:6" x14ac:dyDescent="0.2">
      <c r="B131" s="66" t="s">
        <v>178</v>
      </c>
      <c r="C131" s="63"/>
      <c r="D131" s="64"/>
      <c r="E131" s="65"/>
      <c r="F131" s="57"/>
    </row>
    <row r="132" spans="2:6" ht="45" customHeight="1" x14ac:dyDescent="0.2">
      <c r="B132" s="66"/>
      <c r="C132" s="125" t="s">
        <v>190</v>
      </c>
      <c r="D132" s="125"/>
      <c r="E132" s="126"/>
      <c r="F132" s="57"/>
    </row>
    <row r="133" spans="2:6" ht="13.5" thickBot="1" x14ac:dyDescent="0.25">
      <c r="B133" s="70"/>
      <c r="C133" s="71"/>
      <c r="D133" s="72"/>
      <c r="E133" s="73"/>
      <c r="F133" s="57"/>
    </row>
    <row r="134" spans="2:6" ht="13.5" thickBot="1" x14ac:dyDescent="0.25">
      <c r="B134" s="54"/>
    </row>
    <row r="135" spans="2:6" x14ac:dyDescent="0.2">
      <c r="B135" s="58" t="s">
        <v>191</v>
      </c>
      <c r="C135" s="59"/>
      <c r="D135" s="60"/>
      <c r="E135" s="61"/>
      <c r="F135" s="57"/>
    </row>
    <row r="136" spans="2:6" x14ac:dyDescent="0.2">
      <c r="B136" s="62"/>
      <c r="C136" s="63"/>
      <c r="D136" s="64"/>
      <c r="E136" s="65"/>
      <c r="F136" s="57"/>
    </row>
    <row r="137" spans="2:6" x14ac:dyDescent="0.2">
      <c r="B137" s="66" t="s">
        <v>178</v>
      </c>
      <c r="C137" s="63"/>
      <c r="D137" s="64"/>
      <c r="E137" s="65"/>
      <c r="F137" s="57"/>
    </row>
    <row r="138" spans="2:6" ht="30.75" customHeight="1" x14ac:dyDescent="0.2">
      <c r="B138" s="66"/>
      <c r="C138" s="125" t="s">
        <v>192</v>
      </c>
      <c r="D138" s="125"/>
      <c r="E138" s="126"/>
      <c r="F138" s="57"/>
    </row>
    <row r="139" spans="2:6" ht="12" customHeight="1" thickBot="1" x14ac:dyDescent="0.25">
      <c r="B139" s="70"/>
      <c r="C139" s="71"/>
      <c r="D139" s="72"/>
      <c r="E139" s="73"/>
      <c r="F139" s="57"/>
    </row>
    <row r="140" spans="2:6" ht="13.5" thickBot="1" x14ac:dyDescent="0.25">
      <c r="B140" s="54"/>
      <c r="F140" s="57"/>
    </row>
    <row r="141" spans="2:6" x14ac:dyDescent="0.2">
      <c r="B141" s="58" t="s">
        <v>193</v>
      </c>
      <c r="C141" s="59"/>
      <c r="D141" s="60"/>
      <c r="E141" s="61"/>
      <c r="F141" s="57"/>
    </row>
    <row r="142" spans="2:6" x14ac:dyDescent="0.2">
      <c r="B142" s="62"/>
      <c r="C142" s="63"/>
      <c r="D142" s="64"/>
      <c r="E142" s="65"/>
      <c r="F142" s="57"/>
    </row>
    <row r="143" spans="2:6" x14ac:dyDescent="0.2">
      <c r="B143" s="66" t="s">
        <v>178</v>
      </c>
      <c r="C143" s="63"/>
      <c r="D143" s="64"/>
      <c r="E143" s="65"/>
      <c r="F143" s="57"/>
    </row>
    <row r="144" spans="2:6" ht="28.5" customHeight="1" x14ac:dyDescent="0.2">
      <c r="B144" s="66"/>
      <c r="C144" s="124" t="s">
        <v>194</v>
      </c>
      <c r="D144" s="125"/>
      <c r="E144" s="126"/>
      <c r="F144" s="57"/>
    </row>
    <row r="145" spans="1:9" ht="17.25" customHeight="1" thickBot="1" x14ac:dyDescent="0.25">
      <c r="A145" s="74"/>
      <c r="B145" s="70"/>
      <c r="C145" s="71"/>
      <c r="D145" s="72"/>
      <c r="E145" s="73"/>
      <c r="F145" s="57"/>
    </row>
    <row r="146" spans="1:9" s="64" customFormat="1" ht="14.25" customHeight="1" thickBot="1" x14ac:dyDescent="0.25">
      <c r="A146" s="75"/>
      <c r="B146" s="76"/>
      <c r="C146" s="63"/>
      <c r="E146" s="77"/>
      <c r="F146" s="78"/>
      <c r="G146" s="78"/>
      <c r="H146" s="79"/>
      <c r="I146" s="80"/>
    </row>
    <row r="147" spans="1:9" x14ac:dyDescent="0.2">
      <c r="B147" s="58" t="s">
        <v>195</v>
      </c>
      <c r="C147" s="59"/>
      <c r="D147" s="60"/>
      <c r="E147" s="61"/>
      <c r="F147" s="57"/>
    </row>
    <row r="148" spans="1:9" x14ac:dyDescent="0.2">
      <c r="B148" s="62"/>
      <c r="C148" s="63"/>
      <c r="D148" s="64"/>
      <c r="E148" s="65"/>
      <c r="F148" s="57"/>
    </row>
    <row r="149" spans="1:9" x14ac:dyDescent="0.2">
      <c r="B149" s="66" t="s">
        <v>178</v>
      </c>
      <c r="C149" s="63"/>
      <c r="D149" s="64"/>
      <c r="E149" s="65"/>
      <c r="F149" s="57"/>
    </row>
    <row r="150" spans="1:9" ht="50.25" customHeight="1" x14ac:dyDescent="0.2">
      <c r="B150" s="66"/>
      <c r="C150" s="124" t="s">
        <v>196</v>
      </c>
      <c r="D150" s="125"/>
      <c r="E150" s="126"/>
      <c r="F150" s="57"/>
    </row>
    <row r="151" spans="1:9" ht="17.25" customHeight="1" thickBot="1" x14ac:dyDescent="0.25">
      <c r="A151" s="74"/>
      <c r="B151" s="70"/>
      <c r="C151" s="71"/>
      <c r="D151" s="72"/>
      <c r="E151" s="73"/>
      <c r="F151" s="57"/>
    </row>
    <row r="152" spans="1:9" ht="13.5" thickBot="1" x14ac:dyDescent="0.25">
      <c r="B152" s="54"/>
      <c r="F152" s="57"/>
    </row>
    <row r="153" spans="1:9" x14ac:dyDescent="0.2">
      <c r="B153" s="58" t="s">
        <v>197</v>
      </c>
      <c r="C153" s="59"/>
      <c r="D153" s="60"/>
      <c r="E153" s="61"/>
      <c r="F153" s="57"/>
    </row>
    <row r="154" spans="1:9" x14ac:dyDescent="0.2">
      <c r="B154" s="62"/>
      <c r="C154" s="63"/>
      <c r="D154" s="64"/>
      <c r="E154" s="65"/>
      <c r="F154" s="57"/>
    </row>
    <row r="155" spans="1:9" x14ac:dyDescent="0.2">
      <c r="B155" s="66" t="s">
        <v>178</v>
      </c>
      <c r="C155" s="63"/>
      <c r="D155" s="64"/>
      <c r="E155" s="65"/>
      <c r="F155" s="57"/>
    </row>
    <row r="156" spans="1:9" ht="39" customHeight="1" x14ac:dyDescent="0.2">
      <c r="B156" s="66"/>
      <c r="C156" s="124" t="s">
        <v>198</v>
      </c>
      <c r="D156" s="125"/>
      <c r="E156" s="126"/>
      <c r="F156" s="57"/>
    </row>
    <row r="157" spans="1:9" ht="13.5" thickBot="1" x14ac:dyDescent="0.25">
      <c r="B157" s="70"/>
      <c r="C157" s="71"/>
      <c r="D157" s="72"/>
      <c r="E157" s="73"/>
      <c r="F157" s="57"/>
    </row>
    <row r="158" spans="1:9" ht="13.5" thickBot="1" x14ac:dyDescent="0.25">
      <c r="B158" s="54"/>
      <c r="F158" s="57"/>
    </row>
    <row r="159" spans="1:9" ht="17.25" customHeight="1" x14ac:dyDescent="0.2">
      <c r="B159" s="58" t="s">
        <v>199</v>
      </c>
      <c r="C159" s="59"/>
      <c r="D159" s="60"/>
      <c r="E159" s="61"/>
      <c r="F159" s="57"/>
    </row>
    <row r="160" spans="1:9" x14ac:dyDescent="0.2">
      <c r="B160" s="62"/>
      <c r="C160" s="63"/>
      <c r="D160" s="64"/>
      <c r="E160" s="65"/>
      <c r="F160" s="57"/>
    </row>
    <row r="161" spans="1:6" x14ac:dyDescent="0.2">
      <c r="B161" s="66" t="s">
        <v>178</v>
      </c>
      <c r="C161" s="63"/>
      <c r="D161" s="64"/>
      <c r="E161" s="65"/>
      <c r="F161" s="57"/>
    </row>
    <row r="162" spans="1:6" ht="31.5" customHeight="1" x14ac:dyDescent="0.2">
      <c r="B162" s="66"/>
      <c r="C162" s="124" t="s">
        <v>200</v>
      </c>
      <c r="D162" s="125"/>
      <c r="E162" s="126"/>
      <c r="F162" s="57"/>
    </row>
    <row r="163" spans="1:6" ht="15" customHeight="1" thickBot="1" x14ac:dyDescent="0.25">
      <c r="B163" s="70"/>
      <c r="C163" s="71"/>
      <c r="D163" s="72"/>
      <c r="E163" s="73"/>
      <c r="F163" s="57"/>
    </row>
    <row r="164" spans="1:6" ht="13.5" thickBot="1" x14ac:dyDescent="0.25">
      <c r="B164" s="54"/>
    </row>
    <row r="165" spans="1:6" x14ac:dyDescent="0.2">
      <c r="B165" s="58" t="s">
        <v>201</v>
      </c>
      <c r="C165" s="59"/>
      <c r="D165" s="60"/>
      <c r="E165" s="61"/>
    </row>
    <row r="166" spans="1:6" x14ac:dyDescent="0.2">
      <c r="B166" s="62"/>
      <c r="C166" s="63"/>
      <c r="D166" s="64"/>
      <c r="E166" s="65"/>
    </row>
    <row r="167" spans="1:6" x14ac:dyDescent="0.2">
      <c r="B167" s="66" t="s">
        <v>178</v>
      </c>
      <c r="C167" s="63"/>
      <c r="D167" s="64"/>
      <c r="E167" s="65"/>
    </row>
    <row r="168" spans="1:6" ht="39" customHeight="1" x14ac:dyDescent="0.3">
      <c r="B168" s="66"/>
      <c r="C168" s="135" t="s">
        <v>244</v>
      </c>
      <c r="D168" s="135"/>
      <c r="E168" s="136"/>
    </row>
    <row r="169" spans="1:6" ht="13.5" thickBot="1" x14ac:dyDescent="0.25">
      <c r="B169" s="70"/>
      <c r="C169" s="71"/>
      <c r="D169" s="72"/>
      <c r="E169" s="73"/>
    </row>
    <row r="170" spans="1:6" x14ac:dyDescent="0.2">
      <c r="B170" s="54"/>
    </row>
    <row r="171" spans="1:6" x14ac:dyDescent="0.2">
      <c r="B171" s="54"/>
    </row>
    <row r="172" spans="1:6" ht="13.5" thickBot="1" x14ac:dyDescent="0.25">
      <c r="B172" s="54"/>
    </row>
    <row r="173" spans="1:6" ht="39.75" customHeight="1" x14ac:dyDescent="0.2">
      <c r="A173" s="74"/>
      <c r="B173" s="81" t="s">
        <v>202</v>
      </c>
      <c r="C173" s="82"/>
      <c r="D173" s="60"/>
      <c r="E173" s="83"/>
    </row>
    <row r="174" spans="1:6" ht="112.5" customHeight="1" x14ac:dyDescent="0.2">
      <c r="A174" s="74"/>
      <c r="B174" s="84"/>
      <c r="C174" s="124" t="str">
        <f>+[2]TONER!C190</f>
        <v>a) LUGAR DE ENTREGA:  Oficina Central del Ministerio de Trabajo, Planificacion y Recursos Humanos, sito en Av. Colon Nº 960 -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v>
      </c>
      <c r="D174" s="124"/>
      <c r="E174" s="133"/>
    </row>
    <row r="175" spans="1:6" x14ac:dyDescent="0.2">
      <c r="A175" s="74"/>
      <c r="B175" s="84"/>
      <c r="C175" s="134"/>
      <c r="D175" s="134"/>
      <c r="E175" s="134"/>
    </row>
    <row r="176" spans="1:6" x14ac:dyDescent="0.2">
      <c r="A176" s="74"/>
      <c r="B176" s="85" t="s">
        <v>203</v>
      </c>
      <c r="C176" s="69"/>
      <c r="D176" s="86"/>
      <c r="E176" s="87"/>
    </row>
    <row r="177" spans="1:5" x14ac:dyDescent="0.2">
      <c r="A177" s="74"/>
      <c r="B177" s="84"/>
      <c r="C177" s="124" t="s">
        <v>204</v>
      </c>
      <c r="D177" s="124"/>
      <c r="E177" s="133"/>
    </row>
    <row r="178" spans="1:5" ht="13.5" thickBot="1" x14ac:dyDescent="0.25">
      <c r="B178" s="88"/>
      <c r="C178" s="71"/>
      <c r="D178" s="72"/>
      <c r="E178" s="73"/>
    </row>
    <row r="179" spans="1:5" ht="13.5" thickBot="1" x14ac:dyDescent="0.25"/>
    <row r="180" spans="1:5" x14ac:dyDescent="0.2">
      <c r="B180" s="89" t="s">
        <v>205</v>
      </c>
      <c r="C180" s="59"/>
      <c r="D180" s="59"/>
      <c r="E180" s="90"/>
    </row>
    <row r="181" spans="1:5" ht="30" customHeight="1" x14ac:dyDescent="0.2">
      <c r="B181" s="91"/>
      <c r="C181" s="129" t="s">
        <v>206</v>
      </c>
      <c r="D181" s="129"/>
      <c r="E181" s="130"/>
    </row>
    <row r="182" spans="1:5" ht="24.75" customHeight="1" x14ac:dyDescent="0.2">
      <c r="B182" s="92" t="s">
        <v>207</v>
      </c>
      <c r="C182" s="63"/>
      <c r="D182" s="64"/>
      <c r="E182" s="65"/>
    </row>
    <row r="183" spans="1:5" x14ac:dyDescent="0.2">
      <c r="B183" s="93"/>
      <c r="C183" s="134"/>
      <c r="D183" s="134"/>
      <c r="E183" s="134"/>
    </row>
    <row r="184" spans="1:5" ht="13.5" thickBot="1" x14ac:dyDescent="0.25">
      <c r="B184" s="94"/>
      <c r="C184" s="71"/>
      <c r="D184" s="72"/>
      <c r="E184" s="73"/>
    </row>
  </sheetData>
  <autoFilter ref="A9:I89" xr:uid="{00000000-0009-0000-0000-000000000000}"/>
  <mergeCells count="26">
    <mergeCell ref="C181:E181"/>
    <mergeCell ref="C183:E183"/>
    <mergeCell ref="C156:E156"/>
    <mergeCell ref="C162:E162"/>
    <mergeCell ref="C168:E168"/>
    <mergeCell ref="C174:E174"/>
    <mergeCell ref="C175:E175"/>
    <mergeCell ref="C177:E177"/>
    <mergeCell ref="C150:E150"/>
    <mergeCell ref="A7:B7"/>
    <mergeCell ref="C95:E95"/>
    <mergeCell ref="C100:E100"/>
    <mergeCell ref="C105:E105"/>
    <mergeCell ref="C110:E110"/>
    <mergeCell ref="C115:E115"/>
    <mergeCell ref="C121:E121"/>
    <mergeCell ref="C126:E126"/>
    <mergeCell ref="C132:E132"/>
    <mergeCell ref="C138:E138"/>
    <mergeCell ref="C144:E144"/>
    <mergeCell ref="A6:B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opLeftCell="A11" zoomScale="90" zoomScaleNormal="90" workbookViewId="0">
      <selection activeCell="S17" sqref="S17"/>
    </sheetView>
  </sheetViews>
  <sheetFormatPr baseColWidth="10" defaultColWidth="11" defaultRowHeight="13.5" x14ac:dyDescent="0.25"/>
  <cols>
    <col min="1" max="5" width="4.42578125" style="97" customWidth="1"/>
    <col min="6" max="6" width="5.5703125" style="97" customWidth="1"/>
    <col min="7" max="7" width="4.42578125" style="98" customWidth="1"/>
    <col min="8" max="14" width="4.42578125" style="97" customWidth="1"/>
    <col min="15" max="15" width="14.85546875" style="97" customWidth="1"/>
    <col min="16" max="16" width="17" style="97" customWidth="1"/>
    <col min="17" max="17" width="17.28515625" style="99" customWidth="1"/>
    <col min="18" max="18" width="22.85546875" style="97" customWidth="1"/>
    <col min="19" max="19" width="16.42578125" style="97" customWidth="1"/>
    <col min="20" max="20" width="17.28515625" style="97" customWidth="1"/>
    <col min="21" max="16384" width="11" style="97"/>
  </cols>
  <sheetData>
    <row r="1" spans="1:20" ht="15.75" customHeight="1" thickBot="1" x14ac:dyDescent="0.3">
      <c r="A1" s="150" t="s">
        <v>3</v>
      </c>
      <c r="B1" s="151"/>
      <c r="C1" s="151"/>
      <c r="D1" s="152">
        <v>2022</v>
      </c>
      <c r="E1" s="153"/>
      <c r="F1" s="95"/>
      <c r="G1" s="95"/>
      <c r="H1" s="96"/>
      <c r="I1" s="96"/>
      <c r="J1" s="96"/>
      <c r="K1" s="96"/>
      <c r="L1" s="96"/>
      <c r="M1" s="96"/>
      <c r="N1" s="96"/>
      <c r="P1" s="154" t="s">
        <v>208</v>
      </c>
      <c r="Q1" s="155"/>
    </row>
    <row r="2" spans="1:20" ht="15.75" customHeight="1" thickBot="1" x14ac:dyDescent="0.3">
      <c r="H2" s="96"/>
      <c r="I2" s="96"/>
      <c r="J2" s="96"/>
      <c r="K2" s="96"/>
      <c r="L2" s="96"/>
      <c r="M2" s="96"/>
      <c r="N2" s="96"/>
      <c r="P2" s="156"/>
      <c r="Q2" s="157"/>
    </row>
    <row r="3" spans="1:20" ht="14.25" thickBot="1" x14ac:dyDescent="0.3"/>
    <row r="4" spans="1:20" ht="18" customHeight="1" thickBot="1" x14ac:dyDescent="0.35">
      <c r="A4" s="158" t="s">
        <v>209</v>
      </c>
      <c r="B4" s="159"/>
      <c r="C4" s="159"/>
      <c r="D4" s="159"/>
      <c r="E4" s="159"/>
      <c r="F4" s="160"/>
      <c r="G4" s="161" t="s">
        <v>237</v>
      </c>
      <c r="H4" s="162"/>
      <c r="I4" s="162"/>
      <c r="J4" s="162"/>
      <c r="K4" s="162"/>
      <c r="L4" s="162"/>
      <c r="M4" s="162"/>
      <c r="N4" s="162"/>
      <c r="O4" s="162"/>
      <c r="P4" s="162"/>
      <c r="Q4" s="163"/>
    </row>
    <row r="5" spans="1:20" ht="35.25" customHeight="1" thickBot="1" x14ac:dyDescent="0.35">
      <c r="A5" s="164" t="s">
        <v>210</v>
      </c>
      <c r="B5" s="165"/>
      <c r="C5" s="165"/>
      <c r="D5" s="165"/>
      <c r="E5" s="165"/>
      <c r="F5" s="166"/>
      <c r="G5" s="167" t="s">
        <v>238</v>
      </c>
      <c r="H5" s="168"/>
      <c r="I5" s="168"/>
      <c r="J5" s="168"/>
      <c r="K5" s="168"/>
      <c r="L5" s="168"/>
      <c r="M5" s="168"/>
      <c r="N5" s="168"/>
      <c r="O5" s="168"/>
      <c r="P5" s="168"/>
      <c r="Q5" s="169"/>
    </row>
    <row r="6" spans="1:20" ht="18" customHeight="1" thickBot="1" x14ac:dyDescent="0.35">
      <c r="A6" s="164" t="s">
        <v>211</v>
      </c>
      <c r="B6" s="165"/>
      <c r="C6" s="165"/>
      <c r="D6" s="165"/>
      <c r="E6" s="165"/>
      <c r="F6" s="166"/>
      <c r="G6" s="161" t="s">
        <v>239</v>
      </c>
      <c r="H6" s="162"/>
      <c r="I6" s="162"/>
      <c r="J6" s="162"/>
      <c r="K6" s="162"/>
      <c r="L6" s="162"/>
      <c r="M6" s="162"/>
      <c r="N6" s="162"/>
      <c r="O6" s="162"/>
      <c r="P6" s="162"/>
      <c r="Q6" s="163"/>
    </row>
    <row r="7" spans="1:20" ht="18" customHeight="1" thickBot="1" x14ac:dyDescent="0.35">
      <c r="A7" s="164" t="s">
        <v>212</v>
      </c>
      <c r="B7" s="165"/>
      <c r="C7" s="165"/>
      <c r="D7" s="165"/>
      <c r="E7" s="165"/>
      <c r="F7" s="166"/>
      <c r="G7" s="161" t="str">
        <f>+G6</f>
        <v>Ministerio de Trabajo, Planificacion y Reursos Humanos</v>
      </c>
      <c r="H7" s="162"/>
      <c r="I7" s="162"/>
      <c r="J7" s="162"/>
      <c r="K7" s="162"/>
      <c r="L7" s="162"/>
      <c r="M7" s="162"/>
      <c r="N7" s="162"/>
      <c r="O7" s="162"/>
      <c r="P7" s="162"/>
      <c r="Q7" s="163"/>
    </row>
    <row r="8" spans="1:20" ht="18" customHeight="1" thickBot="1" x14ac:dyDescent="0.3">
      <c r="A8" s="171" t="s">
        <v>213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3"/>
    </row>
    <row r="9" spans="1:20" ht="18" customHeight="1" x14ac:dyDescent="0.3">
      <c r="A9" s="174" t="s">
        <v>214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00"/>
      <c r="P9" s="100"/>
      <c r="Q9" s="101"/>
    </row>
    <row r="10" spans="1:20" ht="65.25" customHeight="1" x14ac:dyDescent="0.25">
      <c r="A10" s="176" t="s">
        <v>245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</row>
    <row r="11" spans="1:20" ht="9" customHeight="1" thickBot="1" x14ac:dyDescent="0.3">
      <c r="A11" s="102"/>
      <c r="B11" s="100"/>
      <c r="C11" s="100"/>
      <c r="D11" s="100"/>
      <c r="E11" s="100"/>
      <c r="F11" s="100"/>
      <c r="G11" s="103"/>
      <c r="H11" s="100"/>
      <c r="I11" s="100"/>
      <c r="J11" s="100"/>
      <c r="K11" s="100"/>
      <c r="L11" s="100"/>
      <c r="M11" s="100"/>
      <c r="N11" s="100"/>
      <c r="O11" s="100"/>
      <c r="P11" s="100"/>
      <c r="Q11" s="101"/>
    </row>
    <row r="12" spans="1:20" ht="15.75" customHeight="1" thickBot="1" x14ac:dyDescent="0.3">
      <c r="A12" s="179" t="s">
        <v>215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1"/>
    </row>
    <row r="13" spans="1:20" ht="15.75" customHeight="1" thickBot="1" x14ac:dyDescent="0.3">
      <c r="A13" s="182" t="s">
        <v>216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4"/>
      <c r="O13" s="141" t="s">
        <v>217</v>
      </c>
      <c r="P13" s="142"/>
      <c r="Q13" s="145" t="s">
        <v>218</v>
      </c>
    </row>
    <row r="14" spans="1:20" ht="15.75" customHeight="1" thickBot="1" x14ac:dyDescent="0.3">
      <c r="A14" s="104" t="s">
        <v>219</v>
      </c>
      <c r="B14" s="105" t="s">
        <v>220</v>
      </c>
      <c r="C14" s="105" t="s">
        <v>221</v>
      </c>
      <c r="D14" s="105" t="s">
        <v>222</v>
      </c>
      <c r="E14" s="105" t="s">
        <v>223</v>
      </c>
      <c r="F14" s="105" t="s">
        <v>224</v>
      </c>
      <c r="G14" s="106" t="s">
        <v>225</v>
      </c>
      <c r="H14" s="105" t="s">
        <v>226</v>
      </c>
      <c r="I14" s="105" t="s">
        <v>227</v>
      </c>
      <c r="J14" s="105" t="s">
        <v>228</v>
      </c>
      <c r="K14" s="105" t="s">
        <v>228</v>
      </c>
      <c r="L14" s="105" t="s">
        <v>229</v>
      </c>
      <c r="M14" s="107" t="s">
        <v>230</v>
      </c>
      <c r="N14" s="108" t="s">
        <v>231</v>
      </c>
      <c r="O14" s="143"/>
      <c r="P14" s="144"/>
      <c r="Q14" s="146"/>
    </row>
    <row r="15" spans="1:20" ht="15" customHeight="1" x14ac:dyDescent="0.25">
      <c r="A15" s="116">
        <v>6</v>
      </c>
      <c r="B15" s="117">
        <v>0</v>
      </c>
      <c r="C15" s="117">
        <v>0</v>
      </c>
      <c r="D15" s="117">
        <v>1</v>
      </c>
      <c r="E15" s="117">
        <v>0</v>
      </c>
      <c r="F15" s="117">
        <v>4901</v>
      </c>
      <c r="G15" s="117">
        <v>1</v>
      </c>
      <c r="H15" s="117">
        <v>3</v>
      </c>
      <c r="I15" s="117">
        <v>2</v>
      </c>
      <c r="J15" s="117">
        <v>2</v>
      </c>
      <c r="K15" s="117">
        <v>1</v>
      </c>
      <c r="L15" s="117">
        <v>0</v>
      </c>
      <c r="M15" s="117">
        <v>1</v>
      </c>
      <c r="N15" s="117" t="s">
        <v>232</v>
      </c>
      <c r="O15" s="170" t="s">
        <v>233</v>
      </c>
      <c r="P15" s="170"/>
      <c r="Q15" s="118">
        <f>+'Utiles de Escritorio'!I10</f>
        <v>8900</v>
      </c>
      <c r="R15" s="113"/>
      <c r="T15" s="99"/>
    </row>
    <row r="16" spans="1:20" ht="27.75" customHeight="1" x14ac:dyDescent="0.25">
      <c r="A16" s="110">
        <v>1</v>
      </c>
      <c r="B16" s="109">
        <v>0</v>
      </c>
      <c r="C16" s="109">
        <v>0</v>
      </c>
      <c r="D16" s="109">
        <v>1</v>
      </c>
      <c r="E16" s="109">
        <v>0</v>
      </c>
      <c r="F16" s="109">
        <v>4901</v>
      </c>
      <c r="G16" s="109">
        <v>3</v>
      </c>
      <c r="H16" s="109">
        <v>6</v>
      </c>
      <c r="I16" s="109">
        <v>2</v>
      </c>
      <c r="J16" s="109">
        <v>3</v>
      </c>
      <c r="K16" s="109">
        <v>1</v>
      </c>
      <c r="L16" s="109">
        <v>0</v>
      </c>
      <c r="M16" s="109">
        <v>1</v>
      </c>
      <c r="N16" s="109" t="s">
        <v>232</v>
      </c>
      <c r="O16" s="140" t="s">
        <v>234</v>
      </c>
      <c r="P16" s="140"/>
      <c r="Q16" s="119">
        <v>160000</v>
      </c>
      <c r="T16" s="99"/>
    </row>
    <row r="17" spans="1:20" ht="27.75" customHeight="1" x14ac:dyDescent="0.25">
      <c r="A17" s="110">
        <v>7</v>
      </c>
      <c r="B17" s="109">
        <v>0</v>
      </c>
      <c r="C17" s="109">
        <v>0</v>
      </c>
      <c r="D17" s="109">
        <v>1</v>
      </c>
      <c r="E17" s="109">
        <v>0</v>
      </c>
      <c r="F17" s="109">
        <v>4901</v>
      </c>
      <c r="G17" s="109">
        <v>1</v>
      </c>
      <c r="H17" s="109">
        <v>3</v>
      </c>
      <c r="I17" s="109">
        <v>2</v>
      </c>
      <c r="J17" s="109">
        <v>3</v>
      </c>
      <c r="K17" s="109">
        <v>1</v>
      </c>
      <c r="L17" s="109">
        <v>0</v>
      </c>
      <c r="M17" s="109">
        <v>1</v>
      </c>
      <c r="N17" s="109" t="s">
        <v>232</v>
      </c>
      <c r="O17" s="140" t="s">
        <v>241</v>
      </c>
      <c r="P17" s="140"/>
      <c r="Q17" s="119">
        <v>150000</v>
      </c>
      <c r="R17" s="99"/>
      <c r="T17" s="99"/>
    </row>
    <row r="18" spans="1:20" ht="27.75" customHeight="1" x14ac:dyDescent="0.25">
      <c r="A18" s="110">
        <v>6</v>
      </c>
      <c r="B18" s="109">
        <v>0</v>
      </c>
      <c r="C18" s="109">
        <v>0</v>
      </c>
      <c r="D18" s="109">
        <v>5</v>
      </c>
      <c r="E18" s="109">
        <v>0</v>
      </c>
      <c r="F18" s="109">
        <v>4901</v>
      </c>
      <c r="G18" s="109">
        <v>3</v>
      </c>
      <c r="H18" s="109">
        <v>1</v>
      </c>
      <c r="I18" s="109">
        <v>2</v>
      </c>
      <c r="J18" s="109">
        <v>3</v>
      </c>
      <c r="K18" s="109">
        <v>1</v>
      </c>
      <c r="L18" s="109">
        <v>0</v>
      </c>
      <c r="M18" s="109">
        <v>1</v>
      </c>
      <c r="N18" s="109" t="s">
        <v>232</v>
      </c>
      <c r="O18" s="140" t="s">
        <v>234</v>
      </c>
      <c r="P18" s="140"/>
      <c r="Q18" s="119">
        <v>150000</v>
      </c>
      <c r="R18" s="113"/>
      <c r="S18" s="113"/>
      <c r="T18" s="99"/>
    </row>
    <row r="19" spans="1:20" ht="27.75" customHeight="1" x14ac:dyDescent="0.25">
      <c r="A19" s="110">
        <v>5</v>
      </c>
      <c r="B19" s="109">
        <v>0</v>
      </c>
      <c r="C19" s="109">
        <v>0</v>
      </c>
      <c r="D19" s="109">
        <v>1</v>
      </c>
      <c r="E19" s="109">
        <v>0</v>
      </c>
      <c r="F19" s="109">
        <v>4901</v>
      </c>
      <c r="G19" s="109">
        <v>3</v>
      </c>
      <c r="H19" s="109">
        <v>6</v>
      </c>
      <c r="I19" s="109">
        <v>2</v>
      </c>
      <c r="J19" s="109">
        <v>3</v>
      </c>
      <c r="K19" s="109">
        <v>1</v>
      </c>
      <c r="L19" s="109">
        <v>0</v>
      </c>
      <c r="M19" s="109">
        <v>1</v>
      </c>
      <c r="N19" s="109" t="s">
        <v>232</v>
      </c>
      <c r="O19" s="140" t="s">
        <v>234</v>
      </c>
      <c r="P19" s="140"/>
      <c r="Q19" s="119">
        <v>120000</v>
      </c>
      <c r="R19" s="113"/>
      <c r="T19" s="99"/>
    </row>
    <row r="20" spans="1:20" ht="27.75" customHeight="1" x14ac:dyDescent="0.25">
      <c r="A20" s="110">
        <v>4</v>
      </c>
      <c r="B20" s="109">
        <v>0</v>
      </c>
      <c r="C20" s="109">
        <v>0</v>
      </c>
      <c r="D20" s="109">
        <v>2</v>
      </c>
      <c r="E20" s="109">
        <v>0</v>
      </c>
      <c r="F20" s="109">
        <v>4901</v>
      </c>
      <c r="G20" s="109">
        <v>3</v>
      </c>
      <c r="H20" s="109">
        <v>1</v>
      </c>
      <c r="I20" s="109">
        <v>2</v>
      </c>
      <c r="J20" s="109">
        <v>3</v>
      </c>
      <c r="K20" s="109">
        <v>1</v>
      </c>
      <c r="L20" s="109">
        <v>0</v>
      </c>
      <c r="M20" s="109">
        <v>1</v>
      </c>
      <c r="N20" s="109" t="s">
        <v>232</v>
      </c>
      <c r="O20" s="140" t="s">
        <v>234</v>
      </c>
      <c r="P20" s="140"/>
      <c r="Q20" s="119">
        <v>150000</v>
      </c>
      <c r="T20" s="99"/>
    </row>
    <row r="21" spans="1:20" ht="27.75" customHeight="1" x14ac:dyDescent="0.25">
      <c r="A21" s="110">
        <v>3</v>
      </c>
      <c r="B21" s="109">
        <v>0</v>
      </c>
      <c r="C21" s="109">
        <v>0</v>
      </c>
      <c r="D21" s="109">
        <v>1</v>
      </c>
      <c r="E21" s="109">
        <v>0</v>
      </c>
      <c r="F21" s="109">
        <v>4901</v>
      </c>
      <c r="G21" s="109">
        <v>1</v>
      </c>
      <c r="H21" s="109">
        <v>3</v>
      </c>
      <c r="I21" s="109">
        <v>2</v>
      </c>
      <c r="J21" s="109">
        <v>3</v>
      </c>
      <c r="K21" s="109">
        <v>1</v>
      </c>
      <c r="L21" s="109">
        <v>0</v>
      </c>
      <c r="M21" s="109">
        <v>1</v>
      </c>
      <c r="N21" s="109" t="s">
        <v>232</v>
      </c>
      <c r="O21" s="140" t="s">
        <v>234</v>
      </c>
      <c r="P21" s="140"/>
      <c r="Q21" s="119">
        <v>133152</v>
      </c>
      <c r="T21" s="99"/>
    </row>
    <row r="22" spans="1:20" ht="29.25" customHeight="1" x14ac:dyDescent="0.25">
      <c r="A22" s="110">
        <v>1</v>
      </c>
      <c r="B22" s="109">
        <v>0</v>
      </c>
      <c r="C22" s="109">
        <v>0</v>
      </c>
      <c r="D22" s="109">
        <v>1</v>
      </c>
      <c r="E22" s="109">
        <v>0</v>
      </c>
      <c r="F22" s="109">
        <v>4901</v>
      </c>
      <c r="G22" s="109">
        <v>3</v>
      </c>
      <c r="H22" s="109">
        <v>6</v>
      </c>
      <c r="I22" s="109">
        <v>2</v>
      </c>
      <c r="J22" s="109">
        <v>9</v>
      </c>
      <c r="K22" s="109">
        <v>2</v>
      </c>
      <c r="L22" s="109">
        <v>0</v>
      </c>
      <c r="M22" s="109">
        <v>1</v>
      </c>
      <c r="N22" s="109" t="s">
        <v>232</v>
      </c>
      <c r="O22" s="140" t="s">
        <v>235</v>
      </c>
      <c r="P22" s="140"/>
      <c r="Q22" s="111">
        <v>120000</v>
      </c>
      <c r="R22" s="113"/>
      <c r="S22" s="112"/>
      <c r="T22" s="113"/>
    </row>
    <row r="23" spans="1:20" ht="32.25" customHeight="1" x14ac:dyDescent="0.25">
      <c r="A23" s="110">
        <v>3</v>
      </c>
      <c r="B23" s="109">
        <v>0</v>
      </c>
      <c r="C23" s="109">
        <v>0</v>
      </c>
      <c r="D23" s="109">
        <v>1</v>
      </c>
      <c r="E23" s="109">
        <v>0</v>
      </c>
      <c r="F23" s="109">
        <v>4901</v>
      </c>
      <c r="G23" s="109">
        <v>1</v>
      </c>
      <c r="H23" s="109">
        <v>3</v>
      </c>
      <c r="I23" s="109">
        <v>2</v>
      </c>
      <c r="J23" s="109">
        <v>9</v>
      </c>
      <c r="K23" s="109">
        <v>2</v>
      </c>
      <c r="L23" s="109">
        <v>0</v>
      </c>
      <c r="M23" s="109">
        <v>1</v>
      </c>
      <c r="N23" s="109" t="s">
        <v>232</v>
      </c>
      <c r="O23" s="140" t="s">
        <v>235</v>
      </c>
      <c r="P23" s="140"/>
      <c r="Q23" s="111">
        <v>80000</v>
      </c>
      <c r="R23" s="113"/>
    </row>
    <row r="24" spans="1:20" ht="29.25" customHeight="1" x14ac:dyDescent="0.25">
      <c r="A24" s="110">
        <v>4</v>
      </c>
      <c r="B24" s="109">
        <v>0</v>
      </c>
      <c r="C24" s="109">
        <v>0</v>
      </c>
      <c r="D24" s="109">
        <v>2</v>
      </c>
      <c r="E24" s="109">
        <v>0</v>
      </c>
      <c r="F24" s="109">
        <v>4901</v>
      </c>
      <c r="G24" s="109">
        <v>3</v>
      </c>
      <c r="H24" s="109">
        <v>1</v>
      </c>
      <c r="I24" s="109">
        <v>2</v>
      </c>
      <c r="J24" s="109">
        <v>9</v>
      </c>
      <c r="K24" s="109">
        <v>2</v>
      </c>
      <c r="L24" s="109">
        <v>0</v>
      </c>
      <c r="M24" s="109">
        <v>1</v>
      </c>
      <c r="N24" s="109" t="s">
        <v>232</v>
      </c>
      <c r="O24" s="140" t="s">
        <v>235</v>
      </c>
      <c r="P24" s="140"/>
      <c r="Q24" s="111">
        <v>300000</v>
      </c>
    </row>
    <row r="25" spans="1:20" ht="29.25" customHeight="1" x14ac:dyDescent="0.25">
      <c r="A25" s="110">
        <v>5</v>
      </c>
      <c r="B25" s="109">
        <v>0</v>
      </c>
      <c r="C25" s="109">
        <v>0</v>
      </c>
      <c r="D25" s="109">
        <v>1</v>
      </c>
      <c r="E25" s="109">
        <v>0</v>
      </c>
      <c r="F25" s="109">
        <v>4901</v>
      </c>
      <c r="G25" s="109">
        <v>3</v>
      </c>
      <c r="H25" s="109">
        <v>6</v>
      </c>
      <c r="I25" s="109">
        <v>2</v>
      </c>
      <c r="J25" s="109">
        <v>9</v>
      </c>
      <c r="K25" s="109">
        <v>2</v>
      </c>
      <c r="L25" s="109">
        <v>0</v>
      </c>
      <c r="M25" s="109">
        <v>1</v>
      </c>
      <c r="N25" s="109" t="s">
        <v>232</v>
      </c>
      <c r="O25" s="140" t="s">
        <v>235</v>
      </c>
      <c r="P25" s="140"/>
      <c r="Q25" s="111">
        <f>156260.33-0.43</f>
        <v>156259.9</v>
      </c>
    </row>
    <row r="26" spans="1:20" ht="29.25" customHeight="1" x14ac:dyDescent="0.25">
      <c r="A26" s="110">
        <v>6</v>
      </c>
      <c r="B26" s="109">
        <v>0</v>
      </c>
      <c r="C26" s="109">
        <v>0</v>
      </c>
      <c r="D26" s="109">
        <v>1</v>
      </c>
      <c r="E26" s="109">
        <v>0</v>
      </c>
      <c r="F26" s="109">
        <v>4901</v>
      </c>
      <c r="G26" s="109">
        <v>1</v>
      </c>
      <c r="H26" s="109">
        <v>3</v>
      </c>
      <c r="I26" s="109">
        <v>2</v>
      </c>
      <c r="J26" s="109">
        <v>9</v>
      </c>
      <c r="K26" s="109">
        <v>2</v>
      </c>
      <c r="L26" s="109">
        <v>0</v>
      </c>
      <c r="M26" s="109">
        <v>1</v>
      </c>
      <c r="N26" s="109" t="s">
        <v>232</v>
      </c>
      <c r="O26" s="140" t="s">
        <v>235</v>
      </c>
      <c r="P26" s="140"/>
      <c r="Q26" s="111">
        <v>75000</v>
      </c>
    </row>
    <row r="27" spans="1:20" ht="29.25" customHeight="1" x14ac:dyDescent="0.25">
      <c r="A27" s="110">
        <v>6</v>
      </c>
      <c r="B27" s="109">
        <v>0</v>
      </c>
      <c r="C27" s="109">
        <v>0</v>
      </c>
      <c r="D27" s="109">
        <v>5</v>
      </c>
      <c r="E27" s="109">
        <v>0</v>
      </c>
      <c r="F27" s="109">
        <v>4901</v>
      </c>
      <c r="G27" s="109">
        <v>3</v>
      </c>
      <c r="H27" s="109">
        <v>1</v>
      </c>
      <c r="I27" s="109">
        <v>2</v>
      </c>
      <c r="J27" s="109">
        <v>9</v>
      </c>
      <c r="K27" s="109">
        <v>2</v>
      </c>
      <c r="L27" s="109">
        <v>0</v>
      </c>
      <c r="M27" s="109">
        <v>1</v>
      </c>
      <c r="N27" s="109" t="s">
        <v>232</v>
      </c>
      <c r="O27" s="140" t="s">
        <v>235</v>
      </c>
      <c r="P27" s="140"/>
      <c r="Q27" s="111">
        <v>200000</v>
      </c>
    </row>
    <row r="28" spans="1:20" ht="29.25" customHeight="1" x14ac:dyDescent="0.25">
      <c r="A28" s="110">
        <v>7</v>
      </c>
      <c r="B28" s="109">
        <v>0</v>
      </c>
      <c r="C28" s="109">
        <v>0</v>
      </c>
      <c r="D28" s="109">
        <v>1</v>
      </c>
      <c r="E28" s="109">
        <v>0</v>
      </c>
      <c r="F28" s="109">
        <v>4901</v>
      </c>
      <c r="G28" s="109">
        <v>1</v>
      </c>
      <c r="H28" s="109">
        <v>3</v>
      </c>
      <c r="I28" s="109">
        <v>2</v>
      </c>
      <c r="J28" s="109">
        <v>9</v>
      </c>
      <c r="K28" s="109">
        <v>2</v>
      </c>
      <c r="L28" s="109">
        <v>0</v>
      </c>
      <c r="M28" s="109">
        <v>1</v>
      </c>
      <c r="N28" s="109" t="s">
        <v>232</v>
      </c>
      <c r="O28" s="140" t="s">
        <v>235</v>
      </c>
      <c r="P28" s="140"/>
      <c r="Q28" s="111">
        <v>225000</v>
      </c>
    </row>
    <row r="29" spans="1:20" ht="32.25" customHeight="1" thickBot="1" x14ac:dyDescent="0.3">
      <c r="A29" s="110">
        <v>8</v>
      </c>
      <c r="B29" s="109">
        <v>0</v>
      </c>
      <c r="C29" s="109">
        <v>0</v>
      </c>
      <c r="D29" s="109">
        <v>1</v>
      </c>
      <c r="E29" s="109">
        <v>0</v>
      </c>
      <c r="F29" s="109">
        <v>4901</v>
      </c>
      <c r="G29" s="109">
        <v>3</v>
      </c>
      <c r="H29" s="109">
        <v>6</v>
      </c>
      <c r="I29" s="109">
        <v>2</v>
      </c>
      <c r="J29" s="109">
        <v>9</v>
      </c>
      <c r="K29" s="109">
        <v>2</v>
      </c>
      <c r="L29" s="109">
        <v>0</v>
      </c>
      <c r="M29" s="109">
        <v>1</v>
      </c>
      <c r="N29" s="109" t="s">
        <v>232</v>
      </c>
      <c r="O29" s="140" t="s">
        <v>235</v>
      </c>
      <c r="P29" s="140"/>
      <c r="Q29" s="111">
        <v>12000</v>
      </c>
      <c r="R29" s="114"/>
      <c r="S29" s="112"/>
    </row>
    <row r="30" spans="1:20" ht="15" customHeight="1" thickBot="1" x14ac:dyDescent="0.3">
      <c r="A30" s="147" t="s">
        <v>246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9"/>
      <c r="Q30" s="115">
        <f>SUM(Q15:Q29)</f>
        <v>2040311.9</v>
      </c>
      <c r="R30" s="113"/>
    </row>
    <row r="31" spans="1:20" ht="30" customHeight="1" thickBot="1" x14ac:dyDescent="0.3">
      <c r="A31" s="137" t="s">
        <v>236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9"/>
    </row>
  </sheetData>
  <mergeCells count="35">
    <mergeCell ref="A5:F5"/>
    <mergeCell ref="G5:Q5"/>
    <mergeCell ref="O20:P20"/>
    <mergeCell ref="O17:P17"/>
    <mergeCell ref="O18:P18"/>
    <mergeCell ref="O19:P19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A1:C1"/>
    <mergeCell ref="D1:E1"/>
    <mergeCell ref="P1:Q2"/>
    <mergeCell ref="A4:F4"/>
    <mergeCell ref="G4:Q4"/>
    <mergeCell ref="O13:P14"/>
    <mergeCell ref="Q13:Q14"/>
    <mergeCell ref="O28:P28"/>
    <mergeCell ref="O29:P29"/>
    <mergeCell ref="A30:P30"/>
    <mergeCell ref="A31:Q31"/>
    <mergeCell ref="O16:P16"/>
    <mergeCell ref="O22:P22"/>
    <mergeCell ref="O23:P23"/>
    <mergeCell ref="O24:P24"/>
    <mergeCell ref="O26:P26"/>
    <mergeCell ref="O21:P21"/>
    <mergeCell ref="O25:P25"/>
    <mergeCell ref="O27:P2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Utiles de Escritorio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ELIAS QUINTAR</cp:lastModifiedBy>
  <dcterms:created xsi:type="dcterms:W3CDTF">2022-02-08T12:48:03Z</dcterms:created>
  <dcterms:modified xsi:type="dcterms:W3CDTF">2022-03-09T12:03:51Z</dcterms:modified>
</cp:coreProperties>
</file>