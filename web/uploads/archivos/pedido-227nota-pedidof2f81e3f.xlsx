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7" i="1"/>
  <c r="G46"/>
  <c r="G19"/>
  <c r="G11"/>
  <c r="G12"/>
  <c r="G13"/>
  <c r="G14"/>
  <c r="G15"/>
  <c r="G16"/>
  <c r="G17"/>
  <c r="G18"/>
  <c r="G20"/>
  <c r="G21"/>
  <c r="G22"/>
  <c r="G44"/>
  <c r="G23"/>
  <c r="G24"/>
  <c r="G25"/>
  <c r="G26"/>
  <c r="G27"/>
  <c r="G28"/>
  <c r="G29"/>
  <c r="G30"/>
  <c r="G31"/>
  <c r="G32"/>
  <c r="G45"/>
  <c r="G33"/>
  <c r="G34"/>
  <c r="G35"/>
  <c r="G36"/>
  <c r="G37"/>
  <c r="G38"/>
  <c r="G39"/>
  <c r="G40"/>
  <c r="G41"/>
  <c r="G42"/>
  <c r="G43"/>
  <c r="G10" l="1"/>
  <c r="G48" s="1"/>
  <c r="I13" i="2" l="1"/>
  <c r="J13"/>
  <c r="K13"/>
  <c r="I14"/>
  <c r="J14"/>
  <c r="K14"/>
  <c r="C13"/>
  <c r="C14"/>
  <c r="B13"/>
  <c r="B14"/>
  <c r="K12"/>
  <c r="I12"/>
  <c r="J12"/>
  <c r="C12"/>
  <c r="B12"/>
  <c r="O15" i="3" l="1"/>
  <c r="A19"/>
  <c r="A10"/>
  <c r="J15" i="2" l="1"/>
  <c r="Q15" i="3" l="1"/>
  <c r="Q16" s="1"/>
  <c r="G6" l="1"/>
  <c r="G7"/>
  <c r="D3" i="2"/>
  <c r="G4" i="3" s="1"/>
  <c r="D4" i="2"/>
  <c r="G5" i="3" s="1"/>
  <c r="D1" l="1"/>
</calcChain>
</file>

<file path=xl/sharedStrings.xml><?xml version="1.0" encoding="utf-8"?>
<sst xmlns="http://schemas.openxmlformats.org/spreadsheetml/2006/main" count="193" uniqueCount="149">
  <si>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</si>
  <si>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</si>
  <si>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</si>
  <si>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</si>
  <si>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</si>
  <si>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</si>
  <si>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</si>
  <si>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</si>
  <si>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</si>
  <si>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</si>
  <si>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</si>
  <si>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</si>
  <si>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</si>
  <si>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</si>
  <si>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2.1.1-481.38</t>
  </si>
  <si>
    <t>AZUCARES; TIPO: "A" COMUN, ESTADO: MOLIDA, PESO: 1 Kg, MATERIAL ENVASE: PLASTICO, CERTIFICADO FORESTAL (GFS): SIN, ELEM. TRANSPORTE: SIN, MATERIAL ELEM. TRANSPORTE: SIN</t>
  </si>
  <si>
    <t>UNIDAD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</si>
  <si>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</si>
  <si>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</si>
  <si>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</si>
  <si>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</si>
  <si>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</si>
  <si>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</si>
  <si>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2.1.1-6546.5</t>
  </si>
  <si>
    <t>VERDURAS Y HORTALIZAS; PRESENTACION: BOTELLA, VARIEDAD: TOMATE PERITA, ESTADO: TRITURADO, PESO: 970 GR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</si>
  <si>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</si>
  <si>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</si>
  <si>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2.1.1-2868.78</t>
  </si>
  <si>
    <t>FIDEOS SECOS; LIBRE DE GLUTEN: NO, CERTIFICADO FORESTAL (GFS): SIN, MATERIAL ELEM. TRANSPORTE: SIN, ELEM. TRANSPORTE: SIN, MATERIAL ENVASE: POLIETILENO, PRESENTACION: ENVASE X 500 GR, RELLENO: SIN, VARIEDAD: TALLARIN</t>
  </si>
  <si>
    <t>2.1.1-2868.76</t>
  </si>
  <si>
    <t>FIDEOS SECOS; LIBRE DE GLUTEN: NO, CERTIFICADO FORESTAL (GFS): SIN, MATERIAL ELEM. TRANSPORTE: SIN, ELEM. TRANSPORTE: SIN, MATERIAL ENVASE: POLIETILENO, PRESENTACION: ENVASE X 500 GR, RELLENO: SIN, VARIEDAD: GUISERO</t>
  </si>
  <si>
    <t>2.1.1-2868.77</t>
  </si>
  <si>
    <t>FIDEOS SECOS; LIBRE DE GLUTEN: NO, CERTIFICADO FORESTAL (GFS): SIN, MATERIAL ELEM. TRANSPORTE: SIN, ELEM. TRANSPORTE: SIN, MATERIAL ENVASE: POLIETILENO, PRESENTACION: ENVASE X 500 GR, RELLENO: SIN, VARIEDAD: SOPERO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</si>
  <si>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</si>
  <si>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</si>
  <si>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2.1.1-514.2</t>
  </si>
  <si>
    <t>SAL DE MESA; CONSISTENCIA: FINA, PESO: 500 GR, TIPO: SIN VALOR, ENVASE: PAQUETE</t>
  </si>
  <si>
    <t>2.1.1-514.14</t>
  </si>
  <si>
    <t>SAL DE MESA; ENVASE: BOLSA, PESO: 5 Kg, CONSISTENCIA: GRUESA, TIPO: SIN VALOR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</si>
  <si>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</si>
  <si>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</si>
  <si>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2.1.1-2431.13</t>
  </si>
  <si>
    <t>CALDOS; GUSTO: VERDURA, TIPO: DESHIDRATADO, PRESENTACION: ENVASE X 12 UN</t>
  </si>
  <si>
    <t>2.1.1-511.8</t>
  </si>
  <si>
    <t>TE; SAQUITOS 2G P/CAJA: 50, PESO: SIN VALOR, TIPO: SIN VALOR, PRESENTACION: EN SAQUITOS</t>
  </si>
  <si>
    <t>2.1.1-709.25</t>
  </si>
  <si>
    <t>CAFE; ENVASE: SAQUITO EN CAJA X 20 SOBRE, CONTENIDO: 7 GR, ESTADO: MOLIDO, PROCESO: TORRADO, TIPO: FUERTE, PRESENTACION: 20 X ENVASE X 7 GR</t>
  </si>
  <si>
    <t>2.1.1-6546.269</t>
  </si>
  <si>
    <t>VERDURAS Y HORTALIZAS; VARIEDAD: CHOCLO, ESTADO: GRANO, PRESENTACION: LATA, PESO: 350 GR</t>
  </si>
  <si>
    <t>2.1.1-6547.70</t>
  </si>
  <si>
    <t>LEGUMBRES; VARIEDAD: LENTEJA, ESTADO: SECO, PRESENTACION: BOLSA, PESO: 1 Kg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</si>
  <si>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</si>
  <si>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</si>
  <si>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2.1.1-709.9</t>
  </si>
  <si>
    <t>CAFE; ESTADO: MOLIDO, CONTENIDO: 1000 GR, PROCESO: TOSTADO C/AZUCAR, ENVASE: PAQUETE, TIPO: SIN VALOR, PRESENTACION: ENVASE X 1000 GR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</si>
  <si>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</si>
  <si>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</si>
  <si>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</si>
  <si>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</si>
  <si>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</si>
  <si>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</si>
  <si>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</si>
  <si>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</si>
  <si>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2.1.1-3438.2</t>
  </si>
  <si>
    <t>CEREALES EN COPOS; VARIEDAD: SIN AZUCAR, TIPO: COPOS, PRESENTACION: ENVASE X 400 GR</t>
  </si>
  <si>
    <t>2.1.1-489.163</t>
  </si>
  <si>
    <t>ESPECIAS; TIPO: ADOBO PARA PIZZA, PRESENTACION: ENVASE X 1 Kg</t>
  </si>
  <si>
    <t>2.1.1-489.125</t>
  </si>
  <si>
    <t>ESPECIAS; TIPO: CONDIMENTO P/ARROZ, PRESENTACION: BOLSA X 1 Kg</t>
  </si>
  <si>
    <t>2.1.1-489.119</t>
  </si>
  <si>
    <t>ESPECIAS; TIPO: COMINO, PRESENTACION: BOLSA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</si>
  <si>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</si>
  <si>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</si>
  <si>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</si>
  <si>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</si>
  <si>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</si>
  <si>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</si>
  <si>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2.1.1-489.109</t>
  </si>
  <si>
    <t>ESPECIAS; TIPO: PROVENZAL, PRESENTACION: PAQUETE X 1 Kg</t>
  </si>
  <si>
    <t>2.1.1-708.22</t>
  </si>
  <si>
    <t>CONSERVAS PESCADO Y FRUTOS MAR; ESPECIE: SARDINA, ESTADO: EN ACEITE, PESO: 125 GR, ENVASE: LATA, TIPO: SARDINA</t>
  </si>
  <si>
    <t>2.1.1-509.14</t>
  </si>
  <si>
    <t>PURE; TIPO: TOMATE PERITA, ENVASE: CAJA DE CARTON, PESO: 520 GR, LIBRE DE GLUTEN: NO</t>
  </si>
  <si>
    <t>2.1.1-482.90</t>
  </si>
  <si>
    <t>HARINAS; TIPO: MAIZ, PRESENTACION: ENVASE X 1 KG, MATERIAL ENVASE: SEGÚN PLIEGO, CERTICADO FORESTAL (GFS): SIN, ELEM. TRANSPORTE: SIN, MATERIAL ELEM. TRANSPORTE: SIN, LIBRE DE GLUTEN: NO</t>
  </si>
  <si>
    <t>2.1.1-706.8</t>
  </si>
  <si>
    <t>MATE COCIDO; ENVASE: CAJA CARTON, PRESENTACION: SEGÚN PLIEGO, SAQUITOS P/CAJA: 100 UN, PESO X SAQ.: 3 GR</t>
  </si>
  <si>
    <t>2.1.1-2615.16</t>
  </si>
  <si>
    <t>CACAO; TIPO: AMARGO, PRESENTACION: ENVASE X 1 Kg, FORMA DE PRESENTACION: POLVO, MATERIAL ENVASE: POLIETILENO, CERTICADO FORESTAL (GFS): CON, LIBRE DE GLUTEN: SI</t>
  </si>
  <si>
    <t>2.1.1-489.68</t>
  </si>
  <si>
    <t>ESPECIAS; PRESENTACION: BOLSA DE 1 Kg, TIPO: AJI MOLIDO</t>
  </si>
  <si>
    <t>Especificidades:</t>
  </si>
  <si>
    <t>DESCRIPCION ITEM 35: ENVASE  BOLSA</t>
  </si>
  <si>
    <t>DESCRIPCION ITEM 36: PRESENTACION SAQUITOS</t>
  </si>
  <si>
    <t>ITEM 1 AL 38 : Se requieren las siguientes consideraciones en los alimentos no perecederos: 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</si>
  <si>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</si>
  <si>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Las entregas se realizarán a requerimiento de acuerdo, a las Solicitudes de Provisión que se realicen. Se estima emitir una cantidad aproximada de 2 (Dos) Solicitudes de Provisión de 1/2 aprox. de la cantidad solicitada, en un plazo de 2 (Dos) meses: 1° Solic.de Provisión: aprox.a los 2 (Dos) dias hábiles de la firma del instrumento contractual, 2° Solic.de Provisión: al mes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</si>
  <si>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</si>
  <si>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>Que cumpla con lo solicitado en forma íntegra. Presentar muestras para los ítems 1 al 38, en su envase original, en el cual se pueda observar de forma clara la marca del mismo y sus características. La recepción de las muestras se realizará en el Departamento Logística (D-4) de la Policía de Catamarca, hasta el  momentos de la apertura, sito en Ruta Provincial N° 33-sumalao-Valle Viejo. Provincia de Catamarca. Las muestras deben estar debidamente rotuladas por ítems e identificando claramente el oferente cotizante. No se aceptan muestras distinto a lo cotizado.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</si>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</sst>
</file>

<file path=xl/styles.xml><?xml version="1.0" encoding="utf-8"?>
<styleSheet xmlns="http://schemas.openxmlformats.org/spreadsheetml/2006/main">
  <numFmts count="8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3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4" fillId="0" borderId="0"/>
  </cellStyleXfs>
  <cellXfs count="162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0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6" fontId="5" fillId="3" borderId="33" xfId="3" applyNumberFormat="1" applyFont="1" applyFill="1" applyBorder="1" applyAlignment="1" applyProtection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69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69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6" fontId="5" fillId="3" borderId="42" xfId="1" applyNumberFormat="1" applyFont="1" applyFill="1" applyBorder="1" applyAlignment="1" applyProtection="1">
      <alignment horizontal="right" vertical="center" wrapText="1"/>
    </xf>
    <xf numFmtId="4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69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69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22" fillId="0" borderId="53" xfId="0" applyFont="1" applyBorder="1" applyAlignment="1">
      <alignment wrapText="1"/>
    </xf>
    <xf numFmtId="0" fontId="9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2" fillId="3" borderId="38" xfId="0" applyFont="1" applyFill="1" applyBorder="1" applyAlignment="1">
      <alignment horizontal="left" vertical="center" wrapText="1" indent="1"/>
    </xf>
    <xf numFmtId="167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0" fontId="16" fillId="3" borderId="11" xfId="0" applyFont="1" applyFill="1" applyBorder="1" applyAlignment="1">
      <alignment horizontal="left" inden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0" fillId="3" borderId="11" xfId="0" applyFont="1" applyFill="1" applyBorder="1" applyAlignment="1">
      <alignment horizontal="left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22" fillId="0" borderId="0" xfId="0" applyFont="1" applyAlignment="1">
      <alignment wrapText="1"/>
    </xf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69"/>
  <sheetViews>
    <sheetView tabSelected="1" topLeftCell="A52" zoomScale="70" zoomScaleNormal="70" workbookViewId="0">
      <selection activeCell="C13" sqref="C13"/>
    </sheetView>
  </sheetViews>
  <sheetFormatPr baseColWidth="10" defaultColWidth="11.42578125" defaultRowHeight="13.5"/>
  <cols>
    <col min="1" max="1" width="4.5703125" style="1" customWidth="1"/>
    <col min="2" max="2" width="17.140625" style="1" customWidth="1"/>
    <col min="3" max="3" width="90.7109375" style="1" customWidth="1"/>
    <col min="4" max="4" width="14.7109375" style="1" customWidth="1"/>
    <col min="5" max="5" width="15.85546875" style="1" customWidth="1"/>
    <col min="6" max="6" width="16.140625" style="1" customWidth="1"/>
    <col min="7" max="7" width="16.42578125" style="1" customWidth="1"/>
    <col min="8" max="8" width="13.85546875" style="1" customWidth="1"/>
    <col min="9" max="9" width="18.5703125" style="1" customWidth="1"/>
  </cols>
  <sheetData>
    <row r="2" spans="1:9" ht="28.5">
      <c r="B2" s="107" t="s">
        <v>0</v>
      </c>
      <c r="C2" s="107"/>
      <c r="D2" s="107"/>
      <c r="E2" s="107"/>
      <c r="F2" s="107"/>
      <c r="G2" s="107"/>
      <c r="H2" s="107"/>
    </row>
    <row r="4" spans="1:9" ht="15.75">
      <c r="A4" s="106" t="s">
        <v>1</v>
      </c>
      <c r="B4" s="106"/>
      <c r="C4" s="108" t="s">
        <v>2</v>
      </c>
      <c r="D4" s="108"/>
      <c r="E4" s="108"/>
      <c r="F4" s="2"/>
      <c r="G4" s="5"/>
      <c r="H4" s="2"/>
    </row>
    <row r="5" spans="1:9" ht="15.75">
      <c r="A5" s="106" t="s">
        <v>3</v>
      </c>
      <c r="B5" s="106"/>
      <c r="C5" s="108" t="s">
        <v>4</v>
      </c>
      <c r="D5" s="108"/>
      <c r="E5" s="108"/>
      <c r="F5" s="2"/>
      <c r="G5" s="5"/>
      <c r="H5" s="2"/>
    </row>
    <row r="6" spans="1:9" ht="15.75">
      <c r="A6" s="106" t="s">
        <v>5</v>
      </c>
      <c r="B6" s="106"/>
      <c r="C6" s="6">
        <v>2022</v>
      </c>
      <c r="D6" s="7"/>
      <c r="E6" s="7"/>
      <c r="F6" s="2"/>
      <c r="G6" s="5"/>
      <c r="H6" s="2"/>
    </row>
    <row r="7" spans="1:9" ht="15.75">
      <c r="A7" s="106" t="s">
        <v>6</v>
      </c>
      <c r="B7" s="106"/>
      <c r="C7" s="6">
        <v>2</v>
      </c>
      <c r="D7" s="7"/>
      <c r="E7" s="7"/>
      <c r="F7" s="2"/>
      <c r="G7" s="5"/>
      <c r="H7" s="2"/>
    </row>
    <row r="8" spans="1:9" ht="14.25" thickBot="1">
      <c r="B8" s="2"/>
      <c r="C8" s="5"/>
      <c r="D8" s="2"/>
      <c r="E8" s="2"/>
      <c r="F8" s="2"/>
      <c r="G8" s="5"/>
      <c r="H8" s="2"/>
    </row>
    <row r="9" spans="1:9" ht="39" thickBot="1">
      <c r="A9" s="73" t="s">
        <v>7</v>
      </c>
      <c r="B9" s="60" t="s">
        <v>8</v>
      </c>
      <c r="C9" s="72" t="s">
        <v>9</v>
      </c>
      <c r="D9" s="72" t="s">
        <v>10</v>
      </c>
      <c r="E9" s="72" t="s">
        <v>11</v>
      </c>
      <c r="F9" s="72" t="s">
        <v>12</v>
      </c>
      <c r="G9" s="71" t="s">
        <v>13</v>
      </c>
      <c r="H9"/>
      <c r="I9"/>
    </row>
    <row r="10" spans="1:9" ht="44.25" customHeight="1">
      <c r="A10" s="70">
        <v>1</v>
      </c>
      <c r="B10" s="69" t="s">
        <v>14</v>
      </c>
      <c r="C10" s="68" t="s">
        <v>15</v>
      </c>
      <c r="D10" s="67" t="s">
        <v>16</v>
      </c>
      <c r="E10" s="66">
        <v>2000</v>
      </c>
      <c r="F10" s="65">
        <v>120</v>
      </c>
      <c r="G10" s="64">
        <f>(E10*F10)</f>
        <v>240000</v>
      </c>
      <c r="H10"/>
      <c r="I10"/>
    </row>
    <row r="11" spans="1:9" ht="33.75" customHeight="1">
      <c r="A11" s="70">
        <v>2</v>
      </c>
      <c r="B11" s="69" t="s">
        <v>17</v>
      </c>
      <c r="C11" s="68" t="s">
        <v>18</v>
      </c>
      <c r="D11" s="67" t="s">
        <v>16</v>
      </c>
      <c r="E11" s="66">
        <v>900</v>
      </c>
      <c r="F11" s="65">
        <v>480</v>
      </c>
      <c r="G11" s="64">
        <f t="shared" ref="G11:G43" si="0">(E11*F11)</f>
        <v>432000</v>
      </c>
      <c r="H11"/>
      <c r="I11"/>
    </row>
    <row r="12" spans="1:9" ht="48" customHeight="1">
      <c r="A12" s="70">
        <v>3</v>
      </c>
      <c r="B12" s="69" t="s">
        <v>19</v>
      </c>
      <c r="C12" s="68" t="s">
        <v>20</v>
      </c>
      <c r="D12" s="67" t="s">
        <v>16</v>
      </c>
      <c r="E12" s="66">
        <v>600</v>
      </c>
      <c r="F12" s="65">
        <v>395</v>
      </c>
      <c r="G12" s="64">
        <f t="shared" si="0"/>
        <v>237000</v>
      </c>
      <c r="H12"/>
      <c r="I12"/>
    </row>
    <row r="13" spans="1:9" ht="33.75" customHeight="1">
      <c r="A13" s="70">
        <v>4</v>
      </c>
      <c r="B13" s="69" t="s">
        <v>21</v>
      </c>
      <c r="C13" s="68" t="s">
        <v>22</v>
      </c>
      <c r="D13" s="67" t="s">
        <v>16</v>
      </c>
      <c r="E13" s="66">
        <v>800</v>
      </c>
      <c r="F13" s="65">
        <v>520</v>
      </c>
      <c r="G13" s="64">
        <f t="shared" si="0"/>
        <v>416000</v>
      </c>
      <c r="H13"/>
      <c r="I13"/>
    </row>
    <row r="14" spans="1:9" ht="30">
      <c r="A14" s="70">
        <v>5</v>
      </c>
      <c r="B14" s="69" t="s">
        <v>23</v>
      </c>
      <c r="C14" s="68" t="s">
        <v>24</v>
      </c>
      <c r="D14" s="67" t="s">
        <v>16</v>
      </c>
      <c r="E14" s="66">
        <v>500</v>
      </c>
      <c r="F14" s="65">
        <v>230</v>
      </c>
      <c r="G14" s="64">
        <f t="shared" si="0"/>
        <v>115000</v>
      </c>
      <c r="H14"/>
      <c r="I14"/>
    </row>
    <row r="15" spans="1:9" ht="45">
      <c r="A15" s="70">
        <v>6</v>
      </c>
      <c r="B15" s="69" t="s">
        <v>25</v>
      </c>
      <c r="C15" s="68" t="s">
        <v>26</v>
      </c>
      <c r="D15" s="67" t="s">
        <v>16</v>
      </c>
      <c r="E15" s="66">
        <v>500</v>
      </c>
      <c r="F15" s="65">
        <v>75</v>
      </c>
      <c r="G15" s="64">
        <f t="shared" si="0"/>
        <v>37500</v>
      </c>
      <c r="H15"/>
      <c r="I15"/>
    </row>
    <row r="16" spans="1:9" ht="47.25" customHeight="1">
      <c r="A16" s="70">
        <v>7</v>
      </c>
      <c r="B16" s="69" t="s">
        <v>27</v>
      </c>
      <c r="C16" s="68" t="s">
        <v>28</v>
      </c>
      <c r="D16" s="67" t="s">
        <v>16</v>
      </c>
      <c r="E16" s="66">
        <v>800</v>
      </c>
      <c r="F16" s="65">
        <v>90</v>
      </c>
      <c r="G16" s="64">
        <f t="shared" si="0"/>
        <v>72000</v>
      </c>
      <c r="H16"/>
      <c r="I16"/>
    </row>
    <row r="17" spans="1:9" ht="45">
      <c r="A17" s="70">
        <v>8</v>
      </c>
      <c r="B17" s="69" t="s">
        <v>29</v>
      </c>
      <c r="C17" s="68" t="s">
        <v>30</v>
      </c>
      <c r="D17" s="67" t="s">
        <v>16</v>
      </c>
      <c r="E17" s="66">
        <v>800</v>
      </c>
      <c r="F17" s="65">
        <v>90</v>
      </c>
      <c r="G17" s="64">
        <f t="shared" si="0"/>
        <v>72000</v>
      </c>
      <c r="H17"/>
      <c r="I17"/>
    </row>
    <row r="18" spans="1:9" ht="45">
      <c r="A18" s="70">
        <v>9</v>
      </c>
      <c r="B18" s="69" t="s">
        <v>31</v>
      </c>
      <c r="C18" s="68" t="s">
        <v>32</v>
      </c>
      <c r="D18" s="67" t="s">
        <v>16</v>
      </c>
      <c r="E18" s="66">
        <v>800</v>
      </c>
      <c r="F18" s="65">
        <v>90</v>
      </c>
      <c r="G18" s="64">
        <f t="shared" si="0"/>
        <v>72000</v>
      </c>
      <c r="H18"/>
      <c r="I18"/>
    </row>
    <row r="19" spans="1:9" ht="45">
      <c r="A19" s="70">
        <v>10</v>
      </c>
      <c r="B19" s="69" t="s">
        <v>33</v>
      </c>
      <c r="C19" s="68" t="s">
        <v>34</v>
      </c>
      <c r="D19" s="67" t="s">
        <v>16</v>
      </c>
      <c r="E19" s="66">
        <v>2000</v>
      </c>
      <c r="F19" s="65">
        <v>120</v>
      </c>
      <c r="G19" s="64">
        <f>(E19*F19)</f>
        <v>240000</v>
      </c>
      <c r="H19"/>
      <c r="I19"/>
    </row>
    <row r="20" spans="1:9" ht="15">
      <c r="A20" s="70">
        <v>11</v>
      </c>
      <c r="B20" s="69" t="s">
        <v>35</v>
      </c>
      <c r="C20" s="68" t="s">
        <v>36</v>
      </c>
      <c r="D20" s="67" t="s">
        <v>16</v>
      </c>
      <c r="E20" s="66">
        <v>300</v>
      </c>
      <c r="F20" s="65">
        <v>50</v>
      </c>
      <c r="G20" s="64">
        <f t="shared" si="0"/>
        <v>15000</v>
      </c>
      <c r="H20"/>
      <c r="I20"/>
    </row>
    <row r="21" spans="1:9" ht="15">
      <c r="A21" s="70">
        <v>12</v>
      </c>
      <c r="B21" s="69" t="s">
        <v>37</v>
      </c>
      <c r="C21" s="84" t="s">
        <v>38</v>
      </c>
      <c r="D21" s="67" t="s">
        <v>16</v>
      </c>
      <c r="E21" s="66">
        <v>300</v>
      </c>
      <c r="F21" s="65">
        <v>500</v>
      </c>
      <c r="G21" s="64">
        <f t="shared" si="0"/>
        <v>150000</v>
      </c>
      <c r="H21"/>
      <c r="I21"/>
    </row>
    <row r="22" spans="1:9" ht="45">
      <c r="A22" s="70">
        <v>13</v>
      </c>
      <c r="B22" s="69" t="s">
        <v>39</v>
      </c>
      <c r="C22" s="84" t="s">
        <v>40</v>
      </c>
      <c r="D22" s="67" t="s">
        <v>16</v>
      </c>
      <c r="E22" s="66">
        <v>600</v>
      </c>
      <c r="F22" s="65">
        <v>200</v>
      </c>
      <c r="G22" s="64">
        <f t="shared" si="0"/>
        <v>120000</v>
      </c>
      <c r="H22"/>
      <c r="I22"/>
    </row>
    <row r="23" spans="1:9" ht="15">
      <c r="A23" s="70">
        <v>14</v>
      </c>
      <c r="B23" s="69" t="s">
        <v>41</v>
      </c>
      <c r="C23" s="84" t="s">
        <v>42</v>
      </c>
      <c r="D23" s="67" t="s">
        <v>16</v>
      </c>
      <c r="E23" s="66">
        <v>200</v>
      </c>
      <c r="F23" s="65">
        <v>180</v>
      </c>
      <c r="G23" s="64">
        <f t="shared" si="0"/>
        <v>36000</v>
      </c>
      <c r="H23"/>
      <c r="I23"/>
    </row>
    <row r="24" spans="1:9" ht="15">
      <c r="A24" s="70">
        <v>15</v>
      </c>
      <c r="B24" s="69" t="s">
        <v>43</v>
      </c>
      <c r="C24" s="84" t="s">
        <v>44</v>
      </c>
      <c r="D24" s="67" t="s">
        <v>16</v>
      </c>
      <c r="E24" s="66">
        <v>200</v>
      </c>
      <c r="F24" s="65">
        <v>150</v>
      </c>
      <c r="G24" s="64">
        <f t="shared" si="0"/>
        <v>30000</v>
      </c>
      <c r="H24"/>
      <c r="I24"/>
    </row>
    <row r="25" spans="1:9" ht="30">
      <c r="A25" s="70">
        <v>16</v>
      </c>
      <c r="B25" s="69" t="s">
        <v>45</v>
      </c>
      <c r="C25" s="84" t="s">
        <v>46</v>
      </c>
      <c r="D25" s="67" t="s">
        <v>16</v>
      </c>
      <c r="E25" s="66">
        <v>300</v>
      </c>
      <c r="F25" s="65">
        <v>620</v>
      </c>
      <c r="G25" s="64">
        <f t="shared" si="0"/>
        <v>186000</v>
      </c>
      <c r="H25"/>
      <c r="I25"/>
    </row>
    <row r="26" spans="1:9" ht="16.5" customHeight="1">
      <c r="A26" s="70">
        <v>17</v>
      </c>
      <c r="B26" s="69" t="s">
        <v>47</v>
      </c>
      <c r="C26" s="84" t="s">
        <v>48</v>
      </c>
      <c r="D26" s="67" t="s">
        <v>16</v>
      </c>
      <c r="E26" s="66">
        <v>800</v>
      </c>
      <c r="F26" s="65">
        <v>130</v>
      </c>
      <c r="G26" s="64">
        <f t="shared" si="0"/>
        <v>104000</v>
      </c>
      <c r="H26"/>
      <c r="I26"/>
    </row>
    <row r="27" spans="1:9" ht="15">
      <c r="A27" s="70">
        <v>18</v>
      </c>
      <c r="B27" s="69" t="s">
        <v>49</v>
      </c>
      <c r="C27" s="161" t="s">
        <v>50</v>
      </c>
      <c r="D27" s="67" t="s">
        <v>16</v>
      </c>
      <c r="E27" s="66">
        <v>500</v>
      </c>
      <c r="F27" s="65">
        <v>230</v>
      </c>
      <c r="G27" s="64">
        <f t="shared" si="0"/>
        <v>115000</v>
      </c>
      <c r="H27"/>
      <c r="I27"/>
    </row>
    <row r="28" spans="1:9" ht="45">
      <c r="A28" s="70">
        <v>19</v>
      </c>
      <c r="B28" s="69" t="s">
        <v>51</v>
      </c>
      <c r="C28" s="84" t="s">
        <v>52</v>
      </c>
      <c r="D28" s="67" t="s">
        <v>16</v>
      </c>
      <c r="E28" s="66">
        <v>500</v>
      </c>
      <c r="F28" s="65">
        <v>780</v>
      </c>
      <c r="G28" s="64">
        <f t="shared" si="0"/>
        <v>390000</v>
      </c>
      <c r="H28"/>
      <c r="I28"/>
    </row>
    <row r="29" spans="1:9" ht="30">
      <c r="A29" s="70">
        <v>20</v>
      </c>
      <c r="B29" s="69" t="s">
        <v>53</v>
      </c>
      <c r="C29" s="84" t="s">
        <v>54</v>
      </c>
      <c r="D29" s="67" t="s">
        <v>16</v>
      </c>
      <c r="E29" s="66">
        <v>300</v>
      </c>
      <c r="F29" s="65">
        <v>2490</v>
      </c>
      <c r="G29" s="64">
        <f t="shared" si="0"/>
        <v>747000</v>
      </c>
      <c r="H29"/>
      <c r="I29"/>
    </row>
    <row r="30" spans="1:9" ht="15">
      <c r="A30" s="70">
        <v>21</v>
      </c>
      <c r="B30" s="69" t="s">
        <v>55</v>
      </c>
      <c r="C30" s="84" t="s">
        <v>56</v>
      </c>
      <c r="D30" s="67" t="s">
        <v>16</v>
      </c>
      <c r="E30" s="66">
        <v>600</v>
      </c>
      <c r="F30" s="65">
        <v>110</v>
      </c>
      <c r="G30" s="64">
        <f t="shared" si="0"/>
        <v>66000</v>
      </c>
      <c r="H30"/>
      <c r="I30"/>
    </row>
    <row r="31" spans="1:9" ht="47.25" customHeight="1">
      <c r="A31" s="70">
        <v>22</v>
      </c>
      <c r="B31" s="69" t="s">
        <v>57</v>
      </c>
      <c r="C31" s="84" t="s">
        <v>58</v>
      </c>
      <c r="D31" s="67" t="s">
        <v>16</v>
      </c>
      <c r="E31" s="66">
        <v>300</v>
      </c>
      <c r="F31" s="65">
        <v>150</v>
      </c>
      <c r="G31" s="64">
        <f t="shared" si="0"/>
        <v>45000</v>
      </c>
      <c r="H31"/>
      <c r="I31"/>
    </row>
    <row r="32" spans="1:9" ht="33.75" customHeight="1">
      <c r="A32" s="70">
        <v>23</v>
      </c>
      <c r="B32" s="69" t="s">
        <v>59</v>
      </c>
      <c r="C32" s="84" t="s">
        <v>60</v>
      </c>
      <c r="D32" s="67" t="s">
        <v>16</v>
      </c>
      <c r="E32" s="66">
        <v>700</v>
      </c>
      <c r="F32" s="65">
        <v>172</v>
      </c>
      <c r="G32" s="64">
        <f t="shared" si="0"/>
        <v>120400</v>
      </c>
      <c r="H32"/>
      <c r="I32"/>
    </row>
    <row r="33" spans="1:9" ht="30.75" customHeight="1">
      <c r="A33" s="70">
        <v>24</v>
      </c>
      <c r="B33" s="69" t="s">
        <v>61</v>
      </c>
      <c r="C33" s="84" t="s">
        <v>62</v>
      </c>
      <c r="D33" s="67" t="s">
        <v>16</v>
      </c>
      <c r="E33" s="66">
        <v>500</v>
      </c>
      <c r="F33" s="65">
        <v>190</v>
      </c>
      <c r="G33" s="64">
        <f t="shared" si="0"/>
        <v>95000</v>
      </c>
      <c r="H33"/>
      <c r="I33"/>
    </row>
    <row r="34" spans="1:9" ht="39" customHeight="1">
      <c r="A34" s="70">
        <v>25</v>
      </c>
      <c r="B34" s="69" t="s">
        <v>63</v>
      </c>
      <c r="C34" s="84" t="s">
        <v>64</v>
      </c>
      <c r="D34" s="67" t="s">
        <v>16</v>
      </c>
      <c r="E34" s="66">
        <v>500</v>
      </c>
      <c r="F34" s="65">
        <v>535</v>
      </c>
      <c r="G34" s="64">
        <f t="shared" si="0"/>
        <v>267500</v>
      </c>
      <c r="H34"/>
      <c r="I34"/>
    </row>
    <row r="35" spans="1:9" ht="15">
      <c r="A35" s="70">
        <v>26</v>
      </c>
      <c r="B35" s="69" t="s">
        <v>65</v>
      </c>
      <c r="C35" s="84" t="s">
        <v>66</v>
      </c>
      <c r="D35" s="67" t="s">
        <v>16</v>
      </c>
      <c r="E35" s="66">
        <v>50</v>
      </c>
      <c r="F35" s="65">
        <v>900</v>
      </c>
      <c r="G35" s="64">
        <f t="shared" si="0"/>
        <v>45000</v>
      </c>
      <c r="H35"/>
      <c r="I35"/>
    </row>
    <row r="36" spans="1:9" ht="15">
      <c r="A36" s="70">
        <v>27</v>
      </c>
      <c r="B36" s="69" t="s">
        <v>67</v>
      </c>
      <c r="C36" s="84" t="s">
        <v>68</v>
      </c>
      <c r="D36" s="67" t="s">
        <v>16</v>
      </c>
      <c r="E36" s="66">
        <v>50</v>
      </c>
      <c r="F36" s="65">
        <v>900</v>
      </c>
      <c r="G36" s="64">
        <f t="shared" si="0"/>
        <v>45000</v>
      </c>
      <c r="H36"/>
      <c r="I36"/>
    </row>
    <row r="37" spans="1:9" ht="18.75" customHeight="1">
      <c r="A37" s="70">
        <v>28</v>
      </c>
      <c r="B37" s="69" t="s">
        <v>69</v>
      </c>
      <c r="C37" s="84" t="s">
        <v>70</v>
      </c>
      <c r="D37" s="67" t="s">
        <v>16</v>
      </c>
      <c r="E37" s="66">
        <v>80</v>
      </c>
      <c r="F37" s="65">
        <v>900</v>
      </c>
      <c r="G37" s="64">
        <f t="shared" si="0"/>
        <v>72000</v>
      </c>
      <c r="H37"/>
      <c r="I37"/>
    </row>
    <row r="38" spans="1:9" ht="18.75" customHeight="1">
      <c r="A38" s="70">
        <v>29</v>
      </c>
      <c r="B38" s="69" t="s">
        <v>71</v>
      </c>
      <c r="C38" s="84" t="s">
        <v>72</v>
      </c>
      <c r="D38" s="67" t="s">
        <v>16</v>
      </c>
      <c r="E38" s="66">
        <v>80</v>
      </c>
      <c r="F38" s="65">
        <v>900</v>
      </c>
      <c r="G38" s="64">
        <f t="shared" si="0"/>
        <v>72000</v>
      </c>
      <c r="H38"/>
      <c r="I38"/>
    </row>
    <row r="39" spans="1:9" ht="18.75" customHeight="1">
      <c r="A39" s="70">
        <v>30</v>
      </c>
      <c r="B39" s="69" t="s">
        <v>73</v>
      </c>
      <c r="C39" s="84" t="s">
        <v>74</v>
      </c>
      <c r="D39" s="67" t="s">
        <v>16</v>
      </c>
      <c r="E39" s="66">
        <v>80</v>
      </c>
      <c r="F39" s="65">
        <v>900</v>
      </c>
      <c r="G39" s="64">
        <f t="shared" si="0"/>
        <v>72000</v>
      </c>
      <c r="H39"/>
      <c r="I39"/>
    </row>
    <row r="40" spans="1:9" ht="18.75" customHeight="1">
      <c r="A40" s="70">
        <v>31</v>
      </c>
      <c r="B40" s="69" t="s">
        <v>75</v>
      </c>
      <c r="C40" s="84" t="s">
        <v>76</v>
      </c>
      <c r="D40" s="67" t="s">
        <v>16</v>
      </c>
      <c r="E40" s="66">
        <v>80</v>
      </c>
      <c r="F40" s="65">
        <v>900</v>
      </c>
      <c r="G40" s="64">
        <f t="shared" si="0"/>
        <v>72000</v>
      </c>
      <c r="H40"/>
      <c r="I40"/>
    </row>
    <row r="41" spans="1:9" ht="15">
      <c r="A41" s="70">
        <v>32</v>
      </c>
      <c r="B41" s="69" t="s">
        <v>77</v>
      </c>
      <c r="C41" s="84" t="s">
        <v>78</v>
      </c>
      <c r="D41" s="67" t="s">
        <v>16</v>
      </c>
      <c r="E41" s="66">
        <v>80</v>
      </c>
      <c r="F41" s="65">
        <v>900</v>
      </c>
      <c r="G41" s="64">
        <f t="shared" si="0"/>
        <v>72000</v>
      </c>
      <c r="H41"/>
      <c r="I41"/>
    </row>
    <row r="42" spans="1:9" ht="19.5" customHeight="1">
      <c r="A42" s="70">
        <v>33</v>
      </c>
      <c r="B42" s="69" t="s">
        <v>79</v>
      </c>
      <c r="C42" s="84" t="s">
        <v>80</v>
      </c>
      <c r="D42" s="67" t="s">
        <v>16</v>
      </c>
      <c r="E42" s="66">
        <v>300</v>
      </c>
      <c r="F42" s="65">
        <v>200</v>
      </c>
      <c r="G42" s="64">
        <f t="shared" si="0"/>
        <v>60000</v>
      </c>
      <c r="H42"/>
      <c r="I42"/>
    </row>
    <row r="43" spans="1:9" ht="15">
      <c r="A43" s="70">
        <v>34</v>
      </c>
      <c r="B43" s="69" t="s">
        <v>81</v>
      </c>
      <c r="C43" s="84" t="s">
        <v>82</v>
      </c>
      <c r="D43" s="67" t="s">
        <v>16</v>
      </c>
      <c r="E43" s="66">
        <v>1000</v>
      </c>
      <c r="F43" s="65">
        <v>80</v>
      </c>
      <c r="G43" s="64">
        <f t="shared" si="0"/>
        <v>80000</v>
      </c>
      <c r="H43"/>
      <c r="I43"/>
    </row>
    <row r="44" spans="1:9" ht="45">
      <c r="A44" s="70">
        <v>35</v>
      </c>
      <c r="B44" s="69" t="s">
        <v>83</v>
      </c>
      <c r="C44" s="84" t="s">
        <v>84</v>
      </c>
      <c r="D44" s="67" t="s">
        <v>16</v>
      </c>
      <c r="E44" s="66">
        <v>300</v>
      </c>
      <c r="F44" s="65">
        <v>180</v>
      </c>
      <c r="G44" s="64">
        <f>(E44*F44)</f>
        <v>54000</v>
      </c>
      <c r="H44"/>
      <c r="I44"/>
    </row>
    <row r="45" spans="1:9" ht="30">
      <c r="A45" s="70">
        <v>36</v>
      </c>
      <c r="B45" s="69" t="s">
        <v>85</v>
      </c>
      <c r="C45" s="84" t="s">
        <v>86</v>
      </c>
      <c r="D45" s="67" t="s">
        <v>16</v>
      </c>
      <c r="E45" s="66">
        <v>300</v>
      </c>
      <c r="F45" s="65">
        <v>300</v>
      </c>
      <c r="G45" s="64">
        <f>(E45*F45)</f>
        <v>90000</v>
      </c>
      <c r="H45"/>
      <c r="I45"/>
    </row>
    <row r="46" spans="1:9" ht="30">
      <c r="A46" s="70">
        <v>37</v>
      </c>
      <c r="B46" s="69" t="s">
        <v>87</v>
      </c>
      <c r="C46" s="84" t="s">
        <v>88</v>
      </c>
      <c r="D46" s="67" t="s">
        <v>16</v>
      </c>
      <c r="E46" s="66">
        <v>600</v>
      </c>
      <c r="F46" s="65">
        <v>970</v>
      </c>
      <c r="G46" s="64">
        <f>(E46*F46)</f>
        <v>582000</v>
      </c>
      <c r="H46"/>
      <c r="I46"/>
    </row>
    <row r="47" spans="1:9" ht="15">
      <c r="A47" s="70">
        <v>38</v>
      </c>
      <c r="B47" s="69" t="s">
        <v>89</v>
      </c>
      <c r="C47" s="84" t="s">
        <v>90</v>
      </c>
      <c r="D47" s="67" t="s">
        <v>16</v>
      </c>
      <c r="E47" s="66">
        <v>50</v>
      </c>
      <c r="F47" s="65">
        <v>900</v>
      </c>
      <c r="G47" s="64">
        <f t="shared" ref="G47" si="1">(E47*F47)</f>
        <v>45000</v>
      </c>
      <c r="H47"/>
      <c r="I47"/>
    </row>
    <row r="48" spans="1:9" ht="15" thickBot="1">
      <c r="B48" s="61"/>
      <c r="G48" s="8">
        <f>SUM(G10:G47)</f>
        <v>5781400</v>
      </c>
      <c r="H48"/>
      <c r="I48"/>
    </row>
    <row r="49" spans="1:9">
      <c r="B49" s="39" t="s">
        <v>91</v>
      </c>
      <c r="C49" s="40"/>
      <c r="D49" s="40"/>
      <c r="E49" s="41"/>
    </row>
    <row r="50" spans="1:9" ht="27" customHeight="1">
      <c r="B50" s="85"/>
      <c r="C50" s="102" t="s">
        <v>92</v>
      </c>
      <c r="D50" s="102"/>
      <c r="E50" s="103"/>
    </row>
    <row r="51" spans="1:9" ht="26.25" customHeight="1" thickBot="1">
      <c r="B51" s="85"/>
      <c r="C51" s="104" t="s">
        <v>93</v>
      </c>
      <c r="D51" s="104"/>
      <c r="E51" s="105"/>
    </row>
    <row r="52" spans="1:9" ht="13.5" customHeight="1">
      <c r="B52" s="39"/>
      <c r="C52" s="100" t="s">
        <v>94</v>
      </c>
      <c r="D52" s="100"/>
      <c r="E52" s="101"/>
    </row>
    <row r="53" spans="1:9" s="1" customFormat="1" ht="103.5" customHeight="1">
      <c r="A53" s="74"/>
      <c r="B53" s="75"/>
      <c r="C53" s="96"/>
      <c r="D53" s="96"/>
      <c r="E53" s="97"/>
      <c r="F53" s="74"/>
      <c r="G53" s="74"/>
      <c r="H53" s="74"/>
      <c r="I53" s="76"/>
    </row>
    <row r="54" spans="1:9" s="1" customFormat="1" ht="10.5" customHeight="1">
      <c r="A54" s="74"/>
      <c r="B54" s="75"/>
      <c r="C54" s="94"/>
      <c r="D54" s="94"/>
      <c r="E54" s="95"/>
      <c r="F54" s="74"/>
      <c r="G54" s="74"/>
      <c r="H54" s="74"/>
      <c r="I54" s="76"/>
    </row>
    <row r="55" spans="1:9" s="83" customFormat="1" ht="25.5" customHeight="1" thickBot="1">
      <c r="A55" s="77"/>
      <c r="B55" s="78"/>
      <c r="C55" s="79"/>
      <c r="D55" s="80"/>
      <c r="E55" s="81"/>
      <c r="F55" s="77"/>
      <c r="G55" s="77"/>
      <c r="H55" s="77"/>
      <c r="I55" s="82"/>
    </row>
    <row r="56" spans="1:9" ht="14.25" thickBot="1">
      <c r="B56" s="63"/>
      <c r="C56" s="92"/>
      <c r="D56" s="92"/>
      <c r="E56" s="93"/>
    </row>
    <row r="57" spans="1:9" ht="14.25" thickBot="1">
      <c r="B57" s="44"/>
      <c r="C57" s="87"/>
      <c r="D57" s="87"/>
      <c r="E57" s="87"/>
    </row>
    <row r="58" spans="1:9">
      <c r="B58" s="45" t="s">
        <v>95</v>
      </c>
      <c r="C58" s="46"/>
      <c r="D58" s="40"/>
      <c r="E58" s="47"/>
    </row>
    <row r="59" spans="1:9" ht="145.5" customHeight="1">
      <c r="B59" s="48"/>
      <c r="C59" s="96" t="s">
        <v>96</v>
      </c>
      <c r="D59" s="96"/>
      <c r="E59" s="97"/>
    </row>
    <row r="60" spans="1:9">
      <c r="B60" s="48"/>
      <c r="C60" s="98"/>
      <c r="D60" s="98"/>
      <c r="E60" s="99"/>
    </row>
    <row r="61" spans="1:9">
      <c r="B61" s="49" t="s">
        <v>97</v>
      </c>
      <c r="C61" s="50"/>
      <c r="D61" s="42"/>
      <c r="E61" s="86"/>
    </row>
    <row r="62" spans="1:9" ht="69" customHeight="1">
      <c r="B62" s="48"/>
      <c r="C62" s="96" t="s">
        <v>98</v>
      </c>
      <c r="D62" s="96"/>
      <c r="E62" s="97"/>
    </row>
    <row r="63" spans="1:9" ht="14.25" thickBot="1">
      <c r="B63" s="51"/>
      <c r="C63" s="52"/>
      <c r="D63" s="52"/>
      <c r="E63" s="53"/>
    </row>
    <row r="64" spans="1:9" ht="14.25" thickBot="1">
      <c r="B64" s="42"/>
      <c r="C64" s="42"/>
      <c r="D64" s="42"/>
      <c r="E64" s="42"/>
    </row>
    <row r="65" spans="2:5">
      <c r="B65" s="45" t="s">
        <v>99</v>
      </c>
      <c r="C65" s="54"/>
      <c r="D65" s="54"/>
      <c r="E65" s="55"/>
    </row>
    <row r="66" spans="2:5">
      <c r="B66" s="56"/>
      <c r="C66" s="88" t="s">
        <v>100</v>
      </c>
      <c r="D66" s="88"/>
      <c r="E66" s="89"/>
    </row>
    <row r="67" spans="2:5">
      <c r="B67" s="57" t="s">
        <v>101</v>
      </c>
      <c r="C67" s="42"/>
      <c r="D67" s="42"/>
      <c r="E67" s="43"/>
    </row>
    <row r="68" spans="2:5">
      <c r="B68" s="58"/>
      <c r="C68" s="90" t="s">
        <v>102</v>
      </c>
      <c r="D68" s="90"/>
      <c r="E68" s="91"/>
    </row>
    <row r="69" spans="2:5" ht="14.25" thickBot="1">
      <c r="B69" s="59"/>
      <c r="C69" s="52"/>
      <c r="D69" s="52"/>
      <c r="E69" s="53"/>
    </row>
  </sheetData>
  <mergeCells count="17">
    <mergeCell ref="B2:H2"/>
    <mergeCell ref="A4:B4"/>
    <mergeCell ref="C4:E4"/>
    <mergeCell ref="A5:B5"/>
    <mergeCell ref="C5:E5"/>
    <mergeCell ref="C52:E53"/>
    <mergeCell ref="C50:E50"/>
    <mergeCell ref="C51:E51"/>
    <mergeCell ref="A6:B6"/>
    <mergeCell ref="A7:B7"/>
    <mergeCell ref="C66:E66"/>
    <mergeCell ref="C68:E68"/>
    <mergeCell ref="C56:E56"/>
    <mergeCell ref="C54:E54"/>
    <mergeCell ref="C62:E62"/>
    <mergeCell ref="C59:E59"/>
    <mergeCell ref="C60:E6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>
      <c r="A1" s="109" t="s">
        <v>103</v>
      </c>
      <c r="B1" s="109"/>
      <c r="C1" s="109"/>
      <c r="D1" s="109"/>
      <c r="E1" s="109"/>
      <c r="F1" s="109"/>
      <c r="G1" s="109"/>
      <c r="H1" s="109"/>
      <c r="I1" s="109"/>
      <c r="J1" s="26" t="s">
        <v>104</v>
      </c>
      <c r="K1" s="27" t="s">
        <v>105</v>
      </c>
    </row>
    <row r="2" spans="1:1024" ht="18.75" customHeight="1" thickBot="1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>
      <c r="A3" s="110" t="s">
        <v>106</v>
      </c>
      <c r="B3" s="110"/>
      <c r="C3" s="110"/>
      <c r="D3" s="115" t="str">
        <f>'Necesidades Trimestrales'!C4</f>
        <v>90 - Ministerio de Seguridad</v>
      </c>
      <c r="E3" s="115"/>
      <c r="F3" s="115"/>
      <c r="G3" s="115"/>
      <c r="H3" s="115"/>
      <c r="I3" s="115"/>
      <c r="J3" s="115"/>
      <c r="K3" s="115"/>
    </row>
    <row r="4" spans="1:1024" ht="18.75" customHeight="1" thickBot="1">
      <c r="A4" s="114" t="s">
        <v>107</v>
      </c>
      <c r="B4" s="114"/>
      <c r="C4" s="114"/>
      <c r="D4" s="115" t="str">
        <f>'Necesidades Trimestrales'!C5</f>
        <v>7- Dirección Provincial de Administración de la Policía de la Provincia de Catamarca</v>
      </c>
      <c r="E4" s="115"/>
      <c r="F4" s="115"/>
      <c r="G4" s="115"/>
      <c r="H4" s="115"/>
      <c r="I4" s="115"/>
      <c r="J4" s="115"/>
      <c r="K4" s="115"/>
    </row>
    <row r="5" spans="1:1024" ht="18.75" customHeight="1" thickBot="1">
      <c r="A5" s="114" t="s">
        <v>108</v>
      </c>
      <c r="B5" s="114"/>
      <c r="C5" s="114"/>
      <c r="D5" s="115" t="s">
        <v>109</v>
      </c>
      <c r="E5" s="115"/>
      <c r="F5" s="115"/>
      <c r="G5" s="115"/>
      <c r="H5" s="115"/>
      <c r="I5" s="115"/>
      <c r="J5" s="115"/>
      <c r="K5" s="115"/>
    </row>
    <row r="6" spans="1:1024" ht="16.5" customHeight="1" thickBot="1">
      <c r="A6" s="110" t="s">
        <v>110</v>
      </c>
      <c r="B6" s="110"/>
      <c r="C6" s="110"/>
      <c r="D6" s="111" t="s">
        <v>111</v>
      </c>
      <c r="E6" s="112"/>
      <c r="F6" s="112"/>
      <c r="G6" s="112"/>
      <c r="H6" s="112"/>
      <c r="I6" s="112"/>
      <c r="J6" s="112"/>
      <c r="K6" s="113"/>
    </row>
    <row r="7" spans="1:1024" ht="16.5" customHeight="1" thickBot="1">
      <c r="A7" s="114" t="s">
        <v>112</v>
      </c>
      <c r="B7" s="114"/>
      <c r="C7" s="114"/>
      <c r="D7" s="115" t="s">
        <v>113</v>
      </c>
      <c r="E7" s="115"/>
      <c r="F7" s="115"/>
      <c r="G7" s="115"/>
      <c r="H7" s="115"/>
      <c r="I7" s="115"/>
      <c r="J7" s="115"/>
      <c r="K7" s="115"/>
    </row>
    <row r="8" spans="1:1024" ht="16.5" customHeight="1" thickBot="1">
      <c r="A8" s="125" t="s">
        <v>114</v>
      </c>
      <c r="B8" s="125"/>
      <c r="C8" s="125"/>
      <c r="D8" s="118" t="s">
        <v>115</v>
      </c>
      <c r="E8" s="112"/>
      <c r="F8" s="112"/>
      <c r="G8" s="112"/>
      <c r="H8" s="112"/>
      <c r="I8" s="112"/>
      <c r="J8" s="112"/>
      <c r="K8" s="113"/>
    </row>
    <row r="9" spans="1:1024" ht="18" thickBot="1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>
      <c r="A10" s="119" t="s">
        <v>116</v>
      </c>
      <c r="B10" s="120" t="s">
        <v>117</v>
      </c>
      <c r="C10" s="121" t="s">
        <v>118</v>
      </c>
      <c r="D10" s="122"/>
      <c r="E10" s="122"/>
      <c r="F10" s="122"/>
      <c r="G10" s="123"/>
      <c r="H10" s="124" t="s">
        <v>119</v>
      </c>
      <c r="I10" s="122" t="s">
        <v>120</v>
      </c>
      <c r="J10" s="122" t="s">
        <v>121</v>
      </c>
      <c r="K10" s="123" t="s">
        <v>122</v>
      </c>
    </row>
    <row r="11" spans="1:1024" ht="14.25" customHeight="1" thickBot="1">
      <c r="A11" s="119"/>
      <c r="B11" s="120"/>
      <c r="C11" s="121"/>
      <c r="D11" s="122"/>
      <c r="E11" s="122"/>
      <c r="F11" s="122"/>
      <c r="G11" s="123"/>
      <c r="H11" s="124"/>
      <c r="I11" s="122"/>
      <c r="J11" s="122"/>
      <c r="K11" s="123"/>
    </row>
    <row r="12" spans="1:1024" ht="22.5" customHeight="1" thickBot="1">
      <c r="A12" s="33">
        <v>1</v>
      </c>
      <c r="B12" s="62" t="e">
        <f>'Necesidades Trimestrales'!#REF!</f>
        <v>#REF!</v>
      </c>
      <c r="C12" s="126" t="e">
        <f>'Necesidades Trimestrales'!#REF!</f>
        <v>#REF!</v>
      </c>
      <c r="D12" s="127"/>
      <c r="E12" s="127"/>
      <c r="F12" s="127"/>
      <c r="G12" s="128"/>
      <c r="H12" s="34" t="s">
        <v>123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>
      <c r="A13" s="33"/>
      <c r="B13" s="62" t="e">
        <f>'Necesidades Trimestrales'!#REF!</f>
        <v>#REF!</v>
      </c>
      <c r="C13" s="126" t="e">
        <f>'Necesidades Trimestrales'!#REF!</f>
        <v>#REF!</v>
      </c>
      <c r="D13" s="127"/>
      <c r="E13" s="127"/>
      <c r="F13" s="127"/>
      <c r="G13" s="128"/>
      <c r="H13" s="34" t="s">
        <v>123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>
      <c r="A14" s="33">
        <v>3</v>
      </c>
      <c r="B14" s="62" t="e">
        <f>'Necesidades Trimestrales'!#REF!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4" t="s">
        <v>123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>
      <c r="A15" s="116" t="s">
        <v>124</v>
      </c>
      <c r="B15" s="116"/>
      <c r="C15" s="116"/>
      <c r="D15" s="116"/>
      <c r="E15" s="116"/>
      <c r="F15" s="116"/>
      <c r="G15" s="116"/>
      <c r="H15" s="116"/>
      <c r="I15" s="116"/>
      <c r="J15" s="117">
        <f>'Necesidades Trimestrales'!G14</f>
        <v>115000</v>
      </c>
      <c r="K15" s="11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J16" s="38"/>
    </row>
  </sheetData>
  <mergeCells count="25"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topLeftCell="A7" workbookViewId="0">
      <selection activeCell="O15" sqref="O15:P15"/>
    </sheetView>
  </sheetViews>
  <sheetFormatPr baseColWidth="10" defaultColWidth="11" defaultRowHeight="13.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29" t="s">
        <v>5</v>
      </c>
      <c r="B1" s="129"/>
      <c r="C1" s="129"/>
      <c r="D1" s="130">
        <f>'Necesidades Trimestrales'!C6</f>
        <v>2022</v>
      </c>
      <c r="E1" s="130"/>
      <c r="F1" s="9"/>
      <c r="G1" s="9"/>
      <c r="H1" s="10"/>
      <c r="I1" s="10"/>
      <c r="J1" s="10"/>
      <c r="K1" s="10"/>
      <c r="L1" s="10"/>
      <c r="M1" s="10"/>
      <c r="N1" s="10"/>
      <c r="P1" s="131" t="s">
        <v>125</v>
      </c>
      <c r="Q1" s="131"/>
    </row>
    <row r="2" spans="1:17" ht="15.75" customHeight="1">
      <c r="H2" s="10"/>
      <c r="I2" s="10"/>
      <c r="J2" s="10"/>
      <c r="K2" s="10"/>
      <c r="L2" s="10"/>
      <c r="M2" s="10"/>
      <c r="N2" s="10"/>
      <c r="P2" s="131"/>
      <c r="Q2" s="131"/>
    </row>
    <row r="4" spans="1:17" ht="18" customHeight="1" thickBot="1">
      <c r="A4" s="132" t="s">
        <v>126</v>
      </c>
      <c r="B4" s="132"/>
      <c r="C4" s="132"/>
      <c r="D4" s="132"/>
      <c r="E4" s="132"/>
      <c r="F4" s="132"/>
      <c r="G4" s="133" t="str">
        <f>' NotaPedido'!D3</f>
        <v>90 - Ministerio de Seguridad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ht="18" customHeight="1" thickBot="1">
      <c r="A5" s="134" t="s">
        <v>107</v>
      </c>
      <c r="B5" s="135"/>
      <c r="C5" s="135"/>
      <c r="D5" s="135"/>
      <c r="E5" s="135"/>
      <c r="F5" s="136"/>
      <c r="G5" s="133" t="str">
        <f>' NotaPedido'!D4</f>
        <v>7- Dirección Provincial de Administración de la Policía de la Provincia de Catamarca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ht="18" customHeight="1" thickBot="1">
      <c r="A6" s="134" t="s">
        <v>108</v>
      </c>
      <c r="B6" s="135"/>
      <c r="C6" s="135"/>
      <c r="D6" s="135"/>
      <c r="E6" s="135"/>
      <c r="F6" s="136"/>
      <c r="G6" s="133" t="str">
        <f>' NotaPedido'!D5</f>
        <v>Policía de la Provincia de Catamarca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ht="18" customHeight="1" thickBot="1">
      <c r="A7" s="134" t="s">
        <v>110</v>
      </c>
      <c r="B7" s="135"/>
      <c r="C7" s="135"/>
      <c r="D7" s="135"/>
      <c r="E7" s="135"/>
      <c r="F7" s="136"/>
      <c r="G7" s="133" t="str">
        <f>' NotaPedido'!D6</f>
        <v>División Intendencia, Departamento Logística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>
      <c r="A8" s="137" t="s">
        <v>127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>
      <c r="A9" s="138" t="s">
        <v>128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3"/>
      <c r="P9" s="3"/>
      <c r="Q9" s="11"/>
    </row>
    <row r="10" spans="1:17" ht="66.75" customHeight="1">
      <c r="A10" s="139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17" ht="9" customHeight="1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>
      <c r="A12" s="140" t="s">
        <v>129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17" ht="15.75" customHeight="1">
      <c r="A13" s="141" t="s">
        <v>130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131</v>
      </c>
      <c r="P13" s="142"/>
      <c r="Q13" s="143" t="s">
        <v>132</v>
      </c>
    </row>
    <row r="14" spans="1:17" ht="15.75" customHeight="1" thickBot="1">
      <c r="A14" s="16" t="s">
        <v>133</v>
      </c>
      <c r="B14" s="17" t="s">
        <v>134</v>
      </c>
      <c r="C14" s="17" t="s">
        <v>135</v>
      </c>
      <c r="D14" s="17" t="s">
        <v>136</v>
      </c>
      <c r="E14" s="17" t="s">
        <v>137</v>
      </c>
      <c r="F14" s="17" t="s">
        <v>138</v>
      </c>
      <c r="G14" s="18" t="s">
        <v>139</v>
      </c>
      <c r="H14" s="17" t="s">
        <v>140</v>
      </c>
      <c r="I14" s="17" t="s">
        <v>141</v>
      </c>
      <c r="J14" s="17" t="s">
        <v>142</v>
      </c>
      <c r="K14" s="17" t="s">
        <v>142</v>
      </c>
      <c r="L14" s="17" t="s">
        <v>143</v>
      </c>
      <c r="M14" s="19" t="s">
        <v>144</v>
      </c>
      <c r="N14" s="20" t="s">
        <v>145</v>
      </c>
      <c r="O14" s="142"/>
      <c r="P14" s="142"/>
      <c r="Q14" s="143"/>
    </row>
    <row r="15" spans="1:17" ht="26.25" customHeight="1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146</v>
      </c>
      <c r="O15" s="144" t="e">
        <f>'Necesidades Trimestrales'!#REF!</f>
        <v>#REF!</v>
      </c>
      <c r="P15" s="145"/>
      <c r="Q15" s="24">
        <f>' NotaPedido'!J15</f>
        <v>115000</v>
      </c>
    </row>
    <row r="16" spans="1:17" ht="33" customHeight="1" thickBot="1">
      <c r="A16" s="157" t="s">
        <v>147</v>
      </c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25">
        <f>Q15</f>
        <v>115000</v>
      </c>
    </row>
    <row r="17" spans="1:17" ht="18" customHeight="1" thickBot="1">
      <c r="A17" s="158"/>
      <c r="B17" s="159"/>
      <c r="C17" s="159"/>
      <c r="D17" s="159"/>
      <c r="E17" s="159"/>
      <c r="F17" s="159"/>
      <c r="G17" s="159"/>
      <c r="H17" s="159"/>
      <c r="I17" s="159"/>
      <c r="J17" s="159"/>
      <c r="K17" s="159"/>
      <c r="L17" s="159"/>
      <c r="M17" s="159"/>
      <c r="N17" s="159"/>
      <c r="O17" s="159"/>
      <c r="P17" s="159"/>
      <c r="Q17" s="160"/>
    </row>
    <row r="18" spans="1:17" ht="17.25" customHeight="1" thickBot="1">
      <c r="A18" s="146" t="s">
        <v>148</v>
      </c>
      <c r="B18" s="147"/>
      <c r="C18" s="147"/>
      <c r="D18" s="147"/>
      <c r="E18" s="147"/>
      <c r="F18" s="148"/>
      <c r="G18" s="149"/>
      <c r="H18" s="150"/>
      <c r="I18" s="150"/>
      <c r="J18" s="150"/>
      <c r="K18" s="150"/>
      <c r="L18" s="150"/>
      <c r="M18" s="150"/>
      <c r="N18" s="150"/>
      <c r="O18" s="150"/>
      <c r="P18" s="150"/>
      <c r="Q18" s="150"/>
    </row>
    <row r="19" spans="1:17" ht="18" customHeight="1">
      <c r="A19" s="151" t="str">
        <f>' NotaPedido'!D8</f>
        <v>Adquisición de Uniformes de Fajina para el personal policial.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3"/>
    </row>
    <row r="20" spans="1:17" ht="15" customHeight="1" thickBot="1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6"/>
    </row>
  </sheetData>
  <mergeCells count="24">
    <mergeCell ref="O15:P15"/>
    <mergeCell ref="A18:F18"/>
    <mergeCell ref="G18:Q18"/>
    <mergeCell ref="A19:Q20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Policia</cp:lastModifiedBy>
  <cp:revision>2</cp:revision>
  <dcterms:created xsi:type="dcterms:W3CDTF">2020-07-17T23:44:49Z</dcterms:created>
  <dcterms:modified xsi:type="dcterms:W3CDTF">2022-05-06T15:04:04Z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