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NotaPedido'!$A$1:$K$50</definedName>
    <definedName name="_xlnm.Print_Area" localSheetId="2">'Autor Gastar'!$A$1:$Q$27</definedName>
    <definedName name="_xlnm.Print_Area" localSheetId="0">'Necesidades Trimestrales'!$E$9:$E$43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4" i="1" l="1"/>
  <c r="I45" i="1"/>
  <c r="I46" i="1"/>
  <c r="I47" i="1"/>
  <c r="K46" i="2"/>
  <c r="K47" i="2"/>
  <c r="K48" i="2"/>
  <c r="K49" i="2"/>
  <c r="J46" i="2"/>
  <c r="J47" i="2"/>
  <c r="J48" i="2"/>
  <c r="J49" i="2"/>
  <c r="I46" i="2"/>
  <c r="I47" i="2"/>
  <c r="I48" i="2"/>
  <c r="I49" i="2"/>
  <c r="C46" i="2"/>
  <c r="C47" i="2"/>
  <c r="C48" i="2"/>
  <c r="C49" i="2"/>
  <c r="B46" i="2"/>
  <c r="B47" i="2"/>
  <c r="B48" i="2"/>
  <c r="B49" i="2"/>
  <c r="D10" i="1"/>
  <c r="Q23" i="3" l="1"/>
  <c r="A10" i="3" l="1"/>
  <c r="B13" i="2" l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C43" i="2"/>
  <c r="C44" i="2"/>
  <c r="C45" i="2"/>
  <c r="C40" i="2"/>
  <c r="C41" i="2"/>
  <c r="C42" i="2"/>
  <c r="C37" i="2"/>
  <c r="C38" i="2"/>
  <c r="C39" i="2"/>
  <c r="C34" i="2"/>
  <c r="C35" i="2"/>
  <c r="C36" i="2"/>
  <c r="C28" i="2"/>
  <c r="C29" i="2"/>
  <c r="C30" i="2"/>
  <c r="C31" i="2"/>
  <c r="C32" i="2"/>
  <c r="C33" i="2"/>
  <c r="C26" i="2"/>
  <c r="C27" i="2"/>
  <c r="C21" i="2"/>
  <c r="C22" i="2"/>
  <c r="C23" i="2"/>
  <c r="C24" i="2"/>
  <c r="C25" i="2"/>
  <c r="C18" i="2"/>
  <c r="C19" i="2"/>
  <c r="C20" i="2"/>
  <c r="C14" i="2"/>
  <c r="C15" i="2"/>
  <c r="C16" i="2"/>
  <c r="C17" i="2"/>
  <c r="C13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G6" i="3" l="1"/>
  <c r="G7" i="3"/>
  <c r="D7" i="2"/>
  <c r="D3" i="2"/>
  <c r="G4" i="3" s="1"/>
  <c r="D4" i="2"/>
  <c r="G5" i="3" s="1"/>
  <c r="D1" i="3" l="1"/>
  <c r="K12" i="2"/>
  <c r="J12" i="2"/>
  <c r="J50" i="2" s="1"/>
  <c r="I12" i="2"/>
  <c r="C12" i="2"/>
  <c r="B12" i="2"/>
  <c r="I10" i="1"/>
  <c r="I15" i="3"/>
  <c r="K15" i="3" l="1"/>
  <c r="J15" i="3"/>
</calcChain>
</file>

<file path=xl/sharedStrings.xml><?xml version="1.0" encoding="utf-8"?>
<sst xmlns="http://schemas.openxmlformats.org/spreadsheetml/2006/main" count="305" uniqueCount="159">
  <si>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</si>
  <si>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</si>
  <si>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</si>
  <si>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</si>
  <si>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</si>
  <si>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</si>
  <si>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</si>
  <si>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</si>
  <si>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</si>
  <si>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</si>
  <si>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</si>
  <si>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</si>
  <si>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</si>
  <si>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</si>
  <si>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</si>
  <si>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</si>
  <si>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</si>
  <si>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</si>
  <si>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</si>
  <si>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</si>
  <si>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</si>
  <si>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</si>
  <si>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</si>
  <si>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</si>
  <si>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</si>
  <si>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</si>
  <si>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</si>
  <si>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</si>
  <si>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</si>
  <si>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</si>
  <si>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</si>
  <si>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</si>
  <si>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</si>
  <si>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</si>
  <si>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</si>
  <si>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</si>
  <si>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</si>
  <si>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</si>
  <si>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</si>
  <si>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</si>
  <si>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</si>
  <si>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</si>
  <si>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</si>
  <si>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</si>
  <si>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</si>
  <si>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</si>
  <si>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</si>
  <si>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</si>
  <si>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</si>
  <si>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</si>
  <si>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</si>
  <si>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2.1.1-439.67</t>
  </si>
  <si>
    <t>ALIMENTOS</t>
  </si>
  <si>
    <t>ACEITES COMESTIBLES; TIPO: GIRASOL, PRESENTACION: ENVASE X 900 CM3, MATERIAL ENVASE: PLASTICO 1 (PET), ELEM. TRANSPORTE: SIN, MATERIAL ELEM. TRANSPORTE : SIN, LIBRE DE GLUTEN: NO</t>
  </si>
  <si>
    <t>2.1.1</t>
  </si>
  <si>
    <t>PAQUETE</t>
  </si>
  <si>
    <t>LATA</t>
  </si>
  <si>
    <t>2.1.1-708.43</t>
  </si>
  <si>
    <t>CONSERVAS PESCADO Y FRUTOS MAR; TIPO: ATUN, ESTADO: AL NATURAL, PESO: 170 GR, ENVASE: LATA, ELEM. TRANSPORTE: SIN, MATERIAL ELEM. TRANSPORTE: SIN</t>
  </si>
  <si>
    <t>CAJA</t>
  </si>
  <si>
    <t>LEGUMBRES; VARIEDAD: ARVEJA, ESTADO: REMOJADO EN CONSERVA, PRESENTACION: LATA, PESO: 350 GR</t>
  </si>
  <si>
    <t>2.1.1-6547.17</t>
  </si>
  <si>
    <t>AZUCARES; TIPO: "A" COMUN, ESTADO: MOLIDA, PESO: 1 Kg, MATERIAL ENVASE: PLASTICO, CERTIFICADO FORESTAL (GFS): SIN, ELEM. TRANSPORTE: SIN, MATERIAL ELEM. TRANSPORTE: SIN</t>
  </si>
  <si>
    <t>2.1.1-481.38</t>
  </si>
  <si>
    <t>VERDURAS Y HORTALIZAS; VARIEDAD: CHOCLO, ESTADO: CREMOSO, PRESENTACION: LATA, PESO: 350 GR, ELEM. TRANSPORTE: SIN, MATERIAL ELEM. TRANSPORTE: SIN, LIBRE DE GLUTEN: NO</t>
  </si>
  <si>
    <t>2.1.1-6546.336</t>
  </si>
  <si>
    <t>VERDURAS Y HORTALIZAS; VARIEDAD: CHOCLO, ESTADO: GRANO, PRESENTACION: LATA, PESO: 350 GR</t>
  </si>
  <si>
    <t>2.1.1-6546.269</t>
  </si>
  <si>
    <t>EDULCORANTES; PRESENTACION: LIQUIDO, ENVASE: BOTELLA PLASTICA, CONTENIDO: 500 CM3</t>
  </si>
  <si>
    <t>2.1.1-595.2</t>
  </si>
  <si>
    <t>BOTELLA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</si>
  <si>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</si>
  <si>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2.1.1-2868.53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</si>
  <si>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</si>
  <si>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</si>
  <si>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</si>
  <si>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2.1.1-2868.55</t>
  </si>
  <si>
    <t>ARROZ; TIPO GRANO: DOBLE, TIPO: BLANCO, PROCESO: PARBOLIZADO, PRESENTACION: ENVASE X 1 Kg, MATERIAL ENVASE: CARTON, CERTIFICADO FORESTAL (GFS): SIN, ELEM. TRANSPORTE: SIN, MATERIAL ELEM. TRANSPORTE: SIN</t>
  </si>
  <si>
    <t>2.1.1-435.38</t>
  </si>
  <si>
    <t>AVENAS; TIPO: ARROLLADA, ESTADO: NATURAL, PRESENTACION: BOLSA, PESO: 1 Kg</t>
  </si>
  <si>
    <t>2.1.1-2124.3</t>
  </si>
  <si>
    <t>HARINAS; TIPO: MAIZ, PRESENTACION: ENVASE X 1 Kg, MATERIAL ENVASE: PAPEL, CERTICADO FORESTAL (GFS): SIN, ELEM. TRANSPORTE: SIN, MATERIAL ELEM. TRANSPORTE: SIN, LIBRE DE GLUTEN: NO</t>
  </si>
  <si>
    <t>2.1.1-482.69</t>
  </si>
  <si>
    <t>HARINAS; TIPO: LEUDANTE, PRESENTACION: ENVASE X 1 Kg, MATERIAL ENVASE: PAPEL, CERTICADO FORESTAL (GFS): SIN, ELEM. TRANSPORTE: SIN, MATERIAL ELEM. TRANSPORTE: SIN, LIBRE DE GLUTEN: NO</t>
  </si>
  <si>
    <t>2.1.1-482.81</t>
  </si>
  <si>
    <t>ESPECIAS; TIPO: LAUREL, PRESENTACION: PAQUETE X 50 GR</t>
  </si>
  <si>
    <t>2.1.1-489.96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</si>
  <si>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</si>
  <si>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</si>
  <si>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ESPECIAS; TIPO: OREGANO, PRESENTACION: BOLSA DE 1 Kg</t>
  </si>
  <si>
    <t>2.1.1-489.66</t>
  </si>
  <si>
    <t>ESPECIAS; TIPO: PIMENTON DULCE, PRESENTACION: PAQUETE X 50 GR</t>
  </si>
  <si>
    <t>2.1.1-489.97</t>
  </si>
  <si>
    <t>PURE; TIPO: DE TOMATE, ENVASE: CAJA DE CARTON, PESO: 530 GR</t>
  </si>
  <si>
    <t>2.1.1-509.10</t>
  </si>
  <si>
    <t>SAL DE MESA; CONSISTENCIA: FINA, PESO: 500 GR, TIPO: SIN VALOR, ENVASE: PAQUETE</t>
  </si>
  <si>
    <t>2.1.1-514.2</t>
  </si>
  <si>
    <t>BOLSA</t>
  </si>
  <si>
    <t>VINAGRES; TIPO: MANZANA, PRESENTACION: ENVASE X 1 L, MATERIAL ENVASE: PLASTICO 1 (PET)</t>
  </si>
  <si>
    <t>2.1.1-519.23</t>
  </si>
  <si>
    <t>YERBAS; PALO: SIN, PESO: 1 Kg, MATERIAL ENVASE : PAPEL, CERTIFICADO FORESTAL (GFS): CON, ELEM. TRANSPORTE: SIN, MATERIAL ELEM. TRANSPORTE: SIN, LIBRE DE GLUTEN: SI</t>
  </si>
  <si>
    <t>2.1.1-454.28</t>
  </si>
  <si>
    <t>GALLETITAS; VARIEDAD: SIN SAL, RELLENO: SIN, PRESENTACION: ENVASE X 180 GR, ELEM. TRANSPORTE: SIN, MATERIAL ELEM. TRANSPORTE: SIN, LIBRE DE GLUTEN: SI</t>
  </si>
  <si>
    <t>2.1.1-788.186</t>
  </si>
  <si>
    <t>024 - Hospital Interzonal de Niños</t>
  </si>
  <si>
    <t>040 - Ministerio de Salud</t>
  </si>
  <si>
    <t>SOBRE</t>
  </si>
  <si>
    <t>Servicio de Alimentacion y Dietoterapia</t>
  </si>
  <si>
    <t>1.1</t>
  </si>
  <si>
    <t>Alimentos para Personas</t>
  </si>
  <si>
    <t>NO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</si>
  <si>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NUTRICION Y DIETOTERAPIA -HOSPITAL INT. DE NIÑOS EVA PERON – AV. VIRGEN DEL VALLE N° 1050-CATAMARCA DE 8:00 A 12:00HS., DEBIENDO CORRER LOS GASTOS DE FLETES, ACARREO, CARGA, DESCARGA Y SEGURO A CARGO DEL ADJUDICATARIO.</t>
    </r>
  </si>
  <si>
    <t>CONSERVAS DE FRUTAS; VARIEDAD: COCTEL, ENVASE: LATA, PESO: 820 GR, ELEM. TRANSPORTE: SIN, MATERIAL ELEM. TRANSPORTE: SIN, LIBRE DE GLUTEN: SI</t>
  </si>
  <si>
    <t>2.1.1-597.43</t>
  </si>
  <si>
    <t>DULCES; TIPO: DE BATATA, PRESENTACION: LATA, PESO: 5</t>
  </si>
  <si>
    <t>DULCES; TIPO: DE MEMBRILLO, PRESENTACION: LATA, PESO: 5 Kg</t>
  </si>
  <si>
    <t>2.1.1-2113.1</t>
  </si>
  <si>
    <t>2.1.1-2113.2</t>
  </si>
  <si>
    <t>FRUTAS; VARIEDAD: DURAZNO, PRESENTACION: ENVASE X 820 GR, ESTADO: NATURAL, PESO: 820 GR</t>
  </si>
  <si>
    <t>2.1.1-6539.54</t>
  </si>
  <si>
    <t>GELATINAS; TIPO: BAJAS CALORIAS, ENVASE: CAJA DE CARTON, PESO: 30 GR, SABOR: CEREZA</t>
  </si>
  <si>
    <t>2.1.1-510.3</t>
  </si>
  <si>
    <t>HARINAS; TIPO: DE TRIGO 000, PRESENTACION: ENVASE X 1 Kg, MATERIAL ENVASE: PAPEL, CERTICADO FORESTAL (GFS): SIN, ELEM. TRANSPORTE: SIN, MATERIAL ELEM. TRANSPORTE: SIN, LIBRE DE GLUTEN: NO</t>
  </si>
  <si>
    <t>2.1.1-482.80</t>
  </si>
  <si>
    <t>LEVADURAS; TIPO: SECA INSTANTANEA, PRESENTACION: SOBRE, PESO: 20 GR</t>
  </si>
  <si>
    <t>2.1.1-2116.10</t>
  </si>
  <si>
    <t>POSTRES; ESTADO PREPARACION: CON COCCION, TIPO: POLVO, ENVASE: CAJA DE CARTON, PESO: 80 GR, SABOR: VAINILLA, LIBRE DE GLUTEN: SI</t>
  </si>
  <si>
    <t>2.1.1-517.86</t>
  </si>
  <si>
    <t>ESPECIAS; TIPO: PROVENZAL, PRESENTACION: PAQUETE X 1 Kg</t>
  </si>
  <si>
    <t>2.1.1-489.109</t>
  </si>
  <si>
    <t>TE; SAQUITOS 2G P/CAJA: 100, PRESENTACION: EN SAQUITOS ENSOBRADOS, PESO: SIN VALOR, TIPO: SIN VALOR</t>
  </si>
  <si>
    <t>2.1.1-511.6</t>
  </si>
  <si>
    <t>VERDURAS Y HORTALIZAS; VARIEDAD: TOMATE PERITA, ESTADO: TRITURADO, PRESENTACION: BOTELLA, PESO: 950 GR</t>
  </si>
  <si>
    <t>2.1.1-6546.4</t>
  </si>
  <si>
    <t>Adquisición de Alimentos No Perecederos</t>
  </si>
  <si>
    <t>Para la adquisición de Alimentos No Perecederos destinados al servico de Alimentacion y Dietoterapia del Hospital Interzonal de Niños Eva Peron, para el normal funcionamiento del organismo.</t>
  </si>
  <si>
    <t>DE CORRESPONDER PRESENTAR LA SIGUIENTE DOCUMENTACION:
• Registro de habilitación bromatológica del establecimiento.
• Habilitación bromatológica del vehículo que transporta los alimentos.
• Certificado de desinfección.</t>
  </si>
  <si>
    <t>2.1.1-6547.70</t>
  </si>
  <si>
    <t>LEGUMBRES: VARIEDAD; LENTEJA, ESTADO: SECO, PRESENTACION: BOLSA, PESO: 1 KG.</t>
  </si>
  <si>
    <t xml:space="preserve">PAQUETE 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</si>
  <si>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</si>
  <si>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</si>
  <si>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</si>
  <si>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</si>
  <si>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2.1.1-489.181</t>
  </si>
  <si>
    <t>ESPECIAS; TIPO: NUEZ MOSCADA, PRESENTACION: ENVASE X 25 GR, LIBRE DE GLUTEN: SI</t>
  </si>
  <si>
    <t>UNIDAD</t>
  </si>
  <si>
    <t>032/2022</t>
  </si>
  <si>
    <t>TOTAL DE PESOS: UN MILLON NOVECIENTOS CUATRO MIL SETECIENTOS CUARENTA Y CUATRO CON 00/100.</t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</si>
  <si>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</si>
  <si>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t>Costo total estimado: Un Millon Novecientos Cuatro Mil Setecientos Cuarenta y Cuatro con 00/100.</t>
  </si>
  <si>
    <r>
      <t xml:space="preserve">Condicion de Calidad:  </t>
    </r>
    <r>
      <rPr>
        <sz val="10"/>
        <rFont val="Times New Roman"/>
        <family val="1"/>
      </rPr>
      <t>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
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</si>
  <si>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Se realizara la entrega de lo adjudicado en dos (2) partes del cincuenta por ciento (50%) de cada item en cada una; la primera sera dentro de los diez (10) días habiles de notificada la Orden de Compra y la segunda a los Treinta y Cinco (35) dias posteriores de recepcionada la primera entrega.</t>
    </r>
  </si>
  <si>
    <t xml:space="preserve"> </t>
  </si>
  <si>
    <r>
      <t>Forma de Pago</t>
    </r>
    <r>
      <rPr>
        <sz val="10"/>
        <rFont val="Times New Roman"/>
        <family val="1"/>
      </rPr>
      <t>: se realizara pago parciales, debiendo presentar la factura correspondiente a cada entrega prevista.</t>
    </r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</si>
  <si>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</si>
  <si>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ITEM 10:  LATA X 5 KG. SABOR VAINILLA</t>
  </si>
  <si>
    <t>ITEM 31: TIPO: CLASICO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</si>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</sst>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name val="Calibri"/>
      <family val="2"/>
    </font>
    <font>
      <b/>
      <sz val="10"/>
      <name val="Times New Roman"/>
      <family val="1"/>
    </font>
    <font>
      <sz val="9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6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5" fillId="3" borderId="10" xfId="0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/>
    </xf>
    <xf numFmtId="0" fontId="4" fillId="4" borderId="50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 wrapText="1"/>
    </xf>
    <xf numFmtId="166" fontId="4" fillId="3" borderId="50" xfId="1" applyNumberFormat="1" applyFont="1" applyFill="1" applyBorder="1" applyAlignment="1" applyProtection="1">
      <alignment horizontal="right" vertical="center" wrapText="1"/>
    </xf>
    <xf numFmtId="3" fontId="4" fillId="3" borderId="50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66" fontId="4" fillId="3" borderId="19" xfId="1" applyNumberFormat="1" applyFont="1" applyFill="1" applyBorder="1" applyAlignment="1" applyProtection="1">
      <alignment horizontal="right" vertical="center" wrapText="1"/>
    </xf>
    <xf numFmtId="3" fontId="4" fillId="3" borderId="19" xfId="0" applyNumberFormat="1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 wrapText="1"/>
    </xf>
    <xf numFmtId="0" fontId="21" fillId="4" borderId="48" xfId="0" applyFont="1" applyFill="1" applyBorder="1" applyAlignment="1">
      <alignment horizontal="center" vertical="center" wrapText="1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0" fontId="0" fillId="0" borderId="53" xfId="0" applyFont="1" applyBorder="1" applyAlignment="1">
      <alignment horizontal="left" vertical="center" wrapText="1"/>
    </xf>
    <xf numFmtId="0" fontId="0" fillId="0" borderId="53" xfId="0" applyFont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0" fillId="0" borderId="48" xfId="0" applyBorder="1" applyAlignment="1">
      <alignment wrapText="1"/>
    </xf>
    <xf numFmtId="0" fontId="0" fillId="0" borderId="48" xfId="0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21" fillId="3" borderId="48" xfId="0" applyFont="1" applyFill="1" applyBorder="1" applyAlignment="1">
      <alignment horizontal="center" vertical="center" wrapText="1"/>
    </xf>
    <xf numFmtId="0" fontId="0" fillId="3" borderId="48" xfId="0" applyFill="1" applyBorder="1" applyAlignment="1">
      <alignment wrapText="1"/>
    </xf>
    <xf numFmtId="0" fontId="0" fillId="3" borderId="53" xfId="0" applyFont="1" applyFill="1" applyBorder="1" applyAlignment="1">
      <alignment horizontal="center" vertical="center" wrapText="1"/>
    </xf>
    <xf numFmtId="0" fontId="0" fillId="3" borderId="53" xfId="0" applyFont="1" applyFill="1" applyBorder="1" applyAlignment="1">
      <alignment horizontal="left" vertical="center" wrapText="1"/>
    </xf>
    <xf numFmtId="0" fontId="0" fillId="0" borderId="54" xfId="0" applyBorder="1" applyAlignment="1">
      <alignment horizontal="center" vertical="center"/>
    </xf>
    <xf numFmtId="0" fontId="21" fillId="0" borderId="54" xfId="0" applyFont="1" applyBorder="1" applyAlignment="1">
      <alignment horizontal="center" vertical="center" wrapText="1"/>
    </xf>
    <xf numFmtId="0" fontId="0" fillId="0" borderId="54" xfId="0" applyBorder="1" applyAlignment="1">
      <alignment wrapText="1"/>
    </xf>
    <xf numFmtId="0" fontId="21" fillId="4" borderId="54" xfId="0" applyFont="1" applyFill="1" applyBorder="1" applyAlignment="1">
      <alignment horizontal="center" vertical="center" wrapText="1"/>
    </xf>
    <xf numFmtId="169" fontId="20" fillId="4" borderId="54" xfId="1" applyNumberFormat="1" applyFont="1" applyFill="1" applyBorder="1" applyAlignment="1" applyProtection="1">
      <alignment horizontal="right" vertical="center" wrapText="1"/>
    </xf>
    <xf numFmtId="169" fontId="20" fillId="4" borderId="48" xfId="1" applyNumberFormat="1" applyFont="1" applyFill="1" applyBorder="1" applyAlignment="1" applyProtection="1">
      <alignment horizontal="right" vertical="center" wrapText="1"/>
    </xf>
    <xf numFmtId="0" fontId="14" fillId="0" borderId="53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5" xfId="0" applyFont="1" applyBorder="1" applyAlignment="1">
      <alignment vertical="center" wrapText="1"/>
    </xf>
    <xf numFmtId="0" fontId="14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0" fillId="0" borderId="58" xfId="0" applyFont="1" applyBorder="1" applyAlignment="1">
      <alignment horizontal="center" vertical="center" wrapText="1"/>
    </xf>
    <xf numFmtId="0" fontId="0" fillId="0" borderId="48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14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 wrapText="1"/>
    </xf>
    <xf numFmtId="0" fontId="0" fillId="0" borderId="57" xfId="0" applyFont="1" applyBorder="1" applyAlignment="1">
      <alignment horizontal="center" vertical="center"/>
    </xf>
    <xf numFmtId="0" fontId="0" fillId="0" borderId="57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/>
    </xf>
    <xf numFmtId="166" fontId="20" fillId="4" borderId="61" xfId="1" applyNumberFormat="1" applyFont="1" applyFill="1" applyBorder="1" applyAlignment="1" applyProtection="1">
      <alignment horizontal="right" vertical="center" wrapText="1"/>
    </xf>
    <xf numFmtId="0" fontId="19" fillId="0" borderId="59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4" borderId="7" xfId="5" applyFont="1" applyFill="1" applyBorder="1" applyAlignment="1">
      <alignment horizontal="left" wrapText="1"/>
    </xf>
    <xf numFmtId="0" fontId="15" fillId="4" borderId="8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24" fillId="4" borderId="5" xfId="5" applyFont="1" applyFill="1" applyBorder="1" applyAlignment="1">
      <alignment horizontal="left" wrapText="1"/>
    </xf>
    <xf numFmtId="0" fontId="24" fillId="4" borderId="0" xfId="5" applyFont="1" applyFill="1" applyBorder="1" applyAlignment="1">
      <alignment horizontal="left" wrapText="1"/>
    </xf>
    <xf numFmtId="0" fontId="24" fillId="4" borderId="6" xfId="5" applyFont="1" applyFill="1" applyBorder="1" applyAlignment="1">
      <alignment horizontal="left" wrapText="1"/>
    </xf>
    <xf numFmtId="0" fontId="15" fillId="4" borderId="5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6" xfId="5" applyFont="1" applyFill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6" fillId="3" borderId="14" xfId="0" applyFont="1" applyFill="1" applyBorder="1" applyAlignment="1">
      <alignment horizontal="left" vertical="center" wrapText="1" indent="1"/>
    </xf>
    <xf numFmtId="167" fontId="7" fillId="3" borderId="14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3" borderId="16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15" xfId="0" applyFont="1" applyFill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Border="1" applyAlignment="1">
      <alignment horizontal="left" vertical="center" wrapText="1"/>
    </xf>
    <xf numFmtId="0" fontId="0" fillId="0" borderId="22" xfId="0" applyBorder="1"/>
    <xf numFmtId="0" fontId="14" fillId="0" borderId="32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22" fillId="0" borderId="5" xfId="0" applyFont="1" applyBorder="1" applyAlignment="1">
      <alignment horizontal="left" indent="3"/>
    </xf>
    <xf numFmtId="0" fontId="15" fillId="0" borderId="0" xfId="0" applyFont="1" applyBorder="1"/>
    <xf numFmtId="0" fontId="26" fillId="4" borderId="2" xfId="5" applyFont="1" applyFill="1" applyBorder="1" applyAlignment="1">
      <alignment horizontal="left" wrapText="1"/>
    </xf>
    <xf numFmtId="0" fontId="26" fillId="4" borderId="3" xfId="5" applyFont="1" applyFill="1" applyBorder="1" applyAlignment="1">
      <alignment horizontal="left" wrapText="1"/>
    </xf>
    <xf numFmtId="0" fontId="26" fillId="4" borderId="4" xfId="5" applyFont="1" applyFill="1" applyBorder="1" applyAlignment="1">
      <alignment horizontal="left" wrapText="1"/>
    </xf>
    <xf numFmtId="0" fontId="27" fillId="3" borderId="0" xfId="0" applyFont="1" applyFill="1" applyBorder="1" applyAlignment="1">
      <alignment horizontal="left" vertical="center" wrapText="1"/>
    </xf>
    <xf numFmtId="0" fontId="15" fillId="0" borderId="5" xfId="0" applyFont="1" applyBorder="1"/>
    <xf numFmtId="0" fontId="26" fillId="4" borderId="5" xfId="5" applyFont="1" applyFill="1" applyBorder="1" applyAlignment="1">
      <alignment wrapText="1"/>
    </xf>
    <xf numFmtId="0" fontId="26" fillId="4" borderId="0" xfId="5" applyFont="1" applyFill="1" applyBorder="1" applyAlignment="1">
      <alignment wrapTex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63"/>
  <sheetViews>
    <sheetView tabSelected="1" zoomScale="98" zoomScaleNormal="98" workbookViewId="0">
      <selection activeCell="B56" sqref="B56:E56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15" t="s">
        <v>0</v>
      </c>
      <c r="C2" s="115"/>
      <c r="D2" s="115"/>
      <c r="E2" s="115"/>
      <c r="F2" s="115"/>
      <c r="G2" s="115"/>
      <c r="H2" s="115"/>
    </row>
    <row r="3" spans="1:9" ht="12" customHeight="1" x14ac:dyDescent="0.2"/>
    <row r="4" spans="1:9" ht="18" customHeight="1" x14ac:dyDescent="0.25">
      <c r="A4" s="114" t="s">
        <v>1</v>
      </c>
      <c r="B4" s="114"/>
      <c r="C4" s="116" t="s">
        <v>105</v>
      </c>
      <c r="D4" s="116"/>
      <c r="E4" s="116"/>
      <c r="F4" s="33"/>
      <c r="G4" s="34"/>
      <c r="H4" s="33"/>
    </row>
    <row r="5" spans="1:9" ht="18" customHeight="1" x14ac:dyDescent="0.25">
      <c r="A5" s="114" t="s">
        <v>2</v>
      </c>
      <c r="B5" s="114"/>
      <c r="C5" s="116" t="s">
        <v>104</v>
      </c>
      <c r="D5" s="116"/>
      <c r="E5" s="116"/>
      <c r="F5" s="33"/>
      <c r="G5" s="34"/>
      <c r="H5" s="33"/>
    </row>
    <row r="6" spans="1:9" ht="16.5" customHeight="1" x14ac:dyDescent="0.25">
      <c r="A6" s="114" t="s">
        <v>3</v>
      </c>
      <c r="B6" s="114"/>
      <c r="C6" s="56">
        <v>2022</v>
      </c>
      <c r="D6" s="57"/>
      <c r="E6" s="57"/>
      <c r="F6" s="33"/>
      <c r="G6" s="34"/>
      <c r="H6" s="33"/>
    </row>
    <row r="7" spans="1:9" ht="16.5" customHeight="1" x14ac:dyDescent="0.25">
      <c r="A7" s="114" t="s">
        <v>4</v>
      </c>
      <c r="B7" s="114"/>
      <c r="C7" s="56">
        <v>1</v>
      </c>
      <c r="D7" s="57"/>
      <c r="E7" s="57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100" t="s">
        <v>5</v>
      </c>
      <c r="B9" s="100" t="s">
        <v>6</v>
      </c>
      <c r="C9" s="100" t="s">
        <v>7</v>
      </c>
      <c r="D9" s="101" t="s">
        <v>8</v>
      </c>
      <c r="E9" s="102" t="s">
        <v>9</v>
      </c>
      <c r="F9" s="103" t="s">
        <v>10</v>
      </c>
      <c r="G9" s="100" t="s">
        <v>11</v>
      </c>
      <c r="H9" s="100" t="s">
        <v>12</v>
      </c>
      <c r="I9" s="100" t="s">
        <v>13</v>
      </c>
    </row>
    <row r="10" spans="1:9" ht="39" thickTop="1" x14ac:dyDescent="0.2">
      <c r="A10" s="98">
        <v>1</v>
      </c>
      <c r="B10" s="77" t="s">
        <v>51</v>
      </c>
      <c r="C10" s="77" t="s">
        <v>52</v>
      </c>
      <c r="D10" s="78" t="str">
        <f>LEFT(B10,5)</f>
        <v>2.1.1</v>
      </c>
      <c r="E10" s="79" t="s">
        <v>53</v>
      </c>
      <c r="F10" s="80" t="s">
        <v>70</v>
      </c>
      <c r="G10" s="80">
        <v>550</v>
      </c>
      <c r="H10" s="81">
        <v>350</v>
      </c>
      <c r="I10" s="99">
        <f>H10*G10</f>
        <v>192500</v>
      </c>
    </row>
    <row r="11" spans="1:9" ht="38.25" x14ac:dyDescent="0.2">
      <c r="A11" s="63">
        <v>2</v>
      </c>
      <c r="B11" s="71" t="s">
        <v>78</v>
      </c>
      <c r="C11" s="64" t="s">
        <v>52</v>
      </c>
      <c r="D11" s="64" t="s">
        <v>54</v>
      </c>
      <c r="E11" s="70" t="s">
        <v>77</v>
      </c>
      <c r="F11" s="65" t="s">
        <v>55</v>
      </c>
      <c r="G11" s="65">
        <v>500</v>
      </c>
      <c r="H11" s="82">
        <v>400</v>
      </c>
      <c r="I11" s="66">
        <f t="shared" ref="I11:I34" si="0">G11*H11</f>
        <v>200000</v>
      </c>
    </row>
    <row r="12" spans="1:9" ht="25.5" x14ac:dyDescent="0.2">
      <c r="A12" s="63">
        <v>3</v>
      </c>
      <c r="B12" s="71" t="s">
        <v>57</v>
      </c>
      <c r="C12" s="64" t="s">
        <v>52</v>
      </c>
      <c r="D12" s="64" t="s">
        <v>54</v>
      </c>
      <c r="E12" s="70" t="s">
        <v>58</v>
      </c>
      <c r="F12" s="65" t="s">
        <v>56</v>
      </c>
      <c r="G12" s="65">
        <v>250</v>
      </c>
      <c r="H12" s="82">
        <v>250</v>
      </c>
      <c r="I12" s="66">
        <f t="shared" si="0"/>
        <v>62500</v>
      </c>
    </row>
    <row r="13" spans="1:9" x14ac:dyDescent="0.2">
      <c r="A13" s="63">
        <v>4</v>
      </c>
      <c r="B13" s="71" t="s">
        <v>80</v>
      </c>
      <c r="C13" s="64" t="s">
        <v>52</v>
      </c>
      <c r="D13" s="64" t="s">
        <v>54</v>
      </c>
      <c r="E13" s="70" t="s">
        <v>79</v>
      </c>
      <c r="F13" s="65" t="s">
        <v>97</v>
      </c>
      <c r="G13" s="65">
        <v>80</v>
      </c>
      <c r="H13" s="82">
        <v>400</v>
      </c>
      <c r="I13" s="66">
        <f t="shared" si="0"/>
        <v>32000</v>
      </c>
    </row>
    <row r="14" spans="1:9" ht="25.5" x14ac:dyDescent="0.2">
      <c r="A14" s="63">
        <v>5</v>
      </c>
      <c r="B14" s="71" t="s">
        <v>61</v>
      </c>
      <c r="C14" s="64" t="s">
        <v>52</v>
      </c>
      <c r="D14" s="64" t="s">
        <v>54</v>
      </c>
      <c r="E14" s="70" t="s">
        <v>60</v>
      </c>
      <c r="F14" s="65" t="s">
        <v>56</v>
      </c>
      <c r="G14" s="65">
        <v>200</v>
      </c>
      <c r="H14" s="82">
        <v>50</v>
      </c>
      <c r="I14" s="66">
        <f t="shared" si="0"/>
        <v>10000</v>
      </c>
    </row>
    <row r="15" spans="1:9" ht="38.25" x14ac:dyDescent="0.2">
      <c r="A15" s="63">
        <v>6</v>
      </c>
      <c r="B15" s="71" t="s">
        <v>63</v>
      </c>
      <c r="C15" s="64" t="s">
        <v>52</v>
      </c>
      <c r="D15" s="64" t="s">
        <v>54</v>
      </c>
      <c r="E15" s="70" t="s">
        <v>62</v>
      </c>
      <c r="F15" s="65" t="s">
        <v>55</v>
      </c>
      <c r="G15" s="65">
        <v>800</v>
      </c>
      <c r="H15" s="82">
        <v>130</v>
      </c>
      <c r="I15" s="66">
        <f t="shared" si="0"/>
        <v>104000</v>
      </c>
    </row>
    <row r="16" spans="1:9" ht="38.25" x14ac:dyDescent="0.2">
      <c r="A16" s="63">
        <v>7</v>
      </c>
      <c r="B16" s="71" t="s">
        <v>65</v>
      </c>
      <c r="C16" s="64" t="s">
        <v>52</v>
      </c>
      <c r="D16" s="64" t="s">
        <v>54</v>
      </c>
      <c r="E16" s="70" t="s">
        <v>64</v>
      </c>
      <c r="F16" s="65" t="s">
        <v>56</v>
      </c>
      <c r="G16" s="65">
        <v>160</v>
      </c>
      <c r="H16" s="82">
        <v>120</v>
      </c>
      <c r="I16" s="66">
        <f t="shared" si="0"/>
        <v>19200</v>
      </c>
    </row>
    <row r="17" spans="1:9" ht="25.5" x14ac:dyDescent="0.2">
      <c r="A17" s="63">
        <v>8</v>
      </c>
      <c r="B17" s="71" t="s">
        <v>67</v>
      </c>
      <c r="C17" s="64" t="s">
        <v>52</v>
      </c>
      <c r="D17" s="64" t="s">
        <v>54</v>
      </c>
      <c r="E17" s="70" t="s">
        <v>66</v>
      </c>
      <c r="F17" s="65" t="s">
        <v>56</v>
      </c>
      <c r="G17" s="65">
        <v>200</v>
      </c>
      <c r="H17" s="82">
        <v>150</v>
      </c>
      <c r="I17" s="66">
        <f t="shared" si="0"/>
        <v>30000</v>
      </c>
    </row>
    <row r="18" spans="1:9" ht="25.5" x14ac:dyDescent="0.2">
      <c r="A18" s="63">
        <v>9</v>
      </c>
      <c r="B18" s="68" t="s">
        <v>113</v>
      </c>
      <c r="C18" s="64" t="s">
        <v>52</v>
      </c>
      <c r="D18" s="64" t="s">
        <v>54</v>
      </c>
      <c r="E18" s="67" t="s">
        <v>112</v>
      </c>
      <c r="F18" s="65" t="s">
        <v>56</v>
      </c>
      <c r="G18" s="65">
        <v>200</v>
      </c>
      <c r="H18" s="82">
        <v>380</v>
      </c>
      <c r="I18" s="66">
        <f t="shared" si="0"/>
        <v>76000</v>
      </c>
    </row>
    <row r="19" spans="1:9" x14ac:dyDescent="0.2">
      <c r="A19" s="63">
        <v>10</v>
      </c>
      <c r="B19" s="68" t="s">
        <v>116</v>
      </c>
      <c r="C19" s="64" t="s">
        <v>52</v>
      </c>
      <c r="D19" s="64" t="s">
        <v>54</v>
      </c>
      <c r="E19" s="67" t="s">
        <v>114</v>
      </c>
      <c r="F19" s="65" t="s">
        <v>56</v>
      </c>
      <c r="G19" s="65">
        <v>6</v>
      </c>
      <c r="H19" s="82">
        <v>750</v>
      </c>
      <c r="I19" s="66">
        <f t="shared" si="0"/>
        <v>4500</v>
      </c>
    </row>
    <row r="20" spans="1:9" x14ac:dyDescent="0.2">
      <c r="A20" s="63">
        <v>11</v>
      </c>
      <c r="B20" s="68" t="s">
        <v>117</v>
      </c>
      <c r="C20" s="64" t="s">
        <v>52</v>
      </c>
      <c r="D20" s="64" t="s">
        <v>54</v>
      </c>
      <c r="E20" s="67" t="s">
        <v>115</v>
      </c>
      <c r="F20" s="65" t="s">
        <v>56</v>
      </c>
      <c r="G20" s="65">
        <v>6</v>
      </c>
      <c r="H20" s="82">
        <v>1800</v>
      </c>
      <c r="I20" s="66">
        <f t="shared" si="0"/>
        <v>10800</v>
      </c>
    </row>
    <row r="21" spans="1:9" ht="25.5" x14ac:dyDescent="0.2">
      <c r="A21" s="63">
        <v>12</v>
      </c>
      <c r="B21" s="68" t="s">
        <v>119</v>
      </c>
      <c r="C21" s="64" t="s">
        <v>52</v>
      </c>
      <c r="D21" s="64" t="s">
        <v>54</v>
      </c>
      <c r="E21" s="67" t="s">
        <v>118</v>
      </c>
      <c r="F21" s="65" t="s">
        <v>56</v>
      </c>
      <c r="G21" s="65">
        <v>200</v>
      </c>
      <c r="H21" s="82">
        <v>420</v>
      </c>
      <c r="I21" s="66">
        <f t="shared" si="0"/>
        <v>84000</v>
      </c>
    </row>
    <row r="22" spans="1:9" x14ac:dyDescent="0.2">
      <c r="A22" s="63">
        <v>13</v>
      </c>
      <c r="B22" s="71" t="s">
        <v>69</v>
      </c>
      <c r="C22" s="64" t="s">
        <v>52</v>
      </c>
      <c r="D22" s="64" t="s">
        <v>54</v>
      </c>
      <c r="E22" s="70" t="s">
        <v>68</v>
      </c>
      <c r="F22" s="65" t="s">
        <v>70</v>
      </c>
      <c r="G22" s="65">
        <v>24</v>
      </c>
      <c r="H22" s="82">
        <v>320</v>
      </c>
      <c r="I22" s="66">
        <f t="shared" si="0"/>
        <v>7680</v>
      </c>
    </row>
    <row r="23" spans="1:9" ht="38.25" x14ac:dyDescent="0.2">
      <c r="A23" s="63">
        <v>14</v>
      </c>
      <c r="B23" s="71" t="s">
        <v>73</v>
      </c>
      <c r="C23" s="64" t="s">
        <v>52</v>
      </c>
      <c r="D23" s="64" t="s">
        <v>54</v>
      </c>
      <c r="E23" s="70" t="s">
        <v>74</v>
      </c>
      <c r="F23" s="65" t="s">
        <v>55</v>
      </c>
      <c r="G23" s="65">
        <v>400</v>
      </c>
      <c r="H23" s="82">
        <v>90</v>
      </c>
      <c r="I23" s="66">
        <f t="shared" si="0"/>
        <v>36000</v>
      </c>
    </row>
    <row r="24" spans="1:9" ht="38.25" x14ac:dyDescent="0.2">
      <c r="A24" s="63">
        <v>15</v>
      </c>
      <c r="B24" s="71" t="s">
        <v>72</v>
      </c>
      <c r="C24" s="64" t="s">
        <v>52</v>
      </c>
      <c r="D24" s="64" t="s">
        <v>54</v>
      </c>
      <c r="E24" s="70" t="s">
        <v>71</v>
      </c>
      <c r="F24" s="65" t="s">
        <v>55</v>
      </c>
      <c r="G24" s="65">
        <v>400</v>
      </c>
      <c r="H24" s="82">
        <v>90</v>
      </c>
      <c r="I24" s="66">
        <f t="shared" si="0"/>
        <v>36000</v>
      </c>
    </row>
    <row r="25" spans="1:9" ht="38.25" x14ac:dyDescent="0.2">
      <c r="A25" s="63">
        <v>16</v>
      </c>
      <c r="B25" s="72" t="s">
        <v>76</v>
      </c>
      <c r="C25" s="73" t="s">
        <v>52</v>
      </c>
      <c r="D25" s="73" t="s">
        <v>54</v>
      </c>
      <c r="E25" s="74" t="s">
        <v>75</v>
      </c>
      <c r="F25" s="65" t="s">
        <v>55</v>
      </c>
      <c r="G25" s="65">
        <v>400</v>
      </c>
      <c r="H25" s="82">
        <v>90</v>
      </c>
      <c r="I25" s="66">
        <f t="shared" si="0"/>
        <v>36000</v>
      </c>
    </row>
    <row r="26" spans="1:9" ht="25.5" x14ac:dyDescent="0.2">
      <c r="A26" s="63">
        <v>17</v>
      </c>
      <c r="B26" s="72" t="s">
        <v>103</v>
      </c>
      <c r="C26" s="73" t="s">
        <v>52</v>
      </c>
      <c r="D26" s="73" t="s">
        <v>54</v>
      </c>
      <c r="E26" s="74" t="s">
        <v>102</v>
      </c>
      <c r="F26" s="65" t="s">
        <v>55</v>
      </c>
      <c r="G26" s="65">
        <v>6</v>
      </c>
      <c r="H26" s="82">
        <v>99</v>
      </c>
      <c r="I26" s="66">
        <f t="shared" si="0"/>
        <v>594</v>
      </c>
    </row>
    <row r="27" spans="1:9" x14ac:dyDescent="0.2">
      <c r="A27" s="63">
        <v>18</v>
      </c>
      <c r="B27" s="75" t="s">
        <v>121</v>
      </c>
      <c r="C27" s="73" t="s">
        <v>52</v>
      </c>
      <c r="D27" s="73" t="s">
        <v>54</v>
      </c>
      <c r="E27" s="76" t="s">
        <v>120</v>
      </c>
      <c r="F27" s="65" t="s">
        <v>55</v>
      </c>
      <c r="G27" s="65">
        <v>180</v>
      </c>
      <c r="H27" s="82">
        <v>90</v>
      </c>
      <c r="I27" s="66">
        <f t="shared" si="0"/>
        <v>16200</v>
      </c>
    </row>
    <row r="28" spans="1:9" ht="38.25" x14ac:dyDescent="0.2">
      <c r="A28" s="63">
        <v>19</v>
      </c>
      <c r="B28" s="72" t="s">
        <v>82</v>
      </c>
      <c r="C28" s="73" t="s">
        <v>52</v>
      </c>
      <c r="D28" s="73" t="s">
        <v>54</v>
      </c>
      <c r="E28" s="74" t="s">
        <v>81</v>
      </c>
      <c r="F28" s="65" t="s">
        <v>55</v>
      </c>
      <c r="G28" s="65">
        <v>100</v>
      </c>
      <c r="H28" s="82">
        <v>139</v>
      </c>
      <c r="I28" s="66">
        <f t="shared" si="0"/>
        <v>13900</v>
      </c>
    </row>
    <row r="29" spans="1:9" ht="38.25" x14ac:dyDescent="0.2">
      <c r="A29" s="63">
        <v>20</v>
      </c>
      <c r="B29" s="68" t="s">
        <v>123</v>
      </c>
      <c r="C29" s="64" t="s">
        <v>52</v>
      </c>
      <c r="D29" s="64" t="s">
        <v>54</v>
      </c>
      <c r="E29" s="67" t="s">
        <v>122</v>
      </c>
      <c r="F29" s="65" t="s">
        <v>55</v>
      </c>
      <c r="G29" s="65">
        <v>100</v>
      </c>
      <c r="H29" s="82">
        <v>99</v>
      </c>
      <c r="I29" s="66">
        <f t="shared" si="0"/>
        <v>9900</v>
      </c>
    </row>
    <row r="30" spans="1:9" ht="38.25" x14ac:dyDescent="0.2">
      <c r="A30" s="63">
        <v>21</v>
      </c>
      <c r="B30" s="71" t="s">
        <v>84</v>
      </c>
      <c r="C30" s="64" t="s">
        <v>52</v>
      </c>
      <c r="D30" s="64" t="s">
        <v>54</v>
      </c>
      <c r="E30" s="70" t="s">
        <v>83</v>
      </c>
      <c r="F30" s="65" t="s">
        <v>55</v>
      </c>
      <c r="G30" s="65">
        <v>100</v>
      </c>
      <c r="H30" s="82">
        <v>68</v>
      </c>
      <c r="I30" s="66">
        <f t="shared" si="0"/>
        <v>6800</v>
      </c>
    </row>
    <row r="31" spans="1:9" x14ac:dyDescent="0.2">
      <c r="A31" s="63">
        <v>22</v>
      </c>
      <c r="B31" s="72" t="s">
        <v>86</v>
      </c>
      <c r="C31" s="73" t="s">
        <v>52</v>
      </c>
      <c r="D31" s="73" t="s">
        <v>54</v>
      </c>
      <c r="E31" s="74" t="s">
        <v>85</v>
      </c>
      <c r="F31" s="65" t="s">
        <v>55</v>
      </c>
      <c r="G31" s="65">
        <v>70</v>
      </c>
      <c r="H31" s="82">
        <v>96</v>
      </c>
      <c r="I31" s="66">
        <f t="shared" si="0"/>
        <v>6720</v>
      </c>
    </row>
    <row r="32" spans="1:9" ht="38.25" x14ac:dyDescent="0.2">
      <c r="A32" s="63">
        <v>23</v>
      </c>
      <c r="B32" s="71" t="s">
        <v>88</v>
      </c>
      <c r="C32" s="64" t="s">
        <v>52</v>
      </c>
      <c r="D32" s="64" t="s">
        <v>54</v>
      </c>
      <c r="E32" s="70" t="s">
        <v>87</v>
      </c>
      <c r="F32" s="65" t="s">
        <v>59</v>
      </c>
      <c r="G32" s="65">
        <v>400</v>
      </c>
      <c r="H32" s="82">
        <v>1100</v>
      </c>
      <c r="I32" s="66">
        <f t="shared" si="0"/>
        <v>440000</v>
      </c>
    </row>
    <row r="33" spans="1:9" ht="15" x14ac:dyDescent="0.2">
      <c r="A33" s="63">
        <v>24</v>
      </c>
      <c r="B33" s="68" t="s">
        <v>125</v>
      </c>
      <c r="C33" s="64" t="s">
        <v>52</v>
      </c>
      <c r="D33" s="64" t="s">
        <v>54</v>
      </c>
      <c r="E33" s="69" t="s">
        <v>124</v>
      </c>
      <c r="F33" s="65" t="s">
        <v>106</v>
      </c>
      <c r="G33" s="65">
        <v>150</v>
      </c>
      <c r="H33" s="82">
        <v>80</v>
      </c>
      <c r="I33" s="66">
        <f t="shared" si="0"/>
        <v>12000</v>
      </c>
    </row>
    <row r="34" spans="1:9" x14ac:dyDescent="0.2">
      <c r="A34" s="63">
        <v>25</v>
      </c>
      <c r="B34" s="71" t="s">
        <v>90</v>
      </c>
      <c r="C34" s="64" t="s">
        <v>52</v>
      </c>
      <c r="D34" s="64" t="s">
        <v>54</v>
      </c>
      <c r="E34" s="70" t="s">
        <v>89</v>
      </c>
      <c r="F34" s="65" t="s">
        <v>97</v>
      </c>
      <c r="G34" s="65">
        <v>14</v>
      </c>
      <c r="H34" s="82">
        <v>2200</v>
      </c>
      <c r="I34" s="66">
        <f t="shared" si="0"/>
        <v>30800</v>
      </c>
    </row>
    <row r="35" spans="1:9" x14ac:dyDescent="0.2">
      <c r="A35" s="63">
        <v>26</v>
      </c>
      <c r="B35" s="71" t="s">
        <v>92</v>
      </c>
      <c r="C35" s="64" t="s">
        <v>52</v>
      </c>
      <c r="D35" s="64" t="s">
        <v>54</v>
      </c>
      <c r="E35" s="70" t="s">
        <v>91</v>
      </c>
      <c r="F35" s="65" t="s">
        <v>106</v>
      </c>
      <c r="G35" s="65">
        <v>150</v>
      </c>
      <c r="H35" s="82">
        <v>140</v>
      </c>
      <c r="I35" s="66">
        <f t="shared" ref="I35:I47" si="1">G35*H35</f>
        <v>21000</v>
      </c>
    </row>
    <row r="36" spans="1:9" ht="25.5" x14ac:dyDescent="0.2">
      <c r="A36" s="63">
        <v>27</v>
      </c>
      <c r="B36" s="68" t="s">
        <v>127</v>
      </c>
      <c r="C36" s="64" t="s">
        <v>52</v>
      </c>
      <c r="D36" s="64" t="s">
        <v>54</v>
      </c>
      <c r="E36" s="67" t="s">
        <v>126</v>
      </c>
      <c r="F36" s="65" t="s">
        <v>59</v>
      </c>
      <c r="G36" s="65">
        <v>180</v>
      </c>
      <c r="H36" s="82">
        <v>80</v>
      </c>
      <c r="I36" s="66">
        <f t="shared" si="1"/>
        <v>14400</v>
      </c>
    </row>
    <row r="37" spans="1:9" x14ac:dyDescent="0.2">
      <c r="A37" s="63">
        <v>28</v>
      </c>
      <c r="B37" s="68" t="s">
        <v>129</v>
      </c>
      <c r="C37" s="64" t="s">
        <v>52</v>
      </c>
      <c r="D37" s="64" t="s">
        <v>54</v>
      </c>
      <c r="E37" s="67" t="s">
        <v>128</v>
      </c>
      <c r="F37" s="65" t="s">
        <v>55</v>
      </c>
      <c r="G37" s="65">
        <v>10</v>
      </c>
      <c r="H37" s="82">
        <v>1950</v>
      </c>
      <c r="I37" s="66">
        <f t="shared" si="1"/>
        <v>19500</v>
      </c>
    </row>
    <row r="38" spans="1:9" x14ac:dyDescent="0.2">
      <c r="A38" s="63">
        <v>29</v>
      </c>
      <c r="B38" s="71" t="s">
        <v>94</v>
      </c>
      <c r="C38" s="64" t="s">
        <v>52</v>
      </c>
      <c r="D38" s="64" t="s">
        <v>54</v>
      </c>
      <c r="E38" s="70" t="s">
        <v>93</v>
      </c>
      <c r="F38" s="65" t="s">
        <v>59</v>
      </c>
      <c r="G38" s="65">
        <v>350</v>
      </c>
      <c r="H38" s="82">
        <v>80</v>
      </c>
      <c r="I38" s="66">
        <f t="shared" si="1"/>
        <v>28000</v>
      </c>
    </row>
    <row r="39" spans="1:9" x14ac:dyDescent="0.2">
      <c r="A39" s="63">
        <v>30</v>
      </c>
      <c r="B39" s="71" t="s">
        <v>96</v>
      </c>
      <c r="C39" s="64" t="s">
        <v>52</v>
      </c>
      <c r="D39" s="64" t="s">
        <v>54</v>
      </c>
      <c r="E39" s="70" t="s">
        <v>95</v>
      </c>
      <c r="F39" s="65" t="s">
        <v>55</v>
      </c>
      <c r="G39" s="65">
        <v>350</v>
      </c>
      <c r="H39" s="82">
        <v>90</v>
      </c>
      <c r="I39" s="66">
        <f t="shared" si="1"/>
        <v>31500</v>
      </c>
    </row>
    <row r="40" spans="1:9" ht="25.5" x14ac:dyDescent="0.2">
      <c r="A40" s="63">
        <v>31</v>
      </c>
      <c r="B40" s="68" t="s">
        <v>131</v>
      </c>
      <c r="C40" s="64" t="s">
        <v>52</v>
      </c>
      <c r="D40" s="64" t="s">
        <v>54</v>
      </c>
      <c r="E40" s="67" t="s">
        <v>130</v>
      </c>
      <c r="F40" s="65" t="s">
        <v>59</v>
      </c>
      <c r="G40" s="65">
        <v>100</v>
      </c>
      <c r="H40" s="82">
        <v>220</v>
      </c>
      <c r="I40" s="66">
        <f t="shared" si="1"/>
        <v>22000</v>
      </c>
    </row>
    <row r="41" spans="1:9" ht="25.5" x14ac:dyDescent="0.2">
      <c r="A41" s="63">
        <v>32</v>
      </c>
      <c r="B41" s="68" t="s">
        <v>133</v>
      </c>
      <c r="C41" s="64" t="s">
        <v>52</v>
      </c>
      <c r="D41" s="64" t="s">
        <v>54</v>
      </c>
      <c r="E41" s="67" t="s">
        <v>132</v>
      </c>
      <c r="F41" s="65" t="s">
        <v>70</v>
      </c>
      <c r="G41" s="65">
        <v>250</v>
      </c>
      <c r="H41" s="82">
        <v>290</v>
      </c>
      <c r="I41" s="66">
        <f t="shared" si="1"/>
        <v>72500</v>
      </c>
    </row>
    <row r="42" spans="1:9" ht="25.5" x14ac:dyDescent="0.2">
      <c r="A42" s="63">
        <v>33</v>
      </c>
      <c r="B42" s="71" t="s">
        <v>99</v>
      </c>
      <c r="C42" s="64" t="s">
        <v>52</v>
      </c>
      <c r="D42" s="64" t="s">
        <v>54</v>
      </c>
      <c r="E42" s="70" t="s">
        <v>98</v>
      </c>
      <c r="F42" s="65" t="s">
        <v>70</v>
      </c>
      <c r="G42" s="65">
        <v>25</v>
      </c>
      <c r="H42" s="82">
        <v>110</v>
      </c>
      <c r="I42" s="66">
        <f t="shared" si="1"/>
        <v>2750</v>
      </c>
    </row>
    <row r="43" spans="1:9" ht="27.75" customHeight="1" x14ac:dyDescent="0.2">
      <c r="A43" s="63">
        <v>34</v>
      </c>
      <c r="B43" s="71" t="s">
        <v>101</v>
      </c>
      <c r="C43" s="64" t="s">
        <v>52</v>
      </c>
      <c r="D43" s="64" t="s">
        <v>54</v>
      </c>
      <c r="E43" s="70" t="s">
        <v>100</v>
      </c>
      <c r="F43" s="65" t="s">
        <v>55</v>
      </c>
      <c r="G43" s="65">
        <v>150</v>
      </c>
      <c r="H43" s="82">
        <v>700</v>
      </c>
      <c r="I43" s="66">
        <f t="shared" si="1"/>
        <v>105000</v>
      </c>
    </row>
    <row r="44" spans="1:9" ht="27.75" customHeight="1" x14ac:dyDescent="0.2">
      <c r="A44" s="63">
        <v>35</v>
      </c>
      <c r="B44" s="83" t="s">
        <v>137</v>
      </c>
      <c r="C44" s="84" t="s">
        <v>52</v>
      </c>
      <c r="D44" s="84" t="s">
        <v>54</v>
      </c>
      <c r="E44" s="85" t="s">
        <v>138</v>
      </c>
      <c r="F44" s="86" t="s">
        <v>97</v>
      </c>
      <c r="G44" s="87">
        <v>150</v>
      </c>
      <c r="H44" s="82">
        <v>250</v>
      </c>
      <c r="I44" s="66">
        <f t="shared" si="1"/>
        <v>37500</v>
      </c>
    </row>
    <row r="45" spans="1:9" ht="27.75" customHeight="1" x14ac:dyDescent="0.2">
      <c r="A45" s="63">
        <v>36</v>
      </c>
      <c r="B45" s="88" t="s">
        <v>140</v>
      </c>
      <c r="C45" s="89" t="s">
        <v>52</v>
      </c>
      <c r="D45" s="89" t="s">
        <v>54</v>
      </c>
      <c r="E45" s="90" t="s">
        <v>141</v>
      </c>
      <c r="F45" s="91" t="s">
        <v>139</v>
      </c>
      <c r="G45" s="92">
        <v>150</v>
      </c>
      <c r="H45" s="82">
        <v>160</v>
      </c>
      <c r="I45" s="66">
        <f t="shared" si="1"/>
        <v>24000</v>
      </c>
    </row>
    <row r="46" spans="1:9" ht="27.75" customHeight="1" x14ac:dyDescent="0.2">
      <c r="A46" s="63">
        <v>37</v>
      </c>
      <c r="B46" s="93" t="s">
        <v>142</v>
      </c>
      <c r="C46" s="94" t="s">
        <v>52</v>
      </c>
      <c r="D46" s="94" t="s">
        <v>54</v>
      </c>
      <c r="E46" s="95" t="s">
        <v>143</v>
      </c>
      <c r="F46" s="96" t="s">
        <v>97</v>
      </c>
      <c r="G46" s="87">
        <v>150</v>
      </c>
      <c r="H46" s="82">
        <v>250</v>
      </c>
      <c r="I46" s="66">
        <f t="shared" si="1"/>
        <v>37500</v>
      </c>
    </row>
    <row r="47" spans="1:9" ht="27.75" customHeight="1" x14ac:dyDescent="0.2">
      <c r="A47" s="63">
        <v>38</v>
      </c>
      <c r="B47" s="97" t="s">
        <v>144</v>
      </c>
      <c r="C47" s="89" t="s">
        <v>52</v>
      </c>
      <c r="D47" s="89" t="s">
        <v>54</v>
      </c>
      <c r="E47" s="90" t="s">
        <v>145</v>
      </c>
      <c r="F47" s="89" t="s">
        <v>146</v>
      </c>
      <c r="G47" s="92">
        <v>100</v>
      </c>
      <c r="H47" s="82">
        <v>110</v>
      </c>
      <c r="I47" s="66">
        <f t="shared" si="1"/>
        <v>11000</v>
      </c>
    </row>
    <row r="48" spans="1:9" ht="13.5" thickBot="1" x14ac:dyDescent="0.25"/>
    <row r="49" spans="2:9" ht="12.75" customHeight="1" x14ac:dyDescent="0.2">
      <c r="B49" s="158" t="s">
        <v>155</v>
      </c>
      <c r="C49" s="159"/>
      <c r="D49" s="159"/>
      <c r="E49" s="160"/>
      <c r="F49" s="163"/>
      <c r="G49" s="164"/>
      <c r="H49" s="164"/>
      <c r="I49" s="164"/>
    </row>
    <row r="50" spans="2:9" ht="14.25" customHeight="1" x14ac:dyDescent="0.2">
      <c r="B50" s="162"/>
      <c r="C50" s="161" t="s">
        <v>156</v>
      </c>
      <c r="D50" s="161"/>
      <c r="E50" s="161"/>
      <c r="F50" s="162"/>
      <c r="G50" s="157"/>
      <c r="H50" s="157"/>
      <c r="I50" s="157"/>
    </row>
    <row r="51" spans="2:9" ht="18.75" customHeight="1" x14ac:dyDescent="0.2">
      <c r="B51" s="156"/>
      <c r="C51" s="161" t="s">
        <v>157</v>
      </c>
      <c r="D51" s="161"/>
      <c r="E51" s="161"/>
    </row>
    <row r="52" spans="2:9" ht="15" customHeight="1" x14ac:dyDescent="0.2">
      <c r="B52" s="111" t="s">
        <v>111</v>
      </c>
      <c r="C52" s="112"/>
      <c r="D52" s="112"/>
      <c r="E52" s="113"/>
    </row>
    <row r="53" spans="2:9" ht="18" customHeight="1" x14ac:dyDescent="0.2">
      <c r="B53" s="111"/>
      <c r="C53" s="112"/>
      <c r="D53" s="112"/>
      <c r="E53" s="113"/>
    </row>
    <row r="54" spans="2:9" x14ac:dyDescent="0.2">
      <c r="B54" s="111" t="s">
        <v>149</v>
      </c>
      <c r="C54" s="112"/>
      <c r="D54" s="112"/>
      <c r="E54" s="113"/>
    </row>
    <row r="55" spans="2:9" ht="30.75" customHeight="1" x14ac:dyDescent="0.2">
      <c r="B55" s="111" t="s">
        <v>152</v>
      </c>
      <c r="C55" s="112"/>
      <c r="D55" s="112"/>
      <c r="E55" s="113"/>
    </row>
    <row r="56" spans="2:9" ht="96.75" customHeight="1" x14ac:dyDescent="0.2">
      <c r="B56" s="108" t="s">
        <v>151</v>
      </c>
      <c r="C56" s="109"/>
      <c r="D56" s="109"/>
      <c r="E56" s="110"/>
    </row>
    <row r="57" spans="2:9" ht="18.75" customHeight="1" x14ac:dyDescent="0.2">
      <c r="B57" s="108" t="s">
        <v>154</v>
      </c>
      <c r="C57" s="109"/>
      <c r="D57" s="109"/>
      <c r="E57" s="110"/>
    </row>
    <row r="58" spans="2:9" ht="55.5" customHeight="1" thickBot="1" x14ac:dyDescent="0.25">
      <c r="B58" s="105" t="s">
        <v>136</v>
      </c>
      <c r="C58" s="106"/>
      <c r="D58" s="106"/>
      <c r="E58" s="107"/>
    </row>
    <row r="61" spans="2:9" x14ac:dyDescent="0.2">
      <c r="E61" s="32" t="s">
        <v>153</v>
      </c>
    </row>
    <row r="62" spans="2:9" x14ac:dyDescent="0.2">
      <c r="B62" s="104"/>
    </row>
    <row r="63" spans="2:9" x14ac:dyDescent="0.2">
      <c r="E63" s="32" t="s">
        <v>153</v>
      </c>
    </row>
  </sheetData>
  <mergeCells count="16">
    <mergeCell ref="C50:E50"/>
    <mergeCell ref="B49:E49"/>
    <mergeCell ref="C51:E51"/>
    <mergeCell ref="A6:B6"/>
    <mergeCell ref="A7:B7"/>
    <mergeCell ref="B2:H2"/>
    <mergeCell ref="A4:B4"/>
    <mergeCell ref="C4:E4"/>
    <mergeCell ref="A5:B5"/>
    <mergeCell ref="C5:E5"/>
    <mergeCell ref="B58:E58"/>
    <mergeCell ref="B56:E56"/>
    <mergeCell ref="B52:E53"/>
    <mergeCell ref="B54:E54"/>
    <mergeCell ref="B55:E55"/>
    <mergeCell ref="B57:E57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0"/>
  <sheetViews>
    <sheetView topLeftCell="A4" zoomScale="110" zoomScaleNormal="110" workbookViewId="0">
      <selection activeCell="H43" sqref="H43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4" width="5.8554687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26" t="s">
        <v>14</v>
      </c>
      <c r="B1" s="126"/>
      <c r="C1" s="126"/>
      <c r="D1" s="126"/>
      <c r="E1" s="126"/>
      <c r="F1" s="126"/>
      <c r="G1" s="126"/>
      <c r="H1" s="126"/>
      <c r="I1" s="126"/>
      <c r="J1" s="35" t="s">
        <v>15</v>
      </c>
      <c r="K1" s="36" t="s">
        <v>147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27" t="s">
        <v>48</v>
      </c>
      <c r="B3" s="127"/>
      <c r="C3" s="127"/>
      <c r="D3" s="117" t="str">
        <f>'Necesidades Trimestrales'!C4</f>
        <v>040 - Ministerio de Salud</v>
      </c>
      <c r="E3" s="117"/>
      <c r="F3" s="117"/>
      <c r="G3" s="117"/>
      <c r="H3" s="117"/>
      <c r="I3" s="117"/>
      <c r="J3" s="117"/>
      <c r="K3" s="117"/>
    </row>
    <row r="4" spans="1:11" ht="18.75" customHeight="1" thickBot="1" x14ac:dyDescent="0.25">
      <c r="A4" s="128" t="s">
        <v>49</v>
      </c>
      <c r="B4" s="128"/>
      <c r="C4" s="128"/>
      <c r="D4" s="117" t="str">
        <f>'Necesidades Trimestrales'!C5</f>
        <v>024 - Hospital Interzonal de Niños</v>
      </c>
      <c r="E4" s="117"/>
      <c r="F4" s="117"/>
      <c r="G4" s="117"/>
      <c r="H4" s="117"/>
      <c r="I4" s="117"/>
      <c r="J4" s="117"/>
      <c r="K4" s="117"/>
    </row>
    <row r="5" spans="1:11" ht="18.75" customHeight="1" thickBot="1" x14ac:dyDescent="0.25">
      <c r="A5" s="128" t="s">
        <v>27</v>
      </c>
      <c r="B5" s="128"/>
      <c r="C5" s="128"/>
      <c r="D5" s="117" t="s">
        <v>104</v>
      </c>
      <c r="E5" s="117"/>
      <c r="F5" s="117"/>
      <c r="G5" s="117"/>
      <c r="H5" s="117"/>
      <c r="I5" s="117"/>
      <c r="J5" s="117"/>
      <c r="K5" s="117"/>
    </row>
    <row r="6" spans="1:11" ht="16.5" customHeight="1" thickBot="1" x14ac:dyDescent="0.25">
      <c r="A6" s="127" t="s">
        <v>50</v>
      </c>
      <c r="B6" s="127"/>
      <c r="C6" s="127"/>
      <c r="D6" s="117" t="s">
        <v>107</v>
      </c>
      <c r="E6" s="117"/>
      <c r="F6" s="117"/>
      <c r="G6" s="117"/>
      <c r="H6" s="117"/>
      <c r="I6" s="117"/>
      <c r="J6" s="117"/>
      <c r="K6" s="117"/>
    </row>
    <row r="7" spans="1:11" ht="16.5" customHeight="1" x14ac:dyDescent="0.2">
      <c r="A7" s="128" t="s">
        <v>16</v>
      </c>
      <c r="B7" s="128"/>
      <c r="C7" s="128"/>
      <c r="D7" s="117" t="str">
        <f>'Necesidades Trimestrales'!C7 &amp; "° Trimestre - Año " &amp; 'Necesidades Trimestrales'!C6</f>
        <v>1° Trimestre - Año 2022</v>
      </c>
      <c r="E7" s="117"/>
      <c r="F7" s="117"/>
      <c r="G7" s="117"/>
      <c r="H7" s="117"/>
      <c r="I7" s="117"/>
      <c r="J7" s="117"/>
      <c r="K7" s="117"/>
    </row>
    <row r="8" spans="1:11" ht="16.5" customHeight="1" x14ac:dyDescent="0.2">
      <c r="A8" s="121" t="s">
        <v>17</v>
      </c>
      <c r="B8" s="121"/>
      <c r="C8" s="121"/>
      <c r="D8" s="122" t="s">
        <v>134</v>
      </c>
      <c r="E8" s="122"/>
      <c r="F8" s="122"/>
      <c r="G8" s="122"/>
      <c r="H8" s="122"/>
      <c r="I8" s="122"/>
      <c r="J8" s="122"/>
      <c r="K8" s="122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23" t="s">
        <v>18</v>
      </c>
      <c r="B10" s="124" t="s">
        <v>19</v>
      </c>
      <c r="C10" s="124" t="s">
        <v>20</v>
      </c>
      <c r="D10" s="124"/>
      <c r="E10" s="124"/>
      <c r="F10" s="124"/>
      <c r="G10" s="124"/>
      <c r="H10" s="124" t="s">
        <v>21</v>
      </c>
      <c r="I10" s="124" t="s">
        <v>22</v>
      </c>
      <c r="J10" s="124" t="s">
        <v>23</v>
      </c>
      <c r="K10" s="125" t="s">
        <v>24</v>
      </c>
    </row>
    <row r="11" spans="1:11" ht="24" customHeight="1" x14ac:dyDescent="0.2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1" ht="34.5" customHeight="1" x14ac:dyDescent="0.2">
      <c r="A12" s="43">
        <v>1</v>
      </c>
      <c r="B12" s="44" t="str">
        <f>'Necesidades Trimestrales'!B10</f>
        <v>2.1.1-439.67</v>
      </c>
      <c r="C12" s="119" t="str">
        <f>'Necesidades Trimestrales'!E10</f>
        <v>ACEITES COMESTIBLES; TIPO: GIRASOL, PRESENTACION: ENVASE X 900 CM3, MATERIAL ENVASE: PLASTICO 1 (PET), ELEM. TRANSPORTE: SIN, MATERIAL ELEM. TRANSPORTE : SIN, LIBRE DE GLUTEN: NO</v>
      </c>
      <c r="D12" s="119"/>
      <c r="E12" s="119"/>
      <c r="F12" s="119"/>
      <c r="G12" s="119"/>
      <c r="H12" s="45" t="s">
        <v>110</v>
      </c>
      <c r="I12" s="46" t="str">
        <f>'Necesidades Trimestrales'!F10</f>
        <v>BOTELLA</v>
      </c>
      <c r="J12" s="47">
        <f>'Necesidades Trimestrales'!H10</f>
        <v>350</v>
      </c>
      <c r="K12" s="48">
        <f>'Necesidades Trimestrales'!G10</f>
        <v>550</v>
      </c>
    </row>
    <row r="13" spans="1:11" ht="39.75" customHeight="1" x14ac:dyDescent="0.2">
      <c r="A13" s="55">
        <v>2</v>
      </c>
      <c r="B13" s="50" t="str">
        <f>'Necesidades Trimestrales'!B11</f>
        <v>2.1.1-435.38</v>
      </c>
      <c r="C13" s="120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120"/>
      <c r="E13" s="120"/>
      <c r="F13" s="120"/>
      <c r="G13" s="120"/>
      <c r="H13" s="51" t="s">
        <v>110</v>
      </c>
      <c r="I13" s="52" t="str">
        <f>'Necesidades Trimestrales'!F11</f>
        <v>PAQUETE</v>
      </c>
      <c r="J13" s="53">
        <f>'Necesidades Trimestrales'!H11</f>
        <v>400</v>
      </c>
      <c r="K13" s="54">
        <f>'Necesidades Trimestrales'!G11</f>
        <v>500</v>
      </c>
    </row>
    <row r="14" spans="1:11" ht="27" customHeight="1" x14ac:dyDescent="0.2">
      <c r="A14" s="49">
        <v>3</v>
      </c>
      <c r="B14" s="50" t="str">
        <f>'Necesidades Trimestrales'!B12</f>
        <v>2.1.1-708.43</v>
      </c>
      <c r="C14" s="120" t="str">
        <f>'Necesidades Trimestrales'!E12</f>
        <v>CONSERVAS PESCADO Y FRUTOS MAR; TIPO: ATUN, ESTADO: AL NATURAL, PESO: 170 GR, ENVASE: LATA, ELEM. TRANSPORTE: SIN, MATERIAL ELEM. TRANSPORTE: SIN</v>
      </c>
      <c r="D14" s="120"/>
      <c r="E14" s="120"/>
      <c r="F14" s="120"/>
      <c r="G14" s="120"/>
      <c r="H14" s="51" t="s">
        <v>110</v>
      </c>
      <c r="I14" s="52" t="str">
        <f>'Necesidades Trimestrales'!F12</f>
        <v>LATA</v>
      </c>
      <c r="J14" s="53">
        <f>'Necesidades Trimestrales'!H12</f>
        <v>250</v>
      </c>
      <c r="K14" s="54">
        <f>'Necesidades Trimestrales'!G12</f>
        <v>250</v>
      </c>
    </row>
    <row r="15" spans="1:11" ht="20.25" customHeight="1" x14ac:dyDescent="0.2">
      <c r="A15" s="55">
        <v>4</v>
      </c>
      <c r="B15" s="50" t="str">
        <f>'Necesidades Trimestrales'!B13</f>
        <v>2.1.1-2124.3</v>
      </c>
      <c r="C15" s="120" t="str">
        <f>'Necesidades Trimestrales'!E13</f>
        <v>AVENAS; TIPO: ARROLLADA, ESTADO: NATURAL, PRESENTACION: BOLSA, PESO: 1 Kg</v>
      </c>
      <c r="D15" s="120"/>
      <c r="E15" s="120"/>
      <c r="F15" s="120"/>
      <c r="G15" s="120"/>
      <c r="H15" s="51" t="s">
        <v>110</v>
      </c>
      <c r="I15" s="52" t="str">
        <f>'Necesidades Trimestrales'!F13</f>
        <v>BOLSA</v>
      </c>
      <c r="J15" s="53">
        <f>'Necesidades Trimestrales'!H13</f>
        <v>400</v>
      </c>
      <c r="K15" s="54">
        <f>'Necesidades Trimestrales'!G13</f>
        <v>80</v>
      </c>
    </row>
    <row r="16" spans="1:11" ht="20.25" customHeight="1" x14ac:dyDescent="0.2">
      <c r="A16" s="49">
        <v>5</v>
      </c>
      <c r="B16" s="50" t="str">
        <f>'Necesidades Trimestrales'!B14</f>
        <v>2.1.1-6547.17</v>
      </c>
      <c r="C16" s="120" t="str">
        <f>'Necesidades Trimestrales'!E14</f>
        <v>LEGUMBRES; VARIEDAD: ARVEJA, ESTADO: REMOJADO EN CONSERVA, PRESENTACION: LATA, PESO: 350 GR</v>
      </c>
      <c r="D16" s="120"/>
      <c r="E16" s="120"/>
      <c r="F16" s="120"/>
      <c r="G16" s="120"/>
      <c r="H16" s="51" t="s">
        <v>110</v>
      </c>
      <c r="I16" s="52" t="str">
        <f>'Necesidades Trimestrales'!F14</f>
        <v>LATA</v>
      </c>
      <c r="J16" s="53">
        <f>'Necesidades Trimestrales'!H14</f>
        <v>50</v>
      </c>
      <c r="K16" s="54">
        <f>'Necesidades Trimestrales'!G14</f>
        <v>200</v>
      </c>
    </row>
    <row r="17" spans="1:11" ht="27.75" customHeight="1" x14ac:dyDescent="0.2">
      <c r="A17" s="55">
        <v>6</v>
      </c>
      <c r="B17" s="50" t="str">
        <f>'Necesidades Trimestrales'!B15</f>
        <v>2.1.1-481.38</v>
      </c>
      <c r="C17" s="120" t="str">
        <f>'Necesidades Trimestrales'!E15</f>
        <v>AZUCARES; TIPO: "A" COMUN, ESTADO: MOLIDA, PESO: 1 Kg, MATERIAL ENVASE: PLASTICO, CERTIFICADO FORESTAL (GFS): SIN, ELEM. TRANSPORTE: SIN, MATERIAL ELEM. TRANSPORTE: SIN</v>
      </c>
      <c r="D17" s="120"/>
      <c r="E17" s="120"/>
      <c r="F17" s="120"/>
      <c r="G17" s="120"/>
      <c r="H17" s="51" t="s">
        <v>110</v>
      </c>
      <c r="I17" s="52" t="str">
        <f>'Necesidades Trimestrales'!F15</f>
        <v>PAQUETE</v>
      </c>
      <c r="J17" s="53">
        <f>'Necesidades Trimestrales'!H15</f>
        <v>130</v>
      </c>
      <c r="K17" s="54">
        <f>'Necesidades Trimestrales'!G15</f>
        <v>800</v>
      </c>
    </row>
    <row r="18" spans="1:11" ht="29.25" customHeight="1" x14ac:dyDescent="0.2">
      <c r="A18" s="49">
        <v>7</v>
      </c>
      <c r="B18" s="50" t="str">
        <f>'Necesidades Trimestrales'!B16</f>
        <v>2.1.1-6546.336</v>
      </c>
      <c r="C18" s="120" t="str">
        <f>'Necesidades Trimestrales'!E16</f>
        <v>VERDURAS Y HORTALIZAS; VARIEDAD: CHOCLO, ESTADO: CREMOSO, PRESENTACION: LATA, PESO: 350 GR, ELEM. TRANSPORTE: SIN, MATERIAL ELEM. TRANSPORTE: SIN, LIBRE DE GLUTEN: NO</v>
      </c>
      <c r="D18" s="120"/>
      <c r="E18" s="120"/>
      <c r="F18" s="120"/>
      <c r="G18" s="120"/>
      <c r="H18" s="51" t="s">
        <v>110</v>
      </c>
      <c r="I18" s="52" t="str">
        <f>'Necesidades Trimestrales'!F16</f>
        <v>LATA</v>
      </c>
      <c r="J18" s="53">
        <f>'Necesidades Trimestrales'!H16</f>
        <v>120</v>
      </c>
      <c r="K18" s="54">
        <f>'Necesidades Trimestrales'!G16</f>
        <v>160</v>
      </c>
    </row>
    <row r="19" spans="1:11" ht="20.25" customHeight="1" x14ac:dyDescent="0.2">
      <c r="A19" s="55">
        <v>8</v>
      </c>
      <c r="B19" s="50" t="str">
        <f>'Necesidades Trimestrales'!B17</f>
        <v>2.1.1-6546.269</v>
      </c>
      <c r="C19" s="120" t="str">
        <f>'Necesidades Trimestrales'!E17</f>
        <v>VERDURAS Y HORTALIZAS; VARIEDAD: CHOCLO, ESTADO: GRANO, PRESENTACION: LATA, PESO: 350 GR</v>
      </c>
      <c r="D19" s="120"/>
      <c r="E19" s="120"/>
      <c r="F19" s="120"/>
      <c r="G19" s="120"/>
      <c r="H19" s="51" t="s">
        <v>110</v>
      </c>
      <c r="I19" s="52" t="str">
        <f>'Necesidades Trimestrales'!F17</f>
        <v>LATA</v>
      </c>
      <c r="J19" s="53">
        <f>'Necesidades Trimestrales'!H17</f>
        <v>150</v>
      </c>
      <c r="K19" s="54">
        <f>'Necesidades Trimestrales'!G17</f>
        <v>200</v>
      </c>
    </row>
    <row r="20" spans="1:11" ht="24.75" customHeight="1" x14ac:dyDescent="0.2">
      <c r="A20" s="49">
        <v>9</v>
      </c>
      <c r="B20" s="50" t="str">
        <f>'Necesidades Trimestrales'!B18</f>
        <v>2.1.1-597.43</v>
      </c>
      <c r="C20" s="120" t="str">
        <f>'Necesidades Trimestrales'!E18</f>
        <v>CONSERVAS DE FRUTAS; VARIEDAD: COCTEL, ENVASE: LATA, PESO: 820 GR, ELEM. TRANSPORTE: SIN, MATERIAL ELEM. TRANSPORTE: SIN, LIBRE DE GLUTEN: SI</v>
      </c>
      <c r="D20" s="120"/>
      <c r="E20" s="120"/>
      <c r="F20" s="120"/>
      <c r="G20" s="120"/>
      <c r="H20" s="51" t="s">
        <v>110</v>
      </c>
      <c r="I20" s="52" t="str">
        <f>'Necesidades Trimestrales'!F18</f>
        <v>LATA</v>
      </c>
      <c r="J20" s="53">
        <f>'Necesidades Trimestrales'!H18</f>
        <v>380</v>
      </c>
      <c r="K20" s="54">
        <f>'Necesidades Trimestrales'!G18</f>
        <v>200</v>
      </c>
    </row>
    <row r="21" spans="1:11" ht="20.25" customHeight="1" x14ac:dyDescent="0.2">
      <c r="A21" s="55">
        <v>10</v>
      </c>
      <c r="B21" s="50" t="str">
        <f>'Necesidades Trimestrales'!B19</f>
        <v>2.1.1-2113.1</v>
      </c>
      <c r="C21" s="120" t="str">
        <f>'Necesidades Trimestrales'!E19</f>
        <v>DULCES; TIPO: DE BATATA, PRESENTACION: LATA, PESO: 5</v>
      </c>
      <c r="D21" s="120"/>
      <c r="E21" s="120"/>
      <c r="F21" s="120"/>
      <c r="G21" s="120"/>
      <c r="H21" s="51" t="s">
        <v>158</v>
      </c>
      <c r="I21" s="52" t="str">
        <f>'Necesidades Trimestrales'!F19</f>
        <v>LATA</v>
      </c>
      <c r="J21" s="53">
        <f>'Necesidades Trimestrales'!H19</f>
        <v>750</v>
      </c>
      <c r="K21" s="54">
        <f>'Necesidades Trimestrales'!G19</f>
        <v>6</v>
      </c>
    </row>
    <row r="22" spans="1:11" ht="20.25" customHeight="1" x14ac:dyDescent="0.2">
      <c r="A22" s="49">
        <v>11</v>
      </c>
      <c r="B22" s="50" t="str">
        <f>'Necesidades Trimestrales'!B20</f>
        <v>2.1.1-2113.2</v>
      </c>
      <c r="C22" s="120" t="str">
        <f>'Necesidades Trimestrales'!E20</f>
        <v>DULCES; TIPO: DE MEMBRILLO, PRESENTACION: LATA, PESO: 5 Kg</v>
      </c>
      <c r="D22" s="120"/>
      <c r="E22" s="120"/>
      <c r="F22" s="120"/>
      <c r="G22" s="120"/>
      <c r="H22" s="51" t="s">
        <v>110</v>
      </c>
      <c r="I22" s="52" t="str">
        <f>'Necesidades Trimestrales'!F20</f>
        <v>LATA</v>
      </c>
      <c r="J22" s="53">
        <f>'Necesidades Trimestrales'!H20</f>
        <v>1800</v>
      </c>
      <c r="K22" s="54">
        <f>'Necesidades Trimestrales'!G20</f>
        <v>6</v>
      </c>
    </row>
    <row r="23" spans="1:11" ht="20.25" customHeight="1" x14ac:dyDescent="0.2">
      <c r="A23" s="55">
        <v>12</v>
      </c>
      <c r="B23" s="50" t="str">
        <f>'Necesidades Trimestrales'!B21</f>
        <v>2.1.1-6539.54</v>
      </c>
      <c r="C23" s="120" t="str">
        <f>'Necesidades Trimestrales'!E21</f>
        <v>FRUTAS; VARIEDAD: DURAZNO, PRESENTACION: ENVASE X 820 GR, ESTADO: NATURAL, PESO: 820 GR</v>
      </c>
      <c r="D23" s="120"/>
      <c r="E23" s="120"/>
      <c r="F23" s="120"/>
      <c r="G23" s="120"/>
      <c r="H23" s="51" t="s">
        <v>110</v>
      </c>
      <c r="I23" s="52" t="str">
        <f>'Necesidades Trimestrales'!F21</f>
        <v>LATA</v>
      </c>
      <c r="J23" s="53">
        <f>'Necesidades Trimestrales'!H21</f>
        <v>420</v>
      </c>
      <c r="K23" s="54">
        <f>'Necesidades Trimestrales'!G21</f>
        <v>200</v>
      </c>
    </row>
    <row r="24" spans="1:11" ht="20.25" customHeight="1" x14ac:dyDescent="0.2">
      <c r="A24" s="49">
        <v>13</v>
      </c>
      <c r="B24" s="50" t="str">
        <f>'Necesidades Trimestrales'!B22</f>
        <v>2.1.1-595.2</v>
      </c>
      <c r="C24" s="120" t="str">
        <f>'Necesidades Trimestrales'!E22</f>
        <v>EDULCORANTES; PRESENTACION: LIQUIDO, ENVASE: BOTELLA PLASTICA, CONTENIDO: 500 CM3</v>
      </c>
      <c r="D24" s="120"/>
      <c r="E24" s="120"/>
      <c r="F24" s="120"/>
      <c r="G24" s="120"/>
      <c r="H24" s="51" t="s">
        <v>110</v>
      </c>
      <c r="I24" s="52" t="str">
        <f>'Necesidades Trimestrales'!F22</f>
        <v>BOTELLA</v>
      </c>
      <c r="J24" s="53">
        <f>'Necesidades Trimestrales'!H22</f>
        <v>320</v>
      </c>
      <c r="K24" s="54">
        <f>'Necesidades Trimestrales'!G22</f>
        <v>24</v>
      </c>
    </row>
    <row r="25" spans="1:11" ht="40.5" customHeight="1" x14ac:dyDescent="0.2">
      <c r="A25" s="55">
        <v>14</v>
      </c>
      <c r="B25" s="50" t="str">
        <f>'Necesidades Trimestrales'!B23</f>
        <v>2.1.1-2868.59</v>
      </c>
      <c r="C25" s="120" t="str">
        <f>'Necesidades Trimestrales'!E23</f>
        <v>FIDEOS SECOS; VARIEDAD: MOSTACHOLES, RELLENO: SIN, PRESENTACION: ENVASE X 500 GR, MATERIAL ENVASE: PVC, ELEM. TRANSPORTE: CAJA, MATERIAL ELEM. TRANSPORTE: CARTON, CERTIFICADO FORESTAL (GFS): SIN, LIBRE DE GLUTEN: NO</v>
      </c>
      <c r="D25" s="120"/>
      <c r="E25" s="120"/>
      <c r="F25" s="120"/>
      <c r="G25" s="120"/>
      <c r="H25" s="51" t="s">
        <v>110</v>
      </c>
      <c r="I25" s="52" t="str">
        <f>'Necesidades Trimestrales'!F23</f>
        <v>PAQUETE</v>
      </c>
      <c r="J25" s="53">
        <f>'Necesidades Trimestrales'!H23</f>
        <v>90</v>
      </c>
      <c r="K25" s="54">
        <f>'Necesidades Trimestrales'!G23</f>
        <v>400</v>
      </c>
    </row>
    <row r="26" spans="1:11" ht="37.5" customHeight="1" x14ac:dyDescent="0.2">
      <c r="A26" s="49">
        <v>15</v>
      </c>
      <c r="B26" s="50" t="str">
        <f>'Necesidades Trimestrales'!B24</f>
        <v>2.1.1-2868.53</v>
      </c>
      <c r="C26" s="120" t="str">
        <f>'Necesidades Trimestrales'!E24</f>
        <v>FIDEOS SECOS; VARIEDAD: TIRABUZON, RELLENO: SIN, PRESENTACION: ENVASE X 500 GR, MATERIAL ENVASE: PLASTICO 1 (PET), ELEM. TRANSPORTE: SIN, MATERIAL ELEM. TRANSPORTE: SIN, CERTIFICADO FORESTAL (GFS): SIN, LIBRE DE GLUTEN: NO</v>
      </c>
      <c r="D26" s="120"/>
      <c r="E26" s="120"/>
      <c r="F26" s="120"/>
      <c r="G26" s="120"/>
      <c r="H26" s="51" t="s">
        <v>110</v>
      </c>
      <c r="I26" s="52" t="str">
        <f>'Necesidades Trimestrales'!F24</f>
        <v>PAQUETE</v>
      </c>
      <c r="J26" s="53">
        <f>'Necesidades Trimestrales'!H24</f>
        <v>90</v>
      </c>
      <c r="K26" s="54">
        <f>'Necesidades Trimestrales'!G24</f>
        <v>400</v>
      </c>
    </row>
    <row r="27" spans="1:11" ht="43.5" customHeight="1" x14ac:dyDescent="0.2">
      <c r="A27" s="55">
        <v>16</v>
      </c>
      <c r="B27" s="50" t="str">
        <f>'Necesidades Trimestrales'!B25</f>
        <v>2.1.1-2868.55</v>
      </c>
      <c r="C27" s="120" t="str">
        <f>'Necesidades Trimestrales'!E25</f>
        <v>FIDEOS SECOS; VARIEDAD: TALLARIN, RELLENO: SIN, PRESENTACION: ENVASE X 500 GR, MATERIAL ENVASE: PLASTICO 1 (PET), ELEM. TRANSPORTE: SIN, MATERIAL ELEM. TRANSPORTE: SIN, CERTIFICADO FORESTAL (GFS): SIN, LIBRE DE GLUTEN: NO</v>
      </c>
      <c r="D27" s="120"/>
      <c r="E27" s="120"/>
      <c r="F27" s="120"/>
      <c r="G27" s="120"/>
      <c r="H27" s="51" t="s">
        <v>110</v>
      </c>
      <c r="I27" s="52" t="str">
        <f>'Necesidades Trimestrales'!F25</f>
        <v>PAQUETE</v>
      </c>
      <c r="J27" s="53">
        <f>'Necesidades Trimestrales'!H25</f>
        <v>90</v>
      </c>
      <c r="K27" s="54">
        <f>'Necesidades Trimestrales'!G25</f>
        <v>400</v>
      </c>
    </row>
    <row r="28" spans="1:11" ht="20.25" customHeight="1" x14ac:dyDescent="0.2">
      <c r="A28" s="49">
        <v>17</v>
      </c>
      <c r="B28" s="50" t="str">
        <f>'Necesidades Trimestrales'!B26</f>
        <v>2.1.1-788.186</v>
      </c>
      <c r="C28" s="120" t="str">
        <f>'Necesidades Trimestrales'!E26</f>
        <v>GALLETITAS; VARIEDAD: SIN SAL, RELLENO: SIN, PRESENTACION: ENVASE X 180 GR, ELEM. TRANSPORTE: SIN, MATERIAL ELEM. TRANSPORTE: SIN, LIBRE DE GLUTEN: SI</v>
      </c>
      <c r="D28" s="120"/>
      <c r="E28" s="120"/>
      <c r="F28" s="120"/>
      <c r="G28" s="120"/>
      <c r="H28" s="51" t="s">
        <v>110</v>
      </c>
      <c r="I28" s="52" t="str">
        <f>'Necesidades Trimestrales'!F26</f>
        <v>PAQUETE</v>
      </c>
      <c r="J28" s="53">
        <f>'Necesidades Trimestrales'!H26</f>
        <v>99</v>
      </c>
      <c r="K28" s="54">
        <f>'Necesidades Trimestrales'!G26</f>
        <v>6</v>
      </c>
    </row>
    <row r="29" spans="1:11" ht="20.25" customHeight="1" x14ac:dyDescent="0.2">
      <c r="A29" s="55">
        <v>18</v>
      </c>
      <c r="B29" s="50" t="str">
        <f>'Necesidades Trimestrales'!B27</f>
        <v>2.1.1-510.3</v>
      </c>
      <c r="C29" s="120" t="str">
        <f>'Necesidades Trimestrales'!E27</f>
        <v>GELATINAS; TIPO: BAJAS CALORIAS, ENVASE: CAJA DE CARTON, PESO: 30 GR, SABOR: CEREZA</v>
      </c>
      <c r="D29" s="120"/>
      <c r="E29" s="120"/>
      <c r="F29" s="120"/>
      <c r="G29" s="120"/>
      <c r="H29" s="51" t="s">
        <v>110</v>
      </c>
      <c r="I29" s="52" t="str">
        <f>'Necesidades Trimestrales'!F27</f>
        <v>PAQUETE</v>
      </c>
      <c r="J29" s="53">
        <f>'Necesidades Trimestrales'!H27</f>
        <v>90</v>
      </c>
      <c r="K29" s="54">
        <f>'Necesidades Trimestrales'!G27</f>
        <v>180</v>
      </c>
    </row>
    <row r="30" spans="1:11" ht="28.5" customHeight="1" x14ac:dyDescent="0.2">
      <c r="A30" s="49">
        <v>19</v>
      </c>
      <c r="B30" s="50" t="str">
        <f>'Necesidades Trimestrales'!B28</f>
        <v>2.1.1-482.69</v>
      </c>
      <c r="C30" s="120" t="str">
        <f>'Necesidades Trimestrales'!E28</f>
        <v>HARINAS; TIPO: MAIZ, PRESENTACION: ENVASE X 1 Kg, MATERIAL ENVASE: PAPEL, CERTICADO FORESTAL (GFS): SIN, ELEM. TRANSPORTE: SIN, MATERIAL ELEM. TRANSPORTE: SIN, LIBRE DE GLUTEN: NO</v>
      </c>
      <c r="D30" s="120"/>
      <c r="E30" s="120"/>
      <c r="F30" s="120"/>
      <c r="G30" s="120"/>
      <c r="H30" s="51" t="s">
        <v>110</v>
      </c>
      <c r="I30" s="52" t="str">
        <f>'Necesidades Trimestrales'!F28</f>
        <v>PAQUETE</v>
      </c>
      <c r="J30" s="53">
        <f>'Necesidades Trimestrales'!H28</f>
        <v>139</v>
      </c>
      <c r="K30" s="54">
        <f>'Necesidades Trimestrales'!G28</f>
        <v>100</v>
      </c>
    </row>
    <row r="31" spans="1:11" ht="33.75" customHeight="1" x14ac:dyDescent="0.2">
      <c r="A31" s="55">
        <v>20</v>
      </c>
      <c r="B31" s="50" t="str">
        <f>'Necesidades Trimestrales'!B29</f>
        <v>2.1.1-482.80</v>
      </c>
      <c r="C31" s="120" t="str">
        <f>'Necesidades Trimestrales'!E29</f>
        <v>HARINAS; TIPO: DE TRIGO 000, PRESENTACION: ENVASE X 1 Kg, MATERIAL ENVASE: PAPEL, CERTICADO FORESTAL (GFS): SIN, ELEM. TRANSPORTE: SIN, MATERIAL ELEM. TRANSPORTE: SIN, LIBRE DE GLUTEN: NO</v>
      </c>
      <c r="D31" s="120"/>
      <c r="E31" s="120"/>
      <c r="F31" s="120"/>
      <c r="G31" s="120"/>
      <c r="H31" s="51" t="s">
        <v>110</v>
      </c>
      <c r="I31" s="52" t="str">
        <f>'Necesidades Trimestrales'!F29</f>
        <v>PAQUETE</v>
      </c>
      <c r="J31" s="53">
        <f>'Necesidades Trimestrales'!H29</f>
        <v>99</v>
      </c>
      <c r="K31" s="54">
        <f>'Necesidades Trimestrales'!G29</f>
        <v>100</v>
      </c>
    </row>
    <row r="32" spans="1:11" ht="30" customHeight="1" x14ac:dyDescent="0.2">
      <c r="A32" s="49">
        <v>21</v>
      </c>
      <c r="B32" s="50" t="str">
        <f>'Necesidades Trimestrales'!B30</f>
        <v>2.1.1-482.81</v>
      </c>
      <c r="C32" s="120" t="str">
        <f>'Necesidades Trimestrales'!E30</f>
        <v>HARINAS; TIPO: LEUDANTE, PRESENTACION: ENVASE X 1 Kg, MATERIAL ENVASE: PAPEL, CERTICADO FORESTAL (GFS): SIN, ELEM. TRANSPORTE: SIN, MATERIAL ELEM. TRANSPORTE: SIN, LIBRE DE GLUTEN: NO</v>
      </c>
      <c r="D32" s="120"/>
      <c r="E32" s="120"/>
      <c r="F32" s="120"/>
      <c r="G32" s="120"/>
      <c r="H32" s="51" t="s">
        <v>110</v>
      </c>
      <c r="I32" s="52" t="str">
        <f>'Necesidades Trimestrales'!F30</f>
        <v>PAQUETE</v>
      </c>
      <c r="J32" s="53">
        <f>'Necesidades Trimestrales'!H30</f>
        <v>68</v>
      </c>
      <c r="K32" s="54">
        <f>'Necesidades Trimestrales'!G30</f>
        <v>100</v>
      </c>
    </row>
    <row r="33" spans="1:11" ht="20.25" customHeight="1" x14ac:dyDescent="0.2">
      <c r="A33" s="55">
        <v>22</v>
      </c>
      <c r="B33" s="50" t="str">
        <f>'Necesidades Trimestrales'!B31</f>
        <v>2.1.1-489.96</v>
      </c>
      <c r="C33" s="120" t="str">
        <f>'Necesidades Trimestrales'!E31</f>
        <v>ESPECIAS; TIPO: LAUREL, PRESENTACION: PAQUETE X 50 GR</v>
      </c>
      <c r="D33" s="120"/>
      <c r="E33" s="120"/>
      <c r="F33" s="120"/>
      <c r="G33" s="120"/>
      <c r="H33" s="51" t="s">
        <v>110</v>
      </c>
      <c r="I33" s="52" t="str">
        <f>'Necesidades Trimestrales'!F31</f>
        <v>PAQUETE</v>
      </c>
      <c r="J33" s="53">
        <f>'Necesidades Trimestrales'!H31</f>
        <v>96</v>
      </c>
      <c r="K33" s="54">
        <f>'Necesidades Trimestrales'!G31</f>
        <v>70</v>
      </c>
    </row>
    <row r="34" spans="1:11" ht="24.75" customHeight="1" x14ac:dyDescent="0.2">
      <c r="A34" s="49">
        <v>23</v>
      </c>
      <c r="B34" s="50" t="str">
        <f>'Necesidades Trimestrales'!B32</f>
        <v>2.1.1-705.93</v>
      </c>
      <c r="C34" s="120" t="str">
        <f>'Necesidades Trimestrales'!E32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34" s="120"/>
      <c r="E34" s="120"/>
      <c r="F34" s="120"/>
      <c r="G34" s="120"/>
      <c r="H34" s="51" t="s">
        <v>110</v>
      </c>
      <c r="I34" s="52" t="str">
        <f>'Necesidades Trimestrales'!F32</f>
        <v>CAJA</v>
      </c>
      <c r="J34" s="53">
        <f>'Necesidades Trimestrales'!H32</f>
        <v>1100</v>
      </c>
      <c r="K34" s="54">
        <f>'Necesidades Trimestrales'!G32</f>
        <v>400</v>
      </c>
    </row>
    <row r="35" spans="1:11" ht="20.25" customHeight="1" x14ac:dyDescent="0.2">
      <c r="A35" s="55">
        <v>24</v>
      </c>
      <c r="B35" s="50" t="str">
        <f>'Necesidades Trimestrales'!B33</f>
        <v>2.1.1-2116.10</v>
      </c>
      <c r="C35" s="120" t="str">
        <f>'Necesidades Trimestrales'!E33</f>
        <v>LEVADURAS; TIPO: SECA INSTANTANEA, PRESENTACION: SOBRE, PESO: 20 GR</v>
      </c>
      <c r="D35" s="120"/>
      <c r="E35" s="120"/>
      <c r="F35" s="120"/>
      <c r="G35" s="120"/>
      <c r="H35" s="51" t="s">
        <v>110</v>
      </c>
      <c r="I35" s="52" t="str">
        <f>'Necesidades Trimestrales'!F33</f>
        <v>SOBRE</v>
      </c>
      <c r="J35" s="53">
        <f>'Necesidades Trimestrales'!H33</f>
        <v>80</v>
      </c>
      <c r="K35" s="54">
        <f>'Necesidades Trimestrales'!G33</f>
        <v>150</v>
      </c>
    </row>
    <row r="36" spans="1:11" ht="20.25" customHeight="1" x14ac:dyDescent="0.2">
      <c r="A36" s="49">
        <v>25</v>
      </c>
      <c r="B36" s="50" t="str">
        <f>'Necesidades Trimestrales'!B34</f>
        <v>2.1.1-489.66</v>
      </c>
      <c r="C36" s="120" t="str">
        <f>'Necesidades Trimestrales'!E34</f>
        <v>ESPECIAS; TIPO: OREGANO, PRESENTACION: BOLSA DE 1 Kg</v>
      </c>
      <c r="D36" s="120"/>
      <c r="E36" s="120"/>
      <c r="F36" s="120"/>
      <c r="G36" s="120"/>
      <c r="H36" s="51" t="s">
        <v>110</v>
      </c>
      <c r="I36" s="52" t="str">
        <f>'Necesidades Trimestrales'!F34</f>
        <v>BOLSA</v>
      </c>
      <c r="J36" s="53">
        <f>'Necesidades Trimestrales'!H34</f>
        <v>2200</v>
      </c>
      <c r="K36" s="54">
        <f>'Necesidades Trimestrales'!G34</f>
        <v>14</v>
      </c>
    </row>
    <row r="37" spans="1:11" ht="20.25" customHeight="1" x14ac:dyDescent="0.2">
      <c r="A37" s="55">
        <v>26</v>
      </c>
      <c r="B37" s="50" t="str">
        <f>'Necesidades Trimestrales'!B35</f>
        <v>2.1.1-489.97</v>
      </c>
      <c r="C37" s="120" t="str">
        <f>'Necesidades Trimestrales'!E35</f>
        <v>ESPECIAS; TIPO: PIMENTON DULCE, PRESENTACION: PAQUETE X 50 GR</v>
      </c>
      <c r="D37" s="120"/>
      <c r="E37" s="120"/>
      <c r="F37" s="120"/>
      <c r="G37" s="120"/>
      <c r="H37" s="51" t="s">
        <v>110</v>
      </c>
      <c r="I37" s="52" t="str">
        <f>'Necesidades Trimestrales'!F35</f>
        <v>SOBRE</v>
      </c>
      <c r="J37" s="53">
        <f>'Necesidades Trimestrales'!H35</f>
        <v>140</v>
      </c>
      <c r="K37" s="54">
        <f>'Necesidades Trimestrales'!G35</f>
        <v>150</v>
      </c>
    </row>
    <row r="38" spans="1:11" ht="25.5" customHeight="1" x14ac:dyDescent="0.2">
      <c r="A38" s="49">
        <v>27</v>
      </c>
      <c r="B38" s="50" t="str">
        <f>'Necesidades Trimestrales'!B36</f>
        <v>2.1.1-517.86</v>
      </c>
      <c r="C38" s="120" t="str">
        <f>'Necesidades Trimestrales'!E36</f>
        <v>POSTRES; ESTADO PREPARACION: CON COCCION, TIPO: POLVO, ENVASE: CAJA DE CARTON, PESO: 80 GR, SABOR: VAINILLA, LIBRE DE GLUTEN: SI</v>
      </c>
      <c r="D38" s="120"/>
      <c r="E38" s="120"/>
      <c r="F38" s="120"/>
      <c r="G38" s="120"/>
      <c r="H38" s="51" t="s">
        <v>110</v>
      </c>
      <c r="I38" s="52" t="str">
        <f>'Necesidades Trimestrales'!F36</f>
        <v>CAJA</v>
      </c>
      <c r="J38" s="53">
        <f>'Necesidades Trimestrales'!H36</f>
        <v>80</v>
      </c>
      <c r="K38" s="54">
        <f>'Necesidades Trimestrales'!G36</f>
        <v>180</v>
      </c>
    </row>
    <row r="39" spans="1:11" ht="20.25" customHeight="1" x14ac:dyDescent="0.2">
      <c r="A39" s="55">
        <v>28</v>
      </c>
      <c r="B39" s="50" t="str">
        <f>'Necesidades Trimestrales'!B37</f>
        <v>2.1.1-489.109</v>
      </c>
      <c r="C39" s="120" t="str">
        <f>'Necesidades Trimestrales'!E37</f>
        <v>ESPECIAS; TIPO: PROVENZAL, PRESENTACION: PAQUETE X 1 Kg</v>
      </c>
      <c r="D39" s="120"/>
      <c r="E39" s="120"/>
      <c r="F39" s="120"/>
      <c r="G39" s="120"/>
      <c r="H39" s="51" t="s">
        <v>110</v>
      </c>
      <c r="I39" s="52" t="str">
        <f>'Necesidades Trimestrales'!F37</f>
        <v>PAQUETE</v>
      </c>
      <c r="J39" s="53">
        <f>'Necesidades Trimestrales'!H37</f>
        <v>1950</v>
      </c>
      <c r="K39" s="54">
        <f>'Necesidades Trimestrales'!G37</f>
        <v>10</v>
      </c>
    </row>
    <row r="40" spans="1:11" ht="20.25" customHeight="1" x14ac:dyDescent="0.2">
      <c r="A40" s="49">
        <v>29</v>
      </c>
      <c r="B40" s="50" t="str">
        <f>'Necesidades Trimestrales'!B38</f>
        <v>2.1.1-509.10</v>
      </c>
      <c r="C40" s="120" t="str">
        <f>'Necesidades Trimestrales'!E38</f>
        <v>PURE; TIPO: DE TOMATE, ENVASE: CAJA DE CARTON, PESO: 530 GR</v>
      </c>
      <c r="D40" s="120"/>
      <c r="E40" s="120"/>
      <c r="F40" s="120"/>
      <c r="G40" s="120"/>
      <c r="H40" s="51" t="s">
        <v>110</v>
      </c>
      <c r="I40" s="52" t="str">
        <f>'Necesidades Trimestrales'!F38</f>
        <v>CAJA</v>
      </c>
      <c r="J40" s="53">
        <f>'Necesidades Trimestrales'!H38</f>
        <v>80</v>
      </c>
      <c r="K40" s="54">
        <f>'Necesidades Trimestrales'!G38</f>
        <v>350</v>
      </c>
    </row>
    <row r="41" spans="1:11" ht="20.25" customHeight="1" x14ac:dyDescent="0.2">
      <c r="A41" s="55">
        <v>30</v>
      </c>
      <c r="B41" s="50" t="str">
        <f>'Necesidades Trimestrales'!B39</f>
        <v>2.1.1-514.2</v>
      </c>
      <c r="C41" s="120" t="str">
        <f>'Necesidades Trimestrales'!E39</f>
        <v>SAL DE MESA; CONSISTENCIA: FINA, PESO: 500 GR, TIPO: SIN VALOR, ENVASE: PAQUETE</v>
      </c>
      <c r="D41" s="120"/>
      <c r="E41" s="120"/>
      <c r="F41" s="120"/>
      <c r="G41" s="120"/>
      <c r="H41" s="51" t="s">
        <v>110</v>
      </c>
      <c r="I41" s="52" t="str">
        <f>'Necesidades Trimestrales'!F39</f>
        <v>PAQUETE</v>
      </c>
      <c r="J41" s="53">
        <f>'Necesidades Trimestrales'!H39</f>
        <v>90</v>
      </c>
      <c r="K41" s="54">
        <f>'Necesidades Trimestrales'!G39</f>
        <v>350</v>
      </c>
    </row>
    <row r="42" spans="1:11" ht="20.25" customHeight="1" x14ac:dyDescent="0.2">
      <c r="A42" s="49">
        <v>31</v>
      </c>
      <c r="B42" s="50" t="str">
        <f>'Necesidades Trimestrales'!B40</f>
        <v>2.1.1-511.6</v>
      </c>
      <c r="C42" s="120" t="str">
        <f>'Necesidades Trimestrales'!E40</f>
        <v>TE; SAQUITOS 2G P/CAJA: 100, PRESENTACION: EN SAQUITOS ENSOBRADOS, PESO: SIN VALOR, TIPO: SIN VALOR</v>
      </c>
      <c r="D42" s="120"/>
      <c r="E42" s="120"/>
      <c r="F42" s="120"/>
      <c r="G42" s="120"/>
      <c r="H42" s="51" t="s">
        <v>158</v>
      </c>
      <c r="I42" s="52" t="str">
        <f>'Necesidades Trimestrales'!F40</f>
        <v>CAJA</v>
      </c>
      <c r="J42" s="53">
        <f>'Necesidades Trimestrales'!H40</f>
        <v>220</v>
      </c>
      <c r="K42" s="54">
        <f>'Necesidades Trimestrales'!G40</f>
        <v>100</v>
      </c>
    </row>
    <row r="43" spans="1:11" ht="25.5" customHeight="1" x14ac:dyDescent="0.2">
      <c r="A43" s="55">
        <v>32</v>
      </c>
      <c r="B43" s="50" t="str">
        <f>'Necesidades Trimestrales'!B41</f>
        <v>2.1.1-6546.4</v>
      </c>
      <c r="C43" s="120" t="str">
        <f>'Necesidades Trimestrales'!E41</f>
        <v>VERDURAS Y HORTALIZAS; VARIEDAD: TOMATE PERITA, ESTADO: TRITURADO, PRESENTACION: BOTELLA, PESO: 950 GR</v>
      </c>
      <c r="D43" s="120"/>
      <c r="E43" s="120"/>
      <c r="F43" s="120"/>
      <c r="G43" s="120"/>
      <c r="H43" s="51" t="s">
        <v>110</v>
      </c>
      <c r="I43" s="52" t="str">
        <f>'Necesidades Trimestrales'!F41</f>
        <v>BOTELLA</v>
      </c>
      <c r="J43" s="53">
        <f>'Necesidades Trimestrales'!H41</f>
        <v>290</v>
      </c>
      <c r="K43" s="54">
        <f>'Necesidades Trimestrales'!G41</f>
        <v>250</v>
      </c>
    </row>
    <row r="44" spans="1:11" ht="20.25" customHeight="1" x14ac:dyDescent="0.2">
      <c r="A44" s="49">
        <v>33</v>
      </c>
      <c r="B44" s="50" t="str">
        <f>'Necesidades Trimestrales'!B42</f>
        <v>2.1.1-519.23</v>
      </c>
      <c r="C44" s="120" t="str">
        <f>'Necesidades Trimestrales'!E42</f>
        <v>VINAGRES; TIPO: MANZANA, PRESENTACION: ENVASE X 1 L, MATERIAL ENVASE: PLASTICO 1 (PET)</v>
      </c>
      <c r="D44" s="120"/>
      <c r="E44" s="120"/>
      <c r="F44" s="120"/>
      <c r="G44" s="120"/>
      <c r="H44" s="51" t="s">
        <v>110</v>
      </c>
      <c r="I44" s="52" t="str">
        <f>'Necesidades Trimestrales'!F42</f>
        <v>BOTELLA</v>
      </c>
      <c r="J44" s="53">
        <f>'Necesidades Trimestrales'!H42</f>
        <v>110</v>
      </c>
      <c r="K44" s="54">
        <f>'Necesidades Trimestrales'!G42</f>
        <v>25</v>
      </c>
    </row>
    <row r="45" spans="1:11" ht="26.25" customHeight="1" x14ac:dyDescent="0.2">
      <c r="A45" s="55">
        <v>34</v>
      </c>
      <c r="B45" s="50" t="str">
        <f>'Necesidades Trimestrales'!B43</f>
        <v>2.1.1-454.28</v>
      </c>
      <c r="C45" s="120" t="str">
        <f>'Necesidades Trimestrales'!E43</f>
        <v>YERBAS; PALO: SIN, PESO: 1 Kg, MATERIAL ENVASE : PAPEL, CERTIFICADO FORESTAL (GFS): CON, ELEM. TRANSPORTE: SIN, MATERIAL ELEM. TRANSPORTE: SIN, LIBRE DE GLUTEN: SI</v>
      </c>
      <c r="D45" s="120"/>
      <c r="E45" s="120"/>
      <c r="F45" s="120"/>
      <c r="G45" s="120"/>
      <c r="H45" s="51" t="s">
        <v>110</v>
      </c>
      <c r="I45" s="52" t="str">
        <f>'Necesidades Trimestrales'!F43</f>
        <v>PAQUETE</v>
      </c>
      <c r="J45" s="53">
        <f>'Necesidades Trimestrales'!H43</f>
        <v>700</v>
      </c>
      <c r="K45" s="54">
        <f>'Necesidades Trimestrales'!G43</f>
        <v>150</v>
      </c>
    </row>
    <row r="46" spans="1:11" ht="26.25" customHeight="1" x14ac:dyDescent="0.2">
      <c r="A46" s="49">
        <v>35</v>
      </c>
      <c r="B46" s="50" t="str">
        <f>'Necesidades Trimestrales'!B44</f>
        <v>2.1.1-6547.70</v>
      </c>
      <c r="C46" s="120" t="str">
        <f>'Necesidades Trimestrales'!E44</f>
        <v>LEGUMBRES: VARIEDAD; LENTEJA, ESTADO: SECO, PRESENTACION: BOLSA, PESO: 1 KG.</v>
      </c>
      <c r="D46" s="120"/>
      <c r="E46" s="120"/>
      <c r="F46" s="120"/>
      <c r="G46" s="120"/>
      <c r="H46" s="51" t="s">
        <v>110</v>
      </c>
      <c r="I46" s="52" t="str">
        <f>'Necesidades Trimestrales'!F44</f>
        <v>BOLSA</v>
      </c>
      <c r="J46" s="53">
        <f>'Necesidades Trimestrales'!H44</f>
        <v>250</v>
      </c>
      <c r="K46" s="54">
        <f>'Necesidades Trimestrales'!G44</f>
        <v>150</v>
      </c>
    </row>
    <row r="47" spans="1:11" ht="26.25" customHeight="1" x14ac:dyDescent="0.2">
      <c r="A47" s="55">
        <v>36</v>
      </c>
      <c r="B47" s="50" t="str">
        <f>'Necesidades Trimestrales'!B45</f>
        <v>2.1.1-2616.9</v>
      </c>
      <c r="C47" s="120" t="str">
        <f>'Necesidades Trimestrales'!E45</f>
        <v>MAIZ; TIPO: BLANCO PISADO, PRESENTACION: ENVASE X 500 GR, FORMA DE PRESENTACION: SIN VALOR</v>
      </c>
      <c r="D47" s="120"/>
      <c r="E47" s="120"/>
      <c r="F47" s="120"/>
      <c r="G47" s="120"/>
      <c r="H47" s="51" t="s">
        <v>110</v>
      </c>
      <c r="I47" s="52" t="str">
        <f>'Necesidades Trimestrales'!F45</f>
        <v xml:space="preserve">PAQUETE </v>
      </c>
      <c r="J47" s="53">
        <f>'Necesidades Trimestrales'!H45</f>
        <v>160</v>
      </c>
      <c r="K47" s="54">
        <f>'Necesidades Trimestrales'!G45</f>
        <v>150</v>
      </c>
    </row>
    <row r="48" spans="1:11" ht="26.25" customHeight="1" x14ac:dyDescent="0.2">
      <c r="A48" s="49">
        <v>37</v>
      </c>
      <c r="B48" s="50" t="str">
        <f>'Necesidades Trimestrales'!B46</f>
        <v>2.1.1-6547.56</v>
      </c>
      <c r="C48" s="120" t="str">
        <f>'Necesidades Trimestrales'!E46</f>
        <v>LEGUMBRES; VARIEDAD: POROTO BLANCO OVAL, ESTADO: SECO, PRESENTACION: BOLSA, PESO: 500 GR</v>
      </c>
      <c r="D48" s="120"/>
      <c r="E48" s="120"/>
      <c r="F48" s="120"/>
      <c r="G48" s="120"/>
      <c r="H48" s="51" t="s">
        <v>110</v>
      </c>
      <c r="I48" s="52" t="str">
        <f>'Necesidades Trimestrales'!F46</f>
        <v>BOLSA</v>
      </c>
      <c r="J48" s="53">
        <f>'Necesidades Trimestrales'!H46</f>
        <v>250</v>
      </c>
      <c r="K48" s="54">
        <f>'Necesidades Trimestrales'!G46</f>
        <v>150</v>
      </c>
    </row>
    <row r="49" spans="1:11" ht="26.25" customHeight="1" thickBot="1" x14ac:dyDescent="0.25">
      <c r="A49" s="55">
        <v>38</v>
      </c>
      <c r="B49" s="50" t="str">
        <f>'Necesidades Trimestrales'!B47</f>
        <v>2.1.1-489.181</v>
      </c>
      <c r="C49" s="120" t="str">
        <f>'Necesidades Trimestrales'!E47</f>
        <v>ESPECIAS; TIPO: NUEZ MOSCADA, PRESENTACION: ENVASE X 25 GR, LIBRE DE GLUTEN: SI</v>
      </c>
      <c r="D49" s="120"/>
      <c r="E49" s="120"/>
      <c r="F49" s="120"/>
      <c r="G49" s="120"/>
      <c r="H49" s="51" t="s">
        <v>110</v>
      </c>
      <c r="I49" s="52" t="str">
        <f>'Necesidades Trimestrales'!F47</f>
        <v>UNIDAD</v>
      </c>
      <c r="J49" s="53">
        <f>'Necesidades Trimestrales'!H47</f>
        <v>110</v>
      </c>
      <c r="K49" s="54">
        <f>'Necesidades Trimestrales'!G47</f>
        <v>100</v>
      </c>
    </row>
    <row r="50" spans="1:11" ht="20.25" customHeight="1" thickBot="1" x14ac:dyDescent="0.25">
      <c r="A50" s="117" t="s">
        <v>150</v>
      </c>
      <c r="B50" s="117"/>
      <c r="C50" s="117"/>
      <c r="D50" s="117"/>
      <c r="E50" s="117"/>
      <c r="F50" s="117"/>
      <c r="G50" s="117"/>
      <c r="H50" s="117"/>
      <c r="I50" s="117"/>
      <c r="J50" s="118">
        <f>SUMPRODUCT(J12:J49,K12:K49)</f>
        <v>1904744</v>
      </c>
      <c r="K50" s="118"/>
    </row>
  </sheetData>
  <mergeCells count="60">
    <mergeCell ref="C46:G46"/>
    <mergeCell ref="C47:G47"/>
    <mergeCell ref="C48:G48"/>
    <mergeCell ref="C49:G49"/>
    <mergeCell ref="C43:G43"/>
    <mergeCell ref="C44:G44"/>
    <mergeCell ref="C45:G45"/>
    <mergeCell ref="C42:G42"/>
    <mergeCell ref="C41:G41"/>
    <mergeCell ref="C38:G38"/>
    <mergeCell ref="C39:G39"/>
    <mergeCell ref="C40:G40"/>
    <mergeCell ref="C36:G36"/>
    <mergeCell ref="C34:G34"/>
    <mergeCell ref="C35:G35"/>
    <mergeCell ref="C37:G37"/>
    <mergeCell ref="C26:G26"/>
    <mergeCell ref="C27:G27"/>
    <mergeCell ref="C31:G31"/>
    <mergeCell ref="C32:G32"/>
    <mergeCell ref="C33:G33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0:I50"/>
    <mergeCell ref="J50:K50"/>
    <mergeCell ref="C12:G12"/>
    <mergeCell ref="C13:G13"/>
    <mergeCell ref="C14:G14"/>
    <mergeCell ref="C15:G15"/>
    <mergeCell ref="C16:G16"/>
    <mergeCell ref="C17:G17"/>
    <mergeCell ref="C18:G18"/>
    <mergeCell ref="C19:G19"/>
    <mergeCell ref="C22:G22"/>
    <mergeCell ref="C23:G23"/>
    <mergeCell ref="C24:G24"/>
    <mergeCell ref="C20:G20"/>
    <mergeCell ref="C21:G21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10" sqref="A10:Q10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52" t="s">
        <v>3</v>
      </c>
      <c r="B1" s="152"/>
      <c r="C1" s="152"/>
      <c r="D1" s="153">
        <f>'Necesidades Trimestrales'!C6</f>
        <v>2022</v>
      </c>
      <c r="E1" s="153"/>
      <c r="F1" s="3"/>
      <c r="G1" s="3"/>
      <c r="H1" s="4"/>
      <c r="I1" s="4"/>
      <c r="J1" s="4"/>
      <c r="K1" s="4"/>
      <c r="L1" s="4"/>
      <c r="M1" s="4"/>
      <c r="N1" s="4"/>
      <c r="P1" s="154" t="s">
        <v>25</v>
      </c>
      <c r="Q1" s="154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54"/>
      <c r="Q2" s="154"/>
    </row>
    <row r="4" spans="1:17" s="5" customFormat="1" ht="18" customHeight="1" thickBot="1" x14ac:dyDescent="0.25">
      <c r="A4" s="155" t="s">
        <v>26</v>
      </c>
      <c r="B4" s="155"/>
      <c r="C4" s="155"/>
      <c r="D4" s="155"/>
      <c r="E4" s="155"/>
      <c r="F4" s="155"/>
      <c r="G4" s="150" t="str">
        <f>' NotaPedido'!D3</f>
        <v>040 - Ministerio de Salud</v>
      </c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1:17" s="5" customFormat="1" ht="18" customHeight="1" thickBot="1" x14ac:dyDescent="0.25">
      <c r="A5" s="147" t="s">
        <v>49</v>
      </c>
      <c r="B5" s="148"/>
      <c r="C5" s="148"/>
      <c r="D5" s="148"/>
      <c r="E5" s="148"/>
      <c r="F5" s="149"/>
      <c r="G5" s="150" t="str">
        <f>' NotaPedido'!D4</f>
        <v>024 - Hospital Interzonal de Niños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1:17" s="5" customFormat="1" ht="18" customHeight="1" thickBot="1" x14ac:dyDescent="0.25">
      <c r="A6" s="147" t="s">
        <v>27</v>
      </c>
      <c r="B6" s="148"/>
      <c r="C6" s="148"/>
      <c r="D6" s="148"/>
      <c r="E6" s="148"/>
      <c r="F6" s="149"/>
      <c r="G6" s="150" t="str">
        <f>' NotaPedido'!D5</f>
        <v>024 - Hospital Interzonal de Niños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</row>
    <row r="7" spans="1:17" s="5" customFormat="1" ht="18" customHeight="1" thickBot="1" x14ac:dyDescent="0.25">
      <c r="A7" s="147" t="s">
        <v>50</v>
      </c>
      <c r="B7" s="148"/>
      <c r="C7" s="148"/>
      <c r="D7" s="148"/>
      <c r="E7" s="148"/>
      <c r="F7" s="149"/>
      <c r="G7" s="150" t="str">
        <f>' NotaPedido'!D6</f>
        <v>Servicio de Alimentacion y Dietoterapia</v>
      </c>
      <c r="H7" s="150"/>
      <c r="I7" s="150"/>
      <c r="J7" s="150"/>
      <c r="K7" s="150"/>
      <c r="L7" s="150"/>
      <c r="M7" s="150"/>
      <c r="N7" s="150"/>
      <c r="O7" s="150"/>
      <c r="P7" s="150"/>
      <c r="Q7" s="150"/>
    </row>
    <row r="8" spans="1:17" ht="18" customHeight="1" thickBot="1" x14ac:dyDescent="0.25">
      <c r="A8" s="151" t="s">
        <v>28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</row>
    <row r="9" spans="1:17" ht="18" customHeight="1" x14ac:dyDescent="0.2">
      <c r="A9" s="141" t="s">
        <v>29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"/>
      <c r="P9" s="1"/>
      <c r="Q9" s="6"/>
    </row>
    <row r="10" spans="1:17" ht="54.75" customHeight="1" x14ac:dyDescent="0.2">
      <c r="A10" s="142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032/2022,  afectando la erogación resultante a los créditos presupuestarios aprobados a favor de esta Unidad Ejecutora, conforme al siguiente detalle: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3" t="s">
        <v>30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</row>
    <row r="13" spans="1:17" ht="15.75" customHeight="1" x14ac:dyDescent="0.2">
      <c r="A13" s="144" t="s">
        <v>31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5" t="s">
        <v>32</v>
      </c>
      <c r="P13" s="145"/>
      <c r="Q13" s="146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45"/>
      <c r="P14" s="145"/>
      <c r="Q14" s="146"/>
    </row>
    <row r="15" spans="1:17" ht="17.25" customHeight="1" x14ac:dyDescent="0.2">
      <c r="A15" s="58">
        <v>36</v>
      </c>
      <c r="B15" s="59"/>
      <c r="C15" s="59"/>
      <c r="D15" s="59">
        <v>1</v>
      </c>
      <c r="E15" s="59"/>
      <c r="F15" s="59">
        <v>4901</v>
      </c>
      <c r="G15" s="59">
        <v>3</v>
      </c>
      <c r="H15" s="59">
        <v>310</v>
      </c>
      <c r="I15" s="60" t="str">
        <f>LEFT('Necesidades Trimestrales'!D10,1)</f>
        <v>2</v>
      </c>
      <c r="J15" s="60" t="str">
        <f>MID('Necesidades Trimestrales'!D10,3,1)</f>
        <v>1</v>
      </c>
      <c r="K15" s="60" t="str">
        <f>RIGHT('Necesidades Trimestrales'!D10,1)</f>
        <v>1</v>
      </c>
      <c r="L15" s="59"/>
      <c r="M15" s="61">
        <v>1</v>
      </c>
      <c r="N15" s="62" t="s">
        <v>108</v>
      </c>
      <c r="O15" s="139" t="s">
        <v>109</v>
      </c>
      <c r="P15" s="140"/>
      <c r="Q15" s="16">
        <v>1904744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34"/>
      <c r="P16" s="134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4"/>
      <c r="P17" s="134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4"/>
      <c r="P18" s="13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4"/>
      <c r="P19" s="13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4"/>
      <c r="P20" s="13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35"/>
      <c r="P21" s="13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36"/>
      <c r="P22" s="136"/>
      <c r="Q22" s="30"/>
    </row>
    <row r="23" spans="1:18" ht="29.25" customHeight="1" x14ac:dyDescent="0.2">
      <c r="A23" s="137" t="s">
        <v>148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31">
        <f>SUM(Q15:Q22)</f>
        <v>1904744</v>
      </c>
    </row>
    <row r="24" spans="1:18" ht="18" customHeight="1" thickBot="1" x14ac:dyDescent="0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</row>
    <row r="25" spans="1:18" ht="17.25" customHeight="1" thickBot="1" x14ac:dyDescent="0.25">
      <c r="A25" s="129" t="s">
        <v>47</v>
      </c>
      <c r="B25" s="130"/>
      <c r="C25" s="130"/>
      <c r="D25" s="130"/>
      <c r="E25" s="130"/>
      <c r="F25" s="131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  <row r="26" spans="1:18" ht="18" customHeight="1" thickBot="1" x14ac:dyDescent="0.25">
      <c r="A26" s="133" t="s">
        <v>135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</row>
    <row r="27" spans="1:18" ht="15" customHeight="1" x14ac:dyDescent="0.2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2022-02-22T12:33:54Z</cp:lastPrinted>
  <dcterms:created xsi:type="dcterms:W3CDTF">2020-07-17T23:44:49Z</dcterms:created>
  <dcterms:modified xsi:type="dcterms:W3CDTF">2022-02-25T15:42:30Z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