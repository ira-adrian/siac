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80205-CAT-DPPR#MHP\"/>
    </mc:Choice>
  </mc:AlternateContent>
  <xr:revisionPtr revIDLastSave="0" documentId="8_{F8C0A270-85C0-467E-8BE7-8B1870AA15BB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Print_Area" localSheetId="0">'Necesidades Trimestrales'!$E$9:$E$53</definedName>
  </definedNames>
  <calcPr calcId="181029"/>
</workbook>
</file>

<file path=xl/calcChain.xml><?xml version="1.0" encoding="utf-8"?>
<calcChain xmlns="http://schemas.openxmlformats.org/spreadsheetml/2006/main">
  <c r="I10" i="1" l="1"/>
  <c r="I11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</calcChain>
</file>

<file path=xl/sharedStrings.xml><?xml version="1.0" encoding="utf-8"?>
<sst xmlns="http://schemas.openxmlformats.org/spreadsheetml/2006/main" count="269" uniqueCount="140">
  <si>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</si>
  <si>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</si>
  <si>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</si>
  <si>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</si>
  <si>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</si>
  <si>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</si>
  <si>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</si>
  <si>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</si>
  <si>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</si>
  <si>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</si>
  <si>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</si>
  <si>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</si>
  <si>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</si>
  <si>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</si>
  <si>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</si>
  <si>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ALIMENTOS</t>
  </si>
  <si>
    <t>2.1.1</t>
  </si>
  <si>
    <t>KG.</t>
  </si>
  <si>
    <t>2.1.1-6546.207</t>
  </si>
  <si>
    <t>VERDURAS Y HORTALIZAS; VARIEDAD: BATATA, ESTADO: NATURAL, PRESENTACION: BOLSA, PESO: 10 Kg</t>
  </si>
  <si>
    <t>VERDURAS Y HORTALIZAS; VARIEDAD: BERENJENA, ESTADO: NATURAL, PRESENTACION: GRANEL, PESO: SIN VALOR</t>
  </si>
  <si>
    <t>2.1.1-6546.177</t>
  </si>
  <si>
    <t>VERDURAS Y HORTALIZAS; VARIEDAD: CEBOLLA, ESTADO: NATURAL, PRESENTACION: BOLSA, PESO: 20 Kg</t>
  </si>
  <si>
    <t>2.1.1-6546.236</t>
  </si>
  <si>
    <t>CARNES; TIPO: PORCINA, CORTE: COSTELETA</t>
  </si>
  <si>
    <t>2.1.1-541.164</t>
  </si>
  <si>
    <t>CARNES; ESPECIE: VACUNA, CORTE: CUADRIL, TIPO: VACUNA</t>
  </si>
  <si>
    <t>2.1.1-541.27</t>
  </si>
  <si>
    <t>AVES; TIPO: POLLO, PRESENTACION: PATA MUSLO, EVISCERADO: SI, ELEM. TRANSPORTE: SIN, MATERIAL ELEM. TRANSPORTE: SIN, LIBRE DE GLUTEN: SIN VALOR</t>
  </si>
  <si>
    <t>2.1.1-621.19</t>
  </si>
  <si>
    <t>CAJON</t>
  </si>
  <si>
    <t>HUEVO DE GALLINA; TAMAÑO: GRANDE, COLOR: COLOR, PRESENTACION: 30 UN</t>
  </si>
  <si>
    <t>2.1.1-483.37</t>
  </si>
  <si>
    <t>VERDURAS Y HORTALIZAS; VARIEDAD: LECHUGA ARREPOLLADA, ESTADO: NATURAL, PRESENTACION: A GRANEL, PESO: 300 GR CADA PLANTA, ELEM. TRANSPORTE: SIN, MATERIAL ELEM. TRANSPORTE: SIN, LIBRE DE GLUTEN: SI</t>
  </si>
  <si>
    <t>2.1.1-6546.374</t>
  </si>
  <si>
    <t>FRUTAS; ESTADO: NATURAL, VARIEDAD: NARANJA PARA JUGO, PRESENTACION: A GRANEL, PESO: SIN VALOR</t>
  </si>
  <si>
    <t>2.1.1-6539.7</t>
  </si>
  <si>
    <t>PANES; TIPO: RALLADO, PRESENTACION: BOLSA DE 1000 GR</t>
  </si>
  <si>
    <t>2.1.1-669.25</t>
  </si>
  <si>
    <t>AVES; ESPECIE: PECHUGA DE POLLO, PRESENTACION: A GRANEL, EVISCERADO: SIN MENUDOS, TIPO: PECHUGA DE POLLO</t>
  </si>
  <si>
    <t>2.1.1-621.15</t>
  </si>
  <si>
    <t>VERDURAS Y HORTALIZAS; VARIEDAD: MORRON VERDE, ESTADO: NATURAL, PRESENTACION: GRANEL, PESO: SIN VALOR</t>
  </si>
  <si>
    <t>2.1.1-6546.95</t>
  </si>
  <si>
    <t>QUESOS; TIPO: CREMOSO, PRESENTACION: AL PESO, ELEM. TRANSPORTE: SIN, MATERIAL ELEM. TRANSPORTE: SIN, MATERIAL ENVASE: SIN, CERTIFICADO FORESTAL (GFS): SIN, LIBRE DE GLUTEN: A DEFINIR</t>
  </si>
  <si>
    <t>2.1.1-542.236</t>
  </si>
  <si>
    <t>QUESOS; TIPO: TYBO, PRESENTACION: HORMA, ELEM. TRANSPORTE: SIN, MATERIAL ELEM. TRANSPORTE: SIN, MATERIAL ENVASE: PLASTICO, CERTIFICADO FORESTAL (GFS): SIN, LIBRE DE GLUTEN: NO</t>
  </si>
  <si>
    <t>2.1.1-542.197</t>
  </si>
  <si>
    <t>VERDURAS Y HORTALIZAS; PESO: SIN VALOR, VARIEDAD: REMOLACHA, ESTADO: NATURAL, PRESENTACION: GRANEL</t>
  </si>
  <si>
    <t>2.1.1-6546.124</t>
  </si>
  <si>
    <t>TAPAS P/EMPANADAS; TIPO: P/HORNO, PRESENTACION: BOLSA X 12</t>
  </si>
  <si>
    <t>2.1.1-2610.1</t>
  </si>
  <si>
    <t>TAPAS P/TARTAS; TIPO: REDONDA, MASA: CASERA, PRESENTACION: BOLSA</t>
  </si>
  <si>
    <t>2.1.1-2429.1</t>
  </si>
  <si>
    <t>YOGHURT; TIPO: DESCREMADO, AGREGADO: SIN, CONSISTENCIA: FIRME, SABOR: VAINILLA-FRUTILLA, PRESENTACION: POTE PLASTICO X 190 mL</t>
  </si>
  <si>
    <t>2.1.1-456.91</t>
  </si>
  <si>
    <t>2.1.1-456.90</t>
  </si>
  <si>
    <t>YOGHURT; TIPO: ENTERO, AGREGADO: SIN, CONSISTENCIA: FIRME, SABOR: VAINILLA-FRUTILLA, PRESENTACION: POTE PLASTICO X 190 mL</t>
  </si>
  <si>
    <t>VERDURAS Y HORTALIZAS; ESTADO: NATURAL, PRESENTACION: GRANEL, PESO: SIN VALOR, VARIEDAD: ZAPALLO CRIOLLO</t>
  </si>
  <si>
    <t>2.1.1-6546.188</t>
  </si>
  <si>
    <t>024 - Hospital Interzonal de Niños</t>
  </si>
  <si>
    <t>040 - Ministerio de Salud</t>
  </si>
  <si>
    <t>FRUTAS; VARIEDAD: LIMON, ESTADO: NATURAL, PRESENTACION: CAJON X 1 Kg, PESO: 1 Kg</t>
  </si>
  <si>
    <t>2.1.1-6539.84</t>
  </si>
  <si>
    <t>PASTAS FRESCAS; VARIEDAD: RAVIOL, RELLENO: VERDURA Y POLLO, PRESENTACION: ENVASE X 500 GR</t>
  </si>
  <si>
    <t>2.1.1-707.38</t>
  </si>
  <si>
    <t>PANES; TIPO: FRANCES, PRESENTACION: ENVASE X 1 Kg</t>
  </si>
  <si>
    <t>2.1.1-669.64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</si>
  <si>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</si>
  <si>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t>FRUTAS; VARIEDAD: BANANA, ESTADO: NATURAL, PRESENTACION: ENVASE X 15 Kg, ELEM. TRANSPORTE: CAJON, MATERIAL ELEM. TRANSPORTE: CARTON</t>
  </si>
  <si>
    <t>2.1.1-6539.171</t>
  </si>
  <si>
    <t>PESCADOS Y FRUTOS CONGELADOS; TIPO: FILET DE MERLUZA, ENVASE: POLIESTIRENO, PRESENTACION: ENVASE X 1 Kg, ELEM. TRANSPORTE: SIN, MATERIAL ELEM. TRANSPORTE: SIN</t>
  </si>
  <si>
    <t>2.1.1-590.27</t>
  </si>
  <si>
    <t>FIAMBRES; TIPO: JAMON COCIDO ITALIANO, PRESENTACION: AL PESO</t>
  </si>
  <si>
    <t>2.1.1-969.35</t>
  </si>
  <si>
    <t>VERDURAS Y HORTALIZAS; VARIEDAD: ZAPALLITO REDONDO, ESTADO: NATURAL, PRESENTACION: SIN VALOR, PESO: 20 Kg</t>
  </si>
  <si>
    <t>2.1.1-6546.240</t>
  </si>
  <si>
    <t xml:space="preserve"> </t>
  </si>
  <si>
    <t>ADEREZOS; TIPO: MAYONESA LIGHT, PRESENTACION: ENVASE X 475 GR, LIBRE DE GLUTEN: SIN VALOR</t>
  </si>
  <si>
    <t>2.1.1-438.83</t>
  </si>
  <si>
    <t>2.1.1-438.79</t>
  </si>
  <si>
    <t>ADEREZOS; TIPO: SALSA DE SOJA, PRESENTACION: ENVASE X 1 L, LIBRE DE GLUTEN: SIN VALOR</t>
  </si>
  <si>
    <t>2.1.1-541.70</t>
  </si>
  <si>
    <t>CARNES; CORTE: CARRE CON LOMO, TIPO: PORCINA, ESPECIE: PORCINA</t>
  </si>
  <si>
    <t>KG</t>
  </si>
  <si>
    <t>2.1.1-541.20</t>
  </si>
  <si>
    <t>CARNES; CORTE: TAPA DE NALGA, ESPECIE: VACUNA, TIPO: VACUNA</t>
  </si>
  <si>
    <t>2.1.1-541.7</t>
  </si>
  <si>
    <t>CARNES; ESPECIE: VACUNA, CORTE: PICADA ESPECIAL, TIPO: VACUNA</t>
  </si>
  <si>
    <t>2.1.1-6539.19</t>
  </si>
  <si>
    <t>FRUTAS: ESTADO: NATURAL VARIEDAD: MANZANA RED ELEGIDA, PRESENTACION: CAJON PESO: SIN VALOR</t>
  </si>
  <si>
    <t>2.1.1-6539.32</t>
  </si>
  <si>
    <t>FRUTAS; VARIEDAD: PERA AMARILLA, ESTADO: NATURAL, PRESENTACION: CAJON, PESO: SIN VALOR</t>
  </si>
  <si>
    <t>2.1.1-542.207</t>
  </si>
  <si>
    <t>QUESOS; TIPO: SARDO, PRESENTACION: HORMA X 3 Kg, ELEM. TRANSPORTE: SIN, MATERIAL ELEM. TRANSPORTE: SIN, MATERIAL ENVASE: SIN, CERTIFICADO FORESTAL (GFS): SIN, LIBRE DE GLUTEN: NO</t>
  </si>
  <si>
    <t>2.1.1-6546.154</t>
  </si>
  <si>
    <r>
      <rPr>
        <sz val="11"/>
        <color rgb="FF000000"/>
        <rFont val="Calibri"/>
        <family val="2"/>
      </rPr>
      <t>VERDURAS Y HORTALIZAS; ESTADO: NATURAL, PESO: SIN VALOR, VARIEDAD: AJO, PRESENTA</t>
    </r>
    <r>
      <rPr>
        <sz val="11"/>
        <color rgb="FF000000"/>
        <rFont val="Calibri"/>
        <family val="2"/>
      </rPr>
      <t>CION: UNIDAD</t>
    </r>
  </si>
  <si>
    <t>2.1.1-6546.100</t>
  </si>
  <si>
    <t>VERDURAS Y HORTALIZAS; ESTADO: NATURAL, PRESENTACION: GRANEL, VARIEDAD: PAPA BLANCA, PESO: SIN VALOR</t>
  </si>
  <si>
    <t>2.1.1-6546.158</t>
  </si>
  <si>
    <t>VERDURAS Y HORTALIZAS; ESTADO: NATURAL, VARIEDAD: ZAPALLO ANCO, PRESENTACION: GRANEL, PESO: SIN VALOR</t>
  </si>
  <si>
    <t>2.1.1-6546.335</t>
  </si>
  <si>
    <t>VERDURAS Y HORTALIZAS; VARIEDAD: PAPA BLANCA, ESTADO: NATURAL, PRESENTACION: BOLSA, PESO: 25 Kg</t>
  </si>
  <si>
    <t>2.1.1-6546.133</t>
  </si>
  <si>
    <t>VERDURAS Y HORTALIZAS; VARIEDAD: PEREJIL, ESTADO: NATURAL, PRESENTACION: ATADO, PESO: 1 Kg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</si>
  <si>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</si>
  <si>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</si>
  <si>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2.1.1-6546.231</t>
  </si>
  <si>
    <t>VERDURAS Y HORTALIZAS; VARIEDAD: ZAPALLO ANCO, ESTADO: NATURAL, PRESENTACION: BOLSA, PESO: 20 Kg</t>
  </si>
  <si>
    <t>2.1.1-6546.298</t>
  </si>
  <si>
    <t>VERDURAS Y HORTALIZAS; VARIEDAD: ZUCHINI, ESTADO: NATURAL, PRESENTACION: CAJON, PESO: 18 Kg</t>
  </si>
  <si>
    <t>2.1.1-438.93</t>
  </si>
  <si>
    <t>ADEREZOS; TIPO: MOSTAZA, PRESENTACION: ENVASE X 1 Kg, LIBRE DE GLUTEN: NO</t>
  </si>
  <si>
    <t>CAJA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</si>
  <si>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ALIMENTACION Y DIETOTERAPIA -HOSPITAL INT. DE NIÑOS EVA PERON – AV. VIRGEN DEL VALLE N° 1050-CATAMARCA DE 8:00 A 12:00HS., DEBIENDO CORRER LOS GASTOS DE FLETES, ACARREO, CARGA, DESCARGA Y SEGURO A CARGO DEL ADJUDICATARIO.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</si>
  <si>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Las entregas se realizarán a requerimiento de acuerdo, a las Solicitudes de Provisión que se realicen. Se estima emitir una cantidad aproximada de Tres (3) Solicitudes de Provisión de un tercio (1/3) aprox. de la cantidad total solicitada, en un plazo de Tres (3) meses: 1° Solic.de Provisión: aprox.a los tres (3) dias hábiles de la firma del instrumento contractual. 2° Solic.de Provisión: al mes de la firma del instrumento contractual. Y 3° Solic.de Provisión: a los dos meses de la firma del instrumento contractual. Plazo de cumplimiento de cada Solicitud de Provisión: desde los 2 días hábiles de notificada la misma, según necesidades del Organismo solicitante. Forma de Pago: Se solicita Pagos parciales por cada Solicitud de Provisión emitida, una vez finalizada la entrega de las cantidades contenidas en la misma.</t>
    </r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</si>
  <si>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Treinta (30) Días</t>
    </r>
  </si>
  <si>
    <t>ITEM 3:</t>
  </si>
  <si>
    <t>ITEM 10:</t>
  </si>
  <si>
    <t>ITEM 14:</t>
  </si>
  <si>
    <t>ITEM 15:</t>
  </si>
  <si>
    <t>ITEM 21:</t>
  </si>
  <si>
    <t>ITEM 22:</t>
  </si>
  <si>
    <t>ITEM 25:</t>
  </si>
  <si>
    <t>ITEM 36:</t>
  </si>
  <si>
    <t>ITEM 43:</t>
  </si>
  <si>
    <t>PRESENTACION EN CAJA DE 20 KG.</t>
  </si>
  <si>
    <t xml:space="preserve">PRESENTACION EN CAJON DE 20 KG. </t>
  </si>
  <si>
    <t>PRESENTACION  EN CAJON DE 15 KG.</t>
  </si>
  <si>
    <t>UNIDAD = 30 HUEVOS</t>
  </si>
  <si>
    <t>PRESENTACION EN HORMA DE 3 KG.</t>
  </si>
  <si>
    <t>PRESENTACION  EN HORMA DE 3 KG.</t>
  </si>
  <si>
    <t>PRESENTACION EN RISTRA DE 50 CABEZAS DE AJO APROX.</t>
  </si>
  <si>
    <t>PRESENTACION EN CAJON DE 20 KG.</t>
  </si>
  <si>
    <t>ITEM 4:</t>
  </si>
  <si>
    <t>ITEM 5:</t>
  </si>
  <si>
    <t>ITEM 6:</t>
  </si>
  <si>
    <t>ITEM 8:</t>
  </si>
  <si>
    <t>DESHUESADO EN PEDAZO DE ENTRE 8 Y 10 KG. APROX.</t>
  </si>
  <si>
    <t>EN BIFES CORTADOS DE 200 G. A 250 G. APROX. CADA UNO.</t>
  </si>
  <si>
    <t>COSTELETA CORTADA DE 200 G. A 250 G. APROX. CADA UNA.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</si>
</sst>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9" formatCode="&quot;$&quot;#,##0.00"/>
  </numFmts>
  <fonts count="1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9"/>
      <color rgb="FF000000"/>
      <name val="Century Gothic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  <xf numFmtId="0" fontId="4" fillId="0" borderId="0"/>
  </cellStyleXfs>
  <cellXfs count="61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166" fontId="5" fillId="0" borderId="0" xfId="0" applyNumberFormat="1" applyFont="1"/>
    <xf numFmtId="0" fontId="12" fillId="4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166" fontId="10" fillId="4" borderId="13" xfId="1" applyNumberFormat="1" applyFont="1" applyFill="1" applyBorder="1" applyAlignment="1" applyProtection="1">
      <alignment horizontal="right" vertical="center" wrapText="1"/>
    </xf>
    <xf numFmtId="0" fontId="10" fillId="3" borderId="17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center" vertical="center" wrapText="1"/>
    </xf>
    <xf numFmtId="0" fontId="0" fillId="3" borderId="18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vertical="center" wrapText="1"/>
    </xf>
    <xf numFmtId="0" fontId="0" fillId="3" borderId="18" xfId="0" applyFont="1" applyFill="1" applyBorder="1" applyAlignment="1">
      <alignment wrapText="1"/>
    </xf>
    <xf numFmtId="0" fontId="0" fillId="3" borderId="19" xfId="0" applyFont="1" applyFill="1" applyBorder="1" applyAlignment="1">
      <alignment horizontal="center" vertical="center" wrapText="1"/>
    </xf>
    <xf numFmtId="0" fontId="0" fillId="3" borderId="19" xfId="0" applyFont="1" applyFill="1" applyBorder="1" applyAlignment="1">
      <alignment horizontal="center" vertical="center"/>
    </xf>
    <xf numFmtId="0" fontId="0" fillId="3" borderId="19" xfId="0" applyFont="1" applyFill="1" applyBorder="1" applyAlignment="1">
      <alignment horizontal="left" vertical="center" wrapText="1"/>
    </xf>
    <xf numFmtId="169" fontId="0" fillId="3" borderId="18" xfId="0" applyNumberFormat="1" applyFont="1" applyFill="1" applyBorder="1" applyAlignment="1">
      <alignment horizontal="right" vertical="center"/>
    </xf>
    <xf numFmtId="169" fontId="0" fillId="3" borderId="19" xfId="0" applyNumberFormat="1" applyFont="1" applyFill="1" applyBorder="1" applyAlignment="1">
      <alignment horizontal="right" vertical="center"/>
    </xf>
    <xf numFmtId="0" fontId="4" fillId="3" borderId="18" xfId="0" applyFont="1" applyFill="1" applyBorder="1" applyAlignment="1">
      <alignment horizontal="center" vertical="center"/>
    </xf>
    <xf numFmtId="0" fontId="5" fillId="0" borderId="0" xfId="0" applyFont="1" applyBorder="1"/>
    <xf numFmtId="0" fontId="5" fillId="0" borderId="7" xfId="0" applyFont="1" applyBorder="1"/>
    <xf numFmtId="0" fontId="0" fillId="3" borderId="23" xfId="0" applyFont="1" applyFill="1" applyBorder="1" applyAlignment="1">
      <alignment horizontal="center" vertical="center" wrapText="1"/>
    </xf>
    <xf numFmtId="0" fontId="0" fillId="3" borderId="23" xfId="0" applyFont="1" applyFill="1" applyBorder="1" applyAlignment="1">
      <alignment horizontal="center" vertical="center"/>
    </xf>
    <xf numFmtId="0" fontId="0" fillId="3" borderId="23" xfId="0" applyFont="1" applyFill="1" applyBorder="1" applyAlignment="1">
      <alignment horizontal="left" vertical="center" wrapText="1"/>
    </xf>
    <xf numFmtId="169" fontId="0" fillId="3" borderId="23" xfId="0" applyNumberFormat="1" applyFont="1" applyFill="1" applyBorder="1" applyAlignment="1">
      <alignment horizontal="right" vertical="center"/>
    </xf>
    <xf numFmtId="166" fontId="10" fillId="4" borderId="24" xfId="1" applyNumberFormat="1" applyFont="1" applyFill="1" applyBorder="1" applyAlignment="1" applyProtection="1">
      <alignment horizontal="right" vertical="center" wrapText="1"/>
    </xf>
    <xf numFmtId="0" fontId="9" fillId="0" borderId="22" xfId="0" applyFont="1" applyBorder="1" applyAlignment="1">
      <alignment horizontal="center" vertical="center" wrapText="1"/>
    </xf>
    <xf numFmtId="0" fontId="13" fillId="4" borderId="6" xfId="4" applyFont="1" applyFill="1" applyBorder="1" applyAlignment="1">
      <alignment horizontal="right" wrapText="1"/>
    </xf>
    <xf numFmtId="0" fontId="16" fillId="3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 applyAlignment="1">
      <alignment wrapText="1"/>
    </xf>
    <xf numFmtId="0" fontId="0" fillId="3" borderId="11" xfId="0" applyFont="1" applyFill="1" applyBorder="1" applyAlignment="1">
      <alignment horizontal="center" vertical="center"/>
    </xf>
    <xf numFmtId="169" fontId="0" fillId="3" borderId="11" xfId="0" applyNumberFormat="1" applyFont="1" applyFill="1" applyBorder="1" applyAlignment="1">
      <alignment horizontal="right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wrapText="1"/>
    </xf>
    <xf numFmtId="0" fontId="17" fillId="3" borderId="20" xfId="0" applyFont="1" applyFill="1" applyBorder="1" applyAlignment="1">
      <alignment horizontal="center" vertical="center"/>
    </xf>
    <xf numFmtId="169" fontId="17" fillId="3" borderId="20" xfId="0" applyNumberFormat="1" applyFont="1" applyFill="1" applyBorder="1" applyAlignment="1">
      <alignment horizontal="right" vertical="center"/>
    </xf>
    <xf numFmtId="0" fontId="10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 wrapText="1"/>
    </xf>
    <xf numFmtId="0" fontId="0" fillId="3" borderId="21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wrapText="1"/>
    </xf>
    <xf numFmtId="169" fontId="17" fillId="3" borderId="15" xfId="0" applyNumberFormat="1" applyFont="1" applyFill="1" applyBorder="1" applyAlignment="1">
      <alignment horizontal="right" vertical="center"/>
    </xf>
    <xf numFmtId="166" fontId="10" fillId="4" borderId="16" xfId="1" applyNumberFormat="1" applyFont="1" applyFill="1" applyBorder="1" applyAlignment="1" applyProtection="1">
      <alignment horizontal="right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7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2" fillId="4" borderId="0" xfId="0" applyFont="1" applyFill="1" applyBorder="1" applyAlignment="1">
      <alignment horizontal="left" wrapText="1" indent="1"/>
    </xf>
    <xf numFmtId="0" fontId="5" fillId="4" borderId="8" xfId="4" applyFont="1" applyFill="1" applyBorder="1" applyAlignment="1">
      <alignment horizontal="left" wrapText="1"/>
    </xf>
    <xf numFmtId="0" fontId="5" fillId="4" borderId="9" xfId="4" applyFont="1" applyFill="1" applyBorder="1" applyAlignment="1">
      <alignment horizontal="left" wrapText="1"/>
    </xf>
    <xf numFmtId="0" fontId="5" fillId="4" borderId="10" xfId="4" applyFont="1" applyFill="1" applyBorder="1" applyAlignment="1">
      <alignment horizontal="left" wrapText="1"/>
    </xf>
    <xf numFmtId="0" fontId="13" fillId="4" borderId="3" xfId="4" applyFont="1" applyFill="1" applyBorder="1" applyAlignment="1">
      <alignment horizontal="left" wrapText="1"/>
    </xf>
    <xf numFmtId="0" fontId="13" fillId="4" borderId="4" xfId="4" applyFont="1" applyFill="1" applyBorder="1" applyAlignment="1">
      <alignment horizontal="left" wrapText="1"/>
    </xf>
    <xf numFmtId="0" fontId="13" fillId="4" borderId="5" xfId="4" applyFont="1" applyFill="1" applyBorder="1" applyAlignment="1">
      <alignment horizontal="left" wrapText="1"/>
    </xf>
    <xf numFmtId="0" fontId="5" fillId="4" borderId="6" xfId="4" applyFont="1" applyFill="1" applyBorder="1" applyAlignment="1">
      <alignment horizontal="left" wrapText="1"/>
    </xf>
    <xf numFmtId="0" fontId="5" fillId="4" borderId="0" xfId="4" applyFont="1" applyFill="1" applyBorder="1" applyAlignment="1">
      <alignment horizontal="left" wrapText="1"/>
    </xf>
    <xf numFmtId="0" fontId="5" fillId="4" borderId="7" xfId="4" applyFont="1" applyFill="1" applyBorder="1" applyAlignment="1">
      <alignment horizontal="left" wrapText="1"/>
    </xf>
  </cellXfs>
  <cellStyles count="5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73"/>
  <sheetViews>
    <sheetView tabSelected="1" zoomScale="106" zoomScaleNormal="106" workbookViewId="0">
      <selection activeCell="G3" sqref="G3"/>
    </sheetView>
  </sheetViews>
  <sheetFormatPr baseColWidth="10" defaultColWidth="11" defaultRowHeight="12.75" x14ac:dyDescent="0.2"/>
  <cols>
    <col min="1" max="1" width="4.5703125" style="1" customWidth="1"/>
    <col min="2" max="2" width="14" style="1" customWidth="1"/>
    <col min="3" max="3" width="13.28515625" style="1" customWidth="1"/>
    <col min="4" max="4" width="8.42578125" style="1" customWidth="1"/>
    <col min="5" max="5" width="92.7109375" style="1" customWidth="1"/>
    <col min="6" max="6" width="11" style="1"/>
    <col min="7" max="7" width="11.570312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50" t="s">
        <v>0</v>
      </c>
      <c r="C2" s="50"/>
      <c r="D2" s="50"/>
      <c r="E2" s="50"/>
      <c r="F2" s="50"/>
      <c r="G2" s="50"/>
      <c r="H2" s="50"/>
    </row>
    <row r="3" spans="1:9" ht="12" customHeight="1" x14ac:dyDescent="0.2"/>
    <row r="4" spans="1:9" ht="18" customHeight="1" x14ac:dyDescent="0.25">
      <c r="A4" s="49" t="s">
        <v>1</v>
      </c>
      <c r="B4" s="49"/>
      <c r="C4" s="51" t="s">
        <v>60</v>
      </c>
      <c r="D4" s="51"/>
      <c r="E4" s="51"/>
      <c r="F4" s="2"/>
      <c r="G4" s="3"/>
      <c r="H4" s="2" t="s">
        <v>76</v>
      </c>
    </row>
    <row r="5" spans="1:9" ht="18" customHeight="1" x14ac:dyDescent="0.25">
      <c r="A5" s="49" t="s">
        <v>2</v>
      </c>
      <c r="B5" s="49"/>
      <c r="C5" s="51" t="s">
        <v>59</v>
      </c>
      <c r="D5" s="51"/>
      <c r="E5" s="51"/>
      <c r="F5" s="2"/>
      <c r="G5" s="3"/>
      <c r="H5" s="2"/>
    </row>
    <row r="6" spans="1:9" ht="16.5" customHeight="1" x14ac:dyDescent="0.25">
      <c r="A6" s="49" t="s">
        <v>3</v>
      </c>
      <c r="B6" s="49"/>
      <c r="C6" s="6">
        <v>2021</v>
      </c>
      <c r="D6" s="7"/>
      <c r="E6" s="7"/>
      <c r="F6" s="2"/>
      <c r="G6" s="3"/>
      <c r="H6" s="2"/>
    </row>
    <row r="7" spans="1:9" ht="16.5" customHeight="1" x14ac:dyDescent="0.25">
      <c r="A7" s="49" t="s">
        <v>4</v>
      </c>
      <c r="B7" s="49"/>
      <c r="C7" s="6">
        <v>3</v>
      </c>
      <c r="D7" s="7"/>
      <c r="E7" s="7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.75" thickTop="1" thickBot="1" x14ac:dyDescent="0.25">
      <c r="A9" s="4" t="s">
        <v>5</v>
      </c>
      <c r="B9" s="29" t="s">
        <v>6</v>
      </c>
      <c r="C9" s="29" t="s">
        <v>7</v>
      </c>
      <c r="D9" s="29" t="s">
        <v>8</v>
      </c>
      <c r="E9" s="29" t="s">
        <v>9</v>
      </c>
      <c r="F9" s="29" t="s">
        <v>10</v>
      </c>
      <c r="G9" s="29" t="s">
        <v>11</v>
      </c>
      <c r="H9" s="29" t="s">
        <v>12</v>
      </c>
      <c r="I9" s="29" t="s">
        <v>13</v>
      </c>
    </row>
    <row r="10" spans="1:9" ht="26.25" thickTop="1" x14ac:dyDescent="0.2">
      <c r="A10" s="9">
        <v>1</v>
      </c>
      <c r="B10" s="24" t="s">
        <v>78</v>
      </c>
      <c r="C10" s="25" t="s">
        <v>15</v>
      </c>
      <c r="D10" s="25" t="s">
        <v>16</v>
      </c>
      <c r="E10" s="26" t="s">
        <v>77</v>
      </c>
      <c r="F10" s="25" t="s">
        <v>14</v>
      </c>
      <c r="G10" s="25">
        <v>30</v>
      </c>
      <c r="H10" s="27">
        <v>119</v>
      </c>
      <c r="I10" s="28">
        <f t="shared" ref="I10:I36" si="0">G10*H10</f>
        <v>3570</v>
      </c>
    </row>
    <row r="11" spans="1:9" x14ac:dyDescent="0.2">
      <c r="A11" s="13">
        <v>2</v>
      </c>
      <c r="B11" s="10" t="s">
        <v>79</v>
      </c>
      <c r="C11" s="11" t="s">
        <v>15</v>
      </c>
      <c r="D11" s="11" t="s">
        <v>16</v>
      </c>
      <c r="E11" s="12" t="s">
        <v>80</v>
      </c>
      <c r="F11" s="11" t="s">
        <v>14</v>
      </c>
      <c r="G11" s="11">
        <v>6</v>
      </c>
      <c r="H11" s="19">
        <v>377</v>
      </c>
      <c r="I11" s="8">
        <f t="shared" si="0"/>
        <v>2262</v>
      </c>
    </row>
    <row r="12" spans="1:9" ht="25.5" x14ac:dyDescent="0.2">
      <c r="A12" s="13">
        <v>3</v>
      </c>
      <c r="B12" s="10" t="s">
        <v>40</v>
      </c>
      <c r="C12" s="11" t="s">
        <v>15</v>
      </c>
      <c r="D12" s="11" t="s">
        <v>16</v>
      </c>
      <c r="E12" s="12" t="s">
        <v>39</v>
      </c>
      <c r="F12" s="21" t="s">
        <v>112</v>
      </c>
      <c r="G12" s="11">
        <v>80</v>
      </c>
      <c r="H12" s="19">
        <v>2950</v>
      </c>
      <c r="I12" s="8">
        <f t="shared" si="0"/>
        <v>236000</v>
      </c>
    </row>
    <row r="13" spans="1:9" x14ac:dyDescent="0.2">
      <c r="A13" s="13">
        <v>4</v>
      </c>
      <c r="B13" s="10" t="s">
        <v>81</v>
      </c>
      <c r="C13" s="11" t="s">
        <v>15</v>
      </c>
      <c r="D13" s="11" t="s">
        <v>16</v>
      </c>
      <c r="E13" s="12" t="s">
        <v>82</v>
      </c>
      <c r="F13" s="11" t="s">
        <v>83</v>
      </c>
      <c r="G13" s="11">
        <v>100</v>
      </c>
      <c r="H13" s="19">
        <v>600</v>
      </c>
      <c r="I13" s="8">
        <f t="shared" si="0"/>
        <v>60000</v>
      </c>
    </row>
    <row r="14" spans="1:9" x14ac:dyDescent="0.2">
      <c r="A14" s="13">
        <v>5</v>
      </c>
      <c r="B14" s="10" t="s">
        <v>84</v>
      </c>
      <c r="C14" s="11" t="s">
        <v>15</v>
      </c>
      <c r="D14" s="11" t="s">
        <v>16</v>
      </c>
      <c r="E14" s="12" t="s">
        <v>85</v>
      </c>
      <c r="F14" s="11" t="s">
        <v>83</v>
      </c>
      <c r="G14" s="11">
        <v>640</v>
      </c>
      <c r="H14" s="19">
        <v>900</v>
      </c>
      <c r="I14" s="8">
        <f t="shared" si="0"/>
        <v>576000</v>
      </c>
    </row>
    <row r="15" spans="1:9" x14ac:dyDescent="0.2">
      <c r="A15" s="13">
        <v>6</v>
      </c>
      <c r="B15" s="10" t="s">
        <v>27</v>
      </c>
      <c r="C15" s="11" t="s">
        <v>15</v>
      </c>
      <c r="D15" s="11" t="s">
        <v>16</v>
      </c>
      <c r="E15" s="12" t="s">
        <v>26</v>
      </c>
      <c r="F15" s="11" t="s">
        <v>83</v>
      </c>
      <c r="G15" s="11">
        <v>640</v>
      </c>
      <c r="H15" s="19">
        <v>1000</v>
      </c>
      <c r="I15" s="8">
        <f t="shared" si="0"/>
        <v>640000</v>
      </c>
    </row>
    <row r="16" spans="1:9" x14ac:dyDescent="0.2">
      <c r="A16" s="13">
        <v>7</v>
      </c>
      <c r="B16" s="10" t="s">
        <v>86</v>
      </c>
      <c r="C16" s="11" t="s">
        <v>15</v>
      </c>
      <c r="D16" s="11" t="s">
        <v>16</v>
      </c>
      <c r="E16" s="12" t="s">
        <v>87</v>
      </c>
      <c r="F16" s="11" t="s">
        <v>83</v>
      </c>
      <c r="G16" s="11">
        <v>100</v>
      </c>
      <c r="H16" s="19">
        <v>700</v>
      </c>
      <c r="I16" s="8">
        <f t="shared" si="0"/>
        <v>70000</v>
      </c>
    </row>
    <row r="17" spans="1:9" x14ac:dyDescent="0.2">
      <c r="A17" s="13">
        <v>8</v>
      </c>
      <c r="B17" s="10" t="s">
        <v>25</v>
      </c>
      <c r="C17" s="11" t="s">
        <v>15</v>
      </c>
      <c r="D17" s="11" t="s">
        <v>16</v>
      </c>
      <c r="E17" s="12" t="s">
        <v>24</v>
      </c>
      <c r="F17" s="11" t="s">
        <v>83</v>
      </c>
      <c r="G17" s="11">
        <v>300</v>
      </c>
      <c r="H17" s="19">
        <v>500</v>
      </c>
      <c r="I17" s="8">
        <f t="shared" si="0"/>
        <v>150000</v>
      </c>
    </row>
    <row r="18" spans="1:9" x14ac:dyDescent="0.2">
      <c r="A18" s="13">
        <v>9</v>
      </c>
      <c r="B18" s="10" t="s">
        <v>73</v>
      </c>
      <c r="C18" s="11" t="s">
        <v>15</v>
      </c>
      <c r="D18" s="11" t="s">
        <v>16</v>
      </c>
      <c r="E18" s="12" t="s">
        <v>72</v>
      </c>
      <c r="F18" s="11" t="s">
        <v>83</v>
      </c>
      <c r="G18" s="11">
        <v>50</v>
      </c>
      <c r="H18" s="19">
        <v>900</v>
      </c>
      <c r="I18" s="8">
        <f t="shared" si="0"/>
        <v>45000</v>
      </c>
    </row>
    <row r="19" spans="1:9" ht="25.5" x14ac:dyDescent="0.2">
      <c r="A19" s="13">
        <v>10</v>
      </c>
      <c r="B19" s="11" t="s">
        <v>88</v>
      </c>
      <c r="C19" s="11" t="s">
        <v>15</v>
      </c>
      <c r="D19" s="11" t="s">
        <v>16</v>
      </c>
      <c r="E19" s="14" t="s">
        <v>89</v>
      </c>
      <c r="F19" s="11" t="s">
        <v>30</v>
      </c>
      <c r="G19" s="11">
        <v>120</v>
      </c>
      <c r="H19" s="19">
        <v>2600</v>
      </c>
      <c r="I19" s="8">
        <f t="shared" si="0"/>
        <v>312000</v>
      </c>
    </row>
    <row r="20" spans="1:9" ht="25.5" x14ac:dyDescent="0.2">
      <c r="A20" s="13">
        <v>11</v>
      </c>
      <c r="B20" s="10" t="s">
        <v>36</v>
      </c>
      <c r="C20" s="11" t="s">
        <v>15</v>
      </c>
      <c r="D20" s="11" t="s">
        <v>16</v>
      </c>
      <c r="E20" s="12" t="s">
        <v>35</v>
      </c>
      <c r="F20" s="11" t="s">
        <v>17</v>
      </c>
      <c r="G20" s="11">
        <v>200</v>
      </c>
      <c r="H20" s="19">
        <v>150</v>
      </c>
      <c r="I20" s="8">
        <f t="shared" si="0"/>
        <v>30000</v>
      </c>
    </row>
    <row r="21" spans="1:9" ht="25.5" x14ac:dyDescent="0.2">
      <c r="A21" s="13">
        <v>12</v>
      </c>
      <c r="B21" s="10" t="s">
        <v>69</v>
      </c>
      <c r="C21" s="11" t="s">
        <v>15</v>
      </c>
      <c r="D21" s="11" t="s">
        <v>16</v>
      </c>
      <c r="E21" s="12" t="s">
        <v>68</v>
      </c>
      <c r="F21" s="11" t="s">
        <v>30</v>
      </c>
      <c r="G21" s="11">
        <v>40</v>
      </c>
      <c r="H21" s="19">
        <v>1800</v>
      </c>
      <c r="I21" s="8">
        <f t="shared" si="0"/>
        <v>72000</v>
      </c>
    </row>
    <row r="22" spans="1:9" x14ac:dyDescent="0.2">
      <c r="A22" s="13">
        <v>13</v>
      </c>
      <c r="B22" s="10" t="s">
        <v>62</v>
      </c>
      <c r="C22" s="11" t="s">
        <v>15</v>
      </c>
      <c r="D22" s="11" t="s">
        <v>16</v>
      </c>
      <c r="E22" s="12" t="s">
        <v>61</v>
      </c>
      <c r="F22" s="11" t="s">
        <v>83</v>
      </c>
      <c r="G22" s="11">
        <v>60</v>
      </c>
      <c r="H22" s="19">
        <v>80</v>
      </c>
      <c r="I22" s="8">
        <f t="shared" si="0"/>
        <v>4800</v>
      </c>
    </row>
    <row r="23" spans="1:9" ht="25.5" x14ac:dyDescent="0.2">
      <c r="A23" s="13">
        <v>14</v>
      </c>
      <c r="B23" s="10" t="s">
        <v>90</v>
      </c>
      <c r="C23" s="11" t="s">
        <v>15</v>
      </c>
      <c r="D23" s="11" t="s">
        <v>16</v>
      </c>
      <c r="E23" s="12" t="s">
        <v>91</v>
      </c>
      <c r="F23" s="11" t="s">
        <v>30</v>
      </c>
      <c r="G23" s="11">
        <v>40</v>
      </c>
      <c r="H23" s="19">
        <v>2000</v>
      </c>
      <c r="I23" s="8">
        <f t="shared" si="0"/>
        <v>80000</v>
      </c>
    </row>
    <row r="24" spans="1:9" x14ac:dyDescent="0.2">
      <c r="A24" s="13">
        <v>15</v>
      </c>
      <c r="B24" s="10" t="s">
        <v>32</v>
      </c>
      <c r="C24" s="11" t="s">
        <v>15</v>
      </c>
      <c r="D24" s="11" t="s">
        <v>16</v>
      </c>
      <c r="E24" s="12" t="s">
        <v>31</v>
      </c>
      <c r="F24" s="21" t="s">
        <v>14</v>
      </c>
      <c r="G24" s="11">
        <v>130</v>
      </c>
      <c r="H24" s="19">
        <v>240</v>
      </c>
      <c r="I24" s="8">
        <f t="shared" si="0"/>
        <v>31200</v>
      </c>
    </row>
    <row r="25" spans="1:9" x14ac:dyDescent="0.2">
      <c r="A25" s="13">
        <v>16</v>
      </c>
      <c r="B25" s="11" t="s">
        <v>66</v>
      </c>
      <c r="C25" s="11" t="s">
        <v>15</v>
      </c>
      <c r="D25" s="11" t="s">
        <v>16</v>
      </c>
      <c r="E25" s="15" t="s">
        <v>65</v>
      </c>
      <c r="F25" s="11" t="s">
        <v>83</v>
      </c>
      <c r="G25" s="11">
        <v>1200</v>
      </c>
      <c r="H25" s="19">
        <v>120</v>
      </c>
      <c r="I25" s="8">
        <f t="shared" si="0"/>
        <v>144000</v>
      </c>
    </row>
    <row r="26" spans="1:9" x14ac:dyDescent="0.2">
      <c r="A26" s="13">
        <v>17</v>
      </c>
      <c r="B26" s="11" t="s">
        <v>38</v>
      </c>
      <c r="C26" s="11" t="s">
        <v>15</v>
      </c>
      <c r="D26" s="11" t="s">
        <v>16</v>
      </c>
      <c r="E26" s="14" t="s">
        <v>37</v>
      </c>
      <c r="F26" s="11" t="s">
        <v>14</v>
      </c>
      <c r="G26" s="11">
        <v>200</v>
      </c>
      <c r="H26" s="19">
        <v>100</v>
      </c>
      <c r="I26" s="8">
        <f t="shared" si="0"/>
        <v>20000</v>
      </c>
    </row>
    <row r="27" spans="1:9" ht="25.5" x14ac:dyDescent="0.2">
      <c r="A27" s="13">
        <v>18</v>
      </c>
      <c r="B27" s="10" t="s">
        <v>64</v>
      </c>
      <c r="C27" s="11" t="s">
        <v>15</v>
      </c>
      <c r="D27" s="11" t="s">
        <v>16</v>
      </c>
      <c r="E27" s="12" t="s">
        <v>63</v>
      </c>
      <c r="F27" s="11" t="s">
        <v>14</v>
      </c>
      <c r="G27" s="11">
        <v>200</v>
      </c>
      <c r="H27" s="19">
        <v>100</v>
      </c>
      <c r="I27" s="8">
        <f t="shared" si="0"/>
        <v>20000</v>
      </c>
    </row>
    <row r="28" spans="1:9" ht="25.5" x14ac:dyDescent="0.2">
      <c r="A28" s="13">
        <v>19</v>
      </c>
      <c r="B28" s="10" t="s">
        <v>71</v>
      </c>
      <c r="C28" s="11" t="s">
        <v>15</v>
      </c>
      <c r="D28" s="11" t="s">
        <v>16</v>
      </c>
      <c r="E28" s="12" t="s">
        <v>70</v>
      </c>
      <c r="F28" s="11" t="s">
        <v>14</v>
      </c>
      <c r="G28" s="11">
        <v>150</v>
      </c>
      <c r="H28" s="19">
        <v>580</v>
      </c>
      <c r="I28" s="8">
        <f t="shared" si="0"/>
        <v>87000</v>
      </c>
    </row>
    <row r="29" spans="1:9" ht="38.25" x14ac:dyDescent="0.2">
      <c r="A29" s="13">
        <v>20</v>
      </c>
      <c r="B29" s="10" t="s">
        <v>44</v>
      </c>
      <c r="C29" s="11" t="s">
        <v>15</v>
      </c>
      <c r="D29" s="11" t="s">
        <v>16</v>
      </c>
      <c r="E29" s="12" t="s">
        <v>43</v>
      </c>
      <c r="F29" s="11" t="s">
        <v>83</v>
      </c>
      <c r="G29" s="11">
        <v>200</v>
      </c>
      <c r="H29" s="19">
        <v>510</v>
      </c>
      <c r="I29" s="8">
        <f t="shared" si="0"/>
        <v>102000</v>
      </c>
    </row>
    <row r="30" spans="1:9" ht="38.25" x14ac:dyDescent="0.2">
      <c r="A30" s="13">
        <v>21</v>
      </c>
      <c r="B30" s="10" t="s">
        <v>92</v>
      </c>
      <c r="C30" s="11" t="s">
        <v>15</v>
      </c>
      <c r="D30" s="11" t="s">
        <v>16</v>
      </c>
      <c r="E30" s="12" t="s">
        <v>93</v>
      </c>
      <c r="F30" s="11" t="s">
        <v>14</v>
      </c>
      <c r="G30" s="11">
        <v>200</v>
      </c>
      <c r="H30" s="19">
        <v>580</v>
      </c>
      <c r="I30" s="8">
        <f t="shared" si="0"/>
        <v>116000</v>
      </c>
    </row>
    <row r="31" spans="1:9" ht="38.25" x14ac:dyDescent="0.2">
      <c r="A31" s="13">
        <v>22</v>
      </c>
      <c r="B31" s="10" t="s">
        <v>46</v>
      </c>
      <c r="C31" s="11" t="s">
        <v>15</v>
      </c>
      <c r="D31" s="11" t="s">
        <v>16</v>
      </c>
      <c r="E31" s="12" t="s">
        <v>45</v>
      </c>
      <c r="F31" s="11" t="s">
        <v>14</v>
      </c>
      <c r="G31" s="11">
        <v>50</v>
      </c>
      <c r="H31" s="19">
        <v>800</v>
      </c>
      <c r="I31" s="8">
        <f t="shared" si="0"/>
        <v>40000</v>
      </c>
    </row>
    <row r="32" spans="1:9" x14ac:dyDescent="0.2">
      <c r="A32" s="13">
        <v>23</v>
      </c>
      <c r="B32" s="10" t="s">
        <v>50</v>
      </c>
      <c r="C32" s="11" t="s">
        <v>15</v>
      </c>
      <c r="D32" s="11" t="s">
        <v>16</v>
      </c>
      <c r="E32" s="12" t="s">
        <v>49</v>
      </c>
      <c r="F32" s="11" t="s">
        <v>14</v>
      </c>
      <c r="G32" s="11">
        <v>250</v>
      </c>
      <c r="H32" s="19">
        <v>42</v>
      </c>
      <c r="I32" s="8">
        <f t="shared" si="0"/>
        <v>10500</v>
      </c>
    </row>
    <row r="33" spans="1:9" x14ac:dyDescent="0.2">
      <c r="A33" s="13">
        <v>24</v>
      </c>
      <c r="B33" s="10" t="s">
        <v>52</v>
      </c>
      <c r="C33" s="11" t="s">
        <v>15</v>
      </c>
      <c r="D33" s="11" t="s">
        <v>16</v>
      </c>
      <c r="E33" s="12" t="s">
        <v>51</v>
      </c>
      <c r="F33" s="11" t="s">
        <v>14</v>
      </c>
      <c r="G33" s="11">
        <v>150</v>
      </c>
      <c r="H33" s="19">
        <v>48</v>
      </c>
      <c r="I33" s="8">
        <f t="shared" si="0"/>
        <v>7200</v>
      </c>
    </row>
    <row r="34" spans="1:9" ht="30" x14ac:dyDescent="0.2">
      <c r="A34" s="13">
        <v>25</v>
      </c>
      <c r="B34" s="10" t="s">
        <v>94</v>
      </c>
      <c r="C34" s="11" t="s">
        <v>15</v>
      </c>
      <c r="D34" s="11" t="s">
        <v>16</v>
      </c>
      <c r="E34" s="12" t="s">
        <v>95</v>
      </c>
      <c r="F34" s="11" t="s">
        <v>14</v>
      </c>
      <c r="G34" s="11">
        <v>200</v>
      </c>
      <c r="H34" s="19">
        <v>150</v>
      </c>
      <c r="I34" s="8">
        <f t="shared" si="0"/>
        <v>30000</v>
      </c>
    </row>
    <row r="35" spans="1:9" ht="25.5" x14ac:dyDescent="0.2">
      <c r="A35" s="13">
        <v>26</v>
      </c>
      <c r="B35" s="10" t="s">
        <v>58</v>
      </c>
      <c r="C35" s="11" t="s">
        <v>15</v>
      </c>
      <c r="D35" s="11" t="s">
        <v>16</v>
      </c>
      <c r="E35" s="12" t="s">
        <v>57</v>
      </c>
      <c r="F35" s="11" t="s">
        <v>17</v>
      </c>
      <c r="G35" s="11">
        <v>1000</v>
      </c>
      <c r="H35" s="19">
        <v>35</v>
      </c>
      <c r="I35" s="8">
        <f t="shared" si="0"/>
        <v>35000</v>
      </c>
    </row>
    <row r="36" spans="1:9" ht="25.5" x14ac:dyDescent="0.2">
      <c r="A36" s="13">
        <v>27</v>
      </c>
      <c r="B36" s="10" t="s">
        <v>96</v>
      </c>
      <c r="C36" s="11" t="s">
        <v>15</v>
      </c>
      <c r="D36" s="11" t="s">
        <v>16</v>
      </c>
      <c r="E36" s="12" t="s">
        <v>97</v>
      </c>
      <c r="F36" s="11" t="s">
        <v>83</v>
      </c>
      <c r="G36" s="11">
        <v>1200</v>
      </c>
      <c r="H36" s="19">
        <v>100</v>
      </c>
      <c r="I36" s="8">
        <f t="shared" si="0"/>
        <v>120000</v>
      </c>
    </row>
    <row r="37" spans="1:9" ht="25.5" x14ac:dyDescent="0.2">
      <c r="A37" s="13">
        <v>28</v>
      </c>
      <c r="B37" s="11" t="s">
        <v>98</v>
      </c>
      <c r="C37" s="11" t="s">
        <v>15</v>
      </c>
      <c r="D37" s="11" t="s">
        <v>16</v>
      </c>
      <c r="E37" s="14" t="s">
        <v>99</v>
      </c>
      <c r="F37" s="11" t="s">
        <v>17</v>
      </c>
      <c r="G37" s="11">
        <v>800</v>
      </c>
      <c r="H37" s="19">
        <v>49</v>
      </c>
      <c r="I37" s="8">
        <f t="shared" ref="I37:I53" si="1">G37*H37</f>
        <v>39200</v>
      </c>
    </row>
    <row r="38" spans="1:9" ht="25.5" x14ac:dyDescent="0.2">
      <c r="A38" s="13">
        <v>29</v>
      </c>
      <c r="B38" s="10" t="s">
        <v>48</v>
      </c>
      <c r="C38" s="11" t="s">
        <v>15</v>
      </c>
      <c r="D38" s="11" t="s">
        <v>16</v>
      </c>
      <c r="E38" s="12" t="s">
        <v>47</v>
      </c>
      <c r="F38" s="11" t="s">
        <v>83</v>
      </c>
      <c r="G38" s="11">
        <v>50</v>
      </c>
      <c r="H38" s="19">
        <v>200</v>
      </c>
      <c r="I38" s="8">
        <f t="shared" si="1"/>
        <v>10000</v>
      </c>
    </row>
    <row r="39" spans="1:9" ht="25.5" x14ac:dyDescent="0.2">
      <c r="A39" s="13">
        <v>30</v>
      </c>
      <c r="B39" s="10" t="s">
        <v>18</v>
      </c>
      <c r="C39" s="11" t="s">
        <v>15</v>
      </c>
      <c r="D39" s="11" t="s">
        <v>16</v>
      </c>
      <c r="E39" s="12" t="s">
        <v>19</v>
      </c>
      <c r="F39" s="11" t="s">
        <v>14</v>
      </c>
      <c r="G39" s="11">
        <v>5</v>
      </c>
      <c r="H39" s="19">
        <v>600</v>
      </c>
      <c r="I39" s="8">
        <f t="shared" si="1"/>
        <v>3000</v>
      </c>
    </row>
    <row r="40" spans="1:9" ht="25.5" x14ac:dyDescent="0.2">
      <c r="A40" s="13">
        <v>31</v>
      </c>
      <c r="B40" s="10" t="s">
        <v>21</v>
      </c>
      <c r="C40" s="11" t="s">
        <v>15</v>
      </c>
      <c r="D40" s="11" t="s">
        <v>16</v>
      </c>
      <c r="E40" s="12" t="s">
        <v>20</v>
      </c>
      <c r="F40" s="11" t="s">
        <v>83</v>
      </c>
      <c r="G40" s="11">
        <v>100</v>
      </c>
      <c r="H40" s="19">
        <v>900</v>
      </c>
      <c r="I40" s="8">
        <f t="shared" si="1"/>
        <v>90000</v>
      </c>
    </row>
    <row r="41" spans="1:9" ht="25.5" x14ac:dyDescent="0.2">
      <c r="A41" s="13">
        <v>32</v>
      </c>
      <c r="B41" s="10" t="s">
        <v>23</v>
      </c>
      <c r="C41" s="11" t="s">
        <v>15</v>
      </c>
      <c r="D41" s="11" t="s">
        <v>16</v>
      </c>
      <c r="E41" s="12" t="s">
        <v>22</v>
      </c>
      <c r="F41" s="11" t="s">
        <v>14</v>
      </c>
      <c r="G41" s="11">
        <v>80</v>
      </c>
      <c r="H41" s="19">
        <v>1000</v>
      </c>
      <c r="I41" s="8">
        <f t="shared" si="1"/>
        <v>80000</v>
      </c>
    </row>
    <row r="42" spans="1:9" ht="25.5" x14ac:dyDescent="0.2">
      <c r="A42" s="13">
        <v>33</v>
      </c>
      <c r="B42" s="10" t="s">
        <v>42</v>
      </c>
      <c r="C42" s="11" t="s">
        <v>15</v>
      </c>
      <c r="D42" s="11" t="s">
        <v>16</v>
      </c>
      <c r="E42" s="12" t="s">
        <v>41</v>
      </c>
      <c r="F42" s="11" t="s">
        <v>83</v>
      </c>
      <c r="G42" s="11">
        <v>20</v>
      </c>
      <c r="H42" s="19">
        <v>1350</v>
      </c>
      <c r="I42" s="8">
        <f t="shared" si="1"/>
        <v>27000</v>
      </c>
    </row>
    <row r="43" spans="1:9" ht="25.5" x14ac:dyDescent="0.2">
      <c r="A43" s="13">
        <v>34</v>
      </c>
      <c r="B43" s="10" t="s">
        <v>100</v>
      </c>
      <c r="C43" s="11" t="s">
        <v>15</v>
      </c>
      <c r="D43" s="11" t="s">
        <v>16</v>
      </c>
      <c r="E43" s="12" t="s">
        <v>101</v>
      </c>
      <c r="F43" s="11" t="s">
        <v>14</v>
      </c>
      <c r="G43" s="11">
        <v>100</v>
      </c>
      <c r="H43" s="19">
        <v>1100</v>
      </c>
      <c r="I43" s="8">
        <f t="shared" si="1"/>
        <v>110000</v>
      </c>
    </row>
    <row r="44" spans="1:9" ht="25.5" x14ac:dyDescent="0.2">
      <c r="A44" s="13">
        <v>35</v>
      </c>
      <c r="B44" s="10" t="s">
        <v>102</v>
      </c>
      <c r="C44" s="11" t="s">
        <v>15</v>
      </c>
      <c r="D44" s="11" t="s">
        <v>16</v>
      </c>
      <c r="E44" s="12" t="s">
        <v>103</v>
      </c>
      <c r="F44" s="11" t="s">
        <v>83</v>
      </c>
      <c r="G44" s="11">
        <v>80</v>
      </c>
      <c r="H44" s="19">
        <v>25</v>
      </c>
      <c r="I44" s="8">
        <f t="shared" si="1"/>
        <v>2000</v>
      </c>
    </row>
    <row r="45" spans="1:9" ht="38.25" x14ac:dyDescent="0.2">
      <c r="A45" s="13">
        <v>36</v>
      </c>
      <c r="B45" s="11" t="s">
        <v>104</v>
      </c>
      <c r="C45" s="11" t="s">
        <v>15</v>
      </c>
      <c r="D45" s="11" t="s">
        <v>16</v>
      </c>
      <c r="E45" s="14" t="s">
        <v>105</v>
      </c>
      <c r="F45" s="11" t="s">
        <v>14</v>
      </c>
      <c r="G45" s="11">
        <v>80</v>
      </c>
      <c r="H45" s="19">
        <v>850</v>
      </c>
      <c r="I45" s="8">
        <f t="shared" si="1"/>
        <v>68000</v>
      </c>
    </row>
    <row r="46" spans="1:9" ht="25.5" x14ac:dyDescent="0.2">
      <c r="A46" s="13">
        <v>37</v>
      </c>
      <c r="B46" s="10" t="s">
        <v>75</v>
      </c>
      <c r="C46" s="11" t="s">
        <v>15</v>
      </c>
      <c r="D46" s="11" t="s">
        <v>16</v>
      </c>
      <c r="E46" s="12" t="s">
        <v>74</v>
      </c>
      <c r="F46" s="11" t="s">
        <v>30</v>
      </c>
      <c r="G46" s="11">
        <v>60</v>
      </c>
      <c r="H46" s="19">
        <v>810</v>
      </c>
      <c r="I46" s="8">
        <f t="shared" si="1"/>
        <v>48600</v>
      </c>
    </row>
    <row r="47" spans="1:9" ht="25.5" x14ac:dyDescent="0.2">
      <c r="A47" s="13">
        <v>38</v>
      </c>
      <c r="B47" s="10" t="s">
        <v>106</v>
      </c>
      <c r="C47" s="11" t="s">
        <v>15</v>
      </c>
      <c r="D47" s="11" t="s">
        <v>16</v>
      </c>
      <c r="E47" s="12" t="s">
        <v>107</v>
      </c>
      <c r="F47" s="11" t="s">
        <v>14</v>
      </c>
      <c r="G47" s="11">
        <v>60</v>
      </c>
      <c r="H47" s="19">
        <v>600</v>
      </c>
      <c r="I47" s="8">
        <f t="shared" si="1"/>
        <v>36000</v>
      </c>
    </row>
    <row r="48" spans="1:9" ht="25.5" x14ac:dyDescent="0.2">
      <c r="A48" s="13">
        <v>39</v>
      </c>
      <c r="B48" s="10" t="s">
        <v>108</v>
      </c>
      <c r="C48" s="11" t="s">
        <v>15</v>
      </c>
      <c r="D48" s="11" t="s">
        <v>16</v>
      </c>
      <c r="E48" s="12" t="s">
        <v>109</v>
      </c>
      <c r="F48" s="11" t="s">
        <v>30</v>
      </c>
      <c r="G48" s="11">
        <v>50</v>
      </c>
      <c r="H48" s="19">
        <v>1000</v>
      </c>
      <c r="I48" s="8">
        <f t="shared" si="1"/>
        <v>50000</v>
      </c>
    </row>
    <row r="49" spans="1:9" ht="25.5" x14ac:dyDescent="0.2">
      <c r="A49" s="13">
        <v>40</v>
      </c>
      <c r="B49" s="10" t="s">
        <v>54</v>
      </c>
      <c r="C49" s="11" t="s">
        <v>15</v>
      </c>
      <c r="D49" s="11" t="s">
        <v>16</v>
      </c>
      <c r="E49" s="12" t="s">
        <v>53</v>
      </c>
      <c r="F49" s="11" t="s">
        <v>14</v>
      </c>
      <c r="G49" s="11">
        <v>100</v>
      </c>
      <c r="H49" s="19">
        <v>80</v>
      </c>
      <c r="I49" s="8">
        <f t="shared" si="1"/>
        <v>8000</v>
      </c>
    </row>
    <row r="50" spans="1:9" ht="25.5" x14ac:dyDescent="0.2">
      <c r="A50" s="13">
        <v>41</v>
      </c>
      <c r="B50" s="16" t="s">
        <v>55</v>
      </c>
      <c r="C50" s="17" t="s">
        <v>15</v>
      </c>
      <c r="D50" s="17" t="s">
        <v>16</v>
      </c>
      <c r="E50" s="18" t="s">
        <v>56</v>
      </c>
      <c r="F50" s="17" t="s">
        <v>14</v>
      </c>
      <c r="G50" s="17">
        <v>100</v>
      </c>
      <c r="H50" s="20">
        <v>80</v>
      </c>
      <c r="I50" s="8">
        <f t="shared" si="1"/>
        <v>8000</v>
      </c>
    </row>
    <row r="51" spans="1:9" ht="15" x14ac:dyDescent="0.2">
      <c r="A51" s="13">
        <v>42</v>
      </c>
      <c r="B51" s="31" t="s">
        <v>110</v>
      </c>
      <c r="C51" s="32" t="s">
        <v>15</v>
      </c>
      <c r="D51" s="17" t="s">
        <v>16</v>
      </c>
      <c r="E51" s="33" t="s">
        <v>111</v>
      </c>
      <c r="F51" s="31" t="s">
        <v>14</v>
      </c>
      <c r="G51" s="34">
        <v>60</v>
      </c>
      <c r="H51" s="35">
        <v>250</v>
      </c>
      <c r="I51" s="8">
        <f t="shared" si="1"/>
        <v>15000</v>
      </c>
    </row>
    <row r="52" spans="1:9" ht="30" x14ac:dyDescent="0.25">
      <c r="A52" s="13">
        <v>43</v>
      </c>
      <c r="B52" s="36" t="s">
        <v>29</v>
      </c>
      <c r="C52" s="36" t="s">
        <v>15</v>
      </c>
      <c r="D52" s="17" t="s">
        <v>16</v>
      </c>
      <c r="E52" s="37" t="s">
        <v>28</v>
      </c>
      <c r="F52" s="38" t="s">
        <v>30</v>
      </c>
      <c r="G52" s="38">
        <v>100</v>
      </c>
      <c r="H52" s="39">
        <v>1200</v>
      </c>
      <c r="I52" s="8">
        <f t="shared" si="1"/>
        <v>120000</v>
      </c>
    </row>
    <row r="53" spans="1:9" ht="45.75" thickBot="1" x14ac:dyDescent="0.3">
      <c r="A53" s="40">
        <v>44</v>
      </c>
      <c r="B53" s="41" t="s">
        <v>34</v>
      </c>
      <c r="C53" s="42" t="s">
        <v>15</v>
      </c>
      <c r="D53" s="43" t="s">
        <v>16</v>
      </c>
      <c r="E53" s="44" t="s">
        <v>33</v>
      </c>
      <c r="F53" s="41" t="s">
        <v>14</v>
      </c>
      <c r="G53" s="41">
        <v>60</v>
      </c>
      <c r="H53" s="45">
        <v>120</v>
      </c>
      <c r="I53" s="46">
        <f t="shared" si="1"/>
        <v>7200</v>
      </c>
    </row>
    <row r="54" spans="1:9" x14ac:dyDescent="0.2">
      <c r="E54" s="1" t="s">
        <v>76</v>
      </c>
      <c r="I54" s="5"/>
    </row>
    <row r="55" spans="1:9" ht="13.5" thickBot="1" x14ac:dyDescent="0.25">
      <c r="F55" s="1" t="s">
        <v>76</v>
      </c>
    </row>
    <row r="56" spans="1:9" ht="12.75" customHeight="1" x14ac:dyDescent="0.2">
      <c r="B56" s="55" t="s">
        <v>67</v>
      </c>
      <c r="C56" s="56"/>
      <c r="D56" s="56"/>
      <c r="E56" s="56"/>
      <c r="F56" s="56"/>
      <c r="G56" s="56"/>
      <c r="H56" s="56"/>
      <c r="I56" s="57"/>
    </row>
    <row r="57" spans="1:9" ht="14.25" x14ac:dyDescent="0.2">
      <c r="B57" s="30" t="s">
        <v>116</v>
      </c>
      <c r="C57" s="47" t="s">
        <v>125</v>
      </c>
      <c r="D57" s="47"/>
      <c r="E57" s="47"/>
      <c r="F57" s="22"/>
      <c r="G57" s="22"/>
      <c r="H57" s="22"/>
      <c r="I57" s="23"/>
    </row>
    <row r="58" spans="1:9" ht="14.25" x14ac:dyDescent="0.2">
      <c r="B58" s="30" t="s">
        <v>133</v>
      </c>
      <c r="C58" s="47" t="s">
        <v>137</v>
      </c>
      <c r="D58" s="47"/>
      <c r="E58" s="47"/>
      <c r="F58" s="47"/>
      <c r="G58" s="47"/>
      <c r="H58" s="47"/>
      <c r="I58" s="48"/>
    </row>
    <row r="59" spans="1:9" ht="14.25" x14ac:dyDescent="0.2">
      <c r="B59" s="30" t="s">
        <v>134</v>
      </c>
      <c r="C59" s="47" t="s">
        <v>138</v>
      </c>
      <c r="D59" s="47"/>
      <c r="E59" s="47"/>
      <c r="F59" s="47"/>
      <c r="G59" s="47"/>
      <c r="H59" s="47"/>
      <c r="I59" s="48"/>
    </row>
    <row r="60" spans="1:9" ht="14.25" x14ac:dyDescent="0.2">
      <c r="B60" s="30" t="s">
        <v>135</v>
      </c>
      <c r="C60" s="47" t="s">
        <v>138</v>
      </c>
      <c r="D60" s="47"/>
      <c r="E60" s="47"/>
      <c r="F60" s="47"/>
      <c r="G60" s="47"/>
      <c r="H60" s="47"/>
      <c r="I60" s="48"/>
    </row>
    <row r="61" spans="1:9" ht="14.25" x14ac:dyDescent="0.2">
      <c r="B61" s="30" t="s">
        <v>136</v>
      </c>
      <c r="C61" s="47" t="s">
        <v>139</v>
      </c>
      <c r="D61" s="47"/>
      <c r="E61" s="47"/>
      <c r="F61" s="47"/>
      <c r="G61" s="47"/>
      <c r="H61" s="47"/>
      <c r="I61" s="48"/>
    </row>
    <row r="62" spans="1:9" ht="14.25" x14ac:dyDescent="0.2">
      <c r="B62" s="30" t="s">
        <v>117</v>
      </c>
      <c r="C62" s="47" t="s">
        <v>126</v>
      </c>
      <c r="D62" s="47"/>
      <c r="E62" s="47"/>
      <c r="F62" s="22"/>
      <c r="G62" s="22"/>
      <c r="H62" s="22"/>
      <c r="I62" s="23"/>
    </row>
    <row r="63" spans="1:9" ht="14.25" x14ac:dyDescent="0.2">
      <c r="B63" s="30" t="s">
        <v>118</v>
      </c>
      <c r="C63" s="47" t="s">
        <v>127</v>
      </c>
      <c r="D63" s="47"/>
      <c r="E63" s="47"/>
      <c r="F63" s="22"/>
      <c r="G63" s="22"/>
      <c r="H63" s="22"/>
      <c r="I63" s="23"/>
    </row>
    <row r="64" spans="1:9" ht="14.25" x14ac:dyDescent="0.2">
      <c r="B64" s="30" t="s">
        <v>119</v>
      </c>
      <c r="C64" s="47" t="s">
        <v>128</v>
      </c>
      <c r="D64" s="47"/>
      <c r="E64" s="47"/>
      <c r="F64" s="22"/>
      <c r="G64" s="22"/>
      <c r="H64" s="22"/>
      <c r="I64" s="23"/>
    </row>
    <row r="65" spans="2:9" ht="14.25" customHeight="1" x14ac:dyDescent="0.2">
      <c r="B65" s="30" t="s">
        <v>120</v>
      </c>
      <c r="C65" s="47" t="s">
        <v>129</v>
      </c>
      <c r="D65" s="47"/>
      <c r="E65" s="47"/>
      <c r="F65" s="22"/>
      <c r="G65" s="22"/>
      <c r="H65" s="22"/>
      <c r="I65" s="23"/>
    </row>
    <row r="66" spans="2:9" ht="14.25" x14ac:dyDescent="0.2">
      <c r="B66" s="30" t="s">
        <v>121</v>
      </c>
      <c r="C66" s="47" t="s">
        <v>130</v>
      </c>
      <c r="D66" s="47"/>
      <c r="E66" s="47"/>
      <c r="F66" s="22"/>
      <c r="G66" s="22"/>
      <c r="H66" s="22"/>
      <c r="I66" s="23"/>
    </row>
    <row r="67" spans="2:9" ht="14.25" x14ac:dyDescent="0.2">
      <c r="B67" s="30" t="s">
        <v>122</v>
      </c>
      <c r="C67" s="47" t="s">
        <v>131</v>
      </c>
      <c r="D67" s="47"/>
      <c r="E67" s="47"/>
      <c r="F67" s="22"/>
      <c r="G67" s="22"/>
      <c r="H67" s="22"/>
      <c r="I67" s="23"/>
    </row>
    <row r="68" spans="2:9" ht="14.25" x14ac:dyDescent="0.2">
      <c r="B68" s="30" t="s">
        <v>123</v>
      </c>
      <c r="C68" s="47" t="s">
        <v>132</v>
      </c>
      <c r="D68" s="47"/>
      <c r="E68" s="47"/>
      <c r="F68" s="22"/>
      <c r="G68" s="22"/>
      <c r="H68" s="22"/>
      <c r="I68" s="23"/>
    </row>
    <row r="69" spans="2:9" ht="14.25" customHeight="1" x14ac:dyDescent="0.2">
      <c r="B69" s="30" t="s">
        <v>124</v>
      </c>
      <c r="C69" s="47" t="s">
        <v>125</v>
      </c>
      <c r="D69" s="47"/>
      <c r="E69" s="47"/>
      <c r="F69" s="22"/>
      <c r="G69" s="22"/>
      <c r="H69" s="22"/>
      <c r="I69" s="23"/>
    </row>
    <row r="70" spans="2:9" ht="12.75" customHeight="1" x14ac:dyDescent="0.2">
      <c r="B70" s="58" t="s">
        <v>113</v>
      </c>
      <c r="C70" s="59"/>
      <c r="D70" s="59"/>
      <c r="E70" s="59"/>
      <c r="F70" s="59"/>
      <c r="G70" s="59"/>
      <c r="H70" s="59"/>
      <c r="I70" s="60"/>
    </row>
    <row r="71" spans="2:9" x14ac:dyDescent="0.2">
      <c r="B71" s="58"/>
      <c r="C71" s="59"/>
      <c r="D71" s="59"/>
      <c r="E71" s="59"/>
      <c r="F71" s="59"/>
      <c r="G71" s="59"/>
      <c r="H71" s="59"/>
      <c r="I71" s="60"/>
    </row>
    <row r="72" spans="2:9" x14ac:dyDescent="0.2">
      <c r="B72" s="58" t="s">
        <v>115</v>
      </c>
      <c r="C72" s="59"/>
      <c r="D72" s="59"/>
      <c r="E72" s="59"/>
      <c r="F72" s="22"/>
      <c r="G72" s="22"/>
      <c r="H72" s="22"/>
      <c r="I72" s="23"/>
    </row>
    <row r="73" spans="2:9" ht="55.5" customHeight="1" thickBot="1" x14ac:dyDescent="0.25">
      <c r="B73" s="52" t="s">
        <v>114</v>
      </c>
      <c r="C73" s="53"/>
      <c r="D73" s="53"/>
      <c r="E73" s="53"/>
      <c r="F73" s="53"/>
      <c r="G73" s="53"/>
      <c r="H73" s="53"/>
      <c r="I73" s="54"/>
    </row>
  </sheetData>
  <mergeCells count="24">
    <mergeCell ref="C60:I60"/>
    <mergeCell ref="C61:I61"/>
    <mergeCell ref="B73:I73"/>
    <mergeCell ref="B56:I56"/>
    <mergeCell ref="C66:E66"/>
    <mergeCell ref="B72:E72"/>
    <mergeCell ref="B70:I71"/>
    <mergeCell ref="C68:E68"/>
    <mergeCell ref="C63:E63"/>
    <mergeCell ref="C69:E69"/>
    <mergeCell ref="C65:E65"/>
    <mergeCell ref="C57:E57"/>
    <mergeCell ref="C62:E62"/>
    <mergeCell ref="C67:E67"/>
    <mergeCell ref="C64:E64"/>
    <mergeCell ref="C58:I58"/>
    <mergeCell ref="C59:I59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2021-08-04T14:21:13Z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