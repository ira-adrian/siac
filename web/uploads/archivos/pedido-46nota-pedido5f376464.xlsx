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M SALUD\DESCARTABLES DE LAB\final\"/>
    </mc:Choice>
  </mc:AlternateContent>
  <xr:revisionPtr revIDLastSave="0" documentId="8_{3206FBA3-BCFD-43A4-B884-5E0F1320A0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011'!$A$9:$AY$9</definedName>
  </definedNames>
  <calcPr calcId="181029"/>
</workbook>
</file>

<file path=xl/calcChain.xml><?xml version="1.0" encoding="utf-8"?>
<calcChain xmlns="http://schemas.openxmlformats.org/spreadsheetml/2006/main">
  <c r="J76" i="2" l="1"/>
  <c r="J74" i="2"/>
  <c r="J72" i="2"/>
  <c r="J70" i="2"/>
  <c r="M70" i="2" s="1"/>
  <c r="J68" i="2"/>
  <c r="J66" i="2"/>
  <c r="J64" i="2"/>
  <c r="J62" i="2"/>
  <c r="M62" i="2" s="1"/>
  <c r="J60" i="2"/>
  <c r="J58" i="2"/>
  <c r="J56" i="2"/>
  <c r="J54" i="2"/>
  <c r="M54" i="2" s="1"/>
  <c r="J52" i="2"/>
  <c r="J50" i="2"/>
  <c r="J48" i="2"/>
  <c r="J46" i="2"/>
  <c r="M46" i="2" s="1"/>
  <c r="J44" i="2"/>
  <c r="J42" i="2"/>
  <c r="J40" i="2"/>
  <c r="J38" i="2"/>
  <c r="M38" i="2" s="1"/>
  <c r="J36" i="2"/>
  <c r="J34" i="2"/>
  <c r="J32" i="2"/>
  <c r="J30" i="2"/>
  <c r="M30" i="2" s="1"/>
  <c r="J28" i="2"/>
  <c r="J26" i="2"/>
  <c r="J24" i="2"/>
  <c r="J22" i="2"/>
  <c r="M22" i="2" s="1"/>
  <c r="J20" i="2"/>
  <c r="J18" i="2"/>
  <c r="J16" i="2"/>
  <c r="J14" i="2"/>
  <c r="M14" i="2" s="1"/>
  <c r="A41" i="3"/>
  <c r="G6" i="3"/>
  <c r="G7" i="3"/>
  <c r="AW64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12" i="2"/>
  <c r="J13" i="2"/>
  <c r="J15" i="2"/>
  <c r="M15" i="2" s="1"/>
  <c r="J17" i="2"/>
  <c r="J19" i="2"/>
  <c r="J21" i="2"/>
  <c r="J23" i="2"/>
  <c r="M23" i="2" s="1"/>
  <c r="J25" i="2"/>
  <c r="J27" i="2"/>
  <c r="J29" i="2"/>
  <c r="J31" i="2"/>
  <c r="M31" i="2" s="1"/>
  <c r="J33" i="2"/>
  <c r="J35" i="2"/>
  <c r="J37" i="2"/>
  <c r="J39" i="2"/>
  <c r="M39" i="2" s="1"/>
  <c r="J41" i="2"/>
  <c r="J43" i="2"/>
  <c r="J45" i="2"/>
  <c r="J47" i="2"/>
  <c r="M47" i="2" s="1"/>
  <c r="J49" i="2"/>
  <c r="J51" i="2"/>
  <c r="J53" i="2"/>
  <c r="J55" i="2"/>
  <c r="M55" i="2" s="1"/>
  <c r="J57" i="2"/>
  <c r="J59" i="2"/>
  <c r="J61" i="2"/>
  <c r="J63" i="2"/>
  <c r="M63" i="2" s="1"/>
  <c r="J65" i="2"/>
  <c r="J67" i="2"/>
  <c r="J69" i="2"/>
  <c r="J71" i="2"/>
  <c r="M71" i="2" s="1"/>
  <c r="J73" i="2"/>
  <c r="J75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12" i="2"/>
  <c r="D4" i="2"/>
  <c r="G5" i="3" s="1"/>
  <c r="D3" i="2"/>
  <c r="G4" i="3" s="1"/>
  <c r="M16" i="2" l="1"/>
  <c r="M32" i="2"/>
  <c r="M64" i="2"/>
  <c r="M18" i="2"/>
  <c r="M26" i="2"/>
  <c r="M34" i="2"/>
  <c r="M42" i="2"/>
  <c r="M50" i="2"/>
  <c r="M58" i="2"/>
  <c r="M74" i="2"/>
  <c r="M24" i="2"/>
  <c r="M40" i="2"/>
  <c r="M48" i="2"/>
  <c r="M56" i="2"/>
  <c r="M72" i="2"/>
  <c r="Q16" i="3" s="1"/>
  <c r="M75" i="2"/>
  <c r="M67" i="2"/>
  <c r="M59" i="2"/>
  <c r="M51" i="2"/>
  <c r="M43" i="2"/>
  <c r="M35" i="2"/>
  <c r="M27" i="2"/>
  <c r="M19" i="2"/>
  <c r="M20" i="2"/>
  <c r="M28" i="2"/>
  <c r="M36" i="2"/>
  <c r="M44" i="2"/>
  <c r="M52" i="2"/>
  <c r="M60" i="2"/>
  <c r="M68" i="2"/>
  <c r="M76" i="2"/>
  <c r="M12" i="2"/>
  <c r="M73" i="2"/>
  <c r="M69" i="2"/>
  <c r="M65" i="2"/>
  <c r="M61" i="2"/>
  <c r="M57" i="2"/>
  <c r="M53" i="2"/>
  <c r="M49" i="2"/>
  <c r="M45" i="2"/>
  <c r="M41" i="2"/>
  <c r="M37" i="2"/>
  <c r="M33" i="2"/>
  <c r="M29" i="2"/>
  <c r="M25" i="2"/>
  <c r="M21" i="2"/>
  <c r="M17" i="2"/>
  <c r="M13" i="2"/>
  <c r="M66" i="2"/>
  <c r="T75" i="1"/>
  <c r="AW74" i="1"/>
  <c r="AY74" i="1" s="1"/>
  <c r="AF74" i="1"/>
  <c r="T74" i="1"/>
  <c r="AW73" i="1"/>
  <c r="AY73" i="1" s="1"/>
  <c r="AF73" i="1"/>
  <c r="T73" i="1"/>
  <c r="AW72" i="1"/>
  <c r="AY72" i="1" s="1"/>
  <c r="AF72" i="1"/>
  <c r="T72" i="1"/>
  <c r="AW71" i="1"/>
  <c r="AY71" i="1" s="1"/>
  <c r="AF71" i="1"/>
  <c r="T71" i="1"/>
  <c r="AW70" i="1"/>
  <c r="AY70" i="1" s="1"/>
  <c r="AF70" i="1"/>
  <c r="T70" i="1"/>
  <c r="AW69" i="1"/>
  <c r="AY69" i="1" s="1"/>
  <c r="AF69" i="1"/>
  <c r="T69" i="1"/>
  <c r="AW68" i="1"/>
  <c r="AY68" i="1" s="1"/>
  <c r="AF68" i="1"/>
  <c r="T68" i="1"/>
  <c r="AW67" i="1"/>
  <c r="AY67" i="1" s="1"/>
  <c r="AF67" i="1"/>
  <c r="T67" i="1"/>
  <c r="AW66" i="1"/>
  <c r="AY66" i="1" s="1"/>
  <c r="AF66" i="1"/>
  <c r="T66" i="1"/>
  <c r="AW65" i="1"/>
  <c r="AY65" i="1" s="1"/>
  <c r="AF65" i="1"/>
  <c r="T65" i="1"/>
  <c r="AY64" i="1"/>
  <c r="AF64" i="1"/>
  <c r="T64" i="1"/>
  <c r="AW63" i="1"/>
  <c r="AY63" i="1" s="1"/>
  <c r="AF63" i="1"/>
  <c r="T63" i="1"/>
  <c r="AW62" i="1"/>
  <c r="AY62" i="1" s="1"/>
  <c r="AF62" i="1"/>
  <c r="T62" i="1"/>
  <c r="AW61" i="1"/>
  <c r="AY61" i="1" s="1"/>
  <c r="AF61" i="1"/>
  <c r="T61" i="1"/>
  <c r="AW60" i="1"/>
  <c r="AY60" i="1" s="1"/>
  <c r="AF60" i="1"/>
  <c r="T60" i="1"/>
  <c r="AW59" i="1"/>
  <c r="AY59" i="1" s="1"/>
  <c r="AF59" i="1"/>
  <c r="T59" i="1"/>
  <c r="AW58" i="1"/>
  <c r="AY58" i="1" s="1"/>
  <c r="AF58" i="1"/>
  <c r="T58" i="1"/>
  <c r="AW57" i="1"/>
  <c r="AY57" i="1" s="1"/>
  <c r="AF57" i="1"/>
  <c r="T57" i="1"/>
  <c r="AW56" i="1"/>
  <c r="AY56" i="1" s="1"/>
  <c r="AF56" i="1"/>
  <c r="T56" i="1"/>
  <c r="AW55" i="1"/>
  <c r="AY55" i="1" s="1"/>
  <c r="AF55" i="1"/>
  <c r="T55" i="1"/>
  <c r="AW54" i="1"/>
  <c r="AY54" i="1" s="1"/>
  <c r="AF54" i="1"/>
  <c r="T54" i="1"/>
  <c r="AW53" i="1"/>
  <c r="AY53" i="1" s="1"/>
  <c r="AF53" i="1"/>
  <c r="T53" i="1"/>
  <c r="AW52" i="1"/>
  <c r="AY52" i="1" s="1"/>
  <c r="AF52" i="1"/>
  <c r="T52" i="1"/>
  <c r="AW51" i="1"/>
  <c r="AY51" i="1" s="1"/>
  <c r="AF51" i="1"/>
  <c r="AW50" i="1"/>
  <c r="AY50" i="1" s="1"/>
  <c r="AF50" i="1"/>
  <c r="T50" i="1"/>
  <c r="AW49" i="1"/>
  <c r="AY49" i="1" s="1"/>
  <c r="AF49" i="1"/>
  <c r="T49" i="1"/>
  <c r="AW48" i="1"/>
  <c r="AY48" i="1" s="1"/>
  <c r="AF48" i="1"/>
  <c r="T48" i="1"/>
  <c r="AW47" i="1"/>
  <c r="AY47" i="1" s="1"/>
  <c r="AF47" i="1"/>
  <c r="T47" i="1"/>
  <c r="AW46" i="1"/>
  <c r="AY46" i="1" s="1"/>
  <c r="AF46" i="1"/>
  <c r="T46" i="1"/>
  <c r="AW45" i="1"/>
  <c r="AY45" i="1" s="1"/>
  <c r="AF45" i="1"/>
  <c r="T45" i="1"/>
  <c r="AW44" i="1"/>
  <c r="AY44" i="1" s="1"/>
  <c r="AF44" i="1"/>
  <c r="T44" i="1"/>
  <c r="AW43" i="1"/>
  <c r="AY43" i="1" s="1"/>
  <c r="AF43" i="1"/>
  <c r="T43" i="1"/>
  <c r="AW42" i="1"/>
  <c r="AY42" i="1" s="1"/>
  <c r="AF42" i="1"/>
  <c r="T42" i="1"/>
  <c r="AW41" i="1"/>
  <c r="AY41" i="1" s="1"/>
  <c r="AF41" i="1"/>
  <c r="T41" i="1"/>
  <c r="AW40" i="1"/>
  <c r="AY40" i="1" s="1"/>
  <c r="AF40" i="1"/>
  <c r="T40" i="1"/>
  <c r="AW39" i="1"/>
  <c r="AY39" i="1" s="1"/>
  <c r="AF39" i="1"/>
  <c r="T39" i="1"/>
  <c r="AW38" i="1"/>
  <c r="AY38" i="1" s="1"/>
  <c r="AF38" i="1"/>
  <c r="T38" i="1"/>
  <c r="AW37" i="1"/>
  <c r="AY37" i="1" s="1"/>
  <c r="AF37" i="1"/>
  <c r="T37" i="1"/>
  <c r="AW36" i="1"/>
  <c r="AY36" i="1" s="1"/>
  <c r="AF36" i="1"/>
  <c r="T36" i="1"/>
  <c r="AW35" i="1"/>
  <c r="AY35" i="1" s="1"/>
  <c r="AF35" i="1"/>
  <c r="T35" i="1"/>
  <c r="AW34" i="1"/>
  <c r="AY34" i="1" s="1"/>
  <c r="AF34" i="1"/>
  <c r="AW33" i="1"/>
  <c r="AY33" i="1" s="1"/>
  <c r="AF33" i="1"/>
  <c r="T33" i="1"/>
  <c r="AW32" i="1"/>
  <c r="AY32" i="1" s="1"/>
  <c r="AF32" i="1"/>
  <c r="T32" i="1"/>
  <c r="AW31" i="1"/>
  <c r="AY31" i="1" s="1"/>
  <c r="AF31" i="1"/>
  <c r="T31" i="1"/>
  <c r="AW30" i="1"/>
  <c r="AY30" i="1" s="1"/>
  <c r="AF30" i="1"/>
  <c r="T30" i="1"/>
  <c r="AW29" i="1"/>
  <c r="AY29" i="1" s="1"/>
  <c r="AF29" i="1"/>
  <c r="T29" i="1"/>
  <c r="AW28" i="1"/>
  <c r="AY28" i="1" s="1"/>
  <c r="AF28" i="1"/>
  <c r="T28" i="1"/>
  <c r="AW27" i="1"/>
  <c r="AY27" i="1" s="1"/>
  <c r="AF27" i="1"/>
  <c r="T27" i="1"/>
  <c r="AW26" i="1"/>
  <c r="AY26" i="1" s="1"/>
  <c r="AF26" i="1"/>
  <c r="T26" i="1"/>
  <c r="AW25" i="1"/>
  <c r="AY25" i="1" s="1"/>
  <c r="AF25" i="1"/>
  <c r="T25" i="1"/>
  <c r="AW24" i="1"/>
  <c r="AY24" i="1" s="1"/>
  <c r="AF24" i="1"/>
  <c r="T24" i="1"/>
  <c r="AW23" i="1"/>
  <c r="AY23" i="1" s="1"/>
  <c r="AF23" i="1"/>
  <c r="T23" i="1"/>
  <c r="AW22" i="1"/>
  <c r="AY22" i="1" s="1"/>
  <c r="AF22" i="1"/>
  <c r="T22" i="1"/>
  <c r="AW21" i="1"/>
  <c r="AY21" i="1" s="1"/>
  <c r="AF21" i="1"/>
  <c r="T21" i="1"/>
  <c r="AW20" i="1"/>
  <c r="AY20" i="1" s="1"/>
  <c r="AF20" i="1"/>
  <c r="T20" i="1"/>
  <c r="AW19" i="1"/>
  <c r="AY19" i="1" s="1"/>
  <c r="AF19" i="1"/>
  <c r="T19" i="1"/>
  <c r="AW18" i="1"/>
  <c r="AY18" i="1" s="1"/>
  <c r="AF18" i="1"/>
  <c r="T18" i="1"/>
  <c r="AW17" i="1"/>
  <c r="AY17" i="1" s="1"/>
  <c r="AF17" i="1"/>
  <c r="T17" i="1"/>
  <c r="AW16" i="1"/>
  <c r="AY16" i="1" s="1"/>
  <c r="AF16" i="1"/>
  <c r="T16" i="1"/>
  <c r="AW15" i="1"/>
  <c r="AY15" i="1" s="1"/>
  <c r="AF15" i="1"/>
  <c r="T15" i="1"/>
  <c r="AW14" i="1"/>
  <c r="AY14" i="1" s="1"/>
  <c r="AF14" i="1"/>
  <c r="T14" i="1"/>
  <c r="AW13" i="1"/>
  <c r="AY13" i="1" s="1"/>
  <c r="AF13" i="1"/>
  <c r="T13" i="1"/>
  <c r="AW12" i="1"/>
  <c r="AY12" i="1" s="1"/>
  <c r="AF12" i="1"/>
  <c r="T12" i="1"/>
  <c r="AW11" i="1"/>
  <c r="AY11" i="1" s="1"/>
  <c r="AF11" i="1"/>
  <c r="T11" i="1"/>
  <c r="AW10" i="1"/>
  <c r="AY10" i="1" s="1"/>
  <c r="AF10" i="1"/>
  <c r="T10" i="1"/>
  <c r="M78" i="2" l="1"/>
  <c r="M80" i="2" s="1"/>
  <c r="Q15" i="3" s="1"/>
  <c r="Q38" i="3" s="1"/>
  <c r="AY75" i="1"/>
  <c r="J78" i="2" l="1"/>
</calcChain>
</file>

<file path=xl/sharedStrings.xml><?xml version="1.0" encoding="utf-8"?>
<sst xmlns="http://schemas.openxmlformats.org/spreadsheetml/2006/main" count="513" uniqueCount="252">
  <si>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</si>
  <si>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</si>
  <si>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</si>
  <si>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</si>
  <si>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</si>
  <si>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</si>
  <si>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</si>
  <si>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</si>
  <si>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</si>
  <si>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</si>
  <si>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</si>
  <si>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</si>
  <si>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</si>
  <si>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</si>
  <si>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</si>
  <si>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</si>
  <si>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</si>
  <si>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</si>
  <si>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</si>
  <si>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</si>
  <si>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</si>
  <si>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</si>
  <si>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</si>
  <si>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</si>
  <si>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</si>
  <si>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</si>
  <si>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</si>
  <si>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</si>
  <si>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</si>
  <si>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</si>
  <si>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</si>
  <si>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</si>
  <si>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</si>
  <si>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</si>
  <si>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</si>
  <si>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</si>
  <si>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</si>
  <si>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</si>
  <si>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</si>
  <si>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</si>
  <si>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</si>
  <si>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</si>
  <si>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</si>
  <si>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</si>
  <si>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</si>
  <si>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</si>
  <si>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</si>
  <si>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</si>
  <si>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</si>
  <si>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</si>
  <si>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</si>
  <si>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</si>
  <si>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</si>
  <si>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</si>
  <si>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</si>
  <si>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</si>
  <si>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</si>
  <si>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</si>
  <si>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</si>
  <si>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ESPECIFICACION TECNICA</t>
  </si>
  <si>
    <t>UNIDAD</t>
  </si>
  <si>
    <t>2.9.5-470.13</t>
  </si>
  <si>
    <t>PROD. MEDICO/FARMACEUTICOS/LAB</t>
  </si>
  <si>
    <t>2.9.5</t>
  </si>
  <si>
    <t>ALGODONES; TIPO: HIDROFILADO, CAPACIDAD: 500 GR, PRESENTACION: ENVASE X 500 GR</t>
  </si>
  <si>
    <t>2.9.5-287.3</t>
  </si>
  <si>
    <t>AMPOLLAS P/DECANTACION; CAPACIDAD: 1000 mL</t>
  </si>
  <si>
    <t>2.9.5-5703.8</t>
  </si>
  <si>
    <t>ANSA; PRESENTACION: ENVASE X 20 UN, TIPO: CALIBRADA</t>
  </si>
  <si>
    <t>2.9.5-5703.9</t>
  </si>
  <si>
    <t>ANSA; PRESENTACION: ENVASE X 20 UN, TIPO: PUNTA RECTA</t>
  </si>
  <si>
    <t>2.9.5-5703.15</t>
  </si>
  <si>
    <t>ANSA; PRESENTACION: UNIDAD, TIPO: PLASTICA DESCARTABLE</t>
  </si>
  <si>
    <t>2.9.5-2505.16</t>
  </si>
  <si>
    <t>BOLSAS COLECTORAS; TIPO: ESTERIL, USO: MUESTREO, CAPACIDAD: 400 mL</t>
  </si>
  <si>
    <t>2.9.5-5770.9</t>
  </si>
  <si>
    <t>CAPSULAS DE PORCELANA; USO: P/CALCINACION, CAPACIDAD: 100 CM3, MEDIDAS: 136-100 mm, DIMENSION: 136-100 mm</t>
  </si>
  <si>
    <t>2.9.5-5770.10</t>
  </si>
  <si>
    <t>CAPSULAS DE PORCELANA; USO: P/LABORATORIO, CAPACIDAD: 75 mL, MEDIDAS: 50 X 44 mm, DIMENSION: 50 X 44 mm</t>
  </si>
  <si>
    <t>2.9.5-1908.12</t>
  </si>
  <si>
    <t>CEPILLOS P/LABORATORIO; TIPO: LIMPIEZA DE TUBOS, MATERIAL: CERDA, TAMAÑO: 1 Cm</t>
  </si>
  <si>
    <t>2.9.5-1908.3</t>
  </si>
  <si>
    <t>CEPILLOS P/LABORATORIO; TIPO: LIMPIEZA DE TUBOS, MATERIAL: CERDA, TAMAÑO: CHICO</t>
  </si>
  <si>
    <t>2.9.5-1908.2</t>
  </si>
  <si>
    <t>CEPILLOS P/LABORATORIO; TIPO: LIMPIEZA DE TUBOS, MATERIAL: CERDA, TAMAÑO: MEDIANO</t>
  </si>
  <si>
    <t>2.9.5-1908.40</t>
  </si>
  <si>
    <t>CEPILLOS P/LABORATORIO; TIPO: LIMPIEZA ERLENMEYER, MATERIAL: CERDA, TAMAÑO: DIAM. 45 mm</t>
  </si>
  <si>
    <t>2.9.5-1908.17</t>
  </si>
  <si>
    <t>CEPILLOS P/LABORATORIO; TIPO: P/PROBETAS, MATERIAL: CERDA, TAMAÑO: LONG. 23/ DIAM. 2 Cm</t>
  </si>
  <si>
    <t>2.9.5-8735.20</t>
  </si>
  <si>
    <t>DESECADORES; ACCESORIO: DESECADOR, ALTO: 31 Cm, DIAMETRO: 29 Cm, MATERIAL: VIDRIO BOROSILICATO, USO: P/LABORATORIO</t>
  </si>
  <si>
    <t>2.9.5-5846.6</t>
  </si>
  <si>
    <t>EMBUDOS P/LABORATORIOS; MATERIAL: POLIPROPILENO, DIAM. BOCA: 100 mm, DIAM. TUBO: 13 mm, CAPACIDAD: 250 mL, DIAMETRO MENOR: 100 mm, DIAMETRO MAYOR: 13 mm</t>
  </si>
  <si>
    <t>2.9.5-5846.5</t>
  </si>
  <si>
    <t>EMBUDOS P/LABORATORIOS; MATERIAL: POLIPROPILENO, DIAM. BOCA: 75 mm, DIAM. TUBO: 10 mm, CAPACIDAD: 100 mL, DIAMETRO MENOR: 75 mm, DIAMETRO MAYOR: 10 mm</t>
  </si>
  <si>
    <t>2.9.5-5846.23</t>
  </si>
  <si>
    <t>EMBUDOS P/LABORATORIOS; MATERIAL: VIDRIO, DIAMETRO MENOR: 15 mm, DIAMETRO MAYOR: 80 mm, CAPACIDAD: 250 mL</t>
  </si>
  <si>
    <t>2.9.5-5846.18</t>
  </si>
  <si>
    <t>EMBUDOS P/LABORATORIOS; MATERIAL: VIDRIO, DIAMETRO MENOR: 20 mm, DIAMETRO MAYOR: 65 mm, CAPACIDAD: 150 mL</t>
  </si>
  <si>
    <t>2.9.5-5846.16</t>
  </si>
  <si>
    <t>EMBUDOS P/LABORATORIOS; MATERIAL: VIDRIO, DIAMETRO MENOR: 9 mm, DIAMETRO MAYOR: 50 mm, CAPACIDAD: 20 mL</t>
  </si>
  <si>
    <t>2.9.5-2765.31</t>
  </si>
  <si>
    <t>ERLENMEYER; TIPO: BOCA COMUN, CAPACIDAD: 1000 mL, GRADUADO: SI, GRADUACION: SI</t>
  </si>
  <si>
    <t>2.9.5-2765.30</t>
  </si>
  <si>
    <t>ERLENMEYER; TIPO: BOCA COMUN, CAPACIDAD: 125 mL, GRADUADO: SI, GRADUACION: SI</t>
  </si>
  <si>
    <t>2.9.5-2765.24</t>
  </si>
  <si>
    <t>ERLENMEYER; TIPO: BOCA COMUN, CAPACIDAD: 250 mL, GRADUACION: SI, GRADUADO: SI</t>
  </si>
  <si>
    <t>2.9.5-448.76</t>
  </si>
  <si>
    <t>FRASCOS ESTERILES; CAPACIDAD: 1000 mL, PRESENTACION: UNIDAD, GRABADO: SIN, USO: LABORATORIO</t>
  </si>
  <si>
    <t>2.9.5-448.79</t>
  </si>
  <si>
    <t>FRASCOS ESTERILES; CAPACIDAD: 250 mL, PRESENTACION: UNIDAD, GRABADO: SIN, USO: LABORATORIO</t>
  </si>
  <si>
    <t>2.9.5-2600.22</t>
  </si>
  <si>
    <t>FRASCOS P/MUESTRAS; DIMENSION: SIN VALOR, MATERIAL: VIDRIO GRADUADO AUTOCLAVABLE, CAPACIDAD: 250 mL, TAPA: A ROSCA</t>
  </si>
  <si>
    <t>2.9.5-2600.23</t>
  </si>
  <si>
    <t>FRASCOS P/MUESTRAS; DIMENSION: SIN VALOR, MATERIAL: VIDRIO GRADUADO AUTOCLAVABLE, CAPACIDAD: 500 mL, TAPA: A ROSCA</t>
  </si>
  <si>
    <t>2.9.5-2600.117</t>
  </si>
  <si>
    <t>FRASCOS P/MUESTRAS; MATERIAL: VIDRIO GRADUADO AUTOCLAVABLE, DIMENSION: NO APLICA, CAPACIDAD: 100 mL, TAPA: A ROSCA</t>
  </si>
  <si>
    <t>2.9.5-2600.24</t>
  </si>
  <si>
    <t>FRASCOS P/MUESTRAS; MATERIAL: VIDRIO GRADUADO AUTOCLAVABLE, DIMENSION: SIN VALOR, CAPACIDAD: 1000 mL, TAPA: A ROSCA</t>
  </si>
  <si>
    <t>2.9.5-3017.1</t>
  </si>
  <si>
    <t>GRADILLAS P/LABORATORIO; CANTIDAD DE TUBOS: 48, MATERIAL: ALAMBRE PLASTIFICADO, MEDIDA TUBO: 6 X 1,5 Cm, TAMAÑO TUBO: 6 X 1,5 Cm, CANT. DE ELEMENTOS: 48, MEDIDA: 6 X 1,5 Cm</t>
  </si>
  <si>
    <t>2.9.5-3017.3</t>
  </si>
  <si>
    <t>GRADILLAS P/LABORATORIO; TAMAÑO TUBO: 13 mm, CANTIDAD DE TUBOS: 36, MATERIAL: VIDRIO FORRADA, MEDIDA TUBO: 13 mm, CANT. DE ELEMENTOS: 36, MEDIDA: 13 mm</t>
  </si>
  <si>
    <t>2.9.5-3017.4</t>
  </si>
  <si>
    <t>GRADILLAS P/LABORATORIO; TAMAÑO TUBO: 3,4 X 12 Cm, CANTIDAD DE TUBOS: 12, MATERIAL: ALAMBRE PLASTIFICADO, MEDIDA TUBO: 3,4 X 12 Cm, CANT. DE ELEMENTOS: 12, MEDIDA: 3,4 X 12 Cm</t>
  </si>
  <si>
    <t>2.9.5-7591.1</t>
  </si>
  <si>
    <t>MANGOS DE KOLL; LARGO: 25 Cm, MATERIAL: ACERO INOXIDABLE, PRESENTACION: UNIDAD, USO: TOMA DE MUESTRAS</t>
  </si>
  <si>
    <t>2.9.5-4539.37</t>
  </si>
  <si>
    <t>MATRAZ AFORADO; ESTADO: SOLIDO, MATERIAL: POLIPROPILENO, PRESENTACION: UNIDAD, CAPACIDAD: 100 mL</t>
  </si>
  <si>
    <t>2.9.5-4539.40</t>
  </si>
  <si>
    <t>MATRAZ AFORADO; ESTADO: SOLIDO, MATERIAL: POLIPROPILENO, PRESENTACION: UNIDAD, CAPACIDAD: 250 mL</t>
  </si>
  <si>
    <t>2.9.5-4539.8</t>
  </si>
  <si>
    <t>MATRAZ AFORADO; ESTADO: SOLIDO, MATERIAL: VIDRIO BOROSILICATO, PRESENTACION: UNIDAD, CAPACIDAD: 250 mL</t>
  </si>
  <si>
    <t>2.9.5-4539.21</t>
  </si>
  <si>
    <t>MATRAZ AFORADO; ESTADO: SOLIDO, MATERIAL: VIDRIO, PRESENTACION: UNIDAD, CAPACIDAD: 100 Ml</t>
  </si>
  <si>
    <t>2.9.5-4539.22</t>
  </si>
  <si>
    <t>MATRAZ AFORADO; ESTADO: SOLIDO, MATERIAL: VIDRIO, PRESENTACION: UNIDAD, CAPACIDAD: 200 Ml</t>
  </si>
  <si>
    <t>2.9.5-4539.23</t>
  </si>
  <si>
    <t>MATRAZ AFORADO; ESTADO: SOLIDO, MATERIAL: VIDRIO, PRESENTACION: UNIDAD, CAPACIDAD: 25 Ml</t>
  </si>
  <si>
    <t>2.9.5-4539.24</t>
  </si>
  <si>
    <t>MATRAZ AFORADO; ESTADO: SOLIDO, MATERIAL: VIDRIO, PRESENTACION: UNIDAD, CAPACIDAD: 50 mL</t>
  </si>
  <si>
    <t>2.9.5-4539.25</t>
  </si>
  <si>
    <t>MATRAZ AFORADO; ESTADO: SOLIDO, MATERIAL: VIDRIO, PRESENTACION: UNIDAD, CAPACIDAD: 500 Ml</t>
  </si>
  <si>
    <t>2.9.5-3024.49</t>
  </si>
  <si>
    <t>PAPEL FILTRO; FORMA: CIRCULAR, DIMENSION: 110 mm, PORO: WATMAN 40/41, PRESENTACION: ENVASE X 100</t>
  </si>
  <si>
    <t>2.9.5-469.92</t>
  </si>
  <si>
    <t>PIPETAS DE VIDRIO; USO: GENERAL, TIPO: GRADUADA X 1 ML</t>
  </si>
  <si>
    <t>2.9.5-469.36</t>
  </si>
  <si>
    <t>PIPETAS DE VIDRIO; USO: LABORATORIO, TIPO: 1 AFORO DE 50 ML</t>
  </si>
  <si>
    <t>2.9.5-469.62</t>
  </si>
  <si>
    <t>PIPETAS DE VIDRIO; USO: LABORATORIO, TIPO: AFORO SIMPLE 100 ML</t>
  </si>
  <si>
    <t>2.9.5-469.59</t>
  </si>
  <si>
    <t>PIPETAS DE VIDRIO; USO: LABORATORIO, TIPO: DOBLE AFORO 100 mL</t>
  </si>
  <si>
    <t>2.9.5-469.45</t>
  </si>
  <si>
    <t>PIPETAS DE VIDRIO; USO: LABORATORIO, TIPO: DOBLE AFORO 11 Ml</t>
  </si>
  <si>
    <t>2.9.5-469.35</t>
  </si>
  <si>
    <t>PIPETAS DE VIDRIO; USO: LABORATORIO, TIPO: DOBLE AFORO 25 mL</t>
  </si>
  <si>
    <t>2.9.5-469.51</t>
  </si>
  <si>
    <t>PIPETAS DE VIDRIO; USO: LABORATORIO, TIPO: DOBLE AFORO 50 mL</t>
  </si>
  <si>
    <t>2.9.5-469.41</t>
  </si>
  <si>
    <t>PIPETAS DE VIDRIO; USO: LABORATORIO, TIPO: GRADUADA DE 10 ML</t>
  </si>
  <si>
    <t>2.9.5-469.48</t>
  </si>
  <si>
    <t>2.9.5-469.49</t>
  </si>
  <si>
    <t>PIPETAS DE VIDRIO; USO: LABORATORIO, TIPO: GRADUADA DE 5 ML</t>
  </si>
  <si>
    <t>2.9.5-2782.13</t>
  </si>
  <si>
    <t>PISETAS DE LABORATORIO; MATERIAL: POLIETILENO, CAPACIDAD: 500 Ml</t>
  </si>
  <si>
    <t>2.9.5-2591.7</t>
  </si>
  <si>
    <t>2.9.5-2591.5</t>
  </si>
  <si>
    <t>PLACAS DE PETRI; MATERIAL: SOLIDO, DIAMETRO: 100 mm, ALTURA: 15 mm</t>
  </si>
  <si>
    <t>2.9.5-2763.20</t>
  </si>
  <si>
    <t>PROBETAS; MATERIAL: VIDRIO, CAPACIDAD: 100 mL, GRADUACION: 1 mL, TAPA: SIN, BASE: PLASTICA</t>
  </si>
  <si>
    <t>2.9.5-2763.11</t>
  </si>
  <si>
    <t>PROBETAS; MATERIAL: VIDRIO BOROSILICATO, CAPACIDAD: 1000 mL, GRADUACION: EN COLOR, TAPA: SIN VALOR, BASE: PLASTICA</t>
  </si>
  <si>
    <t>2.9.5-2763.9</t>
  </si>
  <si>
    <t>PROBETAS; MATERIAL: VIDRIO BOROSILICATO, CAPACIDAD: 250 mL, GRADUACION: EN COLOR, TAPA: SIN VALOR, BASE: PLASTICA</t>
  </si>
  <si>
    <t>2.9.5-2763.21</t>
  </si>
  <si>
    <t>PROBETAS; MATERIAL: VIDRIO, CAPACIDAD: 50 mL, GRADUACION: 1 mL, TAPA: SIN, BASE: PLASTICA</t>
  </si>
  <si>
    <t>2.9.5-2763.16</t>
  </si>
  <si>
    <t>PROBETAS; MATERIAL: VIDRIO, CAPACIDAD: 50 mL, GRADUACION: 1/10 mL, TAPA: SIN, BASE: PLASTICA</t>
  </si>
  <si>
    <t>2.9.5-2763.27</t>
  </si>
  <si>
    <t>PROBETAS; MATERIAL: VIDRIO, CAPACIDAD: 500 mm, GRADUACION: AL MILÍMETRO, TAPA: SIN, BASE: PLASTICA</t>
  </si>
  <si>
    <t>2.9.6-5967.13</t>
  </si>
  <si>
    <t>2.9.6</t>
  </si>
  <si>
    <t xml:space="preserve">TAPONES; FORMA: CILINDROS CONCENTRICOS, DIAMETRO MENOR: 20 mm, DIAMETRO MAYOR: 30 mm, LARGO: 18 mm, MATERIAL: POLIPROPILENO            </t>
  </si>
  <si>
    <t>2.9.5-2961.1</t>
  </si>
  <si>
    <t>VARILLAS MEZCLADORAS; DIAMETRO: 6 mm, LARGO: 200 mm, MATERIAL: VIDRIO</t>
  </si>
  <si>
    <t>2.9.5-2764.2</t>
  </si>
  <si>
    <t>VASO DE PRECIPITADO; MATERIAL: VIDRIO, CAPACIDAD: 250 mL, GRADUADO: SI, TIPO: GRIFFIN, GRADUACION: SI</t>
  </si>
  <si>
    <t>2.9.5-2764.1</t>
  </si>
  <si>
    <t>VASO DE PRECIPITADO; MATERIAL: VIDRIO, TIPO: GRIFFIN, CAPACIDAD: 100 mL, GRADUACION: SI, GRADUADO: SI</t>
  </si>
  <si>
    <t>2.9.5-2764.7</t>
  </si>
  <si>
    <t>VASO DE PRECIPITADO; MATERIAL: VIDRIO, TIPO: GRIFFIN, CAPACIDAD: 50 mL, GRADUADO: SI, GRADUACION: SI</t>
  </si>
  <si>
    <t>TOTAL RUBRO UTILES PARA LABORATORIO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</si>
  <si>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</si>
  <si>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</si>
  <si>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</si>
  <si>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</si>
  <si>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</si>
  <si>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</si>
  <si>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</si>
  <si>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</si>
  <si>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</si>
  <si>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</si>
  <si>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</si>
  <si>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</si>
  <si>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</si>
  <si>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</si>
  <si>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</si>
  <si>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</si>
  <si>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</si>
  <si>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</si>
  <si>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</si>
  <si>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</si>
  <si>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</si>
  <si>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</si>
  <si>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</si>
  <si>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</si>
  <si>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</si>
  <si>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</si>
  <si>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</si>
  <si>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</si>
  <si>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</si>
  <si>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</si>
  <si>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</si>
  <si>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</si>
  <si>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</si>
  <si>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</si>
  <si>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</si>
  <si>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</si>
  <si>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</si>
  <si>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PIPETAS DE VIDRIO; USO: LABORATORIO, TIPO: GRADUADA DE 25 ML Ml</t>
  </si>
  <si>
    <t>DIRECCION PROVINCIAL DE SALUD Y MEDIO AMBIENTE</t>
  </si>
  <si>
    <t>1° TRIMESTRE 2022</t>
  </si>
  <si>
    <t xml:space="preserve"> 02/2022</t>
  </si>
  <si>
    <t>NO</t>
  </si>
  <si>
    <t>Costo total estimado: SEISCIENTOS TRES MIL DOSCIENTOS TREINTA Y TRES CON 82/100.-</t>
  </si>
  <si>
    <t>Autorizo la realización de los  trámites correspondientes, a fin de proveer a  este Organismo los bienes que se detallan en Nota  de Pedido N° 02/2022 afectando la erogación resultante a los créditos presupuestarios aprobados a favor de esta Unidad Ejecutora, conforme al siguiente detalle:</t>
  </si>
  <si>
    <t>1.1</t>
  </si>
  <si>
    <t>UTILES MENORES MEDICOS, QUIRURGICOS Y DE LABORATORIO</t>
  </si>
  <si>
    <t>REPUESTOS Y ACCESORIOS</t>
  </si>
  <si>
    <t>TOTAL DE PESOS: SEISCIENTOS TRES MIL DOSCIENTOS TREINTA Y TRES CON 82/100.-</t>
  </si>
  <si>
    <t>ADQUISICION DEL RUBRO UTILES DE LABORATORIO</t>
  </si>
  <si>
    <t>DETALLE TECNICO Y ESPECIFICACIONES</t>
  </si>
  <si>
    <t>Plazos de entrega</t>
  </si>
  <si>
    <t>Lugar de Entrega:</t>
  </si>
  <si>
    <t>Avenida Enrique Ocampo N° 257, Capital Catamarca. - en el horario de 8:00hs a 12:00hs de lunes a viernes</t>
  </si>
  <si>
    <t>Calidad Minima esperada</t>
  </si>
  <si>
    <t>Mantenimiento</t>
  </si>
  <si>
    <t>cuarenta y cinco (45) días</t>
  </si>
  <si>
    <t>veinte (20) dias habiles</t>
  </si>
  <si>
    <t>PLACAS DE PETRI; MATERIAL: PLASTICO ESTERIL, DIAMETRO: 5 Cm, ALTURA: SIN VALOR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</si>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</sst>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_-&quot;$&quot;\ * #,##0.00_-;\-&quot;$&quot;\ * #,##0.00_-;_-&quot;$&quot;\ * &quot;-&quot;??_-;_-@"/>
    <numFmt numFmtId="169" formatCode="dd\-mm\-yy;@"/>
    <numFmt numFmtId="170" formatCode="_(\$* #,##0.00_);_(\$* \(#,##0.00\);_(\$* \-??_);_(@_)"/>
    <numFmt numFmtId="171" formatCode="_-* #,##0.00&quot; €&quot;_-;\-* #,##0.00&quot; €&quot;_-;_-* \-??&quot; €&quot;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170" fontId="19" fillId="0" borderId="0" applyBorder="0" applyProtection="0"/>
    <xf numFmtId="0" fontId="23" fillId="0" borderId="61" applyProtection="0"/>
    <xf numFmtId="0" fontId="23" fillId="0" borderId="61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8" fillId="0" borderId="0" applyBorder="0" applyAlignment="0" applyProtection="0"/>
    <xf numFmtId="171" fontId="8" fillId="0" borderId="0" applyBorder="0" applyProtection="0"/>
    <xf numFmtId="171" fontId="8" fillId="0" borderId="0" applyBorder="0" applyProtection="0"/>
    <xf numFmtId="171" fontId="8" fillId="0" borderId="0" applyBorder="0" applyProtection="0"/>
    <xf numFmtId="0" fontId="24" fillId="4" borderId="0" applyBorder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22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166" fontId="7" fillId="2" borderId="1" xfId="2" applyNumberFormat="1" applyFont="1" applyFill="1" applyBorder="1" applyAlignment="1">
      <alignment horizontal="center" vertical="center" wrapText="1"/>
    </xf>
    <xf numFmtId="166" fontId="7" fillId="2" borderId="2" xfId="2" applyNumberFormat="1" applyFont="1" applyFill="1" applyBorder="1" applyAlignment="1">
      <alignment horizontal="center" vertical="center" wrapText="1"/>
    </xf>
    <xf numFmtId="3" fontId="7" fillId="0" borderId="6" xfId="2" applyNumberFormat="1" applyFont="1" applyBorder="1" applyAlignment="1">
      <alignment horizontal="center" vertical="center" wrapText="1"/>
    </xf>
    <xf numFmtId="3" fontId="7" fillId="0" borderId="5" xfId="2" applyNumberFormat="1" applyFont="1" applyBorder="1" applyAlignment="1">
      <alignment horizontal="center" vertical="center" wrapText="1"/>
    </xf>
    <xf numFmtId="166" fontId="9" fillId="2" borderId="9" xfId="2" applyNumberFormat="1" applyFont="1" applyFill="1" applyBorder="1" applyAlignment="1">
      <alignment horizontal="center" vertical="center" wrapText="1"/>
    </xf>
    <xf numFmtId="3" fontId="7" fillId="0" borderId="3" xfId="2" applyNumberFormat="1" applyFont="1" applyBorder="1" applyAlignment="1">
      <alignment horizontal="center" vertical="center" wrapText="1"/>
    </xf>
    <xf numFmtId="166" fontId="7" fillId="2" borderId="3" xfId="2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7" fillId="0" borderId="1" xfId="0" applyFont="1" applyBorder="1"/>
    <xf numFmtId="0" fontId="9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3" fontId="9" fillId="0" borderId="8" xfId="0" applyNumberFormat="1" applyFont="1" applyBorder="1" applyAlignment="1">
      <alignment horizontal="center" vertical="center"/>
    </xf>
    <xf numFmtId="166" fontId="9" fillId="0" borderId="8" xfId="0" applyNumberFormat="1" applyFont="1" applyBorder="1" applyAlignment="1">
      <alignment horizontal="center" vertical="center"/>
    </xf>
    <xf numFmtId="0" fontId="9" fillId="0" borderId="8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7" fillId="0" borderId="0" xfId="0" applyFont="1"/>
    <xf numFmtId="0" fontId="9" fillId="0" borderId="7" xfId="0" applyFont="1" applyBorder="1" applyAlignment="1">
      <alignment horizontal="center" vertical="center"/>
    </xf>
    <xf numFmtId="0" fontId="9" fillId="0" borderId="4" xfId="0" applyFont="1" applyBorder="1"/>
    <xf numFmtId="0" fontId="9" fillId="0" borderId="0" xfId="0" applyFont="1"/>
    <xf numFmtId="0" fontId="7" fillId="0" borderId="1" xfId="2" applyFont="1" applyBorder="1" applyAlignment="1">
      <alignment horizontal="center" vertical="center" wrapText="1"/>
    </xf>
    <xf numFmtId="165" fontId="7" fillId="0" borderId="2" xfId="0" applyNumberFormat="1" applyFont="1" applyFill="1" applyBorder="1" applyAlignment="1">
      <alignment horizontal="center" vertical="center" wrapText="1"/>
    </xf>
    <xf numFmtId="166" fontId="7" fillId="0" borderId="1" xfId="1" applyNumberFormat="1" applyFont="1" applyBorder="1" applyAlignment="1">
      <alignment vertical="center" wrapText="1"/>
    </xf>
    <xf numFmtId="168" fontId="7" fillId="0" borderId="1" xfId="0" applyNumberFormat="1" applyFont="1" applyBorder="1" applyAlignment="1">
      <alignment horizontal="center" vertical="center"/>
    </xf>
    <xf numFmtId="165" fontId="9" fillId="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3" fillId="0" borderId="22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 indent="1"/>
    </xf>
    <xf numFmtId="3" fontId="17" fillId="0" borderId="33" xfId="0" applyNumberFormat="1" applyFont="1" applyBorder="1" applyAlignment="1"/>
    <xf numFmtId="169" fontId="0" fillId="0" borderId="33" xfId="0" applyNumberFormat="1" applyBorder="1" applyAlignment="1">
      <alignment horizontal="left"/>
    </xf>
    <xf numFmtId="0" fontId="0" fillId="0" borderId="33" xfId="0" applyBorder="1"/>
    <xf numFmtId="0" fontId="0" fillId="0" borderId="2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3" xfId="0" applyFont="1" applyBorder="1" applyAlignment="1">
      <alignment horizontal="left" vertical="center"/>
    </xf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1" fillId="0" borderId="1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166" fontId="11" fillId="0" borderId="12" xfId="0" applyNumberFormat="1" applyFont="1" applyBorder="1" applyAlignment="1">
      <alignment horizontal="right" vertical="center"/>
    </xf>
    <xf numFmtId="166" fontId="11" fillId="0" borderId="0" xfId="0" applyNumberFormat="1" applyFont="1" applyBorder="1" applyAlignment="1">
      <alignment vertical="center"/>
    </xf>
    <xf numFmtId="166" fontId="12" fillId="0" borderId="0" xfId="0" applyNumberFormat="1" applyFont="1" applyBorder="1" applyAlignment="1">
      <alignment horizontal="left" vertical="center" wrapText="1" indent="1"/>
    </xf>
    <xf numFmtId="166" fontId="0" fillId="0" borderId="0" xfId="0" applyNumberFormat="1"/>
    <xf numFmtId="0" fontId="15" fillId="0" borderId="6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66" fontId="15" fillId="0" borderId="2" xfId="0" applyNumberFormat="1" applyFont="1" applyBorder="1" applyAlignment="1">
      <alignment horizontal="center" vertical="center" wrapText="1"/>
    </xf>
    <xf numFmtId="3" fontId="15" fillId="0" borderId="65" xfId="0" applyNumberFormat="1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166" fontId="27" fillId="0" borderId="10" xfId="0" applyNumberFormat="1" applyFont="1" applyBorder="1" applyAlignment="1">
      <alignment horizontal="center" vertical="center" wrapText="1"/>
    </xf>
    <xf numFmtId="3" fontId="27" fillId="0" borderId="27" xfId="0" applyNumberFormat="1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66" fontId="27" fillId="0" borderId="1" xfId="0" applyNumberFormat="1" applyFont="1" applyBorder="1" applyAlignment="1">
      <alignment horizontal="center" vertical="center" wrapText="1"/>
    </xf>
    <xf numFmtId="3" fontId="27" fillId="0" borderId="29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0" fillId="0" borderId="0" xfId="0" applyAlignment="1">
      <alignment vertical="center"/>
    </xf>
    <xf numFmtId="166" fontId="25" fillId="0" borderId="0" xfId="0" applyNumberFormat="1" applyFont="1"/>
    <xf numFmtId="166" fontId="25" fillId="0" borderId="0" xfId="0" applyNumberFormat="1" applyFont="1" applyAlignment="1">
      <alignment vertical="center" wrapText="1"/>
    </xf>
    <xf numFmtId="166" fontId="28" fillId="0" borderId="0" xfId="0" applyNumberFormat="1" applyFont="1" applyAlignment="1">
      <alignment vertical="center"/>
    </xf>
    <xf numFmtId="166" fontId="25" fillId="0" borderId="0" xfId="0" applyNumberFormat="1" applyFont="1" applyAlignment="1">
      <alignment vertical="center"/>
    </xf>
    <xf numFmtId="166" fontId="0" fillId="0" borderId="16" xfId="0" applyNumberFormat="1" applyBorder="1"/>
    <xf numFmtId="166" fontId="0" fillId="0" borderId="39" xfId="0" applyNumberFormat="1" applyBorder="1"/>
    <xf numFmtId="166" fontId="0" fillId="0" borderId="49" xfId="7" applyNumberFormat="1" applyFont="1" applyBorder="1" applyAlignment="1" applyProtection="1">
      <alignment horizontal="center" vertical="center"/>
    </xf>
    <xf numFmtId="166" fontId="0" fillId="0" borderId="54" xfId="7" applyNumberFormat="1" applyFont="1" applyBorder="1" applyAlignment="1" applyProtection="1">
      <alignment horizontal="center" vertical="center"/>
    </xf>
    <xf numFmtId="166" fontId="0" fillId="0" borderId="58" xfId="7" applyNumberFormat="1" applyFont="1" applyBorder="1" applyAlignment="1" applyProtection="1">
      <alignment horizontal="center" vertical="center"/>
    </xf>
    <xf numFmtId="166" fontId="22" fillId="0" borderId="60" xfId="0" applyNumberFormat="1" applyFont="1" applyBorder="1" applyAlignment="1">
      <alignment horizontal="center" vertical="center"/>
    </xf>
    <xf numFmtId="0" fontId="29" fillId="0" borderId="11" xfId="5" applyFont="1" applyFill="1" applyBorder="1" applyAlignment="1">
      <alignment horizontal="center" vertical="center" wrapText="1"/>
    </xf>
    <xf numFmtId="0" fontId="29" fillId="0" borderId="22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6" xfId="5" applyFont="1" applyFill="1" applyBorder="1" applyAlignment="1">
      <alignment horizontal="left" vertical="center" wrapText="1"/>
    </xf>
    <xf numFmtId="0" fontId="29" fillId="0" borderId="22" xfId="5" applyFont="1" applyFill="1" applyBorder="1" applyAlignment="1">
      <alignment horizontal="center" wrapText="1"/>
    </xf>
    <xf numFmtId="0" fontId="29" fillId="0" borderId="22" xfId="5" applyFont="1" applyBorder="1" applyAlignment="1">
      <alignment horizont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vertical="center"/>
    </xf>
    <xf numFmtId="0" fontId="3" fillId="0" borderId="16" xfId="5" applyFont="1" applyFill="1" applyBorder="1" applyAlignment="1">
      <alignment vertical="center"/>
    </xf>
    <xf numFmtId="0" fontId="3" fillId="0" borderId="16" xfId="5" applyFont="1" applyFill="1" applyBorder="1" applyAlignment="1">
      <alignment horizontal="left"/>
    </xf>
    <xf numFmtId="0" fontId="3" fillId="0" borderId="0" xfId="5" applyFont="1" applyBorder="1" applyAlignment="1">
      <alignment horizontal="left" vertical="center"/>
    </xf>
    <xf numFmtId="0" fontId="3" fillId="0" borderId="16" xfId="5" applyFont="1" applyBorder="1" applyAlignment="1">
      <alignment horizontal="left"/>
    </xf>
    <xf numFmtId="0" fontId="26" fillId="0" borderId="67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9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3" fontId="7" fillId="2" borderId="1" xfId="2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5" applyFont="1" applyBorder="1" applyAlignment="1">
      <alignment horizontal="left" vertical="center"/>
    </xf>
    <xf numFmtId="0" fontId="3" fillId="0" borderId="16" xfId="5" applyFont="1" applyBorder="1" applyAlignment="1">
      <alignment horizontal="left" vertical="center"/>
    </xf>
    <xf numFmtId="0" fontId="3" fillId="0" borderId="33" xfId="5" applyFont="1" applyFill="1" applyBorder="1" applyAlignment="1">
      <alignment horizontal="left" vertical="center" wrapText="1"/>
    </xf>
    <xf numFmtId="0" fontId="3" fillId="0" borderId="66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6" xfId="5" applyFont="1" applyFill="1" applyBorder="1" applyAlignment="1">
      <alignment horizontal="left" vertical="center"/>
    </xf>
    <xf numFmtId="0" fontId="13" fillId="0" borderId="19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 indent="1"/>
    </xf>
    <xf numFmtId="0" fontId="10" fillId="0" borderId="11" xfId="0" applyFont="1" applyBorder="1" applyAlignment="1">
      <alignment horizontal="center" vertical="center"/>
    </xf>
    <xf numFmtId="0" fontId="13" fillId="0" borderId="17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 wrapText="1" indent="1"/>
    </xf>
    <xf numFmtId="0" fontId="27" fillId="0" borderId="62" xfId="0" applyFont="1" applyBorder="1" applyAlignment="1">
      <alignment horizontal="left" vertical="center" wrapText="1"/>
    </xf>
    <xf numFmtId="0" fontId="27" fillId="0" borderId="63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left" vertical="center" wrapText="1"/>
    </xf>
    <xf numFmtId="166" fontId="14" fillId="0" borderId="24" xfId="0" applyNumberFormat="1" applyFont="1" applyBorder="1" applyAlignment="1">
      <alignment horizontal="center" vertical="center" wrapText="1"/>
    </xf>
    <xf numFmtId="0" fontId="16" fillId="0" borderId="18" xfId="0" applyFont="1" applyBorder="1" applyAlignment="1">
      <alignment horizontal="left" vertical="center" wrapText="1"/>
    </xf>
    <xf numFmtId="167" fontId="13" fillId="0" borderId="18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left"/>
    </xf>
    <xf numFmtId="0" fontId="0" fillId="0" borderId="31" xfId="0" applyFont="1" applyBorder="1" applyAlignment="1">
      <alignment horizontal="center"/>
    </xf>
    <xf numFmtId="3" fontId="17" fillId="0" borderId="32" xfId="0" applyNumberFormat="1" applyFont="1" applyBorder="1" applyAlignment="1">
      <alignment horizontal="center"/>
    </xf>
    <xf numFmtId="0" fontId="18" fillId="0" borderId="13" xfId="0" applyFont="1" applyBorder="1" applyAlignment="1">
      <alignment horizontal="center" vertical="center" wrapText="1"/>
    </xf>
    <xf numFmtId="0" fontId="19" fillId="0" borderId="34" xfId="0" applyFont="1" applyBorder="1"/>
    <xf numFmtId="0" fontId="20" fillId="0" borderId="35" xfId="0" applyFont="1" applyBorder="1" applyAlignment="1">
      <alignment horizontal="left" indent="1"/>
    </xf>
    <xf numFmtId="0" fontId="15" fillId="0" borderId="34" xfId="0" applyFont="1" applyBorder="1" applyAlignment="1">
      <alignment horizontal="left" vertical="center" wrapText="1"/>
    </xf>
    <xf numFmtId="0" fontId="21" fillId="0" borderId="36" xfId="0" applyFont="1" applyBorder="1" applyAlignment="1">
      <alignment horizontal="left"/>
    </xf>
    <xf numFmtId="0" fontId="0" fillId="0" borderId="53" xfId="0" applyFont="1" applyBorder="1" applyAlignment="1">
      <alignment horizontal="center" vertical="center"/>
    </xf>
    <xf numFmtId="0" fontId="20" fillId="0" borderId="38" xfId="0" applyNumberFormat="1" applyFont="1" applyBorder="1" applyAlignment="1">
      <alignment horizontal="justify" vertical="center" wrapText="1"/>
    </xf>
    <xf numFmtId="0" fontId="22" fillId="0" borderId="37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 wrapText="1"/>
    </xf>
    <xf numFmtId="166" fontId="22" fillId="0" borderId="41" xfId="0" applyNumberFormat="1" applyFont="1" applyBorder="1" applyAlignment="1">
      <alignment horizontal="center" vertical="center"/>
    </xf>
    <xf numFmtId="0" fontId="0" fillId="0" borderId="47" xfId="0" applyFont="1" applyBorder="1" applyAlignment="1">
      <alignment horizontal="left" vertical="center" wrapText="1"/>
    </xf>
    <xf numFmtId="0" fontId="0" fillId="0" borderId="53" xfId="0" applyFont="1" applyBorder="1" applyAlignment="1">
      <alignment horizontal="left" vertical="center"/>
    </xf>
    <xf numFmtId="0" fontId="0" fillId="0" borderId="53" xfId="0" applyBorder="1" applyAlignment="1">
      <alignment horizontal="center"/>
    </xf>
    <xf numFmtId="0" fontId="17" fillId="0" borderId="18" xfId="0" applyFont="1" applyBorder="1" applyAlignment="1">
      <alignment vertical="center" wrapText="1"/>
    </xf>
    <xf numFmtId="0" fontId="20" fillId="0" borderId="41" xfId="0" applyFont="1" applyBorder="1" applyAlignment="1">
      <alignment vertical="center" wrapText="1"/>
    </xf>
    <xf numFmtId="0" fontId="20" fillId="0" borderId="30" xfId="0" applyFont="1" applyBorder="1" applyAlignment="1">
      <alignment horizontal="left" vertical="center" wrapText="1" indent="1"/>
    </xf>
    <xf numFmtId="0" fontId="0" fillId="0" borderId="53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17" fillId="0" borderId="59" xfId="0" applyFont="1" applyBorder="1" applyAlignment="1">
      <alignment horizontal="left" vertical="center" wrapText="1"/>
    </xf>
    <xf numFmtId="0" fontId="0" fillId="0" borderId="37" xfId="0" applyBorder="1"/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6"/>
  <sheetViews>
    <sheetView tabSelected="1" topLeftCell="C73" zoomScaleNormal="100" workbookViewId="0">
      <selection activeCell="E65" sqref="E65"/>
    </sheetView>
  </sheetViews>
  <sheetFormatPr baseColWidth="10" defaultRowHeight="15" x14ac:dyDescent="0.25"/>
  <cols>
    <col min="1" max="1" width="4.85546875" style="71" bestFit="1" customWidth="1"/>
    <col min="2" max="2" width="13" style="71" bestFit="1" customWidth="1"/>
    <col min="3" max="3" width="40.42578125" style="71" customWidth="1"/>
    <col min="4" max="4" width="5.5703125" style="71" bestFit="1" customWidth="1"/>
    <col min="5" max="5" width="88.28515625" style="72" bestFit="1" customWidth="1"/>
    <col min="6" max="6" width="10.5703125" style="71" bestFit="1" customWidth="1"/>
    <col min="7" max="7" width="17.140625" style="71" hidden="1" customWidth="1"/>
    <col min="8" max="8" width="10.85546875" style="71" hidden="1" customWidth="1"/>
    <col min="9" max="9" width="8" style="71" hidden="1" customWidth="1"/>
    <col min="10" max="10" width="14.5703125" style="71" hidden="1" customWidth="1"/>
    <col min="11" max="11" width="9.42578125" style="71" hidden="1" customWidth="1"/>
    <col min="12" max="12" width="14" style="71" hidden="1" customWidth="1"/>
    <col min="13" max="13" width="8.28515625" style="71" hidden="1" customWidth="1"/>
    <col min="14" max="14" width="14.140625" style="71" hidden="1" customWidth="1"/>
    <col min="15" max="15" width="4.5703125" style="71" hidden="1" customWidth="1"/>
    <col min="16" max="16" width="12.42578125" style="71" hidden="1" customWidth="1"/>
    <col min="17" max="17" width="14.7109375" style="71" hidden="1" customWidth="1"/>
    <col min="18" max="18" width="13.42578125" style="71" hidden="1" customWidth="1"/>
    <col min="19" max="19" width="10.5703125" style="73" hidden="1" customWidth="1"/>
    <col min="20" max="20" width="10.5703125" style="74" hidden="1" customWidth="1"/>
    <col min="21" max="21" width="14.7109375" style="71" hidden="1" customWidth="1"/>
    <col min="22" max="22" width="12.85546875" style="71" hidden="1" customWidth="1"/>
    <col min="23" max="23" width="6" style="71" hidden="1" customWidth="1"/>
    <col min="24" max="24" width="12.5703125" style="71" hidden="1" customWidth="1"/>
    <col min="25" max="25" width="10.140625" style="71" hidden="1" customWidth="1"/>
    <col min="26" max="26" width="13.5703125" style="71" hidden="1" customWidth="1"/>
    <col min="27" max="28" width="14.42578125" style="71" hidden="1" customWidth="1"/>
    <col min="29" max="29" width="5.7109375" style="71" hidden="1" customWidth="1"/>
    <col min="30" max="30" width="12.28515625" style="71" hidden="1" customWidth="1"/>
    <col min="31" max="31" width="10.140625" style="71" hidden="1" customWidth="1"/>
    <col min="32" max="32" width="13.5703125" style="71" hidden="1" customWidth="1"/>
    <col min="33" max="33" width="12.140625" style="71" hidden="1" customWidth="1"/>
    <col min="34" max="34" width="13" style="71" hidden="1" customWidth="1"/>
    <col min="35" max="36" width="10.5703125" style="71" hidden="1" customWidth="1"/>
    <col min="37" max="37" width="4.7109375" style="71" hidden="1" customWidth="1"/>
    <col min="38" max="38" width="11.28515625" style="71" hidden="1" customWidth="1"/>
    <col min="39" max="39" width="6.5703125" style="71" hidden="1" customWidth="1"/>
    <col min="40" max="40" width="13.5703125" style="74" hidden="1" customWidth="1"/>
    <col min="41" max="41" width="14.85546875" style="71" hidden="1" customWidth="1"/>
    <col min="42" max="42" width="13.5703125" style="71" hidden="1" customWidth="1"/>
    <col min="43" max="43" width="13.85546875" style="71" hidden="1" customWidth="1"/>
    <col min="44" max="44" width="12.85546875" style="74" hidden="1" customWidth="1"/>
    <col min="45" max="45" width="15.28515625" style="75" hidden="1" customWidth="1"/>
    <col min="46" max="46" width="15.28515625" style="71" hidden="1" customWidth="1"/>
    <col min="47" max="47" width="7.28515625" style="75" hidden="1" customWidth="1"/>
    <col min="48" max="48" width="13.85546875" style="71" hidden="1" customWidth="1"/>
    <col min="49" max="49" width="10.42578125" style="73" bestFit="1" customWidth="1"/>
    <col min="50" max="50" width="11.42578125" style="74" bestFit="1" customWidth="1"/>
    <col min="51" max="51" width="16.28515625" style="74" bestFit="1" customWidth="1"/>
    <col min="52" max="52" width="23.7109375" hidden="1" customWidth="1"/>
  </cols>
  <sheetData>
    <row r="1" spans="1:52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8"/>
      <c r="U1" s="5"/>
      <c r="V1" s="3"/>
      <c r="W1" s="7"/>
      <c r="X1" s="3"/>
      <c r="Y1" s="7"/>
      <c r="Z1" s="3"/>
      <c r="AA1" s="7"/>
      <c r="AB1" s="3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8"/>
      <c r="AO1" s="7"/>
      <c r="AP1" s="3"/>
      <c r="AQ1" s="7"/>
      <c r="AR1" s="8"/>
      <c r="AS1" s="9"/>
      <c r="AT1" s="3"/>
      <c r="AU1" s="9"/>
      <c r="AV1" s="3"/>
      <c r="AW1" s="7"/>
      <c r="AX1" s="10"/>
      <c r="AY1" s="8"/>
    </row>
    <row r="2" spans="1:52" x14ac:dyDescent="0.25">
      <c r="A2" s="3"/>
      <c r="B2" s="173" t="s">
        <v>0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8"/>
    </row>
    <row r="3" spans="1:52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8"/>
      <c r="U3" s="5"/>
      <c r="V3" s="3"/>
      <c r="W3" s="7"/>
      <c r="X3" s="3"/>
      <c r="Y3" s="7"/>
      <c r="Z3" s="3"/>
      <c r="AA3" s="7"/>
      <c r="AB3" s="3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8"/>
      <c r="AO3" s="7"/>
      <c r="AP3" s="3"/>
      <c r="AQ3" s="7"/>
      <c r="AR3" s="8"/>
      <c r="AS3" s="9"/>
      <c r="AT3" s="3"/>
      <c r="AU3" s="9"/>
      <c r="AV3" s="3"/>
      <c r="AW3" s="7"/>
      <c r="AX3" s="10"/>
      <c r="AY3" s="8"/>
    </row>
    <row r="4" spans="1:52" x14ac:dyDescent="0.25">
      <c r="A4" s="174" t="s">
        <v>1</v>
      </c>
      <c r="B4" s="174"/>
      <c r="C4" s="113" t="s">
        <v>2</v>
      </c>
      <c r="D4" s="113"/>
      <c r="E4" s="113"/>
      <c r="F4" s="11"/>
      <c r="G4" s="11"/>
      <c r="H4" s="11"/>
      <c r="I4" s="11"/>
      <c r="J4" s="11"/>
      <c r="K4" s="11"/>
      <c r="L4" s="11"/>
      <c r="M4" s="12"/>
      <c r="N4" s="13"/>
      <c r="O4" s="14"/>
      <c r="P4" s="11"/>
      <c r="Q4" s="12"/>
      <c r="R4" s="11"/>
      <c r="S4" s="14"/>
      <c r="T4" s="15"/>
      <c r="U4" s="12"/>
      <c r="V4" s="11"/>
      <c r="W4" s="14"/>
      <c r="X4" s="11"/>
      <c r="Y4" s="14"/>
      <c r="Z4" s="11"/>
      <c r="AA4" s="14"/>
      <c r="AB4" s="11"/>
      <c r="AC4" s="14"/>
      <c r="AD4" s="11"/>
      <c r="AE4" s="14"/>
      <c r="AF4" s="11"/>
      <c r="AG4" s="14"/>
      <c r="AH4" s="11"/>
      <c r="AI4" s="14"/>
      <c r="AJ4" s="11"/>
      <c r="AK4" s="14"/>
      <c r="AL4" s="11"/>
      <c r="AM4" s="14"/>
      <c r="AN4" s="15"/>
      <c r="AO4" s="14"/>
      <c r="AP4" s="11"/>
      <c r="AQ4" s="14"/>
      <c r="AR4" s="15"/>
      <c r="AS4" s="16"/>
      <c r="AT4" s="11"/>
      <c r="AU4" s="16"/>
      <c r="AV4" s="11"/>
      <c r="AW4" s="14"/>
      <c r="AX4" s="10"/>
      <c r="AY4" s="8"/>
    </row>
    <row r="5" spans="1:52" ht="15" customHeight="1" x14ac:dyDescent="0.25">
      <c r="A5" s="174" t="s">
        <v>3</v>
      </c>
      <c r="B5" s="174"/>
      <c r="C5" s="113" t="s">
        <v>4</v>
      </c>
      <c r="D5" s="113"/>
      <c r="E5" s="113"/>
      <c r="F5" s="11"/>
      <c r="G5" s="11"/>
      <c r="H5" s="11"/>
      <c r="I5" s="11"/>
      <c r="J5" s="11"/>
      <c r="K5" s="11"/>
      <c r="L5" s="11"/>
      <c r="M5" s="12"/>
      <c r="N5" s="13"/>
      <c r="O5" s="14"/>
      <c r="P5" s="11"/>
      <c r="Q5" s="12"/>
      <c r="R5" s="11"/>
      <c r="S5" s="14"/>
      <c r="T5" s="15"/>
      <c r="U5" s="12"/>
      <c r="V5" s="11"/>
      <c r="W5" s="14"/>
      <c r="X5" s="11"/>
      <c r="Y5" s="14"/>
      <c r="Z5" s="11"/>
      <c r="AA5" s="14"/>
      <c r="AB5" s="11"/>
      <c r="AC5" s="14"/>
      <c r="AD5" s="11"/>
      <c r="AE5" s="14"/>
      <c r="AF5" s="11"/>
      <c r="AG5" s="14"/>
      <c r="AH5" s="11"/>
      <c r="AI5" s="14"/>
      <c r="AJ5" s="11"/>
      <c r="AK5" s="14"/>
      <c r="AL5" s="11"/>
      <c r="AM5" s="14"/>
      <c r="AN5" s="15"/>
      <c r="AO5" s="14"/>
      <c r="AP5" s="11"/>
      <c r="AQ5" s="14"/>
      <c r="AR5" s="15"/>
      <c r="AS5" s="16"/>
      <c r="AT5" s="11"/>
      <c r="AU5" s="16"/>
      <c r="AV5" s="11"/>
      <c r="AW5" s="14"/>
      <c r="AX5" s="10"/>
      <c r="AY5" s="8"/>
    </row>
    <row r="6" spans="1:52" x14ac:dyDescent="0.25">
      <c r="A6" s="174" t="s">
        <v>5</v>
      </c>
      <c r="B6" s="174"/>
      <c r="C6" s="17">
        <v>2022</v>
      </c>
      <c r="D6" s="18"/>
      <c r="E6" s="17"/>
      <c r="F6" s="11"/>
      <c r="G6" s="11"/>
      <c r="H6" s="11"/>
      <c r="I6" s="11"/>
      <c r="J6" s="11"/>
      <c r="K6" s="11"/>
      <c r="L6" s="11"/>
      <c r="M6" s="12"/>
      <c r="N6" s="13"/>
      <c r="O6" s="14"/>
      <c r="P6" s="11"/>
      <c r="Q6" s="12"/>
      <c r="R6" s="11"/>
      <c r="S6" s="14"/>
      <c r="T6" s="15"/>
      <c r="U6" s="12"/>
      <c r="V6" s="11"/>
      <c r="W6" s="14"/>
      <c r="X6" s="11"/>
      <c r="Y6" s="14"/>
      <c r="Z6" s="11"/>
      <c r="AA6" s="14"/>
      <c r="AB6" s="11"/>
      <c r="AC6" s="14"/>
      <c r="AD6" s="11"/>
      <c r="AE6" s="14"/>
      <c r="AF6" s="11"/>
      <c r="AG6" s="14"/>
      <c r="AH6" s="11"/>
      <c r="AI6" s="14"/>
      <c r="AJ6" s="11"/>
      <c r="AK6" s="14"/>
      <c r="AL6" s="11"/>
      <c r="AM6" s="14"/>
      <c r="AN6" s="15"/>
      <c r="AO6" s="14"/>
      <c r="AP6" s="11"/>
      <c r="AQ6" s="14"/>
      <c r="AR6" s="15"/>
      <c r="AS6" s="16"/>
      <c r="AT6" s="11"/>
      <c r="AU6" s="16"/>
      <c r="AV6" s="11"/>
      <c r="AW6" s="14"/>
      <c r="AX6" s="10"/>
      <c r="AY6" s="8"/>
    </row>
    <row r="7" spans="1:52" x14ac:dyDescent="0.25">
      <c r="A7" s="174" t="s">
        <v>6</v>
      </c>
      <c r="B7" s="174"/>
      <c r="C7" s="17" t="s">
        <v>7</v>
      </c>
      <c r="D7" s="18"/>
      <c r="E7" s="17"/>
      <c r="F7" s="11"/>
      <c r="G7" s="11"/>
      <c r="H7" s="11"/>
      <c r="I7" s="11"/>
      <c r="J7" s="11"/>
      <c r="K7" s="11"/>
      <c r="L7" s="11"/>
      <c r="M7" s="12"/>
      <c r="N7" s="13"/>
      <c r="O7" s="14"/>
      <c r="P7" s="11"/>
      <c r="Q7" s="12"/>
      <c r="R7" s="11"/>
      <c r="S7" s="14"/>
      <c r="T7" s="15"/>
      <c r="U7" s="12"/>
      <c r="V7" s="11"/>
      <c r="W7" s="14"/>
      <c r="X7" s="11"/>
      <c r="Y7" s="14"/>
      <c r="Z7" s="11"/>
      <c r="AA7" s="14"/>
      <c r="AB7" s="11"/>
      <c r="AC7" s="14"/>
      <c r="AD7" s="11"/>
      <c r="AE7" s="14"/>
      <c r="AF7" s="11"/>
      <c r="AG7" s="14"/>
      <c r="AH7" s="11"/>
      <c r="AI7" s="14"/>
      <c r="AJ7" s="11"/>
      <c r="AK7" s="14"/>
      <c r="AL7" s="11"/>
      <c r="AM7" s="14"/>
      <c r="AN7" s="15"/>
      <c r="AO7" s="14"/>
      <c r="AP7" s="11"/>
      <c r="AQ7" s="14"/>
      <c r="AR7" s="15"/>
      <c r="AS7" s="16"/>
      <c r="AT7" s="11"/>
      <c r="AU7" s="16"/>
      <c r="AV7" s="11"/>
      <c r="AW7" s="14"/>
      <c r="AX7" s="10"/>
      <c r="AY7" s="8"/>
    </row>
    <row r="8" spans="1:52" x14ac:dyDescent="0.25">
      <c r="A8" s="3"/>
      <c r="B8" s="11"/>
      <c r="C8" s="11"/>
      <c r="D8" s="11"/>
      <c r="E8" s="19"/>
      <c r="F8" s="11"/>
      <c r="G8" s="11"/>
      <c r="H8" s="11"/>
      <c r="I8" s="11"/>
      <c r="J8" s="11"/>
      <c r="K8" s="11"/>
      <c r="L8" s="11"/>
      <c r="M8" s="12"/>
      <c r="N8" s="13"/>
      <c r="O8" s="14"/>
      <c r="P8" s="11"/>
      <c r="Q8" s="12"/>
      <c r="R8" s="11"/>
      <c r="S8" s="14"/>
      <c r="T8" s="15"/>
      <c r="U8" s="12"/>
      <c r="V8" s="11"/>
      <c r="W8" s="14"/>
      <c r="X8" s="11"/>
      <c r="Y8" s="14"/>
      <c r="Z8" s="11"/>
      <c r="AA8" s="14"/>
      <c r="AB8" s="11"/>
      <c r="AC8" s="14"/>
      <c r="AD8" s="11"/>
      <c r="AE8" s="14"/>
      <c r="AF8" s="11"/>
      <c r="AG8" s="14"/>
      <c r="AH8" s="11"/>
      <c r="AI8" s="14"/>
      <c r="AJ8" s="11"/>
      <c r="AK8" s="14"/>
      <c r="AL8" s="11"/>
      <c r="AM8" s="14"/>
      <c r="AN8" s="15"/>
      <c r="AO8" s="14"/>
      <c r="AP8" s="11"/>
      <c r="AQ8" s="14"/>
      <c r="AR8" s="15"/>
      <c r="AS8" s="16"/>
      <c r="AT8" s="11"/>
      <c r="AU8" s="16"/>
      <c r="AV8" s="11"/>
      <c r="AW8" s="14"/>
      <c r="AX8" s="10"/>
      <c r="AY8" s="8"/>
    </row>
    <row r="9" spans="1:52" ht="38.25" x14ac:dyDescent="0.25">
      <c r="A9" s="20" t="s">
        <v>8</v>
      </c>
      <c r="B9" s="20" t="s">
        <v>9</v>
      </c>
      <c r="C9" s="21" t="s">
        <v>10</v>
      </c>
      <c r="D9" s="20" t="s">
        <v>11</v>
      </c>
      <c r="E9" s="22" t="s">
        <v>12</v>
      </c>
      <c r="F9" s="21" t="s">
        <v>13</v>
      </c>
      <c r="G9" s="21" t="s">
        <v>14</v>
      </c>
      <c r="H9" s="21" t="s">
        <v>15</v>
      </c>
      <c r="I9" s="23" t="s">
        <v>16</v>
      </c>
      <c r="J9" s="21" t="s">
        <v>17</v>
      </c>
      <c r="K9" s="21" t="s">
        <v>18</v>
      </c>
      <c r="L9" s="21" t="s">
        <v>19</v>
      </c>
      <c r="M9" s="24" t="s">
        <v>20</v>
      </c>
      <c r="N9" s="25" t="s">
        <v>21</v>
      </c>
      <c r="O9" s="26" t="s">
        <v>22</v>
      </c>
      <c r="P9" s="21" t="s">
        <v>23</v>
      </c>
      <c r="Q9" s="24" t="s">
        <v>24</v>
      </c>
      <c r="R9" s="21" t="s">
        <v>25</v>
      </c>
      <c r="S9" s="26" t="s">
        <v>26</v>
      </c>
      <c r="T9" s="27" t="s">
        <v>27</v>
      </c>
      <c r="U9" s="24" t="s">
        <v>28</v>
      </c>
      <c r="V9" s="21" t="s">
        <v>29</v>
      </c>
      <c r="W9" s="26" t="s">
        <v>30</v>
      </c>
      <c r="X9" s="21" t="s">
        <v>31</v>
      </c>
      <c r="Y9" s="26" t="s">
        <v>32</v>
      </c>
      <c r="Z9" s="21" t="s">
        <v>33</v>
      </c>
      <c r="AA9" s="26" t="s">
        <v>34</v>
      </c>
      <c r="AB9" s="21" t="s">
        <v>35</v>
      </c>
      <c r="AC9" s="28" t="s">
        <v>36</v>
      </c>
      <c r="AD9" s="21" t="s">
        <v>37</v>
      </c>
      <c r="AE9" s="26" t="s">
        <v>38</v>
      </c>
      <c r="AF9" s="21" t="s">
        <v>39</v>
      </c>
      <c r="AG9" s="26" t="s">
        <v>40</v>
      </c>
      <c r="AH9" s="21" t="s">
        <v>41</v>
      </c>
      <c r="AI9" s="26" t="s">
        <v>42</v>
      </c>
      <c r="AJ9" s="21" t="s">
        <v>43</v>
      </c>
      <c r="AK9" s="26" t="s">
        <v>44</v>
      </c>
      <c r="AL9" s="21" t="s">
        <v>45</v>
      </c>
      <c r="AM9" s="28" t="s">
        <v>46</v>
      </c>
      <c r="AN9" s="27" t="s">
        <v>47</v>
      </c>
      <c r="AO9" s="28" t="s">
        <v>48</v>
      </c>
      <c r="AP9" s="21" t="s">
        <v>49</v>
      </c>
      <c r="AQ9" s="26" t="s">
        <v>50</v>
      </c>
      <c r="AR9" s="27" t="s">
        <v>51</v>
      </c>
      <c r="AS9" s="29" t="s">
        <v>52</v>
      </c>
      <c r="AT9" s="21" t="s">
        <v>53</v>
      </c>
      <c r="AU9" s="29" t="s">
        <v>54</v>
      </c>
      <c r="AV9" s="21" t="s">
        <v>55</v>
      </c>
      <c r="AW9" s="26" t="s">
        <v>56</v>
      </c>
      <c r="AX9" s="30" t="s">
        <v>57</v>
      </c>
      <c r="AY9" s="27" t="s">
        <v>58</v>
      </c>
      <c r="AZ9" s="31" t="s">
        <v>59</v>
      </c>
    </row>
    <row r="10" spans="1:52" s="62" customFormat="1" ht="12.75" x14ac:dyDescent="0.2">
      <c r="A10" s="51">
        <v>1</v>
      </c>
      <c r="B10" s="51" t="s">
        <v>61</v>
      </c>
      <c r="C10" s="51" t="s">
        <v>62</v>
      </c>
      <c r="D10" s="51" t="s">
        <v>63</v>
      </c>
      <c r="E10" s="52" t="s">
        <v>64</v>
      </c>
      <c r="F10" s="51" t="s">
        <v>60</v>
      </c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9"/>
      <c r="T10" s="60">
        <f t="shared" ref="T10:T33" si="0">+S10*AX10</f>
        <v>0</v>
      </c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>
        <v>6</v>
      </c>
      <c r="AF10" s="67">
        <f t="shared" ref="AF10:AF20" si="1">+AE10*AX10</f>
        <v>2269.44</v>
      </c>
      <c r="AG10" s="51"/>
      <c r="AH10" s="51"/>
      <c r="AI10" s="51"/>
      <c r="AJ10" s="51"/>
      <c r="AK10" s="51"/>
      <c r="AL10" s="51"/>
      <c r="AM10" s="51"/>
      <c r="AN10" s="60"/>
      <c r="AO10" s="51"/>
      <c r="AP10" s="51"/>
      <c r="AQ10" s="51"/>
      <c r="AR10" s="60"/>
      <c r="AS10" s="61"/>
      <c r="AT10" s="51"/>
      <c r="AU10" s="61"/>
      <c r="AV10" s="51"/>
      <c r="AW10" s="42">
        <f t="shared" ref="AW10:AW21" si="2">+AQ10+AO10+AM10+AK10+AI10+AG10+AE10+AC10+AA10+Y10+W10+U10+S10+Q10+O10+M10+K10+I10+AS10+G10+AU10</f>
        <v>6</v>
      </c>
      <c r="AX10" s="60">
        <v>378.24</v>
      </c>
      <c r="AY10" s="43">
        <f t="shared" ref="AY10:AY72" si="3">+AW10*AX10</f>
        <v>2269.44</v>
      </c>
      <c r="AZ10" s="48"/>
    </row>
    <row r="11" spans="1:52" s="62" customFormat="1" ht="12.75" x14ac:dyDescent="0.2">
      <c r="A11" s="53">
        <v>2</v>
      </c>
      <c r="B11" s="53" t="s">
        <v>65</v>
      </c>
      <c r="C11" s="53" t="s">
        <v>62</v>
      </c>
      <c r="D11" s="53" t="s">
        <v>63</v>
      </c>
      <c r="E11" s="54" t="s">
        <v>66</v>
      </c>
      <c r="F11" s="53" t="s">
        <v>60</v>
      </c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33"/>
      <c r="T11" s="34">
        <f t="shared" si="0"/>
        <v>0</v>
      </c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>
        <v>1</v>
      </c>
      <c r="AF11" s="67">
        <f t="shared" si="1"/>
        <v>8292</v>
      </c>
      <c r="AG11" s="53"/>
      <c r="AH11" s="53"/>
      <c r="AI11" s="53"/>
      <c r="AJ11" s="53"/>
      <c r="AK11" s="53"/>
      <c r="AL11" s="53"/>
      <c r="AM11" s="53"/>
      <c r="AN11" s="34"/>
      <c r="AO11" s="53"/>
      <c r="AP11" s="53"/>
      <c r="AQ11" s="53"/>
      <c r="AR11" s="34"/>
      <c r="AS11" s="61"/>
      <c r="AT11" s="51"/>
      <c r="AU11" s="61"/>
      <c r="AV11" s="51"/>
      <c r="AW11" s="36">
        <f t="shared" si="2"/>
        <v>1</v>
      </c>
      <c r="AX11" s="34">
        <v>8292</v>
      </c>
      <c r="AY11" s="43">
        <f t="shared" si="3"/>
        <v>8292</v>
      </c>
      <c r="AZ11" s="48"/>
    </row>
    <row r="12" spans="1:52" s="62" customFormat="1" ht="12.75" x14ac:dyDescent="0.2">
      <c r="A12" s="53">
        <v>3</v>
      </c>
      <c r="B12" s="53" t="s">
        <v>67</v>
      </c>
      <c r="C12" s="53" t="s">
        <v>62</v>
      </c>
      <c r="D12" s="53" t="s">
        <v>63</v>
      </c>
      <c r="E12" s="54" t="s">
        <v>68</v>
      </c>
      <c r="F12" s="53" t="s">
        <v>251</v>
      </c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33"/>
      <c r="T12" s="34">
        <f t="shared" si="0"/>
        <v>0</v>
      </c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>
        <v>1</v>
      </c>
      <c r="AF12" s="67">
        <f t="shared" si="1"/>
        <v>1507.2</v>
      </c>
      <c r="AG12" s="53"/>
      <c r="AH12" s="53"/>
      <c r="AI12" s="53"/>
      <c r="AJ12" s="53"/>
      <c r="AK12" s="53"/>
      <c r="AL12" s="53"/>
      <c r="AM12" s="53"/>
      <c r="AN12" s="34"/>
      <c r="AO12" s="53"/>
      <c r="AP12" s="53"/>
      <c r="AQ12" s="53"/>
      <c r="AR12" s="34"/>
      <c r="AS12" s="61"/>
      <c r="AT12" s="51"/>
      <c r="AU12" s="61"/>
      <c r="AV12" s="51"/>
      <c r="AW12" s="36">
        <f t="shared" si="2"/>
        <v>1</v>
      </c>
      <c r="AX12" s="34">
        <v>1507.2</v>
      </c>
      <c r="AY12" s="43">
        <f t="shared" si="3"/>
        <v>1507.2</v>
      </c>
      <c r="AZ12" s="48"/>
    </row>
    <row r="13" spans="1:52" s="62" customFormat="1" ht="12.75" x14ac:dyDescent="0.2">
      <c r="A13" s="53">
        <v>4</v>
      </c>
      <c r="B13" s="53" t="s">
        <v>69</v>
      </c>
      <c r="C13" s="53" t="s">
        <v>62</v>
      </c>
      <c r="D13" s="53" t="s">
        <v>63</v>
      </c>
      <c r="E13" s="54" t="s">
        <v>70</v>
      </c>
      <c r="F13" s="53" t="s">
        <v>251</v>
      </c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33"/>
      <c r="T13" s="34">
        <f t="shared" si="0"/>
        <v>0</v>
      </c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>
        <v>1</v>
      </c>
      <c r="AF13" s="67">
        <f t="shared" si="1"/>
        <v>1231.18</v>
      </c>
      <c r="AG13" s="53"/>
      <c r="AH13" s="53"/>
      <c r="AI13" s="53"/>
      <c r="AJ13" s="53"/>
      <c r="AK13" s="53"/>
      <c r="AL13" s="53"/>
      <c r="AM13" s="53"/>
      <c r="AN13" s="34"/>
      <c r="AO13" s="53"/>
      <c r="AP13" s="53"/>
      <c r="AQ13" s="53"/>
      <c r="AR13" s="34"/>
      <c r="AS13" s="61"/>
      <c r="AT13" s="51"/>
      <c r="AU13" s="61"/>
      <c r="AV13" s="51"/>
      <c r="AW13" s="36">
        <f t="shared" si="2"/>
        <v>1</v>
      </c>
      <c r="AX13" s="34">
        <v>1231.18</v>
      </c>
      <c r="AY13" s="43">
        <f t="shared" si="3"/>
        <v>1231.18</v>
      </c>
      <c r="AZ13" s="48"/>
    </row>
    <row r="14" spans="1:52" s="62" customFormat="1" ht="12.75" x14ac:dyDescent="0.2">
      <c r="A14" s="53">
        <v>5</v>
      </c>
      <c r="B14" s="53" t="s">
        <v>71</v>
      </c>
      <c r="C14" s="53" t="s">
        <v>62</v>
      </c>
      <c r="D14" s="53" t="s">
        <v>63</v>
      </c>
      <c r="E14" s="54" t="s">
        <v>72</v>
      </c>
      <c r="F14" s="53" t="s">
        <v>60</v>
      </c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33"/>
      <c r="T14" s="34">
        <f t="shared" si="0"/>
        <v>0</v>
      </c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>
        <v>200</v>
      </c>
      <c r="AF14" s="67">
        <f t="shared" si="1"/>
        <v>2400</v>
      </c>
      <c r="AG14" s="53"/>
      <c r="AH14" s="53"/>
      <c r="AI14" s="53"/>
      <c r="AJ14" s="53"/>
      <c r="AK14" s="53"/>
      <c r="AL14" s="53"/>
      <c r="AM14" s="53"/>
      <c r="AN14" s="34"/>
      <c r="AO14" s="53"/>
      <c r="AP14" s="53"/>
      <c r="AQ14" s="53"/>
      <c r="AR14" s="34"/>
      <c r="AS14" s="61"/>
      <c r="AT14" s="51"/>
      <c r="AU14" s="61"/>
      <c r="AV14" s="51"/>
      <c r="AW14" s="36">
        <f t="shared" si="2"/>
        <v>200</v>
      </c>
      <c r="AX14" s="34">
        <v>12</v>
      </c>
      <c r="AY14" s="43">
        <f t="shared" si="3"/>
        <v>2400</v>
      </c>
      <c r="AZ14" s="48"/>
    </row>
    <row r="15" spans="1:52" s="62" customFormat="1" ht="12.75" x14ac:dyDescent="0.2">
      <c r="A15" s="53">
        <v>6</v>
      </c>
      <c r="B15" s="53" t="s">
        <v>73</v>
      </c>
      <c r="C15" s="53" t="s">
        <v>62</v>
      </c>
      <c r="D15" s="53" t="s">
        <v>63</v>
      </c>
      <c r="E15" s="54" t="s">
        <v>74</v>
      </c>
      <c r="F15" s="53" t="s">
        <v>60</v>
      </c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33"/>
      <c r="T15" s="34">
        <f t="shared" si="0"/>
        <v>0</v>
      </c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>
        <v>10</v>
      </c>
      <c r="AF15" s="67">
        <f t="shared" si="1"/>
        <v>44400</v>
      </c>
      <c r="AG15" s="53"/>
      <c r="AH15" s="53"/>
      <c r="AI15" s="53"/>
      <c r="AJ15" s="53"/>
      <c r="AK15" s="53"/>
      <c r="AL15" s="53"/>
      <c r="AM15" s="53"/>
      <c r="AN15" s="34"/>
      <c r="AO15" s="53"/>
      <c r="AP15" s="53"/>
      <c r="AQ15" s="53"/>
      <c r="AR15" s="34"/>
      <c r="AS15" s="61"/>
      <c r="AT15" s="51"/>
      <c r="AU15" s="61"/>
      <c r="AV15" s="51"/>
      <c r="AW15" s="36">
        <f t="shared" si="2"/>
        <v>10</v>
      </c>
      <c r="AX15" s="34">
        <v>4440</v>
      </c>
      <c r="AY15" s="43">
        <f t="shared" si="3"/>
        <v>44400</v>
      </c>
      <c r="AZ15" s="48"/>
    </row>
    <row r="16" spans="1:52" s="62" customFormat="1" ht="25.5" x14ac:dyDescent="0.2">
      <c r="A16" s="53">
        <v>7</v>
      </c>
      <c r="B16" s="53" t="s">
        <v>75</v>
      </c>
      <c r="C16" s="53" t="s">
        <v>62</v>
      </c>
      <c r="D16" s="53" t="s">
        <v>63</v>
      </c>
      <c r="E16" s="54" t="s">
        <v>76</v>
      </c>
      <c r="F16" s="53" t="s">
        <v>60</v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33"/>
      <c r="T16" s="34">
        <f t="shared" si="0"/>
        <v>0</v>
      </c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>
        <v>10</v>
      </c>
      <c r="AF16" s="67">
        <f t="shared" si="1"/>
        <v>7620</v>
      </c>
      <c r="AG16" s="53"/>
      <c r="AH16" s="53"/>
      <c r="AI16" s="53"/>
      <c r="AJ16" s="53"/>
      <c r="AK16" s="53"/>
      <c r="AL16" s="53"/>
      <c r="AM16" s="53"/>
      <c r="AN16" s="34"/>
      <c r="AO16" s="53"/>
      <c r="AP16" s="53"/>
      <c r="AQ16" s="53"/>
      <c r="AR16" s="34"/>
      <c r="AS16" s="61"/>
      <c r="AT16" s="51"/>
      <c r="AU16" s="61"/>
      <c r="AV16" s="51"/>
      <c r="AW16" s="36">
        <f t="shared" si="2"/>
        <v>10</v>
      </c>
      <c r="AX16" s="34">
        <v>762</v>
      </c>
      <c r="AY16" s="43">
        <f t="shared" si="3"/>
        <v>7620</v>
      </c>
      <c r="AZ16" s="48"/>
    </row>
    <row r="17" spans="1:52" s="62" customFormat="1" ht="25.5" x14ac:dyDescent="0.2">
      <c r="A17" s="53">
        <v>8</v>
      </c>
      <c r="B17" s="53" t="s">
        <v>77</v>
      </c>
      <c r="C17" s="53" t="s">
        <v>62</v>
      </c>
      <c r="D17" s="53" t="s">
        <v>63</v>
      </c>
      <c r="E17" s="54" t="s">
        <v>78</v>
      </c>
      <c r="F17" s="53" t="s">
        <v>60</v>
      </c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33"/>
      <c r="T17" s="34">
        <f t="shared" si="0"/>
        <v>0</v>
      </c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>
        <v>10</v>
      </c>
      <c r="AF17" s="67">
        <f t="shared" si="1"/>
        <v>6943.2000000000007</v>
      </c>
      <c r="AG17" s="53"/>
      <c r="AH17" s="53"/>
      <c r="AI17" s="53"/>
      <c r="AJ17" s="53"/>
      <c r="AK17" s="53"/>
      <c r="AL17" s="53"/>
      <c r="AM17" s="53"/>
      <c r="AN17" s="34"/>
      <c r="AO17" s="53"/>
      <c r="AP17" s="53"/>
      <c r="AQ17" s="53"/>
      <c r="AR17" s="34"/>
      <c r="AS17" s="61"/>
      <c r="AT17" s="51"/>
      <c r="AU17" s="61"/>
      <c r="AV17" s="51"/>
      <c r="AW17" s="36">
        <f t="shared" si="2"/>
        <v>10</v>
      </c>
      <c r="AX17" s="34">
        <v>694.32</v>
      </c>
      <c r="AY17" s="43">
        <f t="shared" si="3"/>
        <v>6943.2000000000007</v>
      </c>
      <c r="AZ17" s="48"/>
    </row>
    <row r="18" spans="1:52" s="62" customFormat="1" ht="12.75" x14ac:dyDescent="0.2">
      <c r="A18" s="53">
        <v>9</v>
      </c>
      <c r="B18" s="53" t="s">
        <v>79</v>
      </c>
      <c r="C18" s="53" t="s">
        <v>62</v>
      </c>
      <c r="D18" s="53" t="s">
        <v>63</v>
      </c>
      <c r="E18" s="54" t="s">
        <v>80</v>
      </c>
      <c r="F18" s="53" t="s">
        <v>60</v>
      </c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33"/>
      <c r="T18" s="34">
        <f t="shared" si="0"/>
        <v>0</v>
      </c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>
        <v>10</v>
      </c>
      <c r="AF18" s="67">
        <f t="shared" si="1"/>
        <v>1238.5999999999999</v>
      </c>
      <c r="AG18" s="53"/>
      <c r="AH18" s="53"/>
      <c r="AI18" s="53"/>
      <c r="AJ18" s="53"/>
      <c r="AK18" s="53"/>
      <c r="AL18" s="53"/>
      <c r="AM18" s="53"/>
      <c r="AN18" s="34"/>
      <c r="AO18" s="53"/>
      <c r="AP18" s="53"/>
      <c r="AQ18" s="53"/>
      <c r="AR18" s="34"/>
      <c r="AS18" s="61"/>
      <c r="AT18" s="51"/>
      <c r="AU18" s="61"/>
      <c r="AV18" s="51"/>
      <c r="AW18" s="36">
        <f t="shared" si="2"/>
        <v>10</v>
      </c>
      <c r="AX18" s="34">
        <v>123.86</v>
      </c>
      <c r="AY18" s="43">
        <f t="shared" si="3"/>
        <v>1238.5999999999999</v>
      </c>
      <c r="AZ18" s="48"/>
    </row>
    <row r="19" spans="1:52" s="62" customFormat="1" ht="12.75" x14ac:dyDescent="0.2">
      <c r="A19" s="53">
        <v>10</v>
      </c>
      <c r="B19" s="53" t="s">
        <v>81</v>
      </c>
      <c r="C19" s="53" t="s">
        <v>62</v>
      </c>
      <c r="D19" s="53" t="s">
        <v>63</v>
      </c>
      <c r="E19" s="54" t="s">
        <v>82</v>
      </c>
      <c r="F19" s="53" t="s">
        <v>60</v>
      </c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33"/>
      <c r="T19" s="34">
        <f t="shared" si="0"/>
        <v>0</v>
      </c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>
        <v>10</v>
      </c>
      <c r="AF19" s="67">
        <f t="shared" si="1"/>
        <v>1492.3</v>
      </c>
      <c r="AG19" s="53"/>
      <c r="AH19" s="53"/>
      <c r="AI19" s="53"/>
      <c r="AJ19" s="53"/>
      <c r="AK19" s="53"/>
      <c r="AL19" s="53"/>
      <c r="AM19" s="53"/>
      <c r="AN19" s="34"/>
      <c r="AO19" s="53"/>
      <c r="AP19" s="53"/>
      <c r="AQ19" s="53"/>
      <c r="AR19" s="34"/>
      <c r="AS19" s="61"/>
      <c r="AT19" s="51"/>
      <c r="AU19" s="61"/>
      <c r="AV19" s="51"/>
      <c r="AW19" s="36">
        <f t="shared" si="2"/>
        <v>10</v>
      </c>
      <c r="AX19" s="34">
        <v>149.22999999999999</v>
      </c>
      <c r="AY19" s="43">
        <f t="shared" si="3"/>
        <v>1492.3</v>
      </c>
      <c r="AZ19" s="48"/>
    </row>
    <row r="20" spans="1:52" s="62" customFormat="1" ht="12.75" x14ac:dyDescent="0.2">
      <c r="A20" s="53">
        <v>11</v>
      </c>
      <c r="B20" s="53" t="s">
        <v>83</v>
      </c>
      <c r="C20" s="53" t="s">
        <v>62</v>
      </c>
      <c r="D20" s="53" t="s">
        <v>63</v>
      </c>
      <c r="E20" s="54" t="s">
        <v>84</v>
      </c>
      <c r="F20" s="53" t="s">
        <v>60</v>
      </c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33"/>
      <c r="T20" s="34">
        <f t="shared" si="0"/>
        <v>0</v>
      </c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>
        <v>10</v>
      </c>
      <c r="AF20" s="67">
        <f t="shared" si="1"/>
        <v>2820.4</v>
      </c>
      <c r="AG20" s="53"/>
      <c r="AH20" s="53"/>
      <c r="AI20" s="53"/>
      <c r="AJ20" s="53"/>
      <c r="AK20" s="53"/>
      <c r="AL20" s="53"/>
      <c r="AM20" s="53"/>
      <c r="AN20" s="34"/>
      <c r="AO20" s="53"/>
      <c r="AP20" s="53"/>
      <c r="AQ20" s="53"/>
      <c r="AR20" s="34"/>
      <c r="AS20" s="61"/>
      <c r="AT20" s="51"/>
      <c r="AU20" s="61"/>
      <c r="AV20" s="51"/>
      <c r="AW20" s="36">
        <f t="shared" si="2"/>
        <v>10</v>
      </c>
      <c r="AX20" s="34">
        <v>282.04000000000002</v>
      </c>
      <c r="AY20" s="43">
        <f t="shared" si="3"/>
        <v>2820.4</v>
      </c>
      <c r="AZ20" s="48"/>
    </row>
    <row r="21" spans="1:52" s="62" customFormat="1" ht="12.75" x14ac:dyDescent="0.2">
      <c r="A21" s="53">
        <v>12</v>
      </c>
      <c r="B21" s="53" t="s">
        <v>85</v>
      </c>
      <c r="C21" s="53" t="s">
        <v>62</v>
      </c>
      <c r="D21" s="53" t="s">
        <v>63</v>
      </c>
      <c r="E21" s="54" t="s">
        <v>86</v>
      </c>
      <c r="F21" s="53" t="s">
        <v>60</v>
      </c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33"/>
      <c r="T21" s="34">
        <f t="shared" si="0"/>
        <v>0</v>
      </c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>
        <v>5</v>
      </c>
      <c r="AF21" s="67">
        <f t="shared" ref="AF21:AF74" si="4">+AE21*AX21</f>
        <v>2539.8000000000002</v>
      </c>
      <c r="AG21" s="53"/>
      <c r="AH21" s="53"/>
      <c r="AI21" s="53"/>
      <c r="AJ21" s="53"/>
      <c r="AK21" s="53"/>
      <c r="AL21" s="53"/>
      <c r="AM21" s="53"/>
      <c r="AN21" s="34"/>
      <c r="AO21" s="53"/>
      <c r="AP21" s="53"/>
      <c r="AQ21" s="53"/>
      <c r="AR21" s="34"/>
      <c r="AS21" s="61"/>
      <c r="AT21" s="51"/>
      <c r="AU21" s="61"/>
      <c r="AV21" s="51"/>
      <c r="AW21" s="36">
        <f t="shared" si="2"/>
        <v>5</v>
      </c>
      <c r="AX21" s="34">
        <v>507.96000000000004</v>
      </c>
      <c r="AY21" s="43">
        <f t="shared" si="3"/>
        <v>2539.8000000000002</v>
      </c>
      <c r="AZ21" s="48"/>
    </row>
    <row r="22" spans="1:52" s="62" customFormat="1" ht="12.75" x14ac:dyDescent="0.2">
      <c r="A22" s="53">
        <v>13</v>
      </c>
      <c r="B22" s="53" t="s">
        <v>87</v>
      </c>
      <c r="C22" s="53" t="s">
        <v>62</v>
      </c>
      <c r="D22" s="53" t="s">
        <v>63</v>
      </c>
      <c r="E22" s="54" t="s">
        <v>88</v>
      </c>
      <c r="F22" s="53" t="s">
        <v>60</v>
      </c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33"/>
      <c r="T22" s="34">
        <f t="shared" si="0"/>
        <v>0</v>
      </c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>
        <v>10</v>
      </c>
      <c r="AF22" s="67">
        <f t="shared" si="4"/>
        <v>2703</v>
      </c>
      <c r="AG22" s="53"/>
      <c r="AH22" s="53"/>
      <c r="AI22" s="53"/>
      <c r="AJ22" s="53"/>
      <c r="AK22" s="53"/>
      <c r="AL22" s="53"/>
      <c r="AM22" s="53"/>
      <c r="AN22" s="34"/>
      <c r="AO22" s="53"/>
      <c r="AP22" s="53"/>
      <c r="AQ22" s="53"/>
      <c r="AR22" s="34"/>
      <c r="AS22" s="61"/>
      <c r="AT22" s="51"/>
      <c r="AU22" s="61"/>
      <c r="AV22" s="51"/>
      <c r="AW22" s="36">
        <f t="shared" ref="AW22:AW74" si="5">+AQ22+AO22+AM22+AK22+AI22+AG22+AE22+AC22+AA22+Y22+W22+U22+S22+Q22+O22+M22+K22+I22+AS22+G22+AU22</f>
        <v>10</v>
      </c>
      <c r="AX22" s="34">
        <v>270.3</v>
      </c>
      <c r="AY22" s="43">
        <f t="shared" si="3"/>
        <v>2703</v>
      </c>
      <c r="AZ22" s="48"/>
    </row>
    <row r="23" spans="1:52" s="62" customFormat="1" ht="25.5" x14ac:dyDescent="0.2">
      <c r="A23" s="53">
        <v>14</v>
      </c>
      <c r="B23" s="53" t="s">
        <v>89</v>
      </c>
      <c r="C23" s="53" t="s">
        <v>62</v>
      </c>
      <c r="D23" s="53" t="s">
        <v>63</v>
      </c>
      <c r="E23" s="54" t="s">
        <v>90</v>
      </c>
      <c r="F23" s="53" t="s">
        <v>60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33"/>
      <c r="T23" s="34">
        <f t="shared" si="0"/>
        <v>0</v>
      </c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>
        <v>5</v>
      </c>
      <c r="AF23" s="67">
        <f t="shared" si="4"/>
        <v>45000</v>
      </c>
      <c r="AG23" s="53"/>
      <c r="AH23" s="53"/>
      <c r="AI23" s="53"/>
      <c r="AJ23" s="53"/>
      <c r="AK23" s="53"/>
      <c r="AL23" s="53"/>
      <c r="AM23" s="53"/>
      <c r="AN23" s="34"/>
      <c r="AO23" s="53"/>
      <c r="AP23" s="53"/>
      <c r="AQ23" s="53"/>
      <c r="AR23" s="34"/>
      <c r="AS23" s="61"/>
      <c r="AT23" s="51"/>
      <c r="AU23" s="61"/>
      <c r="AV23" s="51"/>
      <c r="AW23" s="36">
        <f t="shared" si="5"/>
        <v>5</v>
      </c>
      <c r="AX23" s="68">
        <v>9000</v>
      </c>
      <c r="AY23" s="43">
        <f t="shared" si="3"/>
        <v>45000</v>
      </c>
      <c r="AZ23" s="48"/>
    </row>
    <row r="24" spans="1:52" s="62" customFormat="1" ht="25.5" x14ac:dyDescent="0.2">
      <c r="A24" s="32">
        <v>15</v>
      </c>
      <c r="B24" s="32" t="s">
        <v>91</v>
      </c>
      <c r="C24" s="32" t="s">
        <v>62</v>
      </c>
      <c r="D24" s="32" t="s">
        <v>63</v>
      </c>
      <c r="E24" s="54" t="s">
        <v>92</v>
      </c>
      <c r="F24" s="66" t="s">
        <v>60</v>
      </c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33"/>
      <c r="T24" s="34">
        <f t="shared" si="0"/>
        <v>0</v>
      </c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>
        <v>5</v>
      </c>
      <c r="AF24" s="67">
        <f t="shared" si="4"/>
        <v>1615.8000000000002</v>
      </c>
      <c r="AG24" s="53"/>
      <c r="AH24" s="53"/>
      <c r="AI24" s="53"/>
      <c r="AJ24" s="53"/>
      <c r="AK24" s="53"/>
      <c r="AL24" s="53"/>
      <c r="AM24" s="53"/>
      <c r="AN24" s="34"/>
      <c r="AO24" s="53"/>
      <c r="AP24" s="53"/>
      <c r="AQ24" s="53"/>
      <c r="AR24" s="34"/>
      <c r="AS24" s="61"/>
      <c r="AT24" s="51"/>
      <c r="AU24" s="61"/>
      <c r="AV24" s="51"/>
      <c r="AW24" s="36">
        <f t="shared" si="5"/>
        <v>5</v>
      </c>
      <c r="AX24" s="69">
        <v>323.16000000000003</v>
      </c>
      <c r="AY24" s="43">
        <f t="shared" si="3"/>
        <v>1615.8000000000002</v>
      </c>
      <c r="AZ24" s="48"/>
    </row>
    <row r="25" spans="1:52" s="62" customFormat="1" ht="25.5" x14ac:dyDescent="0.2">
      <c r="A25" s="53">
        <v>16</v>
      </c>
      <c r="B25" s="53" t="s">
        <v>93</v>
      </c>
      <c r="C25" s="53" t="s">
        <v>62</v>
      </c>
      <c r="D25" s="53" t="s">
        <v>63</v>
      </c>
      <c r="E25" s="54" t="s">
        <v>94</v>
      </c>
      <c r="F25" s="53" t="s">
        <v>60</v>
      </c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33"/>
      <c r="T25" s="34">
        <f t="shared" si="0"/>
        <v>0</v>
      </c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>
        <v>5</v>
      </c>
      <c r="AF25" s="67">
        <f t="shared" si="4"/>
        <v>981</v>
      </c>
      <c r="AG25" s="53"/>
      <c r="AH25" s="53"/>
      <c r="AI25" s="53"/>
      <c r="AJ25" s="53"/>
      <c r="AK25" s="53"/>
      <c r="AL25" s="53"/>
      <c r="AM25" s="53"/>
      <c r="AN25" s="34"/>
      <c r="AO25" s="53"/>
      <c r="AP25" s="53"/>
      <c r="AQ25" s="53"/>
      <c r="AR25" s="34"/>
      <c r="AS25" s="61"/>
      <c r="AT25" s="51"/>
      <c r="AU25" s="61"/>
      <c r="AV25" s="51"/>
      <c r="AW25" s="36">
        <f t="shared" si="5"/>
        <v>5</v>
      </c>
      <c r="AX25" s="69">
        <v>196.2</v>
      </c>
      <c r="AY25" s="43">
        <f t="shared" si="3"/>
        <v>981</v>
      </c>
      <c r="AZ25" s="48"/>
    </row>
    <row r="26" spans="1:52" s="62" customFormat="1" ht="25.5" x14ac:dyDescent="0.2">
      <c r="A26" s="53">
        <v>17</v>
      </c>
      <c r="B26" s="53" t="s">
        <v>95</v>
      </c>
      <c r="C26" s="53" t="s">
        <v>62</v>
      </c>
      <c r="D26" s="53" t="s">
        <v>63</v>
      </c>
      <c r="E26" s="54" t="s">
        <v>96</v>
      </c>
      <c r="F26" s="53" t="s">
        <v>60</v>
      </c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33"/>
      <c r="T26" s="34">
        <f t="shared" si="0"/>
        <v>0</v>
      </c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>
        <v>5</v>
      </c>
      <c r="AF26" s="67">
        <f t="shared" si="4"/>
        <v>12195.550000000001</v>
      </c>
      <c r="AG26" s="53"/>
      <c r="AH26" s="53"/>
      <c r="AI26" s="53"/>
      <c r="AJ26" s="53"/>
      <c r="AK26" s="53"/>
      <c r="AL26" s="53"/>
      <c r="AM26" s="53"/>
      <c r="AN26" s="34"/>
      <c r="AO26" s="53"/>
      <c r="AP26" s="53"/>
      <c r="AQ26" s="53"/>
      <c r="AR26" s="34"/>
      <c r="AS26" s="61"/>
      <c r="AT26" s="51"/>
      <c r="AU26" s="61"/>
      <c r="AV26" s="51"/>
      <c r="AW26" s="36">
        <f t="shared" si="5"/>
        <v>5</v>
      </c>
      <c r="AX26" s="69">
        <v>2439.11</v>
      </c>
      <c r="AY26" s="43">
        <f t="shared" si="3"/>
        <v>12195.550000000001</v>
      </c>
      <c r="AZ26" s="48"/>
    </row>
    <row r="27" spans="1:52" s="62" customFormat="1" ht="25.5" x14ac:dyDescent="0.2">
      <c r="A27" s="53">
        <v>18</v>
      </c>
      <c r="B27" s="53" t="s">
        <v>97</v>
      </c>
      <c r="C27" s="53" t="s">
        <v>62</v>
      </c>
      <c r="D27" s="53" t="s">
        <v>63</v>
      </c>
      <c r="E27" s="54" t="s">
        <v>98</v>
      </c>
      <c r="F27" s="53" t="s">
        <v>60</v>
      </c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33"/>
      <c r="T27" s="34">
        <f t="shared" si="0"/>
        <v>0</v>
      </c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>
        <v>5</v>
      </c>
      <c r="AF27" s="67">
        <f t="shared" si="4"/>
        <v>9415.7999999999993</v>
      </c>
      <c r="AG27" s="53"/>
      <c r="AH27" s="53"/>
      <c r="AI27" s="53"/>
      <c r="AJ27" s="53"/>
      <c r="AK27" s="53"/>
      <c r="AL27" s="53"/>
      <c r="AM27" s="53"/>
      <c r="AN27" s="34"/>
      <c r="AO27" s="53"/>
      <c r="AP27" s="53"/>
      <c r="AQ27" s="53"/>
      <c r="AR27" s="34"/>
      <c r="AS27" s="61"/>
      <c r="AT27" s="51"/>
      <c r="AU27" s="61"/>
      <c r="AV27" s="51"/>
      <c r="AW27" s="36">
        <f t="shared" si="5"/>
        <v>5</v>
      </c>
      <c r="AX27" s="69">
        <v>1883.1599999999999</v>
      </c>
      <c r="AY27" s="43">
        <f t="shared" si="3"/>
        <v>9415.7999999999993</v>
      </c>
      <c r="AZ27" s="48"/>
    </row>
    <row r="28" spans="1:52" s="62" customFormat="1" ht="25.5" x14ac:dyDescent="0.2">
      <c r="A28" s="53">
        <v>19</v>
      </c>
      <c r="B28" s="53" t="s">
        <v>99</v>
      </c>
      <c r="C28" s="53" t="s">
        <v>62</v>
      </c>
      <c r="D28" s="53" t="s">
        <v>63</v>
      </c>
      <c r="E28" s="54" t="s">
        <v>100</v>
      </c>
      <c r="F28" s="53" t="s">
        <v>60</v>
      </c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33"/>
      <c r="T28" s="34">
        <f t="shared" si="0"/>
        <v>0</v>
      </c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>
        <v>5</v>
      </c>
      <c r="AF28" s="67">
        <f t="shared" si="4"/>
        <v>7418.7</v>
      </c>
      <c r="AG28" s="53"/>
      <c r="AH28" s="53"/>
      <c r="AI28" s="53"/>
      <c r="AJ28" s="53"/>
      <c r="AK28" s="53"/>
      <c r="AL28" s="53"/>
      <c r="AM28" s="53"/>
      <c r="AN28" s="34"/>
      <c r="AO28" s="53"/>
      <c r="AP28" s="53"/>
      <c r="AQ28" s="53"/>
      <c r="AR28" s="34"/>
      <c r="AS28" s="61"/>
      <c r="AT28" s="51"/>
      <c r="AU28" s="61"/>
      <c r="AV28" s="51"/>
      <c r="AW28" s="36">
        <f t="shared" si="5"/>
        <v>5</v>
      </c>
      <c r="AX28" s="69">
        <v>1483.74</v>
      </c>
      <c r="AY28" s="43">
        <f t="shared" si="3"/>
        <v>7418.7</v>
      </c>
      <c r="AZ28" s="48"/>
    </row>
    <row r="29" spans="1:52" s="62" customFormat="1" ht="12.75" x14ac:dyDescent="0.2">
      <c r="A29" s="53">
        <v>20</v>
      </c>
      <c r="B29" s="53" t="s">
        <v>101</v>
      </c>
      <c r="C29" s="53" t="s">
        <v>62</v>
      </c>
      <c r="D29" s="53" t="s">
        <v>63</v>
      </c>
      <c r="E29" s="54" t="s">
        <v>102</v>
      </c>
      <c r="F29" s="53" t="s">
        <v>60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33"/>
      <c r="T29" s="34">
        <f t="shared" si="0"/>
        <v>0</v>
      </c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>
        <v>10</v>
      </c>
      <c r="AF29" s="67">
        <f t="shared" si="4"/>
        <v>14380.1</v>
      </c>
      <c r="AG29" s="53"/>
      <c r="AH29" s="53"/>
      <c r="AI29" s="53"/>
      <c r="AJ29" s="53"/>
      <c r="AK29" s="53"/>
      <c r="AL29" s="53"/>
      <c r="AM29" s="53"/>
      <c r="AN29" s="34"/>
      <c r="AO29" s="53"/>
      <c r="AP29" s="53"/>
      <c r="AQ29" s="53"/>
      <c r="AR29" s="34"/>
      <c r="AS29" s="61"/>
      <c r="AT29" s="51"/>
      <c r="AU29" s="61"/>
      <c r="AV29" s="51"/>
      <c r="AW29" s="36">
        <f t="shared" si="5"/>
        <v>10</v>
      </c>
      <c r="AX29" s="69">
        <v>1438.01</v>
      </c>
      <c r="AY29" s="43">
        <f t="shared" si="3"/>
        <v>14380.1</v>
      </c>
      <c r="AZ29" s="48"/>
    </row>
    <row r="30" spans="1:52" s="62" customFormat="1" ht="12.75" x14ac:dyDescent="0.2">
      <c r="A30" s="53">
        <v>21</v>
      </c>
      <c r="B30" s="53" t="s">
        <v>103</v>
      </c>
      <c r="C30" s="53" t="s">
        <v>62</v>
      </c>
      <c r="D30" s="53" t="s">
        <v>63</v>
      </c>
      <c r="E30" s="54" t="s">
        <v>104</v>
      </c>
      <c r="F30" s="53" t="s">
        <v>60</v>
      </c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33"/>
      <c r="T30" s="34">
        <f t="shared" si="0"/>
        <v>0</v>
      </c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>
        <v>5</v>
      </c>
      <c r="AF30" s="67">
        <f t="shared" si="4"/>
        <v>2520</v>
      </c>
      <c r="AG30" s="53"/>
      <c r="AH30" s="53"/>
      <c r="AI30" s="53"/>
      <c r="AJ30" s="53"/>
      <c r="AK30" s="53"/>
      <c r="AL30" s="53"/>
      <c r="AM30" s="53"/>
      <c r="AN30" s="34"/>
      <c r="AO30" s="53"/>
      <c r="AP30" s="53"/>
      <c r="AQ30" s="53"/>
      <c r="AR30" s="34"/>
      <c r="AS30" s="61"/>
      <c r="AT30" s="51"/>
      <c r="AU30" s="61"/>
      <c r="AV30" s="51"/>
      <c r="AW30" s="36">
        <f t="shared" si="5"/>
        <v>5</v>
      </c>
      <c r="AX30" s="69">
        <v>504</v>
      </c>
      <c r="AY30" s="43">
        <f t="shared" si="3"/>
        <v>2520</v>
      </c>
      <c r="AZ30" s="48"/>
    </row>
    <row r="31" spans="1:52" s="62" customFormat="1" ht="12.75" x14ac:dyDescent="0.2">
      <c r="A31" s="53">
        <v>22</v>
      </c>
      <c r="B31" s="53" t="s">
        <v>105</v>
      </c>
      <c r="C31" s="53" t="s">
        <v>62</v>
      </c>
      <c r="D31" s="53" t="s">
        <v>63</v>
      </c>
      <c r="E31" s="54" t="s">
        <v>106</v>
      </c>
      <c r="F31" s="53" t="s">
        <v>60</v>
      </c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33"/>
      <c r="T31" s="34">
        <f t="shared" si="0"/>
        <v>0</v>
      </c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>
        <v>5</v>
      </c>
      <c r="AF31" s="67">
        <f t="shared" si="4"/>
        <v>3993.55</v>
      </c>
      <c r="AG31" s="53"/>
      <c r="AH31" s="53"/>
      <c r="AI31" s="53"/>
      <c r="AJ31" s="53"/>
      <c r="AK31" s="53"/>
      <c r="AL31" s="53"/>
      <c r="AM31" s="53"/>
      <c r="AN31" s="34"/>
      <c r="AO31" s="53"/>
      <c r="AP31" s="53"/>
      <c r="AQ31" s="53"/>
      <c r="AR31" s="34"/>
      <c r="AS31" s="61"/>
      <c r="AT31" s="51"/>
      <c r="AU31" s="61"/>
      <c r="AV31" s="51"/>
      <c r="AW31" s="36">
        <f t="shared" si="5"/>
        <v>5</v>
      </c>
      <c r="AX31" s="69">
        <v>798.71</v>
      </c>
      <c r="AY31" s="43">
        <f t="shared" si="3"/>
        <v>3993.55</v>
      </c>
      <c r="AZ31" s="48"/>
    </row>
    <row r="32" spans="1:52" s="62" customFormat="1" ht="12.75" x14ac:dyDescent="0.2">
      <c r="A32" s="53">
        <v>23</v>
      </c>
      <c r="B32" s="53" t="s">
        <v>107</v>
      </c>
      <c r="C32" s="53" t="s">
        <v>62</v>
      </c>
      <c r="D32" s="53" t="s">
        <v>63</v>
      </c>
      <c r="E32" s="54" t="s">
        <v>108</v>
      </c>
      <c r="F32" s="53" t="s">
        <v>60</v>
      </c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33"/>
      <c r="T32" s="34">
        <f t="shared" si="0"/>
        <v>0</v>
      </c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>
        <v>10</v>
      </c>
      <c r="AF32" s="67">
        <f t="shared" si="4"/>
        <v>3903.6000000000004</v>
      </c>
      <c r="AG32" s="53"/>
      <c r="AH32" s="53"/>
      <c r="AI32" s="53"/>
      <c r="AJ32" s="53"/>
      <c r="AK32" s="53"/>
      <c r="AL32" s="53"/>
      <c r="AM32" s="53"/>
      <c r="AN32" s="34"/>
      <c r="AO32" s="53"/>
      <c r="AP32" s="53"/>
      <c r="AQ32" s="53"/>
      <c r="AR32" s="34"/>
      <c r="AS32" s="61"/>
      <c r="AT32" s="51"/>
      <c r="AU32" s="61"/>
      <c r="AV32" s="51"/>
      <c r="AW32" s="36">
        <f t="shared" si="5"/>
        <v>10</v>
      </c>
      <c r="AX32" s="69">
        <v>390.36</v>
      </c>
      <c r="AY32" s="43">
        <f t="shared" si="3"/>
        <v>3903.6000000000004</v>
      </c>
      <c r="AZ32" s="48"/>
    </row>
    <row r="33" spans="1:52" s="62" customFormat="1" ht="12.75" x14ac:dyDescent="0.2">
      <c r="A33" s="53">
        <v>24</v>
      </c>
      <c r="B33" s="53" t="s">
        <v>109</v>
      </c>
      <c r="C33" s="53" t="s">
        <v>62</v>
      </c>
      <c r="D33" s="53" t="s">
        <v>63</v>
      </c>
      <c r="E33" s="54" t="s">
        <v>110</v>
      </c>
      <c r="F33" s="53" t="s">
        <v>60</v>
      </c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33"/>
      <c r="T33" s="34">
        <f t="shared" si="0"/>
        <v>0</v>
      </c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>
        <v>10</v>
      </c>
      <c r="AF33" s="67">
        <f t="shared" si="4"/>
        <v>1879.1999999999998</v>
      </c>
      <c r="AG33" s="53"/>
      <c r="AH33" s="53"/>
      <c r="AI33" s="53"/>
      <c r="AJ33" s="53"/>
      <c r="AK33" s="53"/>
      <c r="AL33" s="53"/>
      <c r="AM33" s="53"/>
      <c r="AN33" s="34"/>
      <c r="AO33" s="53"/>
      <c r="AP33" s="53"/>
      <c r="AQ33" s="53"/>
      <c r="AR33" s="34"/>
      <c r="AS33" s="61"/>
      <c r="AT33" s="51"/>
      <c r="AU33" s="61"/>
      <c r="AV33" s="51"/>
      <c r="AW33" s="36">
        <f t="shared" si="5"/>
        <v>10</v>
      </c>
      <c r="AX33" s="69">
        <v>187.92</v>
      </c>
      <c r="AY33" s="43">
        <f t="shared" si="3"/>
        <v>1879.1999999999998</v>
      </c>
      <c r="AZ33" s="48"/>
    </row>
    <row r="34" spans="1:52" s="62" customFormat="1" ht="25.5" x14ac:dyDescent="0.2">
      <c r="A34" s="53">
        <v>25</v>
      </c>
      <c r="B34" s="53" t="s">
        <v>111</v>
      </c>
      <c r="C34" s="53" t="s">
        <v>62</v>
      </c>
      <c r="D34" s="53" t="s">
        <v>63</v>
      </c>
      <c r="E34" s="54" t="s">
        <v>112</v>
      </c>
      <c r="F34" s="53" t="s">
        <v>60</v>
      </c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33"/>
      <c r="T34" s="34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>
        <v>10</v>
      </c>
      <c r="AF34" s="67">
        <f t="shared" si="4"/>
        <v>7116</v>
      </c>
      <c r="AG34" s="53"/>
      <c r="AH34" s="53"/>
      <c r="AI34" s="53"/>
      <c r="AJ34" s="53"/>
      <c r="AK34" s="53"/>
      <c r="AL34" s="53"/>
      <c r="AM34" s="53"/>
      <c r="AN34" s="34"/>
      <c r="AO34" s="53"/>
      <c r="AP34" s="53"/>
      <c r="AQ34" s="53"/>
      <c r="AR34" s="34"/>
      <c r="AS34" s="61"/>
      <c r="AT34" s="51"/>
      <c r="AU34" s="61"/>
      <c r="AV34" s="51"/>
      <c r="AW34" s="36">
        <f t="shared" si="5"/>
        <v>10</v>
      </c>
      <c r="AX34" s="68">
        <v>711.6</v>
      </c>
      <c r="AY34" s="43">
        <f t="shared" si="3"/>
        <v>7116</v>
      </c>
      <c r="AZ34" s="48"/>
    </row>
    <row r="35" spans="1:52" s="62" customFormat="1" ht="25.5" x14ac:dyDescent="0.2">
      <c r="A35" s="32">
        <v>26</v>
      </c>
      <c r="B35" s="32" t="s">
        <v>113</v>
      </c>
      <c r="C35" s="32" t="s">
        <v>62</v>
      </c>
      <c r="D35" s="32" t="s">
        <v>63</v>
      </c>
      <c r="E35" s="54" t="s">
        <v>114</v>
      </c>
      <c r="F35" s="66" t="s">
        <v>60</v>
      </c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33"/>
      <c r="T35" s="34">
        <f t="shared" ref="T35:T50" si="6">+S35*AX35</f>
        <v>0</v>
      </c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>
        <v>10</v>
      </c>
      <c r="AF35" s="67">
        <f t="shared" si="4"/>
        <v>8085.5999999999995</v>
      </c>
      <c r="AG35" s="53"/>
      <c r="AH35" s="53"/>
      <c r="AI35" s="53"/>
      <c r="AJ35" s="53"/>
      <c r="AK35" s="53"/>
      <c r="AL35" s="53"/>
      <c r="AM35" s="53"/>
      <c r="AN35" s="34"/>
      <c r="AO35" s="53"/>
      <c r="AP35" s="53"/>
      <c r="AQ35" s="53"/>
      <c r="AR35" s="34"/>
      <c r="AS35" s="61"/>
      <c r="AT35" s="51"/>
      <c r="AU35" s="61"/>
      <c r="AV35" s="51"/>
      <c r="AW35" s="36">
        <f t="shared" si="5"/>
        <v>10</v>
      </c>
      <c r="AX35" s="34">
        <v>808.56</v>
      </c>
      <c r="AY35" s="43">
        <f t="shared" si="3"/>
        <v>8085.5999999999995</v>
      </c>
      <c r="AZ35" s="48"/>
    </row>
    <row r="36" spans="1:52" s="62" customFormat="1" ht="25.5" x14ac:dyDescent="0.2">
      <c r="A36" s="53">
        <v>27</v>
      </c>
      <c r="B36" s="53" t="s">
        <v>115</v>
      </c>
      <c r="C36" s="53" t="s">
        <v>62</v>
      </c>
      <c r="D36" s="53" t="s">
        <v>63</v>
      </c>
      <c r="E36" s="54" t="s">
        <v>116</v>
      </c>
      <c r="F36" s="53" t="s">
        <v>60</v>
      </c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33"/>
      <c r="T36" s="34">
        <f t="shared" si="6"/>
        <v>0</v>
      </c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>
        <v>10</v>
      </c>
      <c r="AF36" s="67">
        <f t="shared" si="4"/>
        <v>5472</v>
      </c>
      <c r="AG36" s="53"/>
      <c r="AH36" s="53"/>
      <c r="AI36" s="53"/>
      <c r="AJ36" s="53"/>
      <c r="AK36" s="53"/>
      <c r="AL36" s="53"/>
      <c r="AM36" s="53"/>
      <c r="AN36" s="34"/>
      <c r="AO36" s="53"/>
      <c r="AP36" s="53"/>
      <c r="AQ36" s="53"/>
      <c r="AR36" s="34"/>
      <c r="AS36" s="61"/>
      <c r="AT36" s="51"/>
      <c r="AU36" s="61"/>
      <c r="AV36" s="51"/>
      <c r="AW36" s="36">
        <f t="shared" si="5"/>
        <v>10</v>
      </c>
      <c r="AX36" s="34">
        <v>547.20000000000005</v>
      </c>
      <c r="AY36" s="43">
        <f t="shared" si="3"/>
        <v>5472</v>
      </c>
      <c r="AZ36" s="48"/>
    </row>
    <row r="37" spans="1:52" s="62" customFormat="1" ht="25.5" x14ac:dyDescent="0.2">
      <c r="A37" s="53">
        <v>28</v>
      </c>
      <c r="B37" s="53" t="s">
        <v>117</v>
      </c>
      <c r="C37" s="53" t="s">
        <v>62</v>
      </c>
      <c r="D37" s="53" t="s">
        <v>63</v>
      </c>
      <c r="E37" s="54" t="s">
        <v>118</v>
      </c>
      <c r="F37" s="53" t="s">
        <v>60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33"/>
      <c r="T37" s="34">
        <f t="shared" si="6"/>
        <v>0</v>
      </c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>
        <v>10</v>
      </c>
      <c r="AF37" s="67">
        <f t="shared" si="4"/>
        <v>15117.6</v>
      </c>
      <c r="AG37" s="53"/>
      <c r="AH37" s="53"/>
      <c r="AI37" s="53"/>
      <c r="AJ37" s="53"/>
      <c r="AK37" s="53"/>
      <c r="AL37" s="53"/>
      <c r="AM37" s="53"/>
      <c r="AN37" s="34"/>
      <c r="AO37" s="53"/>
      <c r="AP37" s="53"/>
      <c r="AQ37" s="53"/>
      <c r="AR37" s="34"/>
      <c r="AS37" s="61"/>
      <c r="AT37" s="51"/>
      <c r="AU37" s="61"/>
      <c r="AV37" s="51"/>
      <c r="AW37" s="36">
        <f t="shared" si="5"/>
        <v>10</v>
      </c>
      <c r="AX37" s="34">
        <v>1511.76</v>
      </c>
      <c r="AY37" s="43">
        <f t="shared" si="3"/>
        <v>15117.6</v>
      </c>
      <c r="AZ37" s="48"/>
    </row>
    <row r="38" spans="1:52" s="62" customFormat="1" ht="25.5" x14ac:dyDescent="0.2">
      <c r="A38" s="53">
        <v>29</v>
      </c>
      <c r="B38" s="53" t="s">
        <v>119</v>
      </c>
      <c r="C38" s="53" t="s">
        <v>62</v>
      </c>
      <c r="D38" s="53" t="s">
        <v>63</v>
      </c>
      <c r="E38" s="54" t="s">
        <v>120</v>
      </c>
      <c r="F38" s="53" t="s">
        <v>60</v>
      </c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33"/>
      <c r="T38" s="34">
        <f t="shared" si="6"/>
        <v>0</v>
      </c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>
        <v>5</v>
      </c>
      <c r="AF38" s="67">
        <f t="shared" si="4"/>
        <v>23880</v>
      </c>
      <c r="AG38" s="53"/>
      <c r="AH38" s="53"/>
      <c r="AI38" s="53"/>
      <c r="AJ38" s="53"/>
      <c r="AK38" s="53"/>
      <c r="AL38" s="53"/>
      <c r="AM38" s="53"/>
      <c r="AN38" s="34"/>
      <c r="AO38" s="53"/>
      <c r="AP38" s="53"/>
      <c r="AQ38" s="53"/>
      <c r="AR38" s="34"/>
      <c r="AS38" s="61"/>
      <c r="AT38" s="51"/>
      <c r="AU38" s="61"/>
      <c r="AV38" s="51"/>
      <c r="AW38" s="36">
        <f t="shared" si="5"/>
        <v>5</v>
      </c>
      <c r="AX38" s="34">
        <v>4776</v>
      </c>
      <c r="AY38" s="43">
        <f t="shared" si="3"/>
        <v>23880</v>
      </c>
      <c r="AZ38" s="48"/>
    </row>
    <row r="39" spans="1:52" s="62" customFormat="1" ht="25.5" x14ac:dyDescent="0.2">
      <c r="A39" s="53">
        <v>30</v>
      </c>
      <c r="B39" s="53" t="s">
        <v>121</v>
      </c>
      <c r="C39" s="53" t="s">
        <v>62</v>
      </c>
      <c r="D39" s="53" t="s">
        <v>63</v>
      </c>
      <c r="E39" s="54" t="s">
        <v>122</v>
      </c>
      <c r="F39" s="53" t="s">
        <v>60</v>
      </c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33"/>
      <c r="T39" s="34">
        <f t="shared" si="6"/>
        <v>0</v>
      </c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>
        <v>5</v>
      </c>
      <c r="AF39" s="67">
        <f t="shared" si="4"/>
        <v>16560</v>
      </c>
      <c r="AG39" s="53"/>
      <c r="AH39" s="53"/>
      <c r="AI39" s="53"/>
      <c r="AJ39" s="53"/>
      <c r="AK39" s="53"/>
      <c r="AL39" s="53"/>
      <c r="AM39" s="53"/>
      <c r="AN39" s="34"/>
      <c r="AO39" s="53"/>
      <c r="AP39" s="53"/>
      <c r="AQ39" s="53"/>
      <c r="AR39" s="34"/>
      <c r="AS39" s="61"/>
      <c r="AT39" s="51"/>
      <c r="AU39" s="61"/>
      <c r="AV39" s="51"/>
      <c r="AW39" s="36">
        <f t="shared" si="5"/>
        <v>5</v>
      </c>
      <c r="AX39" s="34">
        <v>3312</v>
      </c>
      <c r="AY39" s="43">
        <f t="shared" si="3"/>
        <v>16560</v>
      </c>
      <c r="AZ39" s="48"/>
    </row>
    <row r="40" spans="1:52" s="62" customFormat="1" ht="25.5" x14ac:dyDescent="0.2">
      <c r="A40" s="53">
        <v>31</v>
      </c>
      <c r="B40" s="53" t="s">
        <v>123</v>
      </c>
      <c r="C40" s="53" t="s">
        <v>62</v>
      </c>
      <c r="D40" s="53" t="s">
        <v>63</v>
      </c>
      <c r="E40" s="54" t="s">
        <v>124</v>
      </c>
      <c r="F40" s="53" t="s">
        <v>60</v>
      </c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33"/>
      <c r="T40" s="34">
        <f t="shared" si="6"/>
        <v>0</v>
      </c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>
        <v>5</v>
      </c>
      <c r="AF40" s="67">
        <f t="shared" si="4"/>
        <v>12918</v>
      </c>
      <c r="AG40" s="53"/>
      <c r="AH40" s="53"/>
      <c r="AI40" s="53"/>
      <c r="AJ40" s="53"/>
      <c r="AK40" s="53"/>
      <c r="AL40" s="53"/>
      <c r="AM40" s="53"/>
      <c r="AN40" s="34"/>
      <c r="AO40" s="53"/>
      <c r="AP40" s="53"/>
      <c r="AQ40" s="53"/>
      <c r="AR40" s="34"/>
      <c r="AS40" s="61"/>
      <c r="AT40" s="51"/>
      <c r="AU40" s="61"/>
      <c r="AV40" s="51"/>
      <c r="AW40" s="36">
        <f t="shared" si="5"/>
        <v>5</v>
      </c>
      <c r="AX40" s="34">
        <v>2583.6</v>
      </c>
      <c r="AY40" s="43">
        <f t="shared" si="3"/>
        <v>12918</v>
      </c>
      <c r="AZ40" s="48"/>
    </row>
    <row r="41" spans="1:52" s="62" customFormat="1" ht="25.5" x14ac:dyDescent="0.2">
      <c r="A41" s="53">
        <v>32</v>
      </c>
      <c r="B41" s="53" t="s">
        <v>125</v>
      </c>
      <c r="C41" s="53" t="s">
        <v>62</v>
      </c>
      <c r="D41" s="53" t="s">
        <v>63</v>
      </c>
      <c r="E41" s="54" t="s">
        <v>126</v>
      </c>
      <c r="F41" s="53" t="s">
        <v>60</v>
      </c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33"/>
      <c r="T41" s="34">
        <f t="shared" si="6"/>
        <v>0</v>
      </c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>
        <v>3</v>
      </c>
      <c r="AF41" s="67">
        <f t="shared" si="4"/>
        <v>5364</v>
      </c>
      <c r="AG41" s="53"/>
      <c r="AH41" s="53"/>
      <c r="AI41" s="53"/>
      <c r="AJ41" s="53"/>
      <c r="AK41" s="53"/>
      <c r="AL41" s="53"/>
      <c r="AM41" s="53"/>
      <c r="AN41" s="34"/>
      <c r="AO41" s="53"/>
      <c r="AP41" s="53"/>
      <c r="AQ41" s="53"/>
      <c r="AR41" s="34"/>
      <c r="AS41" s="61"/>
      <c r="AT41" s="51"/>
      <c r="AU41" s="61"/>
      <c r="AV41" s="51"/>
      <c r="AW41" s="36">
        <f t="shared" si="5"/>
        <v>3</v>
      </c>
      <c r="AX41" s="34">
        <v>1788</v>
      </c>
      <c r="AY41" s="43">
        <f t="shared" si="3"/>
        <v>5364</v>
      </c>
      <c r="AZ41" s="48"/>
    </row>
    <row r="42" spans="1:52" s="62" customFormat="1" ht="22.5" customHeight="1" x14ac:dyDescent="0.2">
      <c r="A42" s="53">
        <v>33</v>
      </c>
      <c r="B42" s="53" t="s">
        <v>127</v>
      </c>
      <c r="C42" s="53" t="s">
        <v>62</v>
      </c>
      <c r="D42" s="53" t="s">
        <v>63</v>
      </c>
      <c r="E42" s="54" t="s">
        <v>128</v>
      </c>
      <c r="F42" s="53" t="s">
        <v>60</v>
      </c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33"/>
      <c r="T42" s="34">
        <f t="shared" si="6"/>
        <v>0</v>
      </c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>
        <v>5</v>
      </c>
      <c r="AF42" s="67">
        <f t="shared" si="4"/>
        <v>4117.2000000000007</v>
      </c>
      <c r="AG42" s="53"/>
      <c r="AH42" s="53"/>
      <c r="AI42" s="53"/>
      <c r="AJ42" s="53"/>
      <c r="AK42" s="53"/>
      <c r="AL42" s="53"/>
      <c r="AM42" s="53"/>
      <c r="AN42" s="34"/>
      <c r="AO42" s="53"/>
      <c r="AP42" s="53"/>
      <c r="AQ42" s="53"/>
      <c r="AR42" s="34"/>
      <c r="AS42" s="61"/>
      <c r="AT42" s="51"/>
      <c r="AU42" s="61"/>
      <c r="AV42" s="51"/>
      <c r="AW42" s="36">
        <f t="shared" si="5"/>
        <v>5</v>
      </c>
      <c r="AX42" s="34">
        <v>823.44</v>
      </c>
      <c r="AY42" s="43">
        <f t="shared" si="3"/>
        <v>4117.2000000000007</v>
      </c>
      <c r="AZ42" s="48"/>
    </row>
    <row r="43" spans="1:52" s="62" customFormat="1" ht="21.75" customHeight="1" x14ac:dyDescent="0.2">
      <c r="A43" s="53">
        <v>34</v>
      </c>
      <c r="B43" s="53" t="s">
        <v>129</v>
      </c>
      <c r="C43" s="53" t="s">
        <v>62</v>
      </c>
      <c r="D43" s="53" t="s">
        <v>63</v>
      </c>
      <c r="E43" s="54" t="s">
        <v>130</v>
      </c>
      <c r="F43" s="53" t="s">
        <v>60</v>
      </c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33"/>
      <c r="T43" s="34">
        <f t="shared" si="6"/>
        <v>0</v>
      </c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>
        <v>5</v>
      </c>
      <c r="AF43" s="67">
        <f t="shared" si="4"/>
        <v>5358.2000000000007</v>
      </c>
      <c r="AG43" s="53"/>
      <c r="AH43" s="53"/>
      <c r="AI43" s="53"/>
      <c r="AJ43" s="53"/>
      <c r="AK43" s="53"/>
      <c r="AL43" s="53"/>
      <c r="AM43" s="53"/>
      <c r="AN43" s="34"/>
      <c r="AO43" s="53"/>
      <c r="AP43" s="53"/>
      <c r="AQ43" s="53"/>
      <c r="AR43" s="34"/>
      <c r="AS43" s="61"/>
      <c r="AT43" s="51"/>
      <c r="AU43" s="61"/>
      <c r="AV43" s="51"/>
      <c r="AW43" s="36">
        <f t="shared" si="5"/>
        <v>5</v>
      </c>
      <c r="AX43" s="34">
        <v>1071.6400000000001</v>
      </c>
      <c r="AY43" s="43">
        <f t="shared" si="3"/>
        <v>5358.2000000000007</v>
      </c>
      <c r="AZ43" s="48"/>
    </row>
    <row r="44" spans="1:52" s="62" customFormat="1" ht="25.5" x14ac:dyDescent="0.2">
      <c r="A44" s="53">
        <v>35</v>
      </c>
      <c r="B44" s="53" t="s">
        <v>131</v>
      </c>
      <c r="C44" s="53" t="s">
        <v>62</v>
      </c>
      <c r="D44" s="53" t="s">
        <v>63</v>
      </c>
      <c r="E44" s="54" t="s">
        <v>132</v>
      </c>
      <c r="F44" s="53" t="s">
        <v>60</v>
      </c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33"/>
      <c r="T44" s="34">
        <f t="shared" si="6"/>
        <v>0</v>
      </c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>
        <v>10</v>
      </c>
      <c r="AF44" s="67">
        <f t="shared" si="4"/>
        <v>11242.8</v>
      </c>
      <c r="AG44" s="53"/>
      <c r="AH44" s="53"/>
      <c r="AI44" s="53"/>
      <c r="AJ44" s="53"/>
      <c r="AK44" s="53"/>
      <c r="AL44" s="53"/>
      <c r="AM44" s="53"/>
      <c r="AN44" s="34"/>
      <c r="AO44" s="53"/>
      <c r="AP44" s="53"/>
      <c r="AQ44" s="53"/>
      <c r="AR44" s="34"/>
      <c r="AS44" s="61"/>
      <c r="AT44" s="51"/>
      <c r="AU44" s="61"/>
      <c r="AV44" s="51"/>
      <c r="AW44" s="36">
        <f t="shared" si="5"/>
        <v>10</v>
      </c>
      <c r="AX44" s="34">
        <v>1124.28</v>
      </c>
      <c r="AY44" s="43">
        <f t="shared" si="3"/>
        <v>11242.8</v>
      </c>
      <c r="AZ44" s="48"/>
    </row>
    <row r="45" spans="1:52" s="62" customFormat="1" ht="12.75" x14ac:dyDescent="0.2">
      <c r="A45" s="53">
        <v>36</v>
      </c>
      <c r="B45" s="53" t="s">
        <v>133</v>
      </c>
      <c r="C45" s="53" t="s">
        <v>62</v>
      </c>
      <c r="D45" s="53" t="s">
        <v>63</v>
      </c>
      <c r="E45" s="54" t="s">
        <v>134</v>
      </c>
      <c r="F45" s="53" t="s">
        <v>60</v>
      </c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33"/>
      <c r="T45" s="34">
        <f t="shared" si="6"/>
        <v>0</v>
      </c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>
        <v>10</v>
      </c>
      <c r="AF45" s="67">
        <f t="shared" si="4"/>
        <v>8410.7999999999993</v>
      </c>
      <c r="AG45" s="53"/>
      <c r="AH45" s="53"/>
      <c r="AI45" s="53"/>
      <c r="AJ45" s="53"/>
      <c r="AK45" s="53"/>
      <c r="AL45" s="53"/>
      <c r="AM45" s="53"/>
      <c r="AN45" s="34"/>
      <c r="AO45" s="53"/>
      <c r="AP45" s="53"/>
      <c r="AQ45" s="53"/>
      <c r="AR45" s="34"/>
      <c r="AS45" s="61"/>
      <c r="AT45" s="51"/>
      <c r="AU45" s="61"/>
      <c r="AV45" s="51"/>
      <c r="AW45" s="36">
        <f t="shared" si="5"/>
        <v>10</v>
      </c>
      <c r="AX45" s="34">
        <v>841.07999999999993</v>
      </c>
      <c r="AY45" s="43">
        <f t="shared" si="3"/>
        <v>8410.7999999999993</v>
      </c>
      <c r="AZ45" s="48"/>
    </row>
    <row r="46" spans="1:52" s="62" customFormat="1" ht="12.75" x14ac:dyDescent="0.2">
      <c r="A46" s="53">
        <v>37</v>
      </c>
      <c r="B46" s="53" t="s">
        <v>135</v>
      </c>
      <c r="C46" s="53" t="s">
        <v>62</v>
      </c>
      <c r="D46" s="53" t="s">
        <v>63</v>
      </c>
      <c r="E46" s="54" t="s">
        <v>136</v>
      </c>
      <c r="F46" s="53" t="s">
        <v>60</v>
      </c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33"/>
      <c r="T46" s="34">
        <f t="shared" si="6"/>
        <v>0</v>
      </c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>
        <v>10</v>
      </c>
      <c r="AF46" s="67">
        <f t="shared" si="4"/>
        <v>10707.6</v>
      </c>
      <c r="AG46" s="53"/>
      <c r="AH46" s="53"/>
      <c r="AI46" s="53"/>
      <c r="AJ46" s="53"/>
      <c r="AK46" s="53"/>
      <c r="AL46" s="53"/>
      <c r="AM46" s="53"/>
      <c r="AN46" s="34"/>
      <c r="AO46" s="53"/>
      <c r="AP46" s="53"/>
      <c r="AQ46" s="53"/>
      <c r="AR46" s="34"/>
      <c r="AS46" s="61"/>
      <c r="AT46" s="51"/>
      <c r="AU46" s="61"/>
      <c r="AV46" s="51"/>
      <c r="AW46" s="36">
        <f t="shared" si="5"/>
        <v>10</v>
      </c>
      <c r="AX46" s="34">
        <v>1070.76</v>
      </c>
      <c r="AY46" s="43">
        <f t="shared" si="3"/>
        <v>10707.6</v>
      </c>
      <c r="AZ46" s="48"/>
    </row>
    <row r="47" spans="1:52" s="62" customFormat="1" ht="12.75" x14ac:dyDescent="0.2">
      <c r="A47" s="53">
        <v>38</v>
      </c>
      <c r="B47" s="53" t="s">
        <v>137</v>
      </c>
      <c r="C47" s="53" t="s">
        <v>62</v>
      </c>
      <c r="D47" s="53" t="s">
        <v>63</v>
      </c>
      <c r="E47" s="54" t="s">
        <v>138</v>
      </c>
      <c r="F47" s="53" t="s">
        <v>60</v>
      </c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33"/>
      <c r="T47" s="34">
        <f t="shared" si="6"/>
        <v>0</v>
      </c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>
        <v>10</v>
      </c>
      <c r="AF47" s="67">
        <f t="shared" si="4"/>
        <v>7560</v>
      </c>
      <c r="AG47" s="53"/>
      <c r="AH47" s="53"/>
      <c r="AI47" s="53"/>
      <c r="AJ47" s="53"/>
      <c r="AK47" s="53"/>
      <c r="AL47" s="53"/>
      <c r="AM47" s="53"/>
      <c r="AN47" s="34"/>
      <c r="AO47" s="53"/>
      <c r="AP47" s="53"/>
      <c r="AQ47" s="53"/>
      <c r="AR47" s="34"/>
      <c r="AS47" s="61"/>
      <c r="AT47" s="51"/>
      <c r="AU47" s="61"/>
      <c r="AV47" s="51"/>
      <c r="AW47" s="36">
        <f t="shared" si="5"/>
        <v>10</v>
      </c>
      <c r="AX47" s="34">
        <v>756</v>
      </c>
      <c r="AY47" s="37">
        <f t="shared" si="3"/>
        <v>7560</v>
      </c>
      <c r="AZ47" s="48"/>
    </row>
    <row r="48" spans="1:52" s="62" customFormat="1" ht="12.75" x14ac:dyDescent="0.2">
      <c r="A48" s="53">
        <v>39</v>
      </c>
      <c r="B48" s="53" t="s">
        <v>139</v>
      </c>
      <c r="C48" s="53" t="s">
        <v>62</v>
      </c>
      <c r="D48" s="53" t="s">
        <v>63</v>
      </c>
      <c r="E48" s="54" t="s">
        <v>140</v>
      </c>
      <c r="F48" s="53" t="s">
        <v>60</v>
      </c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33"/>
      <c r="T48" s="34">
        <f t="shared" si="6"/>
        <v>0</v>
      </c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>
        <v>10</v>
      </c>
      <c r="AF48" s="67">
        <f t="shared" si="4"/>
        <v>8166.5999999999995</v>
      </c>
      <c r="AG48" s="53"/>
      <c r="AH48" s="53"/>
      <c r="AI48" s="53"/>
      <c r="AJ48" s="53"/>
      <c r="AK48" s="53"/>
      <c r="AL48" s="53"/>
      <c r="AM48" s="53"/>
      <c r="AN48" s="34"/>
      <c r="AO48" s="53"/>
      <c r="AP48" s="53"/>
      <c r="AQ48" s="53"/>
      <c r="AR48" s="34"/>
      <c r="AS48" s="61"/>
      <c r="AT48" s="51"/>
      <c r="AU48" s="61"/>
      <c r="AV48" s="51"/>
      <c r="AW48" s="36">
        <f t="shared" si="5"/>
        <v>10</v>
      </c>
      <c r="AX48" s="34">
        <v>816.66</v>
      </c>
      <c r="AY48" s="37">
        <f t="shared" si="3"/>
        <v>8166.5999999999995</v>
      </c>
      <c r="AZ48" s="48"/>
    </row>
    <row r="49" spans="1:52" s="62" customFormat="1" ht="12.75" x14ac:dyDescent="0.2">
      <c r="A49" s="53">
        <v>40</v>
      </c>
      <c r="B49" s="53" t="s">
        <v>141</v>
      </c>
      <c r="C49" s="53" t="s">
        <v>62</v>
      </c>
      <c r="D49" s="53" t="s">
        <v>63</v>
      </c>
      <c r="E49" s="54" t="s">
        <v>142</v>
      </c>
      <c r="F49" s="53" t="s">
        <v>60</v>
      </c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33"/>
      <c r="T49" s="34">
        <f t="shared" si="6"/>
        <v>0</v>
      </c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>
        <v>10</v>
      </c>
      <c r="AF49" s="67">
        <f t="shared" si="4"/>
        <v>14834.400000000001</v>
      </c>
      <c r="AG49" s="53"/>
      <c r="AH49" s="53"/>
      <c r="AI49" s="53"/>
      <c r="AJ49" s="53"/>
      <c r="AK49" s="53"/>
      <c r="AL49" s="53"/>
      <c r="AM49" s="53"/>
      <c r="AN49" s="34"/>
      <c r="AO49" s="53"/>
      <c r="AP49" s="53"/>
      <c r="AQ49" s="53"/>
      <c r="AR49" s="34"/>
      <c r="AS49" s="61"/>
      <c r="AT49" s="51"/>
      <c r="AU49" s="61"/>
      <c r="AV49" s="51"/>
      <c r="AW49" s="36">
        <f t="shared" si="5"/>
        <v>10</v>
      </c>
      <c r="AX49" s="34">
        <v>1483.44</v>
      </c>
      <c r="AY49" s="37">
        <f t="shared" si="3"/>
        <v>14834.400000000001</v>
      </c>
      <c r="AZ49" s="48"/>
    </row>
    <row r="50" spans="1:52" s="62" customFormat="1" ht="12.75" x14ac:dyDescent="0.2">
      <c r="A50" s="53">
        <v>41</v>
      </c>
      <c r="B50" s="53" t="s">
        <v>143</v>
      </c>
      <c r="C50" s="53" t="s">
        <v>62</v>
      </c>
      <c r="D50" s="53" t="s">
        <v>63</v>
      </c>
      <c r="E50" s="54" t="s">
        <v>144</v>
      </c>
      <c r="F50" s="53" t="s">
        <v>60</v>
      </c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33"/>
      <c r="T50" s="34">
        <f t="shared" si="6"/>
        <v>0</v>
      </c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>
        <v>1</v>
      </c>
      <c r="AF50" s="67">
        <f t="shared" si="4"/>
        <v>8784</v>
      </c>
      <c r="AG50" s="53"/>
      <c r="AH50" s="53"/>
      <c r="AI50" s="53"/>
      <c r="AJ50" s="53"/>
      <c r="AK50" s="53"/>
      <c r="AL50" s="53"/>
      <c r="AM50" s="53"/>
      <c r="AN50" s="34"/>
      <c r="AO50" s="53"/>
      <c r="AP50" s="53"/>
      <c r="AQ50" s="53"/>
      <c r="AR50" s="34"/>
      <c r="AS50" s="61"/>
      <c r="AT50" s="51"/>
      <c r="AU50" s="61"/>
      <c r="AV50" s="51"/>
      <c r="AW50" s="36">
        <f t="shared" si="5"/>
        <v>1</v>
      </c>
      <c r="AX50" s="34">
        <v>8784</v>
      </c>
      <c r="AY50" s="37">
        <f t="shared" si="3"/>
        <v>8784</v>
      </c>
      <c r="AZ50" s="48"/>
    </row>
    <row r="51" spans="1:52" s="62" customFormat="1" ht="12.75" x14ac:dyDescent="0.2">
      <c r="A51" s="53">
        <v>42</v>
      </c>
      <c r="B51" s="53" t="s">
        <v>145</v>
      </c>
      <c r="C51" s="53" t="s">
        <v>62</v>
      </c>
      <c r="D51" s="53" t="s">
        <v>63</v>
      </c>
      <c r="E51" s="54" t="s">
        <v>146</v>
      </c>
      <c r="F51" s="53" t="s">
        <v>60</v>
      </c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33"/>
      <c r="T51" s="34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>
        <v>10</v>
      </c>
      <c r="AF51" s="67">
        <f t="shared" si="4"/>
        <v>3483.6000000000004</v>
      </c>
      <c r="AG51" s="53"/>
      <c r="AH51" s="53"/>
      <c r="AI51" s="53"/>
      <c r="AJ51" s="53"/>
      <c r="AK51" s="53"/>
      <c r="AL51" s="53"/>
      <c r="AM51" s="53"/>
      <c r="AN51" s="34"/>
      <c r="AO51" s="53"/>
      <c r="AP51" s="53"/>
      <c r="AQ51" s="53"/>
      <c r="AR51" s="34"/>
      <c r="AS51" s="61"/>
      <c r="AT51" s="51"/>
      <c r="AU51" s="61"/>
      <c r="AV51" s="51"/>
      <c r="AW51" s="36">
        <f t="shared" si="5"/>
        <v>10</v>
      </c>
      <c r="AX51" s="68">
        <v>348.36</v>
      </c>
      <c r="AY51" s="37">
        <f t="shared" si="3"/>
        <v>3483.6000000000004</v>
      </c>
      <c r="AZ51" s="48"/>
    </row>
    <row r="52" spans="1:52" s="62" customFormat="1" ht="12.75" x14ac:dyDescent="0.2">
      <c r="A52" s="32">
        <v>43</v>
      </c>
      <c r="B52" s="32" t="s">
        <v>147</v>
      </c>
      <c r="C52" s="32" t="s">
        <v>62</v>
      </c>
      <c r="D52" s="32" t="s">
        <v>63</v>
      </c>
      <c r="E52" s="54" t="s">
        <v>148</v>
      </c>
      <c r="F52" s="66" t="s">
        <v>60</v>
      </c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33"/>
      <c r="T52" s="34">
        <f t="shared" ref="T52:T75" si="7">+S52*AX52</f>
        <v>0</v>
      </c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>
        <v>10</v>
      </c>
      <c r="AF52" s="67">
        <f t="shared" si="4"/>
        <v>4140</v>
      </c>
      <c r="AG52" s="53"/>
      <c r="AH52" s="53"/>
      <c r="AI52" s="53"/>
      <c r="AJ52" s="53"/>
      <c r="AK52" s="53"/>
      <c r="AL52" s="53"/>
      <c r="AM52" s="53"/>
      <c r="AN52" s="34"/>
      <c r="AO52" s="53"/>
      <c r="AP52" s="53"/>
      <c r="AQ52" s="53"/>
      <c r="AR52" s="34"/>
      <c r="AS52" s="35"/>
      <c r="AT52" s="53"/>
      <c r="AU52" s="35"/>
      <c r="AV52" s="53"/>
      <c r="AW52" s="36">
        <f t="shared" si="5"/>
        <v>10</v>
      </c>
      <c r="AX52" s="34">
        <v>414</v>
      </c>
      <c r="AY52" s="37">
        <f t="shared" si="3"/>
        <v>4140</v>
      </c>
      <c r="AZ52" s="48"/>
    </row>
    <row r="53" spans="1:52" s="62" customFormat="1" ht="12.75" x14ac:dyDescent="0.2">
      <c r="A53" s="53">
        <v>44</v>
      </c>
      <c r="B53" s="53" t="s">
        <v>149</v>
      </c>
      <c r="C53" s="53" t="s">
        <v>62</v>
      </c>
      <c r="D53" s="53" t="s">
        <v>63</v>
      </c>
      <c r="E53" s="54" t="s">
        <v>150</v>
      </c>
      <c r="F53" s="53" t="s">
        <v>60</v>
      </c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33"/>
      <c r="T53" s="34">
        <f t="shared" si="7"/>
        <v>0</v>
      </c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>
        <v>10</v>
      </c>
      <c r="AF53" s="67">
        <f t="shared" si="4"/>
        <v>4320</v>
      </c>
      <c r="AG53" s="53"/>
      <c r="AH53" s="53"/>
      <c r="AI53" s="53"/>
      <c r="AJ53" s="53"/>
      <c r="AK53" s="53"/>
      <c r="AL53" s="53"/>
      <c r="AM53" s="53"/>
      <c r="AN53" s="34"/>
      <c r="AO53" s="53"/>
      <c r="AP53" s="53"/>
      <c r="AQ53" s="53"/>
      <c r="AR53" s="34"/>
      <c r="AS53" s="35"/>
      <c r="AT53" s="53"/>
      <c r="AU53" s="35"/>
      <c r="AV53" s="53"/>
      <c r="AW53" s="36">
        <f t="shared" si="5"/>
        <v>10</v>
      </c>
      <c r="AX53" s="34">
        <v>432</v>
      </c>
      <c r="AY53" s="37">
        <f t="shared" si="3"/>
        <v>4320</v>
      </c>
      <c r="AZ53" s="48"/>
    </row>
    <row r="54" spans="1:52" s="62" customFormat="1" ht="12.75" x14ac:dyDescent="0.2">
      <c r="A54" s="53">
        <v>45</v>
      </c>
      <c r="B54" s="53" t="s">
        <v>151</v>
      </c>
      <c r="C54" s="53" t="s">
        <v>62</v>
      </c>
      <c r="D54" s="53" t="s">
        <v>63</v>
      </c>
      <c r="E54" s="54" t="s">
        <v>152</v>
      </c>
      <c r="F54" s="53" t="s">
        <v>60</v>
      </c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33"/>
      <c r="T54" s="34">
        <f t="shared" si="7"/>
        <v>0</v>
      </c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>
        <v>5</v>
      </c>
      <c r="AF54" s="67">
        <f t="shared" si="4"/>
        <v>60374.15</v>
      </c>
      <c r="AG54" s="53"/>
      <c r="AH54" s="53"/>
      <c r="AI54" s="53"/>
      <c r="AJ54" s="53"/>
      <c r="AK54" s="53"/>
      <c r="AL54" s="53"/>
      <c r="AM54" s="53"/>
      <c r="AN54" s="34"/>
      <c r="AO54" s="53"/>
      <c r="AP54" s="53"/>
      <c r="AQ54" s="53"/>
      <c r="AR54" s="34"/>
      <c r="AS54" s="35"/>
      <c r="AT54" s="53"/>
      <c r="AU54" s="35"/>
      <c r="AV54" s="53"/>
      <c r="AW54" s="36">
        <f t="shared" si="5"/>
        <v>5</v>
      </c>
      <c r="AX54" s="34">
        <v>12074.83</v>
      </c>
      <c r="AY54" s="37">
        <f t="shared" si="3"/>
        <v>60374.15</v>
      </c>
      <c r="AZ54" s="48"/>
    </row>
    <row r="55" spans="1:52" s="62" customFormat="1" ht="12.75" x14ac:dyDescent="0.2">
      <c r="A55" s="53">
        <v>46</v>
      </c>
      <c r="B55" s="53" t="s">
        <v>153</v>
      </c>
      <c r="C55" s="53" t="s">
        <v>62</v>
      </c>
      <c r="D55" s="53" t="s">
        <v>63</v>
      </c>
      <c r="E55" s="166" t="s">
        <v>154</v>
      </c>
      <c r="F55" s="167" t="s">
        <v>60</v>
      </c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8"/>
      <c r="T55" s="169">
        <f t="shared" si="7"/>
        <v>0</v>
      </c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>
        <v>10</v>
      </c>
      <c r="AF55" s="170">
        <f t="shared" si="4"/>
        <v>22369</v>
      </c>
      <c r="AG55" s="167"/>
      <c r="AH55" s="167"/>
      <c r="AI55" s="167"/>
      <c r="AJ55" s="167"/>
      <c r="AK55" s="167"/>
      <c r="AL55" s="167"/>
      <c r="AM55" s="167"/>
      <c r="AN55" s="169"/>
      <c r="AO55" s="167"/>
      <c r="AP55" s="167"/>
      <c r="AQ55" s="167"/>
      <c r="AR55" s="169"/>
      <c r="AS55" s="171"/>
      <c r="AT55" s="167"/>
      <c r="AU55" s="171"/>
      <c r="AV55" s="167"/>
      <c r="AW55" s="172">
        <f t="shared" si="5"/>
        <v>10</v>
      </c>
      <c r="AX55" s="169">
        <v>2236.9</v>
      </c>
      <c r="AY55" s="37">
        <f t="shared" si="3"/>
        <v>22369</v>
      </c>
      <c r="AZ55" s="48"/>
    </row>
    <row r="56" spans="1:52" s="62" customFormat="1" ht="12.75" x14ac:dyDescent="0.2">
      <c r="A56" s="53">
        <v>47</v>
      </c>
      <c r="B56" s="53" t="s">
        <v>155</v>
      </c>
      <c r="C56" s="53" t="s">
        <v>62</v>
      </c>
      <c r="D56" s="53" t="s">
        <v>63</v>
      </c>
      <c r="E56" s="54" t="s">
        <v>156</v>
      </c>
      <c r="F56" s="53" t="s">
        <v>60</v>
      </c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33"/>
      <c r="T56" s="34">
        <f t="shared" si="7"/>
        <v>0</v>
      </c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>
        <v>5</v>
      </c>
      <c r="AF56" s="67">
        <f t="shared" si="4"/>
        <v>17899.199999999997</v>
      </c>
      <c r="AG56" s="53"/>
      <c r="AH56" s="53"/>
      <c r="AI56" s="53"/>
      <c r="AJ56" s="53"/>
      <c r="AK56" s="53"/>
      <c r="AL56" s="53"/>
      <c r="AM56" s="53"/>
      <c r="AN56" s="34"/>
      <c r="AO56" s="53"/>
      <c r="AP56" s="53"/>
      <c r="AQ56" s="53"/>
      <c r="AR56" s="34"/>
      <c r="AS56" s="35"/>
      <c r="AT56" s="53"/>
      <c r="AU56" s="35"/>
      <c r="AV56" s="53"/>
      <c r="AW56" s="36">
        <f t="shared" si="5"/>
        <v>5</v>
      </c>
      <c r="AX56" s="34">
        <v>3579.8399999999997</v>
      </c>
      <c r="AY56" s="37">
        <f t="shared" si="3"/>
        <v>17899.199999999997</v>
      </c>
      <c r="AZ56" s="48"/>
    </row>
    <row r="57" spans="1:52" s="62" customFormat="1" ht="12.75" x14ac:dyDescent="0.2">
      <c r="A57" s="53">
        <v>48</v>
      </c>
      <c r="B57" s="53" t="s">
        <v>157</v>
      </c>
      <c r="C57" s="53" t="s">
        <v>62</v>
      </c>
      <c r="D57" s="53" t="s">
        <v>63</v>
      </c>
      <c r="E57" s="54" t="s">
        <v>158</v>
      </c>
      <c r="F57" s="53" t="s">
        <v>60</v>
      </c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33"/>
      <c r="T57" s="34">
        <f t="shared" si="7"/>
        <v>0</v>
      </c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>
        <v>5</v>
      </c>
      <c r="AF57" s="67">
        <f t="shared" si="4"/>
        <v>35419.5</v>
      </c>
      <c r="AG57" s="53"/>
      <c r="AH57" s="53"/>
      <c r="AI57" s="53"/>
      <c r="AJ57" s="53"/>
      <c r="AK57" s="53"/>
      <c r="AL57" s="53"/>
      <c r="AM57" s="53"/>
      <c r="AN57" s="34"/>
      <c r="AO57" s="53"/>
      <c r="AP57" s="53"/>
      <c r="AQ57" s="53"/>
      <c r="AR57" s="34"/>
      <c r="AS57" s="35"/>
      <c r="AT57" s="53"/>
      <c r="AU57" s="35"/>
      <c r="AV57" s="53"/>
      <c r="AW57" s="36">
        <f t="shared" si="5"/>
        <v>5</v>
      </c>
      <c r="AX57" s="34">
        <v>7083.9</v>
      </c>
      <c r="AY57" s="37">
        <f t="shared" si="3"/>
        <v>35419.5</v>
      </c>
      <c r="AZ57" s="48"/>
    </row>
    <row r="58" spans="1:52" s="62" customFormat="1" ht="12.75" x14ac:dyDescent="0.2">
      <c r="A58" s="53">
        <v>49</v>
      </c>
      <c r="B58" s="53" t="s">
        <v>159</v>
      </c>
      <c r="C58" s="53" t="s">
        <v>62</v>
      </c>
      <c r="D58" s="53" t="s">
        <v>63</v>
      </c>
      <c r="E58" s="54" t="s">
        <v>160</v>
      </c>
      <c r="F58" s="53" t="s">
        <v>60</v>
      </c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33"/>
      <c r="T58" s="34">
        <f t="shared" si="7"/>
        <v>0</v>
      </c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>
        <v>10</v>
      </c>
      <c r="AF58" s="67">
        <f t="shared" si="4"/>
        <v>3840.1</v>
      </c>
      <c r="AG58" s="53"/>
      <c r="AH58" s="53"/>
      <c r="AI58" s="53"/>
      <c r="AJ58" s="53"/>
      <c r="AK58" s="53"/>
      <c r="AL58" s="53"/>
      <c r="AM58" s="53"/>
      <c r="AN58" s="34"/>
      <c r="AO58" s="53"/>
      <c r="AP58" s="53"/>
      <c r="AQ58" s="53"/>
      <c r="AR58" s="34"/>
      <c r="AS58" s="35"/>
      <c r="AT58" s="53"/>
      <c r="AU58" s="35"/>
      <c r="AV58" s="53"/>
      <c r="AW58" s="36">
        <f t="shared" si="5"/>
        <v>10</v>
      </c>
      <c r="AX58" s="34">
        <v>384.01</v>
      </c>
      <c r="AY58" s="37">
        <f t="shared" si="3"/>
        <v>3840.1</v>
      </c>
      <c r="AZ58" s="48"/>
    </row>
    <row r="59" spans="1:52" s="62" customFormat="1" ht="12.75" x14ac:dyDescent="0.2">
      <c r="A59" s="53">
        <v>50</v>
      </c>
      <c r="B59" s="53" t="s">
        <v>161</v>
      </c>
      <c r="C59" s="53" t="s">
        <v>62</v>
      </c>
      <c r="D59" s="53" t="s">
        <v>63</v>
      </c>
      <c r="E59" s="54" t="s">
        <v>230</v>
      </c>
      <c r="F59" s="53" t="s">
        <v>60</v>
      </c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33"/>
      <c r="T59" s="34">
        <f t="shared" si="7"/>
        <v>0</v>
      </c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>
        <v>10</v>
      </c>
      <c r="AF59" s="67">
        <f t="shared" si="4"/>
        <v>3966</v>
      </c>
      <c r="AG59" s="53"/>
      <c r="AH59" s="53"/>
      <c r="AI59" s="53"/>
      <c r="AJ59" s="53"/>
      <c r="AK59" s="53"/>
      <c r="AL59" s="53"/>
      <c r="AM59" s="53"/>
      <c r="AN59" s="34"/>
      <c r="AO59" s="53"/>
      <c r="AP59" s="53"/>
      <c r="AQ59" s="53"/>
      <c r="AR59" s="34"/>
      <c r="AS59" s="35"/>
      <c r="AT59" s="53"/>
      <c r="AU59" s="35"/>
      <c r="AV59" s="53"/>
      <c r="AW59" s="36">
        <f t="shared" si="5"/>
        <v>10</v>
      </c>
      <c r="AX59" s="34">
        <v>396.6</v>
      </c>
      <c r="AY59" s="37">
        <f t="shared" si="3"/>
        <v>3966</v>
      </c>
      <c r="AZ59" s="48"/>
    </row>
    <row r="60" spans="1:52" s="62" customFormat="1" ht="12.75" x14ac:dyDescent="0.2">
      <c r="A60" s="53">
        <v>51</v>
      </c>
      <c r="B60" s="53" t="s">
        <v>162</v>
      </c>
      <c r="C60" s="53" t="s">
        <v>62</v>
      </c>
      <c r="D60" s="53" t="s">
        <v>63</v>
      </c>
      <c r="E60" s="54" t="s">
        <v>163</v>
      </c>
      <c r="F60" s="53" t="s">
        <v>60</v>
      </c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33"/>
      <c r="T60" s="34">
        <f t="shared" si="7"/>
        <v>0</v>
      </c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>
        <v>10</v>
      </c>
      <c r="AF60" s="67">
        <f t="shared" si="4"/>
        <v>3614.6</v>
      </c>
      <c r="AG60" s="53"/>
      <c r="AH60" s="53"/>
      <c r="AI60" s="53"/>
      <c r="AJ60" s="53"/>
      <c r="AK60" s="53"/>
      <c r="AL60" s="53"/>
      <c r="AM60" s="53"/>
      <c r="AN60" s="34"/>
      <c r="AO60" s="53"/>
      <c r="AP60" s="53"/>
      <c r="AQ60" s="53"/>
      <c r="AR60" s="34"/>
      <c r="AS60" s="35"/>
      <c r="AT60" s="53"/>
      <c r="AU60" s="35"/>
      <c r="AV60" s="53"/>
      <c r="AW60" s="36">
        <f t="shared" si="5"/>
        <v>10</v>
      </c>
      <c r="AX60" s="34">
        <v>361.46</v>
      </c>
      <c r="AY60" s="37">
        <f t="shared" si="3"/>
        <v>3614.6</v>
      </c>
      <c r="AZ60" s="48"/>
    </row>
    <row r="61" spans="1:52" s="62" customFormat="1" ht="12.75" x14ac:dyDescent="0.2">
      <c r="A61" s="53">
        <v>52</v>
      </c>
      <c r="B61" s="53" t="s">
        <v>164</v>
      </c>
      <c r="C61" s="53" t="s">
        <v>62</v>
      </c>
      <c r="D61" s="53" t="s">
        <v>63</v>
      </c>
      <c r="E61" s="54" t="s">
        <v>165</v>
      </c>
      <c r="F61" s="53" t="s">
        <v>60</v>
      </c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33"/>
      <c r="T61" s="34">
        <f t="shared" si="7"/>
        <v>0</v>
      </c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>
        <v>5</v>
      </c>
      <c r="AF61" s="67">
        <f t="shared" si="4"/>
        <v>2145</v>
      </c>
      <c r="AG61" s="53"/>
      <c r="AH61" s="53"/>
      <c r="AI61" s="53"/>
      <c r="AJ61" s="53"/>
      <c r="AK61" s="53"/>
      <c r="AL61" s="53"/>
      <c r="AM61" s="53"/>
      <c r="AN61" s="34"/>
      <c r="AO61" s="53"/>
      <c r="AP61" s="53"/>
      <c r="AQ61" s="53"/>
      <c r="AR61" s="34"/>
      <c r="AS61" s="35"/>
      <c r="AT61" s="53"/>
      <c r="AU61" s="35"/>
      <c r="AV61" s="53"/>
      <c r="AW61" s="36">
        <f t="shared" si="5"/>
        <v>5</v>
      </c>
      <c r="AX61" s="34">
        <v>429</v>
      </c>
      <c r="AY61" s="37">
        <f t="shared" si="3"/>
        <v>2145</v>
      </c>
      <c r="AZ61" s="48"/>
    </row>
    <row r="62" spans="1:52" s="62" customFormat="1" ht="12.75" x14ac:dyDescent="0.2">
      <c r="A62" s="53">
        <v>53</v>
      </c>
      <c r="B62" s="53" t="s">
        <v>166</v>
      </c>
      <c r="C62" s="53" t="s">
        <v>62</v>
      </c>
      <c r="D62" s="53" t="s">
        <v>63</v>
      </c>
      <c r="E62" s="54" t="s">
        <v>250</v>
      </c>
      <c r="F62" s="53" t="s">
        <v>60</v>
      </c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33"/>
      <c r="T62" s="34">
        <f t="shared" si="7"/>
        <v>0</v>
      </c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>
        <v>100</v>
      </c>
      <c r="AF62" s="67">
        <f t="shared" si="4"/>
        <v>3000</v>
      </c>
      <c r="AG62" s="53"/>
      <c r="AH62" s="53"/>
      <c r="AI62" s="53"/>
      <c r="AJ62" s="53"/>
      <c r="AK62" s="53"/>
      <c r="AL62" s="53"/>
      <c r="AM62" s="53"/>
      <c r="AN62" s="34"/>
      <c r="AO62" s="53"/>
      <c r="AP62" s="53"/>
      <c r="AQ62" s="53"/>
      <c r="AR62" s="34"/>
      <c r="AS62" s="35"/>
      <c r="AT62" s="53"/>
      <c r="AU62" s="35"/>
      <c r="AV62" s="53"/>
      <c r="AW62" s="36">
        <f t="shared" si="5"/>
        <v>100</v>
      </c>
      <c r="AX62" s="34">
        <v>30</v>
      </c>
      <c r="AY62" s="37">
        <f t="shared" si="3"/>
        <v>3000</v>
      </c>
      <c r="AZ62" s="48"/>
    </row>
    <row r="63" spans="1:52" s="62" customFormat="1" ht="12.75" x14ac:dyDescent="0.2">
      <c r="A63" s="53">
        <v>54</v>
      </c>
      <c r="B63" s="53" t="s">
        <v>167</v>
      </c>
      <c r="C63" s="53" t="s">
        <v>62</v>
      </c>
      <c r="D63" s="53" t="s">
        <v>63</v>
      </c>
      <c r="E63" s="54" t="s">
        <v>168</v>
      </c>
      <c r="F63" s="53" t="s">
        <v>60</v>
      </c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33"/>
      <c r="T63" s="34">
        <f t="shared" si="7"/>
        <v>0</v>
      </c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>
        <v>200</v>
      </c>
      <c r="AF63" s="67">
        <f t="shared" si="4"/>
        <v>6432.0000000000009</v>
      </c>
      <c r="AG63" s="53"/>
      <c r="AH63" s="53"/>
      <c r="AI63" s="53"/>
      <c r="AJ63" s="53"/>
      <c r="AK63" s="53"/>
      <c r="AL63" s="53"/>
      <c r="AM63" s="53"/>
      <c r="AN63" s="34"/>
      <c r="AO63" s="53"/>
      <c r="AP63" s="53"/>
      <c r="AQ63" s="53"/>
      <c r="AR63" s="34"/>
      <c r="AS63" s="35"/>
      <c r="AT63" s="53"/>
      <c r="AU63" s="35"/>
      <c r="AV63" s="53"/>
      <c r="AW63" s="36">
        <f t="shared" si="5"/>
        <v>200</v>
      </c>
      <c r="AX63" s="34">
        <v>32.160000000000004</v>
      </c>
      <c r="AY63" s="37">
        <f t="shared" si="3"/>
        <v>6432.0000000000009</v>
      </c>
      <c r="AZ63" s="48"/>
    </row>
    <row r="64" spans="1:52" s="62" customFormat="1" ht="12.75" x14ac:dyDescent="0.2">
      <c r="A64" s="53">
        <v>55</v>
      </c>
      <c r="B64" s="53" t="s">
        <v>169</v>
      </c>
      <c r="C64" s="53" t="s">
        <v>62</v>
      </c>
      <c r="D64" s="53" t="s">
        <v>63</v>
      </c>
      <c r="E64" s="54" t="s">
        <v>170</v>
      </c>
      <c r="F64" s="53" t="s">
        <v>60</v>
      </c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33"/>
      <c r="T64" s="34">
        <f t="shared" si="7"/>
        <v>0</v>
      </c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>
        <v>15</v>
      </c>
      <c r="AF64" s="67">
        <f t="shared" si="4"/>
        <v>15533.999999999998</v>
      </c>
      <c r="AG64" s="53"/>
      <c r="AH64" s="53"/>
      <c r="AI64" s="53"/>
      <c r="AJ64" s="53"/>
      <c r="AK64" s="53"/>
      <c r="AL64" s="53"/>
      <c r="AM64" s="53"/>
      <c r="AN64" s="34"/>
      <c r="AO64" s="53"/>
      <c r="AP64" s="53"/>
      <c r="AQ64" s="53"/>
      <c r="AR64" s="34"/>
      <c r="AS64" s="35"/>
      <c r="AT64" s="53"/>
      <c r="AU64" s="35"/>
      <c r="AV64" s="53"/>
      <c r="AW64" s="36">
        <f t="shared" si="5"/>
        <v>15</v>
      </c>
      <c r="AX64" s="34">
        <v>1035.5999999999999</v>
      </c>
      <c r="AY64" s="37">
        <f t="shared" si="3"/>
        <v>15533.999999999998</v>
      </c>
      <c r="AZ64" s="48"/>
    </row>
    <row r="65" spans="1:52" s="62" customFormat="1" ht="25.5" x14ac:dyDescent="0.2">
      <c r="A65" s="53">
        <v>56</v>
      </c>
      <c r="B65" s="53" t="s">
        <v>171</v>
      </c>
      <c r="C65" s="53" t="s">
        <v>62</v>
      </c>
      <c r="D65" s="53" t="s">
        <v>63</v>
      </c>
      <c r="E65" s="54" t="s">
        <v>172</v>
      </c>
      <c r="F65" s="53" t="s">
        <v>60</v>
      </c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33"/>
      <c r="T65" s="34">
        <f t="shared" si="7"/>
        <v>0</v>
      </c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>
        <v>5</v>
      </c>
      <c r="AF65" s="67">
        <f t="shared" si="4"/>
        <v>12699</v>
      </c>
      <c r="AG65" s="53"/>
      <c r="AH65" s="53"/>
      <c r="AI65" s="53"/>
      <c r="AJ65" s="53"/>
      <c r="AK65" s="53"/>
      <c r="AL65" s="53"/>
      <c r="AM65" s="53"/>
      <c r="AN65" s="34"/>
      <c r="AO65" s="53"/>
      <c r="AP65" s="53"/>
      <c r="AQ65" s="53"/>
      <c r="AR65" s="34"/>
      <c r="AS65" s="35"/>
      <c r="AT65" s="53"/>
      <c r="AU65" s="35"/>
      <c r="AV65" s="53"/>
      <c r="AW65" s="36">
        <f t="shared" si="5"/>
        <v>5</v>
      </c>
      <c r="AX65" s="34">
        <v>2539.8000000000002</v>
      </c>
      <c r="AY65" s="37">
        <f t="shared" si="3"/>
        <v>12699</v>
      </c>
      <c r="AZ65" s="48"/>
    </row>
    <row r="66" spans="1:52" s="62" customFormat="1" ht="25.5" x14ac:dyDescent="0.2">
      <c r="A66" s="53">
        <v>57</v>
      </c>
      <c r="B66" s="53" t="s">
        <v>173</v>
      </c>
      <c r="C66" s="53" t="s">
        <v>62</v>
      </c>
      <c r="D66" s="53" t="s">
        <v>63</v>
      </c>
      <c r="E66" s="54" t="s">
        <v>174</v>
      </c>
      <c r="F66" s="53" t="s">
        <v>60</v>
      </c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33"/>
      <c r="T66" s="34">
        <f t="shared" si="7"/>
        <v>0</v>
      </c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>
        <v>5</v>
      </c>
      <c r="AF66" s="67">
        <f t="shared" si="4"/>
        <v>7403.4000000000005</v>
      </c>
      <c r="AG66" s="53"/>
      <c r="AH66" s="53"/>
      <c r="AI66" s="53"/>
      <c r="AJ66" s="53"/>
      <c r="AK66" s="53"/>
      <c r="AL66" s="53"/>
      <c r="AM66" s="53"/>
      <c r="AN66" s="34"/>
      <c r="AO66" s="53"/>
      <c r="AP66" s="53"/>
      <c r="AQ66" s="53"/>
      <c r="AR66" s="34"/>
      <c r="AS66" s="35"/>
      <c r="AT66" s="53"/>
      <c r="AU66" s="35"/>
      <c r="AV66" s="53"/>
      <c r="AW66" s="36">
        <f t="shared" si="5"/>
        <v>5</v>
      </c>
      <c r="AX66" s="34">
        <v>1480.68</v>
      </c>
      <c r="AY66" s="37">
        <f t="shared" si="3"/>
        <v>7403.4000000000005</v>
      </c>
      <c r="AZ66" s="48"/>
    </row>
    <row r="67" spans="1:52" s="62" customFormat="1" ht="12.75" x14ac:dyDescent="0.2">
      <c r="A67" s="53">
        <v>58</v>
      </c>
      <c r="B67" s="53" t="s">
        <v>175</v>
      </c>
      <c r="C67" s="53" t="s">
        <v>62</v>
      </c>
      <c r="D67" s="53" t="s">
        <v>63</v>
      </c>
      <c r="E67" s="54" t="s">
        <v>176</v>
      </c>
      <c r="F67" s="53" t="s">
        <v>60</v>
      </c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33"/>
      <c r="T67" s="34">
        <f t="shared" si="7"/>
        <v>0</v>
      </c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>
        <v>5</v>
      </c>
      <c r="AF67" s="67">
        <f t="shared" si="4"/>
        <v>2619.8500000000004</v>
      </c>
      <c r="AG67" s="53"/>
      <c r="AH67" s="53"/>
      <c r="AI67" s="53"/>
      <c r="AJ67" s="53"/>
      <c r="AK67" s="53"/>
      <c r="AL67" s="53"/>
      <c r="AM67" s="53"/>
      <c r="AN67" s="34"/>
      <c r="AO67" s="53"/>
      <c r="AP67" s="53"/>
      <c r="AQ67" s="53"/>
      <c r="AR67" s="34"/>
      <c r="AS67" s="35"/>
      <c r="AT67" s="53"/>
      <c r="AU67" s="35"/>
      <c r="AV67" s="53"/>
      <c r="AW67" s="36">
        <f t="shared" si="5"/>
        <v>5</v>
      </c>
      <c r="AX67" s="34">
        <v>523.97</v>
      </c>
      <c r="AY67" s="37">
        <f t="shared" si="3"/>
        <v>2619.8500000000004</v>
      </c>
      <c r="AZ67" s="48"/>
    </row>
    <row r="68" spans="1:52" s="62" customFormat="1" ht="12.75" x14ac:dyDescent="0.2">
      <c r="A68" s="53">
        <v>59</v>
      </c>
      <c r="B68" s="53" t="s">
        <v>177</v>
      </c>
      <c r="C68" s="53" t="s">
        <v>62</v>
      </c>
      <c r="D68" s="53" t="s">
        <v>63</v>
      </c>
      <c r="E68" s="54" t="s">
        <v>178</v>
      </c>
      <c r="F68" s="53" t="s">
        <v>60</v>
      </c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33"/>
      <c r="T68" s="34">
        <f t="shared" si="7"/>
        <v>0</v>
      </c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>
        <v>5</v>
      </c>
      <c r="AF68" s="67">
        <f t="shared" si="4"/>
        <v>3378</v>
      </c>
      <c r="AG68" s="53"/>
      <c r="AH68" s="53"/>
      <c r="AI68" s="53"/>
      <c r="AJ68" s="53"/>
      <c r="AK68" s="53"/>
      <c r="AL68" s="53"/>
      <c r="AM68" s="53"/>
      <c r="AN68" s="34"/>
      <c r="AO68" s="53"/>
      <c r="AP68" s="53"/>
      <c r="AQ68" s="53"/>
      <c r="AR68" s="34"/>
      <c r="AS68" s="35"/>
      <c r="AT68" s="53"/>
      <c r="AU68" s="35"/>
      <c r="AV68" s="53"/>
      <c r="AW68" s="36">
        <f t="shared" si="5"/>
        <v>5</v>
      </c>
      <c r="AX68" s="34">
        <v>675.6</v>
      </c>
      <c r="AY68" s="37">
        <f t="shared" si="3"/>
        <v>3378</v>
      </c>
      <c r="AZ68" s="48"/>
    </row>
    <row r="69" spans="1:52" s="62" customFormat="1" ht="12.75" x14ac:dyDescent="0.2">
      <c r="A69" s="53">
        <v>60</v>
      </c>
      <c r="B69" s="53" t="s">
        <v>179</v>
      </c>
      <c r="C69" s="53" t="s">
        <v>62</v>
      </c>
      <c r="D69" s="53" t="s">
        <v>63</v>
      </c>
      <c r="E69" s="54" t="s">
        <v>180</v>
      </c>
      <c r="F69" s="53" t="s">
        <v>60</v>
      </c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33"/>
      <c r="T69" s="34">
        <f t="shared" si="7"/>
        <v>0</v>
      </c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>
        <v>5</v>
      </c>
      <c r="AF69" s="67">
        <f t="shared" si="4"/>
        <v>8778</v>
      </c>
      <c r="AG69" s="53"/>
      <c r="AH69" s="53"/>
      <c r="AI69" s="53"/>
      <c r="AJ69" s="53"/>
      <c r="AK69" s="53"/>
      <c r="AL69" s="53"/>
      <c r="AM69" s="53"/>
      <c r="AN69" s="34"/>
      <c r="AO69" s="53"/>
      <c r="AP69" s="53"/>
      <c r="AQ69" s="53"/>
      <c r="AR69" s="34"/>
      <c r="AS69" s="35"/>
      <c r="AT69" s="53"/>
      <c r="AU69" s="35"/>
      <c r="AV69" s="53"/>
      <c r="AW69" s="36">
        <f t="shared" si="5"/>
        <v>5</v>
      </c>
      <c r="AX69" s="34">
        <v>1755.6</v>
      </c>
      <c r="AY69" s="37">
        <f t="shared" si="3"/>
        <v>8778</v>
      </c>
      <c r="AZ69" s="48"/>
    </row>
    <row r="70" spans="1:52" s="62" customFormat="1" ht="25.5" x14ac:dyDescent="0.2">
      <c r="A70" s="53">
        <v>61</v>
      </c>
      <c r="B70" s="53" t="s">
        <v>181</v>
      </c>
      <c r="C70" s="53" t="s">
        <v>62</v>
      </c>
      <c r="D70" s="53" t="s">
        <v>182</v>
      </c>
      <c r="E70" s="54" t="s">
        <v>183</v>
      </c>
      <c r="F70" s="53" t="s">
        <v>60</v>
      </c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33"/>
      <c r="T70" s="34">
        <f t="shared" si="7"/>
        <v>0</v>
      </c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>
        <v>10</v>
      </c>
      <c r="AF70" s="67">
        <f t="shared" si="4"/>
        <v>1080</v>
      </c>
      <c r="AG70" s="53"/>
      <c r="AH70" s="53"/>
      <c r="AI70" s="53"/>
      <c r="AJ70" s="53"/>
      <c r="AK70" s="53"/>
      <c r="AL70" s="53"/>
      <c r="AM70" s="53"/>
      <c r="AN70" s="34"/>
      <c r="AO70" s="53"/>
      <c r="AP70" s="53"/>
      <c r="AQ70" s="53"/>
      <c r="AR70" s="34"/>
      <c r="AS70" s="35"/>
      <c r="AT70" s="53"/>
      <c r="AU70" s="35"/>
      <c r="AV70" s="53"/>
      <c r="AW70" s="36">
        <f t="shared" si="5"/>
        <v>10</v>
      </c>
      <c r="AX70" s="34">
        <v>108</v>
      </c>
      <c r="AY70" s="37">
        <f t="shared" si="3"/>
        <v>1080</v>
      </c>
      <c r="AZ70" s="48"/>
    </row>
    <row r="71" spans="1:52" s="62" customFormat="1" ht="21.75" customHeight="1" x14ac:dyDescent="0.2">
      <c r="A71" s="53">
        <v>62</v>
      </c>
      <c r="B71" s="53" t="s">
        <v>184</v>
      </c>
      <c r="C71" s="53" t="s">
        <v>62</v>
      </c>
      <c r="D71" s="53" t="s">
        <v>63</v>
      </c>
      <c r="E71" s="54" t="s">
        <v>185</v>
      </c>
      <c r="F71" s="53" t="s">
        <v>60</v>
      </c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33"/>
      <c r="T71" s="34">
        <f t="shared" si="7"/>
        <v>0</v>
      </c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>
        <v>10</v>
      </c>
      <c r="AF71" s="67">
        <f t="shared" si="4"/>
        <v>1752</v>
      </c>
      <c r="AG71" s="53"/>
      <c r="AH71" s="53"/>
      <c r="AI71" s="53"/>
      <c r="AJ71" s="53"/>
      <c r="AK71" s="53"/>
      <c r="AL71" s="53"/>
      <c r="AM71" s="53"/>
      <c r="AN71" s="34"/>
      <c r="AO71" s="53"/>
      <c r="AP71" s="53"/>
      <c r="AQ71" s="53"/>
      <c r="AR71" s="34"/>
      <c r="AS71" s="35"/>
      <c r="AT71" s="53"/>
      <c r="AU71" s="35"/>
      <c r="AV71" s="53"/>
      <c r="AW71" s="36">
        <f t="shared" si="5"/>
        <v>10</v>
      </c>
      <c r="AX71" s="34">
        <v>175.2</v>
      </c>
      <c r="AY71" s="37">
        <f t="shared" si="3"/>
        <v>1752</v>
      </c>
      <c r="AZ71" s="48"/>
    </row>
    <row r="72" spans="1:52" s="62" customFormat="1" ht="25.5" x14ac:dyDescent="0.2">
      <c r="A72" s="53">
        <v>63</v>
      </c>
      <c r="B72" s="53" t="s">
        <v>186</v>
      </c>
      <c r="C72" s="53" t="s">
        <v>62</v>
      </c>
      <c r="D72" s="53" t="s">
        <v>63</v>
      </c>
      <c r="E72" s="54" t="s">
        <v>187</v>
      </c>
      <c r="F72" s="53" t="s">
        <v>60</v>
      </c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33"/>
      <c r="T72" s="34">
        <f t="shared" si="7"/>
        <v>0</v>
      </c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>
        <v>10</v>
      </c>
      <c r="AF72" s="67">
        <f t="shared" si="4"/>
        <v>7503.5999999999985</v>
      </c>
      <c r="AG72" s="53"/>
      <c r="AH72" s="53"/>
      <c r="AI72" s="53"/>
      <c r="AJ72" s="53"/>
      <c r="AK72" s="53"/>
      <c r="AL72" s="53"/>
      <c r="AM72" s="53"/>
      <c r="AN72" s="34"/>
      <c r="AO72" s="53"/>
      <c r="AP72" s="53"/>
      <c r="AQ72" s="53"/>
      <c r="AR72" s="34"/>
      <c r="AS72" s="35"/>
      <c r="AT72" s="53"/>
      <c r="AU72" s="35"/>
      <c r="AV72" s="53"/>
      <c r="AW72" s="36">
        <f t="shared" si="5"/>
        <v>10</v>
      </c>
      <c r="AX72" s="34">
        <v>750.3599999999999</v>
      </c>
      <c r="AY72" s="37">
        <f t="shared" si="3"/>
        <v>7503.5999999999985</v>
      </c>
      <c r="AZ72" s="48"/>
    </row>
    <row r="73" spans="1:52" s="62" customFormat="1" ht="25.5" x14ac:dyDescent="0.2">
      <c r="A73" s="53">
        <v>64</v>
      </c>
      <c r="B73" s="53" t="s">
        <v>188</v>
      </c>
      <c r="C73" s="53" t="s">
        <v>62</v>
      </c>
      <c r="D73" s="53" t="s">
        <v>63</v>
      </c>
      <c r="E73" s="54" t="s">
        <v>189</v>
      </c>
      <c r="F73" s="53" t="s">
        <v>60</v>
      </c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33"/>
      <c r="T73" s="34">
        <f t="shared" si="7"/>
        <v>0</v>
      </c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>
        <v>10</v>
      </c>
      <c r="AF73" s="67">
        <f t="shared" si="4"/>
        <v>5127.6000000000004</v>
      </c>
      <c r="AG73" s="53"/>
      <c r="AH73" s="53"/>
      <c r="AI73" s="53"/>
      <c r="AJ73" s="53"/>
      <c r="AK73" s="53"/>
      <c r="AL73" s="53"/>
      <c r="AM73" s="53"/>
      <c r="AN73" s="34"/>
      <c r="AO73" s="53"/>
      <c r="AP73" s="53"/>
      <c r="AQ73" s="53"/>
      <c r="AR73" s="34"/>
      <c r="AS73" s="35"/>
      <c r="AT73" s="53"/>
      <c r="AU73" s="35"/>
      <c r="AV73" s="53"/>
      <c r="AW73" s="36">
        <f t="shared" si="5"/>
        <v>10</v>
      </c>
      <c r="AX73" s="34">
        <v>512.76</v>
      </c>
      <c r="AY73" s="37">
        <f t="shared" ref="AY73:AY74" si="8">+AW73*AX73</f>
        <v>5127.6000000000004</v>
      </c>
      <c r="AZ73" s="48"/>
    </row>
    <row r="74" spans="1:52" s="62" customFormat="1" ht="28.5" customHeight="1" thickBot="1" x14ac:dyDescent="0.25">
      <c r="A74" s="53">
        <v>65</v>
      </c>
      <c r="B74" s="44" t="s">
        <v>190</v>
      </c>
      <c r="C74" s="44" t="s">
        <v>62</v>
      </c>
      <c r="D74" s="44" t="s">
        <v>63</v>
      </c>
      <c r="E74" s="55" t="s">
        <v>191</v>
      </c>
      <c r="F74" s="44" t="s">
        <v>60</v>
      </c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5"/>
      <c r="T74" s="46">
        <f t="shared" si="7"/>
        <v>0</v>
      </c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>
        <v>10</v>
      </c>
      <c r="AF74" s="67">
        <f t="shared" si="4"/>
        <v>3900</v>
      </c>
      <c r="AG74" s="44"/>
      <c r="AH74" s="44"/>
      <c r="AI74" s="44"/>
      <c r="AJ74" s="44"/>
      <c r="AK74" s="44"/>
      <c r="AL74" s="44"/>
      <c r="AM74" s="44"/>
      <c r="AN74" s="46"/>
      <c r="AO74" s="44"/>
      <c r="AP74" s="44"/>
      <c r="AQ74" s="44"/>
      <c r="AR74" s="46"/>
      <c r="AS74" s="47"/>
      <c r="AT74" s="44"/>
      <c r="AU74" s="47"/>
      <c r="AV74" s="44"/>
      <c r="AW74" s="39">
        <f t="shared" si="5"/>
        <v>10</v>
      </c>
      <c r="AX74" s="46">
        <v>390</v>
      </c>
      <c r="AY74" s="38">
        <f t="shared" si="8"/>
        <v>3900</v>
      </c>
      <c r="AZ74" s="48"/>
    </row>
    <row r="75" spans="1:52" s="65" customFormat="1" ht="13.5" thickBot="1" x14ac:dyDescent="0.25">
      <c r="A75" s="63"/>
      <c r="B75" s="50"/>
      <c r="C75" s="50"/>
      <c r="D75" s="50"/>
      <c r="E75" s="49" t="s">
        <v>192</v>
      </c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6"/>
      <c r="T75" s="57">
        <f t="shared" si="7"/>
        <v>0</v>
      </c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70"/>
      <c r="AG75" s="50"/>
      <c r="AH75" s="50"/>
      <c r="AI75" s="50"/>
      <c r="AJ75" s="50"/>
      <c r="AK75" s="50"/>
      <c r="AL75" s="50"/>
      <c r="AM75" s="50"/>
      <c r="AN75" s="57"/>
      <c r="AO75" s="50"/>
      <c r="AP75" s="50"/>
      <c r="AQ75" s="50"/>
      <c r="AR75" s="57"/>
      <c r="AS75" s="58"/>
      <c r="AT75" s="50"/>
      <c r="AU75" s="58"/>
      <c r="AV75" s="50"/>
      <c r="AW75" s="40"/>
      <c r="AX75" s="57"/>
      <c r="AY75" s="41">
        <f>+SUM(AY10:AY74)</f>
        <v>603233.81999999983</v>
      </c>
      <c r="AZ75" s="64"/>
    </row>
    <row r="76" spans="1:52" ht="15.75" thickBot="1" x14ac:dyDescent="0.3"/>
    <row r="77" spans="1:52" ht="27" customHeight="1" x14ac:dyDescent="0.25">
      <c r="C77" s="151" t="s">
        <v>242</v>
      </c>
      <c r="D77" s="177"/>
      <c r="E77" s="178"/>
    </row>
    <row r="78" spans="1:52" x14ac:dyDescent="0.25">
      <c r="C78" s="152"/>
      <c r="D78" s="153"/>
      <c r="E78" s="154"/>
    </row>
    <row r="79" spans="1:52" x14ac:dyDescent="0.25">
      <c r="C79" s="155" t="s">
        <v>243</v>
      </c>
      <c r="D79" s="179" t="s">
        <v>249</v>
      </c>
      <c r="E79" s="180"/>
    </row>
    <row r="80" spans="1:52" x14ac:dyDescent="0.25">
      <c r="C80" s="155"/>
      <c r="D80" s="157"/>
      <c r="E80" s="160"/>
    </row>
    <row r="81" spans="3:5" x14ac:dyDescent="0.25">
      <c r="C81" s="155" t="s">
        <v>244</v>
      </c>
      <c r="D81" s="179" t="s">
        <v>245</v>
      </c>
      <c r="E81" s="180"/>
    </row>
    <row r="82" spans="3:5" x14ac:dyDescent="0.25">
      <c r="C82" s="155"/>
      <c r="D82" s="158"/>
      <c r="E82" s="159"/>
    </row>
    <row r="83" spans="3:5" x14ac:dyDescent="0.25">
      <c r="C83" s="156" t="s">
        <v>246</v>
      </c>
      <c r="D83" s="161"/>
      <c r="E83" s="162"/>
    </row>
    <row r="84" spans="3:5" x14ac:dyDescent="0.25">
      <c r="C84" s="156"/>
      <c r="D84" s="161"/>
      <c r="E84" s="162"/>
    </row>
    <row r="85" spans="3:5" x14ac:dyDescent="0.25">
      <c r="C85" s="156" t="s">
        <v>247</v>
      </c>
      <c r="D85" s="175" t="s">
        <v>248</v>
      </c>
      <c r="E85" s="176"/>
    </row>
    <row r="86" spans="3:5" ht="15.75" thickBot="1" x14ac:dyDescent="0.3">
      <c r="C86" s="163"/>
      <c r="D86" s="164"/>
      <c r="E86" s="165"/>
    </row>
  </sheetData>
  <mergeCells count="9">
    <mergeCell ref="B2:AX2"/>
    <mergeCell ref="A4:B4"/>
    <mergeCell ref="A5:B5"/>
    <mergeCell ref="A6:B6"/>
    <mergeCell ref="D85:E85"/>
    <mergeCell ref="D77:E77"/>
    <mergeCell ref="D79:E79"/>
    <mergeCell ref="D81:E81"/>
    <mergeCell ref="A7:B7"/>
  </mergeCells>
  <conditionalFormatting sqref="B24">
    <cfRule type="duplicateValues" dxfId="17" priority="23"/>
  </conditionalFormatting>
  <conditionalFormatting sqref="E24">
    <cfRule type="duplicateValues" dxfId="16" priority="24"/>
  </conditionalFormatting>
  <conditionalFormatting sqref="E24">
    <cfRule type="duplicateValues" dxfId="15" priority="25"/>
    <cfRule type="duplicateValues" dxfId="14" priority="26"/>
  </conditionalFormatting>
  <conditionalFormatting sqref="B35">
    <cfRule type="duplicateValues" dxfId="13" priority="19"/>
  </conditionalFormatting>
  <conditionalFormatting sqref="E35">
    <cfRule type="duplicateValues" dxfId="12" priority="20"/>
  </conditionalFormatting>
  <conditionalFormatting sqref="E35">
    <cfRule type="duplicateValues" dxfId="11" priority="21"/>
    <cfRule type="duplicateValues" dxfId="10" priority="22"/>
  </conditionalFormatting>
  <conditionalFormatting sqref="B52">
    <cfRule type="duplicateValues" dxfId="9" priority="15"/>
  </conditionalFormatting>
  <conditionalFormatting sqref="E52">
    <cfRule type="duplicateValues" dxfId="8" priority="16"/>
  </conditionalFormatting>
  <conditionalFormatting sqref="E52">
    <cfRule type="duplicateValues" dxfId="7" priority="17"/>
    <cfRule type="duplicateValues" dxfId="6" priority="18"/>
  </conditionalFormatting>
  <conditionalFormatting sqref="B1:B9 E1:E9">
    <cfRule type="duplicateValues" dxfId="5" priority="90"/>
  </conditionalFormatting>
  <conditionalFormatting sqref="E1:E9 B1:B9">
    <cfRule type="duplicateValues" dxfId="4" priority="91"/>
  </conditionalFormatting>
  <conditionalFormatting sqref="B1:B9">
    <cfRule type="duplicateValues" dxfId="3" priority="134"/>
  </conditionalFormatting>
  <conditionalFormatting sqref="E1:E9">
    <cfRule type="duplicateValues" dxfId="2" priority="135"/>
  </conditionalFormatting>
  <conditionalFormatting sqref="E1:E9">
    <cfRule type="duplicateValues" dxfId="1" priority="136"/>
    <cfRule type="duplicateValues" dxfId="0" priority="13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0"/>
  <sheetViews>
    <sheetView topLeftCell="A58" workbookViewId="0">
      <selection activeCell="J78" sqref="J78:K78"/>
    </sheetView>
  </sheetViews>
  <sheetFormatPr baseColWidth="10" defaultRowHeight="15" x14ac:dyDescent="0.25"/>
  <cols>
    <col min="1" max="1" width="5.5703125" customWidth="1"/>
    <col min="2" max="2" width="15.140625" style="116" customWidth="1"/>
    <col min="3" max="3" width="14.140625" customWidth="1"/>
    <col min="4" max="4" width="35.28515625" customWidth="1"/>
    <col min="5" max="5" width="8" customWidth="1"/>
    <col min="6" max="6" width="7.85546875" customWidth="1"/>
    <col min="7" max="7" width="64.5703125" customWidth="1"/>
    <col min="8" max="8" width="9.28515625" style="116" customWidth="1"/>
    <col min="9" max="9" width="15.5703125" style="116" customWidth="1"/>
    <col min="10" max="10" width="14.7109375" style="124" customWidth="1"/>
    <col min="11" max="11" width="15.5703125" style="116" customWidth="1"/>
    <col min="13" max="13" width="13" style="141" bestFit="1" customWidth="1"/>
  </cols>
  <sheetData>
    <row r="1" spans="1:13" ht="30.75" thickBot="1" x14ac:dyDescent="0.3">
      <c r="A1" s="183" t="s">
        <v>193</v>
      </c>
      <c r="B1" s="183"/>
      <c r="C1" s="183"/>
      <c r="D1" s="183"/>
      <c r="E1" s="183"/>
      <c r="F1" s="183"/>
      <c r="G1" s="183"/>
      <c r="H1" s="183"/>
      <c r="I1" s="183"/>
      <c r="J1" s="121" t="s">
        <v>194</v>
      </c>
      <c r="K1" s="76" t="s">
        <v>233</v>
      </c>
    </row>
    <row r="2" spans="1:13" ht="16.5" thickBot="1" x14ac:dyDescent="0.3">
      <c r="A2" s="77"/>
      <c r="B2" s="114"/>
      <c r="C2" s="78"/>
      <c r="D2" s="79"/>
      <c r="E2" s="79"/>
      <c r="F2" s="79"/>
      <c r="G2" s="79"/>
      <c r="H2" s="117"/>
      <c r="I2" s="117"/>
      <c r="J2" s="122"/>
      <c r="K2" s="119"/>
    </row>
    <row r="3" spans="1:13" ht="16.5" thickBot="1" x14ac:dyDescent="0.3">
      <c r="A3" s="184" t="s">
        <v>195</v>
      </c>
      <c r="B3" s="184"/>
      <c r="C3" s="184"/>
      <c r="D3" s="182" t="str">
        <f>'SAF 011'!C4</f>
        <v>040 - MINISTERIO DE SALUD</v>
      </c>
      <c r="E3" s="182"/>
      <c r="F3" s="182"/>
      <c r="G3" s="182"/>
      <c r="H3" s="182"/>
      <c r="I3" s="182"/>
      <c r="J3" s="182"/>
      <c r="K3" s="182"/>
    </row>
    <row r="4" spans="1:13" ht="16.5" thickBot="1" x14ac:dyDescent="0.3">
      <c r="A4" s="181" t="s">
        <v>196</v>
      </c>
      <c r="B4" s="181"/>
      <c r="C4" s="181"/>
      <c r="D4" s="182" t="str">
        <f>'SAF 011'!C5</f>
        <v>011 - DIRECCION PROVINCIAL DE ADMINISTRACION - MINISTERIO DE SALUD</v>
      </c>
      <c r="E4" s="182"/>
      <c r="F4" s="182"/>
      <c r="G4" s="182"/>
      <c r="H4" s="182"/>
      <c r="I4" s="182"/>
      <c r="J4" s="182"/>
      <c r="K4" s="182"/>
    </row>
    <row r="5" spans="1:13" ht="16.5" thickBot="1" x14ac:dyDescent="0.3">
      <c r="A5" s="181" t="s">
        <v>197</v>
      </c>
      <c r="B5" s="181"/>
      <c r="C5" s="181"/>
      <c r="D5" s="182" t="s">
        <v>231</v>
      </c>
      <c r="E5" s="182"/>
      <c r="F5" s="182"/>
      <c r="G5" s="182"/>
      <c r="H5" s="182"/>
      <c r="I5" s="182"/>
      <c r="J5" s="182"/>
      <c r="K5" s="182"/>
    </row>
    <row r="6" spans="1:13" ht="16.5" thickBot="1" x14ac:dyDescent="0.3">
      <c r="A6" s="184" t="s">
        <v>198</v>
      </c>
      <c r="B6" s="184"/>
      <c r="C6" s="184"/>
      <c r="D6" s="182" t="s">
        <v>231</v>
      </c>
      <c r="E6" s="182"/>
      <c r="F6" s="182"/>
      <c r="G6" s="182"/>
      <c r="H6" s="182"/>
      <c r="I6" s="182"/>
      <c r="J6" s="182"/>
      <c r="K6" s="182"/>
    </row>
    <row r="7" spans="1:13" ht="16.5" thickBot="1" x14ac:dyDescent="0.3">
      <c r="A7" s="181" t="s">
        <v>199</v>
      </c>
      <c r="B7" s="181"/>
      <c r="C7" s="181"/>
      <c r="D7" s="182" t="s">
        <v>232</v>
      </c>
      <c r="E7" s="182"/>
      <c r="F7" s="182"/>
      <c r="G7" s="182"/>
      <c r="H7" s="182"/>
      <c r="I7" s="182"/>
      <c r="J7" s="182"/>
      <c r="K7" s="182"/>
    </row>
    <row r="8" spans="1:13" ht="16.5" thickBot="1" x14ac:dyDescent="0.3">
      <c r="A8" s="185" t="s">
        <v>200</v>
      </c>
      <c r="B8" s="185"/>
      <c r="C8" s="185"/>
      <c r="D8" s="186" t="s">
        <v>241</v>
      </c>
      <c r="E8" s="186"/>
      <c r="F8" s="186"/>
      <c r="G8" s="186"/>
      <c r="H8" s="186"/>
      <c r="I8" s="186"/>
      <c r="J8" s="186"/>
      <c r="K8" s="186"/>
    </row>
    <row r="9" spans="1:13" ht="16.5" thickBot="1" x14ac:dyDescent="0.3">
      <c r="A9" s="80"/>
      <c r="B9" s="115"/>
      <c r="C9" s="81"/>
      <c r="D9" s="82"/>
      <c r="E9" s="82"/>
      <c r="F9" s="82"/>
      <c r="G9" s="82"/>
      <c r="H9" s="118"/>
      <c r="I9" s="118"/>
      <c r="J9" s="123"/>
      <c r="K9" s="120"/>
    </row>
    <row r="10" spans="1:13" ht="15.75" thickBot="1" x14ac:dyDescent="0.3">
      <c r="A10" s="190" t="s">
        <v>201</v>
      </c>
      <c r="B10" s="191" t="s">
        <v>202</v>
      </c>
      <c r="C10" s="191" t="s">
        <v>203</v>
      </c>
      <c r="D10" s="191"/>
      <c r="E10" s="191"/>
      <c r="F10" s="191"/>
      <c r="G10" s="191"/>
      <c r="H10" s="191" t="s">
        <v>204</v>
      </c>
      <c r="I10" s="191" t="s">
        <v>205</v>
      </c>
      <c r="J10" s="194" t="s">
        <v>206</v>
      </c>
      <c r="K10" s="192" t="s">
        <v>207</v>
      </c>
    </row>
    <row r="11" spans="1:13" ht="27.75" customHeight="1" thickBot="1" x14ac:dyDescent="0.3">
      <c r="A11" s="190"/>
      <c r="B11" s="191"/>
      <c r="C11" s="191"/>
      <c r="D11" s="191"/>
      <c r="E11" s="191"/>
      <c r="F11" s="191"/>
      <c r="G11" s="191"/>
      <c r="H11" s="191"/>
      <c r="I11" s="191"/>
      <c r="J11" s="194"/>
      <c r="K11" s="192"/>
    </row>
    <row r="12" spans="1:13" s="138" customFormat="1" x14ac:dyDescent="0.25">
      <c r="A12" s="130">
        <v>1</v>
      </c>
      <c r="B12" s="131" t="str">
        <f>'SAF 011'!B10</f>
        <v>2.9.5-470.13</v>
      </c>
      <c r="C12" s="193" t="str">
        <f>'SAF 011'!E10</f>
        <v>ALGODONES; TIPO: HIDROFILADO, CAPACIDAD: 500 GR, PRESENTACION: ENVASE X 500 GR</v>
      </c>
      <c r="D12" s="193"/>
      <c r="E12" s="193"/>
      <c r="F12" s="193"/>
      <c r="G12" s="193"/>
      <c r="H12" s="131" t="s">
        <v>234</v>
      </c>
      <c r="I12" s="131" t="str">
        <f>'SAF 011'!F10</f>
        <v>UNIDAD</v>
      </c>
      <c r="J12" s="132">
        <f>'SAF 011'!AX10</f>
        <v>378.24</v>
      </c>
      <c r="K12" s="133">
        <f>'SAF 011'!AE10</f>
        <v>6</v>
      </c>
      <c r="M12" s="142">
        <f>+J12*K12</f>
        <v>2269.44</v>
      </c>
    </row>
    <row r="13" spans="1:13" s="138" customFormat="1" x14ac:dyDescent="0.25">
      <c r="A13" s="134">
        <v>2</v>
      </c>
      <c r="B13" s="135" t="str">
        <f>'SAF 011'!B11</f>
        <v>2.9.5-287.3</v>
      </c>
      <c r="C13" s="187" t="str">
        <f>'SAF 011'!E11</f>
        <v>AMPOLLAS P/DECANTACION; CAPACIDAD: 1000 mL</v>
      </c>
      <c r="D13" s="188"/>
      <c r="E13" s="188"/>
      <c r="F13" s="188"/>
      <c r="G13" s="189"/>
      <c r="H13" s="135" t="s">
        <v>234</v>
      </c>
      <c r="I13" s="135" t="str">
        <f>'SAF 011'!F11</f>
        <v>UNIDAD</v>
      </c>
      <c r="J13" s="136">
        <f>'SAF 011'!AX11</f>
        <v>8292</v>
      </c>
      <c r="K13" s="137">
        <f>'SAF 011'!AE11</f>
        <v>1</v>
      </c>
      <c r="M13" s="142">
        <f t="shared" ref="M13:M76" si="0">+J13*K13</f>
        <v>8292</v>
      </c>
    </row>
    <row r="14" spans="1:13" s="138" customFormat="1" x14ac:dyDescent="0.25">
      <c r="A14" s="134">
        <v>3</v>
      </c>
      <c r="B14" s="135" t="str">
        <f>'SAF 011'!B12</f>
        <v>2.9.5-5703.8</v>
      </c>
      <c r="C14" s="187" t="str">
        <f>'SAF 011'!E12</f>
        <v>ANSA; PRESENTACION: ENVASE X 20 UN, TIPO: CALIBRADA</v>
      </c>
      <c r="D14" s="188"/>
      <c r="E14" s="188"/>
      <c r="F14" s="188"/>
      <c r="G14" s="189"/>
      <c r="H14" s="135" t="s">
        <v>234</v>
      </c>
      <c r="I14" s="135" t="str">
        <f>'SAF 011'!F12</f>
        <v>caja</v>
      </c>
      <c r="J14" s="136">
        <f>'SAF 011'!AX12</f>
        <v>1507.2</v>
      </c>
      <c r="K14" s="137">
        <f>'SAF 011'!AE12</f>
        <v>1</v>
      </c>
      <c r="M14" s="142">
        <f t="shared" si="0"/>
        <v>1507.2</v>
      </c>
    </row>
    <row r="15" spans="1:13" s="138" customFormat="1" x14ac:dyDescent="0.25">
      <c r="A15" s="134">
        <v>4</v>
      </c>
      <c r="B15" s="135" t="str">
        <f>'SAF 011'!B13</f>
        <v>2.9.5-5703.9</v>
      </c>
      <c r="C15" s="187" t="str">
        <f>'SAF 011'!E13</f>
        <v>ANSA; PRESENTACION: ENVASE X 20 UN, TIPO: PUNTA RECTA</v>
      </c>
      <c r="D15" s="188"/>
      <c r="E15" s="188"/>
      <c r="F15" s="188"/>
      <c r="G15" s="189"/>
      <c r="H15" s="135" t="s">
        <v>234</v>
      </c>
      <c r="I15" s="135" t="str">
        <f>'SAF 011'!F13</f>
        <v>caja</v>
      </c>
      <c r="J15" s="136">
        <f>'SAF 011'!AX13</f>
        <v>1231.18</v>
      </c>
      <c r="K15" s="137">
        <f>'SAF 011'!AE13</f>
        <v>1</v>
      </c>
      <c r="M15" s="142">
        <f t="shared" si="0"/>
        <v>1231.18</v>
      </c>
    </row>
    <row r="16" spans="1:13" s="138" customFormat="1" x14ac:dyDescent="0.25">
      <c r="A16" s="134">
        <v>5</v>
      </c>
      <c r="B16" s="135" t="str">
        <f>'SAF 011'!B14</f>
        <v>2.9.5-5703.15</v>
      </c>
      <c r="C16" s="187" t="str">
        <f>'SAF 011'!E14</f>
        <v>ANSA; PRESENTACION: UNIDAD, TIPO: PLASTICA DESCARTABLE</v>
      </c>
      <c r="D16" s="188"/>
      <c r="E16" s="188"/>
      <c r="F16" s="188"/>
      <c r="G16" s="189"/>
      <c r="H16" s="135" t="s">
        <v>234</v>
      </c>
      <c r="I16" s="135" t="str">
        <f>'SAF 011'!F14</f>
        <v>UNIDAD</v>
      </c>
      <c r="J16" s="136">
        <f>'SAF 011'!AX14</f>
        <v>12</v>
      </c>
      <c r="K16" s="137">
        <f>'SAF 011'!AE14</f>
        <v>200</v>
      </c>
      <c r="M16" s="142">
        <f t="shared" si="0"/>
        <v>2400</v>
      </c>
    </row>
    <row r="17" spans="1:13" s="138" customFormat="1" x14ac:dyDescent="0.25">
      <c r="A17" s="134">
        <v>6</v>
      </c>
      <c r="B17" s="135" t="str">
        <f>'SAF 011'!B15</f>
        <v>2.9.5-2505.16</v>
      </c>
      <c r="C17" s="187" t="str">
        <f>'SAF 011'!E15</f>
        <v>BOLSAS COLECTORAS; TIPO: ESTERIL, USO: MUESTREO, CAPACIDAD: 400 mL</v>
      </c>
      <c r="D17" s="188"/>
      <c r="E17" s="188"/>
      <c r="F17" s="188"/>
      <c r="G17" s="189"/>
      <c r="H17" s="135" t="s">
        <v>234</v>
      </c>
      <c r="I17" s="135" t="str">
        <f>'SAF 011'!F15</f>
        <v>UNIDAD</v>
      </c>
      <c r="J17" s="136">
        <f>'SAF 011'!AX15</f>
        <v>4440</v>
      </c>
      <c r="K17" s="137">
        <f>'SAF 011'!AE15</f>
        <v>10</v>
      </c>
      <c r="M17" s="142">
        <f t="shared" si="0"/>
        <v>44400</v>
      </c>
    </row>
    <row r="18" spans="1:13" s="138" customFormat="1" x14ac:dyDescent="0.25">
      <c r="A18" s="134">
        <v>7</v>
      </c>
      <c r="B18" s="135" t="str">
        <f>'SAF 011'!B16</f>
        <v>2.9.5-5770.9</v>
      </c>
      <c r="C18" s="187" t="str">
        <f>'SAF 011'!E16</f>
        <v>CAPSULAS DE PORCELANA; USO: P/CALCINACION, CAPACIDAD: 100 CM3, MEDIDAS: 136-100 mm, DIMENSION: 136-100 mm</v>
      </c>
      <c r="D18" s="188"/>
      <c r="E18" s="188"/>
      <c r="F18" s="188"/>
      <c r="G18" s="189"/>
      <c r="H18" s="135" t="s">
        <v>234</v>
      </c>
      <c r="I18" s="135" t="str">
        <f>'SAF 011'!F16</f>
        <v>UNIDAD</v>
      </c>
      <c r="J18" s="136">
        <f>'SAF 011'!AX16</f>
        <v>762</v>
      </c>
      <c r="K18" s="137">
        <f>'SAF 011'!AE16</f>
        <v>10</v>
      </c>
      <c r="M18" s="142">
        <f t="shared" si="0"/>
        <v>7620</v>
      </c>
    </row>
    <row r="19" spans="1:13" s="138" customFormat="1" x14ac:dyDescent="0.25">
      <c r="A19" s="134">
        <v>8</v>
      </c>
      <c r="B19" s="135" t="str">
        <f>'SAF 011'!B17</f>
        <v>2.9.5-5770.10</v>
      </c>
      <c r="C19" s="187" t="str">
        <f>'SAF 011'!E17</f>
        <v>CAPSULAS DE PORCELANA; USO: P/LABORATORIO, CAPACIDAD: 75 mL, MEDIDAS: 50 X 44 mm, DIMENSION: 50 X 44 mm</v>
      </c>
      <c r="D19" s="188"/>
      <c r="E19" s="188"/>
      <c r="F19" s="188"/>
      <c r="G19" s="189"/>
      <c r="H19" s="135" t="s">
        <v>234</v>
      </c>
      <c r="I19" s="135" t="str">
        <f>'SAF 011'!F17</f>
        <v>UNIDAD</v>
      </c>
      <c r="J19" s="136">
        <f>'SAF 011'!AX17</f>
        <v>694.32</v>
      </c>
      <c r="K19" s="137">
        <f>'SAF 011'!AE17</f>
        <v>10</v>
      </c>
      <c r="M19" s="142">
        <f t="shared" si="0"/>
        <v>6943.2000000000007</v>
      </c>
    </row>
    <row r="20" spans="1:13" s="138" customFormat="1" x14ac:dyDescent="0.25">
      <c r="A20" s="134">
        <v>9</v>
      </c>
      <c r="B20" s="135" t="str">
        <f>'SAF 011'!B18</f>
        <v>2.9.5-1908.12</v>
      </c>
      <c r="C20" s="187" t="str">
        <f>'SAF 011'!E18</f>
        <v>CEPILLOS P/LABORATORIO; TIPO: LIMPIEZA DE TUBOS, MATERIAL: CERDA, TAMAÑO: 1 Cm</v>
      </c>
      <c r="D20" s="188"/>
      <c r="E20" s="188"/>
      <c r="F20" s="188"/>
      <c r="G20" s="189"/>
      <c r="H20" s="135" t="s">
        <v>234</v>
      </c>
      <c r="I20" s="135" t="str">
        <f>'SAF 011'!F18</f>
        <v>UNIDAD</v>
      </c>
      <c r="J20" s="136">
        <f>'SAF 011'!AX18</f>
        <v>123.86</v>
      </c>
      <c r="K20" s="137">
        <f>'SAF 011'!AE18</f>
        <v>10</v>
      </c>
      <c r="M20" s="142">
        <f t="shared" si="0"/>
        <v>1238.5999999999999</v>
      </c>
    </row>
    <row r="21" spans="1:13" s="138" customFormat="1" x14ac:dyDescent="0.25">
      <c r="A21" s="134">
        <v>10</v>
      </c>
      <c r="B21" s="135" t="str">
        <f>'SAF 011'!B19</f>
        <v>2.9.5-1908.3</v>
      </c>
      <c r="C21" s="187" t="str">
        <f>'SAF 011'!E19</f>
        <v>CEPILLOS P/LABORATORIO; TIPO: LIMPIEZA DE TUBOS, MATERIAL: CERDA, TAMAÑO: CHICO</v>
      </c>
      <c r="D21" s="188"/>
      <c r="E21" s="188"/>
      <c r="F21" s="188"/>
      <c r="G21" s="189"/>
      <c r="H21" s="135" t="s">
        <v>234</v>
      </c>
      <c r="I21" s="135" t="str">
        <f>'SAF 011'!F19</f>
        <v>UNIDAD</v>
      </c>
      <c r="J21" s="136">
        <f>'SAF 011'!AX19</f>
        <v>149.22999999999999</v>
      </c>
      <c r="K21" s="137">
        <f>'SAF 011'!AE19</f>
        <v>10</v>
      </c>
      <c r="M21" s="142">
        <f t="shared" si="0"/>
        <v>1492.3</v>
      </c>
    </row>
    <row r="22" spans="1:13" s="138" customFormat="1" x14ac:dyDescent="0.25">
      <c r="A22" s="134">
        <v>11</v>
      </c>
      <c r="B22" s="135" t="str">
        <f>'SAF 011'!B20</f>
        <v>2.9.5-1908.2</v>
      </c>
      <c r="C22" s="187" t="str">
        <f>'SAF 011'!E20</f>
        <v>CEPILLOS P/LABORATORIO; TIPO: LIMPIEZA DE TUBOS, MATERIAL: CERDA, TAMAÑO: MEDIANO</v>
      </c>
      <c r="D22" s="188"/>
      <c r="E22" s="188"/>
      <c r="F22" s="188"/>
      <c r="G22" s="189"/>
      <c r="H22" s="135" t="s">
        <v>234</v>
      </c>
      <c r="I22" s="135" t="str">
        <f>'SAF 011'!F20</f>
        <v>UNIDAD</v>
      </c>
      <c r="J22" s="136">
        <f>'SAF 011'!AX20</f>
        <v>282.04000000000002</v>
      </c>
      <c r="K22" s="137">
        <f>'SAF 011'!AE20</f>
        <v>10</v>
      </c>
      <c r="M22" s="142">
        <f t="shared" si="0"/>
        <v>2820.4</v>
      </c>
    </row>
    <row r="23" spans="1:13" s="138" customFormat="1" x14ac:dyDescent="0.25">
      <c r="A23" s="134">
        <v>12</v>
      </c>
      <c r="B23" s="135" t="str">
        <f>'SAF 011'!B21</f>
        <v>2.9.5-1908.40</v>
      </c>
      <c r="C23" s="187" t="str">
        <f>'SAF 011'!E21</f>
        <v>CEPILLOS P/LABORATORIO; TIPO: LIMPIEZA ERLENMEYER, MATERIAL: CERDA, TAMAÑO: DIAM. 45 mm</v>
      </c>
      <c r="D23" s="188"/>
      <c r="E23" s="188"/>
      <c r="F23" s="188"/>
      <c r="G23" s="189"/>
      <c r="H23" s="135" t="s">
        <v>234</v>
      </c>
      <c r="I23" s="135" t="str">
        <f>'SAF 011'!F21</f>
        <v>UNIDAD</v>
      </c>
      <c r="J23" s="136">
        <f>'SAF 011'!AX21</f>
        <v>507.96000000000004</v>
      </c>
      <c r="K23" s="137">
        <f>'SAF 011'!AE21</f>
        <v>5</v>
      </c>
      <c r="M23" s="142">
        <f t="shared" si="0"/>
        <v>2539.8000000000002</v>
      </c>
    </row>
    <row r="24" spans="1:13" s="138" customFormat="1" x14ac:dyDescent="0.25">
      <c r="A24" s="134">
        <v>13</v>
      </c>
      <c r="B24" s="135" t="str">
        <f>'SAF 011'!B22</f>
        <v>2.9.5-1908.17</v>
      </c>
      <c r="C24" s="187" t="str">
        <f>'SAF 011'!E22</f>
        <v>CEPILLOS P/LABORATORIO; TIPO: P/PROBETAS, MATERIAL: CERDA, TAMAÑO: LONG. 23/ DIAM. 2 Cm</v>
      </c>
      <c r="D24" s="188"/>
      <c r="E24" s="188"/>
      <c r="F24" s="188"/>
      <c r="G24" s="189"/>
      <c r="H24" s="135" t="s">
        <v>234</v>
      </c>
      <c r="I24" s="135" t="str">
        <f>'SAF 011'!F22</f>
        <v>UNIDAD</v>
      </c>
      <c r="J24" s="136">
        <f>'SAF 011'!AX22</f>
        <v>270.3</v>
      </c>
      <c r="K24" s="137">
        <f>'SAF 011'!AE22</f>
        <v>10</v>
      </c>
      <c r="M24" s="142">
        <f t="shared" si="0"/>
        <v>2703</v>
      </c>
    </row>
    <row r="25" spans="1:13" s="138" customFormat="1" ht="16.5" customHeight="1" x14ac:dyDescent="0.25">
      <c r="A25" s="134">
        <v>14</v>
      </c>
      <c r="B25" s="135" t="str">
        <f>'SAF 011'!B23</f>
        <v>2.9.5-8735.20</v>
      </c>
      <c r="C25" s="187" t="str">
        <f>'SAF 011'!E23</f>
        <v>DESECADORES; ACCESORIO: DESECADOR, ALTO: 31 Cm, DIAMETRO: 29 Cm, MATERIAL: VIDRIO BOROSILICATO, USO: P/LABORATORIO</v>
      </c>
      <c r="D25" s="188"/>
      <c r="E25" s="188"/>
      <c r="F25" s="188"/>
      <c r="G25" s="189"/>
      <c r="H25" s="135" t="s">
        <v>234</v>
      </c>
      <c r="I25" s="135" t="str">
        <f>'SAF 011'!F23</f>
        <v>UNIDAD</v>
      </c>
      <c r="J25" s="136">
        <f>'SAF 011'!AX23</f>
        <v>9000</v>
      </c>
      <c r="K25" s="137">
        <f>'SAF 011'!AE23</f>
        <v>5</v>
      </c>
      <c r="M25" s="142">
        <f t="shared" si="0"/>
        <v>45000</v>
      </c>
    </row>
    <row r="26" spans="1:13" s="138" customFormat="1" ht="29.25" customHeight="1" x14ac:dyDescent="0.25">
      <c r="A26" s="134">
        <v>15</v>
      </c>
      <c r="B26" s="135" t="str">
        <f>'SAF 011'!B24</f>
        <v>2.9.5-5846.6</v>
      </c>
      <c r="C26" s="187" t="str">
        <f>'SAF 011'!E24</f>
        <v>EMBUDOS P/LABORATORIOS; MATERIAL: POLIPROPILENO, DIAM. BOCA: 100 mm, DIAM. TUBO: 13 mm, CAPACIDAD: 250 mL, DIAMETRO MENOR: 100 mm, DIAMETRO MAYOR: 13 mm</v>
      </c>
      <c r="D26" s="188"/>
      <c r="E26" s="188"/>
      <c r="F26" s="188"/>
      <c r="G26" s="189"/>
      <c r="H26" s="135" t="s">
        <v>234</v>
      </c>
      <c r="I26" s="135" t="str">
        <f>'SAF 011'!F24</f>
        <v>UNIDAD</v>
      </c>
      <c r="J26" s="136">
        <f>'SAF 011'!AX24</f>
        <v>323.16000000000003</v>
      </c>
      <c r="K26" s="137">
        <f>'SAF 011'!AE24</f>
        <v>5</v>
      </c>
      <c r="M26" s="142">
        <f t="shared" si="0"/>
        <v>1615.8000000000002</v>
      </c>
    </row>
    <row r="27" spans="1:13" s="138" customFormat="1" ht="26.25" customHeight="1" x14ac:dyDescent="0.25">
      <c r="A27" s="134">
        <v>16</v>
      </c>
      <c r="B27" s="135" t="str">
        <f>'SAF 011'!B25</f>
        <v>2.9.5-5846.5</v>
      </c>
      <c r="C27" s="187" t="str">
        <f>'SAF 011'!E25</f>
        <v>EMBUDOS P/LABORATORIOS; MATERIAL: POLIPROPILENO, DIAM. BOCA: 75 mm, DIAM. TUBO: 10 mm, CAPACIDAD: 100 mL, DIAMETRO MENOR: 75 mm, DIAMETRO MAYOR: 10 mm</v>
      </c>
      <c r="D27" s="188"/>
      <c r="E27" s="188"/>
      <c r="F27" s="188"/>
      <c r="G27" s="189"/>
      <c r="H27" s="135" t="s">
        <v>234</v>
      </c>
      <c r="I27" s="135" t="str">
        <f>'SAF 011'!F25</f>
        <v>UNIDAD</v>
      </c>
      <c r="J27" s="136">
        <f>'SAF 011'!AX25</f>
        <v>196.2</v>
      </c>
      <c r="K27" s="137">
        <f>'SAF 011'!AE25</f>
        <v>5</v>
      </c>
      <c r="M27" s="142">
        <f t="shared" si="0"/>
        <v>981</v>
      </c>
    </row>
    <row r="28" spans="1:13" s="138" customFormat="1" x14ac:dyDescent="0.25">
      <c r="A28" s="134">
        <v>17</v>
      </c>
      <c r="B28" s="135" t="str">
        <f>'SAF 011'!B26</f>
        <v>2.9.5-5846.23</v>
      </c>
      <c r="C28" s="187" t="str">
        <f>'SAF 011'!E26</f>
        <v>EMBUDOS P/LABORATORIOS; MATERIAL: VIDRIO, DIAMETRO MENOR: 15 mm, DIAMETRO MAYOR: 80 mm, CAPACIDAD: 250 mL</v>
      </c>
      <c r="D28" s="188"/>
      <c r="E28" s="188"/>
      <c r="F28" s="188"/>
      <c r="G28" s="189"/>
      <c r="H28" s="135" t="s">
        <v>234</v>
      </c>
      <c r="I28" s="135" t="str">
        <f>'SAF 011'!F26</f>
        <v>UNIDAD</v>
      </c>
      <c r="J28" s="136">
        <f>'SAF 011'!AX26</f>
        <v>2439.11</v>
      </c>
      <c r="K28" s="137">
        <f>'SAF 011'!AE26</f>
        <v>5</v>
      </c>
      <c r="M28" s="142">
        <f t="shared" si="0"/>
        <v>12195.550000000001</v>
      </c>
    </row>
    <row r="29" spans="1:13" s="138" customFormat="1" x14ac:dyDescent="0.25">
      <c r="A29" s="134">
        <v>18</v>
      </c>
      <c r="B29" s="135" t="str">
        <f>'SAF 011'!B27</f>
        <v>2.9.5-5846.18</v>
      </c>
      <c r="C29" s="187" t="str">
        <f>'SAF 011'!E27</f>
        <v>EMBUDOS P/LABORATORIOS; MATERIAL: VIDRIO, DIAMETRO MENOR: 20 mm, DIAMETRO MAYOR: 65 mm, CAPACIDAD: 150 mL</v>
      </c>
      <c r="D29" s="188"/>
      <c r="E29" s="188"/>
      <c r="F29" s="188"/>
      <c r="G29" s="189"/>
      <c r="H29" s="135" t="s">
        <v>234</v>
      </c>
      <c r="I29" s="135" t="str">
        <f>'SAF 011'!F27</f>
        <v>UNIDAD</v>
      </c>
      <c r="J29" s="136">
        <f>'SAF 011'!AX27</f>
        <v>1883.1599999999999</v>
      </c>
      <c r="K29" s="137">
        <f>'SAF 011'!AE27</f>
        <v>5</v>
      </c>
      <c r="M29" s="142">
        <f t="shared" si="0"/>
        <v>9415.7999999999993</v>
      </c>
    </row>
    <row r="30" spans="1:13" s="138" customFormat="1" x14ac:dyDescent="0.25">
      <c r="A30" s="134">
        <v>19</v>
      </c>
      <c r="B30" s="135" t="str">
        <f>'SAF 011'!B28</f>
        <v>2.9.5-5846.16</v>
      </c>
      <c r="C30" s="187" t="str">
        <f>'SAF 011'!E28</f>
        <v>EMBUDOS P/LABORATORIOS; MATERIAL: VIDRIO, DIAMETRO MENOR: 9 mm, DIAMETRO MAYOR: 50 mm, CAPACIDAD: 20 mL</v>
      </c>
      <c r="D30" s="188"/>
      <c r="E30" s="188"/>
      <c r="F30" s="188"/>
      <c r="G30" s="189"/>
      <c r="H30" s="135" t="s">
        <v>234</v>
      </c>
      <c r="I30" s="135" t="str">
        <f>'SAF 011'!F28</f>
        <v>UNIDAD</v>
      </c>
      <c r="J30" s="136">
        <f>'SAF 011'!AX28</f>
        <v>1483.74</v>
      </c>
      <c r="K30" s="137">
        <f>'SAF 011'!AE28</f>
        <v>5</v>
      </c>
      <c r="M30" s="142">
        <f t="shared" si="0"/>
        <v>7418.7</v>
      </c>
    </row>
    <row r="31" spans="1:13" s="138" customFormat="1" x14ac:dyDescent="0.25">
      <c r="A31" s="134">
        <v>20</v>
      </c>
      <c r="B31" s="135" t="str">
        <f>'SAF 011'!B29</f>
        <v>2.9.5-2765.31</v>
      </c>
      <c r="C31" s="187" t="str">
        <f>'SAF 011'!E29</f>
        <v>ERLENMEYER; TIPO: BOCA COMUN, CAPACIDAD: 1000 mL, GRADUADO: SI, GRADUACION: SI</v>
      </c>
      <c r="D31" s="188"/>
      <c r="E31" s="188"/>
      <c r="F31" s="188"/>
      <c r="G31" s="189"/>
      <c r="H31" s="135" t="s">
        <v>234</v>
      </c>
      <c r="I31" s="135" t="str">
        <f>'SAF 011'!F29</f>
        <v>UNIDAD</v>
      </c>
      <c r="J31" s="136">
        <f>'SAF 011'!AX29</f>
        <v>1438.01</v>
      </c>
      <c r="K31" s="137">
        <f>'SAF 011'!AE29</f>
        <v>10</v>
      </c>
      <c r="M31" s="142">
        <f t="shared" si="0"/>
        <v>14380.1</v>
      </c>
    </row>
    <row r="32" spans="1:13" s="138" customFormat="1" x14ac:dyDescent="0.25">
      <c r="A32" s="134">
        <v>21</v>
      </c>
      <c r="B32" s="135" t="str">
        <f>'SAF 011'!B30</f>
        <v>2.9.5-2765.30</v>
      </c>
      <c r="C32" s="187" t="str">
        <f>'SAF 011'!E30</f>
        <v>ERLENMEYER; TIPO: BOCA COMUN, CAPACIDAD: 125 mL, GRADUADO: SI, GRADUACION: SI</v>
      </c>
      <c r="D32" s="188"/>
      <c r="E32" s="188"/>
      <c r="F32" s="188"/>
      <c r="G32" s="189"/>
      <c r="H32" s="135" t="s">
        <v>234</v>
      </c>
      <c r="I32" s="135" t="str">
        <f>'SAF 011'!F30</f>
        <v>UNIDAD</v>
      </c>
      <c r="J32" s="136">
        <f>'SAF 011'!AX30</f>
        <v>504</v>
      </c>
      <c r="K32" s="137">
        <f>'SAF 011'!AE30</f>
        <v>5</v>
      </c>
      <c r="M32" s="142">
        <f t="shared" si="0"/>
        <v>2520</v>
      </c>
    </row>
    <row r="33" spans="1:13" s="138" customFormat="1" x14ac:dyDescent="0.25">
      <c r="A33" s="134">
        <v>22</v>
      </c>
      <c r="B33" s="135" t="str">
        <f>'SAF 011'!B31</f>
        <v>2.9.5-2765.24</v>
      </c>
      <c r="C33" s="187" t="str">
        <f>'SAF 011'!E31</f>
        <v>ERLENMEYER; TIPO: BOCA COMUN, CAPACIDAD: 250 mL, GRADUACION: SI, GRADUADO: SI</v>
      </c>
      <c r="D33" s="188"/>
      <c r="E33" s="188"/>
      <c r="F33" s="188"/>
      <c r="G33" s="189"/>
      <c r="H33" s="135" t="s">
        <v>234</v>
      </c>
      <c r="I33" s="135" t="str">
        <f>'SAF 011'!F31</f>
        <v>UNIDAD</v>
      </c>
      <c r="J33" s="136">
        <f>'SAF 011'!AX31</f>
        <v>798.71</v>
      </c>
      <c r="K33" s="137">
        <f>'SAF 011'!AE31</f>
        <v>5</v>
      </c>
      <c r="M33" s="142">
        <f t="shared" si="0"/>
        <v>3993.55</v>
      </c>
    </row>
    <row r="34" spans="1:13" s="138" customFormat="1" x14ac:dyDescent="0.25">
      <c r="A34" s="134">
        <v>23</v>
      </c>
      <c r="B34" s="135" t="str">
        <f>'SAF 011'!B32</f>
        <v>2.9.5-448.76</v>
      </c>
      <c r="C34" s="187" t="str">
        <f>'SAF 011'!E32</f>
        <v>FRASCOS ESTERILES; CAPACIDAD: 1000 mL, PRESENTACION: UNIDAD, GRABADO: SIN, USO: LABORATORIO</v>
      </c>
      <c r="D34" s="188"/>
      <c r="E34" s="188"/>
      <c r="F34" s="188"/>
      <c r="G34" s="189"/>
      <c r="H34" s="135" t="s">
        <v>234</v>
      </c>
      <c r="I34" s="135" t="str">
        <f>'SAF 011'!F32</f>
        <v>UNIDAD</v>
      </c>
      <c r="J34" s="136">
        <f>'SAF 011'!AX32</f>
        <v>390.36</v>
      </c>
      <c r="K34" s="137">
        <f>'SAF 011'!AE32</f>
        <v>10</v>
      </c>
      <c r="M34" s="142">
        <f t="shared" si="0"/>
        <v>3903.6000000000004</v>
      </c>
    </row>
    <row r="35" spans="1:13" s="138" customFormat="1" x14ac:dyDescent="0.25">
      <c r="A35" s="134">
        <v>24</v>
      </c>
      <c r="B35" s="135" t="str">
        <f>'SAF 011'!B33</f>
        <v>2.9.5-448.79</v>
      </c>
      <c r="C35" s="187" t="str">
        <f>'SAF 011'!E33</f>
        <v>FRASCOS ESTERILES; CAPACIDAD: 250 mL, PRESENTACION: UNIDAD, GRABADO: SIN, USO: LABORATORIO</v>
      </c>
      <c r="D35" s="188"/>
      <c r="E35" s="188"/>
      <c r="F35" s="188"/>
      <c r="G35" s="189"/>
      <c r="H35" s="135" t="s">
        <v>234</v>
      </c>
      <c r="I35" s="135" t="str">
        <f>'SAF 011'!F33</f>
        <v>UNIDAD</v>
      </c>
      <c r="J35" s="136">
        <f>'SAF 011'!AX33</f>
        <v>187.92</v>
      </c>
      <c r="K35" s="137">
        <f>'SAF 011'!AE33</f>
        <v>10</v>
      </c>
      <c r="M35" s="142">
        <f t="shared" si="0"/>
        <v>1879.1999999999998</v>
      </c>
    </row>
    <row r="36" spans="1:13" s="138" customFormat="1" x14ac:dyDescent="0.25">
      <c r="A36" s="134">
        <v>25</v>
      </c>
      <c r="B36" s="135" t="str">
        <f>'SAF 011'!B34</f>
        <v>2.9.5-2600.22</v>
      </c>
      <c r="C36" s="187" t="str">
        <f>'SAF 011'!E34</f>
        <v>FRASCOS P/MUESTRAS; DIMENSION: SIN VALOR, MATERIAL: VIDRIO GRADUADO AUTOCLAVABLE, CAPACIDAD: 250 mL, TAPA: A ROSCA</v>
      </c>
      <c r="D36" s="188"/>
      <c r="E36" s="188"/>
      <c r="F36" s="188"/>
      <c r="G36" s="189"/>
      <c r="H36" s="135" t="s">
        <v>234</v>
      </c>
      <c r="I36" s="135" t="str">
        <f>'SAF 011'!F34</f>
        <v>UNIDAD</v>
      </c>
      <c r="J36" s="136">
        <f>'SAF 011'!AX34</f>
        <v>711.6</v>
      </c>
      <c r="K36" s="137">
        <f>'SAF 011'!AE34</f>
        <v>10</v>
      </c>
      <c r="M36" s="142">
        <f t="shared" si="0"/>
        <v>7116</v>
      </c>
    </row>
    <row r="37" spans="1:13" s="138" customFormat="1" x14ac:dyDescent="0.25">
      <c r="A37" s="134">
        <v>26</v>
      </c>
      <c r="B37" s="135" t="str">
        <f>'SAF 011'!B35</f>
        <v>2.9.5-2600.23</v>
      </c>
      <c r="C37" s="187" t="str">
        <f>'SAF 011'!E35</f>
        <v>FRASCOS P/MUESTRAS; DIMENSION: SIN VALOR, MATERIAL: VIDRIO GRADUADO AUTOCLAVABLE, CAPACIDAD: 500 mL, TAPA: A ROSCA</v>
      </c>
      <c r="D37" s="188"/>
      <c r="E37" s="188"/>
      <c r="F37" s="188"/>
      <c r="G37" s="189"/>
      <c r="H37" s="135" t="s">
        <v>234</v>
      </c>
      <c r="I37" s="135" t="str">
        <f>'SAF 011'!F35</f>
        <v>UNIDAD</v>
      </c>
      <c r="J37" s="136">
        <f>'SAF 011'!AX35</f>
        <v>808.56</v>
      </c>
      <c r="K37" s="137">
        <f>'SAF 011'!AE35</f>
        <v>10</v>
      </c>
      <c r="M37" s="142">
        <f t="shared" si="0"/>
        <v>8085.5999999999995</v>
      </c>
    </row>
    <row r="38" spans="1:13" s="138" customFormat="1" x14ac:dyDescent="0.25">
      <c r="A38" s="134">
        <v>27</v>
      </c>
      <c r="B38" s="135" t="str">
        <f>'SAF 011'!B36</f>
        <v>2.9.5-2600.117</v>
      </c>
      <c r="C38" s="187" t="str">
        <f>'SAF 011'!E36</f>
        <v>FRASCOS P/MUESTRAS; MATERIAL: VIDRIO GRADUADO AUTOCLAVABLE, DIMENSION: NO APLICA, CAPACIDAD: 100 mL, TAPA: A ROSCA</v>
      </c>
      <c r="D38" s="188"/>
      <c r="E38" s="188"/>
      <c r="F38" s="188"/>
      <c r="G38" s="189"/>
      <c r="H38" s="135" t="s">
        <v>234</v>
      </c>
      <c r="I38" s="135" t="str">
        <f>'SAF 011'!F36</f>
        <v>UNIDAD</v>
      </c>
      <c r="J38" s="136">
        <f>'SAF 011'!AX36</f>
        <v>547.20000000000005</v>
      </c>
      <c r="K38" s="137">
        <f>'SAF 011'!AE36</f>
        <v>10</v>
      </c>
      <c r="M38" s="142">
        <f t="shared" si="0"/>
        <v>5472</v>
      </c>
    </row>
    <row r="39" spans="1:13" s="138" customFormat="1" x14ac:dyDescent="0.25">
      <c r="A39" s="134">
        <v>28</v>
      </c>
      <c r="B39" s="135" t="str">
        <f>'SAF 011'!B37</f>
        <v>2.9.5-2600.24</v>
      </c>
      <c r="C39" s="187" t="str">
        <f>'SAF 011'!E37</f>
        <v>FRASCOS P/MUESTRAS; MATERIAL: VIDRIO GRADUADO AUTOCLAVABLE, DIMENSION: SIN VALOR, CAPACIDAD: 1000 mL, TAPA: A ROSCA</v>
      </c>
      <c r="D39" s="188"/>
      <c r="E39" s="188"/>
      <c r="F39" s="188"/>
      <c r="G39" s="189"/>
      <c r="H39" s="135" t="s">
        <v>234</v>
      </c>
      <c r="I39" s="135" t="str">
        <f>'SAF 011'!F37</f>
        <v>UNIDAD</v>
      </c>
      <c r="J39" s="136">
        <f>'SAF 011'!AX37</f>
        <v>1511.76</v>
      </c>
      <c r="K39" s="137">
        <f>'SAF 011'!AE37</f>
        <v>10</v>
      </c>
      <c r="M39" s="142">
        <f t="shared" si="0"/>
        <v>15117.6</v>
      </c>
    </row>
    <row r="40" spans="1:13" s="138" customFormat="1" ht="25.5" customHeight="1" x14ac:dyDescent="0.25">
      <c r="A40" s="134">
        <v>29</v>
      </c>
      <c r="B40" s="135" t="str">
        <f>'SAF 011'!B38</f>
        <v>2.9.5-3017.1</v>
      </c>
      <c r="C40" s="187" t="str">
        <f>'SAF 011'!E38</f>
        <v>GRADILLAS P/LABORATORIO; CANTIDAD DE TUBOS: 48, MATERIAL: ALAMBRE PLASTIFICADO, MEDIDA TUBO: 6 X 1,5 Cm, TAMAÑO TUBO: 6 X 1,5 Cm, CANT. DE ELEMENTOS: 48, MEDIDA: 6 X 1,5 Cm</v>
      </c>
      <c r="D40" s="188"/>
      <c r="E40" s="188"/>
      <c r="F40" s="188"/>
      <c r="G40" s="189"/>
      <c r="H40" s="135" t="s">
        <v>234</v>
      </c>
      <c r="I40" s="135" t="str">
        <f>'SAF 011'!F38</f>
        <v>UNIDAD</v>
      </c>
      <c r="J40" s="136">
        <f>'SAF 011'!AX38</f>
        <v>4776</v>
      </c>
      <c r="K40" s="137">
        <f>'SAF 011'!AE38</f>
        <v>5</v>
      </c>
      <c r="M40" s="142">
        <f t="shared" si="0"/>
        <v>23880</v>
      </c>
    </row>
    <row r="41" spans="1:13" s="138" customFormat="1" ht="26.25" customHeight="1" x14ac:dyDescent="0.25">
      <c r="A41" s="134">
        <v>30</v>
      </c>
      <c r="B41" s="135" t="str">
        <f>'SAF 011'!B39</f>
        <v>2.9.5-3017.3</v>
      </c>
      <c r="C41" s="187" t="str">
        <f>'SAF 011'!E39</f>
        <v>GRADILLAS P/LABORATORIO; TAMAÑO TUBO: 13 mm, CANTIDAD DE TUBOS: 36, MATERIAL: VIDRIO FORRADA, MEDIDA TUBO: 13 mm, CANT. DE ELEMENTOS: 36, MEDIDA: 13 mm</v>
      </c>
      <c r="D41" s="188"/>
      <c r="E41" s="188"/>
      <c r="F41" s="188"/>
      <c r="G41" s="189"/>
      <c r="H41" s="135" t="s">
        <v>234</v>
      </c>
      <c r="I41" s="135" t="str">
        <f>'SAF 011'!F39</f>
        <v>UNIDAD</v>
      </c>
      <c r="J41" s="136">
        <f>'SAF 011'!AX39</f>
        <v>3312</v>
      </c>
      <c r="K41" s="137">
        <f>'SAF 011'!AE39</f>
        <v>5</v>
      </c>
      <c r="M41" s="142">
        <f t="shared" si="0"/>
        <v>16560</v>
      </c>
    </row>
    <row r="42" spans="1:13" s="138" customFormat="1" ht="30.75" customHeight="1" x14ac:dyDescent="0.25">
      <c r="A42" s="134">
        <v>31</v>
      </c>
      <c r="B42" s="135" t="str">
        <f>'SAF 011'!B40</f>
        <v>2.9.5-3017.4</v>
      </c>
      <c r="C42" s="187" t="str">
        <f>'SAF 011'!E40</f>
        <v>GRADILLAS P/LABORATORIO; TAMAÑO TUBO: 3,4 X 12 Cm, CANTIDAD DE TUBOS: 12, MATERIAL: ALAMBRE PLASTIFICADO, MEDIDA TUBO: 3,4 X 12 Cm, CANT. DE ELEMENTOS: 12, MEDIDA: 3,4 X 12 Cm</v>
      </c>
      <c r="D42" s="188"/>
      <c r="E42" s="188"/>
      <c r="F42" s="188"/>
      <c r="G42" s="189"/>
      <c r="H42" s="135" t="s">
        <v>234</v>
      </c>
      <c r="I42" s="135" t="str">
        <f>'SAF 011'!F40</f>
        <v>UNIDAD</v>
      </c>
      <c r="J42" s="136">
        <f>'SAF 011'!AX40</f>
        <v>2583.6</v>
      </c>
      <c r="K42" s="137">
        <f>'SAF 011'!AE40</f>
        <v>5</v>
      </c>
      <c r="M42" s="142">
        <f t="shared" si="0"/>
        <v>12918</v>
      </c>
    </row>
    <row r="43" spans="1:13" s="138" customFormat="1" x14ac:dyDescent="0.25">
      <c r="A43" s="134">
        <v>32</v>
      </c>
      <c r="B43" s="135" t="str">
        <f>'SAF 011'!B41</f>
        <v>2.9.5-7591.1</v>
      </c>
      <c r="C43" s="187" t="str">
        <f>'SAF 011'!E41</f>
        <v>MANGOS DE KOLL; LARGO: 25 Cm, MATERIAL: ACERO INOXIDABLE, PRESENTACION: UNIDAD, USO: TOMA DE MUESTRAS</v>
      </c>
      <c r="D43" s="188"/>
      <c r="E43" s="188"/>
      <c r="F43" s="188"/>
      <c r="G43" s="189"/>
      <c r="H43" s="135" t="s">
        <v>234</v>
      </c>
      <c r="I43" s="135" t="str">
        <f>'SAF 011'!F41</f>
        <v>UNIDAD</v>
      </c>
      <c r="J43" s="136">
        <f>'SAF 011'!AX41</f>
        <v>1788</v>
      </c>
      <c r="K43" s="137">
        <f>'SAF 011'!AE41</f>
        <v>3</v>
      </c>
      <c r="M43" s="142">
        <f t="shared" si="0"/>
        <v>5364</v>
      </c>
    </row>
    <row r="44" spans="1:13" s="138" customFormat="1" x14ac:dyDescent="0.25">
      <c r="A44" s="134">
        <v>33</v>
      </c>
      <c r="B44" s="135" t="str">
        <f>'SAF 011'!B42</f>
        <v>2.9.5-4539.37</v>
      </c>
      <c r="C44" s="187" t="str">
        <f>'SAF 011'!E42</f>
        <v>MATRAZ AFORADO; ESTADO: SOLIDO, MATERIAL: POLIPROPILENO, PRESENTACION: UNIDAD, CAPACIDAD: 100 mL</v>
      </c>
      <c r="D44" s="188"/>
      <c r="E44" s="188"/>
      <c r="F44" s="188"/>
      <c r="G44" s="189"/>
      <c r="H44" s="135" t="s">
        <v>234</v>
      </c>
      <c r="I44" s="135" t="str">
        <f>'SAF 011'!F42</f>
        <v>UNIDAD</v>
      </c>
      <c r="J44" s="136">
        <f>'SAF 011'!AX42</f>
        <v>823.44</v>
      </c>
      <c r="K44" s="137">
        <f>'SAF 011'!AE42</f>
        <v>5</v>
      </c>
      <c r="M44" s="142">
        <f t="shared" si="0"/>
        <v>4117.2000000000007</v>
      </c>
    </row>
    <row r="45" spans="1:13" s="138" customFormat="1" x14ac:dyDescent="0.25">
      <c r="A45" s="134">
        <v>34</v>
      </c>
      <c r="B45" s="135" t="str">
        <f>'SAF 011'!B43</f>
        <v>2.9.5-4539.40</v>
      </c>
      <c r="C45" s="187" t="str">
        <f>'SAF 011'!E43</f>
        <v>MATRAZ AFORADO; ESTADO: SOLIDO, MATERIAL: POLIPROPILENO, PRESENTACION: UNIDAD, CAPACIDAD: 250 mL</v>
      </c>
      <c r="D45" s="188"/>
      <c r="E45" s="188"/>
      <c r="F45" s="188"/>
      <c r="G45" s="189"/>
      <c r="H45" s="135" t="s">
        <v>234</v>
      </c>
      <c r="I45" s="135" t="str">
        <f>'SAF 011'!F43</f>
        <v>UNIDAD</v>
      </c>
      <c r="J45" s="136">
        <f>'SAF 011'!AX43</f>
        <v>1071.6400000000001</v>
      </c>
      <c r="K45" s="137">
        <f>'SAF 011'!AE43</f>
        <v>5</v>
      </c>
      <c r="M45" s="142">
        <f t="shared" si="0"/>
        <v>5358.2000000000007</v>
      </c>
    </row>
    <row r="46" spans="1:13" s="138" customFormat="1" x14ac:dyDescent="0.25">
      <c r="A46" s="134">
        <v>35</v>
      </c>
      <c r="B46" s="135" t="str">
        <f>'SAF 011'!B44</f>
        <v>2.9.5-4539.8</v>
      </c>
      <c r="C46" s="187" t="str">
        <f>'SAF 011'!E44</f>
        <v>MATRAZ AFORADO; ESTADO: SOLIDO, MATERIAL: VIDRIO BOROSILICATO, PRESENTACION: UNIDAD, CAPACIDAD: 250 mL</v>
      </c>
      <c r="D46" s="188"/>
      <c r="E46" s="188"/>
      <c r="F46" s="188"/>
      <c r="G46" s="189"/>
      <c r="H46" s="135" t="s">
        <v>234</v>
      </c>
      <c r="I46" s="135" t="str">
        <f>'SAF 011'!F44</f>
        <v>UNIDAD</v>
      </c>
      <c r="J46" s="136">
        <f>'SAF 011'!AX44</f>
        <v>1124.28</v>
      </c>
      <c r="K46" s="137">
        <f>'SAF 011'!AE44</f>
        <v>10</v>
      </c>
      <c r="M46" s="142">
        <f t="shared" si="0"/>
        <v>11242.8</v>
      </c>
    </row>
    <row r="47" spans="1:13" s="138" customFormat="1" x14ac:dyDescent="0.25">
      <c r="A47" s="134">
        <v>36</v>
      </c>
      <c r="B47" s="135" t="str">
        <f>'SAF 011'!B45</f>
        <v>2.9.5-4539.21</v>
      </c>
      <c r="C47" s="187" t="str">
        <f>'SAF 011'!E45</f>
        <v>MATRAZ AFORADO; ESTADO: SOLIDO, MATERIAL: VIDRIO, PRESENTACION: UNIDAD, CAPACIDAD: 100 Ml</v>
      </c>
      <c r="D47" s="188"/>
      <c r="E47" s="188"/>
      <c r="F47" s="188"/>
      <c r="G47" s="189"/>
      <c r="H47" s="135" t="s">
        <v>234</v>
      </c>
      <c r="I47" s="135" t="str">
        <f>'SAF 011'!F45</f>
        <v>UNIDAD</v>
      </c>
      <c r="J47" s="136">
        <f>'SAF 011'!AX45</f>
        <v>841.07999999999993</v>
      </c>
      <c r="K47" s="137">
        <f>'SAF 011'!AE45</f>
        <v>10</v>
      </c>
      <c r="M47" s="142">
        <f t="shared" si="0"/>
        <v>8410.7999999999993</v>
      </c>
    </row>
    <row r="48" spans="1:13" s="138" customFormat="1" x14ac:dyDescent="0.25">
      <c r="A48" s="134">
        <v>37</v>
      </c>
      <c r="B48" s="135" t="str">
        <f>'SAF 011'!B46</f>
        <v>2.9.5-4539.22</v>
      </c>
      <c r="C48" s="187" t="str">
        <f>'SAF 011'!E46</f>
        <v>MATRAZ AFORADO; ESTADO: SOLIDO, MATERIAL: VIDRIO, PRESENTACION: UNIDAD, CAPACIDAD: 200 Ml</v>
      </c>
      <c r="D48" s="188"/>
      <c r="E48" s="188"/>
      <c r="F48" s="188"/>
      <c r="G48" s="189"/>
      <c r="H48" s="135" t="s">
        <v>234</v>
      </c>
      <c r="I48" s="135" t="str">
        <f>'SAF 011'!F46</f>
        <v>UNIDAD</v>
      </c>
      <c r="J48" s="136">
        <f>'SAF 011'!AX46</f>
        <v>1070.76</v>
      </c>
      <c r="K48" s="137">
        <f>'SAF 011'!AE46</f>
        <v>10</v>
      </c>
      <c r="M48" s="142">
        <f t="shared" si="0"/>
        <v>10707.6</v>
      </c>
    </row>
    <row r="49" spans="1:13" s="138" customFormat="1" x14ac:dyDescent="0.25">
      <c r="A49" s="134">
        <v>38</v>
      </c>
      <c r="B49" s="135" t="str">
        <f>'SAF 011'!B47</f>
        <v>2.9.5-4539.23</v>
      </c>
      <c r="C49" s="187" t="str">
        <f>'SAF 011'!E47</f>
        <v>MATRAZ AFORADO; ESTADO: SOLIDO, MATERIAL: VIDRIO, PRESENTACION: UNIDAD, CAPACIDAD: 25 Ml</v>
      </c>
      <c r="D49" s="188"/>
      <c r="E49" s="188"/>
      <c r="F49" s="188"/>
      <c r="G49" s="189"/>
      <c r="H49" s="135" t="s">
        <v>234</v>
      </c>
      <c r="I49" s="135" t="str">
        <f>'SAF 011'!F47</f>
        <v>UNIDAD</v>
      </c>
      <c r="J49" s="136">
        <f>'SAF 011'!AX47</f>
        <v>756</v>
      </c>
      <c r="K49" s="137">
        <f>'SAF 011'!AE47</f>
        <v>10</v>
      </c>
      <c r="M49" s="142">
        <f t="shared" si="0"/>
        <v>7560</v>
      </c>
    </row>
    <row r="50" spans="1:13" s="138" customFormat="1" x14ac:dyDescent="0.25">
      <c r="A50" s="134">
        <v>39</v>
      </c>
      <c r="B50" s="135" t="str">
        <f>'SAF 011'!B48</f>
        <v>2.9.5-4539.24</v>
      </c>
      <c r="C50" s="187" t="str">
        <f>'SAF 011'!E48</f>
        <v>MATRAZ AFORADO; ESTADO: SOLIDO, MATERIAL: VIDRIO, PRESENTACION: UNIDAD, CAPACIDAD: 50 mL</v>
      </c>
      <c r="D50" s="188"/>
      <c r="E50" s="188"/>
      <c r="F50" s="188"/>
      <c r="G50" s="189"/>
      <c r="H50" s="135" t="s">
        <v>234</v>
      </c>
      <c r="I50" s="135" t="str">
        <f>'SAF 011'!F48</f>
        <v>UNIDAD</v>
      </c>
      <c r="J50" s="136">
        <f>'SAF 011'!AX48</f>
        <v>816.66</v>
      </c>
      <c r="K50" s="137">
        <f>'SAF 011'!AE48</f>
        <v>10</v>
      </c>
      <c r="M50" s="142">
        <f t="shared" si="0"/>
        <v>8166.5999999999995</v>
      </c>
    </row>
    <row r="51" spans="1:13" s="138" customFormat="1" x14ac:dyDescent="0.25">
      <c r="A51" s="134">
        <v>40</v>
      </c>
      <c r="B51" s="135" t="str">
        <f>'SAF 011'!B49</f>
        <v>2.9.5-4539.25</v>
      </c>
      <c r="C51" s="187" t="str">
        <f>'SAF 011'!E49</f>
        <v>MATRAZ AFORADO; ESTADO: SOLIDO, MATERIAL: VIDRIO, PRESENTACION: UNIDAD, CAPACIDAD: 500 Ml</v>
      </c>
      <c r="D51" s="188"/>
      <c r="E51" s="188"/>
      <c r="F51" s="188"/>
      <c r="G51" s="189"/>
      <c r="H51" s="135" t="s">
        <v>234</v>
      </c>
      <c r="I51" s="135" t="str">
        <f>'SAF 011'!F49</f>
        <v>UNIDAD</v>
      </c>
      <c r="J51" s="136">
        <f>'SAF 011'!AX49</f>
        <v>1483.44</v>
      </c>
      <c r="K51" s="137">
        <f>'SAF 011'!AE49</f>
        <v>10</v>
      </c>
      <c r="M51" s="142">
        <f t="shared" si="0"/>
        <v>14834.400000000001</v>
      </c>
    </row>
    <row r="52" spans="1:13" s="138" customFormat="1" x14ac:dyDescent="0.25">
      <c r="A52" s="134">
        <v>41</v>
      </c>
      <c r="B52" s="135" t="str">
        <f>'SAF 011'!B50</f>
        <v>2.9.5-3024.49</v>
      </c>
      <c r="C52" s="187" t="str">
        <f>'SAF 011'!E50</f>
        <v>PAPEL FILTRO; FORMA: CIRCULAR, DIMENSION: 110 mm, PORO: WATMAN 40/41, PRESENTACION: ENVASE X 100</v>
      </c>
      <c r="D52" s="188"/>
      <c r="E52" s="188"/>
      <c r="F52" s="188"/>
      <c r="G52" s="189"/>
      <c r="H52" s="135" t="s">
        <v>234</v>
      </c>
      <c r="I52" s="135" t="str">
        <f>'SAF 011'!F50</f>
        <v>UNIDAD</v>
      </c>
      <c r="J52" s="136">
        <f>'SAF 011'!AX50</f>
        <v>8784</v>
      </c>
      <c r="K52" s="137">
        <f>'SAF 011'!AE50</f>
        <v>1</v>
      </c>
      <c r="M52" s="142">
        <f t="shared" si="0"/>
        <v>8784</v>
      </c>
    </row>
    <row r="53" spans="1:13" s="138" customFormat="1" x14ac:dyDescent="0.25">
      <c r="A53" s="134">
        <v>42</v>
      </c>
      <c r="B53" s="135" t="str">
        <f>'SAF 011'!B51</f>
        <v>2.9.5-469.92</v>
      </c>
      <c r="C53" s="187" t="str">
        <f>'SAF 011'!E51</f>
        <v>PIPETAS DE VIDRIO; USO: GENERAL, TIPO: GRADUADA X 1 ML</v>
      </c>
      <c r="D53" s="188"/>
      <c r="E53" s="188"/>
      <c r="F53" s="188"/>
      <c r="G53" s="189"/>
      <c r="H53" s="135" t="s">
        <v>234</v>
      </c>
      <c r="I53" s="135" t="str">
        <f>'SAF 011'!F51</f>
        <v>UNIDAD</v>
      </c>
      <c r="J53" s="136">
        <f>'SAF 011'!AX51</f>
        <v>348.36</v>
      </c>
      <c r="K53" s="137">
        <f>'SAF 011'!AE51</f>
        <v>10</v>
      </c>
      <c r="M53" s="142">
        <f t="shared" si="0"/>
        <v>3483.6000000000004</v>
      </c>
    </row>
    <row r="54" spans="1:13" s="138" customFormat="1" x14ac:dyDescent="0.25">
      <c r="A54" s="134">
        <v>43</v>
      </c>
      <c r="B54" s="135" t="str">
        <f>'SAF 011'!B52</f>
        <v>2.9.5-469.36</v>
      </c>
      <c r="C54" s="187" t="str">
        <f>'SAF 011'!E52</f>
        <v>PIPETAS DE VIDRIO; USO: LABORATORIO, TIPO: 1 AFORO DE 50 ML</v>
      </c>
      <c r="D54" s="188"/>
      <c r="E54" s="188"/>
      <c r="F54" s="188"/>
      <c r="G54" s="189"/>
      <c r="H54" s="135" t="s">
        <v>234</v>
      </c>
      <c r="I54" s="135" t="str">
        <f>'SAF 011'!F52</f>
        <v>UNIDAD</v>
      </c>
      <c r="J54" s="136">
        <f>'SAF 011'!AX52</f>
        <v>414</v>
      </c>
      <c r="K54" s="137">
        <f>'SAF 011'!AE52</f>
        <v>10</v>
      </c>
      <c r="M54" s="142">
        <f t="shared" si="0"/>
        <v>4140</v>
      </c>
    </row>
    <row r="55" spans="1:13" s="138" customFormat="1" x14ac:dyDescent="0.25">
      <c r="A55" s="134">
        <v>44</v>
      </c>
      <c r="B55" s="135" t="str">
        <f>'SAF 011'!B53</f>
        <v>2.9.5-469.62</v>
      </c>
      <c r="C55" s="187" t="str">
        <f>'SAF 011'!E53</f>
        <v>PIPETAS DE VIDRIO; USO: LABORATORIO, TIPO: AFORO SIMPLE 100 ML</v>
      </c>
      <c r="D55" s="188"/>
      <c r="E55" s="188"/>
      <c r="F55" s="188"/>
      <c r="G55" s="189"/>
      <c r="H55" s="135" t="s">
        <v>234</v>
      </c>
      <c r="I55" s="135" t="str">
        <f>'SAF 011'!F53</f>
        <v>UNIDAD</v>
      </c>
      <c r="J55" s="136">
        <f>'SAF 011'!AX53</f>
        <v>432</v>
      </c>
      <c r="K55" s="137">
        <f>'SAF 011'!AE53</f>
        <v>10</v>
      </c>
      <c r="M55" s="142">
        <f t="shared" si="0"/>
        <v>4320</v>
      </c>
    </row>
    <row r="56" spans="1:13" s="138" customFormat="1" x14ac:dyDescent="0.25">
      <c r="A56" s="134">
        <v>45</v>
      </c>
      <c r="B56" s="135" t="str">
        <f>'SAF 011'!B54</f>
        <v>2.9.5-469.59</v>
      </c>
      <c r="C56" s="187" t="str">
        <f>'SAF 011'!E54</f>
        <v>PIPETAS DE VIDRIO; USO: LABORATORIO, TIPO: DOBLE AFORO 100 mL</v>
      </c>
      <c r="D56" s="188"/>
      <c r="E56" s="188"/>
      <c r="F56" s="188"/>
      <c r="G56" s="189"/>
      <c r="H56" s="135" t="s">
        <v>234</v>
      </c>
      <c r="I56" s="135" t="str">
        <f>'SAF 011'!F54</f>
        <v>UNIDAD</v>
      </c>
      <c r="J56" s="136">
        <f>'SAF 011'!AX54</f>
        <v>12074.83</v>
      </c>
      <c r="K56" s="137">
        <f>'SAF 011'!AE54</f>
        <v>5</v>
      </c>
      <c r="M56" s="142">
        <f t="shared" si="0"/>
        <v>60374.15</v>
      </c>
    </row>
    <row r="57" spans="1:13" s="138" customFormat="1" x14ac:dyDescent="0.25">
      <c r="A57" s="134">
        <v>46</v>
      </c>
      <c r="B57" s="135" t="str">
        <f>'SAF 011'!B55</f>
        <v>2.9.5-469.45</v>
      </c>
      <c r="C57" s="187" t="str">
        <f>'SAF 011'!E55</f>
        <v>PIPETAS DE VIDRIO; USO: LABORATORIO, TIPO: DOBLE AFORO 11 Ml</v>
      </c>
      <c r="D57" s="188"/>
      <c r="E57" s="188"/>
      <c r="F57" s="188"/>
      <c r="G57" s="189"/>
      <c r="H57" s="135" t="s">
        <v>234</v>
      </c>
      <c r="I57" s="135" t="str">
        <f>'SAF 011'!F55</f>
        <v>UNIDAD</v>
      </c>
      <c r="J57" s="136">
        <f>'SAF 011'!AX55</f>
        <v>2236.9</v>
      </c>
      <c r="K57" s="137">
        <f>'SAF 011'!AE55</f>
        <v>10</v>
      </c>
      <c r="M57" s="142">
        <f t="shared" si="0"/>
        <v>22369</v>
      </c>
    </row>
    <row r="58" spans="1:13" s="138" customFormat="1" x14ac:dyDescent="0.25">
      <c r="A58" s="134">
        <v>47</v>
      </c>
      <c r="B58" s="135" t="str">
        <f>'SAF 011'!B56</f>
        <v>2.9.5-469.35</v>
      </c>
      <c r="C58" s="187" t="str">
        <f>'SAF 011'!E56</f>
        <v>PIPETAS DE VIDRIO; USO: LABORATORIO, TIPO: DOBLE AFORO 25 mL</v>
      </c>
      <c r="D58" s="188"/>
      <c r="E58" s="188"/>
      <c r="F58" s="188"/>
      <c r="G58" s="189"/>
      <c r="H58" s="135" t="s">
        <v>234</v>
      </c>
      <c r="I58" s="135" t="str">
        <f>'SAF 011'!F56</f>
        <v>UNIDAD</v>
      </c>
      <c r="J58" s="136">
        <f>'SAF 011'!AX56</f>
        <v>3579.8399999999997</v>
      </c>
      <c r="K58" s="137">
        <f>'SAF 011'!AE56</f>
        <v>5</v>
      </c>
      <c r="M58" s="142">
        <f t="shared" si="0"/>
        <v>17899.199999999997</v>
      </c>
    </row>
    <row r="59" spans="1:13" s="138" customFormat="1" x14ac:dyDescent="0.25">
      <c r="A59" s="134">
        <v>48</v>
      </c>
      <c r="B59" s="135" t="str">
        <f>'SAF 011'!B57</f>
        <v>2.9.5-469.51</v>
      </c>
      <c r="C59" s="187" t="str">
        <f>'SAF 011'!E57</f>
        <v>PIPETAS DE VIDRIO; USO: LABORATORIO, TIPO: DOBLE AFORO 50 mL</v>
      </c>
      <c r="D59" s="188"/>
      <c r="E59" s="188"/>
      <c r="F59" s="188"/>
      <c r="G59" s="189"/>
      <c r="H59" s="135" t="s">
        <v>234</v>
      </c>
      <c r="I59" s="135" t="str">
        <f>'SAF 011'!F57</f>
        <v>UNIDAD</v>
      </c>
      <c r="J59" s="136">
        <f>'SAF 011'!AX57</f>
        <v>7083.9</v>
      </c>
      <c r="K59" s="137">
        <f>'SAF 011'!AE57</f>
        <v>5</v>
      </c>
      <c r="M59" s="142">
        <f t="shared" si="0"/>
        <v>35419.5</v>
      </c>
    </row>
    <row r="60" spans="1:13" s="138" customFormat="1" x14ac:dyDescent="0.25">
      <c r="A60" s="134">
        <v>49</v>
      </c>
      <c r="B60" s="135" t="str">
        <f>'SAF 011'!B58</f>
        <v>2.9.5-469.41</v>
      </c>
      <c r="C60" s="187" t="str">
        <f>'SAF 011'!E58</f>
        <v>PIPETAS DE VIDRIO; USO: LABORATORIO, TIPO: GRADUADA DE 10 ML</v>
      </c>
      <c r="D60" s="188"/>
      <c r="E60" s="188"/>
      <c r="F60" s="188"/>
      <c r="G60" s="189"/>
      <c r="H60" s="135" t="s">
        <v>234</v>
      </c>
      <c r="I60" s="135" t="str">
        <f>'SAF 011'!F58</f>
        <v>UNIDAD</v>
      </c>
      <c r="J60" s="136">
        <f>'SAF 011'!AX58</f>
        <v>384.01</v>
      </c>
      <c r="K60" s="137">
        <f>'SAF 011'!AE58</f>
        <v>10</v>
      </c>
      <c r="M60" s="142">
        <f t="shared" si="0"/>
        <v>3840.1</v>
      </c>
    </row>
    <row r="61" spans="1:13" s="138" customFormat="1" x14ac:dyDescent="0.25">
      <c r="A61" s="134">
        <v>50</v>
      </c>
      <c r="B61" s="135" t="str">
        <f>'SAF 011'!B59</f>
        <v>2.9.5-469.48</v>
      </c>
      <c r="C61" s="187" t="str">
        <f>'SAF 011'!E59</f>
        <v>PIPETAS DE VIDRIO; USO: LABORATORIO, TIPO: GRADUADA DE 25 ML Ml</v>
      </c>
      <c r="D61" s="188"/>
      <c r="E61" s="188"/>
      <c r="F61" s="188"/>
      <c r="G61" s="189"/>
      <c r="H61" s="135" t="s">
        <v>234</v>
      </c>
      <c r="I61" s="135" t="str">
        <f>'SAF 011'!F59</f>
        <v>UNIDAD</v>
      </c>
      <c r="J61" s="136">
        <f>'SAF 011'!AX59</f>
        <v>396.6</v>
      </c>
      <c r="K61" s="137">
        <f>'SAF 011'!AE59</f>
        <v>10</v>
      </c>
      <c r="M61" s="142">
        <f t="shared" si="0"/>
        <v>3966</v>
      </c>
    </row>
    <row r="62" spans="1:13" s="138" customFormat="1" x14ac:dyDescent="0.25">
      <c r="A62" s="134">
        <v>51</v>
      </c>
      <c r="B62" s="135" t="str">
        <f>'SAF 011'!B60</f>
        <v>2.9.5-469.49</v>
      </c>
      <c r="C62" s="187" t="str">
        <f>'SAF 011'!E60</f>
        <v>PIPETAS DE VIDRIO; USO: LABORATORIO, TIPO: GRADUADA DE 5 ML</v>
      </c>
      <c r="D62" s="188"/>
      <c r="E62" s="188"/>
      <c r="F62" s="188"/>
      <c r="G62" s="189"/>
      <c r="H62" s="135" t="s">
        <v>234</v>
      </c>
      <c r="I62" s="135" t="str">
        <f>'SAF 011'!F60</f>
        <v>UNIDAD</v>
      </c>
      <c r="J62" s="136">
        <f>'SAF 011'!AX60</f>
        <v>361.46</v>
      </c>
      <c r="K62" s="137">
        <f>'SAF 011'!AE60</f>
        <v>10</v>
      </c>
      <c r="M62" s="142">
        <f t="shared" si="0"/>
        <v>3614.6</v>
      </c>
    </row>
    <row r="63" spans="1:13" s="138" customFormat="1" x14ac:dyDescent="0.25">
      <c r="A63" s="134">
        <v>52</v>
      </c>
      <c r="B63" s="135" t="str">
        <f>'SAF 011'!B61</f>
        <v>2.9.5-2782.13</v>
      </c>
      <c r="C63" s="187" t="str">
        <f>'SAF 011'!E61</f>
        <v>PISETAS DE LABORATORIO; MATERIAL: POLIETILENO, CAPACIDAD: 500 Ml</v>
      </c>
      <c r="D63" s="188"/>
      <c r="E63" s="188"/>
      <c r="F63" s="188"/>
      <c r="G63" s="189"/>
      <c r="H63" s="135" t="s">
        <v>234</v>
      </c>
      <c r="I63" s="135" t="str">
        <f>'SAF 011'!F61</f>
        <v>UNIDAD</v>
      </c>
      <c r="J63" s="136">
        <f>'SAF 011'!AX61</f>
        <v>429</v>
      </c>
      <c r="K63" s="137">
        <f>'SAF 011'!AE61</f>
        <v>5</v>
      </c>
      <c r="M63" s="142">
        <f t="shared" si="0"/>
        <v>2145</v>
      </c>
    </row>
    <row r="64" spans="1:13" s="138" customFormat="1" x14ac:dyDescent="0.25">
      <c r="A64" s="134">
        <v>53</v>
      </c>
      <c r="B64" s="135" t="str">
        <f>'SAF 011'!B62</f>
        <v>2.9.5-2591.7</v>
      </c>
      <c r="C64" s="187" t="str">
        <f>'SAF 011'!E62</f>
        <v>PLACAS DE PETRI; MATERIAL: PLASTICO ESTERIL, DIAMETRO: 5 Cm, ALTURA: SIN VALOR</v>
      </c>
      <c r="D64" s="188"/>
      <c r="E64" s="188"/>
      <c r="F64" s="188"/>
      <c r="G64" s="189"/>
      <c r="H64" s="135" t="s">
        <v>234</v>
      </c>
      <c r="I64" s="135" t="str">
        <f>'SAF 011'!F62</f>
        <v>UNIDAD</v>
      </c>
      <c r="J64" s="136">
        <f>'SAF 011'!AX62</f>
        <v>30</v>
      </c>
      <c r="K64" s="137">
        <f>'SAF 011'!AE62</f>
        <v>100</v>
      </c>
      <c r="M64" s="142">
        <f t="shared" si="0"/>
        <v>3000</v>
      </c>
    </row>
    <row r="65" spans="1:13" s="138" customFormat="1" x14ac:dyDescent="0.25">
      <c r="A65" s="134">
        <v>54</v>
      </c>
      <c r="B65" s="135" t="str">
        <f>'SAF 011'!B63</f>
        <v>2.9.5-2591.5</v>
      </c>
      <c r="C65" s="187" t="str">
        <f>'SAF 011'!E63</f>
        <v>PLACAS DE PETRI; MATERIAL: SOLIDO, DIAMETRO: 100 mm, ALTURA: 15 mm</v>
      </c>
      <c r="D65" s="188"/>
      <c r="E65" s="188"/>
      <c r="F65" s="188"/>
      <c r="G65" s="189"/>
      <c r="H65" s="135" t="s">
        <v>234</v>
      </c>
      <c r="I65" s="135" t="str">
        <f>'SAF 011'!F63</f>
        <v>UNIDAD</v>
      </c>
      <c r="J65" s="136">
        <f>'SAF 011'!AX63</f>
        <v>32.160000000000004</v>
      </c>
      <c r="K65" s="137">
        <f>'SAF 011'!AE63</f>
        <v>200</v>
      </c>
      <c r="M65" s="142">
        <f t="shared" si="0"/>
        <v>6432.0000000000009</v>
      </c>
    </row>
    <row r="66" spans="1:13" s="138" customFormat="1" x14ac:dyDescent="0.25">
      <c r="A66" s="134">
        <v>55</v>
      </c>
      <c r="B66" s="135" t="str">
        <f>'SAF 011'!B64</f>
        <v>2.9.5-2763.20</v>
      </c>
      <c r="C66" s="187" t="str">
        <f>'SAF 011'!E64</f>
        <v>PROBETAS; MATERIAL: VIDRIO, CAPACIDAD: 100 mL, GRADUACION: 1 mL, TAPA: SIN, BASE: PLASTICA</v>
      </c>
      <c r="D66" s="188"/>
      <c r="E66" s="188"/>
      <c r="F66" s="188"/>
      <c r="G66" s="189"/>
      <c r="H66" s="135" t="s">
        <v>234</v>
      </c>
      <c r="I66" s="135" t="str">
        <f>'SAF 011'!F64</f>
        <v>UNIDAD</v>
      </c>
      <c r="J66" s="136">
        <f>'SAF 011'!AX64</f>
        <v>1035.5999999999999</v>
      </c>
      <c r="K66" s="137">
        <f>'SAF 011'!AE64</f>
        <v>15</v>
      </c>
      <c r="M66" s="142">
        <f t="shared" si="0"/>
        <v>15533.999999999998</v>
      </c>
    </row>
    <row r="67" spans="1:13" s="138" customFormat="1" x14ac:dyDescent="0.25">
      <c r="A67" s="134">
        <v>56</v>
      </c>
      <c r="B67" s="135" t="str">
        <f>'SAF 011'!B65</f>
        <v>2.9.5-2763.11</v>
      </c>
      <c r="C67" s="187" t="str">
        <f>'SAF 011'!E65</f>
        <v>PROBETAS; MATERIAL: VIDRIO BOROSILICATO, CAPACIDAD: 1000 mL, GRADUACION: EN COLOR, TAPA: SIN VALOR, BASE: PLASTICA</v>
      </c>
      <c r="D67" s="188"/>
      <c r="E67" s="188"/>
      <c r="F67" s="188"/>
      <c r="G67" s="189"/>
      <c r="H67" s="135" t="s">
        <v>234</v>
      </c>
      <c r="I67" s="135" t="str">
        <f>'SAF 011'!F65</f>
        <v>UNIDAD</v>
      </c>
      <c r="J67" s="136">
        <f>'SAF 011'!AX65</f>
        <v>2539.8000000000002</v>
      </c>
      <c r="K67" s="137">
        <f>'SAF 011'!AE65</f>
        <v>5</v>
      </c>
      <c r="M67" s="142">
        <f t="shared" si="0"/>
        <v>12699</v>
      </c>
    </row>
    <row r="68" spans="1:13" s="138" customFormat="1" x14ac:dyDescent="0.25">
      <c r="A68" s="134">
        <v>57</v>
      </c>
      <c r="B68" s="135" t="str">
        <f>'SAF 011'!B66</f>
        <v>2.9.5-2763.9</v>
      </c>
      <c r="C68" s="187" t="str">
        <f>'SAF 011'!E66</f>
        <v>PROBETAS; MATERIAL: VIDRIO BOROSILICATO, CAPACIDAD: 250 mL, GRADUACION: EN COLOR, TAPA: SIN VALOR, BASE: PLASTICA</v>
      </c>
      <c r="D68" s="188"/>
      <c r="E68" s="188"/>
      <c r="F68" s="188"/>
      <c r="G68" s="189"/>
      <c r="H68" s="135" t="s">
        <v>234</v>
      </c>
      <c r="I68" s="135" t="str">
        <f>'SAF 011'!F66</f>
        <v>UNIDAD</v>
      </c>
      <c r="J68" s="136">
        <f>'SAF 011'!AX66</f>
        <v>1480.68</v>
      </c>
      <c r="K68" s="137">
        <f>'SAF 011'!AE66</f>
        <v>5</v>
      </c>
      <c r="M68" s="142">
        <f t="shared" si="0"/>
        <v>7403.4000000000005</v>
      </c>
    </row>
    <row r="69" spans="1:13" s="138" customFormat="1" x14ac:dyDescent="0.25">
      <c r="A69" s="134">
        <v>58</v>
      </c>
      <c r="B69" s="135" t="str">
        <f>'SAF 011'!B67</f>
        <v>2.9.5-2763.21</v>
      </c>
      <c r="C69" s="187" t="str">
        <f>'SAF 011'!E67</f>
        <v>PROBETAS; MATERIAL: VIDRIO, CAPACIDAD: 50 mL, GRADUACION: 1 mL, TAPA: SIN, BASE: PLASTICA</v>
      </c>
      <c r="D69" s="188"/>
      <c r="E69" s="188"/>
      <c r="F69" s="188"/>
      <c r="G69" s="189"/>
      <c r="H69" s="135" t="s">
        <v>234</v>
      </c>
      <c r="I69" s="135" t="str">
        <f>'SAF 011'!F67</f>
        <v>UNIDAD</v>
      </c>
      <c r="J69" s="136">
        <f>'SAF 011'!AX67</f>
        <v>523.97</v>
      </c>
      <c r="K69" s="137">
        <f>'SAF 011'!AE67</f>
        <v>5</v>
      </c>
      <c r="M69" s="142">
        <f t="shared" si="0"/>
        <v>2619.8500000000004</v>
      </c>
    </row>
    <row r="70" spans="1:13" s="138" customFormat="1" x14ac:dyDescent="0.25">
      <c r="A70" s="134">
        <v>59</v>
      </c>
      <c r="B70" s="135" t="str">
        <f>'SAF 011'!B68</f>
        <v>2.9.5-2763.16</v>
      </c>
      <c r="C70" s="187" t="str">
        <f>'SAF 011'!E68</f>
        <v>PROBETAS; MATERIAL: VIDRIO, CAPACIDAD: 50 mL, GRADUACION: 1/10 mL, TAPA: SIN, BASE: PLASTICA</v>
      </c>
      <c r="D70" s="188"/>
      <c r="E70" s="188"/>
      <c r="F70" s="188"/>
      <c r="G70" s="189"/>
      <c r="H70" s="135" t="s">
        <v>234</v>
      </c>
      <c r="I70" s="135" t="str">
        <f>'SAF 011'!F68</f>
        <v>UNIDAD</v>
      </c>
      <c r="J70" s="136">
        <f>'SAF 011'!AX68</f>
        <v>675.6</v>
      </c>
      <c r="K70" s="137">
        <f>'SAF 011'!AE68</f>
        <v>5</v>
      </c>
      <c r="M70" s="142">
        <f t="shared" si="0"/>
        <v>3378</v>
      </c>
    </row>
    <row r="71" spans="1:13" s="138" customFormat="1" x14ac:dyDescent="0.25">
      <c r="A71" s="134">
        <v>60</v>
      </c>
      <c r="B71" s="135" t="str">
        <f>'SAF 011'!B69</f>
        <v>2.9.5-2763.27</v>
      </c>
      <c r="C71" s="187" t="str">
        <f>'SAF 011'!E69</f>
        <v>PROBETAS; MATERIAL: VIDRIO, CAPACIDAD: 500 mm, GRADUACION: AL MILÍMETRO, TAPA: SIN, BASE: PLASTICA</v>
      </c>
      <c r="D71" s="188"/>
      <c r="E71" s="188"/>
      <c r="F71" s="188"/>
      <c r="G71" s="189"/>
      <c r="H71" s="135" t="s">
        <v>234</v>
      </c>
      <c r="I71" s="135" t="str">
        <f>'SAF 011'!F69</f>
        <v>UNIDAD</v>
      </c>
      <c r="J71" s="136">
        <f>'SAF 011'!AX69</f>
        <v>1755.6</v>
      </c>
      <c r="K71" s="137">
        <f>'SAF 011'!AE69</f>
        <v>5</v>
      </c>
      <c r="M71" s="142">
        <f t="shared" si="0"/>
        <v>8778</v>
      </c>
    </row>
    <row r="72" spans="1:13" s="138" customFormat="1" x14ac:dyDescent="0.25">
      <c r="A72" s="134">
        <v>61</v>
      </c>
      <c r="B72" s="135" t="str">
        <f>'SAF 011'!B70</f>
        <v>2.9.6-5967.13</v>
      </c>
      <c r="C72" s="187" t="str">
        <f>'SAF 011'!E70</f>
        <v xml:space="preserve">TAPONES; FORMA: CILINDROS CONCENTRICOS, DIAMETRO MENOR: 20 mm, DIAMETRO MAYOR: 30 mm, LARGO: 18 mm, MATERIAL: POLIPROPILENO            </v>
      </c>
      <c r="D72" s="188"/>
      <c r="E72" s="188"/>
      <c r="F72" s="188"/>
      <c r="G72" s="189"/>
      <c r="H72" s="135" t="s">
        <v>234</v>
      </c>
      <c r="I72" s="135" t="str">
        <f>'SAF 011'!F70</f>
        <v>UNIDAD</v>
      </c>
      <c r="J72" s="136">
        <f>'SAF 011'!AX70</f>
        <v>108</v>
      </c>
      <c r="K72" s="137">
        <f>'SAF 011'!AE70</f>
        <v>10</v>
      </c>
      <c r="M72" s="142">
        <f t="shared" si="0"/>
        <v>1080</v>
      </c>
    </row>
    <row r="73" spans="1:13" s="138" customFormat="1" x14ac:dyDescent="0.25">
      <c r="A73" s="134">
        <v>62</v>
      </c>
      <c r="B73" s="135" t="str">
        <f>'SAF 011'!B71</f>
        <v>2.9.5-2961.1</v>
      </c>
      <c r="C73" s="187" t="str">
        <f>'SAF 011'!E71</f>
        <v>VARILLAS MEZCLADORAS; DIAMETRO: 6 mm, LARGO: 200 mm, MATERIAL: VIDRIO</v>
      </c>
      <c r="D73" s="188"/>
      <c r="E73" s="188"/>
      <c r="F73" s="188"/>
      <c r="G73" s="189"/>
      <c r="H73" s="135" t="s">
        <v>234</v>
      </c>
      <c r="I73" s="135" t="str">
        <f>'SAF 011'!F71</f>
        <v>UNIDAD</v>
      </c>
      <c r="J73" s="136">
        <f>'SAF 011'!AX71</f>
        <v>175.2</v>
      </c>
      <c r="K73" s="137">
        <f>'SAF 011'!AE71</f>
        <v>10</v>
      </c>
      <c r="M73" s="142">
        <f t="shared" si="0"/>
        <v>1752</v>
      </c>
    </row>
    <row r="74" spans="1:13" s="138" customFormat="1" x14ac:dyDescent="0.25">
      <c r="A74" s="134">
        <v>63</v>
      </c>
      <c r="B74" s="135" t="str">
        <f>'SAF 011'!B72</f>
        <v>2.9.5-2764.2</v>
      </c>
      <c r="C74" s="187" t="str">
        <f>'SAF 011'!E72</f>
        <v>VASO DE PRECIPITADO; MATERIAL: VIDRIO, CAPACIDAD: 250 mL, GRADUADO: SI, TIPO: GRIFFIN, GRADUACION: SI</v>
      </c>
      <c r="D74" s="188"/>
      <c r="E74" s="188"/>
      <c r="F74" s="188"/>
      <c r="G74" s="189"/>
      <c r="H74" s="135" t="s">
        <v>234</v>
      </c>
      <c r="I74" s="135" t="str">
        <f>'SAF 011'!F72</f>
        <v>UNIDAD</v>
      </c>
      <c r="J74" s="136">
        <f>'SAF 011'!AX72</f>
        <v>750.3599999999999</v>
      </c>
      <c r="K74" s="137">
        <f>'SAF 011'!AE72</f>
        <v>10</v>
      </c>
      <c r="M74" s="142">
        <f t="shared" si="0"/>
        <v>7503.5999999999985</v>
      </c>
    </row>
    <row r="75" spans="1:13" s="138" customFormat="1" x14ac:dyDescent="0.25">
      <c r="A75" s="134">
        <v>64</v>
      </c>
      <c r="B75" s="135" t="str">
        <f>'SAF 011'!B73</f>
        <v>2.9.5-2764.1</v>
      </c>
      <c r="C75" s="187" t="str">
        <f>'SAF 011'!E73</f>
        <v>VASO DE PRECIPITADO; MATERIAL: VIDRIO, TIPO: GRIFFIN, CAPACIDAD: 100 mL, GRADUACION: SI, GRADUADO: SI</v>
      </c>
      <c r="D75" s="188"/>
      <c r="E75" s="188"/>
      <c r="F75" s="188"/>
      <c r="G75" s="189"/>
      <c r="H75" s="135" t="s">
        <v>234</v>
      </c>
      <c r="I75" s="135" t="str">
        <f>'SAF 011'!F73</f>
        <v>UNIDAD</v>
      </c>
      <c r="J75" s="136">
        <f>'SAF 011'!AX73</f>
        <v>512.76</v>
      </c>
      <c r="K75" s="137">
        <f>'SAF 011'!AE73</f>
        <v>10</v>
      </c>
      <c r="M75" s="142">
        <f t="shared" si="0"/>
        <v>5127.6000000000004</v>
      </c>
    </row>
    <row r="76" spans="1:13" s="138" customFormat="1" x14ac:dyDescent="0.25">
      <c r="A76" s="134">
        <v>65</v>
      </c>
      <c r="B76" s="135" t="str">
        <f>'SAF 011'!B74</f>
        <v>2.9.5-2764.7</v>
      </c>
      <c r="C76" s="187" t="str">
        <f>'SAF 011'!E74</f>
        <v>VASO DE PRECIPITADO; MATERIAL: VIDRIO, TIPO: GRIFFIN, CAPACIDAD: 50 mL, GRADUADO: SI, GRADUACION: SI</v>
      </c>
      <c r="D76" s="188"/>
      <c r="E76" s="188"/>
      <c r="F76" s="188"/>
      <c r="G76" s="189"/>
      <c r="H76" s="135" t="s">
        <v>234</v>
      </c>
      <c r="I76" s="135" t="str">
        <f>'SAF 011'!F74</f>
        <v>UNIDAD</v>
      </c>
      <c r="J76" s="136">
        <f>'SAF 011'!AX74</f>
        <v>390</v>
      </c>
      <c r="K76" s="137">
        <f>'SAF 011'!AE74</f>
        <v>10</v>
      </c>
      <c r="M76" s="142">
        <f t="shared" si="0"/>
        <v>3900</v>
      </c>
    </row>
    <row r="77" spans="1:13" s="139" customFormat="1" ht="13.5" thickBot="1" x14ac:dyDescent="0.3">
      <c r="A77" s="125"/>
      <c r="B77" s="126"/>
      <c r="C77" s="197"/>
      <c r="D77" s="197"/>
      <c r="E77" s="197"/>
      <c r="F77" s="197"/>
      <c r="G77" s="197"/>
      <c r="H77" s="127"/>
      <c r="I77" s="127"/>
      <c r="J77" s="128"/>
      <c r="K77" s="129"/>
      <c r="M77" s="143"/>
    </row>
    <row r="78" spans="1:13" s="140" customFormat="1" ht="19.5" thickBot="1" x14ac:dyDescent="0.3">
      <c r="A78" s="195" t="s">
        <v>235</v>
      </c>
      <c r="B78" s="195"/>
      <c r="C78" s="195"/>
      <c r="D78" s="195"/>
      <c r="E78" s="195"/>
      <c r="F78" s="195"/>
      <c r="G78" s="195"/>
      <c r="H78" s="195"/>
      <c r="I78" s="195"/>
      <c r="J78" s="196">
        <f>+M78</f>
        <v>603233.81999999983</v>
      </c>
      <c r="K78" s="196"/>
      <c r="M78" s="144">
        <f>SUM(M12:M77)</f>
        <v>603233.81999999983</v>
      </c>
    </row>
    <row r="80" spans="1:13" x14ac:dyDescent="0.25">
      <c r="M80" s="141">
        <f>+M78-M72</f>
        <v>602153.81999999983</v>
      </c>
    </row>
  </sheetData>
  <mergeCells count="88">
    <mergeCell ref="C62:G62"/>
    <mergeCell ref="C57:G57"/>
    <mergeCell ref="C58:G58"/>
    <mergeCell ref="C59:G59"/>
    <mergeCell ref="C60:G60"/>
    <mergeCell ref="C61:G61"/>
    <mergeCell ref="C65:G65"/>
    <mergeCell ref="C66:G66"/>
    <mergeCell ref="C67:G67"/>
    <mergeCell ref="C68:G68"/>
    <mergeCell ref="C69:G69"/>
    <mergeCell ref="C43:G43"/>
    <mergeCell ref="C44:G44"/>
    <mergeCell ref="C45:G45"/>
    <mergeCell ref="C63:G63"/>
    <mergeCell ref="C64:G64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38:G38"/>
    <mergeCell ref="C39:G39"/>
    <mergeCell ref="C40:G40"/>
    <mergeCell ref="C41:G41"/>
    <mergeCell ref="C42:G42"/>
    <mergeCell ref="C33:G33"/>
    <mergeCell ref="C34:G34"/>
    <mergeCell ref="C35:G35"/>
    <mergeCell ref="C36:G36"/>
    <mergeCell ref="C37:G37"/>
    <mergeCell ref="A78:I78"/>
    <mergeCell ref="J78:K78"/>
    <mergeCell ref="C74:G74"/>
    <mergeCell ref="C75:G75"/>
    <mergeCell ref="C76:G76"/>
    <mergeCell ref="C77:G77"/>
    <mergeCell ref="K10:K11"/>
    <mergeCell ref="C12:G12"/>
    <mergeCell ref="C70:G70"/>
    <mergeCell ref="C71:G71"/>
    <mergeCell ref="C72:G72"/>
    <mergeCell ref="I10:I11"/>
    <mergeCell ref="J10:J11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73:G73"/>
    <mergeCell ref="A10:A11"/>
    <mergeCell ref="B10:B11"/>
    <mergeCell ref="C10:G11"/>
    <mergeCell ref="H10:H1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25" workbookViewId="0">
      <selection activeCell="O18" sqref="O18:P18"/>
    </sheetView>
  </sheetViews>
  <sheetFormatPr baseColWidth="10" defaultRowHeight="15" x14ac:dyDescent="0.25"/>
  <cols>
    <col min="1" max="5" width="4.42578125" customWidth="1"/>
    <col min="6" max="6" width="6.7109375" customWidth="1"/>
    <col min="7" max="14" width="4.42578125" customWidth="1"/>
    <col min="15" max="15" width="22" customWidth="1"/>
    <col min="16" max="16" width="19.28515625" customWidth="1"/>
    <col min="17" max="17" width="14.7109375" style="124" customWidth="1"/>
  </cols>
  <sheetData>
    <row r="1" spans="1:17" ht="15.75" thickBot="1" x14ac:dyDescent="0.3">
      <c r="A1" s="199" t="s">
        <v>5</v>
      </c>
      <c r="B1" s="199"/>
      <c r="C1" s="199"/>
      <c r="D1" s="200">
        <v>2022</v>
      </c>
      <c r="E1" s="200"/>
      <c r="F1" s="83"/>
      <c r="G1" s="83"/>
      <c r="H1" s="84"/>
      <c r="I1" s="84"/>
      <c r="J1" s="84"/>
      <c r="K1" s="84"/>
      <c r="L1" s="84"/>
      <c r="M1" s="84"/>
      <c r="N1" s="84"/>
      <c r="O1" s="85"/>
      <c r="P1" s="201" t="s">
        <v>208</v>
      </c>
      <c r="Q1" s="201"/>
    </row>
    <row r="2" spans="1:17" ht="15.75" thickBot="1" x14ac:dyDescent="0.3">
      <c r="A2" s="86"/>
      <c r="B2" s="87"/>
      <c r="C2" s="87"/>
      <c r="D2" s="87"/>
      <c r="E2" s="87"/>
      <c r="F2" s="87"/>
      <c r="G2" s="88"/>
      <c r="H2" s="89"/>
      <c r="I2" s="89"/>
      <c r="J2" s="89"/>
      <c r="K2" s="89"/>
      <c r="L2" s="89"/>
      <c r="M2" s="89"/>
      <c r="N2" s="89"/>
      <c r="O2" s="87"/>
      <c r="P2" s="201"/>
      <c r="Q2" s="201"/>
    </row>
    <row r="3" spans="1:17" ht="15.75" thickBot="1" x14ac:dyDescent="0.3">
      <c r="A3" s="86"/>
      <c r="B3" s="87"/>
      <c r="C3" s="87"/>
      <c r="D3" s="87"/>
      <c r="E3" s="87"/>
      <c r="F3" s="87"/>
      <c r="G3" s="88"/>
      <c r="H3" s="87"/>
      <c r="I3" s="87"/>
      <c r="J3" s="87"/>
      <c r="K3" s="87"/>
      <c r="L3" s="87"/>
      <c r="M3" s="87"/>
      <c r="N3" s="87"/>
      <c r="O3" s="87"/>
      <c r="P3" s="87"/>
      <c r="Q3" s="145"/>
    </row>
    <row r="4" spans="1:17" ht="15.75" thickBot="1" x14ac:dyDescent="0.3">
      <c r="A4" s="202" t="s">
        <v>209</v>
      </c>
      <c r="B4" s="202"/>
      <c r="C4" s="202"/>
      <c r="D4" s="202"/>
      <c r="E4" s="202"/>
      <c r="F4" s="202"/>
      <c r="G4" s="203" t="str">
        <f>NP!D3</f>
        <v>040 - MINISTERIO DE SALUD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</row>
    <row r="5" spans="1:17" ht="15.75" thickBot="1" x14ac:dyDescent="0.3">
      <c r="A5" s="204" t="s">
        <v>196</v>
      </c>
      <c r="B5" s="204"/>
      <c r="C5" s="204"/>
      <c r="D5" s="204"/>
      <c r="E5" s="204"/>
      <c r="F5" s="204"/>
      <c r="G5" s="203" t="str">
        <f>NP!D4</f>
        <v>011 - DIRECCION PROVINCIAL DE ADMINISTRACION - MINISTERIO DE SALUD</v>
      </c>
      <c r="H5" s="203"/>
      <c r="I5" s="203"/>
      <c r="J5" s="203"/>
      <c r="K5" s="203"/>
      <c r="L5" s="203"/>
      <c r="M5" s="203"/>
      <c r="N5" s="203"/>
      <c r="O5" s="203"/>
      <c r="P5" s="203"/>
      <c r="Q5" s="203"/>
    </row>
    <row r="6" spans="1:17" ht="15.75" thickBot="1" x14ac:dyDescent="0.3">
      <c r="A6" s="204" t="s">
        <v>197</v>
      </c>
      <c r="B6" s="204"/>
      <c r="C6" s="204"/>
      <c r="D6" s="204"/>
      <c r="E6" s="204"/>
      <c r="F6" s="204"/>
      <c r="G6" s="203" t="str">
        <f>NP!D5</f>
        <v>DIRECCION PROVINCIAL DE SALUD Y MEDIO AMBIENTE</v>
      </c>
      <c r="H6" s="203"/>
      <c r="I6" s="203"/>
      <c r="J6" s="203"/>
      <c r="K6" s="203"/>
      <c r="L6" s="203"/>
      <c r="M6" s="203"/>
      <c r="N6" s="203"/>
      <c r="O6" s="203"/>
      <c r="P6" s="203"/>
      <c r="Q6" s="203"/>
    </row>
    <row r="7" spans="1:17" ht="15.75" thickBot="1" x14ac:dyDescent="0.3">
      <c r="A7" s="204" t="s">
        <v>198</v>
      </c>
      <c r="B7" s="204"/>
      <c r="C7" s="204"/>
      <c r="D7" s="204"/>
      <c r="E7" s="204"/>
      <c r="F7" s="204"/>
      <c r="G7" s="203" t="str">
        <f>NP!D6</f>
        <v>DIRECCION PROVINCIAL DE SALUD Y MEDIO AMBIENTE</v>
      </c>
      <c r="H7" s="203"/>
      <c r="I7" s="203"/>
      <c r="J7" s="203"/>
      <c r="K7" s="203"/>
      <c r="L7" s="203"/>
      <c r="M7" s="203"/>
      <c r="N7" s="203"/>
      <c r="O7" s="203"/>
      <c r="P7" s="203"/>
      <c r="Q7" s="203"/>
    </row>
    <row r="8" spans="1:17" ht="15.75" thickBot="1" x14ac:dyDescent="0.3">
      <c r="A8" s="205" t="s">
        <v>210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</row>
    <row r="9" spans="1:17" ht="20.25" customHeight="1" x14ac:dyDescent="0.25">
      <c r="A9" s="198" t="s">
        <v>211</v>
      </c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</row>
    <row r="10" spans="1:17" ht="69" customHeight="1" x14ac:dyDescent="0.25">
      <c r="A10" s="207" t="s">
        <v>236</v>
      </c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</row>
    <row r="11" spans="1:17" ht="15.75" thickBot="1" x14ac:dyDescent="0.3">
      <c r="A11" s="90"/>
      <c r="B11" s="91"/>
      <c r="C11" s="91"/>
      <c r="D11" s="91"/>
      <c r="E11" s="91"/>
      <c r="F11" s="91"/>
      <c r="G11" s="92"/>
      <c r="H11" s="91"/>
      <c r="I11" s="91"/>
      <c r="J11" s="91"/>
      <c r="K11" s="91"/>
      <c r="L11" s="91"/>
      <c r="M11" s="91"/>
      <c r="N11" s="91"/>
      <c r="O11" s="91"/>
      <c r="P11" s="91"/>
      <c r="Q11" s="146"/>
    </row>
    <row r="12" spans="1:17" ht="15.75" thickBot="1" x14ac:dyDescent="0.3">
      <c r="A12" s="208" t="s">
        <v>212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</row>
    <row r="13" spans="1:17" ht="15.75" thickBot="1" x14ac:dyDescent="0.3">
      <c r="A13" s="209" t="s">
        <v>213</v>
      </c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10" t="s">
        <v>214</v>
      </c>
      <c r="P13" s="210"/>
      <c r="Q13" s="211" t="s">
        <v>215</v>
      </c>
    </row>
    <row r="14" spans="1:17" ht="15.75" thickBot="1" x14ac:dyDescent="0.3">
      <c r="A14" s="93" t="s">
        <v>216</v>
      </c>
      <c r="B14" s="94" t="s">
        <v>217</v>
      </c>
      <c r="C14" s="94" t="s">
        <v>218</v>
      </c>
      <c r="D14" s="94" t="s">
        <v>219</v>
      </c>
      <c r="E14" s="94" t="s">
        <v>220</v>
      </c>
      <c r="F14" s="94" t="s">
        <v>221</v>
      </c>
      <c r="G14" s="95" t="s">
        <v>222</v>
      </c>
      <c r="H14" s="94" t="s">
        <v>223</v>
      </c>
      <c r="I14" s="94" t="s">
        <v>224</v>
      </c>
      <c r="J14" s="94" t="s">
        <v>225</v>
      </c>
      <c r="K14" s="94" t="s">
        <v>225</v>
      </c>
      <c r="L14" s="94" t="s">
        <v>226</v>
      </c>
      <c r="M14" s="96" t="s">
        <v>227</v>
      </c>
      <c r="N14" s="97" t="s">
        <v>228</v>
      </c>
      <c r="O14" s="210"/>
      <c r="P14" s="210"/>
      <c r="Q14" s="211"/>
    </row>
    <row r="15" spans="1:17" ht="34.5" customHeight="1" x14ac:dyDescent="0.25">
      <c r="A15" s="98">
        <v>22</v>
      </c>
      <c r="B15" s="99"/>
      <c r="C15" s="99"/>
      <c r="D15" s="99">
        <v>1</v>
      </c>
      <c r="E15" s="99"/>
      <c r="F15" s="99">
        <v>4901</v>
      </c>
      <c r="G15" s="99">
        <v>2</v>
      </c>
      <c r="H15" s="99">
        <v>2</v>
      </c>
      <c r="I15" s="99">
        <v>2</v>
      </c>
      <c r="J15" s="99">
        <v>9</v>
      </c>
      <c r="K15" s="99">
        <v>5</v>
      </c>
      <c r="L15" s="99"/>
      <c r="M15" s="100">
        <v>1</v>
      </c>
      <c r="N15" s="99" t="s">
        <v>237</v>
      </c>
      <c r="O15" s="212" t="s">
        <v>238</v>
      </c>
      <c r="P15" s="212"/>
      <c r="Q15" s="147">
        <f>NP!M80</f>
        <v>602153.81999999983</v>
      </c>
    </row>
    <row r="16" spans="1:17" x14ac:dyDescent="0.25">
      <c r="A16" s="101">
        <v>22</v>
      </c>
      <c r="B16" s="102"/>
      <c r="C16" s="102"/>
      <c r="D16" s="102">
        <v>1</v>
      </c>
      <c r="E16" s="102"/>
      <c r="F16" s="102">
        <v>4901</v>
      </c>
      <c r="G16" s="102">
        <v>2</v>
      </c>
      <c r="H16" s="102">
        <v>2</v>
      </c>
      <c r="I16" s="102">
        <v>2</v>
      </c>
      <c r="J16" s="102">
        <v>9</v>
      </c>
      <c r="K16" s="102">
        <v>6</v>
      </c>
      <c r="L16" s="102"/>
      <c r="M16" s="103">
        <v>1</v>
      </c>
      <c r="N16" s="104" t="s">
        <v>237</v>
      </c>
      <c r="O16" s="213" t="s">
        <v>239</v>
      </c>
      <c r="P16" s="213"/>
      <c r="Q16" s="148">
        <f>NP!M72</f>
        <v>1080</v>
      </c>
    </row>
    <row r="17" spans="1:17" x14ac:dyDescent="0.25">
      <c r="A17" s="101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3"/>
      <c r="N17" s="104"/>
      <c r="O17" s="214"/>
      <c r="P17" s="214"/>
      <c r="Q17" s="148"/>
    </row>
    <row r="18" spans="1:17" x14ac:dyDescent="0.25">
      <c r="A18" s="101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3"/>
      <c r="N18" s="104"/>
      <c r="O18" s="206"/>
      <c r="P18" s="206"/>
      <c r="Q18" s="148"/>
    </row>
    <row r="19" spans="1:17" x14ac:dyDescent="0.25">
      <c r="A19" s="101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3"/>
      <c r="N19" s="104"/>
      <c r="O19" s="206"/>
      <c r="P19" s="206"/>
      <c r="Q19" s="148"/>
    </row>
    <row r="20" spans="1:17" x14ac:dyDescent="0.25">
      <c r="A20" s="101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3"/>
      <c r="N20" s="104"/>
      <c r="O20" s="206"/>
      <c r="P20" s="206"/>
      <c r="Q20" s="148"/>
    </row>
    <row r="21" spans="1:17" x14ac:dyDescent="0.25">
      <c r="A21" s="101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3"/>
      <c r="N21" s="104"/>
      <c r="O21" s="206"/>
      <c r="P21" s="206"/>
      <c r="Q21" s="148"/>
    </row>
    <row r="22" spans="1:17" x14ac:dyDescent="0.25">
      <c r="A22" s="101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3"/>
      <c r="N22" s="104"/>
      <c r="O22" s="206"/>
      <c r="P22" s="206"/>
      <c r="Q22" s="148"/>
    </row>
    <row r="23" spans="1:17" x14ac:dyDescent="0.25">
      <c r="A23" s="101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3"/>
      <c r="N23" s="104"/>
      <c r="O23" s="206"/>
      <c r="P23" s="206"/>
      <c r="Q23" s="148"/>
    </row>
    <row r="24" spans="1:17" x14ac:dyDescent="0.25">
      <c r="A24" s="101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3"/>
      <c r="N24" s="104"/>
      <c r="O24" s="206"/>
      <c r="P24" s="206"/>
      <c r="Q24" s="148"/>
    </row>
    <row r="25" spans="1:17" x14ac:dyDescent="0.25">
      <c r="A25" s="101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3"/>
      <c r="N25" s="104"/>
      <c r="O25" s="206"/>
      <c r="P25" s="206"/>
      <c r="Q25" s="148"/>
    </row>
    <row r="26" spans="1:17" x14ac:dyDescent="0.25">
      <c r="A26" s="101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3"/>
      <c r="N26" s="104"/>
      <c r="O26" s="206"/>
      <c r="P26" s="206"/>
      <c r="Q26" s="148"/>
    </row>
    <row r="27" spans="1:17" x14ac:dyDescent="0.25">
      <c r="A27" s="101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3"/>
      <c r="N27" s="104"/>
      <c r="O27" s="206"/>
      <c r="P27" s="206"/>
      <c r="Q27" s="148"/>
    </row>
    <row r="28" spans="1:17" x14ac:dyDescent="0.25">
      <c r="A28" s="101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3"/>
      <c r="N28" s="104"/>
      <c r="O28" s="206"/>
      <c r="P28" s="206"/>
      <c r="Q28" s="148"/>
    </row>
    <row r="29" spans="1:17" x14ac:dyDescent="0.25">
      <c r="A29" s="101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3"/>
      <c r="N29" s="104"/>
      <c r="O29" s="206"/>
      <c r="P29" s="206"/>
      <c r="Q29" s="148"/>
    </row>
    <row r="30" spans="1:17" x14ac:dyDescent="0.25">
      <c r="A30" s="101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3"/>
      <c r="N30" s="104"/>
      <c r="O30" s="206"/>
      <c r="P30" s="206"/>
      <c r="Q30" s="148"/>
    </row>
    <row r="31" spans="1:17" x14ac:dyDescent="0.25">
      <c r="A31" s="101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3"/>
      <c r="N31" s="104"/>
      <c r="O31" s="206"/>
      <c r="P31" s="206"/>
      <c r="Q31" s="148"/>
    </row>
    <row r="32" spans="1:17" x14ac:dyDescent="0.25">
      <c r="A32" s="101"/>
      <c r="B32" s="102"/>
      <c r="C32" s="102"/>
      <c r="D32" s="102"/>
      <c r="E32" s="102"/>
      <c r="F32" s="104"/>
      <c r="G32" s="102"/>
      <c r="H32" s="102"/>
      <c r="I32" s="102"/>
      <c r="J32" s="102"/>
      <c r="K32" s="102"/>
      <c r="L32" s="102"/>
      <c r="M32" s="103"/>
      <c r="N32" s="104"/>
      <c r="O32" s="213"/>
      <c r="P32" s="213"/>
      <c r="Q32" s="148"/>
    </row>
    <row r="33" spans="1:17" x14ac:dyDescent="0.25">
      <c r="A33" s="101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3"/>
      <c r="N33" s="104"/>
      <c r="O33" s="213"/>
      <c r="P33" s="213"/>
      <c r="Q33" s="148"/>
    </row>
    <row r="34" spans="1:17" x14ac:dyDescent="0.25">
      <c r="A34" s="101"/>
      <c r="B34" s="102"/>
      <c r="C34" s="102"/>
      <c r="D34" s="102"/>
      <c r="E34" s="102"/>
      <c r="F34" s="104"/>
      <c r="G34" s="102"/>
      <c r="H34" s="102"/>
      <c r="I34" s="102"/>
      <c r="J34" s="102"/>
      <c r="K34" s="102"/>
      <c r="L34" s="102"/>
      <c r="M34" s="103"/>
      <c r="N34" s="104"/>
      <c r="O34" s="213"/>
      <c r="P34" s="213"/>
      <c r="Q34" s="148"/>
    </row>
    <row r="35" spans="1:17" x14ac:dyDescent="0.25">
      <c r="A35" s="101"/>
      <c r="B35" s="102"/>
      <c r="C35" s="102"/>
      <c r="D35" s="102"/>
      <c r="E35" s="102"/>
      <c r="F35" s="104"/>
      <c r="G35" s="102"/>
      <c r="H35" s="102"/>
      <c r="I35" s="102"/>
      <c r="J35" s="102"/>
      <c r="K35" s="102"/>
      <c r="L35" s="102"/>
      <c r="M35" s="103"/>
      <c r="N35" s="104"/>
      <c r="O35" s="213"/>
      <c r="P35" s="213"/>
      <c r="Q35" s="148"/>
    </row>
    <row r="36" spans="1:17" x14ac:dyDescent="0.25">
      <c r="A36" s="105"/>
      <c r="B36" s="106"/>
      <c r="C36" s="106"/>
      <c r="D36" s="106"/>
      <c r="E36" s="106"/>
      <c r="F36" s="107"/>
      <c r="G36" s="106"/>
      <c r="H36" s="106"/>
      <c r="I36" s="106"/>
      <c r="J36" s="106"/>
      <c r="K36" s="106"/>
      <c r="L36" s="106"/>
      <c r="M36" s="108"/>
      <c r="N36" s="109"/>
      <c r="O36" s="218"/>
      <c r="P36" s="218"/>
      <c r="Q36" s="148"/>
    </row>
    <row r="37" spans="1:17" ht="15.75" thickBot="1" x14ac:dyDescent="0.3">
      <c r="A37" s="110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2"/>
      <c r="N37" s="111"/>
      <c r="O37" s="219"/>
      <c r="P37" s="219"/>
      <c r="Q37" s="149"/>
    </row>
    <row r="38" spans="1:17" ht="15.75" thickBot="1" x14ac:dyDescent="0.3">
      <c r="A38" s="220" t="s">
        <v>240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150">
        <f>SUM(Q15:Q37)</f>
        <v>603233.81999999983</v>
      </c>
    </row>
    <row r="39" spans="1:17" ht="15.75" thickBot="1" x14ac:dyDescent="0.3">
      <c r="A39" s="221"/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</row>
    <row r="40" spans="1:17" ht="15.75" thickBot="1" x14ac:dyDescent="0.3">
      <c r="A40" s="215" t="s">
        <v>229</v>
      </c>
      <c r="B40" s="215"/>
      <c r="C40" s="215"/>
      <c r="D40" s="215"/>
      <c r="E40" s="215"/>
      <c r="F40" s="215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</row>
    <row r="41" spans="1:17" ht="15.75" thickBot="1" x14ac:dyDescent="0.3">
      <c r="A41" s="217" t="str">
        <f>NP!D8</f>
        <v>ADQUISICION DEL RUBRO UTILES DE LABORATORIO</v>
      </c>
      <c r="B41" s="217"/>
      <c r="C41" s="217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</row>
    <row r="42" spans="1:17" ht="15.75" thickBot="1" x14ac:dyDescent="0.3">
      <c r="A42" s="217"/>
      <c r="B42" s="217"/>
      <c r="C42" s="217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2021-12-21T17:55:07Z</dcterms:created>
  <dcterms:modified xsi:type="dcterms:W3CDTF">2022-02-10T12:16:36Z</dcterms:modified>
</cp:coreProperties>
</file>