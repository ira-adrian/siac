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G:\Mi unidad\COMPARTIDA\DIRECCION DE PLANIFICACION\DOCUMENTACION\Johana\2 TRIMESTRE  2022\HNEP\DESCARTABLES\final\"/>
    </mc:Choice>
  </mc:AlternateContent>
  <xr:revisionPtr revIDLastSave="0" documentId="8_{9D2D581C-A0F6-4F9A-A6C5-D7D9ABA6DD23}" xr6:coauthVersionLast="47" xr6:coauthVersionMax="47" xr10:uidLastSave="{00000000-0000-0000-0000-000000000000}"/>
  <bookViews>
    <workbookView xWindow="-120" yWindow="-120" windowWidth="29040" windowHeight="15840" tabRatio="488" activeTab="2" xr2:uid="{00000000-000D-0000-FFFF-FFFF00000000}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Trimestrales'!$A$9:$I$42</definedName>
    <definedName name="_xlnm.Print_Area" localSheetId="1">' NotaPedido'!$A$1:$K$45</definedName>
    <definedName name="_xlnm.Print_Area" localSheetId="2">'Autor Gastar'!$A$1:$Q$25</definedName>
    <definedName name="_xlnm.Print_Area" localSheetId="0">'Necesidades Trimestrales'!$E$9:$E$26</definedName>
  </definedNames>
  <calcPr calcId="181029"/>
</workbook>
</file>

<file path=xl/calcChain.xml><?xml version="1.0" encoding="utf-8"?>
<calcChain xmlns="http://schemas.openxmlformats.org/spreadsheetml/2006/main">
  <c r="Q21" i="3" l="1"/>
  <c r="I34" i="1" l="1"/>
  <c r="I35" i="1"/>
  <c r="I36" i="1"/>
  <c r="I37" i="1"/>
  <c r="I38" i="1"/>
  <c r="I39" i="1"/>
  <c r="I40" i="1"/>
  <c r="I41" i="1"/>
  <c r="I42" i="1"/>
  <c r="K44" i="2"/>
  <c r="C13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I15" i="1"/>
  <c r="K14" i="2" l="1"/>
  <c r="K15" i="2"/>
  <c r="K16" i="2"/>
  <c r="J14" i="2"/>
  <c r="J15" i="2"/>
  <c r="J16" i="2"/>
  <c r="I14" i="2"/>
  <c r="I15" i="2"/>
  <c r="I16" i="2"/>
  <c r="C14" i="2"/>
  <c r="C15" i="2"/>
  <c r="C16" i="2"/>
  <c r="I33" i="1" l="1"/>
  <c r="I32" i="1"/>
  <c r="I31" i="1"/>
  <c r="I27" i="1" l="1"/>
  <c r="I28" i="1"/>
  <c r="I29" i="1"/>
  <c r="I30" i="1"/>
  <c r="I16" i="1" l="1"/>
  <c r="I17" i="1"/>
  <c r="I18" i="1"/>
  <c r="I19" i="1"/>
  <c r="I20" i="1"/>
  <c r="I21" i="1"/>
  <c r="I22" i="1"/>
  <c r="I23" i="1"/>
  <c r="I24" i="1"/>
  <c r="I25" i="1"/>
  <c r="I26" i="1"/>
  <c r="I10" i="1"/>
  <c r="I11" i="1"/>
  <c r="I12" i="1"/>
  <c r="I13" i="1"/>
  <c r="I14" i="1"/>
  <c r="K13" i="2" l="1"/>
  <c r="J13" i="2"/>
  <c r="I13" i="2"/>
  <c r="K12" i="2" l="1"/>
  <c r="J12" i="2"/>
  <c r="I12" i="2"/>
  <c r="C12" i="2"/>
  <c r="J45" i="2" l="1"/>
  <c r="A10" i="3"/>
  <c r="G6" i="3" l="1"/>
  <c r="D7" i="2"/>
  <c r="D3" i="2"/>
  <c r="G4" i="3" s="1"/>
  <c r="D4" i="2"/>
  <c r="G5" i="3" s="1"/>
  <c r="D1" i="3" l="1"/>
</calcChain>
</file>

<file path=xl/sharedStrings.xml><?xml version="1.0" encoding="utf-8"?>
<sst xmlns="http://schemas.openxmlformats.org/spreadsheetml/2006/main" count="212" uniqueCount="112">
  <si>
    <t>Pedido de Necesidades Trimestrales</t>
  </si>
  <si>
    <t>JURISDICCION:</t>
  </si>
  <si>
    <t xml:space="preserve">SAF N°: 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</si>
  <si>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</si>
  <si>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</si>
  <si>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</si>
  <si>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</si>
  <si>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</si>
  <si>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</si>
  <si>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</si>
  <si>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</si>
  <si>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</si>
  <si>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</si>
  <si>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</si>
  <si>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</si>
  <si>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</si>
  <si>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</si>
  <si>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</si>
  <si>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</si>
  <si>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</si>
  <si>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</si>
  <si>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</si>
  <si>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</si>
  <si>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</si>
  <si>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</si>
  <si>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</si>
  <si>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</si>
  <si>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</si>
  <si>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</si>
  <si>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</si>
  <si>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</si>
  <si>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</si>
  <si>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</si>
  <si>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</si>
  <si>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</si>
  <si>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</si>
  <si>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</si>
  <si>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</si>
  <si>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</si>
  <si>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</si>
  <si>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</si>
  <si>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</si>
  <si>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</si>
  <si>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</si>
  <si>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</si>
  <si>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</si>
  <si>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</si>
  <si>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</si>
  <si>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</si>
  <si>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</si>
  <si>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</si>
  <si>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024 - Hospital Interzonal de Niños</t>
  </si>
  <si>
    <t>040 - Ministerio de Salud</t>
  </si>
  <si>
    <t>1.1</t>
  </si>
  <si>
    <t>NO</t>
  </si>
  <si>
    <t xml:space="preserve"> </t>
  </si>
  <si>
    <t>UNIDAD</t>
  </si>
  <si>
    <t>CAJA</t>
  </si>
  <si>
    <t>Servicio de Laboratorio</t>
  </si>
  <si>
    <t>Descartables de Laboratorio</t>
  </si>
  <si>
    <t>Para la adquisición de Descartables destinados al Servicio de Laboratorio del Hospital Interzonal de Niños Eva Peron, para el normal funcionamiento del organismo.</t>
  </si>
  <si>
    <t>PROD. MEDICO/FARMACEUTICOS/LAB</t>
  </si>
  <si>
    <t>Utiles Menores Medico, Quirurgico y de Laboratorio.</t>
  </si>
  <si>
    <t>LAMPARA HALOGENA P/ROCHE C311</t>
  </si>
  <si>
    <t>BOLSA</t>
  </si>
  <si>
    <t>CUBETAS PARA COATRON M2 X 500U</t>
  </si>
  <si>
    <t xml:space="preserve">hisopos con medio transporte STUART </t>
  </si>
  <si>
    <t>Productos de Papel y Carton</t>
  </si>
  <si>
    <t>Utiles y Materiales Electricos</t>
  </si>
  <si>
    <t>CUBRE OBJETOS 18 X 18 X 100 UNID.</t>
  </si>
  <si>
    <t>COPAS DE MUESTRAS ROCHE C311 X1000U</t>
  </si>
  <si>
    <t>PROBETA de 1000 ml de vidrio</t>
  </si>
  <si>
    <t>UNIDADES</t>
  </si>
  <si>
    <t>TUBOS DE VIDRIO DE KAHN</t>
  </si>
  <si>
    <t>bolsa</t>
  </si>
  <si>
    <t>caja</t>
  </si>
  <si>
    <t>portaobjetos vidrio 25,4 x 76,2 mm x 50 unid</t>
  </si>
  <si>
    <t>TUBO CONICO PP GRADUADO CON TAPA (Envase Individual) - 15 ML - VITIS</t>
  </si>
  <si>
    <t>unidad</t>
  </si>
  <si>
    <t xml:space="preserve">ansas calibradas plasticas esteriles x10 ul </t>
  </si>
  <si>
    <t>Tips azules sin corona de 5ul - 1000 ul</t>
  </si>
  <si>
    <t xml:space="preserve">tips sin corona 5 ul - 50 ul </t>
  </si>
  <si>
    <t xml:space="preserve">tubos ependorf  0.5ml- 1.5 ml </t>
  </si>
  <si>
    <t>tubos hemolisis vidrio 12mm x 100mm</t>
  </si>
  <si>
    <t>PIPETA PASTEUR Esteril Individual Graduada  x 3 ml - VITIS</t>
  </si>
  <si>
    <t>TIP BLANCO GRADUADO 0.1 - 10 ul - CON CORONA. X 1000u</t>
  </si>
  <si>
    <t>PIPETAS DE VIDRIO DE 1 mL/2ml/5ml/10ml 4 de cada una</t>
  </si>
  <si>
    <t>TIP AMARILLO 5ul -200 ul - SIN CORONA. X 1000u</t>
  </si>
  <si>
    <t>Placas de Petri descartables de 90mm x 14 mmm. X 20 u o alternativa</t>
  </si>
  <si>
    <t>Placas de Petri descartables de 55mm x 14 mmm. X 15u o alternativa</t>
  </si>
  <si>
    <t>micropipeta de volumen regulable 5-50 ul</t>
  </si>
  <si>
    <t>micropipeta de volumen regulable 50-200 ul</t>
  </si>
  <si>
    <t>timer digital 5 alarmas o alternativa</t>
  </si>
  <si>
    <t>portaobjetos impresos con tinta vitrificable por 12 areas x 50 unid.</t>
  </si>
  <si>
    <t xml:space="preserve">hisopos esteriles de DACRON 15 cm. con tubo individual </t>
  </si>
  <si>
    <t>GRADILLA DE PLASTICO PARA TUBOS CONICOS DE 10 a 15 mL</t>
  </si>
  <si>
    <t>kit de tuberias repuesto diestro 103,103+</t>
  </si>
  <si>
    <t>tuberia p/bomba peristaltica Diestro</t>
  </si>
  <si>
    <t>050/2022</t>
  </si>
  <si>
    <t>Tubos de vidrio fondo 16x100 mm, en U por 10 ml con rosca</t>
  </si>
  <si>
    <t>FRASCO</t>
  </si>
  <si>
    <t>Etiquetados zebra + 10 rollos (impresora optimi)</t>
  </si>
  <si>
    <t>Plazos y lugares de entrega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</si>
  <si>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LABORATORIO -HOSPITAL INT. DE NIÑOS – AV. VIRGEN DEL VALLE N° 1050-CATAMARCA DE 8:00 A 12:00HS., DEBIENDO CORRER LOS GASTOS DE FLETES, ACARREO, CARGA, DESCARGA Y SEGURO A CARGO DEL ADJUDICATARIO.</t>
    </r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</si>
  <si>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Dentro de los Diez (10) días habiles de notificada la Orden de Compra.</t>
    </r>
  </si>
  <si>
    <r>
      <t>Mantenimiento de Oferta</t>
    </r>
    <r>
      <rPr>
        <sz val="10"/>
        <rFont val="Times New Roman"/>
        <family val="1"/>
      </rPr>
      <t xml:space="preserve">: Cuarenta y Cinco (45) dias habiles. </t>
    </r>
  </si>
  <si>
    <r>
      <t>Forma de Pago</t>
    </r>
    <r>
      <rPr>
        <sz val="10"/>
        <rFont val="Times New Roman"/>
        <family val="1"/>
      </rPr>
      <t xml:space="preserve">: Treinta (30) dias habiles. </t>
    </r>
  </si>
  <si>
    <t>Costo total estimado: Setecientos Ochenta y dos mil cuatrocientos doce Con 00/100.</t>
  </si>
  <si>
    <t>TOTAL DE PESOS: Setecientos Ochenta y dos mil cuatrocientos doce Con 00/100.</t>
  </si>
  <si>
    <t xml:space="preserve">AMPOULER PARA COBAS B221 - caja x 150 unidades </t>
  </si>
  <si>
    <t xml:space="preserve">HISOPOS DE MADERA BOLSA X 100 UNIDADES </t>
  </si>
  <si>
    <t>Tips amarillos 5-200 ml ul con corona tipo Deltalab BOLSA X 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</si>
</sst>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\$* #,##0.00_);_(\$* \(#,##0.00\);_(\$* \-??_);_(@_)"/>
    <numFmt numFmtId="165" formatCode="_-* #,##0.00&quot; €&quot;_-;\-* #,##0.00&quot; €&quot;_-;_-* \-??&quot; €&quot;_-;_-@_-"/>
    <numFmt numFmtId="166" formatCode="[$$-2C0A]\ #,##0.00;[$$-2C0A]&quot; -&quot;#,##0.00"/>
    <numFmt numFmtId="167" formatCode="[$$-2C0A]\ #,##0.00"/>
    <numFmt numFmtId="168" formatCode="dd\-mm\-yy;@"/>
    <numFmt numFmtId="169" formatCode="&quot;$&quot;\ #,##0.00"/>
    <numFmt numFmtId="170" formatCode="_-[$$-2C0A]\ * #,##0.00_-;\-[$$-2C0A]\ * #,##0.00_-;_-[$$-2C0A]\ * &quot;-&quot;??_-;_-@_-"/>
  </numFmts>
  <fonts count="32">
    <font>
      <sz val="10"/>
      <name val="Arial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b/>
      <sz val="9"/>
      <color rgb="FF000000"/>
      <name val="Times New Roman"/>
      <family val="1"/>
    </font>
    <font>
      <sz val="9"/>
      <name val="Arial"/>
      <family val="2"/>
    </font>
    <font>
      <sz val="9"/>
      <name val="Imago"/>
    </font>
    <font>
      <sz val="10"/>
      <name val="Calibri"/>
      <family val="2"/>
      <scheme val="minor"/>
    </font>
    <font>
      <sz val="8"/>
      <name val="Arial"/>
      <family val="2"/>
    </font>
    <font>
      <sz val="10"/>
      <color rgb="FFFF0000"/>
      <name val="Times New Roman"/>
      <family val="1"/>
    </font>
    <font>
      <u/>
      <sz val="1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92D050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indexed="64"/>
      </top>
      <bottom/>
      <diagonal/>
    </border>
    <border>
      <left style="medium">
        <color rgb="FF3D3D3D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 style="thin">
        <color rgb="FF3D3D3D"/>
      </right>
      <top/>
      <bottom style="medium">
        <color indexed="64"/>
      </bottom>
      <diagonal/>
    </border>
    <border>
      <left style="thin">
        <color rgb="FF3D3D3D"/>
      </left>
      <right/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rgb="FF3D3D3D"/>
      </left>
      <right style="medium">
        <color rgb="FF3D3D3D"/>
      </right>
      <top/>
      <bottom style="thin">
        <color rgb="FF3D3D3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8">
    <xf numFmtId="0" fontId="0" fillId="0" borderId="0"/>
    <xf numFmtId="165" fontId="16" fillId="0" borderId="0" applyBorder="0" applyProtection="0"/>
    <xf numFmtId="0" fontId="3" fillId="0" borderId="1" applyProtection="0"/>
    <xf numFmtId="164" fontId="4" fillId="0" borderId="0" applyBorder="0" applyProtection="0"/>
    <xf numFmtId="0" fontId="5" fillId="2" borderId="0" applyBorder="0" applyProtection="0"/>
    <xf numFmtId="0" fontId="16" fillId="0" borderId="0"/>
    <xf numFmtId="43" fontId="2" fillId="0" borderId="0" applyFont="0" applyFill="0" applyBorder="0" applyAlignment="0" applyProtection="0"/>
    <xf numFmtId="0" fontId="1" fillId="0" borderId="0"/>
  </cellStyleXfs>
  <cellXfs count="189">
    <xf numFmtId="0" fontId="0" fillId="0" borderId="0" xfId="0"/>
    <xf numFmtId="0" fontId="0" fillId="0" borderId="0" xfId="0" applyBorder="1"/>
    <xf numFmtId="0" fontId="0" fillId="0" borderId="0" xfId="0" applyAlignment="1">
      <alignment horizontal="left"/>
    </xf>
    <xf numFmtId="3" fontId="11" fillId="0" borderId="0" xfId="0" applyNumberFormat="1" applyFont="1" applyBorder="1" applyAlignment="1"/>
    <xf numFmtId="168" fontId="0" fillId="0" borderId="0" xfId="0" applyNumberFormat="1" applyAlignment="1">
      <alignment horizontal="left"/>
    </xf>
    <xf numFmtId="0" fontId="4" fillId="0" borderId="0" xfId="0" applyFont="1"/>
    <xf numFmtId="0" fontId="0" fillId="0" borderId="4" xfId="0" applyBorder="1"/>
    <xf numFmtId="0" fontId="0" fillId="0" borderId="18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0" fillId="0" borderId="19" xfId="0" applyBorder="1"/>
    <xf numFmtId="0" fontId="0" fillId="0" borderId="21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4" xfId="0" applyFont="1" applyBorder="1" applyAlignment="1">
      <alignment horizontal="center" vertical="center"/>
    </xf>
    <xf numFmtId="166" fontId="0" fillId="0" borderId="25" xfId="3" applyNumberFormat="1" applyFont="1" applyBorder="1" applyAlignment="1" applyProtection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3" fillId="0" borderId="24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66" fontId="0" fillId="0" borderId="29" xfId="3" applyNumberFormat="1" applyFont="1" applyBorder="1" applyAlignment="1" applyProtection="1">
      <alignment horizontal="center" vertical="center"/>
    </xf>
    <xf numFmtId="166" fontId="15" fillId="0" borderId="30" xfId="0" applyNumberFormat="1" applyFont="1" applyBorder="1" applyAlignment="1">
      <alignment horizontal="center" vertical="center"/>
    </xf>
    <xf numFmtId="0" fontId="17" fillId="0" borderId="0" xfId="0" applyFont="1"/>
    <xf numFmtId="0" fontId="20" fillId="0" borderId="0" xfId="0" applyFont="1" applyAlignment="1">
      <alignment horizontal="left" wrapText="1"/>
    </xf>
    <xf numFmtId="0" fontId="20" fillId="0" borderId="0" xfId="0" applyFont="1" applyAlignment="1">
      <alignment horizontal="center" wrapText="1"/>
    </xf>
    <xf numFmtId="166" fontId="17" fillId="0" borderId="0" xfId="0" applyNumberFormat="1" applyFont="1"/>
    <xf numFmtId="0" fontId="7" fillId="3" borderId="4" xfId="0" applyFont="1" applyFill="1" applyBorder="1" applyAlignment="1">
      <alignment horizontal="right" vertical="center"/>
    </xf>
    <xf numFmtId="0" fontId="8" fillId="4" borderId="5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vertical="center"/>
    </xf>
    <xf numFmtId="0" fontId="0" fillId="3" borderId="0" xfId="0" applyFill="1"/>
    <xf numFmtId="0" fontId="7" fillId="3" borderId="6" xfId="0" applyFont="1" applyFill="1" applyBorder="1" applyAlignment="1">
      <alignment vertical="center"/>
    </xf>
    <xf numFmtId="0" fontId="7" fillId="3" borderId="0" xfId="0" applyFont="1" applyFill="1" applyBorder="1" applyAlignment="1">
      <alignment vertical="center"/>
    </xf>
    <xf numFmtId="0" fontId="9" fillId="3" borderId="0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left" vertical="center" wrapText="1" indent="1"/>
    </xf>
    <xf numFmtId="0" fontId="24" fillId="4" borderId="0" xfId="0" applyFont="1" applyFill="1" applyAlignment="1">
      <alignment horizontal="left" wrapText="1" indent="1"/>
    </xf>
    <xf numFmtId="0" fontId="21" fillId="3" borderId="0" xfId="0" applyFont="1" applyFill="1" applyAlignment="1">
      <alignment horizontal="left" wrapText="1"/>
    </xf>
    <xf numFmtId="0" fontId="6" fillId="3" borderId="34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 wrapText="1"/>
    </xf>
    <xf numFmtId="166" fontId="6" fillId="3" borderId="2" xfId="1" applyNumberFormat="1" applyFont="1" applyFill="1" applyBorder="1" applyAlignment="1" applyProtection="1">
      <alignment horizontal="right" vertical="center" wrapText="1"/>
    </xf>
    <xf numFmtId="3" fontId="6" fillId="3" borderId="3" xfId="0" applyNumberFormat="1" applyFont="1" applyFill="1" applyBorder="1" applyAlignment="1">
      <alignment horizontal="center" vertical="center"/>
    </xf>
    <xf numFmtId="167" fontId="17" fillId="0" borderId="0" xfId="0" applyNumberFormat="1" applyFont="1"/>
    <xf numFmtId="169" fontId="22" fillId="0" borderId="0" xfId="0" applyNumberFormat="1" applyFont="1"/>
    <xf numFmtId="169" fontId="23" fillId="0" borderId="0" xfId="0" applyNumberFormat="1" applyFont="1" applyAlignment="1">
      <alignment horizontal="left" wrapText="1"/>
    </xf>
    <xf numFmtId="167" fontId="4" fillId="3" borderId="0" xfId="0" applyNumberFormat="1" applyFont="1" applyFill="1" applyBorder="1" applyAlignment="1">
      <alignment vertical="center"/>
    </xf>
    <xf numFmtId="0" fontId="0" fillId="0" borderId="21" xfId="0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0" fillId="0" borderId="23" xfId="0" applyFont="1" applyFill="1" applyBorder="1" applyAlignment="1">
      <alignment horizontal="center" vertical="center"/>
    </xf>
    <xf numFmtId="0" fontId="16" fillId="0" borderId="22" xfId="0" applyFont="1" applyFill="1" applyBorder="1" applyAlignment="1">
      <alignment horizontal="center" vertical="center"/>
    </xf>
    <xf numFmtId="0" fontId="15" fillId="0" borderId="3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/>
    </xf>
    <xf numFmtId="0" fontId="15" fillId="0" borderId="40" xfId="0" applyFont="1" applyBorder="1" applyAlignment="1">
      <alignment horizontal="left" vertical="center"/>
    </xf>
    <xf numFmtId="0" fontId="15" fillId="0" borderId="41" xfId="0" applyFont="1" applyBorder="1" applyAlignment="1">
      <alignment horizontal="center" vertical="center"/>
    </xf>
    <xf numFmtId="0" fontId="15" fillId="0" borderId="42" xfId="0" applyFont="1" applyBorder="1" applyAlignment="1">
      <alignment horizontal="center" vertical="center"/>
    </xf>
    <xf numFmtId="166" fontId="0" fillId="0" borderId="45" xfId="3" applyNumberFormat="1" applyFont="1" applyBorder="1" applyAlignment="1" applyProtection="1">
      <alignment horizontal="center" vertical="center"/>
    </xf>
    <xf numFmtId="166" fontId="22" fillId="4" borderId="50" xfId="1" applyNumberFormat="1" applyFont="1" applyFill="1" applyBorder="1" applyAlignment="1" applyProtection="1">
      <alignment horizontal="right" vertical="center" wrapText="1"/>
    </xf>
    <xf numFmtId="0" fontId="6" fillId="3" borderId="49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left" vertical="center"/>
    </xf>
    <xf numFmtId="3" fontId="6" fillId="3" borderId="50" xfId="0" applyNumberFormat="1" applyFont="1" applyFill="1" applyBorder="1" applyAlignment="1">
      <alignment horizontal="center" vertical="center"/>
    </xf>
    <xf numFmtId="166" fontId="6" fillId="3" borderId="48" xfId="1" applyNumberFormat="1" applyFont="1" applyFill="1" applyBorder="1" applyAlignment="1" applyProtection="1">
      <alignment horizontal="right" vertical="center" wrapText="1"/>
    </xf>
    <xf numFmtId="0" fontId="6" fillId="4" borderId="48" xfId="0" applyFont="1" applyFill="1" applyBorder="1" applyAlignment="1">
      <alignment horizontal="center" vertical="center"/>
    </xf>
    <xf numFmtId="0" fontId="6" fillId="3" borderId="48" xfId="0" applyFont="1" applyFill="1" applyBorder="1" applyAlignment="1">
      <alignment horizontal="center" vertical="center" wrapText="1"/>
    </xf>
    <xf numFmtId="0" fontId="21" fillId="0" borderId="8" xfId="0" applyFont="1" applyBorder="1" applyAlignment="1">
      <alignment horizontal="center" vertical="center" wrapText="1"/>
    </xf>
    <xf numFmtId="169" fontId="25" fillId="0" borderId="8" xfId="0" applyNumberFormat="1" applyFont="1" applyBorder="1" applyAlignment="1">
      <alignment horizontal="center" vertical="center" wrapText="1"/>
    </xf>
    <xf numFmtId="166" fontId="22" fillId="4" borderId="3" xfId="1" applyNumberFormat="1" applyFont="1" applyFill="1" applyBorder="1" applyAlignment="1" applyProtection="1">
      <alignment horizontal="right" vertical="center" wrapText="1"/>
    </xf>
    <xf numFmtId="0" fontId="16" fillId="3" borderId="2" xfId="0" applyFont="1" applyFill="1" applyBorder="1" applyAlignment="1">
      <alignment wrapText="1"/>
    </xf>
    <xf numFmtId="0" fontId="0" fillId="3" borderId="48" xfId="0" applyFill="1" applyBorder="1"/>
    <xf numFmtId="0" fontId="16" fillId="3" borderId="48" xfId="0" applyFont="1" applyFill="1" applyBorder="1" applyAlignment="1">
      <alignment wrapText="1"/>
    </xf>
    <xf numFmtId="0" fontId="6" fillId="4" borderId="51" xfId="0" applyFont="1" applyFill="1" applyBorder="1" applyAlignment="1">
      <alignment horizontal="center" vertical="center"/>
    </xf>
    <xf numFmtId="3" fontId="26" fillId="3" borderId="2" xfId="0" applyNumberFormat="1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center" vertical="center" wrapText="1"/>
    </xf>
    <xf numFmtId="3" fontId="26" fillId="3" borderId="48" xfId="0" applyNumberFormat="1" applyFont="1" applyFill="1" applyBorder="1" applyAlignment="1">
      <alignment horizontal="center" vertical="center"/>
    </xf>
    <xf numFmtId="0" fontId="26" fillId="3" borderId="48" xfId="0" applyFont="1" applyFill="1" applyBorder="1" applyAlignment="1">
      <alignment horizontal="left" vertical="center" wrapText="1"/>
    </xf>
    <xf numFmtId="0" fontId="17" fillId="3" borderId="48" xfId="0" applyFont="1" applyFill="1" applyBorder="1" applyAlignment="1">
      <alignment horizontal="left" vertical="top" wrapText="1"/>
    </xf>
    <xf numFmtId="0" fontId="6" fillId="3" borderId="52" xfId="0" applyFont="1" applyFill="1" applyBorder="1" applyAlignment="1">
      <alignment horizontal="left" vertical="center"/>
    </xf>
    <xf numFmtId="0" fontId="26" fillId="3" borderId="2" xfId="0" applyFont="1" applyFill="1" applyBorder="1" applyAlignment="1">
      <alignment horizontal="center" vertical="center" wrapText="1"/>
    </xf>
    <xf numFmtId="170" fontId="26" fillId="3" borderId="2" xfId="0" applyNumberFormat="1" applyFont="1" applyFill="1" applyBorder="1" applyAlignment="1">
      <alignment horizontal="center" vertical="center" wrapText="1"/>
    </xf>
    <xf numFmtId="170" fontId="26" fillId="3" borderId="48" xfId="0" applyNumberFormat="1" applyFont="1" applyFill="1" applyBorder="1" applyAlignment="1">
      <alignment horizontal="center" vertical="center" wrapText="1"/>
    </xf>
    <xf numFmtId="0" fontId="17" fillId="3" borderId="48" xfId="0" applyFont="1" applyFill="1" applyBorder="1" applyAlignment="1">
      <alignment horizontal="center" vertical="center" wrapText="1"/>
    </xf>
    <xf numFmtId="3" fontId="26" fillId="3" borderId="48" xfId="0" applyNumberFormat="1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center" vertical="center" wrapText="1"/>
    </xf>
    <xf numFmtId="0" fontId="29" fillId="3" borderId="48" xfId="0" applyFont="1" applyFill="1" applyBorder="1" applyAlignment="1">
      <alignment horizontal="left" vertical="center" wrapText="1"/>
    </xf>
    <xf numFmtId="0" fontId="6" fillId="4" borderId="52" xfId="0" applyFont="1" applyFill="1" applyBorder="1" applyAlignment="1">
      <alignment horizontal="center" vertical="center"/>
    </xf>
    <xf numFmtId="0" fontId="6" fillId="3" borderId="51" xfId="0" applyFont="1" applyFill="1" applyBorder="1" applyAlignment="1">
      <alignment horizontal="left" vertical="center"/>
    </xf>
    <xf numFmtId="0" fontId="17" fillId="5" borderId="0" xfId="0" applyFont="1" applyFill="1"/>
    <xf numFmtId="0" fontId="26" fillId="3" borderId="48" xfId="0" applyFont="1" applyFill="1" applyBorder="1" applyAlignment="1">
      <alignment vertical="center" wrapText="1"/>
    </xf>
    <xf numFmtId="166" fontId="22" fillId="3" borderId="50" xfId="1" applyNumberFormat="1" applyFont="1" applyFill="1" applyBorder="1" applyAlignment="1" applyProtection="1">
      <alignment horizontal="right" vertical="center" wrapText="1"/>
    </xf>
    <xf numFmtId="0" fontId="17" fillId="3" borderId="0" xfId="0" applyFont="1" applyFill="1"/>
    <xf numFmtId="0" fontId="16" fillId="3" borderId="48" xfId="0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horizontal="left" vertical="center" wrapText="1"/>
    </xf>
    <xf numFmtId="0" fontId="22" fillId="3" borderId="34" xfId="0" applyFont="1" applyFill="1" applyBorder="1" applyAlignment="1">
      <alignment horizontal="center"/>
    </xf>
    <xf numFmtId="0" fontId="22" fillId="3" borderId="49" xfId="0" applyFont="1" applyFill="1" applyBorder="1" applyAlignment="1">
      <alignment horizontal="center"/>
    </xf>
    <xf numFmtId="0" fontId="17" fillId="3" borderId="48" xfId="0" applyFont="1" applyFill="1" applyBorder="1" applyAlignment="1">
      <alignment horizontal="left" wrapText="1"/>
    </xf>
    <xf numFmtId="0" fontId="16" fillId="3" borderId="2" xfId="0" applyFont="1" applyFill="1" applyBorder="1" applyAlignment="1"/>
    <xf numFmtId="0" fontId="16" fillId="3" borderId="48" xfId="0" applyFont="1" applyFill="1" applyBorder="1" applyAlignment="1"/>
    <xf numFmtId="0" fontId="16" fillId="3" borderId="52" xfId="0" applyFont="1" applyFill="1" applyBorder="1" applyAlignment="1"/>
    <xf numFmtId="0" fontId="27" fillId="3" borderId="2" xfId="5" applyFont="1" applyFill="1" applyBorder="1" applyAlignment="1">
      <alignment vertical="center" wrapText="1"/>
    </xf>
    <xf numFmtId="0" fontId="16" fillId="3" borderId="48" xfId="0" applyFont="1" applyFill="1" applyBorder="1" applyAlignment="1">
      <alignment vertical="center" wrapText="1"/>
    </xf>
    <xf numFmtId="170" fontId="26" fillId="3" borderId="48" xfId="0" applyNumberFormat="1" applyFont="1" applyFill="1" applyBorder="1" applyAlignment="1">
      <alignment vertical="center"/>
    </xf>
    <xf numFmtId="0" fontId="28" fillId="3" borderId="48" xfId="0" applyFont="1" applyFill="1" applyBorder="1" applyAlignment="1">
      <alignment vertical="center" wrapText="1"/>
    </xf>
    <xf numFmtId="0" fontId="16" fillId="3" borderId="48" xfId="0" applyFont="1" applyFill="1" applyBorder="1" applyAlignment="1">
      <alignment horizontal="center" vertical="center"/>
    </xf>
    <xf numFmtId="170" fontId="26" fillId="3" borderId="48" xfId="1" applyNumberFormat="1" applyFont="1" applyFill="1" applyBorder="1" applyAlignment="1">
      <alignment vertical="center"/>
    </xf>
    <xf numFmtId="170" fontId="26" fillId="3" borderId="48" xfId="0" applyNumberFormat="1" applyFont="1" applyFill="1" applyBorder="1" applyAlignment="1">
      <alignment vertical="center" wrapText="1"/>
    </xf>
    <xf numFmtId="0" fontId="30" fillId="3" borderId="0" xfId="0" applyFont="1" applyFill="1"/>
    <xf numFmtId="0" fontId="16" fillId="3" borderId="52" xfId="0" applyFont="1" applyFill="1" applyBorder="1" applyAlignment="1">
      <alignment vertical="center" wrapText="1"/>
    </xf>
    <xf numFmtId="170" fontId="26" fillId="3" borderId="52" xfId="0" applyNumberFormat="1" applyFont="1" applyFill="1" applyBorder="1" applyAlignment="1">
      <alignment vertical="center"/>
    </xf>
    <xf numFmtId="0" fontId="6" fillId="4" borderId="56" xfId="0" applyFont="1" applyFill="1" applyBorder="1" applyAlignment="1">
      <alignment horizontal="center" vertical="center"/>
    </xf>
    <xf numFmtId="0" fontId="26" fillId="3" borderId="55" xfId="0" applyFont="1" applyFill="1" applyBorder="1" applyAlignment="1">
      <alignment horizontal="left" vertical="center" wrapText="1"/>
    </xf>
    <xf numFmtId="0" fontId="26" fillId="3" borderId="54" xfId="0" applyFont="1" applyFill="1" applyBorder="1" applyAlignment="1">
      <alignment horizontal="left" vertical="center" wrapText="1"/>
    </xf>
    <xf numFmtId="0" fontId="26" fillId="3" borderId="55" xfId="0" applyFont="1" applyFill="1" applyBorder="1" applyAlignment="1">
      <alignment horizontal="center" vertical="center" wrapText="1"/>
    </xf>
    <xf numFmtId="0" fontId="16" fillId="3" borderId="52" xfId="0" applyFont="1" applyFill="1" applyBorder="1" applyAlignment="1">
      <alignment horizontal="center" vertical="center"/>
    </xf>
    <xf numFmtId="0" fontId="26" fillId="3" borderId="54" xfId="0" applyFont="1" applyFill="1" applyBorder="1" applyAlignment="1">
      <alignment horizontal="center" vertical="center" wrapText="1"/>
    </xf>
    <xf numFmtId="3" fontId="26" fillId="3" borderId="55" xfId="0" applyNumberFormat="1" applyFont="1" applyFill="1" applyBorder="1" applyAlignment="1">
      <alignment horizontal="center" vertical="center" wrapText="1"/>
    </xf>
    <xf numFmtId="3" fontId="26" fillId="3" borderId="54" xfId="0" applyNumberFormat="1" applyFont="1" applyFill="1" applyBorder="1" applyAlignment="1">
      <alignment horizontal="center" vertical="center" wrapText="1"/>
    </xf>
    <xf numFmtId="170" fontId="26" fillId="3" borderId="55" xfId="0" applyNumberFormat="1" applyFont="1" applyFill="1" applyBorder="1" applyAlignment="1">
      <alignment horizontal="center" vertical="center" wrapText="1"/>
    </xf>
    <xf numFmtId="170" fontId="26" fillId="3" borderId="54" xfId="0" applyNumberFormat="1" applyFont="1" applyFill="1" applyBorder="1" applyAlignment="1">
      <alignment horizontal="center" vertical="center" wrapText="1"/>
    </xf>
    <xf numFmtId="0" fontId="16" fillId="3" borderId="48" xfId="0" applyFont="1" applyFill="1" applyBorder="1" applyAlignment="1">
      <alignment vertical="center"/>
    </xf>
    <xf numFmtId="169" fontId="26" fillId="3" borderId="48" xfId="0" applyNumberFormat="1" applyFont="1" applyFill="1" applyBorder="1" applyAlignment="1">
      <alignment vertical="center"/>
    </xf>
    <xf numFmtId="0" fontId="22" fillId="3" borderId="2" xfId="0" applyFont="1" applyFill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 wrapText="1"/>
    </xf>
    <xf numFmtId="0" fontId="17" fillId="3" borderId="53" xfId="0" applyFont="1" applyFill="1" applyBorder="1" applyAlignment="1">
      <alignment horizontal="center" vertical="center" wrapText="1"/>
    </xf>
    <xf numFmtId="0" fontId="6" fillId="3" borderId="56" xfId="0" applyFont="1" applyFill="1" applyBorder="1" applyAlignment="1">
      <alignment horizontal="left" vertical="center"/>
    </xf>
    <xf numFmtId="0" fontId="31" fillId="0" borderId="57" xfId="0" applyFont="1" applyBorder="1" applyAlignment="1">
      <alignment horizontal="left" indent="3"/>
    </xf>
    <xf numFmtId="0" fontId="17" fillId="0" borderId="58" xfId="0" applyFont="1" applyBorder="1"/>
    <xf numFmtId="0" fontId="17" fillId="0" borderId="59" xfId="0" applyFont="1" applyBorder="1"/>
    <xf numFmtId="0" fontId="17" fillId="0" borderId="60" xfId="0" applyFont="1" applyBorder="1"/>
    <xf numFmtId="0" fontId="31" fillId="0" borderId="62" xfId="0" applyFont="1" applyBorder="1" applyAlignment="1"/>
    <xf numFmtId="0" fontId="17" fillId="0" borderId="63" xfId="0" applyFont="1" applyBorder="1" applyAlignment="1">
      <alignment horizontal="center" wrapText="1"/>
    </xf>
    <xf numFmtId="0" fontId="17" fillId="0" borderId="63" xfId="0" applyFont="1" applyFill="1" applyBorder="1" applyAlignment="1">
      <alignment horizontal="center" wrapText="1"/>
    </xf>
    <xf numFmtId="0" fontId="17" fillId="0" borderId="64" xfId="0" applyFont="1" applyBorder="1" applyAlignment="1">
      <alignment horizontal="center" wrapText="1"/>
    </xf>
    <xf numFmtId="0" fontId="31" fillId="0" borderId="60" xfId="0" applyFont="1" applyBorder="1" applyAlignment="1"/>
    <xf numFmtId="0" fontId="17" fillId="0" borderId="0" xfId="0" applyFont="1" applyBorder="1" applyAlignment="1">
      <alignment horizontal="center" wrapText="1"/>
    </xf>
    <xf numFmtId="0" fontId="17" fillId="0" borderId="0" xfId="0" applyFont="1" applyFill="1" applyBorder="1" applyAlignment="1">
      <alignment horizontal="center" wrapText="1"/>
    </xf>
    <xf numFmtId="0" fontId="17" fillId="0" borderId="61" xfId="0" applyFont="1" applyBorder="1" applyAlignment="1">
      <alignment horizontal="center" wrapText="1"/>
    </xf>
    <xf numFmtId="0" fontId="17" fillId="4" borderId="60" xfId="5" applyFont="1" applyFill="1" applyBorder="1" applyAlignment="1">
      <alignment horizontal="left" wrapText="1"/>
    </xf>
    <xf numFmtId="0" fontId="17" fillId="4" borderId="0" xfId="5" applyFont="1" applyFill="1" applyBorder="1" applyAlignment="1">
      <alignment horizontal="left" wrapText="1"/>
    </xf>
    <xf numFmtId="0" fontId="17" fillId="4" borderId="61" xfId="5" applyFont="1" applyFill="1" applyBorder="1" applyAlignment="1">
      <alignment horizontal="left" wrapText="1"/>
    </xf>
    <xf numFmtId="0" fontId="19" fillId="0" borderId="0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center"/>
    </xf>
    <xf numFmtId="0" fontId="24" fillId="4" borderId="0" xfId="0" applyFont="1" applyFill="1" applyBorder="1" applyAlignment="1">
      <alignment horizontal="left" wrapText="1" indent="1"/>
    </xf>
    <xf numFmtId="0" fontId="6" fillId="3" borderId="51" xfId="0" applyFont="1" applyFill="1" applyBorder="1" applyAlignment="1">
      <alignment horizontal="left" vertical="center" wrapText="1"/>
    </xf>
    <xf numFmtId="0" fontId="7" fillId="3" borderId="0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 indent="1"/>
    </xf>
    <xf numFmtId="0" fontId="9" fillId="3" borderId="9" xfId="0" applyFont="1" applyFill="1" applyBorder="1" applyAlignment="1">
      <alignment horizontal="left" vertical="center" wrapText="1"/>
    </xf>
    <xf numFmtId="0" fontId="8" fillId="4" borderId="11" xfId="0" applyFont="1" applyFill="1" applyBorder="1" applyAlignment="1">
      <alignment horizontal="left" vertical="center" wrapText="1" indent="1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>
      <alignment horizontal="center" vertical="center" wrapText="1"/>
    </xf>
    <xf numFmtId="0" fontId="9" fillId="3" borderId="10" xfId="0" applyFont="1" applyFill="1" applyBorder="1" applyAlignment="1">
      <alignment horizontal="left" vertical="center"/>
    </xf>
    <xf numFmtId="167" fontId="9" fillId="0" borderId="8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left" vertical="center" wrapText="1"/>
    </xf>
    <xf numFmtId="0" fontId="0" fillId="0" borderId="13" xfId="0" applyFont="1" applyBorder="1" applyAlignment="1">
      <alignment horizontal="center"/>
    </xf>
    <xf numFmtId="3" fontId="11" fillId="0" borderId="14" xfId="0" applyNumberFormat="1" applyFont="1" applyBorder="1" applyAlignment="1">
      <alignment horizontal="center"/>
    </xf>
    <xf numFmtId="0" fontId="12" fillId="0" borderId="5" xfId="0" applyFont="1" applyBorder="1" applyAlignment="1">
      <alignment horizontal="center" vertical="center" wrapText="1"/>
    </xf>
    <xf numFmtId="0" fontId="4" fillId="0" borderId="5" xfId="0" applyFont="1" applyBorder="1"/>
    <xf numFmtId="0" fontId="13" fillId="0" borderId="5" xfId="0" applyFont="1" applyBorder="1" applyAlignment="1">
      <alignment horizontal="left" indent="1"/>
    </xf>
    <xf numFmtId="0" fontId="6" fillId="0" borderId="7" xfId="0" applyFont="1" applyBorder="1" applyAlignment="1">
      <alignment horizontal="left" vertical="center" wrapText="1"/>
    </xf>
    <xf numFmtId="0" fontId="6" fillId="0" borderId="32" xfId="0" applyFont="1" applyBorder="1" applyAlignment="1">
      <alignment horizontal="left" vertical="center" wrapText="1"/>
    </xf>
    <xf numFmtId="0" fontId="6" fillId="0" borderId="33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left"/>
    </xf>
    <xf numFmtId="0" fontId="13" fillId="0" borderId="16" xfId="0" applyFont="1" applyBorder="1"/>
    <xf numFmtId="0" fontId="13" fillId="0" borderId="17" xfId="0" applyFont="1" applyBorder="1" applyAlignment="1">
      <alignment horizontal="left" vertical="center" wrapText="1" indent="1"/>
    </xf>
    <xf numFmtId="0" fontId="15" fillId="0" borderId="15" xfId="0" applyFont="1" applyBorder="1" applyAlignment="1">
      <alignment horizontal="center" vertical="center"/>
    </xf>
    <xf numFmtId="0" fontId="15" fillId="0" borderId="35" xfId="0" applyFont="1" applyBorder="1" applyAlignment="1">
      <alignment horizontal="center" vertical="center"/>
    </xf>
    <xf numFmtId="0" fontId="15" fillId="0" borderId="36" xfId="0" applyFont="1" applyBorder="1" applyAlignment="1">
      <alignment horizontal="center" vertical="center"/>
    </xf>
    <xf numFmtId="0" fontId="15" fillId="0" borderId="37" xfId="0" applyFont="1" applyBorder="1" applyAlignment="1">
      <alignment horizontal="center" vertical="center" wrapText="1"/>
    </xf>
    <xf numFmtId="0" fontId="15" fillId="0" borderId="38" xfId="0" applyFont="1" applyBorder="1" applyAlignment="1">
      <alignment horizontal="center" vertical="center" wrapText="1"/>
    </xf>
    <xf numFmtId="0" fontId="15" fillId="0" borderId="43" xfId="0" applyFont="1" applyBorder="1" applyAlignment="1">
      <alignment horizontal="center" vertical="center" wrapText="1"/>
    </xf>
    <xf numFmtId="0" fontId="15" fillId="0" borderId="44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0" fontId="26" fillId="0" borderId="22" xfId="0" applyFont="1" applyFill="1" applyBorder="1" applyAlignment="1">
      <alignment horizontal="left" vertical="center" wrapText="1"/>
    </xf>
    <xf numFmtId="0" fontId="16" fillId="0" borderId="24" xfId="0" applyFont="1" applyBorder="1" applyAlignment="1">
      <alignment horizontal="left" vertical="center"/>
    </xf>
    <xf numFmtId="0" fontId="0" fillId="0" borderId="24" xfId="0" applyFont="1" applyBorder="1" applyAlignment="1">
      <alignment horizontal="left" vertical="center"/>
    </xf>
    <xf numFmtId="0" fontId="11" fillId="0" borderId="13" xfId="0" applyFont="1" applyBorder="1" applyAlignment="1">
      <alignment vertical="center" wrapText="1"/>
    </xf>
    <xf numFmtId="0" fontId="11" fillId="0" borderId="3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3" fillId="0" borderId="20" xfId="0" applyFont="1" applyBorder="1" applyAlignment="1">
      <alignment vertical="center" wrapText="1"/>
    </xf>
    <xf numFmtId="0" fontId="13" fillId="4" borderId="30" xfId="0" applyFont="1" applyFill="1" applyBorder="1" applyAlignment="1">
      <alignment horizontal="left" vertical="center" wrapText="1" indent="1"/>
    </xf>
    <xf numFmtId="0" fontId="0" fillId="0" borderId="24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11" fillId="0" borderId="30" xfId="0" applyFont="1" applyBorder="1" applyAlignment="1">
      <alignment horizontal="left" vertical="center" wrapText="1"/>
    </xf>
    <xf numFmtId="0" fontId="0" fillId="0" borderId="15" xfId="0" applyBorder="1"/>
  </cellXfs>
  <cellStyles count="8">
    <cellStyle name="Encabezado 1" xfId="2" xr:uid="{00000000-0005-0000-0000-000000000000}"/>
    <cellStyle name="Millares 2" xfId="6" xr:uid="{00000000-0005-0000-0000-000001000000}"/>
    <cellStyle name="Moneda" xfId="1" builtinId="4"/>
    <cellStyle name="Moneda_AUTORIZACION Y NOTA DE PEDIDO" xfId="3" xr:uid="{00000000-0005-0000-0000-000003000000}"/>
    <cellStyle name="Neutral 1" xfId="4" xr:uid="{00000000-0005-0000-0000-000004000000}"/>
    <cellStyle name="Normal" xfId="0" builtinId="0"/>
    <cellStyle name="Normal 2 3" xfId="5" xr:uid="{00000000-0005-0000-0000-000006000000}"/>
    <cellStyle name="Normal 3" xfId="7" xr:uid="{00000000-0005-0000-0000-000007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2:EB53"/>
  <sheetViews>
    <sheetView topLeftCell="A34" zoomScale="93" zoomScaleNormal="93" workbookViewId="0">
      <selection activeCell="E30" sqref="E30"/>
    </sheetView>
  </sheetViews>
  <sheetFormatPr baseColWidth="10" defaultColWidth="11" defaultRowHeight="12.75"/>
  <cols>
    <col min="1" max="1" width="6.42578125" style="26" customWidth="1"/>
    <col min="2" max="2" width="11.5703125" style="26" customWidth="1"/>
    <col min="3" max="3" width="28.42578125" style="26" customWidth="1"/>
    <col min="4" max="4" width="8.42578125" style="26" customWidth="1"/>
    <col min="5" max="5" width="57.7109375" style="26" customWidth="1"/>
    <col min="6" max="6" width="11" style="26"/>
    <col min="7" max="7" width="10.42578125" style="26" bestFit="1" customWidth="1"/>
    <col min="8" max="8" width="13.85546875" style="47" customWidth="1"/>
    <col min="9" max="9" width="18.5703125" style="26" customWidth="1"/>
    <col min="10" max="11" width="11" style="26"/>
    <col min="12" max="12" width="13.140625" style="26" customWidth="1"/>
    <col min="13" max="16384" width="11" style="26"/>
  </cols>
  <sheetData>
    <row r="2" spans="1:54" ht="27">
      <c r="B2" s="143" t="s">
        <v>0</v>
      </c>
      <c r="C2" s="143"/>
      <c r="D2" s="143"/>
      <c r="E2" s="143"/>
      <c r="F2" s="143"/>
      <c r="G2" s="143"/>
      <c r="H2" s="143"/>
    </row>
    <row r="3" spans="1:54" ht="12" customHeight="1"/>
    <row r="4" spans="1:54" ht="18" customHeight="1">
      <c r="A4" s="142" t="s">
        <v>1</v>
      </c>
      <c r="B4" s="142"/>
      <c r="C4" s="144" t="s">
        <v>52</v>
      </c>
      <c r="D4" s="144"/>
      <c r="E4" s="144"/>
      <c r="F4" s="27"/>
      <c r="G4" s="28"/>
      <c r="H4" s="48"/>
    </row>
    <row r="5" spans="1:54" ht="18" customHeight="1">
      <c r="A5" s="142" t="s">
        <v>2</v>
      </c>
      <c r="B5" s="142"/>
      <c r="C5" s="144" t="s">
        <v>51</v>
      </c>
      <c r="D5" s="144"/>
      <c r="E5" s="144"/>
      <c r="F5" s="27"/>
      <c r="G5" s="28" t="s">
        <v>55</v>
      </c>
      <c r="H5" s="48"/>
    </row>
    <row r="6" spans="1:54" ht="16.5" customHeight="1">
      <c r="A6" s="142" t="s">
        <v>3</v>
      </c>
      <c r="B6" s="142"/>
      <c r="C6" s="38">
        <v>2022</v>
      </c>
      <c r="D6" s="39"/>
      <c r="E6" s="39"/>
      <c r="F6" s="27"/>
      <c r="G6" s="28"/>
      <c r="H6" s="48"/>
    </row>
    <row r="7" spans="1:54" ht="16.5" customHeight="1">
      <c r="A7" s="142" t="s">
        <v>4</v>
      </c>
      <c r="B7" s="142"/>
      <c r="C7" s="38">
        <v>2</v>
      </c>
      <c r="D7" s="39"/>
      <c r="E7" s="39"/>
      <c r="F7" s="27"/>
      <c r="G7" s="28"/>
      <c r="H7" s="48"/>
    </row>
    <row r="8" spans="1:54" ht="13.5" thickBot="1">
      <c r="B8" s="27"/>
      <c r="C8" s="28"/>
      <c r="D8" s="27"/>
      <c r="E8" s="27"/>
      <c r="F8" s="27"/>
      <c r="G8" s="28"/>
      <c r="H8" s="48"/>
      <c r="J8" s="46"/>
    </row>
    <row r="9" spans="1:54" ht="36.75" thickBot="1">
      <c r="A9" s="67" t="s">
        <v>5</v>
      </c>
      <c r="B9" s="67" t="s">
        <v>6</v>
      </c>
      <c r="C9" s="67" t="s">
        <v>7</v>
      </c>
      <c r="D9" s="67" t="s">
        <v>8</v>
      </c>
      <c r="E9" s="67" t="s">
        <v>9</v>
      </c>
      <c r="F9" s="67" t="s">
        <v>10</v>
      </c>
      <c r="G9" s="67" t="s">
        <v>11</v>
      </c>
      <c r="H9" s="68" t="s">
        <v>12</v>
      </c>
      <c r="I9" s="67" t="s">
        <v>13</v>
      </c>
    </row>
    <row r="10" spans="1:54" ht="38.25">
      <c r="A10" s="95">
        <v>1</v>
      </c>
      <c r="B10" s="98"/>
      <c r="C10" s="70" t="s">
        <v>61</v>
      </c>
      <c r="D10" s="123">
        <v>295</v>
      </c>
      <c r="E10" s="101" t="s">
        <v>109</v>
      </c>
      <c r="F10" s="80" t="s">
        <v>57</v>
      </c>
      <c r="G10" s="74">
        <v>2</v>
      </c>
      <c r="H10" s="81">
        <v>7577</v>
      </c>
      <c r="I10" s="69">
        <f>G10*H10</f>
        <v>15154</v>
      </c>
      <c r="K10" s="29"/>
    </row>
    <row r="11" spans="1:54" s="89" customFormat="1" ht="25.5">
      <c r="A11" s="96">
        <v>2</v>
      </c>
      <c r="B11" s="99"/>
      <c r="C11" s="97" t="s">
        <v>61</v>
      </c>
      <c r="D11" s="83">
        <v>295</v>
      </c>
      <c r="E11" s="102" t="s">
        <v>79</v>
      </c>
      <c r="F11" s="93" t="s">
        <v>78</v>
      </c>
      <c r="G11" s="93">
        <v>2000</v>
      </c>
      <c r="H11" s="103">
        <v>27.2</v>
      </c>
      <c r="I11" s="60">
        <f t="shared" ref="I11:I30" si="0">G11*H11</f>
        <v>54400</v>
      </c>
      <c r="J11" s="92"/>
      <c r="K11" s="92" t="s">
        <v>55</v>
      </c>
      <c r="L11" s="92"/>
      <c r="M11" s="92"/>
      <c r="N11" s="92"/>
      <c r="O11" s="92"/>
      <c r="P11" s="92"/>
      <c r="Q11" s="92"/>
      <c r="R11" s="92"/>
      <c r="S11" s="92"/>
      <c r="T11" s="92"/>
      <c r="U11" s="92"/>
      <c r="V11" s="92"/>
      <c r="W11" s="92"/>
      <c r="X11" s="92"/>
      <c r="Y11" s="92"/>
      <c r="Z11" s="92"/>
      <c r="AA11" s="92"/>
      <c r="AB11" s="92"/>
      <c r="AC11" s="92"/>
      <c r="AD11" s="92"/>
      <c r="AE11" s="92"/>
      <c r="AF11" s="92"/>
      <c r="AG11" s="92"/>
      <c r="AH11" s="92"/>
      <c r="AI11" s="92"/>
      <c r="AJ11" s="92"/>
      <c r="AK11" s="92"/>
      <c r="AL11" s="92"/>
      <c r="AM11" s="92"/>
      <c r="AN11" s="92"/>
      <c r="AO11" s="92"/>
      <c r="AP11" s="92"/>
      <c r="AQ11" s="92"/>
      <c r="AR11" s="92"/>
      <c r="AS11" s="92"/>
      <c r="AT11" s="92"/>
      <c r="AU11" s="92"/>
      <c r="AV11" s="92"/>
      <c r="AW11" s="92"/>
      <c r="AX11" s="92"/>
      <c r="AY11" s="92"/>
      <c r="AZ11" s="92"/>
      <c r="BA11" s="92"/>
      <c r="BB11" s="92"/>
    </row>
    <row r="12" spans="1:54" ht="38.25">
      <c r="A12" s="96">
        <v>3</v>
      </c>
      <c r="B12" s="99"/>
      <c r="C12" s="72" t="s">
        <v>61</v>
      </c>
      <c r="D12" s="124">
        <v>295</v>
      </c>
      <c r="E12" s="90" t="s">
        <v>70</v>
      </c>
      <c r="F12" s="75" t="s">
        <v>64</v>
      </c>
      <c r="G12" s="76">
        <v>2</v>
      </c>
      <c r="H12" s="82">
        <v>4527</v>
      </c>
      <c r="I12" s="60">
        <f t="shared" si="0"/>
        <v>9054</v>
      </c>
      <c r="K12" s="29"/>
    </row>
    <row r="13" spans="1:54" ht="38.25">
      <c r="A13" s="96">
        <v>4</v>
      </c>
      <c r="B13" s="99"/>
      <c r="C13" s="72" t="s">
        <v>61</v>
      </c>
      <c r="D13" s="124">
        <v>295</v>
      </c>
      <c r="E13" s="104" t="s">
        <v>65</v>
      </c>
      <c r="F13" s="75" t="s">
        <v>57</v>
      </c>
      <c r="G13" s="76">
        <v>3</v>
      </c>
      <c r="H13" s="82">
        <v>12110</v>
      </c>
      <c r="I13" s="60">
        <f t="shared" si="0"/>
        <v>36330</v>
      </c>
    </row>
    <row r="14" spans="1:54" ht="38.25">
      <c r="A14" s="96">
        <v>5</v>
      </c>
      <c r="B14" s="99"/>
      <c r="C14" s="72" t="s">
        <v>61</v>
      </c>
      <c r="D14" s="124">
        <v>295</v>
      </c>
      <c r="E14" s="77" t="s">
        <v>69</v>
      </c>
      <c r="F14" s="75" t="s">
        <v>57</v>
      </c>
      <c r="G14" s="76">
        <v>50</v>
      </c>
      <c r="H14" s="82">
        <v>183</v>
      </c>
      <c r="I14" s="60">
        <f t="shared" si="0"/>
        <v>9150</v>
      </c>
    </row>
    <row r="15" spans="1:54" ht="38.25" hidden="1">
      <c r="A15" s="96">
        <v>6</v>
      </c>
      <c r="B15" s="100"/>
      <c r="C15" s="72" t="s">
        <v>61</v>
      </c>
      <c r="D15" s="124">
        <v>234</v>
      </c>
      <c r="E15" s="77" t="s">
        <v>101</v>
      </c>
      <c r="F15" s="75" t="s">
        <v>75</v>
      </c>
      <c r="G15" s="76">
        <v>1</v>
      </c>
      <c r="H15" s="122">
        <v>33794</v>
      </c>
      <c r="I15" s="60">
        <f t="shared" si="0"/>
        <v>33794</v>
      </c>
    </row>
    <row r="16" spans="1:54" ht="25.5">
      <c r="A16" s="96">
        <v>7</v>
      </c>
      <c r="B16" s="100"/>
      <c r="C16" s="97" t="s">
        <v>61</v>
      </c>
      <c r="D16" s="83">
        <v>295</v>
      </c>
      <c r="E16" s="90" t="s">
        <v>95</v>
      </c>
      <c r="F16" s="85" t="s">
        <v>56</v>
      </c>
      <c r="G16" s="85">
        <v>3</v>
      </c>
      <c r="H16" s="103">
        <v>2659</v>
      </c>
      <c r="I16" s="60">
        <f t="shared" si="0"/>
        <v>7977</v>
      </c>
    </row>
    <row r="17" spans="1:132" s="89" customFormat="1" ht="25.5">
      <c r="A17" s="96">
        <v>8</v>
      </c>
      <c r="B17" s="100"/>
      <c r="C17" s="97" t="s">
        <v>61</v>
      </c>
      <c r="D17" s="83">
        <v>295</v>
      </c>
      <c r="E17" s="102" t="s">
        <v>66</v>
      </c>
      <c r="F17" s="93" t="s">
        <v>56</v>
      </c>
      <c r="G17" s="93">
        <v>500</v>
      </c>
      <c r="H17" s="103">
        <v>84</v>
      </c>
      <c r="I17" s="91">
        <f t="shared" si="0"/>
        <v>42000</v>
      </c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92"/>
      <c r="AB17" s="92"/>
      <c r="AC17" s="92"/>
      <c r="AD17" s="92"/>
      <c r="AE17" s="92"/>
      <c r="AF17" s="92"/>
      <c r="AG17" s="92"/>
      <c r="AH17" s="92"/>
      <c r="AI17" s="92"/>
      <c r="AJ17" s="92"/>
      <c r="AK17" s="92"/>
      <c r="AL17" s="92"/>
      <c r="AM17" s="92"/>
      <c r="AN17" s="92"/>
      <c r="AO17" s="92"/>
      <c r="AP17" s="92"/>
      <c r="AQ17" s="92"/>
      <c r="AR17" s="92"/>
      <c r="AS17" s="92"/>
      <c r="AT17" s="92"/>
      <c r="AU17" s="92"/>
      <c r="AV17" s="92"/>
      <c r="AW17" s="92"/>
      <c r="AX17" s="92"/>
      <c r="AY17" s="92"/>
      <c r="AZ17" s="92"/>
      <c r="BA17" s="92"/>
      <c r="BB17" s="92"/>
      <c r="BC17" s="92"/>
      <c r="BD17" s="92"/>
      <c r="BE17" s="92"/>
      <c r="BF17" s="92"/>
      <c r="BG17" s="92"/>
      <c r="BH17" s="92"/>
      <c r="BI17" s="92"/>
      <c r="BJ17" s="92"/>
      <c r="BK17" s="92"/>
      <c r="BL17" s="92"/>
      <c r="BM17" s="92"/>
      <c r="BN17" s="92"/>
      <c r="BO17" s="92"/>
      <c r="BP17" s="92"/>
      <c r="BQ17" s="92"/>
      <c r="BR17" s="92"/>
      <c r="BS17" s="92"/>
      <c r="BT17" s="92"/>
      <c r="BU17" s="92"/>
      <c r="BV17" s="92"/>
      <c r="BW17" s="92"/>
      <c r="BX17" s="92"/>
      <c r="BY17" s="92"/>
      <c r="BZ17" s="92"/>
      <c r="CA17" s="92"/>
      <c r="CB17" s="92"/>
      <c r="CC17" s="92"/>
      <c r="CD17" s="92"/>
      <c r="CE17" s="92"/>
      <c r="CF17" s="92"/>
      <c r="CG17" s="92"/>
      <c r="CH17" s="92"/>
      <c r="CI17" s="92"/>
      <c r="CJ17" s="92"/>
      <c r="CK17" s="92"/>
      <c r="CL17" s="92"/>
      <c r="CM17" s="92"/>
      <c r="CN17" s="92"/>
      <c r="CO17" s="92"/>
      <c r="CP17" s="92"/>
      <c r="CQ17" s="92"/>
      <c r="CR17" s="92"/>
      <c r="CS17" s="92"/>
      <c r="CT17" s="92"/>
      <c r="CU17" s="92"/>
      <c r="CV17" s="92"/>
      <c r="CW17" s="92"/>
      <c r="CX17" s="92"/>
      <c r="CY17" s="92"/>
      <c r="CZ17" s="92"/>
      <c r="DA17" s="92"/>
      <c r="DB17" s="92"/>
      <c r="DC17" s="92"/>
      <c r="DD17" s="92"/>
      <c r="DE17" s="92"/>
      <c r="DF17" s="92"/>
      <c r="DG17" s="92"/>
      <c r="DH17" s="92"/>
      <c r="DI17" s="92"/>
      <c r="DJ17" s="92"/>
      <c r="DK17" s="92"/>
      <c r="DL17" s="92"/>
      <c r="DM17" s="92"/>
      <c r="DN17" s="92"/>
      <c r="DO17" s="92"/>
      <c r="DP17" s="92"/>
      <c r="DQ17" s="92"/>
      <c r="DR17" s="92"/>
      <c r="DS17" s="92"/>
      <c r="DT17" s="92"/>
      <c r="DU17" s="92"/>
      <c r="DV17" s="92"/>
      <c r="DW17" s="92"/>
      <c r="DX17" s="92"/>
      <c r="DY17" s="92"/>
      <c r="DZ17" s="92"/>
      <c r="EA17" s="92"/>
      <c r="EB17" s="92"/>
    </row>
    <row r="18" spans="1:132" s="89" customFormat="1" ht="25.5">
      <c r="A18" s="96">
        <v>9</v>
      </c>
      <c r="B18" s="100"/>
      <c r="C18" s="97" t="s">
        <v>61</v>
      </c>
      <c r="D18" s="83">
        <v>295</v>
      </c>
      <c r="E18" s="102" t="s">
        <v>94</v>
      </c>
      <c r="F18" s="93" t="s">
        <v>78</v>
      </c>
      <c r="G18" s="93">
        <v>100</v>
      </c>
      <c r="H18" s="103">
        <v>45</v>
      </c>
      <c r="I18" s="91">
        <f t="shared" si="0"/>
        <v>4500</v>
      </c>
      <c r="J18" s="92"/>
      <c r="K18" s="92"/>
      <c r="L18" s="92"/>
      <c r="M18" s="92"/>
      <c r="N18" s="92"/>
      <c r="O18" s="92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92"/>
      <c r="AB18" s="92"/>
      <c r="AC18" s="92"/>
      <c r="AD18" s="92"/>
      <c r="AE18" s="92"/>
      <c r="AF18" s="92"/>
      <c r="AG18" s="92"/>
      <c r="AH18" s="92"/>
      <c r="AI18" s="92"/>
      <c r="AJ18" s="92"/>
      <c r="AK18" s="92"/>
      <c r="AL18" s="92"/>
      <c r="AM18" s="92"/>
      <c r="AN18" s="92"/>
      <c r="AO18" s="92"/>
      <c r="AP18" s="92"/>
      <c r="AQ18" s="92"/>
      <c r="AR18" s="92"/>
      <c r="AS18" s="92"/>
      <c r="AT18" s="92"/>
      <c r="AU18" s="92"/>
      <c r="AV18" s="92"/>
      <c r="AW18" s="92"/>
      <c r="AX18" s="92"/>
      <c r="AY18" s="92"/>
      <c r="AZ18" s="92"/>
      <c r="BA18" s="92"/>
      <c r="BB18" s="92"/>
      <c r="BC18" s="92"/>
      <c r="BD18" s="92"/>
      <c r="BE18" s="92"/>
      <c r="BF18" s="92"/>
      <c r="BG18" s="92"/>
      <c r="BH18" s="92"/>
      <c r="BI18" s="92"/>
      <c r="BJ18" s="92"/>
      <c r="BK18" s="92"/>
      <c r="BL18" s="92"/>
      <c r="BM18" s="92"/>
      <c r="BN18" s="92"/>
      <c r="BO18" s="92"/>
      <c r="BP18" s="92"/>
      <c r="BQ18" s="92"/>
      <c r="BR18" s="92"/>
      <c r="BS18" s="92"/>
      <c r="BT18" s="92"/>
      <c r="BU18" s="92"/>
      <c r="BV18" s="92"/>
      <c r="BW18" s="92"/>
      <c r="BX18" s="92"/>
      <c r="BY18" s="92"/>
      <c r="BZ18" s="92"/>
      <c r="CA18" s="92"/>
      <c r="CB18" s="92"/>
      <c r="CC18" s="92"/>
      <c r="CD18" s="92"/>
      <c r="CE18" s="92"/>
      <c r="CF18" s="92"/>
      <c r="CG18" s="92"/>
      <c r="CH18" s="92"/>
      <c r="CI18" s="92"/>
      <c r="CJ18" s="92"/>
      <c r="CK18" s="92"/>
      <c r="CL18" s="92"/>
      <c r="CM18" s="92"/>
      <c r="CN18" s="92"/>
      <c r="CO18" s="92"/>
      <c r="CP18" s="92"/>
      <c r="CQ18" s="92"/>
      <c r="CR18" s="92"/>
      <c r="CS18" s="92"/>
      <c r="CT18" s="92"/>
      <c r="CU18" s="92"/>
      <c r="CV18" s="92"/>
      <c r="CW18" s="92"/>
      <c r="CX18" s="92"/>
      <c r="CY18" s="92"/>
      <c r="CZ18" s="92"/>
      <c r="DA18" s="92"/>
      <c r="DB18" s="92"/>
      <c r="DC18" s="92"/>
      <c r="DD18" s="92"/>
      <c r="DE18" s="92"/>
      <c r="DF18" s="92"/>
      <c r="DG18" s="92"/>
      <c r="DH18" s="92"/>
      <c r="DI18" s="92"/>
      <c r="DJ18" s="92"/>
      <c r="DK18" s="92"/>
      <c r="DL18" s="92"/>
      <c r="DM18" s="92"/>
      <c r="DN18" s="92"/>
      <c r="DO18" s="92"/>
      <c r="DP18" s="92"/>
      <c r="DQ18" s="92"/>
      <c r="DR18" s="92"/>
      <c r="DS18" s="92"/>
      <c r="DT18" s="92"/>
      <c r="DU18" s="92"/>
      <c r="DV18" s="92"/>
      <c r="DW18" s="92"/>
      <c r="DX18" s="92"/>
      <c r="DY18" s="92"/>
      <c r="DZ18" s="92"/>
      <c r="EA18" s="92"/>
      <c r="EB18" s="92"/>
    </row>
    <row r="19" spans="1:132" s="92" customFormat="1" ht="25.5">
      <c r="A19" s="96">
        <v>10</v>
      </c>
      <c r="B19" s="100"/>
      <c r="C19" s="97" t="s">
        <v>61</v>
      </c>
      <c r="D19" s="83">
        <v>295</v>
      </c>
      <c r="E19" s="102" t="s">
        <v>110</v>
      </c>
      <c r="F19" s="93" t="s">
        <v>74</v>
      </c>
      <c r="G19" s="93">
        <v>30</v>
      </c>
      <c r="H19" s="103">
        <v>177</v>
      </c>
      <c r="I19" s="91">
        <f t="shared" si="0"/>
        <v>5310</v>
      </c>
    </row>
    <row r="20" spans="1:132" ht="25.5">
      <c r="A20" s="96">
        <v>11</v>
      </c>
      <c r="B20" s="100"/>
      <c r="C20" s="97" t="s">
        <v>61</v>
      </c>
      <c r="D20" s="83">
        <v>295</v>
      </c>
      <c r="E20" s="94" t="s">
        <v>96</v>
      </c>
      <c r="F20" s="75" t="s">
        <v>78</v>
      </c>
      <c r="G20" s="84">
        <v>1</v>
      </c>
      <c r="H20" s="82">
        <v>15405</v>
      </c>
      <c r="I20" s="60">
        <f t="shared" si="0"/>
        <v>15405</v>
      </c>
      <c r="J20" s="92"/>
      <c r="K20" s="92"/>
      <c r="L20" s="92"/>
      <c r="M20" s="92"/>
      <c r="N20" s="92"/>
      <c r="O20" s="92"/>
      <c r="P20" s="92"/>
      <c r="Q20" s="92"/>
      <c r="R20" s="92"/>
      <c r="S20" s="92"/>
      <c r="T20" s="92"/>
      <c r="U20" s="92"/>
      <c r="V20" s="92"/>
      <c r="W20" s="92"/>
      <c r="X20" s="92"/>
      <c r="Y20" s="92"/>
      <c r="Z20" s="92"/>
      <c r="AA20" s="92"/>
      <c r="AB20" s="92"/>
      <c r="AC20" s="92"/>
      <c r="AD20" s="92"/>
      <c r="AE20" s="92"/>
      <c r="AF20" s="92"/>
      <c r="AG20" s="92"/>
      <c r="AH20" s="92"/>
      <c r="AI20" s="92"/>
      <c r="AJ20" s="92"/>
      <c r="AK20" s="92"/>
      <c r="AL20" s="92"/>
      <c r="AM20" s="92"/>
      <c r="AN20" s="92"/>
      <c r="AO20" s="92"/>
      <c r="AP20" s="92"/>
      <c r="AQ20" s="92"/>
      <c r="AR20" s="92"/>
      <c r="AS20" s="92"/>
      <c r="AT20" s="92"/>
      <c r="AU20" s="92"/>
      <c r="AV20" s="92"/>
      <c r="AW20" s="92"/>
      <c r="AX20" s="92"/>
      <c r="AY20" s="92"/>
      <c r="AZ20" s="92"/>
      <c r="BA20" s="92"/>
      <c r="BB20" s="92"/>
      <c r="BC20" s="92"/>
      <c r="BD20" s="92"/>
      <c r="BE20" s="92"/>
      <c r="BF20" s="92"/>
      <c r="BG20" s="92"/>
      <c r="BH20" s="92"/>
      <c r="BI20" s="92"/>
      <c r="BJ20" s="92"/>
      <c r="BK20" s="92"/>
      <c r="BL20" s="92"/>
      <c r="BM20" s="92"/>
      <c r="BN20" s="92"/>
      <c r="BO20" s="92"/>
      <c r="BP20" s="92"/>
      <c r="BQ20" s="92"/>
      <c r="BR20" s="92"/>
      <c r="BS20" s="92"/>
      <c r="BT20" s="92"/>
      <c r="BU20" s="92"/>
      <c r="BV20" s="92"/>
      <c r="BW20" s="92"/>
      <c r="BX20" s="92"/>
      <c r="BY20" s="92"/>
      <c r="BZ20" s="92"/>
      <c r="CA20" s="92"/>
      <c r="CB20" s="92"/>
      <c r="CC20" s="92"/>
      <c r="CD20" s="92"/>
      <c r="CE20" s="92"/>
      <c r="CF20" s="92"/>
      <c r="CG20" s="92"/>
      <c r="CH20" s="92"/>
      <c r="CI20" s="92"/>
      <c r="CJ20" s="92"/>
      <c r="CK20" s="92"/>
      <c r="CL20" s="92"/>
      <c r="CM20" s="92"/>
      <c r="CN20" s="92"/>
      <c r="CO20" s="92"/>
      <c r="CP20" s="92"/>
      <c r="CQ20" s="92"/>
      <c r="CR20" s="92"/>
      <c r="CS20" s="92"/>
      <c r="CT20" s="92"/>
      <c r="CU20" s="92"/>
      <c r="CV20" s="92"/>
      <c r="CW20" s="92"/>
      <c r="CX20" s="92"/>
      <c r="CY20" s="92"/>
      <c r="CZ20" s="92"/>
      <c r="DA20" s="92"/>
      <c r="DB20" s="92"/>
      <c r="DC20" s="92"/>
      <c r="DD20" s="92"/>
      <c r="DE20" s="92"/>
      <c r="DF20" s="92"/>
      <c r="DG20" s="92"/>
      <c r="DH20" s="92"/>
      <c r="DI20" s="92"/>
      <c r="DJ20" s="92"/>
      <c r="DK20" s="92"/>
      <c r="DL20" s="92"/>
      <c r="DM20" s="92"/>
      <c r="DN20" s="92"/>
      <c r="DO20" s="92"/>
      <c r="DP20" s="92"/>
      <c r="DQ20" s="92"/>
      <c r="DR20" s="92"/>
      <c r="DS20" s="92"/>
      <c r="DT20" s="92"/>
      <c r="DU20" s="92"/>
      <c r="DV20" s="92"/>
      <c r="DW20" s="92"/>
      <c r="DX20" s="92"/>
      <c r="DY20" s="92"/>
      <c r="DZ20" s="92"/>
      <c r="EA20" s="92"/>
      <c r="EB20" s="92"/>
    </row>
    <row r="21" spans="1:132" s="89" customFormat="1" ht="38.25" hidden="1">
      <c r="A21" s="96">
        <v>12</v>
      </c>
      <c r="B21" s="100"/>
      <c r="C21" s="72" t="s">
        <v>61</v>
      </c>
      <c r="D21" s="124">
        <v>293</v>
      </c>
      <c r="E21" s="90" t="s">
        <v>63</v>
      </c>
      <c r="F21" s="75" t="s">
        <v>78</v>
      </c>
      <c r="G21" s="76">
        <v>2</v>
      </c>
      <c r="H21" s="82">
        <v>78467</v>
      </c>
      <c r="I21" s="60">
        <f t="shared" si="0"/>
        <v>156934</v>
      </c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2"/>
      <c r="V21" s="92"/>
      <c r="W21" s="92"/>
      <c r="X21" s="92"/>
      <c r="Y21" s="92"/>
      <c r="Z21" s="92"/>
      <c r="AA21" s="92"/>
      <c r="AB21" s="92"/>
      <c r="AC21" s="92"/>
      <c r="AD21" s="92"/>
      <c r="AE21" s="92"/>
      <c r="AF21" s="92"/>
      <c r="AG21" s="92"/>
      <c r="AH21" s="92"/>
      <c r="AI21" s="92"/>
      <c r="AJ21" s="92"/>
      <c r="AK21" s="92"/>
      <c r="AL21" s="92"/>
      <c r="AM21" s="92"/>
      <c r="AN21" s="92"/>
      <c r="AO21" s="92"/>
      <c r="AP21" s="92"/>
      <c r="AQ21" s="92"/>
      <c r="AR21" s="92"/>
      <c r="AS21" s="92"/>
      <c r="AT21" s="92"/>
      <c r="AU21" s="92"/>
      <c r="AV21" s="92"/>
      <c r="AW21" s="92"/>
      <c r="AX21" s="92"/>
      <c r="AY21" s="92"/>
      <c r="AZ21" s="92"/>
      <c r="BA21" s="92"/>
      <c r="BB21" s="92"/>
      <c r="BC21" s="92"/>
      <c r="BD21" s="92"/>
      <c r="BE21" s="92"/>
      <c r="BF21" s="92"/>
      <c r="BG21" s="92"/>
      <c r="BH21" s="92"/>
      <c r="BI21" s="92"/>
      <c r="BJ21" s="92"/>
      <c r="BK21" s="92"/>
      <c r="BL21" s="92"/>
      <c r="BM21" s="92"/>
      <c r="BN21" s="92"/>
      <c r="BO21" s="92"/>
      <c r="BP21" s="92"/>
      <c r="BQ21" s="92"/>
      <c r="BR21" s="92"/>
      <c r="BS21" s="92"/>
      <c r="BT21" s="92"/>
      <c r="BU21" s="92"/>
      <c r="BV21" s="92"/>
      <c r="BW21" s="92"/>
      <c r="BX21" s="92"/>
      <c r="BY21" s="92"/>
      <c r="BZ21" s="92"/>
      <c r="CA21" s="92"/>
      <c r="CB21" s="92"/>
      <c r="CC21" s="92"/>
      <c r="CD21" s="92"/>
      <c r="CE21" s="92"/>
      <c r="CF21" s="92"/>
      <c r="CG21" s="92"/>
      <c r="CH21" s="92"/>
      <c r="CI21" s="92"/>
      <c r="CJ21" s="92"/>
      <c r="CK21" s="92"/>
      <c r="CL21" s="92"/>
      <c r="CM21" s="92"/>
      <c r="CN21" s="92"/>
      <c r="CO21" s="92"/>
      <c r="CP21" s="92"/>
      <c r="CQ21" s="92"/>
      <c r="CR21" s="92"/>
      <c r="CS21" s="92"/>
      <c r="CT21" s="92"/>
      <c r="CU21" s="92"/>
      <c r="CV21" s="92"/>
      <c r="CW21" s="92"/>
      <c r="CX21" s="92"/>
      <c r="CY21" s="92"/>
      <c r="CZ21" s="92"/>
      <c r="DA21" s="92"/>
      <c r="DB21" s="92"/>
      <c r="DC21" s="92"/>
      <c r="DD21" s="92"/>
      <c r="DE21" s="92"/>
      <c r="DF21" s="92"/>
      <c r="DG21" s="92"/>
      <c r="DH21" s="92"/>
      <c r="DI21" s="92"/>
      <c r="DJ21" s="92"/>
      <c r="DK21" s="92"/>
      <c r="DL21" s="92"/>
      <c r="DM21" s="92"/>
      <c r="DN21" s="92"/>
      <c r="DO21" s="92"/>
      <c r="DP21" s="92"/>
      <c r="DQ21" s="92"/>
      <c r="DR21" s="92"/>
      <c r="DS21" s="92"/>
      <c r="DT21" s="92"/>
      <c r="DU21" s="92"/>
      <c r="DV21" s="92"/>
      <c r="DW21" s="92"/>
      <c r="DX21" s="92"/>
      <c r="DY21" s="92"/>
      <c r="DZ21" s="92"/>
      <c r="EA21" s="92"/>
      <c r="EB21" s="92"/>
    </row>
    <row r="22" spans="1:132" s="89" customFormat="1" ht="25.5">
      <c r="A22" s="96">
        <v>13</v>
      </c>
      <c r="B22" s="100"/>
      <c r="C22" s="97" t="s">
        <v>61</v>
      </c>
      <c r="D22" s="83">
        <v>295</v>
      </c>
      <c r="E22" s="94" t="s">
        <v>91</v>
      </c>
      <c r="F22" s="75" t="s">
        <v>78</v>
      </c>
      <c r="G22" s="84">
        <v>5</v>
      </c>
      <c r="H22" s="82">
        <v>16516</v>
      </c>
      <c r="I22" s="60">
        <f t="shared" si="0"/>
        <v>82580</v>
      </c>
      <c r="J22" s="92"/>
      <c r="K22" s="92"/>
      <c r="L22" s="92"/>
      <c r="M22" s="92"/>
      <c r="N22" s="92"/>
      <c r="O22" s="92"/>
      <c r="P22" s="92"/>
      <c r="Q22" s="92"/>
      <c r="R22" s="92"/>
      <c r="S22" s="92"/>
      <c r="T22" s="92"/>
      <c r="U22" s="92"/>
      <c r="V22" s="92"/>
      <c r="W22" s="92"/>
      <c r="X22" s="92"/>
      <c r="Y22" s="92"/>
      <c r="Z22" s="92"/>
      <c r="AA22" s="92"/>
      <c r="AB22" s="92"/>
      <c r="AC22" s="92"/>
      <c r="AD22" s="92"/>
      <c r="AE22" s="92"/>
      <c r="AF22" s="92"/>
      <c r="AG22" s="92"/>
      <c r="AH22" s="92"/>
      <c r="AI22" s="92"/>
      <c r="AJ22" s="92"/>
      <c r="AK22" s="92"/>
      <c r="AL22" s="92"/>
      <c r="AM22" s="92"/>
      <c r="AN22" s="92"/>
      <c r="AO22" s="92"/>
      <c r="AP22" s="92"/>
      <c r="AQ22" s="92"/>
      <c r="AR22" s="92"/>
      <c r="AS22" s="92"/>
      <c r="AT22" s="92"/>
      <c r="AU22" s="92"/>
      <c r="AV22" s="92"/>
      <c r="AW22" s="92"/>
      <c r="AX22" s="92"/>
      <c r="AY22" s="92"/>
      <c r="AZ22" s="92"/>
      <c r="BA22" s="92"/>
      <c r="BB22" s="92"/>
      <c r="BC22" s="92"/>
      <c r="BD22" s="92"/>
      <c r="BE22" s="92"/>
      <c r="BF22" s="92"/>
      <c r="BG22" s="92"/>
      <c r="BH22" s="92"/>
      <c r="BI22" s="92"/>
      <c r="BJ22" s="92"/>
      <c r="BK22" s="92"/>
      <c r="BL22" s="92"/>
      <c r="BM22" s="92"/>
      <c r="BN22" s="92"/>
      <c r="BO22" s="92"/>
      <c r="BP22" s="92"/>
      <c r="BQ22" s="92"/>
      <c r="BR22" s="92"/>
      <c r="BS22" s="92"/>
      <c r="BT22" s="92"/>
      <c r="BU22" s="92"/>
      <c r="BV22" s="92"/>
      <c r="BW22" s="92"/>
      <c r="BX22" s="92"/>
      <c r="BY22" s="92"/>
      <c r="BZ22" s="92"/>
      <c r="CA22" s="92"/>
      <c r="CB22" s="92"/>
      <c r="CC22" s="92"/>
      <c r="CD22" s="92"/>
      <c r="CE22" s="92"/>
      <c r="CF22" s="92"/>
      <c r="CG22" s="92"/>
      <c r="CH22" s="92"/>
      <c r="CI22" s="92"/>
      <c r="CJ22" s="92"/>
      <c r="CK22" s="92"/>
      <c r="CL22" s="92"/>
      <c r="CM22" s="92"/>
      <c r="CN22" s="92"/>
      <c r="CO22" s="92"/>
      <c r="CP22" s="92"/>
      <c r="CQ22" s="92"/>
      <c r="CR22" s="92"/>
      <c r="CS22" s="92"/>
      <c r="CT22" s="92"/>
      <c r="CU22" s="92"/>
      <c r="CV22" s="92"/>
      <c r="CW22" s="92"/>
      <c r="CX22" s="92"/>
      <c r="CY22" s="92"/>
      <c r="CZ22" s="92"/>
      <c r="DA22" s="92"/>
      <c r="DB22" s="92"/>
      <c r="DC22" s="92"/>
      <c r="DD22" s="92"/>
      <c r="DE22" s="92"/>
      <c r="DF22" s="92"/>
      <c r="DG22" s="92"/>
      <c r="DH22" s="92"/>
      <c r="DI22" s="92"/>
      <c r="DJ22" s="92"/>
      <c r="DK22" s="92"/>
      <c r="DL22" s="92"/>
      <c r="DM22" s="92"/>
      <c r="DN22" s="92"/>
      <c r="DO22" s="92"/>
      <c r="DP22" s="92"/>
      <c r="DQ22" s="92"/>
      <c r="DR22" s="92"/>
      <c r="DS22" s="92"/>
      <c r="DT22" s="92"/>
      <c r="DU22" s="92"/>
      <c r="DV22" s="92"/>
      <c r="DW22" s="92"/>
      <c r="DX22" s="92"/>
      <c r="DY22" s="92"/>
      <c r="DZ22" s="92"/>
      <c r="EA22" s="92"/>
      <c r="EB22" s="92"/>
    </row>
    <row r="23" spans="1:132" ht="25.5">
      <c r="A23" s="96">
        <v>14</v>
      </c>
      <c r="B23" s="100"/>
      <c r="C23" s="97" t="s">
        <v>61</v>
      </c>
      <c r="D23" s="83">
        <v>295</v>
      </c>
      <c r="E23" s="102" t="s">
        <v>90</v>
      </c>
      <c r="F23" s="93" t="s">
        <v>78</v>
      </c>
      <c r="G23" s="93">
        <v>5</v>
      </c>
      <c r="H23" s="103">
        <v>16516</v>
      </c>
      <c r="I23" s="60">
        <f t="shared" si="0"/>
        <v>82580</v>
      </c>
      <c r="J23" s="92"/>
      <c r="K23" s="92"/>
      <c r="L23" s="92"/>
      <c r="M23" s="92"/>
      <c r="N23" s="92"/>
      <c r="O23" s="92"/>
      <c r="P23" s="92"/>
      <c r="Q23" s="92"/>
      <c r="R23" s="92"/>
      <c r="S23" s="92"/>
      <c r="T23" s="92"/>
      <c r="U23" s="92"/>
      <c r="V23" s="92"/>
      <c r="W23" s="92"/>
      <c r="X23" s="92"/>
      <c r="Y23" s="92"/>
      <c r="Z23" s="92"/>
      <c r="AA23" s="92"/>
      <c r="AB23" s="92"/>
      <c r="AC23" s="92"/>
      <c r="AD23" s="92"/>
      <c r="AE23" s="92"/>
      <c r="AF23" s="92"/>
      <c r="AG23" s="92"/>
      <c r="AH23" s="92"/>
      <c r="AI23" s="92"/>
      <c r="AJ23" s="92"/>
      <c r="AK23" s="92"/>
      <c r="AL23" s="92"/>
      <c r="AM23" s="92"/>
      <c r="AN23" s="92"/>
      <c r="AO23" s="92"/>
      <c r="AP23" s="92"/>
      <c r="AQ23" s="92"/>
      <c r="AR23" s="92"/>
      <c r="AS23" s="92"/>
      <c r="AT23" s="92"/>
      <c r="AU23" s="92"/>
      <c r="AV23" s="92"/>
      <c r="AW23" s="92"/>
      <c r="AX23" s="92"/>
      <c r="AY23" s="92"/>
      <c r="AZ23" s="92"/>
      <c r="BA23" s="92"/>
      <c r="BB23" s="92"/>
      <c r="BC23" s="92"/>
      <c r="BD23" s="92"/>
      <c r="BE23" s="92"/>
      <c r="BF23" s="92"/>
      <c r="BG23" s="92"/>
      <c r="BH23" s="92"/>
      <c r="BI23" s="92"/>
      <c r="BJ23" s="92"/>
      <c r="BK23" s="92"/>
      <c r="BL23" s="92"/>
      <c r="BM23" s="92"/>
      <c r="BN23" s="92"/>
      <c r="BO23" s="92"/>
      <c r="BP23" s="92"/>
      <c r="BQ23" s="92"/>
      <c r="BR23" s="92"/>
      <c r="BS23" s="92"/>
      <c r="BT23" s="92"/>
      <c r="BU23" s="92"/>
      <c r="BV23" s="92"/>
      <c r="BW23" s="92"/>
      <c r="BX23" s="92"/>
      <c r="BY23" s="92"/>
      <c r="BZ23" s="92"/>
      <c r="CA23" s="92"/>
      <c r="CB23" s="92"/>
      <c r="CC23" s="92"/>
      <c r="CD23" s="92"/>
      <c r="CE23" s="92"/>
      <c r="CF23" s="92"/>
      <c r="CG23" s="92"/>
      <c r="CH23" s="92"/>
      <c r="CI23" s="92"/>
      <c r="CJ23" s="92"/>
      <c r="CK23" s="92"/>
      <c r="CL23" s="92"/>
      <c r="CM23" s="92"/>
      <c r="CN23" s="92"/>
      <c r="CO23" s="92"/>
      <c r="CP23" s="92"/>
      <c r="CQ23" s="92"/>
      <c r="CR23" s="92"/>
      <c r="CS23" s="92"/>
      <c r="CT23" s="92"/>
      <c r="CU23" s="92"/>
      <c r="CV23" s="92"/>
      <c r="CW23" s="92"/>
      <c r="CX23" s="92"/>
      <c r="CY23" s="92"/>
      <c r="CZ23" s="92"/>
      <c r="DA23" s="92"/>
      <c r="DB23" s="92"/>
      <c r="DC23" s="92"/>
      <c r="DD23" s="92"/>
      <c r="DE23" s="92"/>
      <c r="DF23" s="92"/>
      <c r="DG23" s="92"/>
      <c r="DH23" s="92"/>
      <c r="DI23" s="92"/>
      <c r="DJ23" s="92"/>
      <c r="DK23" s="92"/>
      <c r="DL23" s="92"/>
      <c r="DM23" s="92"/>
      <c r="DN23" s="92"/>
      <c r="DO23" s="92"/>
      <c r="DP23" s="92"/>
      <c r="DQ23" s="92"/>
      <c r="DR23" s="92"/>
      <c r="DS23" s="92"/>
      <c r="DT23" s="92"/>
      <c r="DU23" s="92"/>
      <c r="DV23" s="92"/>
      <c r="DW23" s="92"/>
      <c r="DX23" s="92"/>
      <c r="DY23" s="92"/>
      <c r="DZ23" s="92"/>
      <c r="EA23" s="92"/>
      <c r="EB23" s="92"/>
    </row>
    <row r="24" spans="1:132" s="89" customFormat="1" ht="25.5">
      <c r="A24" s="96">
        <v>15</v>
      </c>
      <c r="B24" s="100"/>
      <c r="C24" s="97" t="s">
        <v>61</v>
      </c>
      <c r="D24" s="83">
        <v>295</v>
      </c>
      <c r="E24" s="77" t="s">
        <v>84</v>
      </c>
      <c r="F24" s="75" t="s">
        <v>56</v>
      </c>
      <c r="G24" s="84">
        <v>1000</v>
      </c>
      <c r="H24" s="82">
        <v>19</v>
      </c>
      <c r="I24" s="60">
        <f t="shared" si="0"/>
        <v>19000</v>
      </c>
      <c r="J24" s="108"/>
      <c r="K24" s="92"/>
      <c r="L24" s="92"/>
      <c r="M24" s="92"/>
      <c r="N24" s="92"/>
      <c r="O24" s="92"/>
      <c r="P24" s="92"/>
      <c r="Q24" s="92"/>
      <c r="R24" s="92"/>
      <c r="S24" s="92"/>
      <c r="T24" s="92"/>
      <c r="U24" s="92"/>
      <c r="V24" s="92"/>
      <c r="W24" s="92"/>
      <c r="X24" s="92"/>
      <c r="Y24" s="92"/>
      <c r="Z24" s="92"/>
      <c r="AA24" s="92"/>
      <c r="AB24" s="92"/>
      <c r="AC24" s="92"/>
      <c r="AD24" s="92"/>
      <c r="AE24" s="92"/>
      <c r="AF24" s="92"/>
      <c r="AG24" s="92"/>
      <c r="AH24" s="92"/>
      <c r="AI24" s="92"/>
      <c r="AJ24" s="92"/>
      <c r="AK24" s="92"/>
      <c r="AL24" s="92"/>
      <c r="AM24" s="92"/>
      <c r="AN24" s="92"/>
      <c r="AO24" s="92"/>
      <c r="AP24" s="92"/>
      <c r="AQ24" s="92"/>
      <c r="AR24" s="92"/>
      <c r="AS24" s="92"/>
      <c r="AT24" s="92"/>
      <c r="AU24" s="92"/>
      <c r="AV24" s="92"/>
      <c r="AW24" s="92"/>
      <c r="AX24" s="92"/>
      <c r="AY24" s="92"/>
      <c r="AZ24" s="92"/>
      <c r="BA24" s="92"/>
      <c r="BB24" s="92"/>
      <c r="BC24" s="92"/>
      <c r="BD24" s="92"/>
      <c r="BE24" s="92"/>
      <c r="BF24" s="92"/>
      <c r="BG24" s="92"/>
      <c r="BH24" s="92"/>
      <c r="BI24" s="92"/>
      <c r="BJ24" s="92"/>
      <c r="BK24" s="92"/>
      <c r="BL24" s="92"/>
      <c r="BM24" s="92"/>
      <c r="BN24" s="92"/>
      <c r="BO24" s="92"/>
      <c r="BP24" s="92"/>
      <c r="BQ24" s="92"/>
      <c r="BR24" s="92"/>
      <c r="BS24" s="92"/>
      <c r="BT24" s="92"/>
      <c r="BU24" s="92"/>
      <c r="BV24" s="92"/>
      <c r="BW24" s="92"/>
      <c r="BX24" s="92"/>
      <c r="BY24" s="92"/>
      <c r="BZ24" s="92"/>
      <c r="CA24" s="92"/>
      <c r="CB24" s="92"/>
      <c r="CC24" s="92"/>
      <c r="CD24" s="92"/>
      <c r="CE24" s="92"/>
      <c r="CF24" s="92"/>
      <c r="CG24" s="92"/>
      <c r="CH24" s="92"/>
      <c r="CI24" s="92"/>
      <c r="CJ24" s="92"/>
      <c r="CK24" s="92"/>
      <c r="CL24" s="92"/>
      <c r="CM24" s="92"/>
      <c r="CN24" s="92"/>
      <c r="CO24" s="92"/>
      <c r="CP24" s="92"/>
      <c r="CQ24" s="92"/>
      <c r="CR24" s="92"/>
      <c r="CS24" s="92"/>
      <c r="CT24" s="92"/>
      <c r="CU24" s="92"/>
      <c r="CV24" s="92"/>
      <c r="CW24" s="92"/>
      <c r="CX24" s="92"/>
      <c r="CY24" s="92"/>
      <c r="CZ24" s="92"/>
      <c r="DA24" s="92"/>
      <c r="DB24" s="92"/>
      <c r="DC24" s="92"/>
      <c r="DD24" s="92"/>
      <c r="DE24" s="92"/>
      <c r="DF24" s="92"/>
      <c r="DG24" s="92"/>
      <c r="DH24" s="92"/>
      <c r="DI24" s="92"/>
      <c r="DJ24" s="92"/>
      <c r="DK24" s="92"/>
      <c r="DL24" s="92"/>
      <c r="DM24" s="92"/>
      <c r="DN24" s="92"/>
      <c r="DO24" s="92"/>
      <c r="DP24" s="92"/>
      <c r="DQ24" s="92"/>
      <c r="DR24" s="92"/>
      <c r="DS24" s="92"/>
      <c r="DT24" s="92"/>
      <c r="DU24" s="92"/>
      <c r="DV24" s="92"/>
      <c r="DW24" s="92"/>
      <c r="DX24" s="92"/>
      <c r="DY24" s="92"/>
      <c r="DZ24" s="92"/>
      <c r="EA24" s="92"/>
      <c r="EB24" s="92"/>
    </row>
    <row r="25" spans="1:132" s="89" customFormat="1" ht="25.5">
      <c r="A25" s="96">
        <v>16</v>
      </c>
      <c r="B25" s="100"/>
      <c r="C25" s="97" t="s">
        <v>61</v>
      </c>
      <c r="D25" s="83">
        <v>295</v>
      </c>
      <c r="E25" s="86" t="s">
        <v>86</v>
      </c>
      <c r="F25" s="85" t="s">
        <v>56</v>
      </c>
      <c r="G25" s="85">
        <v>16</v>
      </c>
      <c r="H25" s="103">
        <v>623</v>
      </c>
      <c r="I25" s="60">
        <f t="shared" si="0"/>
        <v>9968</v>
      </c>
      <c r="J25" s="92"/>
      <c r="K25" s="92"/>
      <c r="L25" s="92"/>
      <c r="M25" s="92"/>
      <c r="N25" s="92"/>
      <c r="O25" s="92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2"/>
      <c r="AV25" s="92"/>
      <c r="AW25" s="92"/>
      <c r="AX25" s="92"/>
      <c r="AY25" s="92"/>
      <c r="AZ25" s="92"/>
      <c r="BA25" s="92"/>
      <c r="BB25" s="92"/>
      <c r="BC25" s="92"/>
      <c r="BD25" s="92"/>
      <c r="BE25" s="92"/>
      <c r="BF25" s="92"/>
      <c r="BG25" s="92"/>
      <c r="BH25" s="92"/>
      <c r="BI25" s="92"/>
      <c r="BJ25" s="92"/>
      <c r="BK25" s="92"/>
      <c r="BL25" s="92"/>
      <c r="BM25" s="92"/>
      <c r="BN25" s="92"/>
      <c r="BO25" s="92"/>
      <c r="BP25" s="92"/>
      <c r="BQ25" s="92"/>
      <c r="BR25" s="92"/>
      <c r="BS25" s="92"/>
      <c r="BT25" s="92"/>
      <c r="BU25" s="92"/>
      <c r="BV25" s="92"/>
      <c r="BW25" s="92"/>
      <c r="BX25" s="92"/>
      <c r="BY25" s="92"/>
      <c r="BZ25" s="92"/>
      <c r="CA25" s="92"/>
      <c r="CB25" s="92"/>
      <c r="CC25" s="92"/>
      <c r="CD25" s="92"/>
      <c r="CE25" s="92"/>
      <c r="CF25" s="92"/>
      <c r="CG25" s="92"/>
      <c r="CH25" s="92"/>
      <c r="CI25" s="92"/>
      <c r="CJ25" s="92"/>
      <c r="CK25" s="92"/>
      <c r="CL25" s="92"/>
      <c r="CM25" s="92"/>
      <c r="CN25" s="92"/>
      <c r="CO25" s="92"/>
      <c r="CP25" s="92"/>
      <c r="CQ25" s="92"/>
      <c r="CR25" s="92"/>
      <c r="CS25" s="92"/>
      <c r="CT25" s="92"/>
      <c r="CU25" s="92"/>
      <c r="CV25" s="92"/>
      <c r="CW25" s="92"/>
      <c r="CX25" s="92"/>
      <c r="CY25" s="92"/>
      <c r="CZ25" s="92"/>
      <c r="DA25" s="92"/>
      <c r="DB25" s="92"/>
      <c r="DC25" s="92"/>
      <c r="DD25" s="92"/>
      <c r="DE25" s="92"/>
      <c r="DF25" s="92"/>
      <c r="DG25" s="92"/>
      <c r="DH25" s="92"/>
      <c r="DI25" s="92"/>
      <c r="DJ25" s="92"/>
      <c r="DK25" s="92"/>
      <c r="DL25" s="92"/>
      <c r="DM25" s="92"/>
      <c r="DN25" s="92"/>
      <c r="DO25" s="92"/>
      <c r="DP25" s="92"/>
      <c r="DQ25" s="92"/>
      <c r="DR25" s="92"/>
      <c r="DS25" s="92"/>
      <c r="DT25" s="92"/>
      <c r="DU25" s="92"/>
      <c r="DV25" s="92"/>
      <c r="DW25" s="92"/>
      <c r="DX25" s="92"/>
      <c r="DY25" s="92"/>
      <c r="DZ25" s="92"/>
      <c r="EA25" s="92"/>
      <c r="EB25" s="92"/>
    </row>
    <row r="26" spans="1:132" s="89" customFormat="1" ht="25.5">
      <c r="A26" s="96">
        <v>17</v>
      </c>
      <c r="B26" s="100"/>
      <c r="C26" s="97" t="s">
        <v>61</v>
      </c>
      <c r="D26" s="83">
        <v>295</v>
      </c>
      <c r="E26" s="102" t="s">
        <v>89</v>
      </c>
      <c r="F26" s="105" t="s">
        <v>74</v>
      </c>
      <c r="G26" s="105">
        <v>50</v>
      </c>
      <c r="H26" s="103">
        <v>452</v>
      </c>
      <c r="I26" s="60">
        <f t="shared" si="0"/>
        <v>22600</v>
      </c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2"/>
      <c r="AV26" s="92"/>
      <c r="AW26" s="92"/>
      <c r="AX26" s="92"/>
      <c r="AY26" s="92"/>
      <c r="AZ26" s="92"/>
      <c r="BA26" s="92"/>
      <c r="BB26" s="92"/>
      <c r="BC26" s="92"/>
      <c r="BD26" s="92"/>
      <c r="BE26" s="92"/>
      <c r="BF26" s="92"/>
      <c r="BG26" s="92"/>
      <c r="BH26" s="92"/>
      <c r="BI26" s="92"/>
      <c r="BJ26" s="92"/>
      <c r="BK26" s="92"/>
      <c r="BL26" s="92"/>
      <c r="BM26" s="92"/>
      <c r="BN26" s="92"/>
      <c r="BO26" s="92"/>
      <c r="BP26" s="92"/>
      <c r="BQ26" s="92"/>
      <c r="BR26" s="92"/>
      <c r="BS26" s="92"/>
      <c r="BT26" s="92"/>
      <c r="BU26" s="92"/>
      <c r="BV26" s="92"/>
      <c r="BW26" s="92"/>
      <c r="BX26" s="92"/>
      <c r="BY26" s="92"/>
      <c r="BZ26" s="92"/>
      <c r="CA26" s="92"/>
      <c r="CB26" s="92"/>
      <c r="CC26" s="92"/>
      <c r="CD26" s="92"/>
      <c r="CE26" s="92"/>
      <c r="CF26" s="92"/>
      <c r="CG26" s="92"/>
      <c r="CH26" s="92"/>
      <c r="CI26" s="92"/>
      <c r="CJ26" s="92"/>
      <c r="CK26" s="92"/>
      <c r="CL26" s="92"/>
      <c r="CM26" s="92"/>
      <c r="CN26" s="92"/>
      <c r="CO26" s="92"/>
      <c r="CP26" s="92"/>
      <c r="CQ26" s="92"/>
      <c r="CR26" s="92"/>
      <c r="CS26" s="92"/>
      <c r="CT26" s="92"/>
      <c r="CU26" s="92"/>
      <c r="CV26" s="92"/>
      <c r="CW26" s="92"/>
      <c r="CX26" s="92"/>
      <c r="CY26" s="92"/>
      <c r="CZ26" s="92"/>
      <c r="DA26" s="92"/>
      <c r="DB26" s="92"/>
      <c r="DC26" s="92"/>
      <c r="DD26" s="92"/>
      <c r="DE26" s="92"/>
      <c r="DF26" s="92"/>
      <c r="DG26" s="92"/>
      <c r="DH26" s="92"/>
      <c r="DI26" s="92"/>
      <c r="DJ26" s="92"/>
      <c r="DK26" s="92"/>
      <c r="DL26" s="92"/>
      <c r="DM26" s="92"/>
      <c r="DN26" s="92"/>
      <c r="DO26" s="92"/>
      <c r="DP26" s="92"/>
      <c r="DQ26" s="92"/>
      <c r="DR26" s="92"/>
      <c r="DS26" s="92"/>
      <c r="DT26" s="92"/>
      <c r="DU26" s="92"/>
      <c r="DV26" s="92"/>
      <c r="DW26" s="92"/>
      <c r="DX26" s="92"/>
      <c r="DY26" s="92"/>
      <c r="DZ26" s="92"/>
      <c r="EA26" s="92"/>
      <c r="EB26" s="92"/>
    </row>
    <row r="27" spans="1:132" s="89" customFormat="1" ht="25.5">
      <c r="A27" s="96">
        <v>18</v>
      </c>
      <c r="B27" s="99"/>
      <c r="C27" s="97" t="s">
        <v>61</v>
      </c>
      <c r="D27" s="83">
        <v>295</v>
      </c>
      <c r="E27" s="94" t="s">
        <v>88</v>
      </c>
      <c r="F27" s="75" t="s">
        <v>74</v>
      </c>
      <c r="G27" s="84">
        <v>50</v>
      </c>
      <c r="H27" s="82">
        <v>543</v>
      </c>
      <c r="I27" s="60">
        <f t="shared" si="0"/>
        <v>27150</v>
      </c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2"/>
      <c r="U27" s="92"/>
      <c r="V27" s="92"/>
      <c r="W27" s="92"/>
      <c r="X27" s="92"/>
      <c r="Y27" s="92"/>
      <c r="Z27" s="92"/>
      <c r="AA27" s="92"/>
      <c r="AB27" s="92"/>
      <c r="AC27" s="92"/>
      <c r="AD27" s="92"/>
      <c r="AE27" s="92"/>
      <c r="AF27" s="92"/>
      <c r="AG27" s="92"/>
      <c r="AH27" s="92"/>
      <c r="AI27" s="92"/>
      <c r="AJ27" s="92"/>
      <c r="AK27" s="92"/>
      <c r="AL27" s="92"/>
      <c r="AM27" s="92"/>
      <c r="AN27" s="92"/>
      <c r="AO27" s="92"/>
      <c r="AP27" s="92"/>
      <c r="AQ27" s="92"/>
      <c r="AR27" s="92"/>
      <c r="AS27" s="92"/>
      <c r="AT27" s="92"/>
      <c r="AU27" s="92"/>
      <c r="AV27" s="92"/>
      <c r="AW27" s="92"/>
      <c r="AX27" s="92"/>
      <c r="AY27" s="92"/>
      <c r="AZ27" s="92"/>
      <c r="BA27" s="92"/>
      <c r="BB27" s="92"/>
      <c r="BC27" s="92"/>
      <c r="BD27" s="92"/>
      <c r="BE27" s="92"/>
      <c r="BF27" s="92"/>
      <c r="BG27" s="92"/>
      <c r="BH27" s="92"/>
      <c r="BI27" s="92"/>
      <c r="BJ27" s="92"/>
      <c r="BK27" s="92"/>
      <c r="BL27" s="92"/>
      <c r="BM27" s="92"/>
      <c r="BN27" s="92"/>
      <c r="BO27" s="92"/>
      <c r="BP27" s="92"/>
      <c r="BQ27" s="92"/>
      <c r="BR27" s="92"/>
      <c r="BS27" s="92"/>
      <c r="BT27" s="92"/>
      <c r="BU27" s="92"/>
      <c r="BV27" s="92"/>
      <c r="BW27" s="92"/>
      <c r="BX27" s="92"/>
      <c r="BY27" s="92"/>
      <c r="BZ27" s="92"/>
      <c r="CA27" s="92"/>
      <c r="CB27" s="92"/>
      <c r="CC27" s="92"/>
      <c r="CD27" s="92"/>
      <c r="CE27" s="92"/>
      <c r="CF27" s="92"/>
      <c r="CG27" s="92"/>
      <c r="CH27" s="92"/>
      <c r="CI27" s="92"/>
      <c r="CJ27" s="92"/>
      <c r="CK27" s="92"/>
      <c r="CL27" s="92"/>
      <c r="CM27" s="92"/>
      <c r="CN27" s="92"/>
      <c r="CO27" s="92"/>
      <c r="CP27" s="92"/>
      <c r="CQ27" s="92"/>
      <c r="CR27" s="92"/>
      <c r="CS27" s="92"/>
      <c r="CT27" s="92"/>
      <c r="CU27" s="92"/>
      <c r="CV27" s="92"/>
      <c r="CW27" s="92"/>
      <c r="CX27" s="92"/>
      <c r="CY27" s="92"/>
      <c r="CZ27" s="92"/>
      <c r="DA27" s="92"/>
      <c r="DB27" s="92"/>
      <c r="DC27" s="92"/>
      <c r="DD27" s="92"/>
      <c r="DE27" s="92"/>
      <c r="DF27" s="92"/>
      <c r="DG27" s="92"/>
      <c r="DH27" s="92"/>
      <c r="DI27" s="92"/>
      <c r="DJ27" s="92"/>
      <c r="DK27" s="92"/>
      <c r="DL27" s="92"/>
      <c r="DM27" s="92"/>
      <c r="DN27" s="92"/>
      <c r="DO27" s="92"/>
      <c r="DP27" s="92"/>
      <c r="DQ27" s="92"/>
      <c r="DR27" s="92"/>
      <c r="DS27" s="92"/>
      <c r="DT27" s="92"/>
      <c r="DU27" s="92"/>
      <c r="DV27" s="92"/>
      <c r="DW27" s="92"/>
      <c r="DX27" s="92"/>
      <c r="DY27" s="92"/>
      <c r="DZ27" s="92"/>
      <c r="EA27" s="92"/>
      <c r="EB27" s="92"/>
    </row>
    <row r="28" spans="1:132" s="89" customFormat="1" ht="25.5">
      <c r="A28" s="96">
        <v>19</v>
      </c>
      <c r="B28" s="99"/>
      <c r="C28" s="97" t="s">
        <v>61</v>
      </c>
      <c r="D28" s="83">
        <v>295</v>
      </c>
      <c r="E28" s="102" t="s">
        <v>93</v>
      </c>
      <c r="F28" s="93" t="s">
        <v>57</v>
      </c>
      <c r="G28" s="93">
        <v>3</v>
      </c>
      <c r="H28" s="103">
        <v>850</v>
      </c>
      <c r="I28" s="60">
        <f t="shared" si="0"/>
        <v>2550</v>
      </c>
      <c r="J28" s="92"/>
      <c r="K28" s="92"/>
      <c r="L28" s="92"/>
      <c r="M28" s="92"/>
      <c r="N28" s="92"/>
      <c r="O28" s="92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92"/>
      <c r="AB28" s="92"/>
      <c r="AC28" s="92"/>
      <c r="AD28" s="92"/>
      <c r="AE28" s="92"/>
      <c r="AF28" s="92"/>
      <c r="AG28" s="92"/>
      <c r="AH28" s="92"/>
      <c r="AI28" s="92"/>
      <c r="AJ28" s="92"/>
      <c r="AK28" s="92"/>
      <c r="AL28" s="92"/>
      <c r="AM28" s="92"/>
      <c r="AN28" s="92"/>
      <c r="AO28" s="92"/>
      <c r="AP28" s="92"/>
      <c r="AQ28" s="92"/>
      <c r="AR28" s="92"/>
      <c r="AS28" s="92"/>
      <c r="AT28" s="92"/>
      <c r="AU28" s="92"/>
      <c r="AV28" s="92"/>
      <c r="AW28" s="92"/>
      <c r="AX28" s="92"/>
      <c r="AY28" s="92"/>
      <c r="AZ28" s="92"/>
      <c r="BA28" s="92"/>
      <c r="BB28" s="92"/>
      <c r="BC28" s="92"/>
      <c r="BD28" s="92"/>
      <c r="BE28" s="92"/>
      <c r="BF28" s="92"/>
      <c r="BG28" s="92"/>
      <c r="BH28" s="92"/>
      <c r="BI28" s="92"/>
      <c r="BJ28" s="92"/>
      <c r="BK28" s="92"/>
      <c r="BL28" s="92"/>
      <c r="BM28" s="92"/>
      <c r="BN28" s="92"/>
      <c r="BO28" s="92"/>
      <c r="BP28" s="92"/>
      <c r="BQ28" s="92"/>
      <c r="BR28" s="92"/>
      <c r="BS28" s="92"/>
      <c r="BT28" s="92"/>
      <c r="BU28" s="92"/>
      <c r="BV28" s="92"/>
      <c r="BW28" s="92"/>
      <c r="BX28" s="92"/>
      <c r="BY28" s="92"/>
      <c r="BZ28" s="92"/>
      <c r="CA28" s="92"/>
      <c r="CB28" s="92"/>
      <c r="CC28" s="92"/>
      <c r="CD28" s="92"/>
      <c r="CE28" s="92"/>
      <c r="CF28" s="92"/>
      <c r="CG28" s="92"/>
      <c r="CH28" s="92"/>
      <c r="CI28" s="92"/>
      <c r="CJ28" s="92"/>
      <c r="CK28" s="92"/>
      <c r="CL28" s="92"/>
      <c r="CM28" s="92"/>
      <c r="CN28" s="92"/>
      <c r="CO28" s="92"/>
      <c r="CP28" s="92"/>
      <c r="CQ28" s="92"/>
      <c r="CR28" s="92"/>
      <c r="CS28" s="92"/>
      <c r="CT28" s="92"/>
      <c r="CU28" s="92"/>
      <c r="CV28" s="92"/>
      <c r="CW28" s="92"/>
      <c r="CX28" s="92"/>
      <c r="CY28" s="92"/>
      <c r="CZ28" s="92"/>
      <c r="DA28" s="92"/>
      <c r="DB28" s="92"/>
      <c r="DC28" s="92"/>
      <c r="DD28" s="92"/>
      <c r="DE28" s="92"/>
      <c r="DF28" s="92"/>
      <c r="DG28" s="92"/>
      <c r="DH28" s="92"/>
      <c r="DI28" s="92"/>
      <c r="DJ28" s="92"/>
      <c r="DK28" s="92"/>
      <c r="DL28" s="92"/>
      <c r="DM28" s="92"/>
      <c r="DN28" s="92"/>
      <c r="DO28" s="92"/>
      <c r="DP28" s="92"/>
      <c r="DQ28" s="92"/>
      <c r="DR28" s="92"/>
      <c r="DS28" s="92"/>
      <c r="DT28" s="92"/>
      <c r="DU28" s="92"/>
      <c r="DV28" s="92"/>
      <c r="DW28" s="92"/>
      <c r="DX28" s="92"/>
      <c r="DY28" s="92"/>
      <c r="DZ28" s="92"/>
      <c r="EA28" s="92"/>
      <c r="EB28" s="92"/>
    </row>
    <row r="29" spans="1:132" ht="25.5">
      <c r="A29" s="96">
        <v>20</v>
      </c>
      <c r="B29" s="99"/>
      <c r="C29" s="97" t="s">
        <v>61</v>
      </c>
      <c r="D29" s="83">
        <v>295</v>
      </c>
      <c r="E29" s="102" t="s">
        <v>76</v>
      </c>
      <c r="F29" s="93" t="s">
        <v>75</v>
      </c>
      <c r="G29" s="93">
        <v>10</v>
      </c>
      <c r="H29" s="103">
        <v>182</v>
      </c>
      <c r="I29" s="60">
        <f t="shared" si="0"/>
        <v>1820</v>
      </c>
      <c r="J29" s="92"/>
      <c r="K29" s="92"/>
      <c r="L29" s="92"/>
      <c r="M29" s="92"/>
      <c r="N29" s="92"/>
      <c r="O29" s="92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92"/>
      <c r="AB29" s="92"/>
      <c r="AC29" s="92"/>
      <c r="AD29" s="92"/>
      <c r="AE29" s="92"/>
      <c r="AF29" s="92"/>
      <c r="AG29" s="92"/>
      <c r="AH29" s="92"/>
      <c r="AI29" s="92"/>
      <c r="AJ29" s="92"/>
      <c r="AK29" s="92"/>
      <c r="AL29" s="92"/>
      <c r="AM29" s="92"/>
      <c r="AN29" s="92"/>
      <c r="AO29" s="92"/>
      <c r="AP29" s="92"/>
      <c r="AQ29" s="92"/>
      <c r="AR29" s="92"/>
      <c r="AS29" s="92"/>
      <c r="AT29" s="92"/>
      <c r="AU29" s="92"/>
      <c r="AV29" s="92"/>
      <c r="AW29" s="92"/>
      <c r="AX29" s="92"/>
      <c r="AY29" s="92"/>
      <c r="AZ29" s="92"/>
      <c r="BA29" s="92"/>
      <c r="BB29" s="92"/>
      <c r="BC29" s="92"/>
      <c r="BD29" s="92"/>
      <c r="BE29" s="92"/>
      <c r="BF29" s="92"/>
      <c r="BG29" s="92"/>
      <c r="BH29" s="92"/>
      <c r="BI29" s="92"/>
      <c r="BJ29" s="92"/>
      <c r="BK29" s="92"/>
      <c r="BL29" s="92"/>
      <c r="BM29" s="92"/>
      <c r="BN29" s="92"/>
      <c r="BO29" s="92"/>
      <c r="BP29" s="92"/>
      <c r="BQ29" s="92"/>
      <c r="BR29" s="92"/>
      <c r="BS29" s="92"/>
      <c r="BT29" s="92"/>
      <c r="BU29" s="92"/>
      <c r="BV29" s="92"/>
      <c r="BW29" s="92"/>
      <c r="BX29" s="92"/>
      <c r="BY29" s="92"/>
      <c r="BZ29" s="92"/>
      <c r="CA29" s="92"/>
      <c r="CB29" s="92"/>
      <c r="CC29" s="92"/>
      <c r="CD29" s="92"/>
      <c r="CE29" s="92"/>
      <c r="CF29" s="92"/>
      <c r="CG29" s="92"/>
      <c r="CH29" s="92"/>
      <c r="CI29" s="92"/>
      <c r="CJ29" s="92"/>
      <c r="CK29" s="92"/>
      <c r="CL29" s="92"/>
      <c r="CM29" s="92"/>
      <c r="CN29" s="92"/>
      <c r="CO29" s="92"/>
      <c r="CP29" s="92"/>
      <c r="CQ29" s="92"/>
      <c r="CR29" s="92"/>
      <c r="CS29" s="92"/>
      <c r="CT29" s="92"/>
      <c r="CU29" s="92"/>
      <c r="CV29" s="92"/>
      <c r="CW29" s="92"/>
      <c r="CX29" s="92"/>
      <c r="CY29" s="92"/>
      <c r="CZ29" s="92"/>
      <c r="DA29" s="92"/>
      <c r="DB29" s="92"/>
      <c r="DC29" s="92"/>
      <c r="DD29" s="92"/>
      <c r="DE29" s="92"/>
      <c r="DF29" s="92"/>
      <c r="DG29" s="92"/>
      <c r="DH29" s="92"/>
      <c r="DI29" s="92"/>
      <c r="DJ29" s="92"/>
      <c r="DK29" s="92"/>
      <c r="DL29" s="92"/>
      <c r="DM29" s="92"/>
      <c r="DN29" s="92"/>
      <c r="DO29" s="92"/>
      <c r="DP29" s="92"/>
      <c r="DQ29" s="92"/>
      <c r="DR29" s="92"/>
      <c r="DS29" s="92"/>
      <c r="DT29" s="92"/>
      <c r="DU29" s="92"/>
      <c r="DV29" s="92"/>
      <c r="DW29" s="92"/>
      <c r="DX29" s="92"/>
      <c r="DY29" s="92"/>
      <c r="DZ29" s="92"/>
      <c r="EA29" s="92"/>
      <c r="EB29" s="92"/>
    </row>
    <row r="30" spans="1:132" s="92" customFormat="1" ht="25.5">
      <c r="A30" s="96">
        <v>21</v>
      </c>
      <c r="B30" s="99"/>
      <c r="C30" s="97" t="s">
        <v>61</v>
      </c>
      <c r="D30" s="83">
        <v>295</v>
      </c>
      <c r="E30" s="77" t="s">
        <v>71</v>
      </c>
      <c r="F30" s="75" t="s">
        <v>72</v>
      </c>
      <c r="G30" s="75">
        <v>1</v>
      </c>
      <c r="H30" s="106">
        <v>16520</v>
      </c>
      <c r="I30" s="60">
        <f t="shared" si="0"/>
        <v>16520</v>
      </c>
    </row>
    <row r="31" spans="1:132" s="89" customFormat="1" ht="25.5">
      <c r="A31" s="96">
        <v>22</v>
      </c>
      <c r="B31" s="99"/>
      <c r="C31" s="97" t="s">
        <v>61</v>
      </c>
      <c r="D31" s="83">
        <v>295</v>
      </c>
      <c r="E31" s="102" t="s">
        <v>92</v>
      </c>
      <c r="F31" s="93" t="s">
        <v>78</v>
      </c>
      <c r="G31" s="93">
        <v>8</v>
      </c>
      <c r="H31" s="103">
        <v>1644</v>
      </c>
      <c r="I31" s="60">
        <f t="shared" ref="I31:I42" si="1">G31*H31</f>
        <v>13152</v>
      </c>
      <c r="J31" s="92"/>
      <c r="K31" s="92"/>
      <c r="L31" s="92"/>
      <c r="M31" s="92"/>
      <c r="N31" s="92"/>
      <c r="O31" s="92"/>
      <c r="P31" s="92"/>
      <c r="Q31" s="92"/>
      <c r="R31" s="92"/>
      <c r="S31" s="92"/>
      <c r="T31" s="92"/>
      <c r="U31" s="92"/>
      <c r="V31" s="92"/>
      <c r="W31" s="92"/>
      <c r="X31" s="92"/>
      <c r="Y31" s="92"/>
      <c r="Z31" s="92"/>
      <c r="AA31" s="92"/>
      <c r="AB31" s="92"/>
      <c r="AC31" s="92"/>
      <c r="AD31" s="92"/>
      <c r="AE31" s="92"/>
      <c r="AF31" s="92"/>
      <c r="AG31" s="92"/>
      <c r="AH31" s="92"/>
      <c r="AI31" s="92"/>
      <c r="AJ31" s="92"/>
      <c r="AK31" s="92"/>
      <c r="AL31" s="92"/>
      <c r="AM31" s="92"/>
      <c r="AN31" s="92"/>
      <c r="AO31" s="92"/>
      <c r="AP31" s="92"/>
      <c r="AQ31" s="92"/>
      <c r="AR31" s="92"/>
      <c r="AS31" s="92"/>
      <c r="AT31" s="92"/>
      <c r="AU31" s="92"/>
      <c r="AV31" s="92"/>
      <c r="AW31" s="92"/>
      <c r="AX31" s="92"/>
      <c r="AY31" s="92"/>
      <c r="AZ31" s="92"/>
      <c r="BA31" s="92"/>
      <c r="BB31" s="92"/>
      <c r="BC31" s="92"/>
      <c r="BD31" s="92"/>
      <c r="BE31" s="92"/>
      <c r="BF31" s="92"/>
      <c r="BG31" s="92"/>
      <c r="BH31" s="92"/>
      <c r="BI31" s="92"/>
      <c r="BJ31" s="92"/>
      <c r="BK31" s="92"/>
      <c r="BL31" s="92"/>
      <c r="BM31" s="92"/>
      <c r="BN31" s="92"/>
      <c r="BO31" s="92"/>
      <c r="BP31" s="92"/>
      <c r="BQ31" s="92"/>
      <c r="BR31" s="92"/>
      <c r="BS31" s="92"/>
      <c r="BT31" s="92"/>
      <c r="BU31" s="92"/>
      <c r="BV31" s="92"/>
      <c r="BW31" s="92"/>
      <c r="BX31" s="92"/>
      <c r="BY31" s="92"/>
      <c r="BZ31" s="92"/>
      <c r="CA31" s="92"/>
      <c r="CB31" s="92"/>
      <c r="CC31" s="92"/>
      <c r="CD31" s="92"/>
      <c r="CE31" s="92"/>
      <c r="CF31" s="92"/>
      <c r="CG31" s="92"/>
      <c r="CH31" s="92"/>
      <c r="CI31" s="92"/>
      <c r="CJ31" s="92"/>
      <c r="CK31" s="92"/>
      <c r="CL31" s="92"/>
      <c r="CM31" s="92"/>
      <c r="CN31" s="92"/>
      <c r="CO31" s="92"/>
      <c r="CP31" s="92"/>
      <c r="CQ31" s="92"/>
      <c r="CR31" s="92"/>
      <c r="CS31" s="92"/>
      <c r="CT31" s="92"/>
      <c r="CU31" s="92"/>
      <c r="CV31" s="92"/>
      <c r="CW31" s="92"/>
      <c r="CX31" s="92"/>
      <c r="CY31" s="92"/>
      <c r="CZ31" s="92"/>
      <c r="DA31" s="92"/>
      <c r="DB31" s="92"/>
      <c r="DC31" s="92"/>
      <c r="DD31" s="92"/>
      <c r="DE31" s="92"/>
      <c r="DF31" s="92"/>
      <c r="DG31" s="92"/>
      <c r="DH31" s="92"/>
      <c r="DI31" s="92"/>
      <c r="DJ31" s="92"/>
      <c r="DK31" s="92"/>
      <c r="DL31" s="92"/>
      <c r="DM31" s="92"/>
      <c r="DN31" s="92"/>
      <c r="DO31" s="92"/>
      <c r="DP31" s="92"/>
      <c r="DQ31" s="92"/>
      <c r="DR31" s="92"/>
      <c r="DS31" s="92"/>
      <c r="DT31" s="92"/>
      <c r="DU31" s="92"/>
      <c r="DV31" s="92"/>
      <c r="DW31" s="92"/>
      <c r="DX31" s="92"/>
      <c r="DY31" s="92"/>
      <c r="DZ31" s="92"/>
      <c r="EA31" s="92"/>
      <c r="EB31" s="92"/>
    </row>
    <row r="32" spans="1:132" ht="25.5">
      <c r="A32" s="96">
        <v>23</v>
      </c>
      <c r="B32" s="99"/>
      <c r="C32" s="97" t="s">
        <v>61</v>
      </c>
      <c r="D32" s="83">
        <v>295</v>
      </c>
      <c r="E32" s="102" t="s">
        <v>87</v>
      </c>
      <c r="F32" s="93" t="s">
        <v>74</v>
      </c>
      <c r="G32" s="93">
        <v>4</v>
      </c>
      <c r="H32" s="103">
        <v>1353</v>
      </c>
      <c r="I32" s="60">
        <f t="shared" si="1"/>
        <v>5412</v>
      </c>
      <c r="J32" s="92"/>
      <c r="K32" s="92"/>
      <c r="L32" s="92"/>
      <c r="M32" s="92"/>
      <c r="N32" s="92"/>
      <c r="O32" s="92"/>
      <c r="P32" s="92"/>
      <c r="Q32" s="92"/>
      <c r="R32" s="92"/>
      <c r="S32" s="92"/>
      <c r="T32" s="92"/>
      <c r="U32" s="92"/>
      <c r="V32" s="92"/>
      <c r="W32" s="92"/>
      <c r="X32" s="92"/>
      <c r="Y32" s="92"/>
      <c r="Z32" s="92"/>
      <c r="AA32" s="92"/>
      <c r="AB32" s="92"/>
      <c r="AC32" s="92"/>
      <c r="AD32" s="92"/>
      <c r="AE32" s="92"/>
      <c r="AF32" s="92"/>
      <c r="AG32" s="92"/>
      <c r="AH32" s="92"/>
      <c r="AI32" s="92"/>
      <c r="AJ32" s="92"/>
      <c r="AK32" s="92"/>
      <c r="AL32" s="92"/>
      <c r="AM32" s="92"/>
      <c r="AN32" s="92"/>
      <c r="AO32" s="92"/>
      <c r="AP32" s="92"/>
      <c r="AQ32" s="92"/>
      <c r="AR32" s="92"/>
      <c r="AS32" s="92"/>
      <c r="AT32" s="92"/>
      <c r="AU32" s="92"/>
      <c r="AV32" s="92"/>
      <c r="AW32" s="92"/>
      <c r="AX32" s="92"/>
      <c r="AY32" s="92"/>
      <c r="AZ32" s="92"/>
      <c r="BA32" s="92"/>
      <c r="BB32" s="92"/>
      <c r="BC32" s="92"/>
      <c r="BD32" s="92"/>
      <c r="BE32" s="92"/>
      <c r="BF32" s="92"/>
      <c r="BG32" s="92"/>
      <c r="BH32" s="92"/>
      <c r="BI32" s="92"/>
      <c r="BJ32" s="92"/>
      <c r="BK32" s="92"/>
      <c r="BL32" s="92"/>
      <c r="BM32" s="92"/>
      <c r="BN32" s="92"/>
      <c r="BO32" s="92"/>
      <c r="BP32" s="92"/>
      <c r="BQ32" s="92"/>
      <c r="BR32" s="92"/>
      <c r="BS32" s="92"/>
      <c r="BT32" s="92"/>
      <c r="BU32" s="92"/>
      <c r="BV32" s="92"/>
      <c r="BW32" s="92"/>
      <c r="BX32" s="92"/>
      <c r="BY32" s="92"/>
      <c r="BZ32" s="92"/>
      <c r="CA32" s="92"/>
      <c r="CB32" s="92"/>
      <c r="CC32" s="92"/>
      <c r="CD32" s="92"/>
      <c r="CE32" s="92"/>
      <c r="CF32" s="92"/>
      <c r="CG32" s="92"/>
      <c r="CH32" s="92"/>
      <c r="CI32" s="92"/>
      <c r="CJ32" s="92"/>
      <c r="CK32" s="92"/>
      <c r="CL32" s="92"/>
      <c r="CM32" s="92"/>
      <c r="CN32" s="92"/>
      <c r="CO32" s="92"/>
      <c r="CP32" s="92"/>
      <c r="CQ32" s="92"/>
      <c r="CR32" s="92"/>
      <c r="CS32" s="92"/>
      <c r="CT32" s="92"/>
      <c r="CU32" s="92"/>
      <c r="CV32" s="92"/>
      <c r="CW32" s="92"/>
      <c r="CX32" s="92"/>
      <c r="CY32" s="92"/>
      <c r="CZ32" s="92"/>
      <c r="DA32" s="92"/>
      <c r="DB32" s="92"/>
      <c r="DC32" s="92"/>
      <c r="DD32" s="92"/>
      <c r="DE32" s="92"/>
      <c r="DF32" s="92"/>
      <c r="DG32" s="92"/>
      <c r="DH32" s="92"/>
      <c r="DI32" s="92"/>
      <c r="DJ32" s="92"/>
      <c r="DK32" s="92"/>
      <c r="DL32" s="92"/>
      <c r="DM32" s="92"/>
      <c r="DN32" s="92"/>
      <c r="DO32" s="92"/>
      <c r="DP32" s="92"/>
      <c r="DQ32" s="92"/>
      <c r="DR32" s="92"/>
      <c r="DS32" s="92"/>
      <c r="DT32" s="92"/>
      <c r="DU32" s="92"/>
      <c r="DV32" s="92"/>
      <c r="DW32" s="92"/>
      <c r="DX32" s="92"/>
      <c r="DY32" s="92"/>
      <c r="DZ32" s="92"/>
      <c r="EA32" s="92"/>
      <c r="EB32" s="92"/>
    </row>
    <row r="33" spans="1:132" s="89" customFormat="1" ht="25.5">
      <c r="A33" s="96">
        <v>24</v>
      </c>
      <c r="B33" s="99"/>
      <c r="C33" s="97" t="s">
        <v>61</v>
      </c>
      <c r="D33" s="83">
        <v>295</v>
      </c>
      <c r="E33" s="77" t="s">
        <v>85</v>
      </c>
      <c r="F33" s="75" t="s">
        <v>74</v>
      </c>
      <c r="G33" s="84">
        <v>1</v>
      </c>
      <c r="H33" s="82">
        <v>9559</v>
      </c>
      <c r="I33" s="60">
        <f t="shared" si="1"/>
        <v>9559</v>
      </c>
      <c r="J33" s="92"/>
      <c r="K33" s="92"/>
      <c r="L33" s="92"/>
      <c r="M33" s="92"/>
      <c r="N33" s="92"/>
      <c r="O33" s="92"/>
      <c r="P33" s="92"/>
      <c r="Q33" s="92"/>
      <c r="R33" s="92"/>
      <c r="S33" s="92"/>
      <c r="T33" s="92"/>
      <c r="U33" s="92"/>
      <c r="V33" s="92"/>
      <c r="W33" s="92"/>
      <c r="X33" s="92"/>
      <c r="Y33" s="92"/>
      <c r="Z33" s="92"/>
      <c r="AA33" s="92"/>
      <c r="AB33" s="92"/>
      <c r="AC33" s="92"/>
      <c r="AD33" s="92"/>
      <c r="AE33" s="92"/>
      <c r="AF33" s="92"/>
      <c r="AG33" s="92"/>
      <c r="AH33" s="92"/>
      <c r="AI33" s="92"/>
      <c r="AJ33" s="92"/>
      <c r="AK33" s="92"/>
      <c r="AL33" s="92"/>
      <c r="AM33" s="92"/>
      <c r="AN33" s="92"/>
      <c r="AO33" s="92"/>
      <c r="AP33" s="92"/>
      <c r="AQ33" s="92"/>
      <c r="AR33" s="92"/>
      <c r="AS33" s="92"/>
      <c r="AT33" s="92"/>
      <c r="AU33" s="92"/>
      <c r="AV33" s="92"/>
      <c r="AW33" s="92"/>
      <c r="AX33" s="92"/>
      <c r="AY33" s="92"/>
      <c r="AZ33" s="92"/>
      <c r="BA33" s="92"/>
      <c r="BB33" s="92"/>
      <c r="BC33" s="92"/>
      <c r="BD33" s="92"/>
      <c r="BE33" s="92"/>
      <c r="BF33" s="92"/>
      <c r="BG33" s="92"/>
      <c r="BH33" s="92"/>
      <c r="BI33" s="92"/>
      <c r="BJ33" s="92"/>
      <c r="BK33" s="92"/>
      <c r="BL33" s="92"/>
      <c r="BM33" s="92"/>
      <c r="BN33" s="92"/>
      <c r="BO33" s="92"/>
      <c r="BP33" s="92"/>
      <c r="BQ33" s="92"/>
      <c r="BR33" s="92"/>
      <c r="BS33" s="92"/>
      <c r="BT33" s="92"/>
      <c r="BU33" s="92"/>
      <c r="BV33" s="92"/>
      <c r="BW33" s="92"/>
      <c r="BX33" s="92"/>
      <c r="BY33" s="92"/>
      <c r="BZ33" s="92"/>
      <c r="CA33" s="92"/>
      <c r="CB33" s="92"/>
      <c r="CC33" s="92"/>
      <c r="CD33" s="92"/>
      <c r="CE33" s="92"/>
      <c r="CF33" s="92"/>
      <c r="CG33" s="92"/>
      <c r="CH33" s="92"/>
      <c r="CI33" s="92"/>
      <c r="CJ33" s="92"/>
      <c r="CK33" s="92"/>
      <c r="CL33" s="92"/>
      <c r="CM33" s="92"/>
      <c r="CN33" s="92"/>
      <c r="CO33" s="92"/>
      <c r="CP33" s="92"/>
      <c r="CQ33" s="92"/>
      <c r="CR33" s="92"/>
      <c r="CS33" s="92"/>
      <c r="CT33" s="92"/>
      <c r="CU33" s="92"/>
      <c r="CV33" s="92"/>
      <c r="CW33" s="92"/>
      <c r="CX33" s="92"/>
      <c r="CY33" s="92"/>
      <c r="CZ33" s="92"/>
      <c r="DA33" s="92"/>
      <c r="DB33" s="92"/>
      <c r="DC33" s="92"/>
      <c r="DD33" s="92"/>
      <c r="DE33" s="92"/>
      <c r="DF33" s="92"/>
      <c r="DG33" s="92"/>
      <c r="DH33" s="92"/>
      <c r="DI33" s="92"/>
      <c r="DJ33" s="92"/>
      <c r="DK33" s="92"/>
      <c r="DL33" s="92"/>
      <c r="DM33" s="92"/>
      <c r="DN33" s="92"/>
      <c r="DO33" s="92"/>
      <c r="DP33" s="92"/>
      <c r="DQ33" s="92"/>
      <c r="DR33" s="92"/>
      <c r="DS33" s="92"/>
      <c r="DT33" s="92"/>
      <c r="DU33" s="92"/>
      <c r="DV33" s="92"/>
      <c r="DW33" s="92"/>
      <c r="DX33" s="92"/>
      <c r="DY33" s="92"/>
      <c r="DZ33" s="92"/>
      <c r="EA33" s="92"/>
      <c r="EB33" s="92"/>
    </row>
    <row r="34" spans="1:132" ht="26.25" customHeight="1">
      <c r="A34" s="96">
        <v>25</v>
      </c>
      <c r="B34" s="99"/>
      <c r="C34" s="97" t="s">
        <v>61</v>
      </c>
      <c r="D34" s="83">
        <v>295</v>
      </c>
      <c r="E34" s="102" t="s">
        <v>111</v>
      </c>
      <c r="F34" s="75" t="s">
        <v>74</v>
      </c>
      <c r="G34" s="84">
        <v>7</v>
      </c>
      <c r="H34" s="107">
        <v>1285</v>
      </c>
      <c r="I34" s="60">
        <f t="shared" si="1"/>
        <v>8995</v>
      </c>
    </row>
    <row r="35" spans="1:132" ht="25.5">
      <c r="A35" s="96">
        <v>26</v>
      </c>
      <c r="B35" s="99"/>
      <c r="C35" s="97" t="s">
        <v>61</v>
      </c>
      <c r="D35" s="83">
        <v>295</v>
      </c>
      <c r="E35" s="77" t="s">
        <v>80</v>
      </c>
      <c r="F35" s="75" t="s">
        <v>78</v>
      </c>
      <c r="G35" s="84">
        <v>2000</v>
      </c>
      <c r="H35" s="107">
        <v>4.18</v>
      </c>
      <c r="I35" s="60">
        <f t="shared" si="1"/>
        <v>8360</v>
      </c>
    </row>
    <row r="36" spans="1:132" ht="28.5" customHeight="1">
      <c r="A36" s="96">
        <v>27</v>
      </c>
      <c r="B36" s="99"/>
      <c r="C36" s="97" t="s">
        <v>61</v>
      </c>
      <c r="D36" s="83">
        <v>295</v>
      </c>
      <c r="E36" s="102" t="s">
        <v>81</v>
      </c>
      <c r="F36" s="75" t="s">
        <v>74</v>
      </c>
      <c r="G36" s="84">
        <v>5</v>
      </c>
      <c r="H36" s="107">
        <v>3220</v>
      </c>
      <c r="I36" s="60">
        <f t="shared" si="1"/>
        <v>16100</v>
      </c>
    </row>
    <row r="37" spans="1:132" ht="25.5" customHeight="1">
      <c r="A37" s="96">
        <v>28</v>
      </c>
      <c r="B37" s="71"/>
      <c r="C37" s="78" t="s">
        <v>61</v>
      </c>
      <c r="D37" s="83">
        <v>295</v>
      </c>
      <c r="E37" s="94" t="s">
        <v>97</v>
      </c>
      <c r="F37" s="75" t="s">
        <v>56</v>
      </c>
      <c r="G37" s="84">
        <v>1</v>
      </c>
      <c r="H37" s="82">
        <v>7388</v>
      </c>
      <c r="I37" s="60">
        <f t="shared" si="1"/>
        <v>7388</v>
      </c>
    </row>
    <row r="38" spans="1:132" ht="27" customHeight="1">
      <c r="A38" s="96">
        <v>29</v>
      </c>
      <c r="B38" s="99"/>
      <c r="C38" s="97" t="s">
        <v>61</v>
      </c>
      <c r="D38" s="83">
        <v>295</v>
      </c>
      <c r="E38" s="109" t="s">
        <v>77</v>
      </c>
      <c r="F38" s="115" t="s">
        <v>56</v>
      </c>
      <c r="G38" s="115">
        <v>500</v>
      </c>
      <c r="H38" s="110">
        <v>30</v>
      </c>
      <c r="I38" s="60">
        <f t="shared" si="1"/>
        <v>15000</v>
      </c>
    </row>
    <row r="39" spans="1:132" ht="25.5">
      <c r="A39" s="96">
        <v>30</v>
      </c>
      <c r="B39" s="99"/>
      <c r="C39" s="97" t="s">
        <v>61</v>
      </c>
      <c r="D39" s="125">
        <v>295</v>
      </c>
      <c r="E39" s="113" t="s">
        <v>73</v>
      </c>
      <c r="F39" s="116" t="s">
        <v>56</v>
      </c>
      <c r="G39" s="118">
        <v>1000</v>
      </c>
      <c r="H39" s="120">
        <v>18.399999999999999</v>
      </c>
      <c r="I39" s="60">
        <f t="shared" si="1"/>
        <v>18400</v>
      </c>
    </row>
    <row r="40" spans="1:132" ht="25.5">
      <c r="A40" s="96">
        <v>31</v>
      </c>
      <c r="B40" s="99"/>
      <c r="C40" s="97" t="s">
        <v>61</v>
      </c>
      <c r="D40" s="125">
        <v>295</v>
      </c>
      <c r="E40" s="121" t="s">
        <v>99</v>
      </c>
      <c r="F40" s="85" t="s">
        <v>100</v>
      </c>
      <c r="G40" s="85">
        <v>1</v>
      </c>
      <c r="H40" s="103">
        <v>4524</v>
      </c>
      <c r="I40" s="60">
        <f t="shared" si="1"/>
        <v>4524</v>
      </c>
    </row>
    <row r="41" spans="1:132" ht="27" customHeight="1">
      <c r="A41" s="96">
        <v>32</v>
      </c>
      <c r="B41" s="99"/>
      <c r="C41" s="97" t="s">
        <v>61</v>
      </c>
      <c r="D41" s="125">
        <v>295</v>
      </c>
      <c r="E41" s="112" t="s">
        <v>82</v>
      </c>
      <c r="F41" s="114" t="s">
        <v>74</v>
      </c>
      <c r="G41" s="117">
        <v>3</v>
      </c>
      <c r="H41" s="119">
        <v>2682</v>
      </c>
      <c r="I41" s="60">
        <f t="shared" si="1"/>
        <v>8046</v>
      </c>
    </row>
    <row r="42" spans="1:132" ht="25.5">
      <c r="A42" s="96">
        <v>33</v>
      </c>
      <c r="B42" s="99"/>
      <c r="C42" s="97" t="s">
        <v>61</v>
      </c>
      <c r="D42" s="83">
        <v>295</v>
      </c>
      <c r="E42" s="102" t="s">
        <v>83</v>
      </c>
      <c r="F42" s="93" t="s">
        <v>78</v>
      </c>
      <c r="G42" s="93">
        <v>500</v>
      </c>
      <c r="H42" s="103">
        <v>25.4</v>
      </c>
      <c r="I42" s="60">
        <f t="shared" si="1"/>
        <v>12700</v>
      </c>
    </row>
    <row r="43" spans="1:132" ht="13.5" thickBot="1">
      <c r="I43" s="29"/>
    </row>
    <row r="44" spans="1:132">
      <c r="B44" s="127" t="s">
        <v>102</v>
      </c>
      <c r="C44" s="128"/>
      <c r="D44" s="128"/>
      <c r="E44" s="129"/>
    </row>
    <row r="45" spans="1:132">
      <c r="B45" s="139" t="s">
        <v>103</v>
      </c>
      <c r="C45" s="140"/>
      <c r="D45" s="140"/>
      <c r="E45" s="141"/>
    </row>
    <row r="46" spans="1:132" ht="24.75" customHeight="1">
      <c r="B46" s="139"/>
      <c r="C46" s="140"/>
      <c r="D46" s="140"/>
      <c r="E46" s="141"/>
      <c r="F46" s="130"/>
    </row>
    <row r="47" spans="1:132">
      <c r="B47" s="139" t="s">
        <v>104</v>
      </c>
      <c r="C47" s="140"/>
      <c r="D47" s="140"/>
      <c r="E47" s="141"/>
      <c r="F47" s="130"/>
    </row>
    <row r="48" spans="1:132">
      <c r="B48" s="135" t="s">
        <v>105</v>
      </c>
      <c r="C48" s="136"/>
      <c r="D48" s="137"/>
      <c r="E48" s="138"/>
      <c r="F48" s="130"/>
    </row>
    <row r="49" spans="2:5" ht="13.5" thickBot="1">
      <c r="B49" s="131" t="s">
        <v>106</v>
      </c>
      <c r="C49" s="132"/>
      <c r="D49" s="133"/>
      <c r="E49" s="134"/>
    </row>
    <row r="53" spans="2:5">
      <c r="C53" s="26" t="s">
        <v>55</v>
      </c>
    </row>
  </sheetData>
  <autoFilter ref="A9:I42" xr:uid="{00000000-0009-0000-0000-000000000000}">
    <filterColumn colId="3">
      <filters>
        <filter val="295"/>
      </filters>
    </filterColumn>
  </autoFilter>
  <sortState xmlns:xlrd2="http://schemas.microsoft.com/office/spreadsheetml/2017/richdata2" ref="A10:H40">
    <sortCondition ref="E10:E40"/>
  </sortState>
  <mergeCells count="9">
    <mergeCell ref="B45:E46"/>
    <mergeCell ref="B47:E47"/>
    <mergeCell ref="A6:B6"/>
    <mergeCell ref="A7:B7"/>
    <mergeCell ref="B2:H2"/>
    <mergeCell ref="A4:B4"/>
    <mergeCell ref="C4:E4"/>
    <mergeCell ref="A5:B5"/>
    <mergeCell ref="C5:E5"/>
  </mergeCells>
  <conditionalFormatting sqref="E12 E18 E10">
    <cfRule type="cellIs" dxfId="16" priority="5" operator="equal">
      <formula>"duplicado"</formula>
    </cfRule>
  </conditionalFormatting>
  <conditionalFormatting sqref="E12">
    <cfRule type="duplicateValues" dxfId="15" priority="9"/>
    <cfRule type="duplicateValues" dxfId="14" priority="10"/>
    <cfRule type="cellIs" dxfId="13" priority="11" operator="equal">
      <formula>"calibra"</formula>
    </cfRule>
  </conditionalFormatting>
  <conditionalFormatting sqref="E12">
    <cfRule type="duplicateValues" dxfId="12" priority="6"/>
    <cfRule type="duplicateValues" dxfId="11" priority="7"/>
    <cfRule type="cellIs" dxfId="10" priority="8" operator="equal">
      <formula>"calibra"</formula>
    </cfRule>
  </conditionalFormatting>
  <conditionalFormatting sqref="E12 E10">
    <cfRule type="duplicateValues" dxfId="9" priority="12"/>
    <cfRule type="duplicateValues" dxfId="8" priority="13"/>
    <cfRule type="cellIs" dxfId="7" priority="14" operator="equal">
      <formula>"calibra"</formula>
    </cfRule>
  </conditionalFormatting>
  <conditionalFormatting sqref="E18">
    <cfRule type="duplicateValues" dxfId="6" priority="15"/>
    <cfRule type="duplicateValues" dxfId="5" priority="16"/>
    <cfRule type="cellIs" dxfId="4" priority="17" operator="equal">
      <formula>"calibra"</formula>
    </cfRule>
  </conditionalFormatting>
  <conditionalFormatting sqref="E15">
    <cfRule type="cellIs" dxfId="3" priority="4" operator="equal">
      <formula>"duplicado"</formula>
    </cfRule>
  </conditionalFormatting>
  <conditionalFormatting sqref="E15">
    <cfRule type="duplicateValues" dxfId="2" priority="1"/>
    <cfRule type="duplicateValues" dxfId="1" priority="2"/>
    <cfRule type="cellIs" dxfId="0" priority="3" operator="equal">
      <formula>"calibra"</formula>
    </cfRule>
  </conditionalFormatting>
  <printOptions horizontalCentered="1"/>
  <pageMargins left="0.11811023622047245" right="0.11811023622047245" top="0.74803149606299213" bottom="0.35433070866141736" header="0.11811023622047245" footer="0"/>
  <pageSetup paperSize="5" firstPageNumber="0" fitToWidth="2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MJ45"/>
  <sheetViews>
    <sheetView topLeftCell="A40" zoomScale="80" zoomScaleNormal="80" workbookViewId="0">
      <selection activeCell="A45" sqref="A45:I45"/>
    </sheetView>
  </sheetViews>
  <sheetFormatPr baseColWidth="10" defaultColWidth="9.140625" defaultRowHeight="12.75"/>
  <cols>
    <col min="1" max="1" width="5.5703125" style="32" customWidth="1"/>
    <col min="2" max="2" width="15.140625" style="32" customWidth="1"/>
    <col min="3" max="3" width="14.140625" style="32" customWidth="1"/>
    <col min="4" max="4" width="26" style="32" customWidth="1"/>
    <col min="5" max="5" width="8" style="32" customWidth="1"/>
    <col min="6" max="6" width="7.85546875" style="32" customWidth="1"/>
    <col min="7" max="7" width="48.5703125" style="32" customWidth="1"/>
    <col min="8" max="8" width="9.28515625" style="32" customWidth="1"/>
    <col min="9" max="9" width="15.5703125" style="32" customWidth="1"/>
    <col min="10" max="10" width="14.7109375" style="32" customWidth="1"/>
    <col min="11" max="11" width="15.5703125" style="32" customWidth="1"/>
    <col min="12" max="13" width="5.85546875" style="32" customWidth="1"/>
    <col min="14" max="14" width="14.140625" style="32" customWidth="1"/>
    <col min="15" max="15" width="12.5703125" style="32" customWidth="1"/>
    <col min="16" max="1024" width="9.140625" style="32"/>
    <col min="1025" max="16384" width="9.140625" style="33"/>
  </cols>
  <sheetData>
    <row r="1" spans="1:11" ht="18" customHeight="1">
      <c r="A1" s="146" t="s">
        <v>14</v>
      </c>
      <c r="B1" s="146"/>
      <c r="C1" s="146"/>
      <c r="D1" s="146"/>
      <c r="E1" s="146"/>
      <c r="F1" s="146"/>
      <c r="G1" s="146"/>
      <c r="H1" s="146"/>
      <c r="I1" s="146"/>
      <c r="J1" s="30" t="s">
        <v>15</v>
      </c>
      <c r="K1" s="31" t="s">
        <v>98</v>
      </c>
    </row>
    <row r="2" spans="1:11" ht="18.75" customHeight="1" thickBot="1">
      <c r="A2" s="34"/>
      <c r="B2" s="34"/>
      <c r="C2" s="34"/>
      <c r="D2" s="35"/>
      <c r="E2" s="35"/>
      <c r="F2" s="35"/>
      <c r="G2" s="35"/>
      <c r="H2" s="35"/>
      <c r="I2" s="35"/>
      <c r="J2" s="35"/>
      <c r="K2" s="35"/>
    </row>
    <row r="3" spans="1:11" ht="18.75" customHeight="1" thickBot="1">
      <c r="A3" s="147" t="s">
        <v>48</v>
      </c>
      <c r="B3" s="147"/>
      <c r="C3" s="147"/>
      <c r="D3" s="148" t="str">
        <f>'Necesidades Trimestrales'!C4</f>
        <v>040 - Ministerio de Salud</v>
      </c>
      <c r="E3" s="148"/>
      <c r="F3" s="148"/>
      <c r="G3" s="148"/>
      <c r="H3" s="148"/>
      <c r="I3" s="148"/>
      <c r="J3" s="148"/>
      <c r="K3" s="148"/>
    </row>
    <row r="4" spans="1:11" ht="18.75" customHeight="1" thickBot="1">
      <c r="A4" s="149" t="s">
        <v>49</v>
      </c>
      <c r="B4" s="149"/>
      <c r="C4" s="149"/>
      <c r="D4" s="148" t="str">
        <f>'Necesidades Trimestrales'!C5</f>
        <v>024 - Hospital Interzonal de Niños</v>
      </c>
      <c r="E4" s="148"/>
      <c r="F4" s="148"/>
      <c r="G4" s="148"/>
      <c r="H4" s="148"/>
      <c r="I4" s="148"/>
      <c r="J4" s="148"/>
      <c r="K4" s="148"/>
    </row>
    <row r="5" spans="1:11" ht="18.75" customHeight="1" thickBot="1">
      <c r="A5" s="149" t="s">
        <v>27</v>
      </c>
      <c r="B5" s="149"/>
      <c r="C5" s="149"/>
      <c r="D5" s="148" t="s">
        <v>51</v>
      </c>
      <c r="E5" s="148"/>
      <c r="F5" s="148"/>
      <c r="G5" s="148"/>
      <c r="H5" s="148"/>
      <c r="I5" s="148"/>
      <c r="J5" s="148"/>
      <c r="K5" s="148"/>
    </row>
    <row r="6" spans="1:11" ht="16.5" customHeight="1" thickBot="1">
      <c r="A6" s="147" t="s">
        <v>50</v>
      </c>
      <c r="B6" s="147"/>
      <c r="C6" s="147"/>
      <c r="D6" s="148" t="s">
        <v>58</v>
      </c>
      <c r="E6" s="148"/>
      <c r="F6" s="148"/>
      <c r="G6" s="148"/>
      <c r="H6" s="148"/>
      <c r="I6" s="148"/>
      <c r="J6" s="148"/>
      <c r="K6" s="148"/>
    </row>
    <row r="7" spans="1:11" ht="16.5" customHeight="1">
      <c r="A7" s="149" t="s">
        <v>16</v>
      </c>
      <c r="B7" s="149"/>
      <c r="C7" s="149"/>
      <c r="D7" s="148" t="str">
        <f>'Necesidades Trimestrales'!C7 &amp; "° Trimestre - Año " &amp; 'Necesidades Trimestrales'!C6</f>
        <v>2° Trimestre - Año 2022</v>
      </c>
      <c r="E7" s="148"/>
      <c r="F7" s="148"/>
      <c r="G7" s="148"/>
      <c r="H7" s="148"/>
      <c r="I7" s="148"/>
      <c r="J7" s="148"/>
      <c r="K7" s="148"/>
    </row>
    <row r="8" spans="1:11" ht="16.5" customHeight="1">
      <c r="A8" s="154" t="s">
        <v>17</v>
      </c>
      <c r="B8" s="154"/>
      <c r="C8" s="154"/>
      <c r="D8" s="150" t="s">
        <v>59</v>
      </c>
      <c r="E8" s="150"/>
      <c r="F8" s="150"/>
      <c r="G8" s="150"/>
      <c r="H8" s="150"/>
      <c r="I8" s="150"/>
      <c r="J8" s="150"/>
      <c r="K8" s="150"/>
    </row>
    <row r="9" spans="1:11" ht="15.75">
      <c r="A9" s="36"/>
      <c r="B9" s="36"/>
      <c r="C9" s="36"/>
      <c r="D9" s="37"/>
      <c r="E9" s="37"/>
      <c r="F9" s="37"/>
      <c r="G9" s="37"/>
      <c r="H9" s="37"/>
      <c r="I9" s="37"/>
      <c r="J9" s="37"/>
      <c r="K9" s="37"/>
    </row>
    <row r="10" spans="1:11" ht="18.75" customHeight="1">
      <c r="A10" s="151" t="s">
        <v>18</v>
      </c>
      <c r="B10" s="152" t="s">
        <v>19</v>
      </c>
      <c r="C10" s="152" t="s">
        <v>20</v>
      </c>
      <c r="D10" s="152"/>
      <c r="E10" s="152"/>
      <c r="F10" s="152"/>
      <c r="G10" s="152"/>
      <c r="H10" s="152" t="s">
        <v>21</v>
      </c>
      <c r="I10" s="152" t="s">
        <v>22</v>
      </c>
      <c r="J10" s="152" t="s">
        <v>23</v>
      </c>
      <c r="K10" s="153" t="s">
        <v>24</v>
      </c>
    </row>
    <row r="11" spans="1:11" ht="24" customHeight="1" thickBot="1">
      <c r="A11" s="151"/>
      <c r="B11" s="152"/>
      <c r="C11" s="152"/>
      <c r="D11" s="152"/>
      <c r="E11" s="152"/>
      <c r="F11" s="152"/>
      <c r="G11" s="152"/>
      <c r="H11" s="152"/>
      <c r="I11" s="152"/>
      <c r="J11" s="152"/>
      <c r="K11" s="153"/>
    </row>
    <row r="12" spans="1:11" ht="27.75" customHeight="1">
      <c r="A12" s="40">
        <v>1</v>
      </c>
      <c r="B12" s="41"/>
      <c r="C12" s="156" t="str">
        <f>'Necesidades Trimestrales'!E10</f>
        <v xml:space="preserve">AMPOULER PARA COBAS B221 - caja x 150 unidades </v>
      </c>
      <c r="D12" s="156"/>
      <c r="E12" s="156"/>
      <c r="F12" s="156"/>
      <c r="G12" s="156"/>
      <c r="H12" s="42" t="s">
        <v>54</v>
      </c>
      <c r="I12" s="43" t="str">
        <f>'Necesidades Trimestrales'!F10</f>
        <v>CAJA</v>
      </c>
      <c r="J12" s="44">
        <f>'Necesidades Trimestrales'!H10</f>
        <v>7577</v>
      </c>
      <c r="K12" s="45">
        <f>'Necesidades Trimestrales'!G10</f>
        <v>2</v>
      </c>
    </row>
    <row r="13" spans="1:11" ht="27.75" customHeight="1">
      <c r="A13" s="61">
        <v>2</v>
      </c>
      <c r="B13" s="62"/>
      <c r="C13" s="145" t="str">
        <f>'Necesidades Trimestrales'!E11</f>
        <v xml:space="preserve">ansas calibradas plasticas esteriles x10 ul </v>
      </c>
      <c r="D13" s="145"/>
      <c r="E13" s="145"/>
      <c r="F13" s="145"/>
      <c r="G13" s="145"/>
      <c r="H13" s="65" t="s">
        <v>54</v>
      </c>
      <c r="I13" s="66" t="str">
        <f>'Necesidades Trimestrales'!F11</f>
        <v>unidad</v>
      </c>
      <c r="J13" s="64">
        <f>'Necesidades Trimestrales'!H11</f>
        <v>27.2</v>
      </c>
      <c r="K13" s="63">
        <f>'Necesidades Trimestrales'!G11</f>
        <v>2000</v>
      </c>
    </row>
    <row r="14" spans="1:11" ht="27.75" customHeight="1">
      <c r="A14" s="61">
        <v>3</v>
      </c>
      <c r="B14" s="62"/>
      <c r="C14" s="145" t="str">
        <f>'Necesidades Trimestrales'!E12</f>
        <v>COPAS DE MUESTRAS ROCHE C311 X1000U</v>
      </c>
      <c r="D14" s="145"/>
      <c r="E14" s="145"/>
      <c r="F14" s="145"/>
      <c r="G14" s="145"/>
      <c r="H14" s="65" t="s">
        <v>54</v>
      </c>
      <c r="I14" s="66" t="str">
        <f>'Necesidades Trimestrales'!F12</f>
        <v>BOLSA</v>
      </c>
      <c r="J14" s="64">
        <f>'Necesidades Trimestrales'!H12</f>
        <v>4527</v>
      </c>
      <c r="K14" s="63">
        <f>'Necesidades Trimestrales'!G12</f>
        <v>2</v>
      </c>
    </row>
    <row r="15" spans="1:11" ht="27.75" customHeight="1">
      <c r="A15" s="61">
        <v>4</v>
      </c>
      <c r="B15" s="62"/>
      <c r="C15" s="145" t="str">
        <f>'Necesidades Trimestrales'!E13</f>
        <v>CUBETAS PARA COATRON M2 X 500U</v>
      </c>
      <c r="D15" s="145"/>
      <c r="E15" s="145"/>
      <c r="F15" s="145"/>
      <c r="G15" s="145"/>
      <c r="H15" s="73" t="s">
        <v>54</v>
      </c>
      <c r="I15" s="66" t="str">
        <f>'Necesidades Trimestrales'!F13</f>
        <v>CAJA</v>
      </c>
      <c r="J15" s="64">
        <f>'Necesidades Trimestrales'!H13</f>
        <v>12110</v>
      </c>
      <c r="K15" s="63">
        <f>'Necesidades Trimestrales'!G13</f>
        <v>3</v>
      </c>
    </row>
    <row r="16" spans="1:11" ht="27.75" customHeight="1">
      <c r="A16" s="61">
        <v>5</v>
      </c>
      <c r="B16" s="62"/>
      <c r="C16" s="145" t="str">
        <f>'Necesidades Trimestrales'!E14</f>
        <v>CUBRE OBJETOS 18 X 18 X 100 UNID.</v>
      </c>
      <c r="D16" s="145"/>
      <c r="E16" s="145"/>
      <c r="F16" s="145"/>
      <c r="G16" s="145"/>
      <c r="H16" s="65" t="s">
        <v>54</v>
      </c>
      <c r="I16" s="66" t="str">
        <f>'Necesidades Trimestrales'!F14</f>
        <v>CAJA</v>
      </c>
      <c r="J16" s="64">
        <f>'Necesidades Trimestrales'!H14</f>
        <v>183</v>
      </c>
      <c r="K16" s="63">
        <f>'Necesidades Trimestrales'!G14</f>
        <v>50</v>
      </c>
    </row>
    <row r="17" spans="1:11" ht="27.75" customHeight="1">
      <c r="A17" s="61">
        <v>6</v>
      </c>
      <c r="B17" s="62"/>
      <c r="C17" s="145" t="str">
        <f>'Necesidades Trimestrales'!E15</f>
        <v>Etiquetados zebra + 10 rollos (impresora optimi)</v>
      </c>
      <c r="D17" s="145"/>
      <c r="E17" s="145"/>
      <c r="F17" s="145"/>
      <c r="G17" s="145"/>
      <c r="H17" s="73" t="s">
        <v>54</v>
      </c>
      <c r="I17" s="66" t="str">
        <f>'Necesidades Trimestrales'!F15</f>
        <v>caja</v>
      </c>
      <c r="J17" s="64">
        <f>'Necesidades Trimestrales'!H15</f>
        <v>33794</v>
      </c>
      <c r="K17" s="63">
        <f>'Necesidades Trimestrales'!G15</f>
        <v>1</v>
      </c>
    </row>
    <row r="18" spans="1:11" ht="27.75" customHeight="1">
      <c r="A18" s="61">
        <v>7</v>
      </c>
      <c r="B18" s="79"/>
      <c r="C18" s="145" t="str">
        <f>'Necesidades Trimestrales'!E16</f>
        <v>GRADILLA DE PLASTICO PARA TUBOS CONICOS DE 10 a 15 mL</v>
      </c>
      <c r="D18" s="145"/>
      <c r="E18" s="145"/>
      <c r="F18" s="145"/>
      <c r="G18" s="145"/>
      <c r="H18" s="73" t="s">
        <v>54</v>
      </c>
      <c r="I18" s="66" t="str">
        <f>'Necesidades Trimestrales'!F16</f>
        <v>UNIDAD</v>
      </c>
      <c r="J18" s="64">
        <f>'Necesidades Trimestrales'!H16</f>
        <v>2659</v>
      </c>
      <c r="K18" s="63">
        <f>'Necesidades Trimestrales'!G16</f>
        <v>3</v>
      </c>
    </row>
    <row r="19" spans="1:11" ht="27.75" customHeight="1">
      <c r="A19" s="61">
        <v>8</v>
      </c>
      <c r="B19" s="79"/>
      <c r="C19" s="145" t="str">
        <f>'Necesidades Trimestrales'!E17</f>
        <v xml:space="preserve">hisopos con medio transporte STUART </v>
      </c>
      <c r="D19" s="145"/>
      <c r="E19" s="145"/>
      <c r="F19" s="145"/>
      <c r="G19" s="145"/>
      <c r="H19" s="73" t="s">
        <v>54</v>
      </c>
      <c r="I19" s="66" t="str">
        <f>'Necesidades Trimestrales'!F17</f>
        <v>UNIDAD</v>
      </c>
      <c r="J19" s="64">
        <f>'Necesidades Trimestrales'!H17</f>
        <v>84</v>
      </c>
      <c r="K19" s="63">
        <f>'Necesidades Trimestrales'!G17</f>
        <v>500</v>
      </c>
    </row>
    <row r="20" spans="1:11" ht="27.75" customHeight="1">
      <c r="A20" s="61">
        <v>9</v>
      </c>
      <c r="B20" s="79"/>
      <c r="C20" s="145" t="str">
        <f>'Necesidades Trimestrales'!E18</f>
        <v xml:space="preserve">hisopos esteriles de DACRON 15 cm. con tubo individual </v>
      </c>
      <c r="D20" s="145"/>
      <c r="E20" s="145"/>
      <c r="F20" s="145"/>
      <c r="G20" s="145"/>
      <c r="H20" s="73" t="s">
        <v>54</v>
      </c>
      <c r="I20" s="66" t="str">
        <f>'Necesidades Trimestrales'!F18</f>
        <v>unidad</v>
      </c>
      <c r="J20" s="64">
        <f>'Necesidades Trimestrales'!H18</f>
        <v>45</v>
      </c>
      <c r="K20" s="63">
        <f>'Necesidades Trimestrales'!G18</f>
        <v>100</v>
      </c>
    </row>
    <row r="21" spans="1:11" ht="27.75" customHeight="1">
      <c r="A21" s="61">
        <v>10</v>
      </c>
      <c r="B21" s="79"/>
      <c r="C21" s="145" t="str">
        <f>'Necesidades Trimestrales'!E19</f>
        <v xml:space="preserve">HISOPOS DE MADERA BOLSA X 100 UNIDADES </v>
      </c>
      <c r="D21" s="145"/>
      <c r="E21" s="145"/>
      <c r="F21" s="145"/>
      <c r="G21" s="145"/>
      <c r="H21" s="73" t="s">
        <v>54</v>
      </c>
      <c r="I21" s="66" t="str">
        <f>'Necesidades Trimestrales'!F19</f>
        <v>bolsa</v>
      </c>
      <c r="J21" s="64">
        <f>'Necesidades Trimestrales'!H19</f>
        <v>177</v>
      </c>
      <c r="K21" s="63">
        <f>'Necesidades Trimestrales'!G19</f>
        <v>30</v>
      </c>
    </row>
    <row r="22" spans="1:11" ht="27.75" customHeight="1">
      <c r="A22" s="61">
        <v>11</v>
      </c>
      <c r="B22" s="79"/>
      <c r="C22" s="145" t="str">
        <f>'Necesidades Trimestrales'!E20</f>
        <v>kit de tuberias repuesto diestro 103,103+</v>
      </c>
      <c r="D22" s="145"/>
      <c r="E22" s="145"/>
      <c r="F22" s="145"/>
      <c r="G22" s="145"/>
      <c r="H22" s="73" t="s">
        <v>54</v>
      </c>
      <c r="I22" s="66" t="str">
        <f>'Necesidades Trimestrales'!F20</f>
        <v>unidad</v>
      </c>
      <c r="J22" s="64">
        <f>'Necesidades Trimestrales'!H20</f>
        <v>15405</v>
      </c>
      <c r="K22" s="63">
        <f>'Necesidades Trimestrales'!G20</f>
        <v>1</v>
      </c>
    </row>
    <row r="23" spans="1:11" ht="27.75" customHeight="1">
      <c r="A23" s="61">
        <v>12</v>
      </c>
      <c r="B23" s="79"/>
      <c r="C23" s="145" t="str">
        <f>'Necesidades Trimestrales'!E21</f>
        <v>LAMPARA HALOGENA P/ROCHE C311</v>
      </c>
      <c r="D23" s="145"/>
      <c r="E23" s="145"/>
      <c r="F23" s="145"/>
      <c r="G23" s="145"/>
      <c r="H23" s="73" t="s">
        <v>54</v>
      </c>
      <c r="I23" s="66" t="str">
        <f>'Necesidades Trimestrales'!F21</f>
        <v>unidad</v>
      </c>
      <c r="J23" s="64">
        <f>'Necesidades Trimestrales'!H21</f>
        <v>78467</v>
      </c>
      <c r="K23" s="63">
        <f>'Necesidades Trimestrales'!G21</f>
        <v>2</v>
      </c>
    </row>
    <row r="24" spans="1:11" ht="27.75" customHeight="1">
      <c r="A24" s="61">
        <v>13</v>
      </c>
      <c r="B24" s="79"/>
      <c r="C24" s="145" t="str">
        <f>'Necesidades Trimestrales'!E22</f>
        <v>micropipeta de volumen regulable 50-200 ul</v>
      </c>
      <c r="D24" s="145"/>
      <c r="E24" s="145"/>
      <c r="F24" s="145"/>
      <c r="G24" s="145"/>
      <c r="H24" s="73" t="s">
        <v>54</v>
      </c>
      <c r="I24" s="66" t="str">
        <f>'Necesidades Trimestrales'!F22</f>
        <v>unidad</v>
      </c>
      <c r="J24" s="64">
        <f>'Necesidades Trimestrales'!H22</f>
        <v>16516</v>
      </c>
      <c r="K24" s="63">
        <f>'Necesidades Trimestrales'!G22</f>
        <v>5</v>
      </c>
    </row>
    <row r="25" spans="1:11" ht="27.75" customHeight="1">
      <c r="A25" s="61">
        <v>14</v>
      </c>
      <c r="B25" s="79"/>
      <c r="C25" s="145" t="str">
        <f>'Necesidades Trimestrales'!E23</f>
        <v>micropipeta de volumen regulable 5-50 ul</v>
      </c>
      <c r="D25" s="145"/>
      <c r="E25" s="145"/>
      <c r="F25" s="145"/>
      <c r="G25" s="145"/>
      <c r="H25" s="73" t="s">
        <v>54</v>
      </c>
      <c r="I25" s="66" t="str">
        <f>'Necesidades Trimestrales'!F23</f>
        <v>unidad</v>
      </c>
      <c r="J25" s="64">
        <f>'Necesidades Trimestrales'!H23</f>
        <v>16516</v>
      </c>
      <c r="K25" s="63">
        <f>'Necesidades Trimestrales'!G23</f>
        <v>5</v>
      </c>
    </row>
    <row r="26" spans="1:11" ht="27.75" customHeight="1">
      <c r="A26" s="61">
        <v>15</v>
      </c>
      <c r="B26" s="79"/>
      <c r="C26" s="145" t="str">
        <f>'Necesidades Trimestrales'!E24</f>
        <v>PIPETA PASTEUR Esteril Individual Graduada  x 3 ml - VITIS</v>
      </c>
      <c r="D26" s="145"/>
      <c r="E26" s="145"/>
      <c r="F26" s="145"/>
      <c r="G26" s="145"/>
      <c r="H26" s="73" t="s">
        <v>54</v>
      </c>
      <c r="I26" s="66" t="str">
        <f>'Necesidades Trimestrales'!F24</f>
        <v>UNIDAD</v>
      </c>
      <c r="J26" s="64">
        <f>'Necesidades Trimestrales'!H24</f>
        <v>19</v>
      </c>
      <c r="K26" s="63">
        <f>'Necesidades Trimestrales'!G24</f>
        <v>1000</v>
      </c>
    </row>
    <row r="27" spans="1:11" ht="27.75" customHeight="1">
      <c r="A27" s="61">
        <v>16</v>
      </c>
      <c r="B27" s="79"/>
      <c r="C27" s="145" t="str">
        <f>'Necesidades Trimestrales'!E25</f>
        <v>PIPETAS DE VIDRIO DE 1 mL/2ml/5ml/10ml 4 de cada una</v>
      </c>
      <c r="D27" s="145"/>
      <c r="E27" s="145"/>
      <c r="F27" s="145"/>
      <c r="G27" s="145"/>
      <c r="H27" s="73" t="s">
        <v>54</v>
      </c>
      <c r="I27" s="66" t="str">
        <f>'Necesidades Trimestrales'!F25</f>
        <v>UNIDAD</v>
      </c>
      <c r="J27" s="64">
        <f>'Necesidades Trimestrales'!H25</f>
        <v>623</v>
      </c>
      <c r="K27" s="63">
        <f>'Necesidades Trimestrales'!G25</f>
        <v>16</v>
      </c>
    </row>
    <row r="28" spans="1:11" ht="27.75" customHeight="1">
      <c r="A28" s="61">
        <v>17</v>
      </c>
      <c r="B28" s="79"/>
      <c r="C28" s="145" t="str">
        <f>'Necesidades Trimestrales'!E26</f>
        <v>Placas de Petri descartables de 55mm x 14 mmm. X 15u o alternativa</v>
      </c>
      <c r="D28" s="145"/>
      <c r="E28" s="145"/>
      <c r="F28" s="145"/>
      <c r="G28" s="145"/>
      <c r="H28" s="73" t="s">
        <v>54</v>
      </c>
      <c r="I28" s="66" t="str">
        <f>'Necesidades Trimestrales'!F26</f>
        <v>bolsa</v>
      </c>
      <c r="J28" s="64">
        <f>'Necesidades Trimestrales'!H26</f>
        <v>452</v>
      </c>
      <c r="K28" s="63">
        <f>'Necesidades Trimestrales'!G26</f>
        <v>50</v>
      </c>
    </row>
    <row r="29" spans="1:11" ht="27.75" customHeight="1">
      <c r="A29" s="61">
        <v>18</v>
      </c>
      <c r="B29" s="79"/>
      <c r="C29" s="145" t="str">
        <f>'Necesidades Trimestrales'!E27</f>
        <v>Placas de Petri descartables de 90mm x 14 mmm. X 20 u o alternativa</v>
      </c>
      <c r="D29" s="145"/>
      <c r="E29" s="145"/>
      <c r="F29" s="145"/>
      <c r="G29" s="145"/>
      <c r="H29" s="87" t="s">
        <v>54</v>
      </c>
      <c r="I29" s="66" t="str">
        <f>'Necesidades Trimestrales'!F27</f>
        <v>bolsa</v>
      </c>
      <c r="J29" s="64">
        <f>'Necesidades Trimestrales'!H27</f>
        <v>543</v>
      </c>
      <c r="K29" s="63">
        <f>'Necesidades Trimestrales'!G27</f>
        <v>50</v>
      </c>
    </row>
    <row r="30" spans="1:11" ht="27.75" customHeight="1">
      <c r="A30" s="61">
        <v>19</v>
      </c>
      <c r="B30" s="62"/>
      <c r="C30" s="145" t="str">
        <f>'Necesidades Trimestrales'!E28</f>
        <v>portaobjetos impresos con tinta vitrificable por 12 areas x 50 unid.</v>
      </c>
      <c r="D30" s="145"/>
      <c r="E30" s="145"/>
      <c r="F30" s="145"/>
      <c r="G30" s="145"/>
      <c r="H30" s="65" t="s">
        <v>54</v>
      </c>
      <c r="I30" s="66" t="str">
        <f>'Necesidades Trimestrales'!F28</f>
        <v>CAJA</v>
      </c>
      <c r="J30" s="64">
        <f>'Necesidades Trimestrales'!H28</f>
        <v>850</v>
      </c>
      <c r="K30" s="63">
        <f>'Necesidades Trimestrales'!G28</f>
        <v>3</v>
      </c>
    </row>
    <row r="31" spans="1:11" ht="27.75" customHeight="1">
      <c r="A31" s="61">
        <v>20</v>
      </c>
      <c r="B31" s="62"/>
      <c r="C31" s="145" t="str">
        <f>'Necesidades Trimestrales'!E29</f>
        <v>portaobjetos vidrio 25,4 x 76,2 mm x 50 unid</v>
      </c>
      <c r="D31" s="145"/>
      <c r="E31" s="145"/>
      <c r="F31" s="145"/>
      <c r="G31" s="145"/>
      <c r="H31" s="65" t="s">
        <v>54</v>
      </c>
      <c r="I31" s="66" t="str">
        <f>'Necesidades Trimestrales'!F29</f>
        <v>caja</v>
      </c>
      <c r="J31" s="64">
        <f>'Necesidades Trimestrales'!H29</f>
        <v>182</v>
      </c>
      <c r="K31" s="63">
        <f>'Necesidades Trimestrales'!G29</f>
        <v>10</v>
      </c>
    </row>
    <row r="32" spans="1:11" ht="27.75" customHeight="1">
      <c r="A32" s="61">
        <v>21</v>
      </c>
      <c r="B32" s="62"/>
      <c r="C32" s="145" t="str">
        <f>'Necesidades Trimestrales'!E30</f>
        <v>PROBETA de 1000 ml de vidrio</v>
      </c>
      <c r="D32" s="145"/>
      <c r="E32" s="145"/>
      <c r="F32" s="145"/>
      <c r="G32" s="145"/>
      <c r="H32" s="65" t="s">
        <v>54</v>
      </c>
      <c r="I32" s="66" t="str">
        <f>'Necesidades Trimestrales'!F30</f>
        <v>UNIDADES</v>
      </c>
      <c r="J32" s="64">
        <f>'Necesidades Trimestrales'!H30</f>
        <v>16520</v>
      </c>
      <c r="K32" s="63">
        <f>'Necesidades Trimestrales'!G30</f>
        <v>1</v>
      </c>
    </row>
    <row r="33" spans="1:14" ht="27.75" customHeight="1">
      <c r="A33" s="61">
        <v>22</v>
      </c>
      <c r="B33" s="62"/>
      <c r="C33" s="145" t="str">
        <f>'Necesidades Trimestrales'!E31</f>
        <v>timer digital 5 alarmas o alternativa</v>
      </c>
      <c r="D33" s="145"/>
      <c r="E33" s="145"/>
      <c r="F33" s="145"/>
      <c r="G33" s="145"/>
      <c r="H33" s="65" t="s">
        <v>54</v>
      </c>
      <c r="I33" s="66" t="str">
        <f>'Necesidades Trimestrales'!F31</f>
        <v>unidad</v>
      </c>
      <c r="J33" s="64">
        <f>'Necesidades Trimestrales'!H31</f>
        <v>1644</v>
      </c>
      <c r="K33" s="63">
        <f>'Necesidades Trimestrales'!G31</f>
        <v>8</v>
      </c>
    </row>
    <row r="34" spans="1:14" ht="27.75" customHeight="1">
      <c r="A34" s="61">
        <v>23</v>
      </c>
      <c r="B34" s="88"/>
      <c r="C34" s="145" t="str">
        <f>'Necesidades Trimestrales'!E32</f>
        <v>TIP AMARILLO 5ul -200 ul - SIN CORONA. X 1000u</v>
      </c>
      <c r="D34" s="145"/>
      <c r="E34" s="145"/>
      <c r="F34" s="145"/>
      <c r="G34" s="145"/>
      <c r="H34" s="73" t="s">
        <v>54</v>
      </c>
      <c r="I34" s="66" t="str">
        <f>'Necesidades Trimestrales'!F32</f>
        <v>bolsa</v>
      </c>
      <c r="J34" s="64">
        <f>'Necesidades Trimestrales'!H32</f>
        <v>1353</v>
      </c>
      <c r="K34" s="63">
        <f>'Necesidades Trimestrales'!G32</f>
        <v>4</v>
      </c>
    </row>
    <row r="35" spans="1:14" ht="27.75" customHeight="1">
      <c r="A35" s="61">
        <v>24</v>
      </c>
      <c r="B35" s="62"/>
      <c r="C35" s="145" t="str">
        <f>'Necesidades Trimestrales'!E33</f>
        <v>TIP BLANCO GRADUADO 0.1 - 10 ul - CON CORONA. X 1000u</v>
      </c>
      <c r="D35" s="145"/>
      <c r="E35" s="145"/>
      <c r="F35" s="145"/>
      <c r="G35" s="145"/>
      <c r="H35" s="65" t="s">
        <v>54</v>
      </c>
      <c r="I35" s="66" t="str">
        <f>'Necesidades Trimestrales'!F33</f>
        <v>bolsa</v>
      </c>
      <c r="J35" s="64">
        <f>'Necesidades Trimestrales'!H33</f>
        <v>9559</v>
      </c>
      <c r="K35" s="63">
        <f>'Necesidades Trimestrales'!G33</f>
        <v>1</v>
      </c>
    </row>
    <row r="36" spans="1:14" ht="27.75" customHeight="1">
      <c r="A36" s="61">
        <v>25</v>
      </c>
      <c r="B36" s="79"/>
      <c r="C36" s="145" t="str">
        <f>'Necesidades Trimestrales'!E34</f>
        <v>Tips amarillos 5-200 ml ul con corona tipo Deltalab BOLSA X 1000</v>
      </c>
      <c r="D36" s="145"/>
      <c r="E36" s="145"/>
      <c r="F36" s="145"/>
      <c r="G36" s="145"/>
      <c r="H36" s="87" t="s">
        <v>54</v>
      </c>
      <c r="I36" s="66" t="str">
        <f>'Necesidades Trimestrales'!F34</f>
        <v>bolsa</v>
      </c>
      <c r="J36" s="64">
        <f>'Necesidades Trimestrales'!H34</f>
        <v>1285</v>
      </c>
      <c r="K36" s="63">
        <f>'Necesidades Trimestrales'!G34</f>
        <v>7</v>
      </c>
    </row>
    <row r="37" spans="1:14" ht="27.75" customHeight="1">
      <c r="A37" s="61">
        <v>26</v>
      </c>
      <c r="B37" s="62"/>
      <c r="C37" s="145" t="str">
        <f>'Necesidades Trimestrales'!E35</f>
        <v>Tips azules sin corona de 5ul - 1000 ul</v>
      </c>
      <c r="D37" s="145"/>
      <c r="E37" s="145"/>
      <c r="F37" s="145"/>
      <c r="G37" s="145"/>
      <c r="H37" s="65" t="s">
        <v>54</v>
      </c>
      <c r="I37" s="66" t="str">
        <f>'Necesidades Trimestrales'!F35</f>
        <v>unidad</v>
      </c>
      <c r="J37" s="64">
        <f>'Necesidades Trimestrales'!H35</f>
        <v>4.18</v>
      </c>
      <c r="K37" s="63">
        <f>'Necesidades Trimestrales'!G35</f>
        <v>2000</v>
      </c>
    </row>
    <row r="38" spans="1:14" ht="27.75" customHeight="1">
      <c r="A38" s="61">
        <v>27</v>
      </c>
      <c r="B38" s="62"/>
      <c r="C38" s="145" t="str">
        <f>'Necesidades Trimestrales'!E36</f>
        <v xml:space="preserve">tips sin corona 5 ul - 50 ul </v>
      </c>
      <c r="D38" s="145"/>
      <c r="E38" s="145"/>
      <c r="F38" s="145"/>
      <c r="G38" s="145"/>
      <c r="H38" s="65" t="s">
        <v>54</v>
      </c>
      <c r="I38" s="66" t="str">
        <f>'Necesidades Trimestrales'!F36</f>
        <v>bolsa</v>
      </c>
      <c r="J38" s="64">
        <f>'Necesidades Trimestrales'!H36</f>
        <v>3220</v>
      </c>
      <c r="K38" s="63">
        <f>'Necesidades Trimestrales'!G36</f>
        <v>5</v>
      </c>
    </row>
    <row r="39" spans="1:14" ht="27.75" customHeight="1">
      <c r="A39" s="61">
        <v>28</v>
      </c>
      <c r="B39" s="62"/>
      <c r="C39" s="145" t="str">
        <f>'Necesidades Trimestrales'!E37</f>
        <v>tuberia p/bomba peristaltica Diestro</v>
      </c>
      <c r="D39" s="145"/>
      <c r="E39" s="145"/>
      <c r="F39" s="145"/>
      <c r="G39" s="145"/>
      <c r="H39" s="65" t="s">
        <v>54</v>
      </c>
      <c r="I39" s="66" t="str">
        <f>'Necesidades Trimestrales'!F37</f>
        <v>UNIDAD</v>
      </c>
      <c r="J39" s="64">
        <f>'Necesidades Trimestrales'!H37</f>
        <v>7388</v>
      </c>
      <c r="K39" s="63">
        <f>'Necesidades Trimestrales'!G37</f>
        <v>1</v>
      </c>
    </row>
    <row r="40" spans="1:14" ht="27.75" customHeight="1">
      <c r="A40" s="61">
        <v>29</v>
      </c>
      <c r="B40" s="62"/>
      <c r="C40" s="145" t="str">
        <f>'Necesidades Trimestrales'!E38</f>
        <v>TUBO CONICO PP GRADUADO CON TAPA (Envase Individual) - 15 ML - VITIS</v>
      </c>
      <c r="D40" s="145"/>
      <c r="E40" s="145"/>
      <c r="F40" s="145"/>
      <c r="G40" s="145"/>
      <c r="H40" s="65" t="s">
        <v>54</v>
      </c>
      <c r="I40" s="66" t="str">
        <f>'Necesidades Trimestrales'!F38</f>
        <v>UNIDAD</v>
      </c>
      <c r="J40" s="64">
        <f>'Necesidades Trimestrales'!H38</f>
        <v>30</v>
      </c>
      <c r="K40" s="63">
        <f>'Necesidades Trimestrales'!G38</f>
        <v>500</v>
      </c>
    </row>
    <row r="41" spans="1:14" ht="27.75" customHeight="1">
      <c r="A41" s="61">
        <v>30</v>
      </c>
      <c r="B41" s="62"/>
      <c r="C41" s="145" t="str">
        <f>'Necesidades Trimestrales'!E39</f>
        <v>TUBOS DE VIDRIO DE KAHN</v>
      </c>
      <c r="D41" s="145"/>
      <c r="E41" s="145"/>
      <c r="F41" s="145"/>
      <c r="G41" s="145"/>
      <c r="H41" s="65" t="s">
        <v>54</v>
      </c>
      <c r="I41" s="66" t="str">
        <f>'Necesidades Trimestrales'!F39</f>
        <v>UNIDAD</v>
      </c>
      <c r="J41" s="64">
        <f>'Necesidades Trimestrales'!H39</f>
        <v>18.399999999999999</v>
      </c>
      <c r="K41" s="63">
        <f>'Necesidades Trimestrales'!G39</f>
        <v>1000</v>
      </c>
    </row>
    <row r="42" spans="1:14" ht="27.75" customHeight="1">
      <c r="A42" s="61">
        <v>31</v>
      </c>
      <c r="B42" s="79"/>
      <c r="C42" s="145" t="str">
        <f>'Necesidades Trimestrales'!E40</f>
        <v>Tubos de vidrio fondo 16x100 mm, en U por 10 ml con rosca</v>
      </c>
      <c r="D42" s="145"/>
      <c r="E42" s="145"/>
      <c r="F42" s="145"/>
      <c r="G42" s="145"/>
      <c r="H42" s="65" t="s">
        <v>54</v>
      </c>
      <c r="I42" s="66" t="str">
        <f>'Necesidades Trimestrales'!F40</f>
        <v>FRASCO</v>
      </c>
      <c r="J42" s="64">
        <f>'Necesidades Trimestrales'!H40</f>
        <v>4524</v>
      </c>
      <c r="K42" s="63">
        <f>'Necesidades Trimestrales'!G40</f>
        <v>1</v>
      </c>
    </row>
    <row r="43" spans="1:14" ht="27.75" customHeight="1">
      <c r="A43" s="61">
        <v>32</v>
      </c>
      <c r="B43" s="62"/>
      <c r="C43" s="145" t="str">
        <f>'Necesidades Trimestrales'!E41</f>
        <v xml:space="preserve">tubos ependorf  0.5ml- 1.5 ml </v>
      </c>
      <c r="D43" s="145"/>
      <c r="E43" s="145"/>
      <c r="F43" s="145"/>
      <c r="G43" s="145"/>
      <c r="H43" s="65" t="s">
        <v>54</v>
      </c>
      <c r="I43" s="66" t="str">
        <f>'Necesidades Trimestrales'!F41</f>
        <v>bolsa</v>
      </c>
      <c r="J43" s="64">
        <f>'Necesidades Trimestrales'!H41</f>
        <v>2682</v>
      </c>
      <c r="K43" s="63">
        <f>'Necesidades Trimestrales'!G41</f>
        <v>3</v>
      </c>
    </row>
    <row r="44" spans="1:14" ht="27.75" customHeight="1" thickBot="1">
      <c r="A44" s="61">
        <v>33</v>
      </c>
      <c r="B44" s="126"/>
      <c r="C44" s="145" t="str">
        <f>'Necesidades Trimestrales'!E42</f>
        <v>tubos hemolisis vidrio 12mm x 100mm</v>
      </c>
      <c r="D44" s="145"/>
      <c r="E44" s="145"/>
      <c r="F44" s="145"/>
      <c r="G44" s="145"/>
      <c r="H44" s="111" t="s">
        <v>54</v>
      </c>
      <c r="I44" s="66" t="str">
        <f>'Necesidades Trimestrales'!F42</f>
        <v>unidad</v>
      </c>
      <c r="J44" s="64">
        <f>'Necesidades Trimestrales'!H42</f>
        <v>25.4</v>
      </c>
      <c r="K44" s="63">
        <f>'Necesidades Trimestrales'!G42</f>
        <v>500</v>
      </c>
    </row>
    <row r="45" spans="1:14" ht="20.25" customHeight="1" thickBot="1">
      <c r="A45" s="148" t="s">
        <v>107</v>
      </c>
      <c r="B45" s="148"/>
      <c r="C45" s="148"/>
      <c r="D45" s="148"/>
      <c r="E45" s="148"/>
      <c r="F45" s="148"/>
      <c r="G45" s="148"/>
      <c r="H45" s="148"/>
      <c r="I45" s="148"/>
      <c r="J45" s="155">
        <f>SUMPRODUCT(J12:J44,K12:K44)</f>
        <v>782412</v>
      </c>
      <c r="K45" s="155"/>
      <c r="N45" s="49"/>
    </row>
  </sheetData>
  <mergeCells count="55">
    <mergeCell ref="C42:G42"/>
    <mergeCell ref="C37:G37"/>
    <mergeCell ref="C38:G38"/>
    <mergeCell ref="C39:G39"/>
    <mergeCell ref="C40:G40"/>
    <mergeCell ref="C41:G41"/>
    <mergeCell ref="C30:G30"/>
    <mergeCell ref="C34:G34"/>
    <mergeCell ref="C35:G35"/>
    <mergeCell ref="C36:G36"/>
    <mergeCell ref="C31:G31"/>
    <mergeCell ref="C32:G32"/>
    <mergeCell ref="C33:G33"/>
    <mergeCell ref="C24:G24"/>
    <mergeCell ref="C25:G25"/>
    <mergeCell ref="C26:G26"/>
    <mergeCell ref="C27:G27"/>
    <mergeCell ref="C28:G28"/>
    <mergeCell ref="A8:C8"/>
    <mergeCell ref="A45:I45"/>
    <mergeCell ref="J45:K45"/>
    <mergeCell ref="C12:G12"/>
    <mergeCell ref="C13:G13"/>
    <mergeCell ref="C14:G14"/>
    <mergeCell ref="C15:G15"/>
    <mergeCell ref="C16:G16"/>
    <mergeCell ref="C17:G17"/>
    <mergeCell ref="C29:G29"/>
    <mergeCell ref="C18:G18"/>
    <mergeCell ref="C19:G19"/>
    <mergeCell ref="C20:G20"/>
    <mergeCell ref="C21:G21"/>
    <mergeCell ref="C22:G22"/>
    <mergeCell ref="C23:G23"/>
    <mergeCell ref="C10:G11"/>
    <mergeCell ref="H10:H11"/>
    <mergeCell ref="I10:I11"/>
    <mergeCell ref="J10:J11"/>
    <mergeCell ref="K10:K11"/>
    <mergeCell ref="C43:G43"/>
    <mergeCell ref="C44:G44"/>
    <mergeCell ref="A1:I1"/>
    <mergeCell ref="A6:C6"/>
    <mergeCell ref="D6:K6"/>
    <mergeCell ref="A7:C7"/>
    <mergeCell ref="D7:K7"/>
    <mergeCell ref="A3:C3"/>
    <mergeCell ref="D3:K3"/>
    <mergeCell ref="A4:C4"/>
    <mergeCell ref="D4:K4"/>
    <mergeCell ref="A5:C5"/>
    <mergeCell ref="D5:K5"/>
    <mergeCell ref="D8:K8"/>
    <mergeCell ref="A10:A11"/>
    <mergeCell ref="B10:B11"/>
  </mergeCells>
  <printOptions horizontalCentered="1"/>
  <pageMargins left="0.19685039370078741" right="0.19685039370078741" top="0.19685039370078741" bottom="0.19685039370078741" header="0" footer="0"/>
  <pageSetup paperSize="5" scale="80" firstPageNumber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25"/>
  <sheetViews>
    <sheetView tabSelected="1" topLeftCell="A16" zoomScale="130" zoomScaleNormal="130" workbookViewId="0">
      <selection activeCell="P39" sqref="P39"/>
    </sheetView>
  </sheetViews>
  <sheetFormatPr baseColWidth="10" defaultColWidth="11" defaultRowHeight="12.75"/>
  <cols>
    <col min="1" max="5" width="4.42578125" customWidth="1"/>
    <col min="6" max="6" width="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</cols>
  <sheetData>
    <row r="1" spans="1:17" ht="15.75" customHeight="1">
      <c r="A1" s="157" t="s">
        <v>3</v>
      </c>
      <c r="B1" s="157"/>
      <c r="C1" s="157"/>
      <c r="D1" s="158">
        <f>'Necesidades Trimestrales'!C6</f>
        <v>2022</v>
      </c>
      <c r="E1" s="158"/>
      <c r="F1" s="3"/>
      <c r="G1" s="3"/>
      <c r="H1" s="4"/>
      <c r="I1" s="4"/>
      <c r="J1" s="4"/>
      <c r="K1" s="4"/>
      <c r="L1" s="4"/>
      <c r="M1" s="4"/>
      <c r="N1" s="4"/>
      <c r="P1" s="159" t="s">
        <v>25</v>
      </c>
      <c r="Q1" s="159"/>
    </row>
    <row r="2" spans="1:17" ht="15.75" customHeight="1">
      <c r="H2" s="4"/>
      <c r="I2" s="4"/>
      <c r="J2" s="4"/>
      <c r="K2" s="4"/>
      <c r="L2" s="4"/>
      <c r="M2" s="4"/>
      <c r="N2" s="4"/>
      <c r="P2" s="159"/>
      <c r="Q2" s="159"/>
    </row>
    <row r="4" spans="1:17" s="5" customFormat="1" ht="18" customHeight="1" thickBot="1">
      <c r="A4" s="160" t="s">
        <v>26</v>
      </c>
      <c r="B4" s="160"/>
      <c r="C4" s="160"/>
      <c r="D4" s="160"/>
      <c r="E4" s="160"/>
      <c r="F4" s="160"/>
      <c r="G4" s="161" t="str">
        <f>' NotaPedido'!D3</f>
        <v>040 - Ministerio de Salud</v>
      </c>
      <c r="H4" s="161"/>
      <c r="I4" s="161"/>
      <c r="J4" s="161"/>
      <c r="K4" s="161"/>
      <c r="L4" s="161"/>
      <c r="M4" s="161"/>
      <c r="N4" s="161"/>
      <c r="O4" s="161"/>
      <c r="P4" s="161"/>
      <c r="Q4" s="161"/>
    </row>
    <row r="5" spans="1:17" s="5" customFormat="1" ht="18" customHeight="1" thickBot="1">
      <c r="A5" s="162" t="s">
        <v>49</v>
      </c>
      <c r="B5" s="163"/>
      <c r="C5" s="163"/>
      <c r="D5" s="163"/>
      <c r="E5" s="163"/>
      <c r="F5" s="164"/>
      <c r="G5" s="161" t="str">
        <f>' NotaPedido'!D4</f>
        <v>024 - Hospital Interzonal de Niños</v>
      </c>
      <c r="H5" s="161"/>
      <c r="I5" s="161"/>
      <c r="J5" s="161"/>
      <c r="K5" s="161"/>
      <c r="L5" s="161"/>
      <c r="M5" s="161"/>
      <c r="N5" s="161"/>
      <c r="O5" s="161"/>
      <c r="P5" s="161"/>
      <c r="Q5" s="161"/>
    </row>
    <row r="6" spans="1:17" s="5" customFormat="1" ht="18" customHeight="1" thickBot="1">
      <c r="A6" s="162" t="s">
        <v>27</v>
      </c>
      <c r="B6" s="163"/>
      <c r="C6" s="163"/>
      <c r="D6" s="163"/>
      <c r="E6" s="163"/>
      <c r="F6" s="164"/>
      <c r="G6" s="161" t="str">
        <f>' NotaPedido'!D5</f>
        <v>024 - Hospital Interzonal de Niños</v>
      </c>
      <c r="H6" s="161"/>
      <c r="I6" s="161"/>
      <c r="J6" s="161"/>
      <c r="K6" s="161"/>
      <c r="L6" s="161"/>
      <c r="M6" s="161"/>
      <c r="N6" s="161"/>
      <c r="O6" s="161"/>
      <c r="P6" s="161"/>
      <c r="Q6" s="161"/>
    </row>
    <row r="7" spans="1:17" s="5" customFormat="1" ht="18" customHeight="1" thickBot="1">
      <c r="A7" s="162" t="s">
        <v>50</v>
      </c>
      <c r="B7" s="163"/>
      <c r="C7" s="163"/>
      <c r="D7" s="163"/>
      <c r="E7" s="163"/>
      <c r="F7" s="164"/>
      <c r="G7" s="161" t="s">
        <v>58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</row>
    <row r="8" spans="1:17" ht="18" customHeight="1" thickBot="1">
      <c r="A8" s="165" t="s">
        <v>28</v>
      </c>
      <c r="B8" s="165"/>
      <c r="C8" s="165"/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165"/>
    </row>
    <row r="9" spans="1:17" ht="18" customHeight="1">
      <c r="A9" s="166" t="s">
        <v>29</v>
      </c>
      <c r="B9" s="166"/>
      <c r="C9" s="166"/>
      <c r="D9" s="166"/>
      <c r="E9" s="166"/>
      <c r="F9" s="166"/>
      <c r="G9" s="166"/>
      <c r="H9" s="166"/>
      <c r="I9" s="166"/>
      <c r="J9" s="166"/>
      <c r="K9" s="166"/>
      <c r="L9" s="166"/>
      <c r="M9" s="166"/>
      <c r="N9" s="166"/>
      <c r="O9" s="1"/>
      <c r="P9" s="1"/>
      <c r="Q9" s="6"/>
    </row>
    <row r="10" spans="1:17" ht="54.75" customHeight="1">
      <c r="A10" s="167" t="str">
        <f>"Autorizo la realización de los  trámites correspondientes, a fin de proveer a  este Organismo los bienes y/o servicios que se detallan en Nota  de Pedido N° " &amp; ' NotaPedido'!K1&amp;",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 de Pedido N° 050/2022,  afectando la erogación resultante a los créditos presupuestarios aprobados a favor de esta Unidad Ejecutora, conforme al siguiente detalle:</v>
      </c>
      <c r="B10" s="167"/>
      <c r="C10" s="167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</row>
    <row r="11" spans="1:17" ht="9" customHeight="1">
      <c r="A11" s="7"/>
      <c r="B11" s="8"/>
      <c r="C11" s="8"/>
      <c r="D11" s="8"/>
      <c r="E11" s="8"/>
      <c r="F11" s="8"/>
      <c r="G11" s="9"/>
      <c r="H11" s="8"/>
      <c r="I11" s="8"/>
      <c r="J11" s="8"/>
      <c r="K11" s="8"/>
      <c r="L11" s="8"/>
      <c r="M11" s="8"/>
      <c r="N11" s="8"/>
      <c r="O11" s="8"/>
      <c r="P11" s="8"/>
      <c r="Q11" s="10"/>
    </row>
    <row r="12" spans="1:17" ht="15.75" customHeight="1" thickBot="1">
      <c r="A12" s="168" t="s">
        <v>30</v>
      </c>
      <c r="B12" s="168"/>
      <c r="C12" s="168"/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</row>
    <row r="13" spans="1:17" ht="15.75" customHeight="1" thickBot="1">
      <c r="A13" s="169" t="s">
        <v>31</v>
      </c>
      <c r="B13" s="170"/>
      <c r="C13" s="170"/>
      <c r="D13" s="170"/>
      <c r="E13" s="170"/>
      <c r="F13" s="170"/>
      <c r="G13" s="170"/>
      <c r="H13" s="170"/>
      <c r="I13" s="170"/>
      <c r="J13" s="170"/>
      <c r="K13" s="170"/>
      <c r="L13" s="170"/>
      <c r="M13" s="170"/>
      <c r="N13" s="170"/>
      <c r="O13" s="171" t="s">
        <v>32</v>
      </c>
      <c r="P13" s="172"/>
      <c r="Q13" s="175" t="s">
        <v>33</v>
      </c>
    </row>
    <row r="14" spans="1:17" ht="15.75" customHeight="1" thickBot="1">
      <c r="A14" s="54" t="s">
        <v>34</v>
      </c>
      <c r="B14" s="55" t="s">
        <v>35</v>
      </c>
      <c r="C14" s="55" t="s">
        <v>36</v>
      </c>
      <c r="D14" s="55" t="s">
        <v>37</v>
      </c>
      <c r="E14" s="55" t="s">
        <v>38</v>
      </c>
      <c r="F14" s="55" t="s">
        <v>39</v>
      </c>
      <c r="G14" s="56" t="s">
        <v>40</v>
      </c>
      <c r="H14" s="55" t="s">
        <v>41</v>
      </c>
      <c r="I14" s="55" t="s">
        <v>42</v>
      </c>
      <c r="J14" s="55" t="s">
        <v>43</v>
      </c>
      <c r="K14" s="55" t="s">
        <v>43</v>
      </c>
      <c r="L14" s="55" t="s">
        <v>44</v>
      </c>
      <c r="M14" s="57" t="s">
        <v>45</v>
      </c>
      <c r="N14" s="58" t="s">
        <v>46</v>
      </c>
      <c r="O14" s="173"/>
      <c r="P14" s="174"/>
      <c r="Q14" s="176"/>
    </row>
    <row r="15" spans="1:17" ht="26.25" customHeight="1">
      <c r="A15" s="50">
        <v>36</v>
      </c>
      <c r="B15" s="51"/>
      <c r="C15" s="51"/>
      <c r="D15" s="51">
        <v>1</v>
      </c>
      <c r="E15" s="51"/>
      <c r="F15" s="51">
        <v>4901</v>
      </c>
      <c r="G15" s="51">
        <v>3</v>
      </c>
      <c r="H15" s="51">
        <v>310</v>
      </c>
      <c r="I15" s="51">
        <v>2</v>
      </c>
      <c r="J15" s="51">
        <v>3</v>
      </c>
      <c r="K15" s="51">
        <v>4</v>
      </c>
      <c r="L15" s="51"/>
      <c r="M15" s="52">
        <v>1</v>
      </c>
      <c r="N15" s="53" t="s">
        <v>53</v>
      </c>
      <c r="O15" s="177" t="s">
        <v>67</v>
      </c>
      <c r="P15" s="177"/>
      <c r="Q15" s="59">
        <v>33794</v>
      </c>
    </row>
    <row r="16" spans="1:17" ht="17.25" customHeight="1">
      <c r="A16" s="50">
        <v>36</v>
      </c>
      <c r="B16" s="51"/>
      <c r="C16" s="51"/>
      <c r="D16" s="51">
        <v>1</v>
      </c>
      <c r="E16" s="51"/>
      <c r="F16" s="51">
        <v>4901</v>
      </c>
      <c r="G16" s="51">
        <v>3</v>
      </c>
      <c r="H16" s="51">
        <v>310</v>
      </c>
      <c r="I16" s="51">
        <v>2</v>
      </c>
      <c r="J16" s="51">
        <v>9</v>
      </c>
      <c r="K16" s="51">
        <v>3</v>
      </c>
      <c r="L16" s="51"/>
      <c r="M16" s="52">
        <v>1</v>
      </c>
      <c r="N16" s="53" t="s">
        <v>53</v>
      </c>
      <c r="O16" s="178" t="s">
        <v>68</v>
      </c>
      <c r="P16" s="179"/>
      <c r="Q16" s="15">
        <v>156934</v>
      </c>
    </row>
    <row r="17" spans="1:18" ht="21.75" customHeight="1">
      <c r="A17" s="50">
        <v>36</v>
      </c>
      <c r="B17" s="51"/>
      <c r="C17" s="51"/>
      <c r="D17" s="51">
        <v>1</v>
      </c>
      <c r="E17" s="51"/>
      <c r="F17" s="51">
        <v>4901</v>
      </c>
      <c r="G17" s="51">
        <v>3</v>
      </c>
      <c r="H17" s="51">
        <v>310</v>
      </c>
      <c r="I17" s="51">
        <v>2</v>
      </c>
      <c r="J17" s="51">
        <v>9</v>
      </c>
      <c r="K17" s="51">
        <v>5</v>
      </c>
      <c r="L17" s="51"/>
      <c r="M17" s="52">
        <v>1</v>
      </c>
      <c r="N17" s="53" t="s">
        <v>53</v>
      </c>
      <c r="O17" s="177" t="s">
        <v>62</v>
      </c>
      <c r="P17" s="177"/>
      <c r="Q17" s="15">
        <v>591684</v>
      </c>
    </row>
    <row r="18" spans="1:18" ht="17.25" customHeight="1">
      <c r="A18" s="11"/>
      <c r="B18" s="12"/>
      <c r="C18" s="12"/>
      <c r="D18" s="12"/>
      <c r="E18" s="12"/>
      <c r="F18" s="14"/>
      <c r="G18" s="12"/>
      <c r="H18" s="12"/>
      <c r="I18" s="12"/>
      <c r="J18" s="12"/>
      <c r="K18" s="12"/>
      <c r="L18" s="12"/>
      <c r="M18" s="13"/>
      <c r="N18" s="14"/>
      <c r="O18" s="179"/>
      <c r="P18" s="179"/>
      <c r="Q18" s="15"/>
    </row>
    <row r="19" spans="1:18" ht="17.25" customHeight="1">
      <c r="A19" s="16"/>
      <c r="B19" s="17"/>
      <c r="C19" s="17"/>
      <c r="D19" s="17"/>
      <c r="E19" s="17"/>
      <c r="F19" s="18"/>
      <c r="G19" s="17"/>
      <c r="H19" s="17"/>
      <c r="I19" s="17"/>
      <c r="J19" s="17"/>
      <c r="K19" s="17"/>
      <c r="L19" s="17"/>
      <c r="M19" s="19"/>
      <c r="N19" s="20"/>
      <c r="O19" s="185"/>
      <c r="P19" s="185"/>
      <c r="Q19" s="15"/>
      <c r="R19" s="1"/>
    </row>
    <row r="20" spans="1:18" ht="17.25" customHeight="1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3"/>
      <c r="N20" s="22"/>
      <c r="O20" s="186"/>
      <c r="P20" s="186"/>
      <c r="Q20" s="24"/>
    </row>
    <row r="21" spans="1:18" ht="29.25" customHeight="1">
      <c r="A21" s="187" t="s">
        <v>108</v>
      </c>
      <c r="B21" s="187"/>
      <c r="C21" s="187"/>
      <c r="D21" s="187"/>
      <c r="E21" s="187"/>
      <c r="F21" s="187"/>
      <c r="G21" s="187"/>
      <c r="H21" s="187"/>
      <c r="I21" s="187"/>
      <c r="J21" s="187"/>
      <c r="K21" s="187"/>
      <c r="L21" s="187"/>
      <c r="M21" s="187"/>
      <c r="N21" s="187"/>
      <c r="O21" s="187"/>
      <c r="P21" s="187"/>
      <c r="Q21" s="25">
        <f>SUM(Q15:Q20)</f>
        <v>782412</v>
      </c>
    </row>
    <row r="22" spans="1:18" ht="18" customHeight="1" thickBot="1">
      <c r="A22" s="188"/>
      <c r="B22" s="188"/>
      <c r="C22" s="188"/>
      <c r="D22" s="188"/>
      <c r="E22" s="188"/>
      <c r="F22" s="188"/>
      <c r="G22" s="188"/>
      <c r="H22" s="188"/>
      <c r="I22" s="188"/>
      <c r="J22" s="188"/>
      <c r="K22" s="188"/>
      <c r="L22" s="188"/>
      <c r="M22" s="188"/>
      <c r="N22" s="188"/>
      <c r="O22" s="188"/>
      <c r="P22" s="188"/>
      <c r="Q22" s="188"/>
    </row>
    <row r="23" spans="1:18" ht="17.25" customHeight="1" thickBot="1">
      <c r="A23" s="180" t="s">
        <v>47</v>
      </c>
      <c r="B23" s="181"/>
      <c r="C23" s="181"/>
      <c r="D23" s="181"/>
      <c r="E23" s="181"/>
      <c r="F23" s="182"/>
      <c r="G23" s="183"/>
      <c r="H23" s="183"/>
      <c r="I23" s="183"/>
      <c r="J23" s="183"/>
      <c r="K23" s="183"/>
      <c r="L23" s="183"/>
      <c r="M23" s="183"/>
      <c r="N23" s="183"/>
      <c r="O23" s="183"/>
      <c r="P23" s="183"/>
      <c r="Q23" s="183"/>
    </row>
    <row r="24" spans="1:18" ht="18" customHeight="1" thickBot="1">
      <c r="A24" s="184" t="s">
        <v>60</v>
      </c>
      <c r="B24" s="184"/>
      <c r="C24" s="184"/>
      <c r="D24" s="184"/>
      <c r="E24" s="184"/>
      <c r="F24" s="184"/>
      <c r="G24" s="184"/>
      <c r="H24" s="184"/>
      <c r="I24" s="184"/>
      <c r="J24" s="184"/>
      <c r="K24" s="184"/>
      <c r="L24" s="184"/>
      <c r="M24" s="184"/>
      <c r="N24" s="184"/>
      <c r="O24" s="184"/>
      <c r="P24" s="184"/>
      <c r="Q24" s="184"/>
    </row>
    <row r="25" spans="1:18" ht="26.25" customHeight="1">
      <c r="A25" s="184"/>
      <c r="B25" s="184"/>
      <c r="C25" s="184"/>
      <c r="D25" s="184"/>
      <c r="E25" s="184"/>
      <c r="F25" s="184"/>
      <c r="G25" s="184"/>
      <c r="H25" s="184"/>
      <c r="I25" s="184"/>
      <c r="J25" s="184"/>
      <c r="K25" s="184"/>
      <c r="L25" s="184"/>
      <c r="M25" s="184"/>
      <c r="N25" s="184"/>
      <c r="O25" s="184"/>
      <c r="P25" s="184"/>
      <c r="Q25" s="184"/>
    </row>
  </sheetData>
  <mergeCells count="29">
    <mergeCell ref="A24:Q25"/>
    <mergeCell ref="O18:P18"/>
    <mergeCell ref="O19:P19"/>
    <mergeCell ref="O20:P20"/>
    <mergeCell ref="A21:P21"/>
    <mergeCell ref="A22:Q22"/>
    <mergeCell ref="O15:P15"/>
    <mergeCell ref="O16:P16"/>
    <mergeCell ref="O17:P17"/>
    <mergeCell ref="A23:F23"/>
    <mergeCell ref="G23:Q23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' NotaPedido'!Área_de_impresión</vt:lpstr>
      <vt:lpstr>'Autor Gastar'!Área_de_impresión</vt:lpstr>
      <vt:lpstr>'Necesidades Trimestrales'!Área_de_impresión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COMPRAS</cp:lastModifiedBy>
  <cp:revision>2</cp:revision>
  <cp:lastPrinted>2022-04-29T13:11:47Z</cp:lastPrinted>
  <dcterms:created xsi:type="dcterms:W3CDTF">2020-07-17T23:44:49Z</dcterms:created>
  <dcterms:modified xsi:type="dcterms:W3CDTF">2022-05-13T11:22:32Z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