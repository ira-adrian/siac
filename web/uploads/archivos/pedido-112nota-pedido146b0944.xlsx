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9993-CAT-DPPR#MHP\"/>
    </mc:Choice>
  </mc:AlternateContent>
  <xr:revisionPtr revIDLastSave="0" documentId="8_{95E5CEA9-DC5C-4BB6-A27B-5BCA67959125}" xr6:coauthVersionLast="46" xr6:coauthVersionMax="46" xr10:uidLastSave="{00000000-0000-0000-0000-000000000000}"/>
  <bookViews>
    <workbookView xWindow="-120" yWindow="-120" windowWidth="29040" windowHeight="15840" xr2:uid="{026B74A3-E16F-4736-BFE9-BCADD207C242}"/>
  </bookViews>
  <sheets>
    <sheet name="HISJ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39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</calcChain>
</file>

<file path=xl/sharedStrings.xml><?xml version="1.0" encoding="utf-8"?>
<sst xmlns="http://schemas.openxmlformats.org/spreadsheetml/2006/main" count="142" uniqueCount="59">
  <si>
    <t>Garantia</t>
  </si>
  <si>
    <t xml:space="preserve">45 dias habiles </t>
  </si>
  <si>
    <t>Mantenimiento</t>
  </si>
  <si>
    <t>Calidad Minima esperada</t>
  </si>
  <si>
    <t>20 dias corridos  - Servicio de Farmacia del HISJB - Avda. Illia y Mariano Moreno</t>
  </si>
  <si>
    <t>Plazos y lugares de entrega</t>
  </si>
  <si>
    <t>Descripción técnica</t>
  </si>
  <si>
    <t>Especificidades Item N° 1 al 29: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</si>
  <si>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12 MESES DE LA FECHA DE RECEPCION</t>
  </si>
  <si>
    <t>-</t>
  </si>
  <si>
    <t>UNIDAD</t>
  </si>
  <si>
    <t>VITAMINA C 2GR. COMPRIMIDO EFERVECENTES</t>
  </si>
  <si>
    <t>2.5.2</t>
  </si>
  <si>
    <t xml:space="preserve">MEDICAMENTOS </t>
  </si>
  <si>
    <t>VECURONIO BROMURO 10 MG AMPOLLA</t>
  </si>
  <si>
    <t>TRAMADOL 50 MG AMPOLLA</t>
  </si>
  <si>
    <t>SUCRALFATO SUSPENSIÓN 1GR/ML x 200 ml</t>
  </si>
  <si>
    <t>REMIFENTANILO 5 MG FCO AMPOLLA</t>
  </si>
  <si>
    <t>PROPOFOL 1% FCO AMPOLLAS VIAL X 50 ML</t>
  </si>
  <si>
    <t>PROPOFOL 1% AMPOLLAS X 20 ML</t>
  </si>
  <si>
    <t>PARACETAMOL 1GR ML FRASCO AMPOLLA</t>
  </si>
  <si>
    <t>PARACETAMOL 1GR COMPRIMIDO</t>
  </si>
  <si>
    <t>PANCURONIO 4 MG/ ML</t>
  </si>
  <si>
    <t>OMEPRAZOL 40 MG FCO AMP ENDOVENOSO</t>
  </si>
  <si>
    <t>NITROPRUSIATO SODIO 50 MG VIAL</t>
  </si>
  <si>
    <t>MORFINA 10 MG AMPOLLA</t>
  </si>
  <si>
    <t>MIDAZOLAM 15 MG AMPOLLA</t>
  </si>
  <si>
    <t>LORAZEPAM 4 MG/2ML AMPOLLA</t>
  </si>
  <si>
    <t>KETAMINA 50MG/ML FCO AMPOLLA</t>
  </si>
  <si>
    <t>FENTANILO 250 MCG INYECTABLE</t>
  </si>
  <si>
    <t>FENOBARBITAL 200MG AMPOLLAS</t>
  </si>
  <si>
    <t>ENOXAPARINA 60 MG AMPOLLA PRELLENA</t>
  </si>
  <si>
    <t>DOPAMINA 200 MG  AMPOLLA</t>
  </si>
  <si>
    <t>DIAZEPAM 10 MG AMPOLLA</t>
  </si>
  <si>
    <t>DEXMETOMIDINA 200MG /2 ML</t>
  </si>
  <si>
    <t>COTRIMOXAZOL(TRIMETOPRINA +SULFAMETOXAZOL)80MG/400MG AMPOLLA</t>
  </si>
  <si>
    <t>COMPLEJO B COMPRIMIDOS TIPO BECOZYM NF</t>
  </si>
  <si>
    <t>COMPLEJO B AMPOLLAS TIPO BECOZYM NF</t>
  </si>
  <si>
    <t>CLONIDINA AMPOLLAS</t>
  </si>
  <si>
    <t>CLARITROMICINA 500 MG COMPRIMIDO</t>
  </si>
  <si>
    <t xml:space="preserve">UNIDAD </t>
  </si>
  <si>
    <t xml:space="preserve">BETAMETASONA G 12 MG ( 6 MG ACETATO/6 MG FOSFATO ) AMPOLLA </t>
  </si>
  <si>
    <t>ATRACURIUM 50 MG AMPOLLA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</si>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</sst>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;[Red]&quot;$&quot;\ #,##0.00"/>
  </numFmts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0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color theme="1"/>
      <name val="Arial"/>
      <family val="2"/>
    </font>
    <font>
      <sz val="9"/>
      <color rgb="FF000000"/>
      <name val="Times New Roman"/>
      <family val="1"/>
    </font>
    <font>
      <sz val="11"/>
      <color theme="1"/>
      <name val="Bookman Old Style"/>
      <family val="1"/>
    </font>
    <font>
      <sz val="12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 indent="3"/>
    </xf>
    <xf numFmtId="0" fontId="1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1" fillId="0" borderId="4" xfId="0" applyFont="1" applyBorder="1"/>
    <xf numFmtId="0" fontId="1" fillId="3" borderId="4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 indent="3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8" xfId="0" applyFont="1" applyBorder="1"/>
    <xf numFmtId="165" fontId="5" fillId="3" borderId="0" xfId="1" applyNumberFormat="1" applyFont="1" applyFill="1" applyBorder="1" applyAlignment="1" applyProtection="1">
      <alignment horizontal="right" vertical="center" wrapText="1"/>
    </xf>
    <xf numFmtId="165" fontId="5" fillId="3" borderId="0" xfId="1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5" fontId="5" fillId="3" borderId="12" xfId="1" applyNumberFormat="1" applyFont="1" applyFill="1" applyBorder="1" applyAlignment="1" applyProtection="1">
      <alignment horizontal="right" vertical="center" wrapText="1"/>
    </xf>
    <xf numFmtId="165" fontId="5" fillId="3" borderId="12" xfId="1" applyNumberFormat="1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 wrapText="1"/>
    </xf>
    <xf numFmtId="166" fontId="4" fillId="4" borderId="12" xfId="0" applyNumberFormat="1" applyFont="1" applyFill="1" applyBorder="1" applyAlignment="1">
      <alignment horizontal="center" vertical="center"/>
    </xf>
    <xf numFmtId="1" fontId="9" fillId="4" borderId="12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10" fillId="4" borderId="0" xfId="0" applyFont="1" applyFill="1" applyAlignment="1">
      <alignment horizontal="left" wrapText="1"/>
    </xf>
    <xf numFmtId="0" fontId="12" fillId="3" borderId="0" xfId="0" applyFont="1" applyFill="1" applyAlignment="1">
      <alignment horizontal="left" wrapText="1" indent="1"/>
    </xf>
    <xf numFmtId="0" fontId="13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wrapText="1" indent="1"/>
    </xf>
    <xf numFmtId="0" fontId="14" fillId="0" borderId="0" xfId="0" applyFont="1" applyAlignment="1">
      <alignment horizontal="center"/>
    </xf>
  </cellXfs>
  <cellStyles count="2">
    <cellStyle name="Moneda 2" xfId="1" xr:uid="{4DA403DC-2062-4F2E-AE6E-25112BFB6A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62F0-5F39-4EAE-8F55-6EA6036F7BF8}">
  <dimension ref="A2:J56"/>
  <sheetViews>
    <sheetView tabSelected="1" workbookViewId="0">
      <selection activeCell="B20" sqref="B20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3" customWidth="1"/>
    <col min="9" max="9" width="18.5703125" style="1" customWidth="1"/>
    <col min="10" max="10" width="11" style="2"/>
    <col min="11" max="16384" width="11" style="1"/>
  </cols>
  <sheetData>
    <row r="2" spans="1:10" ht="27" x14ac:dyDescent="0.35">
      <c r="B2" s="57" t="s">
        <v>58</v>
      </c>
      <c r="C2" s="57"/>
      <c r="D2" s="57"/>
      <c r="E2" s="57"/>
      <c r="F2" s="57"/>
      <c r="G2" s="57"/>
      <c r="H2" s="57"/>
    </row>
    <row r="4" spans="1:10" ht="18" customHeight="1" x14ac:dyDescent="0.25">
      <c r="A4" s="55" t="s">
        <v>57</v>
      </c>
      <c r="B4" s="55"/>
      <c r="C4" s="56" t="s">
        <v>56</v>
      </c>
      <c r="D4" s="56"/>
      <c r="E4" s="56"/>
      <c r="F4" s="52"/>
      <c r="G4" s="51"/>
      <c r="H4" s="51"/>
    </row>
    <row r="5" spans="1:10" ht="18" customHeight="1" x14ac:dyDescent="0.25">
      <c r="A5" s="55" t="s">
        <v>55</v>
      </c>
      <c r="B5" s="55"/>
      <c r="C5" s="56" t="s">
        <v>54</v>
      </c>
      <c r="D5" s="56"/>
      <c r="E5" s="56"/>
      <c r="F5" s="52"/>
      <c r="G5" s="51"/>
      <c r="H5" s="51"/>
    </row>
    <row r="6" spans="1:10" ht="16.5" customHeight="1" x14ac:dyDescent="0.25">
      <c r="A6" s="55" t="s">
        <v>53</v>
      </c>
      <c r="B6" s="55"/>
      <c r="C6" s="54">
        <v>2021</v>
      </c>
      <c r="D6" s="53"/>
      <c r="E6" s="53"/>
      <c r="F6" s="52"/>
      <c r="G6" s="51"/>
      <c r="H6" s="51"/>
    </row>
    <row r="7" spans="1:10" ht="16.5" customHeight="1" x14ac:dyDescent="0.25">
      <c r="A7" s="55" t="s">
        <v>52</v>
      </c>
      <c r="B7" s="55"/>
      <c r="C7" s="54">
        <v>3</v>
      </c>
      <c r="D7" s="53"/>
      <c r="E7" s="53"/>
      <c r="F7" s="52"/>
      <c r="G7" s="51"/>
      <c r="H7" s="51"/>
    </row>
    <row r="8" spans="1:10" ht="13.5" thickBot="1" x14ac:dyDescent="0.25">
      <c r="B8" s="52"/>
      <c r="C8" s="51"/>
      <c r="D8" s="52"/>
      <c r="E8" s="52"/>
      <c r="F8" s="52"/>
      <c r="G8" s="51"/>
      <c r="H8" s="51"/>
    </row>
    <row r="9" spans="1:10" ht="39" thickBot="1" x14ac:dyDescent="0.25">
      <c r="A9" s="50" t="s">
        <v>51</v>
      </c>
      <c r="B9" s="50" t="s">
        <v>50</v>
      </c>
      <c r="C9" s="50" t="s">
        <v>49</v>
      </c>
      <c r="D9" s="50" t="s">
        <v>48</v>
      </c>
      <c r="E9" s="50" t="s">
        <v>47</v>
      </c>
      <c r="F9" s="50" t="s">
        <v>46</v>
      </c>
      <c r="G9" s="50" t="s">
        <v>45</v>
      </c>
      <c r="H9" s="50" t="s">
        <v>44</v>
      </c>
      <c r="I9" s="50" t="s">
        <v>43</v>
      </c>
    </row>
    <row r="10" spans="1:10" ht="31.9" customHeight="1" thickBot="1" x14ac:dyDescent="0.25">
      <c r="A10" s="39">
        <v>1</v>
      </c>
      <c r="B10" s="35"/>
      <c r="C10" s="38" t="s">
        <v>13</v>
      </c>
      <c r="D10" s="37" t="s">
        <v>12</v>
      </c>
      <c r="E10" s="46" t="s">
        <v>42</v>
      </c>
      <c r="F10" s="35" t="s">
        <v>10</v>
      </c>
      <c r="G10" s="45">
        <v>16400</v>
      </c>
      <c r="H10" s="33">
        <v>732</v>
      </c>
      <c r="I10" s="32">
        <f>G10*H10</f>
        <v>12004800</v>
      </c>
      <c r="J10" s="2">
        <v>150</v>
      </c>
    </row>
    <row r="11" spans="1:10" ht="31.9" customHeight="1" thickBot="1" x14ac:dyDescent="0.25">
      <c r="A11" s="39">
        <v>2</v>
      </c>
      <c r="B11" s="35"/>
      <c r="C11" s="38" t="s">
        <v>13</v>
      </c>
      <c r="D11" s="37" t="s">
        <v>12</v>
      </c>
      <c r="E11" s="46" t="s">
        <v>41</v>
      </c>
      <c r="F11" s="35" t="s">
        <v>40</v>
      </c>
      <c r="G11" s="49">
        <v>300</v>
      </c>
      <c r="H11" s="48">
        <v>120</v>
      </c>
      <c r="I11" s="32">
        <f>G11*H11</f>
        <v>36000</v>
      </c>
      <c r="J11" s="2">
        <v>900</v>
      </c>
    </row>
    <row r="12" spans="1:10" ht="31.9" customHeight="1" thickBot="1" x14ac:dyDescent="0.25">
      <c r="A12" s="39">
        <v>3</v>
      </c>
      <c r="B12" s="35"/>
      <c r="C12" s="38" t="s">
        <v>13</v>
      </c>
      <c r="D12" s="37" t="s">
        <v>12</v>
      </c>
      <c r="E12" s="41" t="s">
        <v>39</v>
      </c>
      <c r="F12" s="35" t="s">
        <v>10</v>
      </c>
      <c r="G12" s="40">
        <v>2000</v>
      </c>
      <c r="H12" s="33">
        <v>35</v>
      </c>
      <c r="I12" s="32">
        <f>G12*H12</f>
        <v>70000</v>
      </c>
      <c r="J12" s="2">
        <v>900</v>
      </c>
    </row>
    <row r="13" spans="1:10" ht="31.9" customHeight="1" thickBot="1" x14ac:dyDescent="0.25">
      <c r="A13" s="39">
        <v>4</v>
      </c>
      <c r="B13" s="35"/>
      <c r="C13" s="38" t="s">
        <v>13</v>
      </c>
      <c r="D13" s="37" t="s">
        <v>12</v>
      </c>
      <c r="E13" s="41" t="s">
        <v>38</v>
      </c>
      <c r="F13" s="35" t="s">
        <v>10</v>
      </c>
      <c r="G13" s="40">
        <v>500</v>
      </c>
      <c r="H13" s="33">
        <v>42</v>
      </c>
      <c r="I13" s="32">
        <f>G13*H13</f>
        <v>21000</v>
      </c>
      <c r="J13" s="2">
        <v>900</v>
      </c>
    </row>
    <row r="14" spans="1:10" ht="31.9" customHeight="1" thickBot="1" x14ac:dyDescent="0.25">
      <c r="A14" s="39">
        <v>5</v>
      </c>
      <c r="B14" s="35"/>
      <c r="C14" s="38" t="s">
        <v>13</v>
      </c>
      <c r="D14" s="37" t="s">
        <v>12</v>
      </c>
      <c r="E14" s="46" t="s">
        <v>37</v>
      </c>
      <c r="F14" s="35" t="s">
        <v>10</v>
      </c>
      <c r="G14" s="47">
        <v>5000</v>
      </c>
      <c r="H14" s="33">
        <v>62</v>
      </c>
      <c r="I14" s="32">
        <f>G14*H14</f>
        <v>310000</v>
      </c>
      <c r="J14" s="2">
        <v>900</v>
      </c>
    </row>
    <row r="15" spans="1:10" ht="31.9" customHeight="1" thickBot="1" x14ac:dyDescent="0.25">
      <c r="A15" s="39">
        <v>6</v>
      </c>
      <c r="B15" s="35"/>
      <c r="C15" s="38" t="s">
        <v>13</v>
      </c>
      <c r="D15" s="37" t="s">
        <v>12</v>
      </c>
      <c r="E15" s="46" t="s">
        <v>36</v>
      </c>
      <c r="F15" s="35" t="s">
        <v>10</v>
      </c>
      <c r="G15" s="47">
        <v>900</v>
      </c>
      <c r="H15" s="33">
        <v>22</v>
      </c>
      <c r="I15" s="32">
        <f>G15*H15</f>
        <v>19800</v>
      </c>
      <c r="J15" s="2">
        <v>200</v>
      </c>
    </row>
    <row r="16" spans="1:10" ht="31.9" customHeight="1" thickBot="1" x14ac:dyDescent="0.25">
      <c r="A16" s="39">
        <v>7</v>
      </c>
      <c r="B16" s="35"/>
      <c r="C16" s="38" t="s">
        <v>13</v>
      </c>
      <c r="D16" s="37" t="s">
        <v>12</v>
      </c>
      <c r="E16" s="41" t="s">
        <v>35</v>
      </c>
      <c r="F16" s="35" t="s">
        <v>10</v>
      </c>
      <c r="G16" s="40">
        <v>1000</v>
      </c>
      <c r="H16" s="33">
        <v>214</v>
      </c>
      <c r="I16" s="32">
        <f>G16*H16</f>
        <v>214000</v>
      </c>
      <c r="J16" s="2">
        <v>1200</v>
      </c>
    </row>
    <row r="17" spans="1:10" ht="31.9" customHeight="1" thickBot="1" x14ac:dyDescent="0.25">
      <c r="A17" s="39">
        <v>8</v>
      </c>
      <c r="B17" s="35"/>
      <c r="C17" s="38" t="s">
        <v>13</v>
      </c>
      <c r="D17" s="37" t="s">
        <v>12</v>
      </c>
      <c r="E17" s="46" t="s">
        <v>34</v>
      </c>
      <c r="F17" s="35" t="s">
        <v>10</v>
      </c>
      <c r="G17" s="45">
        <v>1000</v>
      </c>
      <c r="H17" s="33">
        <v>440</v>
      </c>
      <c r="I17" s="32">
        <f>G17*H17</f>
        <v>440000</v>
      </c>
      <c r="J17" s="2">
        <v>3600</v>
      </c>
    </row>
    <row r="18" spans="1:10" ht="31.9" customHeight="1" thickBot="1" x14ac:dyDescent="0.25">
      <c r="A18" s="39">
        <v>9</v>
      </c>
      <c r="B18" s="35"/>
      <c r="C18" s="38" t="s">
        <v>13</v>
      </c>
      <c r="D18" s="37" t="s">
        <v>12</v>
      </c>
      <c r="E18" s="36" t="s">
        <v>33</v>
      </c>
      <c r="F18" s="35" t="s">
        <v>10</v>
      </c>
      <c r="G18" s="34">
        <v>1500</v>
      </c>
      <c r="H18" s="33">
        <v>35</v>
      </c>
      <c r="I18" s="32">
        <f>G18*H18</f>
        <v>52500</v>
      </c>
      <c r="J18" s="2">
        <v>30</v>
      </c>
    </row>
    <row r="19" spans="1:10" ht="31.9" customHeight="1" thickBot="1" x14ac:dyDescent="0.25">
      <c r="A19" s="39">
        <v>10</v>
      </c>
      <c r="B19" s="35"/>
      <c r="C19" s="38" t="s">
        <v>13</v>
      </c>
      <c r="D19" s="37" t="s">
        <v>12</v>
      </c>
      <c r="E19" s="46" t="s">
        <v>32</v>
      </c>
      <c r="F19" s="35" t="s">
        <v>10</v>
      </c>
      <c r="G19" s="45">
        <v>3000</v>
      </c>
      <c r="H19" s="33">
        <v>85</v>
      </c>
      <c r="I19" s="32">
        <f>G19*H19</f>
        <v>255000</v>
      </c>
      <c r="J19" s="2">
        <v>300</v>
      </c>
    </row>
    <row r="20" spans="1:10" ht="31.9" customHeight="1" thickBot="1" x14ac:dyDescent="0.25">
      <c r="A20" s="39">
        <v>11</v>
      </c>
      <c r="B20" s="35"/>
      <c r="C20" s="38" t="s">
        <v>13</v>
      </c>
      <c r="D20" s="37" t="s">
        <v>12</v>
      </c>
      <c r="E20" s="41" t="s">
        <v>31</v>
      </c>
      <c r="F20" s="35" t="s">
        <v>10</v>
      </c>
      <c r="G20" s="42">
        <v>10000</v>
      </c>
      <c r="H20" s="33">
        <v>1400</v>
      </c>
      <c r="I20" s="32">
        <f>G20*H20</f>
        <v>14000000</v>
      </c>
      <c r="J20" s="2">
        <v>3600</v>
      </c>
    </row>
    <row r="21" spans="1:10" ht="31.9" customHeight="1" thickBot="1" x14ac:dyDescent="0.25">
      <c r="A21" s="39">
        <v>12</v>
      </c>
      <c r="B21" s="35"/>
      <c r="C21" s="38" t="s">
        <v>13</v>
      </c>
      <c r="D21" s="37" t="s">
        <v>12</v>
      </c>
      <c r="E21" s="46" t="s">
        <v>30</v>
      </c>
      <c r="F21" s="35" t="s">
        <v>10</v>
      </c>
      <c r="G21" s="42">
        <v>500</v>
      </c>
      <c r="H21" s="33">
        <v>324.02</v>
      </c>
      <c r="I21" s="32">
        <f>G21*H21</f>
        <v>162010</v>
      </c>
      <c r="J21" s="2">
        <v>3600</v>
      </c>
    </row>
    <row r="22" spans="1:10" ht="31.9" customHeight="1" thickBot="1" x14ac:dyDescent="0.25">
      <c r="A22" s="39">
        <v>13</v>
      </c>
      <c r="B22" s="35"/>
      <c r="C22" s="38" t="s">
        <v>13</v>
      </c>
      <c r="D22" s="37" t="s">
        <v>12</v>
      </c>
      <c r="E22" s="41" t="s">
        <v>29</v>
      </c>
      <c r="F22" s="35" t="s">
        <v>10</v>
      </c>
      <c r="G22" s="42">
        <v>4500</v>
      </c>
      <c r="H22" s="33">
        <v>387.2</v>
      </c>
      <c r="I22" s="32">
        <f>G22*H22</f>
        <v>1742400</v>
      </c>
      <c r="J22" s="2">
        <v>600</v>
      </c>
    </row>
    <row r="23" spans="1:10" ht="31.9" customHeight="1" thickBot="1" x14ac:dyDescent="0.25">
      <c r="A23" s="39">
        <v>14</v>
      </c>
      <c r="B23" s="35"/>
      <c r="C23" s="38" t="s">
        <v>13</v>
      </c>
      <c r="D23" s="37" t="s">
        <v>12</v>
      </c>
      <c r="E23" s="41" t="s">
        <v>28</v>
      </c>
      <c r="F23" s="35" t="s">
        <v>10</v>
      </c>
      <c r="G23" s="40">
        <v>2000</v>
      </c>
      <c r="H23" s="33">
        <v>2013</v>
      </c>
      <c r="I23" s="32">
        <f>G23*H23</f>
        <v>4026000</v>
      </c>
      <c r="J23" s="2">
        <v>600</v>
      </c>
    </row>
    <row r="24" spans="1:10" ht="31.9" customHeight="1" thickBot="1" x14ac:dyDescent="0.25">
      <c r="A24" s="39">
        <v>15</v>
      </c>
      <c r="B24" s="35"/>
      <c r="C24" s="38" t="s">
        <v>13</v>
      </c>
      <c r="D24" s="37" t="s">
        <v>12</v>
      </c>
      <c r="E24" s="46" t="s">
        <v>27</v>
      </c>
      <c r="F24" s="35" t="s">
        <v>10</v>
      </c>
      <c r="G24" s="42">
        <v>1500</v>
      </c>
      <c r="H24" s="33">
        <v>280</v>
      </c>
      <c r="I24" s="32">
        <f>G24*H24</f>
        <v>420000</v>
      </c>
      <c r="J24" s="2">
        <v>600</v>
      </c>
    </row>
    <row r="25" spans="1:10" ht="31.9" customHeight="1" thickBot="1" x14ac:dyDescent="0.25">
      <c r="A25" s="39">
        <v>16</v>
      </c>
      <c r="B25" s="35"/>
      <c r="C25" s="38" t="s">
        <v>13</v>
      </c>
      <c r="D25" s="37" t="s">
        <v>12</v>
      </c>
      <c r="E25" s="46" t="s">
        <v>26</v>
      </c>
      <c r="F25" s="35" t="s">
        <v>10</v>
      </c>
      <c r="G25" s="42">
        <v>40000</v>
      </c>
      <c r="H25" s="33">
        <v>514.25</v>
      </c>
      <c r="I25" s="32">
        <f>G25*H25</f>
        <v>20570000</v>
      </c>
      <c r="J25" s="2">
        <v>600</v>
      </c>
    </row>
    <row r="26" spans="1:10" ht="31.9" customHeight="1" thickBot="1" x14ac:dyDescent="0.25">
      <c r="A26" s="39">
        <v>17</v>
      </c>
      <c r="B26" s="35"/>
      <c r="C26" s="38" t="s">
        <v>13</v>
      </c>
      <c r="D26" s="37" t="s">
        <v>12</v>
      </c>
      <c r="E26" s="36" t="s">
        <v>25</v>
      </c>
      <c r="F26" s="35" t="s">
        <v>10</v>
      </c>
      <c r="G26" s="42">
        <v>2000</v>
      </c>
      <c r="H26" s="33">
        <v>89</v>
      </c>
      <c r="I26" s="32">
        <f>G26*H26</f>
        <v>178000</v>
      </c>
      <c r="J26" s="2">
        <v>12000</v>
      </c>
    </row>
    <row r="27" spans="1:10" ht="31.9" customHeight="1" thickBot="1" x14ac:dyDescent="0.25">
      <c r="A27" s="39">
        <v>18</v>
      </c>
      <c r="B27" s="35"/>
      <c r="C27" s="38" t="s">
        <v>13</v>
      </c>
      <c r="D27" s="37" t="s">
        <v>12</v>
      </c>
      <c r="E27" s="41" t="s">
        <v>24</v>
      </c>
      <c r="F27" s="35" t="s">
        <v>10</v>
      </c>
      <c r="G27" s="40">
        <v>100</v>
      </c>
      <c r="H27" s="33">
        <v>650</v>
      </c>
      <c r="I27" s="32">
        <f>G27*H27</f>
        <v>65000</v>
      </c>
      <c r="J27" s="2">
        <v>1200</v>
      </c>
    </row>
    <row r="28" spans="1:10" ht="31.9" customHeight="1" thickBot="1" x14ac:dyDescent="0.25">
      <c r="A28" s="39">
        <v>19</v>
      </c>
      <c r="B28" s="35"/>
      <c r="C28" s="38" t="s">
        <v>13</v>
      </c>
      <c r="D28" s="37" t="s">
        <v>12</v>
      </c>
      <c r="E28" s="41" t="s">
        <v>23</v>
      </c>
      <c r="F28" s="35" t="s">
        <v>10</v>
      </c>
      <c r="G28" s="40">
        <v>10000</v>
      </c>
      <c r="H28" s="33">
        <v>250</v>
      </c>
      <c r="I28" s="32">
        <f>G28*H28</f>
        <v>2500000</v>
      </c>
      <c r="J28" s="2">
        <v>120</v>
      </c>
    </row>
    <row r="29" spans="1:10" ht="31.9" customHeight="1" thickBot="1" x14ac:dyDescent="0.25">
      <c r="A29" s="39">
        <v>20</v>
      </c>
      <c r="B29" s="35"/>
      <c r="C29" s="38" t="s">
        <v>13</v>
      </c>
      <c r="D29" s="37" t="s">
        <v>12</v>
      </c>
      <c r="E29" s="36" t="s">
        <v>22</v>
      </c>
      <c r="F29" s="35" t="s">
        <v>10</v>
      </c>
      <c r="G29" s="34">
        <v>4500</v>
      </c>
      <c r="H29" s="33">
        <v>248</v>
      </c>
      <c r="I29" s="32">
        <f>G29*H29</f>
        <v>1116000</v>
      </c>
      <c r="J29" s="2">
        <v>120</v>
      </c>
    </row>
    <row r="30" spans="1:10" ht="31.9" customHeight="1" thickBot="1" x14ac:dyDescent="0.25">
      <c r="A30" s="39">
        <v>21</v>
      </c>
      <c r="B30" s="35"/>
      <c r="C30" s="38" t="s">
        <v>13</v>
      </c>
      <c r="D30" s="37" t="s">
        <v>12</v>
      </c>
      <c r="E30" s="41" t="s">
        <v>21</v>
      </c>
      <c r="F30" s="35" t="s">
        <v>10</v>
      </c>
      <c r="G30" s="40">
        <v>20000</v>
      </c>
      <c r="H30" s="33">
        <v>7</v>
      </c>
      <c r="I30" s="32">
        <f>G30*H30</f>
        <v>140000</v>
      </c>
      <c r="J30" s="2">
        <v>3600</v>
      </c>
    </row>
    <row r="31" spans="1:10" ht="31.9" customHeight="1" thickBot="1" x14ac:dyDescent="0.25">
      <c r="A31" s="39">
        <v>22</v>
      </c>
      <c r="B31" s="35"/>
      <c r="C31" s="38" t="s">
        <v>13</v>
      </c>
      <c r="D31" s="37" t="s">
        <v>12</v>
      </c>
      <c r="E31" s="46" t="s">
        <v>20</v>
      </c>
      <c r="F31" s="35" t="s">
        <v>10</v>
      </c>
      <c r="G31" s="45">
        <v>1200</v>
      </c>
      <c r="H31" s="33">
        <v>864.4</v>
      </c>
      <c r="I31" s="32">
        <f>G31*H31</f>
        <v>1037280</v>
      </c>
      <c r="J31" s="2">
        <v>2400</v>
      </c>
    </row>
    <row r="32" spans="1:10" ht="31.9" customHeight="1" thickBot="1" x14ac:dyDescent="0.25">
      <c r="A32" s="39">
        <v>23</v>
      </c>
      <c r="B32" s="35"/>
      <c r="C32" s="38" t="s">
        <v>13</v>
      </c>
      <c r="D32" s="37" t="s">
        <v>12</v>
      </c>
      <c r="E32" s="41" t="s">
        <v>19</v>
      </c>
      <c r="F32" s="35" t="s">
        <v>10</v>
      </c>
      <c r="G32" s="40">
        <v>4000</v>
      </c>
      <c r="H32" s="33">
        <v>859.1</v>
      </c>
      <c r="I32" s="32">
        <f>G32*H32</f>
        <v>3436400</v>
      </c>
      <c r="J32" s="2">
        <v>1500</v>
      </c>
    </row>
    <row r="33" spans="1:10" ht="31.9" customHeight="1" thickBot="1" x14ac:dyDescent="0.25">
      <c r="A33" s="39">
        <v>24</v>
      </c>
      <c r="B33" s="35"/>
      <c r="C33" s="38" t="s">
        <v>13</v>
      </c>
      <c r="D33" s="37" t="s">
        <v>12</v>
      </c>
      <c r="E33" s="44" t="s">
        <v>18</v>
      </c>
      <c r="F33" s="35" t="s">
        <v>10</v>
      </c>
      <c r="G33" s="43">
        <v>300</v>
      </c>
      <c r="H33" s="33">
        <v>860</v>
      </c>
      <c r="I33" s="32">
        <f>G33*H33</f>
        <v>258000</v>
      </c>
      <c r="J33" s="2">
        <v>1200</v>
      </c>
    </row>
    <row r="34" spans="1:10" ht="31.9" customHeight="1" thickBot="1" x14ac:dyDescent="0.25">
      <c r="A34" s="39">
        <v>25</v>
      </c>
      <c r="B34" s="35"/>
      <c r="C34" s="38" t="s">
        <v>13</v>
      </c>
      <c r="D34" s="37" t="s">
        <v>12</v>
      </c>
      <c r="E34" s="44" t="s">
        <v>17</v>
      </c>
      <c r="F34" s="35" t="s">
        <v>10</v>
      </c>
      <c r="G34" s="43">
        <v>14000</v>
      </c>
      <c r="H34" s="33">
        <v>690</v>
      </c>
      <c r="I34" s="32">
        <f>G34*H34</f>
        <v>9660000</v>
      </c>
      <c r="J34" s="2">
        <v>1200</v>
      </c>
    </row>
    <row r="35" spans="1:10" ht="31.9" customHeight="1" thickBot="1" x14ac:dyDescent="0.25">
      <c r="A35" s="39">
        <v>26</v>
      </c>
      <c r="B35" s="35"/>
      <c r="C35" s="38" t="s">
        <v>13</v>
      </c>
      <c r="D35" s="37" t="s">
        <v>12</v>
      </c>
      <c r="E35" s="41" t="s">
        <v>16</v>
      </c>
      <c r="F35" s="35" t="s">
        <v>10</v>
      </c>
      <c r="G35" s="42">
        <v>200</v>
      </c>
      <c r="H35" s="33">
        <v>560</v>
      </c>
      <c r="I35" s="32">
        <f>G35*H35</f>
        <v>112000</v>
      </c>
    </row>
    <row r="36" spans="1:10" ht="31.9" customHeight="1" thickBot="1" x14ac:dyDescent="0.25">
      <c r="A36" s="39">
        <v>27</v>
      </c>
      <c r="B36" s="35"/>
      <c r="C36" s="38" t="s">
        <v>13</v>
      </c>
      <c r="D36" s="37" t="s">
        <v>12</v>
      </c>
      <c r="E36" s="41" t="s">
        <v>15</v>
      </c>
      <c r="F36" s="35" t="s">
        <v>10</v>
      </c>
      <c r="G36" s="40">
        <v>1600</v>
      </c>
      <c r="H36" s="33">
        <v>39</v>
      </c>
      <c r="I36" s="32">
        <f>G36*H36</f>
        <v>62400</v>
      </c>
      <c r="J36" s="2">
        <v>600</v>
      </c>
    </row>
    <row r="37" spans="1:10" ht="31.9" customHeight="1" thickBot="1" x14ac:dyDescent="0.25">
      <c r="A37" s="39">
        <v>28</v>
      </c>
      <c r="B37" s="35"/>
      <c r="C37" s="38" t="s">
        <v>13</v>
      </c>
      <c r="D37" s="37" t="s">
        <v>12</v>
      </c>
      <c r="E37" s="36" t="s">
        <v>14</v>
      </c>
      <c r="F37" s="35" t="s">
        <v>10</v>
      </c>
      <c r="G37" s="34">
        <v>1000</v>
      </c>
      <c r="H37" s="33">
        <v>634.67999999999995</v>
      </c>
      <c r="I37" s="32">
        <f>G37*H37</f>
        <v>634680</v>
      </c>
      <c r="J37" s="2">
        <v>600</v>
      </c>
    </row>
    <row r="38" spans="1:10" ht="31.9" customHeight="1" thickBot="1" x14ac:dyDescent="0.25">
      <c r="A38" s="39">
        <v>29</v>
      </c>
      <c r="B38" s="35"/>
      <c r="C38" s="38" t="s">
        <v>13</v>
      </c>
      <c r="D38" s="37" t="s">
        <v>12</v>
      </c>
      <c r="E38" s="36" t="s">
        <v>11</v>
      </c>
      <c r="F38" s="35" t="s">
        <v>10</v>
      </c>
      <c r="G38" s="34">
        <v>6000</v>
      </c>
      <c r="H38" s="33">
        <v>49</v>
      </c>
      <c r="I38" s="32">
        <f>G38*H38</f>
        <v>294000</v>
      </c>
      <c r="J38" s="2" t="s">
        <v>9</v>
      </c>
    </row>
    <row r="39" spans="1:10" ht="31.9" customHeight="1" thickBot="1" x14ac:dyDescent="0.25">
      <c r="A39" s="28"/>
      <c r="B39" s="24"/>
      <c r="C39" s="31"/>
      <c r="D39" s="30"/>
      <c r="E39" s="29"/>
      <c r="F39" s="24"/>
      <c r="G39" s="23"/>
      <c r="H39" s="22"/>
      <c r="I39" s="21">
        <f>SUM(I10:I38)</f>
        <v>73837270</v>
      </c>
    </row>
    <row r="40" spans="1:10" ht="95.25" customHeight="1" thickBot="1" x14ac:dyDescent="0.25">
      <c r="A40" s="28"/>
      <c r="B40" s="24"/>
      <c r="C40" s="27" t="s">
        <v>8</v>
      </c>
      <c r="D40" s="26"/>
      <c r="E40" s="25"/>
      <c r="F40" s="24"/>
      <c r="G40" s="23"/>
      <c r="H40" s="22"/>
      <c r="I40" s="21"/>
    </row>
    <row r="43" spans="1:10" x14ac:dyDescent="0.2">
      <c r="B43" s="20" t="s">
        <v>7</v>
      </c>
      <c r="C43" s="19"/>
      <c r="D43" s="19"/>
      <c r="E43" s="18"/>
    </row>
    <row r="44" spans="1:10" ht="5.25" customHeight="1" x14ac:dyDescent="0.2">
      <c r="B44" s="17"/>
      <c r="E44" s="9"/>
    </row>
    <row r="45" spans="1:10" x14ac:dyDescent="0.2">
      <c r="B45" s="8" t="s">
        <v>6</v>
      </c>
      <c r="E45" s="9"/>
    </row>
    <row r="46" spans="1:10" ht="41.25" customHeight="1" x14ac:dyDescent="0.2">
      <c r="B46" s="8"/>
      <c r="C46" s="14"/>
      <c r="D46" s="14"/>
      <c r="E46" s="14"/>
    </row>
    <row r="47" spans="1:10" x14ac:dyDescent="0.2">
      <c r="B47" s="8" t="s">
        <v>5</v>
      </c>
      <c r="E47" s="9"/>
    </row>
    <row r="48" spans="1:10" x14ac:dyDescent="0.2">
      <c r="B48" s="11"/>
      <c r="C48" s="16" t="s">
        <v>4</v>
      </c>
      <c r="D48" s="16"/>
      <c r="E48" s="16"/>
    </row>
    <row r="49" spans="2:5" x14ac:dyDescent="0.2">
      <c r="B49" s="11"/>
      <c r="C49" s="15"/>
      <c r="D49" s="15"/>
      <c r="E49" s="15"/>
    </row>
    <row r="50" spans="2:5" x14ac:dyDescent="0.2">
      <c r="B50" s="8" t="s">
        <v>3</v>
      </c>
      <c r="E50" s="9"/>
    </row>
    <row r="51" spans="2:5" ht="26.25" customHeight="1" x14ac:dyDescent="0.2">
      <c r="B51" s="11"/>
      <c r="C51" s="14"/>
      <c r="D51" s="14"/>
      <c r="E51" s="14"/>
    </row>
    <row r="52" spans="2:5" x14ac:dyDescent="0.2">
      <c r="B52" s="8" t="s">
        <v>2</v>
      </c>
      <c r="C52" s="13"/>
      <c r="D52" s="13"/>
      <c r="E52" s="12"/>
    </row>
    <row r="53" spans="2:5" ht="26.25" customHeight="1" x14ac:dyDescent="0.2">
      <c r="B53" s="11"/>
      <c r="C53" s="10" t="s">
        <v>1</v>
      </c>
      <c r="D53" s="10"/>
      <c r="E53" s="10"/>
    </row>
    <row r="54" spans="2:5" x14ac:dyDescent="0.2">
      <c r="B54" s="8" t="s">
        <v>0</v>
      </c>
      <c r="E54" s="9"/>
    </row>
    <row r="55" spans="2:5" ht="23.25" customHeight="1" x14ac:dyDescent="0.2">
      <c r="B55" s="8"/>
      <c r="C55" s="7"/>
      <c r="D55" s="7"/>
      <c r="E55" s="7"/>
    </row>
    <row r="56" spans="2:5" ht="13.5" thickBot="1" x14ac:dyDescent="0.25">
      <c r="B56" s="6"/>
      <c r="C56" s="5"/>
      <c r="D56" s="5"/>
      <c r="E56" s="4"/>
    </row>
  </sheetData>
  <mergeCells count="14">
    <mergeCell ref="C53:E53"/>
    <mergeCell ref="C55:E55"/>
    <mergeCell ref="A7:B7"/>
    <mergeCell ref="C40:E40"/>
    <mergeCell ref="C46:E46"/>
    <mergeCell ref="C48:E48"/>
    <mergeCell ref="C49:E49"/>
    <mergeCell ref="C51:E5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2021-08-11T16:04:01Z</dcterms:created>
  <dcterms:modified xsi:type="dcterms:W3CDTF">2021-08-11T16:05:11Z</dcterms:modified>
</cp:coreProperties>
</file>