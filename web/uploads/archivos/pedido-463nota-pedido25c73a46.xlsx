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COMPRAS SECRETARIA DE COMPRAS\DESIERTOS MEDICAMENTOS Y DESCARTABLES 1\MEDICAMENTOS\"/>
    </mc:Choice>
  </mc:AlternateContent>
  <bookViews>
    <workbookView xWindow="0" yWindow="0" windowWidth="20490" windowHeight="7755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NotaPedido'!$A$1:$K$40</definedName>
    <definedName name="_xlnm.Print_Area" localSheetId="2">'Autor Gastar'!$A$1:$Q$27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6" i="2" l="1"/>
  <c r="I14" i="1"/>
  <c r="I11" i="1" l="1"/>
  <c r="I12" i="1"/>
  <c r="I1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10" i="1"/>
  <c r="G6" i="3" l="1"/>
  <c r="J18" i="2" l="1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K37" i="2"/>
  <c r="K38" i="2"/>
  <c r="K39" i="2"/>
  <c r="I37" i="2"/>
  <c r="I38" i="2"/>
  <c r="I39" i="2"/>
  <c r="B36" i="2"/>
  <c r="B37" i="2"/>
  <c r="B38" i="2"/>
  <c r="B39" i="2"/>
  <c r="C39" i="2"/>
  <c r="C38" i="2"/>
  <c r="C37" i="2" l="1"/>
  <c r="K36" i="2"/>
  <c r="I36" i="2"/>
  <c r="C36" i="2"/>
  <c r="K34" i="2"/>
  <c r="K35" i="2"/>
  <c r="I34" i="2"/>
  <c r="I35" i="2"/>
  <c r="B35" i="2"/>
  <c r="C35" i="2"/>
  <c r="C34" i="2"/>
  <c r="B34" i="2"/>
  <c r="K33" i="2"/>
  <c r="I33" i="2"/>
  <c r="C33" i="2"/>
  <c r="B33" i="2"/>
  <c r="K31" i="2"/>
  <c r="K32" i="2"/>
  <c r="I31" i="2"/>
  <c r="I32" i="2"/>
  <c r="C32" i="2"/>
  <c r="C31" i="2"/>
  <c r="B32" i="2"/>
  <c r="B31" i="2"/>
  <c r="K30" i="2"/>
  <c r="I30" i="2"/>
  <c r="C30" i="2"/>
  <c r="B30" i="2"/>
  <c r="K29" i="2"/>
  <c r="I29" i="2"/>
  <c r="C29" i="2"/>
  <c r="B29" i="2"/>
  <c r="K28" i="2"/>
  <c r="I28" i="2"/>
  <c r="C28" i="2"/>
  <c r="B28" i="2"/>
  <c r="K27" i="2"/>
  <c r="I27" i="2"/>
  <c r="C27" i="2"/>
  <c r="B27" i="2"/>
  <c r="K26" i="2"/>
  <c r="I26" i="2"/>
  <c r="C26" i="2"/>
  <c r="B26" i="2"/>
  <c r="K25" i="2"/>
  <c r="I25" i="2"/>
  <c r="C25" i="2"/>
  <c r="B25" i="2"/>
  <c r="K24" i="2"/>
  <c r="I24" i="2"/>
  <c r="C24" i="2"/>
  <c r="B24" i="2"/>
  <c r="K18" i="2"/>
  <c r="K19" i="2"/>
  <c r="K20" i="2"/>
  <c r="K21" i="2"/>
  <c r="K22" i="2"/>
  <c r="K23" i="2"/>
  <c r="B23" i="2"/>
  <c r="I23" i="2"/>
  <c r="I22" i="2"/>
  <c r="I21" i="2"/>
  <c r="I20" i="2"/>
  <c r="I19" i="2"/>
  <c r="I18" i="2"/>
  <c r="C23" i="2"/>
  <c r="B22" i="2"/>
  <c r="B21" i="2"/>
  <c r="B20" i="2"/>
  <c r="B19" i="2"/>
  <c r="B18" i="2"/>
  <c r="C22" i="2"/>
  <c r="C21" i="2"/>
  <c r="C20" i="2"/>
  <c r="C19" i="2"/>
  <c r="C18" i="2"/>
  <c r="K17" i="2"/>
  <c r="K15" i="2"/>
  <c r="K14" i="2"/>
  <c r="J17" i="2"/>
  <c r="J15" i="2"/>
  <c r="J14" i="2"/>
  <c r="I17" i="2"/>
  <c r="I15" i="2"/>
  <c r="I14" i="2"/>
  <c r="B17" i="2"/>
  <c r="C17" i="2"/>
  <c r="B15" i="2"/>
  <c r="C15" i="2"/>
  <c r="B14" i="2"/>
  <c r="C14" i="2"/>
  <c r="K13" i="2"/>
  <c r="J13" i="2"/>
  <c r="I13" i="2"/>
  <c r="B13" i="2"/>
  <c r="C13" i="2"/>
  <c r="G7" i="3" l="1"/>
  <c r="D7" i="2"/>
  <c r="G4" i="3"/>
  <c r="G5" i="3"/>
  <c r="A10" i="3" l="1"/>
  <c r="D1" i="3"/>
  <c r="K12" i="2"/>
  <c r="J12" i="2"/>
  <c r="J40" i="2" s="1"/>
  <c r="I12" i="2"/>
  <c r="C12" i="2"/>
  <c r="B12" i="2"/>
  <c r="I15" i="3"/>
  <c r="K15" i="3" l="1"/>
  <c r="J15" i="3"/>
</calcChain>
</file>

<file path=xl/sharedStrings.xml><?xml version="1.0" encoding="utf-8"?>
<sst xmlns="http://schemas.openxmlformats.org/spreadsheetml/2006/main" count="224" uniqueCount="103">
  <si>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</si>
  <si>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</si>
  <si>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</si>
  <si>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</si>
  <si>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</si>
  <si>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</si>
  <si>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</si>
  <si>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</si>
  <si>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</si>
  <si>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</si>
  <si>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</si>
  <si>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</si>
  <si>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</si>
  <si>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</si>
  <si>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</si>
  <si>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</si>
  <si>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</si>
  <si>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</si>
  <si>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</si>
  <si>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</si>
  <si>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</si>
  <si>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</si>
  <si>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</si>
  <si>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</si>
  <si>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</si>
  <si>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</si>
  <si>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</si>
  <si>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</si>
  <si>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</si>
  <si>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</si>
  <si>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</si>
  <si>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</si>
  <si>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</si>
  <si>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</si>
  <si>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</si>
  <si>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</si>
  <si>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</si>
  <si>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</si>
  <si>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</si>
  <si>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</si>
  <si>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</si>
  <si>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</si>
  <si>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</si>
  <si>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</si>
  <si>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</si>
  <si>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</si>
  <si>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</si>
  <si>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</si>
  <si>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</si>
  <si>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</si>
  <si>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</si>
  <si>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</si>
  <si>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</si>
  <si>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</si>
  <si>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</si>
  <si>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</si>
  <si>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</si>
  <si>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</si>
  <si>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</si>
  <si>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 xml:space="preserve">40 - Ministerio de Salud </t>
  </si>
  <si>
    <t>23 - Hospital Interzonal San Juan Bautista</t>
  </si>
  <si>
    <t>40 - Ministerio de Salud</t>
  </si>
  <si>
    <t>3.1</t>
  </si>
  <si>
    <t>1.1</t>
  </si>
  <si>
    <t>ALBUMINA 20% X 50 ML</t>
  </si>
  <si>
    <t>AMOXICILINA 500 MG COMPRIMIDO</t>
  </si>
  <si>
    <t>AMPICILINA 1G FCO AMPOLLA</t>
  </si>
  <si>
    <t>BUPIVACAINA 5 MG / ML  AMPOLLA DE 4 ML CON AGUJA 27 G X 3 1/2 CON INTRODUCTOR TIPO DURACAINE 0,5 % HIPERBARICA SCOTT CASARRA</t>
  </si>
  <si>
    <t>CLONAZEPAM 0,5 MG. COMPRIMIDOS</t>
  </si>
  <si>
    <t>CLORURO DE POTASIO 223 MG/ML AMPOLLA</t>
  </si>
  <si>
    <t>DIAZEPAM 10 MG. AMPOLLA</t>
  </si>
  <si>
    <t>DOBUTAMINA 250 MG. F/A X1 X 20 ML</t>
  </si>
  <si>
    <t>DOPAMINA 100 MG. AMPOLLA</t>
  </si>
  <si>
    <t>ENALAPRIL 10 MG COMPRIMIDO</t>
  </si>
  <si>
    <t>ETILEFRINA 10 MG. AMPOLLAS</t>
  </si>
  <si>
    <t>FENITOINA 100 MG COMPRIMIDO</t>
  </si>
  <si>
    <t>FENOBARBITAL 100 MG. AMPOLLAS</t>
  </si>
  <si>
    <t>FENTANILO 250 MCG INYECTABLE</t>
  </si>
  <si>
    <t>FUROSEMIDA 40 MG. COMPRIDOS</t>
  </si>
  <si>
    <t>GAMMAGLOBULINA HUMANA G 10 GRS  FCO AMPOLLA</t>
  </si>
  <si>
    <t>GELATINA MODIFICADA 4%  SACHET X 500 ML TIPO GELAFUNDIN</t>
  </si>
  <si>
    <t>GENTAMICINA 80 MG AMPOLLA</t>
  </si>
  <si>
    <t>HEPARINA SODICA 5000 UI FCO AMPOLLA</t>
  </si>
  <si>
    <t>IBUPROFENO 400 MG COMPRIMIDO</t>
  </si>
  <si>
    <t>INSULINA CORRIENTE HUMANA 100 UI FCO AMP</t>
  </si>
  <si>
    <t>INSULINA NPH HUMANA 100 UI FCO AMP</t>
  </si>
  <si>
    <t>MIDAZOLAM 15 MG AMPOLLA</t>
  </si>
  <si>
    <t>NALBULFINA 10 MG AMP</t>
  </si>
  <si>
    <t>SUCCINILCOLINA 500 MG FCO AMP</t>
  </si>
  <si>
    <t>VITAMINA B EN AMPOLLAS TIPO BECOZYM X 6 AMPOLLAS</t>
  </si>
  <si>
    <t>VITAMINA K 10 MG AMPOLLA</t>
  </si>
  <si>
    <t>no</t>
  </si>
  <si>
    <t>PROD. FARMAC Y MEDICINALES</t>
  </si>
  <si>
    <t>2.5.2</t>
  </si>
  <si>
    <t>168 - Direccion Asistencial</t>
  </si>
  <si>
    <t xml:space="preserve">Servicio de Farmacia </t>
  </si>
  <si>
    <t xml:space="preserve">Adquisicion de Medicamentos </t>
  </si>
  <si>
    <t>349 - 2020</t>
  </si>
  <si>
    <t>Para la adquisición de Medicamentos, para ser destinados al Hospital Interzonal San Juan Bautista</t>
  </si>
  <si>
    <t>Prod. Farmaceut. Y Medicinales</t>
  </si>
  <si>
    <t>CILASTATIM IMIPENEM FRASCO AMPOLLA TIPO RICHET FRASCO QUE PERMITA RECONSTITUCION Y DOSIFICACION PARA EL SERVICIO DE NEONATOLOGIA</t>
  </si>
  <si>
    <t>Costo total estimado: cincuenta y nueve millones ciento quince mil cuatrocientos setenta con 00/100.------</t>
  </si>
  <si>
    <t>TOTAL DE PESOS: CINCUENTA Y NUEVE MILLONES CIENTO QUINCE MIL CUATROCIENTOS SETENTA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</si>
</sst>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* #,##0.00_-;\-[$$-2C0A]* #,##0.00_-;_-[$$-2C0A]* &quot;-&quot;??_-;_-@_-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7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8" xfId="0" applyBorder="1"/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3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6" fillId="0" borderId="6" xfId="0" applyFont="1" applyBorder="1"/>
    <xf numFmtId="0" fontId="16" fillId="0" borderId="0" xfId="0" applyFont="1" applyBorder="1"/>
    <xf numFmtId="0" fontId="16" fillId="0" borderId="7" xfId="0" applyFont="1" applyBorder="1"/>
    <xf numFmtId="0" fontId="23" fillId="0" borderId="6" xfId="0" applyFont="1" applyBorder="1" applyAlignment="1">
      <alignment horizontal="left" indent="3"/>
    </xf>
    <xf numFmtId="0" fontId="16" fillId="0" borderId="6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6" fillId="0" borderId="8" xfId="0" applyFont="1" applyBorder="1" applyAlignment="1">
      <alignment horizontal="left" indent="3"/>
    </xf>
    <xf numFmtId="0" fontId="16" fillId="0" borderId="9" xfId="0" applyFont="1" applyBorder="1"/>
    <xf numFmtId="0" fontId="16" fillId="0" borderId="10" xfId="0" applyFont="1" applyBorder="1"/>
    <xf numFmtId="0" fontId="4" fillId="4" borderId="20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left" vertical="center"/>
    </xf>
    <xf numFmtId="0" fontId="4" fillId="5" borderId="20" xfId="0" applyFont="1" applyFill="1" applyBorder="1" applyAlignment="1">
      <alignment horizontal="center" vertical="center"/>
    </xf>
    <xf numFmtId="166" fontId="4" fillId="4" borderId="20" xfId="1" applyNumberFormat="1" applyFont="1" applyFill="1" applyBorder="1" applyAlignment="1" applyProtection="1">
      <alignment horizontal="right" vertical="center" wrapText="1"/>
    </xf>
    <xf numFmtId="3" fontId="4" fillId="4" borderId="20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24" fillId="5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1" fillId="0" borderId="2" xfId="0" applyFont="1" applyBorder="1" applyAlignment="1">
      <alignment horizontal="center" vertical="center"/>
    </xf>
    <xf numFmtId="14" fontId="0" fillId="0" borderId="2" xfId="0" applyNumberFormat="1" applyBorder="1"/>
    <xf numFmtId="0" fontId="21" fillId="0" borderId="51" xfId="0" applyFont="1" applyBorder="1" applyAlignment="1">
      <alignment horizontal="center" vertical="center"/>
    </xf>
    <xf numFmtId="0" fontId="0" fillId="0" borderId="51" xfId="0" applyBorder="1"/>
    <xf numFmtId="0" fontId="22" fillId="0" borderId="51" xfId="0" applyFont="1" applyBorder="1" applyAlignment="1">
      <alignment horizontal="left" vertical="center" wrapText="1"/>
    </xf>
    <xf numFmtId="0" fontId="22" fillId="0" borderId="51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/>
    </xf>
    <xf numFmtId="0" fontId="0" fillId="5" borderId="33" xfId="0" applyFont="1" applyFill="1" applyBorder="1" applyAlignment="1">
      <alignment horizontal="center" vertical="center"/>
    </xf>
    <xf numFmtId="0" fontId="0" fillId="5" borderId="34" xfId="0" applyFont="1" applyFill="1" applyBorder="1" applyAlignment="1">
      <alignment horizontal="center" vertical="center"/>
    </xf>
    <xf numFmtId="0" fontId="25" fillId="5" borderId="34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0" fillId="5" borderId="35" xfId="0" applyFont="1" applyFill="1" applyBorder="1" applyAlignment="1">
      <alignment horizontal="center" vertical="center"/>
    </xf>
    <xf numFmtId="166" fontId="14" fillId="4" borderId="46" xfId="0" applyNumberFormat="1" applyFont="1" applyFill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0" fontId="26" fillId="0" borderId="2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3" fontId="0" fillId="0" borderId="2" xfId="0" applyNumberFormat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0" fontId="26" fillId="0" borderId="2" xfId="0" applyFont="1" applyBorder="1" applyAlignment="1">
      <alignment horizontal="left" vertical="center"/>
    </xf>
    <xf numFmtId="0" fontId="26" fillId="0" borderId="2" xfId="0" applyFont="1" applyFill="1" applyBorder="1" applyAlignment="1">
      <alignment vertical="center"/>
    </xf>
    <xf numFmtId="3" fontId="0" fillId="0" borderId="2" xfId="0" applyNumberFormat="1" applyFill="1" applyBorder="1" applyAlignment="1">
      <alignment horizontal="center" vertical="center"/>
    </xf>
    <xf numFmtId="0" fontId="26" fillId="0" borderId="2" xfId="0" applyFont="1" applyFill="1" applyBorder="1" applyAlignment="1">
      <alignment vertical="center" wrapText="1"/>
    </xf>
    <xf numFmtId="169" fontId="15" fillId="0" borderId="51" xfId="1" applyNumberFormat="1" applyBorder="1"/>
    <xf numFmtId="169" fontId="15" fillId="0" borderId="2" xfId="1" applyNumberFormat="1" applyBorder="1"/>
    <xf numFmtId="169" fontId="4" fillId="4" borderId="51" xfId="0" applyNumberFormat="1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/>
    </xf>
    <xf numFmtId="14" fontId="0" fillId="0" borderId="55" xfId="0" applyNumberFormat="1" applyBorder="1"/>
    <xf numFmtId="0" fontId="22" fillId="0" borderId="55" xfId="0" applyFont="1" applyBorder="1" applyAlignment="1">
      <alignment horizontal="left" vertical="center" wrapText="1"/>
    </xf>
    <xf numFmtId="0" fontId="22" fillId="0" borderId="55" xfId="0" applyFont="1" applyBorder="1" applyAlignment="1">
      <alignment horizontal="center" vertical="center" wrapText="1"/>
    </xf>
    <xf numFmtId="0" fontId="0" fillId="0" borderId="55" xfId="0" applyBorder="1" applyAlignment="1">
      <alignment wrapText="1"/>
    </xf>
    <xf numFmtId="0" fontId="19" fillId="0" borderId="55" xfId="0" applyFont="1" applyBorder="1" applyAlignment="1">
      <alignment horizontal="center" wrapText="1"/>
    </xf>
    <xf numFmtId="0" fontId="19" fillId="0" borderId="55" xfId="0" applyFont="1" applyBorder="1" applyAlignment="1">
      <alignment horizontal="center" vertical="center" wrapText="1"/>
    </xf>
    <xf numFmtId="0" fontId="4" fillId="4" borderId="55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5" borderId="0" xfId="0" applyFont="1" applyFill="1" applyBorder="1" applyAlignment="1">
      <alignment horizontal="left" wrapText="1" indent="1"/>
    </xf>
    <xf numFmtId="0" fontId="8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 indent="1"/>
    </xf>
    <xf numFmtId="0" fontId="6" fillId="0" borderId="50" xfId="0" applyFont="1" applyBorder="1" applyAlignment="1">
      <alignment horizontal="left" vertical="center" wrapText="1" indent="1"/>
    </xf>
    <xf numFmtId="167" fontId="7" fillId="4" borderId="15" xfId="0" applyNumberFormat="1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left" vertical="center" wrapText="1"/>
    </xf>
    <xf numFmtId="0" fontId="4" fillId="4" borderId="22" xfId="0" applyFont="1" applyFill="1" applyBorder="1" applyAlignment="1">
      <alignment horizontal="left" vertical="center" wrapText="1"/>
    </xf>
    <xf numFmtId="0" fontId="4" fillId="4" borderId="56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6" fillId="4" borderId="15" xfId="0" applyFont="1" applyFill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6" fillId="5" borderId="18" xfId="0" applyFont="1" applyFill="1" applyBorder="1" applyAlignment="1">
      <alignment horizontal="left" vertical="center" wrapText="1" indent="1"/>
    </xf>
    <xf numFmtId="0" fontId="8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10" fillId="0" borderId="22" xfId="0" applyFont="1" applyBorder="1" applyAlignment="1">
      <alignment vertical="center" wrapText="1"/>
    </xf>
    <xf numFmtId="0" fontId="10" fillId="0" borderId="47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5" borderId="46" xfId="0" applyFont="1" applyFill="1" applyBorder="1" applyAlignment="1">
      <alignment horizontal="left" vertical="center" wrapText="1" indent="1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0" fillId="0" borderId="24" xfId="0" applyBorder="1"/>
    <xf numFmtId="0" fontId="15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12" fillId="0" borderId="25" xfId="0" applyFont="1" applyBorder="1"/>
    <xf numFmtId="0" fontId="12" fillId="0" borderId="26" xfId="0" applyFont="1" applyBorder="1" applyAlignment="1">
      <alignment horizontal="left" vertical="center" wrapText="1" indent="1"/>
    </xf>
    <xf numFmtId="0" fontId="14" fillId="0" borderId="2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indent="1"/>
    </xf>
    <xf numFmtId="0" fontId="13" fillId="0" borderId="12" xfId="0" applyFont="1" applyBorder="1" applyAlignment="1">
      <alignment horizontal="left"/>
    </xf>
    <xf numFmtId="0" fontId="0" fillId="0" borderId="22" xfId="0" applyFont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2" fillId="0" borderId="12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9"/>
  <sheetViews>
    <sheetView zoomScale="90" zoomScaleNormal="90" workbookViewId="0">
      <selection activeCell="H26" sqref="H26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3" t="s">
        <v>0</v>
      </c>
      <c r="C2" s="103"/>
      <c r="D2" s="103"/>
      <c r="E2" s="103"/>
      <c r="F2" s="103"/>
      <c r="G2" s="103"/>
      <c r="H2" s="103"/>
    </row>
    <row r="4" spans="1:9" ht="18" customHeight="1" x14ac:dyDescent="0.25">
      <c r="A4" s="102" t="s">
        <v>1</v>
      </c>
      <c r="B4" s="102"/>
      <c r="C4" s="104" t="s">
        <v>61</v>
      </c>
      <c r="D4" s="104"/>
      <c r="E4" s="104"/>
      <c r="F4" s="40"/>
      <c r="G4" s="41"/>
      <c r="H4" s="40"/>
    </row>
    <row r="5" spans="1:9" ht="18" customHeight="1" x14ac:dyDescent="0.25">
      <c r="A5" s="102" t="s">
        <v>2</v>
      </c>
      <c r="B5" s="102"/>
      <c r="C5" s="104" t="s">
        <v>60</v>
      </c>
      <c r="D5" s="104"/>
      <c r="E5" s="104"/>
      <c r="F5" s="40"/>
      <c r="G5" s="41"/>
      <c r="H5" s="40"/>
    </row>
    <row r="6" spans="1:9" ht="16.5" customHeight="1" x14ac:dyDescent="0.25">
      <c r="A6" s="102" t="s">
        <v>3</v>
      </c>
      <c r="B6" s="102"/>
      <c r="C6" s="62">
        <v>2020</v>
      </c>
      <c r="D6" s="63"/>
      <c r="E6" s="63"/>
      <c r="F6" s="40"/>
      <c r="G6" s="41"/>
      <c r="H6" s="40"/>
    </row>
    <row r="7" spans="1:9" ht="16.5" customHeight="1" x14ac:dyDescent="0.25">
      <c r="A7" s="102" t="s">
        <v>4</v>
      </c>
      <c r="B7" s="102"/>
      <c r="C7" s="62">
        <v>3</v>
      </c>
      <c r="D7" s="63"/>
      <c r="E7" s="63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70" t="s">
        <v>5</v>
      </c>
      <c r="B9" s="71" t="s">
        <v>6</v>
      </c>
      <c r="C9" s="71" t="s">
        <v>7</v>
      </c>
      <c r="D9" s="71" t="s">
        <v>8</v>
      </c>
      <c r="E9" s="71" t="s">
        <v>9</v>
      </c>
      <c r="F9" s="71" t="s">
        <v>10</v>
      </c>
      <c r="G9" s="71" t="s">
        <v>11</v>
      </c>
      <c r="H9" s="71" t="s">
        <v>12</v>
      </c>
      <c r="I9" s="72" t="s">
        <v>13</v>
      </c>
    </row>
    <row r="10" spans="1:9" ht="15" x14ac:dyDescent="0.2">
      <c r="A10" s="66">
        <v>1</v>
      </c>
      <c r="B10" s="67"/>
      <c r="C10" s="68" t="s">
        <v>92</v>
      </c>
      <c r="D10" s="69" t="s">
        <v>93</v>
      </c>
      <c r="E10" s="80" t="s">
        <v>64</v>
      </c>
      <c r="F10" s="81" t="s">
        <v>14</v>
      </c>
      <c r="G10" s="83">
        <v>2000</v>
      </c>
      <c r="H10" s="89">
        <v>2800</v>
      </c>
      <c r="I10" s="91">
        <f>+G10*H10</f>
        <v>5600000</v>
      </c>
    </row>
    <row r="11" spans="1:9" ht="15" x14ac:dyDescent="0.2">
      <c r="A11" s="64">
        <v>2</v>
      </c>
      <c r="B11" s="61"/>
      <c r="C11" s="68" t="s">
        <v>92</v>
      </c>
      <c r="D11" s="69" t="s">
        <v>93</v>
      </c>
      <c r="E11" s="82" t="s">
        <v>65</v>
      </c>
      <c r="F11" s="81" t="s">
        <v>14</v>
      </c>
      <c r="G11" s="83">
        <v>1000</v>
      </c>
      <c r="H11" s="90">
        <v>10.4</v>
      </c>
      <c r="I11" s="91">
        <f t="shared" ref="I11:I37" si="0">+G11*H11</f>
        <v>10400</v>
      </c>
    </row>
    <row r="12" spans="1:9" ht="26.25" customHeight="1" x14ac:dyDescent="0.2">
      <c r="A12" s="64">
        <v>3</v>
      </c>
      <c r="B12" s="61"/>
      <c r="C12" s="68" t="s">
        <v>92</v>
      </c>
      <c r="D12" s="69" t="s">
        <v>93</v>
      </c>
      <c r="E12" s="80" t="s">
        <v>66</v>
      </c>
      <c r="F12" s="81" t="s">
        <v>14</v>
      </c>
      <c r="G12" s="83">
        <v>300</v>
      </c>
      <c r="H12" s="90">
        <v>16</v>
      </c>
      <c r="I12" s="91">
        <f t="shared" si="0"/>
        <v>4800</v>
      </c>
    </row>
    <row r="13" spans="1:9" ht="45" x14ac:dyDescent="0.2">
      <c r="A13" s="64">
        <v>4</v>
      </c>
      <c r="B13" s="61"/>
      <c r="C13" s="68" t="s">
        <v>92</v>
      </c>
      <c r="D13" s="69" t="s">
        <v>93</v>
      </c>
      <c r="E13" s="81" t="s">
        <v>67</v>
      </c>
      <c r="F13" s="81" t="s">
        <v>14</v>
      </c>
      <c r="G13" s="83">
        <v>400</v>
      </c>
      <c r="H13" s="90">
        <v>1850</v>
      </c>
      <c r="I13" s="91">
        <f t="shared" si="0"/>
        <v>740000</v>
      </c>
    </row>
    <row r="14" spans="1:9" ht="44.25" customHeight="1" x14ac:dyDescent="0.2">
      <c r="A14" s="66">
        <v>5</v>
      </c>
      <c r="B14" s="61"/>
      <c r="C14" s="68" t="s">
        <v>92</v>
      </c>
      <c r="D14" s="69" t="s">
        <v>93</v>
      </c>
      <c r="E14" s="81" t="s">
        <v>100</v>
      </c>
      <c r="F14" s="81" t="s">
        <v>14</v>
      </c>
      <c r="G14" s="83">
        <v>3000</v>
      </c>
      <c r="H14" s="90">
        <v>1540</v>
      </c>
      <c r="I14" s="91">
        <f t="shared" si="0"/>
        <v>4620000</v>
      </c>
    </row>
    <row r="15" spans="1:9" ht="15" x14ac:dyDescent="0.2">
      <c r="A15" s="64">
        <v>6</v>
      </c>
      <c r="B15" s="61"/>
      <c r="C15" s="68" t="s">
        <v>92</v>
      </c>
      <c r="D15" s="69" t="s">
        <v>93</v>
      </c>
      <c r="E15" s="81" t="s">
        <v>68</v>
      </c>
      <c r="F15" s="81" t="s">
        <v>14</v>
      </c>
      <c r="G15" s="83">
        <v>1000</v>
      </c>
      <c r="H15" s="90">
        <v>4.5999999999999996</v>
      </c>
      <c r="I15" s="91">
        <f t="shared" si="0"/>
        <v>4600</v>
      </c>
    </row>
    <row r="16" spans="1:9" ht="15" x14ac:dyDescent="0.2">
      <c r="A16" s="64">
        <v>7</v>
      </c>
      <c r="B16" s="61"/>
      <c r="C16" s="68" t="s">
        <v>92</v>
      </c>
      <c r="D16" s="69" t="s">
        <v>93</v>
      </c>
      <c r="E16" s="84" t="s">
        <v>69</v>
      </c>
      <c r="F16" s="81" t="s">
        <v>14</v>
      </c>
      <c r="G16" s="83">
        <v>6000</v>
      </c>
      <c r="H16" s="90">
        <v>69.599999999999994</v>
      </c>
      <c r="I16" s="91">
        <f t="shared" si="0"/>
        <v>417599.99999999994</v>
      </c>
    </row>
    <row r="17" spans="1:9" ht="15" x14ac:dyDescent="0.2">
      <c r="A17" s="64">
        <v>8</v>
      </c>
      <c r="B17" s="60"/>
      <c r="C17" s="68" t="s">
        <v>92</v>
      </c>
      <c r="D17" s="69" t="s">
        <v>93</v>
      </c>
      <c r="E17" s="80" t="s">
        <v>70</v>
      </c>
      <c r="F17" s="81" t="s">
        <v>14</v>
      </c>
      <c r="G17" s="83">
        <v>2000</v>
      </c>
      <c r="H17" s="90">
        <v>89.3</v>
      </c>
      <c r="I17" s="91">
        <f t="shared" si="0"/>
        <v>178600</v>
      </c>
    </row>
    <row r="18" spans="1:9" ht="15" x14ac:dyDescent="0.2">
      <c r="A18" s="66">
        <v>9</v>
      </c>
      <c r="B18" s="60"/>
      <c r="C18" s="68" t="s">
        <v>92</v>
      </c>
      <c r="D18" s="69" t="s">
        <v>93</v>
      </c>
      <c r="E18" s="81" t="s">
        <v>71</v>
      </c>
      <c r="F18" s="81" t="s">
        <v>14</v>
      </c>
      <c r="G18" s="83">
        <v>100</v>
      </c>
      <c r="H18" s="90">
        <v>930</v>
      </c>
      <c r="I18" s="91">
        <f t="shared" si="0"/>
        <v>93000</v>
      </c>
    </row>
    <row r="19" spans="1:9" ht="15" x14ac:dyDescent="0.2">
      <c r="A19" s="64">
        <v>10</v>
      </c>
      <c r="B19" s="60"/>
      <c r="C19" s="68" t="s">
        <v>92</v>
      </c>
      <c r="D19" s="69" t="s">
        <v>93</v>
      </c>
      <c r="E19" s="81" t="s">
        <v>72</v>
      </c>
      <c r="F19" s="81" t="s">
        <v>14</v>
      </c>
      <c r="G19" s="83">
        <v>1000</v>
      </c>
      <c r="H19" s="90">
        <v>92.3</v>
      </c>
      <c r="I19" s="91">
        <f t="shared" si="0"/>
        <v>92300</v>
      </c>
    </row>
    <row r="20" spans="1:9" ht="15" x14ac:dyDescent="0.2">
      <c r="A20" s="64">
        <v>11</v>
      </c>
      <c r="B20" s="60"/>
      <c r="C20" s="68" t="s">
        <v>92</v>
      </c>
      <c r="D20" s="69" t="s">
        <v>93</v>
      </c>
      <c r="E20" s="80" t="s">
        <v>73</v>
      </c>
      <c r="F20" s="81" t="s">
        <v>14</v>
      </c>
      <c r="G20" s="83">
        <v>2500</v>
      </c>
      <c r="H20" s="90">
        <v>4.9000000000000004</v>
      </c>
      <c r="I20" s="91">
        <f t="shared" si="0"/>
        <v>12250</v>
      </c>
    </row>
    <row r="21" spans="1:9" ht="15" x14ac:dyDescent="0.2">
      <c r="A21" s="64">
        <v>12</v>
      </c>
      <c r="B21" s="61"/>
      <c r="C21" s="68" t="s">
        <v>92</v>
      </c>
      <c r="D21" s="69" t="s">
        <v>93</v>
      </c>
      <c r="E21" s="80" t="s">
        <v>74</v>
      </c>
      <c r="F21" s="81" t="s">
        <v>14</v>
      </c>
      <c r="G21" s="83">
        <v>2000</v>
      </c>
      <c r="H21" s="90">
        <v>132.1</v>
      </c>
      <c r="I21" s="91">
        <f t="shared" si="0"/>
        <v>264200</v>
      </c>
    </row>
    <row r="22" spans="1:9" ht="15" x14ac:dyDescent="0.2">
      <c r="A22" s="66">
        <v>13</v>
      </c>
      <c r="B22" s="61"/>
      <c r="C22" s="68" t="s">
        <v>92</v>
      </c>
      <c r="D22" s="69" t="s">
        <v>93</v>
      </c>
      <c r="E22" s="81" t="s">
        <v>75</v>
      </c>
      <c r="F22" s="81" t="s">
        <v>14</v>
      </c>
      <c r="G22" s="83">
        <v>2000</v>
      </c>
      <c r="H22" s="90">
        <v>13.6</v>
      </c>
      <c r="I22" s="91">
        <f t="shared" si="0"/>
        <v>27200</v>
      </c>
    </row>
    <row r="23" spans="1:9" ht="15" x14ac:dyDescent="0.2">
      <c r="A23" s="64">
        <v>14</v>
      </c>
      <c r="B23" s="61"/>
      <c r="C23" s="68" t="s">
        <v>92</v>
      </c>
      <c r="D23" s="69" t="s">
        <v>93</v>
      </c>
      <c r="E23" s="81" t="s">
        <v>76</v>
      </c>
      <c r="F23" s="81" t="s">
        <v>14</v>
      </c>
      <c r="G23" s="83">
        <v>3000</v>
      </c>
      <c r="H23" s="90">
        <v>620.20000000000005</v>
      </c>
      <c r="I23" s="91">
        <f t="shared" si="0"/>
        <v>1860600.0000000002</v>
      </c>
    </row>
    <row r="24" spans="1:9" ht="15" x14ac:dyDescent="0.2">
      <c r="A24" s="64">
        <v>15</v>
      </c>
      <c r="B24" s="61"/>
      <c r="C24" s="68" t="s">
        <v>92</v>
      </c>
      <c r="D24" s="69" t="s">
        <v>93</v>
      </c>
      <c r="E24" s="85" t="s">
        <v>77</v>
      </c>
      <c r="F24" s="81" t="s">
        <v>14</v>
      </c>
      <c r="G24" s="83">
        <v>5000</v>
      </c>
      <c r="H24" s="90">
        <v>330</v>
      </c>
      <c r="I24" s="91">
        <f t="shared" si="0"/>
        <v>1650000</v>
      </c>
    </row>
    <row r="25" spans="1:9" ht="15" x14ac:dyDescent="0.2">
      <c r="A25" s="64">
        <v>16</v>
      </c>
      <c r="B25" s="61"/>
      <c r="C25" s="68" t="s">
        <v>92</v>
      </c>
      <c r="D25" s="69" t="s">
        <v>93</v>
      </c>
      <c r="E25" s="85" t="s">
        <v>78</v>
      </c>
      <c r="F25" s="81" t="s">
        <v>14</v>
      </c>
      <c r="G25" s="83">
        <v>1000</v>
      </c>
      <c r="H25" s="90">
        <v>7.31</v>
      </c>
      <c r="I25" s="91">
        <f t="shared" si="0"/>
        <v>7310</v>
      </c>
    </row>
    <row r="26" spans="1:9" ht="15" x14ac:dyDescent="0.2">
      <c r="A26" s="66">
        <v>17</v>
      </c>
      <c r="B26" s="61"/>
      <c r="C26" s="68" t="s">
        <v>92</v>
      </c>
      <c r="D26" s="69" t="s">
        <v>93</v>
      </c>
      <c r="E26" s="80" t="s">
        <v>79</v>
      </c>
      <c r="F26" s="81" t="s">
        <v>14</v>
      </c>
      <c r="G26" s="83">
        <v>100</v>
      </c>
      <c r="H26" s="90">
        <v>71175</v>
      </c>
      <c r="I26" s="91">
        <f t="shared" si="0"/>
        <v>7117500</v>
      </c>
    </row>
    <row r="27" spans="1:9" ht="15" x14ac:dyDescent="0.2">
      <c r="A27" s="64">
        <v>18</v>
      </c>
      <c r="B27" s="61"/>
      <c r="C27" s="68" t="s">
        <v>92</v>
      </c>
      <c r="D27" s="69" t="s">
        <v>93</v>
      </c>
      <c r="E27" s="80" t="s">
        <v>80</v>
      </c>
      <c r="F27" s="81" t="s">
        <v>14</v>
      </c>
      <c r="G27" s="83">
        <v>200</v>
      </c>
      <c r="H27" s="90">
        <v>1654.4</v>
      </c>
      <c r="I27" s="91">
        <f t="shared" si="0"/>
        <v>330880</v>
      </c>
    </row>
    <row r="28" spans="1:9" ht="15" x14ac:dyDescent="0.2">
      <c r="A28" s="64">
        <v>19</v>
      </c>
      <c r="B28" s="61"/>
      <c r="C28" s="68" t="s">
        <v>92</v>
      </c>
      <c r="D28" s="69" t="s">
        <v>93</v>
      </c>
      <c r="E28" s="80" t="s">
        <v>81</v>
      </c>
      <c r="F28" s="81" t="s">
        <v>14</v>
      </c>
      <c r="G28" s="83">
        <v>5000</v>
      </c>
      <c r="H28" s="90">
        <v>78.599999999999994</v>
      </c>
      <c r="I28" s="91">
        <f t="shared" si="0"/>
        <v>393000</v>
      </c>
    </row>
    <row r="29" spans="1:9" ht="15" x14ac:dyDescent="0.2">
      <c r="A29" s="64">
        <v>20</v>
      </c>
      <c r="B29" s="61"/>
      <c r="C29" s="68" t="s">
        <v>92</v>
      </c>
      <c r="D29" s="69" t="s">
        <v>93</v>
      </c>
      <c r="E29" s="80" t="s">
        <v>82</v>
      </c>
      <c r="F29" s="81" t="s">
        <v>14</v>
      </c>
      <c r="G29" s="83">
        <v>8000</v>
      </c>
      <c r="H29" s="90">
        <v>2511</v>
      </c>
      <c r="I29" s="91">
        <f t="shared" si="0"/>
        <v>20088000</v>
      </c>
    </row>
    <row r="30" spans="1:9" ht="15" x14ac:dyDescent="0.2">
      <c r="A30" s="66">
        <v>21</v>
      </c>
      <c r="B30" s="61"/>
      <c r="C30" s="68" t="s">
        <v>92</v>
      </c>
      <c r="D30" s="69" t="s">
        <v>93</v>
      </c>
      <c r="E30" s="86" t="s">
        <v>83</v>
      </c>
      <c r="F30" s="81" t="s">
        <v>14</v>
      </c>
      <c r="G30" s="87">
        <v>2000</v>
      </c>
      <c r="H30" s="90">
        <v>10.199999999999999</v>
      </c>
      <c r="I30" s="91">
        <f t="shared" si="0"/>
        <v>20400</v>
      </c>
    </row>
    <row r="31" spans="1:9" ht="15" x14ac:dyDescent="0.2">
      <c r="A31" s="64">
        <v>22</v>
      </c>
      <c r="B31" s="61"/>
      <c r="C31" s="68" t="s">
        <v>92</v>
      </c>
      <c r="D31" s="69" t="s">
        <v>93</v>
      </c>
      <c r="E31" s="88" t="s">
        <v>84</v>
      </c>
      <c r="F31" s="81" t="s">
        <v>14</v>
      </c>
      <c r="G31" s="87">
        <v>300</v>
      </c>
      <c r="H31" s="90">
        <v>810</v>
      </c>
      <c r="I31" s="91">
        <f t="shared" si="0"/>
        <v>243000</v>
      </c>
    </row>
    <row r="32" spans="1:9" ht="15" x14ac:dyDescent="0.2">
      <c r="A32" s="64">
        <v>23</v>
      </c>
      <c r="B32" s="61"/>
      <c r="C32" s="68" t="s">
        <v>92</v>
      </c>
      <c r="D32" s="69" t="s">
        <v>93</v>
      </c>
      <c r="E32" s="88" t="s">
        <v>85</v>
      </c>
      <c r="F32" s="81" t="s">
        <v>14</v>
      </c>
      <c r="G32" s="87">
        <v>150</v>
      </c>
      <c r="H32" s="90">
        <v>810</v>
      </c>
      <c r="I32" s="91">
        <f t="shared" si="0"/>
        <v>121500</v>
      </c>
    </row>
    <row r="33" spans="1:9" ht="15" x14ac:dyDescent="0.2">
      <c r="A33" s="64">
        <v>24</v>
      </c>
      <c r="B33" s="61"/>
      <c r="C33" s="68" t="s">
        <v>92</v>
      </c>
      <c r="D33" s="69" t="s">
        <v>93</v>
      </c>
      <c r="E33" s="88" t="s">
        <v>86</v>
      </c>
      <c r="F33" s="81" t="s">
        <v>14</v>
      </c>
      <c r="G33" s="87">
        <v>8000</v>
      </c>
      <c r="H33" s="90">
        <v>1750</v>
      </c>
      <c r="I33" s="91">
        <f t="shared" si="0"/>
        <v>14000000</v>
      </c>
    </row>
    <row r="34" spans="1:9" ht="15" x14ac:dyDescent="0.2">
      <c r="A34" s="66">
        <v>25</v>
      </c>
      <c r="B34" s="61"/>
      <c r="C34" s="68" t="s">
        <v>92</v>
      </c>
      <c r="D34" s="69" t="s">
        <v>93</v>
      </c>
      <c r="E34" s="81" t="s">
        <v>87</v>
      </c>
      <c r="F34" s="81" t="s">
        <v>14</v>
      </c>
      <c r="G34" s="83">
        <v>3000</v>
      </c>
      <c r="H34" s="90">
        <v>215</v>
      </c>
      <c r="I34" s="91">
        <f t="shared" si="0"/>
        <v>645000</v>
      </c>
    </row>
    <row r="35" spans="1:9" ht="15" x14ac:dyDescent="0.2">
      <c r="A35" s="64">
        <v>26</v>
      </c>
      <c r="B35" s="61"/>
      <c r="C35" s="68" t="s">
        <v>92</v>
      </c>
      <c r="D35" s="69" t="s">
        <v>93</v>
      </c>
      <c r="E35" s="82" t="s">
        <v>88</v>
      </c>
      <c r="F35" s="81" t="s">
        <v>14</v>
      </c>
      <c r="G35" s="83">
        <v>500</v>
      </c>
      <c r="H35" s="90">
        <v>748.5</v>
      </c>
      <c r="I35" s="91">
        <f t="shared" si="0"/>
        <v>374250</v>
      </c>
    </row>
    <row r="36" spans="1:9" ht="15" x14ac:dyDescent="0.2">
      <c r="A36" s="64">
        <v>27</v>
      </c>
      <c r="B36" s="65"/>
      <c r="C36" s="68" t="s">
        <v>92</v>
      </c>
      <c r="D36" s="69" t="s">
        <v>93</v>
      </c>
      <c r="E36" s="81" t="s">
        <v>89</v>
      </c>
      <c r="F36" s="81" t="s">
        <v>14</v>
      </c>
      <c r="G36" s="83">
        <v>600</v>
      </c>
      <c r="H36" s="90">
        <v>135.6</v>
      </c>
      <c r="I36" s="91">
        <f t="shared" si="0"/>
        <v>81360</v>
      </c>
    </row>
    <row r="37" spans="1:9" ht="15" x14ac:dyDescent="0.2">
      <c r="A37" s="64">
        <v>28</v>
      </c>
      <c r="B37" s="65"/>
      <c r="C37" s="68" t="s">
        <v>92</v>
      </c>
      <c r="D37" s="69" t="s">
        <v>93</v>
      </c>
      <c r="E37" s="80" t="s">
        <v>90</v>
      </c>
      <c r="F37" s="81" t="s">
        <v>14</v>
      </c>
      <c r="G37" s="83">
        <v>1200</v>
      </c>
      <c r="H37" s="90">
        <v>98.1</v>
      </c>
      <c r="I37" s="91">
        <f t="shared" si="0"/>
        <v>117720</v>
      </c>
    </row>
    <row r="38" spans="1:9" x14ac:dyDescent="0.2">
      <c r="A38" s="92"/>
      <c r="B38" s="93"/>
      <c r="C38" s="94"/>
      <c r="D38" s="95"/>
      <c r="E38" s="96"/>
      <c r="F38" s="97"/>
      <c r="G38" s="98"/>
      <c r="H38" s="98"/>
      <c r="I38" s="99"/>
    </row>
    <row r="41" spans="1:9" x14ac:dyDescent="0.2">
      <c r="B41" s="42" t="s">
        <v>15</v>
      </c>
      <c r="C41" s="43"/>
      <c r="D41" s="43"/>
      <c r="E41" s="44"/>
    </row>
    <row r="42" spans="1:9" ht="5.25" customHeight="1" x14ac:dyDescent="0.2">
      <c r="B42" s="45"/>
      <c r="C42" s="46"/>
      <c r="D42" s="46"/>
      <c r="E42" s="47"/>
    </row>
    <row r="43" spans="1:9" x14ac:dyDescent="0.2">
      <c r="B43" s="48" t="s">
        <v>16</v>
      </c>
      <c r="C43" s="46"/>
      <c r="D43" s="46"/>
      <c r="E43" s="47"/>
    </row>
    <row r="44" spans="1:9" ht="41.25" customHeight="1" x14ac:dyDescent="0.2">
      <c r="B44" s="48"/>
      <c r="C44" s="101"/>
      <c r="D44" s="101"/>
      <c r="E44" s="101"/>
    </row>
    <row r="45" spans="1:9" x14ac:dyDescent="0.2">
      <c r="B45" s="48" t="s">
        <v>17</v>
      </c>
      <c r="C45" s="46"/>
      <c r="D45" s="46"/>
      <c r="E45" s="47"/>
    </row>
    <row r="46" spans="1:9" x14ac:dyDescent="0.2">
      <c r="B46" s="49"/>
      <c r="C46" s="100"/>
      <c r="D46" s="100"/>
      <c r="E46" s="100"/>
    </row>
    <row r="47" spans="1:9" x14ac:dyDescent="0.2">
      <c r="B47" s="49"/>
      <c r="C47" s="100"/>
      <c r="D47" s="100"/>
      <c r="E47" s="100"/>
    </row>
    <row r="48" spans="1:9" x14ac:dyDescent="0.2">
      <c r="B48" s="48" t="s">
        <v>18</v>
      </c>
      <c r="C48" s="46"/>
      <c r="D48" s="46"/>
      <c r="E48" s="47"/>
    </row>
    <row r="49" spans="2:5" ht="26.25" customHeight="1" x14ac:dyDescent="0.2">
      <c r="B49" s="49"/>
      <c r="C49" s="101"/>
      <c r="D49" s="101"/>
      <c r="E49" s="101"/>
    </row>
    <row r="50" spans="2:5" x14ac:dyDescent="0.2">
      <c r="B50" s="48" t="s">
        <v>19</v>
      </c>
      <c r="C50" s="50"/>
      <c r="D50" s="50"/>
      <c r="E50" s="51"/>
    </row>
    <row r="51" spans="2:5" ht="26.25" customHeight="1" x14ac:dyDescent="0.2">
      <c r="B51" s="49"/>
      <c r="C51" s="101"/>
      <c r="D51" s="101"/>
      <c r="E51" s="101"/>
    </row>
    <row r="52" spans="2:5" x14ac:dyDescent="0.2">
      <c r="B52" s="48" t="s">
        <v>20</v>
      </c>
      <c r="C52" s="46"/>
      <c r="D52" s="46"/>
      <c r="E52" s="47"/>
    </row>
    <row r="53" spans="2:5" ht="23.25" customHeight="1" x14ac:dyDescent="0.2">
      <c r="B53" s="48"/>
      <c r="C53" s="100"/>
      <c r="D53" s="100"/>
      <c r="E53" s="100"/>
    </row>
    <row r="54" spans="2:5" x14ac:dyDescent="0.2">
      <c r="B54" s="52"/>
      <c r="C54" s="53"/>
      <c r="D54" s="53"/>
      <c r="E54" s="54"/>
    </row>
    <row r="56" spans="2:5" x14ac:dyDescent="0.2">
      <c r="B56" s="42" t="s">
        <v>21</v>
      </c>
      <c r="C56" s="43"/>
      <c r="D56" s="43"/>
      <c r="E56" s="44"/>
    </row>
    <row r="57" spans="2:5" ht="7.5" customHeight="1" x14ac:dyDescent="0.2">
      <c r="B57" s="45"/>
      <c r="C57" s="46"/>
      <c r="D57" s="46"/>
      <c r="E57" s="47"/>
    </row>
    <row r="58" spans="2:5" x14ac:dyDescent="0.2">
      <c r="B58" s="48" t="s">
        <v>16</v>
      </c>
      <c r="C58" s="46"/>
      <c r="D58" s="46"/>
      <c r="E58" s="47"/>
    </row>
    <row r="59" spans="2:5" ht="39" customHeight="1" x14ac:dyDescent="0.2">
      <c r="B59" s="48"/>
      <c r="C59" s="101"/>
      <c r="D59" s="101"/>
      <c r="E59" s="101"/>
    </row>
    <row r="60" spans="2:5" x14ac:dyDescent="0.2">
      <c r="B60" s="48" t="s">
        <v>17</v>
      </c>
      <c r="C60" s="46"/>
      <c r="D60" s="46"/>
      <c r="E60" s="47"/>
    </row>
    <row r="61" spans="2:5" x14ac:dyDescent="0.2">
      <c r="B61" s="49"/>
      <c r="C61" s="100"/>
      <c r="D61" s="100"/>
      <c r="E61" s="100"/>
    </row>
    <row r="62" spans="2:5" x14ac:dyDescent="0.2">
      <c r="B62" s="49"/>
      <c r="C62" s="100"/>
      <c r="D62" s="100"/>
      <c r="E62" s="100"/>
    </row>
    <row r="63" spans="2:5" x14ac:dyDescent="0.2">
      <c r="B63" s="48" t="s">
        <v>18</v>
      </c>
      <c r="C63" s="46"/>
      <c r="D63" s="46"/>
      <c r="E63" s="47"/>
    </row>
    <row r="64" spans="2:5" x14ac:dyDescent="0.2">
      <c r="B64" s="49"/>
      <c r="C64" s="101"/>
      <c r="D64" s="101"/>
      <c r="E64" s="101"/>
    </row>
    <row r="65" spans="2:5" x14ac:dyDescent="0.2">
      <c r="B65" s="48" t="s">
        <v>19</v>
      </c>
      <c r="C65" s="50"/>
      <c r="D65" s="50"/>
      <c r="E65" s="51"/>
    </row>
    <row r="66" spans="2:5" x14ac:dyDescent="0.2">
      <c r="B66" s="49"/>
      <c r="C66" s="101"/>
      <c r="D66" s="101"/>
      <c r="E66" s="101"/>
    </row>
    <row r="67" spans="2:5" x14ac:dyDescent="0.2">
      <c r="B67" s="48" t="s">
        <v>20</v>
      </c>
      <c r="C67" s="46"/>
      <c r="D67" s="46"/>
      <c r="E67" s="47"/>
    </row>
    <row r="68" spans="2:5" x14ac:dyDescent="0.2">
      <c r="B68" s="48"/>
      <c r="C68" s="100"/>
      <c r="D68" s="100"/>
      <c r="E68" s="100"/>
    </row>
    <row r="69" spans="2:5" x14ac:dyDescent="0.2">
      <c r="B69" s="52"/>
      <c r="C69" s="53"/>
      <c r="D69" s="53"/>
      <c r="E69" s="54"/>
    </row>
  </sheetData>
  <mergeCells count="19">
    <mergeCell ref="B2:H2"/>
    <mergeCell ref="A4:B4"/>
    <mergeCell ref="C4:E4"/>
    <mergeCell ref="A5:B5"/>
    <mergeCell ref="C5:E5"/>
    <mergeCell ref="A6:B6"/>
    <mergeCell ref="A7:B7"/>
    <mergeCell ref="C44:E44"/>
    <mergeCell ref="C46:E46"/>
    <mergeCell ref="C47:E47"/>
    <mergeCell ref="C62:E62"/>
    <mergeCell ref="C64:E64"/>
    <mergeCell ref="C66:E66"/>
    <mergeCell ref="C68:E68"/>
    <mergeCell ref="C49:E49"/>
    <mergeCell ref="C51:E51"/>
    <mergeCell ref="C53:E53"/>
    <mergeCell ref="C59:E59"/>
    <mergeCell ref="C61:E6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40"/>
  <sheetViews>
    <sheetView tabSelected="1" topLeftCell="A34" zoomScale="90" zoomScaleNormal="90" workbookViewId="0">
      <selection activeCell="J45" sqref="J4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3" t="s">
        <v>22</v>
      </c>
      <c r="B1" s="113"/>
      <c r="C1" s="113"/>
      <c r="D1" s="113"/>
      <c r="E1" s="113"/>
      <c r="F1" s="113"/>
      <c r="G1" s="113"/>
      <c r="H1" s="113"/>
      <c r="I1" s="113"/>
      <c r="J1" s="3" t="s">
        <v>23</v>
      </c>
      <c r="K1" s="73" t="s">
        <v>97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4" t="s">
        <v>56</v>
      </c>
      <c r="B3" s="114"/>
      <c r="C3" s="114"/>
      <c r="D3" s="115" t="s">
        <v>59</v>
      </c>
      <c r="E3" s="115"/>
      <c r="F3" s="115"/>
      <c r="G3" s="115"/>
      <c r="H3" s="115"/>
      <c r="I3" s="115"/>
      <c r="J3" s="115"/>
      <c r="K3" s="115"/>
    </row>
    <row r="4" spans="1:11" ht="18.75" customHeight="1" thickBot="1" x14ac:dyDescent="0.25">
      <c r="A4" s="116" t="s">
        <v>57</v>
      </c>
      <c r="B4" s="116"/>
      <c r="C4" s="116"/>
      <c r="D4" s="115" t="s">
        <v>60</v>
      </c>
      <c r="E4" s="115"/>
      <c r="F4" s="115"/>
      <c r="G4" s="115"/>
      <c r="H4" s="115"/>
      <c r="I4" s="115"/>
      <c r="J4" s="115"/>
      <c r="K4" s="115"/>
    </row>
    <row r="5" spans="1:11" ht="18.75" customHeight="1" thickBot="1" x14ac:dyDescent="0.25">
      <c r="A5" s="116" t="s">
        <v>35</v>
      </c>
      <c r="B5" s="116"/>
      <c r="C5" s="116"/>
      <c r="D5" s="115" t="s">
        <v>94</v>
      </c>
      <c r="E5" s="115"/>
      <c r="F5" s="115"/>
      <c r="G5" s="115"/>
      <c r="H5" s="115"/>
      <c r="I5" s="115"/>
      <c r="J5" s="115"/>
      <c r="K5" s="115"/>
    </row>
    <row r="6" spans="1:11" ht="16.5" customHeight="1" thickBot="1" x14ac:dyDescent="0.25">
      <c r="A6" s="114" t="s">
        <v>58</v>
      </c>
      <c r="B6" s="114"/>
      <c r="C6" s="114"/>
      <c r="D6" s="115" t="s">
        <v>95</v>
      </c>
      <c r="E6" s="115"/>
      <c r="F6" s="115"/>
      <c r="G6" s="115"/>
      <c r="H6" s="115"/>
      <c r="I6" s="115"/>
      <c r="J6" s="115"/>
      <c r="K6" s="115"/>
    </row>
    <row r="7" spans="1:11" ht="16.5" customHeight="1" x14ac:dyDescent="0.2">
      <c r="A7" s="116" t="s">
        <v>24</v>
      </c>
      <c r="B7" s="116"/>
      <c r="C7" s="116"/>
      <c r="D7" s="115" t="str">
        <f>'Necesidades Trimestrales'!C7 &amp; "° Trimestre - Año " &amp; 'Necesidades Trimestrales'!C6</f>
        <v>3° Trimestre - Año 2020</v>
      </c>
      <c r="E7" s="115"/>
      <c r="F7" s="115"/>
      <c r="G7" s="115"/>
      <c r="H7" s="115"/>
      <c r="I7" s="115"/>
      <c r="J7" s="115"/>
      <c r="K7" s="115"/>
    </row>
    <row r="8" spans="1:11" ht="16.5" customHeight="1" x14ac:dyDescent="0.2">
      <c r="A8" s="117" t="s">
        <v>25</v>
      </c>
      <c r="B8" s="117"/>
      <c r="C8" s="117"/>
      <c r="D8" s="118" t="s">
        <v>96</v>
      </c>
      <c r="E8" s="118"/>
      <c r="F8" s="118"/>
      <c r="G8" s="118"/>
      <c r="H8" s="118"/>
      <c r="I8" s="118"/>
      <c r="J8" s="118"/>
      <c r="K8" s="118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20" t="s">
        <v>26</v>
      </c>
      <c r="B10" s="119" t="s">
        <v>27</v>
      </c>
      <c r="C10" s="119" t="s">
        <v>28</v>
      </c>
      <c r="D10" s="119"/>
      <c r="E10" s="119"/>
      <c r="F10" s="119"/>
      <c r="G10" s="119"/>
      <c r="H10" s="119" t="s">
        <v>29</v>
      </c>
      <c r="I10" s="119" t="s">
        <v>30</v>
      </c>
      <c r="J10" s="119" t="s">
        <v>31</v>
      </c>
      <c r="K10" s="105" t="s">
        <v>32</v>
      </c>
    </row>
    <row r="11" spans="1:11" ht="24" customHeight="1" x14ac:dyDescent="0.2">
      <c r="A11" s="120"/>
      <c r="B11" s="119"/>
      <c r="C11" s="119"/>
      <c r="D11" s="119"/>
      <c r="E11" s="119"/>
      <c r="F11" s="119"/>
      <c r="G11" s="119"/>
      <c r="H11" s="119"/>
      <c r="I11" s="119"/>
      <c r="J11" s="119"/>
      <c r="K11" s="105"/>
    </row>
    <row r="12" spans="1:11" ht="36.75" customHeight="1" thickBot="1" x14ac:dyDescent="0.25">
      <c r="A12" s="8">
        <v>1</v>
      </c>
      <c r="B12" s="56">
        <f>'Necesidades Trimestrales'!B10</f>
        <v>0</v>
      </c>
      <c r="C12" s="109" t="str">
        <f>'Necesidades Trimestrales'!E10</f>
        <v>ALBUMINA 20% X 50 ML</v>
      </c>
      <c r="D12" s="109"/>
      <c r="E12" s="109"/>
      <c r="F12" s="109"/>
      <c r="G12" s="109"/>
      <c r="H12" s="57" t="s">
        <v>91</v>
      </c>
      <c r="I12" s="55" t="str">
        <f>'Necesidades Trimestrales'!F10</f>
        <v>UNIDAD</v>
      </c>
      <c r="J12" s="58">
        <f>'Necesidades Trimestrales'!H10</f>
        <v>2800</v>
      </c>
      <c r="K12" s="59">
        <f>'Necesidades Trimestrales'!G10</f>
        <v>2000</v>
      </c>
    </row>
    <row r="13" spans="1:11" ht="46.5" customHeight="1" thickBot="1" x14ac:dyDescent="0.25">
      <c r="A13" s="9">
        <v>2</v>
      </c>
      <c r="B13" s="56">
        <f>'Necesidades Trimestrales'!B11</f>
        <v>0</v>
      </c>
      <c r="C13" s="109" t="str">
        <f>'Necesidades Trimestrales'!E11</f>
        <v>AMOXICILINA 500 MG COMPRIMIDO</v>
      </c>
      <c r="D13" s="109"/>
      <c r="E13" s="109"/>
      <c r="F13" s="109"/>
      <c r="G13" s="109"/>
      <c r="H13" s="57" t="s">
        <v>91</v>
      </c>
      <c r="I13" s="55" t="str">
        <f>'Necesidades Trimestrales'!F11</f>
        <v>UNIDAD</v>
      </c>
      <c r="J13" s="58">
        <f>'Necesidades Trimestrales'!H11</f>
        <v>10.4</v>
      </c>
      <c r="K13" s="59">
        <f>'Necesidades Trimestrales'!G11</f>
        <v>1000</v>
      </c>
    </row>
    <row r="14" spans="1:11" ht="42" customHeight="1" thickBot="1" x14ac:dyDescent="0.25">
      <c r="A14" s="9">
        <v>3</v>
      </c>
      <c r="B14" s="56">
        <f>'Necesidades Trimestrales'!B12</f>
        <v>0</v>
      </c>
      <c r="C14" s="109" t="str">
        <f>'Necesidades Trimestrales'!E12</f>
        <v>AMPICILINA 1G FCO AMPOLLA</v>
      </c>
      <c r="D14" s="109"/>
      <c r="E14" s="109"/>
      <c r="F14" s="109"/>
      <c r="G14" s="109"/>
      <c r="H14" s="57" t="s">
        <v>91</v>
      </c>
      <c r="I14" s="55" t="str">
        <f>'Necesidades Trimestrales'!F12</f>
        <v>UNIDAD</v>
      </c>
      <c r="J14" s="58">
        <f>'Necesidades Trimestrales'!H12</f>
        <v>16</v>
      </c>
      <c r="K14" s="59">
        <f>'Necesidades Trimestrales'!G12</f>
        <v>300</v>
      </c>
    </row>
    <row r="15" spans="1:11" ht="33.75" customHeight="1" thickBot="1" x14ac:dyDescent="0.25">
      <c r="A15" s="8">
        <v>4</v>
      </c>
      <c r="B15" s="56">
        <f>'Necesidades Trimestrales'!B13</f>
        <v>0</v>
      </c>
      <c r="C15" s="109" t="str">
        <f>'Necesidades Trimestrales'!E13</f>
        <v>BUPIVACAINA 5 MG / ML  AMPOLLA DE 4 ML CON AGUJA 27 G X 3 1/2 CON INTRODUCTOR TIPO DURACAINE 0,5 % HIPERBARICA SCOTT CASARRA</v>
      </c>
      <c r="D15" s="109"/>
      <c r="E15" s="109"/>
      <c r="F15" s="109"/>
      <c r="G15" s="109"/>
      <c r="H15" s="57" t="s">
        <v>91</v>
      </c>
      <c r="I15" s="55" t="str">
        <f>'Necesidades Trimestrales'!F13</f>
        <v>UNIDAD</v>
      </c>
      <c r="J15" s="58">
        <f>'Necesidades Trimestrales'!H13</f>
        <v>1850</v>
      </c>
      <c r="K15" s="59">
        <f>'Necesidades Trimestrales'!G13</f>
        <v>400</v>
      </c>
    </row>
    <row r="16" spans="1:11" ht="33.75" customHeight="1" thickBot="1" x14ac:dyDescent="0.25">
      <c r="A16" s="8">
        <v>5</v>
      </c>
      <c r="B16" s="56">
        <v>0</v>
      </c>
      <c r="C16" s="110" t="s">
        <v>100</v>
      </c>
      <c r="D16" s="111"/>
      <c r="E16" s="111"/>
      <c r="F16" s="111"/>
      <c r="G16" s="112"/>
      <c r="H16" s="57" t="s">
        <v>91</v>
      </c>
      <c r="I16" s="55" t="s">
        <v>14</v>
      </c>
      <c r="J16" s="58">
        <f>'Necesidades Trimestrales'!H14</f>
        <v>1540</v>
      </c>
      <c r="K16" s="59">
        <v>3000</v>
      </c>
    </row>
    <row r="17" spans="1:11" ht="33.75" customHeight="1" thickBot="1" x14ac:dyDescent="0.25">
      <c r="A17" s="9">
        <v>6</v>
      </c>
      <c r="B17" s="56">
        <f>'Necesidades Trimestrales'!B15</f>
        <v>0</v>
      </c>
      <c r="C17" s="109" t="str">
        <f>'Necesidades Trimestrales'!E15</f>
        <v>CLONAZEPAM 0,5 MG. COMPRIMIDOS</v>
      </c>
      <c r="D17" s="109"/>
      <c r="E17" s="109"/>
      <c r="F17" s="109"/>
      <c r="G17" s="109"/>
      <c r="H17" s="57" t="s">
        <v>91</v>
      </c>
      <c r="I17" s="55" t="str">
        <f>'Necesidades Trimestrales'!F15</f>
        <v>UNIDAD</v>
      </c>
      <c r="J17" s="58">
        <f>'Necesidades Trimestrales'!H15</f>
        <v>4.5999999999999996</v>
      </c>
      <c r="K17" s="59">
        <f>'Necesidades Trimestrales'!G15</f>
        <v>1000</v>
      </c>
    </row>
    <row r="18" spans="1:11" ht="33.75" customHeight="1" thickBot="1" x14ac:dyDescent="0.25">
      <c r="A18" s="9">
        <v>7</v>
      </c>
      <c r="B18" s="56">
        <f>'Necesidades Trimestrales'!B16</f>
        <v>0</v>
      </c>
      <c r="C18" s="109" t="str">
        <f>'Necesidades Trimestrales'!E16</f>
        <v>CLORURO DE POTASIO 223 MG/ML AMPOLLA</v>
      </c>
      <c r="D18" s="109"/>
      <c r="E18" s="109"/>
      <c r="F18" s="109"/>
      <c r="G18" s="109"/>
      <c r="H18" s="57" t="s">
        <v>91</v>
      </c>
      <c r="I18" s="55" t="str">
        <f>'Necesidades Trimestrales'!F16</f>
        <v>UNIDAD</v>
      </c>
      <c r="J18" s="58">
        <f>'Necesidades Trimestrales'!H16</f>
        <v>69.599999999999994</v>
      </c>
      <c r="K18" s="59">
        <f>'Necesidades Trimestrales'!G16</f>
        <v>6000</v>
      </c>
    </row>
    <row r="19" spans="1:11" ht="33.75" customHeight="1" thickBot="1" x14ac:dyDescent="0.25">
      <c r="A19" s="8">
        <v>8</v>
      </c>
      <c r="B19" s="56">
        <f>'Necesidades Trimestrales'!B17</f>
        <v>0</v>
      </c>
      <c r="C19" s="109" t="str">
        <f>'Necesidades Trimestrales'!E17</f>
        <v>DIAZEPAM 10 MG. AMPOLLA</v>
      </c>
      <c r="D19" s="109"/>
      <c r="E19" s="109"/>
      <c r="F19" s="109"/>
      <c r="G19" s="109"/>
      <c r="H19" s="57" t="s">
        <v>91</v>
      </c>
      <c r="I19" s="55" t="str">
        <f>'Necesidades Trimestrales'!F17</f>
        <v>UNIDAD</v>
      </c>
      <c r="J19" s="58">
        <f>'Necesidades Trimestrales'!H17</f>
        <v>89.3</v>
      </c>
      <c r="K19" s="59">
        <f>'Necesidades Trimestrales'!G17</f>
        <v>2000</v>
      </c>
    </row>
    <row r="20" spans="1:11" ht="33.75" customHeight="1" thickBot="1" x14ac:dyDescent="0.25">
      <c r="A20" s="8">
        <v>9</v>
      </c>
      <c r="B20" s="56">
        <f>'Necesidades Trimestrales'!B18</f>
        <v>0</v>
      </c>
      <c r="C20" s="109" t="str">
        <f>'Necesidades Trimestrales'!E18</f>
        <v>DOBUTAMINA 250 MG. F/A X1 X 20 ML</v>
      </c>
      <c r="D20" s="109"/>
      <c r="E20" s="109"/>
      <c r="F20" s="109"/>
      <c r="G20" s="109"/>
      <c r="H20" s="57" t="s">
        <v>91</v>
      </c>
      <c r="I20" s="55" t="str">
        <f>'Necesidades Trimestrales'!F18</f>
        <v>UNIDAD</v>
      </c>
      <c r="J20" s="58">
        <f>'Necesidades Trimestrales'!H18</f>
        <v>930</v>
      </c>
      <c r="K20" s="59">
        <f>'Necesidades Trimestrales'!G18</f>
        <v>100</v>
      </c>
    </row>
    <row r="21" spans="1:11" ht="33.75" customHeight="1" thickBot="1" x14ac:dyDescent="0.25">
      <c r="A21" s="9">
        <v>10</v>
      </c>
      <c r="B21" s="56">
        <f>'Necesidades Trimestrales'!B19</f>
        <v>0</v>
      </c>
      <c r="C21" s="109" t="str">
        <f>'Necesidades Trimestrales'!E19</f>
        <v>DOPAMINA 100 MG. AMPOLLA</v>
      </c>
      <c r="D21" s="109"/>
      <c r="E21" s="109"/>
      <c r="F21" s="109"/>
      <c r="G21" s="109"/>
      <c r="H21" s="57" t="s">
        <v>91</v>
      </c>
      <c r="I21" s="55" t="str">
        <f>'Necesidades Trimestrales'!F19</f>
        <v>UNIDAD</v>
      </c>
      <c r="J21" s="58">
        <f>'Necesidades Trimestrales'!H19</f>
        <v>92.3</v>
      </c>
      <c r="K21" s="59">
        <f>'Necesidades Trimestrales'!G19</f>
        <v>1000</v>
      </c>
    </row>
    <row r="22" spans="1:11" ht="33.75" customHeight="1" thickBot="1" x14ac:dyDescent="0.25">
      <c r="A22" s="9">
        <v>11</v>
      </c>
      <c r="B22" s="56">
        <f>'Necesidades Trimestrales'!B20</f>
        <v>0</v>
      </c>
      <c r="C22" s="109" t="str">
        <f>'Necesidades Trimestrales'!E20</f>
        <v>ENALAPRIL 10 MG COMPRIMIDO</v>
      </c>
      <c r="D22" s="109"/>
      <c r="E22" s="109"/>
      <c r="F22" s="109"/>
      <c r="G22" s="109"/>
      <c r="H22" s="57" t="s">
        <v>91</v>
      </c>
      <c r="I22" s="55" t="str">
        <f>'Necesidades Trimestrales'!F20</f>
        <v>UNIDAD</v>
      </c>
      <c r="J22" s="58">
        <f>'Necesidades Trimestrales'!H20</f>
        <v>4.9000000000000004</v>
      </c>
      <c r="K22" s="59">
        <f>'Necesidades Trimestrales'!G20</f>
        <v>2500</v>
      </c>
    </row>
    <row r="23" spans="1:11" ht="33.75" customHeight="1" thickBot="1" x14ac:dyDescent="0.25">
      <c r="A23" s="8">
        <v>12</v>
      </c>
      <c r="B23" s="56">
        <f>'Necesidades Trimestrales'!B21</f>
        <v>0</v>
      </c>
      <c r="C23" s="109" t="str">
        <f>'Necesidades Trimestrales'!E21</f>
        <v>ETILEFRINA 10 MG. AMPOLLAS</v>
      </c>
      <c r="D23" s="109"/>
      <c r="E23" s="109"/>
      <c r="F23" s="109"/>
      <c r="G23" s="109"/>
      <c r="H23" s="57" t="s">
        <v>91</v>
      </c>
      <c r="I23" s="55" t="str">
        <f>'Necesidades Trimestrales'!F21</f>
        <v>UNIDAD</v>
      </c>
      <c r="J23" s="58">
        <f>'Necesidades Trimestrales'!H21</f>
        <v>132.1</v>
      </c>
      <c r="K23" s="59">
        <f>'Necesidades Trimestrales'!G21</f>
        <v>2000</v>
      </c>
    </row>
    <row r="24" spans="1:11" ht="33.75" customHeight="1" thickBot="1" x14ac:dyDescent="0.25">
      <c r="A24" s="8">
        <v>13</v>
      </c>
      <c r="B24" s="56">
        <f>'Necesidades Trimestrales'!B22</f>
        <v>0</v>
      </c>
      <c r="C24" s="109" t="str">
        <f>'Necesidades Trimestrales'!E22</f>
        <v>FENITOINA 100 MG COMPRIMIDO</v>
      </c>
      <c r="D24" s="109"/>
      <c r="E24" s="109"/>
      <c r="F24" s="109"/>
      <c r="G24" s="109"/>
      <c r="H24" s="57" t="s">
        <v>91</v>
      </c>
      <c r="I24" s="55" t="str">
        <f>'Necesidades Trimestrales'!F22</f>
        <v>UNIDAD</v>
      </c>
      <c r="J24" s="58">
        <f>'Necesidades Trimestrales'!H22</f>
        <v>13.6</v>
      </c>
      <c r="K24" s="59">
        <f>'Necesidades Trimestrales'!G22</f>
        <v>2000</v>
      </c>
    </row>
    <row r="25" spans="1:11" ht="33.75" customHeight="1" thickBot="1" x14ac:dyDescent="0.25">
      <c r="A25" s="9">
        <v>14</v>
      </c>
      <c r="B25" s="56">
        <f>'Necesidades Trimestrales'!B23</f>
        <v>0</v>
      </c>
      <c r="C25" s="109" t="str">
        <f>'Necesidades Trimestrales'!E23</f>
        <v>FENOBARBITAL 100 MG. AMPOLLAS</v>
      </c>
      <c r="D25" s="109"/>
      <c r="E25" s="109"/>
      <c r="F25" s="109"/>
      <c r="G25" s="109"/>
      <c r="H25" s="57" t="s">
        <v>91</v>
      </c>
      <c r="I25" s="55" t="str">
        <f>'Necesidades Trimestrales'!F23</f>
        <v>UNIDAD</v>
      </c>
      <c r="J25" s="58">
        <f>'Necesidades Trimestrales'!H23</f>
        <v>620.20000000000005</v>
      </c>
      <c r="K25" s="59">
        <f>'Necesidades Trimestrales'!G23</f>
        <v>3000</v>
      </c>
    </row>
    <row r="26" spans="1:11" ht="33.75" customHeight="1" thickBot="1" x14ac:dyDescent="0.25">
      <c r="A26" s="9">
        <v>15</v>
      </c>
      <c r="B26" s="56">
        <f>'Necesidades Trimestrales'!B24</f>
        <v>0</v>
      </c>
      <c r="C26" s="109" t="str">
        <f>'Necesidades Trimestrales'!E24</f>
        <v>FENTANILO 250 MCG INYECTABLE</v>
      </c>
      <c r="D26" s="109"/>
      <c r="E26" s="109"/>
      <c r="F26" s="109"/>
      <c r="G26" s="109"/>
      <c r="H26" s="57" t="s">
        <v>91</v>
      </c>
      <c r="I26" s="55" t="str">
        <f>'Necesidades Trimestrales'!F24</f>
        <v>UNIDAD</v>
      </c>
      <c r="J26" s="58">
        <f>'Necesidades Trimestrales'!H24</f>
        <v>330</v>
      </c>
      <c r="K26" s="59">
        <f>'Necesidades Trimestrales'!G24</f>
        <v>5000</v>
      </c>
    </row>
    <row r="27" spans="1:11" ht="33.75" customHeight="1" thickBot="1" x14ac:dyDescent="0.25">
      <c r="A27" s="8">
        <v>16</v>
      </c>
      <c r="B27" s="56">
        <f>'Necesidades Trimestrales'!B25</f>
        <v>0</v>
      </c>
      <c r="C27" s="109" t="str">
        <f>'Necesidades Trimestrales'!E25</f>
        <v>FUROSEMIDA 40 MG. COMPRIDOS</v>
      </c>
      <c r="D27" s="109"/>
      <c r="E27" s="109"/>
      <c r="F27" s="109"/>
      <c r="G27" s="109"/>
      <c r="H27" s="57" t="s">
        <v>91</v>
      </c>
      <c r="I27" s="55" t="str">
        <f>'Necesidades Trimestrales'!F25</f>
        <v>UNIDAD</v>
      </c>
      <c r="J27" s="58">
        <f>'Necesidades Trimestrales'!H25</f>
        <v>7.31</v>
      </c>
      <c r="K27" s="59">
        <f>'Necesidades Trimestrales'!G25</f>
        <v>1000</v>
      </c>
    </row>
    <row r="28" spans="1:11" ht="42" customHeight="1" thickBot="1" x14ac:dyDescent="0.25">
      <c r="A28" s="8">
        <v>17</v>
      </c>
      <c r="B28" s="56">
        <f>'Necesidades Trimestrales'!B26</f>
        <v>0</v>
      </c>
      <c r="C28" s="109" t="str">
        <f>'Necesidades Trimestrales'!E26</f>
        <v>GAMMAGLOBULINA HUMANA G 10 GRS  FCO AMPOLLA</v>
      </c>
      <c r="D28" s="109"/>
      <c r="E28" s="109"/>
      <c r="F28" s="109"/>
      <c r="G28" s="109"/>
      <c r="H28" s="57" t="s">
        <v>91</v>
      </c>
      <c r="I28" s="55" t="str">
        <f>'Necesidades Trimestrales'!F26</f>
        <v>UNIDAD</v>
      </c>
      <c r="J28" s="58">
        <f>'Necesidades Trimestrales'!H26</f>
        <v>71175</v>
      </c>
      <c r="K28" s="59">
        <f>'Necesidades Trimestrales'!G26</f>
        <v>100</v>
      </c>
    </row>
    <row r="29" spans="1:11" ht="42" customHeight="1" thickBot="1" x14ac:dyDescent="0.25">
      <c r="A29" s="9">
        <v>18</v>
      </c>
      <c r="B29" s="56">
        <f>'Necesidades Trimestrales'!B27</f>
        <v>0</v>
      </c>
      <c r="C29" s="109" t="str">
        <f>'Necesidades Trimestrales'!E27</f>
        <v>GELATINA MODIFICADA 4%  SACHET X 500 ML TIPO GELAFUNDIN</v>
      </c>
      <c r="D29" s="109"/>
      <c r="E29" s="109"/>
      <c r="F29" s="109"/>
      <c r="G29" s="109"/>
      <c r="H29" s="57" t="s">
        <v>91</v>
      </c>
      <c r="I29" s="55" t="str">
        <f>'Necesidades Trimestrales'!F27</f>
        <v>UNIDAD</v>
      </c>
      <c r="J29" s="58">
        <f>'Necesidades Trimestrales'!H27</f>
        <v>1654.4</v>
      </c>
      <c r="K29" s="59">
        <f>'Necesidades Trimestrales'!G27</f>
        <v>200</v>
      </c>
    </row>
    <row r="30" spans="1:11" ht="42" customHeight="1" thickBot="1" x14ac:dyDescent="0.25">
      <c r="A30" s="9">
        <v>19</v>
      </c>
      <c r="B30" s="56">
        <f>'Necesidades Trimestrales'!B28</f>
        <v>0</v>
      </c>
      <c r="C30" s="109" t="str">
        <f>'Necesidades Trimestrales'!E28</f>
        <v>GENTAMICINA 80 MG AMPOLLA</v>
      </c>
      <c r="D30" s="109"/>
      <c r="E30" s="109"/>
      <c r="F30" s="109"/>
      <c r="G30" s="109"/>
      <c r="H30" s="57" t="s">
        <v>91</v>
      </c>
      <c r="I30" s="55" t="str">
        <f>'Necesidades Trimestrales'!F28</f>
        <v>UNIDAD</v>
      </c>
      <c r="J30" s="58">
        <f>'Necesidades Trimestrales'!H28</f>
        <v>78.599999999999994</v>
      </c>
      <c r="K30" s="59">
        <f>'Necesidades Trimestrales'!G28</f>
        <v>5000</v>
      </c>
    </row>
    <row r="31" spans="1:11" ht="42" customHeight="1" thickBot="1" x14ac:dyDescent="0.25">
      <c r="A31" s="8">
        <v>20</v>
      </c>
      <c r="B31" s="56">
        <f>'Necesidades Trimestrales'!B29</f>
        <v>0</v>
      </c>
      <c r="C31" s="109" t="str">
        <f>'Necesidades Trimestrales'!E29</f>
        <v>HEPARINA SODICA 5000 UI FCO AMPOLLA</v>
      </c>
      <c r="D31" s="109"/>
      <c r="E31" s="109"/>
      <c r="F31" s="109"/>
      <c r="G31" s="109"/>
      <c r="H31" s="57" t="s">
        <v>91</v>
      </c>
      <c r="I31" s="55" t="str">
        <f>'Necesidades Trimestrales'!F29</f>
        <v>UNIDAD</v>
      </c>
      <c r="J31" s="58">
        <f>'Necesidades Trimestrales'!H29</f>
        <v>2511</v>
      </c>
      <c r="K31" s="59">
        <f>'Necesidades Trimestrales'!G29</f>
        <v>8000</v>
      </c>
    </row>
    <row r="32" spans="1:11" ht="42" customHeight="1" thickBot="1" x14ac:dyDescent="0.25">
      <c r="A32" s="8">
        <v>21</v>
      </c>
      <c r="B32" s="56">
        <f>'Necesidades Trimestrales'!B30</f>
        <v>0</v>
      </c>
      <c r="C32" s="109" t="str">
        <f>'Necesidades Trimestrales'!E30</f>
        <v>IBUPROFENO 400 MG COMPRIMIDO</v>
      </c>
      <c r="D32" s="109"/>
      <c r="E32" s="109"/>
      <c r="F32" s="109"/>
      <c r="G32" s="109"/>
      <c r="H32" s="57" t="s">
        <v>91</v>
      </c>
      <c r="I32" s="55" t="str">
        <f>'Necesidades Trimestrales'!F30</f>
        <v>UNIDAD</v>
      </c>
      <c r="J32" s="58">
        <f>'Necesidades Trimestrales'!H30</f>
        <v>10.199999999999999</v>
      </c>
      <c r="K32" s="59">
        <f>'Necesidades Trimestrales'!G30</f>
        <v>2000</v>
      </c>
    </row>
    <row r="33" spans="1:11" ht="42" customHeight="1" thickBot="1" x14ac:dyDescent="0.25">
      <c r="A33" s="9">
        <v>22</v>
      </c>
      <c r="B33" s="56">
        <f>'Necesidades Trimestrales'!B31</f>
        <v>0</v>
      </c>
      <c r="C33" s="109" t="str">
        <f>'Necesidades Trimestrales'!E31</f>
        <v>INSULINA CORRIENTE HUMANA 100 UI FCO AMP</v>
      </c>
      <c r="D33" s="109"/>
      <c r="E33" s="109"/>
      <c r="F33" s="109"/>
      <c r="G33" s="109"/>
      <c r="H33" s="57" t="s">
        <v>91</v>
      </c>
      <c r="I33" s="55" t="str">
        <f>'Necesidades Trimestrales'!F31</f>
        <v>UNIDAD</v>
      </c>
      <c r="J33" s="58">
        <f>'Necesidades Trimestrales'!H31</f>
        <v>810</v>
      </c>
      <c r="K33" s="59">
        <f>'Necesidades Trimestrales'!G31</f>
        <v>300</v>
      </c>
    </row>
    <row r="34" spans="1:11" ht="42" customHeight="1" thickBot="1" x14ac:dyDescent="0.25">
      <c r="A34" s="9">
        <v>23</v>
      </c>
      <c r="B34" s="56">
        <f>'Necesidades Trimestrales'!B32</f>
        <v>0</v>
      </c>
      <c r="C34" s="109" t="str">
        <f>'Necesidades Trimestrales'!E32</f>
        <v>INSULINA NPH HUMANA 100 UI FCO AMP</v>
      </c>
      <c r="D34" s="109"/>
      <c r="E34" s="109"/>
      <c r="F34" s="109"/>
      <c r="G34" s="109"/>
      <c r="H34" s="57" t="s">
        <v>91</v>
      </c>
      <c r="I34" s="55" t="str">
        <f>'Necesidades Trimestrales'!F32</f>
        <v>UNIDAD</v>
      </c>
      <c r="J34" s="58">
        <f>'Necesidades Trimestrales'!H32</f>
        <v>810</v>
      </c>
      <c r="K34" s="59">
        <f>'Necesidades Trimestrales'!G32</f>
        <v>150</v>
      </c>
    </row>
    <row r="35" spans="1:11" ht="42" customHeight="1" thickBot="1" x14ac:dyDescent="0.25">
      <c r="A35" s="8">
        <v>24</v>
      </c>
      <c r="B35" s="56">
        <f>'Necesidades Trimestrales'!B33</f>
        <v>0</v>
      </c>
      <c r="C35" s="109" t="str">
        <f>'Necesidades Trimestrales'!E33</f>
        <v>MIDAZOLAM 15 MG AMPOLLA</v>
      </c>
      <c r="D35" s="109"/>
      <c r="E35" s="109"/>
      <c r="F35" s="109"/>
      <c r="G35" s="109"/>
      <c r="H35" s="57" t="s">
        <v>91</v>
      </c>
      <c r="I35" s="55" t="str">
        <f>'Necesidades Trimestrales'!F33</f>
        <v>UNIDAD</v>
      </c>
      <c r="J35" s="58">
        <f>'Necesidades Trimestrales'!H33</f>
        <v>1750</v>
      </c>
      <c r="K35" s="59">
        <f>'Necesidades Trimestrales'!G33</f>
        <v>8000</v>
      </c>
    </row>
    <row r="36" spans="1:11" ht="42" customHeight="1" thickBot="1" x14ac:dyDescent="0.25">
      <c r="A36" s="8">
        <v>25</v>
      </c>
      <c r="B36" s="56">
        <f>'Necesidades Trimestrales'!B34</f>
        <v>0</v>
      </c>
      <c r="C36" s="109" t="str">
        <f>'Necesidades Trimestrales'!E34</f>
        <v>NALBULFINA 10 MG AMP</v>
      </c>
      <c r="D36" s="109"/>
      <c r="E36" s="109"/>
      <c r="F36" s="109"/>
      <c r="G36" s="109"/>
      <c r="H36" s="57" t="s">
        <v>91</v>
      </c>
      <c r="I36" s="55" t="str">
        <f>'Necesidades Trimestrales'!F34</f>
        <v>UNIDAD</v>
      </c>
      <c r="J36" s="58">
        <f>'Necesidades Trimestrales'!H34</f>
        <v>215</v>
      </c>
      <c r="K36" s="59">
        <f>'Necesidades Trimestrales'!G34</f>
        <v>3000</v>
      </c>
    </row>
    <row r="37" spans="1:11" ht="42" customHeight="1" thickBot="1" x14ac:dyDescent="0.25">
      <c r="A37" s="9">
        <v>26</v>
      </c>
      <c r="B37" s="56">
        <f>'Necesidades Trimestrales'!B35</f>
        <v>0</v>
      </c>
      <c r="C37" s="109" t="str">
        <f>'Necesidades Trimestrales'!E35</f>
        <v>SUCCINILCOLINA 500 MG FCO AMP</v>
      </c>
      <c r="D37" s="109"/>
      <c r="E37" s="109"/>
      <c r="F37" s="109"/>
      <c r="G37" s="109"/>
      <c r="H37" s="57" t="s">
        <v>91</v>
      </c>
      <c r="I37" s="55" t="str">
        <f>'Necesidades Trimestrales'!F35</f>
        <v>UNIDAD</v>
      </c>
      <c r="J37" s="58">
        <f>'Necesidades Trimestrales'!H35</f>
        <v>748.5</v>
      </c>
      <c r="K37" s="59">
        <f>'Necesidades Trimestrales'!G35</f>
        <v>500</v>
      </c>
    </row>
    <row r="38" spans="1:11" ht="42" customHeight="1" thickBot="1" x14ac:dyDescent="0.25">
      <c r="A38" s="9">
        <v>27</v>
      </c>
      <c r="B38" s="56">
        <f>'Necesidades Trimestrales'!B36</f>
        <v>0</v>
      </c>
      <c r="C38" s="109" t="str">
        <f>'Necesidades Trimestrales'!E36</f>
        <v>VITAMINA B EN AMPOLLAS TIPO BECOZYM X 6 AMPOLLAS</v>
      </c>
      <c r="D38" s="109"/>
      <c r="E38" s="109"/>
      <c r="F38" s="109"/>
      <c r="G38" s="109"/>
      <c r="H38" s="57" t="s">
        <v>91</v>
      </c>
      <c r="I38" s="55" t="str">
        <f>'Necesidades Trimestrales'!F36</f>
        <v>UNIDAD</v>
      </c>
      <c r="J38" s="58">
        <f>'Necesidades Trimestrales'!H36</f>
        <v>135.6</v>
      </c>
      <c r="K38" s="59">
        <f>'Necesidades Trimestrales'!G36</f>
        <v>600</v>
      </c>
    </row>
    <row r="39" spans="1:11" ht="42" customHeight="1" thickBot="1" x14ac:dyDescent="0.25">
      <c r="A39" s="8">
        <v>28</v>
      </c>
      <c r="B39" s="56">
        <f>'Necesidades Trimestrales'!B37</f>
        <v>0</v>
      </c>
      <c r="C39" s="109" t="str">
        <f>'Necesidades Trimestrales'!E37</f>
        <v>VITAMINA K 10 MG AMPOLLA</v>
      </c>
      <c r="D39" s="109"/>
      <c r="E39" s="109"/>
      <c r="F39" s="109"/>
      <c r="G39" s="109"/>
      <c r="H39" s="57" t="s">
        <v>91</v>
      </c>
      <c r="I39" s="55" t="str">
        <f>'Necesidades Trimestrales'!F37</f>
        <v>UNIDAD</v>
      </c>
      <c r="J39" s="58">
        <f>'Necesidades Trimestrales'!H37</f>
        <v>98.1</v>
      </c>
      <c r="K39" s="59">
        <f>'Necesidades Trimestrales'!G37</f>
        <v>1200</v>
      </c>
    </row>
    <row r="40" spans="1:11" ht="20.25" customHeight="1" thickBot="1" x14ac:dyDescent="0.25">
      <c r="A40" s="106" t="s">
        <v>101</v>
      </c>
      <c r="B40" s="106"/>
      <c r="C40" s="106"/>
      <c r="D40" s="106"/>
      <c r="E40" s="106"/>
      <c r="F40" s="106"/>
      <c r="G40" s="106"/>
      <c r="H40" s="107"/>
      <c r="I40" s="106"/>
      <c r="J40" s="108">
        <f>SUMPRODUCT(J12:J39,K12:K39)</f>
        <v>59115470</v>
      </c>
      <c r="K40" s="108"/>
    </row>
  </sheetData>
  <mergeCells count="50">
    <mergeCell ref="C38:G38"/>
    <mergeCell ref="C39:G39"/>
    <mergeCell ref="C33:G33"/>
    <mergeCell ref="C34:G34"/>
    <mergeCell ref="C35:G35"/>
    <mergeCell ref="C36:G36"/>
    <mergeCell ref="C37:G37"/>
    <mergeCell ref="A8:C8"/>
    <mergeCell ref="D8:K8"/>
    <mergeCell ref="C26:G26"/>
    <mergeCell ref="C27:G27"/>
    <mergeCell ref="C28:G28"/>
    <mergeCell ref="H10:H11"/>
    <mergeCell ref="I10:I11"/>
    <mergeCell ref="C23:G23"/>
    <mergeCell ref="C24:G24"/>
    <mergeCell ref="C25:G25"/>
    <mergeCell ref="C21:G21"/>
    <mergeCell ref="C22:G22"/>
    <mergeCell ref="A10:A11"/>
    <mergeCell ref="B10:B11"/>
    <mergeCell ref="C10:G11"/>
    <mergeCell ref="J10:J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K10:K11"/>
    <mergeCell ref="A40:I40"/>
    <mergeCell ref="J40:K40"/>
    <mergeCell ref="C12:G12"/>
    <mergeCell ref="C13:G13"/>
    <mergeCell ref="C14:G14"/>
    <mergeCell ref="C15:G15"/>
    <mergeCell ref="C17:G17"/>
    <mergeCell ref="C18:G18"/>
    <mergeCell ref="C19:G19"/>
    <mergeCell ref="C20:G20"/>
    <mergeCell ref="C29:G29"/>
    <mergeCell ref="C30:G30"/>
    <mergeCell ref="C31:G31"/>
    <mergeCell ref="C32:G32"/>
    <mergeCell ref="C16:G16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fitToHeight="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7"/>
  <sheetViews>
    <sheetView topLeftCell="A11" zoomScale="110" zoomScaleNormal="11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.42578125" customWidth="1"/>
    <col min="7" max="7" width="4.42578125" style="10" customWidth="1"/>
    <col min="8" max="14" width="4.42578125" customWidth="1"/>
    <col min="15" max="16" width="14.85546875" customWidth="1"/>
    <col min="17" max="17" width="16.7109375" customWidth="1"/>
  </cols>
  <sheetData>
    <row r="1" spans="1:17" ht="15.75" customHeight="1" x14ac:dyDescent="0.25">
      <c r="A1" s="144" t="s">
        <v>3</v>
      </c>
      <c r="B1" s="144"/>
      <c r="C1" s="144"/>
      <c r="D1" s="145">
        <f>'Necesidades Trimestrales'!C6</f>
        <v>2020</v>
      </c>
      <c r="E1" s="145"/>
      <c r="F1" s="11"/>
      <c r="G1" s="11"/>
      <c r="H1" s="12"/>
      <c r="I1" s="12"/>
      <c r="J1" s="12"/>
      <c r="K1" s="12"/>
      <c r="L1" s="12"/>
      <c r="M1" s="12"/>
      <c r="N1" s="12"/>
      <c r="P1" s="146" t="s">
        <v>33</v>
      </c>
      <c r="Q1" s="146"/>
    </row>
    <row r="2" spans="1:17" ht="15.75" customHeight="1" x14ac:dyDescent="0.2">
      <c r="H2" s="12"/>
      <c r="I2" s="12"/>
      <c r="J2" s="12"/>
      <c r="K2" s="12"/>
      <c r="L2" s="12"/>
      <c r="M2" s="12"/>
      <c r="N2" s="12"/>
      <c r="P2" s="146"/>
      <c r="Q2" s="146"/>
    </row>
    <row r="4" spans="1:17" s="13" customFormat="1" ht="18" customHeight="1" thickBot="1" x14ac:dyDescent="0.25">
      <c r="A4" s="147" t="s">
        <v>34</v>
      </c>
      <c r="B4" s="147"/>
      <c r="C4" s="147"/>
      <c r="D4" s="147"/>
      <c r="E4" s="147"/>
      <c r="F4" s="147"/>
      <c r="G4" s="142" t="str">
        <f>' NotaPedido'!D3</f>
        <v xml:space="preserve">40 - Ministerio de Salud 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s="13" customFormat="1" ht="18" customHeight="1" thickBot="1" x14ac:dyDescent="0.25">
      <c r="A5" s="139" t="s">
        <v>57</v>
      </c>
      <c r="B5" s="140"/>
      <c r="C5" s="140"/>
      <c r="D5" s="140"/>
      <c r="E5" s="140"/>
      <c r="F5" s="141"/>
      <c r="G5" s="142" t="str">
        <f>' NotaPedido'!D4</f>
        <v>23 - Hospital Interzonal San Juan Bautista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s="13" customFormat="1" ht="18" customHeight="1" thickBot="1" x14ac:dyDescent="0.25">
      <c r="A6" s="139" t="s">
        <v>35</v>
      </c>
      <c r="B6" s="140"/>
      <c r="C6" s="140"/>
      <c r="D6" s="140"/>
      <c r="E6" s="140"/>
      <c r="F6" s="141"/>
      <c r="G6" s="142" t="str">
        <f>' NotaPedido'!D5</f>
        <v>168 - Direccion Asistencial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s="13" customFormat="1" ht="18" customHeight="1" thickBot="1" x14ac:dyDescent="0.25">
      <c r="A7" s="139" t="s">
        <v>58</v>
      </c>
      <c r="B7" s="140"/>
      <c r="C7" s="140"/>
      <c r="D7" s="140"/>
      <c r="E7" s="140"/>
      <c r="F7" s="141"/>
      <c r="G7" s="142" t="str">
        <f>' NotaPedido'!D6</f>
        <v xml:space="preserve">Servicio de Farmacia 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 x14ac:dyDescent="0.25">
      <c r="A8" s="143" t="s">
        <v>36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2">
      <c r="A9" s="133" t="s">
        <v>37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"/>
      <c r="P9" s="1"/>
      <c r="Q9" s="14"/>
    </row>
    <row r="10" spans="1:17" ht="54.75" customHeight="1" x14ac:dyDescent="0.2">
      <c r="A10" s="13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349 - 2020,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">
      <c r="A11" s="15"/>
      <c r="B11" s="16"/>
      <c r="C11" s="16"/>
      <c r="D11" s="16"/>
      <c r="E11" s="16"/>
      <c r="F11" s="16"/>
      <c r="G11" s="17"/>
      <c r="H11" s="16"/>
      <c r="I11" s="16"/>
      <c r="J11" s="16"/>
      <c r="K11" s="16"/>
      <c r="L11" s="16"/>
      <c r="M11" s="16"/>
      <c r="N11" s="16"/>
      <c r="O11" s="16"/>
      <c r="P11" s="16"/>
      <c r="Q11" s="18"/>
    </row>
    <row r="12" spans="1:17" ht="15.75" customHeight="1" x14ac:dyDescent="0.2">
      <c r="A12" s="135" t="s">
        <v>38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x14ac:dyDescent="0.2">
      <c r="A13" s="136" t="s">
        <v>39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40</v>
      </c>
      <c r="P13" s="137"/>
      <c r="Q13" s="138" t="s">
        <v>41</v>
      </c>
    </row>
    <row r="14" spans="1:17" ht="15.75" customHeight="1" x14ac:dyDescent="0.2">
      <c r="A14" s="19" t="s">
        <v>42</v>
      </c>
      <c r="B14" s="20" t="s">
        <v>43</v>
      </c>
      <c r="C14" s="20" t="s">
        <v>44</v>
      </c>
      <c r="D14" s="20" t="s">
        <v>45</v>
      </c>
      <c r="E14" s="20" t="s">
        <v>46</v>
      </c>
      <c r="F14" s="20" t="s">
        <v>47</v>
      </c>
      <c r="G14" s="21" t="s">
        <v>48</v>
      </c>
      <c r="H14" s="20" t="s">
        <v>49</v>
      </c>
      <c r="I14" s="20" t="s">
        <v>50</v>
      </c>
      <c r="J14" s="20" t="s">
        <v>51</v>
      </c>
      <c r="K14" s="20" t="s">
        <v>51</v>
      </c>
      <c r="L14" s="20" t="s">
        <v>52</v>
      </c>
      <c r="M14" s="22" t="s">
        <v>53</v>
      </c>
      <c r="N14" s="23" t="s">
        <v>54</v>
      </c>
      <c r="O14" s="137"/>
      <c r="P14" s="137"/>
      <c r="Q14" s="138"/>
    </row>
    <row r="15" spans="1:17" ht="27" customHeight="1" x14ac:dyDescent="0.2">
      <c r="A15" s="74">
        <v>33</v>
      </c>
      <c r="B15" s="75"/>
      <c r="C15" s="75"/>
      <c r="D15" s="75">
        <v>2</v>
      </c>
      <c r="E15" s="75"/>
      <c r="F15" s="75">
        <v>4901</v>
      </c>
      <c r="G15" s="75">
        <v>3</v>
      </c>
      <c r="H15" s="76" t="s">
        <v>62</v>
      </c>
      <c r="I15" s="77" t="str">
        <f>LEFT('Necesidades Trimestrales'!D10,1)</f>
        <v>2</v>
      </c>
      <c r="J15" s="77" t="str">
        <f>MID('Necesidades Trimestrales'!D10,3,1)</f>
        <v>5</v>
      </c>
      <c r="K15" s="77" t="str">
        <f>RIGHT('Necesidades Trimestrales'!D10,1)</f>
        <v>2</v>
      </c>
      <c r="L15" s="75"/>
      <c r="M15" s="78">
        <v>1</v>
      </c>
      <c r="N15" s="76" t="s">
        <v>63</v>
      </c>
      <c r="O15" s="131" t="s">
        <v>99</v>
      </c>
      <c r="P15" s="132"/>
      <c r="Q15" s="24">
        <v>59115470</v>
      </c>
    </row>
    <row r="16" spans="1:17" ht="17.2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/>
      <c r="N16" s="28"/>
      <c r="O16" s="126"/>
      <c r="P16" s="126"/>
      <c r="Q16" s="29"/>
    </row>
    <row r="17" spans="1:18" ht="17.25" customHeight="1" x14ac:dyDescent="0.2">
      <c r="A17" s="25"/>
      <c r="B17" s="26"/>
      <c r="C17" s="26"/>
      <c r="D17" s="26"/>
      <c r="E17" s="26"/>
      <c r="F17" s="28"/>
      <c r="G17" s="26"/>
      <c r="H17" s="26"/>
      <c r="I17" s="26"/>
      <c r="J17" s="26"/>
      <c r="K17" s="26"/>
      <c r="L17" s="26"/>
      <c r="M17" s="27"/>
      <c r="N17" s="28"/>
      <c r="O17" s="126"/>
      <c r="P17" s="126"/>
      <c r="Q17" s="29"/>
    </row>
    <row r="18" spans="1:18" ht="17.25" customHeight="1" x14ac:dyDescent="0.2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/>
      <c r="N18" s="28"/>
      <c r="O18" s="126"/>
      <c r="P18" s="126"/>
      <c r="Q18" s="29"/>
    </row>
    <row r="19" spans="1:18" ht="17.25" customHeight="1" x14ac:dyDescent="0.2">
      <c r="A19" s="25"/>
      <c r="B19" s="26"/>
      <c r="C19" s="26"/>
      <c r="D19" s="26"/>
      <c r="E19" s="26"/>
      <c r="F19" s="28"/>
      <c r="G19" s="26"/>
      <c r="H19" s="26"/>
      <c r="I19" s="26"/>
      <c r="J19" s="26"/>
      <c r="K19" s="26"/>
      <c r="L19" s="26"/>
      <c r="M19" s="27"/>
      <c r="N19" s="28"/>
      <c r="O19" s="126"/>
      <c r="P19" s="126"/>
      <c r="Q19" s="29"/>
    </row>
    <row r="20" spans="1:18" ht="17.25" customHeight="1" x14ac:dyDescent="0.2">
      <c r="A20" s="25"/>
      <c r="B20" s="26"/>
      <c r="C20" s="26"/>
      <c r="D20" s="26"/>
      <c r="E20" s="26"/>
      <c r="F20" s="28"/>
      <c r="G20" s="26"/>
      <c r="H20" s="26"/>
      <c r="I20" s="26"/>
      <c r="J20" s="26"/>
      <c r="K20" s="26"/>
      <c r="L20" s="26"/>
      <c r="M20" s="27"/>
      <c r="N20" s="28"/>
      <c r="O20" s="126"/>
      <c r="P20" s="126"/>
      <c r="Q20" s="29"/>
    </row>
    <row r="21" spans="1:18" ht="17.25" customHeight="1" x14ac:dyDescent="0.2">
      <c r="A21" s="30"/>
      <c r="B21" s="31"/>
      <c r="C21" s="31"/>
      <c r="D21" s="31"/>
      <c r="E21" s="31"/>
      <c r="F21" s="32"/>
      <c r="G21" s="31"/>
      <c r="H21" s="31"/>
      <c r="I21" s="31"/>
      <c r="J21" s="31"/>
      <c r="K21" s="31"/>
      <c r="L21" s="31"/>
      <c r="M21" s="33"/>
      <c r="N21" s="34"/>
      <c r="O21" s="127"/>
      <c r="P21" s="127"/>
      <c r="Q21" s="29"/>
      <c r="R21" s="1"/>
    </row>
    <row r="22" spans="1:18" ht="17.25" customHeight="1" x14ac:dyDescent="0.2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  <c r="N22" s="36"/>
      <c r="O22" s="128"/>
      <c r="P22" s="128"/>
      <c r="Q22" s="38"/>
    </row>
    <row r="23" spans="1:18" ht="31.5" customHeight="1" x14ac:dyDescent="0.2">
      <c r="A23" s="129" t="s">
        <v>102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79">
        <v>59115470</v>
      </c>
    </row>
    <row r="24" spans="1:18" ht="18" customHeight="1" thickBot="1" x14ac:dyDescent="0.25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8" ht="17.25" customHeight="1" thickBot="1" x14ac:dyDescent="0.25">
      <c r="A25" s="121" t="s">
        <v>55</v>
      </c>
      <c r="B25" s="122"/>
      <c r="C25" s="122"/>
      <c r="D25" s="122"/>
      <c r="E25" s="122"/>
      <c r="F25" s="123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</row>
    <row r="26" spans="1:18" ht="18" customHeight="1" thickBot="1" x14ac:dyDescent="0.25">
      <c r="A26" s="125" t="s">
        <v>98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</row>
    <row r="27" spans="1:18" ht="15" customHeight="1" x14ac:dyDescent="0.2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1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2020-07-22T21:10:48Z</cp:lastPrinted>
  <dcterms:created xsi:type="dcterms:W3CDTF">2020-07-17T23:44:49Z</dcterms:created>
  <dcterms:modified xsi:type="dcterms:W3CDTF">2020-11-09T14:03:19Z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