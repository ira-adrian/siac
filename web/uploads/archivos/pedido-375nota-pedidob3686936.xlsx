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" windowWidth="18360" windowHeight="7392" activeTab="2"/>
  </bookViews>
  <sheets>
    <sheet name="Control de Infecciones NT" sheetId="1" r:id="rId1"/>
    <sheet name="Control de Infecciones NPYE " sheetId="2" r:id="rId2"/>
    <sheet name="Control de Infecciones APG " sheetId="3" r:id="rId3"/>
  </sheets>
  <externalReferences>
    <externalReference r:id="rId4"/>
  </externalReferences>
  <definedNames>
    <definedName name="_xlnm.Print_Area" localSheetId="2">'Control de Infecciones APG '!$A$1:$Q$27</definedName>
    <definedName name="_xlnm.Print_Area" localSheetId="1">'Control de Infecciones NPYE '!$A$1:$K$17</definedName>
  </definedNames>
  <calcPr calcId="124519"/>
</workbook>
</file>

<file path=xl/calcChain.xml><?xml version="1.0" encoding="utf-8"?>
<calcChain xmlns="http://schemas.openxmlformats.org/spreadsheetml/2006/main">
  <c r="A26" i="3"/>
  <c r="Q17"/>
  <c r="Q16"/>
  <c r="Q23" s="1"/>
  <c r="A10"/>
  <c r="G7"/>
  <c r="G6"/>
  <c r="G5"/>
  <c r="G4"/>
  <c r="D1"/>
  <c r="K16" i="2"/>
  <c r="J16"/>
  <c r="I16"/>
  <c r="C16"/>
  <c r="B16"/>
  <c r="K15"/>
  <c r="J15"/>
  <c r="I15"/>
  <c r="C15"/>
  <c r="B15"/>
  <c r="K14"/>
  <c r="J14"/>
  <c r="I14"/>
  <c r="C14"/>
  <c r="B14"/>
  <c r="K13"/>
  <c r="J13"/>
  <c r="I13"/>
  <c r="C13"/>
  <c r="B13"/>
  <c r="K12"/>
  <c r="J12"/>
  <c r="J17" s="1"/>
  <c r="I12"/>
  <c r="C12"/>
  <c r="B12"/>
  <c r="D7"/>
  <c r="D4"/>
  <c r="D3"/>
  <c r="I14" i="1"/>
  <c r="I13"/>
  <c r="I12"/>
  <c r="I11"/>
  <c r="I10"/>
</calcChain>
</file>

<file path=xl/sharedStrings.xml><?xml version="1.0" encoding="utf-8"?>
<sst xmlns="http://schemas.openxmlformats.org/spreadsheetml/2006/main" count="148" uniqueCount="102">
  <si>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</si>
  <si>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</si>
  <si>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</si>
  <si>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</si>
  <si>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</si>
  <si>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</si>
  <si>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</si>
  <si>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</si>
  <si>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</si>
  <si>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</si>
  <si>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</si>
  <si>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</si>
  <si>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</si>
  <si>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</si>
  <si>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</si>
  <si>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</si>
  <si>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2.5.1-9065.16</t>
  </si>
  <si>
    <t xml:space="preserve">COMPUESTOS QUIMICOS </t>
  </si>
  <si>
    <t>2.5.1</t>
  </si>
  <si>
    <t>DESINFECTANTES Y DETERGENTES; PRINCIPIO ACTIVO:
AMILASA, PROTEASA, LIPASA, CALIDAD: COMERCIAL,
CONCENTRACION/PUREZA: 100 %, PRESENTACION:
ENVASE X 5 L</t>
  </si>
  <si>
    <t>Bidon</t>
  </si>
  <si>
    <t>2.5.2-1723.127</t>
  </si>
  <si>
    <t>PROD. MEDICO/FARMACEUTICOS/LAB</t>
  </si>
  <si>
    <t>2.5.2</t>
  </si>
  <si>
    <t>ANTISEPTICOS LOCALES P/PERSONA; TIPO: MONODROGA,
DROGA GENERICA: TRICLOSAN 1%, FORMA
FARMACEUTICA: JABON LIQUIDO, PRESENTACION:
ENVASE X 800 mL</t>
  </si>
  <si>
    <t>Caja</t>
  </si>
  <si>
    <t>2.5.4-505.78</t>
  </si>
  <si>
    <t xml:space="preserve">INSEC, FUMIG. Y OTROS </t>
  </si>
  <si>
    <t>2.5.4</t>
  </si>
  <si>
    <t>DESINFECTANTES; PRINCIPIO ACTIVO: PEROXOSULFATO ACIDO DE POTASIO, CONTROL: VIRUS, BACTERIAS, HONGOS, PRESENTACION: ENVASE X 20 mL</t>
  </si>
  <si>
    <t>2.5.2-711.22</t>
  </si>
  <si>
    <t>ALCOHOL USO MEDICINAL; PUREZA: 70 %,
PRESENTACION: ENVASE X 800 CM3</t>
  </si>
  <si>
    <t>2.5.4-505.96</t>
  </si>
  <si>
    <t>ELEMENTOS DE LIMPIEZA</t>
  </si>
  <si>
    <t xml:space="preserve">DESINFECTANTES; PRINCIPIO ACTIVO: PEROXOSULFATO ACIDO DE POTASIO, CONTROL: VIRUS, BACTERIAS, HONGOS, PRESENTACION: ENVASE X 6 KG </t>
  </si>
  <si>
    <t>Unidad</t>
  </si>
  <si>
    <t>Especificidades Item N° 1:</t>
  </si>
  <si>
    <t>Descripción técnica</t>
  </si>
  <si>
    <t>Detergente multienzimatico, especialmente formulado para el lavado del material quirurgico previamente a la esterilizacion o desinfeccion de alto nivel. Atoxico. Libre de fenoles (Ultraconcentrado) Tipo Marca ADOX - DM3 PLUS</t>
  </si>
  <si>
    <t>Plazos y lugares de entrega</t>
  </si>
  <si>
    <t>10 dias - Servicio Control de Infecciones del HISJB</t>
  </si>
  <si>
    <t>Calidad Minima esperada</t>
  </si>
  <si>
    <t>Mantenimiento</t>
  </si>
  <si>
    <t xml:space="preserve">30 dias habiles </t>
  </si>
  <si>
    <t>Garantia</t>
  </si>
  <si>
    <t>Especificidades Item N° 2:</t>
  </si>
  <si>
    <t>Jabon liquido con propiedades hipoalergenicas, suavizantes y humectantes;con accion reconstituyente al no utilizar aditivos que puedan irritar la piel, adicionado con glicerina, suavizante, humectante y extractos naturales. No tiene perfume, ni colorantes, no afecta la piel sensible. No tiene alcalinidad libre, al contrario de jabones comunes. Presentacion: envase aseptico descartable y sistema de dispensador se encuentran especialmente diseñados para no entrar en contacto con las manos, evitando asi las contaminaciones cruzadas. Presentacion 800 ml. Tipo JL4 Marca ADOX</t>
  </si>
  <si>
    <t>Especificidades Item N° 3:</t>
  </si>
  <si>
    <t xml:space="preserve">Peroxosulfato acido de potasio 0.46% activo por litro. Presentacion: Monodosis 20gr/litro caja x 50 unidades. Limpiador desinfectante de alto nivel para areas criticas para un litro. </t>
  </si>
  <si>
    <t>Especificidades Item N° 4:</t>
  </si>
  <si>
    <t xml:space="preserve">Combinacion de alcohol etilico 70% y agentes emolientes. Locion alcoholica bactericida con emolientes y suavizantes. Presentacion bolsitas por 800 ml </t>
  </si>
  <si>
    <t>Especificidades Item N° 5:</t>
  </si>
  <si>
    <t xml:space="preserve">Peroxosulfato acido de potasio 0.46% activo por litro. Presentacion: Monofase envase para preparar 300 litros caja x 01 unidad x 6 kg (20gr/litro). Limpiador desinfectante de alto nivel para areas criticas para un litro. </t>
  </si>
  <si>
    <t>NOTA DE PEDIDO</t>
  </si>
  <si>
    <t>N°</t>
  </si>
  <si>
    <t>367 - 2020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</si>
  <si>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</si>
  <si>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</si>
  <si>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</si>
  <si>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</si>
  <si>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</si>
  <si>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Control de Infecciones</t>
  </si>
  <si>
    <t>PERIODO UTILIZACIÓN:</t>
  </si>
  <si>
    <t>OBJETO:</t>
  </si>
  <si>
    <t xml:space="preserve">Adquisición de Compuestos Quimicos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</si>
  <si>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</si>
  <si>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</si>
  <si>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</si>
  <si>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</si>
  <si>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</si>
  <si>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</si>
  <si>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</si>
  <si>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</si>
  <si>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Cuatrocientos cincuenta y ocho mil doscientos ochenta y siete con 50/100.-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</si>
  <si>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</si>
  <si>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</si>
  <si>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</si>
  <si>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</si>
  <si>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</si>
  <si>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</si>
  <si>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</si>
  <si>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</si>
  <si>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</si>
  <si>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</si>
  <si>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</si>
  <si>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</si>
  <si>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</si>
  <si>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</si>
  <si>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</si>
  <si>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</si>
  <si>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</si>
  <si>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</si>
  <si>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</si>
  <si>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</si>
  <si>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</si>
  <si>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</si>
  <si>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</si>
  <si>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Compuestos Quimicos</t>
  </si>
  <si>
    <t xml:space="preserve">Productos Farmaceuticos y Medicinales </t>
  </si>
  <si>
    <t xml:space="preserve">Insecticida, Fumigantes y Otros </t>
  </si>
  <si>
    <t>TOTAL DE PESOS: CUATROCIENTOS CINCUENTA Y OCHO MIL DOSCIENTOS OCHENTA Y SIETE CON 50/100.---</t>
  </si>
  <si>
    <t>JUSTIFICACIÓN:</t>
  </si>
</sst>
</file>

<file path=xl/styles.xml><?xml version="1.0" encoding="utf-8"?>
<styleSheet xmlns="http://schemas.openxmlformats.org/spreadsheetml/2006/main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34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1"/>
      <color rgb="FF000000"/>
      <name val="Calibri-Bold"/>
    </font>
    <font>
      <sz val="10"/>
      <color rgb="FF000000"/>
      <name val="Calibri"/>
      <family val="2"/>
    </font>
    <font>
      <sz val="11"/>
      <color rgb="FF000000"/>
      <name val="Times New Roman"/>
      <family val="1"/>
    </font>
    <font>
      <sz val="11"/>
      <name val="Calibri-Bold"/>
    </font>
    <font>
      <sz val="10"/>
      <name val="Arial"/>
      <family val="2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2" fillId="0" borderId="0" applyBorder="0" applyProtection="0"/>
    <xf numFmtId="0" fontId="19" fillId="0" borderId="10" applyProtection="0"/>
    <xf numFmtId="166" fontId="20" fillId="0" borderId="0" applyBorder="0" applyProtection="0"/>
    <xf numFmtId="0" fontId="21" fillId="5" borderId="0" applyBorder="0" applyProtection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</cellStyleXfs>
  <cellXfs count="147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165" fontId="13" fillId="2" borderId="1" xfId="1" applyNumberFormat="1" applyFont="1" applyFill="1" applyBorder="1" applyAlignment="1" applyProtection="1">
      <alignment horizontal="center" vertical="center" wrapText="1"/>
    </xf>
    <xf numFmtId="165" fontId="13" fillId="2" borderId="1" xfId="1" applyNumberFormat="1" applyFont="1" applyFill="1" applyBorder="1" applyAlignment="1" applyProtection="1">
      <alignment horizontal="right"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7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 wrapText="1"/>
    </xf>
    <xf numFmtId="0" fontId="18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8" fillId="0" borderId="5" xfId="0" applyFont="1" applyBorder="1" applyAlignment="1">
      <alignment horizontal="left" indent="3"/>
    </xf>
    <xf numFmtId="0" fontId="1" fillId="4" borderId="6" xfId="0" applyFont="1" applyFill="1" applyBorder="1" applyAlignment="1">
      <alignment horizontal="left" wrapText="1"/>
    </xf>
    <xf numFmtId="0" fontId="18" fillId="3" borderId="5" xfId="0" applyFont="1" applyFill="1" applyBorder="1" applyAlignment="1">
      <alignment horizontal="left" indent="3"/>
    </xf>
    <xf numFmtId="0" fontId="1" fillId="3" borderId="0" xfId="0" applyFont="1" applyFill="1" applyBorder="1"/>
    <xf numFmtId="0" fontId="1" fillId="3" borderId="6" xfId="0" applyFont="1" applyFill="1" applyBorder="1"/>
    <xf numFmtId="0" fontId="1" fillId="3" borderId="5" xfId="0" applyFont="1" applyFill="1" applyBorder="1" applyAlignment="1">
      <alignment horizontal="left" indent="3"/>
    </xf>
    <xf numFmtId="0" fontId="1" fillId="2" borderId="6" xfId="0" applyFont="1" applyFill="1" applyBorder="1" applyAlignment="1">
      <alignment horizontal="left"/>
    </xf>
    <xf numFmtId="0" fontId="1" fillId="0" borderId="5" xfId="0" applyFont="1" applyBorder="1" applyAlignment="1">
      <alignment horizontal="left" indent="3"/>
    </xf>
    <xf numFmtId="0" fontId="1" fillId="2" borderId="6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left" indent="3"/>
    </xf>
    <xf numFmtId="0" fontId="1" fillId="0" borderId="8" xfId="0" applyFont="1" applyBorder="1"/>
    <xf numFmtId="0" fontId="1" fillId="0" borderId="9" xfId="0" applyFont="1" applyBorder="1"/>
    <xf numFmtId="0" fontId="1" fillId="4" borderId="6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22" fillId="0" borderId="0" xfId="0" applyFont="1" applyBorder="1" applyAlignment="1">
      <alignment horizontal="center" vertical="center"/>
    </xf>
    <xf numFmtId="0" fontId="22" fillId="0" borderId="11" xfId="0" applyFont="1" applyBorder="1" applyAlignment="1">
      <alignment horizontal="right" vertical="center"/>
    </xf>
    <xf numFmtId="0" fontId="23" fillId="2" borderId="12" xfId="0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4" fillId="0" borderId="14" xfId="0" applyFont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 indent="1"/>
    </xf>
    <xf numFmtId="0" fontId="24" fillId="0" borderId="15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 wrapText="1" indent="1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26" fillId="3" borderId="19" xfId="0" applyFont="1" applyFill="1" applyBorder="1" applyAlignment="1">
      <alignment horizontal="left" vertical="center"/>
    </xf>
    <xf numFmtId="0" fontId="26" fillId="3" borderId="19" xfId="0" applyFont="1" applyFill="1" applyBorder="1" applyAlignment="1">
      <alignment horizontal="left" vertical="center" wrapText="1"/>
    </xf>
    <xf numFmtId="0" fontId="26" fillId="2" borderId="19" xfId="0" applyFont="1" applyFill="1" applyBorder="1" applyAlignment="1">
      <alignment horizontal="center" vertical="center"/>
    </xf>
    <xf numFmtId="0" fontId="26" fillId="3" borderId="19" xfId="0" applyFont="1" applyFill="1" applyBorder="1" applyAlignment="1">
      <alignment horizontal="center" vertical="center" wrapText="1"/>
    </xf>
    <xf numFmtId="165" fontId="26" fillId="3" borderId="19" xfId="1" applyNumberFormat="1" applyFont="1" applyFill="1" applyBorder="1" applyAlignment="1" applyProtection="1">
      <alignment horizontal="right" vertical="center" wrapText="1"/>
    </xf>
    <xf numFmtId="3" fontId="26" fillId="3" borderId="19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 indent="1"/>
    </xf>
    <xf numFmtId="167" fontId="24" fillId="0" borderId="1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3" fontId="27" fillId="0" borderId="21" xfId="0" applyNumberFormat="1" applyFont="1" applyBorder="1" applyAlignment="1">
      <alignment horizontal="center"/>
    </xf>
    <xf numFmtId="3" fontId="2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8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12" xfId="0" applyFont="1" applyBorder="1"/>
    <xf numFmtId="0" fontId="29" fillId="0" borderId="12" xfId="0" applyFont="1" applyBorder="1" applyAlignment="1">
      <alignment horizontal="left" indent="1"/>
    </xf>
    <xf numFmtId="0" fontId="20" fillId="0" borderId="0" xfId="0" applyFont="1"/>
    <xf numFmtId="0" fontId="26" fillId="0" borderId="14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/>
    </xf>
    <xf numFmtId="0" fontId="29" fillId="0" borderId="24" xfId="0" applyFont="1" applyBorder="1"/>
    <xf numFmtId="0" fontId="0" fillId="0" borderId="0" xfId="0" applyBorder="1"/>
    <xf numFmtId="0" fontId="0" fillId="0" borderId="11" xfId="0" applyBorder="1"/>
    <xf numFmtId="0" fontId="29" fillId="0" borderId="25" xfId="0" applyFont="1" applyBorder="1" applyAlignment="1">
      <alignment horizontal="left" vertical="center" wrapText="1" indent="1"/>
    </xf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31" fillId="0" borderId="28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0" fillId="2" borderId="33" xfId="0" applyFont="1" applyFill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2" borderId="35" xfId="0" applyFont="1" applyFill="1" applyBorder="1" applyAlignment="1">
      <alignment horizontal="center" vertical="center"/>
    </xf>
    <xf numFmtId="0" fontId="32" fillId="0" borderId="34" xfId="0" applyFont="1" applyBorder="1" applyAlignment="1">
      <alignment horizontal="left" vertical="center" wrapText="1"/>
    </xf>
    <xf numFmtId="165" fontId="0" fillId="0" borderId="36" xfId="3" applyNumberFormat="1" applyFont="1" applyBorder="1" applyAlignment="1" applyProtection="1">
      <alignment horizontal="right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32" fillId="0" borderId="40" xfId="0" applyFont="1" applyBorder="1" applyAlignment="1">
      <alignment horizontal="left" vertical="center"/>
    </xf>
    <xf numFmtId="165" fontId="0" fillId="0" borderId="41" xfId="3" applyNumberFormat="1" applyFont="1" applyBorder="1" applyAlignment="1" applyProtection="1">
      <alignment horizontal="right" vertical="center"/>
    </xf>
    <xf numFmtId="165" fontId="0" fillId="0" borderId="0" xfId="0" applyNumberFormat="1"/>
    <xf numFmtId="0" fontId="12" fillId="0" borderId="40" xfId="0" applyFont="1" applyBorder="1" applyAlignment="1">
      <alignment horizontal="left" vertical="center"/>
    </xf>
    <xf numFmtId="0" fontId="0" fillId="0" borderId="40" xfId="0" applyFont="1" applyBorder="1" applyAlignment="1">
      <alignment horizontal="left" vertical="center"/>
    </xf>
    <xf numFmtId="0" fontId="0" fillId="0" borderId="40" xfId="0" applyFont="1" applyBorder="1" applyAlignment="1">
      <alignment horizontal="center" vertical="center"/>
    </xf>
    <xf numFmtId="165" fontId="0" fillId="0" borderId="41" xfId="3" applyNumberFormat="1" applyFont="1" applyBorder="1" applyAlignment="1" applyProtection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165" fontId="0" fillId="0" borderId="45" xfId="3" applyNumberFormat="1" applyFont="1" applyBorder="1" applyAlignment="1" applyProtection="1">
      <alignment horizontal="center" vertical="center"/>
    </xf>
    <xf numFmtId="0" fontId="33" fillId="0" borderId="46" xfId="0" applyFont="1" applyBorder="1" applyAlignment="1">
      <alignment horizontal="left" vertical="center" wrapText="1"/>
    </xf>
    <xf numFmtId="165" fontId="31" fillId="0" borderId="46" xfId="0" applyNumberFormat="1" applyFont="1" applyBorder="1" applyAlignment="1">
      <alignment horizontal="right" vertical="center"/>
    </xf>
    <xf numFmtId="0" fontId="0" fillId="0" borderId="28" xfId="0" applyBorder="1"/>
    <xf numFmtId="0" fontId="27" fillId="0" borderId="20" xfId="0" applyFont="1" applyBorder="1" applyAlignment="1">
      <alignment vertical="center" wrapText="1"/>
    </xf>
    <xf numFmtId="0" fontId="27" fillId="0" borderId="47" xfId="0" applyFont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9" fillId="0" borderId="29" xfId="0" applyFont="1" applyBorder="1" applyAlignment="1">
      <alignment vertical="center" wrapText="1"/>
    </xf>
    <xf numFmtId="0" fontId="29" fillId="2" borderId="46" xfId="0" applyFont="1" applyFill="1" applyBorder="1" applyAlignment="1">
      <alignment horizontal="left" vertical="center" wrapText="1" indent="1"/>
    </xf>
  </cellXfs>
  <cellStyles count="9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3" xfId="6"/>
    <cellStyle name="Normal 4" xfId="7"/>
    <cellStyle name="Porcentaje 2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71036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71036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1036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71036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ITACION6\PROGRAMACION%20PRIMER%20TRIMESTRE%202021\CONTROL%20DE%20INFECCIONES\NPYE%20CONT.%20DE%20INFECC.%20CODIFICAD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NotaPedido"/>
      <sheetName val="Autor Gastar"/>
    </sheetNames>
    <sheetDataSet>
      <sheetData sheetId="0">
        <row r="4">
          <cell r="C4" t="str">
            <v>40 - Ministerio de Salud</v>
          </cell>
        </row>
        <row r="5">
          <cell r="C5" t="str">
            <v>23 - Hospital Interzonal San Juan Bautista</v>
          </cell>
        </row>
        <row r="6">
          <cell r="C6">
            <v>2021</v>
          </cell>
        </row>
        <row r="7">
          <cell r="C7">
            <v>1</v>
          </cell>
        </row>
        <row r="10">
          <cell r="B10" t="str">
            <v>2.5.1-9065.16</v>
          </cell>
          <cell r="E10" t="str">
            <v>DESINFECTANTES Y DETERGENTES; PRINCIPIO ACTIVO:AMILASA, PROTEASA, LIPASA, CALIDAD: COMERCIAL,CONCENTRACION/PUREZA: 100 %, PRESENTACION:ENVASE X 5 L</v>
          </cell>
          <cell r="F10" t="str">
            <v>Bidon</v>
          </cell>
          <cell r="G10">
            <v>10</v>
          </cell>
          <cell r="H10">
            <v>3630</v>
          </cell>
        </row>
        <row r="11">
          <cell r="B11" t="str">
            <v>2.5.2-1723.127</v>
          </cell>
          <cell r="E11" t="str">
            <v>ANTISEPTICOS LOCALES P/PERSONA; TIPO: MONODROGA,DROGA GENERICA: TRICLOSAN 1%, FORMAFARMACEUTICA: JABON LIQUIDO, PRESENTACION:ENVASE X 800 mL</v>
          </cell>
          <cell r="F11" t="str">
            <v>Caja</v>
          </cell>
          <cell r="G11">
            <v>10</v>
          </cell>
          <cell r="H11">
            <v>8228</v>
          </cell>
        </row>
        <row r="12">
          <cell r="B12" t="str">
            <v>2.5.4-505.78</v>
          </cell>
          <cell r="E12" t="str">
            <v>DESINFECTANTES; PRINCIPIO ACTIVO: PEROXOSULFATO ACIDO DE POTASIO, CONTROL: VIRUS, BACTERIAS, HONGOS, PRESENTACION: ENVASE X 20 mL</v>
          </cell>
          <cell r="F12" t="str">
            <v>Caja</v>
          </cell>
          <cell r="G12">
            <v>15</v>
          </cell>
          <cell r="H12">
            <v>7562.5</v>
          </cell>
        </row>
        <row r="13">
          <cell r="B13" t="str">
            <v>2.5.2-711.22</v>
          </cell>
          <cell r="E13" t="str">
            <v>ALCOHOL USO MEDICINAL; PUREZA: 70 %,PRESENTACION: ENVASE X 800 CM3</v>
          </cell>
          <cell r="F13" t="str">
            <v>Caja</v>
          </cell>
          <cell r="G13">
            <v>10</v>
          </cell>
          <cell r="H13">
            <v>7502</v>
          </cell>
        </row>
        <row r="14">
          <cell r="B14" t="str">
            <v>2.5.4-505.96</v>
          </cell>
          <cell r="E14" t="str">
            <v xml:space="preserve">DESINFECTANTES; PRINCIPIO ACTIVO: PEROXOSULFATO ACIDO DE POTASIO, CONTROL: VIRUS, BACTERIAS, HONGOS, PRESENTACION: ENVASE X 6 KG </v>
          </cell>
          <cell r="F14" t="str">
            <v>Unidad</v>
          </cell>
          <cell r="G14">
            <v>10</v>
          </cell>
          <cell r="H14">
            <v>15125</v>
          </cell>
        </row>
      </sheetData>
      <sheetData sheetId="1">
        <row r="1">
          <cell r="K1" t="str">
            <v>367 - 2020</v>
          </cell>
        </row>
        <row r="3">
          <cell r="D3" t="str">
            <v>40 - Ministerio de Salud</v>
          </cell>
        </row>
        <row r="4">
          <cell r="D4" t="str">
            <v>23 - Hospital Interzonal San Juan Bautista</v>
          </cell>
        </row>
        <row r="5">
          <cell r="D5" t="str">
            <v>168 - Direccion Asistencial</v>
          </cell>
        </row>
        <row r="6">
          <cell r="D6" t="str">
            <v>Servicio Control de Infecciones</v>
          </cell>
        </row>
        <row r="8">
          <cell r="D8" t="str">
            <v xml:space="preserve">Adquisición de Compuestos Quimicos 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92"/>
  <sheetViews>
    <sheetView topLeftCell="A4" zoomScale="85" zoomScaleNormal="85" workbookViewId="0">
      <selection activeCell="G16" sqref="G16"/>
    </sheetView>
  </sheetViews>
  <sheetFormatPr baseColWidth="10" defaultColWidth="11" defaultRowHeight="13.2"/>
  <cols>
    <col min="1" max="1" width="4.5546875" style="1" customWidth="1"/>
    <col min="2" max="2" width="14" style="1" customWidth="1"/>
    <col min="3" max="3" width="32.44140625" style="1" customWidth="1"/>
    <col min="4" max="4" width="8.44140625" style="1" customWidth="1"/>
    <col min="5" max="5" width="79" style="1" customWidth="1"/>
    <col min="6" max="6" width="11" style="1"/>
    <col min="7" max="7" width="12.6640625" style="1" customWidth="1"/>
    <col min="8" max="8" width="13.88671875" style="1" customWidth="1"/>
    <col min="9" max="9" width="18.5546875" style="1" customWidth="1"/>
    <col min="10" max="16384" width="11" style="1"/>
  </cols>
  <sheetData>
    <row r="2" spans="1:9" ht="27.6">
      <c r="B2" s="2" t="s">
        <v>0</v>
      </c>
      <c r="C2" s="2"/>
      <c r="D2" s="2"/>
      <c r="E2" s="2"/>
      <c r="F2" s="2"/>
      <c r="G2" s="2"/>
      <c r="H2" s="2"/>
    </row>
    <row r="4" spans="1:9" ht="18" customHeight="1">
      <c r="A4" s="3" t="s">
        <v>1</v>
      </c>
      <c r="B4" s="3"/>
      <c r="C4" s="4" t="s">
        <v>2</v>
      </c>
      <c r="D4" s="4"/>
      <c r="E4" s="4"/>
      <c r="F4" s="5"/>
      <c r="G4" s="6"/>
      <c r="H4" s="5"/>
    </row>
    <row r="5" spans="1:9" ht="18" customHeight="1">
      <c r="A5" s="3" t="s">
        <v>3</v>
      </c>
      <c r="B5" s="3"/>
      <c r="C5" s="4" t="s">
        <v>4</v>
      </c>
      <c r="D5" s="4"/>
      <c r="E5" s="4"/>
      <c r="F5" s="5"/>
      <c r="G5" s="6"/>
      <c r="H5" s="5"/>
    </row>
    <row r="6" spans="1:9" ht="16.5" customHeight="1">
      <c r="A6" s="3" t="s">
        <v>5</v>
      </c>
      <c r="B6" s="3"/>
      <c r="C6" s="7">
        <v>2021</v>
      </c>
      <c r="D6" s="8"/>
      <c r="E6" s="8"/>
      <c r="F6" s="5"/>
      <c r="G6" s="6"/>
      <c r="H6" s="5"/>
    </row>
    <row r="7" spans="1:9" ht="16.5" customHeight="1">
      <c r="A7" s="3" t="s">
        <v>6</v>
      </c>
      <c r="B7" s="3"/>
      <c r="C7" s="7">
        <v>1</v>
      </c>
      <c r="D7" s="8"/>
      <c r="E7" s="8"/>
      <c r="F7" s="5"/>
      <c r="G7" s="6"/>
      <c r="H7" s="5"/>
    </row>
    <row r="8" spans="1:9" ht="13.8" thickBot="1">
      <c r="B8" s="5"/>
      <c r="C8" s="6"/>
      <c r="D8" s="5"/>
      <c r="E8" s="5"/>
      <c r="F8" s="5"/>
      <c r="G8" s="6"/>
      <c r="H8" s="5"/>
    </row>
    <row r="9" spans="1:9" ht="40.200000000000003" thickBot="1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ht="57" customHeight="1" thickBot="1">
      <c r="A10" s="10">
        <v>1</v>
      </c>
      <c r="B10" s="11" t="s">
        <v>16</v>
      </c>
      <c r="C10" s="12" t="s">
        <v>17</v>
      </c>
      <c r="D10" s="13" t="s">
        <v>18</v>
      </c>
      <c r="E10" s="14" t="s">
        <v>19</v>
      </c>
      <c r="F10" s="15" t="s">
        <v>20</v>
      </c>
      <c r="G10" s="15">
        <v>10</v>
      </c>
      <c r="H10" s="16">
        <v>3630</v>
      </c>
      <c r="I10" s="17">
        <f t="shared" ref="I10:I14" si="0">G10*H10</f>
        <v>36300</v>
      </c>
    </row>
    <row r="11" spans="1:9" ht="74.25" customHeight="1" thickBot="1">
      <c r="A11" s="10">
        <v>2</v>
      </c>
      <c r="B11" s="18" t="s">
        <v>21</v>
      </c>
      <c r="C11" s="19" t="s">
        <v>22</v>
      </c>
      <c r="D11" s="20" t="s">
        <v>23</v>
      </c>
      <c r="E11" s="21" t="s">
        <v>24</v>
      </c>
      <c r="F11" s="15" t="s">
        <v>25</v>
      </c>
      <c r="G11" s="15">
        <v>10</v>
      </c>
      <c r="H11" s="16">
        <v>8228</v>
      </c>
      <c r="I11" s="17">
        <f t="shared" si="0"/>
        <v>82280</v>
      </c>
    </row>
    <row r="12" spans="1:9" ht="39.75" customHeight="1" thickBot="1">
      <c r="A12" s="22">
        <v>3</v>
      </c>
      <c r="B12" s="23" t="s">
        <v>26</v>
      </c>
      <c r="C12" s="24" t="s">
        <v>27</v>
      </c>
      <c r="D12" s="13" t="s">
        <v>28</v>
      </c>
      <c r="E12" s="25" t="s">
        <v>29</v>
      </c>
      <c r="F12" s="15" t="s">
        <v>25</v>
      </c>
      <c r="G12" s="15">
        <v>15</v>
      </c>
      <c r="H12" s="16">
        <v>7562.5</v>
      </c>
      <c r="I12" s="17">
        <f t="shared" si="0"/>
        <v>113437.5</v>
      </c>
    </row>
    <row r="13" spans="1:9" ht="50.25" customHeight="1" thickBot="1">
      <c r="A13" s="10">
        <v>4</v>
      </c>
      <c r="B13" s="18" t="s">
        <v>30</v>
      </c>
      <c r="C13" s="19" t="s">
        <v>22</v>
      </c>
      <c r="D13" s="20" t="s">
        <v>23</v>
      </c>
      <c r="E13" s="26" t="s">
        <v>31</v>
      </c>
      <c r="F13" s="15" t="s">
        <v>25</v>
      </c>
      <c r="G13" s="15">
        <v>10</v>
      </c>
      <c r="H13" s="16">
        <v>7502</v>
      </c>
      <c r="I13" s="17">
        <f t="shared" si="0"/>
        <v>75020</v>
      </c>
    </row>
    <row r="14" spans="1:9" ht="64.5" customHeight="1" thickBot="1">
      <c r="A14" s="10">
        <v>5</v>
      </c>
      <c r="B14" s="27" t="s">
        <v>32</v>
      </c>
      <c r="C14" s="24" t="s">
        <v>33</v>
      </c>
      <c r="D14" s="13" t="s">
        <v>28</v>
      </c>
      <c r="E14" s="28" t="s">
        <v>34</v>
      </c>
      <c r="F14" s="15" t="s">
        <v>35</v>
      </c>
      <c r="G14" s="15">
        <v>10</v>
      </c>
      <c r="H14" s="16">
        <v>15125</v>
      </c>
      <c r="I14" s="17">
        <f t="shared" si="0"/>
        <v>151250</v>
      </c>
    </row>
    <row r="16" spans="1:9" ht="13.8" thickBot="1"/>
    <row r="17" spans="2:5">
      <c r="B17" s="29" t="s">
        <v>36</v>
      </c>
      <c r="C17" s="30"/>
      <c r="D17" s="30"/>
      <c r="E17" s="31"/>
    </row>
    <row r="18" spans="2:5" ht="5.25" customHeight="1">
      <c r="B18" s="32"/>
      <c r="C18" s="33"/>
      <c r="D18" s="33"/>
      <c r="E18" s="34"/>
    </row>
    <row r="19" spans="2:5">
      <c r="B19" s="35" t="s">
        <v>37</v>
      </c>
      <c r="C19" s="33"/>
      <c r="D19" s="33"/>
      <c r="E19" s="34"/>
    </row>
    <row r="20" spans="2:5" ht="41.25" customHeight="1">
      <c r="B20" s="35"/>
      <c r="C20" s="36" t="s">
        <v>38</v>
      </c>
      <c r="D20" s="36"/>
      <c r="E20" s="36"/>
    </row>
    <row r="21" spans="2:5">
      <c r="B21" s="37" t="s">
        <v>39</v>
      </c>
      <c r="C21" s="38"/>
      <c r="D21" s="38"/>
      <c r="E21" s="39"/>
    </row>
    <row r="22" spans="2:5">
      <c r="B22" s="40"/>
      <c r="C22" s="41" t="s">
        <v>40</v>
      </c>
      <c r="D22" s="41"/>
      <c r="E22" s="41"/>
    </row>
    <row r="23" spans="2:5">
      <c r="B23" s="42"/>
      <c r="C23" s="41"/>
      <c r="D23" s="41"/>
      <c r="E23" s="41"/>
    </row>
    <row r="24" spans="2:5">
      <c r="B24" s="35" t="s">
        <v>41</v>
      </c>
      <c r="C24" s="33"/>
      <c r="D24" s="33"/>
      <c r="E24" s="34"/>
    </row>
    <row r="25" spans="2:5" ht="26.25" customHeight="1">
      <c r="B25" s="42"/>
      <c r="C25" s="43"/>
      <c r="D25" s="43"/>
      <c r="E25" s="43"/>
    </row>
    <row r="26" spans="2:5">
      <c r="B26" s="35" t="s">
        <v>42</v>
      </c>
      <c r="C26" s="44"/>
      <c r="D26" s="44"/>
      <c r="E26" s="45"/>
    </row>
    <row r="27" spans="2:5" ht="26.25" customHeight="1">
      <c r="B27" s="42"/>
      <c r="C27" s="46" t="s">
        <v>43</v>
      </c>
      <c r="D27" s="46"/>
      <c r="E27" s="46"/>
    </row>
    <row r="28" spans="2:5">
      <c r="B28" s="35" t="s">
        <v>44</v>
      </c>
      <c r="C28" s="33"/>
      <c r="D28" s="33"/>
      <c r="E28" s="34"/>
    </row>
    <row r="29" spans="2:5" ht="23.25" customHeight="1">
      <c r="B29" s="35"/>
      <c r="C29" s="47"/>
      <c r="D29" s="47"/>
      <c r="E29" s="47"/>
    </row>
    <row r="30" spans="2:5" ht="13.8" thickBot="1">
      <c r="B30" s="48"/>
      <c r="C30" s="49"/>
      <c r="D30" s="49"/>
      <c r="E30" s="50"/>
    </row>
    <row r="31" spans="2:5" ht="13.8" thickBot="1"/>
    <row r="32" spans="2:5">
      <c r="B32" s="29" t="s">
        <v>45</v>
      </c>
      <c r="C32" s="30"/>
      <c r="D32" s="30"/>
      <c r="E32" s="31"/>
    </row>
    <row r="33" spans="2:5" ht="7.5" customHeight="1">
      <c r="B33" s="32"/>
      <c r="C33" s="33"/>
      <c r="D33" s="33"/>
      <c r="E33" s="34"/>
    </row>
    <row r="34" spans="2:5">
      <c r="B34" s="35" t="s">
        <v>37</v>
      </c>
      <c r="C34" s="33"/>
      <c r="D34" s="33"/>
      <c r="E34" s="34"/>
    </row>
    <row r="35" spans="2:5" ht="76.5" customHeight="1">
      <c r="B35" s="35"/>
      <c r="C35" s="51" t="s">
        <v>46</v>
      </c>
      <c r="D35" s="51"/>
      <c r="E35" s="51"/>
    </row>
    <row r="36" spans="2:5">
      <c r="B36" s="35" t="s">
        <v>39</v>
      </c>
      <c r="C36" s="38"/>
      <c r="D36" s="38"/>
      <c r="E36" s="39"/>
    </row>
    <row r="37" spans="2:5">
      <c r="B37" s="42"/>
      <c r="C37" s="41" t="s">
        <v>40</v>
      </c>
      <c r="D37" s="41"/>
      <c r="E37" s="41"/>
    </row>
    <row r="38" spans="2:5">
      <c r="B38" s="42"/>
      <c r="C38" s="47"/>
      <c r="D38" s="47"/>
      <c r="E38" s="47"/>
    </row>
    <row r="39" spans="2:5">
      <c r="B39" s="35" t="s">
        <v>41</v>
      </c>
      <c r="C39" s="38"/>
      <c r="D39" s="38"/>
      <c r="E39" s="39"/>
    </row>
    <row r="40" spans="2:5">
      <c r="B40" s="42"/>
      <c r="C40" s="43"/>
      <c r="D40" s="43"/>
      <c r="E40" s="43"/>
    </row>
    <row r="41" spans="2:5">
      <c r="B41" s="35" t="s">
        <v>42</v>
      </c>
      <c r="C41" s="52"/>
      <c r="D41" s="52"/>
      <c r="E41" s="53"/>
    </row>
    <row r="42" spans="2:5">
      <c r="B42" s="42"/>
      <c r="C42" s="46" t="s">
        <v>43</v>
      </c>
      <c r="D42" s="46"/>
      <c r="E42" s="46"/>
    </row>
    <row r="43" spans="2:5">
      <c r="B43" s="35" t="s">
        <v>44</v>
      </c>
      <c r="C43" s="38"/>
      <c r="D43" s="38"/>
      <c r="E43" s="39"/>
    </row>
    <row r="44" spans="2:5">
      <c r="B44" s="35"/>
      <c r="C44" s="47"/>
      <c r="D44" s="47"/>
      <c r="E44" s="47"/>
    </row>
    <row r="45" spans="2:5" ht="13.8" thickBot="1">
      <c r="B45" s="48"/>
      <c r="C45" s="49"/>
      <c r="D45" s="49"/>
      <c r="E45" s="50"/>
    </row>
    <row r="46" spans="2:5" ht="13.8" thickBot="1"/>
    <row r="47" spans="2:5">
      <c r="B47" s="29" t="s">
        <v>47</v>
      </c>
      <c r="C47" s="30"/>
      <c r="D47" s="30"/>
      <c r="E47" s="31"/>
    </row>
    <row r="48" spans="2:5">
      <c r="B48" s="32"/>
      <c r="C48" s="33"/>
      <c r="D48" s="33"/>
      <c r="E48" s="34"/>
    </row>
    <row r="49" spans="2:5">
      <c r="B49" s="35" t="s">
        <v>37</v>
      </c>
      <c r="C49" s="33"/>
      <c r="D49" s="33"/>
      <c r="E49" s="34"/>
    </row>
    <row r="50" spans="2:5" ht="32.25" customHeight="1">
      <c r="B50" s="35"/>
      <c r="C50" s="36" t="s">
        <v>48</v>
      </c>
      <c r="D50" s="36"/>
      <c r="E50" s="36"/>
    </row>
    <row r="51" spans="2:5">
      <c r="B51" s="35" t="s">
        <v>39</v>
      </c>
      <c r="C51" s="38"/>
      <c r="D51" s="38"/>
      <c r="E51" s="39"/>
    </row>
    <row r="52" spans="2:5">
      <c r="B52" s="42"/>
      <c r="C52" s="41" t="s">
        <v>40</v>
      </c>
      <c r="D52" s="41"/>
      <c r="E52" s="41"/>
    </row>
    <row r="53" spans="2:5">
      <c r="B53" s="42"/>
      <c r="C53" s="47"/>
      <c r="D53" s="47"/>
      <c r="E53" s="47"/>
    </row>
    <row r="54" spans="2:5">
      <c r="B54" s="35" t="s">
        <v>41</v>
      </c>
      <c r="C54" s="38"/>
      <c r="D54" s="38"/>
      <c r="E54" s="39"/>
    </row>
    <row r="55" spans="2:5">
      <c r="B55" s="42"/>
      <c r="C55" s="43"/>
      <c r="D55" s="43"/>
      <c r="E55" s="43"/>
    </row>
    <row r="56" spans="2:5">
      <c r="B56" s="35" t="s">
        <v>42</v>
      </c>
      <c r="C56" s="52"/>
      <c r="D56" s="52"/>
      <c r="E56" s="53"/>
    </row>
    <row r="57" spans="2:5">
      <c r="B57" s="42"/>
      <c r="C57" s="46" t="s">
        <v>43</v>
      </c>
      <c r="D57" s="46"/>
      <c r="E57" s="46"/>
    </row>
    <row r="58" spans="2:5">
      <c r="B58" s="35" t="s">
        <v>44</v>
      </c>
      <c r="C58" s="38"/>
      <c r="D58" s="38"/>
      <c r="E58" s="39"/>
    </row>
    <row r="59" spans="2:5">
      <c r="B59" s="35"/>
      <c r="C59" s="47"/>
      <c r="D59" s="47"/>
      <c r="E59" s="47"/>
    </row>
    <row r="60" spans="2:5" ht="13.8" thickBot="1">
      <c r="B60" s="48"/>
      <c r="C60" s="49"/>
      <c r="D60" s="49"/>
      <c r="E60" s="50"/>
    </row>
    <row r="61" spans="2:5" ht="12.75" customHeight="1"/>
    <row r="63" spans="2:5" ht="13.8" thickBot="1"/>
    <row r="64" spans="2:5">
      <c r="B64" s="29" t="s">
        <v>49</v>
      </c>
      <c r="C64" s="30"/>
      <c r="D64" s="30"/>
      <c r="E64" s="31"/>
    </row>
    <row r="65" spans="2:5">
      <c r="B65" s="32"/>
      <c r="C65" s="33"/>
      <c r="D65" s="33"/>
      <c r="E65" s="34"/>
    </row>
    <row r="66" spans="2:5">
      <c r="B66" s="35" t="s">
        <v>37</v>
      </c>
      <c r="C66" s="33"/>
      <c r="D66" s="33"/>
      <c r="E66" s="34"/>
    </row>
    <row r="67" spans="2:5" ht="31.5" customHeight="1">
      <c r="B67" s="35"/>
      <c r="C67" s="36" t="s">
        <v>50</v>
      </c>
      <c r="D67" s="36"/>
      <c r="E67" s="36"/>
    </row>
    <row r="68" spans="2:5">
      <c r="B68" s="35" t="s">
        <v>39</v>
      </c>
      <c r="C68" s="38"/>
      <c r="D68" s="38"/>
      <c r="E68" s="39"/>
    </row>
    <row r="69" spans="2:5">
      <c r="B69" s="42"/>
      <c r="C69" s="41" t="s">
        <v>40</v>
      </c>
      <c r="D69" s="41"/>
      <c r="E69" s="41"/>
    </row>
    <row r="70" spans="2:5">
      <c r="B70" s="42"/>
      <c r="C70" s="47"/>
      <c r="D70" s="47"/>
      <c r="E70" s="47"/>
    </row>
    <row r="71" spans="2:5">
      <c r="B71" s="35" t="s">
        <v>41</v>
      </c>
      <c r="C71" s="38"/>
      <c r="D71" s="38"/>
      <c r="E71" s="39"/>
    </row>
    <row r="72" spans="2:5">
      <c r="B72" s="42"/>
      <c r="C72" s="43"/>
      <c r="D72" s="43"/>
      <c r="E72" s="43"/>
    </row>
    <row r="73" spans="2:5">
      <c r="B73" s="35" t="s">
        <v>42</v>
      </c>
      <c r="C73" s="52"/>
      <c r="D73" s="52"/>
      <c r="E73" s="53"/>
    </row>
    <row r="74" spans="2:5">
      <c r="B74" s="42"/>
      <c r="C74" s="46" t="s">
        <v>43</v>
      </c>
      <c r="D74" s="46"/>
      <c r="E74" s="46"/>
    </row>
    <row r="75" spans="2:5">
      <c r="B75" s="35" t="s">
        <v>44</v>
      </c>
      <c r="C75" s="38"/>
      <c r="D75" s="38"/>
      <c r="E75" s="39"/>
    </row>
    <row r="76" spans="2:5">
      <c r="B76" s="35"/>
      <c r="C76" s="47"/>
      <c r="D76" s="47"/>
      <c r="E76" s="47"/>
    </row>
    <row r="77" spans="2:5" ht="13.8" thickBot="1">
      <c r="B77" s="48"/>
      <c r="C77" s="49"/>
      <c r="D77" s="49"/>
      <c r="E77" s="50"/>
    </row>
    <row r="78" spans="2:5" ht="13.8" thickBot="1"/>
    <row r="79" spans="2:5">
      <c r="B79" s="29" t="s">
        <v>51</v>
      </c>
      <c r="C79" s="30"/>
      <c r="D79" s="30"/>
      <c r="E79" s="31"/>
    </row>
    <row r="80" spans="2:5">
      <c r="B80" s="32"/>
      <c r="C80" s="33"/>
      <c r="D80" s="33"/>
      <c r="E80" s="34"/>
    </row>
    <row r="81" spans="2:5">
      <c r="B81" s="35" t="s">
        <v>37</v>
      </c>
      <c r="C81" s="33"/>
      <c r="D81" s="33"/>
      <c r="E81" s="34"/>
    </row>
    <row r="82" spans="2:5">
      <c r="B82" s="35"/>
      <c r="C82" s="36" t="s">
        <v>52</v>
      </c>
      <c r="D82" s="36"/>
      <c r="E82" s="36"/>
    </row>
    <row r="83" spans="2:5">
      <c r="B83" s="35" t="s">
        <v>39</v>
      </c>
      <c r="C83" s="38"/>
      <c r="D83" s="38"/>
      <c r="E83" s="39"/>
    </row>
    <row r="84" spans="2:5">
      <c r="B84" s="42"/>
      <c r="C84" s="41" t="s">
        <v>40</v>
      </c>
      <c r="D84" s="41"/>
      <c r="E84" s="41"/>
    </row>
    <row r="85" spans="2:5">
      <c r="B85" s="42"/>
      <c r="C85" s="47"/>
      <c r="D85" s="47"/>
      <c r="E85" s="47"/>
    </row>
    <row r="86" spans="2:5">
      <c r="B86" s="35" t="s">
        <v>41</v>
      </c>
      <c r="C86" s="38"/>
      <c r="D86" s="38"/>
      <c r="E86" s="39"/>
    </row>
    <row r="87" spans="2:5">
      <c r="B87" s="42"/>
      <c r="C87" s="43"/>
      <c r="D87" s="43"/>
      <c r="E87" s="43"/>
    </row>
    <row r="88" spans="2:5">
      <c r="B88" s="35" t="s">
        <v>42</v>
      </c>
      <c r="C88" s="52"/>
      <c r="D88" s="52"/>
      <c r="E88" s="53"/>
    </row>
    <row r="89" spans="2:5">
      <c r="B89" s="42"/>
      <c r="C89" s="46" t="s">
        <v>43</v>
      </c>
      <c r="D89" s="46"/>
      <c r="E89" s="46"/>
    </row>
    <row r="90" spans="2:5">
      <c r="B90" s="35" t="s">
        <v>44</v>
      </c>
      <c r="C90" s="38"/>
      <c r="D90" s="38"/>
      <c r="E90" s="39"/>
    </row>
    <row r="91" spans="2:5">
      <c r="B91" s="35"/>
      <c r="C91" s="47"/>
      <c r="D91" s="47"/>
      <c r="E91" s="47"/>
    </row>
    <row r="92" spans="2:5" ht="13.8" thickBot="1">
      <c r="B92" s="48"/>
      <c r="C92" s="49"/>
      <c r="D92" s="49"/>
      <c r="E92" s="50"/>
    </row>
  </sheetData>
  <mergeCells count="37">
    <mergeCell ref="C91:E91"/>
    <mergeCell ref="C76:E76"/>
    <mergeCell ref="C82:E82"/>
    <mergeCell ref="C84:E84"/>
    <mergeCell ref="C85:E85"/>
    <mergeCell ref="C87:E87"/>
    <mergeCell ref="C89:E89"/>
    <mergeCell ref="C59:E59"/>
    <mergeCell ref="C67:E67"/>
    <mergeCell ref="C69:E69"/>
    <mergeCell ref="C70:E70"/>
    <mergeCell ref="C72:E72"/>
    <mergeCell ref="C74:E74"/>
    <mergeCell ref="C44:E44"/>
    <mergeCell ref="C50:E50"/>
    <mergeCell ref="C52:E52"/>
    <mergeCell ref="C53:E53"/>
    <mergeCell ref="C55:E55"/>
    <mergeCell ref="C57:E57"/>
    <mergeCell ref="C29:E29"/>
    <mergeCell ref="C35:E35"/>
    <mergeCell ref="C37:E37"/>
    <mergeCell ref="C38:E38"/>
    <mergeCell ref="C40:E40"/>
    <mergeCell ref="C42:E42"/>
    <mergeCell ref="A7:B7"/>
    <mergeCell ref="C20:E20"/>
    <mergeCell ref="C22:E22"/>
    <mergeCell ref="C23:E23"/>
    <mergeCell ref="C25:E25"/>
    <mergeCell ref="C27:E27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7"/>
  <sheetViews>
    <sheetView zoomScale="70" zoomScaleNormal="70" workbookViewId="0">
      <selection activeCell="P15" sqref="P15"/>
    </sheetView>
  </sheetViews>
  <sheetFormatPr baseColWidth="10" defaultColWidth="9.109375" defaultRowHeight="13.2"/>
  <cols>
    <col min="1" max="1" width="5.5546875" style="57" customWidth="1"/>
    <col min="2" max="2" width="15.109375" style="57" customWidth="1"/>
    <col min="3" max="3" width="14.109375" style="57" customWidth="1"/>
    <col min="4" max="4" width="26" style="57" customWidth="1"/>
    <col min="5" max="5" width="8" style="57" customWidth="1"/>
    <col min="6" max="6" width="7.88671875" style="57" customWidth="1"/>
    <col min="7" max="7" width="42" style="57" customWidth="1"/>
    <col min="8" max="8" width="9.33203125" style="57" customWidth="1"/>
    <col min="9" max="9" width="15.5546875" style="57" customWidth="1"/>
    <col min="10" max="10" width="14.6640625" style="57" customWidth="1"/>
    <col min="11" max="11" width="15.5546875" style="57" customWidth="1"/>
    <col min="12" max="14" width="5.88671875" style="57" customWidth="1"/>
    <col min="15" max="15" width="12.5546875" style="57" customWidth="1"/>
    <col min="16" max="1024" width="9.109375" style="57"/>
  </cols>
  <sheetData>
    <row r="1" spans="1:11" ht="18" customHeight="1" thickBot="1">
      <c r="A1" s="54" t="s">
        <v>53</v>
      </c>
      <c r="B1" s="54"/>
      <c r="C1" s="54"/>
      <c r="D1" s="54"/>
      <c r="E1" s="54"/>
      <c r="F1" s="54"/>
      <c r="G1" s="54"/>
      <c r="H1" s="54"/>
      <c r="I1" s="54"/>
      <c r="J1" s="55" t="s">
        <v>54</v>
      </c>
      <c r="K1" s="56" t="s">
        <v>55</v>
      </c>
    </row>
    <row r="2" spans="1:11" ht="18.75" customHeight="1" thickBot="1">
      <c r="A2" s="58"/>
      <c r="B2" s="58"/>
      <c r="C2" s="58"/>
      <c r="D2" s="59"/>
      <c r="E2" s="59"/>
      <c r="F2" s="59"/>
      <c r="G2" s="59"/>
      <c r="H2" s="59"/>
      <c r="I2" s="59"/>
      <c r="J2" s="59"/>
      <c r="K2" s="59"/>
    </row>
    <row r="3" spans="1:11" ht="18.75" customHeight="1" thickBot="1">
      <c r="A3" s="60" t="s">
        <v>56</v>
      </c>
      <c r="B3" s="60"/>
      <c r="C3" s="60"/>
      <c r="D3" s="61" t="str">
        <f>'[1]Necesidades Trimestrales'!C4</f>
        <v>40 - Ministerio de Salud</v>
      </c>
      <c r="E3" s="61"/>
      <c r="F3" s="61"/>
      <c r="G3" s="61"/>
      <c r="H3" s="61"/>
      <c r="I3" s="61"/>
      <c r="J3" s="61"/>
      <c r="K3" s="61"/>
    </row>
    <row r="4" spans="1:11" ht="18.75" customHeight="1" thickBot="1">
      <c r="A4" s="62" t="s">
        <v>57</v>
      </c>
      <c r="B4" s="62"/>
      <c r="C4" s="62"/>
      <c r="D4" s="61" t="str">
        <f>'[1]Necesidades Trimestrales'!C5</f>
        <v>23 - Hospital Interzonal San Juan Bautista</v>
      </c>
      <c r="E4" s="61"/>
      <c r="F4" s="61"/>
      <c r="G4" s="61"/>
      <c r="H4" s="61"/>
      <c r="I4" s="61"/>
      <c r="J4" s="61"/>
      <c r="K4" s="61"/>
    </row>
    <row r="5" spans="1:11" ht="18.75" customHeight="1" thickBot="1">
      <c r="A5" s="62" t="s">
        <v>58</v>
      </c>
      <c r="B5" s="62"/>
      <c r="C5" s="62"/>
      <c r="D5" s="61" t="s">
        <v>59</v>
      </c>
      <c r="E5" s="61"/>
      <c r="F5" s="61"/>
      <c r="G5" s="61"/>
      <c r="H5" s="61"/>
      <c r="I5" s="61"/>
      <c r="J5" s="61"/>
      <c r="K5" s="61"/>
    </row>
    <row r="6" spans="1:11" ht="16.5" customHeight="1" thickBot="1">
      <c r="A6" s="60" t="s">
        <v>60</v>
      </c>
      <c r="B6" s="60"/>
      <c r="C6" s="60"/>
      <c r="D6" s="61" t="s">
        <v>61</v>
      </c>
      <c r="E6" s="61"/>
      <c r="F6" s="61"/>
      <c r="G6" s="61"/>
      <c r="H6" s="61"/>
      <c r="I6" s="61"/>
      <c r="J6" s="61"/>
      <c r="K6" s="61"/>
    </row>
    <row r="7" spans="1:11" ht="16.5" customHeight="1" thickBot="1">
      <c r="A7" s="62" t="s">
        <v>62</v>
      </c>
      <c r="B7" s="62"/>
      <c r="C7" s="62"/>
      <c r="D7" s="61" t="str">
        <f>'[1]Necesidades Trimestrales'!C7 &amp; "° Trimestre - Año " &amp; '[1]Necesidades Trimestrales'!C6</f>
        <v>1° Trimestre - Año 2021</v>
      </c>
      <c r="E7" s="61"/>
      <c r="F7" s="61"/>
      <c r="G7" s="61"/>
      <c r="H7" s="61"/>
      <c r="I7" s="61"/>
      <c r="J7" s="61"/>
      <c r="K7" s="61"/>
    </row>
    <row r="8" spans="1:11" ht="16.5" customHeight="1" thickBot="1">
      <c r="A8" s="63" t="s">
        <v>63</v>
      </c>
      <c r="B8" s="63"/>
      <c r="C8" s="63"/>
      <c r="D8" s="64" t="s">
        <v>64</v>
      </c>
      <c r="E8" s="64"/>
      <c r="F8" s="64"/>
      <c r="G8" s="64"/>
      <c r="H8" s="64"/>
      <c r="I8" s="64"/>
      <c r="J8" s="64"/>
      <c r="K8" s="64"/>
    </row>
    <row r="9" spans="1:11" ht="16.2" thickBot="1">
      <c r="A9" s="65"/>
      <c r="B9" s="65"/>
      <c r="C9" s="65"/>
      <c r="D9" s="66"/>
      <c r="E9" s="66"/>
      <c r="F9" s="66"/>
      <c r="G9" s="66"/>
      <c r="H9" s="66"/>
      <c r="I9" s="66"/>
      <c r="J9" s="66"/>
      <c r="K9" s="66"/>
    </row>
    <row r="10" spans="1:11" ht="18.75" customHeight="1" thickBot="1">
      <c r="A10" s="67" t="s">
        <v>65</v>
      </c>
      <c r="B10" s="68" t="s">
        <v>66</v>
      </c>
      <c r="C10" s="68" t="s">
        <v>67</v>
      </c>
      <c r="D10" s="68"/>
      <c r="E10" s="68"/>
      <c r="F10" s="68"/>
      <c r="G10" s="68"/>
      <c r="H10" s="68" t="s">
        <v>68</v>
      </c>
      <c r="I10" s="68" t="s">
        <v>69</v>
      </c>
      <c r="J10" s="68" t="s">
        <v>70</v>
      </c>
      <c r="K10" s="69" t="s">
        <v>71</v>
      </c>
    </row>
    <row r="11" spans="1:11" ht="24" customHeight="1" thickBot="1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9"/>
    </row>
    <row r="12" spans="1:11" ht="52.5" customHeight="1" thickBot="1">
      <c r="A12" s="70">
        <v>1</v>
      </c>
      <c r="B12" s="71" t="str">
        <f>'[1]Necesidades Trimestrales'!B10</f>
        <v>2.5.1-9065.16</v>
      </c>
      <c r="C12" s="72" t="str">
        <f>'[1]Necesidades Trimestrales'!E10</f>
        <v>DESINFECTANTES Y DETERGENTES; PRINCIPIO ACTIVO:AMILASA, PROTEASA, LIPASA, CALIDAD: COMERCIAL,CONCENTRACION/PUREZA: 100 %, PRESENTACION:ENVASE X 5 L</v>
      </c>
      <c r="D12" s="72"/>
      <c r="E12" s="72"/>
      <c r="F12" s="72"/>
      <c r="G12" s="72"/>
      <c r="H12" s="73" t="s">
        <v>72</v>
      </c>
      <c r="I12" s="74" t="str">
        <f>'[1]Necesidades Trimestrales'!F10</f>
        <v>Bidon</v>
      </c>
      <c r="J12" s="75">
        <f>'[1]Necesidades Trimestrales'!H10</f>
        <v>3630</v>
      </c>
      <c r="K12" s="76">
        <f>'[1]Necesidades Trimestrales'!G10</f>
        <v>10</v>
      </c>
    </row>
    <row r="13" spans="1:11" ht="62.25" customHeight="1" thickBot="1">
      <c r="A13" s="70">
        <v>2</v>
      </c>
      <c r="B13" s="71" t="str">
        <f>'[1]Necesidades Trimestrales'!B11</f>
        <v>2.5.2-1723.127</v>
      </c>
      <c r="C13" s="72" t="str">
        <f>'[1]Necesidades Trimestrales'!E11</f>
        <v>ANTISEPTICOS LOCALES P/PERSONA; TIPO: MONODROGA,DROGA GENERICA: TRICLOSAN 1%, FORMAFARMACEUTICA: JABON LIQUIDO, PRESENTACION:ENVASE X 800 mL</v>
      </c>
      <c r="D13" s="72"/>
      <c r="E13" s="72"/>
      <c r="F13" s="72"/>
      <c r="G13" s="72"/>
      <c r="H13" s="73" t="s">
        <v>72</v>
      </c>
      <c r="I13" s="74" t="str">
        <f>'[1]Necesidades Trimestrales'!F11</f>
        <v>Caja</v>
      </c>
      <c r="J13" s="75">
        <f>'[1]Necesidades Trimestrales'!H11</f>
        <v>8228</v>
      </c>
      <c r="K13" s="76">
        <f>'[1]Necesidades Trimestrales'!G11</f>
        <v>10</v>
      </c>
    </row>
    <row r="14" spans="1:11" ht="32.25" customHeight="1" thickBot="1">
      <c r="A14" s="70">
        <v>3</v>
      </c>
      <c r="B14" s="71" t="str">
        <f>'[1]Necesidades Trimestrales'!B12</f>
        <v>2.5.4-505.78</v>
      </c>
      <c r="C14" s="72" t="str">
        <f>'[1]Necesidades Trimestrales'!E12</f>
        <v>DESINFECTANTES; PRINCIPIO ACTIVO: PEROXOSULFATO ACIDO DE POTASIO, CONTROL: VIRUS, BACTERIAS, HONGOS, PRESENTACION: ENVASE X 20 mL</v>
      </c>
      <c r="D14" s="72"/>
      <c r="E14" s="72"/>
      <c r="F14" s="72"/>
      <c r="G14" s="72"/>
      <c r="H14" s="73" t="s">
        <v>72</v>
      </c>
      <c r="I14" s="74" t="str">
        <f>'[1]Necesidades Trimestrales'!F12</f>
        <v>Caja</v>
      </c>
      <c r="J14" s="75">
        <f>'[1]Necesidades Trimestrales'!H12</f>
        <v>7562.5</v>
      </c>
      <c r="K14" s="76">
        <f>'[1]Necesidades Trimestrales'!G12</f>
        <v>15</v>
      </c>
    </row>
    <row r="15" spans="1:11" ht="32.25" customHeight="1" thickBot="1">
      <c r="A15" s="70">
        <v>4</v>
      </c>
      <c r="B15" s="71" t="str">
        <f>'[1]Necesidades Trimestrales'!B13</f>
        <v>2.5.2-711.22</v>
      </c>
      <c r="C15" s="72" t="str">
        <f>'[1]Necesidades Trimestrales'!E13</f>
        <v>ALCOHOL USO MEDICINAL; PUREZA: 70 %,PRESENTACION: ENVASE X 800 CM3</v>
      </c>
      <c r="D15" s="72"/>
      <c r="E15" s="72"/>
      <c r="F15" s="72"/>
      <c r="G15" s="72"/>
      <c r="H15" s="73" t="s">
        <v>72</v>
      </c>
      <c r="I15" s="74" t="str">
        <f>'[1]Necesidades Trimestrales'!F13</f>
        <v>Caja</v>
      </c>
      <c r="J15" s="75">
        <f>'[1]Necesidades Trimestrales'!H13</f>
        <v>7502</v>
      </c>
      <c r="K15" s="76">
        <f>'[1]Necesidades Trimestrales'!G13</f>
        <v>10</v>
      </c>
    </row>
    <row r="16" spans="1:11" ht="39.75" customHeight="1" thickBot="1">
      <c r="A16" s="70">
        <v>5</v>
      </c>
      <c r="B16" s="71" t="str">
        <f>'[1]Necesidades Trimestrales'!B14</f>
        <v>2.5.4-505.96</v>
      </c>
      <c r="C16" s="72" t="str">
        <f>'[1]Necesidades Trimestrales'!E14</f>
        <v xml:space="preserve">DESINFECTANTES; PRINCIPIO ACTIVO: PEROXOSULFATO ACIDO DE POTASIO, CONTROL: VIRUS, BACTERIAS, HONGOS, PRESENTACION: ENVASE X 6 KG </v>
      </c>
      <c r="D16" s="72"/>
      <c r="E16" s="72"/>
      <c r="F16" s="72"/>
      <c r="G16" s="72"/>
      <c r="H16" s="73" t="s">
        <v>72</v>
      </c>
      <c r="I16" s="74" t="str">
        <f>'[1]Necesidades Trimestrales'!F14</f>
        <v>Unidad</v>
      </c>
      <c r="J16" s="75">
        <f>'[1]Necesidades Trimestrales'!H14</f>
        <v>15125</v>
      </c>
      <c r="K16" s="76">
        <f>'[1]Necesidades Trimestrales'!G14</f>
        <v>10</v>
      </c>
    </row>
    <row r="17" spans="1:1024" ht="20.25" customHeight="1" thickBot="1">
      <c r="A17" s="77" t="s">
        <v>73</v>
      </c>
      <c r="B17" s="77"/>
      <c r="C17" s="77"/>
      <c r="D17" s="77"/>
      <c r="E17" s="77"/>
      <c r="F17" s="77"/>
      <c r="G17" s="77"/>
      <c r="H17" s="77"/>
      <c r="I17" s="77"/>
      <c r="J17" s="78">
        <f>SUMPRODUCT(J12:J16,K12:K16)</f>
        <v>458287.5</v>
      </c>
      <c r="K17" s="7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</sheetData>
  <mergeCells count="27">
    <mergeCell ref="A17:I17"/>
    <mergeCell ref="J17:K17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1:I1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tabSelected="1" zoomScale="120" zoomScaleNormal="120" workbookViewId="0">
      <selection activeCell="O19" sqref="O19:P19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84" customWidth="1"/>
    <col min="8" max="14" width="4.44140625" customWidth="1"/>
    <col min="15" max="15" width="14.88671875" customWidth="1"/>
    <col min="16" max="16" width="15.44140625" customWidth="1"/>
    <col min="17" max="17" width="14.33203125" customWidth="1"/>
    <col min="19" max="19" width="13.33203125" bestFit="1" customWidth="1"/>
  </cols>
  <sheetData>
    <row r="1" spans="1:17" ht="15.75" customHeight="1" thickBot="1">
      <c r="A1" s="79" t="s">
        <v>5</v>
      </c>
      <c r="B1" s="79"/>
      <c r="C1" s="79"/>
      <c r="D1" s="80">
        <f>'[1]Necesidades Trimestrales'!C6</f>
        <v>2021</v>
      </c>
      <c r="E1" s="80"/>
      <c r="F1" s="81"/>
      <c r="G1" s="81"/>
      <c r="H1" s="82"/>
      <c r="I1" s="82"/>
      <c r="J1" s="82"/>
      <c r="K1" s="82"/>
      <c r="L1" s="82"/>
      <c r="M1" s="82"/>
      <c r="N1" s="82"/>
      <c r="P1" s="83" t="s">
        <v>74</v>
      </c>
      <c r="Q1" s="83"/>
    </row>
    <row r="2" spans="1:17" ht="15.75" customHeight="1" thickBot="1">
      <c r="H2" s="82"/>
      <c r="I2" s="82"/>
      <c r="J2" s="82"/>
      <c r="K2" s="82"/>
      <c r="L2" s="82"/>
      <c r="M2" s="82"/>
      <c r="N2" s="82"/>
      <c r="P2" s="83"/>
      <c r="Q2" s="83"/>
    </row>
    <row r="4" spans="1:17" s="87" customFormat="1" ht="18" customHeight="1" thickBot="1">
      <c r="A4" s="85" t="s">
        <v>75</v>
      </c>
      <c r="B4" s="85"/>
      <c r="C4" s="85"/>
      <c r="D4" s="85"/>
      <c r="E4" s="85"/>
      <c r="F4" s="85"/>
      <c r="G4" s="86" t="str">
        <f>[1]NotaPedido!D3</f>
        <v>40 - Ministerio de Salud</v>
      </c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17" s="87" customFormat="1" ht="18" customHeight="1" thickBot="1">
      <c r="A5" s="88" t="s">
        <v>57</v>
      </c>
      <c r="B5" s="89"/>
      <c r="C5" s="89"/>
      <c r="D5" s="89"/>
      <c r="E5" s="89"/>
      <c r="F5" s="90"/>
      <c r="G5" s="86" t="str">
        <f>[1]NotaPedido!D4</f>
        <v>23 - Hospital Interzonal San Juan Bautista</v>
      </c>
      <c r="H5" s="86"/>
      <c r="I5" s="86"/>
      <c r="J5" s="86"/>
      <c r="K5" s="86"/>
      <c r="L5" s="86"/>
      <c r="M5" s="86"/>
      <c r="N5" s="86"/>
      <c r="O5" s="86"/>
      <c r="P5" s="86"/>
      <c r="Q5" s="86"/>
    </row>
    <row r="6" spans="1:17" s="87" customFormat="1" ht="18" customHeight="1" thickBot="1">
      <c r="A6" s="88" t="s">
        <v>58</v>
      </c>
      <c r="B6" s="89"/>
      <c r="C6" s="89"/>
      <c r="D6" s="89"/>
      <c r="E6" s="89"/>
      <c r="F6" s="90"/>
      <c r="G6" s="86" t="str">
        <f>[1]NotaPedido!D5</f>
        <v>168 - Direccion Asistencial</v>
      </c>
      <c r="H6" s="86"/>
      <c r="I6" s="86"/>
      <c r="J6" s="86"/>
      <c r="K6" s="86"/>
      <c r="L6" s="86"/>
      <c r="M6" s="86"/>
      <c r="N6" s="86"/>
      <c r="O6" s="86"/>
      <c r="P6" s="86"/>
      <c r="Q6" s="86"/>
    </row>
    <row r="7" spans="1:17" s="87" customFormat="1" ht="18" customHeight="1" thickBot="1">
      <c r="A7" s="88" t="s">
        <v>60</v>
      </c>
      <c r="B7" s="89"/>
      <c r="C7" s="89"/>
      <c r="D7" s="89"/>
      <c r="E7" s="89"/>
      <c r="F7" s="90"/>
      <c r="G7" s="86" t="str">
        <f>[1]NotaPedido!D6</f>
        <v>Servicio Control de Infecciones</v>
      </c>
      <c r="H7" s="86"/>
      <c r="I7" s="86"/>
      <c r="J7" s="86"/>
      <c r="K7" s="86"/>
      <c r="L7" s="86"/>
      <c r="M7" s="86"/>
      <c r="N7" s="86"/>
      <c r="O7" s="86"/>
      <c r="P7" s="86"/>
      <c r="Q7" s="86"/>
    </row>
    <row r="8" spans="1:17" ht="18" customHeight="1" thickBot="1">
      <c r="A8" s="91" t="s">
        <v>76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</row>
    <row r="9" spans="1:17" ht="18" customHeight="1">
      <c r="A9" s="92" t="s">
        <v>77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93"/>
      <c r="Q9" s="94"/>
    </row>
    <row r="10" spans="1:17" ht="54.75" customHeight="1">
      <c r="A10" s="95" t="str">
        <f>"Autorizo la realización de los  trámites correspondientes, a fin de proveer a  este Organismo los bienes y/o servicios que se detallan en Nota de Pedido N° " &amp; [1]NotaPedido!K1&amp;",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367 - 2020,  afectando la erogación resultante a los créditos presupuestarios aprobados a favor de esta Unidad Ejecutora, conforme al siguiente detalle: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</row>
    <row r="11" spans="1:17" ht="9" customHeight="1" thickBot="1">
      <c r="A11" s="96"/>
      <c r="B11" s="97"/>
      <c r="C11" s="97"/>
      <c r="D11" s="97"/>
      <c r="E11" s="97"/>
      <c r="F11" s="97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9"/>
    </row>
    <row r="12" spans="1:17" ht="15.75" customHeight="1" thickBot="1">
      <c r="A12" s="100" t="s">
        <v>78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</row>
    <row r="13" spans="1:17" ht="15.75" customHeight="1" thickBot="1">
      <c r="A13" s="101" t="s">
        <v>79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2" t="s">
        <v>80</v>
      </c>
      <c r="P13" s="102"/>
      <c r="Q13" s="103" t="s">
        <v>81</v>
      </c>
    </row>
    <row r="14" spans="1:17" ht="15.75" customHeight="1" thickBot="1">
      <c r="A14" s="104" t="s">
        <v>82</v>
      </c>
      <c r="B14" s="105" t="s">
        <v>83</v>
      </c>
      <c r="C14" s="105" t="s">
        <v>84</v>
      </c>
      <c r="D14" s="105" t="s">
        <v>85</v>
      </c>
      <c r="E14" s="105" t="s">
        <v>86</v>
      </c>
      <c r="F14" s="105" t="s">
        <v>87</v>
      </c>
      <c r="G14" s="106" t="s">
        <v>88</v>
      </c>
      <c r="H14" s="105" t="s">
        <v>89</v>
      </c>
      <c r="I14" s="105" t="s">
        <v>90</v>
      </c>
      <c r="J14" s="105" t="s">
        <v>91</v>
      </c>
      <c r="K14" s="105" t="s">
        <v>91</v>
      </c>
      <c r="L14" s="105" t="s">
        <v>92</v>
      </c>
      <c r="M14" s="107" t="s">
        <v>93</v>
      </c>
      <c r="N14" s="108" t="s">
        <v>94</v>
      </c>
      <c r="O14" s="102"/>
      <c r="P14" s="102"/>
      <c r="Q14" s="103"/>
    </row>
    <row r="15" spans="1:17" ht="17.25" customHeight="1">
      <c r="A15" s="109">
        <v>33</v>
      </c>
      <c r="B15" s="110"/>
      <c r="C15" s="110"/>
      <c r="D15" s="110">
        <v>2</v>
      </c>
      <c r="E15" s="110"/>
      <c r="F15" s="110">
        <v>4901</v>
      </c>
      <c r="G15" s="110">
        <v>3</v>
      </c>
      <c r="H15" s="111" t="s">
        <v>95</v>
      </c>
      <c r="I15" s="112">
        <v>2</v>
      </c>
      <c r="J15" s="112">
        <v>5</v>
      </c>
      <c r="K15" s="112">
        <v>1</v>
      </c>
      <c r="L15" s="110"/>
      <c r="M15" s="113">
        <v>1</v>
      </c>
      <c r="N15" s="111" t="s">
        <v>96</v>
      </c>
      <c r="O15" s="114" t="s">
        <v>97</v>
      </c>
      <c r="P15" s="114"/>
      <c r="Q15" s="115">
        <v>36300</v>
      </c>
    </row>
    <row r="16" spans="1:17" ht="17.25" customHeight="1">
      <c r="A16" s="116">
        <v>33</v>
      </c>
      <c r="B16" s="117"/>
      <c r="C16" s="117"/>
      <c r="D16" s="117">
        <v>2</v>
      </c>
      <c r="E16" s="117"/>
      <c r="F16" s="117">
        <v>4901</v>
      </c>
      <c r="G16" s="117">
        <v>3</v>
      </c>
      <c r="H16" s="118" t="s">
        <v>95</v>
      </c>
      <c r="I16" s="117">
        <v>2</v>
      </c>
      <c r="J16" s="117">
        <v>5</v>
      </c>
      <c r="K16" s="117">
        <v>2</v>
      </c>
      <c r="L16" s="117"/>
      <c r="M16" s="119">
        <v>1</v>
      </c>
      <c r="N16" s="120" t="s">
        <v>96</v>
      </c>
      <c r="O16" s="121" t="s">
        <v>98</v>
      </c>
      <c r="P16" s="121"/>
      <c r="Q16" s="122">
        <f>82280+75020</f>
        <v>157300</v>
      </c>
    </row>
    <row r="17" spans="1:19" ht="17.25" customHeight="1">
      <c r="A17" s="116">
        <v>33</v>
      </c>
      <c r="B17" s="117"/>
      <c r="C17" s="117"/>
      <c r="D17" s="117">
        <v>2</v>
      </c>
      <c r="E17" s="117"/>
      <c r="F17" s="117">
        <v>4901</v>
      </c>
      <c r="G17" s="117">
        <v>3</v>
      </c>
      <c r="H17" s="118" t="s">
        <v>95</v>
      </c>
      <c r="I17" s="117">
        <v>2</v>
      </c>
      <c r="J17" s="117">
        <v>5</v>
      </c>
      <c r="K17" s="117">
        <v>4</v>
      </c>
      <c r="L17" s="117"/>
      <c r="M17" s="119">
        <v>1</v>
      </c>
      <c r="N17" s="120" t="s">
        <v>96</v>
      </c>
      <c r="O17" s="121" t="s">
        <v>99</v>
      </c>
      <c r="P17" s="121"/>
      <c r="Q17" s="122">
        <f>113437.5+151250</f>
        <v>264687.5</v>
      </c>
      <c r="S17" s="123"/>
    </row>
    <row r="18" spans="1:19" ht="17.25" customHeight="1">
      <c r="A18" s="116"/>
      <c r="B18" s="117"/>
      <c r="C18" s="117"/>
      <c r="D18" s="117"/>
      <c r="E18" s="117"/>
      <c r="F18" s="117"/>
      <c r="G18" s="117"/>
      <c r="H18" s="118"/>
      <c r="I18" s="117"/>
      <c r="J18" s="117"/>
      <c r="K18" s="117"/>
      <c r="L18" s="117"/>
      <c r="M18" s="119"/>
      <c r="N18" s="120"/>
      <c r="O18" s="124"/>
      <c r="P18" s="125"/>
      <c r="Q18" s="122"/>
    </row>
    <row r="19" spans="1:19" ht="17.25" customHeight="1">
      <c r="A19" s="116"/>
      <c r="B19" s="117"/>
      <c r="C19" s="117"/>
      <c r="D19" s="117"/>
      <c r="E19" s="117"/>
      <c r="F19" s="126"/>
      <c r="G19" s="117"/>
      <c r="H19" s="117"/>
      <c r="I19" s="117"/>
      <c r="J19" s="117"/>
      <c r="K19" s="117"/>
      <c r="L19" s="117"/>
      <c r="M19" s="119"/>
      <c r="N19" s="126"/>
      <c r="O19" s="125"/>
      <c r="P19" s="125"/>
      <c r="Q19" s="127"/>
    </row>
    <row r="20" spans="1:19" ht="17.25" customHeight="1">
      <c r="A20" s="116"/>
      <c r="B20" s="117"/>
      <c r="C20" s="117"/>
      <c r="D20" s="117"/>
      <c r="E20" s="117"/>
      <c r="F20" s="126"/>
      <c r="G20" s="117"/>
      <c r="H20" s="117"/>
      <c r="I20" s="117"/>
      <c r="J20" s="117"/>
      <c r="K20" s="117"/>
      <c r="L20" s="117"/>
      <c r="M20" s="119"/>
      <c r="N20" s="126"/>
      <c r="O20" s="125"/>
      <c r="P20" s="125"/>
      <c r="Q20" s="127"/>
    </row>
    <row r="21" spans="1:19" ht="17.25" customHeight="1">
      <c r="A21" s="128"/>
      <c r="B21" s="129"/>
      <c r="C21" s="129"/>
      <c r="D21" s="129"/>
      <c r="E21" s="129"/>
      <c r="F21" s="130"/>
      <c r="G21" s="129"/>
      <c r="H21" s="129"/>
      <c r="I21" s="129"/>
      <c r="J21" s="129"/>
      <c r="K21" s="129"/>
      <c r="L21" s="129"/>
      <c r="M21" s="131"/>
      <c r="N21" s="132"/>
      <c r="O21" s="133"/>
      <c r="P21" s="133"/>
      <c r="Q21" s="127"/>
      <c r="R21" s="93"/>
    </row>
    <row r="22" spans="1:19" ht="17.25" customHeight="1" thickBot="1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5"/>
      <c r="O22" s="137"/>
      <c r="P22" s="137"/>
      <c r="Q22" s="138"/>
    </row>
    <row r="23" spans="1:19" ht="23.25" customHeight="1" thickBot="1">
      <c r="A23" s="139" t="s">
        <v>100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>
        <f>SUM(Q15:Q22)</f>
        <v>458287.5</v>
      </c>
    </row>
    <row r="24" spans="1:19" ht="18" customHeight="1" thickBo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9" ht="17.25" customHeight="1" thickBot="1">
      <c r="A25" s="142" t="s">
        <v>101</v>
      </c>
      <c r="B25" s="143"/>
      <c r="C25" s="143"/>
      <c r="D25" s="143"/>
      <c r="E25" s="143"/>
      <c r="F25" s="144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  <row r="26" spans="1:19" ht="18" customHeight="1" thickBot="1">
      <c r="A26" s="146" t="str">
        <f>"Para la "&amp; [1]NotaPedido!D8 &amp;" para ser destinados al " &amp; [1]NotaPedido!D6 &amp;"  del HISJB del Ministerio de Salud."</f>
        <v>Para la Adquisición de Compuestos Quimicos  para ser destinados al Servicio Control de Infecciones  del HISJB del Ministerio de Salud.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</row>
    <row r="27" spans="1:19" ht="15" customHeight="1" thickBot="1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</row>
  </sheetData>
  <mergeCells count="31">
    <mergeCell ref="O22:P22"/>
    <mergeCell ref="A23:P23"/>
    <mergeCell ref="A24:Q24"/>
    <mergeCell ref="A25:F25"/>
    <mergeCell ref="G25:Q25"/>
    <mergeCell ref="A26:Q27"/>
    <mergeCell ref="O16:P16"/>
    <mergeCell ref="O17:P17"/>
    <mergeCell ref="O18:P18"/>
    <mergeCell ref="O19:P19"/>
    <mergeCell ref="O20:P20"/>
    <mergeCell ref="O21:P21"/>
    <mergeCell ref="A10:Q10"/>
    <mergeCell ref="A12:Q12"/>
    <mergeCell ref="A13:N13"/>
    <mergeCell ref="O13:P14"/>
    <mergeCell ref="Q13:Q14"/>
    <mergeCell ref="O15:P15"/>
    <mergeCell ref="A6:F6"/>
    <mergeCell ref="G6:Q6"/>
    <mergeCell ref="A7:F7"/>
    <mergeCell ref="G7:Q7"/>
    <mergeCell ref="A8:Q8"/>
    <mergeCell ref="A9:N9"/>
    <mergeCell ref="A1:C1"/>
    <mergeCell ref="D1:E1"/>
    <mergeCell ref="P1:Q2"/>
    <mergeCell ref="A4:F4"/>
    <mergeCell ref="G4:Q4"/>
    <mergeCell ref="A5:F5"/>
    <mergeCell ref="G5:Q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Control de Infecciones NT</vt:lpstr>
      <vt:lpstr>Control de Infecciones NPYE </vt:lpstr>
      <vt:lpstr>Control de Infecciones APG </vt:lpstr>
      <vt:lpstr>'Control de Infecciones APG '!Área_de_impresión</vt:lpstr>
      <vt:lpstr>'Control de Infecciones NPYE '!Área_de_impresión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dcterms:created xsi:type="dcterms:W3CDTF">2021-02-08T14:15:47Z</dcterms:created>
  <dcterms:modified xsi:type="dcterms:W3CDTF">2021-02-08T14:16:35Z</dcterms:modified>
</cp:coreProperties>
</file>