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05" yWindow="-45" windowWidth="16605" windowHeight="9435" tabRatio="500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45621"/>
</workbook>
</file>

<file path=xl/calcChain.xml><?xml version="1.0" encoding="utf-8"?>
<calcChain xmlns="http://schemas.openxmlformats.org/spreadsheetml/2006/main">
  <c r="I19" i="1" l="1"/>
  <c r="I18" i="1"/>
  <c r="A19" i="3"/>
  <c r="O15" i="3" l="1"/>
  <c r="A10" i="3"/>
  <c r="G7" i="3"/>
  <c r="G6" i="3" l="1"/>
  <c r="D1" i="3" l="1"/>
  <c r="J15" i="2" l="1"/>
  <c r="Q15" i="3" s="1"/>
  <c r="Q16" i="3" s="1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D4" i="2"/>
  <c r="G5" i="3" s="1"/>
  <c r="G4" i="3" s="1"/>
  <c r="D3" i="2"/>
  <c r="I20" i="1" l="1"/>
  <c r="I17" i="1"/>
  <c r="I16" i="1"/>
  <c r="I15" i="1"/>
  <c r="I14" i="1"/>
  <c r="I13" i="1"/>
  <c r="I12" i="1"/>
  <c r="I11" i="1"/>
  <c r="I10" i="1"/>
  <c r="I21" i="1" l="1"/>
</calcChain>
</file>

<file path=xl/sharedStrings.xml><?xml version="1.0" encoding="utf-8"?>
<sst xmlns="http://schemas.openxmlformats.org/spreadsheetml/2006/main" count="133" uniqueCount="96">
  <si>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</si>
  <si>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</si>
  <si>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</si>
  <si>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</si>
  <si>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</si>
  <si>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</si>
  <si>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</si>
  <si>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</si>
  <si>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</si>
  <si>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</si>
  <si>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</si>
  <si>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</si>
  <si>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</si>
  <si>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</si>
  <si>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</si>
  <si>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</si>
  <si>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</si>
  <si>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</si>
  <si>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</si>
  <si>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</si>
  <si>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</si>
  <si>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</si>
  <si>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</si>
  <si>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</si>
  <si>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</si>
  <si>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</si>
  <si>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</si>
  <si>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</si>
  <si>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</si>
  <si>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</si>
  <si>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</si>
  <si>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</si>
  <si>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</si>
  <si>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</si>
  <si>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</si>
  <si>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</si>
  <si>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</si>
  <si>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</si>
  <si>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</si>
  <si>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</si>
  <si>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</si>
  <si>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</si>
  <si>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</si>
  <si>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</si>
  <si>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</si>
  <si>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</si>
  <si>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</si>
  <si>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</si>
  <si>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</si>
  <si>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</si>
  <si>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</si>
  <si>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</si>
  <si>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</si>
  <si>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</si>
  <si>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</si>
  <si>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90 - Ministerio de Seguridad</t>
  </si>
  <si>
    <t>Policía de la Provincia de Catamarca</t>
  </si>
  <si>
    <t>1.1</t>
  </si>
  <si>
    <t>SI</t>
  </si>
  <si>
    <t>7- Dirección Provincial de Administración de la Policía de la Provincia de Catamarca</t>
  </si>
  <si>
    <r>
      <t>AUTORIZACIÓN</t>
    </r>
    <r>
      <rPr>
        <b/>
        <sz val="10"/>
        <rFont val="Century Gothic"/>
        <family val="2"/>
      </rPr>
      <t>:</t>
    </r>
  </si>
  <si>
    <t>TOTAL DE PESOS:   Treinta y Cuatro Mil Novecientos Cincuenta con 00/100.-</t>
  </si>
  <si>
    <t>Especificidades:</t>
  </si>
  <si>
    <t>Adquisición de Uniformes de Fajina para el personal policial.</t>
  </si>
  <si>
    <t>División Intendencia, Departamento Logística</t>
  </si>
  <si>
    <t>Costo total estimado: Pesos Cinco Millones Doscientos Mil con 00/100.-</t>
  </si>
  <si>
    <t>3er trimestre Año 2021.-</t>
  </si>
  <si>
    <t>81/2021</t>
  </si>
  <si>
    <t>*</t>
  </si>
  <si>
    <t>30 días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</si>
  <si>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</si>
  <si>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2.1.1</t>
  </si>
  <si>
    <t>ALIMENTOS</t>
  </si>
  <si>
    <t>2.1.1-454.25</t>
  </si>
  <si>
    <t>YERBAS; PALO: CON, PESO: 1 Kg, MATERIAL ENVASE : PAPEL, CERTIFICADO FORESTAL (GFS): CON, ELEM. TRANSPORTE: SIN, MATERIAL ELEM. TRANSPORTE: SIN, LIBRE DE GLUTEN: SI</t>
  </si>
  <si>
    <t>2.1.1-439.67</t>
  </si>
  <si>
    <t>ACEITES COMESTIBLES; TIPO: GIRASOL, PRESENTACION: ENVASE X 900 CM3, MATERIAL ENVASE: PLASTICO 1 (PET), ELEM. TRANSPORTE: SIN, MATERIAL ELEM. TRANSPORTE : SIN, LIBRE DE GLUTEN: NO</t>
  </si>
  <si>
    <t>2.1.1-708.23</t>
  </si>
  <si>
    <t>CONSERVAS PESCADO Y FRUTOS MAR; ESTADO: AL NATURAL, PESO: 380 GR, ENVASE: LATA, TIPO: CABALLA, ESPECIE: CABALLA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</si>
  <si>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</si>
  <si>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</si>
  <si>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2.1.1-482.81</t>
  </si>
  <si>
    <t>HARINAS; TIPO: LEUDANTE, PRESENTACION: ENVASE X 1 Kg, MATERIAL ENVASE: PAPEL, CERTICADO FORESTAL (GFS): SIN, ELEM. TRANSPORTE: SIN, MATERIAL ELEM. TRANSPORTE: SIN, LIBRE DE GLUTEN: NO</t>
  </si>
  <si>
    <t>2.1.1-509.10</t>
  </si>
  <si>
    <t>PURE; TIPO: DE TOMATE, ENVASE: CAJA DE CARTON, PESO: 530 GR</t>
  </si>
  <si>
    <t>2.1.1-706.6</t>
  </si>
  <si>
    <t>MATE COCIDO; ENVASE: CAJA CARTON, PRESENTACION: ENSOBRADO, SAQUITOS P/CAJA: 100 UN, PESO X SAQ.: 3 GR</t>
  </si>
  <si>
    <t>2.1.1-709.25</t>
  </si>
  <si>
    <t>CAFE; ENVASE: SAQUITO EN CAJA X 20 SOBRE, CONTENIDO: 7 GR, ESTADO: MOLIDO, PROCESO: TORRADO, TIPO: FUERTE, PRESENTACION: 20 X ENVASE X 7 GR</t>
  </si>
  <si>
    <t>2.1.1-482.69</t>
  </si>
  <si>
    <t>HARINAS; TIPO: MAIZ, PRESENTACION: ENVASE X 1 Kg, MATERIAL ENVASE: PAPEL, CERTICADO FORESTAL (GFS): SIN, ELEM. TRANSPORTE: SIN, MATERIAL ELEM. TRANSPORTE: SIN, LIBRE DE GLUTEN: NO</t>
  </si>
  <si>
    <t>TE; SAQUITOS 2G P/CAJA: 100, PRESENTACION: EN SAQUITOS, PESO: SIN VALOR, TIPO: SIN VALOR</t>
  </si>
  <si>
    <t>2.1.1-511.11</t>
  </si>
  <si>
    <t>2.1.1-481.38</t>
  </si>
  <si>
    <t>AZUCARES; TIPO: "A" COMUN, ESTADO: MOLIDA, PESO: 1 Kg, MATERIAL ENVASE: PLASTICO, CERTIFICADO FORESTAL (GFS): SIN, ELEM. TRANSPORTE: SIN, MATERIAL ELEM. TRANSPORTE: SIN</t>
  </si>
  <si>
    <t>a) LUGAR DE ENTREGA: DPTO LOGISTICA sito en Av. Felix Avellaneda Km 2 RP nº 33, SUMALAO, VALLE VIEJO.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Pracial N° 2 de la ley 4938.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</si>
</sst>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&quot;$&quot;\ #,##0.00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  <font>
      <b/>
      <u/>
      <sz val="10"/>
      <name val="Times New Roman"/>
      <family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4" fillId="0" borderId="0"/>
  </cellStyleXfs>
  <cellXfs count="161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1" fontId="6" fillId="3" borderId="38" xfId="0" applyNumberFormat="1" applyFont="1" applyFill="1" applyBorder="1"/>
    <xf numFmtId="3" fontId="14" fillId="3" borderId="0" xfId="0" applyNumberFormat="1" applyFont="1" applyFill="1" applyBorder="1" applyAlignment="1"/>
    <xf numFmtId="169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167" fontId="5" fillId="3" borderId="33" xfId="3" applyNumberFormat="1" applyFont="1" applyFill="1" applyBorder="1" applyAlignment="1" applyProtection="1">
      <alignment horizontal="center" vertical="center"/>
    </xf>
    <xf numFmtId="167" fontId="6" fillId="3" borderId="34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170" fontId="5" fillId="3" borderId="42" xfId="1" applyNumberFormat="1" applyFont="1" applyFill="1" applyBorder="1" applyAlignment="1" applyProtection="1">
      <alignment horizontal="center" vertical="center"/>
    </xf>
    <xf numFmtId="3" fontId="5" fillId="3" borderId="42" xfId="0" applyNumberFormat="1" applyFont="1" applyFill="1" applyBorder="1" applyAlignment="1">
      <alignment horizontal="center" vertical="center"/>
    </xf>
    <xf numFmtId="170" fontId="5" fillId="3" borderId="0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horizontal="left"/>
    </xf>
    <xf numFmtId="0" fontId="5" fillId="5" borderId="3" xfId="0" applyFont="1" applyFill="1" applyBorder="1"/>
    <xf numFmtId="0" fontId="5" fillId="5" borderId="4" xfId="0" applyFont="1" applyFill="1" applyBorder="1"/>
    <xf numFmtId="0" fontId="5" fillId="5" borderId="0" xfId="0" applyFont="1" applyFill="1" applyBorder="1"/>
    <xf numFmtId="0" fontId="5" fillId="5" borderId="6" xfId="0" applyFont="1" applyFill="1" applyBorder="1"/>
    <xf numFmtId="0" fontId="9" fillId="5" borderId="0" xfId="0" applyFont="1" applyFill="1" applyBorder="1" applyAlignment="1"/>
    <xf numFmtId="0" fontId="10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left" indent="3"/>
    </xf>
    <xf numFmtId="0" fontId="10" fillId="5" borderId="5" xfId="0" applyFont="1" applyFill="1" applyBorder="1" applyAlignment="1"/>
    <xf numFmtId="0" fontId="9" fillId="5" borderId="5" xfId="0" applyFont="1" applyFill="1" applyBorder="1" applyAlignment="1">
      <alignment horizontal="left" indent="3"/>
    </xf>
    <xf numFmtId="0" fontId="5" fillId="5" borderId="7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49" fontId="5" fillId="3" borderId="50" xfId="0" applyNumberFormat="1" applyFont="1" applyFill="1" applyBorder="1"/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/>
    </xf>
    <xf numFmtId="0" fontId="9" fillId="5" borderId="7" xfId="0" applyFont="1" applyFill="1" applyBorder="1" applyAlignment="1">
      <alignment horizontal="left"/>
    </xf>
    <xf numFmtId="0" fontId="9" fillId="5" borderId="5" xfId="0" applyFont="1" applyFill="1" applyBorder="1" applyAlignment="1">
      <alignment horizontal="left"/>
    </xf>
    <xf numFmtId="167" fontId="5" fillId="3" borderId="42" xfId="1" applyNumberFormat="1" applyFont="1" applyFill="1" applyBorder="1" applyAlignment="1" applyProtection="1">
      <alignment horizontal="right" vertical="center" wrapText="1"/>
    </xf>
    <xf numFmtId="164" fontId="21" fillId="0" borderId="42" xfId="1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23" fillId="0" borderId="42" xfId="0" applyFont="1" applyBorder="1" applyAlignment="1">
      <alignment wrapText="1"/>
    </xf>
    <xf numFmtId="49" fontId="21" fillId="0" borderId="42" xfId="0" applyNumberFormat="1" applyFont="1" applyBorder="1" applyAlignment="1">
      <alignment vertical="center" wrapText="1"/>
    </xf>
    <xf numFmtId="49" fontId="5" fillId="0" borderId="42" xfId="0" applyNumberFormat="1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23" fillId="0" borderId="42" xfId="0" applyFont="1" applyBorder="1" applyAlignment="1">
      <alignment horizontal="left" wrapText="1"/>
    </xf>
    <xf numFmtId="0" fontId="5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left" vertical="top"/>
    </xf>
    <xf numFmtId="170" fontId="6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top"/>
    </xf>
    <xf numFmtId="0" fontId="9" fillId="3" borderId="7" xfId="0" applyFont="1" applyFill="1" applyBorder="1" applyAlignment="1">
      <alignment horizontal="left" vertical="top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vertical="top"/>
    </xf>
    <xf numFmtId="0" fontId="5" fillId="3" borderId="9" xfId="0" applyFont="1" applyFill="1" applyBorder="1" applyAlignment="1">
      <alignment horizontal="left" vertical="top"/>
    </xf>
    <xf numFmtId="170" fontId="5" fillId="3" borderId="0" xfId="0" applyNumberFormat="1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0" fontId="5" fillId="5" borderId="0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5" borderId="0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wrapText="1" indent="1"/>
    </xf>
    <xf numFmtId="0" fontId="9" fillId="5" borderId="5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 indent="1"/>
    </xf>
    <xf numFmtId="0" fontId="12" fillId="3" borderId="43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12" fillId="3" borderId="38" xfId="0" applyFont="1" applyFill="1" applyBorder="1" applyAlignment="1">
      <alignment horizontal="left" vertical="center" wrapText="1" indent="1"/>
    </xf>
    <xf numFmtId="168" fontId="12" fillId="3" borderId="38" xfId="0" applyNumberFormat="1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 wrapText="1" indent="1"/>
    </xf>
    <xf numFmtId="0" fontId="14" fillId="3" borderId="19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49" fontId="15" fillId="3" borderId="44" xfId="0" applyNumberFormat="1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5" fillId="3" borderId="48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/>
    <xf numFmtId="0" fontId="16" fillId="3" borderId="11" xfId="0" applyFont="1" applyFill="1" applyBorder="1" applyAlignment="1">
      <alignment horizontal="left" indent="1"/>
    </xf>
    <xf numFmtId="0" fontId="5" fillId="3" borderId="13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/>
    </xf>
    <xf numFmtId="0" fontId="16" fillId="3" borderId="22" xfId="0" applyFont="1" applyFill="1" applyBorder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45" xfId="0" applyFont="1" applyFill="1" applyBorder="1" applyAlignment="1">
      <alignment vertical="center" wrapText="1"/>
    </xf>
    <xf numFmtId="0" fontId="16" fillId="3" borderId="46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3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8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Views>
    <sheetView tabSelected="1" view="pageBreakPreview" zoomScale="60" zoomScaleNormal="80" workbookViewId="0">
      <selection activeCell="M12" sqref="M12"/>
    </sheetView>
  </sheetViews>
  <sheetFormatPr baseColWidth="10" defaultColWidth="11.42578125" defaultRowHeight="13.5" x14ac:dyDescent="0.25"/>
  <cols>
    <col min="1" max="1" width="4.5703125" style="1" customWidth="1"/>
    <col min="2" max="2" width="17.140625" style="1" customWidth="1"/>
    <col min="3" max="3" width="27.42578125" style="1" customWidth="1"/>
    <col min="4" max="4" width="8.42578125" style="1" customWidth="1"/>
    <col min="5" max="5" width="94.28515625" style="1" customWidth="1"/>
    <col min="6" max="6" width="13.7109375" style="1" customWidth="1"/>
    <col min="7" max="7" width="12.7109375" style="1" customWidth="1"/>
    <col min="8" max="8" width="13.85546875" style="1" customWidth="1"/>
    <col min="9" max="9" width="18.5703125" style="1" customWidth="1"/>
  </cols>
  <sheetData>
    <row r="2" spans="1:9" ht="28.5" x14ac:dyDescent="0.4">
      <c r="B2" s="105" t="s">
        <v>0</v>
      </c>
      <c r="C2" s="105"/>
      <c r="D2" s="105"/>
      <c r="E2" s="105"/>
      <c r="F2" s="105"/>
      <c r="G2" s="105"/>
      <c r="H2" s="105"/>
    </row>
    <row r="4" spans="1:9" ht="15.75" x14ac:dyDescent="0.25">
      <c r="A4" s="104" t="s">
        <v>1</v>
      </c>
      <c r="B4" s="104"/>
      <c r="C4" s="106" t="s">
        <v>55</v>
      </c>
      <c r="D4" s="106"/>
      <c r="E4" s="106"/>
      <c r="F4" s="2"/>
      <c r="G4" s="5"/>
      <c r="H4" s="2"/>
    </row>
    <row r="5" spans="1:9" ht="15.75" x14ac:dyDescent="0.25">
      <c r="A5" s="104" t="s">
        <v>2</v>
      </c>
      <c r="B5" s="104"/>
      <c r="C5" s="106" t="s">
        <v>59</v>
      </c>
      <c r="D5" s="106"/>
      <c r="E5" s="106"/>
      <c r="F5" s="2"/>
      <c r="G5" s="5"/>
      <c r="H5" s="2"/>
    </row>
    <row r="6" spans="1:9" ht="15.75" x14ac:dyDescent="0.25">
      <c r="A6" s="104" t="s">
        <v>3</v>
      </c>
      <c r="B6" s="104"/>
      <c r="C6" s="6">
        <v>2022</v>
      </c>
      <c r="D6" s="7"/>
      <c r="E6" s="7"/>
      <c r="F6" s="2"/>
      <c r="G6" s="5"/>
      <c r="H6" s="2"/>
    </row>
    <row r="7" spans="1:9" ht="15.75" x14ac:dyDescent="0.25">
      <c r="A7" s="104" t="s">
        <v>4</v>
      </c>
      <c r="B7" s="104"/>
      <c r="C7" s="6">
        <v>1</v>
      </c>
      <c r="D7" s="7"/>
      <c r="E7" s="7"/>
      <c r="F7" s="2"/>
      <c r="G7" s="5"/>
      <c r="H7" s="2"/>
    </row>
    <row r="8" spans="1:9" ht="14.25" thickBot="1" x14ac:dyDescent="0.3">
      <c r="B8" s="2"/>
      <c r="C8" s="5"/>
      <c r="D8" s="2"/>
      <c r="E8" s="2"/>
      <c r="F8" s="2"/>
      <c r="G8" s="5"/>
      <c r="H8" s="2"/>
    </row>
    <row r="9" spans="1:9" ht="39" thickBot="1" x14ac:dyDescent="0.25">
      <c r="A9" s="78" t="s">
        <v>5</v>
      </c>
      <c r="B9" s="60" t="s">
        <v>6</v>
      </c>
      <c r="C9" s="77" t="s">
        <v>7</v>
      </c>
      <c r="D9" s="76" t="s">
        <v>8</v>
      </c>
      <c r="E9" s="76" t="s">
        <v>9</v>
      </c>
      <c r="F9" s="76" t="s">
        <v>10</v>
      </c>
      <c r="G9" s="76" t="s">
        <v>11</v>
      </c>
      <c r="H9" s="76" t="s">
        <v>12</v>
      </c>
      <c r="I9" s="75" t="s">
        <v>13</v>
      </c>
    </row>
    <row r="10" spans="1:9" ht="30" x14ac:dyDescent="0.25">
      <c r="A10" s="74">
        <v>1</v>
      </c>
      <c r="B10" s="73" t="s">
        <v>89</v>
      </c>
      <c r="C10" s="72" t="s">
        <v>72</v>
      </c>
      <c r="D10" s="70" t="s">
        <v>71</v>
      </c>
      <c r="E10" s="71" t="s">
        <v>90</v>
      </c>
      <c r="F10" s="70" t="s">
        <v>14</v>
      </c>
      <c r="G10" s="69">
        <v>100</v>
      </c>
      <c r="H10" s="68">
        <v>170</v>
      </c>
      <c r="I10" s="67">
        <f>(G10*H10)</f>
        <v>17000</v>
      </c>
    </row>
    <row r="11" spans="1:9" ht="30" x14ac:dyDescent="0.25">
      <c r="A11" s="74">
        <v>2</v>
      </c>
      <c r="B11" s="73" t="s">
        <v>73</v>
      </c>
      <c r="C11" s="72" t="s">
        <v>72</v>
      </c>
      <c r="D11" s="70" t="s">
        <v>71</v>
      </c>
      <c r="E11" s="71" t="s">
        <v>74</v>
      </c>
      <c r="F11" s="70" t="s">
        <v>14</v>
      </c>
      <c r="G11" s="69">
        <v>100</v>
      </c>
      <c r="H11" s="68">
        <v>490</v>
      </c>
      <c r="I11" s="67">
        <f t="shared" ref="I11:I14" si="0">(G11*H11)</f>
        <v>49000</v>
      </c>
    </row>
    <row r="12" spans="1:9" ht="30" x14ac:dyDescent="0.25">
      <c r="A12" s="74">
        <v>3</v>
      </c>
      <c r="B12" s="73" t="s">
        <v>75</v>
      </c>
      <c r="C12" s="72" t="s">
        <v>72</v>
      </c>
      <c r="D12" s="70" t="s">
        <v>71</v>
      </c>
      <c r="E12" s="71" t="s">
        <v>76</v>
      </c>
      <c r="F12" s="70" t="s">
        <v>14</v>
      </c>
      <c r="G12" s="69">
        <v>250</v>
      </c>
      <c r="H12" s="68">
        <v>290</v>
      </c>
      <c r="I12" s="67">
        <f t="shared" si="0"/>
        <v>72500</v>
      </c>
    </row>
    <row r="13" spans="1:9" ht="30" x14ac:dyDescent="0.25">
      <c r="A13" s="74">
        <v>4</v>
      </c>
      <c r="B13" s="73" t="s">
        <v>77</v>
      </c>
      <c r="C13" s="72" t="s">
        <v>72</v>
      </c>
      <c r="D13" s="70" t="s">
        <v>71</v>
      </c>
      <c r="E13" s="71" t="s">
        <v>78</v>
      </c>
      <c r="F13" s="70" t="s">
        <v>14</v>
      </c>
      <c r="G13" s="69">
        <v>200</v>
      </c>
      <c r="H13" s="68">
        <v>198</v>
      </c>
      <c r="I13" s="67">
        <f t="shared" si="0"/>
        <v>39600</v>
      </c>
    </row>
    <row r="14" spans="1:9" ht="45" x14ac:dyDescent="0.25">
      <c r="A14" s="74">
        <v>5</v>
      </c>
      <c r="B14" s="73" t="s">
        <v>79</v>
      </c>
      <c r="C14" s="72" t="s">
        <v>72</v>
      </c>
      <c r="D14" s="70" t="s">
        <v>71</v>
      </c>
      <c r="E14" s="71" t="s">
        <v>80</v>
      </c>
      <c r="F14" s="70" t="s">
        <v>14</v>
      </c>
      <c r="G14" s="69">
        <v>150</v>
      </c>
      <c r="H14" s="68">
        <v>190</v>
      </c>
      <c r="I14" s="67">
        <f t="shared" si="0"/>
        <v>28500</v>
      </c>
    </row>
    <row r="15" spans="1:9" ht="30" x14ac:dyDescent="0.25">
      <c r="A15" s="74">
        <v>6</v>
      </c>
      <c r="B15" s="73" t="s">
        <v>81</v>
      </c>
      <c r="C15" s="72" t="s">
        <v>72</v>
      </c>
      <c r="D15" s="70" t="s">
        <v>71</v>
      </c>
      <c r="E15" s="79" t="s">
        <v>82</v>
      </c>
      <c r="F15" s="70" t="s">
        <v>14</v>
      </c>
      <c r="G15" s="69">
        <v>100</v>
      </c>
      <c r="H15" s="68">
        <v>185</v>
      </c>
      <c r="I15" s="67">
        <f t="shared" ref="I15:I20" si="1">(G15*H15)</f>
        <v>18500</v>
      </c>
    </row>
    <row r="16" spans="1:9" ht="15" x14ac:dyDescent="0.25">
      <c r="A16" s="74">
        <v>7</v>
      </c>
      <c r="B16" s="73" t="s">
        <v>83</v>
      </c>
      <c r="C16" s="72" t="s">
        <v>72</v>
      </c>
      <c r="D16" s="70" t="s">
        <v>71</v>
      </c>
      <c r="E16" s="71" t="s">
        <v>84</v>
      </c>
      <c r="F16" s="70" t="s">
        <v>14</v>
      </c>
      <c r="G16" s="69">
        <v>200</v>
      </c>
      <c r="H16" s="68">
        <v>89</v>
      </c>
      <c r="I16" s="67">
        <f t="shared" si="1"/>
        <v>17800</v>
      </c>
    </row>
    <row r="17" spans="1:9" ht="30" x14ac:dyDescent="0.25">
      <c r="A17" s="74">
        <v>8</v>
      </c>
      <c r="B17" s="73" t="s">
        <v>85</v>
      </c>
      <c r="C17" s="72" t="s">
        <v>72</v>
      </c>
      <c r="D17" s="70" t="s">
        <v>71</v>
      </c>
      <c r="E17" s="71" t="s">
        <v>86</v>
      </c>
      <c r="F17" s="70" t="s">
        <v>14</v>
      </c>
      <c r="G17" s="69">
        <v>200</v>
      </c>
      <c r="H17" s="68">
        <v>215</v>
      </c>
      <c r="I17" s="67">
        <f t="shared" si="1"/>
        <v>43000</v>
      </c>
    </row>
    <row r="18" spans="1:9" ht="15" x14ac:dyDescent="0.25">
      <c r="A18" s="74">
        <v>9</v>
      </c>
      <c r="B18" s="73" t="s">
        <v>92</v>
      </c>
      <c r="C18" s="72" t="s">
        <v>72</v>
      </c>
      <c r="D18" s="70" t="s">
        <v>71</v>
      </c>
      <c r="E18" s="71" t="s">
        <v>91</v>
      </c>
      <c r="F18" s="70" t="s">
        <v>14</v>
      </c>
      <c r="G18" s="69">
        <v>200</v>
      </c>
      <c r="H18" s="68">
        <v>270</v>
      </c>
      <c r="I18" s="67">
        <f t="shared" si="1"/>
        <v>54000</v>
      </c>
    </row>
    <row r="19" spans="1:9" ht="30" x14ac:dyDescent="0.25">
      <c r="A19" s="74">
        <v>10</v>
      </c>
      <c r="B19" s="73" t="s">
        <v>93</v>
      </c>
      <c r="C19" s="72" t="s">
        <v>72</v>
      </c>
      <c r="D19" s="70" t="s">
        <v>71</v>
      </c>
      <c r="E19" s="71" t="s">
        <v>94</v>
      </c>
      <c r="F19" s="70" t="s">
        <v>14</v>
      </c>
      <c r="G19" s="69">
        <v>400</v>
      </c>
      <c r="H19" s="68">
        <v>150</v>
      </c>
      <c r="I19" s="67">
        <f t="shared" si="1"/>
        <v>60000</v>
      </c>
    </row>
    <row r="20" spans="1:9" ht="30" x14ac:dyDescent="0.25">
      <c r="A20" s="74">
        <v>11</v>
      </c>
      <c r="B20" s="73" t="s">
        <v>87</v>
      </c>
      <c r="C20" s="72" t="s">
        <v>72</v>
      </c>
      <c r="D20" s="70" t="s">
        <v>71</v>
      </c>
      <c r="E20" s="71" t="s">
        <v>88</v>
      </c>
      <c r="F20" s="70" t="s">
        <v>14</v>
      </c>
      <c r="G20" s="69">
        <v>100</v>
      </c>
      <c r="H20" s="68">
        <v>315</v>
      </c>
      <c r="I20" s="67">
        <f t="shared" si="1"/>
        <v>31500</v>
      </c>
    </row>
    <row r="21" spans="1:9" ht="15" thickBot="1" x14ac:dyDescent="0.3">
      <c r="B21" s="61"/>
      <c r="I21" s="8">
        <f>SUM(I10:I20)</f>
        <v>431400</v>
      </c>
    </row>
    <row r="22" spans="1:9" x14ac:dyDescent="0.25">
      <c r="B22" s="39" t="s">
        <v>62</v>
      </c>
      <c r="C22" s="40"/>
      <c r="D22" s="40"/>
      <c r="E22" s="41"/>
    </row>
    <row r="23" spans="1:9" x14ac:dyDescent="0.25">
      <c r="B23" s="107"/>
      <c r="C23" s="108"/>
      <c r="D23" s="42"/>
      <c r="E23" s="43"/>
    </row>
    <row r="24" spans="1:9" x14ac:dyDescent="0.25">
      <c r="B24" s="66"/>
      <c r="C24" s="94"/>
      <c r="D24" s="94"/>
      <c r="E24" s="95"/>
    </row>
    <row r="25" spans="1:9" x14ac:dyDescent="0.25">
      <c r="B25" s="66"/>
      <c r="C25" s="94"/>
      <c r="D25" s="94"/>
      <c r="E25" s="95"/>
    </row>
    <row r="26" spans="1:9" s="1" customFormat="1" ht="39" customHeight="1" x14ac:dyDescent="0.25">
      <c r="A26" s="80"/>
      <c r="B26" s="81"/>
      <c r="C26" s="98"/>
      <c r="D26" s="98"/>
      <c r="E26" s="99"/>
      <c r="F26" s="80"/>
      <c r="G26" s="80"/>
      <c r="H26" s="80"/>
      <c r="I26" s="82"/>
    </row>
    <row r="27" spans="1:9" s="1" customFormat="1" ht="10.5" customHeight="1" x14ac:dyDescent="0.25">
      <c r="A27" s="80"/>
      <c r="B27" s="81"/>
      <c r="C27" s="100"/>
      <c r="D27" s="100"/>
      <c r="E27" s="101"/>
      <c r="F27" s="80"/>
      <c r="G27" s="80"/>
      <c r="H27" s="80"/>
      <c r="I27" s="82"/>
    </row>
    <row r="28" spans="1:9" s="89" customFormat="1" ht="25.5" customHeight="1" thickBot="1" x14ac:dyDescent="0.25">
      <c r="A28" s="83"/>
      <c r="B28" s="84"/>
      <c r="C28" s="85"/>
      <c r="D28" s="86"/>
      <c r="E28" s="87"/>
      <c r="F28" s="83"/>
      <c r="G28" s="83"/>
      <c r="H28" s="83"/>
      <c r="I28" s="88"/>
    </row>
    <row r="29" spans="1:9" ht="14.25" thickBot="1" x14ac:dyDescent="0.3">
      <c r="B29" s="65"/>
      <c r="C29" s="96"/>
      <c r="D29" s="96"/>
      <c r="E29" s="97"/>
    </row>
    <row r="30" spans="1:9" ht="14.25" thickBot="1" x14ac:dyDescent="0.3">
      <c r="B30" s="44"/>
      <c r="C30" s="63"/>
      <c r="D30" s="63"/>
      <c r="E30" s="63"/>
    </row>
    <row r="31" spans="1:9" x14ac:dyDescent="0.25">
      <c r="B31" s="45" t="s">
        <v>15</v>
      </c>
      <c r="C31" s="46"/>
      <c r="D31" s="40"/>
      <c r="E31" s="47"/>
    </row>
    <row r="32" spans="1:9" ht="109.5" customHeight="1" x14ac:dyDescent="0.25">
      <c r="B32" s="48"/>
      <c r="C32" s="94" t="s">
        <v>95</v>
      </c>
      <c r="D32" s="94"/>
      <c r="E32" s="95"/>
    </row>
    <row r="33" spans="2:5" x14ac:dyDescent="0.25">
      <c r="B33" s="48"/>
      <c r="C33" s="102"/>
      <c r="D33" s="102"/>
      <c r="E33" s="103"/>
    </row>
    <row r="34" spans="2:5" x14ac:dyDescent="0.25">
      <c r="B34" s="49" t="s">
        <v>16</v>
      </c>
      <c r="C34" s="50"/>
      <c r="D34" s="42"/>
      <c r="E34" s="64"/>
    </row>
    <row r="35" spans="2:5" x14ac:dyDescent="0.25">
      <c r="B35" s="48"/>
      <c r="C35" s="94" t="s">
        <v>70</v>
      </c>
      <c r="D35" s="94"/>
      <c r="E35" s="95"/>
    </row>
    <row r="36" spans="2:5" ht="14.25" thickBot="1" x14ac:dyDescent="0.3">
      <c r="B36" s="51"/>
      <c r="C36" s="52"/>
      <c r="D36" s="52"/>
      <c r="E36" s="53"/>
    </row>
    <row r="37" spans="2:5" ht="14.25" thickBot="1" x14ac:dyDescent="0.3">
      <c r="B37" s="42"/>
      <c r="C37" s="42"/>
      <c r="D37" s="42"/>
      <c r="E37" s="42"/>
    </row>
    <row r="38" spans="2:5" x14ac:dyDescent="0.25">
      <c r="B38" s="45" t="s">
        <v>17</v>
      </c>
      <c r="C38" s="54"/>
      <c r="D38" s="54"/>
      <c r="E38" s="55"/>
    </row>
    <row r="39" spans="2:5" x14ac:dyDescent="0.25">
      <c r="B39" s="56"/>
      <c r="C39" s="90" t="s">
        <v>69</v>
      </c>
      <c r="D39" s="90"/>
      <c r="E39" s="91"/>
    </row>
    <row r="40" spans="2:5" x14ac:dyDescent="0.25">
      <c r="B40" s="57" t="s">
        <v>18</v>
      </c>
      <c r="C40" s="42"/>
      <c r="D40" s="42"/>
      <c r="E40" s="43"/>
    </row>
    <row r="41" spans="2:5" x14ac:dyDescent="0.25">
      <c r="B41" s="58"/>
      <c r="C41" s="92" t="s">
        <v>68</v>
      </c>
      <c r="D41" s="92"/>
      <c r="E41" s="93"/>
    </row>
    <row r="42" spans="2:5" ht="14.25" thickBot="1" x14ac:dyDescent="0.3">
      <c r="B42" s="59"/>
      <c r="C42" s="52"/>
      <c r="D42" s="52"/>
      <c r="E42" s="53"/>
    </row>
  </sheetData>
  <mergeCells count="18">
    <mergeCell ref="C24:E24"/>
    <mergeCell ref="A6:B6"/>
    <mergeCell ref="A7:B7"/>
    <mergeCell ref="B2:H2"/>
    <mergeCell ref="A4:B4"/>
    <mergeCell ref="C4:E4"/>
    <mergeCell ref="A5:B5"/>
    <mergeCell ref="C5:E5"/>
    <mergeCell ref="B23:C23"/>
    <mergeCell ref="C39:E39"/>
    <mergeCell ref="C41:E41"/>
    <mergeCell ref="C25:E25"/>
    <mergeCell ref="C29:E29"/>
    <mergeCell ref="C26:E26"/>
    <mergeCell ref="C27:E27"/>
    <mergeCell ref="C35:E35"/>
    <mergeCell ref="C32:E32"/>
    <mergeCell ref="C33:E33"/>
  </mergeCells>
  <pageMargins left="0.7" right="0.7" top="0.75" bottom="0.75" header="0.51180555555555496" footer="0.51180555555555496"/>
  <pageSetup paperSize="9" scale="54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 x14ac:dyDescent="0.25"/>
  <cols>
    <col min="1" max="1" width="5.42578125" style="28" customWidth="1"/>
    <col min="2" max="2" width="12.28515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77.42578125" style="28" customWidth="1"/>
    <col min="8" max="8" width="8.42578125" style="28" customWidth="1"/>
    <col min="9" max="9" width="12" style="28" customWidth="1"/>
    <col min="10" max="10" width="11.42578125" style="28" customWidth="1"/>
    <col min="11" max="11" width="10.8554687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1"/>
  </cols>
  <sheetData>
    <row r="1" spans="1:1024" ht="18" customHeight="1" x14ac:dyDescent="0.25">
      <c r="A1" s="109" t="s">
        <v>19</v>
      </c>
      <c r="B1" s="109"/>
      <c r="C1" s="109"/>
      <c r="D1" s="109"/>
      <c r="E1" s="109"/>
      <c r="F1" s="109"/>
      <c r="G1" s="109"/>
      <c r="H1" s="109"/>
      <c r="I1" s="109"/>
      <c r="J1" s="26" t="s">
        <v>20</v>
      </c>
      <c r="K1" s="27" t="s">
        <v>67</v>
      </c>
    </row>
    <row r="2" spans="1:1024" ht="18.75" customHeight="1" thickBot="1" x14ac:dyDescent="0.3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024" ht="18.75" customHeight="1" thickBot="1" x14ac:dyDescent="0.3">
      <c r="A3" s="110" t="s">
        <v>52</v>
      </c>
      <c r="B3" s="110"/>
      <c r="C3" s="110"/>
      <c r="D3" s="115" t="str">
        <f>'Necesidades Trimestrales'!C4</f>
        <v>90 - Ministerio de Seguridad</v>
      </c>
      <c r="E3" s="115"/>
      <c r="F3" s="115"/>
      <c r="G3" s="115"/>
      <c r="H3" s="115"/>
      <c r="I3" s="115"/>
      <c r="J3" s="115"/>
      <c r="K3" s="115"/>
    </row>
    <row r="4" spans="1:1024" ht="18.75" customHeight="1" thickBot="1" x14ac:dyDescent="0.3">
      <c r="A4" s="114" t="s">
        <v>53</v>
      </c>
      <c r="B4" s="114"/>
      <c r="C4" s="114"/>
      <c r="D4" s="115" t="str">
        <f>'Necesidades Trimestrales'!C5</f>
        <v>7- Dirección Provincial de Administración de la Policía de la Provincia de Catamarca</v>
      </c>
      <c r="E4" s="115"/>
      <c r="F4" s="115"/>
      <c r="G4" s="115"/>
      <c r="H4" s="115"/>
      <c r="I4" s="115"/>
      <c r="J4" s="115"/>
      <c r="K4" s="115"/>
    </row>
    <row r="5" spans="1:1024" ht="18.75" customHeight="1" thickBot="1" x14ac:dyDescent="0.3">
      <c r="A5" s="114" t="s">
        <v>32</v>
      </c>
      <c r="B5" s="114"/>
      <c r="C5" s="114"/>
      <c r="D5" s="115" t="s">
        <v>56</v>
      </c>
      <c r="E5" s="115"/>
      <c r="F5" s="115"/>
      <c r="G5" s="115"/>
      <c r="H5" s="115"/>
      <c r="I5" s="115"/>
      <c r="J5" s="115"/>
      <c r="K5" s="115"/>
    </row>
    <row r="6" spans="1:1024" ht="16.5" customHeight="1" thickBot="1" x14ac:dyDescent="0.3">
      <c r="A6" s="110" t="s">
        <v>54</v>
      </c>
      <c r="B6" s="110"/>
      <c r="C6" s="110"/>
      <c r="D6" s="111" t="s">
        <v>64</v>
      </c>
      <c r="E6" s="112"/>
      <c r="F6" s="112"/>
      <c r="G6" s="112"/>
      <c r="H6" s="112"/>
      <c r="I6" s="112"/>
      <c r="J6" s="112"/>
      <c r="K6" s="113"/>
    </row>
    <row r="7" spans="1:1024" ht="16.5" customHeight="1" thickBot="1" x14ac:dyDescent="0.3">
      <c r="A7" s="114" t="s">
        <v>21</v>
      </c>
      <c r="B7" s="114"/>
      <c r="C7" s="114"/>
      <c r="D7" s="115" t="s">
        <v>66</v>
      </c>
      <c r="E7" s="115"/>
      <c r="F7" s="115"/>
      <c r="G7" s="115"/>
      <c r="H7" s="115"/>
      <c r="I7" s="115"/>
      <c r="J7" s="115"/>
      <c r="K7" s="115"/>
    </row>
    <row r="8" spans="1:1024" ht="16.5" customHeight="1" thickBot="1" x14ac:dyDescent="0.3">
      <c r="A8" s="125" t="s">
        <v>22</v>
      </c>
      <c r="B8" s="125"/>
      <c r="C8" s="125"/>
      <c r="D8" s="118" t="s">
        <v>63</v>
      </c>
      <c r="E8" s="112"/>
      <c r="F8" s="112"/>
      <c r="G8" s="112"/>
      <c r="H8" s="112"/>
      <c r="I8" s="112"/>
      <c r="J8" s="112"/>
      <c r="K8" s="113"/>
    </row>
    <row r="9" spans="1:1024" ht="18" thickBot="1" x14ac:dyDescent="0.3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024" ht="14.25" customHeight="1" thickBot="1" x14ac:dyDescent="0.3">
      <c r="A10" s="119" t="s">
        <v>23</v>
      </c>
      <c r="B10" s="120" t="s">
        <v>24</v>
      </c>
      <c r="C10" s="121" t="s">
        <v>25</v>
      </c>
      <c r="D10" s="122"/>
      <c r="E10" s="122"/>
      <c r="F10" s="122"/>
      <c r="G10" s="123"/>
      <c r="H10" s="124" t="s">
        <v>26</v>
      </c>
      <c r="I10" s="122" t="s">
        <v>27</v>
      </c>
      <c r="J10" s="122" t="s">
        <v>28</v>
      </c>
      <c r="K10" s="123" t="s">
        <v>29</v>
      </c>
    </row>
    <row r="11" spans="1:1024" ht="14.25" customHeight="1" thickBot="1" x14ac:dyDescent="0.3">
      <c r="A11" s="119"/>
      <c r="B11" s="120"/>
      <c r="C11" s="121"/>
      <c r="D11" s="122"/>
      <c r="E11" s="122"/>
      <c r="F11" s="122"/>
      <c r="G11" s="123"/>
      <c r="H11" s="124"/>
      <c r="I11" s="122"/>
      <c r="J11" s="122"/>
      <c r="K11" s="123"/>
    </row>
    <row r="12" spans="1:1024" ht="22.5" customHeight="1" thickBot="1" x14ac:dyDescent="0.3">
      <c r="A12" s="33">
        <v>1</v>
      </c>
      <c r="B12" s="62" t="e">
        <f>'Necesidades Trimestrales'!#REF!</f>
        <v>#REF!</v>
      </c>
      <c r="C12" s="126" t="e">
        <f>'Necesidades Trimestrales'!#REF!</f>
        <v>#REF!</v>
      </c>
      <c r="D12" s="127"/>
      <c r="E12" s="127"/>
      <c r="F12" s="127"/>
      <c r="G12" s="128"/>
      <c r="H12" s="34" t="s">
        <v>58</v>
      </c>
      <c r="I12" s="35" t="e">
        <f>'Necesidades Trimestrales'!#REF!</f>
        <v>#REF!</v>
      </c>
      <c r="J12" s="36" t="e">
        <f>'Necesidades Trimestrales'!#REF!</f>
        <v>#REF!</v>
      </c>
      <c r="K12" s="37" t="e">
        <f>'Necesidades Trimestrales'!#REF!</f>
        <v>#REF!</v>
      </c>
    </row>
    <row r="13" spans="1:1024" ht="22.5" customHeight="1" thickBot="1" x14ac:dyDescent="0.3">
      <c r="A13" s="33"/>
      <c r="B13" s="62" t="e">
        <f>'Necesidades Trimestrales'!#REF!</f>
        <v>#REF!</v>
      </c>
      <c r="C13" s="126" t="e">
        <f>'Necesidades Trimestrales'!#REF!</f>
        <v>#REF!</v>
      </c>
      <c r="D13" s="127"/>
      <c r="E13" s="127"/>
      <c r="F13" s="127"/>
      <c r="G13" s="128"/>
      <c r="H13" s="34" t="s">
        <v>58</v>
      </c>
      <c r="I13" s="35" t="e">
        <f>'Necesidades Trimestrales'!#REF!</f>
        <v>#REF!</v>
      </c>
      <c r="J13" s="36" t="e">
        <f>'Necesidades Trimestrales'!#REF!</f>
        <v>#REF!</v>
      </c>
      <c r="K13" s="37" t="e">
        <f>'Necesidades Trimestrales'!#REF!</f>
        <v>#REF!</v>
      </c>
    </row>
    <row r="14" spans="1:1024" ht="19.5" customHeight="1" x14ac:dyDescent="0.25">
      <c r="A14" s="33">
        <v>3</v>
      </c>
      <c r="B14" s="62" t="e">
        <f>'Necesidades Trimestrales'!#REF!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4" t="s">
        <v>58</v>
      </c>
      <c r="I14" s="35" t="e">
        <f>'Necesidades Trimestrales'!#REF!</f>
        <v>#REF!</v>
      </c>
      <c r="J14" s="36" t="e">
        <f>'Necesidades Trimestrales'!#REF!</f>
        <v>#REF!</v>
      </c>
      <c r="K14" s="37" t="e">
        <f>'Necesidades Trimestrales'!#REF!</f>
        <v>#REF!</v>
      </c>
    </row>
    <row r="15" spans="1:1024" ht="15.75" thickBot="1" x14ac:dyDescent="0.3">
      <c r="A15" s="116" t="s">
        <v>65</v>
      </c>
      <c r="B15" s="116"/>
      <c r="C15" s="116"/>
      <c r="D15" s="116"/>
      <c r="E15" s="116"/>
      <c r="F15" s="116"/>
      <c r="G15" s="116"/>
      <c r="H15" s="116"/>
      <c r="I15" s="116"/>
      <c r="J15" s="117" t="e">
        <f>'Necesidades Trimestrales'!#REF!</f>
        <v>#REF!</v>
      </c>
      <c r="K15" s="11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 x14ac:dyDescent="0.25">
      <c r="J16" s="38"/>
    </row>
  </sheetData>
  <mergeCells count="25"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opLeftCell="A7" workbookViewId="0">
      <selection activeCell="O15" sqref="O15:P15"/>
    </sheetView>
  </sheetViews>
  <sheetFormatPr baseColWidth="10" defaultColWidth="11" defaultRowHeight="13.5" x14ac:dyDescent="0.2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129" t="s">
        <v>3</v>
      </c>
      <c r="B1" s="129"/>
      <c r="C1" s="129"/>
      <c r="D1" s="130">
        <f>'Necesidades Trimestrales'!C6</f>
        <v>2022</v>
      </c>
      <c r="E1" s="130"/>
      <c r="F1" s="9"/>
      <c r="G1" s="9"/>
      <c r="H1" s="10"/>
      <c r="I1" s="10"/>
      <c r="J1" s="10"/>
      <c r="K1" s="10"/>
      <c r="L1" s="10"/>
      <c r="M1" s="10"/>
      <c r="N1" s="10"/>
      <c r="P1" s="131" t="s">
        <v>30</v>
      </c>
      <c r="Q1" s="131"/>
    </row>
    <row r="2" spans="1:17" ht="15.75" customHeight="1" x14ac:dyDescent="0.25">
      <c r="H2" s="10"/>
      <c r="I2" s="10"/>
      <c r="J2" s="10"/>
      <c r="K2" s="10"/>
      <c r="L2" s="10"/>
      <c r="M2" s="10"/>
      <c r="N2" s="10"/>
      <c r="P2" s="131"/>
      <c r="Q2" s="131"/>
    </row>
    <row r="4" spans="1:17" ht="18" customHeight="1" thickBot="1" x14ac:dyDescent="0.35">
      <c r="A4" s="132" t="s">
        <v>31</v>
      </c>
      <c r="B4" s="132"/>
      <c r="C4" s="132"/>
      <c r="D4" s="132"/>
      <c r="E4" s="132"/>
      <c r="F4" s="132"/>
      <c r="G4" s="133" t="str">
        <f>' NotaPedido'!D3</f>
        <v>90 - Ministerio de Seguridad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 ht="18" customHeight="1" thickBot="1" x14ac:dyDescent="0.35">
      <c r="A5" s="134" t="s">
        <v>53</v>
      </c>
      <c r="B5" s="135"/>
      <c r="C5" s="135"/>
      <c r="D5" s="135"/>
      <c r="E5" s="135"/>
      <c r="F5" s="136"/>
      <c r="G5" s="133" t="str">
        <f>' NotaPedido'!D4</f>
        <v>7- Dirección Provincial de Administración de la Policía de la Provincia de Catamarca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17" ht="18" customHeight="1" thickBot="1" x14ac:dyDescent="0.35">
      <c r="A6" s="134" t="s">
        <v>32</v>
      </c>
      <c r="B6" s="135"/>
      <c r="C6" s="135"/>
      <c r="D6" s="135"/>
      <c r="E6" s="135"/>
      <c r="F6" s="136"/>
      <c r="G6" s="133" t="str">
        <f>' NotaPedido'!D5</f>
        <v>Policía de la Provincia de Catamarca</v>
      </c>
      <c r="H6" s="133"/>
      <c r="I6" s="133"/>
      <c r="J6" s="133"/>
      <c r="K6" s="133"/>
      <c r="L6" s="133"/>
      <c r="M6" s="133"/>
      <c r="N6" s="133"/>
      <c r="O6" s="133"/>
      <c r="P6" s="133"/>
      <c r="Q6" s="133"/>
    </row>
    <row r="7" spans="1:17" ht="18" customHeight="1" thickBot="1" x14ac:dyDescent="0.35">
      <c r="A7" s="134" t="s">
        <v>54</v>
      </c>
      <c r="B7" s="135"/>
      <c r="C7" s="135"/>
      <c r="D7" s="135"/>
      <c r="E7" s="135"/>
      <c r="F7" s="136"/>
      <c r="G7" s="133" t="str">
        <f>' NotaPedido'!D6</f>
        <v>División Intendencia, Departamento Logística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8" spans="1:17" ht="18" customHeight="1" thickBot="1" x14ac:dyDescent="0.3">
      <c r="A8" s="137" t="s">
        <v>60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</row>
    <row r="9" spans="1:17" ht="18" customHeight="1" x14ac:dyDescent="0.3">
      <c r="A9" s="138" t="s">
        <v>33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3"/>
      <c r="P9" s="3"/>
      <c r="Q9" s="11"/>
    </row>
    <row r="10" spans="1:17" ht="66.75" customHeight="1" x14ac:dyDescent="0.25">
      <c r="A10" s="139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</row>
    <row r="11" spans="1:17" ht="9" customHeight="1" x14ac:dyDescent="0.25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5">
      <c r="A12" s="140" t="s">
        <v>34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</row>
    <row r="13" spans="1:17" ht="15.75" customHeight="1" x14ac:dyDescent="0.25">
      <c r="A13" s="141" t="s">
        <v>35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2" t="s">
        <v>36</v>
      </c>
      <c r="P13" s="142"/>
      <c r="Q13" s="143" t="s">
        <v>37</v>
      </c>
    </row>
    <row r="14" spans="1:17" ht="15.75" customHeight="1" thickBot="1" x14ac:dyDescent="0.3">
      <c r="A14" s="16" t="s">
        <v>38</v>
      </c>
      <c r="B14" s="17" t="s">
        <v>39</v>
      </c>
      <c r="C14" s="17" t="s">
        <v>40</v>
      </c>
      <c r="D14" s="17" t="s">
        <v>41</v>
      </c>
      <c r="E14" s="17" t="s">
        <v>42</v>
      </c>
      <c r="F14" s="17" t="s">
        <v>43</v>
      </c>
      <c r="G14" s="18" t="s">
        <v>44</v>
      </c>
      <c r="H14" s="17" t="s">
        <v>45</v>
      </c>
      <c r="I14" s="17" t="s">
        <v>46</v>
      </c>
      <c r="J14" s="17" t="s">
        <v>47</v>
      </c>
      <c r="K14" s="17" t="s">
        <v>47</v>
      </c>
      <c r="L14" s="17" t="s">
        <v>48</v>
      </c>
      <c r="M14" s="19" t="s">
        <v>49</v>
      </c>
      <c r="N14" s="20" t="s">
        <v>50</v>
      </c>
      <c r="O14" s="142"/>
      <c r="P14" s="142"/>
      <c r="Q14" s="143"/>
    </row>
    <row r="15" spans="1:17" ht="26.25" customHeight="1" x14ac:dyDescent="0.25">
      <c r="A15" s="21">
        <v>16</v>
      </c>
      <c r="B15" s="22">
        <v>0</v>
      </c>
      <c r="C15" s="22">
        <v>0</v>
      </c>
      <c r="D15" s="22">
        <v>1</v>
      </c>
      <c r="E15" s="22">
        <v>0</v>
      </c>
      <c r="F15" s="22">
        <v>10</v>
      </c>
      <c r="G15" s="22">
        <v>2</v>
      </c>
      <c r="H15" s="22">
        <v>210</v>
      </c>
      <c r="I15" s="22">
        <v>2</v>
      </c>
      <c r="J15" s="22">
        <v>9</v>
      </c>
      <c r="K15" s="22">
        <v>1</v>
      </c>
      <c r="L15" s="22">
        <v>0</v>
      </c>
      <c r="M15" s="23">
        <v>1</v>
      </c>
      <c r="N15" s="22" t="s">
        <v>57</v>
      </c>
      <c r="O15" s="144" t="e">
        <f>'Necesidades Trimestrales'!#REF!</f>
        <v>#REF!</v>
      </c>
      <c r="P15" s="145"/>
      <c r="Q15" s="24" t="e">
        <f>' NotaPedido'!J15</f>
        <v>#REF!</v>
      </c>
    </row>
    <row r="16" spans="1:17" ht="33" customHeight="1" thickBot="1" x14ac:dyDescent="0.3">
      <c r="A16" s="157" t="s">
        <v>61</v>
      </c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25" t="e">
        <f>Q15</f>
        <v>#REF!</v>
      </c>
    </row>
    <row r="17" spans="1:17" ht="18" customHeight="1" thickBot="1" x14ac:dyDescent="0.3">
      <c r="A17" s="158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60"/>
    </row>
    <row r="18" spans="1:17" ht="17.25" customHeight="1" thickBot="1" x14ac:dyDescent="0.3">
      <c r="A18" s="146" t="s">
        <v>51</v>
      </c>
      <c r="B18" s="147"/>
      <c r="C18" s="147"/>
      <c r="D18" s="147"/>
      <c r="E18" s="147"/>
      <c r="F18" s="148"/>
      <c r="G18" s="149"/>
      <c r="H18" s="150"/>
      <c r="I18" s="150"/>
      <c r="J18" s="150"/>
      <c r="K18" s="150"/>
      <c r="L18" s="150"/>
      <c r="M18" s="150"/>
      <c r="N18" s="150"/>
      <c r="O18" s="150"/>
      <c r="P18" s="150"/>
      <c r="Q18" s="150"/>
    </row>
    <row r="19" spans="1:17" ht="18" customHeight="1" x14ac:dyDescent="0.25">
      <c r="A19" s="151" t="str">
        <f>' NotaPedido'!D8</f>
        <v>Adquisición de Uniformes de Fajina para el personal policial.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3"/>
    </row>
    <row r="20" spans="1:17" ht="15" customHeight="1" thickBot="1" x14ac:dyDescent="0.3">
      <c r="A20" s="154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6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Poli</cp:lastModifiedBy>
  <cp:revision>2</cp:revision>
  <cp:lastPrinted>2020-07-17T22:18:48Z</cp:lastPrinted>
  <dcterms:created xsi:type="dcterms:W3CDTF">2020-07-17T23:44:49Z</dcterms:created>
  <dcterms:modified xsi:type="dcterms:W3CDTF">2022-01-20T14:28:11Z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