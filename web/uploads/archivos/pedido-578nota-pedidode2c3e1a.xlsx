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25"/>
  <workbookPr defaultThemeVersion="124226"/>
  <xr:revisionPtr revIDLastSave="0" documentId="11_3A5AFD5F333AB6F380335F7A3B945BE54861AB42" xr6:coauthVersionLast="47" xr6:coauthVersionMax="47" xr10:uidLastSave="{00000000-0000-0000-0000-000000000000}"/>
  <bookViews>
    <workbookView xWindow="-105" yWindow="-105" windowWidth="19425" windowHeight="10425" tabRatio="500" xr2:uid="{00000000-000D-0000-FFFF-FFFF00000000}"/>
  </bookViews>
  <sheets>
    <sheet name="Necesidades Trimestrales" sheetId="1" r:id="rId1"/>
    <sheet name=" NotaPedido" sheetId="2" state="hidden" r:id="rId2"/>
    <sheet name="Autor Gastar" sheetId="3" state="hidden" r:id="rId3"/>
  </sheets>
  <definedNames>
    <definedName name="_xlnm.Print_Area" localSheetId="1">' NotaPedido'!$A$1:$K$13</definedName>
    <definedName name="_xlnm.Print_Area" localSheetId="2">'Autor Gastar'!$A$1:$Q$20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3" l="1"/>
  <c r="O15" i="3"/>
  <c r="C12" i="2"/>
  <c r="B12" i="2"/>
  <c r="A12" i="2"/>
  <c r="K12" i="2"/>
  <c r="J12" i="2"/>
  <c r="I11" i="1"/>
  <c r="A10" i="3"/>
  <c r="J13" i="2" l="1"/>
  <c r="Q15" i="3" l="1"/>
  <c r="Q16" i="3" s="1"/>
  <c r="G6" i="3" l="1"/>
  <c r="G7" i="3"/>
  <c r="D3" i="2"/>
  <c r="G4" i="3" s="1"/>
  <c r="D4" i="2"/>
  <c r="G5" i="3" s="1"/>
  <c r="D1" i="3" l="1"/>
</calcChain>
</file>

<file path=xl/sharedStrings.xml><?xml version="1.0" encoding="utf-8"?>
<sst xmlns="http://schemas.openxmlformats.org/spreadsheetml/2006/main" count="89" uniqueCount="80">
  <si>
    <t>Pedido de Necesidades Trimestrales</t>
  </si>
  <si>
    <t>JURISDICCION:</t>
  </si>
  <si>
    <t>90 - Ministerio de Seguridad</t>
  </si>
  <si>
    <t xml:space="preserve">SAF N°: </t>
  </si>
  <si>
    <t>7- Dirección Provincial de Administración de la Policía de la Provincia de Catamarca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</si>
  <si>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</si>
  <si>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</si>
  <si>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</si>
  <si>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</si>
  <si>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</si>
  <si>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</si>
  <si>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</si>
  <si>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</si>
  <si>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</si>
  <si>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</si>
  <si>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</si>
  <si>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4.3.2-2930.63</t>
  </si>
  <si>
    <t>EQUIPOS</t>
  </si>
  <si>
    <t>4.3.2</t>
  </si>
  <si>
    <t>MOTOCICLETAS; TIPO: TODO TERRENO, AÑO: SEGÚN PLIEGO, CILINDRADA: DE 149 A 150 CM3, Nº DE TIEMPOS: 4</t>
  </si>
  <si>
    <t>UNIDAD</t>
  </si>
  <si>
    <t>919600.00</t>
  </si>
  <si>
    <t>Especificidades Ítem N° 1:</t>
  </si>
  <si>
    <t>Descripción</t>
  </si>
  <si>
    <t>CARACTERÍSTICAS:  Motocicleta enduro de calle, modelo 2022 0 km motor  monocilindrico 4T Cilindrada de 140 Cccomo minimo, Alimentación:  carburador, potencia de 11 hp como minimo, freno delantero a disco y trasero a tambor, transmision manual de 5 velociades  como minimo, arranque electrico y patada, color blancoo ultimo caso  color negra GARANTIA TÉCNICA MOTO: mínimo 3 años o 36.000 km lo que ocurra primero. ----
DEBERÁ CONTAR  CON: 1).Equipamiento Policial: Estructura metálica “mata perros”; Balizas para motocicletas, compuestas por luz trasera central sobre cola con iluminación de 360° de LED, diámetro de 12 a 17cm, luces delanteras dos (02), distribuidas una (01) en cada lado del manillar, mínimo 6 posiciones, destello en combinación una con otra incluyendo la trasera, Sirena para uso exterior con potencia de salida de 12V mínimo 25W, combinado sirena y speaker (alta voz) incluirá micrófono alojado en el manillar, de alto impacto y tamaño reducido, deberá poseer mínimo 5 tonos y uno de pedido de paso. Comando de luces y sirenas deberá colocarse en el manillar del lado contrario del acelerador, de luces y sirenas y un pulsador para toques cortos.  Sistema electrónico y cableado de última generación deberá incluir instalación con material, porta fusible de protección, soporte de faros y sirenas. 2) Garantía de los elementos por el término mínimo de 12 meses   3). Casco de protección homologado, color negro, tipo integral, con mentonera rebatible. 4). Ploteo de acuerdo a modelo de móvil policial. Al momento de ser entregadas deberán estar PATENTADAS a nombre de “POLICIA DE CATAMARCA”, como así también tener cobertura de seguros de responsabilidad civil contra terceros y terceros transportados por el término de sesenta  (60) días contados a partir de la recepción definitiva de los móviles.-------------------------------------------------------------------------------------------------------------
Deberá especificar: 1) SERVICIOS que cubre la concesionaria sin cargo y cuáles no (indicando progresivamente cada servicie); 2) CURSO DE CAPACITACIÓN para el personal de mantenimiento; 3)Manual de información y reseteo del vehículo; 4) PATENTAMIENTO a nombre de “POLICIA DE LA PROVINCIA DE CATAMARCA” – 5) COBERTURA DE SEGURO OBLIGATORIO de responsabilidad civil contra terceros y terceros transportados por 60 (sesenta) días, contados a partir de la recepción definitiva de los móviles. --------------------------------------------------------------------------------------------------------------------------</t>
  </si>
  <si>
    <t>Plazos y lugares de entrega</t>
  </si>
  <si>
    <r>
      <t xml:space="preserve">a) </t>
    </r>
    <r>
      <rPr>
        <b/>
        <sz val="10"/>
        <rFont val="Century Gothic"/>
        <family val="2"/>
      </rPr>
      <t>LUGAR DE ENTREGA: Departamento Logística, sito en Av. Félix Avellaneda RP N° 33  KM 2</t>
    </r>
    <r>
      <rPr>
        <sz val="10"/>
        <rFont val="Century Gothic"/>
        <family val="2"/>
      </rPr>
      <t>., SUMALAO - VALLE VIEJO. De 08 a 12 horas. 
b)</t>
    </r>
    <r>
      <rPr>
        <b/>
        <sz val="10"/>
        <rFont val="Century Gothic"/>
        <family val="2"/>
      </rPr>
      <t xml:space="preserve"> FORMA DE LA ENTREGA</t>
    </r>
    <r>
      <rPr>
        <sz val="10"/>
        <rFont val="Century Gothic"/>
        <family val="2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El Oferente deberá establecer plazo de entrega de los elementos cotizados, debiendo ser expresado en días hábiles; que no podrá ser superior a Diez (10) días hábiles, contados a partir de la recepción de la comunicación prevista en el Artículo 80° de del Reglamento Parcial N° 2 de la ley 4938.</t>
    </r>
  </si>
  <si>
    <t>Calidad Mínima esperada</t>
  </si>
  <si>
    <t>Que cumpla con lo solicitado.</t>
  </si>
  <si>
    <t>Mantenimiento</t>
  </si>
  <si>
    <t>30 días</t>
  </si>
  <si>
    <t>Garantía</t>
  </si>
  <si>
    <t>GARANTÍA mínima de 3 años  o 36.000 Km lo que ocurra primero, estableciendo claramente que partes mecánicas y/o electrónicas alcanzan dicha Garantía</t>
  </si>
  <si>
    <t>NOTA DE PEDIDO</t>
  </si>
  <si>
    <t>N°</t>
  </si>
  <si>
    <t>60/2021</t>
  </si>
  <si>
    <t xml:space="preserve">JURISDICCIÓN: </t>
  </si>
  <si>
    <t>SAF:</t>
  </si>
  <si>
    <t>UNIDAD EJECUTORA:</t>
  </si>
  <si>
    <t>Policía de la Provincia de Catamarca</t>
  </si>
  <si>
    <t xml:space="preserve">DEPENDENCIA SOLICITANTE: </t>
  </si>
  <si>
    <t>División G.I.M.A.R.  D.U.E.</t>
  </si>
  <si>
    <t>PERIODO UTILIZACIÓN:</t>
  </si>
  <si>
    <t>2do trimestre Año 2021.-</t>
  </si>
  <si>
    <t>OBJETO:</t>
  </si>
  <si>
    <t>Adquisición de motocicletas destinados a Div. G.I.M.A.R.  D.U.E.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</si>
  <si>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</si>
  <si>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</si>
  <si>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</si>
  <si>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</si>
  <si>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</si>
  <si>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</si>
  <si>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</si>
  <si>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VEHICULOS P/FUERZA SEGURIDAD; TIPO: MOTOCICLETA, MOTOR: NAFTA, POTENCIA: 75 CV, AÑO: 2016, CAJA DE VELOCIDAD: 6, CILINDRADA: 798 CM3</t>
  </si>
  <si>
    <t>SI</t>
  </si>
  <si>
    <t>Costo total estimado: Pesos Trece Millones Quinientos Mil con 00/100.-</t>
  </si>
  <si>
    <t>AUTORIZACION PARA GASTAR</t>
  </si>
  <si>
    <t>JURISDICCIÓN: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</si>
  <si>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</si>
  <si>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</si>
  <si>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</si>
  <si>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</si>
  <si>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</si>
  <si>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</si>
  <si>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</si>
  <si>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</si>
  <si>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</si>
  <si>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</si>
  <si>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</si>
  <si>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</si>
  <si>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</si>
  <si>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</si>
  <si>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</si>
  <si>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</si>
  <si>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</si>
  <si>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</si>
  <si>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</si>
  <si>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</si>
  <si>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TOTAL DE PESOS:  Pesos Trece Millones Quinientos Mil con 00/100.-</t>
  </si>
  <si>
    <t>JUSTIFICACIÓN: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</si>
</sst>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 [$$-2C0A]\ * #,##0.00_ ;_ [$$-2C0A]\ * \-#,##0.00_ ;_ [$$-2C0A]\ * &quot;-&quot;??_ ;_ @_ "/>
    <numFmt numFmtId="170" formatCode="&quot;$&quot;\ #,##0.00"/>
  </numFmts>
  <fonts count="2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0"/>
      <color rgb="FF000000"/>
      <name val="Century Gothic"/>
      <family val="2"/>
    </font>
    <font>
      <sz val="10"/>
      <color rgb="FF000000"/>
      <name val="Century Gothic"/>
      <family val="2"/>
    </font>
    <font>
      <u/>
      <sz val="10"/>
      <name val="Century Gothic"/>
      <family val="2"/>
    </font>
    <font>
      <b/>
      <u/>
      <sz val="10"/>
      <name val="Century Gothic"/>
      <family val="2"/>
    </font>
    <font>
      <b/>
      <u/>
      <sz val="12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sz val="9"/>
      <name val="Century Gothic"/>
      <family val="2"/>
    </font>
    <font>
      <sz val="11"/>
      <name val="Century Gothic"/>
      <family val="2"/>
    </font>
    <font>
      <b/>
      <sz val="11"/>
      <color rgb="FF000000"/>
      <name val="Century Gothic"/>
      <family val="2"/>
    </font>
    <font>
      <b/>
      <sz val="22"/>
      <name val="Century Gothic"/>
      <family val="2"/>
    </font>
    <font>
      <b/>
      <sz val="12"/>
      <color rgb="FF000000"/>
      <name val="Century Gothic"/>
      <family val="2"/>
    </font>
    <font>
      <sz val="9"/>
      <color rgb="FF000000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FF"/>
        <bgColor rgb="FFFFFF00"/>
      </patternFill>
    </fill>
  </fills>
  <borders count="52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3D3D3D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/>
      <diagonal/>
    </border>
    <border>
      <left style="thin">
        <color rgb="FF3D3D3D"/>
      </left>
      <right style="thin">
        <color rgb="FF3D3D3D"/>
      </right>
      <top style="medium">
        <color rgb="FF3D3D3D"/>
      </top>
      <bottom/>
      <diagonal/>
    </border>
    <border>
      <left style="thin">
        <color rgb="FF3D3D3D"/>
      </left>
      <right/>
      <top style="medium">
        <color rgb="FF3D3D3D"/>
      </top>
      <bottom/>
      <diagonal/>
    </border>
  </borders>
  <cellStyleXfs count="5">
    <xf numFmtId="0" fontId="0" fillId="0" borderId="0"/>
    <xf numFmtId="165" fontId="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28">
    <xf numFmtId="0" fontId="0" fillId="0" borderId="0" xfId="0"/>
    <xf numFmtId="0" fontId="5" fillId="3" borderId="0" xfId="0" applyFont="1" applyFill="1"/>
    <xf numFmtId="0" fontId="8" fillId="3" borderId="0" xfId="0" applyFont="1" applyFill="1" applyAlignment="1">
      <alignment horizontal="left" wrapText="1"/>
    </xf>
    <xf numFmtId="0" fontId="5" fillId="3" borderId="0" xfId="0" applyFont="1" applyFill="1" applyAlignment="1">
      <alignment horizontal="left"/>
    </xf>
    <xf numFmtId="0" fontId="8" fillId="3" borderId="0" xfId="0" applyFont="1" applyFill="1" applyAlignment="1">
      <alignment horizontal="center" wrapText="1"/>
    </xf>
    <xf numFmtId="0" fontId="7" fillId="3" borderId="0" xfId="0" applyFont="1" applyFill="1" applyAlignment="1">
      <alignment horizontal="left" wrapText="1"/>
    </xf>
    <xf numFmtId="170" fontId="6" fillId="3" borderId="33" xfId="0" applyNumberFormat="1" applyFont="1" applyFill="1" applyBorder="1"/>
    <xf numFmtId="3" fontId="14" fillId="3" borderId="0" xfId="0" applyNumberFormat="1" applyFont="1" applyFill="1"/>
    <xf numFmtId="168" fontId="5" fillId="3" borderId="0" xfId="0" applyNumberFormat="1" applyFont="1" applyFill="1" applyAlignment="1">
      <alignment horizontal="left"/>
    </xf>
    <xf numFmtId="0" fontId="5" fillId="3" borderId="10" xfId="0" applyFont="1" applyFill="1" applyBorder="1"/>
    <xf numFmtId="0" fontId="5" fillId="3" borderId="24" xfId="0" applyFont="1" applyFill="1" applyBorder="1"/>
    <xf numFmtId="0" fontId="5" fillId="3" borderId="12" xfId="0" applyFont="1" applyFill="1" applyBorder="1"/>
    <xf numFmtId="0" fontId="5" fillId="3" borderId="12" xfId="0" applyFont="1" applyFill="1" applyBorder="1" applyAlignment="1">
      <alignment horizontal="left"/>
    </xf>
    <xf numFmtId="0" fontId="5" fillId="3" borderId="25" xfId="0" applyFont="1" applyFill="1" applyBorder="1"/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left" vertical="center"/>
    </xf>
    <xf numFmtId="0" fontId="6" fillId="3" borderId="29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right" vertical="center"/>
    </xf>
    <xf numFmtId="0" fontId="12" fillId="3" borderId="11" xfId="0" applyFont="1" applyFill="1" applyBorder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11" fillId="3" borderId="12" xfId="0" applyFont="1" applyFill="1" applyBorder="1" applyAlignment="1">
      <alignment vertical="center"/>
    </xf>
    <xf numFmtId="0" fontId="11" fillId="3" borderId="0" xfId="0" applyFont="1" applyFill="1" applyAlignment="1">
      <alignment vertical="center"/>
    </xf>
    <xf numFmtId="0" fontId="13" fillId="3" borderId="0" xfId="0" applyFont="1" applyFill="1" applyAlignment="1">
      <alignment horizontal="left" vertical="center"/>
    </xf>
    <xf numFmtId="0" fontId="12" fillId="3" borderId="0" xfId="0" applyFont="1" applyFill="1" applyAlignment="1">
      <alignment horizontal="left" vertical="center" wrapText="1" indent="1"/>
    </xf>
    <xf numFmtId="0" fontId="5" fillId="3" borderId="34" xfId="0" applyFont="1" applyFill="1" applyBorder="1" applyAlignment="1">
      <alignment horizontal="center" vertical="center"/>
    </xf>
    <xf numFmtId="0" fontId="5" fillId="3" borderId="34" xfId="0" applyFont="1" applyFill="1" applyBorder="1" applyAlignment="1">
      <alignment horizontal="center" vertical="center" wrapText="1"/>
    </xf>
    <xf numFmtId="169" fontId="5" fillId="3" borderId="0" xfId="0" applyNumberFormat="1" applyFont="1" applyFill="1" applyAlignment="1">
      <alignment vertical="center"/>
    </xf>
    <xf numFmtId="0" fontId="8" fillId="4" borderId="34" xfId="0" applyFont="1" applyFill="1" applyBorder="1" applyAlignment="1">
      <alignment horizontal="center" vertical="center" wrapText="1"/>
    </xf>
    <xf numFmtId="0" fontId="20" fillId="4" borderId="34" xfId="0" applyFont="1" applyFill="1" applyBorder="1" applyAlignment="1">
      <alignment horizontal="center" vertical="center" wrapText="1"/>
    </xf>
    <xf numFmtId="170" fontId="15" fillId="4" borderId="35" xfId="1" applyNumberFormat="1" applyFont="1" applyFill="1" applyBorder="1" applyAlignment="1" applyProtection="1">
      <alignment horizontal="center" vertical="center" wrapText="1"/>
    </xf>
    <xf numFmtId="170" fontId="15" fillId="4" borderId="41" xfId="1" applyNumberFormat="1" applyFont="1" applyFill="1" applyBorder="1" applyAlignment="1" applyProtection="1">
      <alignment horizontal="center" vertical="center" wrapText="1"/>
    </xf>
    <xf numFmtId="170" fontId="15" fillId="5" borderId="37" xfId="1" applyNumberFormat="1" applyFont="1" applyFill="1" applyBorder="1" applyAlignment="1" applyProtection="1">
      <alignment horizontal="center" vertical="center" wrapText="1"/>
    </xf>
    <xf numFmtId="0" fontId="5" fillId="0" borderId="34" xfId="0" applyFont="1" applyBorder="1" applyAlignment="1">
      <alignment horizontal="left" vertical="center" wrapText="1"/>
    </xf>
    <xf numFmtId="0" fontId="9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0" xfId="0" applyFont="1"/>
    <xf numFmtId="0" fontId="5" fillId="0" borderId="6" xfId="0" applyFont="1" applyBorder="1"/>
    <xf numFmtId="0" fontId="9" fillId="0" borderId="5" xfId="0" applyFont="1" applyBorder="1" applyAlignment="1">
      <alignment horizontal="left" indent="3"/>
    </xf>
    <xf numFmtId="0" fontId="5" fillId="0" borderId="5" xfId="0" applyFont="1" applyBorder="1" applyAlignment="1">
      <alignment horizontal="left" indent="3"/>
    </xf>
    <xf numFmtId="0" fontId="5" fillId="0" borderId="0" xfId="0" applyFont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7" xfId="0" applyFont="1" applyBorder="1" applyAlignment="1">
      <alignment horizontal="left" indent="3"/>
    </xf>
    <xf numFmtId="0" fontId="5" fillId="0" borderId="8" xfId="0" applyFont="1" applyBorder="1"/>
    <xf numFmtId="0" fontId="5" fillId="0" borderId="9" xfId="0" applyFont="1" applyBorder="1"/>
    <xf numFmtId="0" fontId="8" fillId="3" borderId="42" xfId="0" applyFont="1" applyFill="1" applyBorder="1" applyAlignment="1">
      <alignment horizontal="center" vertical="center" wrapText="1"/>
    </xf>
    <xf numFmtId="0" fontId="15" fillId="3" borderId="43" xfId="0" applyFont="1" applyFill="1" applyBorder="1" applyAlignment="1">
      <alignment horizontal="center" vertical="center"/>
    </xf>
    <xf numFmtId="0" fontId="5" fillId="0" borderId="43" xfId="0" applyFont="1" applyBorder="1" applyAlignment="1">
      <alignment vertical="center" wrapText="1"/>
    </xf>
    <xf numFmtId="0" fontId="7" fillId="3" borderId="44" xfId="0" applyFont="1" applyFill="1" applyBorder="1" applyAlignment="1">
      <alignment horizontal="center" vertical="center" wrapText="1"/>
    </xf>
    <xf numFmtId="0" fontId="7" fillId="3" borderId="45" xfId="0" applyFont="1" applyFill="1" applyBorder="1" applyAlignment="1">
      <alignment horizontal="center" vertical="center" wrapText="1"/>
    </xf>
    <xf numFmtId="0" fontId="7" fillId="3" borderId="46" xfId="0" applyFont="1" applyFill="1" applyBorder="1" applyAlignment="1">
      <alignment horizontal="center" vertical="center" wrapText="1"/>
    </xf>
    <xf numFmtId="0" fontId="15" fillId="5" borderId="37" xfId="1" applyNumberFormat="1" applyFont="1" applyFill="1" applyBorder="1" applyAlignment="1" applyProtection="1">
      <alignment horizontal="center" vertical="center" wrapText="1"/>
    </xf>
    <xf numFmtId="0" fontId="15" fillId="5" borderId="38" xfId="1" applyNumberFormat="1" applyFont="1" applyFill="1" applyBorder="1" applyAlignment="1" applyProtection="1">
      <alignment horizontal="center" vertical="center" wrapText="1"/>
    </xf>
    <xf numFmtId="166" fontId="5" fillId="3" borderId="14" xfId="3" applyNumberFormat="1" applyFont="1" applyFill="1" applyBorder="1" applyAlignment="1" applyProtection="1">
      <alignment horizontal="center" vertical="center"/>
    </xf>
    <xf numFmtId="166" fontId="6" fillId="3" borderId="25" xfId="0" applyNumberFormat="1" applyFont="1" applyFill="1" applyBorder="1" applyAlignment="1">
      <alignment horizontal="center" vertical="center"/>
    </xf>
    <xf numFmtId="0" fontId="5" fillId="3" borderId="49" xfId="0" applyFont="1" applyFill="1" applyBorder="1" applyAlignment="1">
      <alignment horizontal="center" vertical="center"/>
    </xf>
    <xf numFmtId="0" fontId="5" fillId="3" borderId="50" xfId="0" applyFont="1" applyFill="1" applyBorder="1" applyAlignment="1">
      <alignment horizontal="center" vertical="center"/>
    </xf>
    <xf numFmtId="0" fontId="5" fillId="3" borderId="51" xfId="0" applyFont="1" applyFill="1" applyBorder="1" applyAlignment="1">
      <alignment horizontal="center" vertical="center"/>
    </xf>
    <xf numFmtId="170" fontId="15" fillId="5" borderId="38" xfId="1" applyNumberFormat="1" applyFont="1" applyFill="1" applyBorder="1" applyAlignment="1" applyProtection="1">
      <alignment horizontal="center" vertical="center" wrapText="1"/>
    </xf>
    <xf numFmtId="0" fontId="5" fillId="0" borderId="43" xfId="0" applyFont="1" applyBorder="1" applyAlignment="1">
      <alignment horizontal="center" vertical="center"/>
    </xf>
    <xf numFmtId="0" fontId="19" fillId="4" borderId="0" xfId="0" applyFont="1" applyFill="1" applyAlignment="1">
      <alignment horizontal="left" wrapText="1" indent="1"/>
    </xf>
    <xf numFmtId="0" fontId="5" fillId="0" borderId="0" xfId="0" applyFont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center"/>
    </xf>
    <xf numFmtId="0" fontId="5" fillId="0" borderId="0" xfId="0" applyFont="1" applyAlignment="1">
      <alignment horizontal="left" wrapText="1"/>
    </xf>
    <xf numFmtId="0" fontId="5" fillId="0" borderId="6" xfId="0" applyFont="1" applyBorder="1" applyAlignment="1">
      <alignment horizontal="left" wrapText="1"/>
    </xf>
    <xf numFmtId="0" fontId="5" fillId="0" borderId="0" xfId="0" applyFont="1" applyAlignment="1">
      <alignment horizontal="justify" vertical="top" wrapText="1"/>
    </xf>
    <xf numFmtId="0" fontId="5" fillId="0" borderId="6" xfId="0" applyFont="1" applyBorder="1" applyAlignment="1">
      <alignment horizontal="justify" vertical="top" wrapText="1"/>
    </xf>
    <xf numFmtId="0" fontId="6" fillId="0" borderId="0" xfId="0" applyFont="1" applyAlignment="1">
      <alignment horizontal="justify" vertical="top" wrapText="1"/>
    </xf>
    <xf numFmtId="0" fontId="6" fillId="0" borderId="6" xfId="0" applyFont="1" applyBorder="1" applyAlignment="1">
      <alignment horizontal="justify" vertical="top" wrapText="1"/>
    </xf>
    <xf numFmtId="0" fontId="17" fillId="3" borderId="0" xfId="0" applyFont="1" applyFill="1" applyAlignment="1">
      <alignment horizontal="left" vertical="center" wrapText="1"/>
    </xf>
    <xf numFmtId="0" fontId="18" fillId="3" borderId="0" xfId="0" applyFont="1" applyFill="1" applyAlignment="1">
      <alignment horizontal="center"/>
    </xf>
    <xf numFmtId="0" fontId="19" fillId="4" borderId="0" xfId="0" applyFont="1" applyFill="1" applyAlignment="1">
      <alignment horizontal="left" wrapText="1" indent="1"/>
    </xf>
    <xf numFmtId="0" fontId="12" fillId="3" borderId="33" xfId="0" applyFont="1" applyFill="1" applyBorder="1" applyAlignment="1">
      <alignment horizontal="left" vertical="center" wrapText="1" indent="1"/>
    </xf>
    <xf numFmtId="167" fontId="12" fillId="3" borderId="14" xfId="0" applyNumberFormat="1" applyFont="1" applyFill="1" applyBorder="1" applyAlignment="1">
      <alignment horizontal="center" vertical="center"/>
    </xf>
    <xf numFmtId="0" fontId="12" fillId="3" borderId="30" xfId="0" applyFont="1" applyFill="1" applyBorder="1" applyAlignment="1">
      <alignment horizontal="left" vertical="center" wrapText="1" indent="1"/>
    </xf>
    <xf numFmtId="0" fontId="12" fillId="3" borderId="36" xfId="0" applyFont="1" applyFill="1" applyBorder="1" applyAlignment="1">
      <alignment horizontal="left" vertical="center" wrapText="1" indent="1"/>
    </xf>
    <xf numFmtId="0" fontId="12" fillId="3" borderId="20" xfId="0" applyFont="1" applyFill="1" applyBorder="1" applyAlignment="1">
      <alignment horizontal="left" vertical="center" wrapText="1" indent="1"/>
    </xf>
    <xf numFmtId="0" fontId="14" fillId="3" borderId="16" xfId="0" applyFont="1" applyFill="1" applyBorder="1" applyAlignment="1">
      <alignment horizontal="center" vertical="center"/>
    </xf>
    <xf numFmtId="0" fontId="14" fillId="3" borderId="30" xfId="0" applyFont="1" applyFill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center" vertical="center" wrapText="1"/>
    </xf>
    <xf numFmtId="0" fontId="14" fillId="3" borderId="47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left" vertical="center"/>
    </xf>
    <xf numFmtId="0" fontId="15" fillId="3" borderId="48" xfId="0" applyFont="1" applyFill="1" applyBorder="1" applyAlignment="1">
      <alignment horizontal="left" vertical="center" wrapText="1"/>
    </xf>
    <xf numFmtId="0" fontId="15" fillId="3" borderId="42" xfId="0" applyFont="1" applyFill="1" applyBorder="1" applyAlignment="1">
      <alignment horizontal="left" vertical="center" wrapText="1"/>
    </xf>
    <xf numFmtId="0" fontId="11" fillId="3" borderId="0" xfId="0" applyFont="1" applyFill="1" applyAlignment="1">
      <alignment horizontal="center" vertical="center"/>
    </xf>
    <xf numFmtId="0" fontId="13" fillId="3" borderId="13" xfId="0" applyFont="1" applyFill="1" applyBorder="1" applyAlignment="1">
      <alignment horizontal="left" vertical="center" wrapText="1"/>
    </xf>
    <xf numFmtId="0" fontId="12" fillId="3" borderId="14" xfId="0" applyFont="1" applyFill="1" applyBorder="1" applyAlignment="1">
      <alignment horizontal="left" vertical="center" wrapText="1" indent="1"/>
    </xf>
    <xf numFmtId="0" fontId="13" fillId="3" borderId="15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4" fillId="3" borderId="19" xfId="0" applyFont="1" applyFill="1" applyBorder="1" applyAlignment="1">
      <alignment vertical="center" wrapText="1"/>
    </xf>
    <xf numFmtId="0" fontId="14" fillId="3" borderId="30" xfId="0" applyFont="1" applyFill="1" applyBorder="1" applyAlignment="1">
      <alignment vertical="center" wrapText="1"/>
    </xf>
    <xf numFmtId="0" fontId="14" fillId="3" borderId="17" xfId="0" applyFont="1" applyFill="1" applyBorder="1" applyAlignment="1">
      <alignment vertical="center" wrapText="1"/>
    </xf>
    <xf numFmtId="0" fontId="16" fillId="3" borderId="39" xfId="0" applyFont="1" applyFill="1" applyBorder="1" applyAlignment="1">
      <alignment vertical="center" wrapText="1"/>
    </xf>
    <xf numFmtId="0" fontId="16" fillId="3" borderId="40" xfId="0" applyFont="1" applyFill="1" applyBorder="1" applyAlignment="1">
      <alignment vertical="center" wrapText="1"/>
    </xf>
    <xf numFmtId="0" fontId="16" fillId="3" borderId="22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24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6" fillId="3" borderId="25" xfId="0" applyFont="1" applyFill="1" applyBorder="1" applyAlignment="1">
      <alignment horizontal="left" vertical="center" wrapText="1"/>
    </xf>
    <xf numFmtId="0" fontId="14" fillId="3" borderId="16" xfId="0" applyFont="1" applyFill="1" applyBorder="1" applyAlignment="1">
      <alignment horizontal="left" vertical="center" wrapText="1"/>
    </xf>
    <xf numFmtId="0" fontId="14" fillId="3" borderId="18" xfId="0" applyFont="1" applyFill="1" applyBorder="1" applyAlignment="1">
      <alignment horizontal="left" vertical="center" wrapText="1"/>
    </xf>
    <xf numFmtId="0" fontId="14" fillId="3" borderId="17" xfId="0" applyFont="1" applyFill="1" applyBorder="1" applyAlignment="1">
      <alignment horizontal="left" vertical="center" wrapText="1"/>
    </xf>
    <xf numFmtId="0" fontId="6" fillId="3" borderId="22" xfId="0" applyFont="1" applyFill="1" applyBorder="1" applyAlignment="1">
      <alignment vertical="center"/>
    </xf>
    <xf numFmtId="0" fontId="6" fillId="3" borderId="0" xfId="0" applyFont="1" applyFill="1" applyAlignment="1">
      <alignment vertical="center"/>
    </xf>
    <xf numFmtId="0" fontId="6" fillId="3" borderId="26" xfId="0" applyFont="1" applyFill="1" applyBorder="1" applyAlignment="1">
      <alignment vertical="center"/>
    </xf>
    <xf numFmtId="0" fontId="16" fillId="3" borderId="22" xfId="0" applyFont="1" applyFill="1" applyBorder="1" applyAlignment="1"/>
    <xf numFmtId="0" fontId="16" fillId="3" borderId="23" xfId="0" applyFont="1" applyFill="1" applyBorder="1" applyAlignment="1">
      <alignment horizontal="left" vertical="center" wrapText="1" indent="1"/>
    </xf>
    <xf numFmtId="0" fontId="6" fillId="3" borderId="2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left" vertical="center" wrapText="1"/>
    </xf>
    <xf numFmtId="0" fontId="5" fillId="3" borderId="31" xfId="0" applyFont="1" applyFill="1" applyBorder="1" applyAlignment="1">
      <alignment horizontal="left" vertical="center" wrapText="1"/>
    </xf>
    <xf numFmtId="0" fontId="5" fillId="3" borderId="32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indent="1"/>
    </xf>
    <xf numFmtId="0" fontId="10" fillId="3" borderId="11" xfId="0" applyFont="1" applyFill="1" applyBorder="1" applyAlignment="1">
      <alignment horizontal="left"/>
    </xf>
    <xf numFmtId="0" fontId="5" fillId="3" borderId="19" xfId="0" applyFont="1" applyFill="1" applyBorder="1" applyAlignment="1">
      <alignment horizontal="center"/>
    </xf>
    <xf numFmtId="3" fontId="14" fillId="3" borderId="20" xfId="0" applyNumberFormat="1" applyFont="1" applyFill="1" applyBorder="1" applyAlignment="1">
      <alignment horizontal="center"/>
    </xf>
    <xf numFmtId="0" fontId="12" fillId="3" borderId="11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7"/>
  <sheetViews>
    <sheetView tabSelected="1" topLeftCell="E1" zoomScale="85" zoomScaleNormal="85" workbookViewId="0">
      <selection activeCell="H11" sqref="H11"/>
    </sheetView>
  </sheetViews>
  <sheetFormatPr defaultColWidth="11" defaultRowHeight="13.5"/>
  <cols>
    <col min="1" max="1" width="4.5703125" style="1" customWidth="1"/>
    <col min="2" max="2" width="17.140625" style="1" customWidth="1"/>
    <col min="3" max="3" width="27.42578125" style="1" customWidth="1"/>
    <col min="4" max="4" width="8.42578125" style="1" customWidth="1"/>
    <col min="5" max="5" width="97.7109375" style="1" customWidth="1"/>
    <col min="6" max="6" width="11" style="1"/>
    <col min="7" max="7" width="12.7109375" style="1" customWidth="1"/>
    <col min="8" max="8" width="13.85546875" style="1" customWidth="1"/>
    <col min="9" max="9" width="20.28515625" style="1" customWidth="1"/>
    <col min="10" max="16384" width="11" style="1"/>
  </cols>
  <sheetData>
    <row r="2" spans="1:9" ht="28.5">
      <c r="B2" s="74" t="s">
        <v>0</v>
      </c>
      <c r="C2" s="74"/>
      <c r="D2" s="74"/>
      <c r="E2" s="74"/>
      <c r="F2" s="74"/>
      <c r="G2" s="74"/>
      <c r="H2" s="74"/>
    </row>
    <row r="4" spans="1:9" ht="18" customHeight="1">
      <c r="A4" s="73" t="s">
        <v>1</v>
      </c>
      <c r="B4" s="73"/>
      <c r="C4" s="75" t="s">
        <v>2</v>
      </c>
      <c r="D4" s="75"/>
      <c r="E4" s="75"/>
      <c r="F4" s="2"/>
      <c r="G4" s="4"/>
      <c r="H4" s="2"/>
    </row>
    <row r="5" spans="1:9" ht="18" customHeight="1">
      <c r="A5" s="73" t="s">
        <v>3</v>
      </c>
      <c r="B5" s="73"/>
      <c r="C5" s="75" t="s">
        <v>4</v>
      </c>
      <c r="D5" s="75"/>
      <c r="E5" s="75"/>
      <c r="F5" s="2"/>
      <c r="G5" s="4"/>
      <c r="H5" s="2"/>
    </row>
    <row r="6" spans="1:9" ht="16.5" customHeight="1">
      <c r="A6" s="73" t="s">
        <v>5</v>
      </c>
      <c r="B6" s="73"/>
      <c r="C6" s="63">
        <v>2022</v>
      </c>
      <c r="D6" s="5"/>
      <c r="E6" s="5"/>
      <c r="F6" s="2"/>
      <c r="G6" s="4"/>
      <c r="H6" s="2"/>
    </row>
    <row r="7" spans="1:9" ht="16.5" customHeight="1">
      <c r="A7" s="73" t="s">
        <v>6</v>
      </c>
      <c r="B7" s="73"/>
      <c r="C7" s="63">
        <v>4</v>
      </c>
      <c r="D7" s="5"/>
      <c r="E7" s="5"/>
      <c r="F7" s="2"/>
      <c r="G7" s="4"/>
      <c r="H7" s="2"/>
    </row>
    <row r="8" spans="1:9" ht="14.25" thickBot="1">
      <c r="B8" s="2"/>
      <c r="C8" s="4"/>
      <c r="D8" s="2"/>
      <c r="E8" s="2"/>
      <c r="F8" s="2"/>
      <c r="G8" s="4"/>
      <c r="H8" s="2"/>
    </row>
    <row r="9" spans="1:9" ht="39" thickBot="1">
      <c r="A9" s="51" t="s">
        <v>7</v>
      </c>
      <c r="B9" s="52" t="s">
        <v>8</v>
      </c>
      <c r="C9" s="52" t="s">
        <v>9</v>
      </c>
      <c r="D9" s="52" t="s">
        <v>10</v>
      </c>
      <c r="E9" s="52" t="s">
        <v>11</v>
      </c>
      <c r="F9" s="52" t="s">
        <v>12</v>
      </c>
      <c r="G9" s="52" t="s">
        <v>13</v>
      </c>
      <c r="H9" s="52" t="s">
        <v>14</v>
      </c>
      <c r="I9" s="53" t="s">
        <v>15</v>
      </c>
    </row>
    <row r="10" spans="1:9" ht="33" customHeight="1">
      <c r="A10" s="49">
        <v>1</v>
      </c>
      <c r="B10" s="62" t="s">
        <v>16</v>
      </c>
      <c r="C10" s="50" t="s">
        <v>17</v>
      </c>
      <c r="D10" s="48" t="s">
        <v>18</v>
      </c>
      <c r="E10" s="34" t="s">
        <v>19</v>
      </c>
      <c r="F10" s="29" t="s">
        <v>20</v>
      </c>
      <c r="G10" s="30">
        <v>5</v>
      </c>
      <c r="H10" s="31" t="s">
        <v>21</v>
      </c>
      <c r="I10" s="32">
        <v>4598000</v>
      </c>
    </row>
    <row r="11" spans="1:9" ht="18.75" customHeight="1">
      <c r="I11" s="6">
        <f>SUM(I10:I10)</f>
        <v>4598000</v>
      </c>
    </row>
    <row r="12" spans="1:9" ht="18" customHeight="1"/>
    <row r="13" spans="1:9">
      <c r="B13" s="35" t="s">
        <v>22</v>
      </c>
      <c r="C13" s="36"/>
      <c r="D13" s="36"/>
      <c r="E13" s="37"/>
    </row>
    <row r="14" spans="1:9">
      <c r="B14" s="38"/>
      <c r="C14" s="39"/>
      <c r="D14" s="39"/>
      <c r="E14" s="40"/>
    </row>
    <row r="15" spans="1:9">
      <c r="B15" s="41" t="s">
        <v>23</v>
      </c>
      <c r="C15" s="39"/>
      <c r="D15" s="39"/>
      <c r="E15" s="40"/>
    </row>
    <row r="16" spans="1:9" ht="284.45" customHeight="1">
      <c r="B16" s="41"/>
      <c r="C16" s="71" t="s">
        <v>24</v>
      </c>
      <c r="D16" s="71"/>
      <c r="E16" s="72"/>
    </row>
    <row r="17" spans="2:5">
      <c r="B17" s="41" t="s">
        <v>25</v>
      </c>
      <c r="C17" s="39"/>
      <c r="D17" s="39"/>
      <c r="E17" s="40"/>
    </row>
    <row r="18" spans="2:5" ht="99" customHeight="1">
      <c r="B18" s="42"/>
      <c r="C18" s="64" t="s">
        <v>26</v>
      </c>
      <c r="D18" s="64"/>
      <c r="E18" s="65"/>
    </row>
    <row r="19" spans="2:5">
      <c r="B19" s="42"/>
      <c r="C19" s="66"/>
      <c r="D19" s="66"/>
      <c r="E19" s="66"/>
    </row>
    <row r="20" spans="2:5">
      <c r="B20" s="41" t="s">
        <v>27</v>
      </c>
      <c r="C20" s="39"/>
      <c r="D20" s="39"/>
      <c r="E20" s="40"/>
    </row>
    <row r="21" spans="2:5" ht="20.45" customHeight="1">
      <c r="B21" s="42"/>
      <c r="C21" s="64" t="s">
        <v>28</v>
      </c>
      <c r="D21" s="64"/>
      <c r="E21" s="65"/>
    </row>
    <row r="22" spans="2:5">
      <c r="B22" s="41" t="s">
        <v>29</v>
      </c>
      <c r="C22" s="43"/>
      <c r="D22" s="43"/>
      <c r="E22" s="44"/>
    </row>
    <row r="23" spans="2:5">
      <c r="B23" s="42"/>
      <c r="C23" s="67" t="s">
        <v>30</v>
      </c>
      <c r="D23" s="67"/>
      <c r="E23" s="68"/>
    </row>
    <row r="24" spans="2:5">
      <c r="B24" s="41" t="s">
        <v>31</v>
      </c>
      <c r="C24" s="39"/>
      <c r="D24" s="39"/>
      <c r="E24" s="40"/>
    </row>
    <row r="25" spans="2:5" ht="30.75" customHeight="1">
      <c r="B25" s="41"/>
      <c r="C25" s="69" t="s">
        <v>32</v>
      </c>
      <c r="D25" s="69"/>
      <c r="E25" s="70"/>
    </row>
    <row r="26" spans="2:5" ht="14.25" thickBot="1">
      <c r="B26" s="45"/>
      <c r="C26" s="46"/>
      <c r="D26" s="46"/>
      <c r="E26" s="47"/>
    </row>
    <row r="27" spans="2:5">
      <c r="B27" s="39"/>
      <c r="C27" s="39"/>
      <c r="D27" s="39"/>
      <c r="E27" s="39"/>
    </row>
  </sheetData>
  <mergeCells count="13">
    <mergeCell ref="C16:E16"/>
    <mergeCell ref="A6:B6"/>
    <mergeCell ref="A7:B7"/>
    <mergeCell ref="B2:H2"/>
    <mergeCell ref="A4:B4"/>
    <mergeCell ref="C4:E4"/>
    <mergeCell ref="A5:B5"/>
    <mergeCell ref="C5:E5"/>
    <mergeCell ref="C18:E18"/>
    <mergeCell ref="C19:E19"/>
    <mergeCell ref="C21:E21"/>
    <mergeCell ref="C23:E23"/>
    <mergeCell ref="C25:E2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4"/>
  <sheetViews>
    <sheetView topLeftCell="A9" zoomScale="85" zoomScaleNormal="85" workbookViewId="0">
      <selection activeCell="D14" sqref="D14"/>
    </sheetView>
  </sheetViews>
  <sheetFormatPr defaultColWidth="9.140625" defaultRowHeight="13.5"/>
  <cols>
    <col min="1" max="1" width="5.42578125" style="21" customWidth="1"/>
    <col min="2" max="2" width="12.28515625" style="21" customWidth="1"/>
    <col min="3" max="3" width="14.140625" style="21" customWidth="1"/>
    <col min="4" max="4" width="26" style="21" customWidth="1"/>
    <col min="5" max="5" width="8" style="21" customWidth="1"/>
    <col min="6" max="6" width="7.85546875" style="21" customWidth="1"/>
    <col min="7" max="7" width="80.5703125" style="21" customWidth="1"/>
    <col min="8" max="8" width="8.42578125" style="21" customWidth="1"/>
    <col min="9" max="9" width="12" style="21" customWidth="1"/>
    <col min="10" max="10" width="14.28515625" style="21" customWidth="1"/>
    <col min="11" max="11" width="10.85546875" style="21" customWidth="1"/>
    <col min="12" max="14" width="5.85546875" style="21" customWidth="1"/>
    <col min="15" max="15" width="12.5703125" style="21" customWidth="1"/>
    <col min="16" max="1024" width="9.140625" style="21"/>
    <col min="1025" max="16384" width="9.140625" style="1"/>
  </cols>
  <sheetData>
    <row r="1" spans="1:1024" ht="18" customHeight="1">
      <c r="A1" s="90" t="s">
        <v>33</v>
      </c>
      <c r="B1" s="90"/>
      <c r="C1" s="90"/>
      <c r="D1" s="90"/>
      <c r="E1" s="90"/>
      <c r="F1" s="90"/>
      <c r="G1" s="90"/>
      <c r="H1" s="90"/>
      <c r="I1" s="90"/>
      <c r="J1" s="19" t="s">
        <v>34</v>
      </c>
      <c r="K1" s="20" t="s">
        <v>35</v>
      </c>
    </row>
    <row r="2" spans="1:1024" ht="18.75" customHeight="1" thickBot="1">
      <c r="A2" s="22"/>
      <c r="B2" s="22"/>
      <c r="C2" s="22"/>
      <c r="D2" s="23"/>
      <c r="E2" s="23"/>
      <c r="F2" s="23"/>
      <c r="G2" s="23"/>
      <c r="H2" s="23"/>
      <c r="I2" s="23"/>
      <c r="J2" s="23"/>
      <c r="K2" s="23"/>
    </row>
    <row r="3" spans="1:1024" ht="18.75" customHeight="1" thickBot="1">
      <c r="A3" s="91" t="s">
        <v>36</v>
      </c>
      <c r="B3" s="91"/>
      <c r="C3" s="91"/>
      <c r="D3" s="92" t="str">
        <f>'Necesidades Trimestrales'!C4</f>
        <v>90 - Ministerio de Seguridad</v>
      </c>
      <c r="E3" s="92"/>
      <c r="F3" s="92"/>
      <c r="G3" s="92"/>
      <c r="H3" s="92"/>
      <c r="I3" s="92"/>
      <c r="J3" s="92"/>
      <c r="K3" s="92"/>
    </row>
    <row r="4" spans="1:1024" ht="18.75" customHeight="1" thickBot="1">
      <c r="A4" s="93" t="s">
        <v>37</v>
      </c>
      <c r="B4" s="93"/>
      <c r="C4" s="93"/>
      <c r="D4" s="92" t="str">
        <f>'Necesidades Trimestrales'!C5</f>
        <v>7- Dirección Provincial de Administración de la Policía de la Provincia de Catamarca</v>
      </c>
      <c r="E4" s="92"/>
      <c r="F4" s="92"/>
      <c r="G4" s="92"/>
      <c r="H4" s="92"/>
      <c r="I4" s="92"/>
      <c r="J4" s="92"/>
      <c r="K4" s="92"/>
    </row>
    <row r="5" spans="1:1024" ht="18.75" customHeight="1" thickBot="1">
      <c r="A5" s="93" t="s">
        <v>38</v>
      </c>
      <c r="B5" s="93"/>
      <c r="C5" s="93"/>
      <c r="D5" s="92" t="s">
        <v>39</v>
      </c>
      <c r="E5" s="92"/>
      <c r="F5" s="92"/>
      <c r="G5" s="92"/>
      <c r="H5" s="92"/>
      <c r="I5" s="92"/>
      <c r="J5" s="92"/>
      <c r="K5" s="92"/>
    </row>
    <row r="6" spans="1:1024" ht="16.5" customHeight="1" thickBot="1">
      <c r="A6" s="91" t="s">
        <v>40</v>
      </c>
      <c r="B6" s="91"/>
      <c r="C6" s="91"/>
      <c r="D6" s="92" t="s">
        <v>41</v>
      </c>
      <c r="E6" s="92"/>
      <c r="F6" s="92"/>
      <c r="G6" s="92"/>
      <c r="H6" s="92"/>
      <c r="I6" s="92"/>
      <c r="J6" s="92"/>
      <c r="K6" s="92"/>
    </row>
    <row r="7" spans="1:1024" ht="16.5" customHeight="1" thickBot="1">
      <c r="A7" s="93" t="s">
        <v>42</v>
      </c>
      <c r="B7" s="93"/>
      <c r="C7" s="93"/>
      <c r="D7" s="92" t="s">
        <v>43</v>
      </c>
      <c r="E7" s="92"/>
      <c r="F7" s="92"/>
      <c r="G7" s="92"/>
      <c r="H7" s="92"/>
      <c r="I7" s="92"/>
      <c r="J7" s="92"/>
      <c r="K7" s="92"/>
    </row>
    <row r="8" spans="1:1024" ht="16.5" customHeight="1" thickBot="1">
      <c r="A8" s="87" t="s">
        <v>44</v>
      </c>
      <c r="B8" s="87"/>
      <c r="C8" s="87"/>
      <c r="D8" s="78" t="s">
        <v>45</v>
      </c>
      <c r="E8" s="79"/>
      <c r="F8" s="79"/>
      <c r="G8" s="79"/>
      <c r="H8" s="79"/>
      <c r="I8" s="79"/>
      <c r="J8" s="79"/>
      <c r="K8" s="80"/>
    </row>
    <row r="9" spans="1:1024" ht="18" thickBot="1">
      <c r="A9" s="24"/>
      <c r="B9" s="24"/>
      <c r="C9" s="24"/>
      <c r="D9" s="25"/>
      <c r="E9" s="25"/>
      <c r="F9" s="25"/>
      <c r="G9" s="25"/>
      <c r="H9" s="25"/>
      <c r="I9" s="25"/>
      <c r="J9" s="25"/>
      <c r="K9" s="25"/>
    </row>
    <row r="10" spans="1:1024" ht="14.25" thickBot="1">
      <c r="A10" s="81" t="s">
        <v>46</v>
      </c>
      <c r="B10" s="82" t="s">
        <v>47</v>
      </c>
      <c r="C10" s="83" t="s">
        <v>48</v>
      </c>
      <c r="D10" s="84"/>
      <c r="E10" s="84"/>
      <c r="F10" s="84"/>
      <c r="G10" s="85"/>
      <c r="H10" s="86" t="s">
        <v>49</v>
      </c>
      <c r="I10" s="84" t="s">
        <v>50</v>
      </c>
      <c r="J10" s="84" t="s">
        <v>51</v>
      </c>
      <c r="K10" s="85" t="s">
        <v>52</v>
      </c>
    </row>
    <row r="11" spans="1:1024" ht="14.25" thickBot="1">
      <c r="A11" s="81"/>
      <c r="B11" s="82"/>
      <c r="C11" s="83"/>
      <c r="D11" s="84"/>
      <c r="E11" s="84"/>
      <c r="F11" s="84"/>
      <c r="G11" s="85"/>
      <c r="H11" s="86"/>
      <c r="I11" s="84"/>
      <c r="J11" s="84"/>
      <c r="K11" s="85"/>
    </row>
    <row r="12" spans="1:1024" ht="39" customHeight="1">
      <c r="A12" s="54">
        <f>'Necesidades Trimestrales'!A10</f>
        <v>1</v>
      </c>
      <c r="B12" s="61" t="str">
        <f>'Necesidades Trimestrales'!B10</f>
        <v>4.3.2-2930.63</v>
      </c>
      <c r="C12" s="88" t="str">
        <f>'Necesidades Trimestrales'!E10</f>
        <v>MOTOCICLETAS; TIPO: TODO TERRENO, AÑO: SEGÚN PLIEGO, CILINDRADA: DE 149 A 150 CM3, Nº DE TIEMPOS: 4</v>
      </c>
      <c r="D12" s="88" t="s">
        <v>53</v>
      </c>
      <c r="E12" s="88" t="s">
        <v>53</v>
      </c>
      <c r="F12" s="88" t="s">
        <v>53</v>
      </c>
      <c r="G12" s="89" t="s">
        <v>53</v>
      </c>
      <c r="H12" s="26" t="s">
        <v>54</v>
      </c>
      <c r="I12" s="27" t="s">
        <v>20</v>
      </c>
      <c r="J12" s="33" t="str">
        <f>'Necesidades Trimestrales'!H10</f>
        <v>919600.00</v>
      </c>
      <c r="K12" s="55">
        <f>'Necesidades Trimestrales'!G10</f>
        <v>5</v>
      </c>
    </row>
    <row r="13" spans="1:1024" ht="15.75" thickBot="1">
      <c r="A13" s="76" t="s">
        <v>55</v>
      </c>
      <c r="B13" s="76"/>
      <c r="C13" s="76"/>
      <c r="D13" s="76"/>
      <c r="E13" s="76"/>
      <c r="F13" s="76"/>
      <c r="G13" s="76"/>
      <c r="H13" s="76"/>
      <c r="I13" s="76"/>
      <c r="J13" s="77">
        <f>'Necesidades Trimestrales'!I11</f>
        <v>4598000</v>
      </c>
      <c r="K13" s="77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/>
      <c r="AGW13" s="1"/>
      <c r="AGX13" s="1"/>
      <c r="AGY13" s="1"/>
      <c r="AGZ13" s="1"/>
      <c r="AHA13" s="1"/>
      <c r="AHB13" s="1"/>
      <c r="AHC13" s="1"/>
      <c r="AHD13" s="1"/>
      <c r="AHE13" s="1"/>
      <c r="AHF13" s="1"/>
      <c r="AHG13" s="1"/>
      <c r="AHH13" s="1"/>
      <c r="AHI13" s="1"/>
      <c r="AHJ13" s="1"/>
      <c r="AHK13" s="1"/>
      <c r="AHL13" s="1"/>
      <c r="AHM13" s="1"/>
      <c r="AHN13" s="1"/>
      <c r="AHO13" s="1"/>
      <c r="AHP13" s="1"/>
      <c r="AHQ13" s="1"/>
      <c r="AHR13" s="1"/>
      <c r="AHS13" s="1"/>
      <c r="AHT13" s="1"/>
      <c r="AHU13" s="1"/>
      <c r="AHV13" s="1"/>
      <c r="AHW13" s="1"/>
      <c r="AHX13" s="1"/>
      <c r="AHY13" s="1"/>
      <c r="AHZ13" s="1"/>
      <c r="AIA13" s="1"/>
      <c r="AIB13" s="1"/>
      <c r="AIC13" s="1"/>
      <c r="AID13" s="1"/>
      <c r="AIE13" s="1"/>
      <c r="AIF13" s="1"/>
      <c r="AIG13" s="1"/>
      <c r="AIH13" s="1"/>
      <c r="AII13" s="1"/>
      <c r="AIJ13" s="1"/>
      <c r="AIK13" s="1"/>
      <c r="AIL13" s="1"/>
      <c r="AIM13" s="1"/>
      <c r="AIN13" s="1"/>
      <c r="AIO13" s="1"/>
      <c r="AIP13" s="1"/>
      <c r="AIQ13" s="1"/>
      <c r="AIR13" s="1"/>
      <c r="AIS13" s="1"/>
      <c r="AIT13" s="1"/>
      <c r="AIU13" s="1"/>
      <c r="AIV13" s="1"/>
      <c r="AIW13" s="1"/>
      <c r="AIX13" s="1"/>
      <c r="AIY13" s="1"/>
      <c r="AIZ13" s="1"/>
      <c r="AJA13" s="1"/>
      <c r="AJB13" s="1"/>
      <c r="AJC13" s="1"/>
      <c r="AJD13" s="1"/>
      <c r="AJE13" s="1"/>
      <c r="AJF13" s="1"/>
      <c r="AJG13" s="1"/>
      <c r="AJH13" s="1"/>
      <c r="AJI13" s="1"/>
      <c r="AJJ13" s="1"/>
      <c r="AJK13" s="1"/>
      <c r="AJL13" s="1"/>
      <c r="AJM13" s="1"/>
      <c r="AJN13" s="1"/>
      <c r="AJO13" s="1"/>
      <c r="AJP13" s="1"/>
      <c r="AJQ13" s="1"/>
      <c r="AJR13" s="1"/>
      <c r="AJS13" s="1"/>
      <c r="AJT13" s="1"/>
      <c r="AJU13" s="1"/>
      <c r="AJV13" s="1"/>
      <c r="AJW13" s="1"/>
      <c r="AJX13" s="1"/>
      <c r="AJY13" s="1"/>
      <c r="AJZ13" s="1"/>
      <c r="AKA13" s="1"/>
      <c r="AKB13" s="1"/>
      <c r="AKC13" s="1"/>
      <c r="AKD13" s="1"/>
      <c r="AKE13" s="1"/>
      <c r="AKF13" s="1"/>
      <c r="AKG13" s="1"/>
      <c r="AKH13" s="1"/>
      <c r="AKI13" s="1"/>
      <c r="AKJ13" s="1"/>
      <c r="AKK13" s="1"/>
      <c r="AKL13" s="1"/>
      <c r="AKM13" s="1"/>
      <c r="AKN13" s="1"/>
      <c r="AKO13" s="1"/>
      <c r="AKP13" s="1"/>
      <c r="AKQ13" s="1"/>
      <c r="AKR13" s="1"/>
      <c r="AKS13" s="1"/>
      <c r="AKT13" s="1"/>
      <c r="AKU13" s="1"/>
      <c r="AKV13" s="1"/>
      <c r="AKW13" s="1"/>
      <c r="AKX13" s="1"/>
      <c r="AKY13" s="1"/>
      <c r="AKZ13" s="1"/>
      <c r="ALA13" s="1"/>
      <c r="ALB13" s="1"/>
      <c r="ALC13" s="1"/>
      <c r="ALD13" s="1"/>
      <c r="ALE13" s="1"/>
      <c r="ALF13" s="1"/>
      <c r="ALG13" s="1"/>
      <c r="ALH13" s="1"/>
      <c r="ALI13" s="1"/>
      <c r="ALJ13" s="1"/>
      <c r="ALK13" s="1"/>
      <c r="ALL13" s="1"/>
      <c r="ALM13" s="1"/>
      <c r="ALN13" s="1"/>
      <c r="ALO13" s="1"/>
      <c r="ALP13" s="1"/>
      <c r="ALQ13" s="1"/>
      <c r="ALR13" s="1"/>
      <c r="ALS13" s="1"/>
      <c r="ALT13" s="1"/>
      <c r="ALU13" s="1"/>
      <c r="ALV13" s="1"/>
      <c r="ALW13" s="1"/>
      <c r="ALX13" s="1"/>
      <c r="ALY13" s="1"/>
      <c r="ALZ13" s="1"/>
      <c r="AMA13" s="1"/>
      <c r="AMB13" s="1"/>
      <c r="AMC13" s="1"/>
      <c r="AMD13" s="1"/>
      <c r="AME13" s="1"/>
      <c r="AMF13" s="1"/>
      <c r="AMG13" s="1"/>
      <c r="AMH13" s="1"/>
      <c r="AMI13" s="1"/>
      <c r="AMJ13" s="1"/>
    </row>
    <row r="14" spans="1:1024">
      <c r="J14" s="28"/>
    </row>
  </sheetData>
  <mergeCells count="23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13:I13"/>
    <mergeCell ref="J13:K13"/>
    <mergeCell ref="D8:K8"/>
    <mergeCell ref="A10:A11"/>
    <mergeCell ref="B10:B11"/>
    <mergeCell ref="C10:G11"/>
    <mergeCell ref="H10:H11"/>
    <mergeCell ref="I10:I11"/>
    <mergeCell ref="J10:J11"/>
    <mergeCell ref="K10:K11"/>
    <mergeCell ref="A8:C8"/>
    <mergeCell ref="C12:G12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0"/>
  <sheetViews>
    <sheetView workbookViewId="0">
      <selection activeCell="S11" sqref="S11"/>
    </sheetView>
  </sheetViews>
  <sheetFormatPr defaultColWidth="11" defaultRowHeight="13.5"/>
  <cols>
    <col min="1" max="6" width="4.42578125" style="1" customWidth="1"/>
    <col min="7" max="7" width="4.42578125" style="3" customWidth="1"/>
    <col min="8" max="14" width="4.42578125" style="1" customWidth="1"/>
    <col min="15" max="16" width="14.85546875" style="1" customWidth="1"/>
    <col min="17" max="17" width="26.42578125" style="1" customWidth="1"/>
    <col min="18" max="16384" width="11" style="1"/>
  </cols>
  <sheetData>
    <row r="1" spans="1:17" ht="15.75" customHeight="1">
      <c r="A1" s="124" t="s">
        <v>5</v>
      </c>
      <c r="B1" s="124"/>
      <c r="C1" s="124"/>
      <c r="D1" s="125">
        <f>'Necesidades Trimestrales'!C6</f>
        <v>2022</v>
      </c>
      <c r="E1" s="125"/>
      <c r="F1" s="7"/>
      <c r="G1" s="7"/>
      <c r="H1" s="8"/>
      <c r="I1" s="8"/>
      <c r="J1" s="8"/>
      <c r="K1" s="8"/>
      <c r="L1" s="8"/>
      <c r="M1" s="8"/>
      <c r="N1" s="8"/>
      <c r="P1" s="126" t="s">
        <v>56</v>
      </c>
      <c r="Q1" s="126"/>
    </row>
    <row r="2" spans="1:17" ht="15.75" customHeight="1">
      <c r="H2" s="8"/>
      <c r="I2" s="8"/>
      <c r="J2" s="8"/>
      <c r="K2" s="8"/>
      <c r="L2" s="8"/>
      <c r="M2" s="8"/>
      <c r="N2" s="8"/>
      <c r="P2" s="126"/>
      <c r="Q2" s="126"/>
    </row>
    <row r="4" spans="1:17" ht="18" customHeight="1" thickBot="1">
      <c r="A4" s="127" t="s">
        <v>57</v>
      </c>
      <c r="B4" s="127"/>
      <c r="C4" s="127"/>
      <c r="D4" s="127"/>
      <c r="E4" s="127"/>
      <c r="F4" s="127"/>
      <c r="G4" s="122" t="str">
        <f>' NotaPedido'!D3</f>
        <v>90 - Ministerio de Seguridad</v>
      </c>
      <c r="H4" s="122"/>
      <c r="I4" s="122"/>
      <c r="J4" s="122"/>
      <c r="K4" s="122"/>
      <c r="L4" s="122"/>
      <c r="M4" s="122"/>
      <c r="N4" s="122"/>
      <c r="O4" s="122"/>
      <c r="P4" s="122"/>
      <c r="Q4" s="122"/>
    </row>
    <row r="5" spans="1:17" ht="18" customHeight="1" thickBot="1">
      <c r="A5" s="119" t="s">
        <v>37</v>
      </c>
      <c r="B5" s="120"/>
      <c r="C5" s="120"/>
      <c r="D5" s="120"/>
      <c r="E5" s="120"/>
      <c r="F5" s="121"/>
      <c r="G5" s="122" t="str">
        <f>' NotaPedido'!D4</f>
        <v>7- Dirección Provincial de Administración de la Policía de la Provincia de Catamarca</v>
      </c>
      <c r="H5" s="122"/>
      <c r="I5" s="122"/>
      <c r="J5" s="122"/>
      <c r="K5" s="122"/>
      <c r="L5" s="122"/>
      <c r="M5" s="122"/>
      <c r="N5" s="122"/>
      <c r="O5" s="122"/>
      <c r="P5" s="122"/>
      <c r="Q5" s="122"/>
    </row>
    <row r="6" spans="1:17" ht="18" customHeight="1" thickBot="1">
      <c r="A6" s="119" t="s">
        <v>38</v>
      </c>
      <c r="B6" s="120"/>
      <c r="C6" s="120"/>
      <c r="D6" s="120"/>
      <c r="E6" s="120"/>
      <c r="F6" s="121"/>
      <c r="G6" s="122" t="str">
        <f>' NotaPedido'!D5</f>
        <v>Policía de la Provincia de Catamarca</v>
      </c>
      <c r="H6" s="122"/>
      <c r="I6" s="122"/>
      <c r="J6" s="122"/>
      <c r="K6" s="122"/>
      <c r="L6" s="122"/>
      <c r="M6" s="122"/>
      <c r="N6" s="122"/>
      <c r="O6" s="122"/>
      <c r="P6" s="122"/>
      <c r="Q6" s="122"/>
    </row>
    <row r="7" spans="1:17" ht="18" customHeight="1" thickBot="1">
      <c r="A7" s="119" t="s">
        <v>40</v>
      </c>
      <c r="B7" s="120"/>
      <c r="C7" s="120"/>
      <c r="D7" s="120"/>
      <c r="E7" s="120"/>
      <c r="F7" s="121"/>
      <c r="G7" s="122" t="str">
        <f>' NotaPedido'!D6</f>
        <v>División G.I.M.A.R.  D.U.E.</v>
      </c>
      <c r="H7" s="122"/>
      <c r="I7" s="122"/>
      <c r="J7" s="122"/>
      <c r="K7" s="122"/>
      <c r="L7" s="122"/>
      <c r="M7" s="122"/>
      <c r="N7" s="122"/>
      <c r="O7" s="122"/>
      <c r="P7" s="122"/>
      <c r="Q7" s="122"/>
    </row>
    <row r="8" spans="1:17" ht="18" customHeight="1" thickBot="1">
      <c r="A8" s="123" t="s">
        <v>58</v>
      </c>
      <c r="B8" s="123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</row>
    <row r="9" spans="1:17" ht="18" customHeight="1">
      <c r="A9" s="113" t="s">
        <v>59</v>
      </c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Q9" s="9"/>
    </row>
    <row r="10" spans="1:17" ht="66.75" customHeight="1">
      <c r="A10" s="114" t="str">
        <f>"Autorizo la realización de los  trámites correspondientes, a fin de proveer a  este Organismo los bienes y/o servicios que se detallan en Nota  de Pedido N° " &amp;'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60/2021,  afectando la erogación resultante a los créditos presupuestarios aprobados a favor de esta Unidad Ejecutora, conforme al siguiente detalle:</v>
      </c>
      <c r="B10" s="114"/>
      <c r="C10" s="114"/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14"/>
      <c r="Q10" s="114"/>
    </row>
    <row r="11" spans="1:17" ht="9" customHeight="1">
      <c r="A11" s="10"/>
      <c r="B11" s="11"/>
      <c r="C11" s="11"/>
      <c r="D11" s="11"/>
      <c r="E11" s="11"/>
      <c r="F11" s="11"/>
      <c r="G11" s="12"/>
      <c r="H11" s="11"/>
      <c r="I11" s="11"/>
      <c r="J11" s="11"/>
      <c r="K11" s="11"/>
      <c r="L11" s="11"/>
      <c r="M11" s="11"/>
      <c r="N11" s="11"/>
      <c r="O11" s="11"/>
      <c r="P11" s="11"/>
      <c r="Q11" s="13"/>
    </row>
    <row r="12" spans="1:17" ht="15.75" customHeight="1">
      <c r="A12" s="115" t="s">
        <v>60</v>
      </c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</row>
    <row r="13" spans="1:17" ht="15.75" customHeight="1">
      <c r="A13" s="116" t="s">
        <v>61</v>
      </c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7" t="s">
        <v>62</v>
      </c>
      <c r="P13" s="117"/>
      <c r="Q13" s="118" t="s">
        <v>63</v>
      </c>
    </row>
    <row r="14" spans="1:17" ht="15.75" customHeight="1" thickBot="1">
      <c r="A14" s="14" t="s">
        <v>64</v>
      </c>
      <c r="B14" s="15" t="s">
        <v>65</v>
      </c>
      <c r="C14" s="15" t="s">
        <v>66</v>
      </c>
      <c r="D14" s="15" t="s">
        <v>67</v>
      </c>
      <c r="E14" s="15" t="s">
        <v>68</v>
      </c>
      <c r="F14" s="15" t="s">
        <v>69</v>
      </c>
      <c r="G14" s="16" t="s">
        <v>70</v>
      </c>
      <c r="H14" s="15" t="s">
        <v>71</v>
      </c>
      <c r="I14" s="15" t="s">
        <v>72</v>
      </c>
      <c r="J14" s="15" t="s">
        <v>73</v>
      </c>
      <c r="K14" s="15" t="s">
        <v>73</v>
      </c>
      <c r="L14" s="15" t="s">
        <v>74</v>
      </c>
      <c r="M14" s="17" t="s">
        <v>75</v>
      </c>
      <c r="N14" s="18" t="s">
        <v>76</v>
      </c>
      <c r="O14" s="117"/>
      <c r="P14" s="117"/>
      <c r="Q14" s="118"/>
    </row>
    <row r="15" spans="1:17" ht="34.5" customHeight="1" thickBot="1">
      <c r="A15" s="58">
        <v>16</v>
      </c>
      <c r="B15" s="59">
        <v>0</v>
      </c>
      <c r="C15" s="59">
        <v>0</v>
      </c>
      <c r="D15" s="59">
        <v>1</v>
      </c>
      <c r="E15" s="59">
        <v>0</v>
      </c>
      <c r="F15" s="59">
        <v>10</v>
      </c>
      <c r="G15" s="59">
        <v>2</v>
      </c>
      <c r="H15" s="59">
        <v>1</v>
      </c>
      <c r="I15" s="59">
        <v>4</v>
      </c>
      <c r="J15" s="59">
        <v>3</v>
      </c>
      <c r="K15" s="59">
        <v>2</v>
      </c>
      <c r="L15" s="59">
        <v>0</v>
      </c>
      <c r="M15" s="60">
        <v>1</v>
      </c>
      <c r="N15" s="60" t="s">
        <v>77</v>
      </c>
      <c r="O15" s="94" t="str">
        <f>'Necesidades Trimestrales'!C10</f>
        <v>EQUIPOS</v>
      </c>
      <c r="P15" s="95"/>
      <c r="Q15" s="56">
        <f>' NotaPedido'!J13</f>
        <v>4598000</v>
      </c>
    </row>
    <row r="16" spans="1:17" ht="33" customHeight="1" thickBot="1">
      <c r="A16" s="107" t="s">
        <v>78</v>
      </c>
      <c r="B16" s="108"/>
      <c r="C16" s="108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9"/>
      <c r="Q16" s="57">
        <f>Q15</f>
        <v>4598000</v>
      </c>
    </row>
    <row r="17" spans="1:17" ht="18" customHeight="1" thickBot="1">
      <c r="A17" s="110"/>
      <c r="B17" s="111"/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2"/>
    </row>
    <row r="18" spans="1:17" ht="17.25" customHeight="1" thickBot="1">
      <c r="A18" s="96" t="s">
        <v>79</v>
      </c>
      <c r="B18" s="97"/>
      <c r="C18" s="97"/>
      <c r="D18" s="97"/>
      <c r="E18" s="97"/>
      <c r="F18" s="98"/>
      <c r="G18" s="99"/>
      <c r="H18" s="100"/>
      <c r="I18" s="100"/>
      <c r="J18" s="100"/>
      <c r="K18" s="100"/>
      <c r="L18" s="100"/>
      <c r="M18" s="100"/>
      <c r="N18" s="100"/>
      <c r="O18" s="100"/>
      <c r="P18" s="100"/>
      <c r="Q18" s="100"/>
    </row>
    <row r="19" spans="1:17" ht="18" customHeight="1">
      <c r="A19" s="101" t="str">
        <f>' NotaPedido'!D8</f>
        <v>Adquisición de motocicletas destinados a Div. G.I.M.A.R.  D.U.E.</v>
      </c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3"/>
    </row>
    <row r="20" spans="1:17" ht="15" customHeight="1" thickBot="1">
      <c r="A20" s="104"/>
      <c r="B20" s="105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6"/>
    </row>
  </sheetData>
  <mergeCells count="24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A18:F18"/>
    <mergeCell ref="G18:Q18"/>
    <mergeCell ref="A19:Q20"/>
    <mergeCell ref="A16:P16"/>
    <mergeCell ref="A17:Q17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Policia</dc:creator>
  <cp:keywords/>
  <dc:description/>
  <cp:lastModifiedBy>carla herrera</cp:lastModifiedBy>
  <cp:revision>2</cp:revision>
  <dcterms:created xsi:type="dcterms:W3CDTF">2020-07-17T23:44:49Z</dcterms:created>
  <dcterms:modified xsi:type="dcterms:W3CDTF">2022-10-28T18:29:37Z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