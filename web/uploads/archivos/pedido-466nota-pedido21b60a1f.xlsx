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NotaPedido'!$A$1:$K$14</definedName>
    <definedName name="_xlnm.Print_Area" localSheetId="2">'Autor Gastar'!$A$1:$Q$27</definedName>
    <definedName name="_xlnm.Print_Area" localSheetId="0">'Necesidades Trimestrales'!$E$9:$E$11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" l="1"/>
  <c r="J12" i="2" l="1"/>
  <c r="J13" i="2"/>
  <c r="K12" i="2"/>
  <c r="K13" i="2"/>
  <c r="Q23" i="3" l="1"/>
  <c r="B12" i="2" l="1"/>
  <c r="B13" i="2"/>
  <c r="C12" i="2"/>
  <c r="C13" i="2"/>
  <c r="I12" i="2"/>
  <c r="I13" i="2"/>
  <c r="I10" i="1" l="1"/>
  <c r="I11" i="1"/>
  <c r="G6" i="3" l="1"/>
  <c r="G7" i="3"/>
  <c r="D7" i="2"/>
  <c r="D3" i="2"/>
  <c r="G4" i="3" s="1"/>
  <c r="D4" i="2"/>
  <c r="G5" i="3" s="1"/>
  <c r="D1" i="3" l="1"/>
  <c r="J14" i="2" l="1"/>
</calcChain>
</file>

<file path=xl/sharedStrings.xml><?xml version="1.0" encoding="utf-8"?>
<sst xmlns="http://schemas.openxmlformats.org/spreadsheetml/2006/main" count="89" uniqueCount="78">
  <si>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</si>
  <si>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</si>
  <si>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</si>
  <si>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</si>
  <si>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</si>
  <si>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</si>
  <si>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</si>
  <si>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</si>
  <si>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</si>
  <si>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</si>
  <si>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</si>
  <si>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</si>
  <si>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</si>
  <si>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</si>
  <si>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</si>
  <si>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</si>
  <si>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</si>
  <si>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</si>
  <si>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</si>
  <si>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</si>
  <si>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</si>
  <si>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</si>
  <si>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</si>
  <si>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</si>
  <si>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</si>
  <si>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</si>
  <si>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</si>
  <si>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</si>
  <si>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</si>
  <si>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</si>
  <si>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</si>
  <si>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</si>
  <si>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</si>
  <si>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</si>
  <si>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</si>
  <si>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</si>
  <si>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</si>
  <si>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</si>
  <si>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</si>
  <si>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</si>
  <si>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</si>
  <si>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</si>
  <si>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</si>
  <si>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</si>
  <si>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</si>
  <si>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</si>
  <si>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</si>
  <si>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</si>
  <si>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</si>
  <si>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</si>
  <si>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</si>
  <si>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</si>
  <si>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</si>
  <si>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2.1.1</t>
  </si>
  <si>
    <t>AVES; TIPO: POLLO, PRESENTACION: PATA MUSLO, EVISCERADO: SI, ELEM. TRANSPORTE: SIN, MATERIAL ELEM. TRANSPORTE: SIN, LIBRE DE GLUTEN: SIN VALOR</t>
  </si>
  <si>
    <t>2.1.1-621.19</t>
  </si>
  <si>
    <t>AVES; ESPECIE: PECHUGA DE POLLO, PRESENTACION: A GRANEL, EVISCERADO: SIN MENUDOS, TIPO: PECHUGA DE POLLO</t>
  </si>
  <si>
    <t>2.1.1-621.15</t>
  </si>
  <si>
    <t>Servicio de Alimentacion y Dietoterapia</t>
  </si>
  <si>
    <t>1.1</t>
  </si>
  <si>
    <t>Alimentos para Personas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</si>
  <si>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</si>
  <si>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 xml:space="preserve"> 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</si>
  <si>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ALIMENTACION Y DIETOTERAPIA -HOSPITAL INT. DE NIÑOS EVA PERON – AV. VIRGEN DEL VALLE N° 1050-CATAMARCA DE 8:00 A 12:00HS., DEBIENDO CORRER LOS GASTOS DE FLETES, ACARREO, CARGA, DESCARGA Y SEGURO A CARGO DEL ADJUDICATARIO.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</si>
  <si>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SETENTA (70) DIAS CORRIDOS a partir del perfeccionamiento de la Orden de Compra Abierta respectiva.
CANTIDAD Y FRECUENCIA APROXIMADA DE LAS SOLICITUDES DE PROVISION: Se realizara tres (3) solicitudes de provision por cada Orden de Compra Abierta; la primera Solicitud sera emitida al notificarse la Orden de Compra correspondiente, la segunda a los treinta (30) días corridos de emitida la primera solicitud y la tercera a los treinta (30) dias corridos de emitida la segunda solicitud.
PLAZO DE ENTREGA DE CADA SOLICITUD DE PROVISION: El plazo de entrega de cada solicitud de provisión es de hasta diez (10) días hábiles desde la notificación de la misma.</t>
    </r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</si>
  <si>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Cuarenta y Cinco (45) días habiles.</t>
    </r>
  </si>
  <si>
    <r>
      <rPr>
        <b/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se realizara pago parciales dentro de los treinta (30) dias, debiendo presentar la factura correspondiente a lo entregado segun cada solicitud de provision.</t>
    </r>
  </si>
  <si>
    <t>24 - Direccion de Administracion del Hospital Interzonal de Niños</t>
  </si>
  <si>
    <t>40 - Ministerio de Salud</t>
  </si>
  <si>
    <t xml:space="preserve">24 - Direccion de Administracion del Hospital Interzonal de Niños </t>
  </si>
  <si>
    <t>CAJA</t>
  </si>
  <si>
    <t>ITEM 1:  PRESENTACION EN CAJA DE 20 KG.</t>
  </si>
  <si>
    <t>ITEM 2:  PRESENTACION EN CAJA DE 20 KG.</t>
  </si>
  <si>
    <t>078/2022</t>
  </si>
  <si>
    <t>Adquisición de pollo</t>
  </si>
  <si>
    <t>Costo total estimado Pesos: Un Millon Seiscientos Noventa Mil con 00/100.</t>
  </si>
  <si>
    <t>TOTAL DE PESOS: UN MILLON SEISCIENTOS NOVENTA MIL CON 00/100.</t>
  </si>
  <si>
    <t>Para la adquisición de Pollo destinados al servico de Alimentacion y Dietoterapia del Hospital Interzonal de Niños Eva Peron, para el normal funcionamiento del organismo.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</si>
</sst>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  <numFmt numFmtId="170" formatCode="[$$-2C0A]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9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2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166" fontId="15" fillId="0" borderId="0" xfId="0" applyNumberFormat="1" applyFont="1"/>
    <xf numFmtId="0" fontId="5" fillId="3" borderId="11" xfId="0" applyFont="1" applyFill="1" applyBorder="1" applyAlignment="1">
      <alignment horizontal="right" vertical="center"/>
    </xf>
    <xf numFmtId="0" fontId="6" fillId="4" borderId="1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166" fontId="4" fillId="3" borderId="20" xfId="1" applyNumberFormat="1" applyFont="1" applyFill="1" applyBorder="1" applyAlignment="1" applyProtection="1">
      <alignment horizontal="right" vertical="center" wrapText="1"/>
    </xf>
    <xf numFmtId="3" fontId="4" fillId="3" borderId="20" xfId="0" applyNumberFormat="1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166" fontId="20" fillId="4" borderId="51" xfId="1" applyNumberFormat="1" applyFont="1" applyFill="1" applyBorder="1" applyAlignment="1" applyProtection="1">
      <alignment horizontal="right" vertical="center" wrapText="1"/>
    </xf>
    <xf numFmtId="0" fontId="23" fillId="4" borderId="6" xfId="5" applyFont="1" applyFill="1" applyBorder="1" applyAlignment="1">
      <alignment horizontal="left" wrapText="1"/>
    </xf>
    <xf numFmtId="0" fontId="20" fillId="3" borderId="50" xfId="0" applyFont="1" applyFill="1" applyBorder="1" applyAlignment="1">
      <alignment horizontal="center" vertical="center"/>
    </xf>
    <xf numFmtId="0" fontId="15" fillId="0" borderId="0" xfId="0" applyFont="1" applyBorder="1"/>
    <xf numFmtId="0" fontId="15" fillId="0" borderId="7" xfId="0" applyFont="1" applyBorder="1"/>
    <xf numFmtId="0" fontId="19" fillId="0" borderId="53" xfId="0" applyFont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left" vertical="center" wrapText="1"/>
    </xf>
    <xf numFmtId="169" fontId="0" fillId="0" borderId="52" xfId="0" applyNumberFormat="1" applyFont="1" applyFill="1" applyBorder="1" applyAlignment="1">
      <alignment horizontal="right" vertical="center"/>
    </xf>
    <xf numFmtId="170" fontId="15" fillId="0" borderId="0" xfId="0" applyNumberFormat="1" applyFont="1"/>
    <xf numFmtId="0" fontId="14" fillId="0" borderId="52" xfId="0" applyFont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0" borderId="52" xfId="0" applyFont="1" applyFill="1" applyBorder="1" applyAlignment="1">
      <alignment horizontal="center" vertical="center"/>
    </xf>
    <xf numFmtId="0" fontId="14" fillId="3" borderId="52" xfId="0" applyFont="1" applyFill="1" applyBorder="1" applyAlignment="1">
      <alignment horizontal="center" vertical="center"/>
    </xf>
    <xf numFmtId="0" fontId="14" fillId="3" borderId="52" xfId="0" applyFont="1" applyFill="1" applyBorder="1" applyAlignment="1">
      <alignment wrapText="1"/>
    </xf>
    <xf numFmtId="169" fontId="14" fillId="0" borderId="52" xfId="0" applyNumberFormat="1" applyFont="1" applyFill="1" applyBorder="1" applyAlignment="1">
      <alignment horizontal="right" vertical="center"/>
    </xf>
    <xf numFmtId="0" fontId="15" fillId="4" borderId="8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5" fillId="4" borderId="10" xfId="5" applyFont="1" applyFill="1" applyBorder="1" applyAlignment="1">
      <alignment horizontal="left" wrapText="1"/>
    </xf>
    <xf numFmtId="0" fontId="23" fillId="4" borderId="3" xfId="5" applyFont="1" applyFill="1" applyBorder="1" applyAlignment="1">
      <alignment horizontal="left" wrapText="1"/>
    </xf>
    <xf numFmtId="0" fontId="23" fillId="4" borderId="4" xfId="5" applyFont="1" applyFill="1" applyBorder="1" applyAlignment="1">
      <alignment horizontal="left" wrapText="1"/>
    </xf>
    <xf numFmtId="0" fontId="23" fillId="4" borderId="5" xfId="5" applyFont="1" applyFill="1" applyBorder="1" applyAlignment="1">
      <alignment horizontal="left" wrapText="1"/>
    </xf>
    <xf numFmtId="0" fontId="25" fillId="3" borderId="0" xfId="0" applyFont="1" applyFill="1" applyBorder="1" applyAlignment="1">
      <alignment horizontal="left" vertical="center" wrapText="1"/>
    </xf>
    <xf numFmtId="0" fontId="15" fillId="4" borderId="6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7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6" fillId="3" borderId="15" xfId="0" applyFont="1" applyFill="1" applyBorder="1" applyAlignment="1">
      <alignment horizontal="left" vertical="center" wrapText="1" indent="1"/>
    </xf>
    <xf numFmtId="167" fontId="7" fillId="3" borderId="15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3" xfId="0" applyBorder="1"/>
    <xf numFmtId="0" fontId="14" fillId="0" borderId="33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21"/>
  <sheetViews>
    <sheetView tabSelected="1" zoomScale="86" zoomScaleNormal="86" workbookViewId="0">
      <selection activeCell="C3" sqref="C3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1.5703125" style="32" customWidth="1"/>
    <col min="8" max="8" width="13.85546875" style="32" customWidth="1"/>
    <col min="9" max="9" width="18.5703125" style="32" customWidth="1"/>
    <col min="10" max="16384" width="11" style="32"/>
  </cols>
  <sheetData>
    <row r="2" spans="1:10" ht="27" x14ac:dyDescent="0.35">
      <c r="B2" s="86" t="s">
        <v>0</v>
      </c>
      <c r="C2" s="86"/>
      <c r="D2" s="86"/>
      <c r="E2" s="86"/>
      <c r="F2" s="86"/>
      <c r="G2" s="86"/>
      <c r="H2" s="86"/>
    </row>
    <row r="3" spans="1:10" ht="12" customHeight="1" x14ac:dyDescent="0.2"/>
    <row r="4" spans="1:10" ht="18" customHeight="1" x14ac:dyDescent="0.25">
      <c r="A4" s="85" t="s">
        <v>1</v>
      </c>
      <c r="B4" s="85"/>
      <c r="C4" s="87" t="s">
        <v>68</v>
      </c>
      <c r="D4" s="87"/>
      <c r="E4" s="87"/>
      <c r="F4" s="33"/>
      <c r="G4" s="34"/>
      <c r="H4" s="33"/>
    </row>
    <row r="5" spans="1:10" ht="18" customHeight="1" x14ac:dyDescent="0.25">
      <c r="A5" s="85" t="s">
        <v>2</v>
      </c>
      <c r="B5" s="85"/>
      <c r="C5" s="87" t="s">
        <v>67</v>
      </c>
      <c r="D5" s="87"/>
      <c r="E5" s="87"/>
      <c r="F5" s="33"/>
      <c r="G5" s="34"/>
      <c r="H5" s="33"/>
    </row>
    <row r="6" spans="1:10" ht="16.5" customHeight="1" x14ac:dyDescent="0.25">
      <c r="A6" s="85" t="s">
        <v>3</v>
      </c>
      <c r="B6" s="85"/>
      <c r="C6" s="51">
        <v>2022</v>
      </c>
      <c r="D6" s="52"/>
      <c r="E6" s="52"/>
      <c r="F6" s="33"/>
      <c r="G6" s="34"/>
      <c r="H6" s="33"/>
    </row>
    <row r="7" spans="1:10" ht="16.5" customHeight="1" x14ac:dyDescent="0.25">
      <c r="A7" s="85" t="s">
        <v>4</v>
      </c>
      <c r="B7" s="85"/>
      <c r="C7" s="51">
        <v>3</v>
      </c>
      <c r="D7" s="52"/>
      <c r="E7" s="52"/>
      <c r="F7" s="33"/>
      <c r="G7" s="34"/>
      <c r="H7" s="33"/>
    </row>
    <row r="8" spans="1:10" ht="13.5" thickBot="1" x14ac:dyDescent="0.25">
      <c r="B8" s="33"/>
      <c r="C8" s="34"/>
      <c r="D8" s="33"/>
      <c r="E8" s="33"/>
      <c r="F8" s="33"/>
      <c r="G8" s="34"/>
      <c r="H8" s="33"/>
    </row>
    <row r="9" spans="1:10" ht="39.75" thickTop="1" thickBot="1" x14ac:dyDescent="0.25">
      <c r="A9" s="35" t="s">
        <v>5</v>
      </c>
      <c r="B9" s="63" t="s">
        <v>6</v>
      </c>
      <c r="C9" s="63" t="s">
        <v>7</v>
      </c>
      <c r="D9" s="63" t="s">
        <v>8</v>
      </c>
      <c r="E9" s="63" t="s">
        <v>9</v>
      </c>
      <c r="F9" s="63" t="s">
        <v>10</v>
      </c>
      <c r="G9" s="63" t="s">
        <v>11</v>
      </c>
      <c r="H9" s="63" t="s">
        <v>12</v>
      </c>
      <c r="I9" s="63" t="s">
        <v>13</v>
      </c>
    </row>
    <row r="10" spans="1:10" ht="26.25" thickTop="1" x14ac:dyDescent="0.2">
      <c r="A10" s="60">
        <v>1</v>
      </c>
      <c r="B10" s="64" t="s">
        <v>57</v>
      </c>
      <c r="C10" s="65" t="s">
        <v>52</v>
      </c>
      <c r="D10" s="65" t="s">
        <v>53</v>
      </c>
      <c r="E10" s="66" t="s">
        <v>56</v>
      </c>
      <c r="F10" s="65" t="s">
        <v>70</v>
      </c>
      <c r="G10" s="65">
        <v>80</v>
      </c>
      <c r="H10" s="67">
        <v>13000</v>
      </c>
      <c r="I10" s="58">
        <f t="shared" ref="I10:I11" si="0">G10*H10</f>
        <v>1040000</v>
      </c>
    </row>
    <row r="11" spans="1:10" ht="25.5" x14ac:dyDescent="0.2">
      <c r="A11" s="70">
        <v>2</v>
      </c>
      <c r="B11" s="71" t="s">
        <v>55</v>
      </c>
      <c r="C11" s="72" t="s">
        <v>52</v>
      </c>
      <c r="D11" s="69" t="s">
        <v>53</v>
      </c>
      <c r="E11" s="73" t="s">
        <v>54</v>
      </c>
      <c r="F11" s="71" t="s">
        <v>70</v>
      </c>
      <c r="G11" s="71">
        <v>100</v>
      </c>
      <c r="H11" s="74">
        <v>6500</v>
      </c>
      <c r="I11" s="58">
        <f t="shared" si="0"/>
        <v>650000</v>
      </c>
    </row>
    <row r="12" spans="1:10" x14ac:dyDescent="0.2">
      <c r="D12" s="32" t="s">
        <v>62</v>
      </c>
      <c r="E12" s="32" t="s">
        <v>62</v>
      </c>
      <c r="I12" s="36"/>
      <c r="J12" s="68"/>
    </row>
    <row r="13" spans="1:10" ht="13.5" thickBot="1" x14ac:dyDescent="0.25">
      <c r="F13" s="32" t="s">
        <v>62</v>
      </c>
    </row>
    <row r="14" spans="1:10" ht="12.75" customHeight="1" x14ac:dyDescent="0.2">
      <c r="B14" s="78" t="s">
        <v>61</v>
      </c>
      <c r="C14" s="79"/>
      <c r="D14" s="79"/>
      <c r="E14" s="79"/>
      <c r="F14" s="79"/>
      <c r="G14" s="79"/>
      <c r="H14" s="79"/>
      <c r="I14" s="80"/>
    </row>
    <row r="15" spans="1:10" ht="14.25" x14ac:dyDescent="0.2">
      <c r="B15" s="59"/>
      <c r="C15" s="81" t="s">
        <v>71</v>
      </c>
      <c r="D15" s="81"/>
      <c r="E15" s="81"/>
      <c r="F15" s="61"/>
      <c r="G15" s="61"/>
      <c r="H15" s="61"/>
      <c r="I15" s="62"/>
    </row>
    <row r="16" spans="1:10" ht="14.25" x14ac:dyDescent="0.2">
      <c r="B16" s="59"/>
      <c r="C16" s="81" t="s">
        <v>72</v>
      </c>
      <c r="D16" s="81"/>
      <c r="E16" s="81"/>
      <c r="F16" s="61"/>
      <c r="G16" s="61"/>
      <c r="H16" s="61"/>
      <c r="I16" s="62"/>
    </row>
    <row r="17" spans="2:9" ht="12.75" customHeight="1" x14ac:dyDescent="0.2">
      <c r="B17" s="82" t="s">
        <v>63</v>
      </c>
      <c r="C17" s="83"/>
      <c r="D17" s="83"/>
      <c r="E17" s="83"/>
      <c r="F17" s="83"/>
      <c r="G17" s="83"/>
      <c r="H17" s="83"/>
      <c r="I17" s="84"/>
    </row>
    <row r="18" spans="2:9" x14ac:dyDescent="0.2">
      <c r="B18" s="82"/>
      <c r="C18" s="83"/>
      <c r="D18" s="83"/>
      <c r="E18" s="83"/>
      <c r="F18" s="83"/>
      <c r="G18" s="83"/>
      <c r="H18" s="83"/>
      <c r="I18" s="84"/>
    </row>
    <row r="19" spans="2:9" x14ac:dyDescent="0.2">
      <c r="B19" s="82" t="s">
        <v>65</v>
      </c>
      <c r="C19" s="83"/>
      <c r="D19" s="83"/>
      <c r="E19" s="83"/>
      <c r="F19" s="61"/>
      <c r="G19" s="61"/>
      <c r="H19" s="61"/>
      <c r="I19" s="62"/>
    </row>
    <row r="20" spans="2:9" ht="60" customHeight="1" x14ac:dyDescent="0.2">
      <c r="B20" s="82" t="s">
        <v>64</v>
      </c>
      <c r="C20" s="83"/>
      <c r="D20" s="83"/>
      <c r="E20" s="83"/>
      <c r="F20" s="83"/>
      <c r="G20" s="83"/>
      <c r="H20" s="83"/>
      <c r="I20" s="84"/>
    </row>
    <row r="21" spans="2:9" ht="20.25" customHeight="1" thickBot="1" x14ac:dyDescent="0.25">
      <c r="B21" s="75" t="s">
        <v>66</v>
      </c>
      <c r="C21" s="76"/>
      <c r="D21" s="76"/>
      <c r="E21" s="76"/>
      <c r="F21" s="76"/>
      <c r="G21" s="76"/>
      <c r="H21" s="76"/>
      <c r="I21" s="77"/>
    </row>
  </sheetData>
  <sortState ref="B10:H53">
    <sortCondition ref="E10:E53"/>
  </sortState>
  <mergeCells count="14">
    <mergeCell ref="A6:B6"/>
    <mergeCell ref="A7:B7"/>
    <mergeCell ref="B2:H2"/>
    <mergeCell ref="A4:B4"/>
    <mergeCell ref="C4:E4"/>
    <mergeCell ref="A5:B5"/>
    <mergeCell ref="C5:E5"/>
    <mergeCell ref="B21:I21"/>
    <mergeCell ref="B14:I14"/>
    <mergeCell ref="B19:E19"/>
    <mergeCell ref="B17:I18"/>
    <mergeCell ref="C16:E16"/>
    <mergeCell ref="C15:E15"/>
    <mergeCell ref="B20:I20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99" zoomScaleNormal="99" workbookViewId="0">
      <selection activeCell="A14" sqref="A14:I14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48.5703125" style="39" customWidth="1"/>
    <col min="8" max="8" width="9.28515625" style="39" customWidth="1"/>
    <col min="9" max="9" width="15.5703125" style="39" customWidth="1"/>
    <col min="10" max="10" width="14.7109375" style="39" customWidth="1"/>
    <col min="11" max="11" width="15.5703125" style="39" customWidth="1"/>
    <col min="12" max="14" width="5.85546875" style="39" customWidth="1"/>
    <col min="15" max="15" width="12.5703125" style="39" customWidth="1"/>
    <col min="16" max="1024" width="9.140625" style="39"/>
    <col min="1025" max="16384" width="9.140625" style="40"/>
  </cols>
  <sheetData>
    <row r="1" spans="1:11" ht="18" customHeight="1" x14ac:dyDescent="0.2">
      <c r="A1" s="96" t="s">
        <v>14</v>
      </c>
      <c r="B1" s="96"/>
      <c r="C1" s="96"/>
      <c r="D1" s="96"/>
      <c r="E1" s="96"/>
      <c r="F1" s="96"/>
      <c r="G1" s="96"/>
      <c r="H1" s="96"/>
      <c r="I1" s="96"/>
      <c r="J1" s="37" t="s">
        <v>15</v>
      </c>
      <c r="K1" s="38" t="s">
        <v>73</v>
      </c>
    </row>
    <row r="2" spans="1:11" ht="18.75" customHeight="1" thickBot="1" x14ac:dyDescent="0.25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thickBot="1" x14ac:dyDescent="0.25">
      <c r="A3" s="97" t="s">
        <v>49</v>
      </c>
      <c r="B3" s="97"/>
      <c r="C3" s="97"/>
      <c r="D3" s="88" t="str">
        <f>'Necesidades Trimestrales'!C4</f>
        <v>40 - Ministerio de Salud</v>
      </c>
      <c r="E3" s="88"/>
      <c r="F3" s="88"/>
      <c r="G3" s="88"/>
      <c r="H3" s="88"/>
      <c r="I3" s="88"/>
      <c r="J3" s="88"/>
      <c r="K3" s="88"/>
    </row>
    <row r="4" spans="1:11" ht="18.75" customHeight="1" thickBot="1" x14ac:dyDescent="0.25">
      <c r="A4" s="98" t="s">
        <v>50</v>
      </c>
      <c r="B4" s="98"/>
      <c r="C4" s="98"/>
      <c r="D4" s="88" t="str">
        <f>'Necesidades Trimestrales'!C5</f>
        <v>24 - Direccion de Administracion del Hospital Interzonal de Niños</v>
      </c>
      <c r="E4" s="88"/>
      <c r="F4" s="88"/>
      <c r="G4" s="88"/>
      <c r="H4" s="88"/>
      <c r="I4" s="88"/>
      <c r="J4" s="88"/>
      <c r="K4" s="88"/>
    </row>
    <row r="5" spans="1:11" ht="18.75" customHeight="1" thickBot="1" x14ac:dyDescent="0.25">
      <c r="A5" s="98" t="s">
        <v>28</v>
      </c>
      <c r="B5" s="98"/>
      <c r="C5" s="98"/>
      <c r="D5" s="88" t="s">
        <v>69</v>
      </c>
      <c r="E5" s="88"/>
      <c r="F5" s="88"/>
      <c r="G5" s="88"/>
      <c r="H5" s="88"/>
      <c r="I5" s="88"/>
      <c r="J5" s="88"/>
      <c r="K5" s="88"/>
    </row>
    <row r="6" spans="1:11" ht="16.5" customHeight="1" thickBot="1" x14ac:dyDescent="0.25">
      <c r="A6" s="97" t="s">
        <v>51</v>
      </c>
      <c r="B6" s="97"/>
      <c r="C6" s="97"/>
      <c r="D6" s="88" t="s">
        <v>58</v>
      </c>
      <c r="E6" s="88"/>
      <c r="F6" s="88"/>
      <c r="G6" s="88"/>
      <c r="H6" s="88"/>
      <c r="I6" s="88"/>
      <c r="J6" s="88"/>
      <c r="K6" s="88"/>
    </row>
    <row r="7" spans="1:11" ht="16.5" customHeight="1" x14ac:dyDescent="0.2">
      <c r="A7" s="98" t="s">
        <v>16</v>
      </c>
      <c r="B7" s="98"/>
      <c r="C7" s="98"/>
      <c r="D7" s="88" t="str">
        <f>'Necesidades Trimestrales'!C7 &amp; "° Trimestre - Año " &amp; 'Necesidades Trimestrales'!C6</f>
        <v>3° Trimestre - Año 2022</v>
      </c>
      <c r="E7" s="88"/>
      <c r="F7" s="88"/>
      <c r="G7" s="88"/>
      <c r="H7" s="88"/>
      <c r="I7" s="88"/>
      <c r="J7" s="88"/>
      <c r="K7" s="88"/>
    </row>
    <row r="8" spans="1:11" ht="16.5" customHeight="1" x14ac:dyDescent="0.2">
      <c r="A8" s="91" t="s">
        <v>17</v>
      </c>
      <c r="B8" s="91"/>
      <c r="C8" s="91"/>
      <c r="D8" s="92" t="s">
        <v>74</v>
      </c>
      <c r="E8" s="92"/>
      <c r="F8" s="92"/>
      <c r="G8" s="92"/>
      <c r="H8" s="92"/>
      <c r="I8" s="92"/>
      <c r="J8" s="92"/>
      <c r="K8" s="92"/>
    </row>
    <row r="9" spans="1:11" ht="15.75" x14ac:dyDescent="0.2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x14ac:dyDescent="0.2">
      <c r="A10" s="93" t="s">
        <v>18</v>
      </c>
      <c r="B10" s="94" t="s">
        <v>19</v>
      </c>
      <c r="C10" s="94" t="s">
        <v>20</v>
      </c>
      <c r="D10" s="94"/>
      <c r="E10" s="94"/>
      <c r="F10" s="94"/>
      <c r="G10" s="94"/>
      <c r="H10" s="94" t="s">
        <v>21</v>
      </c>
      <c r="I10" s="94" t="s">
        <v>22</v>
      </c>
      <c r="J10" s="94" t="s">
        <v>23</v>
      </c>
      <c r="K10" s="95" t="s">
        <v>24</v>
      </c>
    </row>
    <row r="11" spans="1:11" ht="24" customHeight="1" thickBo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1" ht="24" customHeight="1" x14ac:dyDescent="0.2">
      <c r="A12" s="50">
        <v>1</v>
      </c>
      <c r="B12" s="45" t="str">
        <f>'Necesidades Trimestrales'!B10</f>
        <v>2.1.1-621.15</v>
      </c>
      <c r="C12" s="90" t="str">
        <f>'Necesidades Trimestrales'!E10</f>
        <v>AVES; ESPECIE: PECHUGA DE POLLO, PRESENTACION: A GRANEL, EVISCERADO: SIN MENUDOS, TIPO: PECHUGA DE POLLO</v>
      </c>
      <c r="D12" s="90"/>
      <c r="E12" s="90"/>
      <c r="F12" s="90"/>
      <c r="G12" s="90"/>
      <c r="H12" s="46" t="s">
        <v>25</v>
      </c>
      <c r="I12" s="47" t="str">
        <f>'Necesidades Trimestrales'!F10</f>
        <v>CAJA</v>
      </c>
      <c r="J12" s="48">
        <f>'Necesidades Trimestrales'!H10</f>
        <v>13000</v>
      </c>
      <c r="K12" s="49">
        <f>'Necesidades Trimestrales'!G10</f>
        <v>80</v>
      </c>
    </row>
    <row r="13" spans="1:11" ht="26.25" customHeight="1" thickBot="1" x14ac:dyDescent="0.25">
      <c r="A13" s="45">
        <v>2</v>
      </c>
      <c r="B13" s="45" t="str">
        <f>'Necesidades Trimestrales'!B11</f>
        <v>2.1.1-621.19</v>
      </c>
      <c r="C13" s="90" t="str">
        <f>'Necesidades Trimestrales'!E11</f>
        <v>AVES; TIPO: POLLO, PRESENTACION: PATA MUSLO, EVISCERADO: SI, ELEM. TRANSPORTE: SIN, MATERIAL ELEM. TRANSPORTE: SIN, LIBRE DE GLUTEN: SIN VALOR</v>
      </c>
      <c r="D13" s="90"/>
      <c r="E13" s="90"/>
      <c r="F13" s="90"/>
      <c r="G13" s="90"/>
      <c r="H13" s="46" t="s">
        <v>25</v>
      </c>
      <c r="I13" s="47" t="str">
        <f>'Necesidades Trimestrales'!F11</f>
        <v>CAJA</v>
      </c>
      <c r="J13" s="48">
        <f>'Necesidades Trimestrales'!H11</f>
        <v>6500</v>
      </c>
      <c r="K13" s="49">
        <f>'Necesidades Trimestrales'!G11</f>
        <v>100</v>
      </c>
    </row>
    <row r="14" spans="1:11" ht="20.25" customHeight="1" thickBot="1" x14ac:dyDescent="0.25">
      <c r="A14" s="88" t="s">
        <v>75</v>
      </c>
      <c r="B14" s="88"/>
      <c r="C14" s="88"/>
      <c r="D14" s="88"/>
      <c r="E14" s="88"/>
      <c r="F14" s="88"/>
      <c r="G14" s="88"/>
      <c r="H14" s="88"/>
      <c r="I14" s="88"/>
      <c r="J14" s="89">
        <f>SUMPRODUCT(J12:J13,K12:K13)</f>
        <v>1690000</v>
      </c>
      <c r="K14" s="89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4:I14"/>
    <mergeCell ref="J14:K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28" sqref="A2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2" t="s">
        <v>3</v>
      </c>
      <c r="B1" s="122"/>
      <c r="C1" s="122"/>
      <c r="D1" s="123">
        <f>'Necesidades Trimestrales'!C6</f>
        <v>2022</v>
      </c>
      <c r="E1" s="123"/>
      <c r="F1" s="3"/>
      <c r="G1" s="3"/>
      <c r="H1" s="4"/>
      <c r="I1" s="4"/>
      <c r="J1" s="4"/>
      <c r="K1" s="4"/>
      <c r="L1" s="4"/>
      <c r="M1" s="4"/>
      <c r="N1" s="4"/>
      <c r="P1" s="124" t="s">
        <v>26</v>
      </c>
      <c r="Q1" s="12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4"/>
      <c r="Q2" s="124"/>
    </row>
    <row r="4" spans="1:17" s="5" customFormat="1" ht="18" customHeight="1" thickBot="1" x14ac:dyDescent="0.25">
      <c r="A4" s="125" t="s">
        <v>27</v>
      </c>
      <c r="B4" s="125"/>
      <c r="C4" s="125"/>
      <c r="D4" s="125"/>
      <c r="E4" s="125"/>
      <c r="F4" s="125"/>
      <c r="G4" s="120" t="str">
        <f>' NotaPedido'!D3</f>
        <v>40 - Ministerio de Salud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5" customFormat="1" ht="18" customHeight="1" thickBot="1" x14ac:dyDescent="0.25">
      <c r="A5" s="117" t="s">
        <v>50</v>
      </c>
      <c r="B5" s="118"/>
      <c r="C5" s="118"/>
      <c r="D5" s="118"/>
      <c r="E5" s="118"/>
      <c r="F5" s="119"/>
      <c r="G5" s="120" t="str">
        <f>' NotaPedido'!D4</f>
        <v>24 - Direccion de Administracion del Hospital Interzonal de Niños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5" customFormat="1" ht="18" customHeight="1" thickBot="1" x14ac:dyDescent="0.25">
      <c r="A6" s="117" t="s">
        <v>28</v>
      </c>
      <c r="B6" s="118"/>
      <c r="C6" s="118"/>
      <c r="D6" s="118"/>
      <c r="E6" s="118"/>
      <c r="F6" s="119"/>
      <c r="G6" s="120" t="str">
        <f>' NotaPedido'!D5</f>
        <v xml:space="preserve">24 - Direccion de Administracion del Hospital Interzonal de Niños 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5" customFormat="1" ht="18" customHeight="1" thickBot="1" x14ac:dyDescent="0.25">
      <c r="A7" s="117" t="s">
        <v>51</v>
      </c>
      <c r="B7" s="118"/>
      <c r="C7" s="118"/>
      <c r="D7" s="118"/>
      <c r="E7" s="118"/>
      <c r="F7" s="119"/>
      <c r="G7" s="120" t="str">
        <f>' NotaPedido'!D6</f>
        <v>Servicio de Alimentacion y Dietoterapia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thickBot="1" x14ac:dyDescent="0.25">
      <c r="A8" s="121" t="s">
        <v>29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</row>
    <row r="9" spans="1:17" ht="18" customHeight="1" x14ac:dyDescent="0.2">
      <c r="A9" s="111" t="s">
        <v>30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"/>
      <c r="P9" s="1"/>
      <c r="Q9" s="6"/>
    </row>
    <row r="10" spans="1:17" ht="54.75" customHeight="1" x14ac:dyDescent="0.2">
      <c r="A10" s="112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078/2022,  afectando la erogación resultante a los créditos presupuestarios aprobados a favor de esta Unidad Ejecutora, conforme al siguiente detalle: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13" t="s">
        <v>31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7" ht="15.75" customHeight="1" x14ac:dyDescent="0.2">
      <c r="A13" s="114" t="s">
        <v>32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33</v>
      </c>
      <c r="P13" s="115"/>
      <c r="Q13" s="116" t="s">
        <v>34</v>
      </c>
    </row>
    <row r="14" spans="1:17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15"/>
      <c r="P14" s="115"/>
      <c r="Q14" s="116"/>
    </row>
    <row r="15" spans="1:17" ht="17.25" customHeight="1" x14ac:dyDescent="0.2">
      <c r="A15" s="53">
        <v>36</v>
      </c>
      <c r="B15" s="54"/>
      <c r="C15" s="54"/>
      <c r="D15" s="54">
        <v>1</v>
      </c>
      <c r="E15" s="54"/>
      <c r="F15" s="54">
        <v>4901</v>
      </c>
      <c r="G15" s="54">
        <v>3</v>
      </c>
      <c r="H15" s="54">
        <v>310</v>
      </c>
      <c r="I15" s="55">
        <v>2</v>
      </c>
      <c r="J15" s="55">
        <v>1</v>
      </c>
      <c r="K15" s="55">
        <v>1</v>
      </c>
      <c r="L15" s="54"/>
      <c r="M15" s="56">
        <v>1</v>
      </c>
      <c r="N15" s="57" t="s">
        <v>59</v>
      </c>
      <c r="O15" s="109" t="s">
        <v>60</v>
      </c>
      <c r="P15" s="110"/>
      <c r="Q15" s="16">
        <v>1690000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04"/>
      <c r="P16" s="104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04"/>
      <c r="P17" s="104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04"/>
      <c r="P18" s="10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04"/>
      <c r="P19" s="10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04"/>
      <c r="P20" s="10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05"/>
      <c r="P21" s="10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06"/>
      <c r="P22" s="106"/>
      <c r="Q22" s="30"/>
    </row>
    <row r="23" spans="1:18" ht="29.25" customHeight="1" x14ac:dyDescent="0.2">
      <c r="A23" s="107" t="s">
        <v>76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31">
        <f>SUM(Q15:Q22)</f>
        <v>1690000</v>
      </c>
    </row>
    <row r="24" spans="1:18" ht="18" customHeight="1" thickBot="1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</row>
    <row r="25" spans="1:18" ht="17.25" customHeight="1" thickBot="1" x14ac:dyDescent="0.25">
      <c r="A25" s="99" t="s">
        <v>48</v>
      </c>
      <c r="B25" s="100"/>
      <c r="C25" s="100"/>
      <c r="D25" s="100"/>
      <c r="E25" s="100"/>
      <c r="F25" s="101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</row>
    <row r="26" spans="1:18" ht="18" customHeight="1" thickBot="1" x14ac:dyDescent="0.25">
      <c r="A26" s="103" t="s">
        <v>77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</row>
    <row r="27" spans="1:18" ht="15" customHeight="1" x14ac:dyDescent="0.2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2022-05-12T14:30:53Z</cp:lastPrinted>
  <dcterms:created xsi:type="dcterms:W3CDTF">2020-07-17T23:44:49Z</dcterms:created>
  <dcterms:modified xsi:type="dcterms:W3CDTF">2022-08-23T12:41:26Z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