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LE\Desktop\ARIEL_MATERNIDAD\Mis Documentos\Secretaria de compras\PAC 2022\1° trimestre 2022\Antiepilepticos\"/>
    </mc:Choice>
  </mc:AlternateContent>
  <bookViews>
    <workbookView xWindow="0" yWindow="0" windowWidth="28800" windowHeight="12435" tabRatio="500" activeTab="1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Trimestrales'!$A$9:$I$9</definedName>
    <definedName name="_xlnm.Print_Area" localSheetId="1">' NotaPedido'!$A$1:$K$33</definedName>
    <definedName name="_xlnm.Print_Area" localSheetId="2">'Autor Gastar'!$A$1:$Q$25</definedName>
  </definedNames>
  <calcPr calcId="162913"/>
</workbook>
</file>

<file path=xl/calcChain.xml><?xml version="1.0" encoding="utf-8"?>
<calcChain xmlns="http://schemas.openxmlformats.org/spreadsheetml/2006/main">
  <c r="K32" i="2" l="1"/>
  <c r="J32" i="2"/>
  <c r="I32" i="2"/>
  <c r="C32" i="2"/>
  <c r="B32" i="2"/>
  <c r="A32" i="2"/>
  <c r="K31" i="2"/>
  <c r="J31" i="2"/>
  <c r="I31" i="2"/>
  <c r="C31" i="2"/>
  <c r="B31" i="2"/>
  <c r="A31" i="2"/>
  <c r="K30" i="2"/>
  <c r="J30" i="2"/>
  <c r="I30" i="2"/>
  <c r="C30" i="2"/>
  <c r="B30" i="2"/>
  <c r="A30" i="2"/>
  <c r="K29" i="2"/>
  <c r="J29" i="2"/>
  <c r="I29" i="2"/>
  <c r="C29" i="2"/>
  <c r="B29" i="2"/>
  <c r="A29" i="2"/>
  <c r="K28" i="2"/>
  <c r="J28" i="2"/>
  <c r="I28" i="2"/>
  <c r="C28" i="2"/>
  <c r="B28" i="2"/>
  <c r="A28" i="2"/>
  <c r="K27" i="2"/>
  <c r="J27" i="2"/>
  <c r="I27" i="2"/>
  <c r="C27" i="2"/>
  <c r="B27" i="2"/>
  <c r="A27" i="2"/>
  <c r="K26" i="2"/>
  <c r="J26" i="2"/>
  <c r="I26" i="2"/>
  <c r="C26" i="2"/>
  <c r="B26" i="2"/>
  <c r="A26" i="2"/>
  <c r="K25" i="2"/>
  <c r="J25" i="2"/>
  <c r="I25" i="2"/>
  <c r="C25" i="2"/>
  <c r="B25" i="2"/>
  <c r="A25" i="2"/>
  <c r="K24" i="2"/>
  <c r="J24" i="2"/>
  <c r="I24" i="2"/>
  <c r="C24" i="2"/>
  <c r="B24" i="2"/>
  <c r="A24" i="2"/>
  <c r="K23" i="2"/>
  <c r="J23" i="2"/>
  <c r="I23" i="2"/>
  <c r="C23" i="2"/>
  <c r="B23" i="2"/>
  <c r="A23" i="2"/>
  <c r="K22" i="2"/>
  <c r="J22" i="2"/>
  <c r="I22" i="2"/>
  <c r="C22" i="2"/>
  <c r="B22" i="2"/>
  <c r="A22" i="2"/>
  <c r="K21" i="2"/>
  <c r="J21" i="2"/>
  <c r="I21" i="2"/>
  <c r="C21" i="2"/>
  <c r="B21" i="2"/>
  <c r="A21" i="2"/>
  <c r="K20" i="2"/>
  <c r="J20" i="2"/>
  <c r="I20" i="2"/>
  <c r="C20" i="2"/>
  <c r="B20" i="2"/>
  <c r="A20" i="2"/>
  <c r="K19" i="2"/>
  <c r="J19" i="2"/>
  <c r="I19" i="2"/>
  <c r="C19" i="2"/>
  <c r="B19" i="2"/>
  <c r="A19" i="2"/>
  <c r="K18" i="2"/>
  <c r="J18" i="2"/>
  <c r="I18" i="2"/>
  <c r="C18" i="2"/>
  <c r="B18" i="2"/>
  <c r="A18" i="2"/>
  <c r="K17" i="2"/>
  <c r="J17" i="2"/>
  <c r="I17" i="2"/>
  <c r="C17" i="2"/>
  <c r="B17" i="2"/>
  <c r="A17" i="2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K13" i="2" l="1"/>
  <c r="K14" i="2"/>
  <c r="K15" i="2"/>
  <c r="K16" i="2"/>
  <c r="J13" i="2"/>
  <c r="J14" i="2"/>
  <c r="J15" i="2"/>
  <c r="J16" i="2"/>
  <c r="I13" i="2"/>
  <c r="I14" i="2"/>
  <c r="I15" i="2"/>
  <c r="I16" i="2"/>
  <c r="A13" i="2"/>
  <c r="A14" i="2"/>
  <c r="A15" i="2"/>
  <c r="A16" i="2"/>
  <c r="B13" i="2"/>
  <c r="B14" i="2"/>
  <c r="B15" i="2"/>
  <c r="B16" i="2"/>
  <c r="C13" i="2"/>
  <c r="C14" i="2"/>
  <c r="C15" i="2"/>
  <c r="C16" i="2"/>
  <c r="A12" i="2"/>
  <c r="G7" i="3" l="1"/>
  <c r="I10" i="1" l="1"/>
  <c r="I13" i="1"/>
  <c r="I11" i="1"/>
  <c r="B12" i="2"/>
  <c r="J12" i="2"/>
  <c r="C12" i="2"/>
  <c r="Q21" i="3"/>
  <c r="K12" i="2" l="1"/>
  <c r="J33" i="2" s="1"/>
  <c r="I12" i="2" l="1"/>
  <c r="I12" i="1" l="1"/>
  <c r="I14" i="1"/>
  <c r="G6" i="3" l="1"/>
  <c r="G4" i="3"/>
  <c r="G5" i="3"/>
</calcChain>
</file>

<file path=xl/sharedStrings.xml><?xml version="1.0" encoding="utf-8"?>
<sst xmlns="http://schemas.openxmlformats.org/spreadsheetml/2006/main" count="165" uniqueCount="101">
  <si>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</si>
  <si>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</si>
  <si>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</si>
  <si>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</si>
  <si>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</si>
  <si>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</si>
  <si>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</si>
  <si>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</si>
  <si>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</si>
  <si>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</si>
  <si>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</si>
  <si>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</si>
  <si>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</si>
  <si>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</si>
  <si>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</si>
  <si>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</si>
  <si>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</si>
  <si>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</si>
  <si>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</si>
  <si>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</si>
  <si>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</si>
  <si>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</si>
  <si>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</si>
  <si>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</si>
  <si>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</si>
  <si>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</si>
  <si>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</si>
  <si>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</si>
  <si>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</si>
  <si>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</si>
  <si>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</si>
  <si>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</si>
  <si>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</si>
  <si>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</si>
  <si>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</si>
  <si>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</si>
  <si>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</si>
  <si>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</si>
  <si>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</si>
  <si>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</si>
  <si>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</si>
  <si>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</si>
  <si>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</si>
  <si>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</si>
  <si>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</si>
  <si>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</si>
  <si>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</si>
  <si>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</si>
  <si>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</si>
  <si>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</si>
  <si>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 xml:space="preserve">169- Direccion Asistencial </t>
  </si>
  <si>
    <t>Productos Farmacéuticos y Medicinales</t>
  </si>
  <si>
    <t>RUBRO DE COMPRA</t>
  </si>
  <si>
    <t xml:space="preserve">I.P.P. </t>
  </si>
  <si>
    <t>28- Maternidad Provincial 25 de Mayo</t>
  </si>
  <si>
    <t>Descripción técnica</t>
  </si>
  <si>
    <t>Calidad Minima esperada</t>
  </si>
  <si>
    <t>Mantenimiento</t>
  </si>
  <si>
    <t>Garantia</t>
  </si>
  <si>
    <t>40-Ministerio de Salud</t>
  </si>
  <si>
    <t>40- Ministerio de Salud</t>
  </si>
  <si>
    <t>Plazos de entrega:</t>
  </si>
  <si>
    <t>Lugar de entrega:</t>
  </si>
  <si>
    <t>Servio de Farmacia - MATERNIDAD PROVINCIAL 25 DE MAYO- HERNANDO. DE PEDRAZA 1650</t>
  </si>
  <si>
    <t>PROPARACAINA CLORHIDRATO 0,5% COLIRIO</t>
  </si>
  <si>
    <t>Servicio de Farmacia</t>
  </si>
  <si>
    <t>AMPOLLA</t>
  </si>
  <si>
    <t>GOTERO</t>
  </si>
  <si>
    <t>SEMESTRAL</t>
  </si>
  <si>
    <t xml:space="preserve">CAFEINA 25% AMPOLLA </t>
  </si>
  <si>
    <t>CLONAZEPAM 0,5 MG COMPRIMIDOS</t>
  </si>
  <si>
    <t>COMPRIMIDO</t>
  </si>
  <si>
    <t>FENITOINA AMPOLLAS</t>
  </si>
  <si>
    <t xml:space="preserve">FENOBARBITAL 15 MG COMPRIMIDO </t>
  </si>
  <si>
    <t>FLUMAZENIL  0,5 mg / 5 ml AMPOLLAS</t>
  </si>
  <si>
    <t>HALOPERIDOL 10 MG COMPRIMIDO</t>
  </si>
  <si>
    <t>HALOPERIDOL 5 MG AMPOLLA x 1 ml</t>
  </si>
  <si>
    <t>LAMOTRIGINA 25 MG COMPRIMIDO</t>
  </si>
  <si>
    <t>LAMOTRIGINA 50MG COMPRIMIDO</t>
  </si>
  <si>
    <t>LEVETIRACETAM 500MG AMPOLLA x 5 ml</t>
  </si>
  <si>
    <t>LORAZEPAM 1 MG COMPRIMIDO</t>
  </si>
  <si>
    <t>NALOXONA 0,4 MG / ML AMPOLLA x 1 ml</t>
  </si>
  <si>
    <t>NEOSTIGMINA 0,5 mg  x 1 ml AMPOLLA</t>
  </si>
  <si>
    <t>PREGABALINA 75MG COMPRIMIDO</t>
  </si>
  <si>
    <t>PROTAMINA SULFATO 10 mg/ ml  AMPOLLA x 5 ml</t>
  </si>
  <si>
    <t>QUETIAPINA 100MG COMPRIMIDO</t>
  </si>
  <si>
    <t>RISPERIDONA 1MG COMPRIMIDO</t>
  </si>
  <si>
    <t>SERTRALINA 50MG COMPRIMIDOS</t>
  </si>
  <si>
    <t>TOBRAMICINA 0,3% COLIRIO x 5 ml</t>
  </si>
  <si>
    <t>TROPICAMIDA 0,5% COLIRIO x 5 ml</t>
  </si>
  <si>
    <t>Especificidades Item N° : 1 a 21</t>
  </si>
  <si>
    <t>20 dias desde la firma del instrumento contractual</t>
  </si>
  <si>
    <t xml:space="preserve">30 dias </t>
  </si>
  <si>
    <t>Costo total estimado: DOSCIENTOS TREINTA Y OCHO MIL OCHOCIENTOS OCHENTA CON 70/100</t>
  </si>
  <si>
    <t>1º</t>
  </si>
  <si>
    <t>TOTAL DE PESOS: DOSCIENTOS TREINTA Y OCHO MIL OCHOCIENTOS OCHENTA CON 70/100</t>
  </si>
  <si>
    <t xml:space="preserve">ANTIEPILEPTICOS/ANTIPARKINSONIANOS/PSICOLEPTICOS/ OFTALMICOS/ANTIDOTOS </t>
  </si>
  <si>
    <t xml:space="preserve"> Adquisición de Productos MedicosANTIEPILEPTICOS/ANTIPARKINSONIANOS/PSICOLEPTICOS/ OFTALMICOS/ANTIDOTOS </t>
  </si>
  <si>
    <t>Para la adquisición de Adquisición deProductos Medicos ANTIEPILEPTICOS/ANTIPARKINSONIANOS/PSICOLEPTICOS/ OFTALMICOS/ANTIDOTOS , para ser destinados Servicio de Farmacia, de  la Maternidad Provincial 25 de Mayo.-</t>
  </si>
  <si>
    <t>"Autorizo la realización de los  trámites correspondientes, a fin de proveer a  este Organismo los bienes y/o servicios que se detallan en Nota  de Pedido N° 05/2022 ,  afectando la erogación resultante a los créditos presupuestarios aprobados a favor de esta Unidad Ejecutora, conforme al siguiente detalle:"</t>
  </si>
  <si>
    <t>N° 05/2022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</si>
</sst>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\$* #,##0.00_);_(\$* \(#,##0.00\);_(\$* \-??_);_(@_)"/>
    <numFmt numFmtId="165" formatCode="[$$-2C0A]\ #,##0.00;[$$-2C0A]&quot; -&quot;#,##0.00"/>
    <numFmt numFmtId="166" formatCode="[$$-2C0A]\ #,##0.00"/>
    <numFmt numFmtId="167" formatCode="dd\-mm\-yy;@"/>
    <numFmt numFmtId="168" formatCode="&quot;$&quot;\ #,##0.00"/>
    <numFmt numFmtId="169" formatCode="[$$-2C0A]\ #,##0.00;[Red][$$-2C0A]\ #,##0.00"/>
    <numFmt numFmtId="170" formatCode="[$$-2C0A]\ #,##0;[Red][$$-2C0A]\ #,##0"/>
  </numFmts>
  <fonts count="45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Arial"/>
      <family val="2"/>
    </font>
    <font>
      <b/>
      <sz val="2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Arial"/>
      <family val="2"/>
    </font>
    <font>
      <b/>
      <sz val="10"/>
      <name val="Arial"/>
      <family val="2"/>
    </font>
    <font>
      <u/>
      <sz val="10"/>
      <name val="Times New Roman"/>
      <family val="1"/>
    </font>
    <font>
      <sz val="11"/>
      <name val="Calibri"/>
      <family val="2"/>
      <scheme val="minor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2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  <charset val="1"/>
    </font>
    <font>
      <b/>
      <sz val="1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FFFFFF"/>
        <bgColor rgb="FFFFFFFF"/>
      </patternFill>
    </fill>
  </fills>
  <borders count="62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3D3D3D"/>
      </left>
      <right/>
      <top style="thin">
        <color rgb="FF3D3D3D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3D3D3D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9" fillId="0" borderId="1" applyProtection="0"/>
    <xf numFmtId="164" fontId="10" fillId="0" borderId="0" applyBorder="0" applyProtection="0"/>
    <xf numFmtId="0" fontId="11" fillId="2" borderId="0" applyBorder="0" applyProtection="0"/>
    <xf numFmtId="165" fontId="18" fillId="0" borderId="0" applyBorder="0" applyProtection="0"/>
    <xf numFmtId="0" fontId="20" fillId="4" borderId="0" applyNumberFormat="0" applyBorder="0" applyAlignment="0" applyProtection="0"/>
    <xf numFmtId="0" fontId="21" fillId="5" borderId="0" applyNumberFormat="0" applyBorder="0" applyAlignment="0" applyProtection="0"/>
    <xf numFmtId="0" fontId="8" fillId="6" borderId="0" applyNumberFormat="0" applyBorder="0" applyAlignment="0" applyProtection="0"/>
    <xf numFmtId="0" fontId="6" fillId="7" borderId="0" applyNumberFormat="0" applyBorder="0" applyAlignment="0" applyProtection="0"/>
  </cellStyleXfs>
  <cellXfs count="188">
    <xf numFmtId="0" fontId="0" fillId="0" borderId="0" xfId="0"/>
    <xf numFmtId="0" fontId="10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3" fontId="13" fillId="0" borderId="0" xfId="0" applyNumberFormat="1" applyFont="1" applyBorder="1" applyAlignment="1"/>
    <xf numFmtId="167" fontId="0" fillId="0" borderId="0" xfId="0" applyNumberFormat="1" applyAlignment="1">
      <alignment horizontal="left"/>
    </xf>
    <xf numFmtId="0" fontId="10" fillId="0" borderId="0" xfId="0" applyFont="1"/>
    <xf numFmtId="0" fontId="0" fillId="0" borderId="7" xfId="0" applyBorder="1"/>
    <xf numFmtId="0" fontId="0" fillId="0" borderId="7" xfId="0" applyBorder="1" applyAlignment="1">
      <alignment horizontal="left"/>
    </xf>
    <xf numFmtId="0" fontId="0" fillId="0" borderId="20" xfId="0" applyBorder="1"/>
    <xf numFmtId="0" fontId="17" fillId="0" borderId="22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23" xfId="0" applyFont="1" applyBorder="1" applyAlignment="1">
      <alignment horizontal="left" vertical="center"/>
    </xf>
    <xf numFmtId="0" fontId="17" fillId="0" borderId="24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165" fontId="17" fillId="0" borderId="25" xfId="0" applyNumberFormat="1" applyFont="1" applyBorder="1" applyAlignment="1">
      <alignment horizontal="center" vertical="center"/>
    </xf>
    <xf numFmtId="0" fontId="19" fillId="0" borderId="0" xfId="0" applyFont="1"/>
    <xf numFmtId="0" fontId="0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65" fontId="18" fillId="0" borderId="0" xfId="4"/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165" fontId="0" fillId="0" borderId="3" xfId="2" applyNumberFormat="1" applyFont="1" applyBorder="1" applyAlignment="1" applyProtection="1">
      <alignment horizontal="center" vertical="center"/>
    </xf>
    <xf numFmtId="0" fontId="22" fillId="3" borderId="0" xfId="0" applyFont="1" applyFill="1"/>
    <xf numFmtId="0" fontId="22" fillId="3" borderId="0" xfId="0" applyFont="1" applyFill="1" applyAlignment="1">
      <alignment horizontal="left" wrapText="1"/>
    </xf>
    <xf numFmtId="0" fontId="7" fillId="3" borderId="3" xfId="7" applyFont="1" applyFill="1" applyBorder="1" applyAlignment="1">
      <alignment horizontal="center" vertical="center" wrapText="1"/>
    </xf>
    <xf numFmtId="0" fontId="27" fillId="3" borderId="0" xfId="0" applyFont="1" applyFill="1" applyAlignment="1">
      <alignment horizontal="left" wrapText="1"/>
    </xf>
    <xf numFmtId="0" fontId="25" fillId="3" borderId="0" xfId="0" applyFont="1" applyFill="1" applyAlignment="1"/>
    <xf numFmtId="0" fontId="19" fillId="0" borderId="0" xfId="0" applyFont="1" applyAlignment="1">
      <alignment vertical="center"/>
    </xf>
    <xf numFmtId="0" fontId="30" fillId="0" borderId="34" xfId="0" applyFont="1" applyBorder="1" applyAlignment="1">
      <alignment horizontal="center" vertical="center"/>
    </xf>
    <xf numFmtId="0" fontId="32" fillId="3" borderId="5" xfId="0" applyFont="1" applyFill="1" applyBorder="1" applyAlignment="1">
      <alignment horizontal="right" vertical="center"/>
    </xf>
    <xf numFmtId="0" fontId="32" fillId="3" borderId="7" xfId="0" applyFont="1" applyFill="1" applyBorder="1" applyAlignment="1">
      <alignment vertical="center"/>
    </xf>
    <xf numFmtId="0" fontId="32" fillId="3" borderId="0" xfId="0" applyFont="1" applyFill="1" applyBorder="1" applyAlignment="1">
      <alignment vertical="center"/>
    </xf>
    <xf numFmtId="0" fontId="34" fillId="3" borderId="0" xfId="0" applyFont="1" applyFill="1" applyBorder="1" applyAlignment="1">
      <alignment horizontal="left" vertical="center"/>
    </xf>
    <xf numFmtId="0" fontId="33" fillId="3" borderId="0" xfId="0" applyFont="1" applyFill="1" applyBorder="1" applyAlignment="1">
      <alignment horizontal="left" vertical="center" wrapText="1" indent="1"/>
    </xf>
    <xf numFmtId="0" fontId="31" fillId="3" borderId="2" xfId="5" applyFont="1" applyFill="1" applyBorder="1" applyAlignment="1">
      <alignment horizontal="center" vertical="center"/>
    </xf>
    <xf numFmtId="0" fontId="31" fillId="3" borderId="3" xfId="5" applyFont="1" applyFill="1" applyBorder="1" applyAlignment="1">
      <alignment horizontal="center" vertical="center"/>
    </xf>
    <xf numFmtId="0" fontId="31" fillId="3" borderId="3" xfId="5" applyFont="1" applyFill="1" applyBorder="1" applyAlignment="1">
      <alignment horizontal="center" wrapText="1"/>
    </xf>
    <xf numFmtId="0" fontId="31" fillId="3" borderId="33" xfId="5" applyFont="1" applyFill="1" applyBorder="1" applyAlignment="1">
      <alignment horizontal="center" vertical="center" wrapText="1"/>
    </xf>
    <xf numFmtId="0" fontId="10" fillId="3" borderId="0" xfId="0" applyFont="1" applyFill="1" applyBorder="1" applyAlignment="1">
      <alignment vertical="center"/>
    </xf>
    <xf numFmtId="0" fontId="37" fillId="3" borderId="0" xfId="0" applyFont="1" applyFill="1" applyBorder="1" applyAlignment="1">
      <alignment vertical="center"/>
    </xf>
    <xf numFmtId="0" fontId="38" fillId="3" borderId="0" xfId="0" applyFont="1" applyFill="1" applyBorder="1" applyAlignment="1">
      <alignment vertical="center"/>
    </xf>
    <xf numFmtId="166" fontId="31" fillId="3" borderId="3" xfId="6" applyNumberFormat="1" applyFont="1" applyFill="1" applyBorder="1" applyAlignment="1" applyProtection="1">
      <alignment horizontal="center" vertical="center" wrapText="1"/>
    </xf>
    <xf numFmtId="1" fontId="32" fillId="3" borderId="0" xfId="0" applyNumberFormat="1" applyFont="1" applyFill="1" applyBorder="1" applyAlignment="1">
      <alignment vertical="center"/>
    </xf>
    <xf numFmtId="1" fontId="33" fillId="3" borderId="0" xfId="0" applyNumberFormat="1" applyFont="1" applyFill="1" applyBorder="1" applyAlignment="1">
      <alignment horizontal="left" vertical="center" wrapText="1" indent="1"/>
    </xf>
    <xf numFmtId="1" fontId="31" fillId="3" borderId="4" xfId="5" applyNumberFormat="1" applyFont="1" applyFill="1" applyBorder="1" applyAlignment="1">
      <alignment horizontal="center" vertical="center"/>
    </xf>
    <xf numFmtId="1" fontId="10" fillId="3" borderId="0" xfId="0" applyNumberFormat="1" applyFont="1" applyFill="1" applyBorder="1" applyAlignment="1">
      <alignment vertical="center"/>
    </xf>
    <xf numFmtId="0" fontId="27" fillId="3" borderId="46" xfId="0" applyFont="1" applyFill="1" applyBorder="1" applyAlignment="1">
      <alignment horizontal="center" vertical="center" wrapText="1"/>
    </xf>
    <xf numFmtId="0" fontId="27" fillId="3" borderId="47" xfId="0" applyFont="1" applyFill="1" applyBorder="1" applyAlignment="1">
      <alignment horizontal="center" vertical="center" wrapText="1"/>
    </xf>
    <xf numFmtId="0" fontId="27" fillId="3" borderId="48" xfId="0" applyFont="1" applyFill="1" applyBorder="1" applyAlignment="1">
      <alignment horizontal="center" vertical="center" wrapText="1"/>
    </xf>
    <xf numFmtId="169" fontId="27" fillId="3" borderId="15" xfId="0" applyNumberFormat="1" applyFont="1" applyFill="1" applyBorder="1" applyAlignment="1">
      <alignment horizontal="center" vertical="center" wrapText="1"/>
    </xf>
    <xf numFmtId="170" fontId="0" fillId="0" borderId="0" xfId="0" applyNumberFormat="1" applyBorder="1" applyAlignment="1">
      <alignment horizontal="center" vertical="center"/>
    </xf>
    <xf numFmtId="0" fontId="40" fillId="3" borderId="0" xfId="0" applyFont="1" applyFill="1"/>
    <xf numFmtId="169" fontId="7" fillId="3" borderId="37" xfId="7" applyNumberFormat="1" applyFont="1" applyFill="1" applyBorder="1" applyAlignment="1">
      <alignment horizontal="center" vertical="center" wrapText="1"/>
    </xf>
    <xf numFmtId="170" fontId="29" fillId="0" borderId="50" xfId="0" applyNumberFormat="1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/>
    </xf>
    <xf numFmtId="0" fontId="25" fillId="3" borderId="0" xfId="0" applyFont="1" applyFill="1" applyAlignment="1">
      <alignment vertical="center"/>
    </xf>
    <xf numFmtId="0" fontId="27" fillId="3" borderId="0" xfId="0" applyFont="1" applyFill="1" applyAlignment="1">
      <alignment horizontal="center" vertical="center" wrapText="1"/>
    </xf>
    <xf numFmtId="0" fontId="22" fillId="3" borderId="0" xfId="0" applyFont="1" applyFill="1" applyAlignment="1">
      <alignment horizontal="center" vertical="center" wrapText="1"/>
    </xf>
    <xf numFmtId="1" fontId="31" fillId="3" borderId="42" xfId="5" applyNumberFormat="1" applyFont="1" applyFill="1" applyBorder="1" applyAlignment="1">
      <alignment horizontal="center" vertical="center" wrapText="1"/>
    </xf>
    <xf numFmtId="0" fontId="22" fillId="3" borderId="0" xfId="0" applyFont="1" applyFill="1" applyAlignment="1">
      <alignment vertical="center"/>
    </xf>
    <xf numFmtId="0" fontId="28" fillId="3" borderId="45" xfId="0" applyFont="1" applyFill="1" applyBorder="1" applyAlignment="1">
      <alignment horizontal="center" vertical="center"/>
    </xf>
    <xf numFmtId="169" fontId="25" fillId="3" borderId="0" xfId="0" applyNumberFormat="1" applyFont="1" applyFill="1" applyAlignment="1">
      <alignment horizontal="center"/>
    </xf>
    <xf numFmtId="169" fontId="22" fillId="3" borderId="0" xfId="0" applyNumberFormat="1" applyFont="1" applyFill="1" applyAlignment="1">
      <alignment horizontal="center"/>
    </xf>
    <xf numFmtId="169" fontId="19" fillId="0" borderId="0" xfId="0" applyNumberFormat="1" applyFont="1" applyAlignment="1">
      <alignment horizontal="center"/>
    </xf>
    <xf numFmtId="0" fontId="22" fillId="3" borderId="0" xfId="0" applyFont="1" applyFill="1" applyAlignment="1">
      <alignment wrapText="1"/>
    </xf>
    <xf numFmtId="0" fontId="19" fillId="0" borderId="0" xfId="0" applyFont="1" applyBorder="1" applyAlignment="1">
      <alignment vertical="center" wrapText="1"/>
    </xf>
    <xf numFmtId="0" fontId="19" fillId="0" borderId="0" xfId="0" applyFont="1" applyBorder="1"/>
    <xf numFmtId="168" fontId="0" fillId="0" borderId="3" xfId="0" applyNumberFormat="1" applyBorder="1" applyAlignment="1">
      <alignment horizontal="center" vertical="center"/>
    </xf>
    <xf numFmtId="0" fontId="5" fillId="3" borderId="33" xfId="6" applyFont="1" applyFill="1" applyBorder="1" applyAlignment="1">
      <alignment horizontal="center" vertical="center" wrapText="1"/>
    </xf>
    <xf numFmtId="0" fontId="25" fillId="0" borderId="0" xfId="0" applyFont="1" applyFill="1" applyAlignment="1"/>
    <xf numFmtId="0" fontId="23" fillId="0" borderId="0" xfId="0" applyFont="1" applyFill="1" applyAlignment="1">
      <alignment horizontal="left" wrapText="1" indent="1"/>
    </xf>
    <xf numFmtId="0" fontId="22" fillId="0" borderId="0" xfId="0" applyFont="1" applyFill="1" applyAlignment="1">
      <alignment horizontal="center" wrapText="1"/>
    </xf>
    <xf numFmtId="0" fontId="27" fillId="0" borderId="47" xfId="0" applyFont="1" applyFill="1" applyBorder="1" applyAlignment="1">
      <alignment horizontal="center" vertical="center" wrapText="1"/>
    </xf>
    <xf numFmtId="0" fontId="7" fillId="0" borderId="3" xfId="7" applyFont="1" applyFill="1" applyBorder="1" applyAlignment="1">
      <alignment horizontal="center" vertical="center" wrapText="1"/>
    </xf>
    <xf numFmtId="0" fontId="22" fillId="0" borderId="0" xfId="0" applyFont="1" applyFill="1"/>
    <xf numFmtId="0" fontId="19" fillId="0" borderId="0" xfId="0" applyFont="1" applyFill="1"/>
    <xf numFmtId="0" fontId="0" fillId="0" borderId="0" xfId="0" applyFill="1"/>
    <xf numFmtId="0" fontId="19" fillId="0" borderId="0" xfId="0" applyFont="1" applyFill="1" applyBorder="1" applyAlignment="1">
      <alignment vertical="center"/>
    </xf>
    <xf numFmtId="0" fontId="22" fillId="0" borderId="0" xfId="0" applyFont="1" applyFill="1" applyAlignment="1">
      <alignment horizontal="center"/>
    </xf>
    <xf numFmtId="1" fontId="31" fillId="3" borderId="3" xfId="5" applyNumberFormat="1" applyFont="1" applyFill="1" applyBorder="1" applyAlignment="1">
      <alignment horizontal="center" vertical="center" wrapText="1"/>
    </xf>
    <xf numFmtId="169" fontId="7" fillId="3" borderId="3" xfId="7" applyNumberFormat="1" applyFont="1" applyFill="1" applyBorder="1" applyAlignment="1">
      <alignment horizontal="center" vertical="center" wrapText="1"/>
    </xf>
    <xf numFmtId="168" fontId="19" fillId="0" borderId="0" xfId="0" applyNumberFormat="1" applyFont="1"/>
    <xf numFmtId="166" fontId="10" fillId="0" borderId="0" xfId="0" applyNumberFormat="1" applyFont="1" applyBorder="1" applyAlignment="1">
      <alignment vertical="center"/>
    </xf>
    <xf numFmtId="0" fontId="4" fillId="3" borderId="33" xfId="6" applyFont="1" applyFill="1" applyBorder="1" applyAlignment="1">
      <alignment horizontal="center" vertical="center" wrapText="1"/>
    </xf>
    <xf numFmtId="0" fontId="3" fillId="3" borderId="3" xfId="7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19" fillId="0" borderId="0" xfId="0" applyFont="1" applyBorder="1" applyAlignment="1">
      <alignment vertical="center"/>
    </xf>
    <xf numFmtId="0" fontId="19" fillId="0" borderId="0" xfId="0" applyFont="1" applyBorder="1" applyAlignment="1">
      <alignment wrapText="1"/>
    </xf>
    <xf numFmtId="0" fontId="19" fillId="0" borderId="0" xfId="0" applyFont="1" applyBorder="1" applyAlignment="1"/>
    <xf numFmtId="0" fontId="19" fillId="0" borderId="0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wrapText="1"/>
    </xf>
    <xf numFmtId="0" fontId="19" fillId="0" borderId="0" xfId="0" applyFont="1" applyBorder="1" applyAlignment="1">
      <alignment horizontal="left" vertical="center"/>
    </xf>
    <xf numFmtId="0" fontId="30" fillId="0" borderId="52" xfId="0" applyFont="1" applyBorder="1" applyAlignment="1">
      <alignment horizontal="left" vertical="center"/>
    </xf>
    <xf numFmtId="0" fontId="19" fillId="0" borderId="53" xfId="0" applyFont="1" applyBorder="1" applyAlignment="1">
      <alignment horizontal="left" vertical="center" wrapText="1"/>
    </xf>
    <xf numFmtId="0" fontId="19" fillId="0" borderId="53" xfId="0" applyFont="1" applyBorder="1"/>
    <xf numFmtId="0" fontId="19" fillId="0" borderId="54" xfId="0" applyFont="1" applyFill="1" applyBorder="1" applyAlignment="1">
      <alignment vertical="center"/>
    </xf>
    <xf numFmtId="0" fontId="19" fillId="0" borderId="34" xfId="0" applyFont="1" applyBorder="1" applyAlignment="1">
      <alignment horizontal="center" vertical="center"/>
    </xf>
    <xf numFmtId="0" fontId="19" fillId="0" borderId="55" xfId="0" applyFont="1" applyFill="1" applyBorder="1" applyAlignment="1">
      <alignment vertical="center"/>
    </xf>
    <xf numFmtId="0" fontId="19" fillId="0" borderId="55" xfId="0" applyFont="1" applyFill="1" applyBorder="1" applyAlignment="1"/>
    <xf numFmtId="0" fontId="30" fillId="0" borderId="34" xfId="0" applyFont="1" applyBorder="1" applyAlignment="1">
      <alignment horizontal="left" vertical="center"/>
    </xf>
    <xf numFmtId="0" fontId="19" fillId="0" borderId="55" xfId="0" applyFont="1" applyFill="1" applyBorder="1" applyAlignment="1">
      <alignment wrapText="1"/>
    </xf>
    <xf numFmtId="0" fontId="19" fillId="0" borderId="55" xfId="0" applyFont="1" applyFill="1" applyBorder="1" applyAlignment="1">
      <alignment horizontal="center" vertical="center" wrapText="1"/>
    </xf>
    <xf numFmtId="0" fontId="30" fillId="0" borderId="56" xfId="0" applyFont="1" applyBorder="1" applyAlignment="1">
      <alignment horizontal="center" vertical="center"/>
    </xf>
    <xf numFmtId="0" fontId="19" fillId="0" borderId="57" xfId="0" applyFont="1" applyBorder="1" applyAlignment="1">
      <alignment wrapText="1"/>
    </xf>
    <xf numFmtId="0" fontId="19" fillId="0" borderId="57" xfId="0" applyFont="1" applyBorder="1" applyAlignment="1"/>
    <xf numFmtId="0" fontId="19" fillId="0" borderId="58" xfId="0" applyFont="1" applyFill="1" applyBorder="1" applyAlignment="1"/>
    <xf numFmtId="166" fontId="44" fillId="3" borderId="3" xfId="0" applyNumberFormat="1" applyFont="1" applyFill="1" applyBorder="1" applyAlignment="1">
      <alignment vertical="center"/>
    </xf>
    <xf numFmtId="166" fontId="44" fillId="3" borderId="0" xfId="0" applyNumberFormat="1" applyFont="1" applyFill="1" applyBorder="1" applyAlignment="1">
      <alignment vertical="center"/>
    </xf>
    <xf numFmtId="0" fontId="0" fillId="0" borderId="0" xfId="0" applyFill="1" applyBorder="1"/>
    <xf numFmtId="0" fontId="0" fillId="0" borderId="5" xfId="0" applyFill="1" applyBorder="1"/>
    <xf numFmtId="0" fontId="2" fillId="3" borderId="3" xfId="7" applyFont="1" applyFill="1" applyBorder="1" applyAlignment="1">
      <alignment horizontal="center" vertical="center" wrapText="1"/>
    </xf>
    <xf numFmtId="0" fontId="2" fillId="0" borderId="3" xfId="7" applyFont="1" applyFill="1" applyBorder="1" applyAlignment="1">
      <alignment horizontal="center" vertical="center" wrapText="1"/>
    </xf>
    <xf numFmtId="0" fontId="0" fillId="8" borderId="3" xfId="0" applyFont="1" applyFill="1" applyBorder="1" applyAlignment="1">
      <alignment horizontal="center" vertical="center" wrapText="1"/>
    </xf>
    <xf numFmtId="0" fontId="1" fillId="3" borderId="3" xfId="7" applyFont="1" applyFill="1" applyBorder="1" applyAlignment="1">
      <alignment horizontal="center" vertical="center" wrapText="1"/>
    </xf>
    <xf numFmtId="0" fontId="33" fillId="0" borderId="49" xfId="0" applyFont="1" applyFill="1" applyBorder="1" applyAlignment="1">
      <alignment horizontal="right" vertical="center"/>
    </xf>
    <xf numFmtId="0" fontId="0" fillId="0" borderId="19" xfId="0" applyFill="1" applyBorder="1"/>
    <xf numFmtId="0" fontId="26" fillId="3" borderId="0" xfId="0" applyFont="1" applyFill="1" applyBorder="1" applyAlignment="1">
      <alignment horizontal="left" vertical="center" wrapText="1"/>
    </xf>
    <xf numFmtId="0" fontId="23" fillId="3" borderId="0" xfId="0" applyFont="1" applyFill="1" applyAlignment="1">
      <alignment horizontal="left" wrapText="1" indent="1"/>
    </xf>
    <xf numFmtId="0" fontId="19" fillId="0" borderId="0" xfId="0" applyFont="1" applyBorder="1" applyAlignment="1">
      <alignment horizontal="center" vertical="center" wrapText="1"/>
    </xf>
    <xf numFmtId="0" fontId="19" fillId="0" borderId="55" xfId="0" applyFont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top" wrapText="1"/>
    </xf>
    <xf numFmtId="0" fontId="19" fillId="0" borderId="55" xfId="0" applyFont="1" applyFill="1" applyBorder="1" applyAlignment="1">
      <alignment horizontal="center" vertical="top" wrapText="1"/>
    </xf>
    <xf numFmtId="0" fontId="41" fillId="3" borderId="0" xfId="8" applyFont="1" applyFill="1" applyAlignment="1">
      <alignment horizontal="center" vertical="center"/>
    </xf>
    <xf numFmtId="0" fontId="19" fillId="0" borderId="34" xfId="0" applyFont="1" applyBorder="1" applyAlignment="1">
      <alignment horizontal="center"/>
    </xf>
    <xf numFmtId="0" fontId="19" fillId="0" borderId="0" xfId="0" applyFont="1" applyBorder="1" applyAlignment="1">
      <alignment horizontal="center"/>
    </xf>
    <xf numFmtId="0" fontId="19" fillId="0" borderId="55" xfId="0" applyFont="1" applyBorder="1" applyAlignment="1">
      <alignment horizontal="center"/>
    </xf>
    <xf numFmtId="0" fontId="31" fillId="3" borderId="42" xfId="5" applyFont="1" applyFill="1" applyBorder="1" applyAlignment="1">
      <alignment horizontal="center" vertical="center" wrapText="1"/>
    </xf>
    <xf numFmtId="0" fontId="31" fillId="3" borderId="60" xfId="5" applyFont="1" applyFill="1" applyBorder="1" applyAlignment="1">
      <alignment horizontal="center" vertical="center" wrapText="1"/>
    </xf>
    <xf numFmtId="0" fontId="31" fillId="3" borderId="61" xfId="5" applyFont="1" applyFill="1" applyBorder="1" applyAlignment="1">
      <alignment horizontal="center" vertical="center" wrapText="1"/>
    </xf>
    <xf numFmtId="0" fontId="35" fillId="3" borderId="13" xfId="0" applyFont="1" applyFill="1" applyBorder="1" applyAlignment="1">
      <alignment horizontal="center" vertical="center" wrapText="1"/>
    </xf>
    <xf numFmtId="0" fontId="35" fillId="3" borderId="30" xfId="0" applyFont="1" applyFill="1" applyBorder="1" applyAlignment="1">
      <alignment horizontal="center" vertical="center" wrapText="1"/>
    </xf>
    <xf numFmtId="1" fontId="35" fillId="3" borderId="12" xfId="0" applyNumberFormat="1" applyFont="1" applyFill="1" applyBorder="1" applyAlignment="1">
      <alignment horizontal="center" vertical="center" wrapText="1"/>
    </xf>
    <xf numFmtId="1" fontId="35" fillId="3" borderId="31" xfId="0" applyNumberFormat="1" applyFont="1" applyFill="1" applyBorder="1" applyAlignment="1">
      <alignment horizontal="center" vertical="center" wrapText="1"/>
    </xf>
    <xf numFmtId="165" fontId="10" fillId="3" borderId="0" xfId="0" applyNumberFormat="1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center" vertical="center"/>
    </xf>
    <xf numFmtId="0" fontId="33" fillId="3" borderId="32" xfId="0" applyFont="1" applyFill="1" applyBorder="1" applyAlignment="1">
      <alignment horizontal="left" vertical="center" wrapText="1" indent="1"/>
    </xf>
    <xf numFmtId="0" fontId="33" fillId="3" borderId="44" xfId="0" applyFont="1" applyFill="1" applyBorder="1" applyAlignment="1">
      <alignment horizontal="left" vertical="center" wrapText="1" indent="1"/>
    </xf>
    <xf numFmtId="166" fontId="36" fillId="3" borderId="3" xfId="0" applyNumberFormat="1" applyFont="1" applyFill="1" applyBorder="1" applyAlignment="1">
      <alignment horizontal="center" vertical="center"/>
    </xf>
    <xf numFmtId="0" fontId="35" fillId="3" borderId="11" xfId="0" applyFont="1" applyFill="1" applyBorder="1" applyAlignment="1">
      <alignment horizontal="center" vertical="center"/>
    </xf>
    <xf numFmtId="0" fontId="35" fillId="3" borderId="29" xfId="0" applyFont="1" applyFill="1" applyBorder="1" applyAlignment="1">
      <alignment horizontal="center" vertical="center"/>
    </xf>
    <xf numFmtId="0" fontId="31" fillId="3" borderId="3" xfId="5" applyFont="1" applyFill="1" applyBorder="1" applyAlignment="1">
      <alignment horizontal="center" vertical="center" wrapText="1"/>
    </xf>
    <xf numFmtId="0" fontId="32" fillId="3" borderId="0" xfId="0" applyFont="1" applyFill="1" applyBorder="1" applyAlignment="1">
      <alignment horizontal="center" vertical="center"/>
    </xf>
    <xf numFmtId="0" fontId="34" fillId="3" borderId="8" xfId="0" applyFont="1" applyFill="1" applyBorder="1" applyAlignment="1">
      <alignment horizontal="left" vertical="center" wrapText="1"/>
    </xf>
    <xf numFmtId="0" fontId="33" fillId="3" borderId="9" xfId="0" applyFont="1" applyFill="1" applyBorder="1" applyAlignment="1">
      <alignment horizontal="left" vertical="center" wrapText="1" indent="1"/>
    </xf>
    <xf numFmtId="0" fontId="34" fillId="3" borderId="10" xfId="0" applyFont="1" applyFill="1" applyBorder="1" applyAlignment="1">
      <alignment horizontal="left" vertical="center" wrapText="1"/>
    </xf>
    <xf numFmtId="0" fontId="34" fillId="3" borderId="11" xfId="0" applyFont="1" applyFill="1" applyBorder="1" applyAlignment="1">
      <alignment horizontal="left" vertical="center"/>
    </xf>
    <xf numFmtId="0" fontId="33" fillId="3" borderId="12" xfId="0" applyFont="1" applyFill="1" applyBorder="1" applyAlignment="1">
      <alignment horizontal="left" vertical="center" wrapText="1" indent="1"/>
    </xf>
    <xf numFmtId="0" fontId="17" fillId="0" borderId="6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 wrapText="1"/>
    </xf>
    <xf numFmtId="0" fontId="18" fillId="0" borderId="60" xfId="0" applyFont="1" applyBorder="1" applyAlignment="1">
      <alignment horizontal="center" vertical="center" wrapText="1"/>
    </xf>
    <xf numFmtId="0" fontId="15" fillId="0" borderId="25" xfId="0" applyFont="1" applyFill="1" applyBorder="1" applyAlignment="1">
      <alignment horizontal="left" vertical="center" wrapText="1" indent="1"/>
    </xf>
    <xf numFmtId="0" fontId="43" fillId="0" borderId="25" xfId="0" applyFont="1" applyBorder="1" applyAlignment="1">
      <alignment horizontal="left" vertical="center" wrapText="1"/>
    </xf>
    <xf numFmtId="0" fontId="18" fillId="0" borderId="16" xfId="0" applyFont="1" applyBorder="1" applyAlignment="1"/>
    <xf numFmtId="0" fontId="0" fillId="0" borderId="16" xfId="0" applyBorder="1" applyAlignment="1"/>
    <xf numFmtId="0" fontId="18" fillId="0" borderId="38" xfId="0" applyFont="1" applyBorder="1" applyAlignment="1">
      <alignment horizontal="left" vertical="center" wrapText="1"/>
    </xf>
    <xf numFmtId="0" fontId="0" fillId="0" borderId="43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2" xfId="0" applyFont="1" applyBorder="1" applyAlignment="1">
      <alignment horizontal="left" vertical="center" wrapText="1"/>
    </xf>
    <xf numFmtId="0" fontId="18" fillId="0" borderId="36" xfId="0" applyFont="1" applyBorder="1" applyAlignment="1">
      <alignment horizontal="left" vertical="center" wrapText="1"/>
    </xf>
    <xf numFmtId="0" fontId="0" fillId="0" borderId="52" xfId="0" applyFont="1" applyBorder="1" applyAlignment="1">
      <alignment horizontal="left" vertical="center" wrapText="1"/>
    </xf>
    <xf numFmtId="0" fontId="13" fillId="0" borderId="14" xfId="0" applyFont="1" applyBorder="1" applyAlignment="1">
      <alignment vertical="center" wrapText="1"/>
    </xf>
    <xf numFmtId="0" fontId="13" fillId="0" borderId="26" xfId="0" applyFont="1" applyBorder="1" applyAlignment="1">
      <alignment vertical="center" wrapText="1"/>
    </xf>
    <xf numFmtId="0" fontId="13" fillId="0" borderId="12" xfId="0" applyFont="1" applyBorder="1" applyAlignment="1">
      <alignment vertical="center" wrapText="1"/>
    </xf>
    <xf numFmtId="0" fontId="15" fillId="0" borderId="21" xfId="0" applyFont="1" applyBorder="1" applyAlignment="1">
      <alignment vertical="center" wrapText="1"/>
    </xf>
    <xf numFmtId="0" fontId="18" fillId="0" borderId="51" xfId="0" applyFont="1" applyBorder="1" applyAlignment="1">
      <alignment horizontal="center" vertical="center" wrapText="1"/>
    </xf>
    <xf numFmtId="0" fontId="18" fillId="0" borderId="59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/>
    </xf>
    <xf numFmtId="3" fontId="13" fillId="0" borderId="15" xfId="0" applyNumberFormat="1" applyFont="1" applyBorder="1" applyAlignment="1">
      <alignment horizontal="center"/>
    </xf>
    <xf numFmtId="0" fontId="14" fillId="0" borderId="6" xfId="0" applyFont="1" applyBorder="1" applyAlignment="1">
      <alignment horizontal="center" vertical="center" wrapText="1"/>
    </xf>
    <xf numFmtId="0" fontId="10" fillId="0" borderId="6" xfId="0" applyFont="1" applyBorder="1" applyAlignment="1"/>
    <xf numFmtId="0" fontId="15" fillId="0" borderId="6" xfId="0" applyFont="1" applyBorder="1" applyAlignment="1">
      <alignment horizontal="left" indent="1"/>
    </xf>
    <xf numFmtId="0" fontId="15" fillId="0" borderId="17" xfId="0" applyFont="1" applyFill="1" applyBorder="1" applyAlignment="1"/>
    <xf numFmtId="0" fontId="15" fillId="0" borderId="18" xfId="0" applyFont="1" applyFill="1" applyBorder="1" applyAlignment="1">
      <alignment horizontal="left" vertical="center" wrapText="1" indent="1"/>
    </xf>
    <xf numFmtId="0" fontId="17" fillId="0" borderId="16" xfId="0" applyFont="1" applyBorder="1" applyAlignment="1">
      <alignment horizontal="center" vertical="center"/>
    </xf>
    <xf numFmtId="0" fontId="12" fillId="0" borderId="8" xfId="0" applyFont="1" applyBorder="1" applyAlignment="1">
      <alignment horizontal="left" vertical="center" wrapText="1"/>
    </xf>
    <xf numFmtId="0" fontId="12" fillId="0" borderId="27" xfId="0" applyFont="1" applyBorder="1" applyAlignment="1">
      <alignment horizontal="left" vertical="center" wrapText="1"/>
    </xf>
    <xf numFmtId="0" fontId="12" fillId="0" borderId="28" xfId="0" applyFont="1" applyBorder="1" applyAlignment="1">
      <alignment horizontal="left" vertical="center" wrapText="1"/>
    </xf>
    <xf numFmtId="0" fontId="16" fillId="0" borderId="6" xfId="0" applyFont="1" applyBorder="1" applyAlignment="1">
      <alignment horizontal="left"/>
    </xf>
  </cellXfs>
  <cellStyles count="9">
    <cellStyle name="20% - Énfasis2" xfId="7" builtinId="34"/>
    <cellStyle name="20% - Énfasis5" xfId="8" builtinId="46"/>
    <cellStyle name="Bueno" xfId="5" builtinId="26"/>
    <cellStyle name="Encabezado 1" xfId="1"/>
    <cellStyle name="Incorrecto" xfId="6" builtinId="27"/>
    <cellStyle name="Moneda 2" xfId="4"/>
    <cellStyle name="Moneda_AUTORIZACION Y NOTA DE PEDIDO" xfId="2"/>
    <cellStyle name="Neutral 1" xf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66CC"/>
      <color rgb="FFFF99CC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71"/>
  <sheetViews>
    <sheetView topLeftCell="A25" zoomScale="70" zoomScaleNormal="70" workbookViewId="0">
      <selection activeCell="E27" sqref="E27"/>
    </sheetView>
  </sheetViews>
  <sheetFormatPr baseColWidth="10" defaultColWidth="11" defaultRowHeight="12.75" x14ac:dyDescent="0.2"/>
  <cols>
    <col min="1" max="1" width="7" style="65" customWidth="1"/>
    <col min="2" max="2" width="16.85546875" style="28" customWidth="1"/>
    <col min="3" max="3" width="32.85546875" style="70" customWidth="1"/>
    <col min="4" max="4" width="12.140625" style="28" customWidth="1"/>
    <col min="5" max="5" width="79" style="84" customWidth="1"/>
    <col min="6" max="6" width="14.5703125" style="28" customWidth="1"/>
    <col min="7" max="7" width="12.7109375" style="65" customWidth="1"/>
    <col min="8" max="8" width="13.85546875" style="56" customWidth="1"/>
    <col min="9" max="9" width="27" style="68" customWidth="1"/>
    <col min="10" max="10" width="11" style="15"/>
    <col min="11" max="12" width="0" style="15" hidden="1" customWidth="1"/>
    <col min="13" max="13" width="15.85546875" style="15" customWidth="1"/>
    <col min="14" max="14" width="31.5703125" style="15" customWidth="1"/>
    <col min="15" max="16384" width="11" style="15"/>
  </cols>
  <sheetData>
    <row r="2" spans="1:17" ht="27" x14ac:dyDescent="0.35">
      <c r="E2" s="75" t="s">
        <v>0</v>
      </c>
      <c r="F2" s="32"/>
      <c r="G2" s="61"/>
      <c r="I2" s="67"/>
    </row>
    <row r="4" spans="1:17" ht="18" customHeight="1" x14ac:dyDescent="0.25">
      <c r="A4" s="123" t="s">
        <v>1</v>
      </c>
      <c r="B4" s="123"/>
      <c r="C4" s="123"/>
      <c r="D4" s="123"/>
      <c r="E4" s="124" t="s">
        <v>59</v>
      </c>
      <c r="F4" s="124"/>
      <c r="G4" s="124"/>
    </row>
    <row r="5" spans="1:17" ht="18" customHeight="1" x14ac:dyDescent="0.25">
      <c r="A5" s="123" t="s">
        <v>2</v>
      </c>
      <c r="B5" s="123"/>
      <c r="C5" s="123"/>
      <c r="D5" s="123"/>
      <c r="E5" s="124" t="s">
        <v>54</v>
      </c>
      <c r="F5" s="124"/>
      <c r="G5" s="124"/>
    </row>
    <row r="6" spans="1:17" ht="16.5" customHeight="1" x14ac:dyDescent="0.25">
      <c r="A6" s="123" t="s">
        <v>3</v>
      </c>
      <c r="B6" s="123"/>
      <c r="C6" s="123"/>
      <c r="D6" s="123"/>
      <c r="E6" s="76">
        <v>2022</v>
      </c>
      <c r="F6" s="31"/>
      <c r="G6" s="62"/>
    </row>
    <row r="7" spans="1:17" ht="16.5" customHeight="1" x14ac:dyDescent="0.25">
      <c r="A7" s="123" t="s">
        <v>4</v>
      </c>
      <c r="B7" s="123"/>
      <c r="C7" s="123"/>
      <c r="D7" s="123"/>
      <c r="E7" s="76" t="s">
        <v>94</v>
      </c>
      <c r="F7" s="31"/>
      <c r="G7" s="62"/>
    </row>
    <row r="8" spans="1:17" ht="13.5" thickBot="1" x14ac:dyDescent="0.25">
      <c r="E8" s="77"/>
      <c r="F8" s="29"/>
      <c r="G8" s="63"/>
    </row>
    <row r="9" spans="1:17" ht="39" thickBot="1" x14ac:dyDescent="0.25">
      <c r="A9" s="52" t="s">
        <v>5</v>
      </c>
      <c r="B9" s="53" t="s">
        <v>6</v>
      </c>
      <c r="C9" s="53" t="s">
        <v>52</v>
      </c>
      <c r="D9" s="53" t="s">
        <v>53</v>
      </c>
      <c r="E9" s="78" t="s">
        <v>7</v>
      </c>
      <c r="F9" s="53" t="s">
        <v>8</v>
      </c>
      <c r="G9" s="54" t="s">
        <v>9</v>
      </c>
      <c r="H9" s="59" t="s">
        <v>10</v>
      </c>
      <c r="I9" s="55" t="s">
        <v>11</v>
      </c>
    </row>
    <row r="10" spans="1:17" s="23" customFormat="1" ht="45.75" thickBot="1" x14ac:dyDescent="0.25">
      <c r="A10" s="66">
        <v>1</v>
      </c>
      <c r="B10" s="30"/>
      <c r="C10" s="120" t="s">
        <v>96</v>
      </c>
      <c r="D10" s="89">
        <v>252</v>
      </c>
      <c r="E10" s="119" t="s">
        <v>69</v>
      </c>
      <c r="F10" s="90" t="s">
        <v>66</v>
      </c>
      <c r="G10" s="64">
        <v>200</v>
      </c>
      <c r="H10" s="73">
        <v>66</v>
      </c>
      <c r="I10" s="58">
        <f t="shared" ref="I10:I30" si="0">G10*H10</f>
        <v>13200</v>
      </c>
      <c r="M10" s="87"/>
      <c r="N10" s="15"/>
      <c r="O10" s="15"/>
      <c r="P10" s="15"/>
      <c r="Q10" s="87"/>
    </row>
    <row r="11" spans="1:17" s="23" customFormat="1" ht="50.25" customHeight="1" thickBot="1" x14ac:dyDescent="0.25">
      <c r="A11" s="66">
        <v>2</v>
      </c>
      <c r="B11" s="30"/>
      <c r="C11" s="120" t="s">
        <v>96</v>
      </c>
      <c r="D11" s="89">
        <v>252</v>
      </c>
      <c r="E11" s="79" t="s">
        <v>70</v>
      </c>
      <c r="F11" s="90" t="s">
        <v>71</v>
      </c>
      <c r="G11" s="85">
        <v>300</v>
      </c>
      <c r="H11" s="73">
        <v>3.25</v>
      </c>
      <c r="I11" s="86">
        <f t="shared" si="0"/>
        <v>975</v>
      </c>
      <c r="M11" s="87"/>
      <c r="N11" s="15"/>
      <c r="O11" s="15"/>
      <c r="P11" s="15"/>
      <c r="Q11" s="87"/>
    </row>
    <row r="12" spans="1:17" s="23" customFormat="1" ht="45.75" thickBot="1" x14ac:dyDescent="0.25">
      <c r="A12" s="66">
        <v>3</v>
      </c>
      <c r="B12" s="30"/>
      <c r="C12" s="120" t="s">
        <v>96</v>
      </c>
      <c r="D12" s="74">
        <v>252</v>
      </c>
      <c r="E12" s="79" t="s">
        <v>72</v>
      </c>
      <c r="F12" s="90" t="s">
        <v>66</v>
      </c>
      <c r="G12" s="85">
        <v>300</v>
      </c>
      <c r="H12" s="73">
        <v>35</v>
      </c>
      <c r="I12" s="86">
        <f t="shared" si="0"/>
        <v>10500</v>
      </c>
      <c r="M12" s="87"/>
      <c r="N12" s="15"/>
      <c r="O12" s="15"/>
      <c r="P12" s="15"/>
      <c r="Q12" s="87"/>
    </row>
    <row r="13" spans="1:17" s="23" customFormat="1" ht="45.75" thickBot="1" x14ac:dyDescent="0.25">
      <c r="A13" s="66">
        <v>4</v>
      </c>
      <c r="B13" s="30"/>
      <c r="C13" s="120" t="s">
        <v>96</v>
      </c>
      <c r="D13" s="89">
        <v>252</v>
      </c>
      <c r="E13" s="118" t="s">
        <v>73</v>
      </c>
      <c r="F13" s="117" t="s">
        <v>71</v>
      </c>
      <c r="G13" s="85">
        <v>90</v>
      </c>
      <c r="H13" s="73">
        <v>16</v>
      </c>
      <c r="I13" s="86">
        <f t="shared" si="0"/>
        <v>1440</v>
      </c>
      <c r="M13" s="87"/>
      <c r="N13" s="15"/>
      <c r="O13" s="15"/>
      <c r="P13" s="15"/>
      <c r="Q13" s="87"/>
    </row>
    <row r="14" spans="1:17" s="23" customFormat="1" ht="45.75" thickBot="1" x14ac:dyDescent="0.25">
      <c r="A14" s="66">
        <v>5</v>
      </c>
      <c r="B14" s="30"/>
      <c r="C14" s="120" t="s">
        <v>96</v>
      </c>
      <c r="D14" s="74">
        <v>252</v>
      </c>
      <c r="E14" s="79" t="s">
        <v>74</v>
      </c>
      <c r="F14" s="117" t="s">
        <v>66</v>
      </c>
      <c r="G14" s="85">
        <v>50</v>
      </c>
      <c r="H14" s="73">
        <v>165</v>
      </c>
      <c r="I14" s="86">
        <f t="shared" si="0"/>
        <v>8250</v>
      </c>
      <c r="M14" s="87"/>
      <c r="N14" s="15"/>
      <c r="O14" s="15"/>
      <c r="P14" s="15"/>
      <c r="Q14" s="87"/>
    </row>
    <row r="15" spans="1:17" s="23" customFormat="1" ht="45.75" thickBot="1" x14ac:dyDescent="0.25">
      <c r="A15" s="66">
        <v>6</v>
      </c>
      <c r="B15" s="30"/>
      <c r="C15" s="120" t="s">
        <v>96</v>
      </c>
      <c r="D15" s="74">
        <v>252</v>
      </c>
      <c r="E15" s="79" t="s">
        <v>75</v>
      </c>
      <c r="F15" s="117" t="s">
        <v>71</v>
      </c>
      <c r="G15" s="85">
        <v>30</v>
      </c>
      <c r="H15" s="73">
        <v>21</v>
      </c>
      <c r="I15" s="86">
        <f t="shared" si="0"/>
        <v>630</v>
      </c>
      <c r="M15" s="87"/>
      <c r="N15" s="15"/>
      <c r="O15" s="15"/>
      <c r="P15" s="15"/>
      <c r="Q15" s="87"/>
    </row>
    <row r="16" spans="1:17" s="23" customFormat="1" ht="45.75" thickBot="1" x14ac:dyDescent="0.25">
      <c r="A16" s="66">
        <v>7</v>
      </c>
      <c r="B16" s="30"/>
      <c r="C16" s="120" t="s">
        <v>96</v>
      </c>
      <c r="D16" s="74">
        <v>252</v>
      </c>
      <c r="E16" s="79" t="s">
        <v>76</v>
      </c>
      <c r="F16" s="117" t="s">
        <v>66</v>
      </c>
      <c r="G16" s="85">
        <v>20</v>
      </c>
      <c r="H16" s="73">
        <v>46</v>
      </c>
      <c r="I16" s="86">
        <f t="shared" si="0"/>
        <v>920</v>
      </c>
      <c r="M16" s="87"/>
      <c r="N16" s="15"/>
      <c r="O16" s="15"/>
      <c r="P16" s="15"/>
      <c r="Q16" s="87"/>
    </row>
    <row r="17" spans="1:17" s="23" customFormat="1" ht="45.75" thickBot="1" x14ac:dyDescent="0.25">
      <c r="A17" s="66">
        <v>8</v>
      </c>
      <c r="B17" s="30"/>
      <c r="C17" s="120" t="s">
        <v>96</v>
      </c>
      <c r="D17" s="74">
        <v>252</v>
      </c>
      <c r="E17" s="79" t="s">
        <v>77</v>
      </c>
      <c r="F17" s="117" t="s">
        <v>71</v>
      </c>
      <c r="G17" s="85">
        <v>30</v>
      </c>
      <c r="H17" s="73">
        <v>9.69</v>
      </c>
      <c r="I17" s="86">
        <f t="shared" si="0"/>
        <v>290.7</v>
      </c>
      <c r="M17" s="87"/>
      <c r="N17" s="15"/>
      <c r="O17" s="15"/>
      <c r="P17" s="15"/>
      <c r="Q17" s="87"/>
    </row>
    <row r="18" spans="1:17" s="23" customFormat="1" ht="45.75" thickBot="1" x14ac:dyDescent="0.25">
      <c r="A18" s="66">
        <v>9</v>
      </c>
      <c r="B18" s="30"/>
      <c r="C18" s="120" t="s">
        <v>96</v>
      </c>
      <c r="D18" s="74">
        <v>252</v>
      </c>
      <c r="E18" s="79" t="s">
        <v>78</v>
      </c>
      <c r="F18" s="117" t="s">
        <v>71</v>
      </c>
      <c r="G18" s="85">
        <v>30</v>
      </c>
      <c r="H18" s="73">
        <v>19.7</v>
      </c>
      <c r="I18" s="86">
        <f t="shared" si="0"/>
        <v>591</v>
      </c>
      <c r="M18" s="87"/>
      <c r="N18" s="15"/>
      <c r="O18" s="15"/>
      <c r="P18" s="15"/>
      <c r="Q18" s="87"/>
    </row>
    <row r="19" spans="1:17" s="23" customFormat="1" ht="45.75" thickBot="1" x14ac:dyDescent="0.25">
      <c r="A19" s="66">
        <v>10</v>
      </c>
      <c r="B19" s="30"/>
      <c r="C19" s="120" t="s">
        <v>96</v>
      </c>
      <c r="D19" s="74">
        <v>252</v>
      </c>
      <c r="E19" s="79" t="s">
        <v>79</v>
      </c>
      <c r="F19" s="117" t="s">
        <v>66</v>
      </c>
      <c r="G19" s="85">
        <v>20</v>
      </c>
      <c r="H19" s="73">
        <v>640</v>
      </c>
      <c r="I19" s="86">
        <f t="shared" si="0"/>
        <v>12800</v>
      </c>
      <c r="M19" s="87"/>
      <c r="N19" s="15"/>
      <c r="O19" s="15"/>
      <c r="P19" s="15"/>
      <c r="Q19" s="87"/>
    </row>
    <row r="20" spans="1:17" s="23" customFormat="1" ht="45.75" thickBot="1" x14ac:dyDescent="0.25">
      <c r="A20" s="66">
        <v>11</v>
      </c>
      <c r="B20" s="30"/>
      <c r="C20" s="120" t="s">
        <v>96</v>
      </c>
      <c r="D20" s="74">
        <v>252</v>
      </c>
      <c r="E20" s="79" t="s">
        <v>80</v>
      </c>
      <c r="F20" s="117" t="s">
        <v>71</v>
      </c>
      <c r="G20" s="85">
        <v>60</v>
      </c>
      <c r="H20" s="73">
        <v>4.5</v>
      </c>
      <c r="I20" s="86">
        <f t="shared" si="0"/>
        <v>270</v>
      </c>
      <c r="M20" s="87"/>
      <c r="N20" s="15"/>
      <c r="O20" s="15"/>
      <c r="P20" s="15"/>
      <c r="Q20" s="87"/>
    </row>
    <row r="21" spans="1:17" s="23" customFormat="1" ht="45.75" thickBot="1" x14ac:dyDescent="0.25">
      <c r="A21" s="66">
        <v>12</v>
      </c>
      <c r="B21" s="30"/>
      <c r="C21" s="120" t="s">
        <v>96</v>
      </c>
      <c r="D21" s="74">
        <v>252</v>
      </c>
      <c r="E21" s="79" t="s">
        <v>81</v>
      </c>
      <c r="F21" s="117" t="s">
        <v>66</v>
      </c>
      <c r="G21" s="85">
        <v>50</v>
      </c>
      <c r="H21" s="73">
        <v>128</v>
      </c>
      <c r="I21" s="86">
        <f t="shared" si="0"/>
        <v>6400</v>
      </c>
      <c r="M21" s="87"/>
      <c r="N21" s="15"/>
      <c r="O21" s="15"/>
      <c r="P21" s="15"/>
      <c r="Q21" s="87"/>
    </row>
    <row r="22" spans="1:17" s="23" customFormat="1" ht="45.75" thickBot="1" x14ac:dyDescent="0.25">
      <c r="A22" s="66">
        <v>13</v>
      </c>
      <c r="B22" s="30"/>
      <c r="C22" s="120" t="s">
        <v>96</v>
      </c>
      <c r="D22" s="74">
        <v>252</v>
      </c>
      <c r="E22" s="79" t="s">
        <v>82</v>
      </c>
      <c r="F22" s="117" t="s">
        <v>66</v>
      </c>
      <c r="G22" s="85">
        <v>200</v>
      </c>
      <c r="H22" s="73">
        <v>52</v>
      </c>
      <c r="I22" s="86">
        <f t="shared" si="0"/>
        <v>10400</v>
      </c>
      <c r="M22" s="87"/>
      <c r="N22" s="15"/>
      <c r="O22" s="15"/>
      <c r="P22" s="15"/>
      <c r="Q22" s="87"/>
    </row>
    <row r="23" spans="1:17" s="23" customFormat="1" ht="45.75" thickBot="1" x14ac:dyDescent="0.25">
      <c r="A23" s="66">
        <v>14</v>
      </c>
      <c r="B23" s="30"/>
      <c r="C23" s="120" t="s">
        <v>96</v>
      </c>
      <c r="D23" s="74">
        <v>252</v>
      </c>
      <c r="E23" s="79" t="s">
        <v>83</v>
      </c>
      <c r="F23" s="117" t="s">
        <v>71</v>
      </c>
      <c r="G23" s="85">
        <v>30</v>
      </c>
      <c r="H23" s="73">
        <v>15.8</v>
      </c>
      <c r="I23" s="86">
        <f t="shared" si="0"/>
        <v>474</v>
      </c>
      <c r="M23" s="87"/>
      <c r="N23" s="15"/>
      <c r="O23" s="15"/>
      <c r="P23" s="15"/>
      <c r="Q23" s="87"/>
    </row>
    <row r="24" spans="1:17" s="23" customFormat="1" ht="45.75" thickBot="1" x14ac:dyDescent="0.25">
      <c r="A24" s="66">
        <v>15</v>
      </c>
      <c r="B24" s="30"/>
      <c r="C24" s="120" t="s">
        <v>96</v>
      </c>
      <c r="D24" s="74">
        <v>252</v>
      </c>
      <c r="E24" s="79" t="s">
        <v>64</v>
      </c>
      <c r="F24" s="117" t="s">
        <v>67</v>
      </c>
      <c r="G24" s="85">
        <v>100</v>
      </c>
      <c r="H24" s="73">
        <v>660</v>
      </c>
      <c r="I24" s="86">
        <f t="shared" si="0"/>
        <v>66000</v>
      </c>
      <c r="M24" s="87"/>
      <c r="N24" s="15"/>
      <c r="O24" s="15"/>
      <c r="P24" s="15"/>
      <c r="Q24" s="87"/>
    </row>
    <row r="25" spans="1:17" s="23" customFormat="1" ht="45.75" thickBot="1" x14ac:dyDescent="0.25">
      <c r="A25" s="66">
        <v>16</v>
      </c>
      <c r="B25" s="30"/>
      <c r="C25" s="120" t="s">
        <v>96</v>
      </c>
      <c r="D25" s="74">
        <v>252</v>
      </c>
      <c r="E25" s="79" t="s">
        <v>84</v>
      </c>
      <c r="F25" s="117" t="s">
        <v>66</v>
      </c>
      <c r="G25" s="85">
        <v>5</v>
      </c>
      <c r="H25" s="73">
        <v>1580</v>
      </c>
      <c r="I25" s="86">
        <f t="shared" si="0"/>
        <v>7900</v>
      </c>
      <c r="M25" s="87"/>
      <c r="N25" s="15"/>
      <c r="O25" s="15"/>
      <c r="P25" s="15"/>
      <c r="Q25" s="87"/>
    </row>
    <row r="26" spans="1:17" s="23" customFormat="1" ht="45.75" thickBot="1" x14ac:dyDescent="0.25">
      <c r="A26" s="66">
        <v>17</v>
      </c>
      <c r="B26" s="30"/>
      <c r="C26" s="120" t="s">
        <v>96</v>
      </c>
      <c r="D26" s="74">
        <v>252</v>
      </c>
      <c r="E26" s="79" t="s">
        <v>85</v>
      </c>
      <c r="F26" s="117" t="s">
        <v>71</v>
      </c>
      <c r="G26" s="85">
        <v>30</v>
      </c>
      <c r="H26" s="73">
        <v>16.2</v>
      </c>
      <c r="I26" s="86">
        <f t="shared" si="0"/>
        <v>486</v>
      </c>
      <c r="M26" s="87"/>
      <c r="N26" s="15"/>
      <c r="O26" s="15"/>
      <c r="P26" s="15"/>
      <c r="Q26" s="87"/>
    </row>
    <row r="27" spans="1:17" s="23" customFormat="1" ht="45.75" thickBot="1" x14ac:dyDescent="0.25">
      <c r="A27" s="66">
        <v>18</v>
      </c>
      <c r="B27" s="30"/>
      <c r="C27" s="120" t="s">
        <v>96</v>
      </c>
      <c r="D27" s="74">
        <v>252</v>
      </c>
      <c r="E27" s="79" t="s">
        <v>86</v>
      </c>
      <c r="F27" s="117" t="s">
        <v>71</v>
      </c>
      <c r="G27" s="85">
        <v>30</v>
      </c>
      <c r="H27" s="73">
        <v>3.75</v>
      </c>
      <c r="I27" s="86">
        <f t="shared" si="0"/>
        <v>112.5</v>
      </c>
      <c r="M27" s="87"/>
      <c r="N27" s="15"/>
      <c r="O27" s="15"/>
      <c r="P27" s="15"/>
      <c r="Q27" s="87"/>
    </row>
    <row r="28" spans="1:17" s="23" customFormat="1" ht="45.75" thickBot="1" x14ac:dyDescent="0.25">
      <c r="A28" s="66">
        <v>19</v>
      </c>
      <c r="B28" s="30"/>
      <c r="C28" s="120" t="s">
        <v>96</v>
      </c>
      <c r="D28" s="74">
        <v>252</v>
      </c>
      <c r="E28" s="79" t="s">
        <v>87</v>
      </c>
      <c r="F28" s="117" t="s">
        <v>71</v>
      </c>
      <c r="G28" s="85">
        <v>30</v>
      </c>
      <c r="H28" s="73">
        <v>8.0500000000000007</v>
      </c>
      <c r="I28" s="86">
        <f t="shared" si="0"/>
        <v>241.50000000000003</v>
      </c>
      <c r="M28" s="87"/>
      <c r="N28" s="15"/>
      <c r="O28" s="15"/>
      <c r="P28" s="15"/>
      <c r="Q28" s="87"/>
    </row>
    <row r="29" spans="1:17" s="23" customFormat="1" ht="45.75" thickBot="1" x14ac:dyDescent="0.25">
      <c r="A29" s="66">
        <v>20</v>
      </c>
      <c r="B29" s="30"/>
      <c r="C29" s="120" t="s">
        <v>96</v>
      </c>
      <c r="D29" s="74">
        <v>252</v>
      </c>
      <c r="E29" s="79" t="s">
        <v>88</v>
      </c>
      <c r="F29" s="117" t="s">
        <v>67</v>
      </c>
      <c r="G29" s="85">
        <v>100</v>
      </c>
      <c r="H29" s="73">
        <v>520</v>
      </c>
      <c r="I29" s="86">
        <f t="shared" si="0"/>
        <v>52000</v>
      </c>
      <c r="M29" s="87"/>
      <c r="N29" s="15"/>
      <c r="O29" s="15"/>
      <c r="P29" s="15"/>
      <c r="Q29" s="87"/>
    </row>
    <row r="30" spans="1:17" s="23" customFormat="1" ht="45" x14ac:dyDescent="0.2">
      <c r="A30" s="66">
        <v>21</v>
      </c>
      <c r="B30" s="30"/>
      <c r="C30" s="120" t="s">
        <v>96</v>
      </c>
      <c r="D30" s="74">
        <v>252</v>
      </c>
      <c r="E30" s="79" t="s">
        <v>89</v>
      </c>
      <c r="F30" s="90" t="s">
        <v>67</v>
      </c>
      <c r="G30" s="85">
        <v>100</v>
      </c>
      <c r="H30" s="73">
        <v>450</v>
      </c>
      <c r="I30" s="86">
        <f t="shared" si="0"/>
        <v>45000</v>
      </c>
      <c r="M30" s="87"/>
      <c r="N30" s="15"/>
      <c r="O30" s="15"/>
      <c r="P30" s="15"/>
      <c r="Q30" s="87"/>
    </row>
    <row r="31" spans="1:17" ht="15.75" x14ac:dyDescent="0.25">
      <c r="A31" s="33"/>
      <c r="B31" s="57"/>
      <c r="E31" s="80"/>
      <c r="I31" s="69"/>
      <c r="M31" s="87"/>
    </row>
    <row r="32" spans="1:17" x14ac:dyDescent="0.2">
      <c r="A32" s="33"/>
      <c r="B32" s="15"/>
      <c r="D32" s="15"/>
      <c r="E32" s="81"/>
      <c r="F32" s="15"/>
      <c r="I32" s="69"/>
    </row>
    <row r="33" spans="1:9" ht="13.5" customHeight="1" x14ac:dyDescent="0.2">
      <c r="A33" s="33"/>
      <c r="B33" s="60"/>
      <c r="C33" s="91"/>
      <c r="D33" s="92"/>
      <c r="E33" s="82"/>
      <c r="F33" s="15"/>
      <c r="G33" s="129"/>
      <c r="H33" s="15"/>
      <c r="I33" s="15"/>
    </row>
    <row r="34" spans="1:9" ht="15" customHeight="1" x14ac:dyDescent="0.2">
      <c r="A34" s="98"/>
      <c r="B34" s="99" t="s">
        <v>90</v>
      </c>
      <c r="C34" s="100"/>
      <c r="D34" s="101"/>
      <c r="E34" s="102"/>
      <c r="F34" s="15"/>
      <c r="G34" s="129"/>
      <c r="H34" s="15"/>
      <c r="I34" s="15"/>
    </row>
    <row r="35" spans="1:9" ht="15" customHeight="1" x14ac:dyDescent="0.2">
      <c r="A35" s="93"/>
      <c r="B35" s="103"/>
      <c r="C35" s="71"/>
      <c r="D35" s="72"/>
      <c r="E35" s="104"/>
      <c r="F35" s="15"/>
      <c r="G35" s="129"/>
      <c r="H35" s="15"/>
      <c r="I35" s="15"/>
    </row>
    <row r="36" spans="1:9" ht="15" customHeight="1" x14ac:dyDescent="0.2">
      <c r="A36" s="93"/>
      <c r="B36" s="34" t="s">
        <v>55</v>
      </c>
      <c r="C36" s="71"/>
      <c r="D36" s="72"/>
      <c r="E36" s="104"/>
      <c r="F36" s="15"/>
      <c r="G36" s="129"/>
      <c r="H36" s="15"/>
      <c r="I36" s="15"/>
    </row>
    <row r="37" spans="1:9" ht="24" customHeight="1" x14ac:dyDescent="0.2">
      <c r="A37" s="93"/>
      <c r="B37" s="34"/>
      <c r="C37" s="127"/>
      <c r="D37" s="127"/>
      <c r="E37" s="128"/>
      <c r="F37" s="15"/>
      <c r="G37" s="129"/>
      <c r="H37" s="15"/>
      <c r="I37" s="15"/>
    </row>
    <row r="38" spans="1:9" ht="15" customHeight="1" x14ac:dyDescent="0.2">
      <c r="A38" s="93"/>
      <c r="B38" s="34" t="s">
        <v>61</v>
      </c>
      <c r="C38" s="125" t="s">
        <v>91</v>
      </c>
      <c r="D38" s="125"/>
      <c r="E38" s="126"/>
      <c r="F38" s="15"/>
      <c r="G38" s="129"/>
      <c r="H38" s="15"/>
      <c r="I38" s="15"/>
    </row>
    <row r="39" spans="1:9" ht="15" customHeight="1" x14ac:dyDescent="0.2">
      <c r="A39" s="93"/>
      <c r="B39" s="130"/>
      <c r="C39" s="131"/>
      <c r="D39" s="131"/>
      <c r="E39" s="132"/>
      <c r="F39" s="15"/>
      <c r="G39" s="129"/>
      <c r="H39" s="15"/>
      <c r="I39" s="15"/>
    </row>
    <row r="40" spans="1:9" ht="24.75" customHeight="1" x14ac:dyDescent="0.2">
      <c r="A40" s="93"/>
      <c r="B40" s="103" t="s">
        <v>62</v>
      </c>
      <c r="C40" s="125" t="s">
        <v>63</v>
      </c>
      <c r="D40" s="125"/>
      <c r="E40" s="126"/>
      <c r="F40" s="15"/>
      <c r="G40" s="129"/>
      <c r="H40" s="15"/>
      <c r="I40" s="15"/>
    </row>
    <row r="41" spans="1:9" ht="15" customHeight="1" x14ac:dyDescent="0.2">
      <c r="A41" s="93"/>
      <c r="B41" s="103"/>
      <c r="C41" s="94"/>
      <c r="D41" s="95"/>
      <c r="E41" s="105"/>
      <c r="F41" s="15"/>
      <c r="G41" s="129"/>
      <c r="H41" s="15"/>
      <c r="I41" s="15"/>
    </row>
    <row r="42" spans="1:9" ht="12.75" customHeight="1" x14ac:dyDescent="0.2">
      <c r="A42" s="98"/>
      <c r="B42" s="106" t="s">
        <v>56</v>
      </c>
      <c r="C42" s="125"/>
      <c r="D42" s="125"/>
      <c r="E42" s="126"/>
      <c r="F42" s="15"/>
      <c r="G42" s="129"/>
      <c r="H42" s="15"/>
      <c r="I42" s="15"/>
    </row>
    <row r="43" spans="1:9" ht="12.75" customHeight="1" x14ac:dyDescent="0.2">
      <c r="A43" s="93"/>
      <c r="B43" s="103"/>
      <c r="C43" s="94"/>
      <c r="D43" s="94"/>
      <c r="E43" s="107"/>
      <c r="F43" s="15"/>
      <c r="G43" s="129"/>
      <c r="H43" s="15"/>
      <c r="I43" s="15"/>
    </row>
    <row r="44" spans="1:9" ht="15" customHeight="1" x14ac:dyDescent="0.2">
      <c r="A44" s="93"/>
      <c r="B44" s="34" t="s">
        <v>57</v>
      </c>
      <c r="C44" s="96"/>
      <c r="D44" s="97"/>
      <c r="E44" s="108"/>
      <c r="F44" s="15"/>
      <c r="G44" s="129"/>
      <c r="H44" s="15"/>
      <c r="I44" s="15"/>
    </row>
    <row r="45" spans="1:9" ht="15" customHeight="1" x14ac:dyDescent="0.2">
      <c r="A45" s="93"/>
      <c r="B45" s="103"/>
      <c r="C45" s="94"/>
      <c r="D45" s="94"/>
      <c r="E45" s="107" t="s">
        <v>92</v>
      </c>
      <c r="F45" s="15"/>
      <c r="G45" s="129"/>
      <c r="H45" s="15"/>
      <c r="I45" s="15"/>
    </row>
    <row r="46" spans="1:9" ht="15" customHeight="1" x14ac:dyDescent="0.2">
      <c r="A46" s="93"/>
      <c r="B46" s="34" t="s">
        <v>58</v>
      </c>
      <c r="C46" s="71"/>
      <c r="D46" s="72"/>
      <c r="E46" s="104"/>
      <c r="F46" s="15"/>
      <c r="G46" s="129"/>
      <c r="H46" s="15"/>
      <c r="I46" s="15"/>
    </row>
    <row r="47" spans="1:9" ht="15" customHeight="1" x14ac:dyDescent="0.2">
      <c r="A47" s="93"/>
      <c r="B47" s="109"/>
      <c r="C47" s="110"/>
      <c r="D47" s="111"/>
      <c r="E47" s="112"/>
      <c r="F47" s="15"/>
      <c r="G47" s="129"/>
      <c r="H47" s="15"/>
      <c r="I47" s="15"/>
    </row>
    <row r="48" spans="1:9" ht="12.75" customHeight="1" x14ac:dyDescent="0.2">
      <c r="A48" s="93"/>
      <c r="B48" s="60"/>
      <c r="C48" s="71"/>
      <c r="D48" s="72"/>
      <c r="E48" s="83"/>
      <c r="F48" s="15"/>
      <c r="G48" s="129"/>
      <c r="H48" s="15"/>
      <c r="I48" s="15"/>
    </row>
    <row r="49" spans="1:9" ht="12.75" customHeight="1" x14ac:dyDescent="0.2">
      <c r="A49" s="33"/>
      <c r="B49" s="60"/>
      <c r="C49" s="71"/>
      <c r="D49" s="72"/>
      <c r="E49" s="83"/>
      <c r="F49" s="15"/>
      <c r="G49" s="129"/>
      <c r="H49" s="15"/>
      <c r="I49" s="15"/>
    </row>
    <row r="50" spans="1:9" x14ac:dyDescent="0.2">
      <c r="I50" s="69"/>
    </row>
    <row r="51" spans="1:9" x14ac:dyDescent="0.2">
      <c r="I51" s="69"/>
    </row>
    <row r="52" spans="1:9" x14ac:dyDescent="0.2">
      <c r="I52" s="69"/>
    </row>
    <row r="53" spans="1:9" x14ac:dyDescent="0.2">
      <c r="I53" s="69"/>
    </row>
    <row r="54" spans="1:9" x14ac:dyDescent="0.2">
      <c r="I54" s="69"/>
    </row>
    <row r="55" spans="1:9" ht="27" customHeight="1" x14ac:dyDescent="0.2">
      <c r="I55" s="69"/>
    </row>
    <row r="56" spans="1:9" x14ac:dyDescent="0.2">
      <c r="I56" s="69"/>
    </row>
    <row r="57" spans="1:9" x14ac:dyDescent="0.2">
      <c r="I57" s="69"/>
    </row>
    <row r="58" spans="1:9" x14ac:dyDescent="0.2">
      <c r="I58" s="69"/>
    </row>
    <row r="59" spans="1:9" x14ac:dyDescent="0.2">
      <c r="I59" s="69"/>
    </row>
    <row r="60" spans="1:9" x14ac:dyDescent="0.2">
      <c r="I60" s="69"/>
    </row>
    <row r="61" spans="1:9" x14ac:dyDescent="0.2">
      <c r="I61" s="69"/>
    </row>
    <row r="62" spans="1:9" x14ac:dyDescent="0.2">
      <c r="I62" s="69"/>
    </row>
    <row r="63" spans="1:9" x14ac:dyDescent="0.2">
      <c r="I63" s="69"/>
    </row>
    <row r="64" spans="1:9" x14ac:dyDescent="0.2">
      <c r="I64" s="69"/>
    </row>
    <row r="65" spans="9:9" x14ac:dyDescent="0.2">
      <c r="I65" s="69"/>
    </row>
    <row r="66" spans="9:9" x14ac:dyDescent="0.2">
      <c r="I66" s="69"/>
    </row>
    <row r="67" spans="9:9" x14ac:dyDescent="0.2">
      <c r="I67" s="69"/>
    </row>
    <row r="68" spans="9:9" x14ac:dyDescent="0.2">
      <c r="I68" s="69"/>
    </row>
    <row r="69" spans="9:9" x14ac:dyDescent="0.2">
      <c r="I69" s="69"/>
    </row>
    <row r="70" spans="9:9" x14ac:dyDescent="0.2">
      <c r="I70" s="69"/>
    </row>
    <row r="71" spans="9:9" x14ac:dyDescent="0.2">
      <c r="I71" s="69"/>
    </row>
    <row r="72" spans="9:9" x14ac:dyDescent="0.2">
      <c r="I72" s="69"/>
    </row>
    <row r="73" spans="9:9" x14ac:dyDescent="0.2">
      <c r="I73" s="69"/>
    </row>
    <row r="74" spans="9:9" x14ac:dyDescent="0.2">
      <c r="I74" s="69"/>
    </row>
    <row r="75" spans="9:9" x14ac:dyDescent="0.2">
      <c r="I75" s="69"/>
    </row>
    <row r="76" spans="9:9" x14ac:dyDescent="0.2">
      <c r="I76" s="69"/>
    </row>
    <row r="77" spans="9:9" x14ac:dyDescent="0.2">
      <c r="I77" s="69"/>
    </row>
    <row r="78" spans="9:9" x14ac:dyDescent="0.2">
      <c r="I78" s="69"/>
    </row>
    <row r="79" spans="9:9" x14ac:dyDescent="0.2">
      <c r="I79" s="69"/>
    </row>
    <row r="80" spans="9:9" x14ac:dyDescent="0.2">
      <c r="I80" s="69"/>
    </row>
    <row r="81" spans="9:9" x14ac:dyDescent="0.2">
      <c r="I81" s="69"/>
    </row>
    <row r="82" spans="9:9" x14ac:dyDescent="0.2">
      <c r="I82" s="69"/>
    </row>
    <row r="83" spans="9:9" x14ac:dyDescent="0.2">
      <c r="I83" s="69"/>
    </row>
    <row r="84" spans="9:9" x14ac:dyDescent="0.2">
      <c r="I84" s="69"/>
    </row>
    <row r="85" spans="9:9" x14ac:dyDescent="0.2">
      <c r="I85" s="69"/>
    </row>
    <row r="86" spans="9:9" x14ac:dyDescent="0.2">
      <c r="I86" s="69"/>
    </row>
    <row r="87" spans="9:9" x14ac:dyDescent="0.2">
      <c r="I87" s="69"/>
    </row>
    <row r="88" spans="9:9" x14ac:dyDescent="0.2">
      <c r="I88" s="69"/>
    </row>
    <row r="89" spans="9:9" x14ac:dyDescent="0.2">
      <c r="I89" s="69"/>
    </row>
    <row r="90" spans="9:9" x14ac:dyDescent="0.2">
      <c r="I90" s="69"/>
    </row>
    <row r="91" spans="9:9" x14ac:dyDescent="0.2">
      <c r="I91" s="69"/>
    </row>
    <row r="92" spans="9:9" x14ac:dyDescent="0.2">
      <c r="I92" s="69"/>
    </row>
    <row r="93" spans="9:9" x14ac:dyDescent="0.2">
      <c r="I93" s="69"/>
    </row>
    <row r="94" spans="9:9" x14ac:dyDescent="0.2">
      <c r="I94" s="69"/>
    </row>
    <row r="95" spans="9:9" x14ac:dyDescent="0.2">
      <c r="I95" s="69"/>
    </row>
    <row r="96" spans="9:9" x14ac:dyDescent="0.2">
      <c r="I96" s="69"/>
    </row>
    <row r="97" spans="9:9" x14ac:dyDescent="0.2">
      <c r="I97" s="69"/>
    </row>
    <row r="98" spans="9:9" x14ac:dyDescent="0.2">
      <c r="I98" s="69"/>
    </row>
    <row r="99" spans="9:9" x14ac:dyDescent="0.2">
      <c r="I99" s="69"/>
    </row>
    <row r="100" spans="9:9" x14ac:dyDescent="0.2">
      <c r="I100" s="69"/>
    </row>
    <row r="101" spans="9:9" x14ac:dyDescent="0.2">
      <c r="I101" s="69"/>
    </row>
    <row r="102" spans="9:9" x14ac:dyDescent="0.2">
      <c r="I102" s="69"/>
    </row>
    <row r="103" spans="9:9" x14ac:dyDescent="0.2">
      <c r="I103" s="69"/>
    </row>
    <row r="104" spans="9:9" x14ac:dyDescent="0.2">
      <c r="I104" s="69"/>
    </row>
    <row r="105" spans="9:9" x14ac:dyDescent="0.2">
      <c r="I105" s="69"/>
    </row>
    <row r="106" spans="9:9" x14ac:dyDescent="0.2">
      <c r="I106" s="69"/>
    </row>
    <row r="107" spans="9:9" x14ac:dyDescent="0.2">
      <c r="I107" s="69"/>
    </row>
    <row r="108" spans="9:9" x14ac:dyDescent="0.2">
      <c r="I108" s="69"/>
    </row>
    <row r="109" spans="9:9" x14ac:dyDescent="0.2">
      <c r="I109" s="69"/>
    </row>
    <row r="110" spans="9:9" x14ac:dyDescent="0.2">
      <c r="I110" s="69"/>
    </row>
    <row r="111" spans="9:9" x14ac:dyDescent="0.2">
      <c r="I111" s="69"/>
    </row>
    <row r="112" spans="9:9" x14ac:dyDescent="0.2">
      <c r="I112" s="69"/>
    </row>
    <row r="113" spans="9:9" x14ac:dyDescent="0.2">
      <c r="I113" s="69"/>
    </row>
    <row r="114" spans="9:9" x14ac:dyDescent="0.2">
      <c r="I114" s="69"/>
    </row>
    <row r="115" spans="9:9" x14ac:dyDescent="0.2">
      <c r="I115" s="69"/>
    </row>
    <row r="116" spans="9:9" x14ac:dyDescent="0.2">
      <c r="I116" s="69"/>
    </row>
    <row r="117" spans="9:9" x14ac:dyDescent="0.2">
      <c r="I117" s="69"/>
    </row>
    <row r="118" spans="9:9" x14ac:dyDescent="0.2">
      <c r="I118" s="69"/>
    </row>
    <row r="119" spans="9:9" x14ac:dyDescent="0.2">
      <c r="I119" s="69"/>
    </row>
    <row r="120" spans="9:9" x14ac:dyDescent="0.2">
      <c r="I120" s="69"/>
    </row>
    <row r="121" spans="9:9" x14ac:dyDescent="0.2">
      <c r="I121" s="69"/>
    </row>
    <row r="122" spans="9:9" x14ac:dyDescent="0.2">
      <c r="I122" s="69"/>
    </row>
    <row r="123" spans="9:9" x14ac:dyDescent="0.2">
      <c r="I123" s="69"/>
    </row>
    <row r="124" spans="9:9" x14ac:dyDescent="0.2">
      <c r="I124" s="69"/>
    </row>
    <row r="125" spans="9:9" x14ac:dyDescent="0.2">
      <c r="I125" s="69"/>
    </row>
    <row r="126" spans="9:9" x14ac:dyDescent="0.2">
      <c r="I126" s="69"/>
    </row>
    <row r="127" spans="9:9" x14ac:dyDescent="0.2">
      <c r="I127" s="69"/>
    </row>
    <row r="128" spans="9:9" x14ac:dyDescent="0.2">
      <c r="I128" s="69"/>
    </row>
    <row r="129" spans="9:9" x14ac:dyDescent="0.2">
      <c r="I129" s="69"/>
    </row>
    <row r="130" spans="9:9" x14ac:dyDescent="0.2">
      <c r="I130" s="69"/>
    </row>
    <row r="131" spans="9:9" x14ac:dyDescent="0.2">
      <c r="I131" s="69"/>
    </row>
    <row r="132" spans="9:9" x14ac:dyDescent="0.2">
      <c r="I132" s="69"/>
    </row>
    <row r="133" spans="9:9" x14ac:dyDescent="0.2">
      <c r="I133" s="69"/>
    </row>
    <row r="134" spans="9:9" x14ac:dyDescent="0.2">
      <c r="I134" s="69"/>
    </row>
    <row r="135" spans="9:9" x14ac:dyDescent="0.2">
      <c r="I135" s="69"/>
    </row>
    <row r="136" spans="9:9" x14ac:dyDescent="0.2">
      <c r="I136" s="69"/>
    </row>
    <row r="137" spans="9:9" x14ac:dyDescent="0.2">
      <c r="I137" s="69"/>
    </row>
    <row r="138" spans="9:9" x14ac:dyDescent="0.2">
      <c r="I138" s="69"/>
    </row>
    <row r="139" spans="9:9" x14ac:dyDescent="0.2">
      <c r="I139" s="69"/>
    </row>
    <row r="140" spans="9:9" x14ac:dyDescent="0.2">
      <c r="I140" s="69"/>
    </row>
    <row r="141" spans="9:9" x14ac:dyDescent="0.2">
      <c r="I141" s="69"/>
    </row>
    <row r="142" spans="9:9" x14ac:dyDescent="0.2">
      <c r="I142" s="69"/>
    </row>
    <row r="143" spans="9:9" x14ac:dyDescent="0.2">
      <c r="I143" s="69"/>
    </row>
    <row r="144" spans="9:9" x14ac:dyDescent="0.2">
      <c r="I144" s="69"/>
    </row>
    <row r="145" spans="9:9" x14ac:dyDescent="0.2">
      <c r="I145" s="69"/>
    </row>
    <row r="146" spans="9:9" x14ac:dyDescent="0.2">
      <c r="I146" s="69"/>
    </row>
    <row r="147" spans="9:9" x14ac:dyDescent="0.2">
      <c r="I147" s="69"/>
    </row>
    <row r="148" spans="9:9" x14ac:dyDescent="0.2">
      <c r="I148" s="69"/>
    </row>
    <row r="149" spans="9:9" x14ac:dyDescent="0.2">
      <c r="I149" s="69"/>
    </row>
    <row r="150" spans="9:9" x14ac:dyDescent="0.2">
      <c r="I150" s="69"/>
    </row>
    <row r="151" spans="9:9" x14ac:dyDescent="0.2">
      <c r="I151" s="69"/>
    </row>
    <row r="152" spans="9:9" x14ac:dyDescent="0.2">
      <c r="I152" s="69"/>
    </row>
    <row r="153" spans="9:9" x14ac:dyDescent="0.2">
      <c r="I153" s="69"/>
    </row>
    <row r="154" spans="9:9" x14ac:dyDescent="0.2">
      <c r="I154" s="69"/>
    </row>
    <row r="155" spans="9:9" x14ac:dyDescent="0.2">
      <c r="I155" s="69"/>
    </row>
    <row r="156" spans="9:9" x14ac:dyDescent="0.2">
      <c r="I156" s="69"/>
    </row>
    <row r="157" spans="9:9" x14ac:dyDescent="0.2">
      <c r="I157" s="69"/>
    </row>
    <row r="158" spans="9:9" x14ac:dyDescent="0.2">
      <c r="I158" s="69"/>
    </row>
    <row r="159" spans="9:9" x14ac:dyDescent="0.2">
      <c r="I159" s="69"/>
    </row>
    <row r="160" spans="9:9" x14ac:dyDescent="0.2">
      <c r="I160" s="69"/>
    </row>
    <row r="161" spans="9:9" x14ac:dyDescent="0.2">
      <c r="I161" s="69"/>
    </row>
    <row r="162" spans="9:9" x14ac:dyDescent="0.2">
      <c r="I162" s="69"/>
    </row>
    <row r="163" spans="9:9" x14ac:dyDescent="0.2">
      <c r="I163" s="69"/>
    </row>
    <row r="164" spans="9:9" x14ac:dyDescent="0.2">
      <c r="I164" s="69"/>
    </row>
    <row r="165" spans="9:9" x14ac:dyDescent="0.2">
      <c r="I165" s="69"/>
    </row>
    <row r="166" spans="9:9" x14ac:dyDescent="0.2">
      <c r="I166" s="69"/>
    </row>
    <row r="167" spans="9:9" x14ac:dyDescent="0.2">
      <c r="I167" s="69"/>
    </row>
    <row r="168" spans="9:9" x14ac:dyDescent="0.2">
      <c r="I168" s="69"/>
    </row>
    <row r="169" spans="9:9" x14ac:dyDescent="0.2">
      <c r="I169" s="69"/>
    </row>
    <row r="170" spans="9:9" x14ac:dyDescent="0.2">
      <c r="I170" s="69"/>
    </row>
    <row r="171" spans="9:9" x14ac:dyDescent="0.2">
      <c r="I171" s="69"/>
    </row>
  </sheetData>
  <mergeCells count="12">
    <mergeCell ref="C38:E38"/>
    <mergeCell ref="C37:E37"/>
    <mergeCell ref="G33:G49"/>
    <mergeCell ref="C40:E40"/>
    <mergeCell ref="B39:E39"/>
    <mergeCell ref="C42:E42"/>
    <mergeCell ref="A4:D4"/>
    <mergeCell ref="A5:D5"/>
    <mergeCell ref="A6:D6"/>
    <mergeCell ref="A7:D7"/>
    <mergeCell ref="E4:G4"/>
    <mergeCell ref="E5:G5"/>
  </mergeCells>
  <phoneticPr fontId="24" type="noConversion"/>
  <pageMargins left="0.7" right="0.7" top="0.75" bottom="0.75" header="0.51180555555555496" footer="0.51180555555555496"/>
  <pageSetup paperSize="9" scale="64" firstPageNumber="0" orientation="landscape" horizontalDpi="300" verticalDpi="300" r:id="rId1"/>
  <rowBreaks count="1" manualBreakCount="1">
    <brk id="3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Y40"/>
  <sheetViews>
    <sheetView tabSelected="1" zoomScale="68" zoomScaleNormal="68" workbookViewId="0">
      <selection activeCell="K2" sqref="K2"/>
    </sheetView>
  </sheetViews>
  <sheetFormatPr baseColWidth="10" defaultColWidth="9.140625" defaultRowHeight="12.75" x14ac:dyDescent="0.2"/>
  <cols>
    <col min="1" max="1" width="13.140625" style="44" customWidth="1"/>
    <col min="2" max="2" width="19.5703125" style="44" customWidth="1"/>
    <col min="3" max="3" width="14.140625" style="44" customWidth="1"/>
    <col min="4" max="4" width="26" style="44" customWidth="1"/>
    <col min="5" max="5" width="8" style="44" customWidth="1"/>
    <col min="6" max="6" width="7.85546875" style="44" customWidth="1"/>
    <col min="7" max="7" width="42" style="44" customWidth="1"/>
    <col min="8" max="8" width="9.28515625" style="44" customWidth="1"/>
    <col min="9" max="9" width="15.5703125" style="44" customWidth="1"/>
    <col min="10" max="10" width="20.42578125" style="44" customWidth="1"/>
    <col min="11" max="11" width="30.42578125" style="51" customWidth="1"/>
    <col min="12" max="12" width="9.140625" style="1"/>
    <col min="13" max="13" width="0" style="1" hidden="1" customWidth="1"/>
    <col min="14" max="14" width="14" style="1" customWidth="1"/>
    <col min="15" max="15" width="11.7109375" style="1" bestFit="1" customWidth="1"/>
    <col min="16" max="1013" width="9.140625" style="1"/>
  </cols>
  <sheetData>
    <row r="1" spans="1:1013" ht="18" customHeight="1" x14ac:dyDescent="0.2">
      <c r="A1" s="148" t="s">
        <v>12</v>
      </c>
      <c r="B1" s="148"/>
      <c r="C1" s="148"/>
      <c r="D1" s="148"/>
      <c r="E1" s="148"/>
      <c r="F1" s="148"/>
      <c r="G1" s="148"/>
      <c r="H1" s="148"/>
      <c r="I1" s="148"/>
      <c r="J1" s="35"/>
      <c r="K1" s="121" t="s">
        <v>100</v>
      </c>
    </row>
    <row r="2" spans="1:1013" ht="18.75" customHeight="1" thickBot="1" x14ac:dyDescent="0.25">
      <c r="A2" s="36"/>
      <c r="B2" s="36"/>
      <c r="C2" s="36"/>
      <c r="D2" s="37"/>
      <c r="E2" s="37"/>
      <c r="F2" s="37"/>
      <c r="G2" s="37"/>
      <c r="H2" s="37"/>
      <c r="I2" s="37"/>
      <c r="J2" s="37"/>
      <c r="K2" s="48"/>
    </row>
    <row r="3" spans="1:1013" ht="18.75" customHeight="1" thickBot="1" x14ac:dyDescent="0.25">
      <c r="A3" s="149" t="s">
        <v>13</v>
      </c>
      <c r="B3" s="149"/>
      <c r="C3" s="149"/>
      <c r="D3" s="150" t="s">
        <v>60</v>
      </c>
      <c r="E3" s="150"/>
      <c r="F3" s="150"/>
      <c r="G3" s="150"/>
      <c r="H3" s="150"/>
      <c r="I3" s="150"/>
      <c r="J3" s="150"/>
      <c r="K3" s="150"/>
    </row>
    <row r="4" spans="1:1013" ht="18.75" customHeight="1" thickBot="1" x14ac:dyDescent="0.25">
      <c r="A4" s="151" t="s">
        <v>14</v>
      </c>
      <c r="B4" s="151"/>
      <c r="C4" s="151"/>
      <c r="D4" s="150" t="s">
        <v>54</v>
      </c>
      <c r="E4" s="150"/>
      <c r="F4" s="150"/>
      <c r="G4" s="150"/>
      <c r="H4" s="150"/>
      <c r="I4" s="150"/>
      <c r="J4" s="150"/>
      <c r="K4" s="150"/>
    </row>
    <row r="5" spans="1:1013" ht="18.75" customHeight="1" thickBot="1" x14ac:dyDescent="0.25">
      <c r="A5" s="151" t="s">
        <v>15</v>
      </c>
      <c r="B5" s="151"/>
      <c r="C5" s="151"/>
      <c r="D5" s="150" t="s">
        <v>50</v>
      </c>
      <c r="E5" s="150"/>
      <c r="F5" s="150"/>
      <c r="G5" s="150"/>
      <c r="H5" s="150"/>
      <c r="I5" s="150"/>
      <c r="J5" s="150"/>
      <c r="K5" s="150"/>
    </row>
    <row r="6" spans="1:1013" ht="16.5" customHeight="1" thickBot="1" x14ac:dyDescent="0.25">
      <c r="A6" s="149" t="s">
        <v>16</v>
      </c>
      <c r="B6" s="149"/>
      <c r="C6" s="149"/>
      <c r="D6" s="150" t="s">
        <v>65</v>
      </c>
      <c r="E6" s="150"/>
      <c r="F6" s="150"/>
      <c r="G6" s="150"/>
      <c r="H6" s="150"/>
      <c r="I6" s="150"/>
      <c r="J6" s="150"/>
      <c r="K6" s="150"/>
    </row>
    <row r="7" spans="1:1013" ht="16.5" customHeight="1" thickBot="1" x14ac:dyDescent="0.25">
      <c r="A7" s="151" t="s">
        <v>17</v>
      </c>
      <c r="B7" s="151"/>
      <c r="C7" s="151"/>
      <c r="D7" s="150" t="s">
        <v>68</v>
      </c>
      <c r="E7" s="150"/>
      <c r="F7" s="150"/>
      <c r="G7" s="150"/>
      <c r="H7" s="150"/>
      <c r="I7" s="150"/>
      <c r="J7" s="150"/>
      <c r="K7" s="150"/>
    </row>
    <row r="8" spans="1:1013" ht="44.25" customHeight="1" thickBot="1" x14ac:dyDescent="0.25">
      <c r="A8" s="152" t="s">
        <v>18</v>
      </c>
      <c r="B8" s="152"/>
      <c r="C8" s="152"/>
      <c r="D8" s="153" t="s">
        <v>97</v>
      </c>
      <c r="E8" s="153"/>
      <c r="F8" s="153"/>
      <c r="G8" s="153"/>
      <c r="H8" s="153"/>
      <c r="I8" s="153"/>
      <c r="J8" s="153"/>
      <c r="K8" s="153"/>
    </row>
    <row r="9" spans="1:1013" ht="16.5" thickBot="1" x14ac:dyDescent="0.25">
      <c r="A9" s="38"/>
      <c r="B9" s="38"/>
      <c r="C9" s="38"/>
      <c r="D9" s="39"/>
      <c r="E9" s="39"/>
      <c r="F9" s="39"/>
      <c r="G9" s="39"/>
      <c r="H9" s="39"/>
      <c r="I9" s="39"/>
      <c r="J9" s="39"/>
      <c r="K9" s="49"/>
    </row>
    <row r="10" spans="1:1013" ht="18.75" customHeight="1" thickBot="1" x14ac:dyDescent="0.25">
      <c r="A10" s="145" t="s">
        <v>19</v>
      </c>
      <c r="B10" s="136" t="s">
        <v>20</v>
      </c>
      <c r="C10" s="136" t="s">
        <v>21</v>
      </c>
      <c r="D10" s="136"/>
      <c r="E10" s="136"/>
      <c r="F10" s="136"/>
      <c r="G10" s="136"/>
      <c r="H10" s="136" t="s">
        <v>22</v>
      </c>
      <c r="I10" s="136" t="s">
        <v>23</v>
      </c>
      <c r="J10" s="136" t="s">
        <v>24</v>
      </c>
      <c r="K10" s="138" t="s">
        <v>25</v>
      </c>
    </row>
    <row r="11" spans="1:1013" ht="24" customHeight="1" thickBot="1" x14ac:dyDescent="0.25">
      <c r="A11" s="146"/>
      <c r="B11" s="137"/>
      <c r="C11" s="137"/>
      <c r="D11" s="137"/>
      <c r="E11" s="137"/>
      <c r="F11" s="137"/>
      <c r="G11" s="137"/>
      <c r="H11" s="137"/>
      <c r="I11" s="137"/>
      <c r="J11" s="137"/>
      <c r="K11" s="139"/>
      <c r="ALW11"/>
      <c r="ALX11"/>
      <c r="ALY11"/>
    </row>
    <row r="12" spans="1:1013" ht="43.5" customHeight="1" thickBot="1" x14ac:dyDescent="0.3">
      <c r="A12" s="40">
        <f>'Necesidades Trimestrales'!A10</f>
        <v>1</v>
      </c>
      <c r="B12" s="43">
        <f>'Necesidades Trimestrales'!B10</f>
        <v>0</v>
      </c>
      <c r="C12" s="147" t="str">
        <f>'Necesidades Trimestrales'!E10</f>
        <v xml:space="preserve">CAFEINA 25% AMPOLLA </v>
      </c>
      <c r="D12" s="147"/>
      <c r="E12" s="147"/>
      <c r="F12" s="147"/>
      <c r="G12" s="147"/>
      <c r="H12" s="41" t="s">
        <v>26</v>
      </c>
      <c r="I12" s="42" t="str">
        <f>'Necesidades Trimestrales'!F10</f>
        <v>AMPOLLA</v>
      </c>
      <c r="J12" s="47">
        <f>'Necesidades Trimestrales'!H10</f>
        <v>66</v>
      </c>
      <c r="K12" s="50">
        <f>'Necesidades Trimestrales'!G10</f>
        <v>200</v>
      </c>
      <c r="N12" s="88"/>
    </row>
    <row r="13" spans="1:1013" ht="43.5" customHeight="1" thickBot="1" x14ac:dyDescent="0.3">
      <c r="A13" s="40">
        <f>'Necesidades Trimestrales'!A11</f>
        <v>2</v>
      </c>
      <c r="B13" s="43">
        <f>'Necesidades Trimestrales'!B11</f>
        <v>0</v>
      </c>
      <c r="C13" s="147" t="str">
        <f>'Necesidades Trimestrales'!E11</f>
        <v>CLONAZEPAM 0,5 MG COMPRIMIDOS</v>
      </c>
      <c r="D13" s="147"/>
      <c r="E13" s="147"/>
      <c r="F13" s="147"/>
      <c r="G13" s="147"/>
      <c r="H13" s="41" t="s">
        <v>26</v>
      </c>
      <c r="I13" s="42" t="str">
        <f>'Necesidades Trimestrales'!F11</f>
        <v>COMPRIMIDO</v>
      </c>
      <c r="J13" s="47">
        <f>'Necesidades Trimestrales'!H11</f>
        <v>3.25</v>
      </c>
      <c r="K13" s="50">
        <f>'Necesidades Trimestrales'!G11</f>
        <v>300</v>
      </c>
      <c r="N13" s="88"/>
    </row>
    <row r="14" spans="1:1013" ht="43.5" customHeight="1" thickBot="1" x14ac:dyDescent="0.3">
      <c r="A14" s="40">
        <f>'Necesidades Trimestrales'!A12</f>
        <v>3</v>
      </c>
      <c r="B14" s="43">
        <f>'Necesidades Trimestrales'!B12</f>
        <v>0</v>
      </c>
      <c r="C14" s="147" t="str">
        <f>'Necesidades Trimestrales'!E12</f>
        <v>FENITOINA AMPOLLAS</v>
      </c>
      <c r="D14" s="147"/>
      <c r="E14" s="147"/>
      <c r="F14" s="147"/>
      <c r="G14" s="147"/>
      <c r="H14" s="41" t="s">
        <v>26</v>
      </c>
      <c r="I14" s="42" t="str">
        <f>'Necesidades Trimestrales'!F12</f>
        <v>AMPOLLA</v>
      </c>
      <c r="J14" s="47">
        <f>'Necesidades Trimestrales'!H12</f>
        <v>35</v>
      </c>
      <c r="K14" s="50">
        <f>'Necesidades Trimestrales'!G12</f>
        <v>300</v>
      </c>
      <c r="N14" s="88"/>
    </row>
    <row r="15" spans="1:1013" ht="43.5" customHeight="1" thickBot="1" x14ac:dyDescent="0.3">
      <c r="A15" s="40">
        <f>'Necesidades Trimestrales'!A13</f>
        <v>4</v>
      </c>
      <c r="B15" s="43">
        <f>'Necesidades Trimestrales'!B13</f>
        <v>0</v>
      </c>
      <c r="C15" s="147" t="str">
        <f>'Necesidades Trimestrales'!E13</f>
        <v xml:space="preserve">FENOBARBITAL 15 MG COMPRIMIDO </v>
      </c>
      <c r="D15" s="147"/>
      <c r="E15" s="147"/>
      <c r="F15" s="147"/>
      <c r="G15" s="147"/>
      <c r="H15" s="41" t="s">
        <v>26</v>
      </c>
      <c r="I15" s="42" t="str">
        <f>'Necesidades Trimestrales'!F13</f>
        <v>COMPRIMIDO</v>
      </c>
      <c r="J15" s="47">
        <f>'Necesidades Trimestrales'!H13</f>
        <v>16</v>
      </c>
      <c r="K15" s="50">
        <f>'Necesidades Trimestrales'!G13</f>
        <v>90</v>
      </c>
      <c r="N15" s="88"/>
    </row>
    <row r="16" spans="1:1013" ht="43.5" customHeight="1" thickBot="1" x14ac:dyDescent="0.3">
      <c r="A16" s="40">
        <f>'Necesidades Trimestrales'!A14</f>
        <v>5</v>
      </c>
      <c r="B16" s="43">
        <f>'Necesidades Trimestrales'!B14</f>
        <v>0</v>
      </c>
      <c r="C16" s="133" t="str">
        <f>'Necesidades Trimestrales'!E14</f>
        <v>FLUMAZENIL  0,5 mg / 5 ml AMPOLLAS</v>
      </c>
      <c r="D16" s="134"/>
      <c r="E16" s="134"/>
      <c r="F16" s="134"/>
      <c r="G16" s="135"/>
      <c r="H16" s="41" t="s">
        <v>26</v>
      </c>
      <c r="I16" s="42" t="str">
        <f>'Necesidades Trimestrales'!F14</f>
        <v>AMPOLLA</v>
      </c>
      <c r="J16" s="47">
        <f>'Necesidades Trimestrales'!H14</f>
        <v>165</v>
      </c>
      <c r="K16" s="50">
        <f>'Necesidades Trimestrales'!G14</f>
        <v>50</v>
      </c>
      <c r="N16" s="88"/>
    </row>
    <row r="17" spans="1:14" ht="43.5" customHeight="1" thickBot="1" x14ac:dyDescent="0.3">
      <c r="A17" s="40">
        <f>'Necesidades Trimestrales'!A15</f>
        <v>6</v>
      </c>
      <c r="B17" s="43">
        <f>'Necesidades Trimestrales'!B15</f>
        <v>0</v>
      </c>
      <c r="C17" s="133" t="str">
        <f>'Necesidades Trimestrales'!E15</f>
        <v>HALOPERIDOL 10 MG COMPRIMIDO</v>
      </c>
      <c r="D17" s="134"/>
      <c r="E17" s="134"/>
      <c r="F17" s="134"/>
      <c r="G17" s="135"/>
      <c r="H17" s="41" t="s">
        <v>26</v>
      </c>
      <c r="I17" s="42" t="str">
        <f>'Necesidades Trimestrales'!F15</f>
        <v>COMPRIMIDO</v>
      </c>
      <c r="J17" s="47">
        <f>'Necesidades Trimestrales'!H15</f>
        <v>21</v>
      </c>
      <c r="K17" s="50">
        <f>'Necesidades Trimestrales'!G15</f>
        <v>30</v>
      </c>
      <c r="N17" s="88"/>
    </row>
    <row r="18" spans="1:14" ht="43.5" customHeight="1" thickBot="1" x14ac:dyDescent="0.3">
      <c r="A18" s="40">
        <f>'Necesidades Trimestrales'!A16</f>
        <v>7</v>
      </c>
      <c r="B18" s="43">
        <f>'Necesidades Trimestrales'!B16</f>
        <v>0</v>
      </c>
      <c r="C18" s="133" t="str">
        <f>'Necesidades Trimestrales'!E16</f>
        <v>HALOPERIDOL 5 MG AMPOLLA x 1 ml</v>
      </c>
      <c r="D18" s="134"/>
      <c r="E18" s="134"/>
      <c r="F18" s="134"/>
      <c r="G18" s="135"/>
      <c r="H18" s="41" t="s">
        <v>26</v>
      </c>
      <c r="I18" s="42" t="str">
        <f>'Necesidades Trimestrales'!F16</f>
        <v>AMPOLLA</v>
      </c>
      <c r="J18" s="47">
        <f>'Necesidades Trimestrales'!H16</f>
        <v>46</v>
      </c>
      <c r="K18" s="50">
        <f>'Necesidades Trimestrales'!G16</f>
        <v>20</v>
      </c>
      <c r="N18" s="88"/>
    </row>
    <row r="19" spans="1:14" ht="43.5" customHeight="1" thickBot="1" x14ac:dyDescent="0.3">
      <c r="A19" s="40">
        <f>'Necesidades Trimestrales'!A17</f>
        <v>8</v>
      </c>
      <c r="B19" s="43">
        <f>'Necesidades Trimestrales'!B17</f>
        <v>0</v>
      </c>
      <c r="C19" s="133" t="str">
        <f>'Necesidades Trimestrales'!E17</f>
        <v>LAMOTRIGINA 25 MG COMPRIMIDO</v>
      </c>
      <c r="D19" s="134"/>
      <c r="E19" s="134"/>
      <c r="F19" s="134"/>
      <c r="G19" s="135"/>
      <c r="H19" s="41" t="s">
        <v>26</v>
      </c>
      <c r="I19" s="42" t="str">
        <f>'Necesidades Trimestrales'!F17</f>
        <v>COMPRIMIDO</v>
      </c>
      <c r="J19" s="47">
        <f>'Necesidades Trimestrales'!H17</f>
        <v>9.69</v>
      </c>
      <c r="K19" s="50">
        <f>'Necesidades Trimestrales'!G17</f>
        <v>30</v>
      </c>
      <c r="N19" s="88"/>
    </row>
    <row r="20" spans="1:14" ht="43.5" customHeight="1" thickBot="1" x14ac:dyDescent="0.3">
      <c r="A20" s="40">
        <f>'Necesidades Trimestrales'!A18</f>
        <v>9</v>
      </c>
      <c r="B20" s="43">
        <f>'Necesidades Trimestrales'!B18</f>
        <v>0</v>
      </c>
      <c r="C20" s="133" t="str">
        <f>'Necesidades Trimestrales'!E18</f>
        <v>LAMOTRIGINA 50MG COMPRIMIDO</v>
      </c>
      <c r="D20" s="134"/>
      <c r="E20" s="134"/>
      <c r="F20" s="134"/>
      <c r="G20" s="135"/>
      <c r="H20" s="41" t="s">
        <v>26</v>
      </c>
      <c r="I20" s="42" t="str">
        <f>'Necesidades Trimestrales'!F18</f>
        <v>COMPRIMIDO</v>
      </c>
      <c r="J20" s="47">
        <f>'Necesidades Trimestrales'!H18</f>
        <v>19.7</v>
      </c>
      <c r="K20" s="50">
        <f>'Necesidades Trimestrales'!G18</f>
        <v>30</v>
      </c>
      <c r="N20" s="88"/>
    </row>
    <row r="21" spans="1:14" ht="43.5" customHeight="1" thickBot="1" x14ac:dyDescent="0.3">
      <c r="A21" s="40">
        <f>'Necesidades Trimestrales'!A19</f>
        <v>10</v>
      </c>
      <c r="B21" s="43">
        <f>'Necesidades Trimestrales'!B19</f>
        <v>0</v>
      </c>
      <c r="C21" s="133" t="str">
        <f>'Necesidades Trimestrales'!E19</f>
        <v>LEVETIRACETAM 500MG AMPOLLA x 5 ml</v>
      </c>
      <c r="D21" s="134"/>
      <c r="E21" s="134"/>
      <c r="F21" s="134"/>
      <c r="G21" s="135"/>
      <c r="H21" s="41" t="s">
        <v>26</v>
      </c>
      <c r="I21" s="42" t="str">
        <f>'Necesidades Trimestrales'!F19</f>
        <v>AMPOLLA</v>
      </c>
      <c r="J21" s="47">
        <f>'Necesidades Trimestrales'!H19</f>
        <v>640</v>
      </c>
      <c r="K21" s="50">
        <f>'Necesidades Trimestrales'!G19</f>
        <v>20</v>
      </c>
      <c r="N21" s="88"/>
    </row>
    <row r="22" spans="1:14" ht="43.5" customHeight="1" thickBot="1" x14ac:dyDescent="0.3">
      <c r="A22" s="40">
        <f>'Necesidades Trimestrales'!A20</f>
        <v>11</v>
      </c>
      <c r="B22" s="43">
        <f>'Necesidades Trimestrales'!B20</f>
        <v>0</v>
      </c>
      <c r="C22" s="133" t="str">
        <f>'Necesidades Trimestrales'!E20</f>
        <v>LORAZEPAM 1 MG COMPRIMIDO</v>
      </c>
      <c r="D22" s="134"/>
      <c r="E22" s="134"/>
      <c r="F22" s="134"/>
      <c r="G22" s="135"/>
      <c r="H22" s="41" t="s">
        <v>26</v>
      </c>
      <c r="I22" s="42" t="str">
        <f>'Necesidades Trimestrales'!F20</f>
        <v>COMPRIMIDO</v>
      </c>
      <c r="J22" s="47">
        <f>'Necesidades Trimestrales'!H20</f>
        <v>4.5</v>
      </c>
      <c r="K22" s="50">
        <f>'Necesidades Trimestrales'!G20</f>
        <v>60</v>
      </c>
      <c r="N22" s="88"/>
    </row>
    <row r="23" spans="1:14" ht="43.5" customHeight="1" thickBot="1" x14ac:dyDescent="0.3">
      <c r="A23" s="40">
        <f>'Necesidades Trimestrales'!A21</f>
        <v>12</v>
      </c>
      <c r="B23" s="43">
        <f>'Necesidades Trimestrales'!B21</f>
        <v>0</v>
      </c>
      <c r="C23" s="133" t="str">
        <f>'Necesidades Trimestrales'!E21</f>
        <v>NALOXONA 0,4 MG / ML AMPOLLA x 1 ml</v>
      </c>
      <c r="D23" s="134"/>
      <c r="E23" s="134"/>
      <c r="F23" s="134"/>
      <c r="G23" s="135"/>
      <c r="H23" s="41" t="s">
        <v>26</v>
      </c>
      <c r="I23" s="42" t="str">
        <f>'Necesidades Trimestrales'!F21</f>
        <v>AMPOLLA</v>
      </c>
      <c r="J23" s="47">
        <f>'Necesidades Trimestrales'!H21</f>
        <v>128</v>
      </c>
      <c r="K23" s="50">
        <f>'Necesidades Trimestrales'!G21</f>
        <v>50</v>
      </c>
      <c r="N23" s="88"/>
    </row>
    <row r="24" spans="1:14" ht="43.5" customHeight="1" thickBot="1" x14ac:dyDescent="0.3">
      <c r="A24" s="40">
        <f>'Necesidades Trimestrales'!A22</f>
        <v>13</v>
      </c>
      <c r="B24" s="43">
        <f>'Necesidades Trimestrales'!B22</f>
        <v>0</v>
      </c>
      <c r="C24" s="133" t="str">
        <f>'Necesidades Trimestrales'!E22</f>
        <v>NEOSTIGMINA 0,5 mg  x 1 ml AMPOLLA</v>
      </c>
      <c r="D24" s="134"/>
      <c r="E24" s="134"/>
      <c r="F24" s="134"/>
      <c r="G24" s="135"/>
      <c r="H24" s="41" t="s">
        <v>26</v>
      </c>
      <c r="I24" s="42" t="str">
        <f>'Necesidades Trimestrales'!F22</f>
        <v>AMPOLLA</v>
      </c>
      <c r="J24" s="47">
        <f>'Necesidades Trimestrales'!H22</f>
        <v>52</v>
      </c>
      <c r="K24" s="50">
        <f>'Necesidades Trimestrales'!G22</f>
        <v>200</v>
      </c>
      <c r="N24" s="88"/>
    </row>
    <row r="25" spans="1:14" ht="43.5" customHeight="1" thickBot="1" x14ac:dyDescent="0.3">
      <c r="A25" s="40">
        <f>'Necesidades Trimestrales'!A23</f>
        <v>14</v>
      </c>
      <c r="B25" s="43">
        <f>'Necesidades Trimestrales'!B23</f>
        <v>0</v>
      </c>
      <c r="C25" s="133" t="str">
        <f>'Necesidades Trimestrales'!E23</f>
        <v>PREGABALINA 75MG COMPRIMIDO</v>
      </c>
      <c r="D25" s="134"/>
      <c r="E25" s="134"/>
      <c r="F25" s="134"/>
      <c r="G25" s="135"/>
      <c r="H25" s="41" t="s">
        <v>26</v>
      </c>
      <c r="I25" s="42" t="str">
        <f>'Necesidades Trimestrales'!F23</f>
        <v>COMPRIMIDO</v>
      </c>
      <c r="J25" s="47">
        <f>'Necesidades Trimestrales'!H23</f>
        <v>15.8</v>
      </c>
      <c r="K25" s="50">
        <f>'Necesidades Trimestrales'!G23</f>
        <v>30</v>
      </c>
      <c r="N25" s="88"/>
    </row>
    <row r="26" spans="1:14" ht="43.5" customHeight="1" thickBot="1" x14ac:dyDescent="0.3">
      <c r="A26" s="40">
        <f>'Necesidades Trimestrales'!A24</f>
        <v>15</v>
      </c>
      <c r="B26" s="43">
        <f>'Necesidades Trimestrales'!B24</f>
        <v>0</v>
      </c>
      <c r="C26" s="133" t="str">
        <f>'Necesidades Trimestrales'!E24</f>
        <v>PROPARACAINA CLORHIDRATO 0,5% COLIRIO</v>
      </c>
      <c r="D26" s="134"/>
      <c r="E26" s="134"/>
      <c r="F26" s="134"/>
      <c r="G26" s="135"/>
      <c r="H26" s="41" t="s">
        <v>26</v>
      </c>
      <c r="I26" s="42" t="str">
        <f>'Necesidades Trimestrales'!F24</f>
        <v>GOTERO</v>
      </c>
      <c r="J26" s="47">
        <f>'Necesidades Trimestrales'!H24</f>
        <v>660</v>
      </c>
      <c r="K26" s="50">
        <f>'Necesidades Trimestrales'!G24</f>
        <v>100</v>
      </c>
      <c r="N26" s="88"/>
    </row>
    <row r="27" spans="1:14" ht="43.5" customHeight="1" thickBot="1" x14ac:dyDescent="0.3">
      <c r="A27" s="40">
        <f>'Necesidades Trimestrales'!A25</f>
        <v>16</v>
      </c>
      <c r="B27" s="43">
        <f>'Necesidades Trimestrales'!B25</f>
        <v>0</v>
      </c>
      <c r="C27" s="133" t="str">
        <f>'Necesidades Trimestrales'!E25</f>
        <v>PROTAMINA SULFATO 10 mg/ ml  AMPOLLA x 5 ml</v>
      </c>
      <c r="D27" s="134"/>
      <c r="E27" s="134"/>
      <c r="F27" s="134"/>
      <c r="G27" s="135"/>
      <c r="H27" s="41" t="s">
        <v>26</v>
      </c>
      <c r="I27" s="42" t="str">
        <f>'Necesidades Trimestrales'!F25</f>
        <v>AMPOLLA</v>
      </c>
      <c r="J27" s="47">
        <f>'Necesidades Trimestrales'!H25</f>
        <v>1580</v>
      </c>
      <c r="K27" s="50">
        <f>'Necesidades Trimestrales'!G25</f>
        <v>5</v>
      </c>
      <c r="N27" s="88"/>
    </row>
    <row r="28" spans="1:14" ht="43.5" customHeight="1" thickBot="1" x14ac:dyDescent="0.3">
      <c r="A28" s="40">
        <f>'Necesidades Trimestrales'!A26</f>
        <v>17</v>
      </c>
      <c r="B28" s="43">
        <f>'Necesidades Trimestrales'!B26</f>
        <v>0</v>
      </c>
      <c r="C28" s="133" t="str">
        <f>'Necesidades Trimestrales'!E26</f>
        <v>QUETIAPINA 100MG COMPRIMIDO</v>
      </c>
      <c r="D28" s="134"/>
      <c r="E28" s="134"/>
      <c r="F28" s="134"/>
      <c r="G28" s="135"/>
      <c r="H28" s="41" t="s">
        <v>26</v>
      </c>
      <c r="I28" s="42" t="str">
        <f>'Necesidades Trimestrales'!F26</f>
        <v>COMPRIMIDO</v>
      </c>
      <c r="J28" s="47">
        <f>'Necesidades Trimestrales'!H26</f>
        <v>16.2</v>
      </c>
      <c r="K28" s="50">
        <f>'Necesidades Trimestrales'!G26</f>
        <v>30</v>
      </c>
      <c r="N28" s="88"/>
    </row>
    <row r="29" spans="1:14" ht="43.5" customHeight="1" thickBot="1" x14ac:dyDescent="0.3">
      <c r="A29" s="40">
        <f>'Necesidades Trimestrales'!A27</f>
        <v>18</v>
      </c>
      <c r="B29" s="43">
        <f>'Necesidades Trimestrales'!B27</f>
        <v>0</v>
      </c>
      <c r="C29" s="133" t="str">
        <f>'Necesidades Trimestrales'!E27</f>
        <v>RISPERIDONA 1MG COMPRIMIDO</v>
      </c>
      <c r="D29" s="134"/>
      <c r="E29" s="134"/>
      <c r="F29" s="134"/>
      <c r="G29" s="135"/>
      <c r="H29" s="41" t="s">
        <v>26</v>
      </c>
      <c r="I29" s="42" t="str">
        <f>'Necesidades Trimestrales'!F27</f>
        <v>COMPRIMIDO</v>
      </c>
      <c r="J29" s="47">
        <f>'Necesidades Trimestrales'!H27</f>
        <v>3.75</v>
      </c>
      <c r="K29" s="50">
        <f>'Necesidades Trimestrales'!G27</f>
        <v>30</v>
      </c>
      <c r="N29" s="88"/>
    </row>
    <row r="30" spans="1:14" ht="43.5" customHeight="1" thickBot="1" x14ac:dyDescent="0.3">
      <c r="A30" s="40">
        <f>'Necesidades Trimestrales'!A28</f>
        <v>19</v>
      </c>
      <c r="B30" s="43">
        <f>'Necesidades Trimestrales'!B28</f>
        <v>0</v>
      </c>
      <c r="C30" s="133" t="str">
        <f>'Necesidades Trimestrales'!E28</f>
        <v>SERTRALINA 50MG COMPRIMIDOS</v>
      </c>
      <c r="D30" s="134"/>
      <c r="E30" s="134"/>
      <c r="F30" s="134"/>
      <c r="G30" s="135"/>
      <c r="H30" s="41" t="s">
        <v>26</v>
      </c>
      <c r="I30" s="42" t="str">
        <f>'Necesidades Trimestrales'!F28</f>
        <v>COMPRIMIDO</v>
      </c>
      <c r="J30" s="47">
        <f>'Necesidades Trimestrales'!H28</f>
        <v>8.0500000000000007</v>
      </c>
      <c r="K30" s="50">
        <f>'Necesidades Trimestrales'!G28</f>
        <v>30</v>
      </c>
      <c r="N30" s="88"/>
    </row>
    <row r="31" spans="1:14" ht="43.5" customHeight="1" thickBot="1" x14ac:dyDescent="0.3">
      <c r="A31" s="40">
        <f>'Necesidades Trimestrales'!A29</f>
        <v>20</v>
      </c>
      <c r="B31" s="43">
        <f>'Necesidades Trimestrales'!B29</f>
        <v>0</v>
      </c>
      <c r="C31" s="133" t="str">
        <f>'Necesidades Trimestrales'!E29</f>
        <v>TOBRAMICINA 0,3% COLIRIO x 5 ml</v>
      </c>
      <c r="D31" s="134"/>
      <c r="E31" s="134"/>
      <c r="F31" s="134"/>
      <c r="G31" s="135"/>
      <c r="H31" s="41" t="s">
        <v>26</v>
      </c>
      <c r="I31" s="42" t="str">
        <f>'Necesidades Trimestrales'!F29</f>
        <v>GOTERO</v>
      </c>
      <c r="J31" s="47">
        <f>'Necesidades Trimestrales'!H29</f>
        <v>520</v>
      </c>
      <c r="K31" s="50">
        <f>'Necesidades Trimestrales'!G29</f>
        <v>100</v>
      </c>
      <c r="N31" s="88"/>
    </row>
    <row r="32" spans="1:14" ht="43.5" customHeight="1" x14ac:dyDescent="0.25">
      <c r="A32" s="40">
        <f>'Necesidades Trimestrales'!A30</f>
        <v>21</v>
      </c>
      <c r="B32" s="43">
        <f>'Necesidades Trimestrales'!B30</f>
        <v>0</v>
      </c>
      <c r="C32" s="133" t="str">
        <f>'Necesidades Trimestrales'!E30</f>
        <v>TROPICAMIDA 0,5% COLIRIO x 5 ml</v>
      </c>
      <c r="D32" s="134"/>
      <c r="E32" s="134"/>
      <c r="F32" s="134"/>
      <c r="G32" s="135"/>
      <c r="H32" s="41" t="s">
        <v>26</v>
      </c>
      <c r="I32" s="42" t="str">
        <f>'Necesidades Trimestrales'!F30</f>
        <v>GOTERO</v>
      </c>
      <c r="J32" s="47">
        <f>'Necesidades Trimestrales'!H30</f>
        <v>450</v>
      </c>
      <c r="K32" s="50">
        <f>'Necesidades Trimestrales'!G30</f>
        <v>100</v>
      </c>
      <c r="N32" s="88"/>
    </row>
    <row r="33" spans="1:14" ht="41.25" customHeight="1" thickBot="1" x14ac:dyDescent="0.25">
      <c r="A33" s="142" t="s">
        <v>93</v>
      </c>
      <c r="B33" s="142"/>
      <c r="C33" s="142"/>
      <c r="D33" s="142"/>
      <c r="E33" s="142"/>
      <c r="F33" s="142"/>
      <c r="G33" s="142"/>
      <c r="H33" s="142"/>
      <c r="I33" s="143"/>
      <c r="J33" s="144">
        <f>SUMPRODUCT(J12:J32,K12:K32)</f>
        <v>238880.7</v>
      </c>
      <c r="K33" s="144"/>
      <c r="N33" s="88"/>
    </row>
    <row r="36" spans="1:14" x14ac:dyDescent="0.2">
      <c r="J36" s="140"/>
      <c r="K36" s="141"/>
    </row>
    <row r="37" spans="1:14" ht="15" x14ac:dyDescent="0.2">
      <c r="D37" s="45"/>
      <c r="E37" s="45"/>
      <c r="F37" s="45"/>
      <c r="G37" s="45"/>
      <c r="H37" s="45"/>
      <c r="I37" s="45"/>
    </row>
    <row r="38" spans="1:14" ht="15" x14ac:dyDescent="0.2">
      <c r="D38" s="45"/>
      <c r="E38" s="45"/>
      <c r="F38" s="45"/>
      <c r="G38" s="45"/>
      <c r="H38" s="45"/>
      <c r="I38" s="45"/>
    </row>
    <row r="39" spans="1:14" ht="15" x14ac:dyDescent="0.2">
      <c r="D39" s="45"/>
      <c r="E39" s="45"/>
      <c r="F39" s="45"/>
      <c r="G39" s="45"/>
      <c r="H39" s="45"/>
      <c r="I39" s="45"/>
    </row>
    <row r="40" spans="1:14" ht="15.75" x14ac:dyDescent="0.2">
      <c r="D40" s="46"/>
      <c r="E40" s="45"/>
      <c r="F40" s="45"/>
      <c r="G40" s="45"/>
      <c r="H40" s="45"/>
      <c r="I40" s="45"/>
    </row>
  </sheetData>
  <mergeCells count="44">
    <mergeCell ref="A8:C8"/>
    <mergeCell ref="D8:K8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H10:H11"/>
    <mergeCell ref="I10:I11"/>
    <mergeCell ref="C17:G17"/>
    <mergeCell ref="C18:G18"/>
    <mergeCell ref="C19:G19"/>
    <mergeCell ref="C14:G14"/>
    <mergeCell ref="C15:G15"/>
    <mergeCell ref="C13:G13"/>
    <mergeCell ref="C16:G16"/>
    <mergeCell ref="C12:G12"/>
    <mergeCell ref="C29:G29"/>
    <mergeCell ref="C30:G30"/>
    <mergeCell ref="A10:A11"/>
    <mergeCell ref="B10:B11"/>
    <mergeCell ref="C10:G11"/>
    <mergeCell ref="C32:G32"/>
    <mergeCell ref="C31:G31"/>
    <mergeCell ref="J10:J11"/>
    <mergeCell ref="K10:K11"/>
    <mergeCell ref="J36:K36"/>
    <mergeCell ref="A33:I33"/>
    <mergeCell ref="J33:K33"/>
    <mergeCell ref="C20:G20"/>
    <mergeCell ref="C21:G21"/>
    <mergeCell ref="C22:G22"/>
    <mergeCell ref="C23:G23"/>
    <mergeCell ref="C24:G24"/>
    <mergeCell ref="C25:G25"/>
    <mergeCell ref="C26:G26"/>
    <mergeCell ref="C27:G27"/>
    <mergeCell ref="C28:G28"/>
  </mergeCells>
  <phoneticPr fontId="39" type="noConversion"/>
  <printOptions horizontalCentered="1"/>
  <pageMargins left="0.196527777777778" right="0.196527777777778" top="0.98402777777777795" bottom="0.98402777777777795" header="0.51180555555555496" footer="0.51180555555555496"/>
  <pageSetup paperSize="9" scale="71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workbookViewId="0">
      <selection activeCell="D2" sqref="D2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8" ht="15.75" customHeight="1" thickBot="1" x14ac:dyDescent="0.3">
      <c r="A1" s="176" t="s">
        <v>3</v>
      </c>
      <c r="B1" s="176"/>
      <c r="C1" s="176"/>
      <c r="D1" s="177">
        <v>2022</v>
      </c>
      <c r="E1" s="177"/>
      <c r="F1" s="3"/>
      <c r="G1" s="3"/>
      <c r="H1" s="4"/>
      <c r="I1" s="4"/>
      <c r="J1" s="4"/>
      <c r="K1" s="4"/>
      <c r="L1" s="4"/>
      <c r="M1" s="4"/>
      <c r="N1" s="4"/>
      <c r="P1" s="178" t="s">
        <v>27</v>
      </c>
      <c r="Q1" s="178"/>
    </row>
    <row r="2" spans="1:18" ht="15.75" customHeight="1" thickBot="1" x14ac:dyDescent="0.25">
      <c r="H2" s="4"/>
      <c r="I2" s="4"/>
      <c r="J2" s="4"/>
      <c r="K2" s="4"/>
      <c r="L2" s="4"/>
      <c r="M2" s="4"/>
      <c r="N2" s="4"/>
      <c r="P2" s="178"/>
      <c r="Q2" s="178"/>
    </row>
    <row r="4" spans="1:18" s="5" customFormat="1" ht="18" customHeight="1" thickBot="1" x14ac:dyDescent="0.25">
      <c r="A4" s="179" t="s">
        <v>28</v>
      </c>
      <c r="B4" s="179"/>
      <c r="C4" s="179"/>
      <c r="D4" s="179"/>
      <c r="E4" s="179"/>
      <c r="F4" s="179"/>
      <c r="G4" s="180" t="str">
        <f>' NotaPedido'!D3</f>
        <v>40- Ministerio de Salud</v>
      </c>
      <c r="H4" s="180"/>
      <c r="I4" s="180"/>
      <c r="J4" s="180"/>
      <c r="K4" s="180"/>
      <c r="L4" s="180"/>
      <c r="M4" s="180"/>
      <c r="N4" s="180"/>
      <c r="O4" s="180"/>
      <c r="P4" s="180"/>
      <c r="Q4" s="180"/>
    </row>
    <row r="5" spans="1:18" s="5" customFormat="1" ht="18" customHeight="1" thickBot="1" x14ac:dyDescent="0.25">
      <c r="A5" s="184" t="s">
        <v>14</v>
      </c>
      <c r="B5" s="185"/>
      <c r="C5" s="185"/>
      <c r="D5" s="185"/>
      <c r="E5" s="185"/>
      <c r="F5" s="186"/>
      <c r="G5" s="180" t="str">
        <f>' NotaPedido'!D4</f>
        <v>28- Maternidad Provincial 25 de Mayo</v>
      </c>
      <c r="H5" s="180"/>
      <c r="I5" s="180"/>
      <c r="J5" s="180"/>
      <c r="K5" s="180"/>
      <c r="L5" s="180"/>
      <c r="M5" s="180"/>
      <c r="N5" s="180"/>
      <c r="O5" s="180"/>
      <c r="P5" s="180"/>
      <c r="Q5" s="180"/>
    </row>
    <row r="6" spans="1:18" s="5" customFormat="1" ht="18" customHeight="1" thickBot="1" x14ac:dyDescent="0.25">
      <c r="A6" s="184" t="s">
        <v>15</v>
      </c>
      <c r="B6" s="185"/>
      <c r="C6" s="185"/>
      <c r="D6" s="185"/>
      <c r="E6" s="185"/>
      <c r="F6" s="186"/>
      <c r="G6" s="180" t="str">
        <f>' NotaPedido'!D5</f>
        <v xml:space="preserve">169- Direccion Asistencial </v>
      </c>
      <c r="H6" s="180"/>
      <c r="I6" s="180"/>
      <c r="J6" s="180"/>
      <c r="K6" s="180"/>
      <c r="L6" s="180"/>
      <c r="M6" s="180"/>
      <c r="N6" s="180"/>
      <c r="O6" s="180"/>
      <c r="P6" s="180"/>
      <c r="Q6" s="180"/>
    </row>
    <row r="7" spans="1:18" s="5" customFormat="1" ht="18" customHeight="1" thickBot="1" x14ac:dyDescent="0.25">
      <c r="A7" s="184" t="s">
        <v>16</v>
      </c>
      <c r="B7" s="185"/>
      <c r="C7" s="185"/>
      <c r="D7" s="185"/>
      <c r="E7" s="185"/>
      <c r="F7" s="186"/>
      <c r="G7" s="180" t="str">
        <f>' NotaPedido'!D6</f>
        <v>Servicio de Farmacia</v>
      </c>
      <c r="H7" s="180"/>
      <c r="I7" s="180"/>
      <c r="J7" s="180"/>
      <c r="K7" s="180"/>
      <c r="L7" s="180"/>
      <c r="M7" s="180"/>
      <c r="N7" s="180"/>
      <c r="O7" s="180"/>
      <c r="P7" s="180"/>
      <c r="Q7" s="180"/>
    </row>
    <row r="8" spans="1:18" ht="18" customHeight="1" thickBot="1" x14ac:dyDescent="0.25">
      <c r="A8" s="187" t="s">
        <v>29</v>
      </c>
      <c r="B8" s="187"/>
      <c r="C8" s="187"/>
      <c r="D8" s="187"/>
      <c r="E8" s="187"/>
      <c r="F8" s="187"/>
      <c r="G8" s="187"/>
      <c r="H8" s="187"/>
      <c r="I8" s="187"/>
      <c r="J8" s="187"/>
      <c r="K8" s="187"/>
      <c r="L8" s="187"/>
      <c r="M8" s="187"/>
      <c r="N8" s="187"/>
      <c r="O8" s="187"/>
      <c r="P8" s="187"/>
      <c r="Q8" s="187"/>
    </row>
    <row r="9" spans="1:18" ht="18" customHeight="1" x14ac:dyDescent="0.2">
      <c r="A9" s="181" t="s">
        <v>30</v>
      </c>
      <c r="B9" s="181"/>
      <c r="C9" s="181"/>
      <c r="D9" s="181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15"/>
      <c r="P9" s="115"/>
      <c r="Q9" s="116"/>
    </row>
    <row r="10" spans="1:18" ht="54.75" customHeight="1" x14ac:dyDescent="0.2">
      <c r="A10" s="182" t="s">
        <v>99</v>
      </c>
      <c r="B10" s="182"/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  <c r="Q10" s="182"/>
    </row>
    <row r="11" spans="1:18" ht="9" customHeight="1" thickBot="1" x14ac:dyDescent="0.25">
      <c r="A11" s="122"/>
      <c r="B11" s="6"/>
      <c r="C11" s="6"/>
      <c r="D11" s="6"/>
      <c r="E11" s="6"/>
      <c r="F11" s="6"/>
      <c r="G11" s="7"/>
      <c r="H11" s="6"/>
      <c r="I11" s="6"/>
      <c r="J11" s="6"/>
      <c r="K11" s="6"/>
      <c r="L11" s="6"/>
      <c r="M11" s="6"/>
      <c r="N11" s="6"/>
      <c r="O11" s="6"/>
      <c r="P11" s="6"/>
      <c r="Q11" s="8"/>
    </row>
    <row r="12" spans="1:18" ht="15.75" customHeight="1" thickBot="1" x14ac:dyDescent="0.25">
      <c r="A12" s="183" t="s">
        <v>31</v>
      </c>
      <c r="B12" s="183"/>
      <c r="C12" s="183"/>
      <c r="D12" s="183"/>
      <c r="E12" s="183"/>
      <c r="F12" s="183"/>
      <c r="G12" s="183"/>
      <c r="H12" s="183"/>
      <c r="I12" s="183"/>
      <c r="J12" s="183"/>
      <c r="K12" s="183"/>
      <c r="L12" s="183"/>
      <c r="M12" s="183"/>
      <c r="N12" s="183"/>
      <c r="O12" s="183"/>
      <c r="P12" s="183"/>
      <c r="Q12" s="183"/>
    </row>
    <row r="13" spans="1:18" ht="15.75" customHeight="1" thickBot="1" x14ac:dyDescent="0.25">
      <c r="A13" s="154" t="s">
        <v>32</v>
      </c>
      <c r="B13" s="154"/>
      <c r="C13" s="154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55" t="s">
        <v>33</v>
      </c>
      <c r="P13" s="156"/>
      <c r="Q13" s="157" t="s">
        <v>34</v>
      </c>
    </row>
    <row r="14" spans="1:18" ht="15.75" customHeight="1" thickBot="1" x14ac:dyDescent="0.25">
      <c r="A14" s="9" t="s">
        <v>35</v>
      </c>
      <c r="B14" s="10" t="s">
        <v>36</v>
      </c>
      <c r="C14" s="10" t="s">
        <v>37</v>
      </c>
      <c r="D14" s="10" t="s">
        <v>38</v>
      </c>
      <c r="E14" s="10" t="s">
        <v>39</v>
      </c>
      <c r="F14" s="10" t="s">
        <v>40</v>
      </c>
      <c r="G14" s="11" t="s">
        <v>41</v>
      </c>
      <c r="H14" s="10" t="s">
        <v>42</v>
      </c>
      <c r="I14" s="10" t="s">
        <v>43</v>
      </c>
      <c r="J14" s="10" t="s">
        <v>44</v>
      </c>
      <c r="K14" s="10" t="s">
        <v>44</v>
      </c>
      <c r="L14" s="10" t="s">
        <v>45</v>
      </c>
      <c r="M14" s="12" t="s">
        <v>46</v>
      </c>
      <c r="N14" s="13" t="s">
        <v>47</v>
      </c>
      <c r="O14" s="155"/>
      <c r="P14" s="156"/>
      <c r="Q14" s="157"/>
    </row>
    <row r="15" spans="1:18" ht="27" customHeight="1" x14ac:dyDescent="0.2">
      <c r="A15" s="20">
        <v>42</v>
      </c>
      <c r="B15" s="21"/>
      <c r="C15" s="21"/>
      <c r="D15" s="21">
        <v>2</v>
      </c>
      <c r="E15" s="21"/>
      <c r="F15" s="21">
        <v>4901</v>
      </c>
      <c r="G15" s="21">
        <v>3</v>
      </c>
      <c r="H15" s="21">
        <v>1</v>
      </c>
      <c r="I15" s="21">
        <v>2</v>
      </c>
      <c r="J15" s="21">
        <v>5</v>
      </c>
      <c r="K15" s="21">
        <v>2</v>
      </c>
      <c r="L15" s="21"/>
      <c r="M15" s="22">
        <v>1</v>
      </c>
      <c r="N15" s="21" t="s">
        <v>48</v>
      </c>
      <c r="O15" s="164" t="s">
        <v>51</v>
      </c>
      <c r="P15" s="165"/>
      <c r="Q15" s="113">
        <v>238880.7</v>
      </c>
      <c r="R15" s="114"/>
    </row>
    <row r="16" spans="1:18" ht="27" customHeight="1" x14ac:dyDescent="0.2">
      <c r="A16" s="20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2"/>
      <c r="N16" s="21"/>
      <c r="O16" s="174"/>
      <c r="P16" s="175"/>
      <c r="Q16" s="27"/>
    </row>
    <row r="17" spans="1:17" ht="27" customHeight="1" x14ac:dyDescent="0.2">
      <c r="A17" s="20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2"/>
      <c r="N17" s="21"/>
      <c r="O17" s="174"/>
      <c r="P17" s="175"/>
      <c r="Q17" s="27"/>
    </row>
    <row r="18" spans="1:17" ht="28.5" customHeight="1" x14ac:dyDescent="0.2">
      <c r="A18" s="18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7"/>
      <c r="O18" s="166"/>
      <c r="P18" s="167"/>
      <c r="Q18" s="27"/>
    </row>
    <row r="19" spans="1:17" ht="28.5" customHeight="1" x14ac:dyDescent="0.2">
      <c r="A19" s="24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6"/>
      <c r="O19" s="168"/>
      <c r="P19" s="169"/>
      <c r="Q19" s="27"/>
    </row>
    <row r="20" spans="1:17" ht="28.5" customHeight="1" x14ac:dyDescent="0.2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9"/>
      <c r="O20" s="158"/>
      <c r="P20" s="159"/>
      <c r="Q20" s="27"/>
    </row>
    <row r="21" spans="1:17" ht="31.5" customHeight="1" thickBot="1" x14ac:dyDescent="0.25">
      <c r="A21" s="161" t="s">
        <v>95</v>
      </c>
      <c r="B21" s="161"/>
      <c r="C21" s="161"/>
      <c r="D21" s="161"/>
      <c r="E21" s="161"/>
      <c r="F21" s="161"/>
      <c r="G21" s="161"/>
      <c r="H21" s="161"/>
      <c r="I21" s="161"/>
      <c r="J21" s="161"/>
      <c r="K21" s="161"/>
      <c r="L21" s="161"/>
      <c r="M21" s="161"/>
      <c r="N21" s="161"/>
      <c r="O21" s="161"/>
      <c r="P21" s="161"/>
      <c r="Q21" s="14">
        <f>SUM(Q15:Q19)</f>
        <v>238880.7</v>
      </c>
    </row>
    <row r="22" spans="1:17" ht="18" customHeight="1" thickBot="1" x14ac:dyDescent="0.25">
      <c r="A22" s="162"/>
      <c r="B22" s="163"/>
      <c r="C22" s="163"/>
      <c r="D22" s="163"/>
      <c r="E22" s="163"/>
      <c r="F22" s="163"/>
      <c r="G22" s="163"/>
      <c r="H22" s="163"/>
      <c r="I22" s="163"/>
      <c r="J22" s="163"/>
      <c r="K22" s="163"/>
      <c r="L22" s="163"/>
      <c r="M22" s="163"/>
      <c r="N22" s="163"/>
      <c r="O22" s="163"/>
      <c r="P22" s="163"/>
      <c r="Q22" s="163"/>
    </row>
    <row r="23" spans="1:17" ht="17.25" customHeight="1" thickBot="1" x14ac:dyDescent="0.25">
      <c r="A23" s="170" t="s">
        <v>49</v>
      </c>
      <c r="B23" s="171"/>
      <c r="C23" s="171"/>
      <c r="D23" s="171"/>
      <c r="E23" s="171"/>
      <c r="F23" s="172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</row>
    <row r="24" spans="1:17" ht="18" customHeight="1" thickBot="1" x14ac:dyDescent="0.25">
      <c r="A24" s="160" t="s">
        <v>98</v>
      </c>
      <c r="B24" s="160"/>
      <c r="C24" s="160"/>
      <c r="D24" s="160"/>
      <c r="E24" s="160"/>
      <c r="F24" s="160"/>
      <c r="G24" s="160"/>
      <c r="H24" s="160"/>
      <c r="I24" s="160"/>
      <c r="J24" s="160"/>
      <c r="K24" s="160"/>
      <c r="L24" s="160"/>
      <c r="M24" s="160"/>
      <c r="N24" s="160"/>
      <c r="O24" s="160"/>
      <c r="P24" s="160"/>
      <c r="Q24" s="160"/>
    </row>
    <row r="25" spans="1:17" ht="39" customHeight="1" thickBot="1" x14ac:dyDescent="0.25">
      <c r="A25" s="160"/>
      <c r="B25" s="160"/>
      <c r="C25" s="160"/>
      <c r="D25" s="160"/>
      <c r="E25" s="160"/>
      <c r="F25" s="160"/>
      <c r="G25" s="160"/>
      <c r="H25" s="160"/>
      <c r="I25" s="160"/>
      <c r="J25" s="160"/>
      <c r="K25" s="160"/>
      <c r="L25" s="160"/>
      <c r="M25" s="160"/>
      <c r="N25" s="160"/>
      <c r="O25" s="160"/>
      <c r="P25" s="160"/>
      <c r="Q25" s="160"/>
    </row>
  </sheetData>
  <mergeCells count="29">
    <mergeCell ref="A9:N9"/>
    <mergeCell ref="A10:Q10"/>
    <mergeCell ref="A12:Q12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  <mergeCell ref="A13:N13"/>
    <mergeCell ref="O13:P14"/>
    <mergeCell ref="Q13:Q14"/>
    <mergeCell ref="O20:P20"/>
    <mergeCell ref="A24:Q25"/>
    <mergeCell ref="A21:P21"/>
    <mergeCell ref="A22:Q22"/>
    <mergeCell ref="O15:P15"/>
    <mergeCell ref="O18:P18"/>
    <mergeCell ref="O19:P19"/>
    <mergeCell ref="A23:F23"/>
    <mergeCell ref="G23:Q23"/>
    <mergeCell ref="O16:P16"/>
    <mergeCell ref="O17:P17"/>
  </mergeCells>
  <phoneticPr fontId="42" type="noConversion"/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Usuario de Windows</cp:lastModifiedBy>
  <cp:revision>2</cp:revision>
  <cp:lastPrinted>2021-10-12T11:07:03Z</cp:lastPrinted>
  <dcterms:created xsi:type="dcterms:W3CDTF">2020-07-17T23:44:49Z</dcterms:created>
  <dcterms:modified xsi:type="dcterms:W3CDTF">2022-01-21T13:23:47Z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