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t1ZbBKN8LVvLBVE3NTZ67NVJGmkAlhyz\COMPARTIDA\DIRECCION DE PLANIFICACION\VADEMECUM\CODIFICACION RUBEN\"/>
    </mc:Choice>
  </mc:AlternateContent>
  <bookViews>
    <workbookView xWindow="-120" yWindow="-120" windowWidth="29040" windowHeight="15840" tabRatio="500"/>
  </bookViews>
  <sheets>
    <sheet name="Necesidades Trimestrales " sheetId="4" r:id="rId1"/>
    <sheet name=" NotaPedido" sheetId="2" r:id="rId2"/>
    <sheet name="Autor Gastar" sheetId="3" r:id="rId3"/>
  </sheets>
  <definedNames>
    <definedName name="_xlnm._FilterDatabase" localSheetId="0" hidden="1">'Necesidades Trimestrales '!$A$9:$I$87</definedName>
    <definedName name="_xlnm.Print_Area" localSheetId="1">' NotaPedido'!$A$1:$K$89</definedName>
    <definedName name="_xlnm.Print_Area" localSheetId="2">'Autor Gastar'!$A$1:$Q$27</definedName>
    <definedName name="_xlnm.Print_Area" localSheetId="0">'Necesidades Trimestrales 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G4" i="3"/>
  <c r="D4" i="2"/>
  <c r="D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12" i="2"/>
  <c r="J12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12" i="2"/>
  <c r="J89" i="2" l="1"/>
  <c r="I33" i="4"/>
  <c r="I87" i="4" l="1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Q23" i="3" l="1"/>
  <c r="A10" i="3" l="1"/>
  <c r="G6" i="3" l="1"/>
  <c r="G7" i="3"/>
  <c r="G5" i="3"/>
</calcChain>
</file>

<file path=xl/sharedStrings.xml><?xml version="1.0" encoding="utf-8"?>
<sst xmlns="http://schemas.openxmlformats.org/spreadsheetml/2006/main" count="476" uniqueCount="235">
  <si>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</si>
  <si>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</si>
  <si>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</si>
  <si>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</si>
  <si>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</si>
  <si>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</si>
  <si>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</si>
  <si>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</si>
  <si>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</si>
  <si>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</si>
  <si>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</si>
  <si>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</si>
  <si>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</si>
  <si>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</si>
  <si>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</si>
  <si>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</si>
  <si>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</si>
  <si>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</si>
  <si>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</si>
  <si>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</si>
  <si>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</si>
  <si>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</si>
  <si>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</si>
  <si>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</si>
  <si>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</si>
  <si>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</si>
  <si>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</si>
  <si>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</si>
  <si>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</si>
  <si>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</si>
  <si>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</si>
  <si>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</si>
  <si>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</si>
  <si>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</si>
  <si>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</si>
  <si>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</si>
  <si>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</si>
  <si>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</si>
  <si>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</si>
  <si>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</si>
  <si>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</si>
  <si>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</si>
  <si>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</si>
  <si>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</si>
  <si>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</si>
  <si>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</si>
  <si>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</si>
  <si>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</si>
  <si>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</si>
  <si>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</si>
  <si>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</si>
  <si>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</si>
  <si>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</si>
  <si>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</si>
  <si>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</si>
  <si>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</si>
  <si>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</si>
  <si>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</si>
  <si>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11/ 23/ 24  o  28- "…......."</t>
  </si>
  <si>
    <t>XXXX</t>
  </si>
  <si>
    <t>Costo total estimado: xxxxxxxxxxxxxxxxxxxx con 00/100.</t>
  </si>
  <si>
    <t>TOTAL DE PESOS: xxxxxxxxxxxxxxx con 00/100.</t>
  </si>
  <si>
    <t>Para la adquisición de .... … destinados al servico de …... del Hospital …...............</t>
  </si>
  <si>
    <t>UNIDAD</t>
  </si>
  <si>
    <t>COMPRIMIDO</t>
  </si>
  <si>
    <t>AMPOLLA</t>
  </si>
  <si>
    <t>GOTERO</t>
  </si>
  <si>
    <t>CAJA</t>
  </si>
  <si>
    <t>ENVASE</t>
  </si>
  <si>
    <t>FRASCO</t>
  </si>
  <si>
    <t>Semestral</t>
  </si>
  <si>
    <t>xxx/2022</t>
  </si>
  <si>
    <t xml:space="preserve">Adquisición de SANGRE Y ORGANOS HEMATOPOYETICOS/SISTEMA CARDIOVASCULAR </t>
  </si>
  <si>
    <t>2.5.2-1873.5</t>
  </si>
  <si>
    <t>ANTICOAGULANTES P/PERSONAS; TIPO: MONODROGA, DROGA GENERICA: ACENOCUMAROL, FORMA FARMACEUTICA: COMPRIMIDOS, PRESENTACION: 4 mGr</t>
  </si>
  <si>
    <t>2.5.2-1873.18</t>
  </si>
  <si>
    <t>ANTICOAGULANTES P/PERSONAS; TIPO: MONODROGA, DROGA GENERICA: AMINOCAPROICO, FORMA FARMACEUTICA: AMPOLLA, PRESENTACION: 2 GR</t>
  </si>
  <si>
    <t>2.5.2-1872.49</t>
  </si>
  <si>
    <t>ANTIANEMICOS; TIPO: MONODROGA, DROGA GENERICA: ACIDO FOLICO 5 MG, FORMA FARMACEUTICA: COMPRIMIDO, PRESENTACION: UNIDAD</t>
  </si>
  <si>
    <t>2.5.2-7255.4</t>
  </si>
  <si>
    <t>2.5.2-1834.10</t>
  </si>
  <si>
    <t>ANTIARRITMICOS; TIPO: MONODROGA, DROGA GENERICA: ADENOSINA 3 MG/ML, FORMA FARMACEUTICA: AMPOLLA, PRESENTACION: 6 mGr</t>
  </si>
  <si>
    <t>2.5.2-1838.13</t>
  </si>
  <si>
    <t>INOTROPICOS; TIPO: MONODROGA, DROGA GENERICA: ADRENALINA 1 %, FORMA FARMACEUTICA: AMPOLLA, PRESENTACION: ENVASE X 1 mL</t>
  </si>
  <si>
    <t>2.5.2-1834.2</t>
  </si>
  <si>
    <t>ANTIARRITMICOS; TIPO: MONODROGA, DROGA GENERICA: AMIODARONA, FORMA FARMACEUTICA: AMPOLLA, PRESENTACION: 150 mGr</t>
  </si>
  <si>
    <t>2.5.2-2482.2</t>
  </si>
  <si>
    <t>ANTIANGINOSOS; TIPO: MONODROGA, DROGA GENERICA: AMIODARONA, FORMA FARMACEUTICA: COMPRIMIDO, PRESENTACION: 200 mGr</t>
  </si>
  <si>
    <t>2.5.2-4817.16</t>
  </si>
  <si>
    <t>ANTIHIPERTENSIVOS; TIPO: MONODROGA, DROGA GENERICA: AMLODIPINA, FORMA FARMACEUTICA: COMPRIMIDOS, PRESENTACION: 5 mGr</t>
  </si>
  <si>
    <t>2.5.2-4817.15</t>
  </si>
  <si>
    <t>ANTIHIPERTENSIVOS; TIPO: MONODROGA, DROGA GENERICA: AMLODIPINA, FORMA FARMACEUTICA: COMPRIMIDOS, PRESENTACION: 10 mGr</t>
  </si>
  <si>
    <t>2.5.2-4817.12</t>
  </si>
  <si>
    <t>ANTIHIPERTENSIVOS; TIPO: MONODROGA, DROGA GENERICA: ATENOLOL, FORMA FARMACEUTICA: COMPRIMIDOS, PRESENTACION: 50 mGr</t>
  </si>
  <si>
    <t>2.5.2-1863.9</t>
  </si>
  <si>
    <t>HIPOLIPEMIANTES; TIPO: MONODROGA, DROGA GENERICA: ATORVASTATIN, FORMA FARMACEUTICA: COMPRIMIDO, PRESENTACION: 10 mGr</t>
  </si>
  <si>
    <t>2.5.2-1863.3</t>
  </si>
  <si>
    <t>HIPOLIPEMIANTES; TIPO: MONODROGA, DROGA GENERICA: ATORVASTATIN, FORMA FARMACEUTICA: COMPRIMIDO, PRESENTACION: 20 mGr</t>
  </si>
  <si>
    <t>2.5.2-4817.24</t>
  </si>
  <si>
    <t>ANTIHIPERTENSIVOS; TIPO: MONODROGA, DROGA GENERICA: BISOPROLOL, FORMA FARMACEUTICA: COMPRIMIDOS, PRESENTACION: 5 mGr</t>
  </si>
  <si>
    <t>2.5.2-1837.88</t>
  </si>
  <si>
    <t>HIPOTENSORES; TIPO: MONODROGA, DROGA GENERICA: CARVEDILOL, FORMA FARMACEUTICA: COMPRIMIDO, PRESENTACION: 3,125 mGr</t>
  </si>
  <si>
    <t>2.5.2-1837.42</t>
  </si>
  <si>
    <t>HIPOTENSORES; TIPO: MONODROGA, DROGA GENERICA: CARVEDILOL, FORMA FARMACEUTICA: COMPRIMIDO, PRESENTACION: 6,25 mGr</t>
  </si>
  <si>
    <t>2.5.2-1837.56</t>
  </si>
  <si>
    <t>HIPOTENSORES; TIPO: MONODROGA, DROGA GENERICA: CARVEDILOL, FORMA FARMACEUTICA: COMPRIMIDO, PRESENTACION: 12,5 mGr</t>
  </si>
  <si>
    <t>2.5.2-1837.30</t>
  </si>
  <si>
    <t>HIPOTENSORES; DROGA GENERICA: CARVEDILOL, FORMA FARMACEUTICA: COMPRIMIDO, TIPO: MONODROGA, PRESENTACION: 25 mGr</t>
  </si>
  <si>
    <t>2.5.2-4817.30</t>
  </si>
  <si>
    <t>ANTIHIPERTENSIVOS; TIPO: MONODROGA, DROGA GENERICA: CLONIDINA, FORMA FARMACEUTICA: AMPOLLA, PRESENTACION: 0,15 mGr</t>
  </si>
  <si>
    <t>2.5.2-2693.4</t>
  </si>
  <si>
    <t>CARDIOTONICOS; TIPO: MONODROGA, DROGA GENERICA: DIGOXINA, FORMA FARMACEUTICA: COMPRIMIDO, PRESENTACION: 0,25 mGr</t>
  </si>
  <si>
    <t>2.5.2-2693.14</t>
  </si>
  <si>
    <t>CARDIOTONICOS; TIPO: MONODROGA, DROGA GENERICA: DIGOXINA, FORMA FARMACEUTICA: AMPOLLA, PRESENTACION: 0,25 mGr</t>
  </si>
  <si>
    <t>2.5.2-1839.31</t>
  </si>
  <si>
    <t>VASODILATADORES CORONARIOS; TIPO: MONODROGA, DROGA GENERICA: DILTIAZEM, FORMA FARMACEUTICA: COMPRIMIDO, PRESENTACION: 60 mGr</t>
  </si>
  <si>
    <t>2.5.2-1839.26</t>
  </si>
  <si>
    <t>VASODILATADORES CORONARIOS; TIPO: MONODROGA, DROGA GENERICA: DILTIAZEM CLORHIDRATO 25 mGr, FORMA FARMACEUTICA: AMPOLLA, PRESENTACION: ENVASE X 5 mL</t>
  </si>
  <si>
    <t>CARDIOTONICOS; TIPO: MONODROGA, DROGA GENERICA: DOBUTAMINA, FORMA FARMACEUTICA: AMPOLLA, PRESENTACION: 20 mL</t>
  </si>
  <si>
    <t>2.5.2-2693.5</t>
  </si>
  <si>
    <t>2.5.2-2693.2</t>
  </si>
  <si>
    <t>CARDIOTONICOS; TIPO: MONODROGA, DROGA GENERICA: DOPAMINA, PRESENTACION: 200 mGr, FORMA FARMACEUTICA: AMPOLLA</t>
  </si>
  <si>
    <t>2.5.2-1837.7</t>
  </si>
  <si>
    <t>HIPOTENSORES; DROGA GENERICA: ENALAPRIL, FORMA FARMACEUTICA: COMPRIMIDO, TIPO: MONODROGA, PRESENTACION: 10 mGr</t>
  </si>
  <si>
    <t>2.5.2-1837.9</t>
  </si>
  <si>
    <t>HIPOTENSORES; TIPO: MONODROGA, DROGA GENERICA: ENALAPRIL, PRESENTACION: 5 mGr, FORMA FARMACEUTICA: COMPRIMIDO</t>
  </si>
  <si>
    <t>2.5.2-1873.50</t>
  </si>
  <si>
    <t>ANTICOAGULANTES P/PERSONAS; TIPO: MONODROGA, DROGA GENERICA: ENOXAPARINA 40 MG, FORMA FARMACEUTICA: JERINGA PRELLENADA, PRESENTACION: ENVASE X 1 UN</t>
  </si>
  <si>
    <t>2.5.2-1873.51</t>
  </si>
  <si>
    <t>ANTICOAGULANTES P/PERSONAS; TIPO: MONODROGA, DROGA GENERICA: ENOXAPARINA 60 MG, FORMA FARMACEUTICA: JERINGA PRELLENADA, PRESENTACION: ENVASE X 1 UN</t>
  </si>
  <si>
    <t>2.5.2-1873.54</t>
  </si>
  <si>
    <t>ANTICOAGULANTES P/PERSONAS; TIPO: MONODROGA, DROGA GENERICA: ENOXAPARINA 80 mGr, FORMA FARMACEUTICA: JERINGA PRELLENADA, PRESENTACION: UNIDAD</t>
  </si>
  <si>
    <t>2.5.2-1872.51</t>
  </si>
  <si>
    <t>2.5.2-4817.59</t>
  </si>
  <si>
    <t>ANTIHIPERTENSIVOS; TIPO: MONODROGA, DROGA GENERICA: ESPIRONOLACTONA, FORMA FARMACEUTICA: COMPRIMIDOS, PRESENTACION: ENVASE X 50 mGr</t>
  </si>
  <si>
    <t>2.5.2-1835.4</t>
  </si>
  <si>
    <t>DIURETICOS; TIPO: MONODROGA, FORMA FARMACEUTICA: COMPRIMIDO, PRESENTACION: 100 mGr, DROGA GENERICA: ESPIRONOLACTONA</t>
  </si>
  <si>
    <t>2.5.2-1821.402</t>
  </si>
  <si>
    <t>ANTIBIOTICOS P/PERSONAS; TIPO: MONODROGA, DROGA GENERICA: ESTREPTOQUINASA 1,500,000 UI, FORMA FARMACEUTICA: AMPOLLA, PRESENTACION: UNIDAD</t>
  </si>
  <si>
    <t>2.5.2-1724.80</t>
  </si>
  <si>
    <t>ANALGESICOS ; TIPO: MONODROGA, DROGA GENERICA: ETILEFRINA CLORHIDRATO, FORMA FARMACEUTICA: AMPOLLA, PRESENTACION: 1 mL</t>
  </si>
  <si>
    <t>2.5.2-1894.58</t>
  </si>
  <si>
    <t>CITOSTATICOS; TIPO: MONODROGA, DROGA GENERICA: FILGRASTIM, FORMA FARMACEUTICA: AMPOLLA, PRESENTACION: 300 mGr</t>
  </si>
  <si>
    <t>2.5.2-1835.10</t>
  </si>
  <si>
    <t>DIURETICOS; TIPO: MONODROGA, DROGA GENERICA: FUROSEMIDA, FORMA FARMACEUTICA: COMPRIMIDO, PRESENTACION: 40 mGr</t>
  </si>
  <si>
    <t>2.5.2-1835.11</t>
  </si>
  <si>
    <t>DIURETICOS; TIPO: MONODROGA, DROGA GENERICA: FUROSEMIDA, FORMA FARMACEUTICA: AMPOLLA, PRESENTACION: 20 mGr</t>
  </si>
  <si>
    <t>2.5.2-1835.13</t>
  </si>
  <si>
    <t>DIURETICOS; TIPO: MONODROGA, DROGA GENERICA: HIDROCLOROTIAZIDA, FORMA FARMACEUTICA: COMPRIMIDO, PRESENTACION: 25 mGr</t>
  </si>
  <si>
    <t>2.5.2-1872.56</t>
  </si>
  <si>
    <t>ANTIANEMICOS; TIPO: MONODROGA, DROGA GENERICA: HIERRO DEXTRAN 50 mGr/ML, FORMA FARMACEUTICA: AMPOLLA, PRESENTACION: 2 mL</t>
  </si>
  <si>
    <t>2.5.2-2688.5</t>
  </si>
  <si>
    <t>ESTIMULANTES CENTRALES; TIPO: MONODROGA, FORMA FARMACEUTICA: AMPOLLA, DROGA GENERICA: ISOPROTERENOL, PRESENTACION: 5 mL</t>
  </si>
  <si>
    <t>2.5.2-1839.38</t>
  </si>
  <si>
    <t>2.5.2-4817.55</t>
  </si>
  <si>
    <t>ANTIHIPERTENSIVOS; TIPO: MONODROGA, DROGA GENERICA: LABETALOL 200 mGr, FORMA FARMACEUTICA: COMPRIMIDO, PRESENTACION: UNIDAD</t>
  </si>
  <si>
    <t>2.5.2-4817.66</t>
  </si>
  <si>
    <t>ANTIHIPERTENSIVOS; TIPO: MONODROGA, DROGA GENERICA: LABETALOL 20 mGr, FORMA FARMACEUTICA: AMPOLLA, PRESENTACION: UNIDAD</t>
  </si>
  <si>
    <t>2.5.2-1838.10</t>
  </si>
  <si>
    <t>INOTROPICOS; TIPO: MONODROGA, DROGA GENERICA: LEVOSIMENDAN 2,5 MG/ML, FORMA FARMACEUTICA: AMPOLLA, PRESENTACION: ENVASE X 5 mL</t>
  </si>
  <si>
    <t>2.5.2-4817.65</t>
  </si>
  <si>
    <t>ANTIHIPERTENSIVOS; TIPO: MONODROGA, DROGA GENERICA: LOSARTAN, FORMA FARMACEUTICA: COMPRIMIDO, PRESENTACION: 50 mGr</t>
  </si>
  <si>
    <t>2.5.2-4817.49</t>
  </si>
  <si>
    <t>ANTIHIPERTENSIVOS; TIPO: MONODROGA, DROGA GENERICA: LOSARTAN POTASICO 100 mGr, FORMA FARMACEUTICA: COMPRIMIDO, PRESENTACION: UNIDAD</t>
  </si>
  <si>
    <t>2.5.2-1837.21</t>
  </si>
  <si>
    <t>HIPOTENSORES; TIPO: MONODROGA, DROGA GENERICA: METILDOPA, FORMA FARMACEUTICA: COMPRIMIDO, PRESENTACION: 500 mGr</t>
  </si>
  <si>
    <t>2.5.2-1838.9</t>
  </si>
  <si>
    <t>INOTROPICOS; TIPO: MONODROGA, DROGA GENERICA: MILRINONA 1MG/ML, FORMA FARMACEUTICA: AMPOLLA, PRESENTACION: ENVASE X 10 mL</t>
  </si>
  <si>
    <t>2.5.2-4817.44</t>
  </si>
  <si>
    <t>ANTIHIPERTENSIVOS; TIPO: MONODROGA, DROGA GENERICA: NIFEDIPINA 30 MG, FORMA FARMACEUTICA: COMPRIMIDO, PRESENTACION: UNIDAD</t>
  </si>
  <si>
    <t>2.5.2-1839.18</t>
  </si>
  <si>
    <t>2.5.2-1837.20</t>
  </si>
  <si>
    <t>HIPOTENSORES; TIPO: MONODROGA, DROGA GENERICA: NITROPRUSIATO DE SODIO, FORMA FARMACEUTICA: AMPOLLA, PRESENTACION: 50 mGr</t>
  </si>
  <si>
    <t>2.5.2-1838.7</t>
  </si>
  <si>
    <t>INOTROPICOS; TIPO: MONODROGA, DROGA GENERICA: NORADRENALINA BITARTRATO, FORMA FARMACEUTICA: AMPOLLA, PRESENTACION: 4 mL</t>
  </si>
  <si>
    <t>2.5.2-1837.67</t>
  </si>
  <si>
    <t>HIPOTENSORES; TIPO: MONODROGA, DROGA GENERICA: PROPANOLOL 40 mGr, FORMA FARMACEUTICA: COMPRIMIDO, PRESENTACION: UNIDAD</t>
  </si>
  <si>
    <t>2.5.2-1837.44</t>
  </si>
  <si>
    <t>HIPOTENSORES; TIPO: MONODROGA, DROGA GENERICA: PROPANOLOL 5 MG, FORMA FARMACEUTICA: AMPOLLA, PRESENTACION: 5 mL</t>
  </si>
  <si>
    <t>2.5.2-1851.34</t>
  </si>
  <si>
    <t>GENITOURINARIO; TIPO: MONODROGA, DROGA GENERICA: SILDENAFIL X 50 mGr, FORMA FARMACEUTICA: COMPRIMIDO, PRESENTACION: ENVASE X 1 UN</t>
  </si>
  <si>
    <t>2.5.2-1863.10</t>
  </si>
  <si>
    <t>HIPOLIPEMIANTES; TIPO: MONODROGA, DROGA GENERICA: SIMVASTATIN, FORMA FARMACEUTICA: COMPRIMIDO, PRESENTACION: 20 mGr</t>
  </si>
  <si>
    <t>2.5.2-1872.14</t>
  </si>
  <si>
    <t>ANTIANEMICOS; TIPO: MONODROGA, DROGA GENERICA: SULFATO FERROSO 200 mGr, FORMA FARMACEUTICA: COMPRIMIDO, PRESENTACION: SIN VALOR</t>
  </si>
  <si>
    <t>2.5.2-1901.100</t>
  </si>
  <si>
    <t>VITAMINAS; TIPO: MONODROGA, DROGA GENERICA: VITAMINA K, FORMA FARMACEUTICA: AMPOLLA, PRESENTACION: 1 mGr</t>
  </si>
  <si>
    <t>2.5.2-1901.39</t>
  </si>
  <si>
    <t>VITAMINAS; TIPO: MONODROGA, DROGA GENERICA: VITAMINA K, FORMA FARMACEUTICA: AMPOLLA, PRESENTACION: 10 mGr</t>
  </si>
  <si>
    <t>ANTIANEMICOS; TIPO: MONODROGA, DROGA GENERICA: ERITROPOYETINA HUMANA, FORMA FARMACEUTICA: FRASCO AMPOLLA 3000UI, PRESENTACION: UNIDAD</t>
  </si>
  <si>
    <t>2.5.2-1839.40</t>
  </si>
  <si>
    <t>VASODILATADORES CORONARIOS; TIPO: ASOCIACIÓN, DROGA GENÉRICA: ISOSORBIDE MONONITRATO, FORMA FARMACEÚTICA: COMPRIMIDO, PRESENTACIÓN: 20 UN., OBSERVACIÓN: 20 MG</t>
  </si>
  <si>
    <t>2.5.2-1839.25</t>
  </si>
  <si>
    <t>2.5.2-1837.48</t>
  </si>
  <si>
    <t>2.5.2-4817.33</t>
  </si>
  <si>
    <t>2.5.2-1837.71</t>
  </si>
  <si>
    <t>HIPOTENSORES; TIPO: MONODROGA, DROGA GENERICA: ENALAPRILATO, FORMA FARMACEUTICA: AMPOLLA, PRESENTACION: 2,5 mGr</t>
  </si>
  <si>
    <t>2.5.2-1837.32</t>
  </si>
  <si>
    <t>2.5.2-1726.517</t>
  </si>
  <si>
    <t>SOLUCIONES P/MEDICINA; TIPO: GELATINA SUCCINILADA 4% + CLORURO DE SODIO + HIDROXIDO DE SODIO, PRESENTACION: SACHET x 500mL</t>
  </si>
  <si>
    <t>ANTICOAGULANTES P/PERSONAS; TIPO: MONODROGA, DROGA GENERICA: HEPARINA SODICA 5000 UI / ML, FORMA FARMACEUTICA: AMPOLLA, PRESENTACION: ENVASE X 5 mL</t>
  </si>
  <si>
    <t>2.5.2-1873.46</t>
  </si>
  <si>
    <t>2.5.2-1872.62</t>
  </si>
  <si>
    <t>2.5.2-1725.33</t>
  </si>
  <si>
    <t>ANTIANEMICOS; TIPO: MONODROGA, DROGA GENERICA: SULFATO FERROSO, FORMA FARMACEUTICA: SOLUCION, PRESENTACION: GOTERO X 20 mL</t>
  </si>
  <si>
    <t>2.5.2-1872.7</t>
  </si>
  <si>
    <t>2.5.2-9888.1</t>
  </si>
  <si>
    <t>2.5.2-1872.36</t>
  </si>
  <si>
    <t>ANTIANEMICOS; TIPO: MONODROGA, DROGA GENERICA: ACIDO FOLICO 1 mGr, FORMA FARMACEUTICA: GOTA, PRESENTACION: ENVASE X 20 mL</t>
  </si>
  <si>
    <t>2.5.2-1873.14</t>
  </si>
  <si>
    <t>HEMOSTÁTICOS; TIPO: MONODROGA, DROGA GENÉRICA: ÁCIDO TRANEXÁMICO, FORMA FARMACEÚTICA: AMPOLLA 1 MG, PRESENTACIÓN: ENVASE X 10 ML</t>
  </si>
  <si>
    <t>2.5.2-2228.18</t>
  </si>
  <si>
    <t>ANTITROMBÓTICOS; TIPO: MONODROGA, DROGA GENÉRICA: ACTIVADOR DE PLASMINOGENO TIPO ACTILYSE 50 MGR, FORMA FARMACEÚTICA: AMPOLLA, PRESENTACIÓN: X 2 AMPOLLAS</t>
  </si>
  <si>
    <t>HIPOTENSORES; TIPO: MONODROGA, DROGA GENÉRICA: BISOPROLOL 10 MG, FORMA FARMACEÚTICA: COMPRIMIDO, PRESENTACIÓN: X UNIDAD</t>
  </si>
  <si>
    <t>ANTIHIPERTENSIVOS; TIPO: MONODROGA, DROGA GENÉRICA: BISOPROLOL X 2,5 MGR, FORMA FARMACEÚTICA: COMPRIMIDOS, PRESENTACIÓN: X UNIDAD</t>
  </si>
  <si>
    <t>ANTICOAGULANTES P/PERSONAS; TIPO: MONODROGA, DROGA GENÉRICA: CLOPIDOGREL, FORMA FARMACEÚTICA: COMPRIMIDO, PRESENTACIÓN: 75 MGR</t>
  </si>
  <si>
    <t>HIPOCOLESTEROLEMIANTE; TIPO: MONODROGA, DROGA GENÉRICA: COLESTIRAMINA, FORMA FARMACEÚTICA: POLVO, PRESENTACIÓN: SOBRES 4 GRS X 30 UNIDADES</t>
  </si>
  <si>
    <t>HIPOTENSORES; TIPO: MONODROGA, DROGA GENÉRICA: ESMOLOL 100 MG/10 ML, FORMA FARMACEÚTICA: FRASCO AMPOLLA, PRESENTACION: ENVASE X 10 ML</t>
  </si>
  <si>
    <t>2.5.2-8784.20</t>
  </si>
  <si>
    <t>ANTIHEMOFÍLICOS; DROGA GENÉRICA: COMPLEJO PROTROMBÍNICO ACTIVADO, FORMA FARMACEÚTICA: AMPOLLA, PRESENTACIÓN: 500 UI, TIPO: MONODROGA</t>
  </si>
  <si>
    <t>ANTIHEMOFÍLICOS; DROGA GENÉRICA: COMPLEJO PROTROMBÍNICO ACTIVADO, FORMA FARMACEÚTICA: AMPOLLA, PRESENTACIÓN: 600 UI, TIPO: MONODROGA</t>
  </si>
  <si>
    <t>2.5.2-8784.21</t>
  </si>
  <si>
    <t>ANTIANÉMICOS; TIPO: ASOCIACIÓN, DROGA GENÉRICA: HIERRO DEX+ÁCIDO FÓLICO+HIDROC, FORMA FARMACEÚTICA: AMPOLLA X 2 ML, PRESENTACIÓN: CAJA X 5</t>
  </si>
  <si>
    <t>ANTIINFLAMATORIOS NO ESTEROIDE; TIPO: MONODROGA, DROGA GENÉRICA: INDOMETACINA, FORMA FARMACEÚTICA: AMPOLLA X 2 ML, PRESENTACIÓN: CAJA X 3</t>
  </si>
  <si>
    <t>VASODILATADORES CORONARIOS; TIPO: MONODROGA, DROGA GENÉRICA: DINITRATO DE ISOSORBIDE 5 MGR, FORMA FARMACEÚTICA: COMPRIMIDOS SUBLINGUALES, PRESENTACIÓN: ENVASE X 30 UN</t>
  </si>
  <si>
    <t>VASODILATADORES CORONARIOS; TIPO: MONODROGA, DROGA GENÉRICA: NITROGLICERINA, FORMA FARMACEÚTICA: AMPOLLA, PRESENTACIÓN: 5 MG/ML</t>
  </si>
  <si>
    <t>VASODILATADORES CORONARIOS; TIPO: MONODROGA, DROGA GENERICA: ALPROSTADIL VR X 0,5 mGr, FORMA FARMACEUTICA: AMPOLLA, PRESENTACION: ENVASE X 1 mL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</si>
  <si>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::ITEMS 54 TIPO YECTAFER COMPLEX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</si>
  <si>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:ITEMS 45 TIPO BERIPLEX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</si>
  <si>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 xml:space="preserve">:ITEMS 46 TIPO PROTROMPLEX </t>
    </r>
  </si>
  <si>
    <t>PROD. MEDICO/FARMACEUTICOS/LAB</t>
  </si>
  <si>
    <t>SI</t>
  </si>
  <si>
    <t>ANTIANEMICOS; TIPO: MONODROGA, DROGA GENERICA: HIERRO SACARATO, FORMA FARMACEUTICA: AMPOLLA X 100 mGr, PRESENTACION: UNIDAD</t>
  </si>
  <si>
    <t>2.5.2-1872.69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</si>
  <si>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55 TIPO FERIVE HIERRO ELEMENTAL INYECTABLE PARA USO INTRAVENOSO EXCLUSIVO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</si>
</sst>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&quot;$&quot;\ * #,##0.00_-;\-&quot;$&quot;\ * #,##0.00_-;_-&quot;$&quot;\ * &quot;-&quot;??_-;_-@_-"/>
    <numFmt numFmtId="165" formatCode="_-&quot;$&quot;* #,##0.00_-;\-&quot;$&quot;* #,##0.00_-;_-&quot;$&quot;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0" fontId="15" fillId="0" borderId="0"/>
    <xf numFmtId="0" fontId="15" fillId="0" borderId="0"/>
    <xf numFmtId="0" fontId="1" fillId="0" borderId="0"/>
  </cellStyleXfs>
  <cellXfs count="16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3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4" xfId="0" applyBorder="1"/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14" fillId="0" borderId="2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68" fontId="0" fillId="0" borderId="32" xfId="3" applyNumberFormat="1" applyFont="1" applyBorder="1" applyAlignment="1" applyProtection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8" fontId="0" fillId="0" borderId="41" xfId="3" applyNumberFormat="1" applyFont="1" applyBorder="1" applyAlignment="1" applyProtection="1">
      <alignment horizontal="center" vertical="center"/>
    </xf>
    <xf numFmtId="0" fontId="6" fillId="3" borderId="1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2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0" fillId="4" borderId="30" xfId="0" applyFont="1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68" fontId="14" fillId="5" borderId="42" xfId="0" applyNumberFormat="1" applyFont="1" applyFill="1" applyBorder="1" applyAlignment="1">
      <alignment horizontal="center" vertical="center"/>
    </xf>
    <xf numFmtId="0" fontId="0" fillId="5" borderId="30" xfId="0" applyFont="1" applyFill="1" applyBorder="1" applyAlignment="1">
      <alignment horizontal="center" vertical="center"/>
    </xf>
    <xf numFmtId="0" fontId="0" fillId="6" borderId="29" xfId="0" applyFont="1" applyFill="1" applyBorder="1" applyAlignment="1">
      <alignment horizontal="center" vertical="center"/>
    </xf>
    <xf numFmtId="0" fontId="0" fillId="6" borderId="30" xfId="0" applyFont="1" applyFill="1" applyBorder="1" applyAlignment="1">
      <alignment horizontal="center" vertical="center"/>
    </xf>
    <xf numFmtId="0" fontId="16" fillId="3" borderId="0" xfId="5" applyFont="1" applyFill="1"/>
    <xf numFmtId="165" fontId="16" fillId="3" borderId="0" xfId="5" applyNumberFormat="1" applyFont="1" applyFill="1"/>
    <xf numFmtId="0" fontId="19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center" wrapText="1"/>
    </xf>
    <xf numFmtId="0" fontId="23" fillId="4" borderId="0" xfId="5" applyFont="1" applyFill="1" applyAlignment="1">
      <alignment horizontal="left" wrapText="1" indent="1"/>
    </xf>
    <xf numFmtId="0" fontId="20" fillId="3" borderId="0" xfId="5" applyFont="1" applyFill="1" applyAlignment="1">
      <alignment horizontal="left" wrapText="1"/>
    </xf>
    <xf numFmtId="0" fontId="23" fillId="6" borderId="0" xfId="5" applyFont="1" applyFill="1" applyAlignment="1">
      <alignment horizontal="left" wrapText="1" indent="1"/>
    </xf>
    <xf numFmtId="0" fontId="15" fillId="3" borderId="46" xfId="5" applyFill="1" applyBorder="1" applyAlignment="1">
      <alignment horizontal="center" vertical="center"/>
    </xf>
    <xf numFmtId="0" fontId="25" fillId="3" borderId="46" xfId="5" applyFont="1" applyFill="1" applyBorder="1" applyAlignment="1">
      <alignment horizontal="center" vertical="center" wrapText="1"/>
    </xf>
    <xf numFmtId="0" fontId="15" fillId="0" borderId="46" xfId="5" applyBorder="1" applyAlignment="1">
      <alignment horizontal="left" vertical="center"/>
    </xf>
    <xf numFmtId="0" fontId="15" fillId="0" borderId="46" xfId="5" applyBorder="1" applyAlignment="1">
      <alignment horizontal="center" vertical="center"/>
    </xf>
    <xf numFmtId="3" fontId="15" fillId="0" borderId="46" xfId="5" applyNumberFormat="1" applyBorder="1" applyAlignment="1">
      <alignment horizontal="center" vertical="center"/>
    </xf>
    <xf numFmtId="165" fontId="15" fillId="4" borderId="46" xfId="1" applyNumberFormat="1" applyFill="1" applyBorder="1" applyAlignment="1" applyProtection="1">
      <alignment horizontal="right" vertical="center" wrapText="1"/>
    </xf>
    <xf numFmtId="3" fontId="15" fillId="0" borderId="46" xfId="6" applyNumberFormat="1" applyBorder="1" applyAlignment="1">
      <alignment horizontal="center" vertical="center"/>
    </xf>
    <xf numFmtId="0" fontId="16" fillId="3" borderId="3" xfId="5" applyFont="1" applyFill="1" applyBorder="1"/>
    <xf numFmtId="0" fontId="16" fillId="3" borderId="4" xfId="5" applyFont="1" applyFill="1" applyBorder="1"/>
    <xf numFmtId="0" fontId="16" fillId="3" borderId="0" xfId="5" applyFont="1" applyFill="1" applyAlignment="1">
      <alignment horizontal="center" vertical="center"/>
    </xf>
    <xf numFmtId="171" fontId="21" fillId="3" borderId="0" xfId="5" applyNumberFormat="1" applyFont="1" applyFill="1"/>
    <xf numFmtId="171" fontId="21" fillId="3" borderId="0" xfId="5" applyNumberFormat="1" applyFont="1" applyFill="1" applyAlignment="1">
      <alignment horizontal="center" vertical="center"/>
    </xf>
    <xf numFmtId="0" fontId="16" fillId="3" borderId="6" xfId="5" applyFont="1" applyFill="1" applyBorder="1" applyAlignment="1">
      <alignment horizontal="center" wrapText="1"/>
    </xf>
    <xf numFmtId="0" fontId="16" fillId="3" borderId="8" xfId="5" applyFont="1" applyFill="1" applyBorder="1"/>
    <xf numFmtId="0" fontId="16" fillId="3" borderId="9" xfId="5" applyFont="1" applyFill="1" applyBorder="1"/>
    <xf numFmtId="0" fontId="15" fillId="0" borderId="46" xfId="5" applyBorder="1" applyAlignment="1">
      <alignment vertical="center" wrapText="1"/>
    </xf>
    <xf numFmtId="164" fontId="15" fillId="0" borderId="46" xfId="1" applyNumberFormat="1" applyBorder="1" applyAlignment="1">
      <alignment horizontal="center" vertical="center"/>
    </xf>
    <xf numFmtId="164" fontId="15" fillId="0" borderId="46" xfId="1" applyNumberFormat="1" applyBorder="1" applyAlignment="1">
      <alignment horizontal="right" vertical="center"/>
    </xf>
    <xf numFmtId="3" fontId="15" fillId="3" borderId="46" xfId="5" applyNumberFormat="1" applyFill="1" applyBorder="1" applyAlignment="1">
      <alignment horizontal="center" vertical="center"/>
    </xf>
    <xf numFmtId="164" fontId="15" fillId="3" borderId="46" xfId="1" applyNumberFormat="1" applyFill="1" applyBorder="1" applyAlignment="1">
      <alignment horizontal="center" vertical="center"/>
    </xf>
    <xf numFmtId="0" fontId="15" fillId="3" borderId="46" xfId="5" applyFill="1" applyBorder="1" applyAlignment="1">
      <alignment vertical="center" wrapText="1"/>
    </xf>
    <xf numFmtId="0" fontId="16" fillId="3" borderId="0" xfId="5" applyFont="1" applyFill="1" applyAlignment="1">
      <alignment vertical="center"/>
    </xf>
    <xf numFmtId="3" fontId="15" fillId="3" borderId="46" xfId="6" applyNumberFormat="1" applyFill="1" applyBorder="1" applyAlignment="1">
      <alignment horizontal="center" vertical="center"/>
    </xf>
    <xf numFmtId="164" fontId="15" fillId="3" borderId="46" xfId="1" applyNumberFormat="1" applyFill="1" applyBorder="1" applyAlignment="1">
      <alignment horizontal="right" vertical="center"/>
    </xf>
    <xf numFmtId="0" fontId="15" fillId="3" borderId="46" xfId="5" applyFill="1" applyBorder="1" applyAlignment="1">
      <alignment horizontal="left" vertical="center"/>
    </xf>
    <xf numFmtId="0" fontId="25" fillId="3" borderId="46" xfId="5" applyFont="1" applyFill="1" applyBorder="1" applyAlignment="1">
      <alignment horizontal="left" vertical="center" wrapText="1"/>
    </xf>
    <xf numFmtId="0" fontId="16" fillId="3" borderId="6" xfId="6" applyFont="1" applyFill="1" applyBorder="1" applyAlignment="1">
      <alignment horizontal="left" wrapText="1"/>
    </xf>
    <xf numFmtId="0" fontId="15" fillId="3" borderId="46" xfId="0" applyFont="1" applyFill="1" applyBorder="1" applyAlignment="1">
      <alignment vertical="center" wrapText="1"/>
    </xf>
    <xf numFmtId="0" fontId="15" fillId="3" borderId="46" xfId="5" applyFont="1" applyFill="1" applyBorder="1" applyAlignment="1">
      <alignment horizontal="left" vertical="center"/>
    </xf>
    <xf numFmtId="0" fontId="15" fillId="3" borderId="46" xfId="5" applyFont="1" applyFill="1" applyBorder="1" applyAlignment="1">
      <alignment horizontal="center" vertical="center"/>
    </xf>
    <xf numFmtId="0" fontId="15" fillId="3" borderId="46" xfId="5" applyFont="1" applyFill="1" applyBorder="1" applyAlignment="1">
      <alignment horizontal="center" vertical="center" wrapText="1"/>
    </xf>
    <xf numFmtId="3" fontId="15" fillId="3" borderId="46" xfId="5" applyNumberFormat="1" applyFont="1" applyFill="1" applyBorder="1" applyAlignment="1">
      <alignment horizontal="center" vertical="center"/>
    </xf>
    <xf numFmtId="164" fontId="15" fillId="3" borderId="46" xfId="1" applyNumberFormat="1" applyFont="1" applyFill="1" applyBorder="1" applyAlignment="1">
      <alignment horizontal="center" vertical="center"/>
    </xf>
    <xf numFmtId="165" fontId="15" fillId="4" borderId="46" xfId="1" applyNumberFormat="1" applyFont="1" applyFill="1" applyBorder="1" applyAlignment="1" applyProtection="1">
      <alignment horizontal="right" vertical="center" wrapText="1"/>
    </xf>
    <xf numFmtId="0" fontId="24" fillId="3" borderId="46" xfId="5" applyFont="1" applyFill="1" applyBorder="1" applyAlignment="1">
      <alignment horizontal="center" vertical="center" wrapText="1"/>
    </xf>
    <xf numFmtId="165" fontId="24" fillId="3" borderId="46" xfId="5" applyNumberFormat="1" applyFont="1" applyFill="1" applyBorder="1" applyAlignment="1">
      <alignment horizontal="center" vertical="center" wrapText="1"/>
    </xf>
    <xf numFmtId="0" fontId="0" fillId="3" borderId="46" xfId="0" applyFill="1" applyBorder="1" applyAlignment="1">
      <alignment vertical="center" wrapText="1"/>
    </xf>
    <xf numFmtId="0" fontId="16" fillId="3" borderId="0" xfId="6" applyFont="1" applyFill="1" applyBorder="1" applyAlignment="1">
      <alignment horizontal="left" wrapText="1"/>
    </xf>
    <xf numFmtId="0" fontId="16" fillId="3" borderId="0" xfId="5" applyFont="1" applyFill="1" applyBorder="1" applyAlignment="1">
      <alignment horizontal="center" wrapText="1"/>
    </xf>
    <xf numFmtId="0" fontId="19" fillId="3" borderId="0" xfId="5" applyFont="1" applyFill="1" applyAlignment="1">
      <alignment horizontal="left" vertical="center" wrapText="1"/>
    </xf>
    <xf numFmtId="0" fontId="16" fillId="3" borderId="5" xfId="6" applyFont="1" applyFill="1" applyBorder="1" applyAlignment="1">
      <alignment horizontal="left" vertical="center" wrapText="1"/>
    </xf>
    <xf numFmtId="0" fontId="16" fillId="3" borderId="0" xfId="5" applyFont="1" applyFill="1" applyAlignment="1">
      <alignment horizontal="left" vertical="center"/>
    </xf>
    <xf numFmtId="0" fontId="0" fillId="3" borderId="46" xfId="0" applyFill="1" applyBorder="1" applyAlignment="1">
      <alignment horizontal="left" vertical="center"/>
    </xf>
    <xf numFmtId="0" fontId="1" fillId="3" borderId="46" xfId="8" applyFill="1" applyBorder="1" applyAlignment="1">
      <alignment horizontal="left" vertical="center"/>
    </xf>
    <xf numFmtId="0" fontId="16" fillId="3" borderId="2" xfId="5" applyFont="1" applyFill="1" applyBorder="1" applyAlignment="1">
      <alignment horizontal="left" vertical="center"/>
    </xf>
    <xf numFmtId="0" fontId="26" fillId="0" borderId="5" xfId="7" applyFont="1" applyBorder="1" applyAlignment="1">
      <alignment horizontal="left" vertical="center" wrapText="1"/>
    </xf>
    <xf numFmtId="0" fontId="22" fillId="3" borderId="7" xfId="5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168" fontId="5" fillId="3" borderId="14" xfId="1" applyNumberFormat="1" applyFont="1" applyFill="1" applyBorder="1" applyAlignment="1" applyProtection="1">
      <alignment horizontal="right" vertical="center" wrapText="1"/>
    </xf>
    <xf numFmtId="3" fontId="5" fillId="3" borderId="14" xfId="0" applyNumberFormat="1" applyFont="1" applyFill="1" applyBorder="1" applyAlignment="1">
      <alignment horizontal="center" vertical="center"/>
    </xf>
    <xf numFmtId="0" fontId="25" fillId="3" borderId="46" xfId="0" applyFont="1" applyFill="1" applyBorder="1" applyAlignment="1">
      <alignment horizontal="left" vertical="center"/>
    </xf>
    <xf numFmtId="0" fontId="0" fillId="3" borderId="46" xfId="0" applyFill="1" applyBorder="1" applyAlignment="1">
      <alignment horizontal="left" vertical="center" wrapText="1"/>
    </xf>
    <xf numFmtId="0" fontId="16" fillId="3" borderId="0" xfId="5" applyFont="1" applyFill="1" applyBorder="1" applyAlignment="1">
      <alignment horizontal="center" vertical="center" wrapText="1"/>
    </xf>
    <xf numFmtId="0" fontId="16" fillId="3" borderId="0" xfId="5" applyFont="1" applyFill="1" applyAlignment="1">
      <alignment horizontal="center" vertical="center" wrapText="1"/>
    </xf>
    <xf numFmtId="0" fontId="16" fillId="3" borderId="0" xfId="5" applyFont="1" applyFill="1" applyBorder="1" applyAlignment="1">
      <alignment horizontal="center" vertical="center" wrapText="1"/>
    </xf>
    <xf numFmtId="0" fontId="16" fillId="3" borderId="0" xfId="5" applyFont="1" applyFill="1" applyAlignment="1">
      <alignment horizontal="center" vertical="center" wrapText="1"/>
    </xf>
    <xf numFmtId="0" fontId="16" fillId="3" borderId="0" xfId="5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18" fillId="5" borderId="0" xfId="5" applyFont="1" applyFill="1" applyAlignment="1">
      <alignment horizontal="left" vertical="center" wrapText="1"/>
    </xf>
    <xf numFmtId="0" fontId="16" fillId="3" borderId="5" xfId="6" applyFont="1" applyFill="1" applyBorder="1" applyAlignment="1">
      <alignment horizontal="left" wrapText="1"/>
    </xf>
    <xf numFmtId="0" fontId="16" fillId="3" borderId="0" xfId="6" applyFont="1" applyFill="1" applyBorder="1" applyAlignment="1">
      <alignment horizontal="left" wrapText="1"/>
    </xf>
    <xf numFmtId="0" fontId="16" fillId="3" borderId="6" xfId="6" applyFont="1" applyFill="1" applyBorder="1" applyAlignment="1">
      <alignment horizontal="left" wrapText="1"/>
    </xf>
    <xf numFmtId="0" fontId="17" fillId="3" borderId="0" xfId="5" applyFont="1" applyFill="1" applyAlignment="1">
      <alignment horizontal="center"/>
    </xf>
    <xf numFmtId="0" fontId="18" fillId="3" borderId="0" xfId="5" applyFont="1" applyFill="1" applyAlignment="1">
      <alignment horizontal="left" vertical="center" wrapText="1"/>
    </xf>
    <xf numFmtId="0" fontId="23" fillId="4" borderId="0" xfId="5" applyFont="1" applyFill="1" applyAlignment="1">
      <alignment horizontal="left" wrapText="1" indent="1"/>
    </xf>
    <xf numFmtId="0" fontId="23" fillId="6" borderId="0" xfId="5" applyFont="1" applyFill="1" applyAlignment="1">
      <alignment horizontal="left" wrapText="1" indent="1"/>
    </xf>
    <xf numFmtId="0" fontId="6" fillId="3" borderId="0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 indent="1"/>
    </xf>
    <xf numFmtId="0" fontId="8" fillId="5" borderId="15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169" fontId="8" fillId="3" borderId="14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left" vertical="center" wrapText="1" indent="1"/>
    </xf>
    <xf numFmtId="0" fontId="9" fillId="3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center"/>
    </xf>
    <xf numFmtId="3" fontId="10" fillId="0" borderId="19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2" fillId="0" borderId="11" xfId="0" applyFont="1" applyBorder="1" applyAlignment="1">
      <alignment horizontal="left" indent="1"/>
    </xf>
    <xf numFmtId="0" fontId="5" fillId="5" borderId="13" xfId="0" applyFont="1" applyFill="1" applyBorder="1" applyAlignment="1">
      <alignment horizontal="left" vertical="center" wrapText="1"/>
    </xf>
    <xf numFmtId="0" fontId="5" fillId="5" borderId="44" xfId="0" applyFont="1" applyFill="1" applyBorder="1" applyAlignment="1">
      <alignment horizontal="left" vertical="center" wrapText="1"/>
    </xf>
    <xf numFmtId="0" fontId="5" fillId="5" borderId="45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left" indent="1"/>
    </xf>
    <xf numFmtId="0" fontId="13" fillId="0" borderId="11" xfId="0" applyFont="1" applyBorder="1" applyAlignment="1">
      <alignment horizontal="left"/>
    </xf>
    <xf numFmtId="0" fontId="12" fillId="0" borderId="21" xfId="0" applyFont="1" applyBorder="1"/>
    <xf numFmtId="0" fontId="12" fillId="5" borderId="22" xfId="0" applyFont="1" applyFill="1" applyBorder="1" applyAlignment="1">
      <alignment horizontal="left" vertical="center" wrapText="1" indent="1"/>
    </xf>
    <xf numFmtId="0" fontId="14" fillId="0" borderId="2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3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10" fillId="0" borderId="18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6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0" fillId="5" borderId="42" xfId="0" applyFont="1" applyFill="1" applyBorder="1" applyAlignment="1">
      <alignment horizontal="left" vertical="center" wrapText="1"/>
    </xf>
    <xf numFmtId="0" fontId="0" fillId="0" borderId="20" xfId="0" applyBorder="1"/>
  </cellXfs>
  <cellStyles count="9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  <cellStyle name="Normal 3" xfId="8"/>
  </cellStyles>
  <dxfs count="1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21"/>
  <sheetViews>
    <sheetView tabSelected="1" topLeftCell="A100" zoomScaleNormal="100" workbookViewId="0">
      <selection activeCell="E64" sqref="E64"/>
    </sheetView>
  </sheetViews>
  <sheetFormatPr baseColWidth="10" defaultColWidth="11" defaultRowHeight="12.75" x14ac:dyDescent="0.2"/>
  <cols>
    <col min="1" max="1" width="4.5703125" style="46" customWidth="1"/>
    <col min="2" max="2" width="14" style="94" customWidth="1"/>
    <col min="3" max="3" width="35.85546875" style="46" bestFit="1" customWidth="1"/>
    <col min="4" max="4" width="8.5703125" style="46" customWidth="1"/>
    <col min="5" max="5" width="71.85546875" style="46" customWidth="1"/>
    <col min="6" max="6" width="14.7109375" style="46" customWidth="1"/>
    <col min="7" max="7" width="10.42578125" style="46" bestFit="1" customWidth="1"/>
    <col min="8" max="8" width="15.7109375" style="46" customWidth="1"/>
    <col min="9" max="9" width="18.42578125" style="47" customWidth="1"/>
    <col min="10" max="16384" width="11" style="46"/>
  </cols>
  <sheetData>
    <row r="2" spans="1:11" ht="27" x14ac:dyDescent="0.35">
      <c r="B2" s="118" t="s">
        <v>0</v>
      </c>
      <c r="C2" s="118"/>
      <c r="D2" s="118"/>
      <c r="E2" s="118"/>
      <c r="F2" s="118"/>
      <c r="G2" s="118"/>
      <c r="H2" s="118"/>
    </row>
    <row r="3" spans="1:11" ht="12" customHeight="1" x14ac:dyDescent="0.2"/>
    <row r="4" spans="1:11" ht="18" customHeight="1" x14ac:dyDescent="0.25">
      <c r="A4" s="119" t="s">
        <v>1</v>
      </c>
      <c r="B4" s="119"/>
      <c r="C4" s="120" t="s">
        <v>51</v>
      </c>
      <c r="D4" s="120"/>
      <c r="E4" s="120"/>
      <c r="F4" s="48"/>
      <c r="G4" s="49"/>
      <c r="H4" s="48"/>
    </row>
    <row r="5" spans="1:11" ht="18" customHeight="1" x14ac:dyDescent="0.25">
      <c r="A5" s="114" t="s">
        <v>2</v>
      </c>
      <c r="B5" s="114"/>
      <c r="C5" s="121" t="s">
        <v>58</v>
      </c>
      <c r="D5" s="121"/>
      <c r="E5" s="121"/>
      <c r="F5" s="48"/>
      <c r="G5" s="49"/>
      <c r="H5" s="48"/>
    </row>
    <row r="6" spans="1:11" ht="16.5" customHeight="1" x14ac:dyDescent="0.25">
      <c r="A6" s="119" t="s">
        <v>3</v>
      </c>
      <c r="B6" s="119"/>
      <c r="C6" s="50">
        <v>2022</v>
      </c>
      <c r="D6" s="51"/>
      <c r="E6" s="51"/>
      <c r="F6" s="48"/>
      <c r="G6" s="49"/>
      <c r="H6" s="48"/>
    </row>
    <row r="7" spans="1:11" ht="16.5" customHeight="1" x14ac:dyDescent="0.25">
      <c r="A7" s="114" t="s">
        <v>4</v>
      </c>
      <c r="B7" s="114"/>
      <c r="C7" s="52">
        <v>3</v>
      </c>
      <c r="D7" s="51"/>
      <c r="E7" s="51"/>
      <c r="F7" s="48"/>
      <c r="G7" s="49"/>
      <c r="H7" s="48"/>
    </row>
    <row r="8" spans="1:11" x14ac:dyDescent="0.2">
      <c r="B8" s="92"/>
      <c r="C8" s="49"/>
      <c r="D8" s="48"/>
      <c r="E8" s="48"/>
      <c r="F8" s="48"/>
      <c r="G8" s="49"/>
      <c r="H8" s="48"/>
    </row>
    <row r="9" spans="1:11" s="62" customFormat="1" ht="38.25" x14ac:dyDescent="0.2">
      <c r="A9" s="87" t="s">
        <v>5</v>
      </c>
      <c r="B9" s="87" t="s">
        <v>6</v>
      </c>
      <c r="C9" s="87" t="s">
        <v>7</v>
      </c>
      <c r="D9" s="87" t="s">
        <v>8</v>
      </c>
      <c r="E9" s="87" t="s">
        <v>9</v>
      </c>
      <c r="F9" s="87" t="s">
        <v>10</v>
      </c>
      <c r="G9" s="87" t="s">
        <v>11</v>
      </c>
      <c r="H9" s="87" t="s">
        <v>12</v>
      </c>
      <c r="I9" s="88" t="s">
        <v>13</v>
      </c>
    </row>
    <row r="10" spans="1:11" s="74" customFormat="1" ht="42.75" customHeight="1" x14ac:dyDescent="0.2">
      <c r="A10" s="53">
        <v>1</v>
      </c>
      <c r="B10" s="55" t="s">
        <v>73</v>
      </c>
      <c r="C10" s="77" t="s">
        <v>230</v>
      </c>
      <c r="D10" s="54">
        <v>252</v>
      </c>
      <c r="E10" s="68" t="s">
        <v>74</v>
      </c>
      <c r="F10" s="56" t="s">
        <v>64</v>
      </c>
      <c r="G10" s="57"/>
      <c r="H10" s="69">
        <v>11.5</v>
      </c>
      <c r="I10" s="58">
        <f>+G10*H10</f>
        <v>0</v>
      </c>
    </row>
    <row r="11" spans="1:11" s="74" customFormat="1" ht="27.75" customHeight="1" x14ac:dyDescent="0.2">
      <c r="A11" s="53">
        <v>2</v>
      </c>
      <c r="B11" s="55" t="s">
        <v>75</v>
      </c>
      <c r="C11" s="77" t="s">
        <v>230</v>
      </c>
      <c r="D11" s="54">
        <v>252</v>
      </c>
      <c r="E11" s="68" t="s">
        <v>76</v>
      </c>
      <c r="F11" s="56" t="s">
        <v>65</v>
      </c>
      <c r="G11" s="57"/>
      <c r="H11" s="69">
        <v>235</v>
      </c>
      <c r="I11" s="58">
        <f t="shared" ref="I11:I75" si="0">+G11*H11</f>
        <v>0</v>
      </c>
    </row>
    <row r="12" spans="1:11" s="74" customFormat="1" ht="36" customHeight="1" x14ac:dyDescent="0.2">
      <c r="A12" s="53">
        <v>3</v>
      </c>
      <c r="B12" s="95" t="s">
        <v>207</v>
      </c>
      <c r="C12" s="77" t="s">
        <v>230</v>
      </c>
      <c r="D12" s="54">
        <v>252</v>
      </c>
      <c r="E12" s="78" t="s">
        <v>208</v>
      </c>
      <c r="F12" s="53" t="s">
        <v>66</v>
      </c>
      <c r="G12" s="71"/>
      <c r="H12" s="72">
        <v>295.5</v>
      </c>
      <c r="I12" s="58">
        <f t="shared" si="0"/>
        <v>0</v>
      </c>
    </row>
    <row r="13" spans="1:11" s="74" customFormat="1" ht="31.5" customHeight="1" x14ac:dyDescent="0.2">
      <c r="A13" s="53">
        <v>4</v>
      </c>
      <c r="B13" s="55" t="s">
        <v>77</v>
      </c>
      <c r="C13" s="77" t="s">
        <v>230</v>
      </c>
      <c r="D13" s="54">
        <v>252</v>
      </c>
      <c r="E13" s="68" t="s">
        <v>78</v>
      </c>
      <c r="F13" s="56" t="s">
        <v>64</v>
      </c>
      <c r="G13" s="57"/>
      <c r="H13" s="69">
        <v>3.8</v>
      </c>
      <c r="I13" s="58">
        <f t="shared" si="0"/>
        <v>0</v>
      </c>
    </row>
    <row r="14" spans="1:11" s="74" customFormat="1" ht="47.25" customHeight="1" x14ac:dyDescent="0.2">
      <c r="A14" s="53">
        <v>5</v>
      </c>
      <c r="B14" s="81" t="s">
        <v>211</v>
      </c>
      <c r="C14" s="77" t="s">
        <v>230</v>
      </c>
      <c r="D14" s="54">
        <v>252</v>
      </c>
      <c r="E14" s="89" t="s">
        <v>210</v>
      </c>
      <c r="F14" s="53" t="s">
        <v>65</v>
      </c>
      <c r="G14" s="71"/>
      <c r="H14" s="72">
        <v>895</v>
      </c>
      <c r="I14" s="58">
        <f t="shared" si="0"/>
        <v>0</v>
      </c>
      <c r="J14" s="110"/>
      <c r="K14" s="111"/>
    </row>
    <row r="15" spans="1:11" s="74" customFormat="1" ht="51" customHeight="1" x14ac:dyDescent="0.2">
      <c r="A15" s="53">
        <v>6</v>
      </c>
      <c r="B15" s="77" t="s">
        <v>79</v>
      </c>
      <c r="C15" s="77" t="s">
        <v>230</v>
      </c>
      <c r="D15" s="54">
        <v>252</v>
      </c>
      <c r="E15" s="80" t="s">
        <v>212</v>
      </c>
      <c r="F15" s="53" t="s">
        <v>67</v>
      </c>
      <c r="G15" s="71"/>
      <c r="H15" s="72">
        <v>466499.75</v>
      </c>
      <c r="I15" s="58">
        <f t="shared" si="0"/>
        <v>0</v>
      </c>
    </row>
    <row r="16" spans="1:11" s="74" customFormat="1" ht="39.75" customHeight="1" x14ac:dyDescent="0.2">
      <c r="A16" s="53">
        <v>7</v>
      </c>
      <c r="B16" s="55" t="s">
        <v>80</v>
      </c>
      <c r="C16" s="77" t="s">
        <v>230</v>
      </c>
      <c r="D16" s="54">
        <v>252</v>
      </c>
      <c r="E16" s="68" t="s">
        <v>81</v>
      </c>
      <c r="F16" s="56" t="s">
        <v>65</v>
      </c>
      <c r="G16" s="57"/>
      <c r="H16" s="69">
        <v>146</v>
      </c>
      <c r="I16" s="58">
        <f t="shared" si="0"/>
        <v>0</v>
      </c>
    </row>
    <row r="17" spans="1:9" s="74" customFormat="1" ht="43.5" customHeight="1" x14ac:dyDescent="0.2">
      <c r="A17" s="53">
        <v>8</v>
      </c>
      <c r="B17" s="55" t="s">
        <v>82</v>
      </c>
      <c r="C17" s="77" t="s">
        <v>230</v>
      </c>
      <c r="D17" s="54">
        <v>252</v>
      </c>
      <c r="E17" s="68" t="s">
        <v>83</v>
      </c>
      <c r="F17" s="56" t="s">
        <v>65</v>
      </c>
      <c r="G17" s="57"/>
      <c r="H17" s="69">
        <v>48</v>
      </c>
      <c r="I17" s="58">
        <f t="shared" si="0"/>
        <v>0</v>
      </c>
    </row>
    <row r="18" spans="1:9" s="74" customFormat="1" ht="51" customHeight="1" x14ac:dyDescent="0.2">
      <c r="A18" s="53">
        <v>9</v>
      </c>
      <c r="B18" s="81" t="s">
        <v>192</v>
      </c>
      <c r="C18" s="77" t="s">
        <v>230</v>
      </c>
      <c r="D18" s="54">
        <v>252</v>
      </c>
      <c r="E18" s="78" t="s">
        <v>226</v>
      </c>
      <c r="F18" s="53" t="s">
        <v>65</v>
      </c>
      <c r="G18" s="71"/>
      <c r="H18" s="72">
        <v>1620</v>
      </c>
      <c r="I18" s="58">
        <f t="shared" si="0"/>
        <v>0</v>
      </c>
    </row>
    <row r="19" spans="1:9" s="74" customFormat="1" ht="36" customHeight="1" x14ac:dyDescent="0.2">
      <c r="A19" s="53">
        <v>10</v>
      </c>
      <c r="B19" s="55" t="s">
        <v>84</v>
      </c>
      <c r="C19" s="77" t="s">
        <v>230</v>
      </c>
      <c r="D19" s="54">
        <v>252</v>
      </c>
      <c r="E19" s="68" t="s">
        <v>85</v>
      </c>
      <c r="F19" s="56" t="s">
        <v>65</v>
      </c>
      <c r="G19" s="57"/>
      <c r="H19" s="69">
        <v>88</v>
      </c>
      <c r="I19" s="58">
        <f t="shared" si="0"/>
        <v>0</v>
      </c>
    </row>
    <row r="20" spans="1:9" s="74" customFormat="1" ht="36" customHeight="1" x14ac:dyDescent="0.2">
      <c r="A20" s="53">
        <v>11</v>
      </c>
      <c r="B20" s="55" t="s">
        <v>86</v>
      </c>
      <c r="C20" s="77" t="s">
        <v>230</v>
      </c>
      <c r="D20" s="54">
        <v>252</v>
      </c>
      <c r="E20" s="68" t="s">
        <v>87</v>
      </c>
      <c r="F20" s="56" t="s">
        <v>64</v>
      </c>
      <c r="G20" s="57"/>
      <c r="H20" s="69">
        <v>18.899999999999999</v>
      </c>
      <c r="I20" s="58">
        <f t="shared" si="0"/>
        <v>0</v>
      </c>
    </row>
    <row r="21" spans="1:9" s="74" customFormat="1" ht="34.5" customHeight="1" x14ac:dyDescent="0.2">
      <c r="A21" s="53">
        <v>12</v>
      </c>
      <c r="B21" s="55" t="s">
        <v>90</v>
      </c>
      <c r="C21" s="77" t="s">
        <v>230</v>
      </c>
      <c r="D21" s="54">
        <v>252</v>
      </c>
      <c r="E21" s="68" t="s">
        <v>91</v>
      </c>
      <c r="F21" s="56" t="s">
        <v>64</v>
      </c>
      <c r="G21" s="57"/>
      <c r="H21" s="69">
        <v>4.5</v>
      </c>
      <c r="I21" s="58">
        <f t="shared" si="0"/>
        <v>0</v>
      </c>
    </row>
    <row r="22" spans="1:9" s="74" customFormat="1" ht="30.75" customHeight="1" x14ac:dyDescent="0.2">
      <c r="A22" s="53">
        <v>13</v>
      </c>
      <c r="B22" s="55" t="s">
        <v>88</v>
      </c>
      <c r="C22" s="77" t="s">
        <v>230</v>
      </c>
      <c r="D22" s="54">
        <v>252</v>
      </c>
      <c r="E22" s="68" t="s">
        <v>89</v>
      </c>
      <c r="F22" s="56" t="s">
        <v>64</v>
      </c>
      <c r="G22" s="57"/>
      <c r="H22" s="69">
        <v>3.2</v>
      </c>
      <c r="I22" s="58">
        <f t="shared" si="0"/>
        <v>0</v>
      </c>
    </row>
    <row r="23" spans="1:9" s="74" customFormat="1" ht="39" customHeight="1" x14ac:dyDescent="0.2">
      <c r="A23" s="53">
        <v>14</v>
      </c>
      <c r="B23" s="55" t="s">
        <v>92</v>
      </c>
      <c r="C23" s="77" t="s">
        <v>230</v>
      </c>
      <c r="D23" s="54">
        <v>252</v>
      </c>
      <c r="E23" s="68" t="s">
        <v>93</v>
      </c>
      <c r="F23" s="56" t="s">
        <v>64</v>
      </c>
      <c r="G23" s="57"/>
      <c r="H23" s="69">
        <v>6.5</v>
      </c>
      <c r="I23" s="58">
        <f t="shared" si="0"/>
        <v>0</v>
      </c>
    </row>
    <row r="24" spans="1:9" s="74" customFormat="1" ht="45" customHeight="1" x14ac:dyDescent="0.2">
      <c r="A24" s="53">
        <v>15</v>
      </c>
      <c r="B24" s="55" t="s">
        <v>94</v>
      </c>
      <c r="C24" s="77" t="s">
        <v>230</v>
      </c>
      <c r="D24" s="54">
        <v>252</v>
      </c>
      <c r="E24" s="68" t="s">
        <v>95</v>
      </c>
      <c r="F24" s="56" t="s">
        <v>64</v>
      </c>
      <c r="G24" s="57"/>
      <c r="H24" s="69">
        <v>5.9</v>
      </c>
      <c r="I24" s="58">
        <f t="shared" si="0"/>
        <v>0</v>
      </c>
    </row>
    <row r="25" spans="1:9" s="74" customFormat="1" ht="45" customHeight="1" x14ac:dyDescent="0.2">
      <c r="A25" s="53">
        <v>16</v>
      </c>
      <c r="B25" s="55" t="s">
        <v>96</v>
      </c>
      <c r="C25" s="77" t="s">
        <v>230</v>
      </c>
      <c r="D25" s="54">
        <v>252</v>
      </c>
      <c r="E25" s="68" t="s">
        <v>97</v>
      </c>
      <c r="F25" s="56" t="s">
        <v>64</v>
      </c>
      <c r="G25" s="57"/>
      <c r="H25" s="69">
        <v>6.9</v>
      </c>
      <c r="I25" s="58">
        <f t="shared" si="0"/>
        <v>0</v>
      </c>
    </row>
    <row r="26" spans="1:9" s="74" customFormat="1" ht="33" customHeight="1" x14ac:dyDescent="0.2">
      <c r="A26" s="53">
        <v>17</v>
      </c>
      <c r="B26" s="81" t="s">
        <v>193</v>
      </c>
      <c r="C26" s="77" t="s">
        <v>230</v>
      </c>
      <c r="D26" s="54">
        <v>252</v>
      </c>
      <c r="E26" s="80" t="s">
        <v>213</v>
      </c>
      <c r="F26" s="53" t="s">
        <v>64</v>
      </c>
      <c r="G26" s="71"/>
      <c r="H26" s="72">
        <v>10.56</v>
      </c>
      <c r="I26" s="58">
        <f t="shared" si="0"/>
        <v>0</v>
      </c>
    </row>
    <row r="27" spans="1:9" s="74" customFormat="1" ht="40.5" customHeight="1" x14ac:dyDescent="0.2">
      <c r="A27" s="53">
        <v>18</v>
      </c>
      <c r="B27" s="96" t="s">
        <v>194</v>
      </c>
      <c r="C27" s="77" t="s">
        <v>230</v>
      </c>
      <c r="D27" s="54">
        <v>252</v>
      </c>
      <c r="E27" s="80" t="s">
        <v>214</v>
      </c>
      <c r="F27" s="53" t="s">
        <v>64</v>
      </c>
      <c r="G27" s="71"/>
      <c r="H27" s="72">
        <v>12</v>
      </c>
      <c r="I27" s="58">
        <f t="shared" si="0"/>
        <v>0</v>
      </c>
    </row>
    <row r="28" spans="1:9" s="74" customFormat="1" ht="33" customHeight="1" x14ac:dyDescent="0.2">
      <c r="A28" s="53">
        <v>19</v>
      </c>
      <c r="B28" s="55" t="s">
        <v>98</v>
      </c>
      <c r="C28" s="77" t="s">
        <v>230</v>
      </c>
      <c r="D28" s="54">
        <v>252</v>
      </c>
      <c r="E28" s="68" t="s">
        <v>99</v>
      </c>
      <c r="F28" s="56" t="s">
        <v>64</v>
      </c>
      <c r="G28" s="57"/>
      <c r="H28" s="69">
        <v>13</v>
      </c>
      <c r="I28" s="58">
        <f t="shared" si="0"/>
        <v>0</v>
      </c>
    </row>
    <row r="29" spans="1:9" s="74" customFormat="1" ht="36.75" customHeight="1" x14ac:dyDescent="0.2">
      <c r="A29" s="53">
        <v>20</v>
      </c>
      <c r="B29" s="55" t="s">
        <v>104</v>
      </c>
      <c r="C29" s="77" t="s">
        <v>230</v>
      </c>
      <c r="D29" s="54">
        <v>252</v>
      </c>
      <c r="E29" s="68" t="s">
        <v>105</v>
      </c>
      <c r="F29" s="56" t="s">
        <v>64</v>
      </c>
      <c r="G29" s="57"/>
      <c r="H29" s="69">
        <v>5.98</v>
      </c>
      <c r="I29" s="58">
        <f t="shared" si="0"/>
        <v>0</v>
      </c>
    </row>
    <row r="30" spans="1:9" s="74" customFormat="1" ht="30.75" customHeight="1" x14ac:dyDescent="0.2">
      <c r="A30" s="53">
        <v>21</v>
      </c>
      <c r="B30" s="55" t="s">
        <v>106</v>
      </c>
      <c r="C30" s="77" t="s">
        <v>230</v>
      </c>
      <c r="D30" s="54">
        <v>252</v>
      </c>
      <c r="E30" s="68" t="s">
        <v>107</v>
      </c>
      <c r="F30" s="56" t="s">
        <v>64</v>
      </c>
      <c r="G30" s="57"/>
      <c r="H30" s="69">
        <v>8.92</v>
      </c>
      <c r="I30" s="58">
        <f t="shared" si="0"/>
        <v>0</v>
      </c>
    </row>
    <row r="31" spans="1:9" s="74" customFormat="1" ht="25.5" x14ac:dyDescent="0.2">
      <c r="A31" s="53">
        <v>22</v>
      </c>
      <c r="B31" s="55" t="s">
        <v>100</v>
      </c>
      <c r="C31" s="77" t="s">
        <v>230</v>
      </c>
      <c r="D31" s="54">
        <v>252</v>
      </c>
      <c r="E31" s="68" t="s">
        <v>101</v>
      </c>
      <c r="F31" s="56" t="s">
        <v>64</v>
      </c>
      <c r="G31" s="57"/>
      <c r="H31" s="69">
        <v>3.6</v>
      </c>
      <c r="I31" s="58">
        <f t="shared" si="0"/>
        <v>0</v>
      </c>
    </row>
    <row r="32" spans="1:9" s="74" customFormat="1" ht="25.5" x14ac:dyDescent="0.2">
      <c r="A32" s="53">
        <v>23</v>
      </c>
      <c r="B32" s="55" t="s">
        <v>102</v>
      </c>
      <c r="C32" s="77" t="s">
        <v>230</v>
      </c>
      <c r="D32" s="54">
        <v>252</v>
      </c>
      <c r="E32" s="68" t="s">
        <v>103</v>
      </c>
      <c r="F32" s="56" t="s">
        <v>64</v>
      </c>
      <c r="G32" s="57"/>
      <c r="H32" s="69">
        <v>3.95</v>
      </c>
      <c r="I32" s="58">
        <f t="shared" si="0"/>
        <v>0</v>
      </c>
    </row>
    <row r="33" spans="1:10" s="74" customFormat="1" ht="37.5" customHeight="1" x14ac:dyDescent="0.2">
      <c r="A33" s="82">
        <v>24</v>
      </c>
      <c r="B33" s="95" t="s">
        <v>209</v>
      </c>
      <c r="C33" s="81" t="s">
        <v>230</v>
      </c>
      <c r="D33" s="83">
        <v>252</v>
      </c>
      <c r="E33" s="80" t="s">
        <v>215</v>
      </c>
      <c r="F33" s="82" t="s">
        <v>64</v>
      </c>
      <c r="G33" s="84"/>
      <c r="H33" s="85">
        <v>18</v>
      </c>
      <c r="I33" s="86">
        <f t="shared" si="0"/>
        <v>0</v>
      </c>
    </row>
    <row r="34" spans="1:10" s="74" customFormat="1" ht="32.25" customHeight="1" x14ac:dyDescent="0.2">
      <c r="A34" s="53">
        <v>25</v>
      </c>
      <c r="B34" s="77" t="s">
        <v>108</v>
      </c>
      <c r="C34" s="77" t="s">
        <v>230</v>
      </c>
      <c r="D34" s="54">
        <v>252</v>
      </c>
      <c r="E34" s="73" t="s">
        <v>109</v>
      </c>
      <c r="F34" s="53" t="s">
        <v>65</v>
      </c>
      <c r="G34" s="71"/>
      <c r="H34" s="72">
        <v>75</v>
      </c>
      <c r="I34" s="58">
        <f t="shared" si="0"/>
        <v>0</v>
      </c>
    </row>
    <row r="35" spans="1:10" s="74" customFormat="1" ht="44.25" customHeight="1" x14ac:dyDescent="0.2">
      <c r="A35" s="53">
        <v>26</v>
      </c>
      <c r="B35" s="81" t="s">
        <v>206</v>
      </c>
      <c r="C35" s="77" t="s">
        <v>230</v>
      </c>
      <c r="D35" s="54">
        <v>252</v>
      </c>
      <c r="E35" s="80" t="s">
        <v>216</v>
      </c>
      <c r="F35" s="53" t="s">
        <v>67</v>
      </c>
      <c r="G35" s="71"/>
      <c r="H35" s="72">
        <v>6469</v>
      </c>
      <c r="I35" s="58">
        <f t="shared" si="0"/>
        <v>0</v>
      </c>
      <c r="J35" s="62"/>
    </row>
    <row r="36" spans="1:10" s="74" customFormat="1" ht="36" customHeight="1" x14ac:dyDescent="0.2">
      <c r="A36" s="53">
        <v>27</v>
      </c>
      <c r="B36" s="55" t="s">
        <v>112</v>
      </c>
      <c r="C36" s="77" t="s">
        <v>230</v>
      </c>
      <c r="D36" s="54">
        <v>252</v>
      </c>
      <c r="E36" s="68" t="s">
        <v>113</v>
      </c>
      <c r="F36" s="56" t="s">
        <v>65</v>
      </c>
      <c r="G36" s="57"/>
      <c r="H36" s="69">
        <v>65</v>
      </c>
      <c r="I36" s="58">
        <f t="shared" si="0"/>
        <v>0</v>
      </c>
    </row>
    <row r="37" spans="1:10" s="74" customFormat="1" ht="33.75" customHeight="1" x14ac:dyDescent="0.2">
      <c r="A37" s="53">
        <v>28</v>
      </c>
      <c r="B37" s="55" t="s">
        <v>110</v>
      </c>
      <c r="C37" s="77" t="s">
        <v>230</v>
      </c>
      <c r="D37" s="54">
        <v>252</v>
      </c>
      <c r="E37" s="68" t="s">
        <v>111</v>
      </c>
      <c r="F37" s="56" t="s">
        <v>64</v>
      </c>
      <c r="G37" s="57"/>
      <c r="H37" s="69">
        <v>15</v>
      </c>
      <c r="I37" s="58">
        <f t="shared" si="0"/>
        <v>0</v>
      </c>
    </row>
    <row r="38" spans="1:10" s="74" customFormat="1" ht="46.5" customHeight="1" x14ac:dyDescent="0.2">
      <c r="A38" s="53">
        <v>29</v>
      </c>
      <c r="B38" s="77" t="s">
        <v>116</v>
      </c>
      <c r="C38" s="77" t="s">
        <v>230</v>
      </c>
      <c r="D38" s="54">
        <v>252</v>
      </c>
      <c r="E38" s="73" t="s">
        <v>117</v>
      </c>
      <c r="F38" s="53" t="s">
        <v>65</v>
      </c>
      <c r="G38" s="71"/>
      <c r="H38" s="72">
        <v>1850</v>
      </c>
      <c r="I38" s="58">
        <f t="shared" si="0"/>
        <v>0</v>
      </c>
    </row>
    <row r="39" spans="1:10" s="74" customFormat="1" ht="39.75" customHeight="1" x14ac:dyDescent="0.2">
      <c r="A39" s="53">
        <v>30</v>
      </c>
      <c r="B39" s="55" t="s">
        <v>114</v>
      </c>
      <c r="C39" s="77" t="s">
        <v>230</v>
      </c>
      <c r="D39" s="54">
        <v>252</v>
      </c>
      <c r="E39" s="68" t="s">
        <v>115</v>
      </c>
      <c r="F39" s="56" t="s">
        <v>64</v>
      </c>
      <c r="G39" s="57"/>
      <c r="H39" s="69">
        <v>16</v>
      </c>
      <c r="I39" s="58">
        <f t="shared" si="0"/>
        <v>0</v>
      </c>
    </row>
    <row r="40" spans="1:10" s="74" customFormat="1" ht="40.5" customHeight="1" x14ac:dyDescent="0.2">
      <c r="A40" s="53">
        <v>31</v>
      </c>
      <c r="B40" s="55" t="s">
        <v>119</v>
      </c>
      <c r="C40" s="77" t="s">
        <v>230</v>
      </c>
      <c r="D40" s="54">
        <v>252</v>
      </c>
      <c r="E40" s="68" t="s">
        <v>118</v>
      </c>
      <c r="F40" s="56" t="s">
        <v>65</v>
      </c>
      <c r="G40" s="57"/>
      <c r="H40" s="69">
        <v>480</v>
      </c>
      <c r="I40" s="58">
        <f t="shared" si="0"/>
        <v>0</v>
      </c>
    </row>
    <row r="41" spans="1:10" s="74" customFormat="1" ht="34.5" customHeight="1" x14ac:dyDescent="0.2">
      <c r="A41" s="53">
        <v>32</v>
      </c>
      <c r="B41" s="55" t="s">
        <v>120</v>
      </c>
      <c r="C41" s="77" t="s">
        <v>230</v>
      </c>
      <c r="D41" s="54">
        <v>252</v>
      </c>
      <c r="E41" s="68" t="s">
        <v>121</v>
      </c>
      <c r="F41" s="56" t="s">
        <v>65</v>
      </c>
      <c r="G41" s="57"/>
      <c r="H41" s="69">
        <v>150</v>
      </c>
      <c r="I41" s="58">
        <f t="shared" si="0"/>
        <v>0</v>
      </c>
    </row>
    <row r="42" spans="1:10" s="74" customFormat="1" ht="27.75" customHeight="1" x14ac:dyDescent="0.2">
      <c r="A42" s="53">
        <v>33</v>
      </c>
      <c r="B42" s="95" t="s">
        <v>197</v>
      </c>
      <c r="C42" s="77" t="s">
        <v>230</v>
      </c>
      <c r="D42" s="54">
        <v>252</v>
      </c>
      <c r="E42" s="89" t="s">
        <v>196</v>
      </c>
      <c r="F42" s="53" t="s">
        <v>65</v>
      </c>
      <c r="G42" s="71"/>
      <c r="H42" s="72">
        <v>516.72</v>
      </c>
      <c r="I42" s="58">
        <f t="shared" si="0"/>
        <v>0</v>
      </c>
    </row>
    <row r="43" spans="1:10" s="74" customFormat="1" ht="37.5" customHeight="1" x14ac:dyDescent="0.2">
      <c r="A43" s="53">
        <v>34</v>
      </c>
      <c r="B43" s="55" t="s">
        <v>122</v>
      </c>
      <c r="C43" s="77" t="s">
        <v>230</v>
      </c>
      <c r="D43" s="54">
        <v>252</v>
      </c>
      <c r="E43" s="68" t="s">
        <v>123</v>
      </c>
      <c r="F43" s="56" t="s">
        <v>64</v>
      </c>
      <c r="G43" s="57"/>
      <c r="H43" s="69">
        <v>3.5</v>
      </c>
      <c r="I43" s="58">
        <f t="shared" si="0"/>
        <v>0</v>
      </c>
    </row>
    <row r="44" spans="1:10" s="74" customFormat="1" ht="29.25" customHeight="1" x14ac:dyDescent="0.2">
      <c r="A44" s="53">
        <v>35</v>
      </c>
      <c r="B44" s="55" t="s">
        <v>124</v>
      </c>
      <c r="C44" s="77" t="s">
        <v>230</v>
      </c>
      <c r="D44" s="54">
        <v>252</v>
      </c>
      <c r="E44" s="68" t="s">
        <v>125</v>
      </c>
      <c r="F44" s="56" t="s">
        <v>64</v>
      </c>
      <c r="G44" s="57"/>
      <c r="H44" s="69">
        <v>3.2</v>
      </c>
      <c r="I44" s="58">
        <f t="shared" si="0"/>
        <v>0</v>
      </c>
    </row>
    <row r="45" spans="1:10" s="74" customFormat="1" ht="48.75" customHeight="1" x14ac:dyDescent="0.2">
      <c r="A45" s="53">
        <v>36</v>
      </c>
      <c r="B45" s="55" t="s">
        <v>126</v>
      </c>
      <c r="C45" s="77" t="s">
        <v>230</v>
      </c>
      <c r="D45" s="54">
        <v>252</v>
      </c>
      <c r="E45" s="68" t="s">
        <v>127</v>
      </c>
      <c r="F45" s="56" t="s">
        <v>63</v>
      </c>
      <c r="G45" s="57"/>
      <c r="H45" s="69">
        <v>790</v>
      </c>
      <c r="I45" s="58">
        <f t="shared" si="0"/>
        <v>0</v>
      </c>
    </row>
    <row r="46" spans="1:10" s="74" customFormat="1" ht="45.75" customHeight="1" x14ac:dyDescent="0.2">
      <c r="A46" s="53">
        <v>37</v>
      </c>
      <c r="B46" s="55" t="s">
        <v>128</v>
      </c>
      <c r="C46" s="77" t="s">
        <v>230</v>
      </c>
      <c r="D46" s="54">
        <v>252</v>
      </c>
      <c r="E46" s="68" t="s">
        <v>129</v>
      </c>
      <c r="F46" s="56" t="s">
        <v>63</v>
      </c>
      <c r="G46" s="57"/>
      <c r="H46" s="69">
        <v>1200</v>
      </c>
      <c r="I46" s="58">
        <f t="shared" si="0"/>
        <v>0</v>
      </c>
    </row>
    <row r="47" spans="1:10" s="74" customFormat="1" ht="45" customHeight="1" x14ac:dyDescent="0.2">
      <c r="A47" s="53">
        <v>38</v>
      </c>
      <c r="B47" s="55" t="s">
        <v>130</v>
      </c>
      <c r="C47" s="77" t="s">
        <v>230</v>
      </c>
      <c r="D47" s="54">
        <v>252</v>
      </c>
      <c r="E47" s="68" t="s">
        <v>131</v>
      </c>
      <c r="F47" s="56" t="s">
        <v>63</v>
      </c>
      <c r="G47" s="57"/>
      <c r="H47" s="69">
        <v>1580</v>
      </c>
      <c r="I47" s="58">
        <f t="shared" si="0"/>
        <v>0</v>
      </c>
    </row>
    <row r="48" spans="1:10" s="74" customFormat="1" ht="54.75" customHeight="1" x14ac:dyDescent="0.2">
      <c r="A48" s="53">
        <v>39</v>
      </c>
      <c r="B48" s="55" t="s">
        <v>132</v>
      </c>
      <c r="C48" s="77" t="s">
        <v>230</v>
      </c>
      <c r="D48" s="54">
        <v>252</v>
      </c>
      <c r="E48" s="68" t="s">
        <v>189</v>
      </c>
      <c r="F48" s="56" t="s">
        <v>63</v>
      </c>
      <c r="G48" s="57"/>
      <c r="H48" s="69">
        <v>415</v>
      </c>
      <c r="I48" s="58">
        <f t="shared" si="0"/>
        <v>0</v>
      </c>
    </row>
    <row r="49" spans="1:12" s="74" customFormat="1" ht="45.75" customHeight="1" x14ac:dyDescent="0.2">
      <c r="A49" s="53">
        <v>40</v>
      </c>
      <c r="B49" s="77" t="s">
        <v>195</v>
      </c>
      <c r="C49" s="77" t="s">
        <v>230</v>
      </c>
      <c r="D49" s="54">
        <v>252</v>
      </c>
      <c r="E49" s="80" t="s">
        <v>217</v>
      </c>
      <c r="F49" s="53" t="s">
        <v>65</v>
      </c>
      <c r="G49" s="71"/>
      <c r="H49" s="72">
        <v>5690</v>
      </c>
      <c r="I49" s="58">
        <f t="shared" si="0"/>
        <v>0</v>
      </c>
    </row>
    <row r="50" spans="1:12" s="74" customFormat="1" ht="31.5" customHeight="1" x14ac:dyDescent="0.2">
      <c r="A50" s="53">
        <v>41</v>
      </c>
      <c r="B50" s="55" t="s">
        <v>135</v>
      </c>
      <c r="C50" s="77" t="s">
        <v>230</v>
      </c>
      <c r="D50" s="54">
        <v>252</v>
      </c>
      <c r="E50" s="68" t="s">
        <v>136</v>
      </c>
      <c r="F50" s="56" t="s">
        <v>64</v>
      </c>
      <c r="G50" s="57"/>
      <c r="H50" s="69">
        <v>4.25</v>
      </c>
      <c r="I50" s="58">
        <f t="shared" si="0"/>
        <v>0</v>
      </c>
    </row>
    <row r="51" spans="1:12" s="74" customFormat="1" ht="42.75" customHeight="1" x14ac:dyDescent="0.2">
      <c r="A51" s="53">
        <v>42</v>
      </c>
      <c r="B51" s="55" t="s">
        <v>133</v>
      </c>
      <c r="C51" s="77" t="s">
        <v>230</v>
      </c>
      <c r="D51" s="54">
        <v>252</v>
      </c>
      <c r="E51" s="68" t="s">
        <v>134</v>
      </c>
      <c r="F51" s="56" t="s">
        <v>64</v>
      </c>
      <c r="G51" s="57"/>
      <c r="H51" s="69">
        <v>3.6</v>
      </c>
      <c r="I51" s="58">
        <f t="shared" si="0"/>
        <v>0</v>
      </c>
    </row>
    <row r="52" spans="1:12" s="74" customFormat="1" ht="41.25" customHeight="1" x14ac:dyDescent="0.2">
      <c r="A52" s="53">
        <v>43</v>
      </c>
      <c r="B52" s="55" t="s">
        <v>137</v>
      </c>
      <c r="C52" s="77" t="s">
        <v>230</v>
      </c>
      <c r="D52" s="54">
        <v>252</v>
      </c>
      <c r="E52" s="68" t="s">
        <v>138</v>
      </c>
      <c r="F52" s="56" t="s">
        <v>65</v>
      </c>
      <c r="G52" s="57"/>
      <c r="H52" s="69">
        <v>110000</v>
      </c>
      <c r="I52" s="58">
        <f t="shared" si="0"/>
        <v>0</v>
      </c>
    </row>
    <row r="53" spans="1:12" s="74" customFormat="1" ht="41.25" customHeight="1" x14ac:dyDescent="0.2">
      <c r="A53" s="53">
        <v>44</v>
      </c>
      <c r="B53" s="55" t="s">
        <v>139</v>
      </c>
      <c r="C53" s="77" t="s">
        <v>230</v>
      </c>
      <c r="D53" s="54">
        <v>252</v>
      </c>
      <c r="E53" s="68" t="s">
        <v>140</v>
      </c>
      <c r="F53" s="56" t="s">
        <v>65</v>
      </c>
      <c r="G53" s="57"/>
      <c r="H53" s="69">
        <v>145</v>
      </c>
      <c r="I53" s="58">
        <f t="shared" si="0"/>
        <v>0</v>
      </c>
    </row>
    <row r="54" spans="1:12" s="74" customFormat="1" ht="38.25" customHeight="1" x14ac:dyDescent="0.2">
      <c r="A54" s="53">
        <v>45</v>
      </c>
      <c r="B54" s="106" t="s">
        <v>218</v>
      </c>
      <c r="C54" s="77" t="s">
        <v>230</v>
      </c>
      <c r="D54" s="54">
        <v>252</v>
      </c>
      <c r="E54" s="89" t="s">
        <v>219</v>
      </c>
      <c r="F54" s="53" t="s">
        <v>63</v>
      </c>
      <c r="G54" s="71"/>
      <c r="H54" s="72">
        <v>32500</v>
      </c>
      <c r="I54" s="58">
        <f t="shared" si="0"/>
        <v>0</v>
      </c>
    </row>
    <row r="55" spans="1:12" s="74" customFormat="1" ht="38.25" customHeight="1" x14ac:dyDescent="0.2">
      <c r="A55" s="53">
        <v>46</v>
      </c>
      <c r="B55" s="95" t="s">
        <v>221</v>
      </c>
      <c r="C55" s="77" t="s">
        <v>230</v>
      </c>
      <c r="D55" s="54">
        <v>252</v>
      </c>
      <c r="E55" s="107" t="s">
        <v>220</v>
      </c>
      <c r="F55" s="53" t="s">
        <v>63</v>
      </c>
      <c r="G55" s="71"/>
      <c r="H55" s="72">
        <v>40559.57</v>
      </c>
      <c r="I55" s="58">
        <f t="shared" si="0"/>
        <v>0</v>
      </c>
    </row>
    <row r="56" spans="1:12" s="74" customFormat="1" ht="28.5" customHeight="1" x14ac:dyDescent="0.2">
      <c r="A56" s="53">
        <v>47</v>
      </c>
      <c r="B56" s="55" t="s">
        <v>141</v>
      </c>
      <c r="C56" s="77" t="s">
        <v>230</v>
      </c>
      <c r="D56" s="54">
        <v>252</v>
      </c>
      <c r="E56" s="68" t="s">
        <v>142</v>
      </c>
      <c r="F56" s="56" t="s">
        <v>65</v>
      </c>
      <c r="G56" s="57"/>
      <c r="H56" s="72">
        <v>2300</v>
      </c>
      <c r="I56" s="58">
        <f t="shared" si="0"/>
        <v>0</v>
      </c>
    </row>
    <row r="57" spans="1:12" s="74" customFormat="1" ht="27" customHeight="1" x14ac:dyDescent="0.2">
      <c r="A57" s="53">
        <v>48</v>
      </c>
      <c r="B57" s="55" t="s">
        <v>143</v>
      </c>
      <c r="C57" s="77" t="s">
        <v>230</v>
      </c>
      <c r="D57" s="54">
        <v>252</v>
      </c>
      <c r="E57" s="68" t="s">
        <v>144</v>
      </c>
      <c r="F57" s="56" t="s">
        <v>64</v>
      </c>
      <c r="G57" s="57"/>
      <c r="H57" s="69">
        <v>6.3</v>
      </c>
      <c r="I57" s="58">
        <f t="shared" si="0"/>
        <v>0</v>
      </c>
    </row>
    <row r="58" spans="1:12" s="74" customFormat="1" ht="34.5" customHeight="1" x14ac:dyDescent="0.2">
      <c r="A58" s="53">
        <v>49</v>
      </c>
      <c r="B58" s="55" t="s">
        <v>145</v>
      </c>
      <c r="C58" s="77" t="s">
        <v>230</v>
      </c>
      <c r="D58" s="54">
        <v>252</v>
      </c>
      <c r="E58" s="68" t="s">
        <v>146</v>
      </c>
      <c r="F58" s="56" t="s">
        <v>65</v>
      </c>
      <c r="G58" s="57"/>
      <c r="H58" s="69">
        <v>41</v>
      </c>
      <c r="I58" s="58">
        <f t="shared" si="0"/>
        <v>0</v>
      </c>
    </row>
    <row r="59" spans="1:12" s="74" customFormat="1" ht="34.5" customHeight="1" x14ac:dyDescent="0.2">
      <c r="A59" s="53">
        <v>50</v>
      </c>
      <c r="B59" s="95" t="s">
        <v>198</v>
      </c>
      <c r="C59" s="77" t="s">
        <v>230</v>
      </c>
      <c r="D59" s="54">
        <v>252</v>
      </c>
      <c r="E59" s="89" t="s">
        <v>199</v>
      </c>
      <c r="F59" s="53" t="s">
        <v>68</v>
      </c>
      <c r="G59" s="71"/>
      <c r="H59" s="72">
        <v>1250</v>
      </c>
      <c r="I59" s="58">
        <f t="shared" si="0"/>
        <v>0</v>
      </c>
    </row>
    <row r="60" spans="1:12" s="74" customFormat="1" ht="50.25" customHeight="1" x14ac:dyDescent="0.2">
      <c r="A60" s="53">
        <v>51</v>
      </c>
      <c r="B60" s="95" t="s">
        <v>201</v>
      </c>
      <c r="C60" s="77" t="s">
        <v>230</v>
      </c>
      <c r="D60" s="54">
        <v>252</v>
      </c>
      <c r="E60" s="73" t="s">
        <v>200</v>
      </c>
      <c r="F60" s="53" t="s">
        <v>65</v>
      </c>
      <c r="G60" s="71"/>
      <c r="H60" s="72">
        <v>730</v>
      </c>
      <c r="I60" s="58">
        <f t="shared" si="0"/>
        <v>0</v>
      </c>
    </row>
    <row r="61" spans="1:12" s="74" customFormat="1" ht="41.25" customHeight="1" x14ac:dyDescent="0.2">
      <c r="A61" s="53">
        <v>52</v>
      </c>
      <c r="B61" s="55" t="s">
        <v>147</v>
      </c>
      <c r="C61" s="77" t="s">
        <v>230</v>
      </c>
      <c r="D61" s="54">
        <v>252</v>
      </c>
      <c r="E61" s="68" t="s">
        <v>148</v>
      </c>
      <c r="F61" s="56" t="s">
        <v>64</v>
      </c>
      <c r="G61" s="57"/>
      <c r="H61" s="69">
        <v>6.4</v>
      </c>
      <c r="I61" s="58">
        <f t="shared" si="0"/>
        <v>0</v>
      </c>
    </row>
    <row r="62" spans="1:12" s="74" customFormat="1" ht="36.75" customHeight="1" x14ac:dyDescent="0.2">
      <c r="A62" s="53">
        <v>53</v>
      </c>
      <c r="B62" s="77" t="s">
        <v>149</v>
      </c>
      <c r="C62" s="77" t="s">
        <v>230</v>
      </c>
      <c r="D62" s="54">
        <v>252</v>
      </c>
      <c r="E62" s="73" t="s">
        <v>150</v>
      </c>
      <c r="F62" s="53" t="s">
        <v>65</v>
      </c>
      <c r="G62" s="71"/>
      <c r="H62" s="72">
        <v>396</v>
      </c>
      <c r="I62" s="58">
        <f t="shared" si="0"/>
        <v>0</v>
      </c>
    </row>
    <row r="63" spans="1:12" s="74" customFormat="1" ht="45.75" customHeight="1" x14ac:dyDescent="0.2">
      <c r="A63" s="53">
        <v>54</v>
      </c>
      <c r="B63" s="81" t="s">
        <v>202</v>
      </c>
      <c r="C63" s="77" t="s">
        <v>230</v>
      </c>
      <c r="D63" s="54">
        <v>252</v>
      </c>
      <c r="E63" s="80" t="s">
        <v>222</v>
      </c>
      <c r="F63" s="53" t="s">
        <v>67</v>
      </c>
      <c r="G63" s="71"/>
      <c r="H63" s="72">
        <v>4396</v>
      </c>
      <c r="I63" s="58">
        <f t="shared" si="0"/>
        <v>0</v>
      </c>
      <c r="J63" s="110"/>
      <c r="K63" s="111"/>
      <c r="L63" s="111"/>
    </row>
    <row r="64" spans="1:12" s="74" customFormat="1" ht="45.75" customHeight="1" x14ac:dyDescent="0.2">
      <c r="A64" s="53">
        <v>55</v>
      </c>
      <c r="B64" s="81" t="s">
        <v>233</v>
      </c>
      <c r="C64" s="77" t="s">
        <v>230</v>
      </c>
      <c r="D64" s="54">
        <v>252</v>
      </c>
      <c r="E64" s="80" t="s">
        <v>232</v>
      </c>
      <c r="F64" s="53" t="s">
        <v>63</v>
      </c>
      <c r="G64" s="71"/>
      <c r="H64" s="72">
        <v>540.5</v>
      </c>
      <c r="I64" s="58"/>
      <c r="J64" s="108"/>
      <c r="K64" s="109"/>
      <c r="L64" s="109"/>
    </row>
    <row r="65" spans="1:12" s="74" customFormat="1" ht="54" customHeight="1" x14ac:dyDescent="0.2">
      <c r="A65" s="53">
        <v>56</v>
      </c>
      <c r="B65" s="81" t="s">
        <v>203</v>
      </c>
      <c r="C65" s="77" t="s">
        <v>230</v>
      </c>
      <c r="D65" s="54">
        <v>252</v>
      </c>
      <c r="E65" s="80" t="s">
        <v>223</v>
      </c>
      <c r="F65" s="53" t="s">
        <v>67</v>
      </c>
      <c r="G65" s="71"/>
      <c r="H65" s="72">
        <v>2331</v>
      </c>
      <c r="I65" s="58">
        <f t="shared" si="0"/>
        <v>0</v>
      </c>
      <c r="J65" s="110"/>
      <c r="K65" s="111"/>
      <c r="L65" s="111"/>
    </row>
    <row r="66" spans="1:12" s="74" customFormat="1" ht="39" customHeight="1" x14ac:dyDescent="0.2">
      <c r="A66" s="53">
        <v>57</v>
      </c>
      <c r="B66" s="55" t="s">
        <v>151</v>
      </c>
      <c r="C66" s="77" t="s">
        <v>230</v>
      </c>
      <c r="D66" s="54">
        <v>252</v>
      </c>
      <c r="E66" s="68" t="s">
        <v>152</v>
      </c>
      <c r="F66" s="56" t="s">
        <v>65</v>
      </c>
      <c r="G66" s="57"/>
      <c r="H66" s="72">
        <v>558</v>
      </c>
      <c r="I66" s="58">
        <f t="shared" si="0"/>
        <v>0</v>
      </c>
    </row>
    <row r="67" spans="1:12" s="74" customFormat="1" ht="49.5" customHeight="1" x14ac:dyDescent="0.2">
      <c r="A67" s="53">
        <v>58</v>
      </c>
      <c r="B67" s="77" t="s">
        <v>153</v>
      </c>
      <c r="C67" s="77" t="s">
        <v>230</v>
      </c>
      <c r="D67" s="54">
        <v>252</v>
      </c>
      <c r="E67" s="80" t="s">
        <v>224</v>
      </c>
      <c r="F67" s="53" t="s">
        <v>67</v>
      </c>
      <c r="G67" s="71"/>
      <c r="H67" s="72">
        <v>991</v>
      </c>
      <c r="I67" s="58">
        <f t="shared" si="0"/>
        <v>0</v>
      </c>
    </row>
    <row r="68" spans="1:12" s="74" customFormat="1" ht="42" customHeight="1" x14ac:dyDescent="0.2">
      <c r="A68" s="53">
        <v>59</v>
      </c>
      <c r="B68" s="77" t="s">
        <v>190</v>
      </c>
      <c r="C68" s="77" t="s">
        <v>230</v>
      </c>
      <c r="D68" s="54">
        <v>252</v>
      </c>
      <c r="E68" s="73" t="s">
        <v>191</v>
      </c>
      <c r="F68" s="53" t="s">
        <v>67</v>
      </c>
      <c r="G68" s="75"/>
      <c r="H68" s="76">
        <v>800.45</v>
      </c>
      <c r="I68" s="58">
        <f t="shared" si="0"/>
        <v>0</v>
      </c>
    </row>
    <row r="69" spans="1:12" s="74" customFormat="1" ht="44.25" customHeight="1" x14ac:dyDescent="0.2">
      <c r="A69" s="53">
        <v>60</v>
      </c>
      <c r="B69" s="55" t="s">
        <v>154</v>
      </c>
      <c r="C69" s="77" t="s">
        <v>230</v>
      </c>
      <c r="D69" s="54">
        <v>252</v>
      </c>
      <c r="E69" s="68" t="s">
        <v>155</v>
      </c>
      <c r="F69" s="56" t="s">
        <v>64</v>
      </c>
      <c r="G69" s="59"/>
      <c r="H69" s="76">
        <v>29.9</v>
      </c>
      <c r="I69" s="58">
        <f t="shared" si="0"/>
        <v>0</v>
      </c>
    </row>
    <row r="70" spans="1:12" s="74" customFormat="1" ht="47.25" customHeight="1" x14ac:dyDescent="0.2">
      <c r="A70" s="53">
        <v>61</v>
      </c>
      <c r="B70" s="55" t="s">
        <v>156</v>
      </c>
      <c r="C70" s="77" t="s">
        <v>230</v>
      </c>
      <c r="D70" s="54">
        <v>252</v>
      </c>
      <c r="E70" s="68" t="s">
        <v>157</v>
      </c>
      <c r="F70" s="56" t="s">
        <v>65</v>
      </c>
      <c r="G70" s="59"/>
      <c r="H70" s="70">
        <v>168</v>
      </c>
      <c r="I70" s="58">
        <f t="shared" si="0"/>
        <v>0</v>
      </c>
    </row>
    <row r="71" spans="1:12" s="74" customFormat="1" ht="41.25" customHeight="1" x14ac:dyDescent="0.2">
      <c r="A71" s="53">
        <v>62</v>
      </c>
      <c r="B71" s="55" t="s">
        <v>158</v>
      </c>
      <c r="C71" s="77" t="s">
        <v>230</v>
      </c>
      <c r="D71" s="54">
        <v>252</v>
      </c>
      <c r="E71" s="68" t="s">
        <v>159</v>
      </c>
      <c r="F71" s="56" t="s">
        <v>65</v>
      </c>
      <c r="G71" s="59"/>
      <c r="H71" s="76">
        <v>25299</v>
      </c>
      <c r="I71" s="58">
        <f t="shared" si="0"/>
        <v>0</v>
      </c>
    </row>
    <row r="72" spans="1:12" s="74" customFormat="1" ht="45.75" customHeight="1" x14ac:dyDescent="0.2">
      <c r="A72" s="53">
        <v>63</v>
      </c>
      <c r="B72" s="55" t="s">
        <v>162</v>
      </c>
      <c r="C72" s="77" t="s">
        <v>230</v>
      </c>
      <c r="D72" s="54">
        <v>252</v>
      </c>
      <c r="E72" s="68" t="s">
        <v>163</v>
      </c>
      <c r="F72" s="56" t="s">
        <v>64</v>
      </c>
      <c r="G72" s="59"/>
      <c r="H72" s="70">
        <v>7.6</v>
      </c>
      <c r="I72" s="58">
        <f t="shared" si="0"/>
        <v>0</v>
      </c>
    </row>
    <row r="73" spans="1:12" s="74" customFormat="1" ht="33.75" customHeight="1" x14ac:dyDescent="0.2">
      <c r="A73" s="53">
        <v>64</v>
      </c>
      <c r="B73" s="55" t="s">
        <v>160</v>
      </c>
      <c r="C73" s="77" t="s">
        <v>230</v>
      </c>
      <c r="D73" s="54">
        <v>252</v>
      </c>
      <c r="E73" s="68" t="s">
        <v>161</v>
      </c>
      <c r="F73" s="56" t="s">
        <v>64</v>
      </c>
      <c r="G73" s="59"/>
      <c r="H73" s="70">
        <v>5.3</v>
      </c>
      <c r="I73" s="58">
        <f t="shared" si="0"/>
        <v>0</v>
      </c>
    </row>
    <row r="74" spans="1:12" s="74" customFormat="1" ht="34.5" customHeight="1" x14ac:dyDescent="0.2">
      <c r="A74" s="53">
        <v>65</v>
      </c>
      <c r="B74" s="55" t="s">
        <v>164</v>
      </c>
      <c r="C74" s="77" t="s">
        <v>230</v>
      </c>
      <c r="D74" s="54">
        <v>252</v>
      </c>
      <c r="E74" s="68" t="s">
        <v>165</v>
      </c>
      <c r="F74" s="56" t="s">
        <v>64</v>
      </c>
      <c r="G74" s="59"/>
      <c r="H74" s="70">
        <v>45</v>
      </c>
      <c r="I74" s="58">
        <f t="shared" si="0"/>
        <v>0</v>
      </c>
    </row>
    <row r="75" spans="1:12" s="74" customFormat="1" ht="53.25" customHeight="1" x14ac:dyDescent="0.2">
      <c r="A75" s="53">
        <v>66</v>
      </c>
      <c r="B75" s="55" t="s">
        <v>166</v>
      </c>
      <c r="C75" s="77" t="s">
        <v>230</v>
      </c>
      <c r="D75" s="54">
        <v>252</v>
      </c>
      <c r="E75" s="68" t="s">
        <v>167</v>
      </c>
      <c r="F75" s="56" t="s">
        <v>65</v>
      </c>
      <c r="G75" s="59"/>
      <c r="H75" s="70">
        <v>560</v>
      </c>
      <c r="I75" s="58">
        <f t="shared" si="0"/>
        <v>0</v>
      </c>
    </row>
    <row r="76" spans="1:12" s="74" customFormat="1" ht="39" customHeight="1" x14ac:dyDescent="0.2">
      <c r="A76" s="53">
        <v>67</v>
      </c>
      <c r="B76" s="55" t="s">
        <v>168</v>
      </c>
      <c r="C76" s="77" t="s">
        <v>230</v>
      </c>
      <c r="D76" s="54">
        <v>252</v>
      </c>
      <c r="E76" s="68" t="s">
        <v>169</v>
      </c>
      <c r="F76" s="56" t="s">
        <v>64</v>
      </c>
      <c r="G76" s="59"/>
      <c r="H76" s="70">
        <v>23</v>
      </c>
      <c r="I76" s="58">
        <f t="shared" ref="I76:I87" si="1">+G76*H76</f>
        <v>0</v>
      </c>
    </row>
    <row r="77" spans="1:12" s="74" customFormat="1" ht="44.25" customHeight="1" x14ac:dyDescent="0.2">
      <c r="A77" s="53">
        <v>68</v>
      </c>
      <c r="B77" s="77" t="s">
        <v>170</v>
      </c>
      <c r="C77" s="77" t="s">
        <v>230</v>
      </c>
      <c r="D77" s="54">
        <v>252</v>
      </c>
      <c r="E77" s="80" t="s">
        <v>225</v>
      </c>
      <c r="F77" s="53" t="s">
        <v>65</v>
      </c>
      <c r="G77" s="75"/>
      <c r="H77" s="76">
        <v>430</v>
      </c>
      <c r="I77" s="58">
        <f t="shared" si="1"/>
        <v>0</v>
      </c>
      <c r="J77" s="112"/>
      <c r="K77" s="113"/>
    </row>
    <row r="78" spans="1:12" s="74" customFormat="1" ht="45.75" customHeight="1" x14ac:dyDescent="0.2">
      <c r="A78" s="53">
        <v>69</v>
      </c>
      <c r="B78" s="55" t="s">
        <v>171</v>
      </c>
      <c r="C78" s="77" t="s">
        <v>230</v>
      </c>
      <c r="D78" s="54">
        <v>252</v>
      </c>
      <c r="E78" s="68" t="s">
        <v>172</v>
      </c>
      <c r="F78" s="56" t="s">
        <v>69</v>
      </c>
      <c r="G78" s="59"/>
      <c r="H78" s="70">
        <v>790</v>
      </c>
      <c r="I78" s="58">
        <f t="shared" si="1"/>
        <v>0</v>
      </c>
    </row>
    <row r="79" spans="1:12" s="74" customFormat="1" ht="44.25" customHeight="1" x14ac:dyDescent="0.2">
      <c r="A79" s="53">
        <v>70</v>
      </c>
      <c r="B79" s="55" t="s">
        <v>173</v>
      </c>
      <c r="C79" s="77" t="s">
        <v>230</v>
      </c>
      <c r="D79" s="54">
        <v>252</v>
      </c>
      <c r="E79" s="68" t="s">
        <v>174</v>
      </c>
      <c r="F79" s="56" t="s">
        <v>65</v>
      </c>
      <c r="G79" s="59"/>
      <c r="H79" s="70">
        <v>150</v>
      </c>
      <c r="I79" s="58">
        <f t="shared" si="1"/>
        <v>0</v>
      </c>
    </row>
    <row r="80" spans="1:12" s="74" customFormat="1" ht="51" customHeight="1" x14ac:dyDescent="0.2">
      <c r="A80" s="53">
        <v>71</v>
      </c>
      <c r="B80" s="55" t="s">
        <v>175</v>
      </c>
      <c r="C80" s="77" t="s">
        <v>230</v>
      </c>
      <c r="D80" s="54">
        <v>252</v>
      </c>
      <c r="E80" s="68" t="s">
        <v>176</v>
      </c>
      <c r="F80" s="56" t="s">
        <v>64</v>
      </c>
      <c r="G80" s="59"/>
      <c r="H80" s="70">
        <v>18</v>
      </c>
      <c r="I80" s="58">
        <f t="shared" si="1"/>
        <v>0</v>
      </c>
    </row>
    <row r="81" spans="1:9" s="74" customFormat="1" ht="36.75" customHeight="1" x14ac:dyDescent="0.2">
      <c r="A81" s="53">
        <v>72</v>
      </c>
      <c r="B81" s="77" t="s">
        <v>177</v>
      </c>
      <c r="C81" s="77" t="s">
        <v>230</v>
      </c>
      <c r="D81" s="54">
        <v>252</v>
      </c>
      <c r="E81" s="73" t="s">
        <v>178</v>
      </c>
      <c r="F81" s="53" t="s">
        <v>65</v>
      </c>
      <c r="G81" s="75"/>
      <c r="H81" s="76">
        <v>2200</v>
      </c>
      <c r="I81" s="58">
        <f t="shared" si="1"/>
        <v>0</v>
      </c>
    </row>
    <row r="82" spans="1:9" s="74" customFormat="1" ht="42" customHeight="1" x14ac:dyDescent="0.2">
      <c r="A82" s="53">
        <v>73</v>
      </c>
      <c r="B82" s="55" t="s">
        <v>179</v>
      </c>
      <c r="C82" s="77" t="s">
        <v>230</v>
      </c>
      <c r="D82" s="54">
        <v>252</v>
      </c>
      <c r="E82" s="68" t="s">
        <v>180</v>
      </c>
      <c r="F82" s="56" t="s">
        <v>64</v>
      </c>
      <c r="G82" s="59"/>
      <c r="H82" s="70">
        <v>15.5</v>
      </c>
      <c r="I82" s="58">
        <f t="shared" si="1"/>
        <v>0</v>
      </c>
    </row>
    <row r="83" spans="1:9" s="74" customFormat="1" ht="44.25" customHeight="1" x14ac:dyDescent="0.2">
      <c r="A83" s="53">
        <v>74</v>
      </c>
      <c r="B83" s="55" t="s">
        <v>181</v>
      </c>
      <c r="C83" s="77" t="s">
        <v>230</v>
      </c>
      <c r="D83" s="54">
        <v>252</v>
      </c>
      <c r="E83" s="68" t="s">
        <v>182</v>
      </c>
      <c r="F83" s="56" t="s">
        <v>64</v>
      </c>
      <c r="G83" s="59"/>
      <c r="H83" s="70">
        <v>27</v>
      </c>
      <c r="I83" s="58">
        <f t="shared" si="1"/>
        <v>0</v>
      </c>
    </row>
    <row r="84" spans="1:9" s="74" customFormat="1" ht="38.25" customHeight="1" x14ac:dyDescent="0.2">
      <c r="A84" s="53">
        <v>75</v>
      </c>
      <c r="B84" s="95" t="s">
        <v>205</v>
      </c>
      <c r="C84" s="77" t="s">
        <v>230</v>
      </c>
      <c r="D84" s="54">
        <v>252</v>
      </c>
      <c r="E84" s="78" t="s">
        <v>204</v>
      </c>
      <c r="F84" s="53" t="s">
        <v>66</v>
      </c>
      <c r="G84" s="75"/>
      <c r="H84" s="76">
        <v>220</v>
      </c>
      <c r="I84" s="58">
        <f t="shared" si="1"/>
        <v>0</v>
      </c>
    </row>
    <row r="85" spans="1:9" s="74" customFormat="1" ht="40.5" customHeight="1" x14ac:dyDescent="0.2">
      <c r="A85" s="53">
        <v>76</v>
      </c>
      <c r="B85" s="55" t="s">
        <v>183</v>
      </c>
      <c r="C85" s="77" t="s">
        <v>230</v>
      </c>
      <c r="D85" s="54">
        <v>252</v>
      </c>
      <c r="E85" s="68" t="s">
        <v>184</v>
      </c>
      <c r="F85" s="56" t="s">
        <v>64</v>
      </c>
      <c r="G85" s="59"/>
      <c r="H85" s="70">
        <v>12</v>
      </c>
      <c r="I85" s="58">
        <f t="shared" si="1"/>
        <v>0</v>
      </c>
    </row>
    <row r="86" spans="1:9" s="74" customFormat="1" ht="43.5" customHeight="1" x14ac:dyDescent="0.2">
      <c r="A86" s="53">
        <v>77</v>
      </c>
      <c r="B86" s="55" t="s">
        <v>185</v>
      </c>
      <c r="C86" s="77" t="s">
        <v>230</v>
      </c>
      <c r="D86" s="54">
        <v>252</v>
      </c>
      <c r="E86" s="68" t="s">
        <v>186</v>
      </c>
      <c r="F86" s="56" t="s">
        <v>65</v>
      </c>
      <c r="G86" s="59"/>
      <c r="H86" s="70">
        <v>55</v>
      </c>
      <c r="I86" s="58">
        <f t="shared" si="1"/>
        <v>0</v>
      </c>
    </row>
    <row r="87" spans="1:9" s="74" customFormat="1" ht="45" customHeight="1" x14ac:dyDescent="0.2">
      <c r="A87" s="53">
        <v>78</v>
      </c>
      <c r="B87" s="55" t="s">
        <v>187</v>
      </c>
      <c r="C87" s="77" t="s">
        <v>230</v>
      </c>
      <c r="D87" s="54">
        <v>252</v>
      </c>
      <c r="E87" s="68" t="s">
        <v>188</v>
      </c>
      <c r="F87" s="56" t="s">
        <v>65</v>
      </c>
      <c r="G87" s="59"/>
      <c r="H87" s="70">
        <v>58</v>
      </c>
      <c r="I87" s="58">
        <f t="shared" si="1"/>
        <v>0</v>
      </c>
    </row>
    <row r="89" spans="1:9" ht="13.5" thickBot="1" x14ac:dyDescent="0.25"/>
    <row r="90" spans="1:9" ht="21.75" customHeight="1" x14ac:dyDescent="0.2">
      <c r="B90" s="97" t="s">
        <v>228</v>
      </c>
      <c r="C90" s="60"/>
      <c r="D90" s="60"/>
      <c r="E90" s="61"/>
      <c r="F90" s="62"/>
      <c r="G90" s="62"/>
      <c r="H90" s="63"/>
    </row>
    <row r="91" spans="1:9" ht="11.25" customHeight="1" x14ac:dyDescent="0.2">
      <c r="B91" s="115" t="s">
        <v>55</v>
      </c>
      <c r="C91" s="116"/>
      <c r="D91" s="116"/>
      <c r="E91" s="117"/>
      <c r="F91" s="62"/>
      <c r="G91" s="64"/>
      <c r="H91" s="63"/>
    </row>
    <row r="92" spans="1:9" ht="23.25" customHeight="1" x14ac:dyDescent="0.2">
      <c r="B92" s="115"/>
      <c r="C92" s="116"/>
      <c r="D92" s="116"/>
      <c r="E92" s="117"/>
      <c r="F92" s="62"/>
      <c r="G92" s="62"/>
      <c r="H92" s="63"/>
    </row>
    <row r="93" spans="1:9" ht="24" customHeight="1" x14ac:dyDescent="0.2">
      <c r="B93" s="115" t="s">
        <v>56</v>
      </c>
      <c r="C93" s="116"/>
      <c r="D93" s="116"/>
      <c r="E93" s="117"/>
      <c r="F93" s="62"/>
      <c r="G93" s="62"/>
      <c r="H93" s="63"/>
    </row>
    <row r="94" spans="1:9" ht="15" customHeight="1" x14ac:dyDescent="0.2">
      <c r="B94" s="93"/>
      <c r="C94" s="90"/>
      <c r="D94" s="90"/>
      <c r="E94" s="79"/>
      <c r="F94" s="62"/>
      <c r="G94" s="62"/>
      <c r="H94" s="63"/>
    </row>
    <row r="95" spans="1:9" ht="29.25" customHeight="1" x14ac:dyDescent="0.2">
      <c r="B95" s="98" t="s">
        <v>57</v>
      </c>
      <c r="C95" s="91"/>
      <c r="D95" s="91"/>
      <c r="E95" s="65"/>
      <c r="F95" s="62"/>
      <c r="G95" s="62"/>
      <c r="H95" s="63"/>
    </row>
    <row r="96" spans="1:9" ht="30" customHeight="1" thickBot="1" x14ac:dyDescent="0.25">
      <c r="B96" s="99" t="s">
        <v>54</v>
      </c>
      <c r="C96" s="66"/>
      <c r="D96" s="66"/>
      <c r="E96" s="67"/>
    </row>
    <row r="98" spans="2:5" ht="13.5" thickBot="1" x14ac:dyDescent="0.25"/>
    <row r="99" spans="2:5" x14ac:dyDescent="0.2">
      <c r="B99" s="97" t="s">
        <v>229</v>
      </c>
      <c r="C99" s="60"/>
      <c r="D99" s="60"/>
      <c r="E99" s="61"/>
    </row>
    <row r="100" spans="2:5" x14ac:dyDescent="0.2">
      <c r="B100" s="115" t="s">
        <v>55</v>
      </c>
      <c r="C100" s="116"/>
      <c r="D100" s="116"/>
      <c r="E100" s="117"/>
    </row>
    <row r="101" spans="2:5" x14ac:dyDescent="0.2">
      <c r="B101" s="115"/>
      <c r="C101" s="116"/>
      <c r="D101" s="116"/>
      <c r="E101" s="117"/>
    </row>
    <row r="102" spans="2:5" x14ac:dyDescent="0.2">
      <c r="B102" s="115" t="s">
        <v>56</v>
      </c>
      <c r="C102" s="116"/>
      <c r="D102" s="116"/>
      <c r="E102" s="117"/>
    </row>
    <row r="103" spans="2:5" x14ac:dyDescent="0.2">
      <c r="B103" s="93"/>
      <c r="C103" s="90"/>
      <c r="D103" s="90"/>
      <c r="E103" s="79"/>
    </row>
    <row r="104" spans="2:5" ht="45" x14ac:dyDescent="0.2">
      <c r="B104" s="98" t="s">
        <v>57</v>
      </c>
      <c r="C104" s="91"/>
      <c r="D104" s="91"/>
      <c r="E104" s="65"/>
    </row>
    <row r="105" spans="2:5" ht="13.5" thickBot="1" x14ac:dyDescent="0.25">
      <c r="B105" s="99" t="s">
        <v>54</v>
      </c>
      <c r="C105" s="66"/>
      <c r="D105" s="66"/>
      <c r="E105" s="67"/>
    </row>
    <row r="106" spans="2:5" ht="13.5" thickBot="1" x14ac:dyDescent="0.25"/>
    <row r="107" spans="2:5" x14ac:dyDescent="0.2">
      <c r="B107" s="97" t="s">
        <v>227</v>
      </c>
      <c r="C107" s="60"/>
      <c r="D107" s="60"/>
      <c r="E107" s="61"/>
    </row>
    <row r="108" spans="2:5" x14ac:dyDescent="0.2">
      <c r="B108" s="115" t="s">
        <v>55</v>
      </c>
      <c r="C108" s="116"/>
      <c r="D108" s="116"/>
      <c r="E108" s="117"/>
    </row>
    <row r="109" spans="2:5" x14ac:dyDescent="0.2">
      <c r="B109" s="115"/>
      <c r="C109" s="116"/>
      <c r="D109" s="116"/>
      <c r="E109" s="117"/>
    </row>
    <row r="110" spans="2:5" x14ac:dyDescent="0.2">
      <c r="B110" s="115" t="s">
        <v>56</v>
      </c>
      <c r="C110" s="116"/>
      <c r="D110" s="116"/>
      <c r="E110" s="117"/>
    </row>
    <row r="111" spans="2:5" x14ac:dyDescent="0.2">
      <c r="B111" s="93"/>
      <c r="C111" s="90"/>
      <c r="D111" s="90"/>
      <c r="E111" s="79"/>
    </row>
    <row r="112" spans="2:5" ht="45" x14ac:dyDescent="0.2">
      <c r="B112" s="98" t="s">
        <v>57</v>
      </c>
      <c r="C112" s="91"/>
      <c r="D112" s="91"/>
      <c r="E112" s="65"/>
    </row>
    <row r="113" spans="2:5" ht="13.5" thickBot="1" x14ac:dyDescent="0.25">
      <c r="B113" s="99" t="s">
        <v>54</v>
      </c>
      <c r="C113" s="66"/>
      <c r="D113" s="66"/>
      <c r="E113" s="67"/>
    </row>
    <row r="114" spans="2:5" ht="13.5" thickBot="1" x14ac:dyDescent="0.25"/>
    <row r="115" spans="2:5" x14ac:dyDescent="0.2">
      <c r="B115" s="97" t="s">
        <v>234</v>
      </c>
      <c r="C115" s="60"/>
      <c r="D115" s="60"/>
      <c r="E115" s="61"/>
    </row>
    <row r="116" spans="2:5" x14ac:dyDescent="0.2">
      <c r="B116" s="115" t="s">
        <v>55</v>
      </c>
      <c r="C116" s="116"/>
      <c r="D116" s="116"/>
      <c r="E116" s="117"/>
    </row>
    <row r="117" spans="2:5" x14ac:dyDescent="0.2">
      <c r="B117" s="115"/>
      <c r="C117" s="116"/>
      <c r="D117" s="116"/>
      <c r="E117" s="117"/>
    </row>
    <row r="118" spans="2:5" x14ac:dyDescent="0.2">
      <c r="B118" s="115" t="s">
        <v>56</v>
      </c>
      <c r="C118" s="116"/>
      <c r="D118" s="116"/>
      <c r="E118" s="117"/>
    </row>
    <row r="119" spans="2:5" x14ac:dyDescent="0.2">
      <c r="B119" s="93"/>
      <c r="C119" s="90"/>
      <c r="D119" s="90"/>
      <c r="E119" s="79"/>
    </row>
    <row r="120" spans="2:5" ht="45" x14ac:dyDescent="0.2">
      <c r="B120" s="98" t="s">
        <v>57</v>
      </c>
      <c r="C120" s="91"/>
      <c r="D120" s="91"/>
      <c r="E120" s="65"/>
    </row>
    <row r="121" spans="2:5" ht="13.5" thickBot="1" x14ac:dyDescent="0.25">
      <c r="B121" s="99" t="s">
        <v>54</v>
      </c>
      <c r="C121" s="66"/>
      <c r="D121" s="66"/>
      <c r="E121" s="67"/>
    </row>
  </sheetData>
  <autoFilter ref="A9:I87"/>
  <mergeCells count="19">
    <mergeCell ref="B118:E118"/>
    <mergeCell ref="B100:E101"/>
    <mergeCell ref="B102:E102"/>
    <mergeCell ref="B108:E109"/>
    <mergeCell ref="B110:E110"/>
    <mergeCell ref="B116:E117"/>
    <mergeCell ref="B91:E92"/>
    <mergeCell ref="B93:E93"/>
    <mergeCell ref="B2:H2"/>
    <mergeCell ref="A4:B4"/>
    <mergeCell ref="C4:E4"/>
    <mergeCell ref="A5:B5"/>
    <mergeCell ref="C5:E5"/>
    <mergeCell ref="A6:B6"/>
    <mergeCell ref="J63:L63"/>
    <mergeCell ref="J65:L65"/>
    <mergeCell ref="J14:K14"/>
    <mergeCell ref="J77:K77"/>
    <mergeCell ref="A7:B7"/>
  </mergeCells>
  <conditionalFormatting sqref="B95">
    <cfRule type="duplicateValues" dxfId="15" priority="13"/>
  </conditionalFormatting>
  <conditionalFormatting sqref="B95">
    <cfRule type="duplicateValues" dxfId="14" priority="14"/>
  </conditionalFormatting>
  <conditionalFormatting sqref="B95">
    <cfRule type="duplicateValues" dxfId="13" priority="15"/>
  </conditionalFormatting>
  <conditionalFormatting sqref="B95">
    <cfRule type="duplicateValues" dxfId="12" priority="16"/>
  </conditionalFormatting>
  <conditionalFormatting sqref="B104">
    <cfRule type="duplicateValues" dxfId="11" priority="9"/>
  </conditionalFormatting>
  <conditionalFormatting sqref="B104">
    <cfRule type="duplicateValues" dxfId="10" priority="10"/>
  </conditionalFormatting>
  <conditionalFormatting sqref="B104">
    <cfRule type="duplicateValues" dxfId="9" priority="11"/>
  </conditionalFormatting>
  <conditionalFormatting sqref="B104">
    <cfRule type="duplicateValues" dxfId="8" priority="12"/>
  </conditionalFormatting>
  <conditionalFormatting sqref="B112">
    <cfRule type="duplicateValues" dxfId="7" priority="5"/>
  </conditionalFormatting>
  <conditionalFormatting sqref="B112">
    <cfRule type="duplicateValues" dxfId="6" priority="6"/>
  </conditionalFormatting>
  <conditionalFormatting sqref="B112">
    <cfRule type="duplicateValues" dxfId="5" priority="7"/>
  </conditionalFormatting>
  <conditionalFormatting sqref="B112">
    <cfRule type="duplicateValues" dxfId="4" priority="8"/>
  </conditionalFormatting>
  <conditionalFormatting sqref="B120">
    <cfRule type="duplicateValues" dxfId="3" priority="1"/>
  </conditionalFormatting>
  <conditionalFormatting sqref="B120">
    <cfRule type="duplicateValues" dxfId="2" priority="2"/>
  </conditionalFormatting>
  <conditionalFormatting sqref="B120">
    <cfRule type="duplicateValues" dxfId="1" priority="3"/>
  </conditionalFormatting>
  <conditionalFormatting sqref="B120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9"/>
  <sheetViews>
    <sheetView topLeftCell="A5" zoomScale="90" zoomScaleNormal="90" workbookViewId="0">
      <selection activeCell="C22" sqref="C22:G22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4" width="5.8554687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6.5" thickBot="1" x14ac:dyDescent="0.25">
      <c r="A1" s="122" t="s">
        <v>14</v>
      </c>
      <c r="B1" s="122"/>
      <c r="C1" s="122"/>
      <c r="D1" s="122"/>
      <c r="E1" s="122"/>
      <c r="F1" s="122"/>
      <c r="G1" s="122"/>
      <c r="H1" s="122"/>
      <c r="I1" s="122"/>
      <c r="J1" s="31" t="s">
        <v>15</v>
      </c>
      <c r="K1" s="41" t="s">
        <v>71</v>
      </c>
    </row>
    <row r="2" spans="1:11" ht="16.5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6.5" thickBot="1" x14ac:dyDescent="0.25">
      <c r="A3" s="126" t="s">
        <v>48</v>
      </c>
      <c r="B3" s="126"/>
      <c r="C3" s="126"/>
      <c r="D3" s="127" t="str">
        <f>+'Necesidades Trimestrales '!C4</f>
        <v>040 - Ministerio de Salud</v>
      </c>
      <c r="E3" s="127"/>
      <c r="F3" s="127"/>
      <c r="G3" s="127"/>
      <c r="H3" s="127"/>
      <c r="I3" s="127"/>
      <c r="J3" s="127"/>
      <c r="K3" s="127"/>
    </row>
    <row r="4" spans="1:11" ht="16.5" thickBot="1" x14ac:dyDescent="0.25">
      <c r="A4" s="125" t="s">
        <v>49</v>
      </c>
      <c r="B4" s="125"/>
      <c r="C4" s="125"/>
      <c r="D4" s="124" t="str">
        <f>+'Necesidades Trimestrales '!C5</f>
        <v>11/ 23/ 24  o  28- "…......."</v>
      </c>
      <c r="E4" s="124"/>
      <c r="F4" s="124"/>
      <c r="G4" s="124"/>
      <c r="H4" s="124"/>
      <c r="I4" s="124"/>
      <c r="J4" s="124"/>
      <c r="K4" s="124"/>
    </row>
    <row r="5" spans="1:11" ht="16.5" thickBot="1" x14ac:dyDescent="0.25">
      <c r="A5" s="125" t="s">
        <v>27</v>
      </c>
      <c r="B5" s="125"/>
      <c r="C5" s="125"/>
      <c r="D5" s="124" t="s">
        <v>59</v>
      </c>
      <c r="E5" s="124"/>
      <c r="F5" s="124"/>
      <c r="G5" s="124"/>
      <c r="H5" s="124"/>
      <c r="I5" s="124"/>
      <c r="J5" s="124"/>
      <c r="K5" s="124"/>
    </row>
    <row r="6" spans="1:11" ht="16.5" thickBot="1" x14ac:dyDescent="0.25">
      <c r="A6" s="123" t="s">
        <v>50</v>
      </c>
      <c r="B6" s="123"/>
      <c r="C6" s="123"/>
      <c r="D6" s="124" t="s">
        <v>59</v>
      </c>
      <c r="E6" s="124"/>
      <c r="F6" s="124"/>
      <c r="G6" s="124"/>
      <c r="H6" s="124"/>
      <c r="I6" s="124"/>
      <c r="J6" s="124"/>
      <c r="K6" s="124"/>
    </row>
    <row r="7" spans="1:11" ht="16.5" thickBot="1" x14ac:dyDescent="0.25">
      <c r="A7" s="125" t="s">
        <v>16</v>
      </c>
      <c r="B7" s="125"/>
      <c r="C7" s="125"/>
      <c r="D7" s="124" t="s">
        <v>70</v>
      </c>
      <c r="E7" s="124"/>
      <c r="F7" s="124"/>
      <c r="G7" s="124"/>
      <c r="H7" s="124"/>
      <c r="I7" s="124"/>
      <c r="J7" s="124"/>
      <c r="K7" s="124"/>
    </row>
    <row r="8" spans="1:11" ht="16.5" thickBot="1" x14ac:dyDescent="0.25">
      <c r="A8" s="130" t="s">
        <v>17</v>
      </c>
      <c r="B8" s="130"/>
      <c r="C8" s="130"/>
      <c r="D8" s="131" t="s">
        <v>72</v>
      </c>
      <c r="E8" s="131"/>
      <c r="F8" s="131"/>
      <c r="G8" s="131"/>
      <c r="H8" s="131"/>
      <c r="I8" s="131"/>
      <c r="J8" s="131"/>
      <c r="K8" s="131"/>
    </row>
    <row r="9" spans="1:11" ht="16.5" thickBot="1" x14ac:dyDescent="0.25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33.75" customHeight="1" thickBot="1" x14ac:dyDescent="0.25">
      <c r="A10" s="132" t="s">
        <v>18</v>
      </c>
      <c r="B10" s="133" t="s">
        <v>19</v>
      </c>
      <c r="C10" s="133" t="s">
        <v>20</v>
      </c>
      <c r="D10" s="133"/>
      <c r="E10" s="133"/>
      <c r="F10" s="133"/>
      <c r="G10" s="133"/>
      <c r="H10" s="133" t="s">
        <v>21</v>
      </c>
      <c r="I10" s="133" t="s">
        <v>22</v>
      </c>
      <c r="J10" s="133" t="s">
        <v>23</v>
      </c>
      <c r="K10" s="133" t="s">
        <v>24</v>
      </c>
    </row>
    <row r="11" spans="1:11" ht="33.75" customHeight="1" thickBot="1" x14ac:dyDescent="0.25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ht="41.25" customHeight="1" thickBot="1" x14ac:dyDescent="0.25">
      <c r="A12" s="100">
        <v>1</v>
      </c>
      <c r="B12" s="101" t="str">
        <f>+'Necesidades Trimestrales '!B10</f>
        <v>2.5.2-1873.5</v>
      </c>
      <c r="C12" s="129" t="str">
        <f>+'Necesidades Trimestrales '!E10</f>
        <v>ANTICOAGULANTES P/PERSONAS; TIPO: MONODROGA, DROGA GENERICA: ACENOCUMAROL, FORMA FARMACEUTICA: COMPRIMIDOS, PRESENTACION: 4 mGr</v>
      </c>
      <c r="D12" s="129"/>
      <c r="E12" s="129"/>
      <c r="F12" s="129"/>
      <c r="G12" s="129"/>
      <c r="H12" s="102" t="s">
        <v>53</v>
      </c>
      <c r="I12" s="103" t="str">
        <f>+'Necesidades Trimestrales '!F10</f>
        <v>COMPRIMIDO</v>
      </c>
      <c r="J12" s="104">
        <f>+'Necesidades Trimestrales '!H10</f>
        <v>11.5</v>
      </c>
      <c r="K12" s="105">
        <f>+'Necesidades Trimestrales '!G10</f>
        <v>0</v>
      </c>
    </row>
    <row r="13" spans="1:11" ht="41.25" customHeight="1" thickBot="1" x14ac:dyDescent="0.25">
      <c r="A13" s="100">
        <v>2</v>
      </c>
      <c r="B13" s="101" t="str">
        <f>+'Necesidades Trimestrales '!B11</f>
        <v>2.5.2-1873.18</v>
      </c>
      <c r="C13" s="129" t="str">
        <f>+'Necesidades Trimestrales '!E11</f>
        <v>ANTICOAGULANTES P/PERSONAS; TIPO: MONODROGA, DROGA GENERICA: AMINOCAPROICO, FORMA FARMACEUTICA: AMPOLLA, PRESENTACION: 2 GR</v>
      </c>
      <c r="D13" s="129"/>
      <c r="E13" s="129"/>
      <c r="F13" s="129"/>
      <c r="G13" s="129"/>
      <c r="H13" s="102" t="s">
        <v>53</v>
      </c>
      <c r="I13" s="103" t="str">
        <f>+'Necesidades Trimestrales '!F11</f>
        <v>AMPOLLA</v>
      </c>
      <c r="J13" s="104">
        <f>+'Necesidades Trimestrales '!H11</f>
        <v>235</v>
      </c>
      <c r="K13" s="105">
        <f>+'Necesidades Trimestrales '!G11</f>
        <v>0</v>
      </c>
    </row>
    <row r="14" spans="1:11" ht="41.25" customHeight="1" thickBot="1" x14ac:dyDescent="0.25">
      <c r="A14" s="100">
        <v>3</v>
      </c>
      <c r="B14" s="101" t="str">
        <f>+'Necesidades Trimestrales '!B12</f>
        <v>2.5.2-1872.36</v>
      </c>
      <c r="C14" s="129" t="str">
        <f>+'Necesidades Trimestrales '!E12</f>
        <v>ANTIANEMICOS; TIPO: MONODROGA, DROGA GENERICA: ACIDO FOLICO 1 mGr, FORMA FARMACEUTICA: GOTA, PRESENTACION: ENVASE X 20 mL</v>
      </c>
      <c r="D14" s="129"/>
      <c r="E14" s="129"/>
      <c r="F14" s="129"/>
      <c r="G14" s="129"/>
      <c r="H14" s="102" t="s">
        <v>53</v>
      </c>
      <c r="I14" s="103" t="str">
        <f>+'Necesidades Trimestrales '!F12</f>
        <v>GOTERO</v>
      </c>
      <c r="J14" s="104">
        <f>+'Necesidades Trimestrales '!H12</f>
        <v>295.5</v>
      </c>
      <c r="K14" s="105">
        <f>+'Necesidades Trimestrales '!G12</f>
        <v>0</v>
      </c>
    </row>
    <row r="15" spans="1:11" ht="41.25" customHeight="1" thickBot="1" x14ac:dyDescent="0.25">
      <c r="A15" s="100">
        <v>4</v>
      </c>
      <c r="B15" s="101" t="str">
        <f>+'Necesidades Trimestrales '!B13</f>
        <v>2.5.2-1872.49</v>
      </c>
      <c r="C15" s="129" t="str">
        <f>+'Necesidades Trimestrales '!E13</f>
        <v>ANTIANEMICOS; TIPO: MONODROGA, DROGA GENERICA: ACIDO FOLICO 5 MG, FORMA FARMACEUTICA: COMPRIMIDO, PRESENTACION: UNIDAD</v>
      </c>
      <c r="D15" s="129"/>
      <c r="E15" s="129"/>
      <c r="F15" s="129"/>
      <c r="G15" s="129"/>
      <c r="H15" s="102" t="s">
        <v>53</v>
      </c>
      <c r="I15" s="103" t="str">
        <f>+'Necesidades Trimestrales '!F13</f>
        <v>COMPRIMIDO</v>
      </c>
      <c r="J15" s="104">
        <f>+'Necesidades Trimestrales '!H13</f>
        <v>3.8</v>
      </c>
      <c r="K15" s="105">
        <f>+'Necesidades Trimestrales '!G13</f>
        <v>0</v>
      </c>
    </row>
    <row r="16" spans="1:11" ht="41.25" customHeight="1" thickBot="1" x14ac:dyDescent="0.25">
      <c r="A16" s="100">
        <v>5</v>
      </c>
      <c r="B16" s="101" t="str">
        <f>+'Necesidades Trimestrales '!B14</f>
        <v>2.5.2-2228.18</v>
      </c>
      <c r="C16" s="129" t="str">
        <f>+'Necesidades Trimestrales '!E14</f>
        <v>HEMOSTÁTICOS; TIPO: MONODROGA, DROGA GENÉRICA: ÁCIDO TRANEXÁMICO, FORMA FARMACEÚTICA: AMPOLLA 1 MG, PRESENTACIÓN: ENVASE X 10 ML</v>
      </c>
      <c r="D16" s="129"/>
      <c r="E16" s="129"/>
      <c r="F16" s="129"/>
      <c r="G16" s="129"/>
      <c r="H16" s="102" t="s">
        <v>53</v>
      </c>
      <c r="I16" s="103" t="str">
        <f>+'Necesidades Trimestrales '!F14</f>
        <v>AMPOLLA</v>
      </c>
      <c r="J16" s="104">
        <f>+'Necesidades Trimestrales '!H14</f>
        <v>895</v>
      </c>
      <c r="K16" s="105">
        <f>+'Necesidades Trimestrales '!G14</f>
        <v>0</v>
      </c>
    </row>
    <row r="17" spans="1:11" ht="41.25" customHeight="1" thickBot="1" x14ac:dyDescent="0.25">
      <c r="A17" s="100">
        <v>6</v>
      </c>
      <c r="B17" s="101" t="str">
        <f>+'Necesidades Trimestrales '!B15</f>
        <v>2.5.2-7255.4</v>
      </c>
      <c r="C17" s="129" t="str">
        <f>+'Necesidades Trimestrales '!E15</f>
        <v>ANTITROMBÓTICOS; TIPO: MONODROGA, DROGA GENÉRICA: ACTIVADOR DE PLASMINOGENO TIPO ACTILYSE 50 MGR, FORMA FARMACEÚTICA: AMPOLLA, PRESENTACIÓN: X 2 AMPOLLAS</v>
      </c>
      <c r="D17" s="129"/>
      <c r="E17" s="129"/>
      <c r="F17" s="129"/>
      <c r="G17" s="129"/>
      <c r="H17" s="102" t="s">
        <v>53</v>
      </c>
      <c r="I17" s="103" t="str">
        <f>+'Necesidades Trimestrales '!F15</f>
        <v>CAJA</v>
      </c>
      <c r="J17" s="104">
        <f>+'Necesidades Trimestrales '!H15</f>
        <v>466499.75</v>
      </c>
      <c r="K17" s="105">
        <f>+'Necesidades Trimestrales '!G15</f>
        <v>0</v>
      </c>
    </row>
    <row r="18" spans="1:11" ht="41.25" customHeight="1" thickBot="1" x14ac:dyDescent="0.25">
      <c r="A18" s="100">
        <v>7</v>
      </c>
      <c r="B18" s="101" t="str">
        <f>+'Necesidades Trimestrales '!B16</f>
        <v>2.5.2-1834.10</v>
      </c>
      <c r="C18" s="129" t="str">
        <f>+'Necesidades Trimestrales '!E16</f>
        <v>ANTIARRITMICOS; TIPO: MONODROGA, DROGA GENERICA: ADENOSINA 3 MG/ML, FORMA FARMACEUTICA: AMPOLLA, PRESENTACION: 6 mGr</v>
      </c>
      <c r="D18" s="129"/>
      <c r="E18" s="129"/>
      <c r="F18" s="129"/>
      <c r="G18" s="129"/>
      <c r="H18" s="102" t="s">
        <v>53</v>
      </c>
      <c r="I18" s="103" t="str">
        <f>+'Necesidades Trimestrales '!F16</f>
        <v>AMPOLLA</v>
      </c>
      <c r="J18" s="104">
        <f>+'Necesidades Trimestrales '!H16</f>
        <v>146</v>
      </c>
      <c r="K18" s="105">
        <f>+'Necesidades Trimestrales '!G16</f>
        <v>0</v>
      </c>
    </row>
    <row r="19" spans="1:11" ht="41.25" customHeight="1" thickBot="1" x14ac:dyDescent="0.25">
      <c r="A19" s="100">
        <v>8</v>
      </c>
      <c r="B19" s="101" t="str">
        <f>+'Necesidades Trimestrales '!B17</f>
        <v>2.5.2-1838.13</v>
      </c>
      <c r="C19" s="129" t="str">
        <f>+'Necesidades Trimestrales '!E17</f>
        <v>INOTROPICOS; TIPO: MONODROGA, DROGA GENERICA: ADRENALINA 1 %, FORMA FARMACEUTICA: AMPOLLA, PRESENTACION: ENVASE X 1 mL</v>
      </c>
      <c r="D19" s="129"/>
      <c r="E19" s="129"/>
      <c r="F19" s="129"/>
      <c r="G19" s="129"/>
      <c r="H19" s="102" t="s">
        <v>53</v>
      </c>
      <c r="I19" s="103" t="str">
        <f>+'Necesidades Trimestrales '!F17</f>
        <v>AMPOLLA</v>
      </c>
      <c r="J19" s="104">
        <f>+'Necesidades Trimestrales '!H17</f>
        <v>48</v>
      </c>
      <c r="K19" s="105">
        <f>+'Necesidades Trimestrales '!G17</f>
        <v>0</v>
      </c>
    </row>
    <row r="20" spans="1:11" ht="41.25" customHeight="1" thickBot="1" x14ac:dyDescent="0.25">
      <c r="A20" s="100">
        <v>9</v>
      </c>
      <c r="B20" s="101" t="str">
        <f>+'Necesidades Trimestrales '!B18</f>
        <v>2.5.2-1839.25</v>
      </c>
      <c r="C20" s="129" t="str">
        <f>+'Necesidades Trimestrales '!E18</f>
        <v>VASODILATADORES CORONARIOS; TIPO: MONODROGA, DROGA GENERICA: ALPROSTADIL VR X 0,5 mGr, FORMA FARMACEUTICA: AMPOLLA, PRESENTACION: ENVASE X 1 mL</v>
      </c>
      <c r="D20" s="129"/>
      <c r="E20" s="129"/>
      <c r="F20" s="129"/>
      <c r="G20" s="129"/>
      <c r="H20" s="102" t="s">
        <v>53</v>
      </c>
      <c r="I20" s="103" t="str">
        <f>+'Necesidades Trimestrales '!F18</f>
        <v>AMPOLLA</v>
      </c>
      <c r="J20" s="104">
        <f>+'Necesidades Trimestrales '!H18</f>
        <v>1620</v>
      </c>
      <c r="K20" s="105">
        <f>+'Necesidades Trimestrales '!G18</f>
        <v>0</v>
      </c>
    </row>
    <row r="21" spans="1:11" ht="41.25" customHeight="1" thickBot="1" x14ac:dyDescent="0.25">
      <c r="A21" s="100">
        <v>10</v>
      </c>
      <c r="B21" s="101" t="str">
        <f>+'Necesidades Trimestrales '!B19</f>
        <v>2.5.2-1834.2</v>
      </c>
      <c r="C21" s="129" t="str">
        <f>+'Necesidades Trimestrales '!E19</f>
        <v>ANTIARRITMICOS; TIPO: MONODROGA, DROGA GENERICA: AMIODARONA, FORMA FARMACEUTICA: AMPOLLA, PRESENTACION: 150 mGr</v>
      </c>
      <c r="D21" s="129"/>
      <c r="E21" s="129"/>
      <c r="F21" s="129"/>
      <c r="G21" s="129"/>
      <c r="H21" s="102" t="s">
        <v>53</v>
      </c>
      <c r="I21" s="103" t="str">
        <f>+'Necesidades Trimestrales '!F19</f>
        <v>AMPOLLA</v>
      </c>
      <c r="J21" s="104">
        <f>+'Necesidades Trimestrales '!H19</f>
        <v>88</v>
      </c>
      <c r="K21" s="105">
        <f>+'Necesidades Trimestrales '!G19</f>
        <v>0</v>
      </c>
    </row>
    <row r="22" spans="1:11" ht="41.25" customHeight="1" thickBot="1" x14ac:dyDescent="0.25">
      <c r="A22" s="100">
        <v>11</v>
      </c>
      <c r="B22" s="101" t="str">
        <f>+'Necesidades Trimestrales '!B20</f>
        <v>2.5.2-2482.2</v>
      </c>
      <c r="C22" s="129" t="str">
        <f>+'Necesidades Trimestrales '!E20</f>
        <v>ANTIANGINOSOS; TIPO: MONODROGA, DROGA GENERICA: AMIODARONA, FORMA FARMACEUTICA: COMPRIMIDO, PRESENTACION: 200 mGr</v>
      </c>
      <c r="D22" s="129"/>
      <c r="E22" s="129"/>
      <c r="F22" s="129"/>
      <c r="G22" s="129"/>
      <c r="H22" s="102" t="s">
        <v>53</v>
      </c>
      <c r="I22" s="103" t="str">
        <f>+'Necesidades Trimestrales '!F20</f>
        <v>COMPRIMIDO</v>
      </c>
      <c r="J22" s="104">
        <f>+'Necesidades Trimestrales '!H20</f>
        <v>18.899999999999999</v>
      </c>
      <c r="K22" s="105">
        <f>+'Necesidades Trimestrales '!G20</f>
        <v>0</v>
      </c>
    </row>
    <row r="23" spans="1:11" ht="41.25" customHeight="1" thickBot="1" x14ac:dyDescent="0.25">
      <c r="A23" s="100">
        <v>12</v>
      </c>
      <c r="B23" s="101" t="str">
        <f>+'Necesidades Trimestrales '!B21</f>
        <v>2.5.2-4817.15</v>
      </c>
      <c r="C23" s="129" t="str">
        <f>+'Necesidades Trimestrales '!E21</f>
        <v>ANTIHIPERTENSIVOS; TIPO: MONODROGA, DROGA GENERICA: AMLODIPINA, FORMA FARMACEUTICA: COMPRIMIDOS, PRESENTACION: 10 mGr</v>
      </c>
      <c r="D23" s="129"/>
      <c r="E23" s="129"/>
      <c r="F23" s="129"/>
      <c r="G23" s="129"/>
      <c r="H23" s="102" t="s">
        <v>53</v>
      </c>
      <c r="I23" s="103" t="str">
        <f>+'Necesidades Trimestrales '!F21</f>
        <v>COMPRIMIDO</v>
      </c>
      <c r="J23" s="104">
        <f>+'Necesidades Trimestrales '!H21</f>
        <v>4.5</v>
      </c>
      <c r="K23" s="105">
        <f>+'Necesidades Trimestrales '!G21</f>
        <v>0</v>
      </c>
    </row>
    <row r="24" spans="1:11" ht="41.25" customHeight="1" thickBot="1" x14ac:dyDescent="0.25">
      <c r="A24" s="100">
        <v>13</v>
      </c>
      <c r="B24" s="101" t="str">
        <f>+'Necesidades Trimestrales '!B22</f>
        <v>2.5.2-4817.16</v>
      </c>
      <c r="C24" s="129" t="str">
        <f>+'Necesidades Trimestrales '!E22</f>
        <v>ANTIHIPERTENSIVOS; TIPO: MONODROGA, DROGA GENERICA: AMLODIPINA, FORMA FARMACEUTICA: COMPRIMIDOS, PRESENTACION: 5 mGr</v>
      </c>
      <c r="D24" s="129"/>
      <c r="E24" s="129"/>
      <c r="F24" s="129"/>
      <c r="G24" s="129"/>
      <c r="H24" s="102" t="s">
        <v>53</v>
      </c>
      <c r="I24" s="103" t="str">
        <f>+'Necesidades Trimestrales '!F22</f>
        <v>COMPRIMIDO</v>
      </c>
      <c r="J24" s="104">
        <f>+'Necesidades Trimestrales '!H22</f>
        <v>3.2</v>
      </c>
      <c r="K24" s="105">
        <f>+'Necesidades Trimestrales '!G22</f>
        <v>0</v>
      </c>
    </row>
    <row r="25" spans="1:11" ht="41.25" customHeight="1" thickBot="1" x14ac:dyDescent="0.25">
      <c r="A25" s="100">
        <v>14</v>
      </c>
      <c r="B25" s="101" t="str">
        <f>+'Necesidades Trimestrales '!B23</f>
        <v>2.5.2-4817.12</v>
      </c>
      <c r="C25" s="129" t="str">
        <f>+'Necesidades Trimestrales '!E23</f>
        <v>ANTIHIPERTENSIVOS; TIPO: MONODROGA, DROGA GENERICA: ATENOLOL, FORMA FARMACEUTICA: COMPRIMIDOS, PRESENTACION: 50 mGr</v>
      </c>
      <c r="D25" s="129"/>
      <c r="E25" s="129"/>
      <c r="F25" s="129"/>
      <c r="G25" s="129"/>
      <c r="H25" s="102" t="s">
        <v>53</v>
      </c>
      <c r="I25" s="103" t="str">
        <f>+'Necesidades Trimestrales '!F23</f>
        <v>COMPRIMIDO</v>
      </c>
      <c r="J25" s="104">
        <f>+'Necesidades Trimestrales '!H23</f>
        <v>6.5</v>
      </c>
      <c r="K25" s="105">
        <f>+'Necesidades Trimestrales '!G23</f>
        <v>0</v>
      </c>
    </row>
    <row r="26" spans="1:11" ht="41.25" customHeight="1" thickBot="1" x14ac:dyDescent="0.25">
      <c r="A26" s="100">
        <v>15</v>
      </c>
      <c r="B26" s="101" t="str">
        <f>+'Necesidades Trimestrales '!B24</f>
        <v>2.5.2-1863.9</v>
      </c>
      <c r="C26" s="129" t="str">
        <f>+'Necesidades Trimestrales '!E24</f>
        <v>HIPOLIPEMIANTES; TIPO: MONODROGA, DROGA GENERICA: ATORVASTATIN, FORMA FARMACEUTICA: COMPRIMIDO, PRESENTACION: 10 mGr</v>
      </c>
      <c r="D26" s="129"/>
      <c r="E26" s="129"/>
      <c r="F26" s="129"/>
      <c r="G26" s="129"/>
      <c r="H26" s="102" t="s">
        <v>53</v>
      </c>
      <c r="I26" s="103" t="str">
        <f>+'Necesidades Trimestrales '!F24</f>
        <v>COMPRIMIDO</v>
      </c>
      <c r="J26" s="104">
        <f>+'Necesidades Trimestrales '!H24</f>
        <v>5.9</v>
      </c>
      <c r="K26" s="105">
        <f>+'Necesidades Trimestrales '!G24</f>
        <v>0</v>
      </c>
    </row>
    <row r="27" spans="1:11" ht="41.25" customHeight="1" thickBot="1" x14ac:dyDescent="0.25">
      <c r="A27" s="100">
        <v>16</v>
      </c>
      <c r="B27" s="101" t="str">
        <f>+'Necesidades Trimestrales '!B25</f>
        <v>2.5.2-1863.3</v>
      </c>
      <c r="C27" s="129" t="str">
        <f>+'Necesidades Trimestrales '!E25</f>
        <v>HIPOLIPEMIANTES; TIPO: MONODROGA, DROGA GENERICA: ATORVASTATIN, FORMA FARMACEUTICA: COMPRIMIDO, PRESENTACION: 20 mGr</v>
      </c>
      <c r="D27" s="129"/>
      <c r="E27" s="129"/>
      <c r="F27" s="129"/>
      <c r="G27" s="129"/>
      <c r="H27" s="102" t="s">
        <v>53</v>
      </c>
      <c r="I27" s="103" t="str">
        <f>+'Necesidades Trimestrales '!F25</f>
        <v>COMPRIMIDO</v>
      </c>
      <c r="J27" s="104">
        <f>+'Necesidades Trimestrales '!H25</f>
        <v>6.9</v>
      </c>
      <c r="K27" s="105">
        <f>+'Necesidades Trimestrales '!G25</f>
        <v>0</v>
      </c>
    </row>
    <row r="28" spans="1:11" ht="41.25" customHeight="1" thickBot="1" x14ac:dyDescent="0.25">
      <c r="A28" s="100">
        <v>17</v>
      </c>
      <c r="B28" s="101" t="str">
        <f>+'Necesidades Trimestrales '!B26</f>
        <v>2.5.2-1837.48</v>
      </c>
      <c r="C28" s="129" t="str">
        <f>+'Necesidades Trimestrales '!E26</f>
        <v>HIPOTENSORES; TIPO: MONODROGA, DROGA GENÉRICA: BISOPROLOL 10 MG, FORMA FARMACEÚTICA: COMPRIMIDO, PRESENTACIÓN: X UNIDAD</v>
      </c>
      <c r="D28" s="129"/>
      <c r="E28" s="129"/>
      <c r="F28" s="129"/>
      <c r="G28" s="129"/>
      <c r="H28" s="102" t="s">
        <v>53</v>
      </c>
      <c r="I28" s="103" t="str">
        <f>+'Necesidades Trimestrales '!F26</f>
        <v>COMPRIMIDO</v>
      </c>
      <c r="J28" s="104">
        <f>+'Necesidades Trimestrales '!H26</f>
        <v>10.56</v>
      </c>
      <c r="K28" s="105">
        <f>+'Necesidades Trimestrales '!G26</f>
        <v>0</v>
      </c>
    </row>
    <row r="29" spans="1:11" ht="41.25" customHeight="1" thickBot="1" x14ac:dyDescent="0.25">
      <c r="A29" s="100">
        <v>18</v>
      </c>
      <c r="B29" s="101" t="str">
        <f>+'Necesidades Trimestrales '!B27</f>
        <v>2.5.2-4817.33</v>
      </c>
      <c r="C29" s="129" t="str">
        <f>+'Necesidades Trimestrales '!E27</f>
        <v>ANTIHIPERTENSIVOS; TIPO: MONODROGA, DROGA GENÉRICA: BISOPROLOL X 2,5 MGR, FORMA FARMACEÚTICA: COMPRIMIDOS, PRESENTACIÓN: X UNIDAD</v>
      </c>
      <c r="D29" s="129"/>
      <c r="E29" s="129"/>
      <c r="F29" s="129"/>
      <c r="G29" s="129"/>
      <c r="H29" s="102" t="s">
        <v>53</v>
      </c>
      <c r="I29" s="103" t="str">
        <f>+'Necesidades Trimestrales '!F27</f>
        <v>COMPRIMIDO</v>
      </c>
      <c r="J29" s="104">
        <f>+'Necesidades Trimestrales '!H27</f>
        <v>12</v>
      </c>
      <c r="K29" s="105">
        <f>+'Necesidades Trimestrales '!G27</f>
        <v>0</v>
      </c>
    </row>
    <row r="30" spans="1:11" ht="41.25" customHeight="1" thickBot="1" x14ac:dyDescent="0.25">
      <c r="A30" s="100">
        <v>19</v>
      </c>
      <c r="B30" s="101" t="str">
        <f>+'Necesidades Trimestrales '!B28</f>
        <v>2.5.2-4817.24</v>
      </c>
      <c r="C30" s="129" t="str">
        <f>+'Necesidades Trimestrales '!E28</f>
        <v>ANTIHIPERTENSIVOS; TIPO: MONODROGA, DROGA GENERICA: BISOPROLOL, FORMA FARMACEUTICA: COMPRIMIDOS, PRESENTACION: 5 mGr</v>
      </c>
      <c r="D30" s="129"/>
      <c r="E30" s="129"/>
      <c r="F30" s="129"/>
      <c r="G30" s="129"/>
      <c r="H30" s="102" t="s">
        <v>53</v>
      </c>
      <c r="I30" s="103" t="str">
        <f>+'Necesidades Trimestrales '!F28</f>
        <v>COMPRIMIDO</v>
      </c>
      <c r="J30" s="104">
        <f>+'Necesidades Trimestrales '!H28</f>
        <v>13</v>
      </c>
      <c r="K30" s="105">
        <f>+'Necesidades Trimestrales '!G28</f>
        <v>0</v>
      </c>
    </row>
    <row r="31" spans="1:11" ht="41.25" customHeight="1" thickBot="1" x14ac:dyDescent="0.25">
      <c r="A31" s="100">
        <v>20</v>
      </c>
      <c r="B31" s="101" t="str">
        <f>+'Necesidades Trimestrales '!B29</f>
        <v>2.5.2-1837.56</v>
      </c>
      <c r="C31" s="129" t="str">
        <f>+'Necesidades Trimestrales '!E29</f>
        <v>HIPOTENSORES; TIPO: MONODROGA, DROGA GENERICA: CARVEDILOL, FORMA FARMACEUTICA: COMPRIMIDO, PRESENTACION: 12,5 mGr</v>
      </c>
      <c r="D31" s="129"/>
      <c r="E31" s="129"/>
      <c r="F31" s="129"/>
      <c r="G31" s="129"/>
      <c r="H31" s="102" t="s">
        <v>53</v>
      </c>
      <c r="I31" s="103" t="str">
        <f>+'Necesidades Trimestrales '!F29</f>
        <v>COMPRIMIDO</v>
      </c>
      <c r="J31" s="104">
        <f>+'Necesidades Trimestrales '!H29</f>
        <v>5.98</v>
      </c>
      <c r="K31" s="105">
        <f>+'Necesidades Trimestrales '!G29</f>
        <v>0</v>
      </c>
    </row>
    <row r="32" spans="1:11" ht="41.25" customHeight="1" thickBot="1" x14ac:dyDescent="0.25">
      <c r="A32" s="100">
        <v>21</v>
      </c>
      <c r="B32" s="101" t="str">
        <f>+'Necesidades Trimestrales '!B30</f>
        <v>2.5.2-1837.30</v>
      </c>
      <c r="C32" s="129" t="str">
        <f>+'Necesidades Trimestrales '!E30</f>
        <v>HIPOTENSORES; DROGA GENERICA: CARVEDILOL, FORMA FARMACEUTICA: COMPRIMIDO, TIPO: MONODROGA, PRESENTACION: 25 mGr</v>
      </c>
      <c r="D32" s="129"/>
      <c r="E32" s="129"/>
      <c r="F32" s="129"/>
      <c r="G32" s="129"/>
      <c r="H32" s="102" t="s">
        <v>53</v>
      </c>
      <c r="I32" s="103" t="str">
        <f>+'Necesidades Trimestrales '!F30</f>
        <v>COMPRIMIDO</v>
      </c>
      <c r="J32" s="104">
        <f>+'Necesidades Trimestrales '!H30</f>
        <v>8.92</v>
      </c>
      <c r="K32" s="105">
        <f>+'Necesidades Trimestrales '!G30</f>
        <v>0</v>
      </c>
    </row>
    <row r="33" spans="1:11" ht="41.25" customHeight="1" thickBot="1" x14ac:dyDescent="0.25">
      <c r="A33" s="100">
        <v>22</v>
      </c>
      <c r="B33" s="101" t="str">
        <f>+'Necesidades Trimestrales '!B31</f>
        <v>2.5.2-1837.88</v>
      </c>
      <c r="C33" s="129" t="str">
        <f>+'Necesidades Trimestrales '!E31</f>
        <v>HIPOTENSORES; TIPO: MONODROGA, DROGA GENERICA: CARVEDILOL, FORMA FARMACEUTICA: COMPRIMIDO, PRESENTACION: 3,125 mGr</v>
      </c>
      <c r="D33" s="129"/>
      <c r="E33" s="129"/>
      <c r="F33" s="129"/>
      <c r="G33" s="129"/>
      <c r="H33" s="102" t="s">
        <v>53</v>
      </c>
      <c r="I33" s="103" t="str">
        <f>+'Necesidades Trimestrales '!F31</f>
        <v>COMPRIMIDO</v>
      </c>
      <c r="J33" s="104">
        <f>+'Necesidades Trimestrales '!H31</f>
        <v>3.6</v>
      </c>
      <c r="K33" s="105">
        <f>+'Necesidades Trimestrales '!G31</f>
        <v>0</v>
      </c>
    </row>
    <row r="34" spans="1:11" ht="41.25" customHeight="1" thickBot="1" x14ac:dyDescent="0.25">
      <c r="A34" s="100">
        <v>23</v>
      </c>
      <c r="B34" s="101" t="str">
        <f>+'Necesidades Trimestrales '!B32</f>
        <v>2.5.2-1837.42</v>
      </c>
      <c r="C34" s="129" t="str">
        <f>+'Necesidades Trimestrales '!E32</f>
        <v>HIPOTENSORES; TIPO: MONODROGA, DROGA GENERICA: CARVEDILOL, FORMA FARMACEUTICA: COMPRIMIDO, PRESENTACION: 6,25 mGr</v>
      </c>
      <c r="D34" s="129"/>
      <c r="E34" s="129"/>
      <c r="F34" s="129"/>
      <c r="G34" s="129"/>
      <c r="H34" s="102" t="s">
        <v>53</v>
      </c>
      <c r="I34" s="103" t="str">
        <f>+'Necesidades Trimestrales '!F32</f>
        <v>COMPRIMIDO</v>
      </c>
      <c r="J34" s="104">
        <f>+'Necesidades Trimestrales '!H32</f>
        <v>3.95</v>
      </c>
      <c r="K34" s="105">
        <f>+'Necesidades Trimestrales '!G32</f>
        <v>0</v>
      </c>
    </row>
    <row r="35" spans="1:11" ht="41.25" customHeight="1" thickBot="1" x14ac:dyDescent="0.25">
      <c r="A35" s="100">
        <v>24</v>
      </c>
      <c r="B35" s="101" t="str">
        <f>+'Necesidades Trimestrales '!B33</f>
        <v>2.5.2-1873.14</v>
      </c>
      <c r="C35" s="129" t="str">
        <f>+'Necesidades Trimestrales '!E33</f>
        <v>ANTICOAGULANTES P/PERSONAS; TIPO: MONODROGA, DROGA GENÉRICA: CLOPIDOGREL, FORMA FARMACEÚTICA: COMPRIMIDO, PRESENTACIÓN: 75 MGR</v>
      </c>
      <c r="D35" s="129"/>
      <c r="E35" s="129"/>
      <c r="F35" s="129"/>
      <c r="G35" s="129"/>
      <c r="H35" s="102" t="s">
        <v>53</v>
      </c>
      <c r="I35" s="103" t="str">
        <f>+'Necesidades Trimestrales '!F33</f>
        <v>COMPRIMIDO</v>
      </c>
      <c r="J35" s="104">
        <f>+'Necesidades Trimestrales '!H33</f>
        <v>18</v>
      </c>
      <c r="K35" s="105">
        <f>+'Necesidades Trimestrales '!G33</f>
        <v>0</v>
      </c>
    </row>
    <row r="36" spans="1:11" ht="41.25" customHeight="1" thickBot="1" x14ac:dyDescent="0.25">
      <c r="A36" s="100">
        <v>25</v>
      </c>
      <c r="B36" s="101" t="str">
        <f>+'Necesidades Trimestrales '!B34</f>
        <v>2.5.2-4817.30</v>
      </c>
      <c r="C36" s="129" t="str">
        <f>+'Necesidades Trimestrales '!E34</f>
        <v>ANTIHIPERTENSIVOS; TIPO: MONODROGA, DROGA GENERICA: CLONIDINA, FORMA FARMACEUTICA: AMPOLLA, PRESENTACION: 0,15 mGr</v>
      </c>
      <c r="D36" s="129"/>
      <c r="E36" s="129"/>
      <c r="F36" s="129"/>
      <c r="G36" s="129"/>
      <c r="H36" s="102" t="s">
        <v>53</v>
      </c>
      <c r="I36" s="103" t="str">
        <f>+'Necesidades Trimestrales '!F34</f>
        <v>AMPOLLA</v>
      </c>
      <c r="J36" s="104">
        <f>+'Necesidades Trimestrales '!H34</f>
        <v>75</v>
      </c>
      <c r="K36" s="105">
        <f>+'Necesidades Trimestrales '!G34</f>
        <v>0</v>
      </c>
    </row>
    <row r="37" spans="1:11" ht="41.25" customHeight="1" thickBot="1" x14ac:dyDescent="0.25">
      <c r="A37" s="100">
        <v>26</v>
      </c>
      <c r="B37" s="101" t="str">
        <f>+'Necesidades Trimestrales '!B35</f>
        <v>2.5.2-9888.1</v>
      </c>
      <c r="C37" s="129" t="str">
        <f>+'Necesidades Trimestrales '!E35</f>
        <v>HIPOCOLESTEROLEMIANTE; TIPO: MONODROGA, DROGA GENÉRICA: COLESTIRAMINA, FORMA FARMACEÚTICA: POLVO, PRESENTACIÓN: SOBRES 4 GRS X 30 UNIDADES</v>
      </c>
      <c r="D37" s="129"/>
      <c r="E37" s="129"/>
      <c r="F37" s="129"/>
      <c r="G37" s="129"/>
      <c r="H37" s="102" t="s">
        <v>53</v>
      </c>
      <c r="I37" s="103" t="str">
        <f>+'Necesidades Trimestrales '!F35</f>
        <v>CAJA</v>
      </c>
      <c r="J37" s="104">
        <f>+'Necesidades Trimestrales '!H35</f>
        <v>6469</v>
      </c>
      <c r="K37" s="105">
        <f>+'Necesidades Trimestrales '!G35</f>
        <v>0</v>
      </c>
    </row>
    <row r="38" spans="1:11" ht="41.25" customHeight="1" thickBot="1" x14ac:dyDescent="0.25">
      <c r="A38" s="100">
        <v>27</v>
      </c>
      <c r="B38" s="101" t="str">
        <f>+'Necesidades Trimestrales '!B36</f>
        <v>2.5.2-2693.14</v>
      </c>
      <c r="C38" s="129" t="str">
        <f>+'Necesidades Trimestrales '!E36</f>
        <v>CARDIOTONICOS; TIPO: MONODROGA, DROGA GENERICA: DIGOXINA, FORMA FARMACEUTICA: AMPOLLA, PRESENTACION: 0,25 mGr</v>
      </c>
      <c r="D38" s="129"/>
      <c r="E38" s="129"/>
      <c r="F38" s="129"/>
      <c r="G38" s="129"/>
      <c r="H38" s="102" t="s">
        <v>53</v>
      </c>
      <c r="I38" s="103" t="str">
        <f>+'Necesidades Trimestrales '!F36</f>
        <v>AMPOLLA</v>
      </c>
      <c r="J38" s="104">
        <f>+'Necesidades Trimestrales '!H36</f>
        <v>65</v>
      </c>
      <c r="K38" s="105">
        <f>+'Necesidades Trimestrales '!G36</f>
        <v>0</v>
      </c>
    </row>
    <row r="39" spans="1:11" ht="41.25" customHeight="1" thickBot="1" x14ac:dyDescent="0.25">
      <c r="A39" s="100">
        <v>28</v>
      </c>
      <c r="B39" s="101" t="str">
        <f>+'Necesidades Trimestrales '!B37</f>
        <v>2.5.2-2693.4</v>
      </c>
      <c r="C39" s="129" t="str">
        <f>+'Necesidades Trimestrales '!E37</f>
        <v>CARDIOTONICOS; TIPO: MONODROGA, DROGA GENERICA: DIGOXINA, FORMA FARMACEUTICA: COMPRIMIDO, PRESENTACION: 0,25 mGr</v>
      </c>
      <c r="D39" s="129"/>
      <c r="E39" s="129"/>
      <c r="F39" s="129"/>
      <c r="G39" s="129"/>
      <c r="H39" s="102" t="s">
        <v>53</v>
      </c>
      <c r="I39" s="103" t="str">
        <f>+'Necesidades Trimestrales '!F37</f>
        <v>COMPRIMIDO</v>
      </c>
      <c r="J39" s="104">
        <f>+'Necesidades Trimestrales '!H37</f>
        <v>15</v>
      </c>
      <c r="K39" s="105">
        <f>+'Necesidades Trimestrales '!G37</f>
        <v>0</v>
      </c>
    </row>
    <row r="40" spans="1:11" ht="41.25" customHeight="1" thickBot="1" x14ac:dyDescent="0.25">
      <c r="A40" s="100">
        <v>29</v>
      </c>
      <c r="B40" s="101" t="str">
        <f>+'Necesidades Trimestrales '!B38</f>
        <v>2.5.2-1839.26</v>
      </c>
      <c r="C40" s="129" t="str">
        <f>+'Necesidades Trimestrales '!E38</f>
        <v>VASODILATADORES CORONARIOS; TIPO: MONODROGA, DROGA GENERICA: DILTIAZEM CLORHIDRATO 25 mGr, FORMA FARMACEUTICA: AMPOLLA, PRESENTACION: ENVASE X 5 mL</v>
      </c>
      <c r="D40" s="129"/>
      <c r="E40" s="129"/>
      <c r="F40" s="129"/>
      <c r="G40" s="129"/>
      <c r="H40" s="102" t="s">
        <v>53</v>
      </c>
      <c r="I40" s="103" t="str">
        <f>+'Necesidades Trimestrales '!F38</f>
        <v>AMPOLLA</v>
      </c>
      <c r="J40" s="104">
        <f>+'Necesidades Trimestrales '!H38</f>
        <v>1850</v>
      </c>
      <c r="K40" s="105">
        <f>+'Necesidades Trimestrales '!G38</f>
        <v>0</v>
      </c>
    </row>
    <row r="41" spans="1:11" ht="41.25" customHeight="1" thickBot="1" x14ac:dyDescent="0.25">
      <c r="A41" s="100">
        <v>30</v>
      </c>
      <c r="B41" s="101" t="str">
        <f>+'Necesidades Trimestrales '!B39</f>
        <v>2.5.2-1839.31</v>
      </c>
      <c r="C41" s="129" t="str">
        <f>+'Necesidades Trimestrales '!E39</f>
        <v>VASODILATADORES CORONARIOS; TIPO: MONODROGA, DROGA GENERICA: DILTIAZEM, FORMA FARMACEUTICA: COMPRIMIDO, PRESENTACION: 60 mGr</v>
      </c>
      <c r="D41" s="129"/>
      <c r="E41" s="129"/>
      <c r="F41" s="129"/>
      <c r="G41" s="129"/>
      <c r="H41" s="102" t="s">
        <v>53</v>
      </c>
      <c r="I41" s="103" t="str">
        <f>+'Necesidades Trimestrales '!F39</f>
        <v>COMPRIMIDO</v>
      </c>
      <c r="J41" s="104">
        <f>+'Necesidades Trimestrales '!H39</f>
        <v>16</v>
      </c>
      <c r="K41" s="105">
        <f>+'Necesidades Trimestrales '!G39</f>
        <v>0</v>
      </c>
    </row>
    <row r="42" spans="1:11" ht="41.25" customHeight="1" thickBot="1" x14ac:dyDescent="0.25">
      <c r="A42" s="100">
        <v>31</v>
      </c>
      <c r="B42" s="101" t="str">
        <f>+'Necesidades Trimestrales '!B40</f>
        <v>2.5.2-2693.5</v>
      </c>
      <c r="C42" s="129" t="str">
        <f>+'Necesidades Trimestrales '!E40</f>
        <v>CARDIOTONICOS; TIPO: MONODROGA, DROGA GENERICA: DOBUTAMINA, FORMA FARMACEUTICA: AMPOLLA, PRESENTACION: 20 mL</v>
      </c>
      <c r="D42" s="129"/>
      <c r="E42" s="129"/>
      <c r="F42" s="129"/>
      <c r="G42" s="129"/>
      <c r="H42" s="102" t="s">
        <v>53</v>
      </c>
      <c r="I42" s="103" t="str">
        <f>+'Necesidades Trimestrales '!F40</f>
        <v>AMPOLLA</v>
      </c>
      <c r="J42" s="104">
        <f>+'Necesidades Trimestrales '!H40</f>
        <v>480</v>
      </c>
      <c r="K42" s="105">
        <f>+'Necesidades Trimestrales '!G40</f>
        <v>0</v>
      </c>
    </row>
    <row r="43" spans="1:11" ht="41.25" customHeight="1" thickBot="1" x14ac:dyDescent="0.25">
      <c r="A43" s="100">
        <v>32</v>
      </c>
      <c r="B43" s="101" t="str">
        <f>+'Necesidades Trimestrales '!B41</f>
        <v>2.5.2-2693.2</v>
      </c>
      <c r="C43" s="129" t="str">
        <f>+'Necesidades Trimestrales '!E41</f>
        <v>CARDIOTONICOS; TIPO: MONODROGA, DROGA GENERICA: DOPAMINA, PRESENTACION: 200 mGr, FORMA FARMACEUTICA: AMPOLLA</v>
      </c>
      <c r="D43" s="129"/>
      <c r="E43" s="129"/>
      <c r="F43" s="129"/>
      <c r="G43" s="129"/>
      <c r="H43" s="102" t="s">
        <v>53</v>
      </c>
      <c r="I43" s="103" t="str">
        <f>+'Necesidades Trimestrales '!F41</f>
        <v>AMPOLLA</v>
      </c>
      <c r="J43" s="104">
        <f>+'Necesidades Trimestrales '!H41</f>
        <v>150</v>
      </c>
      <c r="K43" s="105">
        <f>+'Necesidades Trimestrales '!G41</f>
        <v>0</v>
      </c>
    </row>
    <row r="44" spans="1:11" ht="41.25" customHeight="1" thickBot="1" x14ac:dyDescent="0.25">
      <c r="A44" s="100">
        <v>33</v>
      </c>
      <c r="B44" s="101" t="str">
        <f>+'Necesidades Trimestrales '!B42</f>
        <v>2.5.2-1837.32</v>
      </c>
      <c r="C44" s="129" t="str">
        <f>+'Necesidades Trimestrales '!E42</f>
        <v>HIPOTENSORES; TIPO: MONODROGA, DROGA GENERICA: ENALAPRILATO, FORMA FARMACEUTICA: AMPOLLA, PRESENTACION: 2,5 mGr</v>
      </c>
      <c r="D44" s="129"/>
      <c r="E44" s="129"/>
      <c r="F44" s="129"/>
      <c r="G44" s="129"/>
      <c r="H44" s="102" t="s">
        <v>53</v>
      </c>
      <c r="I44" s="103" t="str">
        <f>+'Necesidades Trimestrales '!F42</f>
        <v>AMPOLLA</v>
      </c>
      <c r="J44" s="104">
        <f>+'Necesidades Trimestrales '!H42</f>
        <v>516.72</v>
      </c>
      <c r="K44" s="105">
        <f>+'Necesidades Trimestrales '!G42</f>
        <v>0</v>
      </c>
    </row>
    <row r="45" spans="1:11" ht="41.25" customHeight="1" thickBot="1" x14ac:dyDescent="0.25">
      <c r="A45" s="100">
        <v>34</v>
      </c>
      <c r="B45" s="101" t="str">
        <f>+'Necesidades Trimestrales '!B43</f>
        <v>2.5.2-1837.7</v>
      </c>
      <c r="C45" s="129" t="str">
        <f>+'Necesidades Trimestrales '!E43</f>
        <v>HIPOTENSORES; DROGA GENERICA: ENALAPRIL, FORMA FARMACEUTICA: COMPRIMIDO, TIPO: MONODROGA, PRESENTACION: 10 mGr</v>
      </c>
      <c r="D45" s="129"/>
      <c r="E45" s="129"/>
      <c r="F45" s="129"/>
      <c r="G45" s="129"/>
      <c r="H45" s="102" t="s">
        <v>53</v>
      </c>
      <c r="I45" s="103" t="str">
        <f>+'Necesidades Trimestrales '!F43</f>
        <v>COMPRIMIDO</v>
      </c>
      <c r="J45" s="104">
        <f>+'Necesidades Trimestrales '!H43</f>
        <v>3.5</v>
      </c>
      <c r="K45" s="105">
        <f>+'Necesidades Trimestrales '!G43</f>
        <v>0</v>
      </c>
    </row>
    <row r="46" spans="1:11" ht="41.25" customHeight="1" thickBot="1" x14ac:dyDescent="0.25">
      <c r="A46" s="100">
        <v>35</v>
      </c>
      <c r="B46" s="101" t="str">
        <f>+'Necesidades Trimestrales '!B44</f>
        <v>2.5.2-1837.9</v>
      </c>
      <c r="C46" s="129" t="str">
        <f>+'Necesidades Trimestrales '!E44</f>
        <v>HIPOTENSORES; TIPO: MONODROGA, DROGA GENERICA: ENALAPRIL, PRESENTACION: 5 mGr, FORMA FARMACEUTICA: COMPRIMIDO</v>
      </c>
      <c r="D46" s="129"/>
      <c r="E46" s="129"/>
      <c r="F46" s="129"/>
      <c r="G46" s="129"/>
      <c r="H46" s="102" t="s">
        <v>53</v>
      </c>
      <c r="I46" s="103" t="str">
        <f>+'Necesidades Trimestrales '!F44</f>
        <v>COMPRIMIDO</v>
      </c>
      <c r="J46" s="104">
        <f>+'Necesidades Trimestrales '!H44</f>
        <v>3.2</v>
      </c>
      <c r="K46" s="105">
        <f>+'Necesidades Trimestrales '!G44</f>
        <v>0</v>
      </c>
    </row>
    <row r="47" spans="1:11" ht="41.25" customHeight="1" thickBot="1" x14ac:dyDescent="0.25">
      <c r="A47" s="100">
        <v>36</v>
      </c>
      <c r="B47" s="101" t="str">
        <f>+'Necesidades Trimestrales '!B45</f>
        <v>2.5.2-1873.50</v>
      </c>
      <c r="C47" s="129" t="str">
        <f>+'Necesidades Trimestrales '!E45</f>
        <v>ANTICOAGULANTES P/PERSONAS; TIPO: MONODROGA, DROGA GENERICA: ENOXAPARINA 40 MG, FORMA FARMACEUTICA: JERINGA PRELLENADA, PRESENTACION: ENVASE X 1 UN</v>
      </c>
      <c r="D47" s="129"/>
      <c r="E47" s="129"/>
      <c r="F47" s="129"/>
      <c r="G47" s="129"/>
      <c r="H47" s="102" t="s">
        <v>53</v>
      </c>
      <c r="I47" s="103" t="str">
        <f>+'Necesidades Trimestrales '!F45</f>
        <v>UNIDAD</v>
      </c>
      <c r="J47" s="104">
        <f>+'Necesidades Trimestrales '!H45</f>
        <v>790</v>
      </c>
      <c r="K47" s="105">
        <f>+'Necesidades Trimestrales '!G45</f>
        <v>0</v>
      </c>
    </row>
    <row r="48" spans="1:11" ht="41.25" customHeight="1" thickBot="1" x14ac:dyDescent="0.25">
      <c r="A48" s="100">
        <v>37</v>
      </c>
      <c r="B48" s="101" t="str">
        <f>+'Necesidades Trimestrales '!B46</f>
        <v>2.5.2-1873.51</v>
      </c>
      <c r="C48" s="129" t="str">
        <f>+'Necesidades Trimestrales '!E46</f>
        <v>ANTICOAGULANTES P/PERSONAS; TIPO: MONODROGA, DROGA GENERICA: ENOXAPARINA 60 MG, FORMA FARMACEUTICA: JERINGA PRELLENADA, PRESENTACION: ENVASE X 1 UN</v>
      </c>
      <c r="D48" s="129"/>
      <c r="E48" s="129"/>
      <c r="F48" s="129"/>
      <c r="G48" s="129"/>
      <c r="H48" s="102" t="s">
        <v>53</v>
      </c>
      <c r="I48" s="103" t="str">
        <f>+'Necesidades Trimestrales '!F46</f>
        <v>UNIDAD</v>
      </c>
      <c r="J48" s="104">
        <f>+'Necesidades Trimestrales '!H46</f>
        <v>1200</v>
      </c>
      <c r="K48" s="105">
        <f>+'Necesidades Trimestrales '!G46</f>
        <v>0</v>
      </c>
    </row>
    <row r="49" spans="1:11" ht="41.25" customHeight="1" thickBot="1" x14ac:dyDescent="0.25">
      <c r="A49" s="100">
        <v>38</v>
      </c>
      <c r="B49" s="101" t="str">
        <f>+'Necesidades Trimestrales '!B47</f>
        <v>2.5.2-1873.54</v>
      </c>
      <c r="C49" s="129" t="str">
        <f>+'Necesidades Trimestrales '!E47</f>
        <v>ANTICOAGULANTES P/PERSONAS; TIPO: MONODROGA, DROGA GENERICA: ENOXAPARINA 80 mGr, FORMA FARMACEUTICA: JERINGA PRELLENADA, PRESENTACION: UNIDAD</v>
      </c>
      <c r="D49" s="129"/>
      <c r="E49" s="129"/>
      <c r="F49" s="129"/>
      <c r="G49" s="129"/>
      <c r="H49" s="102" t="s">
        <v>53</v>
      </c>
      <c r="I49" s="103" t="str">
        <f>+'Necesidades Trimestrales '!F47</f>
        <v>UNIDAD</v>
      </c>
      <c r="J49" s="104">
        <f>+'Necesidades Trimestrales '!H47</f>
        <v>1580</v>
      </c>
      <c r="K49" s="105">
        <f>+'Necesidades Trimestrales '!G47</f>
        <v>0</v>
      </c>
    </row>
    <row r="50" spans="1:11" ht="41.25" customHeight="1" thickBot="1" x14ac:dyDescent="0.25">
      <c r="A50" s="100">
        <v>39</v>
      </c>
      <c r="B50" s="101" t="str">
        <f>+'Necesidades Trimestrales '!B48</f>
        <v>2.5.2-1872.51</v>
      </c>
      <c r="C50" s="129" t="str">
        <f>+'Necesidades Trimestrales '!E48</f>
        <v>ANTIANEMICOS; TIPO: MONODROGA, DROGA GENERICA: ERITROPOYETINA HUMANA, FORMA FARMACEUTICA: FRASCO AMPOLLA 3000UI, PRESENTACION: UNIDAD</v>
      </c>
      <c r="D50" s="129"/>
      <c r="E50" s="129"/>
      <c r="F50" s="129"/>
      <c r="G50" s="129"/>
      <c r="H50" s="102" t="s">
        <v>53</v>
      </c>
      <c r="I50" s="103" t="str">
        <f>+'Necesidades Trimestrales '!F48</f>
        <v>UNIDAD</v>
      </c>
      <c r="J50" s="104">
        <f>+'Necesidades Trimestrales '!H48</f>
        <v>415</v>
      </c>
      <c r="K50" s="105">
        <f>+'Necesidades Trimestrales '!G48</f>
        <v>0</v>
      </c>
    </row>
    <row r="51" spans="1:11" ht="41.25" customHeight="1" thickBot="1" x14ac:dyDescent="0.25">
      <c r="A51" s="100">
        <v>40</v>
      </c>
      <c r="B51" s="101" t="str">
        <f>+'Necesidades Trimestrales '!B49</f>
        <v>2.5.2-1837.71</v>
      </c>
      <c r="C51" s="129" t="str">
        <f>+'Necesidades Trimestrales '!E49</f>
        <v>HIPOTENSORES; TIPO: MONODROGA, DROGA GENÉRICA: ESMOLOL 100 MG/10 ML, FORMA FARMACEÚTICA: FRASCO AMPOLLA, PRESENTACION: ENVASE X 10 ML</v>
      </c>
      <c r="D51" s="129"/>
      <c r="E51" s="129"/>
      <c r="F51" s="129"/>
      <c r="G51" s="129"/>
      <c r="H51" s="102" t="s">
        <v>53</v>
      </c>
      <c r="I51" s="103" t="str">
        <f>+'Necesidades Trimestrales '!F49</f>
        <v>AMPOLLA</v>
      </c>
      <c r="J51" s="104">
        <f>+'Necesidades Trimestrales '!H49</f>
        <v>5690</v>
      </c>
      <c r="K51" s="105">
        <f>+'Necesidades Trimestrales '!G49</f>
        <v>0</v>
      </c>
    </row>
    <row r="52" spans="1:11" ht="41.25" customHeight="1" thickBot="1" x14ac:dyDescent="0.25">
      <c r="A52" s="100">
        <v>41</v>
      </c>
      <c r="B52" s="101" t="str">
        <f>+'Necesidades Trimestrales '!B50</f>
        <v>2.5.2-1835.4</v>
      </c>
      <c r="C52" s="129" t="str">
        <f>+'Necesidades Trimestrales '!E50</f>
        <v>DIURETICOS; TIPO: MONODROGA, FORMA FARMACEUTICA: COMPRIMIDO, PRESENTACION: 100 mGr, DROGA GENERICA: ESPIRONOLACTONA</v>
      </c>
      <c r="D52" s="129"/>
      <c r="E52" s="129"/>
      <c r="F52" s="129"/>
      <c r="G52" s="129"/>
      <c r="H52" s="102" t="s">
        <v>53</v>
      </c>
      <c r="I52" s="103" t="str">
        <f>+'Necesidades Trimestrales '!F50</f>
        <v>COMPRIMIDO</v>
      </c>
      <c r="J52" s="104">
        <f>+'Necesidades Trimestrales '!H50</f>
        <v>4.25</v>
      </c>
      <c r="K52" s="105">
        <f>+'Necesidades Trimestrales '!G50</f>
        <v>0</v>
      </c>
    </row>
    <row r="53" spans="1:11" ht="41.25" customHeight="1" thickBot="1" x14ac:dyDescent="0.25">
      <c r="A53" s="100">
        <v>42</v>
      </c>
      <c r="B53" s="101" t="str">
        <f>+'Necesidades Trimestrales '!B51</f>
        <v>2.5.2-4817.59</v>
      </c>
      <c r="C53" s="129" t="str">
        <f>+'Necesidades Trimestrales '!E51</f>
        <v>ANTIHIPERTENSIVOS; TIPO: MONODROGA, DROGA GENERICA: ESPIRONOLACTONA, FORMA FARMACEUTICA: COMPRIMIDOS, PRESENTACION: ENVASE X 50 mGr</v>
      </c>
      <c r="D53" s="129"/>
      <c r="E53" s="129"/>
      <c r="F53" s="129"/>
      <c r="G53" s="129"/>
      <c r="H53" s="102" t="s">
        <v>53</v>
      </c>
      <c r="I53" s="103" t="str">
        <f>+'Necesidades Trimestrales '!F51</f>
        <v>COMPRIMIDO</v>
      </c>
      <c r="J53" s="104">
        <f>+'Necesidades Trimestrales '!H51</f>
        <v>3.6</v>
      </c>
      <c r="K53" s="105">
        <f>+'Necesidades Trimestrales '!G51</f>
        <v>0</v>
      </c>
    </row>
    <row r="54" spans="1:11" ht="41.25" customHeight="1" thickBot="1" x14ac:dyDescent="0.25">
      <c r="A54" s="100">
        <v>43</v>
      </c>
      <c r="B54" s="101" t="str">
        <f>+'Necesidades Trimestrales '!B52</f>
        <v>2.5.2-1821.402</v>
      </c>
      <c r="C54" s="129" t="str">
        <f>+'Necesidades Trimestrales '!E52</f>
        <v>ANTIBIOTICOS P/PERSONAS; TIPO: MONODROGA, DROGA GENERICA: ESTREPTOQUINASA 1,500,000 UI, FORMA FARMACEUTICA: AMPOLLA, PRESENTACION: UNIDAD</v>
      </c>
      <c r="D54" s="129"/>
      <c r="E54" s="129"/>
      <c r="F54" s="129"/>
      <c r="G54" s="129"/>
      <c r="H54" s="102" t="s">
        <v>53</v>
      </c>
      <c r="I54" s="103" t="str">
        <f>+'Necesidades Trimestrales '!F52</f>
        <v>AMPOLLA</v>
      </c>
      <c r="J54" s="104">
        <f>+'Necesidades Trimestrales '!H52</f>
        <v>110000</v>
      </c>
      <c r="K54" s="105">
        <f>+'Necesidades Trimestrales '!G52</f>
        <v>0</v>
      </c>
    </row>
    <row r="55" spans="1:11" ht="41.25" customHeight="1" thickBot="1" x14ac:dyDescent="0.25">
      <c r="A55" s="100">
        <v>44</v>
      </c>
      <c r="B55" s="101" t="str">
        <f>+'Necesidades Trimestrales '!B53</f>
        <v>2.5.2-1724.80</v>
      </c>
      <c r="C55" s="129" t="str">
        <f>+'Necesidades Trimestrales '!E53</f>
        <v>ANALGESICOS ; TIPO: MONODROGA, DROGA GENERICA: ETILEFRINA CLORHIDRATO, FORMA FARMACEUTICA: AMPOLLA, PRESENTACION: 1 mL</v>
      </c>
      <c r="D55" s="129"/>
      <c r="E55" s="129"/>
      <c r="F55" s="129"/>
      <c r="G55" s="129"/>
      <c r="H55" s="102" t="s">
        <v>53</v>
      </c>
      <c r="I55" s="103" t="str">
        <f>+'Necesidades Trimestrales '!F53</f>
        <v>AMPOLLA</v>
      </c>
      <c r="J55" s="104">
        <f>+'Necesidades Trimestrales '!H53</f>
        <v>145</v>
      </c>
      <c r="K55" s="105">
        <f>+'Necesidades Trimestrales '!G53</f>
        <v>0</v>
      </c>
    </row>
    <row r="56" spans="1:11" ht="41.25" customHeight="1" thickBot="1" x14ac:dyDescent="0.25">
      <c r="A56" s="100">
        <v>45</v>
      </c>
      <c r="B56" s="101" t="str">
        <f>+'Necesidades Trimestrales '!B54</f>
        <v>2.5.2-8784.20</v>
      </c>
      <c r="C56" s="129" t="str">
        <f>+'Necesidades Trimestrales '!E54</f>
        <v>ANTIHEMOFÍLICOS; DROGA GENÉRICA: COMPLEJO PROTROMBÍNICO ACTIVADO, FORMA FARMACEÚTICA: AMPOLLA, PRESENTACIÓN: 500 UI, TIPO: MONODROGA</v>
      </c>
      <c r="D56" s="129"/>
      <c r="E56" s="129"/>
      <c r="F56" s="129"/>
      <c r="G56" s="129"/>
      <c r="H56" s="102" t="s">
        <v>231</v>
      </c>
      <c r="I56" s="103" t="str">
        <f>+'Necesidades Trimestrales '!F54</f>
        <v>UNIDAD</v>
      </c>
      <c r="J56" s="104">
        <f>+'Necesidades Trimestrales '!H54</f>
        <v>32500</v>
      </c>
      <c r="K56" s="105">
        <f>+'Necesidades Trimestrales '!G54</f>
        <v>0</v>
      </c>
    </row>
    <row r="57" spans="1:11" ht="41.25" customHeight="1" thickBot="1" x14ac:dyDescent="0.25">
      <c r="A57" s="100">
        <v>46</v>
      </c>
      <c r="B57" s="101" t="str">
        <f>+'Necesidades Trimestrales '!B55</f>
        <v>2.5.2-8784.21</v>
      </c>
      <c r="C57" s="129" t="str">
        <f>+'Necesidades Trimestrales '!E55</f>
        <v>ANTIHEMOFÍLICOS; DROGA GENÉRICA: COMPLEJO PROTROMBÍNICO ACTIVADO, FORMA FARMACEÚTICA: AMPOLLA, PRESENTACIÓN: 600 UI, TIPO: MONODROGA</v>
      </c>
      <c r="D57" s="129"/>
      <c r="E57" s="129"/>
      <c r="F57" s="129"/>
      <c r="G57" s="129"/>
      <c r="H57" s="102" t="s">
        <v>231</v>
      </c>
      <c r="I57" s="103" t="str">
        <f>+'Necesidades Trimestrales '!F55</f>
        <v>UNIDAD</v>
      </c>
      <c r="J57" s="104">
        <f>+'Necesidades Trimestrales '!H55</f>
        <v>40559.57</v>
      </c>
      <c r="K57" s="105">
        <f>+'Necesidades Trimestrales '!G55</f>
        <v>0</v>
      </c>
    </row>
    <row r="58" spans="1:11" ht="41.25" customHeight="1" thickBot="1" x14ac:dyDescent="0.25">
      <c r="A58" s="100">
        <v>47</v>
      </c>
      <c r="B58" s="101" t="str">
        <f>+'Necesidades Trimestrales '!B56</f>
        <v>2.5.2-1894.58</v>
      </c>
      <c r="C58" s="129" t="str">
        <f>+'Necesidades Trimestrales '!E56</f>
        <v>CITOSTATICOS; TIPO: MONODROGA, DROGA GENERICA: FILGRASTIM, FORMA FARMACEUTICA: AMPOLLA, PRESENTACION: 300 mGr</v>
      </c>
      <c r="D58" s="129"/>
      <c r="E58" s="129"/>
      <c r="F58" s="129"/>
      <c r="G58" s="129"/>
      <c r="H58" s="102" t="s">
        <v>53</v>
      </c>
      <c r="I58" s="103" t="str">
        <f>+'Necesidades Trimestrales '!F56</f>
        <v>AMPOLLA</v>
      </c>
      <c r="J58" s="104">
        <f>+'Necesidades Trimestrales '!H56</f>
        <v>2300</v>
      </c>
      <c r="K58" s="105">
        <f>+'Necesidades Trimestrales '!G56</f>
        <v>0</v>
      </c>
    </row>
    <row r="59" spans="1:11" ht="41.25" customHeight="1" thickBot="1" x14ac:dyDescent="0.25">
      <c r="A59" s="100">
        <v>48</v>
      </c>
      <c r="B59" s="101" t="str">
        <f>+'Necesidades Trimestrales '!B57</f>
        <v>2.5.2-1835.10</v>
      </c>
      <c r="C59" s="129" t="str">
        <f>+'Necesidades Trimestrales '!E57</f>
        <v>DIURETICOS; TIPO: MONODROGA, DROGA GENERICA: FUROSEMIDA, FORMA FARMACEUTICA: COMPRIMIDO, PRESENTACION: 40 mGr</v>
      </c>
      <c r="D59" s="129"/>
      <c r="E59" s="129"/>
      <c r="F59" s="129"/>
      <c r="G59" s="129"/>
      <c r="H59" s="102" t="s">
        <v>53</v>
      </c>
      <c r="I59" s="103" t="str">
        <f>+'Necesidades Trimestrales '!F57</f>
        <v>COMPRIMIDO</v>
      </c>
      <c r="J59" s="104">
        <f>+'Necesidades Trimestrales '!H57</f>
        <v>6.3</v>
      </c>
      <c r="K59" s="105">
        <f>+'Necesidades Trimestrales '!G57</f>
        <v>0</v>
      </c>
    </row>
    <row r="60" spans="1:11" ht="41.25" customHeight="1" thickBot="1" x14ac:dyDescent="0.25">
      <c r="A60" s="100">
        <v>49</v>
      </c>
      <c r="B60" s="101" t="str">
        <f>+'Necesidades Trimestrales '!B58</f>
        <v>2.5.2-1835.11</v>
      </c>
      <c r="C60" s="129" t="str">
        <f>+'Necesidades Trimestrales '!E58</f>
        <v>DIURETICOS; TIPO: MONODROGA, DROGA GENERICA: FUROSEMIDA, FORMA FARMACEUTICA: AMPOLLA, PRESENTACION: 20 mGr</v>
      </c>
      <c r="D60" s="129"/>
      <c r="E60" s="129"/>
      <c r="F60" s="129"/>
      <c r="G60" s="129"/>
      <c r="H60" s="102" t="s">
        <v>53</v>
      </c>
      <c r="I60" s="103" t="str">
        <f>+'Necesidades Trimestrales '!F58</f>
        <v>AMPOLLA</v>
      </c>
      <c r="J60" s="104">
        <f>+'Necesidades Trimestrales '!H58</f>
        <v>41</v>
      </c>
      <c r="K60" s="105">
        <f>+'Necesidades Trimestrales '!G58</f>
        <v>0</v>
      </c>
    </row>
    <row r="61" spans="1:11" ht="41.25" customHeight="1" thickBot="1" x14ac:dyDescent="0.25">
      <c r="A61" s="100">
        <v>50</v>
      </c>
      <c r="B61" s="101" t="str">
        <f>+'Necesidades Trimestrales '!B59</f>
        <v>2.5.2-1726.517</v>
      </c>
      <c r="C61" s="129" t="str">
        <f>+'Necesidades Trimestrales '!E59</f>
        <v>SOLUCIONES P/MEDICINA; TIPO: GELATINA SUCCINILADA 4% + CLORURO DE SODIO + HIDROXIDO DE SODIO, PRESENTACION: SACHET x 500mL</v>
      </c>
      <c r="D61" s="129"/>
      <c r="E61" s="129"/>
      <c r="F61" s="129"/>
      <c r="G61" s="129"/>
      <c r="H61" s="102" t="s">
        <v>53</v>
      </c>
      <c r="I61" s="103" t="str">
        <f>+'Necesidades Trimestrales '!F59</f>
        <v>ENVASE</v>
      </c>
      <c r="J61" s="104">
        <f>+'Necesidades Trimestrales '!H59</f>
        <v>1250</v>
      </c>
      <c r="K61" s="105">
        <f>+'Necesidades Trimestrales '!G59</f>
        <v>0</v>
      </c>
    </row>
    <row r="62" spans="1:11" ht="41.25" customHeight="1" thickBot="1" x14ac:dyDescent="0.25">
      <c r="A62" s="100">
        <v>51</v>
      </c>
      <c r="B62" s="101" t="str">
        <f>+'Necesidades Trimestrales '!B60</f>
        <v>2.5.2-1873.46</v>
      </c>
      <c r="C62" s="129" t="str">
        <f>+'Necesidades Trimestrales '!E60</f>
        <v>ANTICOAGULANTES P/PERSONAS; TIPO: MONODROGA, DROGA GENERICA: HEPARINA SODICA 5000 UI / ML, FORMA FARMACEUTICA: AMPOLLA, PRESENTACION: ENVASE X 5 mL</v>
      </c>
      <c r="D62" s="129"/>
      <c r="E62" s="129"/>
      <c r="F62" s="129"/>
      <c r="G62" s="129"/>
      <c r="H62" s="102" t="s">
        <v>53</v>
      </c>
      <c r="I62" s="103" t="str">
        <f>+'Necesidades Trimestrales '!F60</f>
        <v>AMPOLLA</v>
      </c>
      <c r="J62" s="104">
        <f>+'Necesidades Trimestrales '!H60</f>
        <v>730</v>
      </c>
      <c r="K62" s="105">
        <f>+'Necesidades Trimestrales '!G60</f>
        <v>0</v>
      </c>
    </row>
    <row r="63" spans="1:11" ht="41.25" customHeight="1" thickBot="1" x14ac:dyDescent="0.25">
      <c r="A63" s="100">
        <v>52</v>
      </c>
      <c r="B63" s="101" t="str">
        <f>+'Necesidades Trimestrales '!B61</f>
        <v>2.5.2-1835.13</v>
      </c>
      <c r="C63" s="129" t="str">
        <f>+'Necesidades Trimestrales '!E61</f>
        <v>DIURETICOS; TIPO: MONODROGA, DROGA GENERICA: HIDROCLOROTIAZIDA, FORMA FARMACEUTICA: COMPRIMIDO, PRESENTACION: 25 mGr</v>
      </c>
      <c r="D63" s="129"/>
      <c r="E63" s="129"/>
      <c r="F63" s="129"/>
      <c r="G63" s="129"/>
      <c r="H63" s="102" t="s">
        <v>53</v>
      </c>
      <c r="I63" s="103" t="str">
        <f>+'Necesidades Trimestrales '!F61</f>
        <v>COMPRIMIDO</v>
      </c>
      <c r="J63" s="104">
        <f>+'Necesidades Trimestrales '!H61</f>
        <v>6.4</v>
      </c>
      <c r="K63" s="105">
        <f>+'Necesidades Trimestrales '!G61</f>
        <v>0</v>
      </c>
    </row>
    <row r="64" spans="1:11" ht="41.25" customHeight="1" thickBot="1" x14ac:dyDescent="0.25">
      <c r="A64" s="100">
        <v>53</v>
      </c>
      <c r="B64" s="101" t="str">
        <f>+'Necesidades Trimestrales '!B62</f>
        <v>2.5.2-1872.56</v>
      </c>
      <c r="C64" s="129" t="str">
        <f>+'Necesidades Trimestrales '!E62</f>
        <v>ANTIANEMICOS; TIPO: MONODROGA, DROGA GENERICA: HIERRO DEXTRAN 50 mGr/ML, FORMA FARMACEUTICA: AMPOLLA, PRESENTACION: 2 mL</v>
      </c>
      <c r="D64" s="129"/>
      <c r="E64" s="129"/>
      <c r="F64" s="129"/>
      <c r="G64" s="129"/>
      <c r="H64" s="102" t="s">
        <v>53</v>
      </c>
      <c r="I64" s="103" t="str">
        <f>+'Necesidades Trimestrales '!F62</f>
        <v>AMPOLLA</v>
      </c>
      <c r="J64" s="104">
        <f>+'Necesidades Trimestrales '!H62</f>
        <v>396</v>
      </c>
      <c r="K64" s="105">
        <f>+'Necesidades Trimestrales '!G62</f>
        <v>0</v>
      </c>
    </row>
    <row r="65" spans="1:11" ht="41.25" customHeight="1" thickBot="1" x14ac:dyDescent="0.25">
      <c r="A65" s="100">
        <v>54</v>
      </c>
      <c r="B65" s="101" t="str">
        <f>+'Necesidades Trimestrales '!B63</f>
        <v>2.5.2-1872.62</v>
      </c>
      <c r="C65" s="129" t="str">
        <f>+'Necesidades Trimestrales '!E63</f>
        <v>ANTIANÉMICOS; TIPO: ASOCIACIÓN, DROGA GENÉRICA: HIERRO DEX+ÁCIDO FÓLICO+HIDROC, FORMA FARMACEÚTICA: AMPOLLA X 2 ML, PRESENTACIÓN: CAJA X 5</v>
      </c>
      <c r="D65" s="129"/>
      <c r="E65" s="129"/>
      <c r="F65" s="129"/>
      <c r="G65" s="129"/>
      <c r="H65" s="102" t="s">
        <v>231</v>
      </c>
      <c r="I65" s="103" t="str">
        <f>+'Necesidades Trimestrales '!F63</f>
        <v>CAJA</v>
      </c>
      <c r="J65" s="104">
        <f>+'Necesidades Trimestrales '!H63</f>
        <v>4396</v>
      </c>
      <c r="K65" s="105">
        <f>+'Necesidades Trimestrales '!G63</f>
        <v>0</v>
      </c>
    </row>
    <row r="66" spans="1:11" ht="41.25" customHeight="1" thickBot="1" x14ac:dyDescent="0.25">
      <c r="A66" s="100">
        <v>55</v>
      </c>
      <c r="B66" s="101" t="str">
        <f>+'Necesidades Trimestrales '!B65</f>
        <v>2.5.2-1725.33</v>
      </c>
      <c r="C66" s="129" t="str">
        <f>+'Necesidades Trimestrales '!E65</f>
        <v>ANTIINFLAMATORIOS NO ESTEROIDE; TIPO: MONODROGA, DROGA GENÉRICA: INDOMETACINA, FORMA FARMACEÚTICA: AMPOLLA X 2 ML, PRESENTACIÓN: CAJA X 3</v>
      </c>
      <c r="D66" s="129"/>
      <c r="E66" s="129"/>
      <c r="F66" s="129"/>
      <c r="G66" s="129"/>
      <c r="H66" s="102" t="s">
        <v>53</v>
      </c>
      <c r="I66" s="103" t="str">
        <f>+'Necesidades Trimestrales '!F65</f>
        <v>CAJA</v>
      </c>
      <c r="J66" s="104">
        <f>+'Necesidades Trimestrales '!H65</f>
        <v>2331</v>
      </c>
      <c r="K66" s="105">
        <f>+'Necesidades Trimestrales '!G65</f>
        <v>0</v>
      </c>
    </row>
    <row r="67" spans="1:11" ht="41.25" customHeight="1" thickBot="1" x14ac:dyDescent="0.25">
      <c r="A67" s="100">
        <v>56</v>
      </c>
      <c r="B67" s="101" t="str">
        <f>+'Necesidades Trimestrales '!B66</f>
        <v>2.5.2-2688.5</v>
      </c>
      <c r="C67" s="129" t="str">
        <f>+'Necesidades Trimestrales '!E66</f>
        <v>ESTIMULANTES CENTRALES; TIPO: MONODROGA, FORMA FARMACEUTICA: AMPOLLA, DROGA GENERICA: ISOPROTERENOL, PRESENTACION: 5 mL</v>
      </c>
      <c r="D67" s="129"/>
      <c r="E67" s="129"/>
      <c r="F67" s="129"/>
      <c r="G67" s="129"/>
      <c r="H67" s="102" t="s">
        <v>53</v>
      </c>
      <c r="I67" s="103" t="str">
        <f>+'Necesidades Trimestrales '!F66</f>
        <v>AMPOLLA</v>
      </c>
      <c r="J67" s="104">
        <f>+'Necesidades Trimestrales '!H66</f>
        <v>558</v>
      </c>
      <c r="K67" s="105">
        <f>+'Necesidades Trimestrales '!G66</f>
        <v>0</v>
      </c>
    </row>
    <row r="68" spans="1:11" ht="41.25" customHeight="1" thickBot="1" x14ac:dyDescent="0.25">
      <c r="A68" s="100">
        <v>57</v>
      </c>
      <c r="B68" s="101" t="str">
        <f>+'Necesidades Trimestrales '!B67</f>
        <v>2.5.2-1839.38</v>
      </c>
      <c r="C68" s="129" t="str">
        <f>+'Necesidades Trimestrales '!E67</f>
        <v>VASODILATADORES CORONARIOS; TIPO: MONODROGA, DROGA GENÉRICA: DINITRATO DE ISOSORBIDE 5 MGR, FORMA FARMACEÚTICA: COMPRIMIDOS SUBLINGUALES, PRESENTACIÓN: ENVASE X 30 UN</v>
      </c>
      <c r="D68" s="129"/>
      <c r="E68" s="129"/>
      <c r="F68" s="129"/>
      <c r="G68" s="129"/>
      <c r="H68" s="102" t="s">
        <v>53</v>
      </c>
      <c r="I68" s="103" t="str">
        <f>+'Necesidades Trimestrales '!F67</f>
        <v>CAJA</v>
      </c>
      <c r="J68" s="104">
        <f>+'Necesidades Trimestrales '!H67</f>
        <v>991</v>
      </c>
      <c r="K68" s="105">
        <f>+'Necesidades Trimestrales '!G67</f>
        <v>0</v>
      </c>
    </row>
    <row r="69" spans="1:11" ht="41.25" customHeight="1" thickBot="1" x14ac:dyDescent="0.25">
      <c r="A69" s="100">
        <v>58</v>
      </c>
      <c r="B69" s="101" t="str">
        <f>+'Necesidades Trimestrales '!B68</f>
        <v>2.5.2-1839.40</v>
      </c>
      <c r="C69" s="129" t="str">
        <f>+'Necesidades Trimestrales '!E68</f>
        <v>VASODILATADORES CORONARIOS; TIPO: ASOCIACIÓN, DROGA GENÉRICA: ISOSORBIDE MONONITRATO, FORMA FARMACEÚTICA: COMPRIMIDO, PRESENTACIÓN: 20 UN., OBSERVACIÓN: 20 MG</v>
      </c>
      <c r="D69" s="129"/>
      <c r="E69" s="129"/>
      <c r="F69" s="129"/>
      <c r="G69" s="129"/>
      <c r="H69" s="102" t="s">
        <v>53</v>
      </c>
      <c r="I69" s="103" t="str">
        <f>+'Necesidades Trimestrales '!F68</f>
        <v>CAJA</v>
      </c>
      <c r="J69" s="104">
        <f>+'Necesidades Trimestrales '!H68</f>
        <v>800.45</v>
      </c>
      <c r="K69" s="105">
        <f>+'Necesidades Trimestrales '!G68</f>
        <v>0</v>
      </c>
    </row>
    <row r="70" spans="1:11" ht="41.25" customHeight="1" thickBot="1" x14ac:dyDescent="0.25">
      <c r="A70" s="100">
        <v>59</v>
      </c>
      <c r="B70" s="101" t="str">
        <f>+'Necesidades Trimestrales '!B69</f>
        <v>2.5.2-4817.55</v>
      </c>
      <c r="C70" s="129" t="str">
        <f>+'Necesidades Trimestrales '!E69</f>
        <v>ANTIHIPERTENSIVOS; TIPO: MONODROGA, DROGA GENERICA: LABETALOL 200 mGr, FORMA FARMACEUTICA: COMPRIMIDO, PRESENTACION: UNIDAD</v>
      </c>
      <c r="D70" s="129"/>
      <c r="E70" s="129"/>
      <c r="F70" s="129"/>
      <c r="G70" s="129"/>
      <c r="H70" s="102" t="s">
        <v>53</v>
      </c>
      <c r="I70" s="103" t="str">
        <f>+'Necesidades Trimestrales '!F69</f>
        <v>COMPRIMIDO</v>
      </c>
      <c r="J70" s="104">
        <f>+'Necesidades Trimestrales '!H69</f>
        <v>29.9</v>
      </c>
      <c r="K70" s="105">
        <f>+'Necesidades Trimestrales '!G69</f>
        <v>0</v>
      </c>
    </row>
    <row r="71" spans="1:11" ht="41.25" customHeight="1" thickBot="1" x14ac:dyDescent="0.25">
      <c r="A71" s="100">
        <v>60</v>
      </c>
      <c r="B71" s="101" t="str">
        <f>+'Necesidades Trimestrales '!B70</f>
        <v>2.5.2-4817.66</v>
      </c>
      <c r="C71" s="129" t="str">
        <f>+'Necesidades Trimestrales '!E70</f>
        <v>ANTIHIPERTENSIVOS; TIPO: MONODROGA, DROGA GENERICA: LABETALOL 20 mGr, FORMA FARMACEUTICA: AMPOLLA, PRESENTACION: UNIDAD</v>
      </c>
      <c r="D71" s="129"/>
      <c r="E71" s="129"/>
      <c r="F71" s="129"/>
      <c r="G71" s="129"/>
      <c r="H71" s="102" t="s">
        <v>53</v>
      </c>
      <c r="I71" s="103" t="str">
        <f>+'Necesidades Trimestrales '!F70</f>
        <v>AMPOLLA</v>
      </c>
      <c r="J71" s="104">
        <f>+'Necesidades Trimestrales '!H70</f>
        <v>168</v>
      </c>
      <c r="K71" s="105">
        <f>+'Necesidades Trimestrales '!G70</f>
        <v>0</v>
      </c>
    </row>
    <row r="72" spans="1:11" ht="41.25" customHeight="1" thickBot="1" x14ac:dyDescent="0.25">
      <c r="A72" s="100">
        <v>61</v>
      </c>
      <c r="B72" s="101" t="str">
        <f>+'Necesidades Trimestrales '!B71</f>
        <v>2.5.2-1838.10</v>
      </c>
      <c r="C72" s="129" t="str">
        <f>+'Necesidades Trimestrales '!E71</f>
        <v>INOTROPICOS; TIPO: MONODROGA, DROGA GENERICA: LEVOSIMENDAN 2,5 MG/ML, FORMA FARMACEUTICA: AMPOLLA, PRESENTACION: ENVASE X 5 mL</v>
      </c>
      <c r="D72" s="129"/>
      <c r="E72" s="129"/>
      <c r="F72" s="129"/>
      <c r="G72" s="129"/>
      <c r="H72" s="102" t="s">
        <v>53</v>
      </c>
      <c r="I72" s="103" t="str">
        <f>+'Necesidades Trimestrales '!F71</f>
        <v>AMPOLLA</v>
      </c>
      <c r="J72" s="104">
        <f>+'Necesidades Trimestrales '!H71</f>
        <v>25299</v>
      </c>
      <c r="K72" s="105">
        <f>+'Necesidades Trimestrales '!G71</f>
        <v>0</v>
      </c>
    </row>
    <row r="73" spans="1:11" ht="41.25" customHeight="1" thickBot="1" x14ac:dyDescent="0.25">
      <c r="A73" s="100">
        <v>62</v>
      </c>
      <c r="B73" s="101" t="str">
        <f>+'Necesidades Trimestrales '!B72</f>
        <v>2.5.2-4817.49</v>
      </c>
      <c r="C73" s="129" t="str">
        <f>+'Necesidades Trimestrales '!E72</f>
        <v>ANTIHIPERTENSIVOS; TIPO: MONODROGA, DROGA GENERICA: LOSARTAN POTASICO 100 mGr, FORMA FARMACEUTICA: COMPRIMIDO, PRESENTACION: UNIDAD</v>
      </c>
      <c r="D73" s="129"/>
      <c r="E73" s="129"/>
      <c r="F73" s="129"/>
      <c r="G73" s="129"/>
      <c r="H73" s="102" t="s">
        <v>53</v>
      </c>
      <c r="I73" s="103" t="str">
        <f>+'Necesidades Trimestrales '!F72</f>
        <v>COMPRIMIDO</v>
      </c>
      <c r="J73" s="104">
        <f>+'Necesidades Trimestrales '!H72</f>
        <v>7.6</v>
      </c>
      <c r="K73" s="105">
        <f>+'Necesidades Trimestrales '!G72</f>
        <v>0</v>
      </c>
    </row>
    <row r="74" spans="1:11" ht="41.25" customHeight="1" thickBot="1" x14ac:dyDescent="0.25">
      <c r="A74" s="100">
        <v>63</v>
      </c>
      <c r="B74" s="101" t="str">
        <f>+'Necesidades Trimestrales '!B73</f>
        <v>2.5.2-4817.65</v>
      </c>
      <c r="C74" s="129" t="str">
        <f>+'Necesidades Trimestrales '!E73</f>
        <v>ANTIHIPERTENSIVOS; TIPO: MONODROGA, DROGA GENERICA: LOSARTAN, FORMA FARMACEUTICA: COMPRIMIDO, PRESENTACION: 50 mGr</v>
      </c>
      <c r="D74" s="129"/>
      <c r="E74" s="129"/>
      <c r="F74" s="129"/>
      <c r="G74" s="129"/>
      <c r="H74" s="102" t="s">
        <v>53</v>
      </c>
      <c r="I74" s="103" t="str">
        <f>+'Necesidades Trimestrales '!F73</f>
        <v>COMPRIMIDO</v>
      </c>
      <c r="J74" s="104">
        <f>+'Necesidades Trimestrales '!H73</f>
        <v>5.3</v>
      </c>
      <c r="K74" s="105">
        <f>+'Necesidades Trimestrales '!G73</f>
        <v>0</v>
      </c>
    </row>
    <row r="75" spans="1:11" ht="41.25" customHeight="1" thickBot="1" x14ac:dyDescent="0.25">
      <c r="A75" s="100">
        <v>64</v>
      </c>
      <c r="B75" s="101" t="str">
        <f>+'Necesidades Trimestrales '!B74</f>
        <v>2.5.2-1837.21</v>
      </c>
      <c r="C75" s="129" t="str">
        <f>+'Necesidades Trimestrales '!E74</f>
        <v>HIPOTENSORES; TIPO: MONODROGA, DROGA GENERICA: METILDOPA, FORMA FARMACEUTICA: COMPRIMIDO, PRESENTACION: 500 mGr</v>
      </c>
      <c r="D75" s="129"/>
      <c r="E75" s="129"/>
      <c r="F75" s="129"/>
      <c r="G75" s="129"/>
      <c r="H75" s="102" t="s">
        <v>53</v>
      </c>
      <c r="I75" s="103" t="str">
        <f>+'Necesidades Trimestrales '!F74</f>
        <v>COMPRIMIDO</v>
      </c>
      <c r="J75" s="104">
        <f>+'Necesidades Trimestrales '!H74</f>
        <v>45</v>
      </c>
      <c r="K75" s="105">
        <f>+'Necesidades Trimestrales '!G74</f>
        <v>0</v>
      </c>
    </row>
    <row r="76" spans="1:11" ht="41.25" customHeight="1" thickBot="1" x14ac:dyDescent="0.25">
      <c r="A76" s="100">
        <v>65</v>
      </c>
      <c r="B76" s="101" t="str">
        <f>+'Necesidades Trimestrales '!B75</f>
        <v>2.5.2-1838.9</v>
      </c>
      <c r="C76" s="129" t="str">
        <f>+'Necesidades Trimestrales '!E75</f>
        <v>INOTROPICOS; TIPO: MONODROGA, DROGA GENERICA: MILRINONA 1MG/ML, FORMA FARMACEUTICA: AMPOLLA, PRESENTACION: ENVASE X 10 mL</v>
      </c>
      <c r="D76" s="129"/>
      <c r="E76" s="129"/>
      <c r="F76" s="129"/>
      <c r="G76" s="129"/>
      <c r="H76" s="102" t="s">
        <v>53</v>
      </c>
      <c r="I76" s="103" t="str">
        <f>+'Necesidades Trimestrales '!F75</f>
        <v>AMPOLLA</v>
      </c>
      <c r="J76" s="104">
        <f>+'Necesidades Trimestrales '!H75</f>
        <v>560</v>
      </c>
      <c r="K76" s="105">
        <f>+'Necesidades Trimestrales '!G75</f>
        <v>0</v>
      </c>
    </row>
    <row r="77" spans="1:11" ht="41.25" customHeight="1" thickBot="1" x14ac:dyDescent="0.25">
      <c r="A77" s="100">
        <v>66</v>
      </c>
      <c r="B77" s="101" t="str">
        <f>+'Necesidades Trimestrales '!B76</f>
        <v>2.5.2-4817.44</v>
      </c>
      <c r="C77" s="129" t="str">
        <f>+'Necesidades Trimestrales '!E76</f>
        <v>ANTIHIPERTENSIVOS; TIPO: MONODROGA, DROGA GENERICA: NIFEDIPINA 30 MG, FORMA FARMACEUTICA: COMPRIMIDO, PRESENTACION: UNIDAD</v>
      </c>
      <c r="D77" s="129"/>
      <c r="E77" s="129"/>
      <c r="F77" s="129"/>
      <c r="G77" s="129"/>
      <c r="H77" s="102" t="s">
        <v>53</v>
      </c>
      <c r="I77" s="103" t="str">
        <f>+'Necesidades Trimestrales '!F76</f>
        <v>COMPRIMIDO</v>
      </c>
      <c r="J77" s="104">
        <f>+'Necesidades Trimestrales '!H76</f>
        <v>23</v>
      </c>
      <c r="K77" s="105">
        <f>+'Necesidades Trimestrales '!G76</f>
        <v>0</v>
      </c>
    </row>
    <row r="78" spans="1:11" ht="41.25" customHeight="1" thickBot="1" x14ac:dyDescent="0.25">
      <c r="A78" s="100">
        <v>67</v>
      </c>
      <c r="B78" s="101" t="str">
        <f>+'Necesidades Trimestrales '!B77</f>
        <v>2.5.2-1839.18</v>
      </c>
      <c r="C78" s="129" t="str">
        <f>+'Necesidades Trimestrales '!E77</f>
        <v>VASODILATADORES CORONARIOS; TIPO: MONODROGA, DROGA GENÉRICA: NITROGLICERINA, FORMA FARMACEÚTICA: AMPOLLA, PRESENTACIÓN: 5 MG/ML</v>
      </c>
      <c r="D78" s="129"/>
      <c r="E78" s="129"/>
      <c r="F78" s="129"/>
      <c r="G78" s="129"/>
      <c r="H78" s="102" t="s">
        <v>53</v>
      </c>
      <c r="I78" s="103" t="str">
        <f>+'Necesidades Trimestrales '!F77</f>
        <v>AMPOLLA</v>
      </c>
      <c r="J78" s="104">
        <f>+'Necesidades Trimestrales '!H77</f>
        <v>430</v>
      </c>
      <c r="K78" s="105">
        <f>+'Necesidades Trimestrales '!G77</f>
        <v>0</v>
      </c>
    </row>
    <row r="79" spans="1:11" ht="41.25" customHeight="1" thickBot="1" x14ac:dyDescent="0.25">
      <c r="A79" s="100">
        <v>68</v>
      </c>
      <c r="B79" s="101" t="str">
        <f>+'Necesidades Trimestrales '!B78</f>
        <v>2.5.2-1837.20</v>
      </c>
      <c r="C79" s="129" t="str">
        <f>+'Necesidades Trimestrales '!E78</f>
        <v>HIPOTENSORES; TIPO: MONODROGA, DROGA GENERICA: NITROPRUSIATO DE SODIO, FORMA FARMACEUTICA: AMPOLLA, PRESENTACION: 50 mGr</v>
      </c>
      <c r="D79" s="129"/>
      <c r="E79" s="129"/>
      <c r="F79" s="129"/>
      <c r="G79" s="129"/>
      <c r="H79" s="102" t="s">
        <v>53</v>
      </c>
      <c r="I79" s="103" t="str">
        <f>+'Necesidades Trimestrales '!F78</f>
        <v>FRASCO</v>
      </c>
      <c r="J79" s="104">
        <f>+'Necesidades Trimestrales '!H78</f>
        <v>790</v>
      </c>
      <c r="K79" s="105">
        <f>+'Necesidades Trimestrales '!G78</f>
        <v>0</v>
      </c>
    </row>
    <row r="80" spans="1:11" ht="41.25" customHeight="1" thickBot="1" x14ac:dyDescent="0.25">
      <c r="A80" s="100">
        <v>69</v>
      </c>
      <c r="B80" s="101" t="str">
        <f>+'Necesidades Trimestrales '!B79</f>
        <v>2.5.2-1838.7</v>
      </c>
      <c r="C80" s="129" t="str">
        <f>+'Necesidades Trimestrales '!E79</f>
        <v>INOTROPICOS; TIPO: MONODROGA, DROGA GENERICA: NORADRENALINA BITARTRATO, FORMA FARMACEUTICA: AMPOLLA, PRESENTACION: 4 mL</v>
      </c>
      <c r="D80" s="129"/>
      <c r="E80" s="129"/>
      <c r="F80" s="129"/>
      <c r="G80" s="129"/>
      <c r="H80" s="102" t="s">
        <v>53</v>
      </c>
      <c r="I80" s="103" t="str">
        <f>+'Necesidades Trimestrales '!F79</f>
        <v>AMPOLLA</v>
      </c>
      <c r="J80" s="104">
        <f>+'Necesidades Trimestrales '!H79</f>
        <v>150</v>
      </c>
      <c r="K80" s="105">
        <f>+'Necesidades Trimestrales '!G79</f>
        <v>0</v>
      </c>
    </row>
    <row r="81" spans="1:11" ht="41.25" customHeight="1" thickBot="1" x14ac:dyDescent="0.25">
      <c r="A81" s="100">
        <v>70</v>
      </c>
      <c r="B81" s="101" t="str">
        <f>+'Necesidades Trimestrales '!B80</f>
        <v>2.5.2-1837.67</v>
      </c>
      <c r="C81" s="129" t="str">
        <f>+'Necesidades Trimestrales '!E80</f>
        <v>HIPOTENSORES; TIPO: MONODROGA, DROGA GENERICA: PROPANOLOL 40 mGr, FORMA FARMACEUTICA: COMPRIMIDO, PRESENTACION: UNIDAD</v>
      </c>
      <c r="D81" s="129"/>
      <c r="E81" s="129"/>
      <c r="F81" s="129"/>
      <c r="G81" s="129"/>
      <c r="H81" s="102" t="s">
        <v>53</v>
      </c>
      <c r="I81" s="103" t="str">
        <f>+'Necesidades Trimestrales '!F80</f>
        <v>COMPRIMIDO</v>
      </c>
      <c r="J81" s="104">
        <f>+'Necesidades Trimestrales '!H80</f>
        <v>18</v>
      </c>
      <c r="K81" s="105">
        <f>+'Necesidades Trimestrales '!G80</f>
        <v>0</v>
      </c>
    </row>
    <row r="82" spans="1:11" ht="41.25" customHeight="1" thickBot="1" x14ac:dyDescent="0.25">
      <c r="A82" s="100">
        <v>71</v>
      </c>
      <c r="B82" s="101" t="str">
        <f>+'Necesidades Trimestrales '!B81</f>
        <v>2.5.2-1837.44</v>
      </c>
      <c r="C82" s="129" t="str">
        <f>+'Necesidades Trimestrales '!E81</f>
        <v>HIPOTENSORES; TIPO: MONODROGA, DROGA GENERICA: PROPANOLOL 5 MG, FORMA FARMACEUTICA: AMPOLLA, PRESENTACION: 5 mL</v>
      </c>
      <c r="D82" s="129"/>
      <c r="E82" s="129"/>
      <c r="F82" s="129"/>
      <c r="G82" s="129"/>
      <c r="H82" s="102" t="s">
        <v>53</v>
      </c>
      <c r="I82" s="103" t="str">
        <f>+'Necesidades Trimestrales '!F81</f>
        <v>AMPOLLA</v>
      </c>
      <c r="J82" s="104">
        <f>+'Necesidades Trimestrales '!H81</f>
        <v>2200</v>
      </c>
      <c r="K82" s="105">
        <f>+'Necesidades Trimestrales '!G81</f>
        <v>0</v>
      </c>
    </row>
    <row r="83" spans="1:11" ht="41.25" customHeight="1" thickBot="1" x14ac:dyDescent="0.25">
      <c r="A83" s="100">
        <v>72</v>
      </c>
      <c r="B83" s="101" t="str">
        <f>+'Necesidades Trimestrales '!B82</f>
        <v>2.5.2-1851.34</v>
      </c>
      <c r="C83" s="129" t="str">
        <f>+'Necesidades Trimestrales '!E82</f>
        <v>GENITOURINARIO; TIPO: MONODROGA, DROGA GENERICA: SILDENAFIL X 50 mGr, FORMA FARMACEUTICA: COMPRIMIDO, PRESENTACION: ENVASE X 1 UN</v>
      </c>
      <c r="D83" s="129"/>
      <c r="E83" s="129"/>
      <c r="F83" s="129"/>
      <c r="G83" s="129"/>
      <c r="H83" s="102" t="s">
        <v>53</v>
      </c>
      <c r="I83" s="103" t="str">
        <f>+'Necesidades Trimestrales '!F82</f>
        <v>COMPRIMIDO</v>
      </c>
      <c r="J83" s="104">
        <f>+'Necesidades Trimestrales '!H82</f>
        <v>15.5</v>
      </c>
      <c r="K83" s="105">
        <f>+'Necesidades Trimestrales '!G82</f>
        <v>0</v>
      </c>
    </row>
    <row r="84" spans="1:11" ht="41.25" customHeight="1" thickBot="1" x14ac:dyDescent="0.25">
      <c r="A84" s="100">
        <v>73</v>
      </c>
      <c r="B84" s="101" t="str">
        <f>+'Necesidades Trimestrales '!B83</f>
        <v>2.5.2-1863.10</v>
      </c>
      <c r="C84" s="129" t="str">
        <f>+'Necesidades Trimestrales '!E83</f>
        <v>HIPOLIPEMIANTES; TIPO: MONODROGA, DROGA GENERICA: SIMVASTATIN, FORMA FARMACEUTICA: COMPRIMIDO, PRESENTACION: 20 mGr</v>
      </c>
      <c r="D84" s="129"/>
      <c r="E84" s="129"/>
      <c r="F84" s="129"/>
      <c r="G84" s="129"/>
      <c r="H84" s="102" t="s">
        <v>53</v>
      </c>
      <c r="I84" s="103" t="str">
        <f>+'Necesidades Trimestrales '!F83</f>
        <v>COMPRIMIDO</v>
      </c>
      <c r="J84" s="104">
        <f>+'Necesidades Trimestrales '!H83</f>
        <v>27</v>
      </c>
      <c r="K84" s="105">
        <f>+'Necesidades Trimestrales '!G83</f>
        <v>0</v>
      </c>
    </row>
    <row r="85" spans="1:11" ht="41.25" customHeight="1" thickBot="1" x14ac:dyDescent="0.25">
      <c r="A85" s="100">
        <v>74</v>
      </c>
      <c r="B85" s="101" t="str">
        <f>+'Necesidades Trimestrales '!B84</f>
        <v>2.5.2-1872.7</v>
      </c>
      <c r="C85" s="129" t="str">
        <f>+'Necesidades Trimestrales '!E84</f>
        <v>ANTIANEMICOS; TIPO: MONODROGA, DROGA GENERICA: SULFATO FERROSO, FORMA FARMACEUTICA: SOLUCION, PRESENTACION: GOTERO X 20 mL</v>
      </c>
      <c r="D85" s="129"/>
      <c r="E85" s="129"/>
      <c r="F85" s="129"/>
      <c r="G85" s="129"/>
      <c r="H85" s="102" t="s">
        <v>53</v>
      </c>
      <c r="I85" s="103" t="str">
        <f>+'Necesidades Trimestrales '!F84</f>
        <v>GOTERO</v>
      </c>
      <c r="J85" s="104">
        <f>+'Necesidades Trimestrales '!H84</f>
        <v>220</v>
      </c>
      <c r="K85" s="105">
        <f>+'Necesidades Trimestrales '!G84</f>
        <v>0</v>
      </c>
    </row>
    <row r="86" spans="1:11" ht="41.25" customHeight="1" thickBot="1" x14ac:dyDescent="0.25">
      <c r="A86" s="100">
        <v>75</v>
      </c>
      <c r="B86" s="101" t="str">
        <f>+'Necesidades Trimestrales '!B85</f>
        <v>2.5.2-1872.14</v>
      </c>
      <c r="C86" s="129" t="str">
        <f>+'Necesidades Trimestrales '!E85</f>
        <v>ANTIANEMICOS; TIPO: MONODROGA, DROGA GENERICA: SULFATO FERROSO 200 mGr, FORMA FARMACEUTICA: COMPRIMIDO, PRESENTACION: SIN VALOR</v>
      </c>
      <c r="D86" s="129"/>
      <c r="E86" s="129"/>
      <c r="F86" s="129"/>
      <c r="G86" s="129"/>
      <c r="H86" s="102" t="s">
        <v>53</v>
      </c>
      <c r="I86" s="103" t="str">
        <f>+'Necesidades Trimestrales '!F85</f>
        <v>COMPRIMIDO</v>
      </c>
      <c r="J86" s="104">
        <f>+'Necesidades Trimestrales '!H85</f>
        <v>12</v>
      </c>
      <c r="K86" s="105">
        <f>+'Necesidades Trimestrales '!G85</f>
        <v>0</v>
      </c>
    </row>
    <row r="87" spans="1:11" ht="41.25" customHeight="1" thickBot="1" x14ac:dyDescent="0.25">
      <c r="A87" s="100">
        <v>76</v>
      </c>
      <c r="B87" s="101" t="str">
        <f>+'Necesidades Trimestrales '!B86</f>
        <v>2.5.2-1901.100</v>
      </c>
      <c r="C87" s="129" t="str">
        <f>+'Necesidades Trimestrales '!E86</f>
        <v>VITAMINAS; TIPO: MONODROGA, DROGA GENERICA: VITAMINA K, FORMA FARMACEUTICA: AMPOLLA, PRESENTACION: 1 mGr</v>
      </c>
      <c r="D87" s="129"/>
      <c r="E87" s="129"/>
      <c r="F87" s="129"/>
      <c r="G87" s="129"/>
      <c r="H87" s="102" t="s">
        <v>53</v>
      </c>
      <c r="I87" s="103" t="str">
        <f>+'Necesidades Trimestrales '!F86</f>
        <v>AMPOLLA</v>
      </c>
      <c r="J87" s="104">
        <f>+'Necesidades Trimestrales '!H86</f>
        <v>55</v>
      </c>
      <c r="K87" s="105">
        <f>+'Necesidades Trimestrales '!G86</f>
        <v>0</v>
      </c>
    </row>
    <row r="88" spans="1:11" ht="41.25" customHeight="1" thickBot="1" x14ac:dyDescent="0.25">
      <c r="A88" s="100">
        <v>77</v>
      </c>
      <c r="B88" s="101" t="str">
        <f>+'Necesidades Trimestrales '!B87</f>
        <v>2.5.2-1901.39</v>
      </c>
      <c r="C88" s="129" t="str">
        <f>+'Necesidades Trimestrales '!E87</f>
        <v>VITAMINAS; TIPO: MONODROGA, DROGA GENERICA: VITAMINA K, FORMA FARMACEUTICA: AMPOLLA, PRESENTACION: 10 mGr</v>
      </c>
      <c r="D88" s="129"/>
      <c r="E88" s="129"/>
      <c r="F88" s="129"/>
      <c r="G88" s="129"/>
      <c r="H88" s="102" t="s">
        <v>53</v>
      </c>
      <c r="I88" s="103" t="str">
        <f>+'Necesidades Trimestrales '!F87</f>
        <v>AMPOLLA</v>
      </c>
      <c r="J88" s="104">
        <f>+'Necesidades Trimestrales '!H87</f>
        <v>58</v>
      </c>
      <c r="K88" s="105">
        <f>+'Necesidades Trimestrales '!G87</f>
        <v>0</v>
      </c>
    </row>
    <row r="89" spans="1:11" ht="16.5" thickBot="1" x14ac:dyDescent="0.25">
      <c r="A89" s="127" t="s">
        <v>60</v>
      </c>
      <c r="B89" s="127"/>
      <c r="C89" s="127"/>
      <c r="D89" s="127"/>
      <c r="E89" s="127"/>
      <c r="F89" s="127"/>
      <c r="G89" s="127"/>
      <c r="H89" s="127"/>
      <c r="I89" s="127"/>
      <c r="J89" s="128">
        <f>SUMPRODUCT(J12:J88,K12:K88)</f>
        <v>0</v>
      </c>
      <c r="K89" s="128"/>
    </row>
  </sheetData>
  <mergeCells count="99">
    <mergeCell ref="C88:G88"/>
    <mergeCell ref="C87:G87"/>
    <mergeCell ref="C82:G82"/>
    <mergeCell ref="C83:G83"/>
    <mergeCell ref="C84:G84"/>
    <mergeCell ref="C85:G85"/>
    <mergeCell ref="C86:G86"/>
    <mergeCell ref="C77:G77"/>
    <mergeCell ref="C78:G78"/>
    <mergeCell ref="C79:G79"/>
    <mergeCell ref="C80:G80"/>
    <mergeCell ref="C81:G81"/>
    <mergeCell ref="C72:G72"/>
    <mergeCell ref="C73:G73"/>
    <mergeCell ref="C74:G74"/>
    <mergeCell ref="C75:G75"/>
    <mergeCell ref="C76:G76"/>
    <mergeCell ref="C56:G56"/>
    <mergeCell ref="C57:G57"/>
    <mergeCell ref="C58:G58"/>
    <mergeCell ref="C59:G59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60:G60"/>
    <mergeCell ref="C61:G61"/>
    <mergeCell ref="C62:G62"/>
    <mergeCell ref="C63:G63"/>
    <mergeCell ref="C64:G64"/>
    <mergeCell ref="C71:G71"/>
    <mergeCell ref="C65:G65"/>
    <mergeCell ref="C66:G66"/>
    <mergeCell ref="C67:G67"/>
    <mergeCell ref="C68:G68"/>
    <mergeCell ref="C69:G69"/>
    <mergeCell ref="A89:I89"/>
    <mergeCell ref="J89:K89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70:G7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G5" sqref="G5:Q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4" t="s">
        <v>3</v>
      </c>
      <c r="B1" s="134"/>
      <c r="C1" s="134"/>
      <c r="D1" s="135">
        <v>2022</v>
      </c>
      <c r="E1" s="135"/>
      <c r="F1" s="3"/>
      <c r="G1" s="3"/>
      <c r="H1" s="4"/>
      <c r="I1" s="4"/>
      <c r="J1" s="4"/>
      <c r="K1" s="4"/>
      <c r="L1" s="4"/>
      <c r="M1" s="4"/>
      <c r="N1" s="4"/>
      <c r="P1" s="136" t="s">
        <v>25</v>
      </c>
      <c r="Q1" s="13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6"/>
      <c r="Q2" s="136"/>
    </row>
    <row r="4" spans="1:17" s="5" customFormat="1" ht="18" customHeight="1" thickBot="1" x14ac:dyDescent="0.25">
      <c r="A4" s="137" t="s">
        <v>26</v>
      </c>
      <c r="B4" s="137"/>
      <c r="C4" s="137"/>
      <c r="D4" s="137"/>
      <c r="E4" s="137"/>
      <c r="F4" s="137"/>
      <c r="G4" s="138" t="str">
        <f>+'Necesidades Trimestrales '!C4</f>
        <v>040 - 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5" customFormat="1" ht="18" customHeight="1" thickBot="1" x14ac:dyDescent="0.25">
      <c r="A5" s="139" t="s">
        <v>49</v>
      </c>
      <c r="B5" s="140"/>
      <c r="C5" s="140"/>
      <c r="D5" s="140"/>
      <c r="E5" s="140"/>
      <c r="F5" s="141"/>
      <c r="G5" s="142" t="str">
        <f>' NotaPedido'!D4</f>
        <v>11/ 23/ 24  o  28- "…......."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5" customFormat="1" ht="18" customHeight="1" thickBot="1" x14ac:dyDescent="0.25">
      <c r="A6" s="139" t="s">
        <v>27</v>
      </c>
      <c r="B6" s="140"/>
      <c r="C6" s="140"/>
      <c r="D6" s="140"/>
      <c r="E6" s="140"/>
      <c r="F6" s="141"/>
      <c r="G6" s="142" t="str">
        <f>' NotaPedido'!D5</f>
        <v>XXXX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5" customFormat="1" ht="18" customHeight="1" thickBot="1" x14ac:dyDescent="0.25">
      <c r="A7" s="139" t="s">
        <v>50</v>
      </c>
      <c r="B7" s="140"/>
      <c r="C7" s="140"/>
      <c r="D7" s="140"/>
      <c r="E7" s="140"/>
      <c r="F7" s="141"/>
      <c r="G7" s="142" t="str">
        <f>' NotaPedido'!D6</f>
        <v>XXXX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28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44" t="s">
        <v>29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"/>
      <c r="P9" s="1"/>
      <c r="Q9" s="6"/>
    </row>
    <row r="10" spans="1:17" ht="54.75" customHeight="1" x14ac:dyDescent="0.2">
      <c r="A10" s="14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6" t="s">
        <v>30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.75" customHeight="1" x14ac:dyDescent="0.2">
      <c r="A13" s="147" t="s">
        <v>31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32</v>
      </c>
      <c r="P13" s="148"/>
      <c r="Q13" s="149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8"/>
      <c r="P14" s="148"/>
      <c r="Q14" s="149"/>
    </row>
    <row r="15" spans="1:17" ht="17.25" customHeight="1" x14ac:dyDescent="0.2">
      <c r="A15" s="44"/>
      <c r="B15" s="38"/>
      <c r="C15" s="38"/>
      <c r="D15" s="45"/>
      <c r="E15" s="38"/>
      <c r="F15" s="38">
        <v>4901</v>
      </c>
      <c r="G15" s="38">
        <v>3</v>
      </c>
      <c r="H15" s="38">
        <v>310</v>
      </c>
      <c r="I15" s="43">
        <v>2</v>
      </c>
      <c r="J15" s="43">
        <v>5</v>
      </c>
      <c r="K15" s="43">
        <v>2</v>
      </c>
      <c r="L15" s="38"/>
      <c r="M15" s="39">
        <v>1</v>
      </c>
      <c r="N15" s="40" t="s">
        <v>52</v>
      </c>
      <c r="O15" s="150"/>
      <c r="P15" s="151"/>
      <c r="Q15" s="16"/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52"/>
      <c r="P16" s="152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52"/>
      <c r="P17" s="152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52"/>
      <c r="P18" s="152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52"/>
      <c r="P19" s="152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52"/>
      <c r="P20" s="152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58"/>
      <c r="P21" s="158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59"/>
      <c r="P22" s="159"/>
      <c r="Q22" s="30"/>
    </row>
    <row r="23" spans="1:18" ht="29.25" customHeight="1" x14ac:dyDescent="0.2">
      <c r="A23" s="160" t="s">
        <v>61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42">
        <f>SUM(Q15:Q22)</f>
        <v>0</v>
      </c>
    </row>
    <row r="24" spans="1:18" ht="18" customHeight="1" thickBot="1" x14ac:dyDescent="0.25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8" ht="17.25" customHeight="1" thickBot="1" x14ac:dyDescent="0.25">
      <c r="A25" s="153" t="s">
        <v>47</v>
      </c>
      <c r="B25" s="154"/>
      <c r="C25" s="154"/>
      <c r="D25" s="154"/>
      <c r="E25" s="154"/>
      <c r="F25" s="155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</row>
    <row r="26" spans="1:18" ht="18" customHeight="1" thickBot="1" x14ac:dyDescent="0.25">
      <c r="A26" s="157" t="s">
        <v>62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</row>
    <row r="27" spans="1:18" ht="15" customHeight="1" x14ac:dyDescent="0.2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CLAUDIA V. NICOLA</cp:lastModifiedBy>
  <cp:revision>2</cp:revision>
  <cp:lastPrinted>2020-07-23T13:47:13Z</cp:lastPrinted>
  <dcterms:created xsi:type="dcterms:W3CDTF">2020-07-17T23:44:49Z</dcterms:created>
  <dcterms:modified xsi:type="dcterms:W3CDTF">2022-07-25T13:54:46Z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