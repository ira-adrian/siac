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heckCompatibility="1" defaultThemeVersion="124226"/>
  <bookViews>
    <workbookView xWindow="-105" yWindow="-105" windowWidth="20640" windowHeight="11760" tabRatio="488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Trimestrales'!$A$9:$I$46</definedName>
    <definedName name="_xlnm.Print_Area" localSheetId="1">' NotaPedido'!$A$1:$K$49</definedName>
    <definedName name="_xlnm.Print_Area" localSheetId="2">'Autor Gastar'!$A$1:$Q$25</definedName>
    <definedName name="_xlnm.Print_Area" localSheetId="0">'Necesidades Trimestrales'!$E$9:$E$46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48" i="2" l="1"/>
  <c r="J48" i="2"/>
  <c r="I48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32" i="2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C13" i="2" l="1"/>
  <c r="C14" i="2" l="1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10" i="1"/>
  <c r="A10" i="3" l="1"/>
  <c r="G6" i="3" l="1"/>
  <c r="D7" i="2"/>
  <c r="D3" i="2"/>
  <c r="G4" i="3" s="1"/>
  <c r="D4" i="2"/>
  <c r="G5" i="3" s="1"/>
  <c r="D1" i="3" l="1"/>
  <c r="K12" i="2"/>
  <c r="J12" i="2"/>
  <c r="I12" i="2"/>
  <c r="C12" i="2"/>
  <c r="J49" i="2" l="1"/>
  <c r="Q21" i="3"/>
</calcChain>
</file>

<file path=xl/sharedStrings.xml><?xml version="1.0" encoding="utf-8"?>
<sst xmlns="http://schemas.openxmlformats.org/spreadsheetml/2006/main" count="224" uniqueCount="109">
  <si>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</si>
  <si>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</si>
  <si>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</si>
  <si>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</si>
  <si>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</si>
  <si>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</si>
  <si>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</si>
  <si>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</si>
  <si>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</si>
  <si>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</si>
  <si>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</si>
  <si>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</si>
  <si>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</si>
  <si>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</si>
  <si>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</si>
  <si>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</si>
  <si>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</si>
  <si>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</si>
  <si>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</si>
  <si>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</si>
  <si>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</si>
  <si>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</si>
  <si>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</si>
  <si>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</si>
  <si>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</si>
  <si>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</si>
  <si>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</si>
  <si>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</si>
  <si>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</si>
  <si>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</si>
  <si>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</si>
  <si>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</si>
  <si>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</si>
  <si>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</si>
  <si>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</si>
  <si>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</si>
  <si>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</si>
  <si>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</si>
  <si>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</si>
  <si>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</si>
  <si>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</si>
  <si>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</si>
  <si>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</si>
  <si>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</si>
  <si>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</si>
  <si>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</si>
  <si>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</si>
  <si>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</si>
  <si>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</si>
  <si>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</si>
  <si>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</si>
  <si>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024 - Hospital Interzonal de Niños</t>
  </si>
  <si>
    <t>040 - Ministerio de Salud</t>
  </si>
  <si>
    <t>1.1</t>
  </si>
  <si>
    <t>NO</t>
  </si>
  <si>
    <t xml:space="preserve"> </t>
  </si>
  <si>
    <t>PRODUCTOS FARMACEUTICOS Y MEDICINALES</t>
  </si>
  <si>
    <t>Servicio de Farmacia</t>
  </si>
  <si>
    <t>PROD. MEDICO/ FARMACEUTICOS/LAB</t>
  </si>
  <si>
    <t>unidad</t>
  </si>
  <si>
    <t>Unidad</t>
  </si>
  <si>
    <t>ACENOCUMAROL 4MG COMPRIMIDO</t>
  </si>
  <si>
    <t>ENOXAPARINA 40 MG AMPOLLA PRELLENA</t>
  </si>
  <si>
    <t>HEPARINA SODICA 5000 UI FCO AMPOLLA</t>
  </si>
  <si>
    <t>ACIDO AMINOCAPROICO 2G AMPOLLA</t>
  </si>
  <si>
    <t>VITAMINA K 10 MG AMPOLLA</t>
  </si>
  <si>
    <t>SULFATO FERROSO 12,5 GRS % GOTAS</t>
  </si>
  <si>
    <t>ACIDO FOLICO 5 MG COMPRIMIDOS</t>
  </si>
  <si>
    <t>HIERRO+ACIDO FOLICO+B12 AMPOLLAS TIPO FERRANIN</t>
  </si>
  <si>
    <t>DIGOXINA 0,25 MG AMPOLLA</t>
  </si>
  <si>
    <t>AMIODARONA 150 MG AMPOLLA</t>
  </si>
  <si>
    <t>AMIODARONA 200 MG COMPRIMIDO</t>
  </si>
  <si>
    <t>LIDOCAINA  2% SIN EPINEFRINA FCO X 5ML</t>
  </si>
  <si>
    <t>DOPAMINA 200 MG  AMPOLLA</t>
  </si>
  <si>
    <t>ETILEFRINA AMPOLLAS</t>
  </si>
  <si>
    <t>LEVOSIMENDAN 12,5 mg</t>
  </si>
  <si>
    <t>MILRINONA 10 G  FCO AMPOLLA</t>
  </si>
  <si>
    <t>NORADRENALINA AMPOLLA</t>
  </si>
  <si>
    <t>NITROGLICERINA 25 MG AMPOLLA</t>
  </si>
  <si>
    <t>ADENOSINA 6 MG AMPOLLA</t>
  </si>
  <si>
    <t>CLONIDINA AMPOLLAS</t>
  </si>
  <si>
    <t>NITROPRUSIATO SODIO 50 MG VIAL</t>
  </si>
  <si>
    <t>SILDENAFIL 50 MG COMPRIDOS</t>
  </si>
  <si>
    <t>ESPIRONOLACTONA 100 MG COMPRIMIDO</t>
  </si>
  <si>
    <t>FUROSEMIDA AMPOLLAS</t>
  </si>
  <si>
    <t>FUROSEMIDA 40 MG COMPRIMIDO</t>
  </si>
  <si>
    <t>HIDROCLOROTIAZIDA 25 MG COMPRIMIDO</t>
  </si>
  <si>
    <t>PROPRANOLOL 40MG</t>
  </si>
  <si>
    <t>PROPRANOLOL 5MG FRASCO AMPOLLA X 5 ML</t>
  </si>
  <si>
    <t>CARVEDILOL 12,5 MG COMPRIMIDO</t>
  </si>
  <si>
    <t>CARVEDILOL 3,125 MG COMPRIMIDO</t>
  </si>
  <si>
    <t>CARVEDILOL 6,25 MG COMPRIMIDO</t>
  </si>
  <si>
    <t>LABETALOL 20 MG AMPOLLA</t>
  </si>
  <si>
    <t>AMLODIPINA 10 MG COMPRIMIDO</t>
  </si>
  <si>
    <t>NIFEDIPINA 30MG COMPRIMIDO</t>
  </si>
  <si>
    <t>ENALAPRIL 10 MG COMPRIMIDO</t>
  </si>
  <si>
    <t>ENALAPRIL 1,25 MG/ML AMPOLLA</t>
  </si>
  <si>
    <t>LOSARTAN 50 MG COMPRIMIDO</t>
  </si>
  <si>
    <t>Costo total estimado: Dos Millones Seiscientos Cincuenta y Cuatro Mil Seiscientos Catorce Con 40/100.</t>
  </si>
  <si>
    <t>Para la adquisición de Insumos relacionados a la Sangre y Organos Hematopoyeticos - Sistema Cardiovascular destinados al Servicio de Farmacia del Hospital Interzonal de Niños Eva Peron, para el normal funcionamiento del organismo.</t>
  </si>
  <si>
    <t>TOTAL DE PESOS: DOS MILLONES SEISCIENTOS CINCUENTA Y CUATRO MIL SEISCIENTOS CATORCE CON 40/100.</t>
  </si>
  <si>
    <t>051/2021</t>
  </si>
  <si>
    <t>SANGRE Y ORGANOS HEMATOPOYETICOS-SISTEMA CARDIOVASCULAR</t>
  </si>
  <si>
    <t>Plazos y lugares de entrega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</si>
  <si>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</si>
  <si>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r>
      <rPr>
        <u/>
        <sz val="10"/>
        <rFont val="Times New Roman"/>
        <family val="1"/>
      </rPr>
      <t>Plazo de vencimiento de los bienes ofrecidos:</t>
    </r>
    <r>
      <rPr>
        <sz val="10"/>
        <rFont val="Times New Roman"/>
        <family val="1"/>
      </rPr>
      <t xml:space="preserve"> No podrán ser inferior a los 18 meses.</t>
    </r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</si>
  <si>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10 días corridos de notificada la Orden de Compra</t>
    </r>
  </si>
  <si>
    <t>Mantenimiento de Oferta:</t>
  </si>
  <si>
    <t xml:space="preserve">45 dias habiles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</si>
</sst>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&quot;$&quot;#,##0.00;\-&quot;$&quot;#,##0.00"/>
    <numFmt numFmtId="165" formatCode="_-* #,##0.00_-;\-* #,##0.00_-;_-* &quot;-&quot;??_-;_-@_-"/>
    <numFmt numFmtId="166" formatCode="_(\$* #,##0.00_);_(\$* \(#,##0.00\);_(\$* \-??_);_(@_)"/>
    <numFmt numFmtId="167" formatCode="_-* #,##0.00&quot; €&quot;_-;\-* #,##0.00&quot; €&quot;_-;_-* \-??&quot; €&quot;_-;_-@_-"/>
    <numFmt numFmtId="168" formatCode="[$$-2C0A]\ #,##0.00;[$$-2C0A]&quot; -&quot;#,##0.00"/>
    <numFmt numFmtId="169" formatCode="[$$-2C0A]\ #,##0.00"/>
    <numFmt numFmtId="170" formatCode="dd\-mm\-yy;@"/>
    <numFmt numFmtId="171" formatCode="&quot;$&quot;\ #,##0.00"/>
  </numFmts>
  <fonts count="28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medium">
        <color auto="1"/>
      </bottom>
      <diagonal/>
    </border>
  </borders>
  <cellStyleXfs count="7">
    <xf numFmtId="0" fontId="0" fillId="0" borderId="0"/>
    <xf numFmtId="167" fontId="15" fillId="0" borderId="0" applyBorder="0" applyProtection="0"/>
    <xf numFmtId="0" fontId="2" fillId="0" borderId="1" applyProtection="0"/>
    <xf numFmtId="166" fontId="3" fillId="0" borderId="0" applyBorder="0" applyProtection="0"/>
    <xf numFmtId="0" fontId="4" fillId="2" borderId="0" applyBorder="0" applyProtection="0"/>
    <xf numFmtId="0" fontId="15" fillId="0" borderId="0"/>
    <xf numFmtId="165" fontId="1" fillId="0" borderId="0" applyFont="0" applyFill="0" applyBorder="0" applyAlignment="0" applyProtection="0"/>
  </cellStyleXfs>
  <cellXfs count="172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70" fontId="0" fillId="0" borderId="0" xfId="0" applyNumberFormat="1" applyAlignment="1">
      <alignment horizontal="left"/>
    </xf>
    <xf numFmtId="0" fontId="3" fillId="0" borderId="0" xfId="0" applyFont="1"/>
    <xf numFmtId="0" fontId="0" fillId="0" borderId="12" xfId="0" applyBorder="1"/>
    <xf numFmtId="0" fontId="0" fillId="0" borderId="26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27" xfId="0" applyBorder="1"/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168" fontId="0" fillId="0" borderId="33" xfId="3" applyNumberFormat="1" applyFont="1" applyBorder="1" applyAlignment="1" applyProtection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68" fontId="0" fillId="0" borderId="37" xfId="3" applyNumberFormat="1" applyFont="1" applyBorder="1" applyAlignment="1" applyProtection="1">
      <alignment horizontal="center" vertical="center"/>
    </xf>
    <xf numFmtId="168" fontId="14" fillId="0" borderId="38" xfId="0" applyNumberFormat="1" applyFont="1" applyBorder="1" applyAlignment="1">
      <alignment horizontal="center" vertical="center"/>
    </xf>
    <xf numFmtId="0" fontId="16" fillId="0" borderId="0" xfId="0" applyFont="1"/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center" wrapText="1"/>
    </xf>
    <xf numFmtId="0" fontId="16" fillId="0" borderId="5" xfId="0" applyFont="1" applyBorder="1"/>
    <xf numFmtId="0" fontId="16" fillId="0" borderId="6" xfId="0" applyFont="1" applyBorder="1"/>
    <xf numFmtId="0" fontId="16" fillId="0" borderId="9" xfId="0" applyFont="1" applyBorder="1" applyAlignment="1">
      <alignment horizontal="left" indent="3"/>
    </xf>
    <xf numFmtId="0" fontId="16" fillId="0" borderId="10" xfId="0" applyFont="1" applyBorder="1"/>
    <xf numFmtId="0" fontId="16" fillId="0" borderId="11" xfId="0" applyFont="1" applyBorder="1"/>
    <xf numFmtId="168" fontId="16" fillId="0" borderId="0" xfId="0" applyNumberFormat="1" applyFont="1"/>
    <xf numFmtId="0" fontId="6" fillId="3" borderId="12" xfId="0" applyFont="1" applyFill="1" applyBorder="1" applyAlignment="1">
      <alignment horizontal="right" vertical="center"/>
    </xf>
    <xf numFmtId="0" fontId="7" fillId="4" borderId="13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vertical="center"/>
    </xf>
    <xf numFmtId="0" fontId="0" fillId="3" borderId="0" xfId="0" applyFill="1"/>
    <xf numFmtId="0" fontId="6" fillId="3" borderId="14" xfId="0" applyFont="1" applyFill="1" applyBorder="1" applyAlignment="1">
      <alignment vertical="center"/>
    </xf>
    <xf numFmtId="0" fontId="6" fillId="3" borderId="0" xfId="0" applyFont="1" applyFill="1" applyBorder="1" applyAlignment="1">
      <alignment vertical="center"/>
    </xf>
    <xf numFmtId="0" fontId="8" fillId="3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 wrapText="1" indent="1"/>
    </xf>
    <xf numFmtId="0" fontId="24" fillId="4" borderId="0" xfId="0" applyFont="1" applyFill="1" applyAlignment="1">
      <alignment horizontal="left" wrapText="1" indent="1"/>
    </xf>
    <xf numFmtId="0" fontId="20" fillId="3" borderId="0" xfId="0" applyFont="1" applyFill="1" applyAlignment="1">
      <alignment horizontal="left" wrapText="1"/>
    </xf>
    <xf numFmtId="0" fontId="5" fillId="3" borderId="4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168" fontId="5" fillId="3" borderId="2" xfId="1" applyNumberFormat="1" applyFont="1" applyFill="1" applyBorder="1" applyAlignment="1" applyProtection="1">
      <alignment horizontal="right" vertical="center" wrapText="1"/>
    </xf>
    <xf numFmtId="3" fontId="5" fillId="3" borderId="3" xfId="0" applyNumberFormat="1" applyFont="1" applyFill="1" applyBorder="1" applyAlignment="1">
      <alignment horizontal="center" vertical="center"/>
    </xf>
    <xf numFmtId="169" fontId="16" fillId="0" borderId="0" xfId="0" applyNumberFormat="1" applyFont="1"/>
    <xf numFmtId="171" fontId="21" fillId="0" borderId="0" xfId="0" applyNumberFormat="1" applyFont="1"/>
    <xf numFmtId="171" fontId="22" fillId="0" borderId="0" xfId="0" applyNumberFormat="1" applyFont="1" applyAlignment="1">
      <alignment horizontal="left" wrapText="1"/>
    </xf>
    <xf numFmtId="169" fontId="3" fillId="3" borderId="0" xfId="0" applyNumberFormat="1" applyFont="1" applyFill="1" applyBorder="1" applyAlignment="1">
      <alignment vertical="center"/>
    </xf>
    <xf numFmtId="0" fontId="16" fillId="0" borderId="0" xfId="0" applyFont="1" applyFill="1"/>
    <xf numFmtId="0" fontId="0" fillId="0" borderId="29" xfId="0" applyFont="1" applyFill="1" applyBorder="1" applyAlignment="1">
      <alignment horizontal="center" vertical="center"/>
    </xf>
    <xf numFmtId="0" fontId="0" fillId="0" borderId="30" xfId="0" applyFont="1" applyFill="1" applyBorder="1" applyAlignment="1">
      <alignment horizontal="center" vertical="center"/>
    </xf>
    <xf numFmtId="0" fontId="0" fillId="0" borderId="31" xfId="0" applyFont="1" applyFill="1" applyBorder="1" applyAlignment="1">
      <alignment horizontal="center" vertical="center"/>
    </xf>
    <xf numFmtId="0" fontId="15" fillId="0" borderId="30" xfId="0" applyFont="1" applyFill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4" fillId="0" borderId="48" xfId="0" applyFont="1" applyBorder="1" applyAlignment="1">
      <alignment horizontal="center" vertical="center"/>
    </xf>
    <xf numFmtId="0" fontId="14" fillId="0" borderId="48" xfId="0" applyFont="1" applyBorder="1" applyAlignment="1">
      <alignment horizontal="left" vertical="center"/>
    </xf>
    <xf numFmtId="0" fontId="14" fillId="0" borderId="49" xfId="0" applyFont="1" applyBorder="1" applyAlignment="1">
      <alignment horizontal="center" vertical="center"/>
    </xf>
    <xf numFmtId="0" fontId="14" fillId="0" borderId="50" xfId="0" applyFont="1" applyBorder="1" applyAlignment="1">
      <alignment horizontal="center" vertical="center"/>
    </xf>
    <xf numFmtId="168" fontId="0" fillId="0" borderId="53" xfId="3" applyNumberFormat="1" applyFont="1" applyBorder="1" applyAlignment="1" applyProtection="1">
      <alignment horizontal="center" vertical="center"/>
    </xf>
    <xf numFmtId="0" fontId="16" fillId="0" borderId="7" xfId="0" applyFont="1" applyBorder="1" applyAlignment="1">
      <alignment horizontal="left" indent="3"/>
    </xf>
    <xf numFmtId="0" fontId="15" fillId="0" borderId="32" xfId="0" applyFont="1" applyBorder="1" applyAlignment="1">
      <alignment horizontal="center" vertical="center"/>
    </xf>
    <xf numFmtId="0" fontId="0" fillId="0" borderId="56" xfId="0" applyBorder="1"/>
    <xf numFmtId="0" fontId="21" fillId="0" borderId="57" xfId="0" applyFont="1" applyBorder="1" applyAlignment="1">
      <alignment horizontal="center" vertical="center"/>
    </xf>
    <xf numFmtId="0" fontId="15" fillId="0" borderId="56" xfId="0" applyFont="1" applyBorder="1" applyAlignment="1">
      <alignment wrapText="1"/>
    </xf>
    <xf numFmtId="168" fontId="21" fillId="4" borderId="58" xfId="1" applyNumberFormat="1" applyFont="1" applyFill="1" applyBorder="1" applyAlignment="1" applyProtection="1">
      <alignment horizontal="right" vertical="center" wrapText="1"/>
    </xf>
    <xf numFmtId="0" fontId="0" fillId="0" borderId="59" xfId="0" applyBorder="1"/>
    <xf numFmtId="0" fontId="15" fillId="0" borderId="59" xfId="0" applyFont="1" applyBorder="1" applyAlignment="1">
      <alignment wrapText="1"/>
    </xf>
    <xf numFmtId="0" fontId="22" fillId="0" borderId="59" xfId="0" applyFont="1" applyBorder="1" applyAlignment="1">
      <alignment horizontal="center" vertical="center" wrapText="1"/>
    </xf>
    <xf numFmtId="168" fontId="21" fillId="4" borderId="60" xfId="1" applyNumberFormat="1" applyFont="1" applyFill="1" applyBorder="1" applyAlignment="1" applyProtection="1">
      <alignment horizontal="right" vertical="center" wrapText="1"/>
    </xf>
    <xf numFmtId="0" fontId="22" fillId="0" borderId="56" xfId="0" applyFont="1" applyBorder="1" applyAlignment="1">
      <alignment horizontal="center" vertical="center" wrapText="1"/>
    </xf>
    <xf numFmtId="0" fontId="5" fillId="3" borderId="57" xfId="0" applyFont="1" applyFill="1" applyBorder="1" applyAlignment="1">
      <alignment horizontal="center" vertical="center"/>
    </xf>
    <xf numFmtId="0" fontId="5" fillId="3" borderId="56" xfId="0" applyFont="1" applyFill="1" applyBorder="1" applyAlignment="1">
      <alignment horizontal="left" vertical="center"/>
    </xf>
    <xf numFmtId="3" fontId="5" fillId="3" borderId="58" xfId="0" applyNumberFormat="1" applyFont="1" applyFill="1" applyBorder="1" applyAlignment="1">
      <alignment horizontal="center" vertical="center"/>
    </xf>
    <xf numFmtId="168" fontId="5" fillId="3" borderId="56" xfId="1" applyNumberFormat="1" applyFont="1" applyFill="1" applyBorder="1" applyAlignment="1" applyProtection="1">
      <alignment horizontal="right" vertical="center" wrapText="1"/>
    </xf>
    <xf numFmtId="0" fontId="5" fillId="4" borderId="56" xfId="0" applyFont="1" applyFill="1" applyBorder="1" applyAlignment="1">
      <alignment horizontal="center" vertical="center"/>
    </xf>
    <xf numFmtId="0" fontId="5" fillId="3" borderId="56" xfId="0" applyFont="1" applyFill="1" applyBorder="1" applyAlignment="1">
      <alignment horizontal="center" vertical="center" wrapText="1"/>
    </xf>
    <xf numFmtId="0" fontId="0" fillId="3" borderId="62" xfId="0" applyFill="1" applyBorder="1" applyAlignment="1">
      <alignment horizontal="center" vertical="center" wrapText="1"/>
    </xf>
    <xf numFmtId="0" fontId="0" fillId="3" borderId="56" xfId="0" applyFill="1" applyBorder="1" applyAlignment="1">
      <alignment horizontal="center" vertical="center" wrapText="1"/>
    </xf>
    <xf numFmtId="0" fontId="15" fillId="3" borderId="56" xfId="0" applyFont="1" applyFill="1" applyBorder="1" applyAlignment="1">
      <alignment horizontal="left" vertical="center"/>
    </xf>
    <xf numFmtId="0" fontId="15" fillId="3" borderId="63" xfId="0" applyFont="1" applyFill="1" applyBorder="1" applyAlignment="1">
      <alignment horizontal="left" vertical="center"/>
    </xf>
    <xf numFmtId="0" fontId="0" fillId="3" borderId="64" xfId="0" applyFill="1" applyBorder="1" applyAlignment="1">
      <alignment horizontal="center" vertical="center" wrapText="1"/>
    </xf>
    <xf numFmtId="0" fontId="21" fillId="0" borderId="65" xfId="0" applyFont="1" applyBorder="1" applyAlignment="1">
      <alignment horizontal="center" vertical="center"/>
    </xf>
    <xf numFmtId="0" fontId="0" fillId="0" borderId="63" xfId="0" applyBorder="1"/>
    <xf numFmtId="0" fontId="15" fillId="0" borderId="63" xfId="0" applyFont="1" applyBorder="1" applyAlignment="1">
      <alignment wrapText="1"/>
    </xf>
    <xf numFmtId="0" fontId="22" fillId="0" borderId="63" xfId="0" applyFont="1" applyBorder="1" applyAlignment="1">
      <alignment horizontal="center" vertical="center" wrapText="1"/>
    </xf>
    <xf numFmtId="168" fontId="21" fillId="4" borderId="66" xfId="1" applyNumberFormat="1" applyFont="1" applyFill="1" applyBorder="1" applyAlignment="1" applyProtection="1">
      <alignment horizontal="right" vertical="center" wrapText="1"/>
    </xf>
    <xf numFmtId="0" fontId="20" fillId="0" borderId="16" xfId="0" applyFont="1" applyBorder="1" applyAlignment="1">
      <alignment horizontal="center" vertical="center" wrapText="1"/>
    </xf>
    <xf numFmtId="171" fontId="25" fillId="0" borderId="16" xfId="0" applyNumberFormat="1" applyFont="1" applyBorder="1" applyAlignment="1">
      <alignment horizontal="center" vertical="center" wrapText="1"/>
    </xf>
    <xf numFmtId="0" fontId="0" fillId="0" borderId="61" xfId="0" applyBorder="1"/>
    <xf numFmtId="0" fontId="15" fillId="3" borderId="56" xfId="0" applyFont="1" applyFill="1" applyBorder="1" applyAlignment="1">
      <alignment horizontal="left" vertical="center" wrapText="1"/>
    </xf>
    <xf numFmtId="0" fontId="27" fillId="3" borderId="62" xfId="0" applyFont="1" applyFill="1" applyBorder="1" applyAlignment="1">
      <alignment horizontal="center" vertical="center" wrapText="1"/>
    </xf>
    <xf numFmtId="0" fontId="27" fillId="3" borderId="56" xfId="0" applyFont="1" applyFill="1" applyBorder="1" applyAlignment="1">
      <alignment horizontal="center" vertical="center" wrapText="1"/>
    </xf>
    <xf numFmtId="0" fontId="27" fillId="3" borderId="56" xfId="0" applyFont="1" applyFill="1" applyBorder="1" applyAlignment="1">
      <alignment horizontal="left" vertical="center"/>
    </xf>
    <xf numFmtId="0" fontId="27" fillId="3" borderId="62" xfId="0" applyFont="1" applyFill="1" applyBorder="1" applyAlignment="1">
      <alignment horizontal="left"/>
    </xf>
    <xf numFmtId="0" fontId="27" fillId="3" borderId="56" xfId="0" applyFont="1" applyFill="1" applyBorder="1" applyAlignment="1">
      <alignment horizontal="left"/>
    </xf>
    <xf numFmtId="0" fontId="0" fillId="3" borderId="56" xfId="0" applyFill="1" applyBorder="1"/>
    <xf numFmtId="0" fontId="0" fillId="3" borderId="62" xfId="0" applyFill="1" applyBorder="1" applyAlignment="1">
      <alignment horizontal="center"/>
    </xf>
    <xf numFmtId="0" fontId="0" fillId="3" borderId="56" xfId="0" applyFill="1" applyBorder="1" applyAlignment="1">
      <alignment horizontal="center"/>
    </xf>
    <xf numFmtId="0" fontId="27" fillId="3" borderId="56" xfId="0" applyFont="1" applyFill="1" applyBorder="1"/>
    <xf numFmtId="0" fontId="15" fillId="3" borderId="59" xfId="0" applyFont="1" applyFill="1" applyBorder="1" applyAlignment="1">
      <alignment horizontal="left" vertical="center" wrapText="1"/>
    </xf>
    <xf numFmtId="0" fontId="27" fillId="3" borderId="67" xfId="0" applyFont="1" applyFill="1" applyBorder="1" applyAlignment="1">
      <alignment horizontal="center" vertical="center" wrapText="1"/>
    </xf>
    <xf numFmtId="0" fontId="27" fillId="3" borderId="59" xfId="0" applyFont="1" applyFill="1" applyBorder="1" applyAlignment="1">
      <alignment horizontal="center" vertical="center" wrapText="1"/>
    </xf>
    <xf numFmtId="164" fontId="0" fillId="3" borderId="56" xfId="1" applyNumberFormat="1" applyFont="1" applyFill="1" applyBorder="1" applyAlignment="1">
      <alignment vertical="center" wrapText="1"/>
    </xf>
    <xf numFmtId="164" fontId="27" fillId="3" borderId="56" xfId="1" applyNumberFormat="1" applyFont="1" applyFill="1" applyBorder="1" applyAlignment="1">
      <alignment vertical="center" wrapText="1"/>
    </xf>
    <xf numFmtId="164" fontId="0" fillId="3" borderId="56" xfId="1" applyNumberFormat="1" applyFont="1" applyFill="1" applyBorder="1" applyAlignment="1"/>
    <xf numFmtId="164" fontId="27" fillId="3" borderId="59" xfId="1" applyNumberFormat="1" applyFont="1" applyFill="1" applyBorder="1" applyAlignment="1">
      <alignment vertical="center" wrapText="1"/>
    </xf>
    <xf numFmtId="0" fontId="5" fillId="3" borderId="61" xfId="0" applyFont="1" applyFill="1" applyBorder="1" applyAlignment="1">
      <alignment horizontal="left" vertical="center"/>
    </xf>
    <xf numFmtId="0" fontId="18" fillId="0" borderId="0" xfId="0" applyFont="1" applyBorder="1" applyAlignment="1">
      <alignment horizontal="left" vertical="center" wrapText="1"/>
    </xf>
    <xf numFmtId="0" fontId="17" fillId="0" borderId="0" xfId="0" applyFont="1" applyBorder="1" applyAlignment="1">
      <alignment horizontal="center"/>
    </xf>
    <xf numFmtId="0" fontId="24" fillId="4" borderId="0" xfId="0" applyFont="1" applyFill="1" applyBorder="1" applyAlignment="1">
      <alignment horizontal="left" wrapText="1" indent="1"/>
    </xf>
    <xf numFmtId="0" fontId="7" fillId="3" borderId="16" xfId="0" applyFont="1" applyFill="1" applyBorder="1" applyAlignment="1">
      <alignment horizontal="left" vertical="center" wrapText="1" indent="1"/>
    </xf>
    <xf numFmtId="169" fontId="8" fillId="3" borderId="16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 wrapText="1"/>
    </xf>
    <xf numFmtId="0" fontId="5" fillId="3" borderId="61" xfId="0" applyFont="1" applyFill="1" applyBorder="1" applyAlignment="1">
      <alignment horizontal="left" vertical="center" wrapText="1"/>
    </xf>
    <xf numFmtId="0" fontId="5" fillId="3" borderId="56" xfId="0" applyFont="1" applyFill="1" applyBorder="1" applyAlignment="1">
      <alignment horizontal="left" vertical="center" wrapText="1"/>
    </xf>
    <xf numFmtId="0" fontId="7" fillId="4" borderId="19" xfId="0" applyFont="1" applyFill="1" applyBorder="1" applyAlignment="1">
      <alignment horizontal="left" vertical="center" wrapText="1" indent="1"/>
    </xf>
    <xf numFmtId="0" fontId="9" fillId="3" borderId="18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left" vertical="center" wrapText="1"/>
    </xf>
    <xf numFmtId="0" fontId="8" fillId="3" borderId="17" xfId="0" applyFont="1" applyFill="1" applyBorder="1" applyAlignment="1">
      <alignment horizontal="left" vertical="center" wrapText="1"/>
    </xf>
    <xf numFmtId="0" fontId="8" fillId="3" borderId="18" xfId="0" applyFont="1" applyFill="1" applyBorder="1" applyAlignment="1">
      <alignment horizontal="left" vertical="center"/>
    </xf>
    <xf numFmtId="0" fontId="12" fillId="4" borderId="38" xfId="0" applyFont="1" applyFill="1" applyBorder="1" applyAlignment="1">
      <alignment horizontal="left" vertical="center" wrapText="1" indent="1"/>
    </xf>
    <xf numFmtId="0" fontId="0" fillId="0" borderId="32" xfId="0" applyFont="1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10" fillId="0" borderId="38" xfId="0" applyFont="1" applyBorder="1" applyAlignment="1">
      <alignment horizontal="left" vertical="center" wrapText="1"/>
    </xf>
    <xf numFmtId="0" fontId="0" fillId="0" borderId="23" xfId="0" applyBorder="1"/>
    <xf numFmtId="0" fontId="26" fillId="0" borderId="30" xfId="0" applyFont="1" applyFill="1" applyBorder="1" applyAlignment="1">
      <alignment horizontal="left" vertical="center" wrapText="1"/>
    </xf>
    <xf numFmtId="0" fontId="15" fillId="0" borderId="32" xfId="0" applyFont="1" applyBorder="1" applyAlignment="1">
      <alignment horizontal="left" vertical="center"/>
    </xf>
    <xf numFmtId="0" fontId="10" fillId="0" borderId="21" xfId="0" applyFont="1" applyBorder="1" applyAlignment="1">
      <alignment vertical="center" wrapText="1"/>
    </xf>
    <xf numFmtId="0" fontId="10" fillId="0" borderId="39" xfId="0" applyFont="1" applyBorder="1" applyAlignment="1">
      <alignment vertical="center" wrapText="1"/>
    </xf>
    <xf numFmtId="0" fontId="10" fillId="0" borderId="19" xfId="0" applyFont="1" applyBorder="1" applyAlignment="1">
      <alignment vertical="center" wrapText="1"/>
    </xf>
    <xf numFmtId="0" fontId="12" fillId="0" borderId="28" xfId="0" applyFont="1" applyBorder="1" applyAlignment="1">
      <alignment vertical="center" wrapText="1"/>
    </xf>
    <xf numFmtId="0" fontId="12" fillId="0" borderId="24" xfId="0" applyFont="1" applyBorder="1"/>
    <xf numFmtId="0" fontId="12" fillId="0" borderId="25" xfId="0" applyFont="1" applyBorder="1" applyAlignment="1">
      <alignment horizontal="left" vertical="center" wrapText="1" indent="1"/>
    </xf>
    <xf numFmtId="0" fontId="14" fillId="0" borderId="23" xfId="0" applyFont="1" applyBorder="1" applyAlignment="1">
      <alignment horizontal="center" vertical="center"/>
    </xf>
    <xf numFmtId="0" fontId="14" fillId="0" borderId="43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 wrapText="1"/>
    </xf>
    <xf numFmtId="0" fontId="14" fillId="0" borderId="46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4" fillId="0" borderId="52" xfId="0" applyFont="1" applyBorder="1" applyAlignment="1">
      <alignment horizontal="center" vertical="center" wrapText="1"/>
    </xf>
    <xf numFmtId="0" fontId="14" fillId="0" borderId="54" xfId="0" applyFont="1" applyBorder="1" applyAlignment="1">
      <alignment horizontal="center" vertical="center"/>
    </xf>
    <xf numFmtId="0" fontId="14" fillId="0" borderId="55" xfId="0" applyFont="1" applyBorder="1" applyAlignment="1">
      <alignment horizontal="center" vertical="center"/>
    </xf>
    <xf numFmtId="0" fontId="5" fillId="0" borderId="15" xfId="0" applyFont="1" applyBorder="1" applyAlignment="1">
      <alignment horizontal="left" vertical="center" wrapText="1"/>
    </xf>
    <xf numFmtId="0" fontId="5" fillId="0" borderId="40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indent="1"/>
    </xf>
    <xf numFmtId="0" fontId="13" fillId="0" borderId="13" xfId="0" applyFont="1" applyBorder="1" applyAlignment="1">
      <alignment horizontal="left"/>
    </xf>
    <xf numFmtId="0" fontId="0" fillId="0" borderId="21" xfId="0" applyFont="1" applyBorder="1" applyAlignment="1">
      <alignment horizontal="center"/>
    </xf>
    <xf numFmtId="3" fontId="10" fillId="0" borderId="22" xfId="0" applyNumberFormat="1" applyFont="1" applyBorder="1" applyAlignment="1">
      <alignment horizontal="center"/>
    </xf>
    <xf numFmtId="0" fontId="11" fillId="0" borderId="13" xfId="0" applyFont="1" applyBorder="1" applyAlignment="1">
      <alignment horizontal="center" vertical="center" wrapText="1"/>
    </xf>
    <xf numFmtId="0" fontId="3" fillId="0" borderId="13" xfId="0" applyFont="1" applyBorder="1"/>
    <xf numFmtId="0" fontId="23" fillId="0" borderId="4" xfId="0" applyFont="1" applyBorder="1" applyAlignment="1">
      <alignment horizontal="left" indent="3"/>
    </xf>
    <xf numFmtId="0" fontId="16" fillId="0" borderId="0" xfId="0" applyFont="1" applyAlignment="1">
      <alignment vertical="center"/>
    </xf>
    <xf numFmtId="0" fontId="16" fillId="4" borderId="7" xfId="5" applyFont="1" applyFill="1" applyBorder="1" applyAlignment="1">
      <alignment horizontal="left" wrapText="1"/>
    </xf>
    <xf numFmtId="0" fontId="16" fillId="4" borderId="0" xfId="5" applyFont="1" applyFill="1" applyBorder="1" applyAlignment="1">
      <alignment horizontal="left" wrapText="1"/>
    </xf>
    <xf numFmtId="0" fontId="16" fillId="4" borderId="8" xfId="5" applyFont="1" applyFill="1" applyBorder="1" applyAlignment="1">
      <alignment horizontal="left" wrapText="1"/>
    </xf>
    <xf numFmtId="0" fontId="23" fillId="0" borderId="7" xfId="0" applyFont="1" applyBorder="1" applyAlignment="1"/>
    <xf numFmtId="0" fontId="16" fillId="0" borderId="0" xfId="0" applyFont="1" applyBorder="1" applyAlignment="1">
      <alignment horizontal="center" wrapText="1"/>
    </xf>
    <xf numFmtId="0" fontId="16" fillId="0" borderId="0" xfId="0" applyFont="1" applyFill="1" applyBorder="1" applyAlignment="1">
      <alignment horizontal="center" wrapText="1"/>
    </xf>
    <xf numFmtId="0" fontId="16" fillId="0" borderId="8" xfId="0" applyFont="1" applyBorder="1" applyAlignment="1">
      <alignment horizontal="center" wrapText="1"/>
    </xf>
    <xf numFmtId="0" fontId="16" fillId="4" borderId="8" xfId="0" applyFont="1" applyFill="1" applyBorder="1" applyAlignment="1">
      <alignment horizontal="left" wrapText="1"/>
    </xf>
  </cellXfs>
  <cellStyles count="7">
    <cellStyle name="Encabezado 1" xfId="2"/>
    <cellStyle name="Millares 2" xfId="6"/>
    <cellStyle name="Moneda" xfId="1" builtinId="4"/>
    <cellStyle name="Moneda_AUTORIZACION Y NOTA DE PEDIDO" xfId="3"/>
    <cellStyle name="Neutral 1" xfId="4"/>
    <cellStyle name="Normal" xfId="0" builtinId="0"/>
    <cellStyle name="Normal 2 3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J59"/>
  <sheetViews>
    <sheetView tabSelected="1" zoomScale="93" zoomScaleNormal="93" workbookViewId="0">
      <selection activeCell="E73" sqref="E73"/>
    </sheetView>
  </sheetViews>
  <sheetFormatPr baseColWidth="10" defaultColWidth="11" defaultRowHeight="12.75" x14ac:dyDescent="0.2"/>
  <cols>
    <col min="1" max="1" width="6.42578125" style="26" customWidth="1"/>
    <col min="2" max="2" width="8.5703125" style="26" customWidth="1"/>
    <col min="3" max="3" width="28.42578125" style="26" customWidth="1"/>
    <col min="4" max="4" width="8.42578125" style="26" customWidth="1"/>
    <col min="5" max="5" width="57.7109375" style="26" customWidth="1"/>
    <col min="6" max="6" width="11" style="26"/>
    <col min="7" max="7" width="10.42578125" style="26" bestFit="1" customWidth="1"/>
    <col min="8" max="8" width="13.85546875" style="52" customWidth="1"/>
    <col min="9" max="9" width="18.5703125" style="26" customWidth="1"/>
    <col min="10" max="11" width="11" style="26"/>
    <col min="12" max="12" width="13.140625" style="26" customWidth="1"/>
    <col min="13" max="16384" width="11" style="26"/>
  </cols>
  <sheetData>
    <row r="2" spans="1:10" ht="27" x14ac:dyDescent="0.35">
      <c r="B2" s="115" t="s">
        <v>0</v>
      </c>
      <c r="C2" s="115"/>
      <c r="D2" s="115"/>
      <c r="E2" s="115"/>
      <c r="F2" s="115"/>
      <c r="G2" s="115"/>
      <c r="H2" s="115"/>
    </row>
    <row r="3" spans="1:10" ht="12" customHeight="1" x14ac:dyDescent="0.2"/>
    <row r="4" spans="1:10" ht="18" customHeight="1" x14ac:dyDescent="0.25">
      <c r="A4" s="114" t="s">
        <v>1</v>
      </c>
      <c r="B4" s="114"/>
      <c r="C4" s="116" t="s">
        <v>52</v>
      </c>
      <c r="D4" s="116"/>
      <c r="E4" s="116"/>
      <c r="F4" s="27"/>
      <c r="G4" s="28"/>
      <c r="H4" s="53"/>
    </row>
    <row r="5" spans="1:10" ht="18" customHeight="1" x14ac:dyDescent="0.25">
      <c r="A5" s="114" t="s">
        <v>2</v>
      </c>
      <c r="B5" s="114"/>
      <c r="C5" s="116" t="s">
        <v>51</v>
      </c>
      <c r="D5" s="116"/>
      <c r="E5" s="116"/>
      <c r="F5" s="27"/>
      <c r="G5" s="28" t="s">
        <v>55</v>
      </c>
      <c r="H5" s="53"/>
    </row>
    <row r="6" spans="1:10" ht="16.5" customHeight="1" x14ac:dyDescent="0.25">
      <c r="A6" s="114" t="s">
        <v>3</v>
      </c>
      <c r="B6" s="114"/>
      <c r="C6" s="43">
        <v>2021</v>
      </c>
      <c r="D6" s="44"/>
      <c r="E6" s="44"/>
      <c r="F6" s="27"/>
      <c r="G6" s="28"/>
      <c r="H6" s="53"/>
    </row>
    <row r="7" spans="1:10" ht="16.5" customHeight="1" x14ac:dyDescent="0.25">
      <c r="A7" s="114" t="s">
        <v>4</v>
      </c>
      <c r="B7" s="114"/>
      <c r="C7" s="43">
        <v>2</v>
      </c>
      <c r="D7" s="44"/>
      <c r="E7" s="44"/>
      <c r="F7" s="27"/>
      <c r="G7" s="28"/>
      <c r="H7" s="53"/>
    </row>
    <row r="8" spans="1:10" ht="13.5" thickBot="1" x14ac:dyDescent="0.25">
      <c r="B8" s="27"/>
      <c r="C8" s="28"/>
      <c r="D8" s="27"/>
      <c r="E8" s="27"/>
      <c r="F8" s="27"/>
      <c r="G8" s="28"/>
      <c r="H8" s="53"/>
      <c r="J8" s="51"/>
    </row>
    <row r="9" spans="1:10" ht="36.75" thickBot="1" x14ac:dyDescent="0.25">
      <c r="A9" s="93" t="s">
        <v>5</v>
      </c>
      <c r="B9" s="93" t="s">
        <v>6</v>
      </c>
      <c r="C9" s="93" t="s">
        <v>7</v>
      </c>
      <c r="D9" s="93" t="s">
        <v>8</v>
      </c>
      <c r="E9" s="93" t="s">
        <v>9</v>
      </c>
      <c r="F9" s="93" t="s">
        <v>10</v>
      </c>
      <c r="G9" s="93" t="s">
        <v>11</v>
      </c>
      <c r="H9" s="94" t="s">
        <v>12</v>
      </c>
      <c r="I9" s="93" t="s">
        <v>13</v>
      </c>
    </row>
    <row r="10" spans="1:10" ht="25.5" x14ac:dyDescent="0.2">
      <c r="A10" s="88">
        <v>1</v>
      </c>
      <c r="B10" s="89"/>
      <c r="C10" s="90" t="s">
        <v>58</v>
      </c>
      <c r="D10" s="91">
        <v>252</v>
      </c>
      <c r="E10" s="85" t="s">
        <v>61</v>
      </c>
      <c r="F10" s="83" t="s">
        <v>59</v>
      </c>
      <c r="G10" s="84">
        <v>80</v>
      </c>
      <c r="H10" s="109">
        <v>6.5</v>
      </c>
      <c r="I10" s="92">
        <f>+G10*H10</f>
        <v>520</v>
      </c>
    </row>
    <row r="11" spans="1:10" ht="25.5" x14ac:dyDescent="0.2">
      <c r="A11" s="69">
        <v>2</v>
      </c>
      <c r="B11" s="68"/>
      <c r="C11" s="70" t="s">
        <v>58</v>
      </c>
      <c r="D11" s="76">
        <v>252</v>
      </c>
      <c r="E11" s="85" t="s">
        <v>62</v>
      </c>
      <c r="F11" s="87" t="s">
        <v>59</v>
      </c>
      <c r="G11" s="84">
        <v>300</v>
      </c>
      <c r="H11" s="109">
        <v>1803</v>
      </c>
      <c r="I11" s="71">
        <f t="shared" ref="I11:I46" si="0">+G11*H11</f>
        <v>540900</v>
      </c>
    </row>
    <row r="12" spans="1:10" ht="25.5" x14ac:dyDescent="0.2">
      <c r="A12" s="69">
        <v>3</v>
      </c>
      <c r="B12" s="68"/>
      <c r="C12" s="70" t="s">
        <v>58</v>
      </c>
      <c r="D12" s="76">
        <v>252</v>
      </c>
      <c r="E12" s="86" t="s">
        <v>63</v>
      </c>
      <c r="F12" s="87" t="s">
        <v>59</v>
      </c>
      <c r="G12" s="84">
        <v>600</v>
      </c>
      <c r="H12" s="109">
        <v>1000</v>
      </c>
      <c r="I12" s="71">
        <f t="shared" si="0"/>
        <v>600000</v>
      </c>
    </row>
    <row r="13" spans="1:10" ht="25.5" x14ac:dyDescent="0.2">
      <c r="A13" s="69">
        <v>4</v>
      </c>
      <c r="B13" s="68"/>
      <c r="C13" s="70" t="s">
        <v>58</v>
      </c>
      <c r="D13" s="76">
        <v>252</v>
      </c>
      <c r="E13" s="85" t="s">
        <v>64</v>
      </c>
      <c r="F13" s="83" t="s">
        <v>59</v>
      </c>
      <c r="G13" s="84">
        <v>100</v>
      </c>
      <c r="H13" s="109">
        <v>145.78</v>
      </c>
      <c r="I13" s="71">
        <f t="shared" si="0"/>
        <v>14578</v>
      </c>
    </row>
    <row r="14" spans="1:10" ht="25.5" x14ac:dyDescent="0.2">
      <c r="A14" s="69">
        <v>5</v>
      </c>
      <c r="B14" s="68"/>
      <c r="C14" s="70" t="s">
        <v>58</v>
      </c>
      <c r="D14" s="76">
        <v>252</v>
      </c>
      <c r="E14" s="85" t="s">
        <v>65</v>
      </c>
      <c r="F14" s="87" t="s">
        <v>59</v>
      </c>
      <c r="G14" s="84">
        <v>200</v>
      </c>
      <c r="H14" s="109">
        <v>37.03</v>
      </c>
      <c r="I14" s="71">
        <f t="shared" si="0"/>
        <v>7406</v>
      </c>
    </row>
    <row r="15" spans="1:10" ht="25.5" x14ac:dyDescent="0.2">
      <c r="A15" s="69">
        <v>6</v>
      </c>
      <c r="B15" s="68"/>
      <c r="C15" s="70" t="s">
        <v>58</v>
      </c>
      <c r="D15" s="76">
        <v>252</v>
      </c>
      <c r="E15" s="85" t="s">
        <v>66</v>
      </c>
      <c r="F15" s="87" t="s">
        <v>59</v>
      </c>
      <c r="G15" s="84">
        <v>100</v>
      </c>
      <c r="H15" s="109">
        <v>50</v>
      </c>
      <c r="I15" s="71">
        <f t="shared" si="0"/>
        <v>5000</v>
      </c>
    </row>
    <row r="16" spans="1:10" ht="25.5" x14ac:dyDescent="0.2">
      <c r="A16" s="69">
        <v>7</v>
      </c>
      <c r="B16" s="68"/>
      <c r="C16" s="70" t="s">
        <v>58</v>
      </c>
      <c r="D16" s="76">
        <v>252</v>
      </c>
      <c r="E16" s="85" t="s">
        <v>67</v>
      </c>
      <c r="F16" s="87" t="s">
        <v>59</v>
      </c>
      <c r="G16" s="84">
        <v>2000</v>
      </c>
      <c r="H16" s="109">
        <v>1.68</v>
      </c>
      <c r="I16" s="71">
        <f t="shared" si="0"/>
        <v>3360</v>
      </c>
    </row>
    <row r="17" spans="1:9" ht="25.5" x14ac:dyDescent="0.2">
      <c r="A17" s="69">
        <v>8</v>
      </c>
      <c r="B17" s="68"/>
      <c r="C17" s="70" t="s">
        <v>58</v>
      </c>
      <c r="D17" s="76">
        <v>252</v>
      </c>
      <c r="E17" s="85" t="s">
        <v>68</v>
      </c>
      <c r="F17" s="87" t="s">
        <v>60</v>
      </c>
      <c r="G17" s="84">
        <v>84</v>
      </c>
      <c r="H17" s="109">
        <v>553.79999999999995</v>
      </c>
      <c r="I17" s="71">
        <f t="shared" si="0"/>
        <v>46519.199999999997</v>
      </c>
    </row>
    <row r="18" spans="1:9" ht="25.5" x14ac:dyDescent="0.2">
      <c r="A18" s="69">
        <v>9</v>
      </c>
      <c r="B18" s="68"/>
      <c r="C18" s="70" t="s">
        <v>58</v>
      </c>
      <c r="D18" s="76">
        <v>252</v>
      </c>
      <c r="E18" s="96" t="s">
        <v>69</v>
      </c>
      <c r="F18" s="97" t="s">
        <v>59</v>
      </c>
      <c r="G18" s="98">
        <v>200</v>
      </c>
      <c r="H18" s="110">
        <v>178.25</v>
      </c>
      <c r="I18" s="71">
        <f t="shared" si="0"/>
        <v>35650</v>
      </c>
    </row>
    <row r="19" spans="1:9" ht="25.5" x14ac:dyDescent="0.2">
      <c r="A19" s="69">
        <v>10</v>
      </c>
      <c r="B19" s="68"/>
      <c r="C19" s="70" t="s">
        <v>58</v>
      </c>
      <c r="D19" s="76">
        <v>252</v>
      </c>
      <c r="E19" s="96" t="s">
        <v>70</v>
      </c>
      <c r="F19" s="97" t="s">
        <v>59</v>
      </c>
      <c r="G19" s="98">
        <v>400</v>
      </c>
      <c r="H19" s="110">
        <v>115</v>
      </c>
      <c r="I19" s="71">
        <f t="shared" si="0"/>
        <v>46000</v>
      </c>
    </row>
    <row r="20" spans="1:9" ht="25.5" x14ac:dyDescent="0.2">
      <c r="A20" s="69">
        <v>11</v>
      </c>
      <c r="B20" s="68"/>
      <c r="C20" s="70" t="s">
        <v>58</v>
      </c>
      <c r="D20" s="76">
        <v>252</v>
      </c>
      <c r="E20" s="96" t="s">
        <v>71</v>
      </c>
      <c r="F20" s="97" t="s">
        <v>59</v>
      </c>
      <c r="G20" s="98">
        <v>100</v>
      </c>
      <c r="H20" s="110">
        <v>150</v>
      </c>
      <c r="I20" s="71">
        <f t="shared" si="0"/>
        <v>15000</v>
      </c>
    </row>
    <row r="21" spans="1:9" ht="25.5" x14ac:dyDescent="0.2">
      <c r="A21" s="69">
        <v>12</v>
      </c>
      <c r="B21" s="68"/>
      <c r="C21" s="70" t="s">
        <v>58</v>
      </c>
      <c r="D21" s="76">
        <v>252</v>
      </c>
      <c r="E21" s="96" t="s">
        <v>72</v>
      </c>
      <c r="F21" s="97" t="s">
        <v>59</v>
      </c>
      <c r="G21" s="98">
        <v>3000</v>
      </c>
      <c r="H21" s="110">
        <v>84</v>
      </c>
      <c r="I21" s="71">
        <f t="shared" si="0"/>
        <v>252000</v>
      </c>
    </row>
    <row r="22" spans="1:9" ht="25.5" x14ac:dyDescent="0.2">
      <c r="A22" s="69">
        <v>13</v>
      </c>
      <c r="B22" s="68"/>
      <c r="C22" s="70" t="s">
        <v>58</v>
      </c>
      <c r="D22" s="76">
        <v>252</v>
      </c>
      <c r="E22" s="96" t="s">
        <v>73</v>
      </c>
      <c r="F22" s="97" t="s">
        <v>59</v>
      </c>
      <c r="G22" s="98">
        <v>200</v>
      </c>
      <c r="H22" s="110">
        <v>72</v>
      </c>
      <c r="I22" s="71">
        <f t="shared" si="0"/>
        <v>14400</v>
      </c>
    </row>
    <row r="23" spans="1:9" ht="25.5" x14ac:dyDescent="0.2">
      <c r="A23" s="69">
        <v>14</v>
      </c>
      <c r="B23" s="68"/>
      <c r="C23" s="70" t="s">
        <v>58</v>
      </c>
      <c r="D23" s="76">
        <v>252</v>
      </c>
      <c r="E23" s="85" t="s">
        <v>74</v>
      </c>
      <c r="F23" s="97" t="s">
        <v>59</v>
      </c>
      <c r="G23" s="98">
        <v>200</v>
      </c>
      <c r="H23" s="110">
        <v>237</v>
      </c>
      <c r="I23" s="71">
        <f t="shared" si="0"/>
        <v>47400</v>
      </c>
    </row>
    <row r="24" spans="1:9" ht="25.5" x14ac:dyDescent="0.2">
      <c r="A24" s="69">
        <v>15</v>
      </c>
      <c r="B24" s="68"/>
      <c r="C24" s="70" t="s">
        <v>58</v>
      </c>
      <c r="D24" s="76">
        <v>252</v>
      </c>
      <c r="E24" s="99" t="s">
        <v>75</v>
      </c>
      <c r="F24" s="97" t="s">
        <v>59</v>
      </c>
      <c r="G24" s="98">
        <v>5</v>
      </c>
      <c r="H24" s="110">
        <v>5184</v>
      </c>
      <c r="I24" s="71">
        <f t="shared" si="0"/>
        <v>25920</v>
      </c>
    </row>
    <row r="25" spans="1:9" ht="25.5" x14ac:dyDescent="0.2">
      <c r="A25" s="69">
        <v>16</v>
      </c>
      <c r="B25" s="68"/>
      <c r="C25" s="70" t="s">
        <v>58</v>
      </c>
      <c r="D25" s="76">
        <v>252</v>
      </c>
      <c r="E25" s="100" t="s">
        <v>76</v>
      </c>
      <c r="F25" s="97" t="s">
        <v>59</v>
      </c>
      <c r="G25" s="98">
        <v>100</v>
      </c>
      <c r="H25" s="110">
        <v>2690</v>
      </c>
      <c r="I25" s="71">
        <f t="shared" si="0"/>
        <v>269000</v>
      </c>
    </row>
    <row r="26" spans="1:9" ht="25.5" x14ac:dyDescent="0.2">
      <c r="A26" s="69">
        <v>17</v>
      </c>
      <c r="B26" s="68"/>
      <c r="C26" s="70" t="s">
        <v>58</v>
      </c>
      <c r="D26" s="76">
        <v>252</v>
      </c>
      <c r="E26" s="96" t="s">
        <v>77</v>
      </c>
      <c r="F26" s="97" t="s">
        <v>59</v>
      </c>
      <c r="G26" s="98">
        <v>400</v>
      </c>
      <c r="H26" s="110">
        <v>47</v>
      </c>
      <c r="I26" s="71">
        <f t="shared" si="0"/>
        <v>18800</v>
      </c>
    </row>
    <row r="27" spans="1:9" ht="25.5" x14ac:dyDescent="0.2">
      <c r="A27" s="69">
        <v>18</v>
      </c>
      <c r="B27" s="68"/>
      <c r="C27" s="70" t="s">
        <v>58</v>
      </c>
      <c r="D27" s="76">
        <v>252</v>
      </c>
      <c r="E27" s="85" t="s">
        <v>78</v>
      </c>
      <c r="F27" s="97" t="s">
        <v>59</v>
      </c>
      <c r="G27" s="98">
        <v>200</v>
      </c>
      <c r="H27" s="110">
        <v>300.3</v>
      </c>
      <c r="I27" s="71">
        <f t="shared" si="0"/>
        <v>60060</v>
      </c>
    </row>
    <row r="28" spans="1:9" ht="25.5" x14ac:dyDescent="0.2">
      <c r="A28" s="69">
        <v>19</v>
      </c>
      <c r="B28" s="68"/>
      <c r="C28" s="70" t="s">
        <v>58</v>
      </c>
      <c r="D28" s="76">
        <v>252</v>
      </c>
      <c r="E28" s="101" t="s">
        <v>79</v>
      </c>
      <c r="F28" s="97" t="s">
        <v>59</v>
      </c>
      <c r="G28" s="98">
        <v>300</v>
      </c>
      <c r="H28" s="110">
        <v>353</v>
      </c>
      <c r="I28" s="71">
        <f t="shared" si="0"/>
        <v>105900</v>
      </c>
    </row>
    <row r="29" spans="1:9" ht="25.5" x14ac:dyDescent="0.2">
      <c r="A29" s="69">
        <v>20</v>
      </c>
      <c r="B29" s="68"/>
      <c r="C29" s="70" t="s">
        <v>58</v>
      </c>
      <c r="D29" s="76">
        <v>252</v>
      </c>
      <c r="E29" s="96" t="s">
        <v>80</v>
      </c>
      <c r="F29" s="97" t="s">
        <v>59</v>
      </c>
      <c r="G29" s="98">
        <v>300</v>
      </c>
      <c r="H29" s="110">
        <v>85</v>
      </c>
      <c r="I29" s="71">
        <f t="shared" si="0"/>
        <v>25500</v>
      </c>
    </row>
    <row r="30" spans="1:9" ht="25.5" x14ac:dyDescent="0.2">
      <c r="A30" s="69">
        <v>21</v>
      </c>
      <c r="B30" s="95"/>
      <c r="C30" s="70" t="s">
        <v>58</v>
      </c>
      <c r="D30" s="76">
        <v>252</v>
      </c>
      <c r="E30" s="85" t="s">
        <v>81</v>
      </c>
      <c r="F30" s="97" t="s">
        <v>59</v>
      </c>
      <c r="G30" s="98">
        <v>50</v>
      </c>
      <c r="H30" s="110">
        <v>897</v>
      </c>
      <c r="I30" s="71">
        <f t="shared" si="0"/>
        <v>44850</v>
      </c>
    </row>
    <row r="31" spans="1:9" ht="25.5" x14ac:dyDescent="0.2">
      <c r="A31" s="69">
        <v>22</v>
      </c>
      <c r="B31" s="95"/>
      <c r="C31" s="70" t="s">
        <v>58</v>
      </c>
      <c r="D31" s="76">
        <v>252</v>
      </c>
      <c r="E31" s="102" t="s">
        <v>82</v>
      </c>
      <c r="F31" s="103" t="s">
        <v>59</v>
      </c>
      <c r="G31" s="104">
        <v>20</v>
      </c>
      <c r="H31" s="111">
        <v>117</v>
      </c>
      <c r="I31" s="71">
        <f t="shared" si="0"/>
        <v>2340</v>
      </c>
    </row>
    <row r="32" spans="1:9" ht="25.5" x14ac:dyDescent="0.2">
      <c r="A32" s="69">
        <v>23</v>
      </c>
      <c r="B32" s="95"/>
      <c r="C32" s="70" t="s">
        <v>58</v>
      </c>
      <c r="D32" s="76">
        <v>252</v>
      </c>
      <c r="E32" s="102" t="s">
        <v>83</v>
      </c>
      <c r="F32" s="103" t="s">
        <v>59</v>
      </c>
      <c r="G32" s="104">
        <v>1500</v>
      </c>
      <c r="H32" s="111">
        <v>33.799999999999997</v>
      </c>
      <c r="I32" s="71">
        <f t="shared" si="0"/>
        <v>50699.999999999993</v>
      </c>
    </row>
    <row r="33" spans="1:9" ht="25.5" x14ac:dyDescent="0.2">
      <c r="A33" s="69">
        <v>24</v>
      </c>
      <c r="B33" s="95"/>
      <c r="C33" s="70" t="s">
        <v>58</v>
      </c>
      <c r="D33" s="76">
        <v>252</v>
      </c>
      <c r="E33" s="85" t="s">
        <v>84</v>
      </c>
      <c r="F33" s="97" t="s">
        <v>59</v>
      </c>
      <c r="G33" s="98">
        <v>1000</v>
      </c>
      <c r="H33" s="110">
        <v>87</v>
      </c>
      <c r="I33" s="71">
        <f t="shared" si="0"/>
        <v>87000</v>
      </c>
    </row>
    <row r="34" spans="1:9" ht="25.5" x14ac:dyDescent="0.2">
      <c r="A34" s="69">
        <v>25</v>
      </c>
      <c r="B34" s="95"/>
      <c r="C34" s="70" t="s">
        <v>58</v>
      </c>
      <c r="D34" s="76">
        <v>252</v>
      </c>
      <c r="E34" s="101" t="s">
        <v>85</v>
      </c>
      <c r="F34" s="97" t="s">
        <v>59</v>
      </c>
      <c r="G34" s="98">
        <v>2000</v>
      </c>
      <c r="H34" s="110">
        <v>3.4</v>
      </c>
      <c r="I34" s="71">
        <f t="shared" si="0"/>
        <v>6800</v>
      </c>
    </row>
    <row r="35" spans="1:9" ht="25.5" x14ac:dyDescent="0.2">
      <c r="A35" s="69">
        <v>26</v>
      </c>
      <c r="B35" s="95"/>
      <c r="C35" s="70" t="s">
        <v>58</v>
      </c>
      <c r="D35" s="76">
        <v>252</v>
      </c>
      <c r="E35" s="101" t="s">
        <v>86</v>
      </c>
      <c r="F35" s="97" t="s">
        <v>59</v>
      </c>
      <c r="G35" s="98">
        <v>100</v>
      </c>
      <c r="H35" s="110">
        <v>4.62</v>
      </c>
      <c r="I35" s="71">
        <f t="shared" si="0"/>
        <v>462</v>
      </c>
    </row>
    <row r="36" spans="1:9" ht="25.5" x14ac:dyDescent="0.2">
      <c r="A36" s="69">
        <v>27</v>
      </c>
      <c r="B36" s="95"/>
      <c r="C36" s="70" t="s">
        <v>58</v>
      </c>
      <c r="D36" s="76">
        <v>252</v>
      </c>
      <c r="E36" s="105" t="s">
        <v>87</v>
      </c>
      <c r="F36" s="97" t="s">
        <v>59</v>
      </c>
      <c r="G36" s="98">
        <v>300</v>
      </c>
      <c r="H36" s="110">
        <v>13.8</v>
      </c>
      <c r="I36" s="71">
        <f t="shared" si="0"/>
        <v>4140</v>
      </c>
    </row>
    <row r="37" spans="1:9" ht="25.5" x14ac:dyDescent="0.2">
      <c r="A37" s="69">
        <v>28</v>
      </c>
      <c r="B37" s="95"/>
      <c r="C37" s="70" t="s">
        <v>58</v>
      </c>
      <c r="D37" s="76">
        <v>252</v>
      </c>
      <c r="E37" s="105" t="s">
        <v>88</v>
      </c>
      <c r="F37" s="97" t="s">
        <v>59</v>
      </c>
      <c r="G37" s="98">
        <v>60</v>
      </c>
      <c r="H37" s="110">
        <v>1393.82</v>
      </c>
      <c r="I37" s="71">
        <f t="shared" si="0"/>
        <v>83629.2</v>
      </c>
    </row>
    <row r="38" spans="1:9" ht="25.5" x14ac:dyDescent="0.2">
      <c r="A38" s="69">
        <v>29</v>
      </c>
      <c r="B38" s="95"/>
      <c r="C38" s="70" t="s">
        <v>58</v>
      </c>
      <c r="D38" s="76">
        <v>252</v>
      </c>
      <c r="E38" s="101" t="s">
        <v>89</v>
      </c>
      <c r="F38" s="97" t="s">
        <v>59</v>
      </c>
      <c r="G38" s="98">
        <v>300</v>
      </c>
      <c r="H38" s="110">
        <v>18</v>
      </c>
      <c r="I38" s="71">
        <f t="shared" si="0"/>
        <v>5400</v>
      </c>
    </row>
    <row r="39" spans="1:9" ht="25.5" x14ac:dyDescent="0.2">
      <c r="A39" s="69">
        <v>30</v>
      </c>
      <c r="B39" s="95"/>
      <c r="C39" s="70" t="s">
        <v>58</v>
      </c>
      <c r="D39" s="76">
        <v>252</v>
      </c>
      <c r="E39" s="101" t="s">
        <v>90</v>
      </c>
      <c r="F39" s="97" t="s">
        <v>59</v>
      </c>
      <c r="G39" s="98">
        <v>100</v>
      </c>
      <c r="H39" s="110">
        <v>13.7</v>
      </c>
      <c r="I39" s="71">
        <f t="shared" si="0"/>
        <v>1370</v>
      </c>
    </row>
    <row r="40" spans="1:9" ht="25.5" x14ac:dyDescent="0.2">
      <c r="A40" s="69">
        <v>31</v>
      </c>
      <c r="B40" s="95"/>
      <c r="C40" s="70" t="s">
        <v>58</v>
      </c>
      <c r="D40" s="76">
        <v>252</v>
      </c>
      <c r="E40" s="101" t="s">
        <v>91</v>
      </c>
      <c r="F40" s="103" t="s">
        <v>59</v>
      </c>
      <c r="G40" s="104">
        <v>200</v>
      </c>
      <c r="H40" s="111">
        <v>14.5</v>
      </c>
      <c r="I40" s="71">
        <f t="shared" si="0"/>
        <v>2900</v>
      </c>
    </row>
    <row r="41" spans="1:9" ht="25.5" x14ac:dyDescent="0.2">
      <c r="A41" s="69">
        <v>32</v>
      </c>
      <c r="B41" s="95"/>
      <c r="C41" s="70" t="s">
        <v>58</v>
      </c>
      <c r="D41" s="76">
        <v>252</v>
      </c>
      <c r="E41" s="101" t="s">
        <v>92</v>
      </c>
      <c r="F41" s="97" t="s">
        <v>59</v>
      </c>
      <c r="G41" s="98">
        <v>400</v>
      </c>
      <c r="H41" s="110">
        <v>511.7</v>
      </c>
      <c r="I41" s="71">
        <f t="shared" si="0"/>
        <v>204680</v>
      </c>
    </row>
    <row r="42" spans="1:9" ht="25.5" x14ac:dyDescent="0.2">
      <c r="A42" s="69">
        <v>33</v>
      </c>
      <c r="B42" s="95"/>
      <c r="C42" s="70" t="s">
        <v>58</v>
      </c>
      <c r="D42" s="76">
        <v>252</v>
      </c>
      <c r="E42" s="96" t="s">
        <v>93</v>
      </c>
      <c r="F42" s="97" t="s">
        <v>59</v>
      </c>
      <c r="G42" s="98">
        <v>200</v>
      </c>
      <c r="H42" s="110">
        <v>15</v>
      </c>
      <c r="I42" s="71">
        <f t="shared" si="0"/>
        <v>3000</v>
      </c>
    </row>
    <row r="43" spans="1:9" ht="25.5" x14ac:dyDescent="0.2">
      <c r="A43" s="69">
        <v>34</v>
      </c>
      <c r="B43" s="95"/>
      <c r="C43" s="70" t="s">
        <v>58</v>
      </c>
      <c r="D43" s="76">
        <v>252</v>
      </c>
      <c r="E43" s="96" t="s">
        <v>94</v>
      </c>
      <c r="F43" s="97" t="s">
        <v>59</v>
      </c>
      <c r="G43" s="98">
        <v>100</v>
      </c>
      <c r="H43" s="110">
        <v>23.4</v>
      </c>
      <c r="I43" s="71">
        <f t="shared" si="0"/>
        <v>2340</v>
      </c>
    </row>
    <row r="44" spans="1:9" ht="25.5" x14ac:dyDescent="0.2">
      <c r="A44" s="69">
        <v>35</v>
      </c>
      <c r="B44" s="95"/>
      <c r="C44" s="70" t="s">
        <v>58</v>
      </c>
      <c r="D44" s="76">
        <v>252</v>
      </c>
      <c r="E44" s="102" t="s">
        <v>95</v>
      </c>
      <c r="F44" s="97" t="s">
        <v>59</v>
      </c>
      <c r="G44" s="98">
        <v>400</v>
      </c>
      <c r="H44" s="110">
        <v>10</v>
      </c>
      <c r="I44" s="71">
        <f t="shared" si="0"/>
        <v>4000</v>
      </c>
    </row>
    <row r="45" spans="1:9" ht="25.5" x14ac:dyDescent="0.2">
      <c r="A45" s="69">
        <v>36</v>
      </c>
      <c r="B45" s="95"/>
      <c r="C45" s="70" t="s">
        <v>58</v>
      </c>
      <c r="D45" s="76">
        <v>252</v>
      </c>
      <c r="E45" s="102" t="s">
        <v>96</v>
      </c>
      <c r="F45" s="97" t="s">
        <v>59</v>
      </c>
      <c r="G45" s="98">
        <v>50</v>
      </c>
      <c r="H45" s="110">
        <v>275</v>
      </c>
      <c r="I45" s="71">
        <f t="shared" si="0"/>
        <v>13750</v>
      </c>
    </row>
    <row r="46" spans="1:9" ht="26.25" thickBot="1" x14ac:dyDescent="0.25">
      <c r="A46" s="69">
        <v>37</v>
      </c>
      <c r="B46" s="72"/>
      <c r="C46" s="73" t="s">
        <v>58</v>
      </c>
      <c r="D46" s="74">
        <v>252</v>
      </c>
      <c r="E46" s="106" t="s">
        <v>97</v>
      </c>
      <c r="F46" s="107" t="s">
        <v>59</v>
      </c>
      <c r="G46" s="108">
        <v>100</v>
      </c>
      <c r="H46" s="112">
        <v>33.4</v>
      </c>
      <c r="I46" s="75">
        <f t="shared" si="0"/>
        <v>3340</v>
      </c>
    </row>
    <row r="47" spans="1:9" x14ac:dyDescent="0.2">
      <c r="I47" s="34"/>
    </row>
    <row r="48" spans="1:9" ht="13.5" thickBot="1" x14ac:dyDescent="0.25">
      <c r="I48" s="34"/>
    </row>
    <row r="49" spans="2:8" x14ac:dyDescent="0.2">
      <c r="B49" s="162" t="s">
        <v>103</v>
      </c>
      <c r="C49" s="29"/>
      <c r="D49" s="29"/>
      <c r="E49" s="30"/>
      <c r="F49" s="163"/>
      <c r="G49" s="55"/>
      <c r="H49" s="26"/>
    </row>
    <row r="50" spans="2:8" ht="12.75" customHeight="1" x14ac:dyDescent="0.2">
      <c r="B50" s="164" t="s">
        <v>104</v>
      </c>
      <c r="C50" s="165"/>
      <c r="D50" s="165"/>
      <c r="E50" s="166"/>
      <c r="F50" s="163"/>
      <c r="G50" s="55"/>
      <c r="H50" s="26"/>
    </row>
    <row r="51" spans="2:8" ht="57.75" customHeight="1" x14ac:dyDescent="0.2">
      <c r="B51" s="164"/>
      <c r="C51" s="165"/>
      <c r="D51" s="165"/>
      <c r="E51" s="166"/>
      <c r="F51" s="163"/>
      <c r="G51" s="55"/>
      <c r="H51" s="26"/>
    </row>
    <row r="52" spans="2:8" x14ac:dyDescent="0.2">
      <c r="B52" s="164" t="s">
        <v>105</v>
      </c>
      <c r="C52" s="165"/>
      <c r="D52" s="165"/>
      <c r="E52" s="166"/>
      <c r="F52" s="163"/>
      <c r="G52" s="55"/>
      <c r="H52" s="26"/>
    </row>
    <row r="53" spans="2:8" x14ac:dyDescent="0.2">
      <c r="B53" s="164" t="s">
        <v>106</v>
      </c>
      <c r="C53" s="165"/>
      <c r="D53" s="165"/>
      <c r="E53" s="166"/>
      <c r="F53" s="163"/>
      <c r="G53" s="55"/>
      <c r="H53" s="26"/>
    </row>
    <row r="54" spans="2:8" x14ac:dyDescent="0.2">
      <c r="B54" s="167" t="s">
        <v>107</v>
      </c>
      <c r="C54" s="168"/>
      <c r="D54" s="169"/>
      <c r="E54" s="170"/>
      <c r="F54" s="163"/>
      <c r="G54" s="55"/>
      <c r="H54" s="26"/>
    </row>
    <row r="55" spans="2:8" x14ac:dyDescent="0.2">
      <c r="B55" s="66"/>
      <c r="C55" s="171" t="s">
        <v>108</v>
      </c>
      <c r="D55" s="171"/>
      <c r="E55" s="171"/>
      <c r="F55" s="163"/>
      <c r="G55" s="55"/>
      <c r="H55" s="26"/>
    </row>
    <row r="56" spans="2:8" ht="13.5" thickBot="1" x14ac:dyDescent="0.25">
      <c r="B56" s="31"/>
      <c r="C56" s="32"/>
      <c r="D56" s="32"/>
      <c r="E56" s="33"/>
      <c r="F56" s="163"/>
      <c r="G56" s="55"/>
      <c r="H56" s="26"/>
    </row>
    <row r="59" spans="2:8" x14ac:dyDescent="0.2">
      <c r="E59" s="26" t="s">
        <v>55</v>
      </c>
    </row>
  </sheetData>
  <autoFilter ref="A9:I46"/>
  <mergeCells count="11">
    <mergeCell ref="A6:B6"/>
    <mergeCell ref="A7:B7"/>
    <mergeCell ref="B2:H2"/>
    <mergeCell ref="A4:B4"/>
    <mergeCell ref="C4:E4"/>
    <mergeCell ref="A5:B5"/>
    <mergeCell ref="C5:E5"/>
    <mergeCell ref="B50:E51"/>
    <mergeCell ref="B52:E52"/>
    <mergeCell ref="B53:E53"/>
    <mergeCell ref="C55:E55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49"/>
  <sheetViews>
    <sheetView topLeftCell="A37" zoomScale="80" zoomScaleNormal="80" workbookViewId="0">
      <selection activeCell="C19" sqref="C19:G19"/>
    </sheetView>
  </sheetViews>
  <sheetFormatPr baseColWidth="10" defaultColWidth="9.140625" defaultRowHeight="12.75" x14ac:dyDescent="0.2"/>
  <cols>
    <col min="1" max="1" width="5.5703125" style="37" customWidth="1"/>
    <col min="2" max="2" width="15.140625" style="37" customWidth="1"/>
    <col min="3" max="3" width="14.140625" style="37" customWidth="1"/>
    <col min="4" max="4" width="26" style="37" customWidth="1"/>
    <col min="5" max="5" width="8" style="37" customWidth="1"/>
    <col min="6" max="6" width="7.85546875" style="37" customWidth="1"/>
    <col min="7" max="7" width="48.5703125" style="37" customWidth="1"/>
    <col min="8" max="8" width="9.28515625" style="37" customWidth="1"/>
    <col min="9" max="9" width="15.5703125" style="37" customWidth="1"/>
    <col min="10" max="10" width="14.7109375" style="37" customWidth="1"/>
    <col min="11" max="11" width="15.5703125" style="37" customWidth="1"/>
    <col min="12" max="13" width="5.85546875" style="37" customWidth="1"/>
    <col min="14" max="14" width="14.140625" style="37" customWidth="1"/>
    <col min="15" max="15" width="12.5703125" style="37" customWidth="1"/>
    <col min="16" max="1024" width="9.140625" style="37"/>
    <col min="1025" max="16384" width="9.140625" style="38"/>
  </cols>
  <sheetData>
    <row r="1" spans="1:11" ht="18" customHeight="1" x14ac:dyDescent="0.2">
      <c r="A1" s="126" t="s">
        <v>14</v>
      </c>
      <c r="B1" s="126"/>
      <c r="C1" s="126"/>
      <c r="D1" s="126"/>
      <c r="E1" s="126"/>
      <c r="F1" s="126"/>
      <c r="G1" s="126"/>
      <c r="H1" s="126"/>
      <c r="I1" s="126"/>
      <c r="J1" s="35" t="s">
        <v>15</v>
      </c>
      <c r="K1" s="36" t="s">
        <v>101</v>
      </c>
    </row>
    <row r="2" spans="1:11" ht="18.75" customHeight="1" thickBot="1" x14ac:dyDescent="0.25">
      <c r="A2" s="39"/>
      <c r="B2" s="39"/>
      <c r="C2" s="39"/>
      <c r="D2" s="40"/>
      <c r="E2" s="40"/>
      <c r="F2" s="40"/>
      <c r="G2" s="40"/>
      <c r="H2" s="40"/>
      <c r="I2" s="40"/>
      <c r="J2" s="40"/>
      <c r="K2" s="40"/>
    </row>
    <row r="3" spans="1:11" ht="18.75" customHeight="1" thickBot="1" x14ac:dyDescent="0.25">
      <c r="A3" s="127" t="s">
        <v>48</v>
      </c>
      <c r="B3" s="127"/>
      <c r="C3" s="127"/>
      <c r="D3" s="117" t="str">
        <f>'Necesidades Trimestrales'!C4</f>
        <v>040 - Ministerio de Salud</v>
      </c>
      <c r="E3" s="117"/>
      <c r="F3" s="117"/>
      <c r="G3" s="117"/>
      <c r="H3" s="117"/>
      <c r="I3" s="117"/>
      <c r="J3" s="117"/>
      <c r="K3" s="117"/>
    </row>
    <row r="4" spans="1:11" ht="18.75" customHeight="1" thickBot="1" x14ac:dyDescent="0.25">
      <c r="A4" s="128" t="s">
        <v>49</v>
      </c>
      <c r="B4" s="128"/>
      <c r="C4" s="128"/>
      <c r="D4" s="117" t="str">
        <f>'Necesidades Trimestrales'!C5</f>
        <v>024 - Hospital Interzonal de Niños</v>
      </c>
      <c r="E4" s="117"/>
      <c r="F4" s="117"/>
      <c r="G4" s="117"/>
      <c r="H4" s="117"/>
      <c r="I4" s="117"/>
      <c r="J4" s="117"/>
      <c r="K4" s="117"/>
    </row>
    <row r="5" spans="1:11" ht="18.75" customHeight="1" thickBot="1" x14ac:dyDescent="0.25">
      <c r="A5" s="128" t="s">
        <v>27</v>
      </c>
      <c r="B5" s="128"/>
      <c r="C5" s="128"/>
      <c r="D5" s="117" t="s">
        <v>51</v>
      </c>
      <c r="E5" s="117"/>
      <c r="F5" s="117"/>
      <c r="G5" s="117"/>
      <c r="H5" s="117"/>
      <c r="I5" s="117"/>
      <c r="J5" s="117"/>
      <c r="K5" s="117"/>
    </row>
    <row r="6" spans="1:11" ht="16.5" customHeight="1" thickBot="1" x14ac:dyDescent="0.25">
      <c r="A6" s="127" t="s">
        <v>50</v>
      </c>
      <c r="B6" s="127"/>
      <c r="C6" s="127"/>
      <c r="D6" s="117" t="s">
        <v>57</v>
      </c>
      <c r="E6" s="117"/>
      <c r="F6" s="117"/>
      <c r="G6" s="117"/>
      <c r="H6" s="117"/>
      <c r="I6" s="117"/>
      <c r="J6" s="117"/>
      <c r="K6" s="117"/>
    </row>
    <row r="7" spans="1:11" ht="16.5" customHeight="1" x14ac:dyDescent="0.2">
      <c r="A7" s="128" t="s">
        <v>16</v>
      </c>
      <c r="B7" s="128"/>
      <c r="C7" s="128"/>
      <c r="D7" s="117" t="str">
        <f>'Necesidades Trimestrales'!C7 &amp; "° Trimestre - Año " &amp; 'Necesidades Trimestrales'!C6</f>
        <v>2° Trimestre - Año 2021</v>
      </c>
      <c r="E7" s="117"/>
      <c r="F7" s="117"/>
      <c r="G7" s="117"/>
      <c r="H7" s="117"/>
      <c r="I7" s="117"/>
      <c r="J7" s="117"/>
      <c r="K7" s="117"/>
    </row>
    <row r="8" spans="1:11" ht="16.5" customHeight="1" x14ac:dyDescent="0.2">
      <c r="A8" s="129" t="s">
        <v>17</v>
      </c>
      <c r="B8" s="129"/>
      <c r="C8" s="129"/>
      <c r="D8" s="122" t="s">
        <v>102</v>
      </c>
      <c r="E8" s="122"/>
      <c r="F8" s="122"/>
      <c r="G8" s="122"/>
      <c r="H8" s="122"/>
      <c r="I8" s="122"/>
      <c r="J8" s="122"/>
      <c r="K8" s="122"/>
    </row>
    <row r="9" spans="1:11" ht="15.75" x14ac:dyDescent="0.2">
      <c r="A9" s="41"/>
      <c r="B9" s="41"/>
      <c r="C9" s="41"/>
      <c r="D9" s="42"/>
      <c r="E9" s="42"/>
      <c r="F9" s="42"/>
      <c r="G9" s="42"/>
      <c r="H9" s="42"/>
      <c r="I9" s="42"/>
      <c r="J9" s="42"/>
      <c r="K9" s="42"/>
    </row>
    <row r="10" spans="1:11" ht="18.75" customHeight="1" x14ac:dyDescent="0.2">
      <c r="A10" s="123" t="s">
        <v>18</v>
      </c>
      <c r="B10" s="124" t="s">
        <v>19</v>
      </c>
      <c r="C10" s="124" t="s">
        <v>20</v>
      </c>
      <c r="D10" s="124"/>
      <c r="E10" s="124"/>
      <c r="F10" s="124"/>
      <c r="G10" s="124"/>
      <c r="H10" s="124" t="s">
        <v>21</v>
      </c>
      <c r="I10" s="124" t="s">
        <v>22</v>
      </c>
      <c r="J10" s="124" t="s">
        <v>23</v>
      </c>
      <c r="K10" s="125" t="s">
        <v>24</v>
      </c>
    </row>
    <row r="11" spans="1:11" ht="24" customHeight="1" thickBot="1" x14ac:dyDescent="0.25">
      <c r="A11" s="123"/>
      <c r="B11" s="124"/>
      <c r="C11" s="124"/>
      <c r="D11" s="124"/>
      <c r="E11" s="124"/>
      <c r="F11" s="124"/>
      <c r="G11" s="124"/>
      <c r="H11" s="124"/>
      <c r="I11" s="124"/>
      <c r="J11" s="124"/>
      <c r="K11" s="125"/>
    </row>
    <row r="12" spans="1:11" ht="27.75" customHeight="1" x14ac:dyDescent="0.2">
      <c r="A12" s="45">
        <v>1</v>
      </c>
      <c r="B12" s="46"/>
      <c r="C12" s="119" t="str">
        <f>'Necesidades Trimestrales'!E10</f>
        <v>ACENOCUMAROL 4MG COMPRIMIDO</v>
      </c>
      <c r="D12" s="119"/>
      <c r="E12" s="119"/>
      <c r="F12" s="119"/>
      <c r="G12" s="119"/>
      <c r="H12" s="47" t="s">
        <v>54</v>
      </c>
      <c r="I12" s="48" t="str">
        <f>'Necesidades Trimestrales'!F10</f>
        <v>unidad</v>
      </c>
      <c r="J12" s="49">
        <f>'Necesidades Trimestrales'!H10</f>
        <v>6.5</v>
      </c>
      <c r="K12" s="50">
        <f>'Necesidades Trimestrales'!G10</f>
        <v>80</v>
      </c>
    </row>
    <row r="13" spans="1:11" ht="27.75" customHeight="1" x14ac:dyDescent="0.2">
      <c r="A13" s="77">
        <v>2</v>
      </c>
      <c r="B13" s="78"/>
      <c r="C13" s="120" t="str">
        <f>'Necesidades Trimestrales'!E11</f>
        <v>ENOXAPARINA 40 MG AMPOLLA PRELLENA</v>
      </c>
      <c r="D13" s="120"/>
      <c r="E13" s="120"/>
      <c r="F13" s="120"/>
      <c r="G13" s="120"/>
      <c r="H13" s="81" t="s">
        <v>54</v>
      </c>
      <c r="I13" s="82" t="str">
        <f>'Necesidades Trimestrales'!F11</f>
        <v>unidad</v>
      </c>
      <c r="J13" s="80">
        <f>'Necesidades Trimestrales'!H11</f>
        <v>1803</v>
      </c>
      <c r="K13" s="79">
        <f>'Necesidades Trimestrales'!G11</f>
        <v>300</v>
      </c>
    </row>
    <row r="14" spans="1:11" ht="27.75" customHeight="1" x14ac:dyDescent="0.2">
      <c r="A14" s="77">
        <v>3</v>
      </c>
      <c r="B14" s="78"/>
      <c r="C14" s="121" t="str">
        <f>'Necesidades Trimestrales'!E12</f>
        <v>HEPARINA SODICA 5000 UI FCO AMPOLLA</v>
      </c>
      <c r="D14" s="121"/>
      <c r="E14" s="121"/>
      <c r="F14" s="121"/>
      <c r="G14" s="121"/>
      <c r="H14" s="81" t="s">
        <v>54</v>
      </c>
      <c r="I14" s="82" t="str">
        <f>'Necesidades Trimestrales'!F12</f>
        <v>unidad</v>
      </c>
      <c r="J14" s="80">
        <f>'Necesidades Trimestrales'!H12</f>
        <v>1000</v>
      </c>
      <c r="K14" s="79">
        <f>'Necesidades Trimestrales'!G12</f>
        <v>600</v>
      </c>
    </row>
    <row r="15" spans="1:11" ht="27.75" customHeight="1" x14ac:dyDescent="0.2">
      <c r="A15" s="77">
        <v>4</v>
      </c>
      <c r="B15" s="78"/>
      <c r="C15" s="121" t="str">
        <f>'Necesidades Trimestrales'!E13</f>
        <v>ACIDO AMINOCAPROICO 2G AMPOLLA</v>
      </c>
      <c r="D15" s="121"/>
      <c r="E15" s="121"/>
      <c r="F15" s="121"/>
      <c r="G15" s="121"/>
      <c r="H15" s="81" t="s">
        <v>54</v>
      </c>
      <c r="I15" s="82" t="str">
        <f>'Necesidades Trimestrales'!F13</f>
        <v>unidad</v>
      </c>
      <c r="J15" s="80">
        <f>'Necesidades Trimestrales'!H13</f>
        <v>145.78</v>
      </c>
      <c r="K15" s="79">
        <f>'Necesidades Trimestrales'!G13</f>
        <v>100</v>
      </c>
    </row>
    <row r="16" spans="1:11" ht="27.75" customHeight="1" x14ac:dyDescent="0.2">
      <c r="A16" s="77">
        <v>5</v>
      </c>
      <c r="B16" s="78"/>
      <c r="C16" s="121" t="str">
        <f>'Necesidades Trimestrales'!E14</f>
        <v>VITAMINA K 10 MG AMPOLLA</v>
      </c>
      <c r="D16" s="121"/>
      <c r="E16" s="121"/>
      <c r="F16" s="121"/>
      <c r="G16" s="121"/>
      <c r="H16" s="81" t="s">
        <v>54</v>
      </c>
      <c r="I16" s="82" t="str">
        <f>'Necesidades Trimestrales'!F14</f>
        <v>unidad</v>
      </c>
      <c r="J16" s="80">
        <f>'Necesidades Trimestrales'!H14</f>
        <v>37.03</v>
      </c>
      <c r="K16" s="79">
        <f>'Necesidades Trimestrales'!G14</f>
        <v>200</v>
      </c>
    </row>
    <row r="17" spans="1:11" ht="27.75" customHeight="1" x14ac:dyDescent="0.2">
      <c r="A17" s="77">
        <v>6</v>
      </c>
      <c r="B17" s="78"/>
      <c r="C17" s="121" t="str">
        <f>'Necesidades Trimestrales'!E15</f>
        <v>SULFATO FERROSO 12,5 GRS % GOTAS</v>
      </c>
      <c r="D17" s="121"/>
      <c r="E17" s="121"/>
      <c r="F17" s="121"/>
      <c r="G17" s="121"/>
      <c r="H17" s="81" t="s">
        <v>54</v>
      </c>
      <c r="I17" s="82" t="str">
        <f>'Necesidades Trimestrales'!F15</f>
        <v>unidad</v>
      </c>
      <c r="J17" s="80">
        <f>'Necesidades Trimestrales'!H15</f>
        <v>50</v>
      </c>
      <c r="K17" s="79">
        <f>'Necesidades Trimestrales'!G15</f>
        <v>100</v>
      </c>
    </row>
    <row r="18" spans="1:11" ht="27.75" customHeight="1" x14ac:dyDescent="0.2">
      <c r="A18" s="77">
        <v>7</v>
      </c>
      <c r="B18" s="78"/>
      <c r="C18" s="121" t="str">
        <f>'Necesidades Trimestrales'!E16</f>
        <v>ACIDO FOLICO 5 MG COMPRIMIDOS</v>
      </c>
      <c r="D18" s="121"/>
      <c r="E18" s="121"/>
      <c r="F18" s="121"/>
      <c r="G18" s="121"/>
      <c r="H18" s="81" t="s">
        <v>54</v>
      </c>
      <c r="I18" s="82" t="str">
        <f>'Necesidades Trimestrales'!F16</f>
        <v>unidad</v>
      </c>
      <c r="J18" s="80">
        <f>'Necesidades Trimestrales'!H16</f>
        <v>1.68</v>
      </c>
      <c r="K18" s="79">
        <f>'Necesidades Trimestrales'!G16</f>
        <v>2000</v>
      </c>
    </row>
    <row r="19" spans="1:11" ht="27.75" customHeight="1" x14ac:dyDescent="0.2">
      <c r="A19" s="77">
        <v>8</v>
      </c>
      <c r="B19" s="78"/>
      <c r="C19" s="121" t="str">
        <f>'Necesidades Trimestrales'!E17</f>
        <v>HIERRO+ACIDO FOLICO+B12 AMPOLLAS TIPO FERRANIN</v>
      </c>
      <c r="D19" s="121"/>
      <c r="E19" s="121"/>
      <c r="F19" s="121"/>
      <c r="G19" s="121"/>
      <c r="H19" s="81" t="s">
        <v>54</v>
      </c>
      <c r="I19" s="82" t="str">
        <f>'Necesidades Trimestrales'!F17</f>
        <v>Unidad</v>
      </c>
      <c r="J19" s="80">
        <f>'Necesidades Trimestrales'!H17</f>
        <v>553.79999999999995</v>
      </c>
      <c r="K19" s="79">
        <f>'Necesidades Trimestrales'!G17</f>
        <v>84</v>
      </c>
    </row>
    <row r="20" spans="1:11" ht="27.75" customHeight="1" x14ac:dyDescent="0.2">
      <c r="A20" s="77">
        <v>9</v>
      </c>
      <c r="B20" s="78"/>
      <c r="C20" s="121" t="str">
        <f>'Necesidades Trimestrales'!E18</f>
        <v>DIGOXINA 0,25 MG AMPOLLA</v>
      </c>
      <c r="D20" s="121"/>
      <c r="E20" s="121"/>
      <c r="F20" s="121"/>
      <c r="G20" s="121"/>
      <c r="H20" s="81" t="s">
        <v>54</v>
      </c>
      <c r="I20" s="82" t="str">
        <f>'Necesidades Trimestrales'!F18</f>
        <v>unidad</v>
      </c>
      <c r="J20" s="80">
        <f>'Necesidades Trimestrales'!H18</f>
        <v>178.25</v>
      </c>
      <c r="K20" s="79">
        <f>'Necesidades Trimestrales'!G18</f>
        <v>200</v>
      </c>
    </row>
    <row r="21" spans="1:11" ht="27.75" customHeight="1" x14ac:dyDescent="0.2">
      <c r="A21" s="77">
        <v>10</v>
      </c>
      <c r="B21" s="78"/>
      <c r="C21" s="121" t="str">
        <f>'Necesidades Trimestrales'!E19</f>
        <v>AMIODARONA 150 MG AMPOLLA</v>
      </c>
      <c r="D21" s="121"/>
      <c r="E21" s="121"/>
      <c r="F21" s="121"/>
      <c r="G21" s="121"/>
      <c r="H21" s="81" t="s">
        <v>54</v>
      </c>
      <c r="I21" s="82" t="str">
        <f>'Necesidades Trimestrales'!F19</f>
        <v>unidad</v>
      </c>
      <c r="J21" s="80">
        <f>'Necesidades Trimestrales'!H19</f>
        <v>115</v>
      </c>
      <c r="K21" s="79">
        <f>'Necesidades Trimestrales'!G19</f>
        <v>400</v>
      </c>
    </row>
    <row r="22" spans="1:11" ht="27.75" customHeight="1" x14ac:dyDescent="0.2">
      <c r="A22" s="77">
        <v>11</v>
      </c>
      <c r="B22" s="78"/>
      <c r="C22" s="121" t="str">
        <f>'Necesidades Trimestrales'!E20</f>
        <v>AMIODARONA 200 MG COMPRIMIDO</v>
      </c>
      <c r="D22" s="121"/>
      <c r="E22" s="121"/>
      <c r="F22" s="121"/>
      <c r="G22" s="121"/>
      <c r="H22" s="81" t="s">
        <v>54</v>
      </c>
      <c r="I22" s="82" t="str">
        <f>'Necesidades Trimestrales'!F20</f>
        <v>unidad</v>
      </c>
      <c r="J22" s="80">
        <f>'Necesidades Trimestrales'!H20</f>
        <v>150</v>
      </c>
      <c r="K22" s="79">
        <f>'Necesidades Trimestrales'!G20</f>
        <v>100</v>
      </c>
    </row>
    <row r="23" spans="1:11" ht="27.75" customHeight="1" x14ac:dyDescent="0.2">
      <c r="A23" s="77">
        <v>12</v>
      </c>
      <c r="B23" s="78"/>
      <c r="C23" s="121" t="str">
        <f>'Necesidades Trimestrales'!E21</f>
        <v>LIDOCAINA  2% SIN EPINEFRINA FCO X 5ML</v>
      </c>
      <c r="D23" s="121"/>
      <c r="E23" s="121"/>
      <c r="F23" s="121"/>
      <c r="G23" s="121"/>
      <c r="H23" s="81" t="s">
        <v>54</v>
      </c>
      <c r="I23" s="82" t="str">
        <f>'Necesidades Trimestrales'!F21</f>
        <v>unidad</v>
      </c>
      <c r="J23" s="80">
        <f>'Necesidades Trimestrales'!H21</f>
        <v>84</v>
      </c>
      <c r="K23" s="79">
        <f>'Necesidades Trimestrales'!G21</f>
        <v>3000</v>
      </c>
    </row>
    <row r="24" spans="1:11" ht="27.75" customHeight="1" x14ac:dyDescent="0.2">
      <c r="A24" s="77">
        <v>13</v>
      </c>
      <c r="B24" s="78"/>
      <c r="C24" s="121" t="str">
        <f>'Necesidades Trimestrales'!E22</f>
        <v>DOPAMINA 200 MG  AMPOLLA</v>
      </c>
      <c r="D24" s="121"/>
      <c r="E24" s="121"/>
      <c r="F24" s="121"/>
      <c r="G24" s="121"/>
      <c r="H24" s="81" t="s">
        <v>54</v>
      </c>
      <c r="I24" s="82" t="str">
        <f>'Necesidades Trimestrales'!F22</f>
        <v>unidad</v>
      </c>
      <c r="J24" s="80">
        <f>'Necesidades Trimestrales'!H22</f>
        <v>72</v>
      </c>
      <c r="K24" s="79">
        <f>'Necesidades Trimestrales'!G22</f>
        <v>200</v>
      </c>
    </row>
    <row r="25" spans="1:11" ht="27.75" customHeight="1" x14ac:dyDescent="0.2">
      <c r="A25" s="77">
        <v>14</v>
      </c>
      <c r="B25" s="78"/>
      <c r="C25" s="121" t="str">
        <f>'Necesidades Trimestrales'!E23</f>
        <v>ETILEFRINA AMPOLLAS</v>
      </c>
      <c r="D25" s="121"/>
      <c r="E25" s="121"/>
      <c r="F25" s="121"/>
      <c r="G25" s="121"/>
      <c r="H25" s="81" t="s">
        <v>54</v>
      </c>
      <c r="I25" s="82" t="str">
        <f>'Necesidades Trimestrales'!F23</f>
        <v>unidad</v>
      </c>
      <c r="J25" s="80">
        <f>'Necesidades Trimestrales'!H23</f>
        <v>237</v>
      </c>
      <c r="K25" s="79">
        <f>'Necesidades Trimestrales'!G23</f>
        <v>200</v>
      </c>
    </row>
    <row r="26" spans="1:11" ht="27.75" customHeight="1" x14ac:dyDescent="0.2">
      <c r="A26" s="77">
        <v>15</v>
      </c>
      <c r="B26" s="78"/>
      <c r="C26" s="121" t="str">
        <f>'Necesidades Trimestrales'!E24</f>
        <v>LEVOSIMENDAN 12,5 mg</v>
      </c>
      <c r="D26" s="121"/>
      <c r="E26" s="121"/>
      <c r="F26" s="121"/>
      <c r="G26" s="121"/>
      <c r="H26" s="81" t="s">
        <v>54</v>
      </c>
      <c r="I26" s="82" t="str">
        <f>'Necesidades Trimestrales'!F24</f>
        <v>unidad</v>
      </c>
      <c r="J26" s="80">
        <f>'Necesidades Trimestrales'!H24</f>
        <v>5184</v>
      </c>
      <c r="K26" s="79">
        <f>'Necesidades Trimestrales'!G24</f>
        <v>5</v>
      </c>
    </row>
    <row r="27" spans="1:11" ht="27.75" customHeight="1" x14ac:dyDescent="0.2">
      <c r="A27" s="77">
        <v>16</v>
      </c>
      <c r="B27" s="78"/>
      <c r="C27" s="121" t="str">
        <f>'Necesidades Trimestrales'!E25</f>
        <v>MILRINONA 10 G  FCO AMPOLLA</v>
      </c>
      <c r="D27" s="121"/>
      <c r="E27" s="121"/>
      <c r="F27" s="121"/>
      <c r="G27" s="121"/>
      <c r="H27" s="81" t="s">
        <v>54</v>
      </c>
      <c r="I27" s="82" t="str">
        <f>'Necesidades Trimestrales'!F25</f>
        <v>unidad</v>
      </c>
      <c r="J27" s="80">
        <f>'Necesidades Trimestrales'!H25</f>
        <v>2690</v>
      </c>
      <c r="K27" s="79">
        <f>'Necesidades Trimestrales'!G25</f>
        <v>100</v>
      </c>
    </row>
    <row r="28" spans="1:11" ht="27.75" customHeight="1" x14ac:dyDescent="0.2">
      <c r="A28" s="77">
        <v>17</v>
      </c>
      <c r="B28" s="78"/>
      <c r="C28" s="121" t="str">
        <f>'Necesidades Trimestrales'!E26</f>
        <v>NORADRENALINA AMPOLLA</v>
      </c>
      <c r="D28" s="121"/>
      <c r="E28" s="121"/>
      <c r="F28" s="121"/>
      <c r="G28" s="121"/>
      <c r="H28" s="81" t="s">
        <v>54</v>
      </c>
      <c r="I28" s="82" t="str">
        <f>'Necesidades Trimestrales'!F26</f>
        <v>unidad</v>
      </c>
      <c r="J28" s="80">
        <f>'Necesidades Trimestrales'!H26</f>
        <v>47</v>
      </c>
      <c r="K28" s="79">
        <f>'Necesidades Trimestrales'!G26</f>
        <v>400</v>
      </c>
    </row>
    <row r="29" spans="1:11" ht="27.75" customHeight="1" x14ac:dyDescent="0.2">
      <c r="A29" s="77">
        <v>18</v>
      </c>
      <c r="B29" s="78"/>
      <c r="C29" s="121" t="str">
        <f>'Necesidades Trimestrales'!E27</f>
        <v>NITROGLICERINA 25 MG AMPOLLA</v>
      </c>
      <c r="D29" s="121"/>
      <c r="E29" s="121"/>
      <c r="F29" s="121"/>
      <c r="G29" s="121"/>
      <c r="H29" s="81" t="s">
        <v>54</v>
      </c>
      <c r="I29" s="82" t="str">
        <f>'Necesidades Trimestrales'!F27</f>
        <v>unidad</v>
      </c>
      <c r="J29" s="80">
        <f>'Necesidades Trimestrales'!H27</f>
        <v>300.3</v>
      </c>
      <c r="K29" s="79">
        <f>'Necesidades Trimestrales'!G27</f>
        <v>200</v>
      </c>
    </row>
    <row r="30" spans="1:11" ht="27.75" customHeight="1" x14ac:dyDescent="0.2">
      <c r="A30" s="77">
        <v>19</v>
      </c>
      <c r="B30" s="78"/>
      <c r="C30" s="121" t="str">
        <f>'Necesidades Trimestrales'!E28</f>
        <v>ADENOSINA 6 MG AMPOLLA</v>
      </c>
      <c r="D30" s="121"/>
      <c r="E30" s="121"/>
      <c r="F30" s="121"/>
      <c r="G30" s="121"/>
      <c r="H30" s="81" t="s">
        <v>54</v>
      </c>
      <c r="I30" s="82" t="str">
        <f>'Necesidades Trimestrales'!F28</f>
        <v>unidad</v>
      </c>
      <c r="J30" s="80">
        <f>'Necesidades Trimestrales'!H28</f>
        <v>353</v>
      </c>
      <c r="K30" s="79">
        <f>'Necesidades Trimestrales'!G28</f>
        <v>300</v>
      </c>
    </row>
    <row r="31" spans="1:11" ht="27.75" customHeight="1" x14ac:dyDescent="0.2">
      <c r="A31" s="77">
        <v>20</v>
      </c>
      <c r="B31" s="78"/>
      <c r="C31" s="121" t="str">
        <f>'Necesidades Trimestrales'!E29</f>
        <v>CLONIDINA AMPOLLAS</v>
      </c>
      <c r="D31" s="121"/>
      <c r="E31" s="121"/>
      <c r="F31" s="121"/>
      <c r="G31" s="121"/>
      <c r="H31" s="81" t="s">
        <v>54</v>
      </c>
      <c r="I31" s="82" t="str">
        <f>'Necesidades Trimestrales'!F29</f>
        <v>unidad</v>
      </c>
      <c r="J31" s="80">
        <f>'Necesidades Trimestrales'!H29</f>
        <v>85</v>
      </c>
      <c r="K31" s="79">
        <f>'Necesidades Trimestrales'!G29</f>
        <v>300</v>
      </c>
    </row>
    <row r="32" spans="1:11" ht="27.75" customHeight="1" x14ac:dyDescent="0.2">
      <c r="A32" s="77">
        <v>21</v>
      </c>
      <c r="B32" s="113"/>
      <c r="C32" s="121" t="str">
        <f>'Necesidades Trimestrales'!E30</f>
        <v>NITROPRUSIATO SODIO 50 MG VIAL</v>
      </c>
      <c r="D32" s="121"/>
      <c r="E32" s="121"/>
      <c r="F32" s="121"/>
      <c r="G32" s="121"/>
      <c r="H32" s="81" t="s">
        <v>54</v>
      </c>
      <c r="I32" s="82" t="str">
        <f>'Necesidades Trimestrales'!F30</f>
        <v>unidad</v>
      </c>
      <c r="J32" s="80">
        <f>'Necesidades Trimestrales'!H30</f>
        <v>897</v>
      </c>
      <c r="K32" s="79">
        <f>'Necesidades Trimestrales'!G30</f>
        <v>50</v>
      </c>
    </row>
    <row r="33" spans="1:11" ht="27.75" customHeight="1" x14ac:dyDescent="0.2">
      <c r="A33" s="77">
        <v>22</v>
      </c>
      <c r="B33" s="113"/>
      <c r="C33" s="121" t="str">
        <f>'Necesidades Trimestrales'!E31</f>
        <v>SILDENAFIL 50 MG COMPRIDOS</v>
      </c>
      <c r="D33" s="121"/>
      <c r="E33" s="121"/>
      <c r="F33" s="121"/>
      <c r="G33" s="121"/>
      <c r="H33" s="81" t="s">
        <v>54</v>
      </c>
      <c r="I33" s="82" t="str">
        <f>'Necesidades Trimestrales'!F31</f>
        <v>unidad</v>
      </c>
      <c r="J33" s="80">
        <f>'Necesidades Trimestrales'!H31</f>
        <v>117</v>
      </c>
      <c r="K33" s="79">
        <f>'Necesidades Trimestrales'!G31</f>
        <v>20</v>
      </c>
    </row>
    <row r="34" spans="1:11" ht="27.75" customHeight="1" x14ac:dyDescent="0.2">
      <c r="A34" s="77">
        <v>23</v>
      </c>
      <c r="B34" s="113"/>
      <c r="C34" s="121" t="str">
        <f>'Necesidades Trimestrales'!E32</f>
        <v>ESPIRONOLACTONA 100 MG COMPRIMIDO</v>
      </c>
      <c r="D34" s="121"/>
      <c r="E34" s="121"/>
      <c r="F34" s="121"/>
      <c r="G34" s="121"/>
      <c r="H34" s="81" t="s">
        <v>54</v>
      </c>
      <c r="I34" s="82" t="str">
        <f>'Necesidades Trimestrales'!F32</f>
        <v>unidad</v>
      </c>
      <c r="J34" s="80">
        <f>'Necesidades Trimestrales'!H32</f>
        <v>33.799999999999997</v>
      </c>
      <c r="K34" s="79">
        <f>'Necesidades Trimestrales'!G32</f>
        <v>1500</v>
      </c>
    </row>
    <row r="35" spans="1:11" ht="27.75" customHeight="1" x14ac:dyDescent="0.2">
      <c r="A35" s="77">
        <v>24</v>
      </c>
      <c r="B35" s="113"/>
      <c r="C35" s="121" t="str">
        <f>'Necesidades Trimestrales'!E33</f>
        <v>FUROSEMIDA AMPOLLAS</v>
      </c>
      <c r="D35" s="121"/>
      <c r="E35" s="121"/>
      <c r="F35" s="121"/>
      <c r="G35" s="121"/>
      <c r="H35" s="81" t="s">
        <v>54</v>
      </c>
      <c r="I35" s="82" t="str">
        <f>'Necesidades Trimestrales'!F33</f>
        <v>unidad</v>
      </c>
      <c r="J35" s="80">
        <f>'Necesidades Trimestrales'!H33</f>
        <v>87</v>
      </c>
      <c r="K35" s="79">
        <f>'Necesidades Trimestrales'!G33</f>
        <v>1000</v>
      </c>
    </row>
    <row r="36" spans="1:11" ht="27.75" customHeight="1" x14ac:dyDescent="0.2">
      <c r="A36" s="77">
        <v>25</v>
      </c>
      <c r="B36" s="113"/>
      <c r="C36" s="121" t="str">
        <f>'Necesidades Trimestrales'!E34</f>
        <v>FUROSEMIDA 40 MG COMPRIMIDO</v>
      </c>
      <c r="D36" s="121"/>
      <c r="E36" s="121"/>
      <c r="F36" s="121"/>
      <c r="G36" s="121"/>
      <c r="H36" s="81" t="s">
        <v>54</v>
      </c>
      <c r="I36" s="82" t="str">
        <f>'Necesidades Trimestrales'!F34</f>
        <v>unidad</v>
      </c>
      <c r="J36" s="80">
        <f>'Necesidades Trimestrales'!H34</f>
        <v>3.4</v>
      </c>
      <c r="K36" s="79">
        <f>'Necesidades Trimestrales'!G34</f>
        <v>2000</v>
      </c>
    </row>
    <row r="37" spans="1:11" ht="27.75" customHeight="1" x14ac:dyDescent="0.2">
      <c r="A37" s="77">
        <v>26</v>
      </c>
      <c r="B37" s="113"/>
      <c r="C37" s="121" t="str">
        <f>'Necesidades Trimestrales'!E35</f>
        <v>HIDROCLOROTIAZIDA 25 MG COMPRIMIDO</v>
      </c>
      <c r="D37" s="121"/>
      <c r="E37" s="121"/>
      <c r="F37" s="121"/>
      <c r="G37" s="121"/>
      <c r="H37" s="81" t="s">
        <v>54</v>
      </c>
      <c r="I37" s="82" t="str">
        <f>'Necesidades Trimestrales'!F35</f>
        <v>unidad</v>
      </c>
      <c r="J37" s="80">
        <f>'Necesidades Trimestrales'!H35</f>
        <v>4.62</v>
      </c>
      <c r="K37" s="79">
        <f>'Necesidades Trimestrales'!G35</f>
        <v>100</v>
      </c>
    </row>
    <row r="38" spans="1:11" ht="27.75" customHeight="1" x14ac:dyDescent="0.2">
      <c r="A38" s="77">
        <v>27</v>
      </c>
      <c r="B38" s="113"/>
      <c r="C38" s="121" t="str">
        <f>'Necesidades Trimestrales'!E36</f>
        <v>PROPRANOLOL 40MG</v>
      </c>
      <c r="D38" s="121"/>
      <c r="E38" s="121"/>
      <c r="F38" s="121"/>
      <c r="G38" s="121"/>
      <c r="H38" s="81" t="s">
        <v>54</v>
      </c>
      <c r="I38" s="82" t="str">
        <f>'Necesidades Trimestrales'!F36</f>
        <v>unidad</v>
      </c>
      <c r="J38" s="80">
        <f>'Necesidades Trimestrales'!H36</f>
        <v>13.8</v>
      </c>
      <c r="K38" s="79">
        <f>'Necesidades Trimestrales'!G36</f>
        <v>300</v>
      </c>
    </row>
    <row r="39" spans="1:11" ht="27.75" customHeight="1" x14ac:dyDescent="0.2">
      <c r="A39" s="77">
        <v>28</v>
      </c>
      <c r="B39" s="113"/>
      <c r="C39" s="121" t="str">
        <f>'Necesidades Trimestrales'!E37</f>
        <v>PROPRANOLOL 5MG FRASCO AMPOLLA X 5 ML</v>
      </c>
      <c r="D39" s="121"/>
      <c r="E39" s="121"/>
      <c r="F39" s="121"/>
      <c r="G39" s="121"/>
      <c r="H39" s="81" t="s">
        <v>54</v>
      </c>
      <c r="I39" s="82" t="str">
        <f>'Necesidades Trimestrales'!F37</f>
        <v>unidad</v>
      </c>
      <c r="J39" s="80">
        <f>'Necesidades Trimestrales'!H37</f>
        <v>1393.82</v>
      </c>
      <c r="K39" s="79">
        <f>'Necesidades Trimestrales'!G37</f>
        <v>60</v>
      </c>
    </row>
    <row r="40" spans="1:11" ht="27.75" customHeight="1" x14ac:dyDescent="0.2">
      <c r="A40" s="77">
        <v>29</v>
      </c>
      <c r="B40" s="113"/>
      <c r="C40" s="121" t="str">
        <f>'Necesidades Trimestrales'!E38</f>
        <v>CARVEDILOL 12,5 MG COMPRIMIDO</v>
      </c>
      <c r="D40" s="121"/>
      <c r="E40" s="121"/>
      <c r="F40" s="121"/>
      <c r="G40" s="121"/>
      <c r="H40" s="81" t="s">
        <v>54</v>
      </c>
      <c r="I40" s="82" t="str">
        <f>'Necesidades Trimestrales'!F38</f>
        <v>unidad</v>
      </c>
      <c r="J40" s="80">
        <f>'Necesidades Trimestrales'!H38</f>
        <v>18</v>
      </c>
      <c r="K40" s="79">
        <f>'Necesidades Trimestrales'!G38</f>
        <v>300</v>
      </c>
    </row>
    <row r="41" spans="1:11" ht="27.75" customHeight="1" x14ac:dyDescent="0.2">
      <c r="A41" s="77">
        <v>30</v>
      </c>
      <c r="B41" s="113"/>
      <c r="C41" s="121" t="str">
        <f>'Necesidades Trimestrales'!E39</f>
        <v>CARVEDILOL 3,125 MG COMPRIMIDO</v>
      </c>
      <c r="D41" s="121"/>
      <c r="E41" s="121"/>
      <c r="F41" s="121"/>
      <c r="G41" s="121"/>
      <c r="H41" s="81" t="s">
        <v>54</v>
      </c>
      <c r="I41" s="82" t="str">
        <f>'Necesidades Trimestrales'!F39</f>
        <v>unidad</v>
      </c>
      <c r="J41" s="80">
        <f>'Necesidades Trimestrales'!H39</f>
        <v>13.7</v>
      </c>
      <c r="K41" s="79">
        <f>'Necesidades Trimestrales'!G39</f>
        <v>100</v>
      </c>
    </row>
    <row r="42" spans="1:11" ht="27.75" customHeight="1" x14ac:dyDescent="0.2">
      <c r="A42" s="77">
        <v>31</v>
      </c>
      <c r="B42" s="113"/>
      <c r="C42" s="121" t="str">
        <f>'Necesidades Trimestrales'!E40</f>
        <v>CARVEDILOL 6,25 MG COMPRIMIDO</v>
      </c>
      <c r="D42" s="121"/>
      <c r="E42" s="121"/>
      <c r="F42" s="121"/>
      <c r="G42" s="121"/>
      <c r="H42" s="81" t="s">
        <v>54</v>
      </c>
      <c r="I42" s="82" t="str">
        <f>'Necesidades Trimestrales'!F40</f>
        <v>unidad</v>
      </c>
      <c r="J42" s="80">
        <f>'Necesidades Trimestrales'!H40</f>
        <v>14.5</v>
      </c>
      <c r="K42" s="79">
        <f>'Necesidades Trimestrales'!G40</f>
        <v>200</v>
      </c>
    </row>
    <row r="43" spans="1:11" ht="27.75" customHeight="1" x14ac:dyDescent="0.2">
      <c r="A43" s="77">
        <v>32</v>
      </c>
      <c r="B43" s="113"/>
      <c r="C43" s="121" t="str">
        <f>'Necesidades Trimestrales'!E41</f>
        <v>LABETALOL 20 MG AMPOLLA</v>
      </c>
      <c r="D43" s="121"/>
      <c r="E43" s="121"/>
      <c r="F43" s="121"/>
      <c r="G43" s="121"/>
      <c r="H43" s="81" t="s">
        <v>54</v>
      </c>
      <c r="I43" s="82" t="str">
        <f>'Necesidades Trimestrales'!F41</f>
        <v>unidad</v>
      </c>
      <c r="J43" s="80">
        <f>'Necesidades Trimestrales'!H41</f>
        <v>511.7</v>
      </c>
      <c r="K43" s="79">
        <f>'Necesidades Trimestrales'!G41</f>
        <v>400</v>
      </c>
    </row>
    <row r="44" spans="1:11" ht="27.75" customHeight="1" x14ac:dyDescent="0.2">
      <c r="A44" s="77">
        <v>33</v>
      </c>
      <c r="B44" s="113"/>
      <c r="C44" s="121" t="str">
        <f>'Necesidades Trimestrales'!E42</f>
        <v>AMLODIPINA 10 MG COMPRIMIDO</v>
      </c>
      <c r="D44" s="121"/>
      <c r="E44" s="121"/>
      <c r="F44" s="121"/>
      <c r="G44" s="121"/>
      <c r="H44" s="81" t="s">
        <v>54</v>
      </c>
      <c r="I44" s="82" t="str">
        <f>'Necesidades Trimestrales'!F42</f>
        <v>unidad</v>
      </c>
      <c r="J44" s="80">
        <f>'Necesidades Trimestrales'!H42</f>
        <v>15</v>
      </c>
      <c r="K44" s="79">
        <f>'Necesidades Trimestrales'!G42</f>
        <v>200</v>
      </c>
    </row>
    <row r="45" spans="1:11" ht="27.75" customHeight="1" x14ac:dyDescent="0.2">
      <c r="A45" s="77">
        <v>34</v>
      </c>
      <c r="B45" s="113"/>
      <c r="C45" s="121" t="str">
        <f>'Necesidades Trimestrales'!E43</f>
        <v>NIFEDIPINA 30MG COMPRIMIDO</v>
      </c>
      <c r="D45" s="121"/>
      <c r="E45" s="121"/>
      <c r="F45" s="121"/>
      <c r="G45" s="121"/>
      <c r="H45" s="81" t="s">
        <v>54</v>
      </c>
      <c r="I45" s="82" t="str">
        <f>'Necesidades Trimestrales'!F43</f>
        <v>unidad</v>
      </c>
      <c r="J45" s="80">
        <f>'Necesidades Trimestrales'!H43</f>
        <v>23.4</v>
      </c>
      <c r="K45" s="79">
        <f>'Necesidades Trimestrales'!G43</f>
        <v>100</v>
      </c>
    </row>
    <row r="46" spans="1:11" ht="27.75" customHeight="1" x14ac:dyDescent="0.2">
      <c r="A46" s="77">
        <v>35</v>
      </c>
      <c r="B46" s="113"/>
      <c r="C46" s="121" t="str">
        <f>'Necesidades Trimestrales'!E44</f>
        <v>ENALAPRIL 10 MG COMPRIMIDO</v>
      </c>
      <c r="D46" s="121"/>
      <c r="E46" s="121"/>
      <c r="F46" s="121"/>
      <c r="G46" s="121"/>
      <c r="H46" s="81" t="s">
        <v>54</v>
      </c>
      <c r="I46" s="82" t="str">
        <f>'Necesidades Trimestrales'!F44</f>
        <v>unidad</v>
      </c>
      <c r="J46" s="80">
        <f>'Necesidades Trimestrales'!H44</f>
        <v>10</v>
      </c>
      <c r="K46" s="79">
        <f>'Necesidades Trimestrales'!G44</f>
        <v>400</v>
      </c>
    </row>
    <row r="47" spans="1:11" ht="27.75" customHeight="1" x14ac:dyDescent="0.2">
      <c r="A47" s="77">
        <v>36</v>
      </c>
      <c r="B47" s="113"/>
      <c r="C47" s="121" t="str">
        <f>'Necesidades Trimestrales'!E45</f>
        <v>ENALAPRIL 1,25 MG/ML AMPOLLA</v>
      </c>
      <c r="D47" s="121"/>
      <c r="E47" s="121"/>
      <c r="F47" s="121"/>
      <c r="G47" s="121"/>
      <c r="H47" s="81" t="s">
        <v>54</v>
      </c>
      <c r="I47" s="82" t="str">
        <f>'Necesidades Trimestrales'!F45</f>
        <v>unidad</v>
      </c>
      <c r="J47" s="80">
        <f>'Necesidades Trimestrales'!H45</f>
        <v>275</v>
      </c>
      <c r="K47" s="79">
        <f>'Necesidades Trimestrales'!G45</f>
        <v>50</v>
      </c>
    </row>
    <row r="48" spans="1:11" ht="27.75" customHeight="1" thickBot="1" x14ac:dyDescent="0.25">
      <c r="A48" s="77">
        <v>37</v>
      </c>
      <c r="B48" s="113"/>
      <c r="C48" s="121" t="str">
        <f>'Necesidades Trimestrales'!E46</f>
        <v>LOSARTAN 50 MG COMPRIMIDO</v>
      </c>
      <c r="D48" s="121"/>
      <c r="E48" s="121"/>
      <c r="F48" s="121"/>
      <c r="G48" s="121"/>
      <c r="H48" s="81" t="s">
        <v>54</v>
      </c>
      <c r="I48" s="82" t="str">
        <f>'Necesidades Trimestrales'!F46</f>
        <v>unidad</v>
      </c>
      <c r="J48" s="80">
        <f>'Necesidades Trimestrales'!H46</f>
        <v>33.4</v>
      </c>
      <c r="K48" s="79">
        <f>'Necesidades Trimestrales'!G46</f>
        <v>100</v>
      </c>
    </row>
    <row r="49" spans="1:14" ht="20.25" customHeight="1" thickBot="1" x14ac:dyDescent="0.25">
      <c r="A49" s="117" t="s">
        <v>98</v>
      </c>
      <c r="B49" s="117"/>
      <c r="C49" s="117"/>
      <c r="D49" s="117"/>
      <c r="E49" s="117"/>
      <c r="F49" s="117"/>
      <c r="G49" s="117"/>
      <c r="H49" s="117"/>
      <c r="I49" s="117"/>
      <c r="J49" s="118">
        <f>SUMPRODUCT(J12:J48,K12:K48)</f>
        <v>2654614.4000000004</v>
      </c>
      <c r="K49" s="118"/>
      <c r="N49" s="54"/>
    </row>
  </sheetData>
  <mergeCells count="59">
    <mergeCell ref="C46:G46"/>
    <mergeCell ref="C47:G47"/>
    <mergeCell ref="C48:G48"/>
    <mergeCell ref="C41:G41"/>
    <mergeCell ref="C42:G42"/>
    <mergeCell ref="C43:G43"/>
    <mergeCell ref="C44:G44"/>
    <mergeCell ref="C45:G45"/>
    <mergeCell ref="C31:G31"/>
    <mergeCell ref="C26:G26"/>
    <mergeCell ref="C27:G27"/>
    <mergeCell ref="C28:G28"/>
    <mergeCell ref="C29:G29"/>
    <mergeCell ref="C30:G30"/>
    <mergeCell ref="C32:G32"/>
    <mergeCell ref="C33:G33"/>
    <mergeCell ref="C34:G34"/>
    <mergeCell ref="C35:G35"/>
    <mergeCell ref="C36:G36"/>
    <mergeCell ref="C37:G37"/>
    <mergeCell ref="C38:G38"/>
    <mergeCell ref="C39:G39"/>
    <mergeCell ref="C40:G40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49:I49"/>
    <mergeCell ref="J49:K49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zoomScale="130" zoomScaleNormal="130" workbookViewId="0">
      <selection activeCell="Q15" sqref="Q15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58" t="s">
        <v>3</v>
      </c>
      <c r="B1" s="158"/>
      <c r="C1" s="158"/>
      <c r="D1" s="159">
        <f>'Necesidades Trimestrales'!C6</f>
        <v>2021</v>
      </c>
      <c r="E1" s="159"/>
      <c r="F1" s="3"/>
      <c r="G1" s="3"/>
      <c r="H1" s="4"/>
      <c r="I1" s="4"/>
      <c r="J1" s="4"/>
      <c r="K1" s="4"/>
      <c r="L1" s="4"/>
      <c r="M1" s="4"/>
      <c r="N1" s="4"/>
      <c r="P1" s="160" t="s">
        <v>25</v>
      </c>
      <c r="Q1" s="160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60"/>
      <c r="Q2" s="160"/>
    </row>
    <row r="4" spans="1:17" s="5" customFormat="1" ht="18" customHeight="1" thickBot="1" x14ac:dyDescent="0.25">
      <c r="A4" s="161" t="s">
        <v>26</v>
      </c>
      <c r="B4" s="161"/>
      <c r="C4" s="161"/>
      <c r="D4" s="161"/>
      <c r="E4" s="161"/>
      <c r="F4" s="161"/>
      <c r="G4" s="156" t="str">
        <f>' NotaPedido'!D3</f>
        <v>040 - Ministerio de Salud</v>
      </c>
      <c r="H4" s="156"/>
      <c r="I4" s="156"/>
      <c r="J4" s="156"/>
      <c r="K4" s="156"/>
      <c r="L4" s="156"/>
      <c r="M4" s="156"/>
      <c r="N4" s="156"/>
      <c r="O4" s="156"/>
      <c r="P4" s="156"/>
      <c r="Q4" s="156"/>
    </row>
    <row r="5" spans="1:17" s="5" customFormat="1" ht="18" customHeight="1" thickBot="1" x14ac:dyDescent="0.25">
      <c r="A5" s="153" t="s">
        <v>49</v>
      </c>
      <c r="B5" s="154"/>
      <c r="C5" s="154"/>
      <c r="D5" s="154"/>
      <c r="E5" s="154"/>
      <c r="F5" s="155"/>
      <c r="G5" s="156" t="str">
        <f>' NotaPedido'!D4</f>
        <v>024 - Hospital Interzonal de Niños</v>
      </c>
      <c r="H5" s="156"/>
      <c r="I5" s="156"/>
      <c r="J5" s="156"/>
      <c r="K5" s="156"/>
      <c r="L5" s="156"/>
      <c r="M5" s="156"/>
      <c r="N5" s="156"/>
      <c r="O5" s="156"/>
      <c r="P5" s="156"/>
      <c r="Q5" s="156"/>
    </row>
    <row r="6" spans="1:17" s="5" customFormat="1" ht="18" customHeight="1" thickBot="1" x14ac:dyDescent="0.25">
      <c r="A6" s="153" t="s">
        <v>27</v>
      </c>
      <c r="B6" s="154"/>
      <c r="C6" s="154"/>
      <c r="D6" s="154"/>
      <c r="E6" s="154"/>
      <c r="F6" s="155"/>
      <c r="G6" s="156" t="str">
        <f>' NotaPedido'!D5</f>
        <v>024 - Hospital Interzonal de Niños</v>
      </c>
      <c r="H6" s="156"/>
      <c r="I6" s="156"/>
      <c r="J6" s="156"/>
      <c r="K6" s="156"/>
      <c r="L6" s="156"/>
      <c r="M6" s="156"/>
      <c r="N6" s="156"/>
      <c r="O6" s="156"/>
      <c r="P6" s="156"/>
      <c r="Q6" s="156"/>
    </row>
    <row r="7" spans="1:17" s="5" customFormat="1" ht="18" customHeight="1" thickBot="1" x14ac:dyDescent="0.25">
      <c r="A7" s="153" t="s">
        <v>50</v>
      </c>
      <c r="B7" s="154"/>
      <c r="C7" s="154"/>
      <c r="D7" s="154"/>
      <c r="E7" s="154"/>
      <c r="F7" s="155"/>
      <c r="G7" s="156" t="s">
        <v>57</v>
      </c>
      <c r="H7" s="156"/>
      <c r="I7" s="156"/>
      <c r="J7" s="156"/>
      <c r="K7" s="156"/>
      <c r="L7" s="156"/>
      <c r="M7" s="156"/>
      <c r="N7" s="156"/>
      <c r="O7" s="156"/>
      <c r="P7" s="156"/>
      <c r="Q7" s="156"/>
    </row>
    <row r="8" spans="1:17" ht="18" customHeight="1" thickBot="1" x14ac:dyDescent="0.25">
      <c r="A8" s="157" t="s">
        <v>28</v>
      </c>
      <c r="B8" s="157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</row>
    <row r="9" spans="1:17" ht="18" customHeight="1" x14ac:dyDescent="0.2">
      <c r="A9" s="142" t="s">
        <v>29</v>
      </c>
      <c r="B9" s="142"/>
      <c r="C9" s="142"/>
      <c r="D9" s="142"/>
      <c r="E9" s="142"/>
      <c r="F9" s="142"/>
      <c r="G9" s="142"/>
      <c r="H9" s="142"/>
      <c r="I9" s="142"/>
      <c r="J9" s="142"/>
      <c r="K9" s="142"/>
      <c r="L9" s="142"/>
      <c r="M9" s="142"/>
      <c r="N9" s="142"/>
      <c r="O9" s="1"/>
      <c r="P9" s="1"/>
      <c r="Q9" s="6"/>
    </row>
    <row r="10" spans="1:17" ht="54.75" customHeight="1" x14ac:dyDescent="0.2">
      <c r="A10" s="143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051/2021,  afectando la erogación resultante a los créditos presupuestarios aprobados a favor de esta Unidad Ejecutora, conforme al siguiente detalle:</v>
      </c>
      <c r="B10" s="143"/>
      <c r="C10" s="143"/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43"/>
      <c r="Q10" s="143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thickBot="1" x14ac:dyDescent="0.25">
      <c r="A12" s="144" t="s">
        <v>30</v>
      </c>
      <c r="B12" s="144"/>
      <c r="C12" s="144"/>
      <c r="D12" s="144"/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Q12" s="144"/>
    </row>
    <row r="13" spans="1:17" ht="15.75" customHeight="1" thickBot="1" x14ac:dyDescent="0.25">
      <c r="A13" s="145" t="s">
        <v>31</v>
      </c>
      <c r="B13" s="146"/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7" t="s">
        <v>32</v>
      </c>
      <c r="P13" s="148"/>
      <c r="Q13" s="151" t="s">
        <v>33</v>
      </c>
    </row>
    <row r="14" spans="1:17" ht="15.75" customHeight="1" thickBot="1" x14ac:dyDescent="0.25">
      <c r="A14" s="60" t="s">
        <v>34</v>
      </c>
      <c r="B14" s="61" t="s">
        <v>35</v>
      </c>
      <c r="C14" s="61" t="s">
        <v>36</v>
      </c>
      <c r="D14" s="61" t="s">
        <v>37</v>
      </c>
      <c r="E14" s="61" t="s">
        <v>38</v>
      </c>
      <c r="F14" s="61" t="s">
        <v>39</v>
      </c>
      <c r="G14" s="62" t="s">
        <v>40</v>
      </c>
      <c r="H14" s="61" t="s">
        <v>41</v>
      </c>
      <c r="I14" s="61" t="s">
        <v>42</v>
      </c>
      <c r="J14" s="61" t="s">
        <v>43</v>
      </c>
      <c r="K14" s="61" t="s">
        <v>43</v>
      </c>
      <c r="L14" s="61" t="s">
        <v>44</v>
      </c>
      <c r="M14" s="63" t="s">
        <v>45</v>
      </c>
      <c r="N14" s="64" t="s">
        <v>46</v>
      </c>
      <c r="O14" s="149"/>
      <c r="P14" s="150"/>
      <c r="Q14" s="152"/>
    </row>
    <row r="15" spans="1:17" ht="26.25" customHeight="1" x14ac:dyDescent="0.2">
      <c r="A15" s="56">
        <v>36</v>
      </c>
      <c r="B15" s="57"/>
      <c r="C15" s="57"/>
      <c r="D15" s="57">
        <v>1</v>
      </c>
      <c r="E15" s="57"/>
      <c r="F15" s="57">
        <v>4901</v>
      </c>
      <c r="G15" s="57">
        <v>3</v>
      </c>
      <c r="H15" s="57">
        <v>310</v>
      </c>
      <c r="I15" s="57">
        <v>2</v>
      </c>
      <c r="J15" s="57">
        <v>5</v>
      </c>
      <c r="K15" s="57">
        <v>2</v>
      </c>
      <c r="L15" s="57"/>
      <c r="M15" s="58">
        <v>1</v>
      </c>
      <c r="N15" s="59" t="s">
        <v>53</v>
      </c>
      <c r="O15" s="136" t="s">
        <v>56</v>
      </c>
      <c r="P15" s="136"/>
      <c r="Q15" s="65">
        <v>2654614.4</v>
      </c>
    </row>
    <row r="16" spans="1:17" ht="17.25" customHeight="1" x14ac:dyDescent="0.2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67"/>
      <c r="O16" s="137"/>
      <c r="P16" s="131"/>
      <c r="Q16" s="15"/>
    </row>
    <row r="17" spans="1:18" ht="17.25" customHeight="1" x14ac:dyDescent="0.2">
      <c r="A17" s="11"/>
      <c r="B17" s="12"/>
      <c r="C17" s="12"/>
      <c r="D17" s="12"/>
      <c r="E17" s="12"/>
      <c r="F17" s="14"/>
      <c r="G17" s="12"/>
      <c r="H17" s="12"/>
      <c r="I17" s="12"/>
      <c r="J17" s="12"/>
      <c r="K17" s="12"/>
      <c r="L17" s="12"/>
      <c r="M17" s="13"/>
      <c r="N17" s="14"/>
      <c r="O17" s="131"/>
      <c r="P17" s="131"/>
      <c r="Q17" s="15"/>
    </row>
    <row r="18" spans="1:18" ht="17.25" customHeight="1" x14ac:dyDescent="0.2">
      <c r="A18" s="11"/>
      <c r="B18" s="12"/>
      <c r="C18" s="12"/>
      <c r="D18" s="12"/>
      <c r="E18" s="12"/>
      <c r="F18" s="14"/>
      <c r="G18" s="12"/>
      <c r="H18" s="12"/>
      <c r="I18" s="12"/>
      <c r="J18" s="12"/>
      <c r="K18" s="12"/>
      <c r="L18" s="12"/>
      <c r="M18" s="13"/>
      <c r="N18" s="14"/>
      <c r="O18" s="131"/>
      <c r="P18" s="131"/>
      <c r="Q18" s="15"/>
    </row>
    <row r="19" spans="1:18" ht="17.25" customHeight="1" x14ac:dyDescent="0.2">
      <c r="A19" s="16"/>
      <c r="B19" s="17"/>
      <c r="C19" s="17"/>
      <c r="D19" s="17"/>
      <c r="E19" s="17"/>
      <c r="F19" s="18"/>
      <c r="G19" s="17"/>
      <c r="H19" s="17"/>
      <c r="I19" s="17"/>
      <c r="J19" s="17"/>
      <c r="K19" s="17"/>
      <c r="L19" s="17"/>
      <c r="M19" s="19"/>
      <c r="N19" s="20"/>
      <c r="O19" s="132"/>
      <c r="P19" s="132"/>
      <c r="Q19" s="15"/>
      <c r="R19" s="1"/>
    </row>
    <row r="20" spans="1:18" ht="17.25" customHeight="1" x14ac:dyDescent="0.2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3"/>
      <c r="N20" s="22"/>
      <c r="O20" s="133"/>
      <c r="P20" s="133"/>
      <c r="Q20" s="24"/>
    </row>
    <row r="21" spans="1:18" ht="29.25" customHeight="1" x14ac:dyDescent="0.2">
      <c r="A21" s="134" t="s">
        <v>100</v>
      </c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25">
        <f>SUM(Q15:Q20)</f>
        <v>2654614.4</v>
      </c>
    </row>
    <row r="22" spans="1:18" ht="18" customHeight="1" thickBot="1" x14ac:dyDescent="0.25">
      <c r="A22" s="135"/>
      <c r="B22" s="135"/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5"/>
      <c r="N22" s="135"/>
      <c r="O22" s="135"/>
      <c r="P22" s="135"/>
      <c r="Q22" s="135"/>
    </row>
    <row r="23" spans="1:18" ht="17.25" customHeight="1" thickBot="1" x14ac:dyDescent="0.25">
      <c r="A23" s="138" t="s">
        <v>47</v>
      </c>
      <c r="B23" s="139"/>
      <c r="C23" s="139"/>
      <c r="D23" s="139"/>
      <c r="E23" s="139"/>
      <c r="F23" s="140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</row>
    <row r="24" spans="1:18" ht="18" customHeight="1" thickBot="1" x14ac:dyDescent="0.25">
      <c r="A24" s="130" t="s">
        <v>99</v>
      </c>
      <c r="B24" s="130"/>
      <c r="C24" s="130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</row>
    <row r="25" spans="1:18" ht="26.25" customHeight="1" x14ac:dyDescent="0.2">
      <c r="A25" s="130"/>
      <c r="B25" s="130"/>
      <c r="C25" s="130"/>
      <c r="D25" s="130"/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</row>
  </sheetData>
  <mergeCells count="29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A23:F23"/>
    <mergeCell ref="G23:Q23"/>
    <mergeCell ref="A24:Q25"/>
    <mergeCell ref="O18:P18"/>
    <mergeCell ref="O19:P19"/>
    <mergeCell ref="O20:P20"/>
    <mergeCell ref="A21:P21"/>
    <mergeCell ref="A22:Q22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Lorena</cp:lastModifiedBy>
  <cp:revision>2</cp:revision>
  <cp:lastPrinted>2020-07-23T13:47:13Z</cp:lastPrinted>
  <dcterms:created xsi:type="dcterms:W3CDTF">2020-07-17T23:44:49Z</dcterms:created>
  <dcterms:modified xsi:type="dcterms:W3CDTF">2021-03-22T16:53:57Z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