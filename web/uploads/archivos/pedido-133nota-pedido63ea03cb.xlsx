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A96A2363-B773-4DDF-B76B-08772F196D4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 " sheetId="7" r:id="rId1"/>
    <sheet name=" NotaPedido" sheetId="4" r:id="rId2"/>
    <sheet name="Autor Gastar" sheetId="5" r:id="rId3"/>
  </sheets>
  <definedNames>
    <definedName name="_xlnm._FilterDatabase" localSheetId="0" hidden="1">'Necesidades Trimestrales '!$A$9:$AS$9</definedName>
    <definedName name="_xlnm.Print_Area" localSheetId="1">' NotaPedido'!$A$1:$K$26</definedName>
    <definedName name="_xlnm.Print_Area" localSheetId="2">'Autor Gastar'!$A$1:$Q$42</definedName>
  </definedNames>
  <calcPr calcId="181029"/>
</workbook>
</file>

<file path=xl/calcChain.xml><?xml version="1.0" encoding="utf-8"?>
<calcChain xmlns="http://schemas.openxmlformats.org/spreadsheetml/2006/main">
  <c r="AS12" i="7" l="1"/>
  <c r="L13" i="4" l="1"/>
  <c r="L14" i="4"/>
  <c r="L15" i="4"/>
  <c r="L16" i="4"/>
  <c r="L17" i="4"/>
  <c r="L18" i="4"/>
  <c r="L19" i="4"/>
  <c r="L20" i="4"/>
  <c r="L21" i="4"/>
  <c r="L22" i="4"/>
  <c r="L23" i="4"/>
  <c r="L24" i="4"/>
  <c r="L25" i="4"/>
  <c r="L12" i="4"/>
  <c r="J26" i="4" l="1"/>
  <c r="V21" i="7"/>
  <c r="AS20" i="7"/>
  <c r="R20" i="7"/>
  <c r="AS19" i="7"/>
  <c r="R19" i="7"/>
  <c r="AS18" i="7"/>
  <c r="R18" i="7"/>
  <c r="AS17" i="7"/>
  <c r="R17" i="7"/>
  <c r="AS16" i="7"/>
  <c r="R16" i="7"/>
  <c r="AS15" i="7"/>
  <c r="R15" i="7"/>
  <c r="AS14" i="7"/>
  <c r="R14" i="7"/>
  <c r="AS13" i="7"/>
  <c r="R13" i="7"/>
  <c r="AS11" i="7"/>
  <c r="R11" i="7"/>
  <c r="AS10" i="7"/>
  <c r="Q15" i="5" s="1"/>
  <c r="R10" i="7"/>
  <c r="Q16" i="5" l="1"/>
  <c r="AS21" i="7"/>
  <c r="R21" i="7"/>
  <c r="Q38" i="5" l="1"/>
</calcChain>
</file>

<file path=xl/sharedStrings.xml><?xml version="1.0" encoding="utf-8"?>
<sst xmlns="http://schemas.openxmlformats.org/spreadsheetml/2006/main" count="232" uniqueCount="134">
  <si>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</si>
  <si>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</si>
  <si>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</si>
  <si>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</si>
  <si>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</si>
  <si>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</si>
  <si>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</si>
  <si>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</si>
  <si>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</si>
  <si>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</si>
  <si>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</si>
  <si>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</si>
  <si>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</si>
  <si>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</si>
  <si>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</si>
  <si>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</si>
  <si>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</si>
  <si>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</si>
  <si>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</si>
  <si>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</si>
  <si>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</si>
  <si>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</si>
  <si>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</si>
  <si>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</si>
  <si>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</si>
  <si>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</si>
  <si>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</si>
  <si>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</si>
  <si>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</si>
  <si>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</si>
  <si>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</si>
  <si>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</si>
  <si>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</si>
  <si>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</si>
  <si>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</si>
  <si>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</si>
  <si>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</si>
  <si>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</si>
  <si>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EJERCICIO: 2021</t>
  </si>
  <si>
    <t>Kit</t>
  </si>
  <si>
    <t>COMPUESTOS QUIMICOS</t>
  </si>
  <si>
    <t>KIT</t>
  </si>
  <si>
    <t>TUBO CONICO PP GRADUADO CON TAPA -ENVASE INDIVIDUAL- 15 ML Tipo VITIS</t>
  </si>
  <si>
    <t xml:space="preserve">Tips 1000 ul Rack esteril con filtro calidad Biol. Molecular libre de ADNasa y ARNasa </t>
  </si>
  <si>
    <t>RACK</t>
  </si>
  <si>
    <t xml:space="preserve">UNIDAD  </t>
  </si>
  <si>
    <t xml:space="preserve">Tips 20 ul Rack esteril con filtro calidad Biol. Molecular libre de ADNasa y ARNasa </t>
  </si>
  <si>
    <t>PACK</t>
  </si>
  <si>
    <t>UTILES MENORES MEDICO, QUIRURGICO Y DE LABORATORIO</t>
  </si>
  <si>
    <t>Pedido de Necesidades Trimestrales</t>
  </si>
  <si>
    <t>JURISDICCION:</t>
  </si>
  <si>
    <t>40 - MINISTERIO DE SALUD</t>
  </si>
  <si>
    <t xml:space="preserve">SAF N°: </t>
  </si>
  <si>
    <t>11 - DIRE PROV DE ADMINISTRACION - MINISTERIO DE SALUD</t>
  </si>
  <si>
    <t>EJERCICIO:</t>
  </si>
  <si>
    <t>TRIMESTRE:</t>
  </si>
  <si>
    <t>SEGUNDO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</si>
  <si>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</si>
  <si>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</si>
  <si>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</si>
  <si>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</si>
  <si>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</si>
  <si>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</si>
  <si>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DIR. ADM.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</si>
  <si>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</si>
  <si>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</si>
  <si>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</si>
  <si>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</si>
  <si>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</si>
  <si>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</si>
  <si>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</si>
  <si>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</si>
  <si>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</si>
  <si>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</si>
  <si>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</si>
  <si>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</si>
  <si>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</si>
  <si>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</si>
  <si>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</si>
  <si>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</si>
  <si>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</si>
  <si>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</si>
  <si>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</si>
  <si>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</si>
  <si>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</si>
  <si>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</si>
  <si>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</si>
  <si>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</si>
  <si>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</si>
  <si>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</si>
  <si>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</si>
  <si>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</si>
  <si>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</si>
  <si>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</si>
  <si>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</si>
  <si>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</si>
  <si>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</si>
  <si>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</si>
  <si>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</si>
  <si>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</si>
  <si>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</si>
  <si>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</si>
  <si>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PROD. MEDICO/FARMACEUTICOS/LAB</t>
  </si>
  <si>
    <t xml:space="preserve">Especificidades </t>
  </si>
  <si>
    <t>Plazos de entrega</t>
  </si>
  <si>
    <t>Lugar de Entrega:</t>
  </si>
  <si>
    <t>Calidad Minima esperada</t>
  </si>
  <si>
    <t>Mantenimiento</t>
  </si>
  <si>
    <t>cuarenta y cinco (45) días</t>
  </si>
  <si>
    <t>040 - Ministerio de Salud</t>
  </si>
  <si>
    <t>011- Dirección Provincial de Administración</t>
  </si>
  <si>
    <t>468 - DIRECCION PROVINCIAL DE LABORATORIO</t>
  </si>
  <si>
    <t>JUSTIFICACIÓN: ADQUISICIÓN DE INSUMOS DE BIOLOGIA MOLECULAR PARA LA DETECCION DE COVID.</t>
  </si>
  <si>
    <t xml:space="preserve"> DIR. PROV. DE LABORATORIO - CHACABUCO Nº 169 - LOCALES DEL 1 AL 6 - SAN FERNANDO DEL VALLE DE CATAMARCA - DE LUNES A VIERNES DE 6 A 12 HORAS</t>
  </si>
  <si>
    <t xml:space="preserve">Kit para transcripcion reversa Qscript XLT 500 reacciones TIPO TOUGHM </t>
  </si>
  <si>
    <t>Set de sondas y primers para deteccion de nCoV 19 protocolo enero 2020 del Inst. de Virologia Charité-Alemania - Escala de sintesis 50 nmol -GEN E Y RdRP2 TIPO FAM-BHQ</t>
  </si>
  <si>
    <t>Set de sondas y primers para deteccion de nCoV 19 protocolo enero 2020 del Inst. de Virologia Charité-Alemania - Escala de sintesis 50 nmol -Gen Rnasa P TIPO FAM-BHQ</t>
  </si>
  <si>
    <t>kit</t>
  </si>
  <si>
    <t>Placa de PCR/qPCR de 96 pocillos x 0,1 ml - calidad Biol. Molecular libre de ADNasa y ARNas x10 unidades</t>
  </si>
  <si>
    <t>caja</t>
  </si>
  <si>
    <t>MICROTUBO EPPENDORF AUTOCLAVE 1,5 ML  Dnasa/Rnasa FREE x 500 unidades</t>
  </si>
  <si>
    <t>bolsa</t>
  </si>
  <si>
    <t xml:space="preserve">Tips 300 ul Rack esteril con filtro calidad Biol. Molecular libre de ADNasa y ARNasa </t>
  </si>
  <si>
    <t xml:space="preserve">Kit de Extraccion de ARN QIAamp Viral x 250 Columnas (Incl.carrier de ARN, tubos colectores y buffers libres de ARNasa) Tipo </t>
  </si>
  <si>
    <t>Sellador para placas RT2 Qpcr 100/box</t>
  </si>
  <si>
    <t xml:space="preserve">diez (10) dias habiles </t>
  </si>
  <si>
    <t>Costo total estimado: CINCUENTA Y TRES MILLONES OCHOCIENTOS TREINTA Y NUEVE MIL TRESCIENTOS CON 00/100.-</t>
  </si>
  <si>
    <t>TOTAL DE PESOS: CINCUENTA Y TRES MILLONES OCHOCIENTOS TREINTA Y NUEVE MIL TRESCIENTOS CON 00/100.-</t>
  </si>
  <si>
    <t>Autorizo la realización de los  trámites correspondientes, a fin de proveer a  este Organismo los bienes que se detallan en Nota  de Pedido N° 32/2021 ,afectando la erogación resultante a los créditos presupuestarios aprobados a favor de esta Unidad Ejecutora, conforme al siguiente detalle:</t>
  </si>
  <si>
    <t xml:space="preserve">             32  /2021</t>
  </si>
  <si>
    <t>QUIMICOS</t>
  </si>
  <si>
    <t xml:space="preserve">
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3-Los productos deberán tener un vencimiento posterior a doce (12) meses  a partir de la fecha de su recepción.                                                                                             4- RESPETAR LAS ESPECIFICACIONES  DETALLADA DE LOS ITEMS DEL 01 AL 11.-                                                                                                      5-CUALQUIER DUDA TECNICA LLAMARME A MI CELULAR DRA CAMPI VERONICA 3834-902984                                                                                6- LOS GASTOS DE FLETE, ACARREO, CARGA Y DESCARGA Y SEGURO; POR CUENTA DEL ADJUDICATARIO.-</t>
  </si>
  <si>
    <t>ADQUISICIÓN DE INSUMOS DE BIOLOGIA MOLECULAR PARA LA DETECCION DE COVID.</t>
  </si>
  <si>
    <t>2°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</si>
</sst>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_(\$* #,##0.00_);_(\$* \(#,##0.00\);_(\$* \-??_);_(@_)"/>
    <numFmt numFmtId="169" formatCode="&quot;$&quot;\ #,##0.00"/>
    <numFmt numFmtId="170" formatCode="dd\-mm\-yy;@"/>
    <numFmt numFmtId="171" formatCode="_-[$$-2C0A]\ * #,##0.00_-;\-[$$-2C0A]\ * #,##0.00_-;_-[$$-2C0A]\ * &quot;-&quot;??_-;_-@_-"/>
    <numFmt numFmtId="172" formatCode="[$$-2C0A]#,##0.00"/>
    <numFmt numFmtId="173" formatCode="&quot;$&quot;#,##0.00"/>
  </numFmts>
  <fonts count="3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9"/>
      <color rgb="FF000000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0"/>
      <name val="Arial"/>
      <family val="2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b/>
      <u/>
      <sz val="24"/>
      <name val="Times New Roman"/>
      <family val="1"/>
      <charset val="1"/>
    </font>
    <font>
      <sz val="12"/>
      <color rgb="FF000000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rgb="FF222222"/>
      <name val="Arial"/>
      <family val="2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b/>
      <sz val="10"/>
      <name val="Times New Roman"/>
      <family val="1"/>
    </font>
    <font>
      <sz val="10"/>
      <color theme="0"/>
      <name val="Arial"/>
      <family val="2"/>
      <charset val="1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auto="1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indexed="64"/>
      </bottom>
      <diagonal/>
    </border>
    <border>
      <left/>
      <right style="medium">
        <color auto="1"/>
      </right>
      <top style="medium">
        <color rgb="FF3D3D3D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</borders>
  <cellStyleXfs count="24">
    <xf numFmtId="0" fontId="0" fillId="0" borderId="0"/>
    <xf numFmtId="0" fontId="3" fillId="0" borderId="1" applyProtection="0"/>
    <xf numFmtId="0" fontId="4" fillId="2" borderId="0" applyBorder="0" applyProtection="0"/>
    <xf numFmtId="165" fontId="9" fillId="0" borderId="0" applyBorder="0" applyProtection="0"/>
    <xf numFmtId="0" fontId="9" fillId="0" borderId="0"/>
    <xf numFmtId="168" fontId="8" fillId="0" borderId="0" applyBorder="0" applyProtection="0"/>
    <xf numFmtId="0" fontId="9" fillId="0" borderId="0"/>
    <xf numFmtId="0" fontId="9" fillId="0" borderId="0"/>
    <xf numFmtId="0" fontId="9" fillId="0" borderId="0"/>
    <xf numFmtId="0" fontId="2" fillId="0" borderId="0"/>
    <xf numFmtId="0" fontId="3" fillId="0" borderId="1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9" fillId="0" borderId="0" applyBorder="0" applyAlignment="0" applyProtection="0"/>
    <xf numFmtId="165" fontId="9" fillId="0" borderId="0" applyBorder="0" applyProtection="0"/>
    <xf numFmtId="165" fontId="9" fillId="0" borderId="0" applyBorder="0" applyProtection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</cellStyleXfs>
  <cellXfs count="238">
    <xf numFmtId="0" fontId="0" fillId="0" borderId="0" xfId="0"/>
    <xf numFmtId="0" fontId="8" fillId="0" borderId="0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6" fillId="0" borderId="19" xfId="0" applyFont="1" applyBorder="1" applyAlignment="1">
      <alignment horizontal="right" vertical="center"/>
    </xf>
    <xf numFmtId="0" fontId="6" fillId="0" borderId="21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0" fillId="0" borderId="4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3" fontId="16" fillId="0" borderId="3" xfId="6" applyNumberFormat="1" applyFont="1" applyBorder="1" applyAlignment="1"/>
    <xf numFmtId="170" fontId="9" fillId="0" borderId="3" xfId="6" applyNumberFormat="1" applyBorder="1" applyAlignment="1">
      <alignment horizontal="left"/>
    </xf>
    <xf numFmtId="0" fontId="9" fillId="0" borderId="3" xfId="6" applyBorder="1"/>
    <xf numFmtId="0" fontId="9" fillId="0" borderId="0" xfId="6"/>
    <xf numFmtId="0" fontId="9" fillId="0" borderId="4" xfId="6" applyBorder="1"/>
    <xf numFmtId="0" fontId="9" fillId="0" borderId="0" xfId="6" applyBorder="1"/>
    <xf numFmtId="0" fontId="9" fillId="0" borderId="0" xfId="6" applyBorder="1" applyAlignment="1">
      <alignment horizontal="left"/>
    </xf>
    <xf numFmtId="170" fontId="9" fillId="0" borderId="0" xfId="6" applyNumberFormat="1" applyBorder="1" applyAlignment="1">
      <alignment horizontal="left"/>
    </xf>
    <xf numFmtId="0" fontId="9" fillId="0" borderId="5" xfId="6" applyBorder="1"/>
    <xf numFmtId="0" fontId="8" fillId="0" borderId="0" xfId="6" applyFont="1"/>
    <xf numFmtId="0" fontId="9" fillId="0" borderId="21" xfId="6" applyBorder="1"/>
    <xf numFmtId="0" fontId="9" fillId="0" borderId="10" xfId="6" applyBorder="1"/>
    <xf numFmtId="0" fontId="9" fillId="0" borderId="10" xfId="6" applyBorder="1" applyAlignment="1">
      <alignment horizontal="left"/>
    </xf>
    <xf numFmtId="0" fontId="9" fillId="0" borderId="34" xfId="6" applyBorder="1"/>
    <xf numFmtId="0" fontId="20" fillId="0" borderId="37" xfId="6" applyFont="1" applyBorder="1" applyAlignment="1">
      <alignment horizontal="center" vertical="center"/>
    </xf>
    <xf numFmtId="0" fontId="20" fillId="0" borderId="38" xfId="6" applyFont="1" applyBorder="1" applyAlignment="1">
      <alignment horizontal="center" vertical="center"/>
    </xf>
    <xf numFmtId="0" fontId="20" fillId="0" borderId="38" xfId="6" applyFont="1" applyBorder="1" applyAlignment="1">
      <alignment horizontal="left" vertical="center"/>
    </xf>
    <xf numFmtId="0" fontId="20" fillId="0" borderId="39" xfId="6" applyFont="1" applyBorder="1" applyAlignment="1">
      <alignment horizontal="center" vertical="center"/>
    </xf>
    <xf numFmtId="0" fontId="20" fillId="0" borderId="40" xfId="6" applyFont="1" applyBorder="1" applyAlignment="1">
      <alignment horizontal="center" vertical="center"/>
    </xf>
    <xf numFmtId="0" fontId="9" fillId="0" borderId="41" xfId="6" applyFont="1" applyBorder="1" applyAlignment="1">
      <alignment horizontal="center" vertical="center"/>
    </xf>
    <xf numFmtId="166" fontId="0" fillId="0" borderId="45" xfId="5" applyNumberFormat="1" applyFont="1" applyBorder="1" applyAlignment="1" applyProtection="1">
      <alignment horizontal="center" vertical="center"/>
    </xf>
    <xf numFmtId="0" fontId="9" fillId="0" borderId="46" xfId="6" applyFont="1" applyBorder="1" applyAlignment="1">
      <alignment horizontal="center" vertical="center"/>
    </xf>
    <xf numFmtId="0" fontId="9" fillId="0" borderId="47" xfId="6" applyFont="1" applyBorder="1" applyAlignment="1">
      <alignment horizontal="center" vertical="center"/>
    </xf>
    <xf numFmtId="0" fontId="9" fillId="0" borderId="48" xfId="6" applyFont="1" applyBorder="1" applyAlignment="1">
      <alignment horizontal="center" vertical="center"/>
    </xf>
    <xf numFmtId="0" fontId="9" fillId="0" borderId="49" xfId="6" applyFont="1" applyBorder="1" applyAlignment="1">
      <alignment horizontal="center" vertical="center"/>
    </xf>
    <xf numFmtId="166" fontId="0" fillId="0" borderId="50" xfId="5" applyNumberFormat="1" applyFont="1" applyBorder="1" applyAlignment="1" applyProtection="1">
      <alignment horizontal="center" vertical="center"/>
    </xf>
    <xf numFmtId="0" fontId="18" fillId="0" borderId="46" xfId="6" applyFont="1" applyBorder="1" applyAlignment="1">
      <alignment horizontal="center" vertical="center"/>
    </xf>
    <xf numFmtId="0" fontId="18" fillId="0" borderId="47" xfId="6" applyFont="1" applyBorder="1" applyAlignment="1">
      <alignment horizontal="center" vertical="center"/>
    </xf>
    <xf numFmtId="0" fontId="9" fillId="0" borderId="49" xfId="6" applyBorder="1" applyAlignment="1">
      <alignment horizontal="center" vertical="center"/>
    </xf>
    <xf numFmtId="0" fontId="18" fillId="0" borderId="48" xfId="6" applyFont="1" applyBorder="1" applyAlignment="1">
      <alignment horizontal="center" vertical="center"/>
    </xf>
    <xf numFmtId="0" fontId="18" fillId="0" borderId="49" xfId="6" applyFont="1" applyBorder="1" applyAlignment="1">
      <alignment horizontal="center" vertical="center"/>
    </xf>
    <xf numFmtId="0" fontId="9" fillId="0" borderId="51" xfId="6" applyBorder="1" applyAlignment="1">
      <alignment horizontal="center" vertical="center"/>
    </xf>
    <xf numFmtId="0" fontId="9" fillId="0" borderId="52" xfId="6" applyBorder="1" applyAlignment="1">
      <alignment horizontal="center" vertical="center"/>
    </xf>
    <xf numFmtId="0" fontId="9" fillId="0" borderId="53" xfId="6" applyBorder="1" applyAlignment="1">
      <alignment horizontal="center" vertical="center"/>
    </xf>
    <xf numFmtId="166" fontId="0" fillId="0" borderId="54" xfId="5" applyNumberFormat="1" applyFont="1" applyBorder="1" applyAlignment="1" applyProtection="1">
      <alignment horizontal="center" vertical="center"/>
    </xf>
    <xf numFmtId="166" fontId="20" fillId="0" borderId="56" xfId="6" applyNumberFormat="1" applyFont="1" applyBorder="1" applyAlignment="1">
      <alignment horizontal="center" vertical="center"/>
    </xf>
    <xf numFmtId="0" fontId="9" fillId="0" borderId="0" xfId="6" applyAlignment="1">
      <alignment horizontal="left"/>
    </xf>
    <xf numFmtId="0" fontId="18" fillId="0" borderId="0" xfId="6" applyFont="1" applyBorder="1" applyAlignment="1">
      <alignment horizontal="left" indent="1"/>
    </xf>
    <xf numFmtId="0" fontId="7" fillId="0" borderId="8" xfId="0" applyFont="1" applyBorder="1" applyAlignment="1">
      <alignment horizontal="left" vertical="center" wrapText="1" indent="1"/>
    </xf>
    <xf numFmtId="0" fontId="7" fillId="0" borderId="20" xfId="0" applyNumberFormat="1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6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 wrapText="1"/>
    </xf>
    <xf numFmtId="169" fontId="12" fillId="0" borderId="67" xfId="0" applyNumberFormat="1" applyFont="1" applyBorder="1" applyAlignment="1">
      <alignment horizontal="center" vertical="center" wrapText="1"/>
    </xf>
    <xf numFmtId="169" fontId="8" fillId="0" borderId="71" xfId="0" applyNumberFormat="1" applyFont="1" applyBorder="1" applyAlignment="1">
      <alignment vertical="center"/>
    </xf>
    <xf numFmtId="0" fontId="11" fillId="4" borderId="66" xfId="0" applyFont="1" applyFill="1" applyBorder="1" applyAlignment="1">
      <alignment horizontal="center" vertical="center" wrapText="1"/>
    </xf>
    <xf numFmtId="0" fontId="23" fillId="4" borderId="67" xfId="0" applyFont="1" applyFill="1" applyBorder="1" applyAlignment="1">
      <alignment horizontal="center" vertical="center" wrapText="1"/>
    </xf>
    <xf numFmtId="169" fontId="12" fillId="4" borderId="67" xfId="0" applyNumberFormat="1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vertical="center"/>
    </xf>
    <xf numFmtId="0" fontId="0" fillId="4" borderId="0" xfId="0" applyFill="1"/>
    <xf numFmtId="0" fontId="11" fillId="4" borderId="67" xfId="0" applyFont="1" applyFill="1" applyBorder="1" applyAlignment="1">
      <alignment horizontal="center" vertical="center" wrapText="1"/>
    </xf>
    <xf numFmtId="0" fontId="23" fillId="4" borderId="66" xfId="0" applyFont="1" applyFill="1" applyBorder="1" applyAlignment="1">
      <alignment horizontal="center" vertical="center" wrapText="1"/>
    </xf>
    <xf numFmtId="169" fontId="12" fillId="4" borderId="9" xfId="0" applyNumberFormat="1" applyFont="1" applyFill="1" applyBorder="1" applyAlignment="1">
      <alignment horizontal="center" vertical="center" wrapText="1"/>
    </xf>
    <xf numFmtId="0" fontId="13" fillId="4" borderId="66" xfId="0" applyFont="1" applyFill="1" applyBorder="1" applyAlignment="1">
      <alignment horizontal="left" vertical="center"/>
    </xf>
    <xf numFmtId="0" fontId="12" fillId="4" borderId="66" xfId="0" applyFont="1" applyFill="1" applyBorder="1" applyAlignment="1">
      <alignment horizontal="center" vertical="center"/>
    </xf>
    <xf numFmtId="169" fontId="12" fillId="0" borderId="9" xfId="0" applyNumberFormat="1" applyFont="1" applyBorder="1" applyAlignment="1">
      <alignment horizontal="center" vertical="center" wrapText="1"/>
    </xf>
    <xf numFmtId="0" fontId="13" fillId="0" borderId="67" xfId="0" applyFont="1" applyBorder="1" applyAlignment="1">
      <alignment horizontal="left" vertical="center"/>
    </xf>
    <xf numFmtId="0" fontId="12" fillId="0" borderId="67" xfId="0" applyFont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3" fontId="21" fillId="4" borderId="67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vertical="center" wrapText="1"/>
    </xf>
    <xf numFmtId="1" fontId="26" fillId="0" borderId="0" xfId="0" applyNumberFormat="1" applyFont="1" applyAlignment="1">
      <alignment horizontal="center"/>
    </xf>
    <xf numFmtId="169" fontId="26" fillId="0" borderId="0" xfId="0" applyNumberFormat="1" applyFont="1" applyAlignment="1">
      <alignment horizontal="center"/>
    </xf>
    <xf numFmtId="3" fontId="26" fillId="0" borderId="0" xfId="0" applyNumberFormat="1" applyFont="1" applyAlignment="1">
      <alignment horizontal="center"/>
    </xf>
    <xf numFmtId="3" fontId="26" fillId="0" borderId="0" xfId="0" applyNumberFormat="1" applyFont="1" applyAlignment="1">
      <alignment horizontal="center" vertical="center"/>
    </xf>
    <xf numFmtId="169" fontId="21" fillId="0" borderId="0" xfId="3" applyNumberFormat="1" applyFont="1" applyAlignment="1">
      <alignment vertical="center"/>
    </xf>
    <xf numFmtId="171" fontId="26" fillId="0" borderId="0" xfId="0" applyNumberFormat="1" applyFont="1" applyAlignment="1">
      <alignment vertical="center"/>
    </xf>
    <xf numFmtId="0" fontId="26" fillId="0" borderId="0" xfId="0" applyFont="1"/>
    <xf numFmtId="0" fontId="30" fillId="0" borderId="0" xfId="0" applyFont="1" applyAlignment="1">
      <alignment horizontal="center" wrapText="1"/>
    </xf>
    <xf numFmtId="1" fontId="30" fillId="0" borderId="0" xfId="0" applyNumberFormat="1" applyFont="1" applyAlignment="1">
      <alignment horizontal="center" wrapText="1"/>
    </xf>
    <xf numFmtId="169" fontId="30" fillId="0" borderId="0" xfId="0" applyNumberFormat="1" applyFont="1" applyAlignment="1">
      <alignment horizontal="center" wrapText="1"/>
    </xf>
    <xf numFmtId="3" fontId="30" fillId="0" borderId="0" xfId="0" applyNumberFormat="1" applyFont="1" applyAlignment="1">
      <alignment horizontal="center" wrapText="1"/>
    </xf>
    <xf numFmtId="3" fontId="30" fillId="0" borderId="0" xfId="0" applyNumberFormat="1" applyFont="1" applyAlignment="1">
      <alignment horizontal="center" vertical="center" wrapText="1"/>
    </xf>
    <xf numFmtId="0" fontId="29" fillId="0" borderId="0" xfId="0" applyFont="1" applyFill="1" applyAlignment="1">
      <alignment horizontal="left" vertical="center" wrapText="1"/>
    </xf>
    <xf numFmtId="0" fontId="31" fillId="0" borderId="0" xfId="0" applyFont="1" applyFill="1" applyAlignment="1">
      <alignment horizontal="left" wrapText="1"/>
    </xf>
    <xf numFmtId="0" fontId="31" fillId="0" borderId="0" xfId="0" applyFont="1" applyFill="1" applyAlignment="1">
      <alignment horizontal="left" vertical="center" wrapText="1"/>
    </xf>
    <xf numFmtId="0" fontId="32" fillId="0" borderId="0" xfId="0" applyFont="1" applyAlignment="1">
      <alignment horizontal="center" wrapText="1"/>
    </xf>
    <xf numFmtId="0" fontId="30" fillId="0" borderId="0" xfId="0" applyFont="1" applyAlignment="1">
      <alignment horizontal="center" vertical="center" wrapText="1"/>
    </xf>
    <xf numFmtId="0" fontId="33" fillId="0" borderId="67" xfId="0" applyFont="1" applyBorder="1" applyAlignment="1">
      <alignment horizontal="center" vertical="center"/>
    </xf>
    <xf numFmtId="0" fontId="33" fillId="0" borderId="67" xfId="0" applyFont="1" applyBorder="1" applyAlignment="1">
      <alignment horizontal="center" vertical="center" wrapText="1"/>
    </xf>
    <xf numFmtId="1" fontId="33" fillId="0" borderId="67" xfId="0" applyNumberFormat="1" applyFont="1" applyBorder="1" applyAlignment="1">
      <alignment horizontal="center" vertical="center" wrapText="1"/>
    </xf>
    <xf numFmtId="169" fontId="33" fillId="0" borderId="67" xfId="0" applyNumberFormat="1" applyFont="1" applyBorder="1" applyAlignment="1">
      <alignment horizontal="center" vertical="center" wrapText="1"/>
    </xf>
    <xf numFmtId="3" fontId="33" fillId="0" borderId="67" xfId="0" applyNumberFormat="1" applyFont="1" applyBorder="1" applyAlignment="1">
      <alignment horizontal="center" vertical="center" wrapText="1"/>
    </xf>
    <xf numFmtId="169" fontId="21" fillId="0" borderId="67" xfId="3" applyNumberFormat="1" applyFont="1" applyBorder="1" applyAlignment="1">
      <alignment vertical="center" wrapText="1"/>
    </xf>
    <xf numFmtId="171" fontId="33" fillId="0" borderId="67" xfId="0" applyNumberFormat="1" applyFont="1" applyBorder="1" applyAlignment="1">
      <alignment vertical="center" wrapText="1"/>
    </xf>
    <xf numFmtId="0" fontId="34" fillId="0" borderId="0" xfId="0" applyFont="1" applyAlignment="1">
      <alignment wrapText="1"/>
    </xf>
    <xf numFmtId="0" fontId="26" fillId="4" borderId="67" xfId="0" applyFont="1" applyFill="1" applyBorder="1" applyAlignment="1">
      <alignment horizontal="center" vertical="center"/>
    </xf>
    <xf numFmtId="0" fontId="23" fillId="4" borderId="67" xfId="0" applyFont="1" applyFill="1" applyBorder="1" applyAlignment="1">
      <alignment horizontal="center" wrapText="1"/>
    </xf>
    <xf numFmtId="0" fontId="26" fillId="4" borderId="67" xfId="0" applyFont="1" applyFill="1" applyBorder="1" applyAlignment="1">
      <alignment horizontal="center"/>
    </xf>
    <xf numFmtId="0" fontId="9" fillId="4" borderId="67" xfId="0" applyFont="1" applyFill="1" applyBorder="1" applyAlignment="1">
      <alignment horizontal="left" vertical="center" wrapText="1"/>
    </xf>
    <xf numFmtId="1" fontId="26" fillId="4" borderId="67" xfId="0" applyNumberFormat="1" applyFont="1" applyFill="1" applyBorder="1" applyAlignment="1">
      <alignment horizontal="center"/>
    </xf>
    <xf numFmtId="169" fontId="26" fillId="4" borderId="67" xfId="0" applyNumberFormat="1" applyFont="1" applyFill="1" applyBorder="1" applyAlignment="1">
      <alignment horizontal="center"/>
    </xf>
    <xf numFmtId="3" fontId="26" fillId="4" borderId="67" xfId="0" applyNumberFormat="1" applyFont="1" applyFill="1" applyBorder="1" applyAlignment="1">
      <alignment horizontal="center"/>
    </xf>
    <xf numFmtId="3" fontId="9" fillId="4" borderId="67" xfId="0" applyNumberFormat="1" applyFont="1" applyFill="1" applyBorder="1" applyAlignment="1">
      <alignment horizontal="center" vertical="center" wrapText="1"/>
    </xf>
    <xf numFmtId="167" fontId="9" fillId="4" borderId="67" xfId="0" applyNumberFormat="1" applyFont="1" applyFill="1" applyBorder="1" applyAlignment="1">
      <alignment horizontal="center" vertical="center" wrapText="1"/>
    </xf>
    <xf numFmtId="171" fontId="26" fillId="4" borderId="67" xfId="0" applyNumberFormat="1" applyFont="1" applyFill="1" applyBorder="1" applyAlignment="1">
      <alignment vertical="center"/>
    </xf>
    <xf numFmtId="172" fontId="26" fillId="4" borderId="0" xfId="0" applyNumberFormat="1" applyFont="1" applyFill="1"/>
    <xf numFmtId="0" fontId="26" fillId="4" borderId="0" xfId="0" applyFont="1" applyFill="1"/>
    <xf numFmtId="167" fontId="26" fillId="4" borderId="67" xfId="0" applyNumberFormat="1" applyFont="1" applyFill="1" applyBorder="1" applyAlignment="1">
      <alignment horizontal="center"/>
    </xf>
    <xf numFmtId="0" fontId="26" fillId="4" borderId="67" xfId="0" applyFont="1" applyFill="1" applyBorder="1" applyAlignment="1">
      <alignment horizontal="center" vertical="center" wrapText="1"/>
    </xf>
    <xf numFmtId="173" fontId="26" fillId="4" borderId="67" xfId="0" applyNumberFormat="1" applyFont="1" applyFill="1" applyBorder="1" applyAlignment="1">
      <alignment horizontal="center"/>
    </xf>
    <xf numFmtId="3" fontId="26" fillId="4" borderId="67" xfId="0" applyNumberFormat="1" applyFont="1" applyFill="1" applyBorder="1" applyAlignment="1">
      <alignment horizontal="center" vertical="center"/>
    </xf>
    <xf numFmtId="169" fontId="21" fillId="4" borderId="67" xfId="3" applyNumberFormat="1" applyFont="1" applyFill="1" applyBorder="1" applyAlignment="1">
      <alignment vertical="center"/>
    </xf>
    <xf numFmtId="0" fontId="26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 wrapText="1"/>
    </xf>
    <xf numFmtId="1" fontId="26" fillId="4" borderId="0" xfId="0" applyNumberFormat="1" applyFont="1" applyFill="1" applyAlignment="1">
      <alignment horizontal="center"/>
    </xf>
    <xf numFmtId="0" fontId="26" fillId="4" borderId="0" xfId="0" applyFont="1" applyFill="1" applyAlignment="1">
      <alignment horizontal="center"/>
    </xf>
    <xf numFmtId="3" fontId="26" fillId="4" borderId="0" xfId="0" applyNumberFormat="1" applyFont="1" applyFill="1" applyAlignment="1">
      <alignment horizontal="center"/>
    </xf>
    <xf numFmtId="3" fontId="26" fillId="4" borderId="0" xfId="0" applyNumberFormat="1" applyFont="1" applyFill="1" applyAlignment="1">
      <alignment horizontal="center" vertical="center"/>
    </xf>
    <xf numFmtId="169" fontId="21" fillId="4" borderId="0" xfId="3" applyNumberFormat="1" applyFont="1" applyFill="1" applyAlignment="1">
      <alignment vertical="center"/>
    </xf>
    <xf numFmtId="171" fontId="26" fillId="4" borderId="0" xfId="0" applyNumberFormat="1" applyFont="1" applyFill="1" applyAlignment="1">
      <alignment vertical="center"/>
    </xf>
    <xf numFmtId="0" fontId="23" fillId="4" borderId="0" xfId="0" applyFont="1" applyFill="1" applyAlignment="1">
      <alignment horizontal="center" wrapText="1"/>
    </xf>
    <xf numFmtId="0" fontId="26" fillId="4" borderId="0" xfId="0" applyFont="1" applyFill="1" applyAlignment="1">
      <alignment horizontal="center" vertical="center" wrapText="1"/>
    </xf>
    <xf numFmtId="169" fontId="26" fillId="4" borderId="0" xfId="0" applyNumberFormat="1" applyFont="1" applyFill="1" applyAlignment="1">
      <alignment horizontal="center"/>
    </xf>
    <xf numFmtId="167" fontId="9" fillId="0" borderId="0" xfId="6" applyNumberFormat="1"/>
    <xf numFmtId="0" fontId="0" fillId="3" borderId="77" xfId="0" applyFont="1" applyFill="1" applyBorder="1" applyAlignment="1">
      <alignment horizontal="center" vertical="center"/>
    </xf>
    <xf numFmtId="0" fontId="0" fillId="3" borderId="42" xfId="0" applyFont="1" applyFill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3" borderId="43" xfId="0" applyFont="1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171" fontId="26" fillId="4" borderId="0" xfId="0" applyNumberFormat="1" applyFont="1" applyFill="1"/>
    <xf numFmtId="0" fontId="26" fillId="4" borderId="0" xfId="0" applyFont="1" applyFill="1" applyAlignment="1">
      <alignment vertical="center"/>
    </xf>
    <xf numFmtId="169" fontId="35" fillId="0" borderId="71" xfId="0" applyNumberFormat="1" applyFont="1" applyBorder="1" applyAlignment="1">
      <alignment vertical="center"/>
    </xf>
    <xf numFmtId="0" fontId="9" fillId="0" borderId="67" xfId="0" applyFont="1" applyFill="1" applyBorder="1" applyAlignment="1">
      <alignment horizontal="left" vertical="center" wrapText="1"/>
    </xf>
    <xf numFmtId="167" fontId="26" fillId="4" borderId="0" xfId="0" applyNumberFormat="1" applyFont="1" applyFill="1"/>
    <xf numFmtId="0" fontId="25" fillId="4" borderId="67" xfId="0" applyFont="1" applyFill="1" applyBorder="1" applyAlignment="1">
      <alignment horizontal="center" vertical="center" wrapText="1"/>
    </xf>
    <xf numFmtId="0" fontId="5" fillId="3" borderId="67" xfId="0" applyFont="1" applyFill="1" applyBorder="1" applyAlignment="1">
      <alignment horizontal="center" vertical="center" wrapText="1"/>
    </xf>
    <xf numFmtId="0" fontId="15" fillId="4" borderId="67" xfId="0" applyFont="1" applyFill="1" applyBorder="1" applyAlignment="1">
      <alignment horizontal="center" vertical="center" wrapText="1"/>
    </xf>
    <xf numFmtId="171" fontId="22" fillId="4" borderId="67" xfId="0" applyNumberFormat="1" applyFont="1" applyFill="1" applyBorder="1" applyAlignment="1">
      <alignment vertical="center"/>
    </xf>
    <xf numFmtId="172" fontId="36" fillId="4" borderId="0" xfId="0" applyNumberFormat="1" applyFont="1" applyFill="1"/>
    <xf numFmtId="0" fontId="26" fillId="4" borderId="0" xfId="0" applyFont="1" applyFill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Border="1" applyAlignment="1">
      <alignment horizontal="center"/>
    </xf>
    <xf numFmtId="0" fontId="27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right" vertical="center"/>
    </xf>
    <xf numFmtId="0" fontId="28" fillId="0" borderId="0" xfId="0" applyFont="1" applyBorder="1" applyAlignment="1">
      <alignment horizontal="left" vertical="center" wrapText="1"/>
    </xf>
    <xf numFmtId="0" fontId="29" fillId="0" borderId="0" xfId="0" applyFont="1" applyFill="1" applyBorder="1" applyAlignment="1">
      <alignment horizontal="left" wrapText="1"/>
    </xf>
    <xf numFmtId="0" fontId="26" fillId="4" borderId="0" xfId="0" applyFont="1" applyFill="1" applyAlignment="1">
      <alignment horizontal="left" vertical="center" wrapText="1"/>
    </xf>
    <xf numFmtId="0" fontId="24" fillId="4" borderId="68" xfId="0" applyFont="1" applyFill="1" applyBorder="1" applyAlignment="1">
      <alignment vertical="center"/>
    </xf>
    <xf numFmtId="0" fontId="24" fillId="4" borderId="18" xfId="0" applyFont="1" applyFill="1" applyBorder="1" applyAlignment="1">
      <alignment vertical="center"/>
    </xf>
    <xf numFmtId="0" fontId="24" fillId="4" borderId="69" xfId="0" applyFont="1" applyFill="1" applyBorder="1" applyAlignment="1">
      <alignment vertical="center"/>
    </xf>
    <xf numFmtId="0" fontId="10" fillId="0" borderId="68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69" xfId="0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22" fillId="0" borderId="74" xfId="0" applyFont="1" applyBorder="1" applyAlignment="1">
      <alignment horizontal="left" vertical="center" wrapText="1" indent="1"/>
    </xf>
    <xf numFmtId="0" fontId="22" fillId="0" borderId="75" xfId="0" applyFont="1" applyBorder="1" applyAlignment="1">
      <alignment horizontal="left" vertical="center" wrapText="1" indent="1"/>
    </xf>
    <xf numFmtId="0" fontId="22" fillId="0" borderId="76" xfId="0" applyFont="1" applyBorder="1" applyAlignment="1">
      <alignment horizontal="left" vertical="center" wrapText="1" indent="1"/>
    </xf>
    <xf numFmtId="167" fontId="10" fillId="0" borderId="29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0" fillId="0" borderId="18" xfId="0" applyFont="1" applyBorder="1" applyAlignment="1">
      <alignment vertical="center" wrapText="1"/>
    </xf>
    <xf numFmtId="0" fontId="10" fillId="0" borderId="69" xfId="0" applyFont="1" applyBorder="1" applyAlignment="1">
      <alignment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23" fillId="0" borderId="26" xfId="0" applyFont="1" applyBorder="1" applyAlignment="1">
      <alignment vertical="center" wrapText="1"/>
    </xf>
    <xf numFmtId="0" fontId="23" fillId="0" borderId="27" xfId="0" applyFont="1" applyBorder="1" applyAlignment="1">
      <alignment vertical="center" wrapText="1"/>
    </xf>
    <xf numFmtId="0" fontId="23" fillId="0" borderId="28" xfId="0" applyFont="1" applyBorder="1" applyAlignment="1">
      <alignment vertical="center" wrapText="1"/>
    </xf>
    <xf numFmtId="0" fontId="23" fillId="0" borderId="68" xfId="0" applyFont="1" applyBorder="1" applyAlignment="1">
      <alignment vertical="center" wrapText="1"/>
    </xf>
    <xf numFmtId="0" fontId="23" fillId="0" borderId="18" xfId="0" applyFont="1" applyBorder="1" applyAlignment="1">
      <alignment vertical="center" wrapText="1"/>
    </xf>
    <xf numFmtId="0" fontId="23" fillId="0" borderId="69" xfId="0" applyFont="1" applyBorder="1" applyAlignment="1">
      <alignment vertical="center" wrapText="1"/>
    </xf>
    <xf numFmtId="0" fontId="23" fillId="4" borderId="68" xfId="0" applyFont="1" applyFill="1" applyBorder="1" applyAlignment="1">
      <alignment vertical="center" wrapText="1"/>
    </xf>
    <xf numFmtId="0" fontId="23" fillId="4" borderId="18" xfId="0" applyFont="1" applyFill="1" applyBorder="1" applyAlignment="1">
      <alignment vertical="center" wrapText="1"/>
    </xf>
    <xf numFmtId="0" fontId="23" fillId="4" borderId="69" xfId="0" applyFont="1" applyFill="1" applyBorder="1" applyAlignment="1">
      <alignment vertical="center" wrapText="1"/>
    </xf>
    <xf numFmtId="0" fontId="13" fillId="4" borderId="68" xfId="0" applyFont="1" applyFill="1" applyBorder="1" applyAlignment="1">
      <alignment vertical="center" wrapText="1"/>
    </xf>
    <xf numFmtId="0" fontId="13" fillId="4" borderId="18" xfId="0" applyFont="1" applyFill="1" applyBorder="1" applyAlignment="1">
      <alignment vertical="center" wrapText="1"/>
    </xf>
    <xf numFmtId="0" fontId="13" fillId="4" borderId="69" xfId="0" applyFont="1" applyFill="1" applyBorder="1" applyAlignment="1">
      <alignment vertical="center" wrapText="1"/>
    </xf>
    <xf numFmtId="0" fontId="10" fillId="0" borderId="2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 wrapText="1"/>
    </xf>
    <xf numFmtId="0" fontId="18" fillId="0" borderId="57" xfId="6" applyFont="1" applyBorder="1" applyAlignment="1">
      <alignment horizontal="left" wrapText="1" indent="1"/>
    </xf>
    <xf numFmtId="0" fontId="0" fillId="0" borderId="58" xfId="0" applyBorder="1" applyAlignment="1">
      <alignment horizontal="left" wrapText="1" indent="1"/>
    </xf>
    <xf numFmtId="0" fontId="0" fillId="0" borderId="59" xfId="0" applyBorder="1" applyAlignment="1">
      <alignment horizontal="left" wrapText="1" indent="1"/>
    </xf>
    <xf numFmtId="0" fontId="18" fillId="0" borderId="22" xfId="6" applyFont="1" applyBorder="1" applyAlignment="1">
      <alignment horizontal="left" wrapText="1" indent="1"/>
    </xf>
    <xf numFmtId="0" fontId="0" fillId="0" borderId="61" xfId="0" applyBorder="1" applyAlignment="1">
      <alignment horizontal="left" wrapText="1" indent="1"/>
    </xf>
    <xf numFmtId="0" fontId="0" fillId="0" borderId="62" xfId="0" applyBorder="1" applyAlignment="1">
      <alignment horizontal="left" wrapText="1" indent="1"/>
    </xf>
    <xf numFmtId="0" fontId="21" fillId="0" borderId="29" xfId="0" applyFont="1" applyBorder="1" applyAlignment="1">
      <alignment horizontal="left" vertical="center" wrapText="1" indent="1"/>
    </xf>
    <xf numFmtId="0" fontId="10" fillId="0" borderId="1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 wrapText="1" indent="1"/>
    </xf>
    <xf numFmtId="0" fontId="18" fillId="0" borderId="63" xfId="6" applyFont="1" applyBorder="1" applyAlignment="1">
      <alignment horizontal="left" wrapText="1" indent="1"/>
    </xf>
    <xf numFmtId="0" fontId="0" fillId="0" borderId="64" xfId="0" applyBorder="1" applyAlignment="1">
      <alignment horizontal="left" wrapText="1" indent="1"/>
    </xf>
    <xf numFmtId="0" fontId="0" fillId="0" borderId="65" xfId="0" applyBorder="1" applyAlignment="1">
      <alignment horizontal="left" wrapText="1" indent="1"/>
    </xf>
    <xf numFmtId="0" fontId="16" fillId="0" borderId="4" xfId="6" applyFont="1" applyBorder="1" applyAlignment="1">
      <alignment vertical="top" wrapText="1"/>
    </xf>
    <xf numFmtId="0" fontId="16" fillId="0" borderId="0" xfId="6" applyFont="1" applyBorder="1" applyAlignment="1">
      <alignment vertical="top" wrapText="1"/>
    </xf>
    <xf numFmtId="0" fontId="16" fillId="0" borderId="5" xfId="6" applyFont="1" applyBorder="1" applyAlignment="1">
      <alignment vertical="top" wrapText="1"/>
    </xf>
    <xf numFmtId="0" fontId="16" fillId="0" borderId="6" xfId="6" applyFont="1" applyBorder="1" applyAlignment="1">
      <alignment vertical="top" wrapText="1"/>
    </xf>
    <xf numFmtId="0" fontId="16" fillId="0" borderId="7" xfId="6" applyFont="1" applyBorder="1" applyAlignment="1">
      <alignment vertical="top" wrapText="1"/>
    </xf>
    <xf numFmtId="0" fontId="16" fillId="0" borderId="8" xfId="6" applyFont="1" applyBorder="1" applyAlignment="1">
      <alignment vertical="top" wrapText="1"/>
    </xf>
    <xf numFmtId="0" fontId="9" fillId="0" borderId="49" xfId="6" applyFont="1" applyBorder="1" applyAlignment="1">
      <alignment horizontal="left" vertical="center"/>
    </xf>
    <xf numFmtId="0" fontId="9" fillId="0" borderId="49" xfId="6" applyBorder="1" applyAlignment="1">
      <alignment horizontal="left" vertical="center"/>
    </xf>
    <xf numFmtId="0" fontId="9" fillId="0" borderId="52" xfId="6" applyBorder="1" applyAlignment="1">
      <alignment horizontal="left" vertical="center"/>
    </xf>
    <xf numFmtId="0" fontId="16" fillId="0" borderId="55" xfId="6" applyFont="1" applyBorder="1" applyAlignment="1">
      <alignment horizontal="left" vertical="center" wrapText="1"/>
    </xf>
    <xf numFmtId="0" fontId="9" fillId="0" borderId="33" xfId="6" applyBorder="1"/>
    <xf numFmtId="0" fontId="9" fillId="0" borderId="49" xfId="6" applyFont="1" applyBorder="1" applyAlignment="1">
      <alignment horizontal="center" vertical="center"/>
    </xf>
    <xf numFmtId="49" fontId="18" fillId="0" borderId="17" xfId="6" applyNumberFormat="1" applyFont="1" applyBorder="1" applyAlignment="1">
      <alignment horizontal="justify" vertical="center" wrapText="1"/>
    </xf>
    <xf numFmtId="0" fontId="20" fillId="0" borderId="33" xfId="6" applyFont="1" applyBorder="1" applyAlignment="1">
      <alignment horizontal="center" vertical="center"/>
    </xf>
    <xf numFmtId="0" fontId="20" fillId="0" borderId="30" xfId="6" applyFont="1" applyBorder="1" applyAlignment="1">
      <alignment horizontal="center" vertical="center"/>
    </xf>
    <xf numFmtId="0" fontId="20" fillId="0" borderId="35" xfId="6" applyFont="1" applyBorder="1" applyAlignment="1">
      <alignment horizontal="center" vertical="center" wrapText="1"/>
    </xf>
    <xf numFmtId="0" fontId="20" fillId="0" borderId="36" xfId="6" applyFont="1" applyBorder="1" applyAlignment="1">
      <alignment horizontal="center" vertical="center"/>
    </xf>
    <xf numFmtId="0" fontId="9" fillId="0" borderId="43" xfId="6" applyFont="1" applyBorder="1" applyAlignment="1">
      <alignment vertical="center" wrapText="1"/>
    </xf>
    <xf numFmtId="0" fontId="9" fillId="0" borderId="44" xfId="6" applyFont="1" applyBorder="1" applyAlignment="1">
      <alignment vertical="center" wrapText="1"/>
    </xf>
    <xf numFmtId="0" fontId="9" fillId="0" borderId="72" xfId="6" applyFont="1" applyBorder="1" applyAlignment="1">
      <alignment vertical="center" wrapText="1"/>
    </xf>
    <xf numFmtId="0" fontId="9" fillId="0" borderId="73" xfId="6" applyFont="1" applyBorder="1" applyAlignment="1">
      <alignment vertical="center" wrapText="1"/>
    </xf>
    <xf numFmtId="0" fontId="9" fillId="0" borderId="49" xfId="6" applyBorder="1" applyAlignment="1">
      <alignment horizontal="center"/>
    </xf>
    <xf numFmtId="0" fontId="18" fillId="0" borderId="33" xfId="6" applyFont="1" applyBorder="1" applyAlignment="1">
      <alignment horizontal="left"/>
    </xf>
    <xf numFmtId="0" fontId="9" fillId="0" borderId="15" xfId="6" applyFont="1" applyBorder="1" applyAlignment="1">
      <alignment horizontal="center"/>
    </xf>
    <xf numFmtId="3" fontId="16" fillId="0" borderId="16" xfId="6" applyNumberFormat="1" applyFont="1" applyBorder="1" applyAlignment="1">
      <alignment horizontal="center"/>
    </xf>
    <xf numFmtId="0" fontId="17" fillId="0" borderId="20" xfId="6" applyFont="1" applyBorder="1" applyAlignment="1">
      <alignment horizontal="center" vertical="center" wrapText="1"/>
    </xf>
    <xf numFmtId="0" fontId="8" fillId="0" borderId="30" xfId="6" applyFont="1" applyBorder="1"/>
    <xf numFmtId="0" fontId="18" fillId="0" borderId="31" xfId="6" applyFont="1" applyBorder="1" applyAlignment="1">
      <alignment horizontal="left" indent="1"/>
    </xf>
    <xf numFmtId="0" fontId="12" fillId="0" borderId="30" xfId="6" applyFont="1" applyBorder="1" applyAlignment="1">
      <alignment horizontal="left" vertical="center" wrapText="1"/>
    </xf>
    <xf numFmtId="0" fontId="18" fillId="0" borderId="60" xfId="6" applyFont="1" applyBorder="1" applyAlignment="1">
      <alignment horizontal="left" wrapText="1" indent="1"/>
    </xf>
    <xf numFmtId="0" fontId="18" fillId="0" borderId="61" xfId="6" applyFont="1" applyBorder="1" applyAlignment="1">
      <alignment horizontal="left" wrapText="1" indent="1"/>
    </xf>
    <xf numFmtId="0" fontId="18" fillId="0" borderId="62" xfId="6" applyFont="1" applyBorder="1" applyAlignment="1">
      <alignment horizontal="left" wrapText="1" indent="1"/>
    </xf>
    <xf numFmtId="0" fontId="19" fillId="0" borderId="32" xfId="6" applyFont="1" applyBorder="1" applyAlignment="1">
      <alignment horizontal="left"/>
    </xf>
  </cellXfs>
  <cellStyles count="24">
    <cellStyle name="Encabezado 1" xfId="1" xr:uid="{00000000-0005-0000-0000-000000000000}"/>
    <cellStyle name="Encabezado 1 2" xfId="10" xr:uid="{00000000-0005-0000-0000-000001000000}"/>
    <cellStyle name="Millares 2" xfId="11" xr:uid="{00000000-0005-0000-0000-000002000000}"/>
    <cellStyle name="Millares 2 2" xfId="12" xr:uid="{00000000-0005-0000-0000-000003000000}"/>
    <cellStyle name="Moneda 2" xfId="3" xr:uid="{00000000-0005-0000-0000-000004000000}"/>
    <cellStyle name="Moneda 2 2" xfId="13" xr:uid="{00000000-0005-0000-0000-000005000000}"/>
    <cellStyle name="Moneda 3" xfId="14" xr:uid="{00000000-0005-0000-0000-000006000000}"/>
    <cellStyle name="Moneda 4" xfId="15" xr:uid="{00000000-0005-0000-0000-000007000000}"/>
    <cellStyle name="Moneda_AUTORIZACION Y NOTA DE PEDIDO" xfId="5" xr:uid="{00000000-0005-0000-0000-000008000000}"/>
    <cellStyle name="Neutral 1" xfId="2" xr:uid="{00000000-0005-0000-0000-000009000000}"/>
    <cellStyle name="Normal" xfId="0" builtinId="0"/>
    <cellStyle name="Normal 2" xfId="6" xr:uid="{00000000-0005-0000-0000-00000B000000}"/>
    <cellStyle name="Normal 2 2" xfId="16" xr:uid="{00000000-0005-0000-0000-00000C000000}"/>
    <cellStyle name="Normal 3" xfId="4" xr:uid="{00000000-0005-0000-0000-00000D000000}"/>
    <cellStyle name="Normal 3 2" xfId="7" xr:uid="{00000000-0005-0000-0000-00000E000000}"/>
    <cellStyle name="Normal 3 2 2" xfId="17" xr:uid="{00000000-0005-0000-0000-00000F000000}"/>
    <cellStyle name="Normal 3 3" xfId="18" xr:uid="{00000000-0005-0000-0000-000010000000}"/>
    <cellStyle name="Normal 3 4" xfId="19" xr:uid="{00000000-0005-0000-0000-000011000000}"/>
    <cellStyle name="Normal 4" xfId="8" xr:uid="{00000000-0005-0000-0000-000012000000}"/>
    <cellStyle name="Normal 4 2" xfId="20" xr:uid="{00000000-0005-0000-0000-000013000000}"/>
    <cellStyle name="Normal 4 3" xfId="21" xr:uid="{00000000-0005-0000-0000-000014000000}"/>
    <cellStyle name="Normal 5" xfId="9" xr:uid="{00000000-0005-0000-0000-000015000000}"/>
    <cellStyle name="Normal 6" xfId="22" xr:uid="{00000000-0005-0000-0000-000016000000}"/>
    <cellStyle name="Normal 7" xfId="23" xr:uid="{00000000-0005-0000-0000-000017000000}"/>
  </cellStyles>
  <dxfs count="2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3"/>
  <sheetViews>
    <sheetView tabSelected="1" zoomScale="80" zoomScaleNormal="80" workbookViewId="0">
      <selection activeCell="E24" sqref="E24"/>
    </sheetView>
  </sheetViews>
  <sheetFormatPr baseColWidth="10" defaultColWidth="11" defaultRowHeight="15" x14ac:dyDescent="0.25"/>
  <cols>
    <col min="1" max="1" width="6.42578125" style="81" customWidth="1"/>
    <col min="2" max="2" width="16" style="80" customWidth="1"/>
    <col min="3" max="3" width="50" style="81" customWidth="1"/>
    <col min="4" max="4" width="8.42578125" style="82" customWidth="1"/>
    <col min="5" max="5" width="39.5703125" style="83" customWidth="1"/>
    <col min="6" max="6" width="16.42578125" style="82" customWidth="1"/>
    <col min="7" max="7" width="11" style="82" hidden="1" customWidth="1"/>
    <col min="8" max="9" width="14.85546875" style="82" hidden="1" customWidth="1"/>
    <col min="10" max="10" width="24" style="82" hidden="1" customWidth="1"/>
    <col min="11" max="11" width="12.85546875" style="84" hidden="1" customWidth="1"/>
    <col min="12" max="12" width="18.85546875" style="85" hidden="1" customWidth="1"/>
    <col min="13" max="13" width="18.85546875" style="86" hidden="1" customWidth="1"/>
    <col min="14" max="14" width="18.85546875" style="82" hidden="1" customWidth="1"/>
    <col min="15" max="15" width="18.85546875" style="84" hidden="1" customWidth="1"/>
    <col min="16" max="16" width="18.85546875" style="82" hidden="1" customWidth="1"/>
    <col min="17" max="17" width="18.85546875" style="86" hidden="1" customWidth="1"/>
    <col min="18" max="18" width="18.85546875" style="82" hidden="1" customWidth="1"/>
    <col min="19" max="19" width="18.85546875" style="84" hidden="1" customWidth="1"/>
    <col min="20" max="20" width="18.85546875" style="82" hidden="1" customWidth="1"/>
    <col min="21" max="21" width="18.85546875" style="86" hidden="1" customWidth="1"/>
    <col min="22" max="22" width="18.85546875" style="82" hidden="1" customWidth="1"/>
    <col min="23" max="23" width="18.85546875" style="86" hidden="1" customWidth="1"/>
    <col min="24" max="24" width="18.85546875" style="82" hidden="1" customWidth="1"/>
    <col min="25" max="25" width="18.85546875" style="86" hidden="1" customWidth="1"/>
    <col min="26" max="26" width="18.85546875" style="82" hidden="1" customWidth="1"/>
    <col min="27" max="27" width="18.85546875" style="86" hidden="1" customWidth="1"/>
    <col min="28" max="28" width="18.85546875" style="82" hidden="1" customWidth="1"/>
    <col min="29" max="29" width="18.85546875" style="86" hidden="1" customWidth="1"/>
    <col min="30" max="30" width="18.85546875" style="82" hidden="1" customWidth="1"/>
    <col min="31" max="31" width="18.85546875" style="86" hidden="1" customWidth="1"/>
    <col min="32" max="32" width="18.85546875" style="82" hidden="1" customWidth="1"/>
    <col min="33" max="33" width="18.85546875" style="86" hidden="1" customWidth="1"/>
    <col min="34" max="34" width="18.85546875" style="82" hidden="1" customWidth="1"/>
    <col min="35" max="35" width="18.85546875" style="86" hidden="1" customWidth="1"/>
    <col min="36" max="36" width="18.85546875" style="82" hidden="1" customWidth="1"/>
    <col min="37" max="37" width="18.85546875" style="86" hidden="1" customWidth="1"/>
    <col min="38" max="38" width="18.85546875" style="82" hidden="1" customWidth="1"/>
    <col min="39" max="39" width="18.85546875" style="86" hidden="1" customWidth="1"/>
    <col min="40" max="40" width="18.85546875" style="82" hidden="1" customWidth="1"/>
    <col min="41" max="41" width="18.85546875" style="86" hidden="1" customWidth="1"/>
    <col min="42" max="42" width="18.85546875" style="82" hidden="1" customWidth="1"/>
    <col min="43" max="43" width="16.42578125" style="87" customWidth="1"/>
    <col min="44" max="44" width="16.5703125" style="88" bestFit="1" customWidth="1"/>
    <col min="45" max="45" width="22.5703125" style="89" customWidth="1"/>
    <col min="46" max="46" width="23.5703125" style="90" customWidth="1"/>
    <col min="47" max="47" width="15.140625" style="90" bestFit="1" customWidth="1"/>
    <col min="48" max="48" width="11" style="90"/>
    <col min="49" max="50" width="14" style="90" bestFit="1" customWidth="1"/>
    <col min="51" max="16384" width="11" style="90"/>
  </cols>
  <sheetData>
    <row r="1" spans="1:49" x14ac:dyDescent="0.25">
      <c r="A1" s="79">
        <v>2021</v>
      </c>
    </row>
    <row r="2" spans="1:49" ht="25.5" x14ac:dyDescent="0.35">
      <c r="B2" s="155" t="s">
        <v>49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6"/>
      <c r="AR2" s="157"/>
    </row>
    <row r="4" spans="1:49" ht="15.75" x14ac:dyDescent="0.25">
      <c r="A4" s="158" t="s">
        <v>50</v>
      </c>
      <c r="B4" s="158"/>
      <c r="C4" s="159" t="s">
        <v>51</v>
      </c>
      <c r="D4" s="159"/>
      <c r="E4" s="159"/>
      <c r="F4" s="91"/>
      <c r="G4" s="91"/>
      <c r="H4" s="91"/>
      <c r="I4" s="91"/>
      <c r="J4" s="91"/>
      <c r="K4" s="92"/>
      <c r="L4" s="93"/>
      <c r="M4" s="94"/>
      <c r="N4" s="91"/>
      <c r="O4" s="92"/>
      <c r="P4" s="91"/>
      <c r="Q4" s="94"/>
      <c r="R4" s="91"/>
      <c r="S4" s="92"/>
      <c r="T4" s="91"/>
      <c r="U4" s="94"/>
      <c r="V4" s="91"/>
      <c r="W4" s="94"/>
      <c r="X4" s="91"/>
      <c r="Y4" s="94"/>
      <c r="Z4" s="91"/>
      <c r="AA4" s="94"/>
      <c r="AB4" s="91"/>
      <c r="AC4" s="94"/>
      <c r="AD4" s="91"/>
      <c r="AE4" s="94"/>
      <c r="AF4" s="91"/>
      <c r="AG4" s="94"/>
      <c r="AH4" s="91"/>
      <c r="AI4" s="94"/>
      <c r="AJ4" s="91"/>
      <c r="AK4" s="94"/>
      <c r="AL4" s="91"/>
      <c r="AM4" s="94"/>
      <c r="AN4" s="91"/>
      <c r="AO4" s="94"/>
      <c r="AP4" s="91"/>
      <c r="AQ4" s="95"/>
    </row>
    <row r="5" spans="1:49" ht="15.75" x14ac:dyDescent="0.25">
      <c r="A5" s="158" t="s">
        <v>52</v>
      </c>
      <c r="B5" s="158"/>
      <c r="C5" s="159" t="s">
        <v>53</v>
      </c>
      <c r="D5" s="159"/>
      <c r="E5" s="159"/>
      <c r="F5" s="91"/>
      <c r="G5" s="91"/>
      <c r="H5" s="91"/>
      <c r="I5" s="91"/>
      <c r="J5" s="91"/>
      <c r="K5" s="92"/>
      <c r="L5" s="93"/>
      <c r="M5" s="94"/>
      <c r="N5" s="91"/>
      <c r="O5" s="92"/>
      <c r="P5" s="91"/>
      <c r="Q5" s="94"/>
      <c r="R5" s="91"/>
      <c r="S5" s="92"/>
      <c r="T5" s="91"/>
      <c r="U5" s="94"/>
      <c r="V5" s="91"/>
      <c r="W5" s="94"/>
      <c r="X5" s="91"/>
      <c r="Y5" s="94"/>
      <c r="Z5" s="91"/>
      <c r="AA5" s="94"/>
      <c r="AB5" s="91"/>
      <c r="AC5" s="94"/>
      <c r="AD5" s="91"/>
      <c r="AE5" s="94"/>
      <c r="AF5" s="91"/>
      <c r="AG5" s="94"/>
      <c r="AH5" s="91"/>
      <c r="AI5" s="94"/>
      <c r="AJ5" s="91"/>
      <c r="AK5" s="94"/>
      <c r="AL5" s="91"/>
      <c r="AM5" s="94"/>
      <c r="AN5" s="91"/>
      <c r="AO5" s="94"/>
      <c r="AP5" s="91"/>
      <c r="AQ5" s="95"/>
    </row>
    <row r="6" spans="1:49" ht="15.75" x14ac:dyDescent="0.2">
      <c r="A6" s="158" t="s">
        <v>54</v>
      </c>
      <c r="B6" s="158"/>
      <c r="C6" s="96">
        <v>2021</v>
      </c>
      <c r="D6" s="97"/>
      <c r="E6" s="98"/>
      <c r="F6" s="91"/>
      <c r="G6" s="91"/>
      <c r="H6" s="91"/>
      <c r="I6" s="91"/>
      <c r="J6" s="91"/>
      <c r="K6" s="92"/>
      <c r="L6" s="93"/>
      <c r="M6" s="94"/>
      <c r="N6" s="91"/>
      <c r="O6" s="92"/>
      <c r="P6" s="91"/>
      <c r="Q6" s="94"/>
      <c r="R6" s="91"/>
      <c r="S6" s="92"/>
      <c r="T6" s="91"/>
      <c r="U6" s="94"/>
      <c r="V6" s="91"/>
      <c r="W6" s="94"/>
      <c r="X6" s="91"/>
      <c r="Y6" s="94"/>
      <c r="Z6" s="91"/>
      <c r="AA6" s="94"/>
      <c r="AB6" s="91"/>
      <c r="AC6" s="94"/>
      <c r="AD6" s="91"/>
      <c r="AE6" s="94"/>
      <c r="AF6" s="91"/>
      <c r="AG6" s="94"/>
      <c r="AH6" s="91"/>
      <c r="AI6" s="94"/>
      <c r="AJ6" s="91"/>
      <c r="AK6" s="94"/>
      <c r="AL6" s="91"/>
      <c r="AM6" s="94"/>
      <c r="AN6" s="91"/>
      <c r="AO6" s="94"/>
      <c r="AP6" s="91"/>
      <c r="AQ6" s="95"/>
    </row>
    <row r="7" spans="1:49" ht="15.75" x14ac:dyDescent="0.2">
      <c r="A7" s="158" t="s">
        <v>55</v>
      </c>
      <c r="B7" s="158"/>
      <c r="C7" s="96" t="s">
        <v>56</v>
      </c>
      <c r="D7" s="97"/>
      <c r="E7" s="98"/>
      <c r="F7" s="91"/>
      <c r="G7" s="91"/>
      <c r="H7" s="91"/>
      <c r="I7" s="91"/>
      <c r="J7" s="91"/>
      <c r="K7" s="92"/>
      <c r="L7" s="93"/>
      <c r="M7" s="94"/>
      <c r="N7" s="91"/>
      <c r="O7" s="92"/>
      <c r="P7" s="91"/>
      <c r="Q7" s="94"/>
      <c r="R7" s="91"/>
      <c r="S7" s="92"/>
      <c r="T7" s="91"/>
      <c r="U7" s="94"/>
      <c r="V7" s="91"/>
      <c r="W7" s="94"/>
      <c r="X7" s="91"/>
      <c r="Y7" s="94"/>
      <c r="Z7" s="91"/>
      <c r="AA7" s="94"/>
      <c r="AB7" s="91"/>
      <c r="AC7" s="94"/>
      <c r="AD7" s="91"/>
      <c r="AE7" s="94"/>
      <c r="AF7" s="91"/>
      <c r="AG7" s="94"/>
      <c r="AH7" s="91"/>
      <c r="AI7" s="94"/>
      <c r="AJ7" s="91"/>
      <c r="AK7" s="94"/>
      <c r="AL7" s="91"/>
      <c r="AM7" s="94"/>
      <c r="AN7" s="91"/>
      <c r="AO7" s="94"/>
      <c r="AP7" s="91"/>
      <c r="AQ7" s="95"/>
    </row>
    <row r="8" spans="1:49" x14ac:dyDescent="0.25">
      <c r="B8" s="99"/>
      <c r="C8" s="100"/>
      <c r="D8" s="91"/>
      <c r="E8" s="100"/>
      <c r="F8" s="91"/>
      <c r="G8" s="91"/>
      <c r="H8" s="91"/>
      <c r="I8" s="91"/>
      <c r="J8" s="91"/>
      <c r="K8" s="92"/>
      <c r="L8" s="93"/>
      <c r="M8" s="94"/>
      <c r="N8" s="91"/>
      <c r="O8" s="92"/>
      <c r="P8" s="91"/>
      <c r="Q8" s="94"/>
      <c r="R8" s="91"/>
      <c r="S8" s="92"/>
      <c r="T8" s="91"/>
      <c r="U8" s="94"/>
      <c r="V8" s="91"/>
      <c r="W8" s="94"/>
      <c r="X8" s="91"/>
      <c r="Y8" s="94"/>
      <c r="Z8" s="91"/>
      <c r="AA8" s="94"/>
      <c r="AB8" s="91"/>
      <c r="AC8" s="94"/>
      <c r="AD8" s="91"/>
      <c r="AE8" s="94"/>
      <c r="AF8" s="91"/>
      <c r="AG8" s="94"/>
      <c r="AH8" s="91"/>
      <c r="AI8" s="94"/>
      <c r="AJ8" s="91"/>
      <c r="AK8" s="94"/>
      <c r="AL8" s="91"/>
      <c r="AM8" s="94"/>
      <c r="AN8" s="91"/>
      <c r="AO8" s="94"/>
      <c r="AP8" s="91"/>
      <c r="AQ8" s="95"/>
    </row>
    <row r="9" spans="1:49" ht="42.75" x14ac:dyDescent="0.2">
      <c r="A9" s="101" t="s">
        <v>57</v>
      </c>
      <c r="B9" s="101" t="s">
        <v>58</v>
      </c>
      <c r="C9" s="102" t="s">
        <v>59</v>
      </c>
      <c r="D9" s="101" t="s">
        <v>60</v>
      </c>
      <c r="E9" s="102" t="s">
        <v>61</v>
      </c>
      <c r="F9" s="102" t="s">
        <v>62</v>
      </c>
      <c r="G9" s="102" t="s">
        <v>63</v>
      </c>
      <c r="H9" s="102" t="s">
        <v>64</v>
      </c>
      <c r="I9" s="102" t="s">
        <v>65</v>
      </c>
      <c r="J9" s="102" t="s">
        <v>66</v>
      </c>
      <c r="K9" s="103" t="s">
        <v>67</v>
      </c>
      <c r="L9" s="104" t="s">
        <v>68</v>
      </c>
      <c r="M9" s="105" t="s">
        <v>69</v>
      </c>
      <c r="N9" s="102" t="s">
        <v>70</v>
      </c>
      <c r="O9" s="103" t="s">
        <v>71</v>
      </c>
      <c r="P9" s="102" t="s">
        <v>72</v>
      </c>
      <c r="Q9" s="105" t="s">
        <v>73</v>
      </c>
      <c r="R9" s="102" t="s">
        <v>74</v>
      </c>
      <c r="S9" s="103" t="s">
        <v>75</v>
      </c>
      <c r="T9" s="102" t="s">
        <v>76</v>
      </c>
      <c r="U9" s="105" t="s">
        <v>77</v>
      </c>
      <c r="V9" s="102" t="s">
        <v>78</v>
      </c>
      <c r="W9" s="105" t="s">
        <v>79</v>
      </c>
      <c r="X9" s="102" t="s">
        <v>80</v>
      </c>
      <c r="Y9" s="105" t="s">
        <v>81</v>
      </c>
      <c r="Z9" s="102" t="s">
        <v>82</v>
      </c>
      <c r="AA9" s="105" t="s">
        <v>83</v>
      </c>
      <c r="AB9" s="102" t="s">
        <v>84</v>
      </c>
      <c r="AC9" s="105" t="s">
        <v>85</v>
      </c>
      <c r="AD9" s="102" t="s">
        <v>86</v>
      </c>
      <c r="AE9" s="105" t="s">
        <v>87</v>
      </c>
      <c r="AF9" s="102" t="s">
        <v>88</v>
      </c>
      <c r="AG9" s="105" t="s">
        <v>89</v>
      </c>
      <c r="AH9" s="102" t="s">
        <v>90</v>
      </c>
      <c r="AI9" s="105" t="s">
        <v>91</v>
      </c>
      <c r="AJ9" s="102" t="s">
        <v>92</v>
      </c>
      <c r="AK9" s="105" t="s">
        <v>93</v>
      </c>
      <c r="AL9" s="102" t="s">
        <v>94</v>
      </c>
      <c r="AM9" s="105" t="s">
        <v>95</v>
      </c>
      <c r="AN9" s="102" t="s">
        <v>96</v>
      </c>
      <c r="AO9" s="105" t="s">
        <v>97</v>
      </c>
      <c r="AP9" s="102" t="s">
        <v>98</v>
      </c>
      <c r="AQ9" s="105" t="s">
        <v>99</v>
      </c>
      <c r="AR9" s="106" t="s">
        <v>100</v>
      </c>
      <c r="AS9" s="107" t="s">
        <v>101</v>
      </c>
      <c r="AT9" s="108"/>
    </row>
    <row r="10" spans="1:49" s="120" customFormat="1" ht="25.5" x14ac:dyDescent="0.25">
      <c r="A10" s="109">
        <v>1</v>
      </c>
      <c r="B10" s="110"/>
      <c r="C10" s="148" t="s">
        <v>130</v>
      </c>
      <c r="D10" s="111">
        <v>251</v>
      </c>
      <c r="E10" s="112" t="s">
        <v>114</v>
      </c>
      <c r="F10" s="54" t="s">
        <v>41</v>
      </c>
      <c r="G10" s="111"/>
      <c r="H10" s="111"/>
      <c r="I10" s="111"/>
      <c r="J10" s="111"/>
      <c r="K10" s="113"/>
      <c r="L10" s="114"/>
      <c r="M10" s="115"/>
      <c r="N10" s="111"/>
      <c r="O10" s="113"/>
      <c r="P10" s="111"/>
      <c r="Q10" s="116">
        <v>10000</v>
      </c>
      <c r="R10" s="117">
        <f>+Q10*AR10</f>
        <v>1222100000</v>
      </c>
      <c r="S10" s="113"/>
      <c r="T10" s="111"/>
      <c r="U10" s="115"/>
      <c r="V10" s="111"/>
      <c r="W10" s="115"/>
      <c r="X10" s="111"/>
      <c r="Y10" s="115"/>
      <c r="Z10" s="111"/>
      <c r="AA10" s="115"/>
      <c r="AB10" s="111"/>
      <c r="AC10" s="115"/>
      <c r="AD10" s="111"/>
      <c r="AE10" s="115"/>
      <c r="AF10" s="111"/>
      <c r="AG10" s="115"/>
      <c r="AH10" s="111"/>
      <c r="AI10" s="115"/>
      <c r="AJ10" s="111"/>
      <c r="AK10" s="115"/>
      <c r="AL10" s="111"/>
      <c r="AM10" s="115"/>
      <c r="AN10" s="111"/>
      <c r="AO10" s="115"/>
      <c r="AP10" s="111"/>
      <c r="AQ10" s="54">
        <v>180</v>
      </c>
      <c r="AR10" s="58">
        <v>122210</v>
      </c>
      <c r="AS10" s="118">
        <f>+AR10*AQ10</f>
        <v>21997800</v>
      </c>
      <c r="AT10" s="152"/>
      <c r="AW10" s="143"/>
    </row>
    <row r="11" spans="1:49" s="120" customFormat="1" ht="63.75" x14ac:dyDescent="0.25">
      <c r="A11" s="109">
        <v>2</v>
      </c>
      <c r="B11" s="110"/>
      <c r="C11" s="148" t="s">
        <v>130</v>
      </c>
      <c r="D11" s="111">
        <v>251</v>
      </c>
      <c r="E11" s="112" t="s">
        <v>115</v>
      </c>
      <c r="F11" s="54" t="s">
        <v>41</v>
      </c>
      <c r="G11" s="111"/>
      <c r="H11" s="111"/>
      <c r="I11" s="111"/>
      <c r="J11" s="111"/>
      <c r="K11" s="113"/>
      <c r="L11" s="114"/>
      <c r="M11" s="115"/>
      <c r="N11" s="111"/>
      <c r="O11" s="113"/>
      <c r="P11" s="111"/>
      <c r="Q11" s="116">
        <v>11000</v>
      </c>
      <c r="R11" s="117">
        <f t="shared" ref="R11:R20" si="0">+Q11*AR11</f>
        <v>825000000</v>
      </c>
      <c r="S11" s="113"/>
      <c r="T11" s="111"/>
      <c r="U11" s="115"/>
      <c r="V11" s="111"/>
      <c r="W11" s="115"/>
      <c r="X11" s="111"/>
      <c r="Y11" s="115"/>
      <c r="Z11" s="111"/>
      <c r="AA11" s="115"/>
      <c r="AB11" s="111"/>
      <c r="AC11" s="115"/>
      <c r="AD11" s="111"/>
      <c r="AE11" s="115"/>
      <c r="AF11" s="111"/>
      <c r="AG11" s="115"/>
      <c r="AH11" s="111"/>
      <c r="AI11" s="115"/>
      <c r="AJ11" s="111"/>
      <c r="AK11" s="115"/>
      <c r="AL11" s="111"/>
      <c r="AM11" s="115"/>
      <c r="AN11" s="111"/>
      <c r="AO11" s="115"/>
      <c r="AP11" s="111"/>
      <c r="AQ11" s="54">
        <v>45</v>
      </c>
      <c r="AR11" s="58">
        <v>75000</v>
      </c>
      <c r="AS11" s="118">
        <f t="shared" ref="AS11:AS20" si="1">+AR11*AQ11</f>
        <v>3375000</v>
      </c>
      <c r="AT11" s="119"/>
      <c r="AW11" s="143"/>
    </row>
    <row r="12" spans="1:49" s="120" customFormat="1" ht="56.25" customHeight="1" x14ac:dyDescent="0.25">
      <c r="A12" s="109">
        <v>3</v>
      </c>
      <c r="B12" s="110"/>
      <c r="C12" s="148" t="s">
        <v>130</v>
      </c>
      <c r="D12" s="111">
        <v>251</v>
      </c>
      <c r="E12" s="112" t="s">
        <v>116</v>
      </c>
      <c r="F12" s="54" t="s">
        <v>117</v>
      </c>
      <c r="G12" s="111"/>
      <c r="H12" s="111"/>
      <c r="I12" s="111"/>
      <c r="J12" s="111"/>
      <c r="K12" s="113"/>
      <c r="L12" s="114"/>
      <c r="M12" s="115"/>
      <c r="N12" s="111"/>
      <c r="O12" s="113"/>
      <c r="P12" s="111"/>
      <c r="Q12" s="116"/>
      <c r="R12" s="117"/>
      <c r="S12" s="113"/>
      <c r="T12" s="111"/>
      <c r="U12" s="115"/>
      <c r="V12" s="111"/>
      <c r="W12" s="115"/>
      <c r="X12" s="111"/>
      <c r="Y12" s="115"/>
      <c r="Z12" s="111"/>
      <c r="AA12" s="115"/>
      <c r="AB12" s="111"/>
      <c r="AC12" s="115"/>
      <c r="AD12" s="111"/>
      <c r="AE12" s="115"/>
      <c r="AF12" s="111"/>
      <c r="AG12" s="115"/>
      <c r="AH12" s="111"/>
      <c r="AI12" s="115"/>
      <c r="AJ12" s="111"/>
      <c r="AK12" s="115"/>
      <c r="AL12" s="111"/>
      <c r="AM12" s="115"/>
      <c r="AN12" s="111"/>
      <c r="AO12" s="115"/>
      <c r="AP12" s="111"/>
      <c r="AQ12" s="54">
        <v>45</v>
      </c>
      <c r="AR12" s="58">
        <v>37500</v>
      </c>
      <c r="AS12" s="118">
        <f t="shared" si="1"/>
        <v>1687500</v>
      </c>
      <c r="AT12" s="119"/>
      <c r="AW12" s="143"/>
    </row>
    <row r="13" spans="1:49" s="120" customFormat="1" ht="38.25" x14ac:dyDescent="0.25">
      <c r="A13" s="109">
        <v>4</v>
      </c>
      <c r="B13" s="110"/>
      <c r="C13" s="148" t="s">
        <v>102</v>
      </c>
      <c r="D13" s="111">
        <v>295</v>
      </c>
      <c r="E13" s="112" t="s">
        <v>118</v>
      </c>
      <c r="F13" s="61" t="s">
        <v>119</v>
      </c>
      <c r="G13" s="111"/>
      <c r="H13" s="111"/>
      <c r="I13" s="111"/>
      <c r="J13" s="111"/>
      <c r="K13" s="113"/>
      <c r="L13" s="114"/>
      <c r="M13" s="115"/>
      <c r="N13" s="111"/>
      <c r="O13" s="113"/>
      <c r="P13" s="111"/>
      <c r="Q13" s="116">
        <v>10000</v>
      </c>
      <c r="R13" s="117">
        <f t="shared" si="0"/>
        <v>90000000</v>
      </c>
      <c r="S13" s="113"/>
      <c r="T13" s="111"/>
      <c r="U13" s="115"/>
      <c r="V13" s="111"/>
      <c r="W13" s="115"/>
      <c r="X13" s="111"/>
      <c r="Y13" s="115"/>
      <c r="Z13" s="111"/>
      <c r="AA13" s="115"/>
      <c r="AB13" s="111"/>
      <c r="AC13" s="115"/>
      <c r="AD13" s="111"/>
      <c r="AE13" s="115"/>
      <c r="AF13" s="111"/>
      <c r="AG13" s="115"/>
      <c r="AH13" s="111"/>
      <c r="AI13" s="115"/>
      <c r="AJ13" s="111"/>
      <c r="AK13" s="115"/>
      <c r="AL13" s="111"/>
      <c r="AM13" s="115"/>
      <c r="AN13" s="111"/>
      <c r="AO13" s="115"/>
      <c r="AP13" s="111"/>
      <c r="AQ13" s="61">
        <v>125</v>
      </c>
      <c r="AR13" s="62">
        <v>9000</v>
      </c>
      <c r="AS13" s="118">
        <f t="shared" si="1"/>
        <v>1125000</v>
      </c>
      <c r="AT13" s="119"/>
    </row>
    <row r="14" spans="1:49" s="120" customFormat="1" ht="25.5" x14ac:dyDescent="0.25">
      <c r="A14" s="109">
        <v>5</v>
      </c>
      <c r="B14" s="110"/>
      <c r="C14" s="148" t="s">
        <v>102</v>
      </c>
      <c r="D14" s="111">
        <v>295</v>
      </c>
      <c r="E14" s="112" t="s">
        <v>120</v>
      </c>
      <c r="F14" s="61" t="s">
        <v>121</v>
      </c>
      <c r="G14" s="111"/>
      <c r="H14" s="111"/>
      <c r="I14" s="111"/>
      <c r="J14" s="111"/>
      <c r="K14" s="113"/>
      <c r="L14" s="114"/>
      <c r="M14" s="115"/>
      <c r="N14" s="111"/>
      <c r="O14" s="113"/>
      <c r="P14" s="111"/>
      <c r="Q14" s="116">
        <v>60</v>
      </c>
      <c r="R14" s="117">
        <f t="shared" si="0"/>
        <v>150000</v>
      </c>
      <c r="S14" s="113"/>
      <c r="T14" s="111"/>
      <c r="U14" s="115"/>
      <c r="V14" s="111"/>
      <c r="W14" s="115"/>
      <c r="X14" s="111"/>
      <c r="Y14" s="115"/>
      <c r="Z14" s="111"/>
      <c r="AA14" s="115"/>
      <c r="AB14" s="111"/>
      <c r="AC14" s="115"/>
      <c r="AD14" s="111"/>
      <c r="AE14" s="115"/>
      <c r="AF14" s="111"/>
      <c r="AG14" s="115"/>
      <c r="AH14" s="111"/>
      <c r="AI14" s="115"/>
      <c r="AJ14" s="111"/>
      <c r="AK14" s="115"/>
      <c r="AL14" s="111"/>
      <c r="AM14" s="115"/>
      <c r="AN14" s="111"/>
      <c r="AO14" s="115"/>
      <c r="AP14" s="111"/>
      <c r="AQ14" s="61">
        <v>180</v>
      </c>
      <c r="AR14" s="62">
        <v>2500</v>
      </c>
      <c r="AS14" s="118">
        <f t="shared" si="1"/>
        <v>450000</v>
      </c>
      <c r="AT14" s="119"/>
    </row>
    <row r="15" spans="1:49" s="120" customFormat="1" ht="25.5" x14ac:dyDescent="0.25">
      <c r="A15" s="109">
        <v>6</v>
      </c>
      <c r="B15" s="110"/>
      <c r="C15" s="148" t="s">
        <v>102</v>
      </c>
      <c r="D15" s="111">
        <v>295</v>
      </c>
      <c r="E15" s="112" t="s">
        <v>42</v>
      </c>
      <c r="F15" s="61" t="s">
        <v>45</v>
      </c>
      <c r="G15" s="111"/>
      <c r="H15" s="111"/>
      <c r="I15" s="111"/>
      <c r="J15" s="111"/>
      <c r="K15" s="113"/>
      <c r="L15" s="114"/>
      <c r="M15" s="115"/>
      <c r="N15" s="111"/>
      <c r="O15" s="113"/>
      <c r="P15" s="111"/>
      <c r="Q15" s="116">
        <v>37000</v>
      </c>
      <c r="R15" s="117">
        <f t="shared" si="0"/>
        <v>1110000</v>
      </c>
      <c r="S15" s="113"/>
      <c r="T15" s="111"/>
      <c r="U15" s="115"/>
      <c r="V15" s="111"/>
      <c r="W15" s="115"/>
      <c r="X15" s="111"/>
      <c r="Y15" s="115"/>
      <c r="Z15" s="111"/>
      <c r="AA15" s="115"/>
      <c r="AB15" s="111"/>
      <c r="AC15" s="115"/>
      <c r="AD15" s="111"/>
      <c r="AE15" s="115"/>
      <c r="AF15" s="111"/>
      <c r="AG15" s="115"/>
      <c r="AH15" s="111"/>
      <c r="AI15" s="115"/>
      <c r="AJ15" s="111"/>
      <c r="AK15" s="115"/>
      <c r="AL15" s="111"/>
      <c r="AM15" s="115"/>
      <c r="AN15" s="111"/>
      <c r="AO15" s="115"/>
      <c r="AP15" s="111"/>
      <c r="AQ15" s="61">
        <v>5000</v>
      </c>
      <c r="AR15" s="62">
        <v>30</v>
      </c>
      <c r="AS15" s="118">
        <f t="shared" si="1"/>
        <v>150000</v>
      </c>
      <c r="AT15" s="119"/>
    </row>
    <row r="16" spans="1:49" s="120" customFormat="1" ht="25.5" x14ac:dyDescent="0.25">
      <c r="A16" s="109">
        <v>7</v>
      </c>
      <c r="B16" s="110"/>
      <c r="C16" s="148" t="s">
        <v>102</v>
      </c>
      <c r="D16" s="111">
        <v>295</v>
      </c>
      <c r="E16" s="146" t="s">
        <v>43</v>
      </c>
      <c r="F16" s="61" t="s">
        <v>44</v>
      </c>
      <c r="G16" s="111"/>
      <c r="H16" s="111"/>
      <c r="I16" s="111"/>
      <c r="J16" s="111"/>
      <c r="K16" s="113"/>
      <c r="L16" s="114"/>
      <c r="M16" s="115"/>
      <c r="N16" s="111"/>
      <c r="O16" s="113"/>
      <c r="P16" s="111"/>
      <c r="Q16" s="116">
        <v>14000</v>
      </c>
      <c r="R16" s="117">
        <f t="shared" si="0"/>
        <v>29400000</v>
      </c>
      <c r="S16" s="113"/>
      <c r="T16" s="111"/>
      <c r="U16" s="115"/>
      <c r="V16" s="111"/>
      <c r="W16" s="115"/>
      <c r="X16" s="111"/>
      <c r="Y16" s="115"/>
      <c r="Z16" s="111"/>
      <c r="AA16" s="115"/>
      <c r="AB16" s="111"/>
      <c r="AC16" s="115"/>
      <c r="AD16" s="111"/>
      <c r="AE16" s="115"/>
      <c r="AF16" s="111"/>
      <c r="AG16" s="115"/>
      <c r="AH16" s="111"/>
      <c r="AI16" s="115"/>
      <c r="AJ16" s="111"/>
      <c r="AK16" s="115"/>
      <c r="AL16" s="111"/>
      <c r="AM16" s="115"/>
      <c r="AN16" s="111"/>
      <c r="AO16" s="115"/>
      <c r="AP16" s="111"/>
      <c r="AQ16" s="61">
        <v>600</v>
      </c>
      <c r="AR16" s="62">
        <v>2100</v>
      </c>
      <c r="AS16" s="118">
        <f t="shared" si="1"/>
        <v>1260000</v>
      </c>
      <c r="AT16" s="119"/>
    </row>
    <row r="17" spans="1:50" s="120" customFormat="1" ht="25.5" x14ac:dyDescent="0.25">
      <c r="A17" s="109">
        <v>8</v>
      </c>
      <c r="B17" s="110"/>
      <c r="C17" s="148" t="s">
        <v>102</v>
      </c>
      <c r="D17" s="111">
        <v>295</v>
      </c>
      <c r="E17" s="112" t="s">
        <v>122</v>
      </c>
      <c r="F17" s="61" t="s">
        <v>44</v>
      </c>
      <c r="G17" s="111"/>
      <c r="H17" s="111"/>
      <c r="I17" s="111"/>
      <c r="J17" s="111"/>
      <c r="K17" s="113"/>
      <c r="L17" s="114"/>
      <c r="M17" s="115"/>
      <c r="N17" s="111"/>
      <c r="O17" s="113"/>
      <c r="P17" s="111"/>
      <c r="Q17" s="116">
        <v>5000</v>
      </c>
      <c r="R17" s="117">
        <f t="shared" si="0"/>
        <v>10500000</v>
      </c>
      <c r="S17" s="113"/>
      <c r="T17" s="111"/>
      <c r="U17" s="115"/>
      <c r="V17" s="111"/>
      <c r="W17" s="115"/>
      <c r="X17" s="111"/>
      <c r="Y17" s="115"/>
      <c r="Z17" s="111"/>
      <c r="AA17" s="115"/>
      <c r="AB17" s="111"/>
      <c r="AC17" s="115"/>
      <c r="AD17" s="111"/>
      <c r="AE17" s="115"/>
      <c r="AF17" s="111"/>
      <c r="AG17" s="115"/>
      <c r="AH17" s="111"/>
      <c r="AI17" s="115"/>
      <c r="AJ17" s="111"/>
      <c r="AK17" s="115"/>
      <c r="AL17" s="111"/>
      <c r="AM17" s="115"/>
      <c r="AN17" s="111"/>
      <c r="AO17" s="115"/>
      <c r="AP17" s="111"/>
      <c r="AQ17" s="61">
        <v>600</v>
      </c>
      <c r="AR17" s="62">
        <v>2100</v>
      </c>
      <c r="AS17" s="118">
        <f t="shared" si="1"/>
        <v>1260000</v>
      </c>
      <c r="AT17" s="119"/>
    </row>
    <row r="18" spans="1:50" s="120" customFormat="1" ht="25.5" x14ac:dyDescent="0.25">
      <c r="A18" s="109">
        <v>9</v>
      </c>
      <c r="B18" s="110"/>
      <c r="C18" s="148" t="s">
        <v>102</v>
      </c>
      <c r="D18" s="111">
        <v>295</v>
      </c>
      <c r="E18" s="112" t="s">
        <v>46</v>
      </c>
      <c r="F18" s="61" t="s">
        <v>44</v>
      </c>
      <c r="G18" s="111"/>
      <c r="H18" s="111"/>
      <c r="I18" s="111"/>
      <c r="J18" s="111"/>
      <c r="K18" s="113"/>
      <c r="L18" s="114"/>
      <c r="M18" s="115"/>
      <c r="N18" s="111"/>
      <c r="O18" s="113"/>
      <c r="P18" s="111"/>
      <c r="Q18" s="116">
        <v>5000</v>
      </c>
      <c r="R18" s="117">
        <f t="shared" si="0"/>
        <v>10500000</v>
      </c>
      <c r="S18" s="113"/>
      <c r="T18" s="111"/>
      <c r="U18" s="115"/>
      <c r="V18" s="111"/>
      <c r="W18" s="115"/>
      <c r="X18" s="111"/>
      <c r="Y18" s="115"/>
      <c r="Z18" s="111"/>
      <c r="AA18" s="115"/>
      <c r="AB18" s="111"/>
      <c r="AC18" s="115"/>
      <c r="AD18" s="111"/>
      <c r="AE18" s="115"/>
      <c r="AF18" s="111"/>
      <c r="AG18" s="115"/>
      <c r="AH18" s="111"/>
      <c r="AI18" s="115"/>
      <c r="AJ18" s="111"/>
      <c r="AK18" s="115"/>
      <c r="AL18" s="111"/>
      <c r="AM18" s="115"/>
      <c r="AN18" s="111"/>
      <c r="AO18" s="115"/>
      <c r="AP18" s="111"/>
      <c r="AQ18" s="61">
        <v>600</v>
      </c>
      <c r="AR18" s="62">
        <v>2100</v>
      </c>
      <c r="AS18" s="118">
        <f t="shared" si="1"/>
        <v>1260000</v>
      </c>
      <c r="AT18" s="119"/>
    </row>
    <row r="19" spans="1:50" s="120" customFormat="1" ht="38.25" x14ac:dyDescent="0.25">
      <c r="A19" s="109">
        <v>10</v>
      </c>
      <c r="B19" s="110"/>
      <c r="C19" s="148" t="s">
        <v>102</v>
      </c>
      <c r="D19" s="111">
        <v>295</v>
      </c>
      <c r="E19" s="112" t="s">
        <v>123</v>
      </c>
      <c r="F19" s="74" t="s">
        <v>39</v>
      </c>
      <c r="G19" s="111"/>
      <c r="H19" s="111"/>
      <c r="I19" s="111"/>
      <c r="J19" s="111"/>
      <c r="K19" s="113"/>
      <c r="L19" s="114"/>
      <c r="M19" s="115"/>
      <c r="N19" s="111"/>
      <c r="O19" s="113"/>
      <c r="P19" s="111"/>
      <c r="Q19" s="116">
        <v>10000</v>
      </c>
      <c r="R19" s="117">
        <f t="shared" si="0"/>
        <v>433000000</v>
      </c>
      <c r="S19" s="113"/>
      <c r="T19" s="111"/>
      <c r="U19" s="115"/>
      <c r="V19" s="111"/>
      <c r="W19" s="115"/>
      <c r="X19" s="111"/>
      <c r="Y19" s="115"/>
      <c r="Z19" s="111"/>
      <c r="AA19" s="115"/>
      <c r="AB19" s="111"/>
      <c r="AC19" s="115"/>
      <c r="AD19" s="111"/>
      <c r="AE19" s="115"/>
      <c r="AF19" s="111"/>
      <c r="AG19" s="115"/>
      <c r="AH19" s="111"/>
      <c r="AI19" s="115"/>
      <c r="AJ19" s="111"/>
      <c r="AK19" s="115"/>
      <c r="AL19" s="111"/>
      <c r="AM19" s="115"/>
      <c r="AN19" s="111"/>
      <c r="AO19" s="115"/>
      <c r="AP19" s="111"/>
      <c r="AQ19" s="149">
        <v>480</v>
      </c>
      <c r="AR19" s="58">
        <v>43300</v>
      </c>
      <c r="AS19" s="118">
        <f t="shared" si="1"/>
        <v>20784000</v>
      </c>
      <c r="AT19" s="119"/>
      <c r="AW19" s="143"/>
    </row>
    <row r="20" spans="1:50" s="120" customFormat="1" ht="15.75" x14ac:dyDescent="0.25">
      <c r="A20" s="109">
        <v>11</v>
      </c>
      <c r="B20" s="110"/>
      <c r="C20" s="148" t="s">
        <v>102</v>
      </c>
      <c r="D20" s="111">
        <v>295</v>
      </c>
      <c r="E20" s="146" t="s">
        <v>124</v>
      </c>
      <c r="F20" s="150" t="s">
        <v>47</v>
      </c>
      <c r="G20" s="111"/>
      <c r="H20" s="111"/>
      <c r="I20" s="111"/>
      <c r="J20" s="111"/>
      <c r="K20" s="113"/>
      <c r="L20" s="114"/>
      <c r="M20" s="115"/>
      <c r="N20" s="111"/>
      <c r="O20" s="113"/>
      <c r="P20" s="111"/>
      <c r="Q20" s="116">
        <v>7000</v>
      </c>
      <c r="R20" s="117">
        <f t="shared" si="0"/>
        <v>171500000</v>
      </c>
      <c r="S20" s="113"/>
      <c r="T20" s="111"/>
      <c r="U20" s="115"/>
      <c r="V20" s="111"/>
      <c r="W20" s="115"/>
      <c r="X20" s="111"/>
      <c r="Y20" s="115"/>
      <c r="Z20" s="111"/>
      <c r="AA20" s="115"/>
      <c r="AB20" s="111"/>
      <c r="AC20" s="115"/>
      <c r="AD20" s="111"/>
      <c r="AE20" s="115"/>
      <c r="AF20" s="111"/>
      <c r="AG20" s="115"/>
      <c r="AH20" s="111"/>
      <c r="AI20" s="115"/>
      <c r="AJ20" s="111"/>
      <c r="AK20" s="115"/>
      <c r="AL20" s="111"/>
      <c r="AM20" s="115"/>
      <c r="AN20" s="111"/>
      <c r="AO20" s="115"/>
      <c r="AP20" s="111"/>
      <c r="AQ20" s="149">
        <v>20</v>
      </c>
      <c r="AR20" s="62">
        <v>24500</v>
      </c>
      <c r="AS20" s="118">
        <f t="shared" si="1"/>
        <v>490000</v>
      </c>
      <c r="AT20" s="119"/>
      <c r="AW20" s="143"/>
      <c r="AX20" s="143"/>
    </row>
    <row r="21" spans="1:50" s="120" customFormat="1" x14ac:dyDescent="0.25">
      <c r="A21" s="109"/>
      <c r="B21" s="110"/>
      <c r="C21" s="109"/>
      <c r="D21" s="111"/>
      <c r="E21" s="122"/>
      <c r="F21" s="111"/>
      <c r="G21" s="111"/>
      <c r="H21" s="111"/>
      <c r="I21" s="111"/>
      <c r="J21" s="111"/>
      <c r="K21" s="113"/>
      <c r="L21" s="114"/>
      <c r="M21" s="115"/>
      <c r="N21" s="111"/>
      <c r="O21" s="113"/>
      <c r="P21" s="111"/>
      <c r="Q21" s="115"/>
      <c r="R21" s="121">
        <f>SUM(R10:R20)</f>
        <v>2793260000</v>
      </c>
      <c r="S21" s="113"/>
      <c r="T21" s="111"/>
      <c r="U21" s="115"/>
      <c r="V21" s="123">
        <f>SUM(V10:V20)</f>
        <v>0</v>
      </c>
      <c r="W21" s="115"/>
      <c r="X21" s="111"/>
      <c r="Y21" s="115"/>
      <c r="Z21" s="111"/>
      <c r="AA21" s="115"/>
      <c r="AB21" s="111"/>
      <c r="AC21" s="115"/>
      <c r="AD21" s="111"/>
      <c r="AE21" s="115"/>
      <c r="AF21" s="111"/>
      <c r="AG21" s="115"/>
      <c r="AH21" s="111"/>
      <c r="AI21" s="115"/>
      <c r="AJ21" s="111"/>
      <c r="AK21" s="115"/>
      <c r="AL21" s="111"/>
      <c r="AM21" s="115"/>
      <c r="AN21" s="111"/>
      <c r="AO21" s="115"/>
      <c r="AP21" s="111"/>
      <c r="AQ21" s="124"/>
      <c r="AR21" s="125"/>
      <c r="AS21" s="151">
        <f>SUM(AS10:AS20)</f>
        <v>53839300</v>
      </c>
      <c r="AT21" s="119"/>
      <c r="AU21" s="147"/>
    </row>
    <row r="22" spans="1:50" s="120" customFormat="1" ht="128.1" customHeight="1" x14ac:dyDescent="0.2">
      <c r="A22" s="126"/>
      <c r="B22" s="127" t="s">
        <v>103</v>
      </c>
      <c r="C22" s="160" t="s">
        <v>131</v>
      </c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28"/>
      <c r="T22" s="129"/>
      <c r="U22" s="130"/>
      <c r="V22" s="129"/>
      <c r="W22" s="130"/>
      <c r="X22" s="129"/>
      <c r="Y22" s="130"/>
      <c r="Z22" s="129"/>
      <c r="AA22" s="130"/>
      <c r="AB22" s="129"/>
      <c r="AC22" s="130"/>
      <c r="AD22" s="129"/>
      <c r="AE22" s="130"/>
      <c r="AF22" s="129"/>
      <c r="AG22" s="130"/>
      <c r="AH22" s="129"/>
      <c r="AI22" s="130"/>
      <c r="AJ22" s="129"/>
      <c r="AK22" s="130"/>
      <c r="AL22" s="129"/>
      <c r="AM22" s="130"/>
      <c r="AN22" s="129"/>
      <c r="AO22" s="130"/>
      <c r="AP22" s="129"/>
      <c r="AQ22" s="131"/>
      <c r="AR22" s="132"/>
      <c r="AS22" s="133"/>
    </row>
    <row r="23" spans="1:50" s="120" customFormat="1" x14ac:dyDescent="0.25">
      <c r="A23" s="126"/>
      <c r="B23" s="134"/>
      <c r="C23" s="126"/>
      <c r="D23" s="129"/>
      <c r="E23" s="135"/>
      <c r="F23" s="129"/>
      <c r="G23" s="129"/>
      <c r="H23" s="129"/>
      <c r="I23" s="129"/>
      <c r="J23" s="129"/>
      <c r="K23" s="128"/>
      <c r="L23" s="136"/>
      <c r="M23" s="130"/>
      <c r="N23" s="129"/>
      <c r="O23" s="128"/>
      <c r="P23" s="129"/>
      <c r="Q23" s="130"/>
      <c r="R23" s="129"/>
      <c r="S23" s="128"/>
      <c r="T23" s="129"/>
      <c r="U23" s="130"/>
      <c r="V23" s="129"/>
      <c r="W23" s="130"/>
      <c r="X23" s="129"/>
      <c r="Y23" s="130"/>
      <c r="Z23" s="129"/>
      <c r="AA23" s="130"/>
      <c r="AB23" s="129"/>
      <c r="AC23" s="130"/>
      <c r="AD23" s="129"/>
      <c r="AE23" s="130"/>
      <c r="AF23" s="129"/>
      <c r="AG23" s="130"/>
      <c r="AH23" s="129"/>
      <c r="AI23" s="130"/>
      <c r="AJ23" s="129"/>
      <c r="AK23" s="130"/>
      <c r="AL23" s="129"/>
      <c r="AM23" s="130"/>
      <c r="AN23" s="129"/>
      <c r="AO23" s="130"/>
      <c r="AP23" s="129"/>
      <c r="AQ23" s="131"/>
      <c r="AR23" s="132"/>
      <c r="AS23" s="133"/>
    </row>
    <row r="24" spans="1:50" s="120" customFormat="1" x14ac:dyDescent="0.25">
      <c r="A24" s="126"/>
      <c r="B24" s="134"/>
      <c r="C24" s="126"/>
      <c r="D24" s="129"/>
      <c r="E24" s="135"/>
      <c r="F24" s="129"/>
      <c r="G24" s="129"/>
      <c r="H24" s="129"/>
      <c r="I24" s="129"/>
      <c r="J24" s="129"/>
      <c r="K24" s="128"/>
      <c r="L24" s="136"/>
      <c r="M24" s="130"/>
      <c r="N24" s="129"/>
      <c r="O24" s="128"/>
      <c r="P24" s="129"/>
      <c r="Q24" s="130"/>
      <c r="R24" s="129"/>
      <c r="S24" s="128"/>
      <c r="T24" s="129"/>
      <c r="U24" s="130"/>
      <c r="V24" s="129"/>
      <c r="W24" s="130"/>
      <c r="X24" s="129"/>
      <c r="Y24" s="130"/>
      <c r="Z24" s="129"/>
      <c r="AA24" s="130"/>
      <c r="AB24" s="129"/>
      <c r="AC24" s="130"/>
      <c r="AD24" s="129"/>
      <c r="AE24" s="130"/>
      <c r="AF24" s="129"/>
      <c r="AG24" s="130"/>
      <c r="AH24" s="129"/>
      <c r="AI24" s="130"/>
      <c r="AJ24" s="129"/>
      <c r="AK24" s="130"/>
      <c r="AL24" s="129"/>
      <c r="AM24" s="130"/>
      <c r="AN24" s="129"/>
      <c r="AO24" s="130"/>
      <c r="AP24" s="129"/>
      <c r="AQ24" s="131"/>
      <c r="AR24" s="132"/>
      <c r="AS24" s="133"/>
    </row>
    <row r="25" spans="1:50" s="120" customFormat="1" x14ac:dyDescent="0.25">
      <c r="A25" s="126"/>
      <c r="B25" s="134" t="s">
        <v>104</v>
      </c>
      <c r="C25" s="144" t="s">
        <v>125</v>
      </c>
      <c r="D25" s="144"/>
      <c r="E25" s="144"/>
      <c r="F25" s="129"/>
      <c r="G25" s="129"/>
      <c r="H25" s="129"/>
      <c r="I25" s="129"/>
      <c r="J25" s="129"/>
      <c r="K25" s="128"/>
      <c r="L25" s="136"/>
      <c r="M25" s="130"/>
      <c r="N25" s="129"/>
      <c r="O25" s="128"/>
      <c r="P25" s="129"/>
      <c r="Q25" s="130"/>
      <c r="R25" s="129"/>
      <c r="S25" s="128"/>
      <c r="T25" s="129"/>
      <c r="U25" s="130"/>
      <c r="V25" s="129"/>
      <c r="W25" s="130"/>
      <c r="X25" s="129"/>
      <c r="Y25" s="130"/>
      <c r="Z25" s="129"/>
      <c r="AA25" s="130"/>
      <c r="AB25" s="129"/>
      <c r="AC25" s="130"/>
      <c r="AD25" s="129"/>
      <c r="AE25" s="130"/>
      <c r="AF25" s="129"/>
      <c r="AG25" s="130"/>
      <c r="AH25" s="129"/>
      <c r="AI25" s="130"/>
      <c r="AJ25" s="129"/>
      <c r="AK25" s="130"/>
      <c r="AL25" s="129"/>
      <c r="AM25" s="130"/>
      <c r="AN25" s="129"/>
      <c r="AO25" s="130"/>
      <c r="AP25" s="129"/>
      <c r="AQ25" s="131"/>
      <c r="AR25" s="132"/>
      <c r="AS25" s="133"/>
    </row>
    <row r="26" spans="1:50" s="120" customFormat="1" x14ac:dyDescent="0.25">
      <c r="A26" s="126"/>
      <c r="B26" s="134"/>
      <c r="C26" s="126"/>
      <c r="D26" s="129"/>
      <c r="E26" s="135"/>
      <c r="F26" s="129"/>
      <c r="G26" s="129"/>
      <c r="H26" s="129"/>
      <c r="I26" s="129"/>
      <c r="J26" s="129"/>
      <c r="K26" s="128"/>
      <c r="L26" s="136"/>
      <c r="M26" s="130"/>
      <c r="N26" s="129"/>
      <c r="O26" s="128"/>
      <c r="P26" s="129"/>
      <c r="Q26" s="130"/>
      <c r="R26" s="129"/>
      <c r="S26" s="128"/>
      <c r="T26" s="129"/>
      <c r="U26" s="130"/>
      <c r="V26" s="129"/>
      <c r="W26" s="130"/>
      <c r="X26" s="129"/>
      <c r="Y26" s="130"/>
      <c r="Z26" s="129"/>
      <c r="AA26" s="130"/>
      <c r="AB26" s="129"/>
      <c r="AC26" s="130"/>
      <c r="AD26" s="129"/>
      <c r="AE26" s="130"/>
      <c r="AF26" s="129"/>
      <c r="AG26" s="130"/>
      <c r="AH26" s="129"/>
      <c r="AI26" s="130"/>
      <c r="AJ26" s="129"/>
      <c r="AK26" s="130"/>
      <c r="AL26" s="129"/>
      <c r="AM26" s="130"/>
      <c r="AN26" s="129"/>
      <c r="AO26" s="130"/>
      <c r="AP26" s="129"/>
      <c r="AQ26" s="131"/>
      <c r="AR26" s="132"/>
      <c r="AS26" s="133"/>
    </row>
    <row r="27" spans="1:50" s="120" customFormat="1" ht="36.6" customHeight="1" x14ac:dyDescent="0.25">
      <c r="A27" s="126"/>
      <c r="B27" s="134" t="s">
        <v>105</v>
      </c>
      <c r="C27" s="160" t="s">
        <v>113</v>
      </c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29"/>
      <c r="AG27" s="130"/>
      <c r="AH27" s="129"/>
      <c r="AI27" s="130"/>
      <c r="AJ27" s="129"/>
      <c r="AK27" s="130"/>
      <c r="AL27" s="129"/>
      <c r="AM27" s="130"/>
      <c r="AN27" s="129"/>
      <c r="AO27" s="130"/>
      <c r="AP27" s="129"/>
      <c r="AQ27" s="131"/>
      <c r="AR27" s="132"/>
      <c r="AS27" s="133"/>
    </row>
    <row r="28" spans="1:50" s="120" customFormat="1" x14ac:dyDescent="0.25">
      <c r="A28" s="126"/>
      <c r="B28" s="134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29"/>
      <c r="AG28" s="130"/>
      <c r="AH28" s="129"/>
      <c r="AI28" s="130"/>
      <c r="AJ28" s="129"/>
      <c r="AK28" s="130"/>
      <c r="AL28" s="129"/>
      <c r="AM28" s="130"/>
      <c r="AN28" s="129"/>
      <c r="AO28" s="130"/>
      <c r="AP28" s="129"/>
      <c r="AQ28" s="131"/>
      <c r="AR28" s="132"/>
      <c r="AS28" s="133"/>
    </row>
    <row r="29" spans="1:50" s="120" customFormat="1" x14ac:dyDescent="0.25">
      <c r="A29" s="126"/>
      <c r="B29" s="134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29"/>
      <c r="AG29" s="130"/>
      <c r="AH29" s="129"/>
      <c r="AI29" s="130"/>
      <c r="AJ29" s="129"/>
      <c r="AK29" s="130"/>
      <c r="AL29" s="129"/>
      <c r="AM29" s="130"/>
      <c r="AN29" s="129"/>
      <c r="AO29" s="130"/>
      <c r="AP29" s="129"/>
      <c r="AQ29" s="131"/>
      <c r="AR29" s="132"/>
      <c r="AS29" s="133"/>
    </row>
    <row r="30" spans="1:50" x14ac:dyDescent="0.25"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</row>
    <row r="31" spans="1:50" ht="30" x14ac:dyDescent="0.25">
      <c r="B31" s="80" t="s">
        <v>106</v>
      </c>
    </row>
    <row r="33" spans="1:46" s="82" customFormat="1" x14ac:dyDescent="0.25">
      <c r="A33" s="81"/>
      <c r="B33" s="80" t="s">
        <v>107</v>
      </c>
      <c r="C33" s="81" t="s">
        <v>108</v>
      </c>
      <c r="E33" s="83"/>
      <c r="K33" s="84"/>
      <c r="L33" s="85"/>
      <c r="M33" s="86"/>
      <c r="O33" s="84"/>
      <c r="Q33" s="86"/>
      <c r="S33" s="84"/>
      <c r="U33" s="86"/>
      <c r="W33" s="86"/>
      <c r="Y33" s="86"/>
      <c r="AA33" s="86"/>
      <c r="AC33" s="86"/>
      <c r="AE33" s="86"/>
      <c r="AG33" s="86"/>
      <c r="AI33" s="86"/>
      <c r="AK33" s="86"/>
      <c r="AM33" s="86"/>
      <c r="AO33" s="86"/>
      <c r="AQ33" s="87"/>
      <c r="AR33" s="88"/>
      <c r="AS33" s="89"/>
      <c r="AT33" s="90"/>
    </row>
  </sheetData>
  <mergeCells count="12">
    <mergeCell ref="C29:AE29"/>
    <mergeCell ref="C30:AE30"/>
    <mergeCell ref="B2:AR2"/>
    <mergeCell ref="A4:B4"/>
    <mergeCell ref="C4:E4"/>
    <mergeCell ref="A5:B5"/>
    <mergeCell ref="C5:E5"/>
    <mergeCell ref="A6:B6"/>
    <mergeCell ref="A7:B7"/>
    <mergeCell ref="C22:R22"/>
    <mergeCell ref="C27:AE27"/>
    <mergeCell ref="C28:AE28"/>
  </mergeCells>
  <conditionalFormatting sqref="B35:B1048576 B1:B21">
    <cfRule type="duplicateValues" dxfId="21" priority="24"/>
  </conditionalFormatting>
  <conditionalFormatting sqref="E35:E1048576 E1:E21">
    <cfRule type="duplicateValues" dxfId="20" priority="23"/>
  </conditionalFormatting>
  <conditionalFormatting sqref="E35:E1048576 E1:E21">
    <cfRule type="duplicateValues" dxfId="19" priority="25"/>
    <cfRule type="duplicateValues" dxfId="18" priority="26"/>
  </conditionalFormatting>
  <conditionalFormatting sqref="B35:B1048576 B1:B21 E35:E1048576 E1:E21">
    <cfRule type="duplicateValues" dxfId="17" priority="27"/>
  </conditionalFormatting>
  <conditionalFormatting sqref="B34">
    <cfRule type="duplicateValues" dxfId="16" priority="14"/>
  </conditionalFormatting>
  <conditionalFormatting sqref="E34">
    <cfRule type="duplicateValues" dxfId="15" priority="13"/>
  </conditionalFormatting>
  <conditionalFormatting sqref="E34 B34">
    <cfRule type="duplicateValues" dxfId="14" priority="15"/>
  </conditionalFormatting>
  <conditionalFormatting sqref="E34">
    <cfRule type="duplicateValues" dxfId="13" priority="16"/>
    <cfRule type="duplicateValues" dxfId="12" priority="17"/>
  </conditionalFormatting>
  <conditionalFormatting sqref="E26:E33 E23:E24">
    <cfRule type="duplicateValues" dxfId="11" priority="8"/>
    <cfRule type="duplicateValues" dxfId="10" priority="9"/>
  </conditionalFormatting>
  <conditionalFormatting sqref="E26:E33 E23:E24">
    <cfRule type="duplicateValues" dxfId="9" priority="10"/>
  </conditionalFormatting>
  <conditionalFormatting sqref="E26:E33 E23:E24">
    <cfRule type="duplicateValues" dxfId="8" priority="11"/>
  </conditionalFormatting>
  <conditionalFormatting sqref="E26:E33 B22:B33 E23:E24">
    <cfRule type="duplicateValues" dxfId="7" priority="12"/>
  </conditionalFormatting>
  <conditionalFormatting sqref="E31:E33 E26 E23:E24">
    <cfRule type="duplicateValues" dxfId="6" priority="6"/>
  </conditionalFormatting>
  <conditionalFormatting sqref="E31:E33 B22:B33 E26 E23:E24">
    <cfRule type="duplicateValues" dxfId="5" priority="5"/>
  </conditionalFormatting>
  <conditionalFormatting sqref="E31:E33 B22:B33 E26 E23:E24">
    <cfRule type="duplicateValues" dxfId="4" priority="3"/>
  </conditionalFormatting>
  <conditionalFormatting sqref="E31:E33 E26 E23:E24">
    <cfRule type="duplicateValues" dxfId="3" priority="1"/>
    <cfRule type="duplicateValues" dxfId="2" priority="2"/>
  </conditionalFormatting>
  <conditionalFormatting sqref="B22:B33">
    <cfRule type="duplicateValues" dxfId="1" priority="36"/>
  </conditionalFormatting>
  <conditionalFormatting sqref="B22:B33">
    <cfRule type="duplicateValues" dxfId="0" priority="58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4"/>
  <sheetViews>
    <sheetView zoomScale="90" zoomScaleNormal="90" workbookViewId="0">
      <selection activeCell="C12" sqref="C12:G12"/>
    </sheetView>
  </sheetViews>
  <sheetFormatPr baseColWidth="10" defaultColWidth="9.140625" defaultRowHeight="12.75" x14ac:dyDescent="0.2"/>
  <cols>
    <col min="1" max="1" width="9.28515625" style="1" customWidth="1"/>
    <col min="2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15.85546875" style="1" customWidth="1"/>
    <col min="8" max="8" width="9.28515625" style="78" customWidth="1"/>
    <col min="9" max="9" width="15.5703125" style="1" customWidth="1"/>
    <col min="10" max="10" width="14.7109375" style="1" customWidth="1"/>
    <col min="11" max="11" width="15.5703125" style="1" customWidth="1"/>
    <col min="12" max="12" width="17.5703125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024" ht="27" customHeight="1" thickBot="1" x14ac:dyDescent="0.25">
      <c r="A1" s="191" t="s">
        <v>0</v>
      </c>
      <c r="B1" s="191"/>
      <c r="C1" s="191"/>
      <c r="D1" s="191"/>
      <c r="E1" s="191"/>
      <c r="F1" s="191"/>
      <c r="G1" s="191"/>
      <c r="H1" s="191"/>
      <c r="I1" s="191"/>
      <c r="J1" s="6" t="s">
        <v>1</v>
      </c>
      <c r="K1" s="50" t="s">
        <v>129</v>
      </c>
    </row>
    <row r="2" spans="1:1024" ht="18.75" customHeight="1" thickBot="1" x14ac:dyDescent="0.25">
      <c r="A2" s="7"/>
      <c r="B2" s="2"/>
      <c r="C2" s="2"/>
      <c r="D2" s="3"/>
      <c r="E2" s="3"/>
      <c r="F2" s="3"/>
      <c r="G2" s="3"/>
      <c r="H2" s="75"/>
      <c r="I2" s="3"/>
      <c r="J2" s="3"/>
      <c r="K2" s="8"/>
    </row>
    <row r="3" spans="1:1024" ht="18.75" customHeight="1" thickBot="1" x14ac:dyDescent="0.25">
      <c r="A3" s="192" t="s">
        <v>2</v>
      </c>
      <c r="B3" s="192"/>
      <c r="C3" s="192"/>
      <c r="D3" s="193" t="s">
        <v>109</v>
      </c>
      <c r="E3" s="194"/>
      <c r="F3" s="194"/>
      <c r="G3" s="194"/>
      <c r="H3" s="194"/>
      <c r="I3" s="194"/>
      <c r="J3" s="194"/>
      <c r="K3" s="195"/>
      <c r="L3" s="48"/>
      <c r="M3" s="48"/>
      <c r="N3" s="48"/>
    </row>
    <row r="4" spans="1:1024" ht="18.75" customHeight="1" thickBot="1" x14ac:dyDescent="0.25">
      <c r="A4" s="190" t="s">
        <v>3</v>
      </c>
      <c r="B4" s="190"/>
      <c r="C4" s="190"/>
      <c r="D4" s="196" t="s">
        <v>110</v>
      </c>
      <c r="E4" s="197"/>
      <c r="F4" s="197"/>
      <c r="G4" s="197"/>
      <c r="H4" s="197"/>
      <c r="I4" s="197"/>
      <c r="J4" s="197"/>
      <c r="K4" s="198"/>
      <c r="L4" s="48"/>
      <c r="M4" s="48"/>
      <c r="N4" s="48"/>
    </row>
    <row r="5" spans="1:1024" ht="18.75" customHeight="1" thickBot="1" x14ac:dyDescent="0.25">
      <c r="A5" s="190" t="s">
        <v>4</v>
      </c>
      <c r="B5" s="190"/>
      <c r="C5" s="190"/>
      <c r="D5" s="196" t="s">
        <v>111</v>
      </c>
      <c r="E5" s="197"/>
      <c r="F5" s="197"/>
      <c r="G5" s="197"/>
      <c r="H5" s="197"/>
      <c r="I5" s="197"/>
      <c r="J5" s="197"/>
      <c r="K5" s="198"/>
      <c r="L5" s="48"/>
      <c r="M5" s="48"/>
      <c r="N5" s="48"/>
    </row>
    <row r="6" spans="1:1024" ht="16.5" customHeight="1" thickBot="1" x14ac:dyDescent="0.25">
      <c r="A6" s="192" t="s">
        <v>5</v>
      </c>
      <c r="B6" s="192"/>
      <c r="C6" s="192"/>
      <c r="D6" s="202" t="s">
        <v>111</v>
      </c>
      <c r="E6" s="203"/>
      <c r="F6" s="203"/>
      <c r="G6" s="203"/>
      <c r="H6" s="203"/>
      <c r="I6" s="203"/>
      <c r="J6" s="203"/>
      <c r="K6" s="204"/>
      <c r="L6" s="48"/>
      <c r="M6" s="48"/>
      <c r="N6" s="48"/>
    </row>
    <row r="7" spans="1:1024" ht="16.5" customHeight="1" thickBot="1" x14ac:dyDescent="0.25">
      <c r="A7" s="190" t="s">
        <v>6</v>
      </c>
      <c r="B7" s="190"/>
      <c r="C7" s="190"/>
      <c r="D7" s="199" t="s">
        <v>133</v>
      </c>
      <c r="E7" s="199"/>
      <c r="F7" s="199"/>
      <c r="G7" s="199"/>
      <c r="H7" s="199"/>
      <c r="I7" s="199"/>
      <c r="J7" s="199"/>
      <c r="K7" s="199"/>
    </row>
    <row r="8" spans="1:1024" ht="16.5" customHeight="1" thickBot="1" x14ac:dyDescent="0.25">
      <c r="A8" s="200" t="s">
        <v>7</v>
      </c>
      <c r="B8" s="200"/>
      <c r="C8" s="200"/>
      <c r="D8" s="201" t="s">
        <v>132</v>
      </c>
      <c r="E8" s="201"/>
      <c r="F8" s="201"/>
      <c r="G8" s="201"/>
      <c r="H8" s="201"/>
      <c r="I8" s="201"/>
      <c r="J8" s="201"/>
      <c r="K8" s="201"/>
    </row>
    <row r="9" spans="1:1024" ht="16.5" thickBot="1" x14ac:dyDescent="0.25">
      <c r="A9" s="9"/>
      <c r="B9" s="4"/>
      <c r="C9" s="4"/>
      <c r="D9" s="5"/>
      <c r="E9" s="5"/>
      <c r="F9" s="5"/>
      <c r="G9" s="5"/>
      <c r="H9" s="76"/>
      <c r="I9" s="5"/>
      <c r="J9" s="5"/>
      <c r="K9" s="49"/>
    </row>
    <row r="10" spans="1:1024" ht="18.75" customHeight="1" thickBot="1" x14ac:dyDescent="0.25">
      <c r="A10" s="176" t="s">
        <v>8</v>
      </c>
      <c r="B10" s="175" t="s">
        <v>9</v>
      </c>
      <c r="C10" s="175" t="s">
        <v>10</v>
      </c>
      <c r="D10" s="175"/>
      <c r="E10" s="175"/>
      <c r="F10" s="175"/>
      <c r="G10" s="175"/>
      <c r="H10" s="175" t="s">
        <v>11</v>
      </c>
      <c r="I10" s="175" t="s">
        <v>12</v>
      </c>
      <c r="J10" s="175" t="s">
        <v>13</v>
      </c>
      <c r="K10" s="172" t="s">
        <v>14</v>
      </c>
    </row>
    <row r="11" spans="1:1024" ht="24" customHeight="1" thickBot="1" x14ac:dyDescent="0.25">
      <c r="A11" s="176"/>
      <c r="B11" s="175"/>
      <c r="C11" s="175"/>
      <c r="D11" s="175"/>
      <c r="E11" s="175"/>
      <c r="F11" s="175"/>
      <c r="G11" s="175"/>
      <c r="H11" s="177"/>
      <c r="I11" s="175"/>
      <c r="J11" s="175"/>
      <c r="K11" s="172"/>
    </row>
    <row r="12" spans="1:1024" ht="35.25" customHeight="1" x14ac:dyDescent="0.2">
      <c r="A12" s="56">
        <v>1</v>
      </c>
      <c r="B12" s="57"/>
      <c r="C12" s="178" t="s">
        <v>114</v>
      </c>
      <c r="D12" s="179" t="s">
        <v>114</v>
      </c>
      <c r="E12" s="179" t="s">
        <v>114</v>
      </c>
      <c r="F12" s="179" t="s">
        <v>114</v>
      </c>
      <c r="G12" s="180" t="s">
        <v>114</v>
      </c>
      <c r="H12" s="53" t="s">
        <v>15</v>
      </c>
      <c r="I12" s="54" t="s">
        <v>41</v>
      </c>
      <c r="J12" s="58">
        <v>122210</v>
      </c>
      <c r="K12" s="54">
        <v>180</v>
      </c>
      <c r="L12" s="145">
        <f>J12*K12</f>
        <v>21997800</v>
      </c>
    </row>
    <row r="13" spans="1:1024" ht="45.95" customHeight="1" thickBot="1" x14ac:dyDescent="0.25">
      <c r="A13" s="55">
        <v>2</v>
      </c>
      <c r="B13" s="57"/>
      <c r="C13" s="181" t="s">
        <v>115</v>
      </c>
      <c r="D13" s="182" t="s">
        <v>115</v>
      </c>
      <c r="E13" s="182" t="s">
        <v>115</v>
      </c>
      <c r="F13" s="182" t="s">
        <v>115</v>
      </c>
      <c r="G13" s="183" t="s">
        <v>115</v>
      </c>
      <c r="H13" s="54" t="s">
        <v>15</v>
      </c>
      <c r="I13" s="54" t="s">
        <v>41</v>
      </c>
      <c r="J13" s="58">
        <v>75000</v>
      </c>
      <c r="K13" s="54">
        <v>45</v>
      </c>
      <c r="L13" s="145">
        <f t="shared" ref="L13:L25" si="0">J13*K13</f>
        <v>3375000</v>
      </c>
    </row>
    <row r="14" spans="1:1024" s="64" customFormat="1" ht="47.45" customHeight="1" x14ac:dyDescent="0.2">
      <c r="A14" s="56">
        <v>3</v>
      </c>
      <c r="B14" s="65"/>
      <c r="C14" s="184" t="s">
        <v>116</v>
      </c>
      <c r="D14" s="185" t="s">
        <v>116</v>
      </c>
      <c r="E14" s="185" t="s">
        <v>116</v>
      </c>
      <c r="F14" s="185" t="s">
        <v>116</v>
      </c>
      <c r="G14" s="186" t="s">
        <v>116</v>
      </c>
      <c r="H14" s="61" t="s">
        <v>15</v>
      </c>
      <c r="I14" s="54" t="s">
        <v>117</v>
      </c>
      <c r="J14" s="58">
        <v>37500</v>
      </c>
      <c r="K14" s="54">
        <v>45</v>
      </c>
      <c r="L14" s="145">
        <f t="shared" si="0"/>
        <v>1687500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3"/>
      <c r="EW14" s="63"/>
      <c r="EX14" s="63"/>
      <c r="EY14" s="63"/>
      <c r="EZ14" s="63"/>
      <c r="FA14" s="63"/>
      <c r="FB14" s="63"/>
      <c r="FC14" s="63"/>
      <c r="FD14" s="63"/>
      <c r="FE14" s="63"/>
      <c r="FF14" s="63"/>
      <c r="FG14" s="63"/>
      <c r="FH14" s="63"/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3"/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3"/>
      <c r="GR14" s="63"/>
      <c r="GS14" s="63"/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3"/>
      <c r="HT14" s="63"/>
      <c r="HU14" s="63"/>
      <c r="HV14" s="63"/>
      <c r="HW14" s="63"/>
      <c r="HX14" s="63"/>
      <c r="HY14" s="63"/>
      <c r="HZ14" s="63"/>
      <c r="IA14" s="63"/>
      <c r="IB14" s="63"/>
      <c r="IC14" s="63"/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3"/>
      <c r="IO14" s="63"/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63"/>
      <c r="JE14" s="63"/>
      <c r="JF14" s="63"/>
      <c r="JG14" s="63"/>
      <c r="JH14" s="63"/>
      <c r="JI14" s="63"/>
      <c r="JJ14" s="63"/>
      <c r="JK14" s="63"/>
      <c r="JL14" s="63"/>
      <c r="JM14" s="63"/>
      <c r="JN14" s="63"/>
      <c r="JO14" s="63"/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63"/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63"/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  <c r="MN14" s="63"/>
      <c r="MO14" s="63"/>
      <c r="MP14" s="63"/>
      <c r="MQ14" s="63"/>
      <c r="MR14" s="63"/>
      <c r="MS14" s="63"/>
      <c r="MT14" s="63"/>
      <c r="MU14" s="63"/>
      <c r="MV14" s="63"/>
      <c r="MW14" s="63"/>
      <c r="MX14" s="63"/>
      <c r="MY14" s="63"/>
      <c r="MZ14" s="63"/>
      <c r="NA14" s="63"/>
      <c r="NB14" s="63"/>
      <c r="NC14" s="63"/>
      <c r="ND14" s="63"/>
      <c r="NE14" s="63"/>
      <c r="NF14" s="63"/>
      <c r="NG14" s="63"/>
      <c r="NH14" s="63"/>
      <c r="NI14" s="63"/>
      <c r="NJ14" s="63"/>
      <c r="NK14" s="63"/>
      <c r="NL14" s="63"/>
      <c r="NM14" s="63"/>
      <c r="NN14" s="63"/>
      <c r="NO14" s="63"/>
      <c r="NP14" s="63"/>
      <c r="NQ14" s="63"/>
      <c r="NR14" s="63"/>
      <c r="NS14" s="63"/>
      <c r="NT14" s="63"/>
      <c r="NU14" s="63"/>
      <c r="NV14" s="63"/>
      <c r="NW14" s="63"/>
      <c r="NX14" s="63"/>
      <c r="NY14" s="63"/>
      <c r="NZ14" s="63"/>
      <c r="OA14" s="63"/>
      <c r="OB14" s="63"/>
      <c r="OC14" s="63"/>
      <c r="OD14" s="63"/>
      <c r="OE14" s="63"/>
      <c r="OF14" s="63"/>
      <c r="OG14" s="63"/>
      <c r="OH14" s="63"/>
      <c r="OI14" s="63"/>
      <c r="OJ14" s="63"/>
      <c r="OK14" s="63"/>
      <c r="OL14" s="63"/>
      <c r="OM14" s="63"/>
      <c r="ON14" s="63"/>
      <c r="OO14" s="63"/>
      <c r="OP14" s="63"/>
      <c r="OQ14" s="63"/>
      <c r="OR14" s="63"/>
      <c r="OS14" s="63"/>
      <c r="OT14" s="63"/>
      <c r="OU14" s="63"/>
      <c r="OV14" s="63"/>
      <c r="OW14" s="63"/>
      <c r="OX14" s="63"/>
      <c r="OY14" s="63"/>
      <c r="OZ14" s="63"/>
      <c r="PA14" s="63"/>
      <c r="PB14" s="63"/>
      <c r="PC14" s="63"/>
      <c r="PD14" s="63"/>
      <c r="PE14" s="63"/>
      <c r="PF14" s="63"/>
      <c r="PG14" s="63"/>
      <c r="PH14" s="63"/>
      <c r="PI14" s="63"/>
      <c r="PJ14" s="63"/>
      <c r="PK14" s="63"/>
      <c r="PL14" s="63"/>
      <c r="PM14" s="63"/>
      <c r="PN14" s="63"/>
      <c r="PO14" s="63"/>
      <c r="PP14" s="63"/>
      <c r="PQ14" s="63"/>
      <c r="PR14" s="63"/>
      <c r="PS14" s="63"/>
      <c r="PT14" s="63"/>
      <c r="PU14" s="63"/>
      <c r="PV14" s="63"/>
      <c r="PW14" s="63"/>
      <c r="PX14" s="63"/>
      <c r="PY14" s="63"/>
      <c r="PZ14" s="63"/>
      <c r="QA14" s="63"/>
      <c r="QB14" s="63"/>
      <c r="QC14" s="63"/>
      <c r="QD14" s="63"/>
      <c r="QE14" s="63"/>
      <c r="QF14" s="63"/>
      <c r="QG14" s="63"/>
      <c r="QH14" s="63"/>
      <c r="QI14" s="63"/>
      <c r="QJ14" s="63"/>
      <c r="QK14" s="63"/>
      <c r="QL14" s="63"/>
      <c r="QM14" s="63"/>
      <c r="QN14" s="63"/>
      <c r="QO14" s="63"/>
      <c r="QP14" s="63"/>
      <c r="QQ14" s="63"/>
      <c r="QR14" s="63"/>
      <c r="QS14" s="63"/>
      <c r="QT14" s="63"/>
      <c r="QU14" s="63"/>
      <c r="QV14" s="63"/>
      <c r="QW14" s="63"/>
      <c r="QX14" s="63"/>
      <c r="QY14" s="63"/>
      <c r="QZ14" s="63"/>
      <c r="RA14" s="63"/>
      <c r="RB14" s="63"/>
      <c r="RC14" s="63"/>
      <c r="RD14" s="63"/>
      <c r="RE14" s="63"/>
      <c r="RF14" s="63"/>
      <c r="RG14" s="63"/>
      <c r="RH14" s="63"/>
      <c r="RI14" s="63"/>
      <c r="RJ14" s="63"/>
      <c r="RK14" s="63"/>
      <c r="RL14" s="63"/>
      <c r="RM14" s="63"/>
      <c r="RN14" s="63"/>
      <c r="RO14" s="63"/>
      <c r="RP14" s="63"/>
      <c r="RQ14" s="63"/>
      <c r="RR14" s="63"/>
      <c r="RS14" s="63"/>
      <c r="RT14" s="63"/>
      <c r="RU14" s="63"/>
      <c r="RV14" s="63"/>
      <c r="RW14" s="63"/>
      <c r="RX14" s="63"/>
      <c r="RY14" s="63"/>
      <c r="RZ14" s="63"/>
      <c r="SA14" s="63"/>
      <c r="SB14" s="63"/>
      <c r="SC14" s="63"/>
      <c r="SD14" s="63"/>
      <c r="SE14" s="63"/>
      <c r="SF14" s="63"/>
      <c r="SG14" s="63"/>
      <c r="SH14" s="63"/>
      <c r="SI14" s="63"/>
      <c r="SJ14" s="63"/>
      <c r="SK14" s="63"/>
      <c r="SL14" s="63"/>
      <c r="SM14" s="63"/>
      <c r="SN14" s="63"/>
      <c r="SO14" s="63"/>
      <c r="SP14" s="63"/>
      <c r="SQ14" s="63"/>
      <c r="SR14" s="63"/>
      <c r="SS14" s="63"/>
      <c r="ST14" s="63"/>
      <c r="SU14" s="63"/>
      <c r="SV14" s="63"/>
      <c r="SW14" s="63"/>
      <c r="SX14" s="63"/>
      <c r="SY14" s="63"/>
      <c r="SZ14" s="63"/>
      <c r="TA14" s="63"/>
      <c r="TB14" s="63"/>
      <c r="TC14" s="63"/>
      <c r="TD14" s="63"/>
      <c r="TE14" s="63"/>
      <c r="TF14" s="63"/>
      <c r="TG14" s="63"/>
      <c r="TH14" s="63"/>
      <c r="TI14" s="63"/>
      <c r="TJ14" s="63"/>
      <c r="TK14" s="63"/>
      <c r="TL14" s="63"/>
      <c r="TM14" s="63"/>
      <c r="TN14" s="63"/>
      <c r="TO14" s="63"/>
      <c r="TP14" s="63"/>
      <c r="TQ14" s="63"/>
      <c r="TR14" s="63"/>
      <c r="TS14" s="63"/>
      <c r="TT14" s="63"/>
      <c r="TU14" s="63"/>
      <c r="TV14" s="63"/>
      <c r="TW14" s="63"/>
      <c r="TX14" s="63"/>
      <c r="TY14" s="63"/>
      <c r="TZ14" s="63"/>
      <c r="UA14" s="63"/>
      <c r="UB14" s="63"/>
      <c r="UC14" s="63"/>
      <c r="UD14" s="63"/>
      <c r="UE14" s="63"/>
      <c r="UF14" s="63"/>
      <c r="UG14" s="63"/>
      <c r="UH14" s="63"/>
      <c r="UI14" s="63"/>
      <c r="UJ14" s="63"/>
      <c r="UK14" s="63"/>
      <c r="UL14" s="63"/>
      <c r="UM14" s="63"/>
      <c r="UN14" s="63"/>
      <c r="UO14" s="63"/>
      <c r="UP14" s="63"/>
      <c r="UQ14" s="63"/>
      <c r="UR14" s="63"/>
      <c r="US14" s="63"/>
      <c r="UT14" s="63"/>
      <c r="UU14" s="63"/>
      <c r="UV14" s="63"/>
      <c r="UW14" s="63"/>
      <c r="UX14" s="63"/>
      <c r="UY14" s="63"/>
      <c r="UZ14" s="63"/>
      <c r="VA14" s="63"/>
      <c r="VB14" s="63"/>
      <c r="VC14" s="63"/>
      <c r="VD14" s="63"/>
      <c r="VE14" s="63"/>
      <c r="VF14" s="63"/>
      <c r="VG14" s="63"/>
      <c r="VH14" s="63"/>
      <c r="VI14" s="63"/>
      <c r="VJ14" s="63"/>
      <c r="VK14" s="63"/>
      <c r="VL14" s="63"/>
      <c r="VM14" s="63"/>
      <c r="VN14" s="63"/>
      <c r="VO14" s="63"/>
      <c r="VP14" s="63"/>
      <c r="VQ14" s="63"/>
      <c r="VR14" s="63"/>
      <c r="VS14" s="63"/>
      <c r="VT14" s="63"/>
      <c r="VU14" s="63"/>
      <c r="VV14" s="63"/>
      <c r="VW14" s="63"/>
      <c r="VX14" s="63"/>
      <c r="VY14" s="63"/>
      <c r="VZ14" s="63"/>
      <c r="WA14" s="63"/>
      <c r="WB14" s="63"/>
      <c r="WC14" s="63"/>
      <c r="WD14" s="63"/>
      <c r="WE14" s="63"/>
      <c r="WF14" s="63"/>
      <c r="WG14" s="63"/>
      <c r="WH14" s="63"/>
      <c r="WI14" s="63"/>
      <c r="WJ14" s="63"/>
      <c r="WK14" s="63"/>
      <c r="WL14" s="63"/>
      <c r="WM14" s="63"/>
      <c r="WN14" s="63"/>
      <c r="WO14" s="63"/>
      <c r="WP14" s="63"/>
      <c r="WQ14" s="63"/>
      <c r="WR14" s="63"/>
      <c r="WS14" s="63"/>
      <c r="WT14" s="63"/>
      <c r="WU14" s="63"/>
      <c r="WV14" s="63"/>
      <c r="WW14" s="63"/>
      <c r="WX14" s="63"/>
      <c r="WY14" s="63"/>
      <c r="WZ14" s="63"/>
      <c r="XA14" s="63"/>
      <c r="XB14" s="63"/>
      <c r="XC14" s="63"/>
      <c r="XD14" s="63"/>
      <c r="XE14" s="63"/>
      <c r="XF14" s="63"/>
      <c r="XG14" s="63"/>
      <c r="XH14" s="63"/>
      <c r="XI14" s="63"/>
      <c r="XJ14" s="63"/>
      <c r="XK14" s="63"/>
      <c r="XL14" s="63"/>
      <c r="XM14" s="63"/>
      <c r="XN14" s="63"/>
      <c r="XO14" s="63"/>
      <c r="XP14" s="63"/>
      <c r="XQ14" s="63"/>
      <c r="XR14" s="63"/>
      <c r="XS14" s="63"/>
      <c r="XT14" s="63"/>
      <c r="XU14" s="63"/>
      <c r="XV14" s="63"/>
      <c r="XW14" s="63"/>
      <c r="XX14" s="63"/>
      <c r="XY14" s="63"/>
      <c r="XZ14" s="63"/>
      <c r="YA14" s="63"/>
      <c r="YB14" s="63"/>
      <c r="YC14" s="63"/>
      <c r="YD14" s="63"/>
      <c r="YE14" s="63"/>
      <c r="YF14" s="63"/>
      <c r="YG14" s="63"/>
      <c r="YH14" s="63"/>
      <c r="YI14" s="63"/>
      <c r="YJ14" s="63"/>
      <c r="YK14" s="63"/>
      <c r="YL14" s="63"/>
      <c r="YM14" s="63"/>
      <c r="YN14" s="63"/>
      <c r="YO14" s="63"/>
      <c r="YP14" s="63"/>
      <c r="YQ14" s="63"/>
      <c r="YR14" s="63"/>
      <c r="YS14" s="63"/>
      <c r="YT14" s="63"/>
      <c r="YU14" s="63"/>
      <c r="YV14" s="63"/>
      <c r="YW14" s="63"/>
      <c r="YX14" s="63"/>
      <c r="YY14" s="63"/>
      <c r="YZ14" s="63"/>
      <c r="ZA14" s="63"/>
      <c r="ZB14" s="63"/>
      <c r="ZC14" s="63"/>
      <c r="ZD14" s="63"/>
      <c r="ZE14" s="63"/>
      <c r="ZF14" s="63"/>
      <c r="ZG14" s="63"/>
      <c r="ZH14" s="63"/>
      <c r="ZI14" s="63"/>
      <c r="ZJ14" s="63"/>
      <c r="ZK14" s="63"/>
      <c r="ZL14" s="63"/>
      <c r="ZM14" s="63"/>
      <c r="ZN14" s="63"/>
      <c r="ZO14" s="63"/>
      <c r="ZP14" s="63"/>
      <c r="ZQ14" s="63"/>
      <c r="ZR14" s="63"/>
      <c r="ZS14" s="63"/>
      <c r="ZT14" s="63"/>
      <c r="ZU14" s="63"/>
      <c r="ZV14" s="63"/>
      <c r="ZW14" s="63"/>
      <c r="ZX14" s="63"/>
      <c r="ZY14" s="63"/>
      <c r="ZZ14" s="63"/>
      <c r="AAA14" s="63"/>
      <c r="AAB14" s="63"/>
      <c r="AAC14" s="63"/>
      <c r="AAD14" s="63"/>
      <c r="AAE14" s="63"/>
      <c r="AAF14" s="63"/>
      <c r="AAG14" s="63"/>
      <c r="AAH14" s="63"/>
      <c r="AAI14" s="63"/>
      <c r="AAJ14" s="63"/>
      <c r="AAK14" s="63"/>
      <c r="AAL14" s="63"/>
      <c r="AAM14" s="63"/>
      <c r="AAN14" s="63"/>
      <c r="AAO14" s="63"/>
      <c r="AAP14" s="63"/>
      <c r="AAQ14" s="63"/>
      <c r="AAR14" s="63"/>
      <c r="AAS14" s="63"/>
      <c r="AAT14" s="63"/>
      <c r="AAU14" s="63"/>
      <c r="AAV14" s="63"/>
      <c r="AAW14" s="63"/>
      <c r="AAX14" s="63"/>
      <c r="AAY14" s="63"/>
      <c r="AAZ14" s="63"/>
      <c r="ABA14" s="63"/>
      <c r="ABB14" s="63"/>
      <c r="ABC14" s="63"/>
      <c r="ABD14" s="63"/>
      <c r="ABE14" s="63"/>
      <c r="ABF14" s="63"/>
      <c r="ABG14" s="63"/>
      <c r="ABH14" s="63"/>
      <c r="ABI14" s="63"/>
      <c r="ABJ14" s="63"/>
      <c r="ABK14" s="63"/>
      <c r="ABL14" s="63"/>
      <c r="ABM14" s="63"/>
      <c r="ABN14" s="63"/>
      <c r="ABO14" s="63"/>
      <c r="ABP14" s="63"/>
      <c r="ABQ14" s="63"/>
      <c r="ABR14" s="63"/>
      <c r="ABS14" s="63"/>
      <c r="ABT14" s="63"/>
      <c r="ABU14" s="63"/>
      <c r="ABV14" s="63"/>
      <c r="ABW14" s="63"/>
      <c r="ABX14" s="63"/>
      <c r="ABY14" s="63"/>
      <c r="ABZ14" s="63"/>
      <c r="ACA14" s="63"/>
      <c r="ACB14" s="63"/>
      <c r="ACC14" s="63"/>
      <c r="ACD14" s="63"/>
      <c r="ACE14" s="63"/>
      <c r="ACF14" s="63"/>
      <c r="ACG14" s="63"/>
      <c r="ACH14" s="63"/>
      <c r="ACI14" s="63"/>
      <c r="ACJ14" s="63"/>
      <c r="ACK14" s="63"/>
      <c r="ACL14" s="63"/>
      <c r="ACM14" s="63"/>
      <c r="ACN14" s="63"/>
      <c r="ACO14" s="63"/>
      <c r="ACP14" s="63"/>
      <c r="ACQ14" s="63"/>
      <c r="ACR14" s="63"/>
      <c r="ACS14" s="63"/>
      <c r="ACT14" s="63"/>
      <c r="ACU14" s="63"/>
      <c r="ACV14" s="63"/>
      <c r="ACW14" s="63"/>
      <c r="ACX14" s="63"/>
      <c r="ACY14" s="63"/>
      <c r="ACZ14" s="63"/>
      <c r="ADA14" s="63"/>
      <c r="ADB14" s="63"/>
      <c r="ADC14" s="63"/>
      <c r="ADD14" s="63"/>
      <c r="ADE14" s="63"/>
      <c r="ADF14" s="63"/>
      <c r="ADG14" s="63"/>
      <c r="ADH14" s="63"/>
      <c r="ADI14" s="63"/>
      <c r="ADJ14" s="63"/>
      <c r="ADK14" s="63"/>
      <c r="ADL14" s="63"/>
      <c r="ADM14" s="63"/>
      <c r="ADN14" s="63"/>
      <c r="ADO14" s="63"/>
      <c r="ADP14" s="63"/>
      <c r="ADQ14" s="63"/>
      <c r="ADR14" s="63"/>
      <c r="ADS14" s="63"/>
      <c r="ADT14" s="63"/>
      <c r="ADU14" s="63"/>
      <c r="ADV14" s="63"/>
      <c r="ADW14" s="63"/>
      <c r="ADX14" s="63"/>
      <c r="ADY14" s="63"/>
      <c r="ADZ14" s="63"/>
      <c r="AEA14" s="63"/>
      <c r="AEB14" s="63"/>
      <c r="AEC14" s="63"/>
      <c r="AED14" s="63"/>
      <c r="AEE14" s="63"/>
      <c r="AEF14" s="63"/>
      <c r="AEG14" s="63"/>
      <c r="AEH14" s="63"/>
      <c r="AEI14" s="63"/>
      <c r="AEJ14" s="63"/>
      <c r="AEK14" s="63"/>
      <c r="AEL14" s="63"/>
      <c r="AEM14" s="63"/>
      <c r="AEN14" s="63"/>
      <c r="AEO14" s="63"/>
      <c r="AEP14" s="63"/>
      <c r="AEQ14" s="63"/>
      <c r="AER14" s="63"/>
      <c r="AES14" s="63"/>
      <c r="AET14" s="63"/>
      <c r="AEU14" s="63"/>
      <c r="AEV14" s="63"/>
      <c r="AEW14" s="63"/>
      <c r="AEX14" s="63"/>
      <c r="AEY14" s="63"/>
      <c r="AEZ14" s="63"/>
      <c r="AFA14" s="63"/>
      <c r="AFB14" s="63"/>
      <c r="AFC14" s="63"/>
      <c r="AFD14" s="63"/>
      <c r="AFE14" s="63"/>
      <c r="AFF14" s="63"/>
      <c r="AFG14" s="63"/>
      <c r="AFH14" s="63"/>
      <c r="AFI14" s="63"/>
      <c r="AFJ14" s="63"/>
      <c r="AFK14" s="63"/>
      <c r="AFL14" s="63"/>
      <c r="AFM14" s="63"/>
      <c r="AFN14" s="63"/>
      <c r="AFO14" s="63"/>
      <c r="AFP14" s="63"/>
      <c r="AFQ14" s="63"/>
      <c r="AFR14" s="63"/>
      <c r="AFS14" s="63"/>
      <c r="AFT14" s="63"/>
      <c r="AFU14" s="63"/>
      <c r="AFV14" s="63"/>
      <c r="AFW14" s="63"/>
      <c r="AFX14" s="63"/>
      <c r="AFY14" s="63"/>
      <c r="AFZ14" s="63"/>
      <c r="AGA14" s="63"/>
      <c r="AGB14" s="63"/>
      <c r="AGC14" s="63"/>
      <c r="AGD14" s="63"/>
      <c r="AGE14" s="63"/>
      <c r="AGF14" s="63"/>
      <c r="AGG14" s="63"/>
      <c r="AGH14" s="63"/>
      <c r="AGI14" s="63"/>
      <c r="AGJ14" s="63"/>
      <c r="AGK14" s="63"/>
      <c r="AGL14" s="63"/>
      <c r="AGM14" s="63"/>
      <c r="AGN14" s="63"/>
      <c r="AGO14" s="63"/>
      <c r="AGP14" s="63"/>
      <c r="AGQ14" s="63"/>
      <c r="AGR14" s="63"/>
      <c r="AGS14" s="63"/>
      <c r="AGT14" s="63"/>
      <c r="AGU14" s="63"/>
      <c r="AGV14" s="63"/>
      <c r="AGW14" s="63"/>
      <c r="AGX14" s="63"/>
      <c r="AGY14" s="63"/>
      <c r="AGZ14" s="63"/>
      <c r="AHA14" s="63"/>
      <c r="AHB14" s="63"/>
      <c r="AHC14" s="63"/>
      <c r="AHD14" s="63"/>
      <c r="AHE14" s="63"/>
      <c r="AHF14" s="63"/>
      <c r="AHG14" s="63"/>
      <c r="AHH14" s="63"/>
      <c r="AHI14" s="63"/>
      <c r="AHJ14" s="63"/>
      <c r="AHK14" s="63"/>
      <c r="AHL14" s="63"/>
      <c r="AHM14" s="63"/>
      <c r="AHN14" s="63"/>
      <c r="AHO14" s="63"/>
      <c r="AHP14" s="63"/>
      <c r="AHQ14" s="63"/>
      <c r="AHR14" s="63"/>
      <c r="AHS14" s="63"/>
      <c r="AHT14" s="63"/>
      <c r="AHU14" s="63"/>
      <c r="AHV14" s="63"/>
      <c r="AHW14" s="63"/>
      <c r="AHX14" s="63"/>
      <c r="AHY14" s="63"/>
      <c r="AHZ14" s="63"/>
      <c r="AIA14" s="63"/>
      <c r="AIB14" s="63"/>
      <c r="AIC14" s="63"/>
      <c r="AID14" s="63"/>
      <c r="AIE14" s="63"/>
      <c r="AIF14" s="63"/>
      <c r="AIG14" s="63"/>
      <c r="AIH14" s="63"/>
      <c r="AII14" s="63"/>
      <c r="AIJ14" s="63"/>
      <c r="AIK14" s="63"/>
      <c r="AIL14" s="63"/>
      <c r="AIM14" s="63"/>
      <c r="AIN14" s="63"/>
      <c r="AIO14" s="63"/>
      <c r="AIP14" s="63"/>
      <c r="AIQ14" s="63"/>
      <c r="AIR14" s="63"/>
      <c r="AIS14" s="63"/>
      <c r="AIT14" s="63"/>
      <c r="AIU14" s="63"/>
      <c r="AIV14" s="63"/>
      <c r="AIW14" s="63"/>
      <c r="AIX14" s="63"/>
      <c r="AIY14" s="63"/>
      <c r="AIZ14" s="63"/>
      <c r="AJA14" s="63"/>
      <c r="AJB14" s="63"/>
      <c r="AJC14" s="63"/>
      <c r="AJD14" s="63"/>
      <c r="AJE14" s="63"/>
      <c r="AJF14" s="63"/>
      <c r="AJG14" s="63"/>
      <c r="AJH14" s="63"/>
      <c r="AJI14" s="63"/>
      <c r="AJJ14" s="63"/>
      <c r="AJK14" s="63"/>
      <c r="AJL14" s="63"/>
      <c r="AJM14" s="63"/>
      <c r="AJN14" s="63"/>
      <c r="AJO14" s="63"/>
      <c r="AJP14" s="63"/>
      <c r="AJQ14" s="63"/>
      <c r="AJR14" s="63"/>
      <c r="AJS14" s="63"/>
      <c r="AJT14" s="63"/>
      <c r="AJU14" s="63"/>
      <c r="AJV14" s="63"/>
      <c r="AJW14" s="63"/>
      <c r="AJX14" s="63"/>
      <c r="AJY14" s="63"/>
      <c r="AJZ14" s="63"/>
      <c r="AKA14" s="63"/>
      <c r="AKB14" s="63"/>
      <c r="AKC14" s="63"/>
      <c r="AKD14" s="63"/>
      <c r="AKE14" s="63"/>
      <c r="AKF14" s="63"/>
      <c r="AKG14" s="63"/>
      <c r="AKH14" s="63"/>
      <c r="AKI14" s="63"/>
      <c r="AKJ14" s="63"/>
      <c r="AKK14" s="63"/>
      <c r="AKL14" s="63"/>
      <c r="AKM14" s="63"/>
      <c r="AKN14" s="63"/>
      <c r="AKO14" s="63"/>
      <c r="AKP14" s="63"/>
      <c r="AKQ14" s="63"/>
      <c r="AKR14" s="63"/>
      <c r="AKS14" s="63"/>
      <c r="AKT14" s="63"/>
      <c r="AKU14" s="63"/>
      <c r="AKV14" s="63"/>
      <c r="AKW14" s="63"/>
      <c r="AKX14" s="63"/>
      <c r="AKY14" s="63"/>
      <c r="AKZ14" s="63"/>
      <c r="ALA14" s="63"/>
      <c r="ALB14" s="63"/>
      <c r="ALC14" s="63"/>
      <c r="ALD14" s="63"/>
      <c r="ALE14" s="63"/>
      <c r="ALF14" s="63"/>
      <c r="ALG14" s="63"/>
      <c r="ALH14" s="63"/>
      <c r="ALI14" s="63"/>
      <c r="ALJ14" s="63"/>
      <c r="ALK14" s="63"/>
      <c r="ALL14" s="63"/>
      <c r="ALM14" s="63"/>
      <c r="ALN14" s="63"/>
      <c r="ALO14" s="63"/>
      <c r="ALP14" s="63"/>
      <c r="ALQ14" s="63"/>
      <c r="ALR14" s="63"/>
      <c r="ALS14" s="63"/>
      <c r="ALT14" s="63"/>
      <c r="ALU14" s="63"/>
      <c r="ALV14" s="63"/>
      <c r="ALW14" s="63"/>
      <c r="ALX14" s="63"/>
      <c r="ALY14" s="63"/>
      <c r="ALZ14" s="63"/>
      <c r="AMA14" s="63"/>
      <c r="AMB14" s="63"/>
      <c r="AMC14" s="63"/>
      <c r="AMD14" s="63"/>
      <c r="AME14" s="63"/>
      <c r="AMF14" s="63"/>
      <c r="AMG14" s="63"/>
      <c r="AMH14" s="63"/>
      <c r="AMI14" s="63"/>
      <c r="AMJ14" s="63"/>
    </row>
    <row r="15" spans="1:1024" s="64" customFormat="1" ht="34.5" customHeight="1" thickBot="1" x14ac:dyDescent="0.25">
      <c r="A15" s="55">
        <v>4</v>
      </c>
      <c r="B15" s="65"/>
      <c r="C15" s="187" t="s">
        <v>118</v>
      </c>
      <c r="D15" s="188" t="s">
        <v>118</v>
      </c>
      <c r="E15" s="188" t="s">
        <v>118</v>
      </c>
      <c r="F15" s="188" t="s">
        <v>118</v>
      </c>
      <c r="G15" s="189" t="s">
        <v>118</v>
      </c>
      <c r="H15" s="66" t="s">
        <v>15</v>
      </c>
      <c r="I15" s="61" t="s">
        <v>119</v>
      </c>
      <c r="J15" s="62">
        <v>9000</v>
      </c>
      <c r="K15" s="61">
        <v>125</v>
      </c>
      <c r="L15" s="145">
        <f t="shared" si="0"/>
        <v>1125000</v>
      </c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3"/>
      <c r="EY15" s="63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3"/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3"/>
      <c r="GR15" s="63"/>
      <c r="GS15" s="63"/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3"/>
      <c r="HT15" s="63"/>
      <c r="HU15" s="63"/>
      <c r="HV15" s="63"/>
      <c r="HW15" s="63"/>
      <c r="HX15" s="63"/>
      <c r="HY15" s="63"/>
      <c r="HZ15" s="63"/>
      <c r="IA15" s="63"/>
      <c r="IB15" s="63"/>
      <c r="IC15" s="63"/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3"/>
      <c r="IO15" s="63"/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63"/>
      <c r="JE15" s="63"/>
      <c r="JF15" s="63"/>
      <c r="JG15" s="63"/>
      <c r="JH15" s="63"/>
      <c r="JI15" s="63"/>
      <c r="JJ15" s="63"/>
      <c r="JK15" s="63"/>
      <c r="JL15" s="63"/>
      <c r="JM15" s="63"/>
      <c r="JN15" s="63"/>
      <c r="JO15" s="63"/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63"/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63"/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  <c r="MN15" s="63"/>
      <c r="MO15" s="63"/>
      <c r="MP15" s="63"/>
      <c r="MQ15" s="63"/>
      <c r="MR15" s="63"/>
      <c r="MS15" s="63"/>
      <c r="MT15" s="63"/>
      <c r="MU15" s="63"/>
      <c r="MV15" s="63"/>
      <c r="MW15" s="63"/>
      <c r="MX15" s="63"/>
      <c r="MY15" s="63"/>
      <c r="MZ15" s="63"/>
      <c r="NA15" s="63"/>
      <c r="NB15" s="63"/>
      <c r="NC15" s="63"/>
      <c r="ND15" s="63"/>
      <c r="NE15" s="63"/>
      <c r="NF15" s="63"/>
      <c r="NG15" s="63"/>
      <c r="NH15" s="63"/>
      <c r="NI15" s="63"/>
      <c r="NJ15" s="63"/>
      <c r="NK15" s="63"/>
      <c r="NL15" s="63"/>
      <c r="NM15" s="63"/>
      <c r="NN15" s="63"/>
      <c r="NO15" s="63"/>
      <c r="NP15" s="63"/>
      <c r="NQ15" s="63"/>
      <c r="NR15" s="63"/>
      <c r="NS15" s="63"/>
      <c r="NT15" s="63"/>
      <c r="NU15" s="63"/>
      <c r="NV15" s="63"/>
      <c r="NW15" s="63"/>
      <c r="NX15" s="63"/>
      <c r="NY15" s="63"/>
      <c r="NZ15" s="63"/>
      <c r="OA15" s="63"/>
      <c r="OB15" s="63"/>
      <c r="OC15" s="63"/>
      <c r="OD15" s="63"/>
      <c r="OE15" s="63"/>
      <c r="OF15" s="63"/>
      <c r="OG15" s="63"/>
      <c r="OH15" s="63"/>
      <c r="OI15" s="63"/>
      <c r="OJ15" s="63"/>
      <c r="OK15" s="63"/>
      <c r="OL15" s="63"/>
      <c r="OM15" s="63"/>
      <c r="ON15" s="63"/>
      <c r="OO15" s="63"/>
      <c r="OP15" s="63"/>
      <c r="OQ15" s="63"/>
      <c r="OR15" s="63"/>
      <c r="OS15" s="63"/>
      <c r="OT15" s="63"/>
      <c r="OU15" s="63"/>
      <c r="OV15" s="63"/>
      <c r="OW15" s="63"/>
      <c r="OX15" s="63"/>
      <c r="OY15" s="63"/>
      <c r="OZ15" s="63"/>
      <c r="PA15" s="63"/>
      <c r="PB15" s="63"/>
      <c r="PC15" s="63"/>
      <c r="PD15" s="63"/>
      <c r="PE15" s="63"/>
      <c r="PF15" s="63"/>
      <c r="PG15" s="63"/>
      <c r="PH15" s="63"/>
      <c r="PI15" s="63"/>
      <c r="PJ15" s="63"/>
      <c r="PK15" s="63"/>
      <c r="PL15" s="63"/>
      <c r="PM15" s="63"/>
      <c r="PN15" s="63"/>
      <c r="PO15" s="63"/>
      <c r="PP15" s="63"/>
      <c r="PQ15" s="63"/>
      <c r="PR15" s="63"/>
      <c r="PS15" s="63"/>
      <c r="PT15" s="63"/>
      <c r="PU15" s="63"/>
      <c r="PV15" s="63"/>
      <c r="PW15" s="63"/>
      <c r="PX15" s="63"/>
      <c r="PY15" s="63"/>
      <c r="PZ15" s="63"/>
      <c r="QA15" s="63"/>
      <c r="QB15" s="63"/>
      <c r="QC15" s="63"/>
      <c r="QD15" s="63"/>
      <c r="QE15" s="63"/>
      <c r="QF15" s="63"/>
      <c r="QG15" s="63"/>
      <c r="QH15" s="63"/>
      <c r="QI15" s="63"/>
      <c r="QJ15" s="63"/>
      <c r="QK15" s="63"/>
      <c r="QL15" s="63"/>
      <c r="QM15" s="63"/>
      <c r="QN15" s="63"/>
      <c r="QO15" s="63"/>
      <c r="QP15" s="63"/>
      <c r="QQ15" s="63"/>
      <c r="QR15" s="63"/>
      <c r="QS15" s="63"/>
      <c r="QT15" s="63"/>
      <c r="QU15" s="63"/>
      <c r="QV15" s="63"/>
      <c r="QW15" s="63"/>
      <c r="QX15" s="63"/>
      <c r="QY15" s="63"/>
      <c r="QZ15" s="63"/>
      <c r="RA15" s="63"/>
      <c r="RB15" s="63"/>
      <c r="RC15" s="63"/>
      <c r="RD15" s="63"/>
      <c r="RE15" s="63"/>
      <c r="RF15" s="63"/>
      <c r="RG15" s="63"/>
      <c r="RH15" s="63"/>
      <c r="RI15" s="63"/>
      <c r="RJ15" s="63"/>
      <c r="RK15" s="63"/>
      <c r="RL15" s="63"/>
      <c r="RM15" s="63"/>
      <c r="RN15" s="63"/>
      <c r="RO15" s="63"/>
      <c r="RP15" s="63"/>
      <c r="RQ15" s="63"/>
      <c r="RR15" s="63"/>
      <c r="RS15" s="63"/>
      <c r="RT15" s="63"/>
      <c r="RU15" s="63"/>
      <c r="RV15" s="63"/>
      <c r="RW15" s="63"/>
      <c r="RX15" s="63"/>
      <c r="RY15" s="63"/>
      <c r="RZ15" s="63"/>
      <c r="SA15" s="63"/>
      <c r="SB15" s="63"/>
      <c r="SC15" s="63"/>
      <c r="SD15" s="63"/>
      <c r="SE15" s="63"/>
      <c r="SF15" s="63"/>
      <c r="SG15" s="63"/>
      <c r="SH15" s="63"/>
      <c r="SI15" s="63"/>
      <c r="SJ15" s="63"/>
      <c r="SK15" s="63"/>
      <c r="SL15" s="63"/>
      <c r="SM15" s="63"/>
      <c r="SN15" s="63"/>
      <c r="SO15" s="63"/>
      <c r="SP15" s="63"/>
      <c r="SQ15" s="63"/>
      <c r="SR15" s="63"/>
      <c r="SS15" s="63"/>
      <c r="ST15" s="63"/>
      <c r="SU15" s="63"/>
      <c r="SV15" s="63"/>
      <c r="SW15" s="63"/>
      <c r="SX15" s="63"/>
      <c r="SY15" s="63"/>
      <c r="SZ15" s="63"/>
      <c r="TA15" s="63"/>
      <c r="TB15" s="63"/>
      <c r="TC15" s="63"/>
      <c r="TD15" s="63"/>
      <c r="TE15" s="63"/>
      <c r="TF15" s="63"/>
      <c r="TG15" s="63"/>
      <c r="TH15" s="63"/>
      <c r="TI15" s="63"/>
      <c r="TJ15" s="63"/>
      <c r="TK15" s="63"/>
      <c r="TL15" s="63"/>
      <c r="TM15" s="63"/>
      <c r="TN15" s="63"/>
      <c r="TO15" s="63"/>
      <c r="TP15" s="63"/>
      <c r="TQ15" s="63"/>
      <c r="TR15" s="63"/>
      <c r="TS15" s="63"/>
      <c r="TT15" s="63"/>
      <c r="TU15" s="63"/>
      <c r="TV15" s="63"/>
      <c r="TW15" s="63"/>
      <c r="TX15" s="63"/>
      <c r="TY15" s="63"/>
      <c r="TZ15" s="63"/>
      <c r="UA15" s="63"/>
      <c r="UB15" s="63"/>
      <c r="UC15" s="63"/>
      <c r="UD15" s="63"/>
      <c r="UE15" s="63"/>
      <c r="UF15" s="63"/>
      <c r="UG15" s="63"/>
      <c r="UH15" s="63"/>
      <c r="UI15" s="63"/>
      <c r="UJ15" s="63"/>
      <c r="UK15" s="63"/>
      <c r="UL15" s="63"/>
      <c r="UM15" s="63"/>
      <c r="UN15" s="63"/>
      <c r="UO15" s="63"/>
      <c r="UP15" s="63"/>
      <c r="UQ15" s="63"/>
      <c r="UR15" s="63"/>
      <c r="US15" s="63"/>
      <c r="UT15" s="63"/>
      <c r="UU15" s="63"/>
      <c r="UV15" s="63"/>
      <c r="UW15" s="63"/>
      <c r="UX15" s="63"/>
      <c r="UY15" s="63"/>
      <c r="UZ15" s="63"/>
      <c r="VA15" s="63"/>
      <c r="VB15" s="63"/>
      <c r="VC15" s="63"/>
      <c r="VD15" s="63"/>
      <c r="VE15" s="63"/>
      <c r="VF15" s="63"/>
      <c r="VG15" s="63"/>
      <c r="VH15" s="63"/>
      <c r="VI15" s="63"/>
      <c r="VJ15" s="63"/>
      <c r="VK15" s="63"/>
      <c r="VL15" s="63"/>
      <c r="VM15" s="63"/>
      <c r="VN15" s="63"/>
      <c r="VO15" s="63"/>
      <c r="VP15" s="63"/>
      <c r="VQ15" s="63"/>
      <c r="VR15" s="63"/>
      <c r="VS15" s="63"/>
      <c r="VT15" s="63"/>
      <c r="VU15" s="63"/>
      <c r="VV15" s="63"/>
      <c r="VW15" s="63"/>
      <c r="VX15" s="63"/>
      <c r="VY15" s="63"/>
      <c r="VZ15" s="63"/>
      <c r="WA15" s="63"/>
      <c r="WB15" s="63"/>
      <c r="WC15" s="63"/>
      <c r="WD15" s="63"/>
      <c r="WE15" s="63"/>
      <c r="WF15" s="63"/>
      <c r="WG15" s="63"/>
      <c r="WH15" s="63"/>
      <c r="WI15" s="63"/>
      <c r="WJ15" s="63"/>
      <c r="WK15" s="63"/>
      <c r="WL15" s="63"/>
      <c r="WM15" s="63"/>
      <c r="WN15" s="63"/>
      <c r="WO15" s="63"/>
      <c r="WP15" s="63"/>
      <c r="WQ15" s="63"/>
      <c r="WR15" s="63"/>
      <c r="WS15" s="63"/>
      <c r="WT15" s="63"/>
      <c r="WU15" s="63"/>
      <c r="WV15" s="63"/>
      <c r="WW15" s="63"/>
      <c r="WX15" s="63"/>
      <c r="WY15" s="63"/>
      <c r="WZ15" s="63"/>
      <c r="XA15" s="63"/>
      <c r="XB15" s="63"/>
      <c r="XC15" s="63"/>
      <c r="XD15" s="63"/>
      <c r="XE15" s="63"/>
      <c r="XF15" s="63"/>
      <c r="XG15" s="63"/>
      <c r="XH15" s="63"/>
      <c r="XI15" s="63"/>
      <c r="XJ15" s="63"/>
      <c r="XK15" s="63"/>
      <c r="XL15" s="63"/>
      <c r="XM15" s="63"/>
      <c r="XN15" s="63"/>
      <c r="XO15" s="63"/>
      <c r="XP15" s="63"/>
      <c r="XQ15" s="63"/>
      <c r="XR15" s="63"/>
      <c r="XS15" s="63"/>
      <c r="XT15" s="63"/>
      <c r="XU15" s="63"/>
      <c r="XV15" s="63"/>
      <c r="XW15" s="63"/>
      <c r="XX15" s="63"/>
      <c r="XY15" s="63"/>
      <c r="XZ15" s="63"/>
      <c r="YA15" s="63"/>
      <c r="YB15" s="63"/>
      <c r="YC15" s="63"/>
      <c r="YD15" s="63"/>
      <c r="YE15" s="63"/>
      <c r="YF15" s="63"/>
      <c r="YG15" s="63"/>
      <c r="YH15" s="63"/>
      <c r="YI15" s="63"/>
      <c r="YJ15" s="63"/>
      <c r="YK15" s="63"/>
      <c r="YL15" s="63"/>
      <c r="YM15" s="63"/>
      <c r="YN15" s="63"/>
      <c r="YO15" s="63"/>
      <c r="YP15" s="63"/>
      <c r="YQ15" s="63"/>
      <c r="YR15" s="63"/>
      <c r="YS15" s="63"/>
      <c r="YT15" s="63"/>
      <c r="YU15" s="63"/>
      <c r="YV15" s="63"/>
      <c r="YW15" s="63"/>
      <c r="YX15" s="63"/>
      <c r="YY15" s="63"/>
      <c r="YZ15" s="63"/>
      <c r="ZA15" s="63"/>
      <c r="ZB15" s="63"/>
      <c r="ZC15" s="63"/>
      <c r="ZD15" s="63"/>
      <c r="ZE15" s="63"/>
      <c r="ZF15" s="63"/>
      <c r="ZG15" s="63"/>
      <c r="ZH15" s="63"/>
      <c r="ZI15" s="63"/>
      <c r="ZJ15" s="63"/>
      <c r="ZK15" s="63"/>
      <c r="ZL15" s="63"/>
      <c r="ZM15" s="63"/>
      <c r="ZN15" s="63"/>
      <c r="ZO15" s="63"/>
      <c r="ZP15" s="63"/>
      <c r="ZQ15" s="63"/>
      <c r="ZR15" s="63"/>
      <c r="ZS15" s="63"/>
      <c r="ZT15" s="63"/>
      <c r="ZU15" s="63"/>
      <c r="ZV15" s="63"/>
      <c r="ZW15" s="63"/>
      <c r="ZX15" s="63"/>
      <c r="ZY15" s="63"/>
      <c r="ZZ15" s="63"/>
      <c r="AAA15" s="63"/>
      <c r="AAB15" s="63"/>
      <c r="AAC15" s="63"/>
      <c r="AAD15" s="63"/>
      <c r="AAE15" s="63"/>
      <c r="AAF15" s="63"/>
      <c r="AAG15" s="63"/>
      <c r="AAH15" s="63"/>
      <c r="AAI15" s="63"/>
      <c r="AAJ15" s="63"/>
      <c r="AAK15" s="63"/>
      <c r="AAL15" s="63"/>
      <c r="AAM15" s="63"/>
      <c r="AAN15" s="63"/>
      <c r="AAO15" s="63"/>
      <c r="AAP15" s="63"/>
      <c r="AAQ15" s="63"/>
      <c r="AAR15" s="63"/>
      <c r="AAS15" s="63"/>
      <c r="AAT15" s="63"/>
      <c r="AAU15" s="63"/>
      <c r="AAV15" s="63"/>
      <c r="AAW15" s="63"/>
      <c r="AAX15" s="63"/>
      <c r="AAY15" s="63"/>
      <c r="AAZ15" s="63"/>
      <c r="ABA15" s="63"/>
      <c r="ABB15" s="63"/>
      <c r="ABC15" s="63"/>
      <c r="ABD15" s="63"/>
      <c r="ABE15" s="63"/>
      <c r="ABF15" s="63"/>
      <c r="ABG15" s="63"/>
      <c r="ABH15" s="63"/>
      <c r="ABI15" s="63"/>
      <c r="ABJ15" s="63"/>
      <c r="ABK15" s="63"/>
      <c r="ABL15" s="63"/>
      <c r="ABM15" s="63"/>
      <c r="ABN15" s="63"/>
      <c r="ABO15" s="63"/>
      <c r="ABP15" s="63"/>
      <c r="ABQ15" s="63"/>
      <c r="ABR15" s="63"/>
      <c r="ABS15" s="63"/>
      <c r="ABT15" s="63"/>
      <c r="ABU15" s="63"/>
      <c r="ABV15" s="63"/>
      <c r="ABW15" s="63"/>
      <c r="ABX15" s="63"/>
      <c r="ABY15" s="63"/>
      <c r="ABZ15" s="63"/>
      <c r="ACA15" s="63"/>
      <c r="ACB15" s="63"/>
      <c r="ACC15" s="63"/>
      <c r="ACD15" s="63"/>
      <c r="ACE15" s="63"/>
      <c r="ACF15" s="63"/>
      <c r="ACG15" s="63"/>
      <c r="ACH15" s="63"/>
      <c r="ACI15" s="63"/>
      <c r="ACJ15" s="63"/>
      <c r="ACK15" s="63"/>
      <c r="ACL15" s="63"/>
      <c r="ACM15" s="63"/>
      <c r="ACN15" s="63"/>
      <c r="ACO15" s="63"/>
      <c r="ACP15" s="63"/>
      <c r="ACQ15" s="63"/>
      <c r="ACR15" s="63"/>
      <c r="ACS15" s="63"/>
      <c r="ACT15" s="63"/>
      <c r="ACU15" s="63"/>
      <c r="ACV15" s="63"/>
      <c r="ACW15" s="63"/>
      <c r="ACX15" s="63"/>
      <c r="ACY15" s="63"/>
      <c r="ACZ15" s="63"/>
      <c r="ADA15" s="63"/>
      <c r="ADB15" s="63"/>
      <c r="ADC15" s="63"/>
      <c r="ADD15" s="63"/>
      <c r="ADE15" s="63"/>
      <c r="ADF15" s="63"/>
      <c r="ADG15" s="63"/>
      <c r="ADH15" s="63"/>
      <c r="ADI15" s="63"/>
      <c r="ADJ15" s="63"/>
      <c r="ADK15" s="63"/>
      <c r="ADL15" s="63"/>
      <c r="ADM15" s="63"/>
      <c r="ADN15" s="63"/>
      <c r="ADO15" s="63"/>
      <c r="ADP15" s="63"/>
      <c r="ADQ15" s="63"/>
      <c r="ADR15" s="63"/>
      <c r="ADS15" s="63"/>
      <c r="ADT15" s="63"/>
      <c r="ADU15" s="63"/>
      <c r="ADV15" s="63"/>
      <c r="ADW15" s="63"/>
      <c r="ADX15" s="63"/>
      <c r="ADY15" s="63"/>
      <c r="ADZ15" s="63"/>
      <c r="AEA15" s="63"/>
      <c r="AEB15" s="63"/>
      <c r="AEC15" s="63"/>
      <c r="AED15" s="63"/>
      <c r="AEE15" s="63"/>
      <c r="AEF15" s="63"/>
      <c r="AEG15" s="63"/>
      <c r="AEH15" s="63"/>
      <c r="AEI15" s="63"/>
      <c r="AEJ15" s="63"/>
      <c r="AEK15" s="63"/>
      <c r="AEL15" s="63"/>
      <c r="AEM15" s="63"/>
      <c r="AEN15" s="63"/>
      <c r="AEO15" s="63"/>
      <c r="AEP15" s="63"/>
      <c r="AEQ15" s="63"/>
      <c r="AER15" s="63"/>
      <c r="AES15" s="63"/>
      <c r="AET15" s="63"/>
      <c r="AEU15" s="63"/>
      <c r="AEV15" s="63"/>
      <c r="AEW15" s="63"/>
      <c r="AEX15" s="63"/>
      <c r="AEY15" s="63"/>
      <c r="AEZ15" s="63"/>
      <c r="AFA15" s="63"/>
      <c r="AFB15" s="63"/>
      <c r="AFC15" s="63"/>
      <c r="AFD15" s="63"/>
      <c r="AFE15" s="63"/>
      <c r="AFF15" s="63"/>
      <c r="AFG15" s="63"/>
      <c r="AFH15" s="63"/>
      <c r="AFI15" s="63"/>
      <c r="AFJ15" s="63"/>
      <c r="AFK15" s="63"/>
      <c r="AFL15" s="63"/>
      <c r="AFM15" s="63"/>
      <c r="AFN15" s="63"/>
      <c r="AFO15" s="63"/>
      <c r="AFP15" s="63"/>
      <c r="AFQ15" s="63"/>
      <c r="AFR15" s="63"/>
      <c r="AFS15" s="63"/>
      <c r="AFT15" s="63"/>
      <c r="AFU15" s="63"/>
      <c r="AFV15" s="63"/>
      <c r="AFW15" s="63"/>
      <c r="AFX15" s="63"/>
      <c r="AFY15" s="63"/>
      <c r="AFZ15" s="63"/>
      <c r="AGA15" s="63"/>
      <c r="AGB15" s="63"/>
      <c r="AGC15" s="63"/>
      <c r="AGD15" s="63"/>
      <c r="AGE15" s="63"/>
      <c r="AGF15" s="63"/>
      <c r="AGG15" s="63"/>
      <c r="AGH15" s="63"/>
      <c r="AGI15" s="63"/>
      <c r="AGJ15" s="63"/>
      <c r="AGK15" s="63"/>
      <c r="AGL15" s="63"/>
      <c r="AGM15" s="63"/>
      <c r="AGN15" s="63"/>
      <c r="AGO15" s="63"/>
      <c r="AGP15" s="63"/>
      <c r="AGQ15" s="63"/>
      <c r="AGR15" s="63"/>
      <c r="AGS15" s="63"/>
      <c r="AGT15" s="63"/>
      <c r="AGU15" s="63"/>
      <c r="AGV15" s="63"/>
      <c r="AGW15" s="63"/>
      <c r="AGX15" s="63"/>
      <c r="AGY15" s="63"/>
      <c r="AGZ15" s="63"/>
      <c r="AHA15" s="63"/>
      <c r="AHB15" s="63"/>
      <c r="AHC15" s="63"/>
      <c r="AHD15" s="63"/>
      <c r="AHE15" s="63"/>
      <c r="AHF15" s="63"/>
      <c r="AHG15" s="63"/>
      <c r="AHH15" s="63"/>
      <c r="AHI15" s="63"/>
      <c r="AHJ15" s="63"/>
      <c r="AHK15" s="63"/>
      <c r="AHL15" s="63"/>
      <c r="AHM15" s="63"/>
      <c r="AHN15" s="63"/>
      <c r="AHO15" s="63"/>
      <c r="AHP15" s="63"/>
      <c r="AHQ15" s="63"/>
      <c r="AHR15" s="63"/>
      <c r="AHS15" s="63"/>
      <c r="AHT15" s="63"/>
      <c r="AHU15" s="63"/>
      <c r="AHV15" s="63"/>
      <c r="AHW15" s="63"/>
      <c r="AHX15" s="63"/>
      <c r="AHY15" s="63"/>
      <c r="AHZ15" s="63"/>
      <c r="AIA15" s="63"/>
      <c r="AIB15" s="63"/>
      <c r="AIC15" s="63"/>
      <c r="AID15" s="63"/>
      <c r="AIE15" s="63"/>
      <c r="AIF15" s="63"/>
      <c r="AIG15" s="63"/>
      <c r="AIH15" s="63"/>
      <c r="AII15" s="63"/>
      <c r="AIJ15" s="63"/>
      <c r="AIK15" s="63"/>
      <c r="AIL15" s="63"/>
      <c r="AIM15" s="63"/>
      <c r="AIN15" s="63"/>
      <c r="AIO15" s="63"/>
      <c r="AIP15" s="63"/>
      <c r="AIQ15" s="63"/>
      <c r="AIR15" s="63"/>
      <c r="AIS15" s="63"/>
      <c r="AIT15" s="63"/>
      <c r="AIU15" s="63"/>
      <c r="AIV15" s="63"/>
      <c r="AIW15" s="63"/>
      <c r="AIX15" s="63"/>
      <c r="AIY15" s="63"/>
      <c r="AIZ15" s="63"/>
      <c r="AJA15" s="63"/>
      <c r="AJB15" s="63"/>
      <c r="AJC15" s="63"/>
      <c r="AJD15" s="63"/>
      <c r="AJE15" s="63"/>
      <c r="AJF15" s="63"/>
      <c r="AJG15" s="63"/>
      <c r="AJH15" s="63"/>
      <c r="AJI15" s="63"/>
      <c r="AJJ15" s="63"/>
      <c r="AJK15" s="63"/>
      <c r="AJL15" s="63"/>
      <c r="AJM15" s="63"/>
      <c r="AJN15" s="63"/>
      <c r="AJO15" s="63"/>
      <c r="AJP15" s="63"/>
      <c r="AJQ15" s="63"/>
      <c r="AJR15" s="63"/>
      <c r="AJS15" s="63"/>
      <c r="AJT15" s="63"/>
      <c r="AJU15" s="63"/>
      <c r="AJV15" s="63"/>
      <c r="AJW15" s="63"/>
      <c r="AJX15" s="63"/>
      <c r="AJY15" s="63"/>
      <c r="AJZ15" s="63"/>
      <c r="AKA15" s="63"/>
      <c r="AKB15" s="63"/>
      <c r="AKC15" s="63"/>
      <c r="AKD15" s="63"/>
      <c r="AKE15" s="63"/>
      <c r="AKF15" s="63"/>
      <c r="AKG15" s="63"/>
      <c r="AKH15" s="63"/>
      <c r="AKI15" s="63"/>
      <c r="AKJ15" s="63"/>
      <c r="AKK15" s="63"/>
      <c r="AKL15" s="63"/>
      <c r="AKM15" s="63"/>
      <c r="AKN15" s="63"/>
      <c r="AKO15" s="63"/>
      <c r="AKP15" s="63"/>
      <c r="AKQ15" s="63"/>
      <c r="AKR15" s="63"/>
      <c r="AKS15" s="63"/>
      <c r="AKT15" s="63"/>
      <c r="AKU15" s="63"/>
      <c r="AKV15" s="63"/>
      <c r="AKW15" s="63"/>
      <c r="AKX15" s="63"/>
      <c r="AKY15" s="63"/>
      <c r="AKZ15" s="63"/>
      <c r="ALA15" s="63"/>
      <c r="ALB15" s="63"/>
      <c r="ALC15" s="63"/>
      <c r="ALD15" s="63"/>
      <c r="ALE15" s="63"/>
      <c r="ALF15" s="63"/>
      <c r="ALG15" s="63"/>
      <c r="ALH15" s="63"/>
      <c r="ALI15" s="63"/>
      <c r="ALJ15" s="63"/>
      <c r="ALK15" s="63"/>
      <c r="ALL15" s="63"/>
      <c r="ALM15" s="63"/>
      <c r="ALN15" s="63"/>
      <c r="ALO15" s="63"/>
      <c r="ALP15" s="63"/>
      <c r="ALQ15" s="63"/>
      <c r="ALR15" s="63"/>
      <c r="ALS15" s="63"/>
      <c r="ALT15" s="63"/>
      <c r="ALU15" s="63"/>
      <c r="ALV15" s="63"/>
      <c r="ALW15" s="63"/>
      <c r="ALX15" s="63"/>
      <c r="ALY15" s="63"/>
      <c r="ALZ15" s="63"/>
      <c r="AMA15" s="63"/>
      <c r="AMB15" s="63"/>
      <c r="AMC15" s="63"/>
      <c r="AMD15" s="63"/>
      <c r="AME15" s="63"/>
      <c r="AMF15" s="63"/>
      <c r="AMG15" s="63"/>
      <c r="AMH15" s="63"/>
      <c r="AMI15" s="63"/>
      <c r="AMJ15" s="63"/>
    </row>
    <row r="16" spans="1:1024" s="64" customFormat="1" ht="31.5" customHeight="1" x14ac:dyDescent="0.2">
      <c r="A16" s="56">
        <v>5</v>
      </c>
      <c r="B16" s="60"/>
      <c r="C16" s="187" t="s">
        <v>120</v>
      </c>
      <c r="D16" s="188" t="s">
        <v>120</v>
      </c>
      <c r="E16" s="188" t="s">
        <v>120</v>
      </c>
      <c r="F16" s="188" t="s">
        <v>120</v>
      </c>
      <c r="G16" s="189" t="s">
        <v>120</v>
      </c>
      <c r="H16" s="61" t="s">
        <v>15</v>
      </c>
      <c r="I16" s="61" t="s">
        <v>121</v>
      </c>
      <c r="J16" s="62">
        <v>2500</v>
      </c>
      <c r="K16" s="61">
        <v>180</v>
      </c>
      <c r="L16" s="145">
        <f t="shared" si="0"/>
        <v>450000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  <c r="EX16" s="63"/>
      <c r="EY16" s="63"/>
      <c r="EZ16" s="63"/>
      <c r="FA16" s="63"/>
      <c r="FB16" s="63"/>
      <c r="FC16" s="63"/>
      <c r="FD16" s="63"/>
      <c r="FE16" s="63"/>
      <c r="FF16" s="63"/>
      <c r="FG16" s="63"/>
      <c r="FH16" s="63"/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3"/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3"/>
      <c r="GR16" s="63"/>
      <c r="GS16" s="63"/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3"/>
      <c r="HT16" s="63"/>
      <c r="HU16" s="63"/>
      <c r="HV16" s="63"/>
      <c r="HW16" s="63"/>
      <c r="HX16" s="63"/>
      <c r="HY16" s="63"/>
      <c r="HZ16" s="63"/>
      <c r="IA16" s="63"/>
      <c r="IB16" s="63"/>
      <c r="IC16" s="63"/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3"/>
      <c r="IO16" s="63"/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3"/>
      <c r="JB16" s="63"/>
      <c r="JC16" s="63"/>
      <c r="JD16" s="63"/>
      <c r="JE16" s="63"/>
      <c r="JF16" s="63"/>
      <c r="JG16" s="63"/>
      <c r="JH16" s="63"/>
      <c r="JI16" s="63"/>
      <c r="JJ16" s="63"/>
      <c r="JK16" s="63"/>
      <c r="JL16" s="63"/>
      <c r="JM16" s="63"/>
      <c r="JN16" s="63"/>
      <c r="JO16" s="63"/>
      <c r="JP16" s="63"/>
      <c r="JQ16" s="63"/>
      <c r="JR16" s="63"/>
      <c r="JS16" s="63"/>
      <c r="JT16" s="63"/>
      <c r="JU16" s="63"/>
      <c r="JV16" s="63"/>
      <c r="JW16" s="63"/>
      <c r="JX16" s="63"/>
      <c r="JY16" s="63"/>
      <c r="JZ16" s="63"/>
      <c r="KA16" s="63"/>
      <c r="KB16" s="63"/>
      <c r="KC16" s="63"/>
      <c r="KD16" s="63"/>
      <c r="KE16" s="63"/>
      <c r="KF16" s="63"/>
      <c r="KG16" s="63"/>
      <c r="KH16" s="63"/>
      <c r="KI16" s="63"/>
      <c r="KJ16" s="63"/>
      <c r="KK16" s="63"/>
      <c r="KL16" s="63"/>
      <c r="KM16" s="63"/>
      <c r="KN16" s="63"/>
      <c r="KO16" s="63"/>
      <c r="KP16" s="63"/>
      <c r="KQ16" s="63"/>
      <c r="KR16" s="63"/>
      <c r="KS16" s="63"/>
      <c r="KT16" s="63"/>
      <c r="KU16" s="63"/>
      <c r="KV16" s="63"/>
      <c r="KW16" s="63"/>
      <c r="KX16" s="63"/>
      <c r="KY16" s="63"/>
      <c r="KZ16" s="63"/>
      <c r="LA16" s="63"/>
      <c r="LB16" s="63"/>
      <c r="LC16" s="63"/>
      <c r="LD16" s="63"/>
      <c r="LE16" s="63"/>
      <c r="LF16" s="63"/>
      <c r="LG16" s="63"/>
      <c r="LH16" s="63"/>
      <c r="LI16" s="63"/>
      <c r="LJ16" s="63"/>
      <c r="LK16" s="63"/>
      <c r="LL16" s="63"/>
      <c r="LM16" s="63"/>
      <c r="LN16" s="63"/>
      <c r="LO16" s="63"/>
      <c r="LP16" s="63"/>
      <c r="LQ16" s="63"/>
      <c r="LR16" s="63"/>
      <c r="LS16" s="63"/>
      <c r="LT16" s="63"/>
      <c r="LU16" s="63"/>
      <c r="LV16" s="63"/>
      <c r="LW16" s="63"/>
      <c r="LX16" s="63"/>
      <c r="LY16" s="63"/>
      <c r="LZ16" s="63"/>
      <c r="MA16" s="63"/>
      <c r="MB16" s="63"/>
      <c r="MC16" s="63"/>
      <c r="MD16" s="63"/>
      <c r="ME16" s="63"/>
      <c r="MF16" s="63"/>
      <c r="MG16" s="63"/>
      <c r="MH16" s="63"/>
      <c r="MI16" s="63"/>
      <c r="MJ16" s="63"/>
      <c r="MK16" s="63"/>
      <c r="ML16" s="63"/>
      <c r="MM16" s="63"/>
      <c r="MN16" s="63"/>
      <c r="MO16" s="63"/>
      <c r="MP16" s="63"/>
      <c r="MQ16" s="63"/>
      <c r="MR16" s="63"/>
      <c r="MS16" s="63"/>
      <c r="MT16" s="63"/>
      <c r="MU16" s="63"/>
      <c r="MV16" s="63"/>
      <c r="MW16" s="63"/>
      <c r="MX16" s="63"/>
      <c r="MY16" s="63"/>
      <c r="MZ16" s="63"/>
      <c r="NA16" s="63"/>
      <c r="NB16" s="63"/>
      <c r="NC16" s="63"/>
      <c r="ND16" s="63"/>
      <c r="NE16" s="63"/>
      <c r="NF16" s="63"/>
      <c r="NG16" s="63"/>
      <c r="NH16" s="63"/>
      <c r="NI16" s="63"/>
      <c r="NJ16" s="63"/>
      <c r="NK16" s="63"/>
      <c r="NL16" s="63"/>
      <c r="NM16" s="63"/>
      <c r="NN16" s="63"/>
      <c r="NO16" s="63"/>
      <c r="NP16" s="63"/>
      <c r="NQ16" s="63"/>
      <c r="NR16" s="63"/>
      <c r="NS16" s="63"/>
      <c r="NT16" s="63"/>
      <c r="NU16" s="63"/>
      <c r="NV16" s="63"/>
      <c r="NW16" s="63"/>
      <c r="NX16" s="63"/>
      <c r="NY16" s="63"/>
      <c r="NZ16" s="63"/>
      <c r="OA16" s="63"/>
      <c r="OB16" s="63"/>
      <c r="OC16" s="63"/>
      <c r="OD16" s="63"/>
      <c r="OE16" s="63"/>
      <c r="OF16" s="63"/>
      <c r="OG16" s="63"/>
      <c r="OH16" s="63"/>
      <c r="OI16" s="63"/>
      <c r="OJ16" s="63"/>
      <c r="OK16" s="63"/>
      <c r="OL16" s="63"/>
      <c r="OM16" s="63"/>
      <c r="ON16" s="63"/>
      <c r="OO16" s="63"/>
      <c r="OP16" s="63"/>
      <c r="OQ16" s="63"/>
      <c r="OR16" s="63"/>
      <c r="OS16" s="63"/>
      <c r="OT16" s="63"/>
      <c r="OU16" s="63"/>
      <c r="OV16" s="63"/>
      <c r="OW16" s="63"/>
      <c r="OX16" s="63"/>
      <c r="OY16" s="63"/>
      <c r="OZ16" s="63"/>
      <c r="PA16" s="63"/>
      <c r="PB16" s="63"/>
      <c r="PC16" s="63"/>
      <c r="PD16" s="63"/>
      <c r="PE16" s="63"/>
      <c r="PF16" s="63"/>
      <c r="PG16" s="63"/>
      <c r="PH16" s="63"/>
      <c r="PI16" s="63"/>
      <c r="PJ16" s="63"/>
      <c r="PK16" s="63"/>
      <c r="PL16" s="63"/>
      <c r="PM16" s="63"/>
      <c r="PN16" s="63"/>
      <c r="PO16" s="63"/>
      <c r="PP16" s="63"/>
      <c r="PQ16" s="63"/>
      <c r="PR16" s="63"/>
      <c r="PS16" s="63"/>
      <c r="PT16" s="63"/>
      <c r="PU16" s="63"/>
      <c r="PV16" s="63"/>
      <c r="PW16" s="63"/>
      <c r="PX16" s="63"/>
      <c r="PY16" s="63"/>
      <c r="PZ16" s="63"/>
      <c r="QA16" s="63"/>
      <c r="QB16" s="63"/>
      <c r="QC16" s="63"/>
      <c r="QD16" s="63"/>
      <c r="QE16" s="63"/>
      <c r="QF16" s="63"/>
      <c r="QG16" s="63"/>
      <c r="QH16" s="63"/>
      <c r="QI16" s="63"/>
      <c r="QJ16" s="63"/>
      <c r="QK16" s="63"/>
      <c r="QL16" s="63"/>
      <c r="QM16" s="63"/>
      <c r="QN16" s="63"/>
      <c r="QO16" s="63"/>
      <c r="QP16" s="63"/>
      <c r="QQ16" s="63"/>
      <c r="QR16" s="63"/>
      <c r="QS16" s="63"/>
      <c r="QT16" s="63"/>
      <c r="QU16" s="63"/>
      <c r="QV16" s="63"/>
      <c r="QW16" s="63"/>
      <c r="QX16" s="63"/>
      <c r="QY16" s="63"/>
      <c r="QZ16" s="63"/>
      <c r="RA16" s="63"/>
      <c r="RB16" s="63"/>
      <c r="RC16" s="63"/>
      <c r="RD16" s="63"/>
      <c r="RE16" s="63"/>
      <c r="RF16" s="63"/>
      <c r="RG16" s="63"/>
      <c r="RH16" s="63"/>
      <c r="RI16" s="63"/>
      <c r="RJ16" s="63"/>
      <c r="RK16" s="63"/>
      <c r="RL16" s="63"/>
      <c r="RM16" s="63"/>
      <c r="RN16" s="63"/>
      <c r="RO16" s="63"/>
      <c r="RP16" s="63"/>
      <c r="RQ16" s="63"/>
      <c r="RR16" s="63"/>
      <c r="RS16" s="63"/>
      <c r="RT16" s="63"/>
      <c r="RU16" s="63"/>
      <c r="RV16" s="63"/>
      <c r="RW16" s="63"/>
      <c r="RX16" s="63"/>
      <c r="RY16" s="63"/>
      <c r="RZ16" s="63"/>
      <c r="SA16" s="63"/>
      <c r="SB16" s="63"/>
      <c r="SC16" s="63"/>
      <c r="SD16" s="63"/>
      <c r="SE16" s="63"/>
      <c r="SF16" s="63"/>
      <c r="SG16" s="63"/>
      <c r="SH16" s="63"/>
      <c r="SI16" s="63"/>
      <c r="SJ16" s="63"/>
      <c r="SK16" s="63"/>
      <c r="SL16" s="63"/>
      <c r="SM16" s="63"/>
      <c r="SN16" s="63"/>
      <c r="SO16" s="63"/>
      <c r="SP16" s="63"/>
      <c r="SQ16" s="63"/>
      <c r="SR16" s="63"/>
      <c r="SS16" s="63"/>
      <c r="ST16" s="63"/>
      <c r="SU16" s="63"/>
      <c r="SV16" s="63"/>
      <c r="SW16" s="63"/>
      <c r="SX16" s="63"/>
      <c r="SY16" s="63"/>
      <c r="SZ16" s="63"/>
      <c r="TA16" s="63"/>
      <c r="TB16" s="63"/>
      <c r="TC16" s="63"/>
      <c r="TD16" s="63"/>
      <c r="TE16" s="63"/>
      <c r="TF16" s="63"/>
      <c r="TG16" s="63"/>
      <c r="TH16" s="63"/>
      <c r="TI16" s="63"/>
      <c r="TJ16" s="63"/>
      <c r="TK16" s="63"/>
      <c r="TL16" s="63"/>
      <c r="TM16" s="63"/>
      <c r="TN16" s="63"/>
      <c r="TO16" s="63"/>
      <c r="TP16" s="63"/>
      <c r="TQ16" s="63"/>
      <c r="TR16" s="63"/>
      <c r="TS16" s="63"/>
      <c r="TT16" s="63"/>
      <c r="TU16" s="63"/>
      <c r="TV16" s="63"/>
      <c r="TW16" s="63"/>
      <c r="TX16" s="63"/>
      <c r="TY16" s="63"/>
      <c r="TZ16" s="63"/>
      <c r="UA16" s="63"/>
      <c r="UB16" s="63"/>
      <c r="UC16" s="63"/>
      <c r="UD16" s="63"/>
      <c r="UE16" s="63"/>
      <c r="UF16" s="63"/>
      <c r="UG16" s="63"/>
      <c r="UH16" s="63"/>
      <c r="UI16" s="63"/>
      <c r="UJ16" s="63"/>
      <c r="UK16" s="63"/>
      <c r="UL16" s="63"/>
      <c r="UM16" s="63"/>
      <c r="UN16" s="63"/>
      <c r="UO16" s="63"/>
      <c r="UP16" s="63"/>
      <c r="UQ16" s="63"/>
      <c r="UR16" s="63"/>
      <c r="US16" s="63"/>
      <c r="UT16" s="63"/>
      <c r="UU16" s="63"/>
      <c r="UV16" s="63"/>
      <c r="UW16" s="63"/>
      <c r="UX16" s="63"/>
      <c r="UY16" s="63"/>
      <c r="UZ16" s="63"/>
      <c r="VA16" s="63"/>
      <c r="VB16" s="63"/>
      <c r="VC16" s="63"/>
      <c r="VD16" s="63"/>
      <c r="VE16" s="63"/>
      <c r="VF16" s="63"/>
      <c r="VG16" s="63"/>
      <c r="VH16" s="63"/>
      <c r="VI16" s="63"/>
      <c r="VJ16" s="63"/>
      <c r="VK16" s="63"/>
      <c r="VL16" s="63"/>
      <c r="VM16" s="63"/>
      <c r="VN16" s="63"/>
      <c r="VO16" s="63"/>
      <c r="VP16" s="63"/>
      <c r="VQ16" s="63"/>
      <c r="VR16" s="63"/>
      <c r="VS16" s="63"/>
      <c r="VT16" s="63"/>
      <c r="VU16" s="63"/>
      <c r="VV16" s="63"/>
      <c r="VW16" s="63"/>
      <c r="VX16" s="63"/>
      <c r="VY16" s="63"/>
      <c r="VZ16" s="63"/>
      <c r="WA16" s="63"/>
      <c r="WB16" s="63"/>
      <c r="WC16" s="63"/>
      <c r="WD16" s="63"/>
      <c r="WE16" s="63"/>
      <c r="WF16" s="63"/>
      <c r="WG16" s="63"/>
      <c r="WH16" s="63"/>
      <c r="WI16" s="63"/>
      <c r="WJ16" s="63"/>
      <c r="WK16" s="63"/>
      <c r="WL16" s="63"/>
      <c r="WM16" s="63"/>
      <c r="WN16" s="63"/>
      <c r="WO16" s="63"/>
      <c r="WP16" s="63"/>
      <c r="WQ16" s="63"/>
      <c r="WR16" s="63"/>
      <c r="WS16" s="63"/>
      <c r="WT16" s="63"/>
      <c r="WU16" s="63"/>
      <c r="WV16" s="63"/>
      <c r="WW16" s="63"/>
      <c r="WX16" s="63"/>
      <c r="WY16" s="63"/>
      <c r="WZ16" s="63"/>
      <c r="XA16" s="63"/>
      <c r="XB16" s="63"/>
      <c r="XC16" s="63"/>
      <c r="XD16" s="63"/>
      <c r="XE16" s="63"/>
      <c r="XF16" s="63"/>
      <c r="XG16" s="63"/>
      <c r="XH16" s="63"/>
      <c r="XI16" s="63"/>
      <c r="XJ16" s="63"/>
      <c r="XK16" s="63"/>
      <c r="XL16" s="63"/>
      <c r="XM16" s="63"/>
      <c r="XN16" s="63"/>
      <c r="XO16" s="63"/>
      <c r="XP16" s="63"/>
      <c r="XQ16" s="63"/>
      <c r="XR16" s="63"/>
      <c r="XS16" s="63"/>
      <c r="XT16" s="63"/>
      <c r="XU16" s="63"/>
      <c r="XV16" s="63"/>
      <c r="XW16" s="63"/>
      <c r="XX16" s="63"/>
      <c r="XY16" s="63"/>
      <c r="XZ16" s="63"/>
      <c r="YA16" s="63"/>
      <c r="YB16" s="63"/>
      <c r="YC16" s="63"/>
      <c r="YD16" s="63"/>
      <c r="YE16" s="63"/>
      <c r="YF16" s="63"/>
      <c r="YG16" s="63"/>
      <c r="YH16" s="63"/>
      <c r="YI16" s="63"/>
      <c r="YJ16" s="63"/>
      <c r="YK16" s="63"/>
      <c r="YL16" s="63"/>
      <c r="YM16" s="63"/>
      <c r="YN16" s="63"/>
      <c r="YO16" s="63"/>
      <c r="YP16" s="63"/>
      <c r="YQ16" s="63"/>
      <c r="YR16" s="63"/>
      <c r="YS16" s="63"/>
      <c r="YT16" s="63"/>
      <c r="YU16" s="63"/>
      <c r="YV16" s="63"/>
      <c r="YW16" s="63"/>
      <c r="YX16" s="63"/>
      <c r="YY16" s="63"/>
      <c r="YZ16" s="63"/>
      <c r="ZA16" s="63"/>
      <c r="ZB16" s="63"/>
      <c r="ZC16" s="63"/>
      <c r="ZD16" s="63"/>
      <c r="ZE16" s="63"/>
      <c r="ZF16" s="63"/>
      <c r="ZG16" s="63"/>
      <c r="ZH16" s="63"/>
      <c r="ZI16" s="63"/>
      <c r="ZJ16" s="63"/>
      <c r="ZK16" s="63"/>
      <c r="ZL16" s="63"/>
      <c r="ZM16" s="63"/>
      <c r="ZN16" s="63"/>
      <c r="ZO16" s="63"/>
      <c r="ZP16" s="63"/>
      <c r="ZQ16" s="63"/>
      <c r="ZR16" s="63"/>
      <c r="ZS16" s="63"/>
      <c r="ZT16" s="63"/>
      <c r="ZU16" s="63"/>
      <c r="ZV16" s="63"/>
      <c r="ZW16" s="63"/>
      <c r="ZX16" s="63"/>
      <c r="ZY16" s="63"/>
      <c r="ZZ16" s="63"/>
      <c r="AAA16" s="63"/>
      <c r="AAB16" s="63"/>
      <c r="AAC16" s="63"/>
      <c r="AAD16" s="63"/>
      <c r="AAE16" s="63"/>
      <c r="AAF16" s="63"/>
      <c r="AAG16" s="63"/>
      <c r="AAH16" s="63"/>
      <c r="AAI16" s="63"/>
      <c r="AAJ16" s="63"/>
      <c r="AAK16" s="63"/>
      <c r="AAL16" s="63"/>
      <c r="AAM16" s="63"/>
      <c r="AAN16" s="63"/>
      <c r="AAO16" s="63"/>
      <c r="AAP16" s="63"/>
      <c r="AAQ16" s="63"/>
      <c r="AAR16" s="63"/>
      <c r="AAS16" s="63"/>
      <c r="AAT16" s="63"/>
      <c r="AAU16" s="63"/>
      <c r="AAV16" s="63"/>
      <c r="AAW16" s="63"/>
      <c r="AAX16" s="63"/>
      <c r="AAY16" s="63"/>
      <c r="AAZ16" s="63"/>
      <c r="ABA16" s="63"/>
      <c r="ABB16" s="63"/>
      <c r="ABC16" s="63"/>
      <c r="ABD16" s="63"/>
      <c r="ABE16" s="63"/>
      <c r="ABF16" s="63"/>
      <c r="ABG16" s="63"/>
      <c r="ABH16" s="63"/>
      <c r="ABI16" s="63"/>
      <c r="ABJ16" s="63"/>
      <c r="ABK16" s="63"/>
      <c r="ABL16" s="63"/>
      <c r="ABM16" s="63"/>
      <c r="ABN16" s="63"/>
      <c r="ABO16" s="63"/>
      <c r="ABP16" s="63"/>
      <c r="ABQ16" s="63"/>
      <c r="ABR16" s="63"/>
      <c r="ABS16" s="63"/>
      <c r="ABT16" s="63"/>
      <c r="ABU16" s="63"/>
      <c r="ABV16" s="63"/>
      <c r="ABW16" s="63"/>
      <c r="ABX16" s="63"/>
      <c r="ABY16" s="63"/>
      <c r="ABZ16" s="63"/>
      <c r="ACA16" s="63"/>
      <c r="ACB16" s="63"/>
      <c r="ACC16" s="63"/>
      <c r="ACD16" s="63"/>
      <c r="ACE16" s="63"/>
      <c r="ACF16" s="63"/>
      <c r="ACG16" s="63"/>
      <c r="ACH16" s="63"/>
      <c r="ACI16" s="63"/>
      <c r="ACJ16" s="63"/>
      <c r="ACK16" s="63"/>
      <c r="ACL16" s="63"/>
      <c r="ACM16" s="63"/>
      <c r="ACN16" s="63"/>
      <c r="ACO16" s="63"/>
      <c r="ACP16" s="63"/>
      <c r="ACQ16" s="63"/>
      <c r="ACR16" s="63"/>
      <c r="ACS16" s="63"/>
      <c r="ACT16" s="63"/>
      <c r="ACU16" s="63"/>
      <c r="ACV16" s="63"/>
      <c r="ACW16" s="63"/>
      <c r="ACX16" s="63"/>
      <c r="ACY16" s="63"/>
      <c r="ACZ16" s="63"/>
      <c r="ADA16" s="63"/>
      <c r="ADB16" s="63"/>
      <c r="ADC16" s="63"/>
      <c r="ADD16" s="63"/>
      <c r="ADE16" s="63"/>
      <c r="ADF16" s="63"/>
      <c r="ADG16" s="63"/>
      <c r="ADH16" s="63"/>
      <c r="ADI16" s="63"/>
      <c r="ADJ16" s="63"/>
      <c r="ADK16" s="63"/>
      <c r="ADL16" s="63"/>
      <c r="ADM16" s="63"/>
      <c r="ADN16" s="63"/>
      <c r="ADO16" s="63"/>
      <c r="ADP16" s="63"/>
      <c r="ADQ16" s="63"/>
      <c r="ADR16" s="63"/>
      <c r="ADS16" s="63"/>
      <c r="ADT16" s="63"/>
      <c r="ADU16" s="63"/>
      <c r="ADV16" s="63"/>
      <c r="ADW16" s="63"/>
      <c r="ADX16" s="63"/>
      <c r="ADY16" s="63"/>
      <c r="ADZ16" s="63"/>
      <c r="AEA16" s="63"/>
      <c r="AEB16" s="63"/>
      <c r="AEC16" s="63"/>
      <c r="AED16" s="63"/>
      <c r="AEE16" s="63"/>
      <c r="AEF16" s="63"/>
      <c r="AEG16" s="63"/>
      <c r="AEH16" s="63"/>
      <c r="AEI16" s="63"/>
      <c r="AEJ16" s="63"/>
      <c r="AEK16" s="63"/>
      <c r="AEL16" s="63"/>
      <c r="AEM16" s="63"/>
      <c r="AEN16" s="63"/>
      <c r="AEO16" s="63"/>
      <c r="AEP16" s="63"/>
      <c r="AEQ16" s="63"/>
      <c r="AER16" s="63"/>
      <c r="AES16" s="63"/>
      <c r="AET16" s="63"/>
      <c r="AEU16" s="63"/>
      <c r="AEV16" s="63"/>
      <c r="AEW16" s="63"/>
      <c r="AEX16" s="63"/>
      <c r="AEY16" s="63"/>
      <c r="AEZ16" s="63"/>
      <c r="AFA16" s="63"/>
      <c r="AFB16" s="63"/>
      <c r="AFC16" s="63"/>
      <c r="AFD16" s="63"/>
      <c r="AFE16" s="63"/>
      <c r="AFF16" s="63"/>
      <c r="AFG16" s="63"/>
      <c r="AFH16" s="63"/>
      <c r="AFI16" s="63"/>
      <c r="AFJ16" s="63"/>
      <c r="AFK16" s="63"/>
      <c r="AFL16" s="63"/>
      <c r="AFM16" s="63"/>
      <c r="AFN16" s="63"/>
      <c r="AFO16" s="63"/>
      <c r="AFP16" s="63"/>
      <c r="AFQ16" s="63"/>
      <c r="AFR16" s="63"/>
      <c r="AFS16" s="63"/>
      <c r="AFT16" s="63"/>
      <c r="AFU16" s="63"/>
      <c r="AFV16" s="63"/>
      <c r="AFW16" s="63"/>
      <c r="AFX16" s="63"/>
      <c r="AFY16" s="63"/>
      <c r="AFZ16" s="63"/>
      <c r="AGA16" s="63"/>
      <c r="AGB16" s="63"/>
      <c r="AGC16" s="63"/>
      <c r="AGD16" s="63"/>
      <c r="AGE16" s="63"/>
      <c r="AGF16" s="63"/>
      <c r="AGG16" s="63"/>
      <c r="AGH16" s="63"/>
      <c r="AGI16" s="63"/>
      <c r="AGJ16" s="63"/>
      <c r="AGK16" s="63"/>
      <c r="AGL16" s="63"/>
      <c r="AGM16" s="63"/>
      <c r="AGN16" s="63"/>
      <c r="AGO16" s="63"/>
      <c r="AGP16" s="63"/>
      <c r="AGQ16" s="63"/>
      <c r="AGR16" s="63"/>
      <c r="AGS16" s="63"/>
      <c r="AGT16" s="63"/>
      <c r="AGU16" s="63"/>
      <c r="AGV16" s="63"/>
      <c r="AGW16" s="63"/>
      <c r="AGX16" s="63"/>
      <c r="AGY16" s="63"/>
      <c r="AGZ16" s="63"/>
      <c r="AHA16" s="63"/>
      <c r="AHB16" s="63"/>
      <c r="AHC16" s="63"/>
      <c r="AHD16" s="63"/>
      <c r="AHE16" s="63"/>
      <c r="AHF16" s="63"/>
      <c r="AHG16" s="63"/>
      <c r="AHH16" s="63"/>
      <c r="AHI16" s="63"/>
      <c r="AHJ16" s="63"/>
      <c r="AHK16" s="63"/>
      <c r="AHL16" s="63"/>
      <c r="AHM16" s="63"/>
      <c r="AHN16" s="63"/>
      <c r="AHO16" s="63"/>
      <c r="AHP16" s="63"/>
      <c r="AHQ16" s="63"/>
      <c r="AHR16" s="63"/>
      <c r="AHS16" s="63"/>
      <c r="AHT16" s="63"/>
      <c r="AHU16" s="63"/>
      <c r="AHV16" s="63"/>
      <c r="AHW16" s="63"/>
      <c r="AHX16" s="63"/>
      <c r="AHY16" s="63"/>
      <c r="AHZ16" s="63"/>
      <c r="AIA16" s="63"/>
      <c r="AIB16" s="63"/>
      <c r="AIC16" s="63"/>
      <c r="AID16" s="63"/>
      <c r="AIE16" s="63"/>
      <c r="AIF16" s="63"/>
      <c r="AIG16" s="63"/>
      <c r="AIH16" s="63"/>
      <c r="AII16" s="63"/>
      <c r="AIJ16" s="63"/>
      <c r="AIK16" s="63"/>
      <c r="AIL16" s="63"/>
      <c r="AIM16" s="63"/>
      <c r="AIN16" s="63"/>
      <c r="AIO16" s="63"/>
      <c r="AIP16" s="63"/>
      <c r="AIQ16" s="63"/>
      <c r="AIR16" s="63"/>
      <c r="AIS16" s="63"/>
      <c r="AIT16" s="63"/>
      <c r="AIU16" s="63"/>
      <c r="AIV16" s="63"/>
      <c r="AIW16" s="63"/>
      <c r="AIX16" s="63"/>
      <c r="AIY16" s="63"/>
      <c r="AIZ16" s="63"/>
      <c r="AJA16" s="63"/>
      <c r="AJB16" s="63"/>
      <c r="AJC16" s="63"/>
      <c r="AJD16" s="63"/>
      <c r="AJE16" s="63"/>
      <c r="AJF16" s="63"/>
      <c r="AJG16" s="63"/>
      <c r="AJH16" s="63"/>
      <c r="AJI16" s="63"/>
      <c r="AJJ16" s="63"/>
      <c r="AJK16" s="63"/>
      <c r="AJL16" s="63"/>
      <c r="AJM16" s="63"/>
      <c r="AJN16" s="63"/>
      <c r="AJO16" s="63"/>
      <c r="AJP16" s="63"/>
      <c r="AJQ16" s="63"/>
      <c r="AJR16" s="63"/>
      <c r="AJS16" s="63"/>
      <c r="AJT16" s="63"/>
      <c r="AJU16" s="63"/>
      <c r="AJV16" s="63"/>
      <c r="AJW16" s="63"/>
      <c r="AJX16" s="63"/>
      <c r="AJY16" s="63"/>
      <c r="AJZ16" s="63"/>
      <c r="AKA16" s="63"/>
      <c r="AKB16" s="63"/>
      <c r="AKC16" s="63"/>
      <c r="AKD16" s="63"/>
      <c r="AKE16" s="63"/>
      <c r="AKF16" s="63"/>
      <c r="AKG16" s="63"/>
      <c r="AKH16" s="63"/>
      <c r="AKI16" s="63"/>
      <c r="AKJ16" s="63"/>
      <c r="AKK16" s="63"/>
      <c r="AKL16" s="63"/>
      <c r="AKM16" s="63"/>
      <c r="AKN16" s="63"/>
      <c r="AKO16" s="63"/>
      <c r="AKP16" s="63"/>
      <c r="AKQ16" s="63"/>
      <c r="AKR16" s="63"/>
      <c r="AKS16" s="63"/>
      <c r="AKT16" s="63"/>
      <c r="AKU16" s="63"/>
      <c r="AKV16" s="63"/>
      <c r="AKW16" s="63"/>
      <c r="AKX16" s="63"/>
      <c r="AKY16" s="63"/>
      <c r="AKZ16" s="63"/>
      <c r="ALA16" s="63"/>
      <c r="ALB16" s="63"/>
      <c r="ALC16" s="63"/>
      <c r="ALD16" s="63"/>
      <c r="ALE16" s="63"/>
      <c r="ALF16" s="63"/>
      <c r="ALG16" s="63"/>
      <c r="ALH16" s="63"/>
      <c r="ALI16" s="63"/>
      <c r="ALJ16" s="63"/>
      <c r="ALK16" s="63"/>
      <c r="ALL16" s="63"/>
      <c r="ALM16" s="63"/>
      <c r="ALN16" s="63"/>
      <c r="ALO16" s="63"/>
      <c r="ALP16" s="63"/>
      <c r="ALQ16" s="63"/>
      <c r="ALR16" s="63"/>
      <c r="ALS16" s="63"/>
      <c r="ALT16" s="63"/>
      <c r="ALU16" s="63"/>
      <c r="ALV16" s="63"/>
      <c r="ALW16" s="63"/>
      <c r="ALX16" s="63"/>
      <c r="ALY16" s="63"/>
      <c r="ALZ16" s="63"/>
      <c r="AMA16" s="63"/>
      <c r="AMB16" s="63"/>
      <c r="AMC16" s="63"/>
      <c r="AMD16" s="63"/>
      <c r="AME16" s="63"/>
      <c r="AMF16" s="63"/>
      <c r="AMG16" s="63"/>
      <c r="AMH16" s="63"/>
      <c r="AMI16" s="63"/>
      <c r="AMJ16" s="63"/>
    </row>
    <row r="17" spans="1:1024" s="64" customFormat="1" ht="31.5" customHeight="1" thickBot="1" x14ac:dyDescent="0.25">
      <c r="A17" s="55">
        <v>6</v>
      </c>
      <c r="B17" s="65"/>
      <c r="C17" s="187" t="s">
        <v>42</v>
      </c>
      <c r="D17" s="188" t="s">
        <v>42</v>
      </c>
      <c r="E17" s="188" t="s">
        <v>42</v>
      </c>
      <c r="F17" s="188" t="s">
        <v>42</v>
      </c>
      <c r="G17" s="189" t="s">
        <v>42</v>
      </c>
      <c r="H17" s="66" t="s">
        <v>15</v>
      </c>
      <c r="I17" s="61" t="s">
        <v>45</v>
      </c>
      <c r="J17" s="62">
        <v>30</v>
      </c>
      <c r="K17" s="61">
        <v>5000</v>
      </c>
      <c r="L17" s="145">
        <f t="shared" si="0"/>
        <v>150000</v>
      </c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63"/>
      <c r="EV17" s="63"/>
      <c r="EW17" s="63"/>
      <c r="EX17" s="63"/>
      <c r="EY17" s="63"/>
      <c r="EZ17" s="63"/>
      <c r="FA17" s="63"/>
      <c r="FB17" s="63"/>
      <c r="FC17" s="63"/>
      <c r="FD17" s="63"/>
      <c r="FE17" s="63"/>
      <c r="FF17" s="63"/>
      <c r="FG17" s="63"/>
      <c r="FH17" s="63"/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3"/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3"/>
      <c r="GR17" s="63"/>
      <c r="GS17" s="63"/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3"/>
      <c r="HT17" s="63"/>
      <c r="HU17" s="63"/>
      <c r="HV17" s="63"/>
      <c r="HW17" s="63"/>
      <c r="HX17" s="63"/>
      <c r="HY17" s="63"/>
      <c r="HZ17" s="63"/>
      <c r="IA17" s="63"/>
      <c r="IB17" s="63"/>
      <c r="IC17" s="63"/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3"/>
      <c r="IO17" s="63"/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63"/>
      <c r="JE17" s="63"/>
      <c r="JF17" s="63"/>
      <c r="JG17" s="63"/>
      <c r="JH17" s="63"/>
      <c r="JI17" s="63"/>
      <c r="JJ17" s="63"/>
      <c r="JK17" s="63"/>
      <c r="JL17" s="63"/>
      <c r="JM17" s="63"/>
      <c r="JN17" s="63"/>
      <c r="JO17" s="63"/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63"/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63"/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  <c r="MN17" s="63"/>
      <c r="MO17" s="63"/>
      <c r="MP17" s="63"/>
      <c r="MQ17" s="63"/>
      <c r="MR17" s="63"/>
      <c r="MS17" s="63"/>
      <c r="MT17" s="63"/>
      <c r="MU17" s="63"/>
      <c r="MV17" s="63"/>
      <c r="MW17" s="63"/>
      <c r="MX17" s="63"/>
      <c r="MY17" s="63"/>
      <c r="MZ17" s="63"/>
      <c r="NA17" s="63"/>
      <c r="NB17" s="63"/>
      <c r="NC17" s="63"/>
      <c r="ND17" s="63"/>
      <c r="NE17" s="63"/>
      <c r="NF17" s="63"/>
      <c r="NG17" s="63"/>
      <c r="NH17" s="63"/>
      <c r="NI17" s="63"/>
      <c r="NJ17" s="63"/>
      <c r="NK17" s="63"/>
      <c r="NL17" s="63"/>
      <c r="NM17" s="63"/>
      <c r="NN17" s="63"/>
      <c r="NO17" s="63"/>
      <c r="NP17" s="63"/>
      <c r="NQ17" s="63"/>
      <c r="NR17" s="63"/>
      <c r="NS17" s="63"/>
      <c r="NT17" s="63"/>
      <c r="NU17" s="63"/>
      <c r="NV17" s="63"/>
      <c r="NW17" s="63"/>
      <c r="NX17" s="63"/>
      <c r="NY17" s="63"/>
      <c r="NZ17" s="63"/>
      <c r="OA17" s="63"/>
      <c r="OB17" s="63"/>
      <c r="OC17" s="63"/>
      <c r="OD17" s="63"/>
      <c r="OE17" s="63"/>
      <c r="OF17" s="63"/>
      <c r="OG17" s="63"/>
      <c r="OH17" s="63"/>
      <c r="OI17" s="63"/>
      <c r="OJ17" s="63"/>
      <c r="OK17" s="63"/>
      <c r="OL17" s="63"/>
      <c r="OM17" s="63"/>
      <c r="ON17" s="63"/>
      <c r="OO17" s="63"/>
      <c r="OP17" s="63"/>
      <c r="OQ17" s="63"/>
      <c r="OR17" s="63"/>
      <c r="OS17" s="63"/>
      <c r="OT17" s="63"/>
      <c r="OU17" s="63"/>
      <c r="OV17" s="63"/>
      <c r="OW17" s="63"/>
      <c r="OX17" s="63"/>
      <c r="OY17" s="63"/>
      <c r="OZ17" s="63"/>
      <c r="PA17" s="63"/>
      <c r="PB17" s="63"/>
      <c r="PC17" s="63"/>
      <c r="PD17" s="63"/>
      <c r="PE17" s="63"/>
      <c r="PF17" s="63"/>
      <c r="PG17" s="63"/>
      <c r="PH17" s="63"/>
      <c r="PI17" s="63"/>
      <c r="PJ17" s="63"/>
      <c r="PK17" s="63"/>
      <c r="PL17" s="63"/>
      <c r="PM17" s="63"/>
      <c r="PN17" s="63"/>
      <c r="PO17" s="63"/>
      <c r="PP17" s="63"/>
      <c r="PQ17" s="63"/>
      <c r="PR17" s="63"/>
      <c r="PS17" s="63"/>
      <c r="PT17" s="63"/>
      <c r="PU17" s="63"/>
      <c r="PV17" s="63"/>
      <c r="PW17" s="63"/>
      <c r="PX17" s="63"/>
      <c r="PY17" s="63"/>
      <c r="PZ17" s="63"/>
      <c r="QA17" s="63"/>
      <c r="QB17" s="63"/>
      <c r="QC17" s="63"/>
      <c r="QD17" s="63"/>
      <c r="QE17" s="63"/>
      <c r="QF17" s="63"/>
      <c r="QG17" s="63"/>
      <c r="QH17" s="63"/>
      <c r="QI17" s="63"/>
      <c r="QJ17" s="63"/>
      <c r="QK17" s="63"/>
      <c r="QL17" s="63"/>
      <c r="QM17" s="63"/>
      <c r="QN17" s="63"/>
      <c r="QO17" s="63"/>
      <c r="QP17" s="63"/>
      <c r="QQ17" s="63"/>
      <c r="QR17" s="63"/>
      <c r="QS17" s="63"/>
      <c r="QT17" s="63"/>
      <c r="QU17" s="63"/>
      <c r="QV17" s="63"/>
      <c r="QW17" s="63"/>
      <c r="QX17" s="63"/>
      <c r="QY17" s="63"/>
      <c r="QZ17" s="63"/>
      <c r="RA17" s="63"/>
      <c r="RB17" s="63"/>
      <c r="RC17" s="63"/>
      <c r="RD17" s="63"/>
      <c r="RE17" s="63"/>
      <c r="RF17" s="63"/>
      <c r="RG17" s="63"/>
      <c r="RH17" s="63"/>
      <c r="RI17" s="63"/>
      <c r="RJ17" s="63"/>
      <c r="RK17" s="63"/>
      <c r="RL17" s="63"/>
      <c r="RM17" s="63"/>
      <c r="RN17" s="63"/>
      <c r="RO17" s="63"/>
      <c r="RP17" s="63"/>
      <c r="RQ17" s="63"/>
      <c r="RR17" s="63"/>
      <c r="RS17" s="63"/>
      <c r="RT17" s="63"/>
      <c r="RU17" s="63"/>
      <c r="RV17" s="63"/>
      <c r="RW17" s="63"/>
      <c r="RX17" s="63"/>
      <c r="RY17" s="63"/>
      <c r="RZ17" s="63"/>
      <c r="SA17" s="63"/>
      <c r="SB17" s="63"/>
      <c r="SC17" s="63"/>
      <c r="SD17" s="63"/>
      <c r="SE17" s="63"/>
      <c r="SF17" s="63"/>
      <c r="SG17" s="63"/>
      <c r="SH17" s="63"/>
      <c r="SI17" s="63"/>
      <c r="SJ17" s="63"/>
      <c r="SK17" s="63"/>
      <c r="SL17" s="63"/>
      <c r="SM17" s="63"/>
      <c r="SN17" s="63"/>
      <c r="SO17" s="63"/>
      <c r="SP17" s="63"/>
      <c r="SQ17" s="63"/>
      <c r="SR17" s="63"/>
      <c r="SS17" s="63"/>
      <c r="ST17" s="63"/>
      <c r="SU17" s="63"/>
      <c r="SV17" s="63"/>
      <c r="SW17" s="63"/>
      <c r="SX17" s="63"/>
      <c r="SY17" s="63"/>
      <c r="SZ17" s="63"/>
      <c r="TA17" s="63"/>
      <c r="TB17" s="63"/>
      <c r="TC17" s="63"/>
      <c r="TD17" s="63"/>
      <c r="TE17" s="63"/>
      <c r="TF17" s="63"/>
      <c r="TG17" s="63"/>
      <c r="TH17" s="63"/>
      <c r="TI17" s="63"/>
      <c r="TJ17" s="63"/>
      <c r="TK17" s="63"/>
      <c r="TL17" s="63"/>
      <c r="TM17" s="63"/>
      <c r="TN17" s="63"/>
      <c r="TO17" s="63"/>
      <c r="TP17" s="63"/>
      <c r="TQ17" s="63"/>
      <c r="TR17" s="63"/>
      <c r="TS17" s="63"/>
      <c r="TT17" s="63"/>
      <c r="TU17" s="63"/>
      <c r="TV17" s="63"/>
      <c r="TW17" s="63"/>
      <c r="TX17" s="63"/>
      <c r="TY17" s="63"/>
      <c r="TZ17" s="63"/>
      <c r="UA17" s="63"/>
      <c r="UB17" s="63"/>
      <c r="UC17" s="63"/>
      <c r="UD17" s="63"/>
      <c r="UE17" s="63"/>
      <c r="UF17" s="63"/>
      <c r="UG17" s="63"/>
      <c r="UH17" s="63"/>
      <c r="UI17" s="63"/>
      <c r="UJ17" s="63"/>
      <c r="UK17" s="63"/>
      <c r="UL17" s="63"/>
      <c r="UM17" s="63"/>
      <c r="UN17" s="63"/>
      <c r="UO17" s="63"/>
      <c r="UP17" s="63"/>
      <c r="UQ17" s="63"/>
      <c r="UR17" s="63"/>
      <c r="US17" s="63"/>
      <c r="UT17" s="63"/>
      <c r="UU17" s="63"/>
      <c r="UV17" s="63"/>
      <c r="UW17" s="63"/>
      <c r="UX17" s="63"/>
      <c r="UY17" s="63"/>
      <c r="UZ17" s="63"/>
      <c r="VA17" s="63"/>
      <c r="VB17" s="63"/>
      <c r="VC17" s="63"/>
      <c r="VD17" s="63"/>
      <c r="VE17" s="63"/>
      <c r="VF17" s="63"/>
      <c r="VG17" s="63"/>
      <c r="VH17" s="63"/>
      <c r="VI17" s="63"/>
      <c r="VJ17" s="63"/>
      <c r="VK17" s="63"/>
      <c r="VL17" s="63"/>
      <c r="VM17" s="63"/>
      <c r="VN17" s="63"/>
      <c r="VO17" s="63"/>
      <c r="VP17" s="63"/>
      <c r="VQ17" s="63"/>
      <c r="VR17" s="63"/>
      <c r="VS17" s="63"/>
      <c r="VT17" s="63"/>
      <c r="VU17" s="63"/>
      <c r="VV17" s="63"/>
      <c r="VW17" s="63"/>
      <c r="VX17" s="63"/>
      <c r="VY17" s="63"/>
      <c r="VZ17" s="63"/>
      <c r="WA17" s="63"/>
      <c r="WB17" s="63"/>
      <c r="WC17" s="63"/>
      <c r="WD17" s="63"/>
      <c r="WE17" s="63"/>
      <c r="WF17" s="63"/>
      <c r="WG17" s="63"/>
      <c r="WH17" s="63"/>
      <c r="WI17" s="63"/>
      <c r="WJ17" s="63"/>
      <c r="WK17" s="63"/>
      <c r="WL17" s="63"/>
      <c r="WM17" s="63"/>
      <c r="WN17" s="63"/>
      <c r="WO17" s="63"/>
      <c r="WP17" s="63"/>
      <c r="WQ17" s="63"/>
      <c r="WR17" s="63"/>
      <c r="WS17" s="63"/>
      <c r="WT17" s="63"/>
      <c r="WU17" s="63"/>
      <c r="WV17" s="63"/>
      <c r="WW17" s="63"/>
      <c r="WX17" s="63"/>
      <c r="WY17" s="63"/>
      <c r="WZ17" s="63"/>
      <c r="XA17" s="63"/>
      <c r="XB17" s="63"/>
      <c r="XC17" s="63"/>
      <c r="XD17" s="63"/>
      <c r="XE17" s="63"/>
      <c r="XF17" s="63"/>
      <c r="XG17" s="63"/>
      <c r="XH17" s="63"/>
      <c r="XI17" s="63"/>
      <c r="XJ17" s="63"/>
      <c r="XK17" s="63"/>
      <c r="XL17" s="63"/>
      <c r="XM17" s="63"/>
      <c r="XN17" s="63"/>
      <c r="XO17" s="63"/>
      <c r="XP17" s="63"/>
      <c r="XQ17" s="63"/>
      <c r="XR17" s="63"/>
      <c r="XS17" s="63"/>
      <c r="XT17" s="63"/>
      <c r="XU17" s="63"/>
      <c r="XV17" s="63"/>
      <c r="XW17" s="63"/>
      <c r="XX17" s="63"/>
      <c r="XY17" s="63"/>
      <c r="XZ17" s="63"/>
      <c r="YA17" s="63"/>
      <c r="YB17" s="63"/>
      <c r="YC17" s="63"/>
      <c r="YD17" s="63"/>
      <c r="YE17" s="63"/>
      <c r="YF17" s="63"/>
      <c r="YG17" s="63"/>
      <c r="YH17" s="63"/>
      <c r="YI17" s="63"/>
      <c r="YJ17" s="63"/>
      <c r="YK17" s="63"/>
      <c r="YL17" s="63"/>
      <c r="YM17" s="63"/>
      <c r="YN17" s="63"/>
      <c r="YO17" s="63"/>
      <c r="YP17" s="63"/>
      <c r="YQ17" s="63"/>
      <c r="YR17" s="63"/>
      <c r="YS17" s="63"/>
      <c r="YT17" s="63"/>
      <c r="YU17" s="63"/>
      <c r="YV17" s="63"/>
      <c r="YW17" s="63"/>
      <c r="YX17" s="63"/>
      <c r="YY17" s="63"/>
      <c r="YZ17" s="63"/>
      <c r="ZA17" s="63"/>
      <c r="ZB17" s="63"/>
      <c r="ZC17" s="63"/>
      <c r="ZD17" s="63"/>
      <c r="ZE17" s="63"/>
      <c r="ZF17" s="63"/>
      <c r="ZG17" s="63"/>
      <c r="ZH17" s="63"/>
      <c r="ZI17" s="63"/>
      <c r="ZJ17" s="63"/>
      <c r="ZK17" s="63"/>
      <c r="ZL17" s="63"/>
      <c r="ZM17" s="63"/>
      <c r="ZN17" s="63"/>
      <c r="ZO17" s="63"/>
      <c r="ZP17" s="63"/>
      <c r="ZQ17" s="63"/>
      <c r="ZR17" s="63"/>
      <c r="ZS17" s="63"/>
      <c r="ZT17" s="63"/>
      <c r="ZU17" s="63"/>
      <c r="ZV17" s="63"/>
      <c r="ZW17" s="63"/>
      <c r="ZX17" s="63"/>
      <c r="ZY17" s="63"/>
      <c r="ZZ17" s="63"/>
      <c r="AAA17" s="63"/>
      <c r="AAB17" s="63"/>
      <c r="AAC17" s="63"/>
      <c r="AAD17" s="63"/>
      <c r="AAE17" s="63"/>
      <c r="AAF17" s="63"/>
      <c r="AAG17" s="63"/>
      <c r="AAH17" s="63"/>
      <c r="AAI17" s="63"/>
      <c r="AAJ17" s="63"/>
      <c r="AAK17" s="63"/>
      <c r="AAL17" s="63"/>
      <c r="AAM17" s="63"/>
      <c r="AAN17" s="63"/>
      <c r="AAO17" s="63"/>
      <c r="AAP17" s="63"/>
      <c r="AAQ17" s="63"/>
      <c r="AAR17" s="63"/>
      <c r="AAS17" s="63"/>
      <c r="AAT17" s="63"/>
      <c r="AAU17" s="63"/>
      <c r="AAV17" s="63"/>
      <c r="AAW17" s="63"/>
      <c r="AAX17" s="63"/>
      <c r="AAY17" s="63"/>
      <c r="AAZ17" s="63"/>
      <c r="ABA17" s="63"/>
      <c r="ABB17" s="63"/>
      <c r="ABC17" s="63"/>
      <c r="ABD17" s="63"/>
      <c r="ABE17" s="63"/>
      <c r="ABF17" s="63"/>
      <c r="ABG17" s="63"/>
      <c r="ABH17" s="63"/>
      <c r="ABI17" s="63"/>
      <c r="ABJ17" s="63"/>
      <c r="ABK17" s="63"/>
      <c r="ABL17" s="63"/>
      <c r="ABM17" s="63"/>
      <c r="ABN17" s="63"/>
      <c r="ABO17" s="63"/>
      <c r="ABP17" s="63"/>
      <c r="ABQ17" s="63"/>
      <c r="ABR17" s="63"/>
      <c r="ABS17" s="63"/>
      <c r="ABT17" s="63"/>
      <c r="ABU17" s="63"/>
      <c r="ABV17" s="63"/>
      <c r="ABW17" s="63"/>
      <c r="ABX17" s="63"/>
      <c r="ABY17" s="63"/>
      <c r="ABZ17" s="63"/>
      <c r="ACA17" s="63"/>
      <c r="ACB17" s="63"/>
      <c r="ACC17" s="63"/>
      <c r="ACD17" s="63"/>
      <c r="ACE17" s="63"/>
      <c r="ACF17" s="63"/>
      <c r="ACG17" s="63"/>
      <c r="ACH17" s="63"/>
      <c r="ACI17" s="63"/>
      <c r="ACJ17" s="63"/>
      <c r="ACK17" s="63"/>
      <c r="ACL17" s="63"/>
      <c r="ACM17" s="63"/>
      <c r="ACN17" s="63"/>
      <c r="ACO17" s="63"/>
      <c r="ACP17" s="63"/>
      <c r="ACQ17" s="63"/>
      <c r="ACR17" s="63"/>
      <c r="ACS17" s="63"/>
      <c r="ACT17" s="63"/>
      <c r="ACU17" s="63"/>
      <c r="ACV17" s="63"/>
      <c r="ACW17" s="63"/>
      <c r="ACX17" s="63"/>
      <c r="ACY17" s="63"/>
      <c r="ACZ17" s="63"/>
      <c r="ADA17" s="63"/>
      <c r="ADB17" s="63"/>
      <c r="ADC17" s="63"/>
      <c r="ADD17" s="63"/>
      <c r="ADE17" s="63"/>
      <c r="ADF17" s="63"/>
      <c r="ADG17" s="63"/>
      <c r="ADH17" s="63"/>
      <c r="ADI17" s="63"/>
      <c r="ADJ17" s="63"/>
      <c r="ADK17" s="63"/>
      <c r="ADL17" s="63"/>
      <c r="ADM17" s="63"/>
      <c r="ADN17" s="63"/>
      <c r="ADO17" s="63"/>
      <c r="ADP17" s="63"/>
      <c r="ADQ17" s="63"/>
      <c r="ADR17" s="63"/>
      <c r="ADS17" s="63"/>
      <c r="ADT17" s="63"/>
      <c r="ADU17" s="63"/>
      <c r="ADV17" s="63"/>
      <c r="ADW17" s="63"/>
      <c r="ADX17" s="63"/>
      <c r="ADY17" s="63"/>
      <c r="ADZ17" s="63"/>
      <c r="AEA17" s="63"/>
      <c r="AEB17" s="63"/>
      <c r="AEC17" s="63"/>
      <c r="AED17" s="63"/>
      <c r="AEE17" s="63"/>
      <c r="AEF17" s="63"/>
      <c r="AEG17" s="63"/>
      <c r="AEH17" s="63"/>
      <c r="AEI17" s="63"/>
      <c r="AEJ17" s="63"/>
      <c r="AEK17" s="63"/>
      <c r="AEL17" s="63"/>
      <c r="AEM17" s="63"/>
      <c r="AEN17" s="63"/>
      <c r="AEO17" s="63"/>
      <c r="AEP17" s="63"/>
      <c r="AEQ17" s="63"/>
      <c r="AER17" s="63"/>
      <c r="AES17" s="63"/>
      <c r="AET17" s="63"/>
      <c r="AEU17" s="63"/>
      <c r="AEV17" s="63"/>
      <c r="AEW17" s="63"/>
      <c r="AEX17" s="63"/>
      <c r="AEY17" s="63"/>
      <c r="AEZ17" s="63"/>
      <c r="AFA17" s="63"/>
      <c r="AFB17" s="63"/>
      <c r="AFC17" s="63"/>
      <c r="AFD17" s="63"/>
      <c r="AFE17" s="63"/>
      <c r="AFF17" s="63"/>
      <c r="AFG17" s="63"/>
      <c r="AFH17" s="63"/>
      <c r="AFI17" s="63"/>
      <c r="AFJ17" s="63"/>
      <c r="AFK17" s="63"/>
      <c r="AFL17" s="63"/>
      <c r="AFM17" s="63"/>
      <c r="AFN17" s="63"/>
      <c r="AFO17" s="63"/>
      <c r="AFP17" s="63"/>
      <c r="AFQ17" s="63"/>
      <c r="AFR17" s="63"/>
      <c r="AFS17" s="63"/>
      <c r="AFT17" s="63"/>
      <c r="AFU17" s="63"/>
      <c r="AFV17" s="63"/>
      <c r="AFW17" s="63"/>
      <c r="AFX17" s="63"/>
      <c r="AFY17" s="63"/>
      <c r="AFZ17" s="63"/>
      <c r="AGA17" s="63"/>
      <c r="AGB17" s="63"/>
      <c r="AGC17" s="63"/>
      <c r="AGD17" s="63"/>
      <c r="AGE17" s="63"/>
      <c r="AGF17" s="63"/>
      <c r="AGG17" s="63"/>
      <c r="AGH17" s="63"/>
      <c r="AGI17" s="63"/>
      <c r="AGJ17" s="63"/>
      <c r="AGK17" s="63"/>
      <c r="AGL17" s="63"/>
      <c r="AGM17" s="63"/>
      <c r="AGN17" s="63"/>
      <c r="AGO17" s="63"/>
      <c r="AGP17" s="63"/>
      <c r="AGQ17" s="63"/>
      <c r="AGR17" s="63"/>
      <c r="AGS17" s="63"/>
      <c r="AGT17" s="63"/>
      <c r="AGU17" s="63"/>
      <c r="AGV17" s="63"/>
      <c r="AGW17" s="63"/>
      <c r="AGX17" s="63"/>
      <c r="AGY17" s="63"/>
      <c r="AGZ17" s="63"/>
      <c r="AHA17" s="63"/>
      <c r="AHB17" s="63"/>
      <c r="AHC17" s="63"/>
      <c r="AHD17" s="63"/>
      <c r="AHE17" s="63"/>
      <c r="AHF17" s="63"/>
      <c r="AHG17" s="63"/>
      <c r="AHH17" s="63"/>
      <c r="AHI17" s="63"/>
      <c r="AHJ17" s="63"/>
      <c r="AHK17" s="63"/>
      <c r="AHL17" s="63"/>
      <c r="AHM17" s="63"/>
      <c r="AHN17" s="63"/>
      <c r="AHO17" s="63"/>
      <c r="AHP17" s="63"/>
      <c r="AHQ17" s="63"/>
      <c r="AHR17" s="63"/>
      <c r="AHS17" s="63"/>
      <c r="AHT17" s="63"/>
      <c r="AHU17" s="63"/>
      <c r="AHV17" s="63"/>
      <c r="AHW17" s="63"/>
      <c r="AHX17" s="63"/>
      <c r="AHY17" s="63"/>
      <c r="AHZ17" s="63"/>
      <c r="AIA17" s="63"/>
      <c r="AIB17" s="63"/>
      <c r="AIC17" s="63"/>
      <c r="AID17" s="63"/>
      <c r="AIE17" s="63"/>
      <c r="AIF17" s="63"/>
      <c r="AIG17" s="63"/>
      <c r="AIH17" s="63"/>
      <c r="AII17" s="63"/>
      <c r="AIJ17" s="63"/>
      <c r="AIK17" s="63"/>
      <c r="AIL17" s="63"/>
      <c r="AIM17" s="63"/>
      <c r="AIN17" s="63"/>
      <c r="AIO17" s="63"/>
      <c r="AIP17" s="63"/>
      <c r="AIQ17" s="63"/>
      <c r="AIR17" s="63"/>
      <c r="AIS17" s="63"/>
      <c r="AIT17" s="63"/>
      <c r="AIU17" s="63"/>
      <c r="AIV17" s="63"/>
      <c r="AIW17" s="63"/>
      <c r="AIX17" s="63"/>
      <c r="AIY17" s="63"/>
      <c r="AIZ17" s="63"/>
      <c r="AJA17" s="63"/>
      <c r="AJB17" s="63"/>
      <c r="AJC17" s="63"/>
      <c r="AJD17" s="63"/>
      <c r="AJE17" s="63"/>
      <c r="AJF17" s="63"/>
      <c r="AJG17" s="63"/>
      <c r="AJH17" s="63"/>
      <c r="AJI17" s="63"/>
      <c r="AJJ17" s="63"/>
      <c r="AJK17" s="63"/>
      <c r="AJL17" s="63"/>
      <c r="AJM17" s="63"/>
      <c r="AJN17" s="63"/>
      <c r="AJO17" s="63"/>
      <c r="AJP17" s="63"/>
      <c r="AJQ17" s="63"/>
      <c r="AJR17" s="63"/>
      <c r="AJS17" s="63"/>
      <c r="AJT17" s="63"/>
      <c r="AJU17" s="63"/>
      <c r="AJV17" s="63"/>
      <c r="AJW17" s="63"/>
      <c r="AJX17" s="63"/>
      <c r="AJY17" s="63"/>
      <c r="AJZ17" s="63"/>
      <c r="AKA17" s="63"/>
      <c r="AKB17" s="63"/>
      <c r="AKC17" s="63"/>
      <c r="AKD17" s="63"/>
      <c r="AKE17" s="63"/>
      <c r="AKF17" s="63"/>
      <c r="AKG17" s="63"/>
      <c r="AKH17" s="63"/>
      <c r="AKI17" s="63"/>
      <c r="AKJ17" s="63"/>
      <c r="AKK17" s="63"/>
      <c r="AKL17" s="63"/>
      <c r="AKM17" s="63"/>
      <c r="AKN17" s="63"/>
      <c r="AKO17" s="63"/>
      <c r="AKP17" s="63"/>
      <c r="AKQ17" s="63"/>
      <c r="AKR17" s="63"/>
      <c r="AKS17" s="63"/>
      <c r="AKT17" s="63"/>
      <c r="AKU17" s="63"/>
      <c r="AKV17" s="63"/>
      <c r="AKW17" s="63"/>
      <c r="AKX17" s="63"/>
      <c r="AKY17" s="63"/>
      <c r="AKZ17" s="63"/>
      <c r="ALA17" s="63"/>
      <c r="ALB17" s="63"/>
      <c r="ALC17" s="63"/>
      <c r="ALD17" s="63"/>
      <c r="ALE17" s="63"/>
      <c r="ALF17" s="63"/>
      <c r="ALG17" s="63"/>
      <c r="ALH17" s="63"/>
      <c r="ALI17" s="63"/>
      <c r="ALJ17" s="63"/>
      <c r="ALK17" s="63"/>
      <c r="ALL17" s="63"/>
      <c r="ALM17" s="63"/>
      <c r="ALN17" s="63"/>
      <c r="ALO17" s="63"/>
      <c r="ALP17" s="63"/>
      <c r="ALQ17" s="63"/>
      <c r="ALR17" s="63"/>
      <c r="ALS17" s="63"/>
      <c r="ALT17" s="63"/>
      <c r="ALU17" s="63"/>
      <c r="ALV17" s="63"/>
      <c r="ALW17" s="63"/>
      <c r="ALX17" s="63"/>
      <c r="ALY17" s="63"/>
      <c r="ALZ17" s="63"/>
      <c r="AMA17" s="63"/>
      <c r="AMB17" s="63"/>
      <c r="AMC17" s="63"/>
      <c r="AMD17" s="63"/>
      <c r="AME17" s="63"/>
      <c r="AMF17" s="63"/>
      <c r="AMG17" s="63"/>
      <c r="AMH17" s="63"/>
      <c r="AMI17" s="63"/>
      <c r="AMJ17" s="63"/>
    </row>
    <row r="18" spans="1:1024" s="64" customFormat="1" ht="32.25" customHeight="1" x14ac:dyDescent="0.2">
      <c r="A18" s="56">
        <v>7</v>
      </c>
      <c r="B18" s="60"/>
      <c r="C18" s="187" t="s">
        <v>43</v>
      </c>
      <c r="D18" s="188" t="s">
        <v>43</v>
      </c>
      <c r="E18" s="188" t="s">
        <v>43</v>
      </c>
      <c r="F18" s="188" t="s">
        <v>43</v>
      </c>
      <c r="G18" s="189" t="s">
        <v>43</v>
      </c>
      <c r="H18" s="61" t="s">
        <v>15</v>
      </c>
      <c r="I18" s="61" t="s">
        <v>44</v>
      </c>
      <c r="J18" s="62">
        <v>2100</v>
      </c>
      <c r="K18" s="61">
        <v>600</v>
      </c>
      <c r="L18" s="145">
        <f t="shared" si="0"/>
        <v>1260000</v>
      </c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3"/>
      <c r="EK18" s="63"/>
      <c r="EL18" s="63"/>
      <c r="EM18" s="63"/>
      <c r="EN18" s="63"/>
      <c r="EO18" s="63"/>
      <c r="EP18" s="63"/>
      <c r="EQ18" s="63"/>
      <c r="ER18" s="63"/>
      <c r="ES18" s="63"/>
      <c r="ET18" s="63"/>
      <c r="EU18" s="63"/>
      <c r="EV18" s="63"/>
      <c r="EW18" s="63"/>
      <c r="EX18" s="63"/>
      <c r="EY18" s="63"/>
      <c r="EZ18" s="63"/>
      <c r="FA18" s="63"/>
      <c r="FB18" s="63"/>
      <c r="FC18" s="63"/>
      <c r="FD18" s="63"/>
      <c r="FE18" s="63"/>
      <c r="FF18" s="63"/>
      <c r="FG18" s="63"/>
      <c r="FH18" s="63"/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3"/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  <c r="GO18" s="63"/>
      <c r="GP18" s="63"/>
      <c r="GQ18" s="63"/>
      <c r="GR18" s="63"/>
      <c r="GS18" s="63"/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3"/>
      <c r="HT18" s="63"/>
      <c r="HU18" s="63"/>
      <c r="HV18" s="63"/>
      <c r="HW18" s="63"/>
      <c r="HX18" s="63"/>
      <c r="HY18" s="63"/>
      <c r="HZ18" s="63"/>
      <c r="IA18" s="63"/>
      <c r="IB18" s="63"/>
      <c r="IC18" s="63"/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3"/>
      <c r="IO18" s="63"/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3"/>
      <c r="JB18" s="63"/>
      <c r="JC18" s="63"/>
      <c r="JD18" s="63"/>
      <c r="JE18" s="63"/>
      <c r="JF18" s="63"/>
      <c r="JG18" s="63"/>
      <c r="JH18" s="63"/>
      <c r="JI18" s="63"/>
      <c r="JJ18" s="63"/>
      <c r="JK18" s="63"/>
      <c r="JL18" s="63"/>
      <c r="JM18" s="63"/>
      <c r="JN18" s="63"/>
      <c r="JO18" s="63"/>
      <c r="JP18" s="63"/>
      <c r="JQ18" s="63"/>
      <c r="JR18" s="63"/>
      <c r="JS18" s="63"/>
      <c r="JT18" s="63"/>
      <c r="JU18" s="63"/>
      <c r="JV18" s="63"/>
      <c r="JW18" s="63"/>
      <c r="JX18" s="63"/>
      <c r="JY18" s="63"/>
      <c r="JZ18" s="63"/>
      <c r="KA18" s="63"/>
      <c r="KB18" s="63"/>
      <c r="KC18" s="63"/>
      <c r="KD18" s="63"/>
      <c r="KE18" s="63"/>
      <c r="KF18" s="63"/>
      <c r="KG18" s="63"/>
      <c r="KH18" s="63"/>
      <c r="KI18" s="63"/>
      <c r="KJ18" s="63"/>
      <c r="KK18" s="63"/>
      <c r="KL18" s="63"/>
      <c r="KM18" s="63"/>
      <c r="KN18" s="63"/>
      <c r="KO18" s="63"/>
      <c r="KP18" s="63"/>
      <c r="KQ18" s="63"/>
      <c r="KR18" s="63"/>
      <c r="KS18" s="63"/>
      <c r="KT18" s="63"/>
      <c r="KU18" s="63"/>
      <c r="KV18" s="63"/>
      <c r="KW18" s="63"/>
      <c r="KX18" s="63"/>
      <c r="KY18" s="63"/>
      <c r="KZ18" s="63"/>
      <c r="LA18" s="63"/>
      <c r="LB18" s="63"/>
      <c r="LC18" s="63"/>
      <c r="LD18" s="63"/>
      <c r="LE18" s="63"/>
      <c r="LF18" s="63"/>
      <c r="LG18" s="63"/>
      <c r="LH18" s="63"/>
      <c r="LI18" s="63"/>
      <c r="LJ18" s="63"/>
      <c r="LK18" s="63"/>
      <c r="LL18" s="63"/>
      <c r="LM18" s="63"/>
      <c r="LN18" s="63"/>
      <c r="LO18" s="63"/>
      <c r="LP18" s="63"/>
      <c r="LQ18" s="63"/>
      <c r="LR18" s="63"/>
      <c r="LS18" s="63"/>
      <c r="LT18" s="63"/>
      <c r="LU18" s="63"/>
      <c r="LV18" s="63"/>
      <c r="LW18" s="63"/>
      <c r="LX18" s="63"/>
      <c r="LY18" s="63"/>
      <c r="LZ18" s="63"/>
      <c r="MA18" s="63"/>
      <c r="MB18" s="63"/>
      <c r="MC18" s="63"/>
      <c r="MD18" s="63"/>
      <c r="ME18" s="63"/>
      <c r="MF18" s="63"/>
      <c r="MG18" s="63"/>
      <c r="MH18" s="63"/>
      <c r="MI18" s="63"/>
      <c r="MJ18" s="63"/>
      <c r="MK18" s="63"/>
      <c r="ML18" s="63"/>
      <c r="MM18" s="63"/>
      <c r="MN18" s="63"/>
      <c r="MO18" s="63"/>
      <c r="MP18" s="63"/>
      <c r="MQ18" s="63"/>
      <c r="MR18" s="63"/>
      <c r="MS18" s="63"/>
      <c r="MT18" s="63"/>
      <c r="MU18" s="63"/>
      <c r="MV18" s="63"/>
      <c r="MW18" s="63"/>
      <c r="MX18" s="63"/>
      <c r="MY18" s="63"/>
      <c r="MZ18" s="63"/>
      <c r="NA18" s="63"/>
      <c r="NB18" s="63"/>
      <c r="NC18" s="63"/>
      <c r="ND18" s="63"/>
      <c r="NE18" s="63"/>
      <c r="NF18" s="63"/>
      <c r="NG18" s="63"/>
      <c r="NH18" s="63"/>
      <c r="NI18" s="63"/>
      <c r="NJ18" s="63"/>
      <c r="NK18" s="63"/>
      <c r="NL18" s="63"/>
      <c r="NM18" s="63"/>
      <c r="NN18" s="63"/>
      <c r="NO18" s="63"/>
      <c r="NP18" s="63"/>
      <c r="NQ18" s="63"/>
      <c r="NR18" s="63"/>
      <c r="NS18" s="63"/>
      <c r="NT18" s="63"/>
      <c r="NU18" s="63"/>
      <c r="NV18" s="63"/>
      <c r="NW18" s="63"/>
      <c r="NX18" s="63"/>
      <c r="NY18" s="63"/>
      <c r="NZ18" s="63"/>
      <c r="OA18" s="63"/>
      <c r="OB18" s="63"/>
      <c r="OC18" s="63"/>
      <c r="OD18" s="63"/>
      <c r="OE18" s="63"/>
      <c r="OF18" s="63"/>
      <c r="OG18" s="63"/>
      <c r="OH18" s="63"/>
      <c r="OI18" s="63"/>
      <c r="OJ18" s="63"/>
      <c r="OK18" s="63"/>
      <c r="OL18" s="63"/>
      <c r="OM18" s="63"/>
      <c r="ON18" s="63"/>
      <c r="OO18" s="63"/>
      <c r="OP18" s="63"/>
      <c r="OQ18" s="63"/>
      <c r="OR18" s="63"/>
      <c r="OS18" s="63"/>
      <c r="OT18" s="63"/>
      <c r="OU18" s="63"/>
      <c r="OV18" s="63"/>
      <c r="OW18" s="63"/>
      <c r="OX18" s="63"/>
      <c r="OY18" s="63"/>
      <c r="OZ18" s="63"/>
      <c r="PA18" s="63"/>
      <c r="PB18" s="63"/>
      <c r="PC18" s="63"/>
      <c r="PD18" s="63"/>
      <c r="PE18" s="63"/>
      <c r="PF18" s="63"/>
      <c r="PG18" s="63"/>
      <c r="PH18" s="63"/>
      <c r="PI18" s="63"/>
      <c r="PJ18" s="63"/>
      <c r="PK18" s="63"/>
      <c r="PL18" s="63"/>
      <c r="PM18" s="63"/>
      <c r="PN18" s="63"/>
      <c r="PO18" s="63"/>
      <c r="PP18" s="63"/>
      <c r="PQ18" s="63"/>
      <c r="PR18" s="63"/>
      <c r="PS18" s="63"/>
      <c r="PT18" s="63"/>
      <c r="PU18" s="63"/>
      <c r="PV18" s="63"/>
      <c r="PW18" s="63"/>
      <c r="PX18" s="63"/>
      <c r="PY18" s="63"/>
      <c r="PZ18" s="63"/>
      <c r="QA18" s="63"/>
      <c r="QB18" s="63"/>
      <c r="QC18" s="63"/>
      <c r="QD18" s="63"/>
      <c r="QE18" s="63"/>
      <c r="QF18" s="63"/>
      <c r="QG18" s="63"/>
      <c r="QH18" s="63"/>
      <c r="QI18" s="63"/>
      <c r="QJ18" s="63"/>
      <c r="QK18" s="63"/>
      <c r="QL18" s="63"/>
      <c r="QM18" s="63"/>
      <c r="QN18" s="63"/>
      <c r="QO18" s="63"/>
      <c r="QP18" s="63"/>
      <c r="QQ18" s="63"/>
      <c r="QR18" s="63"/>
      <c r="QS18" s="63"/>
      <c r="QT18" s="63"/>
      <c r="QU18" s="63"/>
      <c r="QV18" s="63"/>
      <c r="QW18" s="63"/>
      <c r="QX18" s="63"/>
      <c r="QY18" s="63"/>
      <c r="QZ18" s="63"/>
      <c r="RA18" s="63"/>
      <c r="RB18" s="63"/>
      <c r="RC18" s="63"/>
      <c r="RD18" s="63"/>
      <c r="RE18" s="63"/>
      <c r="RF18" s="63"/>
      <c r="RG18" s="63"/>
      <c r="RH18" s="63"/>
      <c r="RI18" s="63"/>
      <c r="RJ18" s="63"/>
      <c r="RK18" s="63"/>
      <c r="RL18" s="63"/>
      <c r="RM18" s="63"/>
      <c r="RN18" s="63"/>
      <c r="RO18" s="63"/>
      <c r="RP18" s="63"/>
      <c r="RQ18" s="63"/>
      <c r="RR18" s="63"/>
      <c r="RS18" s="63"/>
      <c r="RT18" s="63"/>
      <c r="RU18" s="63"/>
      <c r="RV18" s="63"/>
      <c r="RW18" s="63"/>
      <c r="RX18" s="63"/>
      <c r="RY18" s="63"/>
      <c r="RZ18" s="63"/>
      <c r="SA18" s="63"/>
      <c r="SB18" s="63"/>
      <c r="SC18" s="63"/>
      <c r="SD18" s="63"/>
      <c r="SE18" s="63"/>
      <c r="SF18" s="63"/>
      <c r="SG18" s="63"/>
      <c r="SH18" s="63"/>
      <c r="SI18" s="63"/>
      <c r="SJ18" s="63"/>
      <c r="SK18" s="63"/>
      <c r="SL18" s="63"/>
      <c r="SM18" s="63"/>
      <c r="SN18" s="63"/>
      <c r="SO18" s="63"/>
      <c r="SP18" s="63"/>
      <c r="SQ18" s="63"/>
      <c r="SR18" s="63"/>
      <c r="SS18" s="63"/>
      <c r="ST18" s="63"/>
      <c r="SU18" s="63"/>
      <c r="SV18" s="63"/>
      <c r="SW18" s="63"/>
      <c r="SX18" s="63"/>
      <c r="SY18" s="63"/>
      <c r="SZ18" s="63"/>
      <c r="TA18" s="63"/>
      <c r="TB18" s="63"/>
      <c r="TC18" s="63"/>
      <c r="TD18" s="63"/>
      <c r="TE18" s="63"/>
      <c r="TF18" s="63"/>
      <c r="TG18" s="63"/>
      <c r="TH18" s="63"/>
      <c r="TI18" s="63"/>
      <c r="TJ18" s="63"/>
      <c r="TK18" s="63"/>
      <c r="TL18" s="63"/>
      <c r="TM18" s="63"/>
      <c r="TN18" s="63"/>
      <c r="TO18" s="63"/>
      <c r="TP18" s="63"/>
      <c r="TQ18" s="63"/>
      <c r="TR18" s="63"/>
      <c r="TS18" s="63"/>
      <c r="TT18" s="63"/>
      <c r="TU18" s="63"/>
      <c r="TV18" s="63"/>
      <c r="TW18" s="63"/>
      <c r="TX18" s="63"/>
      <c r="TY18" s="63"/>
      <c r="TZ18" s="63"/>
      <c r="UA18" s="63"/>
      <c r="UB18" s="63"/>
      <c r="UC18" s="63"/>
      <c r="UD18" s="63"/>
      <c r="UE18" s="63"/>
      <c r="UF18" s="63"/>
      <c r="UG18" s="63"/>
      <c r="UH18" s="63"/>
      <c r="UI18" s="63"/>
      <c r="UJ18" s="63"/>
      <c r="UK18" s="63"/>
      <c r="UL18" s="63"/>
      <c r="UM18" s="63"/>
      <c r="UN18" s="63"/>
      <c r="UO18" s="63"/>
      <c r="UP18" s="63"/>
      <c r="UQ18" s="63"/>
      <c r="UR18" s="63"/>
      <c r="US18" s="63"/>
      <c r="UT18" s="63"/>
      <c r="UU18" s="63"/>
      <c r="UV18" s="63"/>
      <c r="UW18" s="63"/>
      <c r="UX18" s="63"/>
      <c r="UY18" s="63"/>
      <c r="UZ18" s="63"/>
      <c r="VA18" s="63"/>
      <c r="VB18" s="63"/>
      <c r="VC18" s="63"/>
      <c r="VD18" s="63"/>
      <c r="VE18" s="63"/>
      <c r="VF18" s="63"/>
      <c r="VG18" s="63"/>
      <c r="VH18" s="63"/>
      <c r="VI18" s="63"/>
      <c r="VJ18" s="63"/>
      <c r="VK18" s="63"/>
      <c r="VL18" s="63"/>
      <c r="VM18" s="63"/>
      <c r="VN18" s="63"/>
      <c r="VO18" s="63"/>
      <c r="VP18" s="63"/>
      <c r="VQ18" s="63"/>
      <c r="VR18" s="63"/>
      <c r="VS18" s="63"/>
      <c r="VT18" s="63"/>
      <c r="VU18" s="63"/>
      <c r="VV18" s="63"/>
      <c r="VW18" s="63"/>
      <c r="VX18" s="63"/>
      <c r="VY18" s="63"/>
      <c r="VZ18" s="63"/>
      <c r="WA18" s="63"/>
      <c r="WB18" s="63"/>
      <c r="WC18" s="63"/>
      <c r="WD18" s="63"/>
      <c r="WE18" s="63"/>
      <c r="WF18" s="63"/>
      <c r="WG18" s="63"/>
      <c r="WH18" s="63"/>
      <c r="WI18" s="63"/>
      <c r="WJ18" s="63"/>
      <c r="WK18" s="63"/>
      <c r="WL18" s="63"/>
      <c r="WM18" s="63"/>
      <c r="WN18" s="63"/>
      <c r="WO18" s="63"/>
      <c r="WP18" s="63"/>
      <c r="WQ18" s="63"/>
      <c r="WR18" s="63"/>
      <c r="WS18" s="63"/>
      <c r="WT18" s="63"/>
      <c r="WU18" s="63"/>
      <c r="WV18" s="63"/>
      <c r="WW18" s="63"/>
      <c r="WX18" s="63"/>
      <c r="WY18" s="63"/>
      <c r="WZ18" s="63"/>
      <c r="XA18" s="63"/>
      <c r="XB18" s="63"/>
      <c r="XC18" s="63"/>
      <c r="XD18" s="63"/>
      <c r="XE18" s="63"/>
      <c r="XF18" s="63"/>
      <c r="XG18" s="63"/>
      <c r="XH18" s="63"/>
      <c r="XI18" s="63"/>
      <c r="XJ18" s="63"/>
      <c r="XK18" s="63"/>
      <c r="XL18" s="63"/>
      <c r="XM18" s="63"/>
      <c r="XN18" s="63"/>
      <c r="XO18" s="63"/>
      <c r="XP18" s="63"/>
      <c r="XQ18" s="63"/>
      <c r="XR18" s="63"/>
      <c r="XS18" s="63"/>
      <c r="XT18" s="63"/>
      <c r="XU18" s="63"/>
      <c r="XV18" s="63"/>
      <c r="XW18" s="63"/>
      <c r="XX18" s="63"/>
      <c r="XY18" s="63"/>
      <c r="XZ18" s="63"/>
      <c r="YA18" s="63"/>
      <c r="YB18" s="63"/>
      <c r="YC18" s="63"/>
      <c r="YD18" s="63"/>
      <c r="YE18" s="63"/>
      <c r="YF18" s="63"/>
      <c r="YG18" s="63"/>
      <c r="YH18" s="63"/>
      <c r="YI18" s="63"/>
      <c r="YJ18" s="63"/>
      <c r="YK18" s="63"/>
      <c r="YL18" s="63"/>
      <c r="YM18" s="63"/>
      <c r="YN18" s="63"/>
      <c r="YO18" s="63"/>
      <c r="YP18" s="63"/>
      <c r="YQ18" s="63"/>
      <c r="YR18" s="63"/>
      <c r="YS18" s="63"/>
      <c r="YT18" s="63"/>
      <c r="YU18" s="63"/>
      <c r="YV18" s="63"/>
      <c r="YW18" s="63"/>
      <c r="YX18" s="63"/>
      <c r="YY18" s="63"/>
      <c r="YZ18" s="63"/>
      <c r="ZA18" s="63"/>
      <c r="ZB18" s="63"/>
      <c r="ZC18" s="63"/>
      <c r="ZD18" s="63"/>
      <c r="ZE18" s="63"/>
      <c r="ZF18" s="63"/>
      <c r="ZG18" s="63"/>
      <c r="ZH18" s="63"/>
      <c r="ZI18" s="63"/>
      <c r="ZJ18" s="63"/>
      <c r="ZK18" s="63"/>
      <c r="ZL18" s="63"/>
      <c r="ZM18" s="63"/>
      <c r="ZN18" s="63"/>
      <c r="ZO18" s="63"/>
      <c r="ZP18" s="63"/>
      <c r="ZQ18" s="63"/>
      <c r="ZR18" s="63"/>
      <c r="ZS18" s="63"/>
      <c r="ZT18" s="63"/>
      <c r="ZU18" s="63"/>
      <c r="ZV18" s="63"/>
      <c r="ZW18" s="63"/>
      <c r="ZX18" s="63"/>
      <c r="ZY18" s="63"/>
      <c r="ZZ18" s="63"/>
      <c r="AAA18" s="63"/>
      <c r="AAB18" s="63"/>
      <c r="AAC18" s="63"/>
      <c r="AAD18" s="63"/>
      <c r="AAE18" s="63"/>
      <c r="AAF18" s="63"/>
      <c r="AAG18" s="63"/>
      <c r="AAH18" s="63"/>
      <c r="AAI18" s="63"/>
      <c r="AAJ18" s="63"/>
      <c r="AAK18" s="63"/>
      <c r="AAL18" s="63"/>
      <c r="AAM18" s="63"/>
      <c r="AAN18" s="63"/>
      <c r="AAO18" s="63"/>
      <c r="AAP18" s="63"/>
      <c r="AAQ18" s="63"/>
      <c r="AAR18" s="63"/>
      <c r="AAS18" s="63"/>
      <c r="AAT18" s="63"/>
      <c r="AAU18" s="63"/>
      <c r="AAV18" s="63"/>
      <c r="AAW18" s="63"/>
      <c r="AAX18" s="63"/>
      <c r="AAY18" s="63"/>
      <c r="AAZ18" s="63"/>
      <c r="ABA18" s="63"/>
      <c r="ABB18" s="63"/>
      <c r="ABC18" s="63"/>
      <c r="ABD18" s="63"/>
      <c r="ABE18" s="63"/>
      <c r="ABF18" s="63"/>
      <c r="ABG18" s="63"/>
      <c r="ABH18" s="63"/>
      <c r="ABI18" s="63"/>
      <c r="ABJ18" s="63"/>
      <c r="ABK18" s="63"/>
      <c r="ABL18" s="63"/>
      <c r="ABM18" s="63"/>
      <c r="ABN18" s="63"/>
      <c r="ABO18" s="63"/>
      <c r="ABP18" s="63"/>
      <c r="ABQ18" s="63"/>
      <c r="ABR18" s="63"/>
      <c r="ABS18" s="63"/>
      <c r="ABT18" s="63"/>
      <c r="ABU18" s="63"/>
      <c r="ABV18" s="63"/>
      <c r="ABW18" s="63"/>
      <c r="ABX18" s="63"/>
      <c r="ABY18" s="63"/>
      <c r="ABZ18" s="63"/>
      <c r="ACA18" s="63"/>
      <c r="ACB18" s="63"/>
      <c r="ACC18" s="63"/>
      <c r="ACD18" s="63"/>
      <c r="ACE18" s="63"/>
      <c r="ACF18" s="63"/>
      <c r="ACG18" s="63"/>
      <c r="ACH18" s="63"/>
      <c r="ACI18" s="63"/>
      <c r="ACJ18" s="63"/>
      <c r="ACK18" s="63"/>
      <c r="ACL18" s="63"/>
      <c r="ACM18" s="63"/>
      <c r="ACN18" s="63"/>
      <c r="ACO18" s="63"/>
      <c r="ACP18" s="63"/>
      <c r="ACQ18" s="63"/>
      <c r="ACR18" s="63"/>
      <c r="ACS18" s="63"/>
      <c r="ACT18" s="63"/>
      <c r="ACU18" s="63"/>
      <c r="ACV18" s="63"/>
      <c r="ACW18" s="63"/>
      <c r="ACX18" s="63"/>
      <c r="ACY18" s="63"/>
      <c r="ACZ18" s="63"/>
      <c r="ADA18" s="63"/>
      <c r="ADB18" s="63"/>
      <c r="ADC18" s="63"/>
      <c r="ADD18" s="63"/>
      <c r="ADE18" s="63"/>
      <c r="ADF18" s="63"/>
      <c r="ADG18" s="63"/>
      <c r="ADH18" s="63"/>
      <c r="ADI18" s="63"/>
      <c r="ADJ18" s="63"/>
      <c r="ADK18" s="63"/>
      <c r="ADL18" s="63"/>
      <c r="ADM18" s="63"/>
      <c r="ADN18" s="63"/>
      <c r="ADO18" s="63"/>
      <c r="ADP18" s="63"/>
      <c r="ADQ18" s="63"/>
      <c r="ADR18" s="63"/>
      <c r="ADS18" s="63"/>
      <c r="ADT18" s="63"/>
      <c r="ADU18" s="63"/>
      <c r="ADV18" s="63"/>
      <c r="ADW18" s="63"/>
      <c r="ADX18" s="63"/>
      <c r="ADY18" s="63"/>
      <c r="ADZ18" s="63"/>
      <c r="AEA18" s="63"/>
      <c r="AEB18" s="63"/>
      <c r="AEC18" s="63"/>
      <c r="AED18" s="63"/>
      <c r="AEE18" s="63"/>
      <c r="AEF18" s="63"/>
      <c r="AEG18" s="63"/>
      <c r="AEH18" s="63"/>
      <c r="AEI18" s="63"/>
      <c r="AEJ18" s="63"/>
      <c r="AEK18" s="63"/>
      <c r="AEL18" s="63"/>
      <c r="AEM18" s="63"/>
      <c r="AEN18" s="63"/>
      <c r="AEO18" s="63"/>
      <c r="AEP18" s="63"/>
      <c r="AEQ18" s="63"/>
      <c r="AER18" s="63"/>
      <c r="AES18" s="63"/>
      <c r="AET18" s="63"/>
      <c r="AEU18" s="63"/>
      <c r="AEV18" s="63"/>
      <c r="AEW18" s="63"/>
      <c r="AEX18" s="63"/>
      <c r="AEY18" s="63"/>
      <c r="AEZ18" s="63"/>
      <c r="AFA18" s="63"/>
      <c r="AFB18" s="63"/>
      <c r="AFC18" s="63"/>
      <c r="AFD18" s="63"/>
      <c r="AFE18" s="63"/>
      <c r="AFF18" s="63"/>
      <c r="AFG18" s="63"/>
      <c r="AFH18" s="63"/>
      <c r="AFI18" s="63"/>
      <c r="AFJ18" s="63"/>
      <c r="AFK18" s="63"/>
      <c r="AFL18" s="63"/>
      <c r="AFM18" s="63"/>
      <c r="AFN18" s="63"/>
      <c r="AFO18" s="63"/>
      <c r="AFP18" s="63"/>
      <c r="AFQ18" s="63"/>
      <c r="AFR18" s="63"/>
      <c r="AFS18" s="63"/>
      <c r="AFT18" s="63"/>
      <c r="AFU18" s="63"/>
      <c r="AFV18" s="63"/>
      <c r="AFW18" s="63"/>
      <c r="AFX18" s="63"/>
      <c r="AFY18" s="63"/>
      <c r="AFZ18" s="63"/>
      <c r="AGA18" s="63"/>
      <c r="AGB18" s="63"/>
      <c r="AGC18" s="63"/>
      <c r="AGD18" s="63"/>
      <c r="AGE18" s="63"/>
      <c r="AGF18" s="63"/>
      <c r="AGG18" s="63"/>
      <c r="AGH18" s="63"/>
      <c r="AGI18" s="63"/>
      <c r="AGJ18" s="63"/>
      <c r="AGK18" s="63"/>
      <c r="AGL18" s="63"/>
      <c r="AGM18" s="63"/>
      <c r="AGN18" s="63"/>
      <c r="AGO18" s="63"/>
      <c r="AGP18" s="63"/>
      <c r="AGQ18" s="63"/>
      <c r="AGR18" s="63"/>
      <c r="AGS18" s="63"/>
      <c r="AGT18" s="63"/>
      <c r="AGU18" s="63"/>
      <c r="AGV18" s="63"/>
      <c r="AGW18" s="63"/>
      <c r="AGX18" s="63"/>
      <c r="AGY18" s="63"/>
      <c r="AGZ18" s="63"/>
      <c r="AHA18" s="63"/>
      <c r="AHB18" s="63"/>
      <c r="AHC18" s="63"/>
      <c r="AHD18" s="63"/>
      <c r="AHE18" s="63"/>
      <c r="AHF18" s="63"/>
      <c r="AHG18" s="63"/>
      <c r="AHH18" s="63"/>
      <c r="AHI18" s="63"/>
      <c r="AHJ18" s="63"/>
      <c r="AHK18" s="63"/>
      <c r="AHL18" s="63"/>
      <c r="AHM18" s="63"/>
      <c r="AHN18" s="63"/>
      <c r="AHO18" s="63"/>
      <c r="AHP18" s="63"/>
      <c r="AHQ18" s="63"/>
      <c r="AHR18" s="63"/>
      <c r="AHS18" s="63"/>
      <c r="AHT18" s="63"/>
      <c r="AHU18" s="63"/>
      <c r="AHV18" s="63"/>
      <c r="AHW18" s="63"/>
      <c r="AHX18" s="63"/>
      <c r="AHY18" s="63"/>
      <c r="AHZ18" s="63"/>
      <c r="AIA18" s="63"/>
      <c r="AIB18" s="63"/>
      <c r="AIC18" s="63"/>
      <c r="AID18" s="63"/>
      <c r="AIE18" s="63"/>
      <c r="AIF18" s="63"/>
      <c r="AIG18" s="63"/>
      <c r="AIH18" s="63"/>
      <c r="AII18" s="63"/>
      <c r="AIJ18" s="63"/>
      <c r="AIK18" s="63"/>
      <c r="AIL18" s="63"/>
      <c r="AIM18" s="63"/>
      <c r="AIN18" s="63"/>
      <c r="AIO18" s="63"/>
      <c r="AIP18" s="63"/>
      <c r="AIQ18" s="63"/>
      <c r="AIR18" s="63"/>
      <c r="AIS18" s="63"/>
      <c r="AIT18" s="63"/>
      <c r="AIU18" s="63"/>
      <c r="AIV18" s="63"/>
      <c r="AIW18" s="63"/>
      <c r="AIX18" s="63"/>
      <c r="AIY18" s="63"/>
      <c r="AIZ18" s="63"/>
      <c r="AJA18" s="63"/>
      <c r="AJB18" s="63"/>
      <c r="AJC18" s="63"/>
      <c r="AJD18" s="63"/>
      <c r="AJE18" s="63"/>
      <c r="AJF18" s="63"/>
      <c r="AJG18" s="63"/>
      <c r="AJH18" s="63"/>
      <c r="AJI18" s="63"/>
      <c r="AJJ18" s="63"/>
      <c r="AJK18" s="63"/>
      <c r="AJL18" s="63"/>
      <c r="AJM18" s="63"/>
      <c r="AJN18" s="63"/>
      <c r="AJO18" s="63"/>
      <c r="AJP18" s="63"/>
      <c r="AJQ18" s="63"/>
      <c r="AJR18" s="63"/>
      <c r="AJS18" s="63"/>
      <c r="AJT18" s="63"/>
      <c r="AJU18" s="63"/>
      <c r="AJV18" s="63"/>
      <c r="AJW18" s="63"/>
      <c r="AJX18" s="63"/>
      <c r="AJY18" s="63"/>
      <c r="AJZ18" s="63"/>
      <c r="AKA18" s="63"/>
      <c r="AKB18" s="63"/>
      <c r="AKC18" s="63"/>
      <c r="AKD18" s="63"/>
      <c r="AKE18" s="63"/>
      <c r="AKF18" s="63"/>
      <c r="AKG18" s="63"/>
      <c r="AKH18" s="63"/>
      <c r="AKI18" s="63"/>
      <c r="AKJ18" s="63"/>
      <c r="AKK18" s="63"/>
      <c r="AKL18" s="63"/>
      <c r="AKM18" s="63"/>
      <c r="AKN18" s="63"/>
      <c r="AKO18" s="63"/>
      <c r="AKP18" s="63"/>
      <c r="AKQ18" s="63"/>
      <c r="AKR18" s="63"/>
      <c r="AKS18" s="63"/>
      <c r="AKT18" s="63"/>
      <c r="AKU18" s="63"/>
      <c r="AKV18" s="63"/>
      <c r="AKW18" s="63"/>
      <c r="AKX18" s="63"/>
      <c r="AKY18" s="63"/>
      <c r="AKZ18" s="63"/>
      <c r="ALA18" s="63"/>
      <c r="ALB18" s="63"/>
      <c r="ALC18" s="63"/>
      <c r="ALD18" s="63"/>
      <c r="ALE18" s="63"/>
      <c r="ALF18" s="63"/>
      <c r="ALG18" s="63"/>
      <c r="ALH18" s="63"/>
      <c r="ALI18" s="63"/>
      <c r="ALJ18" s="63"/>
      <c r="ALK18" s="63"/>
      <c r="ALL18" s="63"/>
      <c r="ALM18" s="63"/>
      <c r="ALN18" s="63"/>
      <c r="ALO18" s="63"/>
      <c r="ALP18" s="63"/>
      <c r="ALQ18" s="63"/>
      <c r="ALR18" s="63"/>
      <c r="ALS18" s="63"/>
      <c r="ALT18" s="63"/>
      <c r="ALU18" s="63"/>
      <c r="ALV18" s="63"/>
      <c r="ALW18" s="63"/>
      <c r="ALX18" s="63"/>
      <c r="ALY18" s="63"/>
      <c r="ALZ18" s="63"/>
      <c r="AMA18" s="63"/>
      <c r="AMB18" s="63"/>
      <c r="AMC18" s="63"/>
      <c r="AMD18" s="63"/>
      <c r="AME18" s="63"/>
      <c r="AMF18" s="63"/>
      <c r="AMG18" s="63"/>
      <c r="AMH18" s="63"/>
      <c r="AMI18" s="63"/>
      <c r="AMJ18" s="63"/>
    </row>
    <row r="19" spans="1:1024" s="64" customFormat="1" ht="32.25" customHeight="1" thickBot="1" x14ac:dyDescent="0.25">
      <c r="A19" s="55">
        <v>8</v>
      </c>
      <c r="B19" s="65"/>
      <c r="C19" s="187" t="s">
        <v>122</v>
      </c>
      <c r="D19" s="188" t="s">
        <v>122</v>
      </c>
      <c r="E19" s="188" t="s">
        <v>122</v>
      </c>
      <c r="F19" s="188" t="s">
        <v>122</v>
      </c>
      <c r="G19" s="189" t="s">
        <v>122</v>
      </c>
      <c r="H19" s="66" t="s">
        <v>15</v>
      </c>
      <c r="I19" s="61" t="s">
        <v>44</v>
      </c>
      <c r="J19" s="62">
        <v>2100</v>
      </c>
      <c r="K19" s="61">
        <v>600</v>
      </c>
      <c r="L19" s="145">
        <f t="shared" si="0"/>
        <v>1260000</v>
      </c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3"/>
      <c r="EK19" s="63"/>
      <c r="EL19" s="63"/>
      <c r="EM19" s="63"/>
      <c r="EN19" s="63"/>
      <c r="EO19" s="63"/>
      <c r="EP19" s="63"/>
      <c r="EQ19" s="63"/>
      <c r="ER19" s="63"/>
      <c r="ES19" s="63"/>
      <c r="ET19" s="63"/>
      <c r="EU19" s="63"/>
      <c r="EV19" s="63"/>
      <c r="EW19" s="63"/>
      <c r="EX19" s="63"/>
      <c r="EY19" s="63"/>
      <c r="EZ19" s="63"/>
      <c r="FA19" s="63"/>
      <c r="FB19" s="63"/>
      <c r="FC19" s="63"/>
      <c r="FD19" s="63"/>
      <c r="FE19" s="63"/>
      <c r="FF19" s="63"/>
      <c r="FG19" s="63"/>
      <c r="FH19" s="63"/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3"/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3"/>
      <c r="GR19" s="63"/>
      <c r="GS19" s="63"/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3"/>
      <c r="HT19" s="63"/>
      <c r="HU19" s="63"/>
      <c r="HV19" s="63"/>
      <c r="HW19" s="63"/>
      <c r="HX19" s="63"/>
      <c r="HY19" s="63"/>
      <c r="HZ19" s="63"/>
      <c r="IA19" s="63"/>
      <c r="IB19" s="63"/>
      <c r="IC19" s="63"/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3"/>
      <c r="IO19" s="63"/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63"/>
      <c r="JE19" s="63"/>
      <c r="JF19" s="63"/>
      <c r="JG19" s="63"/>
      <c r="JH19" s="63"/>
      <c r="JI19" s="63"/>
      <c r="JJ19" s="63"/>
      <c r="JK19" s="63"/>
      <c r="JL19" s="63"/>
      <c r="JM19" s="63"/>
      <c r="JN19" s="63"/>
      <c r="JO19" s="63"/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63"/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63"/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  <c r="MN19" s="63"/>
      <c r="MO19" s="63"/>
      <c r="MP19" s="63"/>
      <c r="MQ19" s="63"/>
      <c r="MR19" s="63"/>
      <c r="MS19" s="63"/>
      <c r="MT19" s="63"/>
      <c r="MU19" s="63"/>
      <c r="MV19" s="63"/>
      <c r="MW19" s="63"/>
      <c r="MX19" s="63"/>
      <c r="MY19" s="63"/>
      <c r="MZ19" s="63"/>
      <c r="NA19" s="63"/>
      <c r="NB19" s="63"/>
      <c r="NC19" s="63"/>
      <c r="ND19" s="63"/>
      <c r="NE19" s="63"/>
      <c r="NF19" s="63"/>
      <c r="NG19" s="63"/>
      <c r="NH19" s="63"/>
      <c r="NI19" s="63"/>
      <c r="NJ19" s="63"/>
      <c r="NK19" s="63"/>
      <c r="NL19" s="63"/>
      <c r="NM19" s="63"/>
      <c r="NN19" s="63"/>
      <c r="NO19" s="63"/>
      <c r="NP19" s="63"/>
      <c r="NQ19" s="63"/>
      <c r="NR19" s="63"/>
      <c r="NS19" s="63"/>
      <c r="NT19" s="63"/>
      <c r="NU19" s="63"/>
      <c r="NV19" s="63"/>
      <c r="NW19" s="63"/>
      <c r="NX19" s="63"/>
      <c r="NY19" s="63"/>
      <c r="NZ19" s="63"/>
      <c r="OA19" s="63"/>
      <c r="OB19" s="63"/>
      <c r="OC19" s="63"/>
      <c r="OD19" s="63"/>
      <c r="OE19" s="63"/>
      <c r="OF19" s="63"/>
      <c r="OG19" s="63"/>
      <c r="OH19" s="63"/>
      <c r="OI19" s="63"/>
      <c r="OJ19" s="63"/>
      <c r="OK19" s="63"/>
      <c r="OL19" s="63"/>
      <c r="OM19" s="63"/>
      <c r="ON19" s="63"/>
      <c r="OO19" s="63"/>
      <c r="OP19" s="63"/>
      <c r="OQ19" s="63"/>
      <c r="OR19" s="63"/>
      <c r="OS19" s="63"/>
      <c r="OT19" s="63"/>
      <c r="OU19" s="63"/>
      <c r="OV19" s="63"/>
      <c r="OW19" s="63"/>
      <c r="OX19" s="63"/>
      <c r="OY19" s="63"/>
      <c r="OZ19" s="63"/>
      <c r="PA19" s="63"/>
      <c r="PB19" s="63"/>
      <c r="PC19" s="63"/>
      <c r="PD19" s="63"/>
      <c r="PE19" s="63"/>
      <c r="PF19" s="63"/>
      <c r="PG19" s="63"/>
      <c r="PH19" s="63"/>
      <c r="PI19" s="63"/>
      <c r="PJ19" s="63"/>
      <c r="PK19" s="63"/>
      <c r="PL19" s="63"/>
      <c r="PM19" s="63"/>
      <c r="PN19" s="63"/>
      <c r="PO19" s="63"/>
      <c r="PP19" s="63"/>
      <c r="PQ19" s="63"/>
      <c r="PR19" s="63"/>
      <c r="PS19" s="63"/>
      <c r="PT19" s="63"/>
      <c r="PU19" s="63"/>
      <c r="PV19" s="63"/>
      <c r="PW19" s="63"/>
      <c r="PX19" s="63"/>
      <c r="PY19" s="63"/>
      <c r="PZ19" s="63"/>
      <c r="QA19" s="63"/>
      <c r="QB19" s="63"/>
      <c r="QC19" s="63"/>
      <c r="QD19" s="63"/>
      <c r="QE19" s="63"/>
      <c r="QF19" s="63"/>
      <c r="QG19" s="63"/>
      <c r="QH19" s="63"/>
      <c r="QI19" s="63"/>
      <c r="QJ19" s="63"/>
      <c r="QK19" s="63"/>
      <c r="QL19" s="63"/>
      <c r="QM19" s="63"/>
      <c r="QN19" s="63"/>
      <c r="QO19" s="63"/>
      <c r="QP19" s="63"/>
      <c r="QQ19" s="63"/>
      <c r="QR19" s="63"/>
      <c r="QS19" s="63"/>
      <c r="QT19" s="63"/>
      <c r="QU19" s="63"/>
      <c r="QV19" s="63"/>
      <c r="QW19" s="63"/>
      <c r="QX19" s="63"/>
      <c r="QY19" s="63"/>
      <c r="QZ19" s="63"/>
      <c r="RA19" s="63"/>
      <c r="RB19" s="63"/>
      <c r="RC19" s="63"/>
      <c r="RD19" s="63"/>
      <c r="RE19" s="63"/>
      <c r="RF19" s="63"/>
      <c r="RG19" s="63"/>
      <c r="RH19" s="63"/>
      <c r="RI19" s="63"/>
      <c r="RJ19" s="63"/>
      <c r="RK19" s="63"/>
      <c r="RL19" s="63"/>
      <c r="RM19" s="63"/>
      <c r="RN19" s="63"/>
      <c r="RO19" s="63"/>
      <c r="RP19" s="63"/>
      <c r="RQ19" s="63"/>
      <c r="RR19" s="63"/>
      <c r="RS19" s="63"/>
      <c r="RT19" s="63"/>
      <c r="RU19" s="63"/>
      <c r="RV19" s="63"/>
      <c r="RW19" s="63"/>
      <c r="RX19" s="63"/>
      <c r="RY19" s="63"/>
      <c r="RZ19" s="63"/>
      <c r="SA19" s="63"/>
      <c r="SB19" s="63"/>
      <c r="SC19" s="63"/>
      <c r="SD19" s="63"/>
      <c r="SE19" s="63"/>
      <c r="SF19" s="63"/>
      <c r="SG19" s="63"/>
      <c r="SH19" s="63"/>
      <c r="SI19" s="63"/>
      <c r="SJ19" s="63"/>
      <c r="SK19" s="63"/>
      <c r="SL19" s="63"/>
      <c r="SM19" s="63"/>
      <c r="SN19" s="63"/>
      <c r="SO19" s="63"/>
      <c r="SP19" s="63"/>
      <c r="SQ19" s="63"/>
      <c r="SR19" s="63"/>
      <c r="SS19" s="63"/>
      <c r="ST19" s="63"/>
      <c r="SU19" s="63"/>
      <c r="SV19" s="63"/>
      <c r="SW19" s="63"/>
      <c r="SX19" s="63"/>
      <c r="SY19" s="63"/>
      <c r="SZ19" s="63"/>
      <c r="TA19" s="63"/>
      <c r="TB19" s="63"/>
      <c r="TC19" s="63"/>
      <c r="TD19" s="63"/>
      <c r="TE19" s="63"/>
      <c r="TF19" s="63"/>
      <c r="TG19" s="63"/>
      <c r="TH19" s="63"/>
      <c r="TI19" s="63"/>
      <c r="TJ19" s="63"/>
      <c r="TK19" s="63"/>
      <c r="TL19" s="63"/>
      <c r="TM19" s="63"/>
      <c r="TN19" s="63"/>
      <c r="TO19" s="63"/>
      <c r="TP19" s="63"/>
      <c r="TQ19" s="63"/>
      <c r="TR19" s="63"/>
      <c r="TS19" s="63"/>
      <c r="TT19" s="63"/>
      <c r="TU19" s="63"/>
      <c r="TV19" s="63"/>
      <c r="TW19" s="63"/>
      <c r="TX19" s="63"/>
      <c r="TY19" s="63"/>
      <c r="TZ19" s="63"/>
      <c r="UA19" s="63"/>
      <c r="UB19" s="63"/>
      <c r="UC19" s="63"/>
      <c r="UD19" s="63"/>
      <c r="UE19" s="63"/>
      <c r="UF19" s="63"/>
      <c r="UG19" s="63"/>
      <c r="UH19" s="63"/>
      <c r="UI19" s="63"/>
      <c r="UJ19" s="63"/>
      <c r="UK19" s="63"/>
      <c r="UL19" s="63"/>
      <c r="UM19" s="63"/>
      <c r="UN19" s="63"/>
      <c r="UO19" s="63"/>
      <c r="UP19" s="63"/>
      <c r="UQ19" s="63"/>
      <c r="UR19" s="63"/>
      <c r="US19" s="63"/>
      <c r="UT19" s="63"/>
      <c r="UU19" s="63"/>
      <c r="UV19" s="63"/>
      <c r="UW19" s="63"/>
      <c r="UX19" s="63"/>
      <c r="UY19" s="63"/>
      <c r="UZ19" s="63"/>
      <c r="VA19" s="63"/>
      <c r="VB19" s="63"/>
      <c r="VC19" s="63"/>
      <c r="VD19" s="63"/>
      <c r="VE19" s="63"/>
      <c r="VF19" s="63"/>
      <c r="VG19" s="63"/>
      <c r="VH19" s="63"/>
      <c r="VI19" s="63"/>
      <c r="VJ19" s="63"/>
      <c r="VK19" s="63"/>
      <c r="VL19" s="63"/>
      <c r="VM19" s="63"/>
      <c r="VN19" s="63"/>
      <c r="VO19" s="63"/>
      <c r="VP19" s="63"/>
      <c r="VQ19" s="63"/>
      <c r="VR19" s="63"/>
      <c r="VS19" s="63"/>
      <c r="VT19" s="63"/>
      <c r="VU19" s="63"/>
      <c r="VV19" s="63"/>
      <c r="VW19" s="63"/>
      <c r="VX19" s="63"/>
      <c r="VY19" s="63"/>
      <c r="VZ19" s="63"/>
      <c r="WA19" s="63"/>
      <c r="WB19" s="63"/>
      <c r="WC19" s="63"/>
      <c r="WD19" s="63"/>
      <c r="WE19" s="63"/>
      <c r="WF19" s="63"/>
      <c r="WG19" s="63"/>
      <c r="WH19" s="63"/>
      <c r="WI19" s="63"/>
      <c r="WJ19" s="63"/>
      <c r="WK19" s="63"/>
      <c r="WL19" s="63"/>
      <c r="WM19" s="63"/>
      <c r="WN19" s="63"/>
      <c r="WO19" s="63"/>
      <c r="WP19" s="63"/>
      <c r="WQ19" s="63"/>
      <c r="WR19" s="63"/>
      <c r="WS19" s="63"/>
      <c r="WT19" s="63"/>
      <c r="WU19" s="63"/>
      <c r="WV19" s="63"/>
      <c r="WW19" s="63"/>
      <c r="WX19" s="63"/>
      <c r="WY19" s="63"/>
      <c r="WZ19" s="63"/>
      <c r="XA19" s="63"/>
      <c r="XB19" s="63"/>
      <c r="XC19" s="63"/>
      <c r="XD19" s="63"/>
      <c r="XE19" s="63"/>
      <c r="XF19" s="63"/>
      <c r="XG19" s="63"/>
      <c r="XH19" s="63"/>
      <c r="XI19" s="63"/>
      <c r="XJ19" s="63"/>
      <c r="XK19" s="63"/>
      <c r="XL19" s="63"/>
      <c r="XM19" s="63"/>
      <c r="XN19" s="63"/>
      <c r="XO19" s="63"/>
      <c r="XP19" s="63"/>
      <c r="XQ19" s="63"/>
      <c r="XR19" s="63"/>
      <c r="XS19" s="63"/>
      <c r="XT19" s="63"/>
      <c r="XU19" s="63"/>
      <c r="XV19" s="63"/>
      <c r="XW19" s="63"/>
      <c r="XX19" s="63"/>
      <c r="XY19" s="63"/>
      <c r="XZ19" s="63"/>
      <c r="YA19" s="63"/>
      <c r="YB19" s="63"/>
      <c r="YC19" s="63"/>
      <c r="YD19" s="63"/>
      <c r="YE19" s="63"/>
      <c r="YF19" s="63"/>
      <c r="YG19" s="63"/>
      <c r="YH19" s="63"/>
      <c r="YI19" s="63"/>
      <c r="YJ19" s="63"/>
      <c r="YK19" s="63"/>
      <c r="YL19" s="63"/>
      <c r="YM19" s="63"/>
      <c r="YN19" s="63"/>
      <c r="YO19" s="63"/>
      <c r="YP19" s="63"/>
      <c r="YQ19" s="63"/>
      <c r="YR19" s="63"/>
      <c r="YS19" s="63"/>
      <c r="YT19" s="63"/>
      <c r="YU19" s="63"/>
      <c r="YV19" s="63"/>
      <c r="YW19" s="63"/>
      <c r="YX19" s="63"/>
      <c r="YY19" s="63"/>
      <c r="YZ19" s="63"/>
      <c r="ZA19" s="63"/>
      <c r="ZB19" s="63"/>
      <c r="ZC19" s="63"/>
      <c r="ZD19" s="63"/>
      <c r="ZE19" s="63"/>
      <c r="ZF19" s="63"/>
      <c r="ZG19" s="63"/>
      <c r="ZH19" s="63"/>
      <c r="ZI19" s="63"/>
      <c r="ZJ19" s="63"/>
      <c r="ZK19" s="63"/>
      <c r="ZL19" s="63"/>
      <c r="ZM19" s="63"/>
      <c r="ZN19" s="63"/>
      <c r="ZO19" s="63"/>
      <c r="ZP19" s="63"/>
      <c r="ZQ19" s="63"/>
      <c r="ZR19" s="63"/>
      <c r="ZS19" s="63"/>
      <c r="ZT19" s="63"/>
      <c r="ZU19" s="63"/>
      <c r="ZV19" s="63"/>
      <c r="ZW19" s="63"/>
      <c r="ZX19" s="63"/>
      <c r="ZY19" s="63"/>
      <c r="ZZ19" s="63"/>
      <c r="AAA19" s="63"/>
      <c r="AAB19" s="63"/>
      <c r="AAC19" s="63"/>
      <c r="AAD19" s="63"/>
      <c r="AAE19" s="63"/>
      <c r="AAF19" s="63"/>
      <c r="AAG19" s="63"/>
      <c r="AAH19" s="63"/>
      <c r="AAI19" s="63"/>
      <c r="AAJ19" s="63"/>
      <c r="AAK19" s="63"/>
      <c r="AAL19" s="63"/>
      <c r="AAM19" s="63"/>
      <c r="AAN19" s="63"/>
      <c r="AAO19" s="63"/>
      <c r="AAP19" s="63"/>
      <c r="AAQ19" s="63"/>
      <c r="AAR19" s="63"/>
      <c r="AAS19" s="63"/>
      <c r="AAT19" s="63"/>
      <c r="AAU19" s="63"/>
      <c r="AAV19" s="63"/>
      <c r="AAW19" s="63"/>
      <c r="AAX19" s="63"/>
      <c r="AAY19" s="63"/>
      <c r="AAZ19" s="63"/>
      <c r="ABA19" s="63"/>
      <c r="ABB19" s="63"/>
      <c r="ABC19" s="63"/>
      <c r="ABD19" s="63"/>
      <c r="ABE19" s="63"/>
      <c r="ABF19" s="63"/>
      <c r="ABG19" s="63"/>
      <c r="ABH19" s="63"/>
      <c r="ABI19" s="63"/>
      <c r="ABJ19" s="63"/>
      <c r="ABK19" s="63"/>
      <c r="ABL19" s="63"/>
      <c r="ABM19" s="63"/>
      <c r="ABN19" s="63"/>
      <c r="ABO19" s="63"/>
      <c r="ABP19" s="63"/>
      <c r="ABQ19" s="63"/>
      <c r="ABR19" s="63"/>
      <c r="ABS19" s="63"/>
      <c r="ABT19" s="63"/>
      <c r="ABU19" s="63"/>
      <c r="ABV19" s="63"/>
      <c r="ABW19" s="63"/>
      <c r="ABX19" s="63"/>
      <c r="ABY19" s="63"/>
      <c r="ABZ19" s="63"/>
      <c r="ACA19" s="63"/>
      <c r="ACB19" s="63"/>
      <c r="ACC19" s="63"/>
      <c r="ACD19" s="63"/>
      <c r="ACE19" s="63"/>
      <c r="ACF19" s="63"/>
      <c r="ACG19" s="63"/>
      <c r="ACH19" s="63"/>
      <c r="ACI19" s="63"/>
      <c r="ACJ19" s="63"/>
      <c r="ACK19" s="63"/>
      <c r="ACL19" s="63"/>
      <c r="ACM19" s="63"/>
      <c r="ACN19" s="63"/>
      <c r="ACO19" s="63"/>
      <c r="ACP19" s="63"/>
      <c r="ACQ19" s="63"/>
      <c r="ACR19" s="63"/>
      <c r="ACS19" s="63"/>
      <c r="ACT19" s="63"/>
      <c r="ACU19" s="63"/>
      <c r="ACV19" s="63"/>
      <c r="ACW19" s="63"/>
      <c r="ACX19" s="63"/>
      <c r="ACY19" s="63"/>
      <c r="ACZ19" s="63"/>
      <c r="ADA19" s="63"/>
      <c r="ADB19" s="63"/>
      <c r="ADC19" s="63"/>
      <c r="ADD19" s="63"/>
      <c r="ADE19" s="63"/>
      <c r="ADF19" s="63"/>
      <c r="ADG19" s="63"/>
      <c r="ADH19" s="63"/>
      <c r="ADI19" s="63"/>
      <c r="ADJ19" s="63"/>
      <c r="ADK19" s="63"/>
      <c r="ADL19" s="63"/>
      <c r="ADM19" s="63"/>
      <c r="ADN19" s="63"/>
      <c r="ADO19" s="63"/>
      <c r="ADP19" s="63"/>
      <c r="ADQ19" s="63"/>
      <c r="ADR19" s="63"/>
      <c r="ADS19" s="63"/>
      <c r="ADT19" s="63"/>
      <c r="ADU19" s="63"/>
      <c r="ADV19" s="63"/>
      <c r="ADW19" s="63"/>
      <c r="ADX19" s="63"/>
      <c r="ADY19" s="63"/>
      <c r="ADZ19" s="63"/>
      <c r="AEA19" s="63"/>
      <c r="AEB19" s="63"/>
      <c r="AEC19" s="63"/>
      <c r="AED19" s="63"/>
      <c r="AEE19" s="63"/>
      <c r="AEF19" s="63"/>
      <c r="AEG19" s="63"/>
      <c r="AEH19" s="63"/>
      <c r="AEI19" s="63"/>
      <c r="AEJ19" s="63"/>
      <c r="AEK19" s="63"/>
      <c r="AEL19" s="63"/>
      <c r="AEM19" s="63"/>
      <c r="AEN19" s="63"/>
      <c r="AEO19" s="63"/>
      <c r="AEP19" s="63"/>
      <c r="AEQ19" s="63"/>
      <c r="AER19" s="63"/>
      <c r="AES19" s="63"/>
      <c r="AET19" s="63"/>
      <c r="AEU19" s="63"/>
      <c r="AEV19" s="63"/>
      <c r="AEW19" s="63"/>
      <c r="AEX19" s="63"/>
      <c r="AEY19" s="63"/>
      <c r="AEZ19" s="63"/>
      <c r="AFA19" s="63"/>
      <c r="AFB19" s="63"/>
      <c r="AFC19" s="63"/>
      <c r="AFD19" s="63"/>
      <c r="AFE19" s="63"/>
      <c r="AFF19" s="63"/>
      <c r="AFG19" s="63"/>
      <c r="AFH19" s="63"/>
      <c r="AFI19" s="63"/>
      <c r="AFJ19" s="63"/>
      <c r="AFK19" s="63"/>
      <c r="AFL19" s="63"/>
      <c r="AFM19" s="63"/>
      <c r="AFN19" s="63"/>
      <c r="AFO19" s="63"/>
      <c r="AFP19" s="63"/>
      <c r="AFQ19" s="63"/>
      <c r="AFR19" s="63"/>
      <c r="AFS19" s="63"/>
      <c r="AFT19" s="63"/>
      <c r="AFU19" s="63"/>
      <c r="AFV19" s="63"/>
      <c r="AFW19" s="63"/>
      <c r="AFX19" s="63"/>
      <c r="AFY19" s="63"/>
      <c r="AFZ19" s="63"/>
      <c r="AGA19" s="63"/>
      <c r="AGB19" s="63"/>
      <c r="AGC19" s="63"/>
      <c r="AGD19" s="63"/>
      <c r="AGE19" s="63"/>
      <c r="AGF19" s="63"/>
      <c r="AGG19" s="63"/>
      <c r="AGH19" s="63"/>
      <c r="AGI19" s="63"/>
      <c r="AGJ19" s="63"/>
      <c r="AGK19" s="63"/>
      <c r="AGL19" s="63"/>
      <c r="AGM19" s="63"/>
      <c r="AGN19" s="63"/>
      <c r="AGO19" s="63"/>
      <c r="AGP19" s="63"/>
      <c r="AGQ19" s="63"/>
      <c r="AGR19" s="63"/>
      <c r="AGS19" s="63"/>
      <c r="AGT19" s="63"/>
      <c r="AGU19" s="63"/>
      <c r="AGV19" s="63"/>
      <c r="AGW19" s="63"/>
      <c r="AGX19" s="63"/>
      <c r="AGY19" s="63"/>
      <c r="AGZ19" s="63"/>
      <c r="AHA19" s="63"/>
      <c r="AHB19" s="63"/>
      <c r="AHC19" s="63"/>
      <c r="AHD19" s="63"/>
      <c r="AHE19" s="63"/>
      <c r="AHF19" s="63"/>
      <c r="AHG19" s="63"/>
      <c r="AHH19" s="63"/>
      <c r="AHI19" s="63"/>
      <c r="AHJ19" s="63"/>
      <c r="AHK19" s="63"/>
      <c r="AHL19" s="63"/>
      <c r="AHM19" s="63"/>
      <c r="AHN19" s="63"/>
      <c r="AHO19" s="63"/>
      <c r="AHP19" s="63"/>
      <c r="AHQ19" s="63"/>
      <c r="AHR19" s="63"/>
      <c r="AHS19" s="63"/>
      <c r="AHT19" s="63"/>
      <c r="AHU19" s="63"/>
      <c r="AHV19" s="63"/>
      <c r="AHW19" s="63"/>
      <c r="AHX19" s="63"/>
      <c r="AHY19" s="63"/>
      <c r="AHZ19" s="63"/>
      <c r="AIA19" s="63"/>
      <c r="AIB19" s="63"/>
      <c r="AIC19" s="63"/>
      <c r="AID19" s="63"/>
      <c r="AIE19" s="63"/>
      <c r="AIF19" s="63"/>
      <c r="AIG19" s="63"/>
      <c r="AIH19" s="63"/>
      <c r="AII19" s="63"/>
      <c r="AIJ19" s="63"/>
      <c r="AIK19" s="63"/>
      <c r="AIL19" s="63"/>
      <c r="AIM19" s="63"/>
      <c r="AIN19" s="63"/>
      <c r="AIO19" s="63"/>
      <c r="AIP19" s="63"/>
      <c r="AIQ19" s="63"/>
      <c r="AIR19" s="63"/>
      <c r="AIS19" s="63"/>
      <c r="AIT19" s="63"/>
      <c r="AIU19" s="63"/>
      <c r="AIV19" s="63"/>
      <c r="AIW19" s="63"/>
      <c r="AIX19" s="63"/>
      <c r="AIY19" s="63"/>
      <c r="AIZ19" s="63"/>
      <c r="AJA19" s="63"/>
      <c r="AJB19" s="63"/>
      <c r="AJC19" s="63"/>
      <c r="AJD19" s="63"/>
      <c r="AJE19" s="63"/>
      <c r="AJF19" s="63"/>
      <c r="AJG19" s="63"/>
      <c r="AJH19" s="63"/>
      <c r="AJI19" s="63"/>
      <c r="AJJ19" s="63"/>
      <c r="AJK19" s="63"/>
      <c r="AJL19" s="63"/>
      <c r="AJM19" s="63"/>
      <c r="AJN19" s="63"/>
      <c r="AJO19" s="63"/>
      <c r="AJP19" s="63"/>
      <c r="AJQ19" s="63"/>
      <c r="AJR19" s="63"/>
      <c r="AJS19" s="63"/>
      <c r="AJT19" s="63"/>
      <c r="AJU19" s="63"/>
      <c r="AJV19" s="63"/>
      <c r="AJW19" s="63"/>
      <c r="AJX19" s="63"/>
      <c r="AJY19" s="63"/>
      <c r="AJZ19" s="63"/>
      <c r="AKA19" s="63"/>
      <c r="AKB19" s="63"/>
      <c r="AKC19" s="63"/>
      <c r="AKD19" s="63"/>
      <c r="AKE19" s="63"/>
      <c r="AKF19" s="63"/>
      <c r="AKG19" s="63"/>
      <c r="AKH19" s="63"/>
      <c r="AKI19" s="63"/>
      <c r="AKJ19" s="63"/>
      <c r="AKK19" s="63"/>
      <c r="AKL19" s="63"/>
      <c r="AKM19" s="63"/>
      <c r="AKN19" s="63"/>
      <c r="AKO19" s="63"/>
      <c r="AKP19" s="63"/>
      <c r="AKQ19" s="63"/>
      <c r="AKR19" s="63"/>
      <c r="AKS19" s="63"/>
      <c r="AKT19" s="63"/>
      <c r="AKU19" s="63"/>
      <c r="AKV19" s="63"/>
      <c r="AKW19" s="63"/>
      <c r="AKX19" s="63"/>
      <c r="AKY19" s="63"/>
      <c r="AKZ19" s="63"/>
      <c r="ALA19" s="63"/>
      <c r="ALB19" s="63"/>
      <c r="ALC19" s="63"/>
      <c r="ALD19" s="63"/>
      <c r="ALE19" s="63"/>
      <c r="ALF19" s="63"/>
      <c r="ALG19" s="63"/>
      <c r="ALH19" s="63"/>
      <c r="ALI19" s="63"/>
      <c r="ALJ19" s="63"/>
      <c r="ALK19" s="63"/>
      <c r="ALL19" s="63"/>
      <c r="ALM19" s="63"/>
      <c r="ALN19" s="63"/>
      <c r="ALO19" s="63"/>
      <c r="ALP19" s="63"/>
      <c r="ALQ19" s="63"/>
      <c r="ALR19" s="63"/>
      <c r="ALS19" s="63"/>
      <c r="ALT19" s="63"/>
      <c r="ALU19" s="63"/>
      <c r="ALV19" s="63"/>
      <c r="ALW19" s="63"/>
      <c r="ALX19" s="63"/>
      <c r="ALY19" s="63"/>
      <c r="ALZ19" s="63"/>
      <c r="AMA19" s="63"/>
      <c r="AMB19" s="63"/>
      <c r="AMC19" s="63"/>
      <c r="AMD19" s="63"/>
      <c r="AME19" s="63"/>
      <c r="AMF19" s="63"/>
      <c r="AMG19" s="63"/>
      <c r="AMH19" s="63"/>
      <c r="AMI19" s="63"/>
      <c r="AMJ19" s="63"/>
    </row>
    <row r="20" spans="1:1024" s="64" customFormat="1" ht="32.25" customHeight="1" x14ac:dyDescent="0.2">
      <c r="A20" s="56">
        <v>9</v>
      </c>
      <c r="B20" s="60"/>
      <c r="C20" s="187" t="s">
        <v>46</v>
      </c>
      <c r="D20" s="188" t="s">
        <v>46</v>
      </c>
      <c r="E20" s="188" t="s">
        <v>46</v>
      </c>
      <c r="F20" s="188" t="s">
        <v>46</v>
      </c>
      <c r="G20" s="189" t="s">
        <v>46</v>
      </c>
      <c r="H20" s="61" t="s">
        <v>15</v>
      </c>
      <c r="I20" s="61" t="s">
        <v>44</v>
      </c>
      <c r="J20" s="62">
        <v>2100</v>
      </c>
      <c r="K20" s="61">
        <v>600</v>
      </c>
      <c r="L20" s="145">
        <f t="shared" si="0"/>
        <v>1260000</v>
      </c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3"/>
      <c r="DA20" s="63"/>
      <c r="DB20" s="63"/>
      <c r="DC20" s="63"/>
      <c r="DD20" s="63"/>
      <c r="DE20" s="63"/>
      <c r="DF20" s="63"/>
      <c r="DG20" s="63"/>
      <c r="DH20" s="63"/>
      <c r="DI20" s="63"/>
      <c r="DJ20" s="63"/>
      <c r="DK20" s="63"/>
      <c r="DL20" s="63"/>
      <c r="DM20" s="63"/>
      <c r="DN20" s="63"/>
      <c r="DO20" s="63"/>
      <c r="DP20" s="63"/>
      <c r="DQ20" s="63"/>
      <c r="DR20" s="63"/>
      <c r="DS20" s="63"/>
      <c r="DT20" s="63"/>
      <c r="DU20" s="63"/>
      <c r="DV20" s="63"/>
      <c r="DW20" s="63"/>
      <c r="DX20" s="63"/>
      <c r="DY20" s="63"/>
      <c r="DZ20" s="63"/>
      <c r="EA20" s="63"/>
      <c r="EB20" s="63"/>
      <c r="EC20" s="63"/>
      <c r="ED20" s="63"/>
      <c r="EE20" s="63"/>
      <c r="EF20" s="63"/>
      <c r="EG20" s="63"/>
      <c r="EH20" s="63"/>
      <c r="EI20" s="63"/>
      <c r="EJ20" s="63"/>
      <c r="EK20" s="63"/>
      <c r="EL20" s="63"/>
      <c r="EM20" s="63"/>
      <c r="EN20" s="63"/>
      <c r="EO20" s="63"/>
      <c r="EP20" s="63"/>
      <c r="EQ20" s="63"/>
      <c r="ER20" s="63"/>
      <c r="ES20" s="63"/>
      <c r="ET20" s="63"/>
      <c r="EU20" s="63"/>
      <c r="EV20" s="63"/>
      <c r="EW20" s="63"/>
      <c r="EX20" s="63"/>
      <c r="EY20" s="63"/>
      <c r="EZ20" s="63"/>
      <c r="FA20" s="63"/>
      <c r="FB20" s="63"/>
      <c r="FC20" s="63"/>
      <c r="FD20" s="63"/>
      <c r="FE20" s="63"/>
      <c r="FF20" s="63"/>
      <c r="FG20" s="63"/>
      <c r="FH20" s="63"/>
      <c r="FI20" s="63"/>
      <c r="FJ20" s="63"/>
      <c r="FK20" s="63"/>
      <c r="FL20" s="63"/>
      <c r="FM20" s="63"/>
      <c r="FN20" s="63"/>
      <c r="FO20" s="63"/>
      <c r="FP20" s="63"/>
      <c r="FQ20" s="63"/>
      <c r="FR20" s="63"/>
      <c r="FS20" s="63"/>
      <c r="FT20" s="63"/>
      <c r="FU20" s="63"/>
      <c r="FV20" s="63"/>
      <c r="FW20" s="63"/>
      <c r="FX20" s="63"/>
      <c r="FY20" s="63"/>
      <c r="FZ20" s="63"/>
      <c r="GA20" s="63"/>
      <c r="GB20" s="63"/>
      <c r="GC20" s="63"/>
      <c r="GD20" s="63"/>
      <c r="GE20" s="63"/>
      <c r="GF20" s="63"/>
      <c r="GG20" s="63"/>
      <c r="GH20" s="63"/>
      <c r="GI20" s="63"/>
      <c r="GJ20" s="63"/>
      <c r="GK20" s="63"/>
      <c r="GL20" s="63"/>
      <c r="GM20" s="63"/>
      <c r="GN20" s="63"/>
      <c r="GO20" s="63"/>
      <c r="GP20" s="63"/>
      <c r="GQ20" s="63"/>
      <c r="GR20" s="63"/>
      <c r="GS20" s="63"/>
      <c r="GT20" s="63"/>
      <c r="GU20" s="63"/>
      <c r="GV20" s="63"/>
      <c r="GW20" s="63"/>
      <c r="GX20" s="63"/>
      <c r="GY20" s="63"/>
      <c r="GZ20" s="63"/>
      <c r="HA20" s="63"/>
      <c r="HB20" s="63"/>
      <c r="HC20" s="63"/>
      <c r="HD20" s="63"/>
      <c r="HE20" s="63"/>
      <c r="HF20" s="63"/>
      <c r="HG20" s="63"/>
      <c r="HH20" s="63"/>
      <c r="HI20" s="63"/>
      <c r="HJ20" s="63"/>
      <c r="HK20" s="63"/>
      <c r="HL20" s="63"/>
      <c r="HM20" s="63"/>
      <c r="HN20" s="63"/>
      <c r="HO20" s="63"/>
      <c r="HP20" s="63"/>
      <c r="HQ20" s="63"/>
      <c r="HR20" s="63"/>
      <c r="HS20" s="63"/>
      <c r="HT20" s="63"/>
      <c r="HU20" s="63"/>
      <c r="HV20" s="63"/>
      <c r="HW20" s="63"/>
      <c r="HX20" s="63"/>
      <c r="HY20" s="63"/>
      <c r="HZ20" s="63"/>
      <c r="IA20" s="63"/>
      <c r="IB20" s="63"/>
      <c r="IC20" s="63"/>
      <c r="ID20" s="63"/>
      <c r="IE20" s="63"/>
      <c r="IF20" s="63"/>
      <c r="IG20" s="63"/>
      <c r="IH20" s="63"/>
      <c r="II20" s="63"/>
      <c r="IJ20" s="63"/>
      <c r="IK20" s="63"/>
      <c r="IL20" s="63"/>
      <c r="IM20" s="63"/>
      <c r="IN20" s="63"/>
      <c r="IO20" s="63"/>
      <c r="IP20" s="63"/>
      <c r="IQ20" s="63"/>
      <c r="IR20" s="63"/>
      <c r="IS20" s="63"/>
      <c r="IT20" s="63"/>
      <c r="IU20" s="63"/>
      <c r="IV20" s="63"/>
      <c r="IW20" s="63"/>
      <c r="IX20" s="63"/>
      <c r="IY20" s="63"/>
      <c r="IZ20" s="63"/>
      <c r="JA20" s="63"/>
      <c r="JB20" s="63"/>
      <c r="JC20" s="63"/>
      <c r="JD20" s="63"/>
      <c r="JE20" s="63"/>
      <c r="JF20" s="63"/>
      <c r="JG20" s="63"/>
      <c r="JH20" s="63"/>
      <c r="JI20" s="63"/>
      <c r="JJ20" s="63"/>
      <c r="JK20" s="63"/>
      <c r="JL20" s="63"/>
      <c r="JM20" s="63"/>
      <c r="JN20" s="63"/>
      <c r="JO20" s="63"/>
      <c r="JP20" s="63"/>
      <c r="JQ20" s="63"/>
      <c r="JR20" s="63"/>
      <c r="JS20" s="63"/>
      <c r="JT20" s="63"/>
      <c r="JU20" s="63"/>
      <c r="JV20" s="63"/>
      <c r="JW20" s="63"/>
      <c r="JX20" s="63"/>
      <c r="JY20" s="63"/>
      <c r="JZ20" s="63"/>
      <c r="KA20" s="63"/>
      <c r="KB20" s="63"/>
      <c r="KC20" s="63"/>
      <c r="KD20" s="63"/>
      <c r="KE20" s="63"/>
      <c r="KF20" s="63"/>
      <c r="KG20" s="63"/>
      <c r="KH20" s="63"/>
      <c r="KI20" s="63"/>
      <c r="KJ20" s="63"/>
      <c r="KK20" s="63"/>
      <c r="KL20" s="63"/>
      <c r="KM20" s="63"/>
      <c r="KN20" s="63"/>
      <c r="KO20" s="63"/>
      <c r="KP20" s="63"/>
      <c r="KQ20" s="63"/>
      <c r="KR20" s="63"/>
      <c r="KS20" s="63"/>
      <c r="KT20" s="63"/>
      <c r="KU20" s="63"/>
      <c r="KV20" s="63"/>
      <c r="KW20" s="63"/>
      <c r="KX20" s="63"/>
      <c r="KY20" s="63"/>
      <c r="KZ20" s="63"/>
      <c r="LA20" s="63"/>
      <c r="LB20" s="63"/>
      <c r="LC20" s="63"/>
      <c r="LD20" s="63"/>
      <c r="LE20" s="63"/>
      <c r="LF20" s="63"/>
      <c r="LG20" s="63"/>
      <c r="LH20" s="63"/>
      <c r="LI20" s="63"/>
      <c r="LJ20" s="63"/>
      <c r="LK20" s="63"/>
      <c r="LL20" s="63"/>
      <c r="LM20" s="63"/>
      <c r="LN20" s="63"/>
      <c r="LO20" s="63"/>
      <c r="LP20" s="63"/>
      <c r="LQ20" s="63"/>
      <c r="LR20" s="63"/>
      <c r="LS20" s="63"/>
      <c r="LT20" s="63"/>
      <c r="LU20" s="63"/>
      <c r="LV20" s="63"/>
      <c r="LW20" s="63"/>
      <c r="LX20" s="63"/>
      <c r="LY20" s="63"/>
      <c r="LZ20" s="63"/>
      <c r="MA20" s="63"/>
      <c r="MB20" s="63"/>
      <c r="MC20" s="63"/>
      <c r="MD20" s="63"/>
      <c r="ME20" s="63"/>
      <c r="MF20" s="63"/>
      <c r="MG20" s="63"/>
      <c r="MH20" s="63"/>
      <c r="MI20" s="63"/>
      <c r="MJ20" s="63"/>
      <c r="MK20" s="63"/>
      <c r="ML20" s="63"/>
      <c r="MM20" s="63"/>
      <c r="MN20" s="63"/>
      <c r="MO20" s="63"/>
      <c r="MP20" s="63"/>
      <c r="MQ20" s="63"/>
      <c r="MR20" s="63"/>
      <c r="MS20" s="63"/>
      <c r="MT20" s="63"/>
      <c r="MU20" s="63"/>
      <c r="MV20" s="63"/>
      <c r="MW20" s="63"/>
      <c r="MX20" s="63"/>
      <c r="MY20" s="63"/>
      <c r="MZ20" s="63"/>
      <c r="NA20" s="63"/>
      <c r="NB20" s="63"/>
      <c r="NC20" s="63"/>
      <c r="ND20" s="63"/>
      <c r="NE20" s="63"/>
      <c r="NF20" s="63"/>
      <c r="NG20" s="63"/>
      <c r="NH20" s="63"/>
      <c r="NI20" s="63"/>
      <c r="NJ20" s="63"/>
      <c r="NK20" s="63"/>
      <c r="NL20" s="63"/>
      <c r="NM20" s="63"/>
      <c r="NN20" s="63"/>
      <c r="NO20" s="63"/>
      <c r="NP20" s="63"/>
      <c r="NQ20" s="63"/>
      <c r="NR20" s="63"/>
      <c r="NS20" s="63"/>
      <c r="NT20" s="63"/>
      <c r="NU20" s="63"/>
      <c r="NV20" s="63"/>
      <c r="NW20" s="63"/>
      <c r="NX20" s="63"/>
      <c r="NY20" s="63"/>
      <c r="NZ20" s="63"/>
      <c r="OA20" s="63"/>
      <c r="OB20" s="63"/>
      <c r="OC20" s="63"/>
      <c r="OD20" s="63"/>
      <c r="OE20" s="63"/>
      <c r="OF20" s="63"/>
      <c r="OG20" s="63"/>
      <c r="OH20" s="63"/>
      <c r="OI20" s="63"/>
      <c r="OJ20" s="63"/>
      <c r="OK20" s="63"/>
      <c r="OL20" s="63"/>
      <c r="OM20" s="63"/>
      <c r="ON20" s="63"/>
      <c r="OO20" s="63"/>
      <c r="OP20" s="63"/>
      <c r="OQ20" s="63"/>
      <c r="OR20" s="63"/>
      <c r="OS20" s="63"/>
      <c r="OT20" s="63"/>
      <c r="OU20" s="63"/>
      <c r="OV20" s="63"/>
      <c r="OW20" s="63"/>
      <c r="OX20" s="63"/>
      <c r="OY20" s="63"/>
      <c r="OZ20" s="63"/>
      <c r="PA20" s="63"/>
      <c r="PB20" s="63"/>
      <c r="PC20" s="63"/>
      <c r="PD20" s="63"/>
      <c r="PE20" s="63"/>
      <c r="PF20" s="63"/>
      <c r="PG20" s="63"/>
      <c r="PH20" s="63"/>
      <c r="PI20" s="63"/>
      <c r="PJ20" s="63"/>
      <c r="PK20" s="63"/>
      <c r="PL20" s="63"/>
      <c r="PM20" s="63"/>
      <c r="PN20" s="63"/>
      <c r="PO20" s="63"/>
      <c r="PP20" s="63"/>
      <c r="PQ20" s="63"/>
      <c r="PR20" s="63"/>
      <c r="PS20" s="63"/>
      <c r="PT20" s="63"/>
      <c r="PU20" s="63"/>
      <c r="PV20" s="63"/>
      <c r="PW20" s="63"/>
      <c r="PX20" s="63"/>
      <c r="PY20" s="63"/>
      <c r="PZ20" s="63"/>
      <c r="QA20" s="63"/>
      <c r="QB20" s="63"/>
      <c r="QC20" s="63"/>
      <c r="QD20" s="63"/>
      <c r="QE20" s="63"/>
      <c r="QF20" s="63"/>
      <c r="QG20" s="63"/>
      <c r="QH20" s="63"/>
      <c r="QI20" s="63"/>
      <c r="QJ20" s="63"/>
      <c r="QK20" s="63"/>
      <c r="QL20" s="63"/>
      <c r="QM20" s="63"/>
      <c r="QN20" s="63"/>
      <c r="QO20" s="63"/>
      <c r="QP20" s="63"/>
      <c r="QQ20" s="63"/>
      <c r="QR20" s="63"/>
      <c r="QS20" s="63"/>
      <c r="QT20" s="63"/>
      <c r="QU20" s="63"/>
      <c r="QV20" s="63"/>
      <c r="QW20" s="63"/>
      <c r="QX20" s="63"/>
      <c r="QY20" s="63"/>
      <c r="QZ20" s="63"/>
      <c r="RA20" s="63"/>
      <c r="RB20" s="63"/>
      <c r="RC20" s="63"/>
      <c r="RD20" s="63"/>
      <c r="RE20" s="63"/>
      <c r="RF20" s="63"/>
      <c r="RG20" s="63"/>
      <c r="RH20" s="63"/>
      <c r="RI20" s="63"/>
      <c r="RJ20" s="63"/>
      <c r="RK20" s="63"/>
      <c r="RL20" s="63"/>
      <c r="RM20" s="63"/>
      <c r="RN20" s="63"/>
      <c r="RO20" s="63"/>
      <c r="RP20" s="63"/>
      <c r="RQ20" s="63"/>
      <c r="RR20" s="63"/>
      <c r="RS20" s="63"/>
      <c r="RT20" s="63"/>
      <c r="RU20" s="63"/>
      <c r="RV20" s="63"/>
      <c r="RW20" s="63"/>
      <c r="RX20" s="63"/>
      <c r="RY20" s="63"/>
      <c r="RZ20" s="63"/>
      <c r="SA20" s="63"/>
      <c r="SB20" s="63"/>
      <c r="SC20" s="63"/>
      <c r="SD20" s="63"/>
      <c r="SE20" s="63"/>
      <c r="SF20" s="63"/>
      <c r="SG20" s="63"/>
      <c r="SH20" s="63"/>
      <c r="SI20" s="63"/>
      <c r="SJ20" s="63"/>
      <c r="SK20" s="63"/>
      <c r="SL20" s="63"/>
      <c r="SM20" s="63"/>
      <c r="SN20" s="63"/>
      <c r="SO20" s="63"/>
      <c r="SP20" s="63"/>
      <c r="SQ20" s="63"/>
      <c r="SR20" s="63"/>
      <c r="SS20" s="63"/>
      <c r="ST20" s="63"/>
      <c r="SU20" s="63"/>
      <c r="SV20" s="63"/>
      <c r="SW20" s="63"/>
      <c r="SX20" s="63"/>
      <c r="SY20" s="63"/>
      <c r="SZ20" s="63"/>
      <c r="TA20" s="63"/>
      <c r="TB20" s="63"/>
      <c r="TC20" s="63"/>
      <c r="TD20" s="63"/>
      <c r="TE20" s="63"/>
      <c r="TF20" s="63"/>
      <c r="TG20" s="63"/>
      <c r="TH20" s="63"/>
      <c r="TI20" s="63"/>
      <c r="TJ20" s="63"/>
      <c r="TK20" s="63"/>
      <c r="TL20" s="63"/>
      <c r="TM20" s="63"/>
      <c r="TN20" s="63"/>
      <c r="TO20" s="63"/>
      <c r="TP20" s="63"/>
      <c r="TQ20" s="63"/>
      <c r="TR20" s="63"/>
      <c r="TS20" s="63"/>
      <c r="TT20" s="63"/>
      <c r="TU20" s="63"/>
      <c r="TV20" s="63"/>
      <c r="TW20" s="63"/>
      <c r="TX20" s="63"/>
      <c r="TY20" s="63"/>
      <c r="TZ20" s="63"/>
      <c r="UA20" s="63"/>
      <c r="UB20" s="63"/>
      <c r="UC20" s="63"/>
      <c r="UD20" s="63"/>
      <c r="UE20" s="63"/>
      <c r="UF20" s="63"/>
      <c r="UG20" s="63"/>
      <c r="UH20" s="63"/>
      <c r="UI20" s="63"/>
      <c r="UJ20" s="63"/>
      <c r="UK20" s="63"/>
      <c r="UL20" s="63"/>
      <c r="UM20" s="63"/>
      <c r="UN20" s="63"/>
      <c r="UO20" s="63"/>
      <c r="UP20" s="63"/>
      <c r="UQ20" s="63"/>
      <c r="UR20" s="63"/>
      <c r="US20" s="63"/>
      <c r="UT20" s="63"/>
      <c r="UU20" s="63"/>
      <c r="UV20" s="63"/>
      <c r="UW20" s="63"/>
      <c r="UX20" s="63"/>
      <c r="UY20" s="63"/>
      <c r="UZ20" s="63"/>
      <c r="VA20" s="63"/>
      <c r="VB20" s="63"/>
      <c r="VC20" s="63"/>
      <c r="VD20" s="63"/>
      <c r="VE20" s="63"/>
      <c r="VF20" s="63"/>
      <c r="VG20" s="63"/>
      <c r="VH20" s="63"/>
      <c r="VI20" s="63"/>
      <c r="VJ20" s="63"/>
      <c r="VK20" s="63"/>
      <c r="VL20" s="63"/>
      <c r="VM20" s="63"/>
      <c r="VN20" s="63"/>
      <c r="VO20" s="63"/>
      <c r="VP20" s="63"/>
      <c r="VQ20" s="63"/>
      <c r="VR20" s="63"/>
      <c r="VS20" s="63"/>
      <c r="VT20" s="63"/>
      <c r="VU20" s="63"/>
      <c r="VV20" s="63"/>
      <c r="VW20" s="63"/>
      <c r="VX20" s="63"/>
      <c r="VY20" s="63"/>
      <c r="VZ20" s="63"/>
      <c r="WA20" s="63"/>
      <c r="WB20" s="63"/>
      <c r="WC20" s="63"/>
      <c r="WD20" s="63"/>
      <c r="WE20" s="63"/>
      <c r="WF20" s="63"/>
      <c r="WG20" s="63"/>
      <c r="WH20" s="63"/>
      <c r="WI20" s="63"/>
      <c r="WJ20" s="63"/>
      <c r="WK20" s="63"/>
      <c r="WL20" s="63"/>
      <c r="WM20" s="63"/>
      <c r="WN20" s="63"/>
      <c r="WO20" s="63"/>
      <c r="WP20" s="63"/>
      <c r="WQ20" s="63"/>
      <c r="WR20" s="63"/>
      <c r="WS20" s="63"/>
      <c r="WT20" s="63"/>
      <c r="WU20" s="63"/>
      <c r="WV20" s="63"/>
      <c r="WW20" s="63"/>
      <c r="WX20" s="63"/>
      <c r="WY20" s="63"/>
      <c r="WZ20" s="63"/>
      <c r="XA20" s="63"/>
      <c r="XB20" s="63"/>
      <c r="XC20" s="63"/>
      <c r="XD20" s="63"/>
      <c r="XE20" s="63"/>
      <c r="XF20" s="63"/>
      <c r="XG20" s="63"/>
      <c r="XH20" s="63"/>
      <c r="XI20" s="63"/>
      <c r="XJ20" s="63"/>
      <c r="XK20" s="63"/>
      <c r="XL20" s="63"/>
      <c r="XM20" s="63"/>
      <c r="XN20" s="63"/>
      <c r="XO20" s="63"/>
      <c r="XP20" s="63"/>
      <c r="XQ20" s="63"/>
      <c r="XR20" s="63"/>
      <c r="XS20" s="63"/>
      <c r="XT20" s="63"/>
      <c r="XU20" s="63"/>
      <c r="XV20" s="63"/>
      <c r="XW20" s="63"/>
      <c r="XX20" s="63"/>
      <c r="XY20" s="63"/>
      <c r="XZ20" s="63"/>
      <c r="YA20" s="63"/>
      <c r="YB20" s="63"/>
      <c r="YC20" s="63"/>
      <c r="YD20" s="63"/>
      <c r="YE20" s="63"/>
      <c r="YF20" s="63"/>
      <c r="YG20" s="63"/>
      <c r="YH20" s="63"/>
      <c r="YI20" s="63"/>
      <c r="YJ20" s="63"/>
      <c r="YK20" s="63"/>
      <c r="YL20" s="63"/>
      <c r="YM20" s="63"/>
      <c r="YN20" s="63"/>
      <c r="YO20" s="63"/>
      <c r="YP20" s="63"/>
      <c r="YQ20" s="63"/>
      <c r="YR20" s="63"/>
      <c r="YS20" s="63"/>
      <c r="YT20" s="63"/>
      <c r="YU20" s="63"/>
      <c r="YV20" s="63"/>
      <c r="YW20" s="63"/>
      <c r="YX20" s="63"/>
      <c r="YY20" s="63"/>
      <c r="YZ20" s="63"/>
      <c r="ZA20" s="63"/>
      <c r="ZB20" s="63"/>
      <c r="ZC20" s="63"/>
      <c r="ZD20" s="63"/>
      <c r="ZE20" s="63"/>
      <c r="ZF20" s="63"/>
      <c r="ZG20" s="63"/>
      <c r="ZH20" s="63"/>
      <c r="ZI20" s="63"/>
      <c r="ZJ20" s="63"/>
      <c r="ZK20" s="63"/>
      <c r="ZL20" s="63"/>
      <c r="ZM20" s="63"/>
      <c r="ZN20" s="63"/>
      <c r="ZO20" s="63"/>
      <c r="ZP20" s="63"/>
      <c r="ZQ20" s="63"/>
      <c r="ZR20" s="63"/>
      <c r="ZS20" s="63"/>
      <c r="ZT20" s="63"/>
      <c r="ZU20" s="63"/>
      <c r="ZV20" s="63"/>
      <c r="ZW20" s="63"/>
      <c r="ZX20" s="63"/>
      <c r="ZY20" s="63"/>
      <c r="ZZ20" s="63"/>
      <c r="AAA20" s="63"/>
      <c r="AAB20" s="63"/>
      <c r="AAC20" s="63"/>
      <c r="AAD20" s="63"/>
      <c r="AAE20" s="63"/>
      <c r="AAF20" s="63"/>
      <c r="AAG20" s="63"/>
      <c r="AAH20" s="63"/>
      <c r="AAI20" s="63"/>
      <c r="AAJ20" s="63"/>
      <c r="AAK20" s="63"/>
      <c r="AAL20" s="63"/>
      <c r="AAM20" s="63"/>
      <c r="AAN20" s="63"/>
      <c r="AAO20" s="63"/>
      <c r="AAP20" s="63"/>
      <c r="AAQ20" s="63"/>
      <c r="AAR20" s="63"/>
      <c r="AAS20" s="63"/>
      <c r="AAT20" s="63"/>
      <c r="AAU20" s="63"/>
      <c r="AAV20" s="63"/>
      <c r="AAW20" s="63"/>
      <c r="AAX20" s="63"/>
      <c r="AAY20" s="63"/>
      <c r="AAZ20" s="63"/>
      <c r="ABA20" s="63"/>
      <c r="ABB20" s="63"/>
      <c r="ABC20" s="63"/>
      <c r="ABD20" s="63"/>
      <c r="ABE20" s="63"/>
      <c r="ABF20" s="63"/>
      <c r="ABG20" s="63"/>
      <c r="ABH20" s="63"/>
      <c r="ABI20" s="63"/>
      <c r="ABJ20" s="63"/>
      <c r="ABK20" s="63"/>
      <c r="ABL20" s="63"/>
      <c r="ABM20" s="63"/>
      <c r="ABN20" s="63"/>
      <c r="ABO20" s="63"/>
      <c r="ABP20" s="63"/>
      <c r="ABQ20" s="63"/>
      <c r="ABR20" s="63"/>
      <c r="ABS20" s="63"/>
      <c r="ABT20" s="63"/>
      <c r="ABU20" s="63"/>
      <c r="ABV20" s="63"/>
      <c r="ABW20" s="63"/>
      <c r="ABX20" s="63"/>
      <c r="ABY20" s="63"/>
      <c r="ABZ20" s="63"/>
      <c r="ACA20" s="63"/>
      <c r="ACB20" s="63"/>
      <c r="ACC20" s="63"/>
      <c r="ACD20" s="63"/>
      <c r="ACE20" s="63"/>
      <c r="ACF20" s="63"/>
      <c r="ACG20" s="63"/>
      <c r="ACH20" s="63"/>
      <c r="ACI20" s="63"/>
      <c r="ACJ20" s="63"/>
      <c r="ACK20" s="63"/>
      <c r="ACL20" s="63"/>
      <c r="ACM20" s="63"/>
      <c r="ACN20" s="63"/>
      <c r="ACO20" s="63"/>
      <c r="ACP20" s="63"/>
      <c r="ACQ20" s="63"/>
      <c r="ACR20" s="63"/>
      <c r="ACS20" s="63"/>
      <c r="ACT20" s="63"/>
      <c r="ACU20" s="63"/>
      <c r="ACV20" s="63"/>
      <c r="ACW20" s="63"/>
      <c r="ACX20" s="63"/>
      <c r="ACY20" s="63"/>
      <c r="ACZ20" s="63"/>
      <c r="ADA20" s="63"/>
      <c r="ADB20" s="63"/>
      <c r="ADC20" s="63"/>
      <c r="ADD20" s="63"/>
      <c r="ADE20" s="63"/>
      <c r="ADF20" s="63"/>
      <c r="ADG20" s="63"/>
      <c r="ADH20" s="63"/>
      <c r="ADI20" s="63"/>
      <c r="ADJ20" s="63"/>
      <c r="ADK20" s="63"/>
      <c r="ADL20" s="63"/>
      <c r="ADM20" s="63"/>
      <c r="ADN20" s="63"/>
      <c r="ADO20" s="63"/>
      <c r="ADP20" s="63"/>
      <c r="ADQ20" s="63"/>
      <c r="ADR20" s="63"/>
      <c r="ADS20" s="63"/>
      <c r="ADT20" s="63"/>
      <c r="ADU20" s="63"/>
      <c r="ADV20" s="63"/>
      <c r="ADW20" s="63"/>
      <c r="ADX20" s="63"/>
      <c r="ADY20" s="63"/>
      <c r="ADZ20" s="63"/>
      <c r="AEA20" s="63"/>
      <c r="AEB20" s="63"/>
      <c r="AEC20" s="63"/>
      <c r="AED20" s="63"/>
      <c r="AEE20" s="63"/>
      <c r="AEF20" s="63"/>
      <c r="AEG20" s="63"/>
      <c r="AEH20" s="63"/>
      <c r="AEI20" s="63"/>
      <c r="AEJ20" s="63"/>
      <c r="AEK20" s="63"/>
      <c r="AEL20" s="63"/>
      <c r="AEM20" s="63"/>
      <c r="AEN20" s="63"/>
      <c r="AEO20" s="63"/>
      <c r="AEP20" s="63"/>
      <c r="AEQ20" s="63"/>
      <c r="AER20" s="63"/>
      <c r="AES20" s="63"/>
      <c r="AET20" s="63"/>
      <c r="AEU20" s="63"/>
      <c r="AEV20" s="63"/>
      <c r="AEW20" s="63"/>
      <c r="AEX20" s="63"/>
      <c r="AEY20" s="63"/>
      <c r="AEZ20" s="63"/>
      <c r="AFA20" s="63"/>
      <c r="AFB20" s="63"/>
      <c r="AFC20" s="63"/>
      <c r="AFD20" s="63"/>
      <c r="AFE20" s="63"/>
      <c r="AFF20" s="63"/>
      <c r="AFG20" s="63"/>
      <c r="AFH20" s="63"/>
      <c r="AFI20" s="63"/>
      <c r="AFJ20" s="63"/>
      <c r="AFK20" s="63"/>
      <c r="AFL20" s="63"/>
      <c r="AFM20" s="63"/>
      <c r="AFN20" s="63"/>
      <c r="AFO20" s="63"/>
      <c r="AFP20" s="63"/>
      <c r="AFQ20" s="63"/>
      <c r="AFR20" s="63"/>
      <c r="AFS20" s="63"/>
      <c r="AFT20" s="63"/>
      <c r="AFU20" s="63"/>
      <c r="AFV20" s="63"/>
      <c r="AFW20" s="63"/>
      <c r="AFX20" s="63"/>
      <c r="AFY20" s="63"/>
      <c r="AFZ20" s="63"/>
      <c r="AGA20" s="63"/>
      <c r="AGB20" s="63"/>
      <c r="AGC20" s="63"/>
      <c r="AGD20" s="63"/>
      <c r="AGE20" s="63"/>
      <c r="AGF20" s="63"/>
      <c r="AGG20" s="63"/>
      <c r="AGH20" s="63"/>
      <c r="AGI20" s="63"/>
      <c r="AGJ20" s="63"/>
      <c r="AGK20" s="63"/>
      <c r="AGL20" s="63"/>
      <c r="AGM20" s="63"/>
      <c r="AGN20" s="63"/>
      <c r="AGO20" s="63"/>
      <c r="AGP20" s="63"/>
      <c r="AGQ20" s="63"/>
      <c r="AGR20" s="63"/>
      <c r="AGS20" s="63"/>
      <c r="AGT20" s="63"/>
      <c r="AGU20" s="63"/>
      <c r="AGV20" s="63"/>
      <c r="AGW20" s="63"/>
      <c r="AGX20" s="63"/>
      <c r="AGY20" s="63"/>
      <c r="AGZ20" s="63"/>
      <c r="AHA20" s="63"/>
      <c r="AHB20" s="63"/>
      <c r="AHC20" s="63"/>
      <c r="AHD20" s="63"/>
      <c r="AHE20" s="63"/>
      <c r="AHF20" s="63"/>
      <c r="AHG20" s="63"/>
      <c r="AHH20" s="63"/>
      <c r="AHI20" s="63"/>
      <c r="AHJ20" s="63"/>
      <c r="AHK20" s="63"/>
      <c r="AHL20" s="63"/>
      <c r="AHM20" s="63"/>
      <c r="AHN20" s="63"/>
      <c r="AHO20" s="63"/>
      <c r="AHP20" s="63"/>
      <c r="AHQ20" s="63"/>
      <c r="AHR20" s="63"/>
      <c r="AHS20" s="63"/>
      <c r="AHT20" s="63"/>
      <c r="AHU20" s="63"/>
      <c r="AHV20" s="63"/>
      <c r="AHW20" s="63"/>
      <c r="AHX20" s="63"/>
      <c r="AHY20" s="63"/>
      <c r="AHZ20" s="63"/>
      <c r="AIA20" s="63"/>
      <c r="AIB20" s="63"/>
      <c r="AIC20" s="63"/>
      <c r="AID20" s="63"/>
      <c r="AIE20" s="63"/>
      <c r="AIF20" s="63"/>
      <c r="AIG20" s="63"/>
      <c r="AIH20" s="63"/>
      <c r="AII20" s="63"/>
      <c r="AIJ20" s="63"/>
      <c r="AIK20" s="63"/>
      <c r="AIL20" s="63"/>
      <c r="AIM20" s="63"/>
      <c r="AIN20" s="63"/>
      <c r="AIO20" s="63"/>
      <c r="AIP20" s="63"/>
      <c r="AIQ20" s="63"/>
      <c r="AIR20" s="63"/>
      <c r="AIS20" s="63"/>
      <c r="AIT20" s="63"/>
      <c r="AIU20" s="63"/>
      <c r="AIV20" s="63"/>
      <c r="AIW20" s="63"/>
      <c r="AIX20" s="63"/>
      <c r="AIY20" s="63"/>
      <c r="AIZ20" s="63"/>
      <c r="AJA20" s="63"/>
      <c r="AJB20" s="63"/>
      <c r="AJC20" s="63"/>
      <c r="AJD20" s="63"/>
      <c r="AJE20" s="63"/>
      <c r="AJF20" s="63"/>
      <c r="AJG20" s="63"/>
      <c r="AJH20" s="63"/>
      <c r="AJI20" s="63"/>
      <c r="AJJ20" s="63"/>
      <c r="AJK20" s="63"/>
      <c r="AJL20" s="63"/>
      <c r="AJM20" s="63"/>
      <c r="AJN20" s="63"/>
      <c r="AJO20" s="63"/>
      <c r="AJP20" s="63"/>
      <c r="AJQ20" s="63"/>
      <c r="AJR20" s="63"/>
      <c r="AJS20" s="63"/>
      <c r="AJT20" s="63"/>
      <c r="AJU20" s="63"/>
      <c r="AJV20" s="63"/>
      <c r="AJW20" s="63"/>
      <c r="AJX20" s="63"/>
      <c r="AJY20" s="63"/>
      <c r="AJZ20" s="63"/>
      <c r="AKA20" s="63"/>
      <c r="AKB20" s="63"/>
      <c r="AKC20" s="63"/>
      <c r="AKD20" s="63"/>
      <c r="AKE20" s="63"/>
      <c r="AKF20" s="63"/>
      <c r="AKG20" s="63"/>
      <c r="AKH20" s="63"/>
      <c r="AKI20" s="63"/>
      <c r="AKJ20" s="63"/>
      <c r="AKK20" s="63"/>
      <c r="AKL20" s="63"/>
      <c r="AKM20" s="63"/>
      <c r="AKN20" s="63"/>
      <c r="AKO20" s="63"/>
      <c r="AKP20" s="63"/>
      <c r="AKQ20" s="63"/>
      <c r="AKR20" s="63"/>
      <c r="AKS20" s="63"/>
      <c r="AKT20" s="63"/>
      <c r="AKU20" s="63"/>
      <c r="AKV20" s="63"/>
      <c r="AKW20" s="63"/>
      <c r="AKX20" s="63"/>
      <c r="AKY20" s="63"/>
      <c r="AKZ20" s="63"/>
      <c r="ALA20" s="63"/>
      <c r="ALB20" s="63"/>
      <c r="ALC20" s="63"/>
      <c r="ALD20" s="63"/>
      <c r="ALE20" s="63"/>
      <c r="ALF20" s="63"/>
      <c r="ALG20" s="63"/>
      <c r="ALH20" s="63"/>
      <c r="ALI20" s="63"/>
      <c r="ALJ20" s="63"/>
      <c r="ALK20" s="63"/>
      <c r="ALL20" s="63"/>
      <c r="ALM20" s="63"/>
      <c r="ALN20" s="63"/>
      <c r="ALO20" s="63"/>
      <c r="ALP20" s="63"/>
      <c r="ALQ20" s="63"/>
      <c r="ALR20" s="63"/>
      <c r="ALS20" s="63"/>
      <c r="ALT20" s="63"/>
      <c r="ALU20" s="63"/>
      <c r="ALV20" s="63"/>
      <c r="ALW20" s="63"/>
      <c r="ALX20" s="63"/>
      <c r="ALY20" s="63"/>
      <c r="ALZ20" s="63"/>
      <c r="AMA20" s="63"/>
      <c r="AMB20" s="63"/>
      <c r="AMC20" s="63"/>
      <c r="AMD20" s="63"/>
      <c r="AME20" s="63"/>
      <c r="AMF20" s="63"/>
      <c r="AMG20" s="63"/>
      <c r="AMH20" s="63"/>
      <c r="AMI20" s="63"/>
      <c r="AMJ20" s="63"/>
    </row>
    <row r="21" spans="1:1024" ht="36" customHeight="1" thickBot="1" x14ac:dyDescent="0.25">
      <c r="A21" s="55">
        <v>10</v>
      </c>
      <c r="B21" s="57"/>
      <c r="C21" s="181" t="s">
        <v>123</v>
      </c>
      <c r="D21" s="182" t="s">
        <v>123</v>
      </c>
      <c r="E21" s="182" t="s">
        <v>123</v>
      </c>
      <c r="F21" s="182" t="s">
        <v>123</v>
      </c>
      <c r="G21" s="183" t="s">
        <v>123</v>
      </c>
      <c r="H21" s="52" t="s">
        <v>15</v>
      </c>
      <c r="I21" s="74" t="s">
        <v>39</v>
      </c>
      <c r="J21" s="58">
        <v>43300</v>
      </c>
      <c r="K21" s="149">
        <v>480</v>
      </c>
      <c r="L21" s="145">
        <f t="shared" si="0"/>
        <v>20784000</v>
      </c>
    </row>
    <row r="22" spans="1:1024" ht="36.75" customHeight="1" x14ac:dyDescent="0.2">
      <c r="A22" s="56">
        <v>11</v>
      </c>
      <c r="B22" s="10"/>
      <c r="C22" s="164" t="s">
        <v>124</v>
      </c>
      <c r="D22" s="173" t="s">
        <v>124</v>
      </c>
      <c r="E22" s="173" t="s">
        <v>124</v>
      </c>
      <c r="F22" s="173" t="s">
        <v>124</v>
      </c>
      <c r="G22" s="174" t="s">
        <v>124</v>
      </c>
      <c r="H22" s="72" t="s">
        <v>15</v>
      </c>
      <c r="I22" s="150" t="s">
        <v>47</v>
      </c>
      <c r="J22" s="62">
        <v>24500</v>
      </c>
      <c r="K22" s="149">
        <v>20</v>
      </c>
      <c r="L22" s="145">
        <f t="shared" si="0"/>
        <v>490000</v>
      </c>
    </row>
    <row r="23" spans="1:1024" ht="36.75" customHeight="1" thickBot="1" x14ac:dyDescent="0.25">
      <c r="A23" s="55"/>
      <c r="B23" s="71"/>
      <c r="C23" s="164"/>
      <c r="D23" s="165"/>
      <c r="E23" s="165"/>
      <c r="F23" s="165"/>
      <c r="G23" s="166"/>
      <c r="H23" s="72"/>
      <c r="I23" s="74"/>
      <c r="J23" s="70"/>
      <c r="K23" s="51"/>
      <c r="L23" s="145">
        <f t="shared" si="0"/>
        <v>0</v>
      </c>
    </row>
    <row r="24" spans="1:1024" ht="36.75" customHeight="1" x14ac:dyDescent="0.2">
      <c r="A24" s="56"/>
      <c r="B24" s="71"/>
      <c r="C24" s="164"/>
      <c r="D24" s="165"/>
      <c r="E24" s="165"/>
      <c r="F24" s="165"/>
      <c r="G24" s="166"/>
      <c r="H24" s="77"/>
      <c r="I24" s="72"/>
      <c r="J24" s="70"/>
      <c r="K24" s="51"/>
      <c r="L24" s="145">
        <f t="shared" si="0"/>
        <v>0</v>
      </c>
    </row>
    <row r="25" spans="1:1024" s="64" customFormat="1" ht="36.75" customHeight="1" x14ac:dyDescent="0.2">
      <c r="A25" s="55"/>
      <c r="B25" s="68"/>
      <c r="C25" s="161"/>
      <c r="D25" s="162"/>
      <c r="E25" s="162"/>
      <c r="F25" s="162"/>
      <c r="G25" s="163"/>
      <c r="H25" s="69"/>
      <c r="I25" s="73"/>
      <c r="J25" s="67"/>
      <c r="K25" s="51"/>
      <c r="L25" s="145">
        <f t="shared" si="0"/>
        <v>0</v>
      </c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3"/>
      <c r="DD25" s="63"/>
      <c r="DE25" s="63"/>
      <c r="DF25" s="63"/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3"/>
      <c r="EK25" s="63"/>
      <c r="EL25" s="63"/>
      <c r="EM25" s="63"/>
      <c r="EN25" s="63"/>
      <c r="EO25" s="63"/>
      <c r="EP25" s="63"/>
      <c r="EQ25" s="63"/>
      <c r="ER25" s="63"/>
      <c r="ES25" s="63"/>
      <c r="ET25" s="63"/>
      <c r="EU25" s="63"/>
      <c r="EV25" s="63"/>
      <c r="EW25" s="63"/>
      <c r="EX25" s="63"/>
      <c r="EY25" s="63"/>
      <c r="EZ25" s="63"/>
      <c r="FA25" s="63"/>
      <c r="FB25" s="63"/>
      <c r="FC25" s="63"/>
      <c r="FD25" s="63"/>
      <c r="FE25" s="63"/>
      <c r="FF25" s="63"/>
      <c r="FG25" s="63"/>
      <c r="FH25" s="63"/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3"/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3"/>
      <c r="GM25" s="63"/>
      <c r="GN25" s="63"/>
      <c r="GO25" s="63"/>
      <c r="GP25" s="63"/>
      <c r="GQ25" s="63"/>
      <c r="GR25" s="63"/>
      <c r="GS25" s="63"/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3"/>
      <c r="HT25" s="63"/>
      <c r="HU25" s="63"/>
      <c r="HV25" s="63"/>
      <c r="HW25" s="63"/>
      <c r="HX25" s="63"/>
      <c r="HY25" s="63"/>
      <c r="HZ25" s="63"/>
      <c r="IA25" s="63"/>
      <c r="IB25" s="63"/>
      <c r="IC25" s="63"/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3"/>
      <c r="IO25" s="63"/>
      <c r="IP25" s="63"/>
      <c r="IQ25" s="63"/>
      <c r="IR25" s="63"/>
      <c r="IS25" s="63"/>
      <c r="IT25" s="63"/>
      <c r="IU25" s="63"/>
      <c r="IV25" s="63"/>
      <c r="IW25" s="63"/>
      <c r="IX25" s="63"/>
      <c r="IY25" s="63"/>
      <c r="IZ25" s="63"/>
      <c r="JA25" s="63"/>
      <c r="JB25" s="63"/>
      <c r="JC25" s="63"/>
      <c r="JD25" s="63"/>
      <c r="JE25" s="63"/>
      <c r="JF25" s="63"/>
      <c r="JG25" s="63"/>
      <c r="JH25" s="63"/>
      <c r="JI25" s="63"/>
      <c r="JJ25" s="63"/>
      <c r="JK25" s="63"/>
      <c r="JL25" s="63"/>
      <c r="JM25" s="63"/>
      <c r="JN25" s="63"/>
      <c r="JO25" s="63"/>
      <c r="JP25" s="63"/>
      <c r="JQ25" s="63"/>
      <c r="JR25" s="63"/>
      <c r="JS25" s="63"/>
      <c r="JT25" s="63"/>
      <c r="JU25" s="63"/>
      <c r="JV25" s="63"/>
      <c r="JW25" s="63"/>
      <c r="JX25" s="63"/>
      <c r="JY25" s="63"/>
      <c r="JZ25" s="63"/>
      <c r="KA25" s="63"/>
      <c r="KB25" s="63"/>
      <c r="KC25" s="63"/>
      <c r="KD25" s="63"/>
      <c r="KE25" s="63"/>
      <c r="KF25" s="63"/>
      <c r="KG25" s="63"/>
      <c r="KH25" s="63"/>
      <c r="KI25" s="63"/>
      <c r="KJ25" s="63"/>
      <c r="KK25" s="63"/>
      <c r="KL25" s="63"/>
      <c r="KM25" s="63"/>
      <c r="KN25" s="63"/>
      <c r="KO25" s="63"/>
      <c r="KP25" s="63"/>
      <c r="KQ25" s="63"/>
      <c r="KR25" s="63"/>
      <c r="KS25" s="63"/>
      <c r="KT25" s="63"/>
      <c r="KU25" s="63"/>
      <c r="KV25" s="63"/>
      <c r="KW25" s="63"/>
      <c r="KX25" s="63"/>
      <c r="KY25" s="63"/>
      <c r="KZ25" s="63"/>
      <c r="LA25" s="63"/>
      <c r="LB25" s="63"/>
      <c r="LC25" s="63"/>
      <c r="LD25" s="63"/>
      <c r="LE25" s="63"/>
      <c r="LF25" s="63"/>
      <c r="LG25" s="63"/>
      <c r="LH25" s="63"/>
      <c r="LI25" s="63"/>
      <c r="LJ25" s="63"/>
      <c r="LK25" s="63"/>
      <c r="LL25" s="63"/>
      <c r="LM25" s="63"/>
      <c r="LN25" s="63"/>
      <c r="LO25" s="63"/>
      <c r="LP25" s="63"/>
      <c r="LQ25" s="63"/>
      <c r="LR25" s="63"/>
      <c r="LS25" s="63"/>
      <c r="LT25" s="63"/>
      <c r="LU25" s="63"/>
      <c r="LV25" s="63"/>
      <c r="LW25" s="63"/>
      <c r="LX25" s="63"/>
      <c r="LY25" s="63"/>
      <c r="LZ25" s="63"/>
      <c r="MA25" s="63"/>
      <c r="MB25" s="63"/>
      <c r="MC25" s="63"/>
      <c r="MD25" s="63"/>
      <c r="ME25" s="63"/>
      <c r="MF25" s="63"/>
      <c r="MG25" s="63"/>
      <c r="MH25" s="63"/>
      <c r="MI25" s="63"/>
      <c r="MJ25" s="63"/>
      <c r="MK25" s="63"/>
      <c r="ML25" s="63"/>
      <c r="MM25" s="63"/>
      <c r="MN25" s="63"/>
      <c r="MO25" s="63"/>
      <c r="MP25" s="63"/>
      <c r="MQ25" s="63"/>
      <c r="MR25" s="63"/>
      <c r="MS25" s="63"/>
      <c r="MT25" s="63"/>
      <c r="MU25" s="63"/>
      <c r="MV25" s="63"/>
      <c r="MW25" s="63"/>
      <c r="MX25" s="63"/>
      <c r="MY25" s="63"/>
      <c r="MZ25" s="63"/>
      <c r="NA25" s="63"/>
      <c r="NB25" s="63"/>
      <c r="NC25" s="63"/>
      <c r="ND25" s="63"/>
      <c r="NE25" s="63"/>
      <c r="NF25" s="63"/>
      <c r="NG25" s="63"/>
      <c r="NH25" s="63"/>
      <c r="NI25" s="63"/>
      <c r="NJ25" s="63"/>
      <c r="NK25" s="63"/>
      <c r="NL25" s="63"/>
      <c r="NM25" s="63"/>
      <c r="NN25" s="63"/>
      <c r="NO25" s="63"/>
      <c r="NP25" s="63"/>
      <c r="NQ25" s="63"/>
      <c r="NR25" s="63"/>
      <c r="NS25" s="63"/>
      <c r="NT25" s="63"/>
      <c r="NU25" s="63"/>
      <c r="NV25" s="63"/>
      <c r="NW25" s="63"/>
      <c r="NX25" s="63"/>
      <c r="NY25" s="63"/>
      <c r="NZ25" s="63"/>
      <c r="OA25" s="63"/>
      <c r="OB25" s="63"/>
      <c r="OC25" s="63"/>
      <c r="OD25" s="63"/>
      <c r="OE25" s="63"/>
      <c r="OF25" s="63"/>
      <c r="OG25" s="63"/>
      <c r="OH25" s="63"/>
      <c r="OI25" s="63"/>
      <c r="OJ25" s="63"/>
      <c r="OK25" s="63"/>
      <c r="OL25" s="63"/>
      <c r="OM25" s="63"/>
      <c r="ON25" s="63"/>
      <c r="OO25" s="63"/>
      <c r="OP25" s="63"/>
      <c r="OQ25" s="63"/>
      <c r="OR25" s="63"/>
      <c r="OS25" s="63"/>
      <c r="OT25" s="63"/>
      <c r="OU25" s="63"/>
      <c r="OV25" s="63"/>
      <c r="OW25" s="63"/>
      <c r="OX25" s="63"/>
      <c r="OY25" s="63"/>
      <c r="OZ25" s="63"/>
      <c r="PA25" s="63"/>
      <c r="PB25" s="63"/>
      <c r="PC25" s="63"/>
      <c r="PD25" s="63"/>
      <c r="PE25" s="63"/>
      <c r="PF25" s="63"/>
      <c r="PG25" s="63"/>
      <c r="PH25" s="63"/>
      <c r="PI25" s="63"/>
      <c r="PJ25" s="63"/>
      <c r="PK25" s="63"/>
      <c r="PL25" s="63"/>
      <c r="PM25" s="63"/>
      <c r="PN25" s="63"/>
      <c r="PO25" s="63"/>
      <c r="PP25" s="63"/>
      <c r="PQ25" s="63"/>
      <c r="PR25" s="63"/>
      <c r="PS25" s="63"/>
      <c r="PT25" s="63"/>
      <c r="PU25" s="63"/>
      <c r="PV25" s="63"/>
      <c r="PW25" s="63"/>
      <c r="PX25" s="63"/>
      <c r="PY25" s="63"/>
      <c r="PZ25" s="63"/>
      <c r="QA25" s="63"/>
      <c r="QB25" s="63"/>
      <c r="QC25" s="63"/>
      <c r="QD25" s="63"/>
      <c r="QE25" s="63"/>
      <c r="QF25" s="63"/>
      <c r="QG25" s="63"/>
      <c r="QH25" s="63"/>
      <c r="QI25" s="63"/>
      <c r="QJ25" s="63"/>
      <c r="QK25" s="63"/>
      <c r="QL25" s="63"/>
      <c r="QM25" s="63"/>
      <c r="QN25" s="63"/>
      <c r="QO25" s="63"/>
      <c r="QP25" s="63"/>
      <c r="QQ25" s="63"/>
      <c r="QR25" s="63"/>
      <c r="QS25" s="63"/>
      <c r="QT25" s="63"/>
      <c r="QU25" s="63"/>
      <c r="QV25" s="63"/>
      <c r="QW25" s="63"/>
      <c r="QX25" s="63"/>
      <c r="QY25" s="63"/>
      <c r="QZ25" s="63"/>
      <c r="RA25" s="63"/>
      <c r="RB25" s="63"/>
      <c r="RC25" s="63"/>
      <c r="RD25" s="63"/>
      <c r="RE25" s="63"/>
      <c r="RF25" s="63"/>
      <c r="RG25" s="63"/>
      <c r="RH25" s="63"/>
      <c r="RI25" s="63"/>
      <c r="RJ25" s="63"/>
      <c r="RK25" s="63"/>
      <c r="RL25" s="63"/>
      <c r="RM25" s="63"/>
      <c r="RN25" s="63"/>
      <c r="RO25" s="63"/>
      <c r="RP25" s="63"/>
      <c r="RQ25" s="63"/>
      <c r="RR25" s="63"/>
      <c r="RS25" s="63"/>
      <c r="RT25" s="63"/>
      <c r="RU25" s="63"/>
      <c r="RV25" s="63"/>
      <c r="RW25" s="63"/>
      <c r="RX25" s="63"/>
      <c r="RY25" s="63"/>
      <c r="RZ25" s="63"/>
      <c r="SA25" s="63"/>
      <c r="SB25" s="63"/>
      <c r="SC25" s="63"/>
      <c r="SD25" s="63"/>
      <c r="SE25" s="63"/>
      <c r="SF25" s="63"/>
      <c r="SG25" s="63"/>
      <c r="SH25" s="63"/>
      <c r="SI25" s="63"/>
      <c r="SJ25" s="63"/>
      <c r="SK25" s="63"/>
      <c r="SL25" s="63"/>
      <c r="SM25" s="63"/>
      <c r="SN25" s="63"/>
      <c r="SO25" s="63"/>
      <c r="SP25" s="63"/>
      <c r="SQ25" s="63"/>
      <c r="SR25" s="63"/>
      <c r="SS25" s="63"/>
      <c r="ST25" s="63"/>
      <c r="SU25" s="63"/>
      <c r="SV25" s="63"/>
      <c r="SW25" s="63"/>
      <c r="SX25" s="63"/>
      <c r="SY25" s="63"/>
      <c r="SZ25" s="63"/>
      <c r="TA25" s="63"/>
      <c r="TB25" s="63"/>
      <c r="TC25" s="63"/>
      <c r="TD25" s="63"/>
      <c r="TE25" s="63"/>
      <c r="TF25" s="63"/>
      <c r="TG25" s="63"/>
      <c r="TH25" s="63"/>
      <c r="TI25" s="63"/>
      <c r="TJ25" s="63"/>
      <c r="TK25" s="63"/>
      <c r="TL25" s="63"/>
      <c r="TM25" s="63"/>
      <c r="TN25" s="63"/>
      <c r="TO25" s="63"/>
      <c r="TP25" s="63"/>
      <c r="TQ25" s="63"/>
      <c r="TR25" s="63"/>
      <c r="TS25" s="63"/>
      <c r="TT25" s="63"/>
      <c r="TU25" s="63"/>
      <c r="TV25" s="63"/>
      <c r="TW25" s="63"/>
      <c r="TX25" s="63"/>
      <c r="TY25" s="63"/>
      <c r="TZ25" s="63"/>
      <c r="UA25" s="63"/>
      <c r="UB25" s="63"/>
      <c r="UC25" s="63"/>
      <c r="UD25" s="63"/>
      <c r="UE25" s="63"/>
      <c r="UF25" s="63"/>
      <c r="UG25" s="63"/>
      <c r="UH25" s="63"/>
      <c r="UI25" s="63"/>
      <c r="UJ25" s="63"/>
      <c r="UK25" s="63"/>
      <c r="UL25" s="63"/>
      <c r="UM25" s="63"/>
      <c r="UN25" s="63"/>
      <c r="UO25" s="63"/>
      <c r="UP25" s="63"/>
      <c r="UQ25" s="63"/>
      <c r="UR25" s="63"/>
      <c r="US25" s="63"/>
      <c r="UT25" s="63"/>
      <c r="UU25" s="63"/>
      <c r="UV25" s="63"/>
      <c r="UW25" s="63"/>
      <c r="UX25" s="63"/>
      <c r="UY25" s="63"/>
      <c r="UZ25" s="63"/>
      <c r="VA25" s="63"/>
      <c r="VB25" s="63"/>
      <c r="VC25" s="63"/>
      <c r="VD25" s="63"/>
      <c r="VE25" s="63"/>
      <c r="VF25" s="63"/>
      <c r="VG25" s="63"/>
      <c r="VH25" s="63"/>
      <c r="VI25" s="63"/>
      <c r="VJ25" s="63"/>
      <c r="VK25" s="63"/>
      <c r="VL25" s="63"/>
      <c r="VM25" s="63"/>
      <c r="VN25" s="63"/>
      <c r="VO25" s="63"/>
      <c r="VP25" s="63"/>
      <c r="VQ25" s="63"/>
      <c r="VR25" s="63"/>
      <c r="VS25" s="63"/>
      <c r="VT25" s="63"/>
      <c r="VU25" s="63"/>
      <c r="VV25" s="63"/>
      <c r="VW25" s="63"/>
      <c r="VX25" s="63"/>
      <c r="VY25" s="63"/>
      <c r="VZ25" s="63"/>
      <c r="WA25" s="63"/>
      <c r="WB25" s="63"/>
      <c r="WC25" s="63"/>
      <c r="WD25" s="63"/>
      <c r="WE25" s="63"/>
      <c r="WF25" s="63"/>
      <c r="WG25" s="63"/>
      <c r="WH25" s="63"/>
      <c r="WI25" s="63"/>
      <c r="WJ25" s="63"/>
      <c r="WK25" s="63"/>
      <c r="WL25" s="63"/>
      <c r="WM25" s="63"/>
      <c r="WN25" s="63"/>
      <c r="WO25" s="63"/>
      <c r="WP25" s="63"/>
      <c r="WQ25" s="63"/>
      <c r="WR25" s="63"/>
      <c r="WS25" s="63"/>
      <c r="WT25" s="63"/>
      <c r="WU25" s="63"/>
      <c r="WV25" s="63"/>
      <c r="WW25" s="63"/>
      <c r="WX25" s="63"/>
      <c r="WY25" s="63"/>
      <c r="WZ25" s="63"/>
      <c r="XA25" s="63"/>
      <c r="XB25" s="63"/>
      <c r="XC25" s="63"/>
      <c r="XD25" s="63"/>
      <c r="XE25" s="63"/>
      <c r="XF25" s="63"/>
      <c r="XG25" s="63"/>
      <c r="XH25" s="63"/>
      <c r="XI25" s="63"/>
      <c r="XJ25" s="63"/>
      <c r="XK25" s="63"/>
      <c r="XL25" s="63"/>
      <c r="XM25" s="63"/>
      <c r="XN25" s="63"/>
      <c r="XO25" s="63"/>
      <c r="XP25" s="63"/>
      <c r="XQ25" s="63"/>
      <c r="XR25" s="63"/>
      <c r="XS25" s="63"/>
      <c r="XT25" s="63"/>
      <c r="XU25" s="63"/>
      <c r="XV25" s="63"/>
      <c r="XW25" s="63"/>
      <c r="XX25" s="63"/>
      <c r="XY25" s="63"/>
      <c r="XZ25" s="63"/>
      <c r="YA25" s="63"/>
      <c r="YB25" s="63"/>
      <c r="YC25" s="63"/>
      <c r="YD25" s="63"/>
      <c r="YE25" s="63"/>
      <c r="YF25" s="63"/>
      <c r="YG25" s="63"/>
      <c r="YH25" s="63"/>
      <c r="YI25" s="63"/>
      <c r="YJ25" s="63"/>
      <c r="YK25" s="63"/>
      <c r="YL25" s="63"/>
      <c r="YM25" s="63"/>
      <c r="YN25" s="63"/>
      <c r="YO25" s="63"/>
      <c r="YP25" s="63"/>
      <c r="YQ25" s="63"/>
      <c r="YR25" s="63"/>
      <c r="YS25" s="63"/>
      <c r="YT25" s="63"/>
      <c r="YU25" s="63"/>
      <c r="YV25" s="63"/>
      <c r="YW25" s="63"/>
      <c r="YX25" s="63"/>
      <c r="YY25" s="63"/>
      <c r="YZ25" s="63"/>
      <c r="ZA25" s="63"/>
      <c r="ZB25" s="63"/>
      <c r="ZC25" s="63"/>
      <c r="ZD25" s="63"/>
      <c r="ZE25" s="63"/>
      <c r="ZF25" s="63"/>
      <c r="ZG25" s="63"/>
      <c r="ZH25" s="63"/>
      <c r="ZI25" s="63"/>
      <c r="ZJ25" s="63"/>
      <c r="ZK25" s="63"/>
      <c r="ZL25" s="63"/>
      <c r="ZM25" s="63"/>
      <c r="ZN25" s="63"/>
      <c r="ZO25" s="63"/>
      <c r="ZP25" s="63"/>
      <c r="ZQ25" s="63"/>
      <c r="ZR25" s="63"/>
      <c r="ZS25" s="63"/>
      <c r="ZT25" s="63"/>
      <c r="ZU25" s="63"/>
      <c r="ZV25" s="63"/>
      <c r="ZW25" s="63"/>
      <c r="ZX25" s="63"/>
      <c r="ZY25" s="63"/>
      <c r="ZZ25" s="63"/>
      <c r="AAA25" s="63"/>
      <c r="AAB25" s="63"/>
      <c r="AAC25" s="63"/>
      <c r="AAD25" s="63"/>
      <c r="AAE25" s="63"/>
      <c r="AAF25" s="63"/>
      <c r="AAG25" s="63"/>
      <c r="AAH25" s="63"/>
      <c r="AAI25" s="63"/>
      <c r="AAJ25" s="63"/>
      <c r="AAK25" s="63"/>
      <c r="AAL25" s="63"/>
      <c r="AAM25" s="63"/>
      <c r="AAN25" s="63"/>
      <c r="AAO25" s="63"/>
      <c r="AAP25" s="63"/>
      <c r="AAQ25" s="63"/>
      <c r="AAR25" s="63"/>
      <c r="AAS25" s="63"/>
      <c r="AAT25" s="63"/>
      <c r="AAU25" s="63"/>
      <c r="AAV25" s="63"/>
      <c r="AAW25" s="63"/>
      <c r="AAX25" s="63"/>
      <c r="AAY25" s="63"/>
      <c r="AAZ25" s="63"/>
      <c r="ABA25" s="63"/>
      <c r="ABB25" s="63"/>
      <c r="ABC25" s="63"/>
      <c r="ABD25" s="63"/>
      <c r="ABE25" s="63"/>
      <c r="ABF25" s="63"/>
      <c r="ABG25" s="63"/>
      <c r="ABH25" s="63"/>
      <c r="ABI25" s="63"/>
      <c r="ABJ25" s="63"/>
      <c r="ABK25" s="63"/>
      <c r="ABL25" s="63"/>
      <c r="ABM25" s="63"/>
      <c r="ABN25" s="63"/>
      <c r="ABO25" s="63"/>
      <c r="ABP25" s="63"/>
      <c r="ABQ25" s="63"/>
      <c r="ABR25" s="63"/>
      <c r="ABS25" s="63"/>
      <c r="ABT25" s="63"/>
      <c r="ABU25" s="63"/>
      <c r="ABV25" s="63"/>
      <c r="ABW25" s="63"/>
      <c r="ABX25" s="63"/>
      <c r="ABY25" s="63"/>
      <c r="ABZ25" s="63"/>
      <c r="ACA25" s="63"/>
      <c r="ACB25" s="63"/>
      <c r="ACC25" s="63"/>
      <c r="ACD25" s="63"/>
      <c r="ACE25" s="63"/>
      <c r="ACF25" s="63"/>
      <c r="ACG25" s="63"/>
      <c r="ACH25" s="63"/>
      <c r="ACI25" s="63"/>
      <c r="ACJ25" s="63"/>
      <c r="ACK25" s="63"/>
      <c r="ACL25" s="63"/>
      <c r="ACM25" s="63"/>
      <c r="ACN25" s="63"/>
      <c r="ACO25" s="63"/>
      <c r="ACP25" s="63"/>
      <c r="ACQ25" s="63"/>
      <c r="ACR25" s="63"/>
      <c r="ACS25" s="63"/>
      <c r="ACT25" s="63"/>
      <c r="ACU25" s="63"/>
      <c r="ACV25" s="63"/>
      <c r="ACW25" s="63"/>
      <c r="ACX25" s="63"/>
      <c r="ACY25" s="63"/>
      <c r="ACZ25" s="63"/>
      <c r="ADA25" s="63"/>
      <c r="ADB25" s="63"/>
      <c r="ADC25" s="63"/>
      <c r="ADD25" s="63"/>
      <c r="ADE25" s="63"/>
      <c r="ADF25" s="63"/>
      <c r="ADG25" s="63"/>
      <c r="ADH25" s="63"/>
      <c r="ADI25" s="63"/>
      <c r="ADJ25" s="63"/>
      <c r="ADK25" s="63"/>
      <c r="ADL25" s="63"/>
      <c r="ADM25" s="63"/>
      <c r="ADN25" s="63"/>
      <c r="ADO25" s="63"/>
      <c r="ADP25" s="63"/>
      <c r="ADQ25" s="63"/>
      <c r="ADR25" s="63"/>
      <c r="ADS25" s="63"/>
      <c r="ADT25" s="63"/>
      <c r="ADU25" s="63"/>
      <c r="ADV25" s="63"/>
      <c r="ADW25" s="63"/>
      <c r="ADX25" s="63"/>
      <c r="ADY25" s="63"/>
      <c r="ADZ25" s="63"/>
      <c r="AEA25" s="63"/>
      <c r="AEB25" s="63"/>
      <c r="AEC25" s="63"/>
      <c r="AED25" s="63"/>
      <c r="AEE25" s="63"/>
      <c r="AEF25" s="63"/>
      <c r="AEG25" s="63"/>
      <c r="AEH25" s="63"/>
      <c r="AEI25" s="63"/>
      <c r="AEJ25" s="63"/>
      <c r="AEK25" s="63"/>
      <c r="AEL25" s="63"/>
      <c r="AEM25" s="63"/>
      <c r="AEN25" s="63"/>
      <c r="AEO25" s="63"/>
      <c r="AEP25" s="63"/>
      <c r="AEQ25" s="63"/>
      <c r="AER25" s="63"/>
      <c r="AES25" s="63"/>
      <c r="AET25" s="63"/>
      <c r="AEU25" s="63"/>
      <c r="AEV25" s="63"/>
      <c r="AEW25" s="63"/>
      <c r="AEX25" s="63"/>
      <c r="AEY25" s="63"/>
      <c r="AEZ25" s="63"/>
      <c r="AFA25" s="63"/>
      <c r="AFB25" s="63"/>
      <c r="AFC25" s="63"/>
      <c r="AFD25" s="63"/>
      <c r="AFE25" s="63"/>
      <c r="AFF25" s="63"/>
      <c r="AFG25" s="63"/>
      <c r="AFH25" s="63"/>
      <c r="AFI25" s="63"/>
      <c r="AFJ25" s="63"/>
      <c r="AFK25" s="63"/>
      <c r="AFL25" s="63"/>
      <c r="AFM25" s="63"/>
      <c r="AFN25" s="63"/>
      <c r="AFO25" s="63"/>
      <c r="AFP25" s="63"/>
      <c r="AFQ25" s="63"/>
      <c r="AFR25" s="63"/>
      <c r="AFS25" s="63"/>
      <c r="AFT25" s="63"/>
      <c r="AFU25" s="63"/>
      <c r="AFV25" s="63"/>
      <c r="AFW25" s="63"/>
      <c r="AFX25" s="63"/>
      <c r="AFY25" s="63"/>
      <c r="AFZ25" s="63"/>
      <c r="AGA25" s="63"/>
      <c r="AGB25" s="63"/>
      <c r="AGC25" s="63"/>
      <c r="AGD25" s="63"/>
      <c r="AGE25" s="63"/>
      <c r="AGF25" s="63"/>
      <c r="AGG25" s="63"/>
      <c r="AGH25" s="63"/>
      <c r="AGI25" s="63"/>
      <c r="AGJ25" s="63"/>
      <c r="AGK25" s="63"/>
      <c r="AGL25" s="63"/>
      <c r="AGM25" s="63"/>
      <c r="AGN25" s="63"/>
      <c r="AGO25" s="63"/>
      <c r="AGP25" s="63"/>
      <c r="AGQ25" s="63"/>
      <c r="AGR25" s="63"/>
      <c r="AGS25" s="63"/>
      <c r="AGT25" s="63"/>
      <c r="AGU25" s="63"/>
      <c r="AGV25" s="63"/>
      <c r="AGW25" s="63"/>
      <c r="AGX25" s="63"/>
      <c r="AGY25" s="63"/>
      <c r="AGZ25" s="63"/>
      <c r="AHA25" s="63"/>
      <c r="AHB25" s="63"/>
      <c r="AHC25" s="63"/>
      <c r="AHD25" s="63"/>
      <c r="AHE25" s="63"/>
      <c r="AHF25" s="63"/>
      <c r="AHG25" s="63"/>
      <c r="AHH25" s="63"/>
      <c r="AHI25" s="63"/>
      <c r="AHJ25" s="63"/>
      <c r="AHK25" s="63"/>
      <c r="AHL25" s="63"/>
      <c r="AHM25" s="63"/>
      <c r="AHN25" s="63"/>
      <c r="AHO25" s="63"/>
      <c r="AHP25" s="63"/>
      <c r="AHQ25" s="63"/>
      <c r="AHR25" s="63"/>
      <c r="AHS25" s="63"/>
      <c r="AHT25" s="63"/>
      <c r="AHU25" s="63"/>
      <c r="AHV25" s="63"/>
      <c r="AHW25" s="63"/>
      <c r="AHX25" s="63"/>
      <c r="AHY25" s="63"/>
      <c r="AHZ25" s="63"/>
      <c r="AIA25" s="63"/>
      <c r="AIB25" s="63"/>
      <c r="AIC25" s="63"/>
      <c r="AID25" s="63"/>
      <c r="AIE25" s="63"/>
      <c r="AIF25" s="63"/>
      <c r="AIG25" s="63"/>
      <c r="AIH25" s="63"/>
      <c r="AII25" s="63"/>
      <c r="AIJ25" s="63"/>
      <c r="AIK25" s="63"/>
      <c r="AIL25" s="63"/>
      <c r="AIM25" s="63"/>
      <c r="AIN25" s="63"/>
      <c r="AIO25" s="63"/>
      <c r="AIP25" s="63"/>
      <c r="AIQ25" s="63"/>
      <c r="AIR25" s="63"/>
      <c r="AIS25" s="63"/>
      <c r="AIT25" s="63"/>
      <c r="AIU25" s="63"/>
      <c r="AIV25" s="63"/>
      <c r="AIW25" s="63"/>
      <c r="AIX25" s="63"/>
      <c r="AIY25" s="63"/>
      <c r="AIZ25" s="63"/>
      <c r="AJA25" s="63"/>
      <c r="AJB25" s="63"/>
      <c r="AJC25" s="63"/>
      <c r="AJD25" s="63"/>
      <c r="AJE25" s="63"/>
      <c r="AJF25" s="63"/>
      <c r="AJG25" s="63"/>
      <c r="AJH25" s="63"/>
      <c r="AJI25" s="63"/>
      <c r="AJJ25" s="63"/>
      <c r="AJK25" s="63"/>
      <c r="AJL25" s="63"/>
      <c r="AJM25" s="63"/>
      <c r="AJN25" s="63"/>
      <c r="AJO25" s="63"/>
      <c r="AJP25" s="63"/>
      <c r="AJQ25" s="63"/>
      <c r="AJR25" s="63"/>
      <c r="AJS25" s="63"/>
      <c r="AJT25" s="63"/>
      <c r="AJU25" s="63"/>
      <c r="AJV25" s="63"/>
      <c r="AJW25" s="63"/>
      <c r="AJX25" s="63"/>
      <c r="AJY25" s="63"/>
      <c r="AJZ25" s="63"/>
      <c r="AKA25" s="63"/>
      <c r="AKB25" s="63"/>
      <c r="AKC25" s="63"/>
      <c r="AKD25" s="63"/>
      <c r="AKE25" s="63"/>
      <c r="AKF25" s="63"/>
      <c r="AKG25" s="63"/>
      <c r="AKH25" s="63"/>
      <c r="AKI25" s="63"/>
      <c r="AKJ25" s="63"/>
      <c r="AKK25" s="63"/>
      <c r="AKL25" s="63"/>
      <c r="AKM25" s="63"/>
      <c r="AKN25" s="63"/>
      <c r="AKO25" s="63"/>
      <c r="AKP25" s="63"/>
      <c r="AKQ25" s="63"/>
      <c r="AKR25" s="63"/>
      <c r="AKS25" s="63"/>
      <c r="AKT25" s="63"/>
      <c r="AKU25" s="63"/>
      <c r="AKV25" s="63"/>
      <c r="AKW25" s="63"/>
      <c r="AKX25" s="63"/>
      <c r="AKY25" s="63"/>
      <c r="AKZ25" s="63"/>
      <c r="ALA25" s="63"/>
      <c r="ALB25" s="63"/>
      <c r="ALC25" s="63"/>
      <c r="ALD25" s="63"/>
      <c r="ALE25" s="63"/>
      <c r="ALF25" s="63"/>
      <c r="ALG25" s="63"/>
      <c r="ALH25" s="63"/>
      <c r="ALI25" s="63"/>
      <c r="ALJ25" s="63"/>
      <c r="ALK25" s="63"/>
      <c r="ALL25" s="63"/>
      <c r="ALM25" s="63"/>
      <c r="ALN25" s="63"/>
      <c r="ALO25" s="63"/>
      <c r="ALP25" s="63"/>
      <c r="ALQ25" s="63"/>
      <c r="ALR25" s="63"/>
      <c r="ALS25" s="63"/>
      <c r="ALT25" s="63"/>
      <c r="ALU25" s="63"/>
      <c r="ALV25" s="63"/>
      <c r="ALW25" s="63"/>
      <c r="ALX25" s="63"/>
      <c r="ALY25" s="63"/>
      <c r="ALZ25" s="63"/>
      <c r="AMA25" s="63"/>
      <c r="AMB25" s="63"/>
      <c r="AMC25" s="63"/>
      <c r="AMD25" s="63"/>
      <c r="AME25" s="63"/>
      <c r="AMF25" s="63"/>
      <c r="AMG25" s="63"/>
      <c r="AMH25" s="63"/>
      <c r="AMI25" s="63"/>
      <c r="AMJ25" s="63"/>
    </row>
    <row r="26" spans="1:1024" s="1" customFormat="1" ht="37.5" customHeight="1" thickBot="1" x14ac:dyDescent="0.25">
      <c r="A26" s="168" t="s">
        <v>126</v>
      </c>
      <c r="B26" s="169"/>
      <c r="C26" s="169"/>
      <c r="D26" s="169"/>
      <c r="E26" s="169"/>
      <c r="F26" s="169"/>
      <c r="G26" s="169"/>
      <c r="H26" s="169"/>
      <c r="I26" s="170"/>
      <c r="J26" s="171">
        <f>SUM(L12:L25)</f>
        <v>53839300</v>
      </c>
      <c r="K26" s="171"/>
      <c r="L26" s="59"/>
    </row>
    <row r="28" spans="1:1024" ht="12.75" customHeight="1" x14ac:dyDescent="0.2">
      <c r="C28" s="167"/>
      <c r="D28" s="167"/>
      <c r="E28" s="167"/>
      <c r="F28" s="167"/>
      <c r="G28" s="167"/>
      <c r="H28" s="167"/>
      <c r="I28" s="167"/>
      <c r="J28" s="167"/>
    </row>
    <row r="29" spans="1:1024" x14ac:dyDescent="0.2">
      <c r="C29" s="167"/>
      <c r="D29" s="167"/>
      <c r="E29" s="167"/>
      <c r="F29" s="167"/>
      <c r="G29" s="167"/>
      <c r="H29" s="167"/>
      <c r="I29" s="167"/>
      <c r="J29" s="167"/>
    </row>
    <row r="30" spans="1:1024" x14ac:dyDescent="0.2">
      <c r="C30" s="167"/>
      <c r="D30" s="167"/>
      <c r="E30" s="167"/>
      <c r="F30" s="167"/>
      <c r="G30" s="167"/>
      <c r="H30" s="167"/>
      <c r="I30" s="167"/>
      <c r="J30" s="167"/>
    </row>
    <row r="31" spans="1:1024" x14ac:dyDescent="0.2">
      <c r="C31" s="167"/>
      <c r="D31" s="167"/>
      <c r="E31" s="167"/>
      <c r="F31" s="167"/>
      <c r="G31" s="167"/>
      <c r="H31" s="167"/>
      <c r="I31" s="167"/>
      <c r="J31" s="167"/>
    </row>
    <row r="32" spans="1:1024" x14ac:dyDescent="0.2">
      <c r="C32" s="167"/>
      <c r="D32" s="167"/>
      <c r="E32" s="167"/>
      <c r="F32" s="167"/>
      <c r="G32" s="167"/>
      <c r="H32" s="167"/>
      <c r="I32" s="167"/>
      <c r="J32" s="167"/>
    </row>
    <row r="33" spans="3:10" x14ac:dyDescent="0.2">
      <c r="C33" s="167"/>
      <c r="D33" s="167"/>
      <c r="E33" s="167"/>
      <c r="F33" s="167"/>
      <c r="G33" s="167"/>
      <c r="H33" s="167"/>
      <c r="I33" s="167"/>
      <c r="J33" s="167"/>
    </row>
    <row r="34" spans="3:10" x14ac:dyDescent="0.2">
      <c r="C34" s="167"/>
      <c r="D34" s="167"/>
      <c r="E34" s="167"/>
      <c r="F34" s="167"/>
      <c r="G34" s="167"/>
      <c r="H34" s="167"/>
      <c r="I34" s="167"/>
      <c r="J34" s="167"/>
    </row>
  </sheetData>
  <mergeCells count="37">
    <mergeCell ref="C18:G18"/>
    <mergeCell ref="C17:G17"/>
    <mergeCell ref="C23:G23"/>
    <mergeCell ref="A5:C5"/>
    <mergeCell ref="A1:I1"/>
    <mergeCell ref="A3:C3"/>
    <mergeCell ref="A4:C4"/>
    <mergeCell ref="D3:K3"/>
    <mergeCell ref="D4:K4"/>
    <mergeCell ref="D5:K5"/>
    <mergeCell ref="A6:C6"/>
    <mergeCell ref="A7:C7"/>
    <mergeCell ref="D7:K7"/>
    <mergeCell ref="A8:C8"/>
    <mergeCell ref="D8:K8"/>
    <mergeCell ref="D6:K6"/>
    <mergeCell ref="K10:K11"/>
    <mergeCell ref="C22:G22"/>
    <mergeCell ref="J10:J11"/>
    <mergeCell ref="A10:A11"/>
    <mergeCell ref="B10:B11"/>
    <mergeCell ref="C10:G11"/>
    <mergeCell ref="H10:H11"/>
    <mergeCell ref="I10:I11"/>
    <mergeCell ref="C12:G12"/>
    <mergeCell ref="C13:G13"/>
    <mergeCell ref="C14:G14"/>
    <mergeCell ref="C19:G19"/>
    <mergeCell ref="C20:G20"/>
    <mergeCell ref="C21:G21"/>
    <mergeCell ref="C15:G15"/>
    <mergeCell ref="C16:G16"/>
    <mergeCell ref="C25:G25"/>
    <mergeCell ref="C24:G24"/>
    <mergeCell ref="C28:J34"/>
    <mergeCell ref="A26:I26"/>
    <mergeCell ref="J26:K26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7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2"/>
  <sheetViews>
    <sheetView zoomScale="90" zoomScaleNormal="90" workbookViewId="0">
      <selection activeCell="O16" sqref="O16:P16"/>
    </sheetView>
  </sheetViews>
  <sheetFormatPr baseColWidth="10" defaultColWidth="11" defaultRowHeight="12.75" x14ac:dyDescent="0.2"/>
  <cols>
    <col min="1" max="2" width="4.42578125" style="14" customWidth="1"/>
    <col min="3" max="3" width="6.140625" style="14" customWidth="1"/>
    <col min="4" max="5" width="4.42578125" style="14" customWidth="1"/>
    <col min="6" max="6" width="6.42578125" style="14" customWidth="1"/>
    <col min="7" max="7" width="4.42578125" style="47" customWidth="1"/>
    <col min="8" max="11" width="4.42578125" style="14" customWidth="1"/>
    <col min="12" max="12" width="4.85546875" style="14" customWidth="1"/>
    <col min="13" max="14" width="4.42578125" style="14" customWidth="1"/>
    <col min="15" max="16" width="14.85546875" style="14" customWidth="1"/>
    <col min="17" max="17" width="17.140625" style="14" customWidth="1"/>
    <col min="18" max="18" width="14.5703125" style="14" bestFit="1" customWidth="1"/>
    <col min="19" max="16384" width="11" style="14"/>
  </cols>
  <sheetData>
    <row r="1" spans="1:18" ht="15.75" customHeight="1" thickBot="1" x14ac:dyDescent="0.3">
      <c r="A1" s="228" t="s">
        <v>38</v>
      </c>
      <c r="B1" s="228"/>
      <c r="C1" s="228"/>
      <c r="D1" s="229"/>
      <c r="E1" s="229"/>
      <c r="F1" s="11"/>
      <c r="G1" s="11"/>
      <c r="H1" s="12"/>
      <c r="I1" s="12"/>
      <c r="J1" s="12"/>
      <c r="K1" s="12"/>
      <c r="L1" s="12"/>
      <c r="M1" s="12"/>
      <c r="N1" s="12"/>
      <c r="O1" s="13"/>
      <c r="P1" s="230" t="s">
        <v>16</v>
      </c>
      <c r="Q1" s="230"/>
    </row>
    <row r="2" spans="1:18" ht="15.75" customHeight="1" thickBot="1" x14ac:dyDescent="0.25">
      <c r="A2" s="15"/>
      <c r="B2" s="16"/>
      <c r="C2" s="16"/>
      <c r="D2" s="16"/>
      <c r="E2" s="16"/>
      <c r="F2" s="16"/>
      <c r="G2" s="17"/>
      <c r="H2" s="18"/>
      <c r="I2" s="18"/>
      <c r="J2" s="18"/>
      <c r="K2" s="18"/>
      <c r="L2" s="18"/>
      <c r="M2" s="18"/>
      <c r="N2" s="18"/>
      <c r="O2" s="16"/>
      <c r="P2" s="230"/>
      <c r="Q2" s="230"/>
    </row>
    <row r="3" spans="1:18" ht="13.5" thickBot="1" x14ac:dyDescent="0.25">
      <c r="A3" s="15"/>
      <c r="B3" s="16"/>
      <c r="C3" s="16"/>
      <c r="D3" s="16"/>
      <c r="E3" s="16"/>
      <c r="F3" s="16"/>
      <c r="G3" s="17"/>
      <c r="H3" s="16"/>
      <c r="I3" s="16"/>
      <c r="J3" s="16"/>
      <c r="K3" s="16"/>
      <c r="L3" s="16"/>
      <c r="M3" s="16"/>
      <c r="N3" s="16"/>
      <c r="O3" s="16"/>
      <c r="P3" s="16"/>
      <c r="Q3" s="19"/>
    </row>
    <row r="4" spans="1:18" s="20" customFormat="1" ht="18" customHeight="1" thickBot="1" x14ac:dyDescent="0.25">
      <c r="A4" s="231" t="s">
        <v>17</v>
      </c>
      <c r="B4" s="231"/>
      <c r="C4" s="231"/>
      <c r="D4" s="231"/>
      <c r="E4" s="231"/>
      <c r="F4" s="231"/>
      <c r="G4" s="232" t="s">
        <v>109</v>
      </c>
      <c r="H4" s="232"/>
      <c r="I4" s="232"/>
      <c r="J4" s="232"/>
      <c r="K4" s="232"/>
      <c r="L4" s="232"/>
      <c r="M4" s="232"/>
      <c r="N4" s="232"/>
      <c r="O4" s="232"/>
      <c r="P4" s="232"/>
      <c r="Q4" s="232"/>
    </row>
    <row r="5" spans="1:18" s="20" customFormat="1" ht="34.5" customHeight="1" thickBot="1" x14ac:dyDescent="0.25">
      <c r="A5" s="233" t="s">
        <v>3</v>
      </c>
      <c r="B5" s="233"/>
      <c r="C5" s="233"/>
      <c r="D5" s="233"/>
      <c r="E5" s="233"/>
      <c r="F5" s="233"/>
      <c r="G5" s="234" t="s">
        <v>110</v>
      </c>
      <c r="H5" s="235"/>
      <c r="I5" s="235"/>
      <c r="J5" s="235"/>
      <c r="K5" s="235"/>
      <c r="L5" s="235"/>
      <c r="M5" s="235"/>
      <c r="N5" s="235"/>
      <c r="O5" s="235"/>
      <c r="P5" s="235"/>
      <c r="Q5" s="236"/>
    </row>
    <row r="6" spans="1:18" s="20" customFormat="1" ht="18" customHeight="1" thickBot="1" x14ac:dyDescent="0.25">
      <c r="A6" s="233" t="s">
        <v>4</v>
      </c>
      <c r="B6" s="233"/>
      <c r="C6" s="233"/>
      <c r="D6" s="233"/>
      <c r="E6" s="233"/>
      <c r="F6" s="233"/>
      <c r="G6" s="232" t="s">
        <v>111</v>
      </c>
      <c r="H6" s="232"/>
      <c r="I6" s="232"/>
      <c r="J6" s="232"/>
      <c r="K6" s="232"/>
      <c r="L6" s="232"/>
      <c r="M6" s="232"/>
      <c r="N6" s="232"/>
      <c r="O6" s="232"/>
      <c r="P6" s="232"/>
      <c r="Q6" s="232"/>
    </row>
    <row r="7" spans="1:18" s="20" customFormat="1" ht="18" customHeight="1" thickBot="1" x14ac:dyDescent="0.25">
      <c r="A7" s="233" t="s">
        <v>5</v>
      </c>
      <c r="B7" s="233"/>
      <c r="C7" s="233"/>
      <c r="D7" s="233"/>
      <c r="E7" s="233"/>
      <c r="F7" s="233"/>
      <c r="G7" s="232" t="s">
        <v>111</v>
      </c>
      <c r="H7" s="232"/>
      <c r="I7" s="232"/>
      <c r="J7" s="232"/>
      <c r="K7" s="232"/>
      <c r="L7" s="232"/>
      <c r="M7" s="232"/>
      <c r="N7" s="232"/>
      <c r="O7" s="232"/>
      <c r="P7" s="232"/>
      <c r="Q7" s="232"/>
    </row>
    <row r="8" spans="1:18" ht="18" customHeight="1" thickBot="1" x14ac:dyDescent="0.25">
      <c r="A8" s="237" t="s">
        <v>18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</row>
    <row r="9" spans="1:18" ht="18" customHeight="1" x14ac:dyDescent="0.2">
      <c r="A9" s="227" t="s">
        <v>19</v>
      </c>
      <c r="B9" s="227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</row>
    <row r="10" spans="1:18" ht="66" customHeight="1" x14ac:dyDescent="0.2">
      <c r="A10" s="217" t="s">
        <v>128</v>
      </c>
      <c r="B10" s="217"/>
      <c r="C10" s="217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</row>
    <row r="11" spans="1:18" ht="9" customHeight="1" thickBot="1" x14ac:dyDescent="0.25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4"/>
    </row>
    <row r="12" spans="1:18" ht="15.75" customHeight="1" thickBot="1" x14ac:dyDescent="0.25">
      <c r="A12" s="218" t="s">
        <v>20</v>
      </c>
      <c r="B12" s="218"/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</row>
    <row r="13" spans="1:18" ht="15.75" customHeight="1" thickBot="1" x14ac:dyDescent="0.25">
      <c r="A13" s="219" t="s">
        <v>21</v>
      </c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20" t="s">
        <v>22</v>
      </c>
      <c r="P13" s="220"/>
      <c r="Q13" s="221" t="s">
        <v>23</v>
      </c>
    </row>
    <row r="14" spans="1:18" ht="15.75" customHeight="1" thickBot="1" x14ac:dyDescent="0.25">
      <c r="A14" s="25" t="s">
        <v>24</v>
      </c>
      <c r="B14" s="26" t="s">
        <v>25</v>
      </c>
      <c r="C14" s="26" t="s">
        <v>26</v>
      </c>
      <c r="D14" s="26" t="s">
        <v>27</v>
      </c>
      <c r="E14" s="26" t="s">
        <v>28</v>
      </c>
      <c r="F14" s="26" t="s">
        <v>29</v>
      </c>
      <c r="G14" s="27" t="s">
        <v>30</v>
      </c>
      <c r="H14" s="26" t="s">
        <v>31</v>
      </c>
      <c r="I14" s="26" t="s">
        <v>32</v>
      </c>
      <c r="J14" s="26" t="s">
        <v>33</v>
      </c>
      <c r="K14" s="26" t="s">
        <v>33</v>
      </c>
      <c r="L14" s="26" t="s">
        <v>34</v>
      </c>
      <c r="M14" s="28" t="s">
        <v>35</v>
      </c>
      <c r="N14" s="29" t="s">
        <v>36</v>
      </c>
      <c r="O14" s="220"/>
      <c r="P14" s="220"/>
      <c r="Q14" s="221"/>
    </row>
    <row r="15" spans="1:18" ht="39" customHeight="1" thickBot="1" x14ac:dyDescent="0.25">
      <c r="A15" s="138">
        <v>62</v>
      </c>
      <c r="B15" s="139"/>
      <c r="C15" s="139"/>
      <c r="D15" s="139">
        <v>1</v>
      </c>
      <c r="E15" s="139"/>
      <c r="F15" s="139">
        <v>4901</v>
      </c>
      <c r="G15" s="139">
        <v>3</v>
      </c>
      <c r="H15" s="139">
        <v>1</v>
      </c>
      <c r="I15" s="140">
        <v>2</v>
      </c>
      <c r="J15" s="140">
        <v>5</v>
      </c>
      <c r="K15" s="140">
        <v>1</v>
      </c>
      <c r="L15" s="139"/>
      <c r="M15" s="141">
        <v>1</v>
      </c>
      <c r="N15" s="142" t="s">
        <v>37</v>
      </c>
      <c r="O15" s="222" t="s">
        <v>40</v>
      </c>
      <c r="P15" s="223"/>
      <c r="Q15" s="31">
        <f>SUM('Necesidades Trimestrales '!AS10:AS12)</f>
        <v>27060300</v>
      </c>
    </row>
    <row r="16" spans="1:18" ht="44.45" customHeight="1" x14ac:dyDescent="0.2">
      <c r="A16" s="30">
        <v>62</v>
      </c>
      <c r="B16" s="33"/>
      <c r="C16" s="33"/>
      <c r="D16" s="33">
        <v>1</v>
      </c>
      <c r="E16" s="33"/>
      <c r="F16" s="33">
        <v>4901</v>
      </c>
      <c r="G16" s="33">
        <v>3</v>
      </c>
      <c r="H16" s="33">
        <v>1</v>
      </c>
      <c r="I16" s="33">
        <v>2</v>
      </c>
      <c r="J16" s="33">
        <v>9</v>
      </c>
      <c r="K16" s="33">
        <v>5</v>
      </c>
      <c r="L16" s="33"/>
      <c r="M16" s="34">
        <v>1</v>
      </c>
      <c r="N16" s="35" t="s">
        <v>37</v>
      </c>
      <c r="O16" s="224" t="s">
        <v>48</v>
      </c>
      <c r="P16" s="225"/>
      <c r="Q16" s="36">
        <f>SUM('Necesidades Trimestrales '!AS13:AS20)</f>
        <v>26779000</v>
      </c>
      <c r="R16" s="137"/>
    </row>
    <row r="17" spans="1:17" ht="17.25" customHeight="1" x14ac:dyDescent="0.2">
      <c r="A17" s="32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4"/>
      <c r="N17" s="35"/>
      <c r="O17" s="226"/>
      <c r="P17" s="226"/>
      <c r="Q17" s="36"/>
    </row>
    <row r="18" spans="1:17" ht="17.25" customHeight="1" x14ac:dyDescent="0.2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4"/>
      <c r="N18" s="35"/>
      <c r="O18" s="216"/>
      <c r="P18" s="216"/>
      <c r="Q18" s="36"/>
    </row>
    <row r="19" spans="1:17" ht="17.25" customHeight="1" x14ac:dyDescent="0.2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  <c r="N19" s="35"/>
      <c r="O19" s="216"/>
      <c r="P19" s="216"/>
      <c r="Q19" s="36"/>
    </row>
    <row r="20" spans="1:17" ht="17.25" customHeight="1" x14ac:dyDescent="0.2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4"/>
      <c r="N20" s="35"/>
      <c r="O20" s="216"/>
      <c r="P20" s="216"/>
      <c r="Q20" s="36"/>
    </row>
    <row r="21" spans="1:17" ht="17.25" customHeight="1" x14ac:dyDescent="0.2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4"/>
      <c r="N21" s="35"/>
      <c r="O21" s="216"/>
      <c r="P21" s="216"/>
      <c r="Q21" s="36"/>
    </row>
    <row r="22" spans="1:17" ht="17.25" customHeight="1" x14ac:dyDescent="0.2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4"/>
      <c r="N22" s="35"/>
      <c r="O22" s="216"/>
      <c r="P22" s="216"/>
      <c r="Q22" s="36"/>
    </row>
    <row r="23" spans="1:17" ht="17.25" customHeight="1" x14ac:dyDescent="0.2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4"/>
      <c r="N23" s="35"/>
      <c r="O23" s="216"/>
      <c r="P23" s="216"/>
      <c r="Q23" s="36"/>
    </row>
    <row r="24" spans="1:17" ht="17.25" customHeight="1" x14ac:dyDescent="0.2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4"/>
      <c r="N24" s="35"/>
      <c r="O24" s="216"/>
      <c r="P24" s="216"/>
      <c r="Q24" s="36"/>
    </row>
    <row r="25" spans="1:17" ht="17.25" customHeight="1" x14ac:dyDescent="0.2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4"/>
      <c r="N25" s="35"/>
      <c r="O25" s="216"/>
      <c r="P25" s="216"/>
      <c r="Q25" s="36"/>
    </row>
    <row r="26" spans="1:17" ht="17.25" customHeight="1" x14ac:dyDescent="0.2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4"/>
      <c r="N26" s="35"/>
      <c r="O26" s="216"/>
      <c r="P26" s="216"/>
      <c r="Q26" s="36"/>
    </row>
    <row r="27" spans="1:17" ht="17.25" customHeight="1" x14ac:dyDescent="0.2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4"/>
      <c r="N27" s="35"/>
      <c r="O27" s="216"/>
      <c r="P27" s="216"/>
      <c r="Q27" s="36"/>
    </row>
    <row r="28" spans="1:17" ht="17.25" customHeight="1" x14ac:dyDescent="0.2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4"/>
      <c r="N28" s="35"/>
      <c r="O28" s="216"/>
      <c r="P28" s="216"/>
      <c r="Q28" s="36"/>
    </row>
    <row r="29" spans="1:17" ht="17.25" customHeight="1" x14ac:dyDescent="0.2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4"/>
      <c r="N29" s="35"/>
      <c r="O29" s="216"/>
      <c r="P29" s="216"/>
      <c r="Q29" s="36"/>
    </row>
    <row r="30" spans="1:17" ht="17.25" customHeight="1" x14ac:dyDescent="0.2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4"/>
      <c r="N30" s="35"/>
      <c r="O30" s="216"/>
      <c r="P30" s="216"/>
      <c r="Q30" s="36"/>
    </row>
    <row r="31" spans="1:17" ht="17.25" customHeight="1" x14ac:dyDescent="0.2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4"/>
      <c r="N31" s="35"/>
      <c r="O31" s="216"/>
      <c r="P31" s="216"/>
      <c r="Q31" s="36"/>
    </row>
    <row r="32" spans="1:17" ht="17.25" customHeight="1" x14ac:dyDescent="0.2">
      <c r="A32" s="32"/>
      <c r="B32" s="33"/>
      <c r="C32" s="33"/>
      <c r="D32" s="33"/>
      <c r="E32" s="33"/>
      <c r="F32" s="35"/>
      <c r="G32" s="33"/>
      <c r="H32" s="33"/>
      <c r="I32" s="33"/>
      <c r="J32" s="33"/>
      <c r="K32" s="33"/>
      <c r="L32" s="33"/>
      <c r="M32" s="34"/>
      <c r="N32" s="35"/>
      <c r="O32" s="211"/>
      <c r="P32" s="211"/>
      <c r="Q32" s="36"/>
    </row>
    <row r="33" spans="1:18" ht="17.25" customHeight="1" x14ac:dyDescent="0.2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4"/>
      <c r="N33" s="35"/>
      <c r="O33" s="211"/>
      <c r="P33" s="211"/>
      <c r="Q33" s="36"/>
    </row>
    <row r="34" spans="1:18" ht="17.25" customHeight="1" x14ac:dyDescent="0.2">
      <c r="A34" s="32"/>
      <c r="B34" s="33"/>
      <c r="C34" s="33"/>
      <c r="D34" s="33"/>
      <c r="E34" s="33"/>
      <c r="F34" s="35"/>
      <c r="G34" s="33"/>
      <c r="H34" s="33"/>
      <c r="I34" s="33"/>
      <c r="J34" s="33"/>
      <c r="K34" s="33"/>
      <c r="L34" s="33"/>
      <c r="M34" s="34"/>
      <c r="N34" s="35"/>
      <c r="O34" s="211"/>
      <c r="P34" s="211"/>
      <c r="Q34" s="36"/>
    </row>
    <row r="35" spans="1:18" ht="17.25" customHeight="1" x14ac:dyDescent="0.2">
      <c r="A35" s="32"/>
      <c r="B35" s="33"/>
      <c r="C35" s="33"/>
      <c r="D35" s="33"/>
      <c r="E35" s="33"/>
      <c r="F35" s="35"/>
      <c r="G35" s="33"/>
      <c r="H35" s="33"/>
      <c r="I35" s="33"/>
      <c r="J35" s="33"/>
      <c r="K35" s="33"/>
      <c r="L35" s="33"/>
      <c r="M35" s="34"/>
      <c r="N35" s="35"/>
      <c r="O35" s="211"/>
      <c r="P35" s="211"/>
      <c r="Q35" s="36"/>
    </row>
    <row r="36" spans="1:18" ht="17.25" customHeight="1" x14ac:dyDescent="0.2">
      <c r="A36" s="37"/>
      <c r="B36" s="38"/>
      <c r="C36" s="38"/>
      <c r="D36" s="38"/>
      <c r="E36" s="38"/>
      <c r="F36" s="39"/>
      <c r="G36" s="38"/>
      <c r="H36" s="38"/>
      <c r="I36" s="38"/>
      <c r="J36" s="38"/>
      <c r="K36" s="38"/>
      <c r="L36" s="38"/>
      <c r="M36" s="40"/>
      <c r="N36" s="41"/>
      <c r="O36" s="212"/>
      <c r="P36" s="212"/>
      <c r="Q36" s="36"/>
      <c r="R36" s="16"/>
    </row>
    <row r="37" spans="1:18" ht="17.25" customHeight="1" thickBot="1" x14ac:dyDescent="0.25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4"/>
      <c r="N37" s="43"/>
      <c r="O37" s="213"/>
      <c r="P37" s="213"/>
      <c r="Q37" s="45"/>
    </row>
    <row r="38" spans="1:18" ht="29.25" customHeight="1" thickBot="1" x14ac:dyDescent="0.25">
      <c r="A38" s="214" t="s">
        <v>127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46">
        <f>SUM(Q15:Q37)</f>
        <v>53839300</v>
      </c>
    </row>
    <row r="39" spans="1:18" ht="12" customHeight="1" x14ac:dyDescent="0.2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</row>
    <row r="40" spans="1:18" ht="17.25" customHeight="1" x14ac:dyDescent="0.2">
      <c r="A40" s="205" t="s">
        <v>112</v>
      </c>
      <c r="B40" s="206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7"/>
    </row>
    <row r="41" spans="1:18" ht="18" customHeight="1" x14ac:dyDescent="0.2">
      <c r="A41" s="205"/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7"/>
    </row>
    <row r="42" spans="1:18" ht="63.75" customHeight="1" thickBot="1" x14ac:dyDescent="0.25">
      <c r="A42" s="208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10"/>
    </row>
  </sheetData>
  <mergeCells count="44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Q42"/>
    <mergeCell ref="O34:P34"/>
    <mergeCell ref="O35:P35"/>
    <mergeCell ref="O36:P36"/>
    <mergeCell ref="O37:P37"/>
    <mergeCell ref="A38:P38"/>
    <mergeCell ref="A39:Q39"/>
  </mergeCells>
  <printOptions horizontalCentered="1"/>
  <pageMargins left="0.25" right="0.25" top="0.75" bottom="0.75" header="0.51180555555555496" footer="0.51180555555555496"/>
  <pageSetup paperSize="5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2021-01-25T14:48:55Z</cp:lastPrinted>
  <dcterms:created xsi:type="dcterms:W3CDTF">2020-07-17T23:44:49Z</dcterms:created>
  <dcterms:modified xsi:type="dcterms:W3CDTF">2021-08-12T12:03:55Z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