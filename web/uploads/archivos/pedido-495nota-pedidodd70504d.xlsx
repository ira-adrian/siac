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  <sheet name="Planilla Tecnica" sheetId="4" r:id="rId4"/>
  </sheets>
  <definedNames>
    <definedName name="_xlnm.Print_Area" localSheetId="1">' NotaPedido'!$A$1:$K$17</definedName>
    <definedName name="_xlnm.Print_Area" localSheetId="2">'Autor Gastar'!$A$1:$Q$27</definedName>
    <definedName name="_xlnm.Print_Area" localSheetId="3">'Planilla Tecnica'!$A$1:$G$233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2"/>
  <c r="G10" i="1" l="1"/>
  <c r="I10"/>
  <c r="J17" i="2" s="1"/>
  <c r="D10" i="1"/>
  <c r="G6" i="3"/>
  <c r="G7"/>
  <c r="D7" i="2"/>
  <c r="D3"/>
  <c r="G4" i="3" s="1"/>
  <c r="D4" i="2"/>
  <c r="G5" i="3" s="1"/>
  <c r="Q15" l="1"/>
  <c r="A10"/>
  <c r="D1"/>
  <c r="K12" i="2"/>
  <c r="J12"/>
  <c r="I12"/>
  <c r="B12"/>
  <c r="Q23" i="3"/>
  <c r="I15"/>
  <c r="K15" l="1"/>
  <c r="J15"/>
</calcChain>
</file>

<file path=xl/sharedStrings.xml><?xml version="1.0" encoding="utf-8"?>
<sst xmlns="http://schemas.openxmlformats.org/spreadsheetml/2006/main" count="1356" uniqueCount="872">
  <si>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</si>
  <si>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</si>
  <si>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</si>
  <si>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</si>
  <si>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</si>
  <si>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</si>
  <si>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</si>
  <si>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</si>
  <si>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</si>
  <si>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</si>
  <si>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</si>
  <si>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</si>
  <si>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</si>
  <si>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</si>
  <si>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</si>
  <si>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</si>
  <si>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</si>
  <si>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</si>
  <si>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</si>
  <si>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</si>
  <si>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</si>
  <si>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</si>
  <si>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</si>
  <si>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</si>
  <si>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</si>
  <si>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</si>
  <si>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</si>
  <si>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</si>
  <si>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</si>
  <si>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</si>
  <si>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</si>
  <si>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</si>
  <si>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</si>
  <si>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</si>
  <si>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</si>
  <si>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</si>
  <si>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</si>
  <si>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</si>
  <si>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</si>
  <si>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</si>
  <si>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</si>
  <si>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</si>
  <si>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</si>
  <si>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</si>
  <si>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</si>
  <si>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</si>
  <si>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</si>
  <si>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</si>
  <si>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</si>
  <si>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</si>
  <si>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</si>
  <si>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</si>
  <si>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</si>
  <si>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</si>
  <si>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</si>
  <si>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</si>
  <si>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</si>
  <si>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</si>
  <si>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</si>
  <si>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</si>
  <si>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Jefatura de Policía de la Provincia de Catamarca</t>
  </si>
  <si>
    <t xml:space="preserve"> </t>
  </si>
  <si>
    <t>7 - Direccion Provincial de Administracion de la Policia de Catamarca</t>
  </si>
  <si>
    <t>3.5.4-2065.1</t>
  </si>
  <si>
    <t>BANCOS Y SEGUROS</t>
  </si>
  <si>
    <t>SEGURO DE RESPONSABILIDAD; DESCRIPCION: SEGURO DE RESPONSABILIDAD</t>
  </si>
  <si>
    <r>
      <t xml:space="preserve">a) </t>
    </r>
    <r>
      <rPr>
        <b/>
        <sz val="10"/>
        <rFont val="Times New Roman"/>
        <family val="1"/>
      </rPr>
      <t>LUGAR DE ENTREGA: SECCION CONTROL PATRIMONIAL (</t>
    </r>
    <r>
      <rPr>
        <sz val="10"/>
        <rFont val="Times New Roman"/>
        <family val="1"/>
      </rPr>
      <t>Dpto Logística), sito en Chacabuco N° 809 -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Las Pólizas deben entregarse detallando el vehículo que está cubriendo el seguro contratado. 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</si>
  <si>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30 (treinta) días</t>
  </si>
  <si>
    <t>Sección Control Patrimonial - Dpto. Logistica (D-4)</t>
  </si>
  <si>
    <t>Costo total estimado: Un Millon Setecientos Cuarenta y Cinco Mil Setecientos Treinta y Seis con 00/100</t>
  </si>
  <si>
    <t>90/2020</t>
  </si>
  <si>
    <t>TOTAL DE PESOS: Un Millon Setecientos Cuarenta y Cinco Mil Setecientos Treinta y Seis con 00/100</t>
  </si>
  <si>
    <r>
      <rPr>
        <b/>
        <u/>
        <sz val="10"/>
        <rFont val="Times New Roman"/>
        <family val="1"/>
      </rPr>
      <t>CARACTERÍSTICAS</t>
    </r>
    <r>
      <rPr>
        <sz val="10"/>
        <rFont val="Times New Roman"/>
        <family val="1"/>
      </rPr>
      <t xml:space="preserve">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Times New Roman"/>
        <family val="1"/>
      </rPr>
      <t>212</t>
    </r>
    <r>
      <rPr>
        <sz val="10"/>
        <rFont val="Times New Roman"/>
        <family val="1"/>
      </rPr>
      <t xml:space="preserve">  vehiculos que integran el Parque Automotor Policial, cuyos datos se detallan en Anexo. </t>
    </r>
    <r>
      <rPr>
        <b/>
        <sz val="10"/>
        <rFont val="Times New Roman"/>
        <family val="1"/>
      </rPr>
      <t>VIGENCIA: desde  el 30/12/2020 al 30/12/2021.</t>
    </r>
  </si>
  <si>
    <t>Que cumpla íntegramente con lo solicitado y se extienda a todo y cada uno de los vehiculos desagregados en la planilla anexa a la presente.</t>
  </si>
  <si>
    <t>PRIMAS Y GASTOS DE SEGUROS</t>
  </si>
  <si>
    <t>1.1</t>
  </si>
  <si>
    <t>Nº</t>
  </si>
  <si>
    <t>TIPO</t>
  </si>
  <si>
    <t>DOMINIO</t>
  </si>
  <si>
    <t>MARCA</t>
  </si>
  <si>
    <t>MOD.</t>
  </si>
  <si>
    <t>MOTOR</t>
  </si>
  <si>
    <t>CHASIS</t>
  </si>
  <si>
    <t>AUTO</t>
  </si>
  <si>
    <t>OSL-109</t>
  </si>
  <si>
    <t>2NRV274614</t>
  </si>
  <si>
    <t>9BRK29BT3F0055994</t>
  </si>
  <si>
    <t>EUE-056</t>
  </si>
  <si>
    <t>VW POLO</t>
  </si>
  <si>
    <t>1Y958444</t>
  </si>
  <si>
    <t>8AWZZZ9EZ5A688395</t>
  </si>
  <si>
    <t>UVC038611</t>
  </si>
  <si>
    <t>8AWZZZ9EZ9A002754</t>
  </si>
  <si>
    <t>HKX-869</t>
  </si>
  <si>
    <t>UVC038558</t>
  </si>
  <si>
    <t>8AWZZZ9EZ9A002872</t>
  </si>
  <si>
    <t>KSV-199</t>
  </si>
  <si>
    <t>FIAT SIENA</t>
  </si>
  <si>
    <t>8AP17269HC 2241027</t>
  </si>
  <si>
    <t>LYY-007</t>
  </si>
  <si>
    <t>T85148700</t>
  </si>
  <si>
    <t>8AGSE1950DR180215</t>
  </si>
  <si>
    <t>LYY-053</t>
  </si>
  <si>
    <t>T70034459</t>
  </si>
  <si>
    <t>9BGRG6950CG401440</t>
  </si>
  <si>
    <t>HKX-841</t>
  </si>
  <si>
    <t>CHEVR. CORSA</t>
  </si>
  <si>
    <t>7H5145376</t>
  </si>
  <si>
    <t>8AGSB19N09R102420</t>
  </si>
  <si>
    <t>NHS 501</t>
  </si>
  <si>
    <t>TOYOTA COROLLA</t>
  </si>
  <si>
    <t>2ZRM175001</t>
  </si>
  <si>
    <t>9BRBU48E4778689</t>
  </si>
  <si>
    <t>PHO-195</t>
  </si>
  <si>
    <t>FIAT PALIO ATTRACTIVE 1,4</t>
  </si>
  <si>
    <t>327A0552366431</t>
  </si>
  <si>
    <t>8AP196475F4124427</t>
  </si>
  <si>
    <t>PHO-196</t>
  </si>
  <si>
    <t>327A0552346624</t>
  </si>
  <si>
    <t>8AP196475F4123099</t>
  </si>
  <si>
    <t>AB 322 SC</t>
  </si>
  <si>
    <t>2NR4073730</t>
  </si>
  <si>
    <t>9BRK29BT9H0111908</t>
  </si>
  <si>
    <t>MXR-597</t>
  </si>
  <si>
    <t>T85170468</t>
  </si>
  <si>
    <t>8AGSC1950ER113641</t>
  </si>
  <si>
    <t>CAMIONETA</t>
  </si>
  <si>
    <t>LZR-302</t>
  </si>
  <si>
    <t>1KD-5931120</t>
  </si>
  <si>
    <t>8AJEZ32G4D1012111</t>
  </si>
  <si>
    <t>NQS-933</t>
  </si>
  <si>
    <t>2KD-A106134</t>
  </si>
  <si>
    <t>8AJFR22G9D4566063</t>
  </si>
  <si>
    <t>OYW-526</t>
  </si>
  <si>
    <t>2KD-A789175</t>
  </si>
  <si>
    <t>8AJER32G3F4057901</t>
  </si>
  <si>
    <t>OYW-527</t>
  </si>
  <si>
    <t>2KD-A786575</t>
  </si>
  <si>
    <t>8AJER32G0F4057855</t>
  </si>
  <si>
    <t>OYW-528</t>
  </si>
  <si>
    <t>2KD-A786461</t>
  </si>
  <si>
    <t>OYW-530</t>
  </si>
  <si>
    <t>2KD-A790442</t>
  </si>
  <si>
    <t>8AJER32G8F4057909</t>
  </si>
  <si>
    <t>OYW-531</t>
  </si>
  <si>
    <t>2KD-A791057</t>
  </si>
  <si>
    <t>8AJER32G5F4057804</t>
  </si>
  <si>
    <t>FGD-109</t>
  </si>
  <si>
    <t>CHEVROLET S-10 STD 4X2</t>
  </si>
  <si>
    <t>9BG138AC05C425603</t>
  </si>
  <si>
    <t>FGJ-769</t>
  </si>
  <si>
    <t>9BG138AC05C425904</t>
  </si>
  <si>
    <t>LJT-997</t>
  </si>
  <si>
    <t>2KD-5647509</t>
  </si>
  <si>
    <t>8AJER32G1C4041563</t>
  </si>
  <si>
    <t>FHM-882</t>
  </si>
  <si>
    <t>M1T239064</t>
  </si>
  <si>
    <t>9BG138BC06C406383</t>
  </si>
  <si>
    <t>FGD-110</t>
  </si>
  <si>
    <t>9BG138AC05C425771</t>
  </si>
  <si>
    <t xml:space="preserve">AUTOMOVILES </t>
  </si>
  <si>
    <t>TOYOTA ETIOS                 X 1,5 M/T 5P</t>
  </si>
  <si>
    <t xml:space="preserve">HKX-868
</t>
  </si>
  <si>
    <t>178F4055  2176328</t>
  </si>
  <si>
    <t>CHEVROLET CORSA -SPIRIT  LT 1.4</t>
  </si>
  <si>
    <t>CHEVROLET  PRISMA 1,4LS</t>
  </si>
  <si>
    <t xml:space="preserve">CAMIONETAS </t>
  </si>
  <si>
    <t>14</t>
  </si>
  <si>
    <t xml:space="preserve">TOYOTA HILUX 4X2 SR 3.0 TDI </t>
  </si>
  <si>
    <t>15</t>
  </si>
  <si>
    <t>TOYOTA HILUX 4X2  D/C PACK DX 2,5 TDI</t>
  </si>
  <si>
    <t>16</t>
  </si>
  <si>
    <t>17</t>
  </si>
  <si>
    <t>18</t>
  </si>
  <si>
    <t>19</t>
  </si>
  <si>
    <t>20</t>
  </si>
  <si>
    <t>21</t>
  </si>
  <si>
    <t xml:space="preserve">CAMIONETA </t>
  </si>
  <si>
    <t>40704214298</t>
  </si>
  <si>
    <t>22</t>
  </si>
  <si>
    <t>23</t>
  </si>
  <si>
    <t>24</t>
  </si>
  <si>
    <t>25</t>
  </si>
  <si>
    <t>26</t>
  </si>
  <si>
    <t>OZB-152</t>
  </si>
  <si>
    <t xml:space="preserve">TOYOTA HILUX 4X4 SR 3.0 TDI </t>
  </si>
  <si>
    <t>2KD-A797676</t>
  </si>
  <si>
    <t>8AJFR22G7F4580238</t>
  </si>
  <si>
    <t>27</t>
  </si>
  <si>
    <t>OZB-153</t>
  </si>
  <si>
    <t>2KD-A799562</t>
  </si>
  <si>
    <t>8AJFR22G7F4580272</t>
  </si>
  <si>
    <t>28</t>
  </si>
  <si>
    <t>OUL-117</t>
  </si>
  <si>
    <t>1KD-A7366258</t>
  </si>
  <si>
    <t>8AJEZ32G9F1017162</t>
  </si>
  <si>
    <t>29</t>
  </si>
  <si>
    <t>PCN-063</t>
  </si>
  <si>
    <t>2KD-A824596</t>
  </si>
  <si>
    <t>8AJER32G2F4059204</t>
  </si>
  <si>
    <t>30</t>
  </si>
  <si>
    <t>PCN-064</t>
  </si>
  <si>
    <t>2KD-A824348</t>
  </si>
  <si>
    <t>8AJER32G9F4059183</t>
  </si>
  <si>
    <t>31</t>
  </si>
  <si>
    <t>PCN-065</t>
  </si>
  <si>
    <t>2KD-A823692</t>
  </si>
  <si>
    <t>8AJER32G9F4059149</t>
  </si>
  <si>
    <t>32</t>
  </si>
  <si>
    <t>PCN-066</t>
  </si>
  <si>
    <t>2KD-A824560</t>
  </si>
  <si>
    <t>8AJER32G6F4059187</t>
  </si>
  <si>
    <t>33</t>
  </si>
  <si>
    <t>PEB-293</t>
  </si>
  <si>
    <t>2KD-A835061</t>
  </si>
  <si>
    <t>8AJER32G5F4059567</t>
  </si>
  <si>
    <t>34</t>
  </si>
  <si>
    <t>PEG-687</t>
  </si>
  <si>
    <t>2KD-A839103</t>
  </si>
  <si>
    <t>8AJER32G0F4059587</t>
  </si>
  <si>
    <t>35</t>
  </si>
  <si>
    <t>PIO-390</t>
  </si>
  <si>
    <t xml:space="preserve">VOLKSWAGEN AMAROK 4X2 STARTLINE 2,0 </t>
  </si>
  <si>
    <t>CNF059596</t>
  </si>
  <si>
    <t>8AWDD42H3GA002810</t>
  </si>
  <si>
    <t>36</t>
  </si>
  <si>
    <t>PIO-392</t>
  </si>
  <si>
    <t>CNF059822</t>
  </si>
  <si>
    <t>8AWDD42H7GA003328</t>
  </si>
  <si>
    <t>37</t>
  </si>
  <si>
    <t>PIO-394</t>
  </si>
  <si>
    <t>CNF060763</t>
  </si>
  <si>
    <t>8AWDD42H1GA007889</t>
  </si>
  <si>
    <t>38</t>
  </si>
  <si>
    <t>PIO-395</t>
  </si>
  <si>
    <t>2015</t>
  </si>
  <si>
    <t>CNF059474</t>
  </si>
  <si>
    <t>8AWDD42H1GA003230</t>
  </si>
  <si>
    <t>39</t>
  </si>
  <si>
    <t>PIO-396</t>
  </si>
  <si>
    <t>CNF057857</t>
  </si>
  <si>
    <t>8AWDD42H5GA0033361</t>
  </si>
  <si>
    <t>40</t>
  </si>
  <si>
    <t>PIO-397</t>
  </si>
  <si>
    <t>CNF060775</t>
  </si>
  <si>
    <t>8AWDD42H2GA007058</t>
  </si>
  <si>
    <t>41</t>
  </si>
  <si>
    <t>PIO-398</t>
  </si>
  <si>
    <t>CNF057854</t>
  </si>
  <si>
    <t>8AWDD42HXGA003369</t>
  </si>
  <si>
    <t>42</t>
  </si>
  <si>
    <t>PIO-399</t>
  </si>
  <si>
    <t>CNF059685</t>
  </si>
  <si>
    <t>8AWDD42H8GA003323</t>
  </si>
  <si>
    <t>43</t>
  </si>
  <si>
    <t>PIO-400</t>
  </si>
  <si>
    <t>CNF59918</t>
  </si>
  <si>
    <t>8AWDD42H3GA009160</t>
  </si>
  <si>
    <t>44</t>
  </si>
  <si>
    <t>PIO-401</t>
  </si>
  <si>
    <t>CNF060074</t>
  </si>
  <si>
    <t>8AWDD42H4GA009085</t>
  </si>
  <si>
    <t>45</t>
  </si>
  <si>
    <t>PIO-402</t>
  </si>
  <si>
    <t>CNF059698</t>
  </si>
  <si>
    <t>8AWDD42H7GA003314</t>
  </si>
  <si>
    <t>46</t>
  </si>
  <si>
    <t>PIO-403</t>
  </si>
  <si>
    <t>CNF059606</t>
  </si>
  <si>
    <t>8AWDD42H7GA003524</t>
  </si>
  <si>
    <t>47</t>
  </si>
  <si>
    <t>PIO-404</t>
  </si>
  <si>
    <t>CNF057850</t>
  </si>
  <si>
    <t>8AWDD42H6GA003367</t>
  </si>
  <si>
    <t>48</t>
  </si>
  <si>
    <t>PIO-405</t>
  </si>
  <si>
    <t>CNF058298</t>
  </si>
  <si>
    <t>8AWDD42H7GA003149</t>
  </si>
  <si>
    <t>49</t>
  </si>
  <si>
    <t>PIO-406</t>
  </si>
  <si>
    <t>CNF059329</t>
  </si>
  <si>
    <t>8AWDD42H0GA003509</t>
  </si>
  <si>
    <t>50</t>
  </si>
  <si>
    <t>PIO-407</t>
  </si>
  <si>
    <t>CNF059334</t>
  </si>
  <si>
    <t>8AWDD42HXGA003484</t>
  </si>
  <si>
    <t>51</t>
  </si>
  <si>
    <t>PIO-408</t>
  </si>
  <si>
    <t>CNF059508</t>
  </si>
  <si>
    <t>8AWDD42H9GA002844</t>
  </si>
  <si>
    <t>52</t>
  </si>
  <si>
    <t>PIO-409</t>
  </si>
  <si>
    <t>CNF059882</t>
  </si>
  <si>
    <t>8AWDD42H0GA003350</t>
  </si>
  <si>
    <t>53</t>
  </si>
  <si>
    <t>PIO-417</t>
  </si>
  <si>
    <t>CNF060226</t>
  </si>
  <si>
    <t>8AWDD42H9GA003265</t>
  </si>
  <si>
    <t>54</t>
  </si>
  <si>
    <t>PIO-418</t>
  </si>
  <si>
    <t>8AWDD42H9GA003217</t>
  </si>
  <si>
    <t>55</t>
  </si>
  <si>
    <t>PIO-419</t>
  </si>
  <si>
    <t>CNF060978</t>
  </si>
  <si>
    <t>8AWDD42H7GA007069</t>
  </si>
  <si>
    <t>56</t>
  </si>
  <si>
    <t>PIQ-540</t>
  </si>
  <si>
    <t>CNF060489</t>
  </si>
  <si>
    <t>8AWDD42H6GA006642</t>
  </si>
  <si>
    <t>57</t>
  </si>
  <si>
    <t>PIQ-541</t>
  </si>
  <si>
    <t>CNF059421</t>
  </si>
  <si>
    <t>8AWDD42H2GA008775</t>
  </si>
  <si>
    <t>58</t>
  </si>
  <si>
    <t>PIQ-542</t>
  </si>
  <si>
    <t>CNF060183</t>
  </si>
  <si>
    <t>8AWDD42H5GA007880</t>
  </si>
  <si>
    <t>59</t>
  </si>
  <si>
    <t>PIQ-543</t>
  </si>
  <si>
    <t>CNF059829</t>
  </si>
  <si>
    <t>8AWDD42H2GA003334</t>
  </si>
  <si>
    <t>60</t>
  </si>
  <si>
    <t>PIQ-545</t>
  </si>
  <si>
    <t>CNF057846</t>
  </si>
  <si>
    <t>8AWDD42H1GA003387</t>
  </si>
  <si>
    <t>61</t>
  </si>
  <si>
    <t>PIQ-546</t>
  </si>
  <si>
    <t>CNF059510</t>
  </si>
  <si>
    <t>8AWDD42H5GA002825</t>
  </si>
  <si>
    <t>62</t>
  </si>
  <si>
    <t>PIQ-547</t>
  </si>
  <si>
    <t>CNF059663</t>
  </si>
  <si>
    <t>8AWDD42HXGA003288</t>
  </si>
  <si>
    <t>63</t>
  </si>
  <si>
    <t>PIQ-548</t>
  </si>
  <si>
    <t>CNF061376</t>
  </si>
  <si>
    <t>8AWDD42H4GA008812</t>
  </si>
  <si>
    <t>64</t>
  </si>
  <si>
    <t>PIQ-549</t>
  </si>
  <si>
    <t>CNF058381</t>
  </si>
  <si>
    <t>8AWDD42H8GA007050</t>
  </si>
  <si>
    <t>65</t>
  </si>
  <si>
    <t>PIQ-550</t>
  </si>
  <si>
    <t>CNF060051</t>
  </si>
  <si>
    <t>8AWDD42H8GA009090</t>
  </si>
  <si>
    <t>66</t>
  </si>
  <si>
    <t>PIQ-552</t>
  </si>
  <si>
    <t>CNF061032</t>
  </si>
  <si>
    <t>8AWDD42H3GA009224</t>
  </si>
  <si>
    <t>67</t>
  </si>
  <si>
    <t>PIQ-554</t>
  </si>
  <si>
    <t>CNF059296</t>
  </si>
  <si>
    <t>8AWDD42H6GA003014</t>
  </si>
  <si>
    <t>68</t>
  </si>
  <si>
    <t>PIQ-555</t>
  </si>
  <si>
    <t>CNF059937</t>
  </si>
  <si>
    <t>8AWDD42HXGA008183</t>
  </si>
  <si>
    <t>69</t>
  </si>
  <si>
    <t>PIQ-556</t>
  </si>
  <si>
    <t>CNF060242</t>
  </si>
  <si>
    <t>8AWDD42H8GA003273</t>
  </si>
  <si>
    <t>70</t>
  </si>
  <si>
    <t>PIQ-557</t>
  </si>
  <si>
    <t>CNF060034</t>
  </si>
  <si>
    <t>8AWDD42HXGA003260</t>
  </si>
  <si>
    <t>71</t>
  </si>
  <si>
    <t>PIQ-559</t>
  </si>
  <si>
    <t>CNF060036</t>
  </si>
  <si>
    <t>8AWDD42H4GA003254</t>
  </si>
  <si>
    <t>72</t>
  </si>
  <si>
    <t>PIQ-560</t>
  </si>
  <si>
    <t>CNF059830</t>
  </si>
  <si>
    <t>8AWDD42H1GA003356</t>
  </si>
  <si>
    <t>73</t>
  </si>
  <si>
    <t>PIQ-561</t>
  </si>
  <si>
    <t>CNF058279</t>
  </si>
  <si>
    <t>8AWDD42H1GA003163</t>
  </si>
  <si>
    <t>74</t>
  </si>
  <si>
    <t>PIQ-562</t>
  </si>
  <si>
    <t>CNF058137</t>
  </si>
  <si>
    <t>8AWDD42H9GA003458</t>
  </si>
  <si>
    <t>75</t>
  </si>
  <si>
    <t>PIQ-563</t>
  </si>
  <si>
    <t>CNF059706</t>
  </si>
  <si>
    <t>8AWDD42H6GA003532</t>
  </si>
  <si>
    <t>76</t>
  </si>
  <si>
    <t>PIQ-566</t>
  </si>
  <si>
    <t>CNF060190</t>
  </si>
  <si>
    <t>8AWDD42H2GA007691</t>
  </si>
  <si>
    <t>77</t>
  </si>
  <si>
    <t>PIQ-567</t>
  </si>
  <si>
    <t>CNF060691</t>
  </si>
  <si>
    <t>8AWDD42HXGA007129</t>
  </si>
  <si>
    <t>78</t>
  </si>
  <si>
    <t>PIQ-568</t>
  </si>
  <si>
    <t>CNF059920</t>
  </si>
  <si>
    <t>8AWDD42H1GA008685</t>
  </si>
  <si>
    <t>79</t>
  </si>
  <si>
    <t>PIQ-570</t>
  </si>
  <si>
    <t>CNF059715</t>
  </si>
  <si>
    <t>8AWDD42H2GA003317</t>
  </si>
  <si>
    <t>80</t>
  </si>
  <si>
    <t>PIQ-571</t>
  </si>
  <si>
    <t>CNF059664</t>
  </si>
  <si>
    <t>8AWDD42H2GA003303</t>
  </si>
  <si>
    <t>81</t>
  </si>
  <si>
    <t>PIQ-573</t>
  </si>
  <si>
    <t>CNF059340</t>
  </si>
  <si>
    <t>8AWDD42H8GA002883</t>
  </si>
  <si>
    <t>82</t>
  </si>
  <si>
    <t>PIQ-574</t>
  </si>
  <si>
    <t>CNF057855</t>
  </si>
  <si>
    <t>8AWDD42H0GA003364</t>
  </si>
  <si>
    <t>83</t>
  </si>
  <si>
    <t>PIQ-575</t>
  </si>
  <si>
    <t>CNF060279</t>
  </si>
  <si>
    <t>8AWDD42H8GA007176</t>
  </si>
  <si>
    <t>84</t>
  </si>
  <si>
    <t>PIQ-576</t>
  </si>
  <si>
    <t>CNF060696</t>
  </si>
  <si>
    <t>8AWDD42H8GA007128</t>
  </si>
  <si>
    <t>85</t>
  </si>
  <si>
    <t>PHV-803</t>
  </si>
  <si>
    <t>2KD-A865632</t>
  </si>
  <si>
    <t>8AJER32G4F4061858</t>
  </si>
  <si>
    <t>86</t>
  </si>
  <si>
    <t>AD 922 FA</t>
  </si>
  <si>
    <t>CHEVROLET S-10  TD 4X2 LS</t>
  </si>
  <si>
    <t>LWNF190981136</t>
  </si>
  <si>
    <t>9BG148CK0LC401712</t>
  </si>
  <si>
    <t>87</t>
  </si>
  <si>
    <t>AD 922 FB</t>
  </si>
  <si>
    <t>LWNF190991037</t>
  </si>
  <si>
    <t>9BG148CK0LC401707</t>
  </si>
  <si>
    <t>88</t>
  </si>
  <si>
    <t>AD 922 FC</t>
  </si>
  <si>
    <t>LWNF190981126</t>
  </si>
  <si>
    <t>9BG148CK0LC401677</t>
  </si>
  <si>
    <t>89</t>
  </si>
  <si>
    <t>AD 922 FD</t>
  </si>
  <si>
    <t>LWNF190851068</t>
  </si>
  <si>
    <t>9BG148CK0LC400227</t>
  </si>
  <si>
    <t>90</t>
  </si>
  <si>
    <t>AD 922 FE</t>
  </si>
  <si>
    <t>LWNF190981178</t>
  </si>
  <si>
    <t>9BG148CK0LC401661</t>
  </si>
  <si>
    <t>91</t>
  </si>
  <si>
    <t>AD 922 FF</t>
  </si>
  <si>
    <t>LWNF190991016</t>
  </si>
  <si>
    <t>9BG148CK0LC401741</t>
  </si>
  <si>
    <t>92</t>
  </si>
  <si>
    <t>AD 922 FG</t>
  </si>
  <si>
    <t>LWNF190981077</t>
  </si>
  <si>
    <t>9BG148CK0LC401672</t>
  </si>
  <si>
    <t>93</t>
  </si>
  <si>
    <t>AD 922 FH</t>
  </si>
  <si>
    <t>LWNF190861066</t>
  </si>
  <si>
    <t>9BG148CK0LC400210</t>
  </si>
  <si>
    <t>94</t>
  </si>
  <si>
    <t>AD 922 FI</t>
  </si>
  <si>
    <t>LWNF190981110</t>
  </si>
  <si>
    <t>9BG148CK0LC401737</t>
  </si>
  <si>
    <t>95</t>
  </si>
  <si>
    <t>AD 922 FJ</t>
  </si>
  <si>
    <t>LWNF190851062</t>
  </si>
  <si>
    <t>9BG148CK0LC400218</t>
  </si>
  <si>
    <t>96</t>
  </si>
  <si>
    <t>AD 922 FK</t>
  </si>
  <si>
    <t>LWNF190981134</t>
  </si>
  <si>
    <t>9BG148CK0LC401732</t>
  </si>
  <si>
    <t>97</t>
  </si>
  <si>
    <t>AD 922 FL</t>
  </si>
  <si>
    <t>LWNF190301017</t>
  </si>
  <si>
    <t>9BG148CK0LC400188</t>
  </si>
  <si>
    <t>98</t>
  </si>
  <si>
    <t>AD 897 EY</t>
  </si>
  <si>
    <t>LWNF190991020</t>
  </si>
  <si>
    <t>9BG148CK0LC401749</t>
  </si>
  <si>
    <t>99</t>
  </si>
  <si>
    <t>AD 897 EZ</t>
  </si>
  <si>
    <t>LWNF190981139</t>
  </si>
  <si>
    <t>9BG148CK0LC401739</t>
  </si>
  <si>
    <t>100</t>
  </si>
  <si>
    <t>AE 290 OT</t>
  </si>
  <si>
    <t>TOYOTA HILUX 4X4  D/C DX 2,4 TDI 6 M/T</t>
  </si>
  <si>
    <t>2020</t>
  </si>
  <si>
    <t>2GD-G156129</t>
  </si>
  <si>
    <t>8AJDB3CD2L1302799</t>
  </si>
  <si>
    <t>101</t>
  </si>
  <si>
    <t>AE 290 OU</t>
  </si>
  <si>
    <t>2GD-0743967</t>
  </si>
  <si>
    <t>8AJDB3CD9L1301813</t>
  </si>
  <si>
    <t>102</t>
  </si>
  <si>
    <t>AE 290 OV</t>
  </si>
  <si>
    <t>2GD-0753555</t>
  </si>
  <si>
    <t>8AJDB3CDXL1302145</t>
  </si>
  <si>
    <t>103</t>
  </si>
  <si>
    <t>AE 290 OW</t>
  </si>
  <si>
    <t>2GD-G164416</t>
  </si>
  <si>
    <t>8AJDB3CD9L1303092</t>
  </si>
  <si>
    <t>104</t>
  </si>
  <si>
    <t>AE 290 OX</t>
  </si>
  <si>
    <t>2GD-G156166</t>
  </si>
  <si>
    <t>8AJDB3CD5L1302800</t>
  </si>
  <si>
    <t>105</t>
  </si>
  <si>
    <t>AE 290 OY</t>
  </si>
  <si>
    <t>2GD-G164667</t>
  </si>
  <si>
    <t>8AJDB3CD7L1303110</t>
  </si>
  <si>
    <t>106</t>
  </si>
  <si>
    <t>AE 290 OZ</t>
  </si>
  <si>
    <t>2GD-G163823</t>
  </si>
  <si>
    <t>8AJDB3CD3L1303055</t>
  </si>
  <si>
    <t>107</t>
  </si>
  <si>
    <t xml:space="preserve">AE 317 XA </t>
  </si>
  <si>
    <t>2GD-G163509</t>
  </si>
  <si>
    <t>8AJDB3CD8L1303035</t>
  </si>
  <si>
    <t>108</t>
  </si>
  <si>
    <t xml:space="preserve">AE 317 XC </t>
  </si>
  <si>
    <t>2GD-G163505</t>
  </si>
  <si>
    <t>8AJDB3CD6L1303034</t>
  </si>
  <si>
    <t>109</t>
  </si>
  <si>
    <t>AE 317 XD</t>
  </si>
  <si>
    <t>2GD-G164085</t>
  </si>
  <si>
    <t>8AJDB3CD3L1303072</t>
  </si>
  <si>
    <t>110</t>
  </si>
  <si>
    <t>AE 317 XJ</t>
  </si>
  <si>
    <t>2GD0767416</t>
  </si>
  <si>
    <t>8AJDB3CD4L1302626</t>
  </si>
  <si>
    <t>111</t>
  </si>
  <si>
    <t>AE 317 XK</t>
  </si>
  <si>
    <t>2GD-0701409</t>
  </si>
  <si>
    <t>8AJDB3CD0L1302672</t>
  </si>
  <si>
    <t>112</t>
  </si>
  <si>
    <t>AE 317 XL</t>
  </si>
  <si>
    <t>2GD0755592</t>
  </si>
  <si>
    <t>8AJDB3CD7L1302586</t>
  </si>
  <si>
    <t>113</t>
  </si>
  <si>
    <t>AE 317 XN</t>
  </si>
  <si>
    <t>2GD-0764118</t>
  </si>
  <si>
    <t>8AJDB3CD1L1302535</t>
  </si>
  <si>
    <t>114</t>
  </si>
  <si>
    <t>AE 317 XM</t>
  </si>
  <si>
    <t>2GD0757946</t>
  </si>
  <si>
    <t>8AJDB3CD5L1302487</t>
  </si>
  <si>
    <t>115</t>
  </si>
  <si>
    <t>AE 317 XP</t>
  </si>
  <si>
    <t>2GD0760525</t>
  </si>
  <si>
    <t>8AJDB3CDXL1302405</t>
  </si>
  <si>
    <t>116</t>
  </si>
  <si>
    <t>AE 317 XQ</t>
  </si>
  <si>
    <t>2GD0761139</t>
  </si>
  <si>
    <t>8AJDB3CD8L1302418</t>
  </si>
  <si>
    <t>117</t>
  </si>
  <si>
    <t>AE 317 XR</t>
  </si>
  <si>
    <t>2GD0767151</t>
  </si>
  <si>
    <t>8AJDB3CD9L1302637</t>
  </si>
  <si>
    <t>118</t>
  </si>
  <si>
    <t>AE 317 XS</t>
  </si>
  <si>
    <t>2GD0764293</t>
  </si>
  <si>
    <t>8AJDB3CD4L1302531</t>
  </si>
  <si>
    <t>119</t>
  </si>
  <si>
    <t>AE 317 XT</t>
  </si>
  <si>
    <t>2GD-0763500</t>
  </si>
  <si>
    <t>8AJDB3CD6L1302515</t>
  </si>
  <si>
    <t>120</t>
  </si>
  <si>
    <t>AE 317 XU</t>
  </si>
  <si>
    <t>2GD-0768366</t>
  </si>
  <si>
    <t>8AJDB3CDXL1302663</t>
  </si>
  <si>
    <t>121</t>
  </si>
  <si>
    <t>AE 317 XV</t>
  </si>
  <si>
    <t>2GD0757781</t>
  </si>
  <si>
    <t>8AJDB3CD5L1302490</t>
  </si>
  <si>
    <t>122</t>
  </si>
  <si>
    <t>AE 317 XW</t>
  </si>
  <si>
    <t>2GD0760807</t>
  </si>
  <si>
    <t>8AJDB3CD3L1302407</t>
  </si>
  <si>
    <t>123</t>
  </si>
  <si>
    <t>AE 317 XX</t>
  </si>
  <si>
    <t>2GD0761123</t>
  </si>
  <si>
    <t>8AJDB3CD8L1302421</t>
  </si>
  <si>
    <t>124</t>
  </si>
  <si>
    <t>OPG-744</t>
  </si>
  <si>
    <t>2KD-A661909</t>
  </si>
  <si>
    <t>8AJER32G8F4056002</t>
  </si>
  <si>
    <t xml:space="preserve">UTILITARIOS </t>
  </si>
  <si>
    <t>UTILITARIO</t>
  </si>
  <si>
    <t>OPX-343</t>
  </si>
  <si>
    <t>RENAULT KANGOO</t>
  </si>
  <si>
    <t>K4MJ730Q153135</t>
  </si>
  <si>
    <t>8A1FC1315FL738957</t>
  </si>
  <si>
    <t>OPX-344</t>
  </si>
  <si>
    <t>K4MJ730Q144802</t>
  </si>
  <si>
    <t>8A1FC1315FL498441</t>
  </si>
  <si>
    <t>127</t>
  </si>
  <si>
    <t>FPF-665</t>
  </si>
  <si>
    <t>MERCEDEZ BENZ SPRINTER</t>
  </si>
  <si>
    <t>8AC9036726A944356</t>
  </si>
  <si>
    <t>HKX-860</t>
  </si>
  <si>
    <t>CITROEN BERLINGO</t>
  </si>
  <si>
    <t>10DXBE0049260</t>
  </si>
  <si>
    <t>8BCMFWJZF9G503429</t>
  </si>
  <si>
    <t>HKX-861</t>
  </si>
  <si>
    <t>10DXBE0049553</t>
  </si>
  <si>
    <t>8BCMFWJZF9G503452</t>
  </si>
  <si>
    <t>130</t>
  </si>
  <si>
    <t>HKX-863</t>
  </si>
  <si>
    <t>10DXBE0047228</t>
  </si>
  <si>
    <t>8BCMBWJZF9G555587</t>
  </si>
  <si>
    <t>HKX-864</t>
  </si>
  <si>
    <t>10DXBE0049749</t>
  </si>
  <si>
    <t>8BCMBWJZF9G504328</t>
  </si>
  <si>
    <t>OOT-963</t>
  </si>
  <si>
    <t>FIAT DUCATO MAXICARGO</t>
  </si>
  <si>
    <t>93W245G84E2131024</t>
  </si>
  <si>
    <t>133</t>
  </si>
  <si>
    <t>OOT-964</t>
  </si>
  <si>
    <t>93W245G84E2120321</t>
  </si>
  <si>
    <t>MINIBUS</t>
  </si>
  <si>
    <t>HEM-457</t>
  </si>
  <si>
    <t>611981-70072429</t>
  </si>
  <si>
    <t>8AC9046638A983217</t>
  </si>
  <si>
    <t xml:space="preserve">CAMIONES </t>
  </si>
  <si>
    <t>CAMIÓN JAULA</t>
  </si>
  <si>
    <t>VII-506</t>
  </si>
  <si>
    <t>MERCEDEZ BENZ 1215</t>
  </si>
  <si>
    <t>341042-10-03300</t>
  </si>
  <si>
    <t>FZT-783</t>
  </si>
  <si>
    <t>MERCEDEZ BENZ L-1218.6L(CABINA BLANCA JAULA AZUL)</t>
  </si>
  <si>
    <t>904938U0701544</t>
  </si>
  <si>
    <t>9BM6940007B503596</t>
  </si>
  <si>
    <t>CAMION VOLCADOR</t>
  </si>
  <si>
    <t>HVU-683</t>
  </si>
  <si>
    <t>VOLKSWAGEN</t>
  </si>
  <si>
    <t>G1T111162</t>
  </si>
  <si>
    <t>9BWB172S09R907813</t>
  </si>
  <si>
    <t>AUTOBOMBA B-8</t>
  </si>
  <si>
    <t>HVU-684</t>
  </si>
  <si>
    <t>G1T110738</t>
  </si>
  <si>
    <t>9BWB172S89R905534</t>
  </si>
  <si>
    <t xml:space="preserve">AUTOBOMBA B-9 AEROPUERTO </t>
  </si>
  <si>
    <t>IFJ- 295</t>
  </si>
  <si>
    <t>FORD CARGO 1832</t>
  </si>
  <si>
    <t>9BFYCAWYO9BB16113</t>
  </si>
  <si>
    <t>CAMION RAMPA 9150</t>
  </si>
  <si>
    <t>HVU-681</t>
  </si>
  <si>
    <t>9BWAA52R39R848365</t>
  </si>
  <si>
    <t>CAMION TÉRMICO 9150 E</t>
  </si>
  <si>
    <t>HVU-682</t>
  </si>
  <si>
    <t>9BWAA52R09R850042</t>
  </si>
  <si>
    <t xml:space="preserve">MOTOCICLETAS   </t>
  </si>
  <si>
    <t>MOTOCICLETA</t>
  </si>
  <si>
    <t>A-041-LNW</t>
  </si>
  <si>
    <t>HONDA XR 150 L</t>
  </si>
  <si>
    <t>KD07E-2244374</t>
  </si>
  <si>
    <t>8CHKD0900HP005271</t>
  </si>
  <si>
    <t>236-KQC</t>
  </si>
  <si>
    <t>HONDA XR125 L</t>
  </si>
  <si>
    <t>JD21E-2260668</t>
  </si>
  <si>
    <t>8CHJD19A6EL010834</t>
  </si>
  <si>
    <t>A-018-CVC</t>
  </si>
  <si>
    <t>HONDA - XR 250 TORNADO</t>
  </si>
  <si>
    <t>MD34E-H850920</t>
  </si>
  <si>
    <t>8CHMD3400HP000643</t>
  </si>
  <si>
    <t>548-CQT</t>
  </si>
  <si>
    <t>MD34E-5511756</t>
  </si>
  <si>
    <t>9C2MD34005R511756</t>
  </si>
  <si>
    <t>753-LBV</t>
  </si>
  <si>
    <t>CORVEN TRIAX 250cc</t>
  </si>
  <si>
    <t>ZS167FMM5F100219</t>
  </si>
  <si>
    <t>8CVJCPL04FA003506</t>
  </si>
  <si>
    <t>754-LBV</t>
  </si>
  <si>
    <t>ZS167FMM5F100148</t>
  </si>
  <si>
    <t>8CVJCPL01FA003494</t>
  </si>
  <si>
    <t>893-CKL</t>
  </si>
  <si>
    <t xml:space="preserve"> BIZ 105 CC.</t>
  </si>
  <si>
    <t>HA07E-65001614</t>
  </si>
  <si>
    <t>9C2HA07605R001614</t>
  </si>
  <si>
    <t>878-DHP</t>
  </si>
  <si>
    <t>HONDA XR-200</t>
  </si>
  <si>
    <t>MD28E - 97202339</t>
  </si>
  <si>
    <t>9C2MD28907R202339</t>
  </si>
  <si>
    <t>880-DHP</t>
  </si>
  <si>
    <t>HONDA XL-200</t>
  </si>
  <si>
    <t>MD28E - 97202330</t>
  </si>
  <si>
    <t>9C2MD28947R202330</t>
  </si>
  <si>
    <t>198-GQR</t>
  </si>
  <si>
    <t>MD34E-A516339</t>
  </si>
  <si>
    <t>9C2MD3400AR516339</t>
  </si>
  <si>
    <t>021-JHC</t>
  </si>
  <si>
    <t>JC30E-6778252</t>
  </si>
  <si>
    <t>8CHJD19A6DL001609</t>
  </si>
  <si>
    <t>541-CQT</t>
  </si>
  <si>
    <t>MD34E-5511633</t>
  </si>
  <si>
    <t>9C2MD34005R511633</t>
  </si>
  <si>
    <t>224-KQC</t>
  </si>
  <si>
    <t>JD21E-2263515</t>
  </si>
  <si>
    <t>8CHJD19A6EL012502</t>
  </si>
  <si>
    <t>225-KQC</t>
  </si>
  <si>
    <t>JD21E-2263004</t>
  </si>
  <si>
    <t>8CHJD19A6EL012388</t>
  </si>
  <si>
    <t>226-KQC</t>
  </si>
  <si>
    <t>JD21E-2262997</t>
  </si>
  <si>
    <t>8CHJD19A6EL012356</t>
  </si>
  <si>
    <t>228-KQC</t>
  </si>
  <si>
    <t>JD21E-2193879</t>
  </si>
  <si>
    <t>8CHJD19A6EL002911</t>
  </si>
  <si>
    <t>229-KQC</t>
  </si>
  <si>
    <t>JD21E-2194282</t>
  </si>
  <si>
    <t>8CHJD19A6EL002918</t>
  </si>
  <si>
    <t>230-KQC</t>
  </si>
  <si>
    <t>JD21E-2186003</t>
  </si>
  <si>
    <t>8CHJD19A6DL019026</t>
  </si>
  <si>
    <t>232-KQC</t>
  </si>
  <si>
    <t>JD21E-2263309</t>
  </si>
  <si>
    <t>8CHJD19A6EL012280</t>
  </si>
  <si>
    <t>233-KQC</t>
  </si>
  <si>
    <t>JD21E-2203236</t>
  </si>
  <si>
    <t>8CHJD19A6EL010895</t>
  </si>
  <si>
    <t>238-KQC</t>
  </si>
  <si>
    <t>JD21E-2260671</t>
  </si>
  <si>
    <t>8CHJD19A6EL010832</t>
  </si>
  <si>
    <t>239-KQC</t>
  </si>
  <si>
    <t>JD21E-2260666</t>
  </si>
  <si>
    <t>8CHJD19A6EL010862</t>
  </si>
  <si>
    <t>240-KQC</t>
  </si>
  <si>
    <t>JD21E-2194555</t>
  </si>
  <si>
    <t>8CHJD19A6EL003194</t>
  </si>
  <si>
    <t>241-KQC</t>
  </si>
  <si>
    <t>JD21E-2263576</t>
  </si>
  <si>
    <t>8CHJD19A6EL012437</t>
  </si>
  <si>
    <t>243-KQC</t>
  </si>
  <si>
    <t>JD21E-2260637</t>
  </si>
  <si>
    <t>8CHJD19A6EL010885</t>
  </si>
  <si>
    <t>245-KQC</t>
  </si>
  <si>
    <t>JD21E-2203473</t>
  </si>
  <si>
    <t>8CHJD19A6EL009100</t>
  </si>
  <si>
    <t>246-KQC</t>
  </si>
  <si>
    <t>JD21E-2201634</t>
  </si>
  <si>
    <t>8CHJD19A6EL007756</t>
  </si>
  <si>
    <t>247-KQC</t>
  </si>
  <si>
    <t>JD21E-2260681</t>
  </si>
  <si>
    <t>8CHJD19A6EL010889</t>
  </si>
  <si>
    <t>049-KVW</t>
  </si>
  <si>
    <t>JD21E-2263759</t>
  </si>
  <si>
    <t>8CHJD19A6EL012604</t>
  </si>
  <si>
    <t>050-KVW</t>
  </si>
  <si>
    <t>JD21E-2266191</t>
  </si>
  <si>
    <t>8CHJD19A6EL015382</t>
  </si>
  <si>
    <t>051-KVW</t>
  </si>
  <si>
    <t>JD21E-2263698</t>
  </si>
  <si>
    <t>8CHJD19A6EL012578</t>
  </si>
  <si>
    <t>053-KVW</t>
  </si>
  <si>
    <t>JD21E-2263780</t>
  </si>
  <si>
    <t>8CHJD19A6EL012596</t>
  </si>
  <si>
    <t>055-KVW</t>
  </si>
  <si>
    <t>JD21E-2263754</t>
  </si>
  <si>
    <t>8CHJD19A6EL012537</t>
  </si>
  <si>
    <t>056-KVW</t>
  </si>
  <si>
    <t>JD21E-2265483</t>
  </si>
  <si>
    <t>8CHJD19A6EL014195</t>
  </si>
  <si>
    <t>057-KVW</t>
  </si>
  <si>
    <t>JD21E-2265873</t>
  </si>
  <si>
    <t>8CHJD19A6EL014201</t>
  </si>
  <si>
    <t>058-KVW</t>
  </si>
  <si>
    <t>JD21E-2265486</t>
  </si>
  <si>
    <t>8CHJD19A6EL014196</t>
  </si>
  <si>
    <t>059-KVW</t>
  </si>
  <si>
    <t>JD21E-2263758</t>
  </si>
  <si>
    <t>8CHJD19A6EL012607</t>
  </si>
  <si>
    <t>060-KVW</t>
  </si>
  <si>
    <t>JD21E-2265500</t>
  </si>
  <si>
    <t>8CHJD19A6EL014209</t>
  </si>
  <si>
    <t>061-KVW</t>
  </si>
  <si>
    <t>JD21E-2263520</t>
  </si>
  <si>
    <t>8CHJD19A6EL012513</t>
  </si>
  <si>
    <t>062-KVW</t>
  </si>
  <si>
    <t>JD21E-2266328</t>
  </si>
  <si>
    <t>8CHJD19A6EL015243</t>
  </si>
  <si>
    <t>063-KVW</t>
  </si>
  <si>
    <t>JD21E-2265495</t>
  </si>
  <si>
    <t>8CHJD19A6EL014205</t>
  </si>
  <si>
    <t>064-KVW</t>
  </si>
  <si>
    <t>JD21E-2265497</t>
  </si>
  <si>
    <t>8CHJD19A6EL014206</t>
  </si>
  <si>
    <t>542-LBV</t>
  </si>
  <si>
    <t>CORVEN TRIAX 150cc</t>
  </si>
  <si>
    <t>ZS162FMJ-8F105291</t>
  </si>
  <si>
    <t>LZSJCKLC4F5003281</t>
  </si>
  <si>
    <t>543-LBV</t>
  </si>
  <si>
    <t>ZS162FMJ-8F105282</t>
  </si>
  <si>
    <t>LZSJCKLC0F5003326</t>
  </si>
  <si>
    <t>545-LBV</t>
  </si>
  <si>
    <t>ZS162FMJ-8F105138</t>
  </si>
  <si>
    <t>LZSJCKLC3F5003255</t>
  </si>
  <si>
    <t>536-CQT</t>
  </si>
  <si>
    <t>MD34E-5511628</t>
  </si>
  <si>
    <t>9C2MD34005R511628</t>
  </si>
  <si>
    <t>745-LBV</t>
  </si>
  <si>
    <t>HONDA NX400 FALCON</t>
  </si>
  <si>
    <t>ND07E-E701456</t>
  </si>
  <si>
    <t>8CHND0710FL000568</t>
  </si>
  <si>
    <t>894-LET</t>
  </si>
  <si>
    <t>ND07E-E701962</t>
  </si>
  <si>
    <t>8CHND0710FL001373</t>
  </si>
  <si>
    <t>A-045-EUR</t>
  </si>
  <si>
    <t>Z5167FMM5F500020</t>
  </si>
  <si>
    <t>8CVJCPL08FA005307</t>
  </si>
  <si>
    <t>A-045-EUS</t>
  </si>
  <si>
    <t>Z5167FMM5F600418</t>
  </si>
  <si>
    <t>8CVJCPL0XFA006250</t>
  </si>
  <si>
    <t>A-045-EUU</t>
  </si>
  <si>
    <t>Z5167FMM8F102045</t>
  </si>
  <si>
    <t>8CVJCPL06FA004513</t>
  </si>
  <si>
    <t>A-074 JHU</t>
  </si>
  <si>
    <t>KD07E-2341569</t>
  </si>
  <si>
    <t>8CHKD0900JP005784</t>
  </si>
  <si>
    <t>A-074 JHV</t>
  </si>
  <si>
    <t>KD07E-2340600</t>
  </si>
  <si>
    <t>8CHKD0900JP005316</t>
  </si>
  <si>
    <t>A-074 JHW</t>
  </si>
  <si>
    <t>KD07E-2341693</t>
  </si>
  <si>
    <t>8CHKD0900JP005749</t>
  </si>
  <si>
    <t>A-074 JHX</t>
  </si>
  <si>
    <t>KD07E-2344585</t>
  </si>
  <si>
    <t>8CHKD0900JP005718</t>
  </si>
  <si>
    <t>A-074 JHY</t>
  </si>
  <si>
    <t>KD07E-2344573</t>
  </si>
  <si>
    <t>8CHKD0900JP005706</t>
  </si>
  <si>
    <t>A-074 JHZ</t>
  </si>
  <si>
    <t>KD07E-2341700</t>
  </si>
  <si>
    <t>8CHKD0900JP005752</t>
  </si>
  <si>
    <t>A-074 JIB</t>
  </si>
  <si>
    <t>KD07E-2344575</t>
  </si>
  <si>
    <t>8CHKD0900JP005714</t>
  </si>
  <si>
    <t>A-074 JIC</t>
  </si>
  <si>
    <t>KD07E-2341556</t>
  </si>
  <si>
    <t>8CHKD0900JP005778</t>
  </si>
  <si>
    <t>A-074 JID</t>
  </si>
  <si>
    <t>KD07E-2344623</t>
  </si>
  <si>
    <t>8CHKD0900JP005408</t>
  </si>
  <si>
    <t>A-074 JIE</t>
  </si>
  <si>
    <t>KD07E-2344588</t>
  </si>
  <si>
    <t>8CHKD0900JP005703</t>
  </si>
  <si>
    <t>A-076 UBY</t>
  </si>
  <si>
    <t>MD34E-J015917</t>
  </si>
  <si>
    <t>8CHMD3410JP010902</t>
  </si>
  <si>
    <t>A-076 UBZ</t>
  </si>
  <si>
    <t>MD34E-J016174</t>
  </si>
  <si>
    <t>8CHMD3410JP010924</t>
  </si>
  <si>
    <t>A-076 UCA</t>
  </si>
  <si>
    <t>MD34E-J016196</t>
  </si>
  <si>
    <t>8CHMD3410JP010898</t>
  </si>
  <si>
    <t>A-076 UCB</t>
  </si>
  <si>
    <t>MD34E-J016198</t>
  </si>
  <si>
    <t>8CHMD3410JP010912</t>
  </si>
  <si>
    <t>197-GQR</t>
  </si>
  <si>
    <t>HONDA TWISTER 250cc</t>
  </si>
  <si>
    <t>MC35E-A352650</t>
  </si>
  <si>
    <t>9C2MC3507AR352650</t>
  </si>
  <si>
    <t>435-DXP</t>
  </si>
  <si>
    <t>MD34E-8512475</t>
  </si>
  <si>
    <t>9C2MD34008R512475</t>
  </si>
  <si>
    <t>131-JGI</t>
  </si>
  <si>
    <t>JC30E-6775258</t>
  </si>
  <si>
    <t>8CHJD19A6CL001488</t>
  </si>
  <si>
    <t>158-GUC</t>
  </si>
  <si>
    <t>MD34E-B511036</t>
  </si>
  <si>
    <t>9C2MD3400BR511036</t>
  </si>
  <si>
    <t>177-GQR</t>
  </si>
  <si>
    <t>MD34E-A516656</t>
  </si>
  <si>
    <t>9C2MD3400AR516656</t>
  </si>
  <si>
    <t>Para la adquisición de Seguro Obligatorio de Responsabilidad Civil del Automotor para los vehiculos pertenecientes a la Institucion Policial.-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</si>
</sst>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* #,##0.00_-;\-* #,##0.00_-;_-* &quot;-&quot;??_-;_-@_-"/>
  </numFmts>
  <fonts count="45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Arial"/>
      <charset val="1"/>
    </font>
    <font>
      <b/>
      <sz val="14"/>
      <name val="Arial"/>
      <family val="2"/>
    </font>
    <font>
      <sz val="7"/>
      <name val="Arial"/>
      <family val="2"/>
    </font>
    <font>
      <b/>
      <sz val="8"/>
      <name val="System"/>
      <family val="2"/>
    </font>
    <font>
      <b/>
      <sz val="10"/>
      <name val="System"/>
      <family val="2"/>
    </font>
    <font>
      <b/>
      <sz val="7"/>
      <name val="System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5" fontId="16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43" fontId="28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</cellStyleXfs>
  <cellXfs count="21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1" xfId="0" applyBorder="1"/>
    <xf numFmtId="0" fontId="0" fillId="0" borderId="28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9" xfId="0" applyBorder="1"/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15" fillId="0" borderId="3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15" fillId="0" borderId="47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 wrapText="1"/>
    </xf>
    <xf numFmtId="0" fontId="24" fillId="0" borderId="3" xfId="0" applyFont="1" applyBorder="1"/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/>
    <xf numFmtId="0" fontId="17" fillId="0" borderId="0" xfId="0" applyFont="1" applyBorder="1"/>
    <xf numFmtId="0" fontId="17" fillId="0" borderId="7" xfId="0" applyFont="1" applyBorder="1"/>
    <xf numFmtId="0" fontId="24" fillId="0" borderId="6" xfId="0" applyFont="1" applyBorder="1" applyAlignment="1">
      <alignment horizontal="left" indent="3"/>
    </xf>
    <xf numFmtId="0" fontId="17" fillId="0" borderId="6" xfId="0" applyFont="1" applyBorder="1" applyAlignment="1">
      <alignment horizontal="left" indent="3"/>
    </xf>
    <xf numFmtId="0" fontId="17" fillId="0" borderId="0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7" fillId="0" borderId="8" xfId="0" applyFont="1" applyBorder="1" applyAlignment="1">
      <alignment horizontal="left" indent="3"/>
    </xf>
    <xf numFmtId="0" fontId="17" fillId="0" borderId="9" xfId="0" applyFont="1" applyBorder="1"/>
    <xf numFmtId="0" fontId="17" fillId="0" borderId="10" xfId="0" applyFont="1" applyBorder="1"/>
    <xf numFmtId="0" fontId="25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left" wrapText="1"/>
    </xf>
    <xf numFmtId="0" fontId="21" fillId="0" borderId="51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4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/>
    </xf>
    <xf numFmtId="0" fontId="0" fillId="0" borderId="57" xfId="0" applyBorder="1" applyAlignment="1">
      <alignment vertical="center"/>
    </xf>
    <xf numFmtId="0" fontId="23" fillId="0" borderId="57" xfId="0" applyFont="1" applyBorder="1" applyAlignment="1">
      <alignment horizontal="center" vertical="center" wrapText="1"/>
    </xf>
    <xf numFmtId="0" fontId="0" fillId="0" borderId="58" xfId="0" applyBorder="1" applyAlignment="1">
      <alignment vertical="center"/>
    </xf>
    <xf numFmtId="0" fontId="22" fillId="0" borderId="57" xfId="0" applyFont="1" applyFill="1" applyBorder="1" applyAlignment="1">
      <alignment horizontal="center" vertical="center" wrapText="1"/>
    </xf>
    <xf numFmtId="166" fontId="22" fillId="0" borderId="57" xfId="1" applyNumberFormat="1" applyFont="1" applyFill="1" applyBorder="1" applyAlignment="1" applyProtection="1">
      <alignment horizontal="right" vertical="center" wrapText="1"/>
    </xf>
    <xf numFmtId="166" fontId="22" fillId="0" borderId="59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Alignment="1">
      <alignment vertical="center"/>
    </xf>
    <xf numFmtId="0" fontId="6" fillId="0" borderId="11" xfId="0" applyFont="1" applyFill="1" applyBorder="1" applyAlignment="1">
      <alignment horizontal="right" vertical="center"/>
    </xf>
    <xf numFmtId="0" fontId="7" fillId="0" borderId="1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/>
    <xf numFmtId="0" fontId="6" fillId="0" borderId="13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0" xfId="0" applyFont="1" applyFill="1" applyBorder="1" applyAlignment="1">
      <alignment horizontal="center" vertical="center" wrapText="1"/>
    </xf>
    <xf numFmtId="166" fontId="5" fillId="0" borderId="20" xfId="1" applyNumberFormat="1" applyFont="1" applyFill="1" applyBorder="1" applyAlignment="1" applyProtection="1">
      <alignment horizontal="right" vertical="center" wrapText="1"/>
    </xf>
    <xf numFmtId="3" fontId="5" fillId="0" borderId="20" xfId="0" applyNumberFormat="1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left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3" fontId="5" fillId="0" borderId="21" xfId="0" applyNumberFormat="1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left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 wrapText="1"/>
    </xf>
    <xf numFmtId="0" fontId="39" fillId="0" borderId="0" xfId="0" applyFont="1" applyFill="1"/>
    <xf numFmtId="0" fontId="16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center" wrapText="1"/>
    </xf>
    <xf numFmtId="0" fontId="16" fillId="3" borderId="0" xfId="0" applyFont="1" applyFill="1"/>
    <xf numFmtId="0" fontId="16" fillId="3" borderId="0" xfId="0" applyNumberFormat="1" applyFont="1" applyFill="1" applyBorder="1" applyAlignment="1">
      <alignment horizontal="center" vertical="center" wrapText="1"/>
    </xf>
    <xf numFmtId="0" fontId="42" fillId="3" borderId="0" xfId="0" applyNumberFormat="1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6" fillId="3" borderId="0" xfId="0" applyNumberFormat="1" applyFont="1" applyFill="1" applyAlignment="1">
      <alignment horizontal="center" vertical="center"/>
    </xf>
    <xf numFmtId="0" fontId="38" fillId="0" borderId="0" xfId="0" applyFont="1"/>
    <xf numFmtId="0" fontId="34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4" fillId="3" borderId="0" xfId="0" applyNumberFormat="1" applyFont="1" applyFill="1" applyAlignment="1">
      <alignment horizontal="center" vertical="center"/>
    </xf>
    <xf numFmtId="0" fontId="30" fillId="0" borderId="0" xfId="0" applyFont="1" applyFill="1" applyBorder="1" applyAlignment="1">
      <alignment horizontal="left" vertical="center" wrapText="1"/>
    </xf>
    <xf numFmtId="0" fontId="31" fillId="0" borderId="15" xfId="0" applyFont="1" applyFill="1" applyBorder="1" applyAlignment="1">
      <alignment horizontal="center" vertical="center" wrapText="1"/>
    </xf>
    <xf numFmtId="0" fontId="32" fillId="0" borderId="15" xfId="0" applyFont="1" applyFill="1" applyBorder="1" applyAlignment="1">
      <alignment horizontal="center" vertical="center" wrapText="1"/>
    </xf>
    <xf numFmtId="0" fontId="31" fillId="0" borderId="15" xfId="0" applyNumberFormat="1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center" vertical="center" wrapText="1"/>
    </xf>
    <xf numFmtId="1" fontId="34" fillId="0" borderId="15" xfId="6" applyNumberFormat="1" applyFont="1" applyFill="1" applyBorder="1" applyAlignment="1">
      <alignment horizontal="center" vertical="center" wrapText="1"/>
    </xf>
    <xf numFmtId="0" fontId="34" fillId="0" borderId="15" xfId="0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center" vertical="center" wrapText="1"/>
    </xf>
    <xf numFmtId="0" fontId="34" fillId="0" borderId="15" xfId="0" applyNumberFormat="1" applyFont="1" applyFill="1" applyBorder="1" applyAlignment="1">
      <alignment horizontal="center" vertical="center" wrapText="1"/>
    </xf>
    <xf numFmtId="49" fontId="34" fillId="0" borderId="15" xfId="0" applyNumberFormat="1" applyFont="1" applyFill="1" applyBorder="1" applyAlignment="1">
      <alignment horizontal="center" vertical="center" wrapText="1"/>
    </xf>
    <xf numFmtId="0" fontId="34" fillId="0" borderId="15" xfId="9" applyFont="1" applyFill="1" applyBorder="1" applyAlignment="1">
      <alignment horizontal="center" vertical="center" wrapText="1"/>
    </xf>
    <xf numFmtId="0" fontId="35" fillId="0" borderId="15" xfId="9" applyFont="1" applyFill="1" applyBorder="1" applyAlignment="1">
      <alignment horizontal="center" vertical="center" wrapText="1"/>
    </xf>
    <xf numFmtId="0" fontId="34" fillId="0" borderId="15" xfId="9" applyNumberFormat="1" applyFont="1" applyFill="1" applyBorder="1" applyAlignment="1">
      <alignment horizontal="center" vertical="center" wrapText="1"/>
    </xf>
    <xf numFmtId="0" fontId="34" fillId="0" borderId="15" xfId="10" applyFont="1" applyFill="1" applyBorder="1" applyAlignment="1">
      <alignment horizontal="center" vertical="center" wrapText="1"/>
    </xf>
    <xf numFmtId="0" fontId="35" fillId="0" borderId="15" xfId="10" applyFont="1" applyFill="1" applyBorder="1" applyAlignment="1">
      <alignment horizontal="center" vertical="center" wrapText="1"/>
    </xf>
    <xf numFmtId="0" fontId="34" fillId="0" borderId="15" xfId="10" applyNumberFormat="1" applyFont="1" applyFill="1" applyBorder="1" applyAlignment="1">
      <alignment horizontal="center" vertical="center" wrapText="1"/>
    </xf>
    <xf numFmtId="49" fontId="35" fillId="0" borderId="15" xfId="0" applyNumberFormat="1" applyFont="1" applyFill="1" applyBorder="1" applyAlignment="1">
      <alignment horizontal="center" vertical="center" wrapText="1"/>
    </xf>
    <xf numFmtId="169" fontId="35" fillId="0" borderId="15" xfId="5" applyNumberFormat="1" applyFont="1" applyFill="1" applyBorder="1" applyAlignment="1">
      <alignment horizontal="center" vertical="center" wrapText="1"/>
    </xf>
    <xf numFmtId="0" fontId="35" fillId="0" borderId="15" xfId="9" applyFont="1" applyFill="1" applyBorder="1" applyAlignment="1">
      <alignment horizontal="center" vertical="center"/>
    </xf>
    <xf numFmtId="0" fontId="35" fillId="0" borderId="15" xfId="0" applyFont="1" applyFill="1" applyBorder="1" applyAlignment="1">
      <alignment horizontal="center" vertical="center"/>
    </xf>
    <xf numFmtId="2" fontId="35" fillId="0" borderId="15" xfId="0" applyNumberFormat="1" applyFont="1" applyFill="1" applyBorder="1" applyAlignment="1">
      <alignment horizontal="center" vertical="center" wrapText="1"/>
    </xf>
    <xf numFmtId="0" fontId="34" fillId="0" borderId="15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 wrapText="1"/>
    </xf>
    <xf numFmtId="0" fontId="34" fillId="0" borderId="15" xfId="0" applyNumberFormat="1" applyFont="1" applyFill="1" applyBorder="1" applyAlignment="1">
      <alignment horizontal="center" vertical="center"/>
    </xf>
    <xf numFmtId="12" fontId="35" fillId="0" borderId="15" xfId="0" applyNumberFormat="1" applyFont="1" applyFill="1" applyBorder="1" applyAlignment="1">
      <alignment horizontal="center" vertical="center"/>
    </xf>
    <xf numFmtId="0" fontId="35" fillId="0" borderId="15" xfId="0" applyNumberFormat="1" applyFont="1" applyFill="1" applyBorder="1" applyAlignment="1">
      <alignment horizontal="center" vertical="center" wrapText="1"/>
    </xf>
    <xf numFmtId="12" fontId="35" fillId="0" borderId="15" xfId="0" applyNumberFormat="1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center" vertical="center"/>
    </xf>
    <xf numFmtId="0" fontId="33" fillId="0" borderId="15" xfId="0" applyNumberFormat="1" applyFont="1" applyFill="1" applyBorder="1" applyAlignment="1">
      <alignment horizontal="center" vertical="center" wrapText="1"/>
    </xf>
    <xf numFmtId="0" fontId="35" fillId="0" borderId="15" xfId="11" applyNumberFormat="1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vertical="center" wrapText="1"/>
    </xf>
    <xf numFmtId="3" fontId="35" fillId="0" borderId="15" xfId="0" applyNumberFormat="1" applyFont="1" applyFill="1" applyBorder="1" applyAlignment="1">
      <alignment horizontal="center" vertical="center" wrapText="1"/>
    </xf>
    <xf numFmtId="0" fontId="35" fillId="0" borderId="15" xfId="0" applyFont="1" applyFill="1" applyBorder="1" applyAlignment="1">
      <alignment horizontal="left" vertical="center" wrapText="1"/>
    </xf>
    <xf numFmtId="0" fontId="16" fillId="0" borderId="0" xfId="0" applyFont="1" applyFill="1"/>
    <xf numFmtId="0" fontId="16" fillId="0" borderId="0" xfId="0" applyNumberFormat="1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 wrapText="1"/>
    </xf>
    <xf numFmtId="1" fontId="34" fillId="0" borderId="60" xfId="6" applyNumberFormat="1" applyFont="1" applyFill="1" applyBorder="1" applyAlignment="1">
      <alignment horizontal="center" vertical="center" wrapText="1"/>
    </xf>
    <xf numFmtId="0" fontId="34" fillId="0" borderId="61" xfId="0" applyFont="1" applyFill="1" applyBorder="1" applyAlignment="1">
      <alignment horizontal="center" vertical="center" wrapText="1"/>
    </xf>
    <xf numFmtId="3" fontId="34" fillId="0" borderId="15" xfId="0" applyNumberFormat="1" applyFont="1" applyFill="1" applyBorder="1" applyAlignment="1">
      <alignment horizontal="center" vertical="center" wrapText="1"/>
    </xf>
    <xf numFmtId="0" fontId="34" fillId="0" borderId="0" xfId="7" applyFont="1" applyFill="1" applyBorder="1" applyAlignment="1">
      <alignment horizontal="center" vertical="center" wrapText="1"/>
    </xf>
    <xf numFmtId="49" fontId="44" fillId="0" borderId="0" xfId="8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vertical="center" wrapText="1"/>
    </xf>
    <xf numFmtId="14" fontId="34" fillId="0" borderId="0" xfId="0" applyNumberFormat="1" applyFont="1" applyFill="1" applyBorder="1" applyAlignment="1">
      <alignment horizontal="center" vertical="center" wrapText="1"/>
    </xf>
    <xf numFmtId="0" fontId="35" fillId="0" borderId="60" xfId="9" applyFont="1" applyFill="1" applyBorder="1" applyAlignment="1">
      <alignment horizontal="center" vertical="center" wrapText="1"/>
    </xf>
    <xf numFmtId="2" fontId="35" fillId="0" borderId="60" xfId="9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0" fontId="34" fillId="0" borderId="62" xfId="0" applyFont="1" applyFill="1" applyBorder="1" applyAlignment="1">
      <alignment vertical="center"/>
    </xf>
    <xf numFmtId="0" fontId="34" fillId="0" borderId="60" xfId="0" applyFont="1" applyFill="1" applyBorder="1" applyAlignment="1">
      <alignment vertical="center"/>
    </xf>
    <xf numFmtId="0" fontId="35" fillId="0" borderId="0" xfId="0" applyFont="1" applyFill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vertical="center" wrapText="1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wrapText="1" indent="1"/>
    </xf>
    <xf numFmtId="0" fontId="17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left" wrapText="1"/>
    </xf>
    <xf numFmtId="0" fontId="17" fillId="0" borderId="7" xfId="0" applyFont="1" applyFill="1" applyBorder="1" applyAlignment="1">
      <alignment horizontal="left" wrapText="1"/>
    </xf>
    <xf numFmtId="0" fontId="17" fillId="0" borderId="0" xfId="0" applyNumberFormat="1" applyFont="1" applyFill="1" applyBorder="1" applyAlignment="1">
      <alignment horizontal="justify" wrapText="1"/>
    </xf>
    <xf numFmtId="0" fontId="17" fillId="0" borderId="7" xfId="0" applyNumberFormat="1" applyFont="1" applyFill="1" applyBorder="1" applyAlignment="1">
      <alignment horizontal="justify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 indent="1"/>
    </xf>
    <xf numFmtId="0" fontId="8" fillId="0" borderId="16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 wrapText="1" indent="1"/>
    </xf>
    <xf numFmtId="0" fontId="9" fillId="0" borderId="17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167" fontId="8" fillId="0" borderId="15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left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horizontal="center"/>
    </xf>
    <xf numFmtId="3" fontId="11" fillId="0" borderId="24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3" fillId="0" borderId="12" xfId="0" applyFont="1" applyBorder="1"/>
    <xf numFmtId="0" fontId="13" fillId="0" borderId="12" xfId="0" applyFont="1" applyBorder="1" applyAlignment="1">
      <alignment horizontal="left" indent="1"/>
    </xf>
    <xf numFmtId="0" fontId="5" fillId="0" borderId="14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/>
    </xf>
    <xf numFmtId="0" fontId="13" fillId="0" borderId="26" xfId="0" applyFont="1" applyBorder="1"/>
    <xf numFmtId="0" fontId="13" fillId="0" borderId="27" xfId="0" applyFont="1" applyBorder="1" applyAlignment="1">
      <alignment horizontal="left" vertical="center" wrapText="1" indent="1"/>
    </xf>
    <xf numFmtId="0" fontId="15" fillId="0" borderId="2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/>
    </xf>
    <xf numFmtId="0" fontId="11" fillId="0" borderId="23" xfId="0" applyFont="1" applyBorder="1" applyAlignment="1">
      <alignment vertical="center" wrapText="1"/>
    </xf>
    <xf numFmtId="0" fontId="11" fillId="0" borderId="48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47" xfId="0" applyFont="1" applyFill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0" fillId="0" borderId="25" xfId="0" applyBorder="1"/>
    <xf numFmtId="0" fontId="40" fillId="0" borderId="15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/>
    </xf>
    <xf numFmtId="0" fontId="29" fillId="0" borderId="15" xfId="0" applyFont="1" applyFill="1" applyBorder="1" applyAlignment="1">
      <alignment horizontal="center" vertical="center" wrapText="1"/>
    </xf>
    <xf numFmtId="0" fontId="40" fillId="0" borderId="15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</cellXfs>
  <cellStyles count="12">
    <cellStyle name="Encabezado 1" xfId="2"/>
    <cellStyle name="Millares" xfId="5" builtinId="3"/>
    <cellStyle name="Moneda" xfId="1" builtinId="4"/>
    <cellStyle name="Moneda_AUTORIZACION Y NOTA DE PEDIDO" xfId="3"/>
    <cellStyle name="Neutral 1" xfId="4"/>
    <cellStyle name="Normal" xfId="0" builtinId="0"/>
    <cellStyle name="Normal 2 44" xfId="9"/>
    <cellStyle name="Normal 2 44 2" xfId="10"/>
    <cellStyle name="Normal 27 2" xfId="6"/>
    <cellStyle name="Normal 4 10" xfId="11"/>
    <cellStyle name="Normal 49" xfId="8"/>
    <cellStyle name="Normal 5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5"/>
  <sheetViews>
    <sheetView topLeftCell="A10" zoomScale="130" zoomScaleNormal="130" workbookViewId="0">
      <selection activeCell="C16" sqref="C16:E16"/>
    </sheetView>
  </sheetViews>
  <sheetFormatPr baseColWidth="10" defaultColWidth="11" defaultRowHeight="12.75"/>
  <cols>
    <col min="1" max="1" width="4.5703125" style="32" customWidth="1"/>
    <col min="2" max="2" width="12.85546875" style="32" customWidth="1"/>
    <col min="3" max="3" width="32.42578125" style="32" customWidth="1"/>
    <col min="4" max="4" width="8.42578125" style="32" customWidth="1"/>
    <col min="5" max="5" width="79" style="32" customWidth="1"/>
    <col min="6" max="6" width="11" style="32"/>
    <col min="7" max="7" width="12.710937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9" ht="27">
      <c r="B2" s="156" t="s">
        <v>0</v>
      </c>
      <c r="C2" s="156"/>
      <c r="D2" s="156"/>
      <c r="E2" s="156"/>
      <c r="F2" s="156"/>
      <c r="G2" s="156"/>
      <c r="H2" s="156"/>
    </row>
    <row r="4" spans="1:9" ht="18" customHeight="1">
      <c r="A4" s="157" t="s">
        <v>1</v>
      </c>
      <c r="B4" s="157"/>
      <c r="C4" s="158" t="s">
        <v>59</v>
      </c>
      <c r="D4" s="158"/>
      <c r="E4" s="158"/>
      <c r="F4" s="33"/>
      <c r="G4" s="34"/>
      <c r="H4" s="33"/>
    </row>
    <row r="5" spans="1:9" ht="18" customHeight="1">
      <c r="A5" s="157" t="s">
        <v>2</v>
      </c>
      <c r="B5" s="157"/>
      <c r="C5" s="158" t="s">
        <v>62</v>
      </c>
      <c r="D5" s="158"/>
      <c r="E5" s="158"/>
      <c r="F5" s="33"/>
      <c r="G5" s="34"/>
      <c r="H5" s="33"/>
    </row>
    <row r="6" spans="1:9" ht="16.5" customHeight="1">
      <c r="A6" s="157" t="s">
        <v>3</v>
      </c>
      <c r="B6" s="157"/>
      <c r="C6" s="49">
        <v>2020</v>
      </c>
      <c r="D6" s="50"/>
      <c r="E6" s="50"/>
      <c r="F6" s="33"/>
      <c r="G6" s="34"/>
      <c r="H6" s="33"/>
    </row>
    <row r="7" spans="1:9" ht="16.5" customHeight="1">
      <c r="A7" s="157" t="s">
        <v>4</v>
      </c>
      <c r="B7" s="157"/>
      <c r="C7" s="49">
        <v>4</v>
      </c>
      <c r="D7" s="50"/>
      <c r="E7" s="50"/>
      <c r="F7" s="33"/>
      <c r="G7" s="34"/>
      <c r="H7" s="33"/>
    </row>
    <row r="8" spans="1:9" ht="13.5" thickBot="1">
      <c r="B8" s="33"/>
      <c r="C8" s="34"/>
      <c r="D8" s="33"/>
      <c r="E8" s="33"/>
      <c r="F8" s="33"/>
      <c r="G8" s="34"/>
      <c r="H8" s="33"/>
    </row>
    <row r="9" spans="1:9" ht="39.75" thickTop="1" thickBot="1">
      <c r="A9" s="51" t="s">
        <v>5</v>
      </c>
      <c r="B9" s="52" t="s">
        <v>6</v>
      </c>
      <c r="C9" s="53" t="s">
        <v>7</v>
      </c>
      <c r="D9" s="54" t="s">
        <v>8</v>
      </c>
      <c r="E9" s="53" t="s">
        <v>9</v>
      </c>
      <c r="F9" s="55" t="s">
        <v>10</v>
      </c>
      <c r="G9" s="35" t="s">
        <v>11</v>
      </c>
      <c r="H9" s="35" t="s">
        <v>12</v>
      </c>
      <c r="I9" s="35" t="s">
        <v>13</v>
      </c>
    </row>
    <row r="10" spans="1:9" s="63" customFormat="1" ht="21.75" customHeight="1" thickBot="1">
      <c r="A10" s="56">
        <v>1</v>
      </c>
      <c r="B10" s="57" t="s">
        <v>63</v>
      </c>
      <c r="C10" s="57" t="s">
        <v>64</v>
      </c>
      <c r="D10" s="58" t="str">
        <f>LEFT(B10,5)</f>
        <v>3.5.4</v>
      </c>
      <c r="E10" s="59" t="s">
        <v>65</v>
      </c>
      <c r="F10" s="60" t="s">
        <v>14</v>
      </c>
      <c r="G10" s="60">
        <f>70+141</f>
        <v>211</v>
      </c>
      <c r="H10" s="61"/>
      <c r="I10" s="62">
        <f>SUM(1567676+178060)</f>
        <v>1745736</v>
      </c>
    </row>
    <row r="12" spans="1:9" ht="13.5" thickBot="1"/>
    <row r="13" spans="1:9">
      <c r="B13" s="36" t="s">
        <v>15</v>
      </c>
      <c r="C13" s="37"/>
      <c r="D13" s="37"/>
      <c r="E13" s="38"/>
    </row>
    <row r="14" spans="1:9" ht="5.25" customHeight="1">
      <c r="B14" s="39"/>
      <c r="C14" s="40"/>
      <c r="D14" s="40"/>
      <c r="E14" s="41"/>
    </row>
    <row r="15" spans="1:9">
      <c r="B15" s="42" t="s">
        <v>16</v>
      </c>
      <c r="C15" s="40"/>
      <c r="D15" s="40"/>
      <c r="E15" s="41"/>
    </row>
    <row r="16" spans="1:9" ht="56.25" customHeight="1">
      <c r="B16" s="42"/>
      <c r="C16" s="162" t="s">
        <v>72</v>
      </c>
      <c r="D16" s="162"/>
      <c r="E16" s="163"/>
    </row>
    <row r="17" spans="2:5" ht="24.75" customHeight="1">
      <c r="B17" s="42" t="s">
        <v>17</v>
      </c>
      <c r="C17" s="40"/>
      <c r="D17" s="40"/>
      <c r="E17" s="41"/>
    </row>
    <row r="18" spans="2:5" ht="66.75" customHeight="1">
      <c r="B18" s="43"/>
      <c r="C18" s="164" t="s">
        <v>66</v>
      </c>
      <c r="D18" s="164"/>
      <c r="E18" s="165"/>
    </row>
    <row r="19" spans="2:5">
      <c r="B19" s="43"/>
      <c r="C19" s="159"/>
      <c r="D19" s="159"/>
      <c r="E19" s="159"/>
    </row>
    <row r="20" spans="2:5" ht="26.25" customHeight="1">
      <c r="B20" s="42" t="s">
        <v>18</v>
      </c>
      <c r="C20" s="40"/>
      <c r="D20" s="40"/>
      <c r="E20" s="41"/>
    </row>
    <row r="21" spans="2:5">
      <c r="B21" s="43"/>
      <c r="C21" s="160" t="s">
        <v>73</v>
      </c>
      <c r="D21" s="160"/>
      <c r="E21" s="161"/>
    </row>
    <row r="22" spans="2:5">
      <c r="B22" s="42" t="s">
        <v>19</v>
      </c>
      <c r="C22" s="44"/>
      <c r="D22" s="44"/>
      <c r="E22" s="45"/>
    </row>
    <row r="23" spans="2:5">
      <c r="B23" s="43"/>
      <c r="C23" s="160" t="s">
        <v>67</v>
      </c>
      <c r="D23" s="160"/>
      <c r="E23" s="161"/>
    </row>
    <row r="24" spans="2:5">
      <c r="B24" s="42" t="s">
        <v>20</v>
      </c>
      <c r="C24" s="40"/>
      <c r="D24" s="40"/>
      <c r="E24" s="41"/>
    </row>
    <row r="25" spans="2:5" ht="26.25" customHeight="1">
      <c r="B25" s="42"/>
      <c r="C25" s="159"/>
      <c r="D25" s="159"/>
      <c r="E25" s="159"/>
    </row>
    <row r="26" spans="2:5" ht="13.5" thickBot="1">
      <c r="B26" s="46"/>
      <c r="C26" s="47"/>
      <c r="D26" s="47"/>
      <c r="E26" s="48"/>
    </row>
    <row r="27" spans="2:5" ht="26.25" customHeight="1"/>
    <row r="29" spans="2:5" ht="23.25" customHeight="1"/>
    <row r="33" ht="7.5" customHeight="1"/>
    <row r="35" ht="39" customHeight="1"/>
  </sheetData>
  <mergeCells count="13">
    <mergeCell ref="C25:E25"/>
    <mergeCell ref="A6:B6"/>
    <mergeCell ref="A7:B7"/>
    <mergeCell ref="C23:E23"/>
    <mergeCell ref="C16:E16"/>
    <mergeCell ref="C18:E18"/>
    <mergeCell ref="C19:E19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7"/>
  <sheetViews>
    <sheetView workbookViewId="0">
      <selection activeCell="A17" sqref="A17:I17"/>
    </sheetView>
  </sheetViews>
  <sheetFormatPr baseColWidth="10" defaultColWidth="9.140625" defaultRowHeight="12.75"/>
  <cols>
    <col min="1" max="1" width="5.5703125" style="66" customWidth="1"/>
    <col min="2" max="2" width="15.140625" style="66" customWidth="1"/>
    <col min="3" max="3" width="14.140625" style="66" customWidth="1"/>
    <col min="4" max="4" width="26" style="66" customWidth="1"/>
    <col min="5" max="5" width="8" style="66" customWidth="1"/>
    <col min="6" max="6" width="7.85546875" style="66" customWidth="1"/>
    <col min="7" max="7" width="42" style="66" customWidth="1"/>
    <col min="8" max="8" width="9.28515625" style="66" customWidth="1"/>
    <col min="9" max="9" width="15.5703125" style="66" customWidth="1"/>
    <col min="10" max="10" width="14.7109375" style="66" customWidth="1"/>
    <col min="11" max="11" width="15.5703125" style="66" customWidth="1"/>
    <col min="12" max="14" width="5.85546875" style="66" customWidth="1"/>
    <col min="15" max="15" width="12.5703125" style="66" customWidth="1"/>
    <col min="16" max="1024" width="9.140625" style="66"/>
    <col min="1025" max="16384" width="9.140625" style="67"/>
  </cols>
  <sheetData>
    <row r="1" spans="1:11" ht="18" customHeight="1">
      <c r="A1" s="166" t="s">
        <v>21</v>
      </c>
      <c r="B1" s="166"/>
      <c r="C1" s="166"/>
      <c r="D1" s="166"/>
      <c r="E1" s="166"/>
      <c r="F1" s="166"/>
      <c r="G1" s="166"/>
      <c r="H1" s="166"/>
      <c r="I1" s="166"/>
      <c r="J1" s="64" t="s">
        <v>22</v>
      </c>
      <c r="K1" s="65" t="s">
        <v>70</v>
      </c>
    </row>
    <row r="2" spans="1:11" ht="18.75" customHeight="1" thickBot="1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1" ht="18.75" customHeight="1" thickBot="1">
      <c r="A3" s="167" t="s">
        <v>56</v>
      </c>
      <c r="B3" s="167"/>
      <c r="C3" s="167"/>
      <c r="D3" s="168" t="str">
        <f>'Necesidades Trimestrales'!C4</f>
        <v>90 - Ministerio de Seguridad</v>
      </c>
      <c r="E3" s="168"/>
      <c r="F3" s="168"/>
      <c r="G3" s="168"/>
      <c r="H3" s="168"/>
      <c r="I3" s="168"/>
      <c r="J3" s="168"/>
      <c r="K3" s="168"/>
    </row>
    <row r="4" spans="1:11" ht="18.75" customHeight="1" thickBot="1">
      <c r="A4" s="169" t="s">
        <v>57</v>
      </c>
      <c r="B4" s="169"/>
      <c r="C4" s="169"/>
      <c r="D4" s="168" t="str">
        <f>'Necesidades Trimestrales'!C5</f>
        <v>7 - Direccion Provincial de Administracion de la Policia de Catamarca</v>
      </c>
      <c r="E4" s="168"/>
      <c r="F4" s="168"/>
      <c r="G4" s="168"/>
      <c r="H4" s="168"/>
      <c r="I4" s="168"/>
      <c r="J4" s="168"/>
      <c r="K4" s="168"/>
    </row>
    <row r="5" spans="1:11" ht="18.75" customHeight="1" thickBot="1">
      <c r="A5" s="169" t="s">
        <v>35</v>
      </c>
      <c r="B5" s="169"/>
      <c r="C5" s="169"/>
      <c r="D5" s="168" t="s">
        <v>60</v>
      </c>
      <c r="E5" s="168"/>
      <c r="F5" s="168"/>
      <c r="G5" s="168"/>
      <c r="H5" s="168"/>
      <c r="I5" s="168"/>
      <c r="J5" s="168"/>
      <c r="K5" s="168"/>
    </row>
    <row r="6" spans="1:11" ht="16.5" customHeight="1" thickBot="1">
      <c r="A6" s="167" t="s">
        <v>58</v>
      </c>
      <c r="B6" s="167"/>
      <c r="C6" s="167"/>
      <c r="D6" s="168" t="s">
        <v>68</v>
      </c>
      <c r="E6" s="168"/>
      <c r="F6" s="168"/>
      <c r="G6" s="168"/>
      <c r="H6" s="168"/>
      <c r="I6" s="168"/>
      <c r="J6" s="168"/>
      <c r="K6" s="168"/>
    </row>
    <row r="7" spans="1:11" ht="16.5" customHeight="1">
      <c r="A7" s="169" t="s">
        <v>23</v>
      </c>
      <c r="B7" s="169"/>
      <c r="C7" s="169"/>
      <c r="D7" s="168" t="str">
        <f>'Necesidades Trimestrales'!C7 &amp; "° Trimestre - Año " &amp; 'Necesidades Trimestrales'!C6</f>
        <v>4° Trimestre - Año 2020</v>
      </c>
      <c r="E7" s="168"/>
      <c r="F7" s="168"/>
      <c r="G7" s="168"/>
      <c r="H7" s="168"/>
      <c r="I7" s="168"/>
      <c r="J7" s="168"/>
      <c r="K7" s="168"/>
    </row>
    <row r="8" spans="1:11" ht="16.5" customHeight="1">
      <c r="A8" s="170" t="s">
        <v>24</v>
      </c>
      <c r="B8" s="170"/>
      <c r="C8" s="170"/>
      <c r="D8" s="171" t="s">
        <v>61</v>
      </c>
      <c r="E8" s="171"/>
      <c r="F8" s="171"/>
      <c r="G8" s="171"/>
      <c r="H8" s="171"/>
      <c r="I8" s="171"/>
      <c r="J8" s="171"/>
      <c r="K8" s="171"/>
    </row>
    <row r="9" spans="1:11" ht="15.75">
      <c r="A9" s="70"/>
      <c r="B9" s="70"/>
      <c r="C9" s="70"/>
      <c r="D9" s="71"/>
      <c r="E9" s="71"/>
      <c r="F9" s="71"/>
      <c r="G9" s="71"/>
      <c r="H9" s="71"/>
      <c r="I9" s="71"/>
      <c r="J9" s="71"/>
      <c r="K9" s="71"/>
    </row>
    <row r="10" spans="1:11" ht="18.75" customHeight="1">
      <c r="A10" s="172" t="s">
        <v>25</v>
      </c>
      <c r="B10" s="173" t="s">
        <v>26</v>
      </c>
      <c r="C10" s="173" t="s">
        <v>27</v>
      </c>
      <c r="D10" s="173"/>
      <c r="E10" s="173"/>
      <c r="F10" s="173"/>
      <c r="G10" s="173"/>
      <c r="H10" s="173" t="s">
        <v>28</v>
      </c>
      <c r="I10" s="173" t="s">
        <v>29</v>
      </c>
      <c r="J10" s="173" t="s">
        <v>30</v>
      </c>
      <c r="K10" s="174" t="s">
        <v>31</v>
      </c>
    </row>
    <row r="11" spans="1:11" ht="24" customHeight="1">
      <c r="A11" s="172"/>
      <c r="B11" s="173"/>
      <c r="C11" s="173"/>
      <c r="D11" s="173"/>
      <c r="E11" s="173"/>
      <c r="F11" s="173"/>
      <c r="G11" s="173"/>
      <c r="H11" s="173"/>
      <c r="I11" s="173"/>
      <c r="J11" s="173"/>
      <c r="K11" s="174"/>
    </row>
    <row r="12" spans="1:11" ht="20.25" customHeight="1">
      <c r="A12" s="72">
        <v>1</v>
      </c>
      <c r="B12" s="73" t="str">
        <f>'Necesidades Trimestrales'!B10</f>
        <v>3.5.4-2065.1</v>
      </c>
      <c r="C12" s="176" t="str">
        <f>'Necesidades Trimestrales'!E10</f>
        <v>SEGURO DE RESPONSABILIDAD; DESCRIPCION: SEGURO DE RESPONSABILIDAD</v>
      </c>
      <c r="D12" s="176"/>
      <c r="E12" s="176"/>
      <c r="F12" s="176"/>
      <c r="G12" s="176"/>
      <c r="H12" s="72" t="s">
        <v>32</v>
      </c>
      <c r="I12" s="74" t="str">
        <f>'Necesidades Trimestrales'!F10</f>
        <v>UNIDAD</v>
      </c>
      <c r="J12" s="75">
        <f>'Necesidades Trimestrales'!H10</f>
        <v>0</v>
      </c>
      <c r="K12" s="76">
        <f>'Necesidades Trimestrales'!G10</f>
        <v>211</v>
      </c>
    </row>
    <row r="13" spans="1:11" ht="20.25" customHeight="1">
      <c r="A13" s="77">
        <v>2</v>
      </c>
      <c r="B13" s="78"/>
      <c r="C13" s="177"/>
      <c r="D13" s="177"/>
      <c r="E13" s="177"/>
      <c r="F13" s="177"/>
      <c r="G13" s="177"/>
      <c r="H13" s="79"/>
      <c r="I13" s="80"/>
      <c r="J13" s="80"/>
      <c r="K13" s="81"/>
    </row>
    <row r="14" spans="1:11" ht="20.25" customHeight="1">
      <c r="A14" s="77">
        <v>3</v>
      </c>
      <c r="B14" s="78"/>
      <c r="C14" s="177"/>
      <c r="D14" s="177"/>
      <c r="E14" s="177"/>
      <c r="F14" s="177"/>
      <c r="G14" s="177"/>
      <c r="H14" s="79"/>
      <c r="I14" s="80"/>
      <c r="J14" s="80"/>
      <c r="K14" s="81"/>
    </row>
    <row r="15" spans="1:11" ht="20.25" customHeight="1">
      <c r="A15" s="77">
        <v>4</v>
      </c>
      <c r="B15" s="78"/>
      <c r="C15" s="177"/>
      <c r="D15" s="177"/>
      <c r="E15" s="177"/>
      <c r="F15" s="177"/>
      <c r="G15" s="177"/>
      <c r="H15" s="79"/>
      <c r="I15" s="80"/>
      <c r="J15" s="80"/>
      <c r="K15" s="81"/>
    </row>
    <row r="16" spans="1:11" ht="20.25" customHeight="1">
      <c r="A16" s="82">
        <v>5</v>
      </c>
      <c r="B16" s="83"/>
      <c r="C16" s="178"/>
      <c r="D16" s="178"/>
      <c r="E16" s="178"/>
      <c r="F16" s="178"/>
      <c r="G16" s="178"/>
      <c r="H16" s="84"/>
      <c r="I16" s="85"/>
      <c r="J16" s="85"/>
      <c r="K16" s="86"/>
    </row>
    <row r="17" spans="1:11" ht="20.25" customHeight="1">
      <c r="A17" s="168" t="s">
        <v>69</v>
      </c>
      <c r="B17" s="168"/>
      <c r="C17" s="168"/>
      <c r="D17" s="168"/>
      <c r="E17" s="168"/>
      <c r="F17" s="168"/>
      <c r="G17" s="168"/>
      <c r="H17" s="168"/>
      <c r="I17" s="168"/>
      <c r="J17" s="175">
        <f>'Necesidades Trimestrales'!I10</f>
        <v>1745736</v>
      </c>
      <c r="K17" s="175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7"/>
  <sheetViews>
    <sheetView tabSelected="1" topLeftCell="A19" zoomScale="130" zoomScaleNormal="130" workbookViewId="0">
      <selection activeCell="A26" sqref="A26:Q27"/>
    </sheetView>
  </sheetViews>
  <sheetFormatPr baseColWidth="10" defaultColWidth="11" defaultRowHeight="12.75"/>
  <cols>
    <col min="1" max="6" width="4.425781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79" t="s">
        <v>3</v>
      </c>
      <c r="B1" s="179"/>
      <c r="C1" s="179"/>
      <c r="D1" s="180">
        <f>'Necesidades Trimestrales'!C6</f>
        <v>2020</v>
      </c>
      <c r="E1" s="180"/>
      <c r="F1" s="3"/>
      <c r="G1" s="3"/>
      <c r="H1" s="4"/>
      <c r="I1" s="4"/>
      <c r="J1" s="4"/>
      <c r="K1" s="4"/>
      <c r="L1" s="4"/>
      <c r="M1" s="4"/>
      <c r="N1" s="4"/>
      <c r="P1" s="181" t="s">
        <v>33</v>
      </c>
      <c r="Q1" s="181"/>
    </row>
    <row r="2" spans="1:17" ht="15.75" customHeight="1">
      <c r="H2" s="4"/>
      <c r="I2" s="4"/>
      <c r="J2" s="4"/>
      <c r="K2" s="4"/>
      <c r="L2" s="4"/>
      <c r="M2" s="4"/>
      <c r="N2" s="4"/>
      <c r="P2" s="181"/>
      <c r="Q2" s="181"/>
    </row>
    <row r="4" spans="1:17" s="5" customFormat="1" ht="18" customHeight="1" thickBot="1">
      <c r="A4" s="182" t="s">
        <v>34</v>
      </c>
      <c r="B4" s="182"/>
      <c r="C4" s="182"/>
      <c r="D4" s="182"/>
      <c r="E4" s="182"/>
      <c r="F4" s="182"/>
      <c r="G4" s="183" t="str">
        <f>' NotaPedido'!D3</f>
        <v>90 - Ministerio de Seguridad</v>
      </c>
      <c r="H4" s="183"/>
      <c r="I4" s="183"/>
      <c r="J4" s="183"/>
      <c r="K4" s="183"/>
      <c r="L4" s="183"/>
      <c r="M4" s="183"/>
      <c r="N4" s="183"/>
      <c r="O4" s="183"/>
      <c r="P4" s="183"/>
      <c r="Q4" s="183"/>
    </row>
    <row r="5" spans="1:17" s="5" customFormat="1" ht="18" customHeight="1" thickBot="1">
      <c r="A5" s="184" t="s">
        <v>57</v>
      </c>
      <c r="B5" s="185"/>
      <c r="C5" s="185"/>
      <c r="D5" s="185"/>
      <c r="E5" s="185"/>
      <c r="F5" s="186"/>
      <c r="G5" s="183" t="str">
        <f>' NotaPedido'!D4</f>
        <v>7 - Direccion Provincial de Administracion de la Policia de Catamarca</v>
      </c>
      <c r="H5" s="183"/>
      <c r="I5" s="183"/>
      <c r="J5" s="183"/>
      <c r="K5" s="183"/>
      <c r="L5" s="183"/>
      <c r="M5" s="183"/>
      <c r="N5" s="183"/>
      <c r="O5" s="183"/>
      <c r="P5" s="183"/>
      <c r="Q5" s="183"/>
    </row>
    <row r="6" spans="1:17" s="5" customFormat="1" ht="18" customHeight="1" thickBot="1">
      <c r="A6" s="184" t="s">
        <v>35</v>
      </c>
      <c r="B6" s="185"/>
      <c r="C6" s="185"/>
      <c r="D6" s="185"/>
      <c r="E6" s="185"/>
      <c r="F6" s="186"/>
      <c r="G6" s="183" t="str">
        <f>' NotaPedido'!D5</f>
        <v>Jefatura de Policía de la Provincia de Catamarca</v>
      </c>
      <c r="H6" s="183"/>
      <c r="I6" s="183"/>
      <c r="J6" s="183"/>
      <c r="K6" s="183"/>
      <c r="L6" s="183"/>
      <c r="M6" s="183"/>
      <c r="N6" s="183"/>
      <c r="O6" s="183"/>
      <c r="P6" s="183"/>
      <c r="Q6" s="183"/>
    </row>
    <row r="7" spans="1:17" s="5" customFormat="1" ht="18" customHeight="1" thickBot="1">
      <c r="A7" s="184" t="s">
        <v>58</v>
      </c>
      <c r="B7" s="185"/>
      <c r="C7" s="185"/>
      <c r="D7" s="185"/>
      <c r="E7" s="185"/>
      <c r="F7" s="186"/>
      <c r="G7" s="183" t="str">
        <f>' NotaPedido'!D6</f>
        <v>Sección Control Patrimonial - Dpto. Logistica (D-4)</v>
      </c>
      <c r="H7" s="183"/>
      <c r="I7" s="183"/>
      <c r="J7" s="183"/>
      <c r="K7" s="183"/>
      <c r="L7" s="183"/>
      <c r="M7" s="183"/>
      <c r="N7" s="183"/>
      <c r="O7" s="183"/>
      <c r="P7" s="183"/>
      <c r="Q7" s="183"/>
    </row>
    <row r="8" spans="1:17" ht="18" customHeight="1" thickBot="1">
      <c r="A8" s="187" t="s">
        <v>36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</row>
    <row r="9" spans="1:17" ht="18" customHeight="1">
      <c r="A9" s="188" t="s">
        <v>37</v>
      </c>
      <c r="B9" s="188"/>
      <c r="C9" s="188"/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"/>
      <c r="P9" s="1"/>
      <c r="Q9" s="6"/>
    </row>
    <row r="10" spans="1:17" ht="54.75" customHeight="1">
      <c r="A10" s="18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90/2020,  afectando la erogación resultante a los créditos presupuestarios aprobados a favor de esta Unidad Ejecutora, conforme al siguiente detalle: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>
      <c r="A12" s="190" t="s">
        <v>38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</row>
    <row r="13" spans="1:17" ht="15.75" customHeight="1">
      <c r="A13" s="191" t="s">
        <v>39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2" t="s">
        <v>40</v>
      </c>
      <c r="P13" s="192"/>
      <c r="Q13" s="193" t="s">
        <v>41</v>
      </c>
    </row>
    <row r="14" spans="1:17" ht="15.75" customHeight="1">
      <c r="A14" s="11" t="s">
        <v>42</v>
      </c>
      <c r="B14" s="12" t="s">
        <v>43</v>
      </c>
      <c r="C14" s="12" t="s">
        <v>44</v>
      </c>
      <c r="D14" s="12" t="s">
        <v>45</v>
      </c>
      <c r="E14" s="12" t="s">
        <v>46</v>
      </c>
      <c r="F14" s="12" t="s">
        <v>47</v>
      </c>
      <c r="G14" s="13" t="s">
        <v>48</v>
      </c>
      <c r="H14" s="12" t="s">
        <v>49</v>
      </c>
      <c r="I14" s="12" t="s">
        <v>50</v>
      </c>
      <c r="J14" s="12" t="s">
        <v>51</v>
      </c>
      <c r="K14" s="12" t="s">
        <v>51</v>
      </c>
      <c r="L14" s="12" t="s">
        <v>52</v>
      </c>
      <c r="M14" s="14" t="s">
        <v>53</v>
      </c>
      <c r="N14" s="15" t="s">
        <v>54</v>
      </c>
      <c r="O14" s="192"/>
      <c r="P14" s="192"/>
      <c r="Q14" s="193"/>
    </row>
    <row r="15" spans="1:17" ht="17.25" customHeight="1">
      <c r="A15" s="87">
        <v>16</v>
      </c>
      <c r="B15" s="88">
        <v>0</v>
      </c>
      <c r="C15" s="88">
        <v>0</v>
      </c>
      <c r="D15" s="88">
        <v>1</v>
      </c>
      <c r="E15" s="88">
        <v>0</v>
      </c>
      <c r="F15" s="88">
        <v>10</v>
      </c>
      <c r="G15" s="88">
        <v>2</v>
      </c>
      <c r="H15" s="88">
        <v>210</v>
      </c>
      <c r="I15" s="88" t="str">
        <f>LEFT('Necesidades Trimestrales'!D10,1)</f>
        <v>3</v>
      </c>
      <c r="J15" s="88" t="str">
        <f>MID('Necesidades Trimestrales'!D10,3,1)</f>
        <v>5</v>
      </c>
      <c r="K15" s="88" t="str">
        <f>RIGHT('Necesidades Trimestrales'!D10,1)</f>
        <v>4</v>
      </c>
      <c r="L15" s="88">
        <v>0</v>
      </c>
      <c r="M15" s="89">
        <v>1</v>
      </c>
      <c r="N15" s="88" t="s">
        <v>75</v>
      </c>
      <c r="O15" s="194" t="s">
        <v>74</v>
      </c>
      <c r="P15" s="195"/>
      <c r="Q15" s="16">
        <f>'Necesidades Trimestrales'!I10</f>
        <v>1745736</v>
      </c>
    </row>
    <row r="16" spans="1:17" ht="17.2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96"/>
      <c r="P16" s="196"/>
      <c r="Q16" s="21"/>
    </row>
    <row r="17" spans="1:18" ht="17.25" customHeight="1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96"/>
      <c r="P17" s="196"/>
      <c r="Q17" s="21"/>
    </row>
    <row r="18" spans="1:18" ht="17.2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96"/>
      <c r="P18" s="196"/>
      <c r="Q18" s="21"/>
    </row>
    <row r="19" spans="1:18" ht="17.25" customHeight="1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96"/>
      <c r="P19" s="196"/>
      <c r="Q19" s="21"/>
    </row>
    <row r="20" spans="1:18" ht="17.25" customHeight="1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96"/>
      <c r="P20" s="196"/>
      <c r="Q20" s="21"/>
    </row>
    <row r="21" spans="1:18" ht="17.25" customHeight="1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202"/>
      <c r="P21" s="202"/>
      <c r="Q21" s="21"/>
      <c r="R21" s="1"/>
    </row>
    <row r="22" spans="1:18" ht="17.25" customHeight="1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203"/>
      <c r="P22" s="203"/>
      <c r="Q22" s="30"/>
    </row>
    <row r="23" spans="1:18" ht="31.5" customHeight="1">
      <c r="A23" s="204" t="s">
        <v>71</v>
      </c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31">
        <f>SUM(Q15:Q22)</f>
        <v>1745736</v>
      </c>
    </row>
    <row r="24" spans="1:18" ht="18" customHeight="1" thickBot="1">
      <c r="A24" s="20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</row>
    <row r="25" spans="1:18" ht="17.25" customHeight="1" thickBot="1">
      <c r="A25" s="197" t="s">
        <v>55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>
      <c r="A26" s="201" t="s">
        <v>871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</row>
    <row r="27" spans="1:18" ht="15" customHeight="1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X238"/>
  <sheetViews>
    <sheetView view="pageBreakPreview" zoomScale="60" workbookViewId="0">
      <selection activeCell="D25" sqref="D25"/>
    </sheetView>
  </sheetViews>
  <sheetFormatPr baseColWidth="10" defaultRowHeight="12.75"/>
  <cols>
    <col min="1" max="1" width="6.28515625" style="102" customWidth="1"/>
    <col min="2" max="2" width="15.28515625" style="102" customWidth="1"/>
    <col min="3" max="3" width="15.42578125" style="103" customWidth="1"/>
    <col min="4" max="4" width="13.42578125" style="102" customWidth="1"/>
    <col min="5" max="5" width="9.28515625" style="104" customWidth="1"/>
    <col min="6" max="6" width="19.7109375" style="103" customWidth="1"/>
    <col min="7" max="7" width="29" style="103" customWidth="1"/>
  </cols>
  <sheetData>
    <row r="1" spans="1:26" s="105" customFormat="1" ht="18.75" thickBot="1">
      <c r="A1" s="209" t="s">
        <v>160</v>
      </c>
      <c r="B1" s="209"/>
      <c r="C1" s="209"/>
      <c r="D1" s="209"/>
      <c r="E1" s="209"/>
      <c r="F1" s="209"/>
      <c r="G1" s="209"/>
    </row>
    <row r="2" spans="1:26" s="109" customFormat="1" ht="13.5" thickBot="1">
      <c r="A2" s="106" t="s">
        <v>76</v>
      </c>
      <c r="B2" s="106" t="s">
        <v>77</v>
      </c>
      <c r="C2" s="107" t="s">
        <v>78</v>
      </c>
      <c r="D2" s="106" t="s">
        <v>79</v>
      </c>
      <c r="E2" s="108" t="s">
        <v>80</v>
      </c>
      <c r="F2" s="107" t="s">
        <v>81</v>
      </c>
      <c r="G2" s="107" t="s">
        <v>82</v>
      </c>
    </row>
    <row r="3" spans="1:26" s="90" customFormat="1" ht="23.25" thickBot="1">
      <c r="A3" s="110">
        <v>1</v>
      </c>
      <c r="B3" s="111" t="s">
        <v>83</v>
      </c>
      <c r="C3" s="112" t="s">
        <v>84</v>
      </c>
      <c r="D3" s="111" t="s">
        <v>161</v>
      </c>
      <c r="E3" s="113">
        <v>2015</v>
      </c>
      <c r="F3" s="112" t="s">
        <v>85</v>
      </c>
      <c r="G3" s="112" t="s">
        <v>86</v>
      </c>
    </row>
    <row r="4" spans="1:26" s="90" customFormat="1" ht="13.5" thickBot="1">
      <c r="A4" s="110">
        <v>2</v>
      </c>
      <c r="B4" s="111" t="s">
        <v>83</v>
      </c>
      <c r="C4" s="112" t="s">
        <v>87</v>
      </c>
      <c r="D4" s="111" t="s">
        <v>88</v>
      </c>
      <c r="E4" s="113">
        <v>2005</v>
      </c>
      <c r="F4" s="112" t="s">
        <v>89</v>
      </c>
      <c r="G4" s="112" t="s">
        <v>90</v>
      </c>
    </row>
    <row r="5" spans="1:26" s="90" customFormat="1" ht="26.25" thickBot="1">
      <c r="A5" s="110">
        <v>3</v>
      </c>
      <c r="B5" s="111" t="s">
        <v>83</v>
      </c>
      <c r="C5" s="112" t="s">
        <v>162</v>
      </c>
      <c r="D5" s="111" t="s">
        <v>88</v>
      </c>
      <c r="E5" s="113">
        <v>2008</v>
      </c>
      <c r="F5" s="112" t="s">
        <v>91</v>
      </c>
      <c r="G5" s="112" t="s">
        <v>92</v>
      </c>
    </row>
    <row r="6" spans="1:26" s="140" customFormat="1" ht="13.5" thickBot="1">
      <c r="A6" s="110">
        <v>4</v>
      </c>
      <c r="B6" s="111" t="s">
        <v>83</v>
      </c>
      <c r="C6" s="112" t="s">
        <v>93</v>
      </c>
      <c r="D6" s="111" t="s">
        <v>88</v>
      </c>
      <c r="E6" s="113">
        <v>2008</v>
      </c>
      <c r="F6" s="112" t="s">
        <v>94</v>
      </c>
      <c r="G6" s="112" t="s">
        <v>95</v>
      </c>
    </row>
    <row r="7" spans="1:26" s="90" customFormat="1" ht="13.5" thickBot="1">
      <c r="A7" s="110">
        <v>5</v>
      </c>
      <c r="B7" s="111" t="s">
        <v>83</v>
      </c>
      <c r="C7" s="112" t="s">
        <v>96</v>
      </c>
      <c r="D7" s="111" t="s">
        <v>97</v>
      </c>
      <c r="E7" s="113">
        <v>2011</v>
      </c>
      <c r="F7" s="112" t="s">
        <v>163</v>
      </c>
      <c r="G7" s="112" t="s">
        <v>98</v>
      </c>
    </row>
    <row r="8" spans="1:26" s="90" customFormat="1" ht="34.5" thickBot="1">
      <c r="A8" s="110">
        <v>6</v>
      </c>
      <c r="B8" s="111" t="s">
        <v>83</v>
      </c>
      <c r="C8" s="112" t="s">
        <v>99</v>
      </c>
      <c r="D8" s="111" t="s">
        <v>164</v>
      </c>
      <c r="E8" s="113">
        <v>2012</v>
      </c>
      <c r="F8" s="112" t="s">
        <v>100</v>
      </c>
      <c r="G8" s="112" t="s">
        <v>101</v>
      </c>
    </row>
    <row r="9" spans="1:26" s="90" customFormat="1" ht="23.25" thickBot="1">
      <c r="A9" s="110">
        <v>7</v>
      </c>
      <c r="B9" s="111" t="s">
        <v>83</v>
      </c>
      <c r="C9" s="112" t="s">
        <v>102</v>
      </c>
      <c r="D9" s="111" t="s">
        <v>165</v>
      </c>
      <c r="E9" s="113">
        <v>2013</v>
      </c>
      <c r="F9" s="112" t="s">
        <v>103</v>
      </c>
      <c r="G9" s="112" t="s">
        <v>104</v>
      </c>
    </row>
    <row r="10" spans="1:26" s="90" customFormat="1" ht="13.5" thickBot="1">
      <c r="A10" s="110">
        <v>8</v>
      </c>
      <c r="B10" s="111" t="s">
        <v>83</v>
      </c>
      <c r="C10" s="112" t="s">
        <v>105</v>
      </c>
      <c r="D10" s="111" t="s">
        <v>106</v>
      </c>
      <c r="E10" s="113">
        <v>2008</v>
      </c>
      <c r="F10" s="112" t="s">
        <v>107</v>
      </c>
      <c r="G10" s="112" t="s">
        <v>108</v>
      </c>
    </row>
    <row r="11" spans="1:26" s="90" customFormat="1" ht="23.25" thickBot="1">
      <c r="A11" s="110">
        <v>9</v>
      </c>
      <c r="B11" s="111" t="s">
        <v>83</v>
      </c>
      <c r="C11" s="112" t="s">
        <v>109</v>
      </c>
      <c r="D11" s="111" t="s">
        <v>110</v>
      </c>
      <c r="E11" s="113">
        <v>2013</v>
      </c>
      <c r="F11" s="112" t="s">
        <v>111</v>
      </c>
      <c r="G11" s="112" t="s">
        <v>112</v>
      </c>
    </row>
    <row r="12" spans="1:26" s="90" customFormat="1" ht="23.25" thickBot="1">
      <c r="A12" s="110">
        <v>10</v>
      </c>
      <c r="B12" s="111" t="s">
        <v>83</v>
      </c>
      <c r="C12" s="112" t="s">
        <v>113</v>
      </c>
      <c r="D12" s="111" t="s">
        <v>114</v>
      </c>
      <c r="E12" s="113">
        <v>2015</v>
      </c>
      <c r="F12" s="112" t="s">
        <v>115</v>
      </c>
      <c r="G12" s="112" t="s">
        <v>116</v>
      </c>
    </row>
    <row r="13" spans="1:26" s="90" customFormat="1" ht="23.25" thickBot="1">
      <c r="A13" s="110">
        <v>11</v>
      </c>
      <c r="B13" s="111" t="s">
        <v>83</v>
      </c>
      <c r="C13" s="112" t="s">
        <v>117</v>
      </c>
      <c r="D13" s="111" t="s">
        <v>114</v>
      </c>
      <c r="E13" s="113">
        <v>2015</v>
      </c>
      <c r="F13" s="112" t="s">
        <v>118</v>
      </c>
      <c r="G13" s="112" t="s">
        <v>119</v>
      </c>
    </row>
    <row r="14" spans="1:26" s="90" customFormat="1" ht="23.25" thickBot="1">
      <c r="A14" s="110">
        <v>12</v>
      </c>
      <c r="B14" s="111" t="s">
        <v>83</v>
      </c>
      <c r="C14" s="112" t="s">
        <v>120</v>
      </c>
      <c r="D14" s="111" t="s">
        <v>161</v>
      </c>
      <c r="E14" s="113">
        <v>2017</v>
      </c>
      <c r="F14" s="112" t="s">
        <v>121</v>
      </c>
      <c r="G14" s="112" t="s">
        <v>122</v>
      </c>
    </row>
    <row r="15" spans="1:26" s="90" customFormat="1" ht="34.5" thickBot="1">
      <c r="A15" s="141">
        <v>13</v>
      </c>
      <c r="B15" s="142" t="s">
        <v>83</v>
      </c>
      <c r="C15" s="111" t="s">
        <v>123</v>
      </c>
      <c r="D15" s="111" t="s">
        <v>164</v>
      </c>
      <c r="E15" s="143">
        <v>2013</v>
      </c>
      <c r="F15" s="111" t="s">
        <v>124</v>
      </c>
      <c r="G15" s="111" t="s">
        <v>125</v>
      </c>
      <c r="H15" s="93"/>
      <c r="I15" s="144"/>
      <c r="M15" s="145"/>
      <c r="N15" s="93"/>
      <c r="P15" s="146"/>
      <c r="Q15" s="146"/>
      <c r="R15" s="146"/>
      <c r="S15" s="147"/>
      <c r="W15" s="211"/>
      <c r="X15" s="211"/>
      <c r="Y15" s="211"/>
      <c r="Z15" s="211"/>
    </row>
    <row r="16" spans="1:26" s="105" customFormat="1" ht="18.75" thickBot="1">
      <c r="A16" s="209" t="s">
        <v>166</v>
      </c>
      <c r="B16" s="209"/>
      <c r="C16" s="209"/>
      <c r="D16" s="209"/>
      <c r="E16" s="209"/>
      <c r="F16" s="209"/>
      <c r="G16" s="209"/>
    </row>
    <row r="17" spans="1:9" s="109" customFormat="1" ht="13.5" thickBot="1">
      <c r="A17" s="106" t="s">
        <v>76</v>
      </c>
      <c r="B17" s="106" t="s">
        <v>77</v>
      </c>
      <c r="C17" s="107" t="s">
        <v>78</v>
      </c>
      <c r="D17" s="106" t="s">
        <v>79</v>
      </c>
      <c r="E17" s="108" t="s">
        <v>80</v>
      </c>
      <c r="F17" s="107" t="s">
        <v>81</v>
      </c>
      <c r="G17" s="107" t="s">
        <v>82</v>
      </c>
    </row>
    <row r="18" spans="1:9" s="92" customFormat="1" ht="23.25" thickBot="1">
      <c r="A18" s="114" t="s">
        <v>167</v>
      </c>
      <c r="B18" s="115" t="s">
        <v>126</v>
      </c>
      <c r="C18" s="116" t="s">
        <v>127</v>
      </c>
      <c r="D18" s="115" t="s">
        <v>168</v>
      </c>
      <c r="E18" s="117">
        <v>2012</v>
      </c>
      <c r="F18" s="116" t="s">
        <v>128</v>
      </c>
      <c r="G18" s="116" t="s">
        <v>129</v>
      </c>
      <c r="I18" s="93"/>
    </row>
    <row r="19" spans="1:9" s="91" customFormat="1" ht="34.5" thickBot="1">
      <c r="A19" s="114" t="s">
        <v>169</v>
      </c>
      <c r="B19" s="118" t="s">
        <v>126</v>
      </c>
      <c r="C19" s="119" t="s">
        <v>130</v>
      </c>
      <c r="D19" s="118" t="s">
        <v>170</v>
      </c>
      <c r="E19" s="120">
        <v>2013</v>
      </c>
      <c r="F19" s="119" t="s">
        <v>131</v>
      </c>
      <c r="G19" s="119" t="s">
        <v>132</v>
      </c>
    </row>
    <row r="20" spans="1:9" s="92" customFormat="1" ht="34.5" thickBot="1">
      <c r="A20" s="114" t="s">
        <v>171</v>
      </c>
      <c r="B20" s="115" t="s">
        <v>126</v>
      </c>
      <c r="C20" s="116" t="s">
        <v>133</v>
      </c>
      <c r="D20" s="115" t="s">
        <v>170</v>
      </c>
      <c r="E20" s="117">
        <v>2015</v>
      </c>
      <c r="F20" s="116" t="s">
        <v>134</v>
      </c>
      <c r="G20" s="116" t="s">
        <v>135</v>
      </c>
      <c r="I20" s="93"/>
    </row>
    <row r="21" spans="1:9" s="92" customFormat="1" ht="34.5" thickBot="1">
      <c r="A21" s="114" t="s">
        <v>172</v>
      </c>
      <c r="B21" s="115" t="s">
        <v>126</v>
      </c>
      <c r="C21" s="116" t="s">
        <v>136</v>
      </c>
      <c r="D21" s="115" t="s">
        <v>170</v>
      </c>
      <c r="E21" s="117">
        <v>2015</v>
      </c>
      <c r="F21" s="116" t="s">
        <v>137</v>
      </c>
      <c r="G21" s="116" t="s">
        <v>138</v>
      </c>
      <c r="I21" s="93"/>
    </row>
    <row r="22" spans="1:9" s="92" customFormat="1" ht="34.5" thickBot="1">
      <c r="A22" s="114" t="s">
        <v>173</v>
      </c>
      <c r="B22" s="115" t="s">
        <v>126</v>
      </c>
      <c r="C22" s="116" t="s">
        <v>139</v>
      </c>
      <c r="D22" s="115" t="s">
        <v>170</v>
      </c>
      <c r="E22" s="117">
        <v>2015</v>
      </c>
      <c r="F22" s="116" t="s">
        <v>140</v>
      </c>
      <c r="G22" s="116" t="s">
        <v>138</v>
      </c>
      <c r="I22" s="93"/>
    </row>
    <row r="23" spans="1:9" s="92" customFormat="1" ht="34.5" thickBot="1">
      <c r="A23" s="114" t="s">
        <v>174</v>
      </c>
      <c r="B23" s="115" t="s">
        <v>126</v>
      </c>
      <c r="C23" s="116" t="s">
        <v>141</v>
      </c>
      <c r="D23" s="115" t="s">
        <v>170</v>
      </c>
      <c r="E23" s="117">
        <v>2015</v>
      </c>
      <c r="F23" s="116" t="s">
        <v>142</v>
      </c>
      <c r="G23" s="116" t="s">
        <v>143</v>
      </c>
      <c r="I23" s="93"/>
    </row>
    <row r="24" spans="1:9" s="92" customFormat="1" ht="34.5" thickBot="1">
      <c r="A24" s="114" t="s">
        <v>175</v>
      </c>
      <c r="B24" s="115" t="s">
        <v>126</v>
      </c>
      <c r="C24" s="116" t="s">
        <v>144</v>
      </c>
      <c r="D24" s="115" t="s">
        <v>170</v>
      </c>
      <c r="E24" s="117">
        <v>2015</v>
      </c>
      <c r="F24" s="116" t="s">
        <v>145</v>
      </c>
      <c r="G24" s="116" t="s">
        <v>146</v>
      </c>
      <c r="I24" s="93"/>
    </row>
    <row r="25" spans="1:9" s="93" customFormat="1" ht="23.25" thickBot="1">
      <c r="A25" s="114" t="s">
        <v>176</v>
      </c>
      <c r="B25" s="111" t="s">
        <v>177</v>
      </c>
      <c r="C25" s="112" t="s">
        <v>147</v>
      </c>
      <c r="D25" s="111" t="s">
        <v>148</v>
      </c>
      <c r="E25" s="117">
        <v>2005</v>
      </c>
      <c r="F25" s="121" t="s">
        <v>178</v>
      </c>
      <c r="G25" s="112" t="s">
        <v>149</v>
      </c>
    </row>
    <row r="26" spans="1:9" s="93" customFormat="1" ht="23.25" thickBot="1">
      <c r="A26" s="114" t="s">
        <v>179</v>
      </c>
      <c r="B26" s="111" t="s">
        <v>126</v>
      </c>
      <c r="C26" s="112" t="s">
        <v>150</v>
      </c>
      <c r="D26" s="111" t="s">
        <v>148</v>
      </c>
      <c r="E26" s="113">
        <v>2005</v>
      </c>
      <c r="F26" s="112">
        <v>40704214142</v>
      </c>
      <c r="G26" s="112" t="s">
        <v>151</v>
      </c>
    </row>
    <row r="27" spans="1:9" s="92" customFormat="1" ht="34.5" thickBot="1">
      <c r="A27" s="114" t="s">
        <v>180</v>
      </c>
      <c r="B27" s="115" t="s">
        <v>177</v>
      </c>
      <c r="C27" s="116" t="s">
        <v>152</v>
      </c>
      <c r="D27" s="115" t="s">
        <v>170</v>
      </c>
      <c r="E27" s="117">
        <v>2012</v>
      </c>
      <c r="F27" s="116" t="s">
        <v>153</v>
      </c>
      <c r="G27" s="116" t="s">
        <v>154</v>
      </c>
      <c r="I27" s="93"/>
    </row>
    <row r="28" spans="1:9" s="93" customFormat="1" ht="23.25" thickBot="1">
      <c r="A28" s="114" t="s">
        <v>181</v>
      </c>
      <c r="B28" s="111" t="s">
        <v>126</v>
      </c>
      <c r="C28" s="112" t="s">
        <v>155</v>
      </c>
      <c r="D28" s="111" t="s">
        <v>148</v>
      </c>
      <c r="E28" s="113">
        <v>2005</v>
      </c>
      <c r="F28" s="122" t="s">
        <v>156</v>
      </c>
      <c r="G28" s="112" t="s">
        <v>157</v>
      </c>
    </row>
    <row r="29" spans="1:9" s="93" customFormat="1" ht="23.25" thickBot="1">
      <c r="A29" s="114" t="s">
        <v>182</v>
      </c>
      <c r="B29" s="111" t="s">
        <v>126</v>
      </c>
      <c r="C29" s="112" t="s">
        <v>158</v>
      </c>
      <c r="D29" s="111" t="s">
        <v>148</v>
      </c>
      <c r="E29" s="113">
        <v>2005</v>
      </c>
      <c r="F29" s="112">
        <v>40704214140</v>
      </c>
      <c r="G29" s="112" t="s">
        <v>159</v>
      </c>
    </row>
    <row r="30" spans="1:9" s="105" customFormat="1" ht="18.75" thickBot="1">
      <c r="A30" s="209" t="s">
        <v>166</v>
      </c>
      <c r="B30" s="209"/>
      <c r="C30" s="209"/>
      <c r="D30" s="209"/>
      <c r="E30" s="209"/>
      <c r="F30" s="209"/>
      <c r="G30" s="209"/>
    </row>
    <row r="31" spans="1:9" s="109" customFormat="1" ht="13.5" thickBot="1">
      <c r="A31" s="106" t="s">
        <v>76</v>
      </c>
      <c r="B31" s="106" t="s">
        <v>77</v>
      </c>
      <c r="C31" s="107" t="s">
        <v>78</v>
      </c>
      <c r="D31" s="106" t="s">
        <v>79</v>
      </c>
      <c r="E31" s="108" t="s">
        <v>80</v>
      </c>
      <c r="F31" s="107" t="s">
        <v>81</v>
      </c>
      <c r="G31" s="107" t="s">
        <v>82</v>
      </c>
    </row>
    <row r="32" spans="1:9" s="92" customFormat="1" ht="23.25" thickBot="1">
      <c r="A32" s="114" t="s">
        <v>183</v>
      </c>
      <c r="B32" s="115" t="s">
        <v>126</v>
      </c>
      <c r="C32" s="116" t="s">
        <v>184</v>
      </c>
      <c r="D32" s="115" t="s">
        <v>185</v>
      </c>
      <c r="E32" s="117">
        <v>2015</v>
      </c>
      <c r="F32" s="116" t="s">
        <v>186</v>
      </c>
      <c r="G32" s="116" t="s">
        <v>187</v>
      </c>
      <c r="I32" s="93"/>
    </row>
    <row r="33" spans="1:9" s="92" customFormat="1" ht="23.25" thickBot="1">
      <c r="A33" s="114" t="s">
        <v>188</v>
      </c>
      <c r="B33" s="115" t="s">
        <v>126</v>
      </c>
      <c r="C33" s="116" t="s">
        <v>189</v>
      </c>
      <c r="D33" s="115" t="s">
        <v>185</v>
      </c>
      <c r="E33" s="117">
        <v>2015</v>
      </c>
      <c r="F33" s="116" t="s">
        <v>190</v>
      </c>
      <c r="G33" s="116" t="s">
        <v>191</v>
      </c>
    </row>
    <row r="34" spans="1:9" s="92" customFormat="1" ht="34.5" thickBot="1">
      <c r="A34" s="114" t="s">
        <v>192</v>
      </c>
      <c r="B34" s="115" t="s">
        <v>126</v>
      </c>
      <c r="C34" s="116" t="s">
        <v>193</v>
      </c>
      <c r="D34" s="115" t="s">
        <v>170</v>
      </c>
      <c r="E34" s="117">
        <v>2015</v>
      </c>
      <c r="F34" s="116" t="s">
        <v>194</v>
      </c>
      <c r="G34" s="116" t="s">
        <v>195</v>
      </c>
      <c r="I34" s="93"/>
    </row>
    <row r="35" spans="1:9" s="92" customFormat="1" ht="34.5" thickBot="1">
      <c r="A35" s="114" t="s">
        <v>196</v>
      </c>
      <c r="B35" s="115" t="s">
        <v>126</v>
      </c>
      <c r="C35" s="116" t="s">
        <v>197</v>
      </c>
      <c r="D35" s="115" t="s">
        <v>170</v>
      </c>
      <c r="E35" s="117">
        <v>2015</v>
      </c>
      <c r="F35" s="116" t="s">
        <v>198</v>
      </c>
      <c r="G35" s="116" t="s">
        <v>199</v>
      </c>
      <c r="I35" s="93"/>
    </row>
    <row r="36" spans="1:9" s="92" customFormat="1" ht="34.5" thickBot="1">
      <c r="A36" s="114" t="s">
        <v>200</v>
      </c>
      <c r="B36" s="115" t="s">
        <v>126</v>
      </c>
      <c r="C36" s="116" t="s">
        <v>201</v>
      </c>
      <c r="D36" s="115" t="s">
        <v>170</v>
      </c>
      <c r="E36" s="117">
        <v>2015</v>
      </c>
      <c r="F36" s="116" t="s">
        <v>202</v>
      </c>
      <c r="G36" s="116" t="s">
        <v>203</v>
      </c>
      <c r="I36" s="93"/>
    </row>
    <row r="37" spans="1:9" s="92" customFormat="1" ht="34.5" thickBot="1">
      <c r="A37" s="114" t="s">
        <v>204</v>
      </c>
      <c r="B37" s="115" t="s">
        <v>126</v>
      </c>
      <c r="C37" s="116" t="s">
        <v>205</v>
      </c>
      <c r="D37" s="115" t="s">
        <v>170</v>
      </c>
      <c r="E37" s="117">
        <v>2015</v>
      </c>
      <c r="F37" s="116" t="s">
        <v>206</v>
      </c>
      <c r="G37" s="116" t="s">
        <v>207</v>
      </c>
      <c r="I37" s="93"/>
    </row>
    <row r="38" spans="1:9" s="92" customFormat="1" ht="34.5" thickBot="1">
      <c r="A38" s="114" t="s">
        <v>208</v>
      </c>
      <c r="B38" s="115" t="s">
        <v>126</v>
      </c>
      <c r="C38" s="116" t="s">
        <v>209</v>
      </c>
      <c r="D38" s="115" t="s">
        <v>170</v>
      </c>
      <c r="E38" s="117">
        <v>2015</v>
      </c>
      <c r="F38" s="116" t="s">
        <v>210</v>
      </c>
      <c r="G38" s="116" t="s">
        <v>211</v>
      </c>
      <c r="I38" s="93"/>
    </row>
    <row r="39" spans="1:9" s="92" customFormat="1" ht="34.5" thickBot="1">
      <c r="A39" s="114" t="s">
        <v>212</v>
      </c>
      <c r="B39" s="115" t="s">
        <v>126</v>
      </c>
      <c r="C39" s="116" t="s">
        <v>213</v>
      </c>
      <c r="D39" s="115" t="s">
        <v>170</v>
      </c>
      <c r="E39" s="117">
        <v>2015</v>
      </c>
      <c r="F39" s="116" t="s">
        <v>214</v>
      </c>
      <c r="G39" s="116" t="s">
        <v>215</v>
      </c>
      <c r="I39" s="93"/>
    </row>
    <row r="40" spans="1:9" s="92" customFormat="1" ht="34.5" thickBot="1">
      <c r="A40" s="114" t="s">
        <v>216</v>
      </c>
      <c r="B40" s="115" t="s">
        <v>126</v>
      </c>
      <c r="C40" s="116" t="s">
        <v>217</v>
      </c>
      <c r="D40" s="115" t="s">
        <v>170</v>
      </c>
      <c r="E40" s="117">
        <v>2015</v>
      </c>
      <c r="F40" s="116" t="s">
        <v>218</v>
      </c>
      <c r="G40" s="116" t="s">
        <v>219</v>
      </c>
    </row>
    <row r="41" spans="1:9" s="92" customFormat="1" ht="34.5" thickBot="1">
      <c r="A41" s="114" t="s">
        <v>220</v>
      </c>
      <c r="B41" s="115" t="s">
        <v>126</v>
      </c>
      <c r="C41" s="116" t="s">
        <v>221</v>
      </c>
      <c r="D41" s="115" t="s">
        <v>222</v>
      </c>
      <c r="E41" s="117">
        <v>2015</v>
      </c>
      <c r="F41" s="116" t="s">
        <v>223</v>
      </c>
      <c r="G41" s="123" t="s">
        <v>224</v>
      </c>
      <c r="I41" s="93"/>
    </row>
    <row r="42" spans="1:9" s="92" customFormat="1" ht="34.5" thickBot="1">
      <c r="A42" s="114" t="s">
        <v>225</v>
      </c>
      <c r="B42" s="115" t="s">
        <v>126</v>
      </c>
      <c r="C42" s="116" t="s">
        <v>226</v>
      </c>
      <c r="D42" s="115" t="s">
        <v>222</v>
      </c>
      <c r="E42" s="117">
        <v>2015</v>
      </c>
      <c r="F42" s="116" t="s">
        <v>227</v>
      </c>
      <c r="G42" s="123" t="s">
        <v>228</v>
      </c>
      <c r="I42" s="93"/>
    </row>
    <row r="43" spans="1:9" s="92" customFormat="1" ht="34.5" thickBot="1">
      <c r="A43" s="114" t="s">
        <v>229</v>
      </c>
      <c r="B43" s="115" t="s">
        <v>126</v>
      </c>
      <c r="C43" s="116" t="s">
        <v>230</v>
      </c>
      <c r="D43" s="115" t="s">
        <v>222</v>
      </c>
      <c r="E43" s="117">
        <v>2015</v>
      </c>
      <c r="F43" s="116" t="s">
        <v>231</v>
      </c>
      <c r="G43" s="123" t="s">
        <v>232</v>
      </c>
      <c r="I43" s="93"/>
    </row>
    <row r="44" spans="1:9" s="92" customFormat="1" ht="34.5" thickBot="1">
      <c r="A44" s="114" t="s">
        <v>233</v>
      </c>
      <c r="B44" s="115" t="s">
        <v>126</v>
      </c>
      <c r="C44" s="116" t="s">
        <v>234</v>
      </c>
      <c r="D44" s="115" t="s">
        <v>222</v>
      </c>
      <c r="E44" s="117" t="s">
        <v>235</v>
      </c>
      <c r="F44" s="116" t="s">
        <v>236</v>
      </c>
      <c r="G44" s="123" t="s">
        <v>237</v>
      </c>
      <c r="I44" s="93"/>
    </row>
    <row r="45" spans="1:9" s="92" customFormat="1" ht="34.5" thickBot="1">
      <c r="A45" s="114" t="s">
        <v>238</v>
      </c>
      <c r="B45" s="115" t="s">
        <v>126</v>
      </c>
      <c r="C45" s="116" t="s">
        <v>239</v>
      </c>
      <c r="D45" s="115" t="s">
        <v>222</v>
      </c>
      <c r="E45" s="117">
        <v>2015</v>
      </c>
      <c r="F45" s="116" t="s">
        <v>240</v>
      </c>
      <c r="G45" s="123" t="s">
        <v>241</v>
      </c>
      <c r="I45" s="93"/>
    </row>
    <row r="46" spans="1:9" s="92" customFormat="1" ht="34.5" thickBot="1">
      <c r="A46" s="114" t="s">
        <v>242</v>
      </c>
      <c r="B46" s="115" t="s">
        <v>126</v>
      </c>
      <c r="C46" s="116" t="s">
        <v>243</v>
      </c>
      <c r="D46" s="115" t="s">
        <v>222</v>
      </c>
      <c r="E46" s="117">
        <v>2015</v>
      </c>
      <c r="F46" s="116" t="s">
        <v>244</v>
      </c>
      <c r="G46" s="123" t="s">
        <v>245</v>
      </c>
      <c r="I46" s="93"/>
    </row>
    <row r="47" spans="1:9" s="92" customFormat="1" ht="34.5" thickBot="1">
      <c r="A47" s="114" t="s">
        <v>246</v>
      </c>
      <c r="B47" s="115" t="s">
        <v>126</v>
      </c>
      <c r="C47" s="116" t="s">
        <v>247</v>
      </c>
      <c r="D47" s="115" t="s">
        <v>222</v>
      </c>
      <c r="E47" s="117">
        <v>2015</v>
      </c>
      <c r="F47" s="116" t="s">
        <v>248</v>
      </c>
      <c r="G47" s="123" t="s">
        <v>249</v>
      </c>
      <c r="I47" s="93"/>
    </row>
    <row r="48" spans="1:9" s="92" customFormat="1" ht="34.5" thickBot="1">
      <c r="A48" s="114" t="s">
        <v>250</v>
      </c>
      <c r="B48" s="115" t="s">
        <v>126</v>
      </c>
      <c r="C48" s="116" t="s">
        <v>251</v>
      </c>
      <c r="D48" s="115" t="s">
        <v>222</v>
      </c>
      <c r="E48" s="117">
        <v>2015</v>
      </c>
      <c r="F48" s="116" t="s">
        <v>252</v>
      </c>
      <c r="G48" s="123" t="s">
        <v>253</v>
      </c>
      <c r="I48" s="93"/>
    </row>
    <row r="49" spans="1:9" s="92" customFormat="1" ht="34.5" thickBot="1">
      <c r="A49" s="114" t="s">
        <v>254</v>
      </c>
      <c r="B49" s="115" t="s">
        <v>126</v>
      </c>
      <c r="C49" s="116" t="s">
        <v>255</v>
      </c>
      <c r="D49" s="115" t="s">
        <v>222</v>
      </c>
      <c r="E49" s="117">
        <v>2015</v>
      </c>
      <c r="F49" s="119" t="s">
        <v>256</v>
      </c>
      <c r="G49" s="124" t="s">
        <v>257</v>
      </c>
      <c r="I49" s="93"/>
    </row>
    <row r="50" spans="1:9" s="92" customFormat="1" ht="34.5" thickBot="1">
      <c r="A50" s="114" t="s">
        <v>258</v>
      </c>
      <c r="B50" s="115" t="s">
        <v>126</v>
      </c>
      <c r="C50" s="116" t="s">
        <v>259</v>
      </c>
      <c r="D50" s="115" t="s">
        <v>222</v>
      </c>
      <c r="E50" s="117">
        <v>2015</v>
      </c>
      <c r="F50" s="116" t="s">
        <v>260</v>
      </c>
      <c r="G50" s="123" t="s">
        <v>261</v>
      </c>
      <c r="I50" s="93"/>
    </row>
    <row r="51" spans="1:9" s="92" customFormat="1" ht="34.5" thickBot="1">
      <c r="A51" s="114" t="s">
        <v>262</v>
      </c>
      <c r="B51" s="115" t="s">
        <v>126</v>
      </c>
      <c r="C51" s="116" t="s">
        <v>263</v>
      </c>
      <c r="D51" s="115" t="s">
        <v>222</v>
      </c>
      <c r="E51" s="117">
        <v>2015</v>
      </c>
      <c r="F51" s="116" t="s">
        <v>264</v>
      </c>
      <c r="G51" s="123" t="s">
        <v>265</v>
      </c>
      <c r="I51" s="93"/>
    </row>
    <row r="52" spans="1:9" s="92" customFormat="1" ht="34.5" thickBot="1">
      <c r="A52" s="114" t="s">
        <v>266</v>
      </c>
      <c r="B52" s="115" t="s">
        <v>126</v>
      </c>
      <c r="C52" s="116" t="s">
        <v>267</v>
      </c>
      <c r="D52" s="115" t="s">
        <v>222</v>
      </c>
      <c r="E52" s="117">
        <v>2015</v>
      </c>
      <c r="F52" s="116" t="s">
        <v>268</v>
      </c>
      <c r="G52" s="123" t="s">
        <v>269</v>
      </c>
      <c r="I52" s="93"/>
    </row>
    <row r="53" spans="1:9" s="92" customFormat="1" ht="34.5" thickBot="1">
      <c r="A53" s="114" t="s">
        <v>270</v>
      </c>
      <c r="B53" s="115" t="s">
        <v>126</v>
      </c>
      <c r="C53" s="116" t="s">
        <v>271</v>
      </c>
      <c r="D53" s="115" t="s">
        <v>222</v>
      </c>
      <c r="E53" s="117">
        <v>2015</v>
      </c>
      <c r="F53" s="116" t="s">
        <v>272</v>
      </c>
      <c r="G53" s="123" t="s">
        <v>273</v>
      </c>
      <c r="I53" s="93"/>
    </row>
    <row r="54" spans="1:9" s="92" customFormat="1" ht="34.5" thickBot="1">
      <c r="A54" s="114" t="s">
        <v>274</v>
      </c>
      <c r="B54" s="115" t="s">
        <v>126</v>
      </c>
      <c r="C54" s="116" t="s">
        <v>275</v>
      </c>
      <c r="D54" s="115" t="s">
        <v>222</v>
      </c>
      <c r="E54" s="117">
        <v>2015</v>
      </c>
      <c r="F54" s="116" t="s">
        <v>276</v>
      </c>
      <c r="G54" s="123" t="s">
        <v>277</v>
      </c>
      <c r="I54" s="93"/>
    </row>
    <row r="55" spans="1:9" s="92" customFormat="1" ht="34.5" thickBot="1">
      <c r="A55" s="114" t="s">
        <v>278</v>
      </c>
      <c r="B55" s="115" t="s">
        <v>126</v>
      </c>
      <c r="C55" s="116" t="s">
        <v>279</v>
      </c>
      <c r="D55" s="115" t="s">
        <v>222</v>
      </c>
      <c r="E55" s="117">
        <v>2015</v>
      </c>
      <c r="F55" s="116" t="s">
        <v>280</v>
      </c>
      <c r="G55" s="123" t="s">
        <v>281</v>
      </c>
      <c r="I55" s="93"/>
    </row>
    <row r="56" spans="1:9" s="92" customFormat="1" ht="34.5" thickBot="1">
      <c r="A56" s="114" t="s">
        <v>282</v>
      </c>
      <c r="B56" s="115" t="s">
        <v>126</v>
      </c>
      <c r="C56" s="116" t="s">
        <v>283</v>
      </c>
      <c r="D56" s="115" t="s">
        <v>222</v>
      </c>
      <c r="E56" s="117">
        <v>2015</v>
      </c>
      <c r="F56" s="116" t="s">
        <v>284</v>
      </c>
      <c r="G56" s="123" t="s">
        <v>285</v>
      </c>
      <c r="I56" s="93"/>
    </row>
    <row r="57" spans="1:9" s="92" customFormat="1" ht="34.5" thickBot="1">
      <c r="A57" s="114" t="s">
        <v>286</v>
      </c>
      <c r="B57" s="115" t="s">
        <v>126</v>
      </c>
      <c r="C57" s="116" t="s">
        <v>287</v>
      </c>
      <c r="D57" s="115" t="s">
        <v>222</v>
      </c>
      <c r="E57" s="117">
        <v>2015</v>
      </c>
      <c r="F57" s="116" t="s">
        <v>288</v>
      </c>
      <c r="G57" s="123" t="s">
        <v>289</v>
      </c>
      <c r="I57" s="93"/>
    </row>
    <row r="58" spans="1:9" s="92" customFormat="1" ht="34.5" thickBot="1">
      <c r="A58" s="114" t="s">
        <v>290</v>
      </c>
      <c r="B58" s="115" t="s">
        <v>126</v>
      </c>
      <c r="C58" s="116" t="s">
        <v>291</v>
      </c>
      <c r="D58" s="115" t="s">
        <v>222</v>
      </c>
      <c r="E58" s="117">
        <v>2015</v>
      </c>
      <c r="F58" s="116" t="s">
        <v>292</v>
      </c>
      <c r="G58" s="123" t="s">
        <v>293</v>
      </c>
      <c r="I58" s="93"/>
    </row>
    <row r="59" spans="1:9" s="92" customFormat="1" ht="34.5" thickBot="1">
      <c r="A59" s="114" t="s">
        <v>294</v>
      </c>
      <c r="B59" s="115" t="s">
        <v>126</v>
      </c>
      <c r="C59" s="116" t="s">
        <v>295</v>
      </c>
      <c r="D59" s="115" t="s">
        <v>222</v>
      </c>
      <c r="E59" s="117">
        <v>2015</v>
      </c>
      <c r="F59" s="116" t="s">
        <v>296</v>
      </c>
      <c r="G59" s="123" t="s">
        <v>297</v>
      </c>
      <c r="I59" s="93"/>
    </row>
    <row r="60" spans="1:9" s="105" customFormat="1" ht="18.75" thickBot="1">
      <c r="A60" s="209" t="s">
        <v>166</v>
      </c>
      <c r="B60" s="209"/>
      <c r="C60" s="209"/>
      <c r="D60" s="209"/>
      <c r="E60" s="209"/>
      <c r="F60" s="209"/>
      <c r="G60" s="209"/>
    </row>
    <row r="61" spans="1:9" s="109" customFormat="1" ht="13.5" thickBot="1">
      <c r="A61" s="106" t="s">
        <v>76</v>
      </c>
      <c r="B61" s="106" t="s">
        <v>77</v>
      </c>
      <c r="C61" s="107" t="s">
        <v>78</v>
      </c>
      <c r="D61" s="106" t="s">
        <v>79</v>
      </c>
      <c r="E61" s="108" t="s">
        <v>80</v>
      </c>
      <c r="F61" s="107" t="s">
        <v>81</v>
      </c>
      <c r="G61" s="107" t="s">
        <v>82</v>
      </c>
    </row>
    <row r="62" spans="1:9" s="92" customFormat="1" ht="34.5" thickBot="1">
      <c r="A62" s="114" t="s">
        <v>298</v>
      </c>
      <c r="B62" s="115" t="s">
        <v>126</v>
      </c>
      <c r="C62" s="116" t="s">
        <v>299</v>
      </c>
      <c r="D62" s="115" t="s">
        <v>222</v>
      </c>
      <c r="E62" s="117">
        <v>2015</v>
      </c>
      <c r="F62" s="116" t="s">
        <v>268</v>
      </c>
      <c r="G62" s="123" t="s">
        <v>300</v>
      </c>
      <c r="I62" s="93"/>
    </row>
    <row r="63" spans="1:9" s="92" customFormat="1" ht="34.5" thickBot="1">
      <c r="A63" s="114" t="s">
        <v>301</v>
      </c>
      <c r="B63" s="115" t="s">
        <v>126</v>
      </c>
      <c r="C63" s="116" t="s">
        <v>302</v>
      </c>
      <c r="D63" s="115" t="s">
        <v>222</v>
      </c>
      <c r="E63" s="117">
        <v>2015</v>
      </c>
      <c r="F63" s="116" t="s">
        <v>303</v>
      </c>
      <c r="G63" s="123" t="s">
        <v>304</v>
      </c>
      <c r="I63" s="93"/>
    </row>
    <row r="64" spans="1:9" s="92" customFormat="1" ht="34.5" thickBot="1">
      <c r="A64" s="114" t="s">
        <v>305</v>
      </c>
      <c r="B64" s="115" t="s">
        <v>126</v>
      </c>
      <c r="C64" s="116" t="s">
        <v>306</v>
      </c>
      <c r="D64" s="115" t="s">
        <v>222</v>
      </c>
      <c r="E64" s="117">
        <v>2015</v>
      </c>
      <c r="F64" s="116" t="s">
        <v>307</v>
      </c>
      <c r="G64" s="123" t="s">
        <v>308</v>
      </c>
      <c r="I64" s="93"/>
    </row>
    <row r="65" spans="1:9" s="92" customFormat="1" ht="34.5" thickBot="1">
      <c r="A65" s="114" t="s">
        <v>309</v>
      </c>
      <c r="B65" s="115" t="s">
        <v>126</v>
      </c>
      <c r="C65" s="116" t="s">
        <v>310</v>
      </c>
      <c r="D65" s="115" t="s">
        <v>222</v>
      </c>
      <c r="E65" s="117">
        <v>2015</v>
      </c>
      <c r="F65" s="116" t="s">
        <v>311</v>
      </c>
      <c r="G65" s="123" t="s">
        <v>312</v>
      </c>
      <c r="I65" s="93"/>
    </row>
    <row r="66" spans="1:9" s="92" customFormat="1" ht="34.5" thickBot="1">
      <c r="A66" s="114" t="s">
        <v>313</v>
      </c>
      <c r="B66" s="115" t="s">
        <v>126</v>
      </c>
      <c r="C66" s="116" t="s">
        <v>314</v>
      </c>
      <c r="D66" s="115" t="s">
        <v>222</v>
      </c>
      <c r="E66" s="117">
        <v>2015</v>
      </c>
      <c r="F66" s="116" t="s">
        <v>315</v>
      </c>
      <c r="G66" s="123" t="s">
        <v>316</v>
      </c>
      <c r="I66" s="93"/>
    </row>
    <row r="67" spans="1:9" s="92" customFormat="1" ht="34.5" thickBot="1">
      <c r="A67" s="114" t="s">
        <v>317</v>
      </c>
      <c r="B67" s="115" t="s">
        <v>126</v>
      </c>
      <c r="C67" s="116" t="s">
        <v>318</v>
      </c>
      <c r="D67" s="115" t="s">
        <v>222</v>
      </c>
      <c r="E67" s="117">
        <v>2015</v>
      </c>
      <c r="F67" s="116" t="s">
        <v>319</v>
      </c>
      <c r="G67" s="123" t="s">
        <v>320</v>
      </c>
      <c r="I67" s="93"/>
    </row>
    <row r="68" spans="1:9" s="92" customFormat="1" ht="34.5" thickBot="1">
      <c r="A68" s="114" t="s">
        <v>321</v>
      </c>
      <c r="B68" s="115" t="s">
        <v>126</v>
      </c>
      <c r="C68" s="116" t="s">
        <v>322</v>
      </c>
      <c r="D68" s="115" t="s">
        <v>222</v>
      </c>
      <c r="E68" s="117">
        <v>2015</v>
      </c>
      <c r="F68" s="116" t="s">
        <v>323</v>
      </c>
      <c r="G68" s="123" t="s">
        <v>324</v>
      </c>
      <c r="I68" s="93"/>
    </row>
    <row r="69" spans="1:9" s="92" customFormat="1" ht="34.5" thickBot="1">
      <c r="A69" s="114" t="s">
        <v>325</v>
      </c>
      <c r="B69" s="115" t="s">
        <v>126</v>
      </c>
      <c r="C69" s="116" t="s">
        <v>326</v>
      </c>
      <c r="D69" s="115" t="s">
        <v>222</v>
      </c>
      <c r="E69" s="117">
        <v>2015</v>
      </c>
      <c r="F69" s="116" t="s">
        <v>327</v>
      </c>
      <c r="G69" s="123" t="s">
        <v>328</v>
      </c>
      <c r="I69" s="93"/>
    </row>
    <row r="70" spans="1:9" s="92" customFormat="1" ht="34.5" thickBot="1">
      <c r="A70" s="114" t="s">
        <v>329</v>
      </c>
      <c r="B70" s="115" t="s">
        <v>126</v>
      </c>
      <c r="C70" s="116" t="s">
        <v>330</v>
      </c>
      <c r="D70" s="115" t="s">
        <v>222</v>
      </c>
      <c r="E70" s="117">
        <v>2015</v>
      </c>
      <c r="F70" s="116" t="s">
        <v>331</v>
      </c>
      <c r="G70" s="123" t="s">
        <v>332</v>
      </c>
      <c r="I70" s="93"/>
    </row>
    <row r="71" spans="1:9" s="92" customFormat="1" ht="34.5" thickBot="1">
      <c r="A71" s="114" t="s">
        <v>333</v>
      </c>
      <c r="B71" s="115" t="s">
        <v>126</v>
      </c>
      <c r="C71" s="116" t="s">
        <v>334</v>
      </c>
      <c r="D71" s="115" t="s">
        <v>222</v>
      </c>
      <c r="E71" s="117">
        <v>2015</v>
      </c>
      <c r="F71" s="116" t="s">
        <v>335</v>
      </c>
      <c r="G71" s="123" t="s">
        <v>336</v>
      </c>
      <c r="I71" s="93"/>
    </row>
    <row r="72" spans="1:9" s="92" customFormat="1" ht="34.5" thickBot="1">
      <c r="A72" s="114" t="s">
        <v>337</v>
      </c>
      <c r="B72" s="115" t="s">
        <v>126</v>
      </c>
      <c r="C72" s="116" t="s">
        <v>338</v>
      </c>
      <c r="D72" s="115" t="s">
        <v>222</v>
      </c>
      <c r="E72" s="117">
        <v>2015</v>
      </c>
      <c r="F72" s="116" t="s">
        <v>339</v>
      </c>
      <c r="G72" s="123" t="s">
        <v>340</v>
      </c>
      <c r="I72" s="93"/>
    </row>
    <row r="73" spans="1:9" s="92" customFormat="1" ht="34.5" thickBot="1">
      <c r="A73" s="114" t="s">
        <v>341</v>
      </c>
      <c r="B73" s="115" t="s">
        <v>126</v>
      </c>
      <c r="C73" s="116" t="s">
        <v>342</v>
      </c>
      <c r="D73" s="115" t="s">
        <v>222</v>
      </c>
      <c r="E73" s="117">
        <v>2015</v>
      </c>
      <c r="F73" s="116" t="s">
        <v>343</v>
      </c>
      <c r="G73" s="123" t="s">
        <v>344</v>
      </c>
      <c r="I73" s="93"/>
    </row>
    <row r="74" spans="1:9" s="92" customFormat="1" ht="34.5" thickBot="1">
      <c r="A74" s="114" t="s">
        <v>345</v>
      </c>
      <c r="B74" s="115" t="s">
        <v>126</v>
      </c>
      <c r="C74" s="116" t="s">
        <v>346</v>
      </c>
      <c r="D74" s="115" t="s">
        <v>222</v>
      </c>
      <c r="E74" s="117">
        <v>2015</v>
      </c>
      <c r="F74" s="116" t="s">
        <v>347</v>
      </c>
      <c r="G74" s="123" t="s">
        <v>348</v>
      </c>
      <c r="I74" s="93"/>
    </row>
    <row r="75" spans="1:9" s="92" customFormat="1" ht="34.5" thickBot="1">
      <c r="A75" s="114" t="s">
        <v>349</v>
      </c>
      <c r="B75" s="115" t="s">
        <v>126</v>
      </c>
      <c r="C75" s="116" t="s">
        <v>350</v>
      </c>
      <c r="D75" s="115" t="s">
        <v>222</v>
      </c>
      <c r="E75" s="117">
        <v>2015</v>
      </c>
      <c r="F75" s="116" t="s">
        <v>351</v>
      </c>
      <c r="G75" s="123" t="s">
        <v>352</v>
      </c>
      <c r="I75" s="93"/>
    </row>
    <row r="76" spans="1:9" s="92" customFormat="1" ht="34.5" thickBot="1">
      <c r="A76" s="114" t="s">
        <v>353</v>
      </c>
      <c r="B76" s="115" t="s">
        <v>126</v>
      </c>
      <c r="C76" s="116" t="s">
        <v>354</v>
      </c>
      <c r="D76" s="115" t="s">
        <v>222</v>
      </c>
      <c r="E76" s="117">
        <v>2015</v>
      </c>
      <c r="F76" s="116" t="s">
        <v>355</v>
      </c>
      <c r="G76" s="123" t="s">
        <v>356</v>
      </c>
      <c r="I76" s="93"/>
    </row>
    <row r="77" spans="1:9" s="92" customFormat="1" ht="34.5" thickBot="1">
      <c r="A77" s="114" t="s">
        <v>357</v>
      </c>
      <c r="B77" s="115" t="s">
        <v>126</v>
      </c>
      <c r="C77" s="116" t="s">
        <v>358</v>
      </c>
      <c r="D77" s="115" t="s">
        <v>222</v>
      </c>
      <c r="E77" s="117">
        <v>2015</v>
      </c>
      <c r="F77" s="116" t="s">
        <v>359</v>
      </c>
      <c r="G77" s="123" t="s">
        <v>360</v>
      </c>
      <c r="I77" s="93"/>
    </row>
    <row r="78" spans="1:9" s="92" customFormat="1" ht="34.5" thickBot="1">
      <c r="A78" s="114" t="s">
        <v>361</v>
      </c>
      <c r="B78" s="115" t="s">
        <v>126</v>
      </c>
      <c r="C78" s="116" t="s">
        <v>362</v>
      </c>
      <c r="D78" s="115" t="s">
        <v>222</v>
      </c>
      <c r="E78" s="117">
        <v>2015</v>
      </c>
      <c r="F78" s="116" t="s">
        <v>363</v>
      </c>
      <c r="G78" s="123" t="s">
        <v>364</v>
      </c>
      <c r="I78" s="93"/>
    </row>
    <row r="79" spans="1:9" s="92" customFormat="1" ht="34.5" thickBot="1">
      <c r="A79" s="114" t="s">
        <v>365</v>
      </c>
      <c r="B79" s="115" t="s">
        <v>126</v>
      </c>
      <c r="C79" s="116" t="s">
        <v>366</v>
      </c>
      <c r="D79" s="115" t="s">
        <v>222</v>
      </c>
      <c r="E79" s="117">
        <v>2015</v>
      </c>
      <c r="F79" s="116" t="s">
        <v>367</v>
      </c>
      <c r="G79" s="123" t="s">
        <v>368</v>
      </c>
      <c r="I79" s="93"/>
    </row>
    <row r="80" spans="1:9" s="92" customFormat="1" ht="34.5" thickBot="1">
      <c r="A80" s="114" t="s">
        <v>369</v>
      </c>
      <c r="B80" s="115" t="s">
        <v>126</v>
      </c>
      <c r="C80" s="116" t="s">
        <v>370</v>
      </c>
      <c r="D80" s="115" t="s">
        <v>222</v>
      </c>
      <c r="E80" s="117">
        <v>2015</v>
      </c>
      <c r="F80" s="116" t="s">
        <v>371</v>
      </c>
      <c r="G80" s="123" t="s">
        <v>372</v>
      </c>
      <c r="I80" s="93"/>
    </row>
    <row r="81" spans="1:9" s="92" customFormat="1" ht="34.5" thickBot="1">
      <c r="A81" s="114" t="s">
        <v>373</v>
      </c>
      <c r="B81" s="115" t="s">
        <v>126</v>
      </c>
      <c r="C81" s="116" t="s">
        <v>374</v>
      </c>
      <c r="D81" s="115" t="s">
        <v>222</v>
      </c>
      <c r="E81" s="117">
        <v>2015</v>
      </c>
      <c r="F81" s="116" t="s">
        <v>375</v>
      </c>
      <c r="G81" s="123" t="s">
        <v>376</v>
      </c>
      <c r="I81" s="93"/>
    </row>
    <row r="82" spans="1:9" s="92" customFormat="1" ht="34.5" thickBot="1">
      <c r="A82" s="114" t="s">
        <v>377</v>
      </c>
      <c r="B82" s="115" t="s">
        <v>126</v>
      </c>
      <c r="C82" s="116" t="s">
        <v>378</v>
      </c>
      <c r="D82" s="115" t="s">
        <v>222</v>
      </c>
      <c r="E82" s="117">
        <v>2015</v>
      </c>
      <c r="F82" s="116" t="s">
        <v>379</v>
      </c>
      <c r="G82" s="123" t="s">
        <v>380</v>
      </c>
      <c r="I82" s="93"/>
    </row>
    <row r="83" spans="1:9" s="92" customFormat="1" ht="34.5" thickBot="1">
      <c r="A83" s="114" t="s">
        <v>381</v>
      </c>
      <c r="B83" s="115" t="s">
        <v>126</v>
      </c>
      <c r="C83" s="116" t="s">
        <v>382</v>
      </c>
      <c r="D83" s="115" t="s">
        <v>222</v>
      </c>
      <c r="E83" s="117">
        <v>2015</v>
      </c>
      <c r="F83" s="116" t="s">
        <v>383</v>
      </c>
      <c r="G83" s="123" t="s">
        <v>384</v>
      </c>
      <c r="I83" s="93"/>
    </row>
    <row r="84" spans="1:9" s="92" customFormat="1" ht="34.5" thickBot="1">
      <c r="A84" s="114" t="s">
        <v>385</v>
      </c>
      <c r="B84" s="115" t="s">
        <v>126</v>
      </c>
      <c r="C84" s="116" t="s">
        <v>386</v>
      </c>
      <c r="D84" s="115" t="s">
        <v>222</v>
      </c>
      <c r="E84" s="117">
        <v>2015</v>
      </c>
      <c r="F84" s="116" t="s">
        <v>387</v>
      </c>
      <c r="G84" s="123" t="s">
        <v>388</v>
      </c>
      <c r="I84" s="93"/>
    </row>
    <row r="85" spans="1:9" s="92" customFormat="1" ht="34.5" thickBot="1">
      <c r="A85" s="114" t="s">
        <v>389</v>
      </c>
      <c r="B85" s="115" t="s">
        <v>126</v>
      </c>
      <c r="C85" s="116" t="s">
        <v>390</v>
      </c>
      <c r="D85" s="115" t="s">
        <v>222</v>
      </c>
      <c r="E85" s="117">
        <v>2015</v>
      </c>
      <c r="F85" s="116" t="s">
        <v>391</v>
      </c>
      <c r="G85" s="123" t="s">
        <v>392</v>
      </c>
      <c r="I85" s="93"/>
    </row>
    <row r="86" spans="1:9" s="92" customFormat="1" ht="34.5" thickBot="1">
      <c r="A86" s="114" t="s">
        <v>393</v>
      </c>
      <c r="B86" s="115" t="s">
        <v>126</v>
      </c>
      <c r="C86" s="116" t="s">
        <v>394</v>
      </c>
      <c r="D86" s="115" t="s">
        <v>222</v>
      </c>
      <c r="E86" s="117">
        <v>2015</v>
      </c>
      <c r="F86" s="116" t="s">
        <v>395</v>
      </c>
      <c r="G86" s="123" t="s">
        <v>396</v>
      </c>
      <c r="I86" s="93"/>
    </row>
    <row r="87" spans="1:9" s="92" customFormat="1" ht="34.5" thickBot="1">
      <c r="A87" s="114" t="s">
        <v>397</v>
      </c>
      <c r="B87" s="115" t="s">
        <v>126</v>
      </c>
      <c r="C87" s="116" t="s">
        <v>398</v>
      </c>
      <c r="D87" s="115" t="s">
        <v>222</v>
      </c>
      <c r="E87" s="117" t="s">
        <v>235</v>
      </c>
      <c r="F87" s="116" t="s">
        <v>399</v>
      </c>
      <c r="G87" s="123" t="s">
        <v>400</v>
      </c>
      <c r="I87" s="93"/>
    </row>
    <row r="88" spans="1:9" s="92" customFormat="1" ht="34.5" thickBot="1">
      <c r="A88" s="114" t="s">
        <v>401</v>
      </c>
      <c r="B88" s="115" t="s">
        <v>126</v>
      </c>
      <c r="C88" s="116" t="s">
        <v>402</v>
      </c>
      <c r="D88" s="115" t="s">
        <v>222</v>
      </c>
      <c r="E88" s="117">
        <v>2015</v>
      </c>
      <c r="F88" s="116" t="s">
        <v>403</v>
      </c>
      <c r="G88" s="123" t="s">
        <v>404</v>
      </c>
      <c r="I88" s="93"/>
    </row>
    <row r="89" spans="1:9" s="92" customFormat="1" ht="34.5" thickBot="1">
      <c r="A89" s="114" t="s">
        <v>405</v>
      </c>
      <c r="B89" s="115" t="s">
        <v>126</v>
      </c>
      <c r="C89" s="116" t="s">
        <v>406</v>
      </c>
      <c r="D89" s="115" t="s">
        <v>222</v>
      </c>
      <c r="E89" s="117">
        <v>2015</v>
      </c>
      <c r="F89" s="116" t="s">
        <v>407</v>
      </c>
      <c r="G89" s="123" t="s">
        <v>408</v>
      </c>
      <c r="I89" s="93"/>
    </row>
    <row r="90" spans="1:9" s="105" customFormat="1" ht="18.75" thickBot="1">
      <c r="A90" s="209" t="s">
        <v>166</v>
      </c>
      <c r="B90" s="209"/>
      <c r="C90" s="209"/>
      <c r="D90" s="209"/>
      <c r="E90" s="209"/>
      <c r="F90" s="209"/>
      <c r="G90" s="209"/>
    </row>
    <row r="91" spans="1:9" s="109" customFormat="1" ht="13.5" thickBot="1">
      <c r="A91" s="106" t="s">
        <v>76</v>
      </c>
      <c r="B91" s="106" t="s">
        <v>77</v>
      </c>
      <c r="C91" s="107" t="s">
        <v>78</v>
      </c>
      <c r="D91" s="106" t="s">
        <v>79</v>
      </c>
      <c r="E91" s="108" t="s">
        <v>80</v>
      </c>
      <c r="F91" s="107" t="s">
        <v>81</v>
      </c>
      <c r="G91" s="107" t="s">
        <v>82</v>
      </c>
    </row>
    <row r="92" spans="1:9" s="92" customFormat="1" ht="34.5" thickBot="1">
      <c r="A92" s="114" t="s">
        <v>409</v>
      </c>
      <c r="B92" s="115" t="s">
        <v>126</v>
      </c>
      <c r="C92" s="116" t="s">
        <v>410</v>
      </c>
      <c r="D92" s="115" t="s">
        <v>222</v>
      </c>
      <c r="E92" s="117">
        <v>2015</v>
      </c>
      <c r="F92" s="116" t="s">
        <v>411</v>
      </c>
      <c r="G92" s="123" t="s">
        <v>412</v>
      </c>
      <c r="I92" s="93"/>
    </row>
    <row r="93" spans="1:9" s="92" customFormat="1" ht="34.5" thickBot="1">
      <c r="A93" s="114" t="s">
        <v>413</v>
      </c>
      <c r="B93" s="115" t="s">
        <v>126</v>
      </c>
      <c r="C93" s="116" t="s">
        <v>414</v>
      </c>
      <c r="D93" s="115" t="s">
        <v>222</v>
      </c>
      <c r="E93" s="117">
        <v>2015</v>
      </c>
      <c r="F93" s="116" t="s">
        <v>415</v>
      </c>
      <c r="G93" s="123" t="s">
        <v>416</v>
      </c>
      <c r="I93" s="93"/>
    </row>
    <row r="94" spans="1:9" s="92" customFormat="1" ht="34.5" thickBot="1">
      <c r="A94" s="114" t="s">
        <v>417</v>
      </c>
      <c r="B94" s="115" t="s">
        <v>126</v>
      </c>
      <c r="C94" s="116" t="s">
        <v>418</v>
      </c>
      <c r="D94" s="115" t="s">
        <v>222</v>
      </c>
      <c r="E94" s="117">
        <v>2015</v>
      </c>
      <c r="F94" s="116" t="s">
        <v>419</v>
      </c>
      <c r="G94" s="123" t="s">
        <v>420</v>
      </c>
      <c r="I94" s="93"/>
    </row>
    <row r="95" spans="1:9" s="92" customFormat="1" ht="34.5" thickBot="1">
      <c r="A95" s="114" t="s">
        <v>421</v>
      </c>
      <c r="B95" s="115" t="s">
        <v>126</v>
      </c>
      <c r="C95" s="116" t="s">
        <v>422</v>
      </c>
      <c r="D95" s="115" t="s">
        <v>170</v>
      </c>
      <c r="E95" s="117">
        <v>2015</v>
      </c>
      <c r="F95" s="116" t="s">
        <v>423</v>
      </c>
      <c r="G95" s="123" t="s">
        <v>424</v>
      </c>
      <c r="I95" s="93"/>
    </row>
    <row r="96" spans="1:9" s="93" customFormat="1" ht="23.25" thickBot="1">
      <c r="A96" s="114" t="s">
        <v>425</v>
      </c>
      <c r="B96" s="111" t="s">
        <v>126</v>
      </c>
      <c r="C96" s="112" t="s">
        <v>426</v>
      </c>
      <c r="D96" s="111" t="s">
        <v>427</v>
      </c>
      <c r="E96" s="113">
        <v>2019</v>
      </c>
      <c r="F96" s="112" t="s">
        <v>428</v>
      </c>
      <c r="G96" s="112" t="s">
        <v>429</v>
      </c>
    </row>
    <row r="97" spans="1:9" s="93" customFormat="1" ht="23.25" thickBot="1">
      <c r="A97" s="114" t="s">
        <v>430</v>
      </c>
      <c r="B97" s="111" t="s">
        <v>126</v>
      </c>
      <c r="C97" s="112" t="s">
        <v>431</v>
      </c>
      <c r="D97" s="111" t="s">
        <v>427</v>
      </c>
      <c r="E97" s="113">
        <v>2019</v>
      </c>
      <c r="F97" s="112" t="s">
        <v>432</v>
      </c>
      <c r="G97" s="112" t="s">
        <v>433</v>
      </c>
    </row>
    <row r="98" spans="1:9" s="93" customFormat="1" ht="23.25" thickBot="1">
      <c r="A98" s="114" t="s">
        <v>434</v>
      </c>
      <c r="B98" s="111" t="s">
        <v>126</v>
      </c>
      <c r="C98" s="112" t="s">
        <v>435</v>
      </c>
      <c r="D98" s="111" t="s">
        <v>427</v>
      </c>
      <c r="E98" s="113">
        <v>2019</v>
      </c>
      <c r="F98" s="112" t="s">
        <v>436</v>
      </c>
      <c r="G98" s="112" t="s">
        <v>437</v>
      </c>
    </row>
    <row r="99" spans="1:9" s="93" customFormat="1" ht="23.25" thickBot="1">
      <c r="A99" s="114" t="s">
        <v>438</v>
      </c>
      <c r="B99" s="111" t="s">
        <v>126</v>
      </c>
      <c r="C99" s="112" t="s">
        <v>439</v>
      </c>
      <c r="D99" s="111" t="s">
        <v>427</v>
      </c>
      <c r="E99" s="113">
        <v>2019</v>
      </c>
      <c r="F99" s="112" t="s">
        <v>440</v>
      </c>
      <c r="G99" s="112" t="s">
        <v>441</v>
      </c>
    </row>
    <row r="100" spans="1:9" s="93" customFormat="1" ht="23.25" thickBot="1">
      <c r="A100" s="114" t="s">
        <v>442</v>
      </c>
      <c r="B100" s="111" t="s">
        <v>126</v>
      </c>
      <c r="C100" s="112" t="s">
        <v>443</v>
      </c>
      <c r="D100" s="111" t="s">
        <v>427</v>
      </c>
      <c r="E100" s="113">
        <v>2019</v>
      </c>
      <c r="F100" s="112" t="s">
        <v>444</v>
      </c>
      <c r="G100" s="112" t="s">
        <v>445</v>
      </c>
    </row>
    <row r="101" spans="1:9" s="93" customFormat="1" ht="23.25" thickBot="1">
      <c r="A101" s="114" t="s">
        <v>446</v>
      </c>
      <c r="B101" s="111" t="s">
        <v>126</v>
      </c>
      <c r="C101" s="112" t="s">
        <v>447</v>
      </c>
      <c r="D101" s="111" t="s">
        <v>427</v>
      </c>
      <c r="E101" s="113">
        <v>2019</v>
      </c>
      <c r="F101" s="112" t="s">
        <v>448</v>
      </c>
      <c r="G101" s="112" t="s">
        <v>449</v>
      </c>
    </row>
    <row r="102" spans="1:9" s="93" customFormat="1" ht="23.25" thickBot="1">
      <c r="A102" s="114" t="s">
        <v>450</v>
      </c>
      <c r="B102" s="111" t="s">
        <v>126</v>
      </c>
      <c r="C102" s="112" t="s">
        <v>451</v>
      </c>
      <c r="D102" s="111" t="s">
        <v>427</v>
      </c>
      <c r="E102" s="113">
        <v>2019</v>
      </c>
      <c r="F102" s="112" t="s">
        <v>452</v>
      </c>
      <c r="G102" s="112" t="s">
        <v>453</v>
      </c>
    </row>
    <row r="103" spans="1:9" s="93" customFormat="1" ht="23.25" thickBot="1">
      <c r="A103" s="114" t="s">
        <v>454</v>
      </c>
      <c r="B103" s="111" t="s">
        <v>126</v>
      </c>
      <c r="C103" s="112" t="s">
        <v>455</v>
      </c>
      <c r="D103" s="111" t="s">
        <v>427</v>
      </c>
      <c r="E103" s="113">
        <v>2019</v>
      </c>
      <c r="F103" s="112" t="s">
        <v>456</v>
      </c>
      <c r="G103" s="112" t="s">
        <v>457</v>
      </c>
    </row>
    <row r="104" spans="1:9" s="93" customFormat="1" ht="23.25" thickBot="1">
      <c r="A104" s="114" t="s">
        <v>458</v>
      </c>
      <c r="B104" s="111" t="s">
        <v>126</v>
      </c>
      <c r="C104" s="112" t="s">
        <v>459</v>
      </c>
      <c r="D104" s="111" t="s">
        <v>427</v>
      </c>
      <c r="E104" s="113">
        <v>2019</v>
      </c>
      <c r="F104" s="112" t="s">
        <v>460</v>
      </c>
      <c r="G104" s="112" t="s">
        <v>461</v>
      </c>
    </row>
    <row r="105" spans="1:9" s="93" customFormat="1" ht="23.25" thickBot="1">
      <c r="A105" s="114" t="s">
        <v>462</v>
      </c>
      <c r="B105" s="111" t="s">
        <v>126</v>
      </c>
      <c r="C105" s="112" t="s">
        <v>463</v>
      </c>
      <c r="D105" s="111" t="s">
        <v>427</v>
      </c>
      <c r="E105" s="113">
        <v>2019</v>
      </c>
      <c r="F105" s="112" t="s">
        <v>464</v>
      </c>
      <c r="G105" s="112" t="s">
        <v>465</v>
      </c>
    </row>
    <row r="106" spans="1:9" s="93" customFormat="1" ht="23.25" thickBot="1">
      <c r="A106" s="114" t="s">
        <v>466</v>
      </c>
      <c r="B106" s="111" t="s">
        <v>126</v>
      </c>
      <c r="C106" s="112" t="s">
        <v>467</v>
      </c>
      <c r="D106" s="111" t="s">
        <v>427</v>
      </c>
      <c r="E106" s="113">
        <v>2019</v>
      </c>
      <c r="F106" s="112" t="s">
        <v>468</v>
      </c>
      <c r="G106" s="112" t="s">
        <v>469</v>
      </c>
    </row>
    <row r="107" spans="1:9" s="93" customFormat="1" ht="23.25" thickBot="1">
      <c r="A107" s="114" t="s">
        <v>470</v>
      </c>
      <c r="B107" s="111" t="s">
        <v>126</v>
      </c>
      <c r="C107" s="112" t="s">
        <v>471</v>
      </c>
      <c r="D107" s="111" t="s">
        <v>427</v>
      </c>
      <c r="E107" s="113">
        <v>2019</v>
      </c>
      <c r="F107" s="112" t="s">
        <v>472</v>
      </c>
      <c r="G107" s="112" t="s">
        <v>473</v>
      </c>
    </row>
    <row r="108" spans="1:9" s="93" customFormat="1" ht="23.25" thickBot="1">
      <c r="A108" s="114" t="s">
        <v>474</v>
      </c>
      <c r="B108" s="111" t="s">
        <v>126</v>
      </c>
      <c r="C108" s="112" t="s">
        <v>475</v>
      </c>
      <c r="D108" s="111" t="s">
        <v>427</v>
      </c>
      <c r="E108" s="113">
        <v>2019</v>
      </c>
      <c r="F108" s="125" t="s">
        <v>476</v>
      </c>
      <c r="G108" s="112" t="s">
        <v>477</v>
      </c>
    </row>
    <row r="109" spans="1:9" s="93" customFormat="1" ht="23.25" thickBot="1">
      <c r="A109" s="114" t="s">
        <v>478</v>
      </c>
      <c r="B109" s="111" t="s">
        <v>126</v>
      </c>
      <c r="C109" s="112" t="s">
        <v>479</v>
      </c>
      <c r="D109" s="111" t="s">
        <v>427</v>
      </c>
      <c r="E109" s="113">
        <v>2019</v>
      </c>
      <c r="F109" s="112" t="s">
        <v>480</v>
      </c>
      <c r="G109" s="112" t="s">
        <v>481</v>
      </c>
    </row>
    <row r="110" spans="1:9" s="92" customFormat="1" ht="34.5" thickBot="1">
      <c r="A110" s="114" t="s">
        <v>482</v>
      </c>
      <c r="B110" s="115" t="s">
        <v>126</v>
      </c>
      <c r="C110" s="116" t="s">
        <v>483</v>
      </c>
      <c r="D110" s="115" t="s">
        <v>484</v>
      </c>
      <c r="E110" s="117" t="s">
        <v>485</v>
      </c>
      <c r="F110" s="116" t="s">
        <v>486</v>
      </c>
      <c r="G110" s="116" t="s">
        <v>487</v>
      </c>
      <c r="I110" s="93"/>
    </row>
    <row r="111" spans="1:9" s="92" customFormat="1" ht="34.5" thickBot="1">
      <c r="A111" s="114" t="s">
        <v>488</v>
      </c>
      <c r="B111" s="115" t="s">
        <v>126</v>
      </c>
      <c r="C111" s="116" t="s">
        <v>489</v>
      </c>
      <c r="D111" s="115" t="s">
        <v>484</v>
      </c>
      <c r="E111" s="117" t="s">
        <v>485</v>
      </c>
      <c r="F111" s="116" t="s">
        <v>490</v>
      </c>
      <c r="G111" s="116" t="s">
        <v>491</v>
      </c>
      <c r="I111" s="93"/>
    </row>
    <row r="112" spans="1:9" s="92" customFormat="1" ht="34.5" thickBot="1">
      <c r="A112" s="114" t="s">
        <v>492</v>
      </c>
      <c r="B112" s="115" t="s">
        <v>126</v>
      </c>
      <c r="C112" s="116" t="s">
        <v>493</v>
      </c>
      <c r="D112" s="115" t="s">
        <v>484</v>
      </c>
      <c r="E112" s="117" t="s">
        <v>485</v>
      </c>
      <c r="F112" s="116" t="s">
        <v>494</v>
      </c>
      <c r="G112" s="116" t="s">
        <v>495</v>
      </c>
      <c r="I112" s="93"/>
    </row>
    <row r="113" spans="1:9" s="92" customFormat="1" ht="34.5" thickBot="1">
      <c r="A113" s="114" t="s">
        <v>496</v>
      </c>
      <c r="B113" s="115" t="s">
        <v>126</v>
      </c>
      <c r="C113" s="116" t="s">
        <v>497</v>
      </c>
      <c r="D113" s="115" t="s">
        <v>484</v>
      </c>
      <c r="E113" s="117" t="s">
        <v>485</v>
      </c>
      <c r="F113" s="116" t="s">
        <v>498</v>
      </c>
      <c r="G113" s="116" t="s">
        <v>499</v>
      </c>
      <c r="I113" s="93"/>
    </row>
    <row r="114" spans="1:9" s="92" customFormat="1" ht="34.5" thickBot="1">
      <c r="A114" s="114" t="s">
        <v>500</v>
      </c>
      <c r="B114" s="115" t="s">
        <v>126</v>
      </c>
      <c r="C114" s="116" t="s">
        <v>501</v>
      </c>
      <c r="D114" s="115" t="s">
        <v>484</v>
      </c>
      <c r="E114" s="117" t="s">
        <v>485</v>
      </c>
      <c r="F114" s="116" t="s">
        <v>502</v>
      </c>
      <c r="G114" s="116" t="s">
        <v>503</v>
      </c>
      <c r="I114" s="93"/>
    </row>
    <row r="115" spans="1:9" s="92" customFormat="1" ht="34.5" thickBot="1">
      <c r="A115" s="114" t="s">
        <v>504</v>
      </c>
      <c r="B115" s="115" t="s">
        <v>126</v>
      </c>
      <c r="C115" s="116" t="s">
        <v>505</v>
      </c>
      <c r="D115" s="115" t="s">
        <v>484</v>
      </c>
      <c r="E115" s="117" t="s">
        <v>485</v>
      </c>
      <c r="F115" s="116" t="s">
        <v>506</v>
      </c>
      <c r="G115" s="116" t="s">
        <v>507</v>
      </c>
      <c r="I115" s="93"/>
    </row>
    <row r="116" spans="1:9" s="92" customFormat="1" ht="34.5" thickBot="1">
      <c r="A116" s="114" t="s">
        <v>508</v>
      </c>
      <c r="B116" s="115" t="s">
        <v>126</v>
      </c>
      <c r="C116" s="116" t="s">
        <v>509</v>
      </c>
      <c r="D116" s="115" t="s">
        <v>484</v>
      </c>
      <c r="E116" s="117" t="s">
        <v>485</v>
      </c>
      <c r="F116" s="116" t="s">
        <v>510</v>
      </c>
      <c r="G116" s="116" t="s">
        <v>511</v>
      </c>
      <c r="I116" s="93"/>
    </row>
    <row r="117" spans="1:9" s="92" customFormat="1" ht="34.5" thickBot="1">
      <c r="A117" s="114" t="s">
        <v>512</v>
      </c>
      <c r="B117" s="115" t="s">
        <v>126</v>
      </c>
      <c r="C117" s="116" t="s">
        <v>513</v>
      </c>
      <c r="D117" s="115" t="s">
        <v>484</v>
      </c>
      <c r="E117" s="117" t="s">
        <v>485</v>
      </c>
      <c r="F117" s="116" t="s">
        <v>514</v>
      </c>
      <c r="G117" s="116" t="s">
        <v>515</v>
      </c>
      <c r="I117" s="93"/>
    </row>
    <row r="118" spans="1:9" s="92" customFormat="1" ht="34.5" thickBot="1">
      <c r="A118" s="114" t="s">
        <v>516</v>
      </c>
      <c r="B118" s="115" t="s">
        <v>126</v>
      </c>
      <c r="C118" s="116" t="s">
        <v>517</v>
      </c>
      <c r="D118" s="115" t="s">
        <v>484</v>
      </c>
      <c r="E118" s="117" t="s">
        <v>485</v>
      </c>
      <c r="F118" s="116" t="s">
        <v>518</v>
      </c>
      <c r="G118" s="116" t="s">
        <v>519</v>
      </c>
      <c r="I118" s="93"/>
    </row>
    <row r="119" spans="1:9" s="92" customFormat="1" ht="34.5" thickBot="1">
      <c r="A119" s="114" t="s">
        <v>520</v>
      </c>
      <c r="B119" s="115" t="s">
        <v>126</v>
      </c>
      <c r="C119" s="116" t="s">
        <v>521</v>
      </c>
      <c r="D119" s="115" t="s">
        <v>484</v>
      </c>
      <c r="E119" s="117" t="s">
        <v>485</v>
      </c>
      <c r="F119" s="116" t="s">
        <v>522</v>
      </c>
      <c r="G119" s="116" t="s">
        <v>523</v>
      </c>
      <c r="I119" s="93"/>
    </row>
    <row r="120" spans="1:9" s="105" customFormat="1" ht="16.5" thickBot="1">
      <c r="A120" s="210" t="s">
        <v>166</v>
      </c>
      <c r="B120" s="210"/>
      <c r="C120" s="210"/>
      <c r="D120" s="210"/>
      <c r="E120" s="210"/>
      <c r="F120" s="210"/>
      <c r="G120" s="210"/>
    </row>
    <row r="121" spans="1:9" s="109" customFormat="1" ht="13.5" thickBot="1">
      <c r="A121" s="106" t="s">
        <v>76</v>
      </c>
      <c r="B121" s="106" t="s">
        <v>77</v>
      </c>
      <c r="C121" s="107" t="s">
        <v>78</v>
      </c>
      <c r="D121" s="106" t="s">
        <v>79</v>
      </c>
      <c r="E121" s="108" t="s">
        <v>80</v>
      </c>
      <c r="F121" s="107" t="s">
        <v>81</v>
      </c>
      <c r="G121" s="107" t="s">
        <v>82</v>
      </c>
    </row>
    <row r="122" spans="1:9" s="92" customFormat="1" ht="34.5" thickBot="1">
      <c r="A122" s="114" t="s">
        <v>524</v>
      </c>
      <c r="B122" s="115" t="s">
        <v>126</v>
      </c>
      <c r="C122" s="116" t="s">
        <v>525</v>
      </c>
      <c r="D122" s="115" t="s">
        <v>484</v>
      </c>
      <c r="E122" s="117" t="s">
        <v>485</v>
      </c>
      <c r="F122" s="116" t="s">
        <v>526</v>
      </c>
      <c r="G122" s="116" t="s">
        <v>527</v>
      </c>
      <c r="I122" s="93"/>
    </row>
    <row r="123" spans="1:9" s="92" customFormat="1" ht="34.5" thickBot="1">
      <c r="A123" s="114" t="s">
        <v>528</v>
      </c>
      <c r="B123" s="115" t="s">
        <v>126</v>
      </c>
      <c r="C123" s="116" t="s">
        <v>529</v>
      </c>
      <c r="D123" s="115" t="s">
        <v>484</v>
      </c>
      <c r="E123" s="117" t="s">
        <v>485</v>
      </c>
      <c r="F123" s="116" t="s">
        <v>530</v>
      </c>
      <c r="G123" s="116" t="s">
        <v>531</v>
      </c>
      <c r="I123" s="93"/>
    </row>
    <row r="124" spans="1:9" s="92" customFormat="1" ht="34.5" thickBot="1">
      <c r="A124" s="114" t="s">
        <v>532</v>
      </c>
      <c r="B124" s="115" t="s">
        <v>126</v>
      </c>
      <c r="C124" s="116" t="s">
        <v>533</v>
      </c>
      <c r="D124" s="115" t="s">
        <v>484</v>
      </c>
      <c r="E124" s="117" t="s">
        <v>485</v>
      </c>
      <c r="F124" s="116" t="s">
        <v>534</v>
      </c>
      <c r="G124" s="116" t="s">
        <v>535</v>
      </c>
      <c r="I124" s="93"/>
    </row>
    <row r="125" spans="1:9" s="92" customFormat="1" ht="34.5" thickBot="1">
      <c r="A125" s="114" t="s">
        <v>536</v>
      </c>
      <c r="B125" s="115" t="s">
        <v>126</v>
      </c>
      <c r="C125" s="116" t="s">
        <v>537</v>
      </c>
      <c r="D125" s="115" t="s">
        <v>484</v>
      </c>
      <c r="E125" s="117" t="s">
        <v>485</v>
      </c>
      <c r="F125" s="116" t="s">
        <v>538</v>
      </c>
      <c r="G125" s="116" t="s">
        <v>539</v>
      </c>
      <c r="I125" s="93"/>
    </row>
    <row r="126" spans="1:9" s="92" customFormat="1" ht="34.5" thickBot="1">
      <c r="A126" s="114" t="s">
        <v>540</v>
      </c>
      <c r="B126" s="115" t="s">
        <v>126</v>
      </c>
      <c r="C126" s="116" t="s">
        <v>541</v>
      </c>
      <c r="D126" s="115" t="s">
        <v>484</v>
      </c>
      <c r="E126" s="117" t="s">
        <v>485</v>
      </c>
      <c r="F126" s="116" t="s">
        <v>542</v>
      </c>
      <c r="G126" s="116" t="s">
        <v>543</v>
      </c>
      <c r="I126" s="93"/>
    </row>
    <row r="127" spans="1:9" s="92" customFormat="1" ht="34.5" thickBot="1">
      <c r="A127" s="114" t="s">
        <v>544</v>
      </c>
      <c r="B127" s="115" t="s">
        <v>126</v>
      </c>
      <c r="C127" s="116" t="s">
        <v>545</v>
      </c>
      <c r="D127" s="115" t="s">
        <v>484</v>
      </c>
      <c r="E127" s="117" t="s">
        <v>485</v>
      </c>
      <c r="F127" s="116" t="s">
        <v>546</v>
      </c>
      <c r="G127" s="116" t="s">
        <v>547</v>
      </c>
      <c r="I127" s="93"/>
    </row>
    <row r="128" spans="1:9" s="92" customFormat="1" ht="34.5" thickBot="1">
      <c r="A128" s="114" t="s">
        <v>548</v>
      </c>
      <c r="B128" s="115" t="s">
        <v>126</v>
      </c>
      <c r="C128" s="116" t="s">
        <v>549</v>
      </c>
      <c r="D128" s="115" t="s">
        <v>484</v>
      </c>
      <c r="E128" s="117" t="s">
        <v>485</v>
      </c>
      <c r="F128" s="116" t="s">
        <v>550</v>
      </c>
      <c r="G128" s="116" t="s">
        <v>551</v>
      </c>
      <c r="I128" s="93"/>
    </row>
    <row r="129" spans="1:232" s="92" customFormat="1" ht="21" customHeight="1" thickBot="1">
      <c r="A129" s="114" t="s">
        <v>552</v>
      </c>
      <c r="B129" s="115" t="s">
        <v>126</v>
      </c>
      <c r="C129" s="116" t="s">
        <v>553</v>
      </c>
      <c r="D129" s="115" t="s">
        <v>484</v>
      </c>
      <c r="E129" s="117" t="s">
        <v>485</v>
      </c>
      <c r="F129" s="116" t="s">
        <v>554</v>
      </c>
      <c r="G129" s="116" t="s">
        <v>555</v>
      </c>
      <c r="I129" s="93"/>
    </row>
    <row r="130" spans="1:232" s="92" customFormat="1" ht="21" customHeight="1" thickBot="1">
      <c r="A130" s="114" t="s">
        <v>556</v>
      </c>
      <c r="B130" s="115" t="s">
        <v>126</v>
      </c>
      <c r="C130" s="116" t="s">
        <v>557</v>
      </c>
      <c r="D130" s="115" t="s">
        <v>484</v>
      </c>
      <c r="E130" s="117" t="s">
        <v>485</v>
      </c>
      <c r="F130" s="116" t="s">
        <v>558</v>
      </c>
      <c r="G130" s="116" t="s">
        <v>559</v>
      </c>
      <c r="I130" s="93"/>
    </row>
    <row r="131" spans="1:232" s="92" customFormat="1" ht="21" customHeight="1" thickBot="1">
      <c r="A131" s="114" t="s">
        <v>560</v>
      </c>
      <c r="B131" s="115" t="s">
        <v>126</v>
      </c>
      <c r="C131" s="116" t="s">
        <v>561</v>
      </c>
      <c r="D131" s="115" t="s">
        <v>484</v>
      </c>
      <c r="E131" s="117" t="s">
        <v>485</v>
      </c>
      <c r="F131" s="116" t="s">
        <v>562</v>
      </c>
      <c r="G131" s="116" t="s">
        <v>563</v>
      </c>
      <c r="I131" s="93"/>
    </row>
    <row r="132" spans="1:232" s="92" customFormat="1" ht="21" customHeight="1" thickBot="1">
      <c r="A132" s="114" t="s">
        <v>564</v>
      </c>
      <c r="B132" s="115" t="s">
        <v>126</v>
      </c>
      <c r="C132" s="116" t="s">
        <v>565</v>
      </c>
      <c r="D132" s="115" t="s">
        <v>484</v>
      </c>
      <c r="E132" s="117" t="s">
        <v>485</v>
      </c>
      <c r="F132" s="116" t="s">
        <v>566</v>
      </c>
      <c r="G132" s="116" t="s">
        <v>567</v>
      </c>
      <c r="I132" s="93"/>
    </row>
    <row r="133" spans="1:232" s="92" customFormat="1" ht="21" customHeight="1" thickBot="1">
      <c r="A133" s="114" t="s">
        <v>568</v>
      </c>
      <c r="B133" s="115" t="s">
        <v>126</v>
      </c>
      <c r="C133" s="116" t="s">
        <v>569</v>
      </c>
      <c r="D133" s="115" t="s">
        <v>484</v>
      </c>
      <c r="E133" s="117" t="s">
        <v>485</v>
      </c>
      <c r="F133" s="116" t="s">
        <v>570</v>
      </c>
      <c r="G133" s="116" t="s">
        <v>571</v>
      </c>
      <c r="I133" s="93"/>
    </row>
    <row r="134" spans="1:232" s="92" customFormat="1" ht="21" customHeight="1" thickBot="1">
      <c r="A134" s="114" t="s">
        <v>572</v>
      </c>
      <c r="B134" s="115" t="s">
        <v>126</v>
      </c>
      <c r="C134" s="116" t="s">
        <v>573</v>
      </c>
      <c r="D134" s="115" t="s">
        <v>484</v>
      </c>
      <c r="E134" s="117" t="s">
        <v>485</v>
      </c>
      <c r="F134" s="116" t="s">
        <v>574</v>
      </c>
      <c r="G134" s="116" t="s">
        <v>575</v>
      </c>
      <c r="I134" s="93"/>
    </row>
    <row r="135" spans="1:232" s="92" customFormat="1" ht="21" customHeight="1" thickBot="1">
      <c r="A135" s="114" t="s">
        <v>576</v>
      </c>
      <c r="B135" s="115" t="s">
        <v>126</v>
      </c>
      <c r="C135" s="116" t="s">
        <v>577</v>
      </c>
      <c r="D135" s="115" t="s">
        <v>484</v>
      </c>
      <c r="E135" s="117" t="s">
        <v>485</v>
      </c>
      <c r="F135" s="116" t="s">
        <v>578</v>
      </c>
      <c r="G135" s="116" t="s">
        <v>579</v>
      </c>
      <c r="I135" s="93"/>
    </row>
    <row r="136" spans="1:232" s="92" customFormat="1" ht="21" customHeight="1" thickBot="1">
      <c r="A136" s="114" t="s">
        <v>580</v>
      </c>
      <c r="B136" s="148" t="s">
        <v>126</v>
      </c>
      <c r="C136" s="148" t="s">
        <v>581</v>
      </c>
      <c r="D136" s="148" t="s">
        <v>170</v>
      </c>
      <c r="E136" s="149">
        <v>2015</v>
      </c>
      <c r="F136" s="148" t="s">
        <v>582</v>
      </c>
      <c r="G136" s="148" t="s">
        <v>583</v>
      </c>
      <c r="I136" s="93"/>
    </row>
    <row r="137" spans="1:232" s="105" customFormat="1" ht="21" customHeight="1" thickBot="1">
      <c r="A137" s="209" t="s">
        <v>584</v>
      </c>
      <c r="B137" s="209"/>
      <c r="C137" s="209"/>
      <c r="D137" s="209"/>
      <c r="E137" s="209"/>
      <c r="F137" s="209"/>
      <c r="G137" s="209"/>
    </row>
    <row r="138" spans="1:232" s="109" customFormat="1" ht="21" customHeight="1" thickBot="1">
      <c r="A138" s="106" t="s">
        <v>76</v>
      </c>
      <c r="B138" s="106" t="s">
        <v>77</v>
      </c>
      <c r="C138" s="107" t="s">
        <v>78</v>
      </c>
      <c r="D138" s="106" t="s">
        <v>79</v>
      </c>
      <c r="E138" s="108" t="s">
        <v>80</v>
      </c>
      <c r="F138" s="107" t="s">
        <v>81</v>
      </c>
      <c r="G138" s="107" t="s">
        <v>82</v>
      </c>
    </row>
    <row r="139" spans="1:232" s="127" customFormat="1" ht="21" customHeight="1" thickBot="1">
      <c r="A139" s="126">
        <v>125</v>
      </c>
      <c r="B139" s="111" t="s">
        <v>585</v>
      </c>
      <c r="C139" s="112" t="s">
        <v>586</v>
      </c>
      <c r="D139" s="111" t="s">
        <v>587</v>
      </c>
      <c r="E139" s="113">
        <v>2015</v>
      </c>
      <c r="F139" s="112" t="s">
        <v>588</v>
      </c>
      <c r="G139" s="112" t="s">
        <v>589</v>
      </c>
    </row>
    <row r="140" spans="1:232" s="127" customFormat="1" ht="21" customHeight="1" thickBot="1">
      <c r="A140" s="126">
        <v>126</v>
      </c>
      <c r="B140" s="111" t="s">
        <v>585</v>
      </c>
      <c r="C140" s="112" t="s">
        <v>590</v>
      </c>
      <c r="D140" s="111" t="s">
        <v>587</v>
      </c>
      <c r="E140" s="113">
        <v>2015</v>
      </c>
      <c r="F140" s="112" t="s">
        <v>591</v>
      </c>
      <c r="G140" s="112" t="s">
        <v>592</v>
      </c>
    </row>
    <row r="141" spans="1:232" s="152" customFormat="1" ht="21" customHeight="1" thickBot="1">
      <c r="A141" s="114" t="s">
        <v>593</v>
      </c>
      <c r="B141" s="111" t="s">
        <v>585</v>
      </c>
      <c r="C141" s="112" t="s">
        <v>594</v>
      </c>
      <c r="D141" s="111" t="s">
        <v>595</v>
      </c>
      <c r="E141" s="128">
        <v>2006</v>
      </c>
      <c r="F141" s="129">
        <v>61198170043501</v>
      </c>
      <c r="G141" s="112" t="s">
        <v>596</v>
      </c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150"/>
      <c r="AJ141" s="150"/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  <c r="CJ141" s="150"/>
      <c r="CK141" s="150"/>
      <c r="CL141" s="150"/>
      <c r="CM141" s="150"/>
      <c r="CN141" s="150"/>
      <c r="CO141" s="150"/>
      <c r="CP141" s="150"/>
      <c r="CQ141" s="150"/>
      <c r="CR141" s="150"/>
      <c r="CS141" s="150"/>
      <c r="CT141" s="150"/>
      <c r="CU141" s="150"/>
      <c r="CV141" s="150"/>
      <c r="CW141" s="150"/>
      <c r="CX141" s="150"/>
      <c r="CY141" s="150"/>
      <c r="CZ141" s="150"/>
      <c r="DA141" s="150"/>
      <c r="DB141" s="150"/>
      <c r="DC141" s="150"/>
      <c r="DD141" s="150"/>
      <c r="DE141" s="150"/>
      <c r="DF141" s="150"/>
      <c r="DG141" s="150"/>
      <c r="DH141" s="150"/>
      <c r="DI141" s="150"/>
      <c r="DJ141" s="150"/>
      <c r="DK141" s="150"/>
      <c r="DL141" s="150"/>
      <c r="DM141" s="150"/>
      <c r="DN141" s="150"/>
      <c r="DO141" s="150"/>
      <c r="DP141" s="150"/>
      <c r="DQ141" s="150"/>
      <c r="DR141" s="150"/>
      <c r="DS141" s="150"/>
      <c r="DT141" s="150"/>
      <c r="DU141" s="150"/>
      <c r="DV141" s="150"/>
      <c r="DW141" s="150"/>
      <c r="DX141" s="150"/>
      <c r="DY141" s="150"/>
      <c r="DZ141" s="150"/>
      <c r="EA141" s="150"/>
      <c r="EB141" s="150"/>
      <c r="EC141" s="150"/>
      <c r="ED141" s="150"/>
      <c r="EE141" s="150"/>
      <c r="EF141" s="150"/>
      <c r="EG141" s="150"/>
      <c r="EH141" s="150"/>
      <c r="EI141" s="150"/>
      <c r="EJ141" s="150"/>
      <c r="EK141" s="150"/>
      <c r="EL141" s="150"/>
      <c r="EM141" s="150"/>
      <c r="EN141" s="150"/>
      <c r="EO141" s="150"/>
      <c r="EP141" s="150"/>
      <c r="EQ141" s="150"/>
      <c r="ER141" s="150"/>
      <c r="ES141" s="150"/>
      <c r="ET141" s="150"/>
      <c r="EU141" s="150"/>
      <c r="EV141" s="150"/>
      <c r="EW141" s="150"/>
      <c r="EX141" s="150"/>
      <c r="EY141" s="150"/>
      <c r="EZ141" s="150"/>
      <c r="FA141" s="150"/>
      <c r="FB141" s="150"/>
      <c r="FC141" s="150"/>
      <c r="FD141" s="150"/>
      <c r="FE141" s="150"/>
      <c r="FF141" s="150"/>
      <c r="FG141" s="150"/>
      <c r="FH141" s="150"/>
      <c r="FI141" s="150"/>
      <c r="FJ141" s="150"/>
      <c r="FK141" s="150"/>
      <c r="FL141" s="150"/>
      <c r="FM141" s="150"/>
      <c r="FN141" s="150"/>
      <c r="FO141" s="150"/>
      <c r="FP141" s="150"/>
      <c r="FQ141" s="150"/>
      <c r="FR141" s="150"/>
      <c r="FS141" s="150"/>
      <c r="FT141" s="150"/>
      <c r="FU141" s="150"/>
      <c r="FV141" s="150"/>
      <c r="FW141" s="150"/>
      <c r="FX141" s="150"/>
      <c r="FY141" s="150"/>
      <c r="FZ141" s="150"/>
      <c r="GA141" s="150"/>
      <c r="GB141" s="150"/>
      <c r="GC141" s="150"/>
      <c r="GD141" s="150"/>
      <c r="GE141" s="150"/>
      <c r="GF141" s="150"/>
      <c r="GG141" s="150"/>
      <c r="GH141" s="150"/>
      <c r="GI141" s="150"/>
      <c r="GJ141" s="150"/>
      <c r="GK141" s="150"/>
      <c r="GL141" s="150"/>
      <c r="GM141" s="150"/>
      <c r="GN141" s="150"/>
      <c r="GO141" s="150"/>
      <c r="GP141" s="150"/>
      <c r="GQ141" s="150"/>
      <c r="GR141" s="150"/>
      <c r="GS141" s="150"/>
      <c r="GT141" s="150"/>
      <c r="GU141" s="150"/>
      <c r="GV141" s="150"/>
      <c r="GW141" s="150"/>
      <c r="GX141" s="150"/>
      <c r="GY141" s="150"/>
      <c r="GZ141" s="150"/>
      <c r="HA141" s="150"/>
      <c r="HB141" s="150"/>
      <c r="HC141" s="150"/>
      <c r="HD141" s="150"/>
      <c r="HE141" s="150"/>
      <c r="HF141" s="150"/>
      <c r="HG141" s="150"/>
      <c r="HH141" s="150"/>
      <c r="HI141" s="150"/>
      <c r="HJ141" s="150"/>
      <c r="HK141" s="150"/>
      <c r="HL141" s="150"/>
      <c r="HM141" s="150"/>
      <c r="HN141" s="150"/>
      <c r="HO141" s="150"/>
      <c r="HP141" s="150"/>
      <c r="HQ141" s="150"/>
      <c r="HR141" s="150"/>
      <c r="HS141" s="150"/>
      <c r="HT141" s="150"/>
      <c r="HU141" s="150"/>
      <c r="HV141" s="150"/>
      <c r="HW141" s="150"/>
      <c r="HX141" s="151"/>
    </row>
    <row r="142" spans="1:232" s="152" customFormat="1" ht="21" customHeight="1" thickBot="1">
      <c r="A142" s="126">
        <v>128</v>
      </c>
      <c r="B142" s="111" t="s">
        <v>585</v>
      </c>
      <c r="C142" s="124" t="s">
        <v>597</v>
      </c>
      <c r="D142" s="126" t="s">
        <v>598</v>
      </c>
      <c r="E142" s="128">
        <v>2008</v>
      </c>
      <c r="F142" s="124" t="s">
        <v>599</v>
      </c>
      <c r="G142" s="124" t="s">
        <v>600</v>
      </c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0"/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  <c r="CJ142" s="150"/>
      <c r="CK142" s="150"/>
      <c r="CL142" s="150"/>
      <c r="CM142" s="150"/>
      <c r="CN142" s="150"/>
      <c r="CO142" s="150"/>
      <c r="CP142" s="150"/>
      <c r="CQ142" s="150"/>
      <c r="CR142" s="150"/>
      <c r="CS142" s="150"/>
      <c r="CT142" s="150"/>
      <c r="CU142" s="150"/>
      <c r="CV142" s="150"/>
      <c r="CW142" s="150"/>
      <c r="CX142" s="150"/>
      <c r="CY142" s="150"/>
      <c r="CZ142" s="150"/>
      <c r="DA142" s="150"/>
      <c r="DB142" s="150"/>
      <c r="DC142" s="150"/>
      <c r="DD142" s="150"/>
      <c r="DE142" s="150"/>
      <c r="DF142" s="150"/>
      <c r="DG142" s="150"/>
      <c r="DH142" s="150"/>
      <c r="DI142" s="150"/>
      <c r="DJ142" s="150"/>
      <c r="DK142" s="150"/>
      <c r="DL142" s="150"/>
      <c r="DM142" s="150"/>
      <c r="DN142" s="150"/>
      <c r="DO142" s="150"/>
      <c r="DP142" s="150"/>
      <c r="DQ142" s="150"/>
      <c r="DR142" s="150"/>
      <c r="DS142" s="150"/>
      <c r="DT142" s="150"/>
      <c r="DU142" s="150"/>
      <c r="DV142" s="150"/>
      <c r="DW142" s="150"/>
      <c r="DX142" s="150"/>
      <c r="DY142" s="150"/>
      <c r="DZ142" s="150"/>
      <c r="EA142" s="150"/>
      <c r="EB142" s="150"/>
      <c r="EC142" s="150"/>
      <c r="ED142" s="150"/>
      <c r="EE142" s="150"/>
      <c r="EF142" s="150"/>
      <c r="EG142" s="150"/>
      <c r="EH142" s="150"/>
      <c r="EI142" s="150"/>
      <c r="EJ142" s="150"/>
      <c r="EK142" s="150"/>
      <c r="EL142" s="150"/>
      <c r="EM142" s="150"/>
      <c r="EN142" s="150"/>
      <c r="EO142" s="150"/>
      <c r="EP142" s="150"/>
      <c r="EQ142" s="150"/>
      <c r="ER142" s="150"/>
      <c r="ES142" s="150"/>
      <c r="ET142" s="150"/>
      <c r="EU142" s="150"/>
      <c r="EV142" s="150"/>
      <c r="EW142" s="150"/>
      <c r="EX142" s="150"/>
      <c r="EY142" s="150"/>
      <c r="EZ142" s="150"/>
      <c r="FA142" s="150"/>
      <c r="FB142" s="150"/>
      <c r="FC142" s="150"/>
      <c r="FD142" s="150"/>
      <c r="FE142" s="150"/>
      <c r="FF142" s="150"/>
      <c r="FG142" s="150"/>
      <c r="FH142" s="150"/>
      <c r="FI142" s="150"/>
      <c r="FJ142" s="150"/>
      <c r="FK142" s="150"/>
      <c r="FL142" s="150"/>
      <c r="FM142" s="150"/>
      <c r="FN142" s="150"/>
      <c r="FO142" s="150"/>
      <c r="FP142" s="150"/>
      <c r="FQ142" s="150"/>
      <c r="FR142" s="150"/>
      <c r="FS142" s="150"/>
      <c r="FT142" s="150"/>
      <c r="FU142" s="150"/>
      <c r="FV142" s="150"/>
      <c r="FW142" s="150"/>
      <c r="FX142" s="150"/>
      <c r="FY142" s="150"/>
      <c r="FZ142" s="150"/>
      <c r="GA142" s="150"/>
      <c r="GB142" s="150"/>
      <c r="GC142" s="150"/>
      <c r="GD142" s="150"/>
      <c r="GE142" s="150"/>
      <c r="GF142" s="150"/>
      <c r="GG142" s="150"/>
      <c r="GH142" s="150"/>
      <c r="GI142" s="150"/>
      <c r="GJ142" s="150"/>
      <c r="GK142" s="150"/>
      <c r="GL142" s="150"/>
      <c r="GM142" s="150"/>
      <c r="GN142" s="150"/>
      <c r="GO142" s="150"/>
      <c r="GP142" s="150"/>
      <c r="GQ142" s="150"/>
      <c r="GR142" s="150"/>
      <c r="GS142" s="150"/>
      <c r="GT142" s="150"/>
      <c r="GU142" s="150"/>
      <c r="GV142" s="150"/>
      <c r="GW142" s="150"/>
      <c r="GX142" s="150"/>
      <c r="GY142" s="150"/>
      <c r="GZ142" s="150"/>
      <c r="HA142" s="150"/>
      <c r="HB142" s="150"/>
      <c r="HC142" s="150"/>
      <c r="HD142" s="150"/>
      <c r="HE142" s="150"/>
      <c r="HF142" s="150"/>
      <c r="HG142" s="150"/>
      <c r="HH142" s="150"/>
      <c r="HI142" s="150"/>
      <c r="HJ142" s="150"/>
      <c r="HK142" s="150"/>
      <c r="HL142" s="150"/>
      <c r="HM142" s="150"/>
      <c r="HN142" s="150"/>
      <c r="HO142" s="150"/>
      <c r="HP142" s="150"/>
      <c r="HQ142" s="150"/>
      <c r="HR142" s="150"/>
      <c r="HS142" s="150"/>
      <c r="HT142" s="150"/>
      <c r="HU142" s="150"/>
      <c r="HV142" s="150"/>
      <c r="HW142" s="150"/>
      <c r="HX142" s="151"/>
    </row>
    <row r="143" spans="1:232" s="152" customFormat="1" ht="21" customHeight="1" thickBot="1">
      <c r="A143" s="126">
        <v>129</v>
      </c>
      <c r="B143" s="111" t="s">
        <v>585</v>
      </c>
      <c r="C143" s="124" t="s">
        <v>601</v>
      </c>
      <c r="D143" s="126" t="s">
        <v>598</v>
      </c>
      <c r="E143" s="128">
        <v>2008</v>
      </c>
      <c r="F143" s="124" t="s">
        <v>602</v>
      </c>
      <c r="G143" s="124" t="s">
        <v>603</v>
      </c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/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  <c r="CJ143" s="150"/>
      <c r="CK143" s="150"/>
      <c r="CL143" s="150"/>
      <c r="CM143" s="150"/>
      <c r="CN143" s="150"/>
      <c r="CO143" s="150"/>
      <c r="CP143" s="150"/>
      <c r="CQ143" s="150"/>
      <c r="CR143" s="150"/>
      <c r="CS143" s="150"/>
      <c r="CT143" s="150"/>
      <c r="CU143" s="150"/>
      <c r="CV143" s="150"/>
      <c r="CW143" s="150"/>
      <c r="CX143" s="150"/>
      <c r="CY143" s="150"/>
      <c r="CZ143" s="150"/>
      <c r="DA143" s="150"/>
      <c r="DB143" s="150"/>
      <c r="DC143" s="150"/>
      <c r="DD143" s="150"/>
      <c r="DE143" s="150"/>
      <c r="DF143" s="150"/>
      <c r="DG143" s="150"/>
      <c r="DH143" s="150"/>
      <c r="DI143" s="150"/>
      <c r="DJ143" s="150"/>
      <c r="DK143" s="150"/>
      <c r="DL143" s="150"/>
      <c r="DM143" s="150"/>
      <c r="DN143" s="150"/>
      <c r="DO143" s="150"/>
      <c r="DP143" s="150"/>
      <c r="DQ143" s="150"/>
      <c r="DR143" s="150"/>
      <c r="DS143" s="150"/>
      <c r="DT143" s="150"/>
      <c r="DU143" s="150"/>
      <c r="DV143" s="150"/>
      <c r="DW143" s="150"/>
      <c r="DX143" s="150"/>
      <c r="DY143" s="150"/>
      <c r="DZ143" s="150"/>
      <c r="EA143" s="150"/>
      <c r="EB143" s="150"/>
      <c r="EC143" s="150"/>
      <c r="ED143" s="150"/>
      <c r="EE143" s="150"/>
      <c r="EF143" s="150"/>
      <c r="EG143" s="150"/>
      <c r="EH143" s="150"/>
      <c r="EI143" s="150"/>
      <c r="EJ143" s="150"/>
      <c r="EK143" s="150"/>
      <c r="EL143" s="150"/>
      <c r="EM143" s="150"/>
      <c r="EN143" s="150"/>
      <c r="EO143" s="150"/>
      <c r="EP143" s="150"/>
      <c r="EQ143" s="150"/>
      <c r="ER143" s="150"/>
      <c r="ES143" s="150"/>
      <c r="ET143" s="150"/>
      <c r="EU143" s="150"/>
      <c r="EV143" s="150"/>
      <c r="EW143" s="150"/>
      <c r="EX143" s="150"/>
      <c r="EY143" s="150"/>
      <c r="EZ143" s="150"/>
      <c r="FA143" s="150"/>
      <c r="FB143" s="150"/>
      <c r="FC143" s="150"/>
      <c r="FD143" s="150"/>
      <c r="FE143" s="150"/>
      <c r="FF143" s="150"/>
      <c r="FG143" s="150"/>
      <c r="FH143" s="150"/>
      <c r="FI143" s="150"/>
      <c r="FJ143" s="150"/>
      <c r="FK143" s="150"/>
      <c r="FL143" s="150"/>
      <c r="FM143" s="150"/>
      <c r="FN143" s="150"/>
      <c r="FO143" s="150"/>
      <c r="FP143" s="150"/>
      <c r="FQ143" s="150"/>
      <c r="FR143" s="150"/>
      <c r="FS143" s="150"/>
      <c r="FT143" s="150"/>
      <c r="FU143" s="150"/>
      <c r="FV143" s="150"/>
      <c r="FW143" s="150"/>
      <c r="FX143" s="150"/>
      <c r="FY143" s="150"/>
      <c r="FZ143" s="150"/>
      <c r="GA143" s="150"/>
      <c r="GB143" s="150"/>
      <c r="GC143" s="150"/>
      <c r="GD143" s="150"/>
      <c r="GE143" s="150"/>
      <c r="GF143" s="150"/>
      <c r="GG143" s="150"/>
      <c r="GH143" s="150"/>
      <c r="GI143" s="150"/>
      <c r="GJ143" s="150"/>
      <c r="GK143" s="150"/>
      <c r="GL143" s="150"/>
      <c r="GM143" s="150"/>
      <c r="GN143" s="150"/>
      <c r="GO143" s="150"/>
      <c r="GP143" s="150"/>
      <c r="GQ143" s="150"/>
      <c r="GR143" s="150"/>
      <c r="GS143" s="150"/>
      <c r="GT143" s="150"/>
      <c r="GU143" s="150"/>
      <c r="GV143" s="150"/>
      <c r="GW143" s="150"/>
      <c r="GX143" s="150"/>
      <c r="GY143" s="150"/>
      <c r="GZ143" s="150"/>
      <c r="HA143" s="150"/>
      <c r="HB143" s="150"/>
      <c r="HC143" s="150"/>
      <c r="HD143" s="150"/>
      <c r="HE143" s="150"/>
      <c r="HF143" s="150"/>
      <c r="HG143" s="150"/>
      <c r="HH143" s="150"/>
      <c r="HI143" s="150"/>
      <c r="HJ143" s="150"/>
      <c r="HK143" s="150"/>
      <c r="HL143" s="150"/>
      <c r="HM143" s="150"/>
      <c r="HN143" s="150"/>
      <c r="HO143" s="150"/>
      <c r="HP143" s="150"/>
      <c r="HQ143" s="150"/>
      <c r="HR143" s="150"/>
      <c r="HS143" s="150"/>
      <c r="HT143" s="150"/>
      <c r="HU143" s="150"/>
      <c r="HV143" s="150"/>
      <c r="HW143" s="150"/>
      <c r="HX143" s="151"/>
    </row>
    <row r="144" spans="1:232" s="153" customFormat="1" ht="21" customHeight="1" thickBot="1">
      <c r="A144" s="114" t="s">
        <v>604</v>
      </c>
      <c r="B144" s="111" t="s">
        <v>585</v>
      </c>
      <c r="C144" s="112" t="s">
        <v>605</v>
      </c>
      <c r="D144" s="111" t="s">
        <v>598</v>
      </c>
      <c r="E144" s="113">
        <v>2008</v>
      </c>
      <c r="F144" s="112" t="s">
        <v>606</v>
      </c>
      <c r="G144" s="112" t="s">
        <v>607</v>
      </c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3"/>
      <c r="CF144" s="93"/>
      <c r="CG144" s="93"/>
      <c r="CH144" s="93"/>
      <c r="CI144" s="93"/>
      <c r="CJ144" s="93"/>
      <c r="CK144" s="93"/>
      <c r="CL144" s="93"/>
      <c r="CM144" s="93"/>
      <c r="CN144" s="93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  <c r="CY144" s="93"/>
      <c r="CZ144" s="93"/>
      <c r="DA144" s="93"/>
      <c r="DB144" s="93"/>
      <c r="DC144" s="93"/>
      <c r="DD144" s="93"/>
      <c r="DE144" s="93"/>
      <c r="DF144" s="93"/>
      <c r="DG144" s="93"/>
      <c r="DH144" s="93"/>
      <c r="DI144" s="93"/>
      <c r="DJ144" s="93"/>
      <c r="DK144" s="93"/>
      <c r="DL144" s="93"/>
      <c r="DM144" s="93"/>
      <c r="DN144" s="93"/>
      <c r="DO144" s="93"/>
      <c r="DP144" s="93"/>
      <c r="DQ144" s="93"/>
      <c r="DR144" s="93"/>
      <c r="DS144" s="93"/>
      <c r="DT144" s="93"/>
      <c r="DU144" s="93"/>
      <c r="DV144" s="93"/>
      <c r="DW144" s="93"/>
      <c r="DX144" s="93"/>
      <c r="DY144" s="93"/>
      <c r="DZ144" s="93"/>
      <c r="EA144" s="93"/>
      <c r="EB144" s="93"/>
      <c r="EC144" s="93"/>
      <c r="ED144" s="93"/>
      <c r="EE144" s="93"/>
      <c r="EF144" s="93"/>
      <c r="EG144" s="93"/>
      <c r="EH144" s="93"/>
      <c r="EI144" s="93"/>
      <c r="EJ144" s="93"/>
      <c r="EK144" s="93"/>
      <c r="EL144" s="93"/>
      <c r="EM144" s="93"/>
      <c r="EN144" s="93"/>
      <c r="EO144" s="93"/>
      <c r="EP144" s="93"/>
      <c r="EQ144" s="93"/>
      <c r="ER144" s="93"/>
      <c r="ES144" s="93"/>
      <c r="ET144" s="93"/>
      <c r="EU144" s="93"/>
      <c r="EV144" s="93"/>
      <c r="EW144" s="93"/>
      <c r="EX144" s="93"/>
      <c r="EY144" s="93"/>
      <c r="EZ144" s="93"/>
      <c r="FA144" s="93"/>
      <c r="FB144" s="93"/>
      <c r="FC144" s="93"/>
      <c r="FD144" s="93"/>
      <c r="FE144" s="93"/>
      <c r="FF144" s="93"/>
      <c r="FG144" s="93"/>
      <c r="FH144" s="93"/>
      <c r="FI144" s="93"/>
      <c r="FJ144" s="93"/>
      <c r="FK144" s="93"/>
      <c r="FL144" s="93"/>
      <c r="FM144" s="93"/>
      <c r="FN144" s="93"/>
      <c r="FO144" s="93"/>
      <c r="FP144" s="93"/>
      <c r="FQ144" s="93"/>
      <c r="FR144" s="93"/>
      <c r="FS144" s="93"/>
      <c r="FT144" s="93"/>
      <c r="FU144" s="93"/>
      <c r="FV144" s="93"/>
      <c r="FW144" s="93"/>
      <c r="FX144" s="93"/>
      <c r="FY144" s="93"/>
      <c r="FZ144" s="93"/>
      <c r="GA144" s="93"/>
      <c r="GB144" s="93"/>
      <c r="GC144" s="93"/>
      <c r="GD144" s="93"/>
      <c r="GE144" s="93"/>
      <c r="GF144" s="93"/>
      <c r="GG144" s="93"/>
      <c r="GH144" s="93"/>
      <c r="GI144" s="93"/>
      <c r="GJ144" s="93"/>
      <c r="GK144" s="93"/>
      <c r="GL144" s="93"/>
      <c r="GM144" s="93"/>
      <c r="GN144" s="93"/>
      <c r="GO144" s="93"/>
      <c r="GP144" s="93"/>
      <c r="GQ144" s="93"/>
      <c r="GR144" s="93"/>
      <c r="GS144" s="93"/>
      <c r="GT144" s="93"/>
      <c r="GU144" s="93"/>
      <c r="GV144" s="93"/>
      <c r="GW144" s="93"/>
      <c r="GX144" s="93"/>
      <c r="GY144" s="93"/>
      <c r="GZ144" s="93"/>
      <c r="HA144" s="93"/>
      <c r="HB144" s="93"/>
      <c r="HC144" s="93"/>
      <c r="HD144" s="93"/>
      <c r="HE144" s="93"/>
      <c r="HF144" s="93"/>
      <c r="HG144" s="93"/>
      <c r="HH144" s="93"/>
      <c r="HI144" s="93"/>
      <c r="HJ144" s="93"/>
      <c r="HK144" s="93"/>
      <c r="HL144" s="93"/>
      <c r="HM144" s="93"/>
      <c r="HN144" s="93"/>
      <c r="HO144" s="93"/>
      <c r="HP144" s="93"/>
      <c r="HQ144" s="93"/>
      <c r="HR144" s="93"/>
      <c r="HS144" s="93"/>
      <c r="HT144" s="93"/>
      <c r="HU144" s="93"/>
      <c r="HV144" s="93"/>
      <c r="HW144" s="93"/>
    </row>
    <row r="145" spans="1:232" s="152" customFormat="1" ht="21" customHeight="1" thickBot="1">
      <c r="A145" s="126">
        <v>131</v>
      </c>
      <c r="B145" s="111" t="s">
        <v>585</v>
      </c>
      <c r="C145" s="124" t="s">
        <v>608</v>
      </c>
      <c r="D145" s="126" t="s">
        <v>598</v>
      </c>
      <c r="E145" s="128">
        <v>2008</v>
      </c>
      <c r="F145" s="124" t="s">
        <v>609</v>
      </c>
      <c r="G145" s="124" t="s">
        <v>610</v>
      </c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150"/>
      <c r="AJ145" s="150"/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  <c r="CJ145" s="150"/>
      <c r="CK145" s="150"/>
      <c r="CL145" s="150"/>
      <c r="CM145" s="150"/>
      <c r="CN145" s="150"/>
      <c r="CO145" s="150"/>
      <c r="CP145" s="150"/>
      <c r="CQ145" s="150"/>
      <c r="CR145" s="150"/>
      <c r="CS145" s="150"/>
      <c r="CT145" s="150"/>
      <c r="CU145" s="150"/>
      <c r="CV145" s="150"/>
      <c r="CW145" s="150"/>
      <c r="CX145" s="150"/>
      <c r="CY145" s="150"/>
      <c r="CZ145" s="150"/>
      <c r="DA145" s="150"/>
      <c r="DB145" s="150"/>
      <c r="DC145" s="150"/>
      <c r="DD145" s="150"/>
      <c r="DE145" s="150"/>
      <c r="DF145" s="150"/>
      <c r="DG145" s="150"/>
      <c r="DH145" s="150"/>
      <c r="DI145" s="150"/>
      <c r="DJ145" s="150"/>
      <c r="DK145" s="150"/>
      <c r="DL145" s="150"/>
      <c r="DM145" s="150"/>
      <c r="DN145" s="150"/>
      <c r="DO145" s="150"/>
      <c r="DP145" s="150"/>
      <c r="DQ145" s="150"/>
      <c r="DR145" s="150"/>
      <c r="DS145" s="150"/>
      <c r="DT145" s="150"/>
      <c r="DU145" s="150"/>
      <c r="DV145" s="150"/>
      <c r="DW145" s="150"/>
      <c r="DX145" s="150"/>
      <c r="DY145" s="150"/>
      <c r="DZ145" s="150"/>
      <c r="EA145" s="150"/>
      <c r="EB145" s="150"/>
      <c r="EC145" s="150"/>
      <c r="ED145" s="150"/>
      <c r="EE145" s="150"/>
      <c r="EF145" s="150"/>
      <c r="EG145" s="150"/>
      <c r="EH145" s="150"/>
      <c r="EI145" s="150"/>
      <c r="EJ145" s="150"/>
      <c r="EK145" s="150"/>
      <c r="EL145" s="150"/>
      <c r="EM145" s="150"/>
      <c r="EN145" s="150"/>
      <c r="EO145" s="150"/>
      <c r="EP145" s="150"/>
      <c r="EQ145" s="150"/>
      <c r="ER145" s="150"/>
      <c r="ES145" s="150"/>
      <c r="ET145" s="150"/>
      <c r="EU145" s="150"/>
      <c r="EV145" s="150"/>
      <c r="EW145" s="150"/>
      <c r="EX145" s="150"/>
      <c r="EY145" s="150"/>
      <c r="EZ145" s="150"/>
      <c r="FA145" s="150"/>
      <c r="FB145" s="150"/>
      <c r="FC145" s="150"/>
      <c r="FD145" s="150"/>
      <c r="FE145" s="150"/>
      <c r="FF145" s="150"/>
      <c r="FG145" s="150"/>
      <c r="FH145" s="150"/>
      <c r="FI145" s="150"/>
      <c r="FJ145" s="150"/>
      <c r="FK145" s="150"/>
      <c r="FL145" s="150"/>
      <c r="FM145" s="150"/>
      <c r="FN145" s="150"/>
      <c r="FO145" s="150"/>
      <c r="FP145" s="150"/>
      <c r="FQ145" s="150"/>
      <c r="FR145" s="150"/>
      <c r="FS145" s="150"/>
      <c r="FT145" s="150"/>
      <c r="FU145" s="150"/>
      <c r="FV145" s="150"/>
      <c r="FW145" s="150"/>
      <c r="FX145" s="150"/>
      <c r="FY145" s="150"/>
      <c r="FZ145" s="150"/>
      <c r="GA145" s="150"/>
      <c r="GB145" s="150"/>
      <c r="GC145" s="150"/>
      <c r="GD145" s="150"/>
      <c r="GE145" s="150"/>
      <c r="GF145" s="150"/>
      <c r="GG145" s="150"/>
      <c r="GH145" s="150"/>
      <c r="GI145" s="150"/>
      <c r="GJ145" s="150"/>
      <c r="GK145" s="150"/>
      <c r="GL145" s="150"/>
      <c r="GM145" s="150"/>
      <c r="GN145" s="150"/>
      <c r="GO145" s="150"/>
      <c r="GP145" s="150"/>
      <c r="GQ145" s="150"/>
      <c r="GR145" s="150"/>
      <c r="GS145" s="150"/>
      <c r="GT145" s="150"/>
      <c r="GU145" s="150"/>
      <c r="GV145" s="150"/>
      <c r="GW145" s="150"/>
      <c r="GX145" s="150"/>
      <c r="GY145" s="150"/>
      <c r="GZ145" s="150"/>
      <c r="HA145" s="150"/>
      <c r="HB145" s="150"/>
      <c r="HC145" s="150"/>
      <c r="HD145" s="150"/>
      <c r="HE145" s="150"/>
      <c r="HF145" s="150"/>
      <c r="HG145" s="150"/>
      <c r="HH145" s="150"/>
      <c r="HI145" s="150"/>
      <c r="HJ145" s="150"/>
      <c r="HK145" s="150"/>
      <c r="HL145" s="150"/>
      <c r="HM145" s="150"/>
      <c r="HN145" s="150"/>
      <c r="HO145" s="150"/>
      <c r="HP145" s="150"/>
      <c r="HQ145" s="150"/>
      <c r="HR145" s="150"/>
      <c r="HS145" s="150"/>
      <c r="HT145" s="150"/>
      <c r="HU145" s="150"/>
      <c r="HV145" s="150"/>
      <c r="HW145" s="150"/>
      <c r="HX145" s="151"/>
    </row>
    <row r="146" spans="1:232" s="127" customFormat="1" ht="21" customHeight="1" thickBot="1">
      <c r="A146" s="126">
        <v>132</v>
      </c>
      <c r="B146" s="111" t="s">
        <v>585</v>
      </c>
      <c r="C146" s="112" t="s">
        <v>611</v>
      </c>
      <c r="D146" s="111" t="s">
        <v>612</v>
      </c>
      <c r="E146" s="113">
        <v>2014</v>
      </c>
      <c r="F146" s="112">
        <v>7202260</v>
      </c>
      <c r="G146" s="112" t="s">
        <v>613</v>
      </c>
    </row>
    <row r="147" spans="1:232" s="127" customFormat="1" ht="21" customHeight="1" thickBot="1">
      <c r="A147" s="114" t="s">
        <v>614</v>
      </c>
      <c r="B147" s="111" t="s">
        <v>585</v>
      </c>
      <c r="C147" s="112" t="s">
        <v>615</v>
      </c>
      <c r="D147" s="111" t="s">
        <v>612</v>
      </c>
      <c r="E147" s="113">
        <v>2014</v>
      </c>
      <c r="F147" s="112">
        <v>7185440</v>
      </c>
      <c r="G147" s="112" t="s">
        <v>616</v>
      </c>
    </row>
    <row r="148" spans="1:232" s="152" customFormat="1" ht="21" customHeight="1" thickBot="1">
      <c r="A148" s="126">
        <v>134</v>
      </c>
      <c r="B148" s="126" t="s">
        <v>617</v>
      </c>
      <c r="C148" s="124" t="s">
        <v>618</v>
      </c>
      <c r="D148" s="111" t="s">
        <v>595</v>
      </c>
      <c r="E148" s="128">
        <v>2008</v>
      </c>
      <c r="F148" s="130" t="s">
        <v>619</v>
      </c>
      <c r="G148" s="124" t="s">
        <v>620</v>
      </c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150"/>
      <c r="AJ148" s="150"/>
      <c r="AK148" s="150"/>
      <c r="AL148" s="150"/>
      <c r="AM148" s="150"/>
      <c r="AN148" s="150"/>
      <c r="AO148" s="150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  <c r="CJ148" s="150"/>
      <c r="CK148" s="150"/>
      <c r="CL148" s="150"/>
      <c r="CM148" s="150"/>
      <c r="CN148" s="150"/>
      <c r="CO148" s="150"/>
      <c r="CP148" s="150"/>
      <c r="CQ148" s="150"/>
      <c r="CR148" s="150"/>
      <c r="CS148" s="150"/>
      <c r="CT148" s="150"/>
      <c r="CU148" s="150"/>
      <c r="CV148" s="150"/>
      <c r="CW148" s="150"/>
      <c r="CX148" s="150"/>
      <c r="CY148" s="150"/>
      <c r="CZ148" s="150"/>
      <c r="DA148" s="150"/>
      <c r="DB148" s="150"/>
      <c r="DC148" s="150"/>
      <c r="DD148" s="150"/>
      <c r="DE148" s="150"/>
      <c r="DF148" s="150"/>
      <c r="DG148" s="150"/>
      <c r="DH148" s="150"/>
      <c r="DI148" s="150"/>
      <c r="DJ148" s="150"/>
      <c r="DK148" s="150"/>
      <c r="DL148" s="150"/>
      <c r="DM148" s="150"/>
      <c r="DN148" s="150"/>
      <c r="DO148" s="150"/>
      <c r="DP148" s="150"/>
      <c r="DQ148" s="150"/>
      <c r="DR148" s="150"/>
      <c r="DS148" s="150"/>
      <c r="DT148" s="150"/>
      <c r="DU148" s="150"/>
      <c r="DV148" s="150"/>
      <c r="DW148" s="150"/>
      <c r="DX148" s="150"/>
      <c r="DY148" s="150"/>
      <c r="DZ148" s="150"/>
      <c r="EA148" s="150"/>
      <c r="EB148" s="150"/>
      <c r="EC148" s="150"/>
      <c r="ED148" s="150"/>
      <c r="EE148" s="150"/>
      <c r="EF148" s="150"/>
      <c r="EG148" s="150"/>
      <c r="EH148" s="150"/>
      <c r="EI148" s="150"/>
      <c r="EJ148" s="150"/>
      <c r="EK148" s="150"/>
      <c r="EL148" s="150"/>
      <c r="EM148" s="150"/>
      <c r="EN148" s="150"/>
      <c r="EO148" s="150"/>
      <c r="EP148" s="150"/>
      <c r="EQ148" s="150"/>
      <c r="ER148" s="150"/>
      <c r="ES148" s="150"/>
      <c r="ET148" s="150"/>
      <c r="EU148" s="150"/>
      <c r="EV148" s="150"/>
      <c r="EW148" s="150"/>
      <c r="EX148" s="150"/>
      <c r="EY148" s="150"/>
      <c r="EZ148" s="150"/>
      <c r="FA148" s="150"/>
      <c r="FB148" s="150"/>
      <c r="FC148" s="150"/>
      <c r="FD148" s="150"/>
      <c r="FE148" s="150"/>
      <c r="FF148" s="150"/>
      <c r="FG148" s="150"/>
      <c r="FH148" s="150"/>
      <c r="FI148" s="150"/>
      <c r="FJ148" s="150"/>
      <c r="FK148" s="150"/>
      <c r="FL148" s="150"/>
      <c r="FM148" s="150"/>
      <c r="FN148" s="150"/>
      <c r="FO148" s="150"/>
      <c r="FP148" s="150"/>
      <c r="FQ148" s="150"/>
      <c r="FR148" s="150"/>
      <c r="FS148" s="150"/>
      <c r="FT148" s="150"/>
      <c r="FU148" s="150"/>
      <c r="FV148" s="150"/>
      <c r="FW148" s="150"/>
      <c r="FX148" s="150"/>
      <c r="FY148" s="150"/>
      <c r="FZ148" s="150"/>
      <c r="GA148" s="150"/>
      <c r="GB148" s="150"/>
      <c r="GC148" s="150"/>
      <c r="GD148" s="150"/>
      <c r="GE148" s="150"/>
      <c r="GF148" s="150"/>
      <c r="GG148" s="150"/>
      <c r="GH148" s="150"/>
      <c r="GI148" s="150"/>
      <c r="GJ148" s="150"/>
      <c r="GK148" s="150"/>
      <c r="GL148" s="150"/>
      <c r="GM148" s="150"/>
      <c r="GN148" s="150"/>
      <c r="GO148" s="150"/>
      <c r="GP148" s="150"/>
      <c r="GQ148" s="150"/>
      <c r="GR148" s="150"/>
      <c r="GS148" s="150"/>
      <c r="GT148" s="150"/>
      <c r="GU148" s="150"/>
      <c r="GV148" s="150"/>
      <c r="GW148" s="150"/>
      <c r="GX148" s="150"/>
      <c r="GY148" s="150"/>
      <c r="GZ148" s="150"/>
      <c r="HA148" s="150"/>
      <c r="HB148" s="150"/>
      <c r="HC148" s="150"/>
      <c r="HD148" s="150"/>
      <c r="HE148" s="150"/>
      <c r="HF148" s="150"/>
      <c r="HG148" s="150"/>
      <c r="HH148" s="150"/>
      <c r="HI148" s="150"/>
      <c r="HJ148" s="150"/>
      <c r="HK148" s="150"/>
      <c r="HL148" s="150"/>
      <c r="HM148" s="150"/>
      <c r="HN148" s="150"/>
      <c r="HO148" s="150"/>
      <c r="HP148" s="150"/>
      <c r="HQ148" s="150"/>
      <c r="HR148" s="150"/>
      <c r="HS148" s="150"/>
      <c r="HT148" s="150"/>
      <c r="HU148" s="150"/>
      <c r="HV148" s="150"/>
      <c r="HW148" s="150"/>
      <c r="HX148" s="151"/>
    </row>
    <row r="149" spans="1:232" s="105" customFormat="1" ht="25.5" customHeight="1" thickBot="1">
      <c r="A149" s="209" t="s">
        <v>621</v>
      </c>
      <c r="B149" s="209"/>
      <c r="C149" s="209"/>
      <c r="D149" s="209"/>
      <c r="E149" s="209"/>
      <c r="F149" s="209"/>
      <c r="G149" s="209"/>
    </row>
    <row r="150" spans="1:232" s="109" customFormat="1" ht="25.5" customHeight="1" thickBot="1">
      <c r="A150" s="106" t="s">
        <v>76</v>
      </c>
      <c r="B150" s="106" t="s">
        <v>77</v>
      </c>
      <c r="C150" s="107" t="s">
        <v>78</v>
      </c>
      <c r="D150" s="106" t="s">
        <v>79</v>
      </c>
      <c r="E150" s="108" t="s">
        <v>80</v>
      </c>
      <c r="F150" s="107" t="s">
        <v>81</v>
      </c>
      <c r="G150" s="107" t="s">
        <v>82</v>
      </c>
    </row>
    <row r="151" spans="1:232" s="154" customFormat="1" ht="21" customHeight="1" thickBot="1">
      <c r="A151" s="111">
        <v>135</v>
      </c>
      <c r="B151" s="111" t="s">
        <v>622</v>
      </c>
      <c r="C151" s="112" t="s">
        <v>623</v>
      </c>
      <c r="D151" s="111" t="s">
        <v>624</v>
      </c>
      <c r="E151" s="113">
        <v>1980</v>
      </c>
      <c r="F151" s="131">
        <v>3491200607013</v>
      </c>
      <c r="G151" s="131" t="s">
        <v>625</v>
      </c>
      <c r="J151" s="155"/>
    </row>
    <row r="152" spans="1:232" s="132" customFormat="1" ht="21" customHeight="1" thickBot="1">
      <c r="A152" s="111">
        <v>136</v>
      </c>
      <c r="B152" s="111" t="s">
        <v>622</v>
      </c>
      <c r="C152" s="112" t="s">
        <v>626</v>
      </c>
      <c r="D152" s="111" t="s">
        <v>627</v>
      </c>
      <c r="E152" s="113">
        <v>2007</v>
      </c>
      <c r="F152" s="112" t="s">
        <v>628</v>
      </c>
      <c r="G152" s="112" t="s">
        <v>629</v>
      </c>
    </row>
    <row r="153" spans="1:232" s="132" customFormat="1" ht="21" customHeight="1" thickBot="1">
      <c r="A153" s="111">
        <v>137</v>
      </c>
      <c r="B153" s="111" t="s">
        <v>630</v>
      </c>
      <c r="C153" s="112" t="s">
        <v>631</v>
      </c>
      <c r="D153" s="111" t="s">
        <v>632</v>
      </c>
      <c r="E153" s="113">
        <v>2009</v>
      </c>
      <c r="F153" s="112" t="s">
        <v>633</v>
      </c>
      <c r="G153" s="112" t="s">
        <v>634</v>
      </c>
    </row>
    <row r="154" spans="1:232" s="132" customFormat="1" ht="21" customHeight="1" thickBot="1">
      <c r="A154" s="111">
        <v>138</v>
      </c>
      <c r="B154" s="111" t="s">
        <v>635</v>
      </c>
      <c r="C154" s="112" t="s">
        <v>636</v>
      </c>
      <c r="D154" s="111" t="s">
        <v>632</v>
      </c>
      <c r="E154" s="113">
        <v>2009</v>
      </c>
      <c r="F154" s="112" t="s">
        <v>637</v>
      </c>
      <c r="G154" s="112" t="s">
        <v>638</v>
      </c>
    </row>
    <row r="155" spans="1:232" s="132" customFormat="1" ht="21" customHeight="1" thickBot="1">
      <c r="A155" s="111">
        <v>139</v>
      </c>
      <c r="B155" s="111" t="s">
        <v>639</v>
      </c>
      <c r="C155" s="112" t="s">
        <v>640</v>
      </c>
      <c r="D155" s="111" t="s">
        <v>641</v>
      </c>
      <c r="E155" s="113">
        <v>2009</v>
      </c>
      <c r="F155" s="112">
        <v>36047899</v>
      </c>
      <c r="G155" s="112" t="s">
        <v>642</v>
      </c>
    </row>
    <row r="156" spans="1:232" s="132" customFormat="1" ht="21" customHeight="1" thickBot="1">
      <c r="A156" s="111">
        <v>140</v>
      </c>
      <c r="B156" s="111" t="s">
        <v>643</v>
      </c>
      <c r="C156" s="112" t="s">
        <v>644</v>
      </c>
      <c r="D156" s="111" t="s">
        <v>632</v>
      </c>
      <c r="E156" s="113">
        <v>2009</v>
      </c>
      <c r="F156" s="112">
        <v>36057009</v>
      </c>
      <c r="G156" s="112" t="s">
        <v>645</v>
      </c>
    </row>
    <row r="157" spans="1:232" s="132" customFormat="1" ht="21" customHeight="1" thickBot="1">
      <c r="A157" s="111">
        <v>141</v>
      </c>
      <c r="B157" s="111" t="s">
        <v>646</v>
      </c>
      <c r="C157" s="112" t="s">
        <v>647</v>
      </c>
      <c r="D157" s="111" t="s">
        <v>632</v>
      </c>
      <c r="E157" s="113">
        <v>2009</v>
      </c>
      <c r="F157" s="112">
        <v>36059297</v>
      </c>
      <c r="G157" s="112" t="s">
        <v>648</v>
      </c>
    </row>
    <row r="158" spans="1:232" s="105" customFormat="1" ht="25.5" customHeight="1" thickBot="1">
      <c r="A158" s="206" t="s">
        <v>649</v>
      </c>
      <c r="B158" s="206"/>
      <c r="C158" s="206"/>
      <c r="D158" s="206"/>
      <c r="E158" s="206"/>
      <c r="F158" s="206"/>
      <c r="G158" s="206"/>
    </row>
    <row r="159" spans="1:232" s="109" customFormat="1" ht="25.5" customHeight="1" thickBot="1">
      <c r="A159" s="133" t="s">
        <v>76</v>
      </c>
      <c r="B159" s="133" t="s">
        <v>77</v>
      </c>
      <c r="C159" s="133" t="s">
        <v>78</v>
      </c>
      <c r="D159" s="108" t="s">
        <v>79</v>
      </c>
      <c r="E159" s="133" t="s">
        <v>80</v>
      </c>
      <c r="F159" s="133" t="s">
        <v>81</v>
      </c>
      <c r="G159" s="133" t="s">
        <v>82</v>
      </c>
    </row>
    <row r="160" spans="1:232" s="94" customFormat="1" ht="21" customHeight="1" thickBot="1">
      <c r="A160" s="130">
        <v>1</v>
      </c>
      <c r="B160" s="130" t="s">
        <v>650</v>
      </c>
      <c r="C160" s="130" t="s">
        <v>651</v>
      </c>
      <c r="D160" s="113" t="s">
        <v>652</v>
      </c>
      <c r="E160" s="134">
        <v>2017</v>
      </c>
      <c r="F160" s="130" t="s">
        <v>653</v>
      </c>
      <c r="G160" s="130" t="s">
        <v>654</v>
      </c>
    </row>
    <row r="161" spans="1:7" s="94" customFormat="1" ht="13.5" thickBot="1">
      <c r="A161" s="130">
        <v>2</v>
      </c>
      <c r="B161" s="130" t="s">
        <v>650</v>
      </c>
      <c r="C161" s="130" t="s">
        <v>655</v>
      </c>
      <c r="D161" s="113" t="s">
        <v>656</v>
      </c>
      <c r="E161" s="130">
        <v>2014</v>
      </c>
      <c r="F161" s="130" t="s">
        <v>657</v>
      </c>
      <c r="G161" s="130" t="s">
        <v>658</v>
      </c>
    </row>
    <row r="162" spans="1:7" s="94" customFormat="1" ht="23.25" thickBot="1">
      <c r="A162" s="130">
        <v>3</v>
      </c>
      <c r="B162" s="130" t="s">
        <v>650</v>
      </c>
      <c r="C162" s="130" t="s">
        <v>659</v>
      </c>
      <c r="D162" s="113" t="s">
        <v>660</v>
      </c>
      <c r="E162" s="134">
        <v>2016</v>
      </c>
      <c r="F162" s="134" t="s">
        <v>661</v>
      </c>
      <c r="G162" s="134" t="s">
        <v>662</v>
      </c>
    </row>
    <row r="163" spans="1:7" s="94" customFormat="1" ht="23.25" thickBot="1">
      <c r="A163" s="130">
        <v>4</v>
      </c>
      <c r="B163" s="130" t="s">
        <v>650</v>
      </c>
      <c r="C163" s="130" t="s">
        <v>663</v>
      </c>
      <c r="D163" s="113" t="s">
        <v>660</v>
      </c>
      <c r="E163" s="130">
        <v>2005</v>
      </c>
      <c r="F163" s="130" t="s">
        <v>664</v>
      </c>
      <c r="G163" s="130" t="s">
        <v>665</v>
      </c>
    </row>
    <row r="164" spans="1:7" s="94" customFormat="1" ht="23.25" thickBot="1">
      <c r="A164" s="130">
        <v>5</v>
      </c>
      <c r="B164" s="130" t="s">
        <v>650</v>
      </c>
      <c r="C164" s="130" t="s">
        <v>666</v>
      </c>
      <c r="D164" s="113" t="s">
        <v>667</v>
      </c>
      <c r="E164" s="130">
        <v>2015</v>
      </c>
      <c r="F164" s="130" t="s">
        <v>668</v>
      </c>
      <c r="G164" s="130" t="s">
        <v>669</v>
      </c>
    </row>
    <row r="165" spans="1:7" s="94" customFormat="1" ht="23.25" thickBot="1">
      <c r="A165" s="130">
        <v>6</v>
      </c>
      <c r="B165" s="130" t="s">
        <v>650</v>
      </c>
      <c r="C165" s="130" t="s">
        <v>670</v>
      </c>
      <c r="D165" s="113" t="s">
        <v>667</v>
      </c>
      <c r="E165" s="130">
        <v>2015</v>
      </c>
      <c r="F165" s="130" t="s">
        <v>671</v>
      </c>
      <c r="G165" s="130" t="s">
        <v>672</v>
      </c>
    </row>
    <row r="166" spans="1:7" s="94" customFormat="1" ht="13.5" thickBot="1">
      <c r="A166" s="130">
        <v>7</v>
      </c>
      <c r="B166" s="130" t="s">
        <v>650</v>
      </c>
      <c r="C166" s="130" t="s">
        <v>673</v>
      </c>
      <c r="D166" s="113" t="s">
        <v>674</v>
      </c>
      <c r="E166" s="130">
        <v>2004</v>
      </c>
      <c r="F166" s="130" t="s">
        <v>675</v>
      </c>
      <c r="G166" s="130" t="s">
        <v>676</v>
      </c>
    </row>
    <row r="167" spans="1:7" s="94" customFormat="1" ht="13.5" thickBot="1">
      <c r="A167" s="130">
        <v>8</v>
      </c>
      <c r="B167" s="130" t="s">
        <v>650</v>
      </c>
      <c r="C167" s="130" t="s">
        <v>677</v>
      </c>
      <c r="D167" s="113" t="s">
        <v>678</v>
      </c>
      <c r="E167" s="130">
        <v>2007</v>
      </c>
      <c r="F167" s="130" t="s">
        <v>679</v>
      </c>
      <c r="G167" s="130" t="s">
        <v>680</v>
      </c>
    </row>
    <row r="168" spans="1:7" s="94" customFormat="1" ht="13.5" thickBot="1">
      <c r="A168" s="130">
        <v>9</v>
      </c>
      <c r="B168" s="130" t="s">
        <v>650</v>
      </c>
      <c r="C168" s="130" t="s">
        <v>681</v>
      </c>
      <c r="D168" s="113" t="s">
        <v>682</v>
      </c>
      <c r="E168" s="130">
        <v>2007</v>
      </c>
      <c r="F168" s="130" t="s">
        <v>683</v>
      </c>
      <c r="G168" s="130" t="s">
        <v>684</v>
      </c>
    </row>
    <row r="169" spans="1:7" s="94" customFormat="1" ht="23.25" thickBot="1">
      <c r="A169" s="130">
        <v>10</v>
      </c>
      <c r="B169" s="130" t="s">
        <v>650</v>
      </c>
      <c r="C169" s="130" t="s">
        <v>685</v>
      </c>
      <c r="D169" s="113" t="s">
        <v>660</v>
      </c>
      <c r="E169" s="130">
        <v>2010</v>
      </c>
      <c r="F169" s="130" t="s">
        <v>686</v>
      </c>
      <c r="G169" s="130" t="s">
        <v>687</v>
      </c>
    </row>
    <row r="170" spans="1:7" s="94" customFormat="1" ht="13.5" thickBot="1">
      <c r="A170" s="130">
        <v>11</v>
      </c>
      <c r="B170" s="130" t="s">
        <v>650</v>
      </c>
      <c r="C170" s="130" t="s">
        <v>688</v>
      </c>
      <c r="D170" s="113" t="s">
        <v>656</v>
      </c>
      <c r="E170" s="130">
        <v>2013</v>
      </c>
      <c r="F170" s="130" t="s">
        <v>689</v>
      </c>
      <c r="G170" s="130" t="s">
        <v>690</v>
      </c>
    </row>
    <row r="171" spans="1:7" s="94" customFormat="1" ht="23.25" thickBot="1">
      <c r="A171" s="130">
        <v>12</v>
      </c>
      <c r="B171" s="130" t="s">
        <v>650</v>
      </c>
      <c r="C171" s="130" t="s">
        <v>691</v>
      </c>
      <c r="D171" s="113" t="s">
        <v>660</v>
      </c>
      <c r="E171" s="130">
        <v>2005</v>
      </c>
      <c r="F171" s="130" t="s">
        <v>692</v>
      </c>
      <c r="G171" s="130" t="s">
        <v>693</v>
      </c>
    </row>
    <row r="172" spans="1:7" s="94" customFormat="1" ht="13.5" thickBot="1">
      <c r="A172" s="130">
        <v>13</v>
      </c>
      <c r="B172" s="130" t="s">
        <v>650</v>
      </c>
      <c r="C172" s="130" t="s">
        <v>694</v>
      </c>
      <c r="D172" s="113" t="s">
        <v>656</v>
      </c>
      <c r="E172" s="130">
        <v>2014</v>
      </c>
      <c r="F172" s="130" t="s">
        <v>695</v>
      </c>
      <c r="G172" s="130" t="s">
        <v>696</v>
      </c>
    </row>
    <row r="173" spans="1:7" s="94" customFormat="1" ht="13.5" thickBot="1">
      <c r="A173" s="130">
        <v>14</v>
      </c>
      <c r="B173" s="130" t="s">
        <v>650</v>
      </c>
      <c r="C173" s="130" t="s">
        <v>697</v>
      </c>
      <c r="D173" s="113" t="s">
        <v>656</v>
      </c>
      <c r="E173" s="130">
        <v>2014</v>
      </c>
      <c r="F173" s="130" t="s">
        <v>698</v>
      </c>
      <c r="G173" s="130" t="s">
        <v>699</v>
      </c>
    </row>
    <row r="174" spans="1:7" s="94" customFormat="1" ht="13.5" thickBot="1">
      <c r="A174" s="130">
        <v>15</v>
      </c>
      <c r="B174" s="130" t="s">
        <v>650</v>
      </c>
      <c r="C174" s="130" t="s">
        <v>700</v>
      </c>
      <c r="D174" s="113" t="s">
        <v>656</v>
      </c>
      <c r="E174" s="130">
        <v>2014</v>
      </c>
      <c r="F174" s="130" t="s">
        <v>701</v>
      </c>
      <c r="G174" s="130" t="s">
        <v>702</v>
      </c>
    </row>
    <row r="175" spans="1:7" s="94" customFormat="1" ht="13.5" thickBot="1">
      <c r="A175" s="130">
        <v>16</v>
      </c>
      <c r="B175" s="130" t="s">
        <v>650</v>
      </c>
      <c r="C175" s="130" t="s">
        <v>703</v>
      </c>
      <c r="D175" s="113" t="s">
        <v>656</v>
      </c>
      <c r="E175" s="130">
        <v>2014</v>
      </c>
      <c r="F175" s="130" t="s">
        <v>704</v>
      </c>
      <c r="G175" s="130" t="s">
        <v>705</v>
      </c>
    </row>
    <row r="176" spans="1:7" s="94" customFormat="1" ht="13.5" thickBot="1">
      <c r="A176" s="130">
        <v>17</v>
      </c>
      <c r="B176" s="130" t="s">
        <v>650</v>
      </c>
      <c r="C176" s="130" t="s">
        <v>706</v>
      </c>
      <c r="D176" s="113" t="s">
        <v>656</v>
      </c>
      <c r="E176" s="130">
        <v>2014</v>
      </c>
      <c r="F176" s="130" t="s">
        <v>707</v>
      </c>
      <c r="G176" s="130" t="s">
        <v>708</v>
      </c>
    </row>
    <row r="177" spans="1:7" s="94" customFormat="1" ht="13.5" thickBot="1">
      <c r="A177" s="130">
        <v>18</v>
      </c>
      <c r="B177" s="130" t="s">
        <v>650</v>
      </c>
      <c r="C177" s="130" t="s">
        <v>709</v>
      </c>
      <c r="D177" s="113" t="s">
        <v>656</v>
      </c>
      <c r="E177" s="130">
        <v>2013</v>
      </c>
      <c r="F177" s="130" t="s">
        <v>710</v>
      </c>
      <c r="G177" s="130" t="s">
        <v>711</v>
      </c>
    </row>
    <row r="178" spans="1:7" s="94" customFormat="1" ht="13.5" thickBot="1">
      <c r="A178" s="130">
        <v>19</v>
      </c>
      <c r="B178" s="130" t="s">
        <v>650</v>
      </c>
      <c r="C178" s="130" t="s">
        <v>712</v>
      </c>
      <c r="D178" s="113" t="s">
        <v>656</v>
      </c>
      <c r="E178" s="130">
        <v>2014</v>
      </c>
      <c r="F178" s="130" t="s">
        <v>713</v>
      </c>
      <c r="G178" s="130" t="s">
        <v>714</v>
      </c>
    </row>
    <row r="179" spans="1:7" s="94" customFormat="1" ht="13.5" thickBot="1">
      <c r="A179" s="130">
        <v>20</v>
      </c>
      <c r="B179" s="130" t="s">
        <v>650</v>
      </c>
      <c r="C179" s="130" t="s">
        <v>715</v>
      </c>
      <c r="D179" s="113" t="s">
        <v>656</v>
      </c>
      <c r="E179" s="130">
        <v>2014</v>
      </c>
      <c r="F179" s="130" t="s">
        <v>716</v>
      </c>
      <c r="G179" s="130" t="s">
        <v>717</v>
      </c>
    </row>
    <row r="180" spans="1:7" s="94" customFormat="1" ht="13.5" thickBot="1">
      <c r="A180" s="130">
        <v>21</v>
      </c>
      <c r="B180" s="130" t="s">
        <v>650</v>
      </c>
      <c r="C180" s="130" t="s">
        <v>718</v>
      </c>
      <c r="D180" s="113" t="s">
        <v>656</v>
      </c>
      <c r="E180" s="130">
        <v>2014</v>
      </c>
      <c r="F180" s="130" t="s">
        <v>719</v>
      </c>
      <c r="G180" s="130" t="s">
        <v>720</v>
      </c>
    </row>
    <row r="181" spans="1:7" s="105" customFormat="1" ht="16.5" thickBot="1">
      <c r="A181" s="206" t="s">
        <v>649</v>
      </c>
      <c r="B181" s="206"/>
      <c r="C181" s="206"/>
      <c r="D181" s="206"/>
      <c r="E181" s="206"/>
      <c r="F181" s="206"/>
      <c r="G181" s="206"/>
    </row>
    <row r="182" spans="1:7" s="109" customFormat="1" ht="13.5" thickBot="1">
      <c r="A182" s="133" t="s">
        <v>76</v>
      </c>
      <c r="B182" s="133" t="s">
        <v>77</v>
      </c>
      <c r="C182" s="133" t="s">
        <v>78</v>
      </c>
      <c r="D182" s="108" t="s">
        <v>79</v>
      </c>
      <c r="E182" s="133" t="s">
        <v>80</v>
      </c>
      <c r="F182" s="133" t="s">
        <v>81</v>
      </c>
      <c r="G182" s="133" t="s">
        <v>82</v>
      </c>
    </row>
    <row r="183" spans="1:7" s="94" customFormat="1" ht="13.5" thickBot="1">
      <c r="A183" s="130">
        <v>22</v>
      </c>
      <c r="B183" s="130" t="s">
        <v>650</v>
      </c>
      <c r="C183" s="130" t="s">
        <v>721</v>
      </c>
      <c r="D183" s="113" t="s">
        <v>656</v>
      </c>
      <c r="E183" s="130">
        <v>2014</v>
      </c>
      <c r="F183" s="130" t="s">
        <v>722</v>
      </c>
      <c r="G183" s="130" t="s">
        <v>723</v>
      </c>
    </row>
    <row r="184" spans="1:7" s="94" customFormat="1" ht="13.5" thickBot="1">
      <c r="A184" s="130">
        <v>23</v>
      </c>
      <c r="B184" s="130" t="s">
        <v>650</v>
      </c>
      <c r="C184" s="130" t="s">
        <v>724</v>
      </c>
      <c r="D184" s="113" t="s">
        <v>656</v>
      </c>
      <c r="E184" s="130">
        <v>2014</v>
      </c>
      <c r="F184" s="130" t="s">
        <v>725</v>
      </c>
      <c r="G184" s="130" t="s">
        <v>726</v>
      </c>
    </row>
    <row r="185" spans="1:7" s="94" customFormat="1" ht="13.5" thickBot="1">
      <c r="A185" s="130">
        <v>24</v>
      </c>
      <c r="B185" s="130" t="s">
        <v>650</v>
      </c>
      <c r="C185" s="130" t="s">
        <v>727</v>
      </c>
      <c r="D185" s="113" t="s">
        <v>656</v>
      </c>
      <c r="E185" s="130">
        <v>2014</v>
      </c>
      <c r="F185" s="130" t="s">
        <v>728</v>
      </c>
      <c r="G185" s="130" t="s">
        <v>729</v>
      </c>
    </row>
    <row r="186" spans="1:7" s="94" customFormat="1" ht="13.5" thickBot="1">
      <c r="A186" s="130">
        <v>25</v>
      </c>
      <c r="B186" s="130" t="s">
        <v>650</v>
      </c>
      <c r="C186" s="130" t="s">
        <v>730</v>
      </c>
      <c r="D186" s="113" t="s">
        <v>656</v>
      </c>
      <c r="E186" s="130">
        <v>2014</v>
      </c>
      <c r="F186" s="130" t="s">
        <v>731</v>
      </c>
      <c r="G186" s="130" t="s">
        <v>732</v>
      </c>
    </row>
    <row r="187" spans="1:7" s="94" customFormat="1" ht="13.5" thickBot="1">
      <c r="A187" s="130">
        <v>26</v>
      </c>
      <c r="B187" s="130" t="s">
        <v>650</v>
      </c>
      <c r="C187" s="130" t="s">
        <v>733</v>
      </c>
      <c r="D187" s="113" t="s">
        <v>656</v>
      </c>
      <c r="E187" s="130">
        <v>2014</v>
      </c>
      <c r="F187" s="130" t="s">
        <v>734</v>
      </c>
      <c r="G187" s="130" t="s">
        <v>735</v>
      </c>
    </row>
    <row r="188" spans="1:7" s="94" customFormat="1" ht="13.5" thickBot="1">
      <c r="A188" s="130">
        <v>27</v>
      </c>
      <c r="B188" s="130" t="s">
        <v>650</v>
      </c>
      <c r="C188" s="130" t="s">
        <v>736</v>
      </c>
      <c r="D188" s="113" t="s">
        <v>656</v>
      </c>
      <c r="E188" s="130">
        <v>2014</v>
      </c>
      <c r="F188" s="130" t="s">
        <v>737</v>
      </c>
      <c r="G188" s="130" t="s">
        <v>738</v>
      </c>
    </row>
    <row r="189" spans="1:7" s="94" customFormat="1" ht="13.5" thickBot="1">
      <c r="A189" s="130">
        <v>28</v>
      </c>
      <c r="B189" s="130" t="s">
        <v>650</v>
      </c>
      <c r="C189" s="130" t="s">
        <v>739</v>
      </c>
      <c r="D189" s="113" t="s">
        <v>656</v>
      </c>
      <c r="E189" s="130">
        <v>2014</v>
      </c>
      <c r="F189" s="130" t="s">
        <v>740</v>
      </c>
      <c r="G189" s="130" t="s">
        <v>741</v>
      </c>
    </row>
    <row r="190" spans="1:7" s="94" customFormat="1" ht="13.5" thickBot="1">
      <c r="A190" s="130">
        <v>29</v>
      </c>
      <c r="B190" s="130" t="s">
        <v>650</v>
      </c>
      <c r="C190" s="130" t="s">
        <v>742</v>
      </c>
      <c r="D190" s="113" t="s">
        <v>656</v>
      </c>
      <c r="E190" s="130">
        <v>2014</v>
      </c>
      <c r="F190" s="130" t="s">
        <v>743</v>
      </c>
      <c r="G190" s="130" t="s">
        <v>744</v>
      </c>
    </row>
    <row r="191" spans="1:7" s="94" customFormat="1" ht="13.5" thickBot="1">
      <c r="A191" s="130">
        <v>30</v>
      </c>
      <c r="B191" s="130" t="s">
        <v>650</v>
      </c>
      <c r="C191" s="130" t="s">
        <v>745</v>
      </c>
      <c r="D191" s="113" t="s">
        <v>656</v>
      </c>
      <c r="E191" s="130">
        <v>2014</v>
      </c>
      <c r="F191" s="130" t="s">
        <v>746</v>
      </c>
      <c r="G191" s="130" t="s">
        <v>747</v>
      </c>
    </row>
    <row r="192" spans="1:7" s="94" customFormat="1" ht="13.5" thickBot="1">
      <c r="A192" s="130">
        <v>31</v>
      </c>
      <c r="B192" s="130" t="s">
        <v>650</v>
      </c>
      <c r="C192" s="130" t="s">
        <v>748</v>
      </c>
      <c r="D192" s="113" t="s">
        <v>656</v>
      </c>
      <c r="E192" s="130">
        <v>2014</v>
      </c>
      <c r="F192" s="130" t="s">
        <v>749</v>
      </c>
      <c r="G192" s="130" t="s">
        <v>750</v>
      </c>
    </row>
    <row r="193" spans="1:7" s="94" customFormat="1" ht="13.5" thickBot="1">
      <c r="A193" s="130">
        <v>32</v>
      </c>
      <c r="B193" s="130" t="s">
        <v>650</v>
      </c>
      <c r="C193" s="130" t="s">
        <v>751</v>
      </c>
      <c r="D193" s="113" t="s">
        <v>656</v>
      </c>
      <c r="E193" s="130">
        <v>2014</v>
      </c>
      <c r="F193" s="130" t="s">
        <v>752</v>
      </c>
      <c r="G193" s="130" t="s">
        <v>753</v>
      </c>
    </row>
    <row r="194" spans="1:7" s="94" customFormat="1" ht="13.5" thickBot="1">
      <c r="A194" s="130">
        <v>33</v>
      </c>
      <c r="B194" s="130" t="s">
        <v>650</v>
      </c>
      <c r="C194" s="130" t="s">
        <v>754</v>
      </c>
      <c r="D194" s="113" t="s">
        <v>656</v>
      </c>
      <c r="E194" s="130">
        <v>2014</v>
      </c>
      <c r="F194" s="130" t="s">
        <v>755</v>
      </c>
      <c r="G194" s="130" t="s">
        <v>756</v>
      </c>
    </row>
    <row r="195" spans="1:7" s="94" customFormat="1" ht="13.5" thickBot="1">
      <c r="A195" s="130">
        <v>34</v>
      </c>
      <c r="B195" s="130" t="s">
        <v>650</v>
      </c>
      <c r="C195" s="130" t="s">
        <v>757</v>
      </c>
      <c r="D195" s="113" t="s">
        <v>656</v>
      </c>
      <c r="E195" s="130">
        <v>2014</v>
      </c>
      <c r="F195" s="130" t="s">
        <v>758</v>
      </c>
      <c r="G195" s="130" t="s">
        <v>759</v>
      </c>
    </row>
    <row r="196" spans="1:7" s="94" customFormat="1" ht="13.5" thickBot="1">
      <c r="A196" s="130">
        <v>35</v>
      </c>
      <c r="B196" s="130" t="s">
        <v>650</v>
      </c>
      <c r="C196" s="130" t="s">
        <v>760</v>
      </c>
      <c r="D196" s="113" t="s">
        <v>656</v>
      </c>
      <c r="E196" s="130">
        <v>2014</v>
      </c>
      <c r="F196" s="130" t="s">
        <v>761</v>
      </c>
      <c r="G196" s="130" t="s">
        <v>762</v>
      </c>
    </row>
    <row r="197" spans="1:7" s="94" customFormat="1" ht="13.5" thickBot="1">
      <c r="A197" s="130">
        <v>36</v>
      </c>
      <c r="B197" s="130" t="s">
        <v>650</v>
      </c>
      <c r="C197" s="130" t="s">
        <v>763</v>
      </c>
      <c r="D197" s="113" t="s">
        <v>656</v>
      </c>
      <c r="E197" s="130">
        <v>2014</v>
      </c>
      <c r="F197" s="130" t="s">
        <v>764</v>
      </c>
      <c r="G197" s="130" t="s">
        <v>765</v>
      </c>
    </row>
    <row r="198" spans="1:7" s="94" customFormat="1" ht="13.5" thickBot="1">
      <c r="A198" s="130">
        <v>37</v>
      </c>
      <c r="B198" s="130" t="s">
        <v>650</v>
      </c>
      <c r="C198" s="130" t="s">
        <v>766</v>
      </c>
      <c r="D198" s="113" t="s">
        <v>656</v>
      </c>
      <c r="E198" s="130">
        <v>2014</v>
      </c>
      <c r="F198" s="130" t="s">
        <v>767</v>
      </c>
      <c r="G198" s="130" t="s">
        <v>768</v>
      </c>
    </row>
    <row r="199" spans="1:7" s="94" customFormat="1" ht="13.5" thickBot="1">
      <c r="A199" s="130">
        <v>38</v>
      </c>
      <c r="B199" s="130" t="s">
        <v>650</v>
      </c>
      <c r="C199" s="130" t="s">
        <v>769</v>
      </c>
      <c r="D199" s="113" t="s">
        <v>656</v>
      </c>
      <c r="E199" s="130">
        <v>2014</v>
      </c>
      <c r="F199" s="130" t="s">
        <v>770</v>
      </c>
      <c r="G199" s="130" t="s">
        <v>771</v>
      </c>
    </row>
    <row r="200" spans="1:7" s="94" customFormat="1" ht="13.5" thickBot="1">
      <c r="A200" s="130">
        <v>39</v>
      </c>
      <c r="B200" s="130" t="s">
        <v>650</v>
      </c>
      <c r="C200" s="130" t="s">
        <v>772</v>
      </c>
      <c r="D200" s="113" t="s">
        <v>656</v>
      </c>
      <c r="E200" s="130">
        <v>2014</v>
      </c>
      <c r="F200" s="130" t="s">
        <v>773</v>
      </c>
      <c r="G200" s="130" t="s">
        <v>774</v>
      </c>
    </row>
    <row r="201" spans="1:7" s="94" customFormat="1" ht="13.5" thickBot="1">
      <c r="A201" s="130">
        <v>40</v>
      </c>
      <c r="B201" s="130" t="s">
        <v>650</v>
      </c>
      <c r="C201" s="130" t="s">
        <v>775</v>
      </c>
      <c r="D201" s="113" t="s">
        <v>656</v>
      </c>
      <c r="E201" s="130">
        <v>2014</v>
      </c>
      <c r="F201" s="130" t="s">
        <v>776</v>
      </c>
      <c r="G201" s="130" t="s">
        <v>777</v>
      </c>
    </row>
    <row r="202" spans="1:7" s="94" customFormat="1" ht="13.5" thickBot="1">
      <c r="A202" s="130">
        <v>41</v>
      </c>
      <c r="B202" s="130" t="s">
        <v>650</v>
      </c>
      <c r="C202" s="130" t="s">
        <v>778</v>
      </c>
      <c r="D202" s="113" t="s">
        <v>656</v>
      </c>
      <c r="E202" s="130">
        <v>2014</v>
      </c>
      <c r="F202" s="130" t="s">
        <v>779</v>
      </c>
      <c r="G202" s="130" t="s">
        <v>780</v>
      </c>
    </row>
    <row r="203" spans="1:7" s="94" customFormat="1" ht="13.5" thickBot="1">
      <c r="A203" s="130">
        <v>42</v>
      </c>
      <c r="B203" s="130" t="s">
        <v>650</v>
      </c>
      <c r="C203" s="130" t="s">
        <v>781</v>
      </c>
      <c r="D203" s="113" t="s">
        <v>656</v>
      </c>
      <c r="E203" s="130">
        <v>2014</v>
      </c>
      <c r="F203" s="130" t="s">
        <v>782</v>
      </c>
      <c r="G203" s="130" t="s">
        <v>783</v>
      </c>
    </row>
    <row r="204" spans="1:7" s="94" customFormat="1" ht="23.25" thickBot="1">
      <c r="A204" s="130">
        <v>43</v>
      </c>
      <c r="B204" s="130" t="s">
        <v>650</v>
      </c>
      <c r="C204" s="130" t="s">
        <v>784</v>
      </c>
      <c r="D204" s="113" t="s">
        <v>785</v>
      </c>
      <c r="E204" s="130">
        <v>2015</v>
      </c>
      <c r="F204" s="130" t="s">
        <v>786</v>
      </c>
      <c r="G204" s="130" t="s">
        <v>787</v>
      </c>
    </row>
    <row r="205" spans="1:7" s="105" customFormat="1" ht="16.5" thickBot="1">
      <c r="A205" s="206" t="s">
        <v>649</v>
      </c>
      <c r="B205" s="206"/>
      <c r="C205" s="206"/>
      <c r="D205" s="206"/>
      <c r="E205" s="206"/>
      <c r="F205" s="206"/>
      <c r="G205" s="206"/>
    </row>
    <row r="206" spans="1:7" s="109" customFormat="1" ht="13.5" thickBot="1">
      <c r="A206" s="133" t="s">
        <v>76</v>
      </c>
      <c r="B206" s="133" t="s">
        <v>77</v>
      </c>
      <c r="C206" s="133" t="s">
        <v>78</v>
      </c>
      <c r="D206" s="108" t="s">
        <v>79</v>
      </c>
      <c r="E206" s="133" t="s">
        <v>80</v>
      </c>
      <c r="F206" s="133" t="s">
        <v>81</v>
      </c>
      <c r="G206" s="133" t="s">
        <v>82</v>
      </c>
    </row>
    <row r="207" spans="1:7" s="94" customFormat="1" ht="23.25" thickBot="1">
      <c r="A207" s="130">
        <v>44</v>
      </c>
      <c r="B207" s="130" t="s">
        <v>650</v>
      </c>
      <c r="C207" s="130" t="s">
        <v>788</v>
      </c>
      <c r="D207" s="113" t="s">
        <v>785</v>
      </c>
      <c r="E207" s="130">
        <v>2015</v>
      </c>
      <c r="F207" s="130" t="s">
        <v>789</v>
      </c>
      <c r="G207" s="130" t="s">
        <v>790</v>
      </c>
    </row>
    <row r="208" spans="1:7" s="94" customFormat="1" ht="23.25" thickBot="1">
      <c r="A208" s="130">
        <v>45</v>
      </c>
      <c r="B208" s="130" t="s">
        <v>650</v>
      </c>
      <c r="C208" s="130" t="s">
        <v>791</v>
      </c>
      <c r="D208" s="113" t="s">
        <v>785</v>
      </c>
      <c r="E208" s="130">
        <v>2015</v>
      </c>
      <c r="F208" s="130" t="s">
        <v>792</v>
      </c>
      <c r="G208" s="130" t="s">
        <v>793</v>
      </c>
    </row>
    <row r="209" spans="1:7" s="94" customFormat="1" ht="23.25" thickBot="1">
      <c r="A209" s="130">
        <v>46</v>
      </c>
      <c r="B209" s="130" t="s">
        <v>650</v>
      </c>
      <c r="C209" s="130" t="s">
        <v>794</v>
      </c>
      <c r="D209" s="113" t="s">
        <v>660</v>
      </c>
      <c r="E209" s="130">
        <v>2005</v>
      </c>
      <c r="F209" s="130" t="s">
        <v>795</v>
      </c>
      <c r="G209" s="130" t="s">
        <v>796</v>
      </c>
    </row>
    <row r="210" spans="1:7" s="94" customFormat="1" ht="23.25" thickBot="1">
      <c r="A210" s="130">
        <v>47</v>
      </c>
      <c r="B210" s="130" t="s">
        <v>650</v>
      </c>
      <c r="C210" s="130" t="s">
        <v>797</v>
      </c>
      <c r="D210" s="113" t="s">
        <v>798</v>
      </c>
      <c r="E210" s="130">
        <v>2015</v>
      </c>
      <c r="F210" s="130" t="s">
        <v>799</v>
      </c>
      <c r="G210" s="130" t="s">
        <v>800</v>
      </c>
    </row>
    <row r="211" spans="1:7" s="94" customFormat="1" ht="23.25" thickBot="1">
      <c r="A211" s="130">
        <v>48</v>
      </c>
      <c r="B211" s="130" t="s">
        <v>650</v>
      </c>
      <c r="C211" s="130" t="s">
        <v>801</v>
      </c>
      <c r="D211" s="113" t="s">
        <v>798</v>
      </c>
      <c r="E211" s="130">
        <v>2015</v>
      </c>
      <c r="F211" s="130" t="s">
        <v>802</v>
      </c>
      <c r="G211" s="130" t="s">
        <v>803</v>
      </c>
    </row>
    <row r="212" spans="1:7" s="94" customFormat="1" ht="23.25" thickBot="1">
      <c r="A212" s="130">
        <v>49</v>
      </c>
      <c r="B212" s="130" t="s">
        <v>650</v>
      </c>
      <c r="C212" s="130" t="s">
        <v>804</v>
      </c>
      <c r="D212" s="113" t="s">
        <v>667</v>
      </c>
      <c r="E212" s="130">
        <v>2016</v>
      </c>
      <c r="F212" s="130" t="s">
        <v>805</v>
      </c>
      <c r="G212" s="130" t="s">
        <v>806</v>
      </c>
    </row>
    <row r="213" spans="1:7" s="94" customFormat="1" ht="23.25" thickBot="1">
      <c r="A213" s="130">
        <v>50</v>
      </c>
      <c r="B213" s="130" t="s">
        <v>650</v>
      </c>
      <c r="C213" s="130" t="s">
        <v>807</v>
      </c>
      <c r="D213" s="113" t="s">
        <v>667</v>
      </c>
      <c r="E213" s="130">
        <v>2016</v>
      </c>
      <c r="F213" s="130" t="s">
        <v>808</v>
      </c>
      <c r="G213" s="130" t="s">
        <v>809</v>
      </c>
    </row>
    <row r="214" spans="1:7" s="94" customFormat="1" ht="23.25" thickBot="1">
      <c r="A214" s="130">
        <v>51</v>
      </c>
      <c r="B214" s="130" t="s">
        <v>650</v>
      </c>
      <c r="C214" s="130" t="s">
        <v>810</v>
      </c>
      <c r="D214" s="113" t="s">
        <v>667</v>
      </c>
      <c r="E214" s="130">
        <v>2016</v>
      </c>
      <c r="F214" s="130" t="s">
        <v>811</v>
      </c>
      <c r="G214" s="130" t="s">
        <v>812</v>
      </c>
    </row>
    <row r="215" spans="1:7" s="94" customFormat="1" ht="13.5" thickBot="1">
      <c r="A215" s="130">
        <v>52</v>
      </c>
      <c r="B215" s="130" t="s">
        <v>650</v>
      </c>
      <c r="C215" s="130" t="s">
        <v>813</v>
      </c>
      <c r="D215" s="113" t="s">
        <v>652</v>
      </c>
      <c r="E215" s="130">
        <v>2018</v>
      </c>
      <c r="F215" s="130" t="s">
        <v>814</v>
      </c>
      <c r="G215" s="130" t="s">
        <v>815</v>
      </c>
    </row>
    <row r="216" spans="1:7" s="94" customFormat="1" ht="13.5" thickBot="1">
      <c r="A216" s="130">
        <v>53</v>
      </c>
      <c r="B216" s="130" t="s">
        <v>650</v>
      </c>
      <c r="C216" s="130" t="s">
        <v>816</v>
      </c>
      <c r="D216" s="113" t="s">
        <v>652</v>
      </c>
      <c r="E216" s="130">
        <v>2018</v>
      </c>
      <c r="F216" s="130" t="s">
        <v>817</v>
      </c>
      <c r="G216" s="130" t="s">
        <v>818</v>
      </c>
    </row>
    <row r="217" spans="1:7" s="94" customFormat="1" ht="13.5" thickBot="1">
      <c r="A217" s="130">
        <v>54</v>
      </c>
      <c r="B217" s="130" t="s">
        <v>650</v>
      </c>
      <c r="C217" s="130" t="s">
        <v>819</v>
      </c>
      <c r="D217" s="113" t="s">
        <v>652</v>
      </c>
      <c r="E217" s="130">
        <v>2018</v>
      </c>
      <c r="F217" s="130" t="s">
        <v>820</v>
      </c>
      <c r="G217" s="130" t="s">
        <v>821</v>
      </c>
    </row>
    <row r="218" spans="1:7" s="94" customFormat="1" ht="13.5" thickBot="1">
      <c r="A218" s="130">
        <v>55</v>
      </c>
      <c r="B218" s="130" t="s">
        <v>650</v>
      </c>
      <c r="C218" s="130" t="s">
        <v>822</v>
      </c>
      <c r="D218" s="113" t="s">
        <v>652</v>
      </c>
      <c r="E218" s="130">
        <v>2018</v>
      </c>
      <c r="F218" s="130" t="s">
        <v>823</v>
      </c>
      <c r="G218" s="130" t="s">
        <v>824</v>
      </c>
    </row>
    <row r="219" spans="1:7" s="94" customFormat="1" ht="13.5" thickBot="1">
      <c r="A219" s="130">
        <v>56</v>
      </c>
      <c r="B219" s="130" t="s">
        <v>650</v>
      </c>
      <c r="C219" s="130" t="s">
        <v>825</v>
      </c>
      <c r="D219" s="113" t="s">
        <v>652</v>
      </c>
      <c r="E219" s="130">
        <v>2018</v>
      </c>
      <c r="F219" s="130" t="s">
        <v>826</v>
      </c>
      <c r="G219" s="130" t="s">
        <v>827</v>
      </c>
    </row>
    <row r="220" spans="1:7" s="94" customFormat="1" ht="13.5" thickBot="1">
      <c r="A220" s="130">
        <v>57</v>
      </c>
      <c r="B220" s="130" t="s">
        <v>650</v>
      </c>
      <c r="C220" s="130" t="s">
        <v>828</v>
      </c>
      <c r="D220" s="113" t="s">
        <v>652</v>
      </c>
      <c r="E220" s="130">
        <v>2018</v>
      </c>
      <c r="F220" s="130" t="s">
        <v>829</v>
      </c>
      <c r="G220" s="130" t="s">
        <v>830</v>
      </c>
    </row>
    <row r="221" spans="1:7" s="94" customFormat="1" ht="13.5" thickBot="1">
      <c r="A221" s="130">
        <v>58</v>
      </c>
      <c r="B221" s="130" t="s">
        <v>650</v>
      </c>
      <c r="C221" s="130" t="s">
        <v>831</v>
      </c>
      <c r="D221" s="113" t="s">
        <v>652</v>
      </c>
      <c r="E221" s="130">
        <v>2018</v>
      </c>
      <c r="F221" s="130" t="s">
        <v>832</v>
      </c>
      <c r="G221" s="130" t="s">
        <v>833</v>
      </c>
    </row>
    <row r="222" spans="1:7" s="94" customFormat="1" ht="13.5" thickBot="1">
      <c r="A222" s="130">
        <v>59</v>
      </c>
      <c r="B222" s="130" t="s">
        <v>650</v>
      </c>
      <c r="C222" s="130" t="s">
        <v>834</v>
      </c>
      <c r="D222" s="113" t="s">
        <v>652</v>
      </c>
      <c r="E222" s="130">
        <v>2018</v>
      </c>
      <c r="F222" s="130" t="s">
        <v>835</v>
      </c>
      <c r="G222" s="130" t="s">
        <v>836</v>
      </c>
    </row>
    <row r="223" spans="1:7" s="94" customFormat="1" ht="13.5" thickBot="1">
      <c r="A223" s="130">
        <v>60</v>
      </c>
      <c r="B223" s="130" t="s">
        <v>650</v>
      </c>
      <c r="C223" s="130" t="s">
        <v>837</v>
      </c>
      <c r="D223" s="113" t="s">
        <v>652</v>
      </c>
      <c r="E223" s="130">
        <v>2018</v>
      </c>
      <c r="F223" s="130" t="s">
        <v>838</v>
      </c>
      <c r="G223" s="130" t="s">
        <v>839</v>
      </c>
    </row>
    <row r="224" spans="1:7" s="94" customFormat="1" ht="13.5" thickBot="1">
      <c r="A224" s="130">
        <v>61</v>
      </c>
      <c r="B224" s="130" t="s">
        <v>650</v>
      </c>
      <c r="C224" s="130" t="s">
        <v>840</v>
      </c>
      <c r="D224" s="113" t="s">
        <v>652</v>
      </c>
      <c r="E224" s="130">
        <v>2018</v>
      </c>
      <c r="F224" s="130" t="s">
        <v>841</v>
      </c>
      <c r="G224" s="130" t="s">
        <v>842</v>
      </c>
    </row>
    <row r="225" spans="1:8" s="94" customFormat="1" ht="23.25" thickBot="1">
      <c r="A225" s="130">
        <v>62</v>
      </c>
      <c r="B225" s="130" t="s">
        <v>650</v>
      </c>
      <c r="C225" s="130" t="s">
        <v>843</v>
      </c>
      <c r="D225" s="113" t="s">
        <v>660</v>
      </c>
      <c r="E225" s="130">
        <v>2018</v>
      </c>
      <c r="F225" s="130" t="s">
        <v>844</v>
      </c>
      <c r="G225" s="130" t="s">
        <v>845</v>
      </c>
    </row>
    <row r="226" spans="1:8" s="94" customFormat="1" ht="23.25" thickBot="1">
      <c r="A226" s="130">
        <v>63</v>
      </c>
      <c r="B226" s="130" t="s">
        <v>650</v>
      </c>
      <c r="C226" s="130" t="s">
        <v>846</v>
      </c>
      <c r="D226" s="113" t="s">
        <v>660</v>
      </c>
      <c r="E226" s="130">
        <v>2018</v>
      </c>
      <c r="F226" s="130" t="s">
        <v>847</v>
      </c>
      <c r="G226" s="130" t="s">
        <v>848</v>
      </c>
    </row>
    <row r="227" spans="1:8" s="94" customFormat="1" ht="23.25" thickBot="1">
      <c r="A227" s="130">
        <v>64</v>
      </c>
      <c r="B227" s="130" t="s">
        <v>650</v>
      </c>
      <c r="C227" s="130" t="s">
        <v>849</v>
      </c>
      <c r="D227" s="113" t="s">
        <v>660</v>
      </c>
      <c r="E227" s="130">
        <v>2018</v>
      </c>
      <c r="F227" s="130" t="s">
        <v>850</v>
      </c>
      <c r="G227" s="130" t="s">
        <v>851</v>
      </c>
    </row>
    <row r="228" spans="1:8" s="94" customFormat="1" ht="23.25" thickBot="1">
      <c r="A228" s="130">
        <v>65</v>
      </c>
      <c r="B228" s="130" t="s">
        <v>650</v>
      </c>
      <c r="C228" s="130" t="s">
        <v>852</v>
      </c>
      <c r="D228" s="113" t="s">
        <v>660</v>
      </c>
      <c r="E228" s="130">
        <v>2018</v>
      </c>
      <c r="F228" s="130" t="s">
        <v>853</v>
      </c>
      <c r="G228" s="130" t="s">
        <v>854</v>
      </c>
    </row>
    <row r="229" spans="1:8" s="138" customFormat="1" ht="39" thickBot="1">
      <c r="A229" s="130">
        <v>66</v>
      </c>
      <c r="B229" s="112" t="s">
        <v>650</v>
      </c>
      <c r="C229" s="112" t="s">
        <v>855</v>
      </c>
      <c r="D229" s="135" t="s">
        <v>856</v>
      </c>
      <c r="E229" s="136">
        <v>2010</v>
      </c>
      <c r="F229" s="137" t="s">
        <v>857</v>
      </c>
      <c r="G229" s="112" t="s">
        <v>858</v>
      </c>
    </row>
    <row r="230" spans="1:8" s="138" customFormat="1" ht="39" thickBot="1">
      <c r="A230" s="130">
        <v>67</v>
      </c>
      <c r="B230" s="112" t="s">
        <v>650</v>
      </c>
      <c r="C230" s="112" t="s">
        <v>859</v>
      </c>
      <c r="D230" s="135" t="s">
        <v>660</v>
      </c>
      <c r="E230" s="136">
        <v>2008</v>
      </c>
      <c r="F230" s="137" t="s">
        <v>860</v>
      </c>
      <c r="G230" s="112" t="s">
        <v>861</v>
      </c>
    </row>
    <row r="231" spans="1:8" s="138" customFormat="1" ht="26.25" thickBot="1">
      <c r="A231" s="130">
        <v>68</v>
      </c>
      <c r="B231" s="112" t="s">
        <v>650</v>
      </c>
      <c r="C231" s="112" t="s">
        <v>862</v>
      </c>
      <c r="D231" s="135" t="s">
        <v>656</v>
      </c>
      <c r="E231" s="136">
        <v>2013</v>
      </c>
      <c r="F231" s="137" t="s">
        <v>863</v>
      </c>
      <c r="G231" s="112" t="s">
        <v>864</v>
      </c>
    </row>
    <row r="232" spans="1:8" s="138" customFormat="1" ht="39" thickBot="1">
      <c r="A232" s="130">
        <v>69</v>
      </c>
      <c r="B232" s="112" t="s">
        <v>650</v>
      </c>
      <c r="C232" s="112" t="s">
        <v>865</v>
      </c>
      <c r="D232" s="135" t="s">
        <v>660</v>
      </c>
      <c r="E232" s="136">
        <v>2010</v>
      </c>
      <c r="F232" s="137" t="s">
        <v>866</v>
      </c>
      <c r="G232" s="112" t="s">
        <v>867</v>
      </c>
    </row>
    <row r="233" spans="1:8" s="138" customFormat="1" ht="39" thickBot="1">
      <c r="A233" s="130">
        <v>70</v>
      </c>
      <c r="B233" s="112" t="s">
        <v>650</v>
      </c>
      <c r="C233" s="112" t="s">
        <v>868</v>
      </c>
      <c r="D233" s="135" t="s">
        <v>660</v>
      </c>
      <c r="E233" s="136">
        <v>2010</v>
      </c>
      <c r="F233" s="137" t="s">
        <v>869</v>
      </c>
      <c r="G233" s="112" t="s">
        <v>870</v>
      </c>
    </row>
    <row r="234" spans="1:8" s="138" customFormat="1">
      <c r="A234" s="139"/>
      <c r="B234" s="207"/>
      <c r="C234" s="207"/>
      <c r="D234" s="207"/>
      <c r="E234" s="207"/>
      <c r="F234" s="207"/>
      <c r="G234" s="207"/>
    </row>
    <row r="235" spans="1:8">
      <c r="A235" s="96"/>
      <c r="B235" s="96"/>
      <c r="C235" s="96"/>
      <c r="D235" s="97"/>
      <c r="E235" s="96"/>
      <c r="F235" s="96"/>
      <c r="G235" s="96"/>
      <c r="H235" s="95"/>
    </row>
    <row r="236" spans="1:8" s="101" customFormat="1">
      <c r="A236" s="98"/>
      <c r="B236" s="98"/>
      <c r="C236" s="99"/>
      <c r="D236" s="98"/>
      <c r="E236" s="100"/>
      <c r="F236" s="99"/>
      <c r="G236" s="99"/>
    </row>
    <row r="237" spans="1:8" s="101" customFormat="1">
      <c r="A237" s="208"/>
      <c r="B237" s="208"/>
      <c r="C237" s="208"/>
      <c r="D237" s="208"/>
      <c r="E237" s="208"/>
      <c r="F237" s="208"/>
      <c r="G237" s="208"/>
    </row>
    <row r="238" spans="1:8" s="101" customFormat="1">
      <c r="A238" s="98"/>
      <c r="B238" s="98"/>
      <c r="C238" s="99"/>
      <c r="D238" s="98"/>
      <c r="E238" s="100"/>
      <c r="F238" s="99"/>
      <c r="G238" s="99"/>
    </row>
  </sheetData>
  <mergeCells count="15">
    <mergeCell ref="A60:G60"/>
    <mergeCell ref="A1:G1"/>
    <mergeCell ref="W15:X15"/>
    <mergeCell ref="Y15:Z15"/>
    <mergeCell ref="A16:G16"/>
    <mergeCell ref="A30:G30"/>
    <mergeCell ref="A205:G205"/>
    <mergeCell ref="B234:G234"/>
    <mergeCell ref="A237:G237"/>
    <mergeCell ref="A90:G90"/>
    <mergeCell ref="A120:G120"/>
    <mergeCell ref="A137:G137"/>
    <mergeCell ref="A149:G149"/>
    <mergeCell ref="A158:G158"/>
    <mergeCell ref="A181:G181"/>
  </mergeCells>
  <pageMargins left="0.7" right="0.7" top="0.75" bottom="0.75" header="0.3" footer="0.3"/>
  <pageSetup scale="85" orientation="portrait" verticalDpi="0" r:id="rId1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Necesidades Trimestrales</vt:lpstr>
      <vt:lpstr> NotaPedido</vt:lpstr>
      <vt:lpstr>Autor Gastar</vt:lpstr>
      <vt:lpstr>Planilla Tecnica</vt:lpstr>
      <vt:lpstr>' NotaPedido'!Área_de_impresión</vt:lpstr>
      <vt:lpstr>'Autor Gastar'!Área_de_impresión</vt:lpstr>
      <vt:lpstr>'Planilla Tecnica'!Área_de_impresión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Policia</cp:lastModifiedBy>
  <cp:revision>2</cp:revision>
  <cp:lastPrinted>2020-07-17T22:18:48Z</cp:lastPrinted>
  <dcterms:created xsi:type="dcterms:W3CDTF">2020-07-17T23:44:49Z</dcterms:created>
  <dcterms:modified xsi:type="dcterms:W3CDTF">2020-10-08T13:04:57Z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