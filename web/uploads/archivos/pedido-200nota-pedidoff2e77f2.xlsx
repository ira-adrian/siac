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COMBUSTIBLE 2022 2 TRI\COMBUSTIBLE MAEMA\COMB. MAEMA CORREGIDO\MAEMA CORREGIDO 2\"/>
    </mc:Choice>
  </mc:AlternateContent>
  <xr:revisionPtr revIDLastSave="0" documentId="13_ncr:1_{C4070C30-986E-4DDB-984E-A8C710D72CF3}" xr6:coauthVersionLast="47" xr6:coauthVersionMax="47" xr10:uidLastSave="{00000000-0000-0000-0000-000000000000}"/>
  <bookViews>
    <workbookView xWindow="-120" yWindow="-120" windowWidth="29040" windowHeight="15840" xr2:uid="{31FE8128-9592-4812-A2AF-A6B03A8AC7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</calcChain>
</file>

<file path=xl/sharedStrings.xml><?xml version="1.0" encoding="utf-8"?>
<sst xmlns="http://schemas.openxmlformats.org/spreadsheetml/2006/main" count="119" uniqueCount="63">
  <si>
    <t>Pedido de Necesidades Trimestrales</t>
  </si>
  <si>
    <t>JURISDICCION:</t>
  </si>
  <si>
    <t>65- MINISTERIO DE AGUA, ENERGÍA Y MEDIO AMBIENTE</t>
  </si>
  <si>
    <t xml:space="preserve">SAF N°: </t>
  </si>
  <si>
    <t>31- SECRETARÍA DE ADMINISTRACIÓN</t>
  </si>
  <si>
    <t>EJERCICIO:</t>
  </si>
  <si>
    <t>TRIMESTRE:</t>
  </si>
  <si>
    <t>2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</si>
  <si>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</si>
  <si>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</si>
  <si>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</si>
  <si>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</si>
  <si>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</si>
  <si>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</si>
  <si>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</si>
  <si>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</si>
  <si>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</si>
  <si>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2.5.6-793.31</t>
  </si>
  <si>
    <t>COMBUSTIBLES Y LUBRICANTES</t>
  </si>
  <si>
    <t>2.5.6</t>
  </si>
  <si>
    <t>GAS OIL; PRESENTACION: POR LITRO, USO: MOTORES DIESEL, COMERCIALIZACION: GRADO 3, DESTINO: DPTO. S.F.V. DE CATAMARCA</t>
  </si>
  <si>
    <t>LITROS</t>
  </si>
  <si>
    <t>2.5.6-793.38</t>
  </si>
  <si>
    <t>GAS OIL; PRESENTACION: POR LITRO, USO: MOTORES DIESEL, COMERCIALIZACION: GRADO 3, DESTINO: DPTO. STA. MARIA</t>
  </si>
  <si>
    <t>2.5.6-793.34</t>
  </si>
  <si>
    <t>GAS OIL; PRESENTACION: POR LITRO, USO: MOTORES DIESEL, COMERCIALIZACION: GRADO 3, DESTINO: DPTO. STA. ROSA</t>
  </si>
  <si>
    <t>2.5.6-793.35</t>
  </si>
  <si>
    <t>GAS OIL; PRESENTACION: POR LITRO, USO: MOTORES DIESEL, COMERCIALIZACION: GRADO 3, DESTINO: DPTO. LA PAZ</t>
  </si>
  <si>
    <t>2.5.6-793.39</t>
  </si>
  <si>
    <t>GAS OIL; PRESENTACION: POR LITRO, USO: MOTORES DIESEL, COMERCIALIZACION: GRADO 3, DESTINO: DPTO. EL ALTO</t>
  </si>
  <si>
    <t>2.5.6-793.32</t>
  </si>
  <si>
    <t>GAS OIL; PRESENTACION: POR LITRO, USO: MOTORES DIESEL, COMERCIALIZACION: GRADO 3, DESTINO: DPTO. PACLIN</t>
  </si>
  <si>
    <t>2.5.6-793.36</t>
  </si>
  <si>
    <t>GAS OIL; PRESENTACION: POR LITRO, USO: MOTORES DIESEL, COMERCIALIZACION: GRADO 3, DESTINO: DPTO. TINOGASTA</t>
  </si>
  <si>
    <t>2.5.6-793.37</t>
  </si>
  <si>
    <t>GAS OIL; PRESENTACION: POR LITRO, USO: MOTORES DIESEL, COMERCIALIZACION: GRADO 3, DESTINO: DPTO. BELEN</t>
  </si>
  <si>
    <t>2.5.6-793.45</t>
  </si>
  <si>
    <t>GAS OIL; PRESENTACION: POR LITRO, USO: MOTORES DIESEL, COMERCIALIZACION: GRADO 3, DESTINO: DPTO. ANDALGALA</t>
  </si>
  <si>
    <t>2.5.6-793.40</t>
  </si>
  <si>
    <t>GAS OIL; PRESENTACION: POR LITRO, USO: MOTORES DIESEL, COMERCIALIZACION: GRADO 3, DESTINO: DPTO. ANT. DE LA SIERRA</t>
  </si>
  <si>
    <t>2.5.6-793.46</t>
  </si>
  <si>
    <t>GAS OIL; PRESENTACION: POR LITRO, USO: MOTORES DIESEL, COMERCIALIZACION: GRADO 2, DESTINO: DPTO. S.F.V. DE CATAMARCA</t>
  </si>
  <si>
    <t>2.5.6-797.39</t>
  </si>
  <si>
    <t>NAFTA SUPER; TIPO: SUPER, OCTANO: 95, PRESENTACION: POR LITRO, DESTINO: DPTO. S.F.V. DE CATAMARCA</t>
  </si>
  <si>
    <t>2.5.6-7104.19</t>
  </si>
  <si>
    <t>ACEITES LUBRICANTES; DENOMINACION: SAE 15 W 40, USO: AUTOMOTOR, PRESENTACION: TAMBOR X 205 L, NORMA: SAE 15 W 40</t>
  </si>
  <si>
    <t>UNIDAD</t>
  </si>
  <si>
    <t>2.5.6-1622.53</t>
  </si>
  <si>
    <t>ACEITES HIDRAULICOS; VISCOSIDAD A 40 °C: 68,5 cst, VISCOSIDAD A 100º C: 8,73 cst, INDICE DE VISCOSIDAD: 95, PUNTO DE INFLAMACION: 206 °C, PUNTO DE ESCURRIMIENTO: 9 °C, HERRUMBRE: PASA, PRESENTACION: ENVASE X 205</t>
  </si>
  <si>
    <t>TOTAL:  SESENTA Y SIETE MILLONES TRESCIENTOS OCHENTA Y UN MIL CUATROCIENTOS SETENTA Y DOS CON 50/100</t>
  </si>
  <si>
    <t>Especificaciones Técnicas (Todos los ítems)</t>
  </si>
  <si>
    <t>Descripción técnica</t>
  </si>
  <si>
    <t>Plazos y lugares de entrega</t>
  </si>
  <si>
    <r>
      <rPr>
        <b/>
        <u/>
        <sz val="11"/>
        <rFont val="Times New Roman"/>
        <family val="1"/>
      </rPr>
      <t>Forma, lugar y plazo de entrega de vales, bocas de expendio por ubicación geográfica y especificaciones generales:</t>
    </r>
    <r>
      <rPr>
        <sz val="11"/>
        <rFont val="Times New Roman"/>
        <family val="1"/>
      </rPr>
      <t xml:space="preserve"> Según anexo de especificaciones técnicas adjuntas en nota  NO-2022-00558621-CAT-MAEMA</t>
    </r>
  </si>
  <si>
    <t>Calidad Minima esperada</t>
  </si>
  <si>
    <r>
      <t xml:space="preserve">Según anexo de especificaciones técnicas adjuntas en nota  </t>
    </r>
    <r>
      <rPr>
        <b/>
        <sz val="11"/>
        <rFont val="Times New Roman"/>
        <family val="1"/>
      </rPr>
      <t>NO-2022-00558621-CAT-MAEMA</t>
    </r>
  </si>
  <si>
    <t>Mantenimiento</t>
  </si>
  <si>
    <t>Plazo de mantenimiento de oferta de cuarenta y cinco (45) días hábiles.</t>
  </si>
  <si>
    <t>Garantia</t>
  </si>
  <si>
    <t>2.5.6-793.42</t>
  </si>
  <si>
    <t>GAS OIL; PRESENTACION: POR LITRO, USO: MOTORES DIESEL, COMERCIALIZACION: GRADO 3, DESTINO: DPTO. AMBATO</t>
  </si>
  <si>
    <t>2.5.6-793.44</t>
  </si>
  <si>
    <t>GAS OIL; PRESENTACION: POR LITRO, USO: MOTORES DIESEL, COMERCIALIZACION: GRADO 3, DESTINO: DPTO. CAPAYAN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</si>
</sst>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6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9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b/>
      <u/>
      <sz val="1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3" borderId="0" xfId="0" applyFont="1" applyFill="1" applyAlignment="1">
      <alignment horizontal="left" wrapText="1"/>
    </xf>
    <xf numFmtId="0" fontId="2" fillId="3" borderId="0" xfId="0" applyFont="1" applyFill="1"/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49" fontId="5" fillId="2" borderId="0" xfId="0" applyNumberFormat="1" applyFont="1" applyFill="1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3" fontId="10" fillId="3" borderId="8" xfId="0" applyNumberFormat="1" applyFont="1" applyFill="1" applyBorder="1" applyAlignment="1">
      <alignment horizontal="center" vertical="center" shrinkToFit="1"/>
    </xf>
    <xf numFmtId="164" fontId="8" fillId="0" borderId="4" xfId="0" applyNumberFormat="1" applyFont="1" applyBorder="1" applyAlignment="1">
      <alignment horizontal="center" vertical="center" wrapText="1"/>
    </xf>
    <xf numFmtId="166" fontId="8" fillId="0" borderId="4" xfId="1" applyNumberFormat="1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3" fontId="11" fillId="3" borderId="8" xfId="0" applyNumberFormat="1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3" fontId="11" fillId="3" borderId="0" xfId="0" applyNumberFormat="1" applyFont="1" applyFill="1" applyAlignment="1">
      <alignment horizontal="center" vertical="center" shrinkToFit="1"/>
    </xf>
    <xf numFmtId="0" fontId="12" fillId="4" borderId="11" xfId="0" applyFont="1" applyFill="1" applyBorder="1" applyAlignment="1">
      <alignment horizontal="right" vertical="center" wrapText="1"/>
    </xf>
    <xf numFmtId="0" fontId="12" fillId="4" borderId="12" xfId="0" applyFont="1" applyFill="1" applyBorder="1" applyAlignment="1">
      <alignment horizontal="right" vertical="center" wrapText="1"/>
    </xf>
    <xf numFmtId="0" fontId="12" fillId="4" borderId="13" xfId="0" applyFont="1" applyFill="1" applyBorder="1" applyAlignment="1">
      <alignment horizontal="right" vertical="center" wrapText="1"/>
    </xf>
    <xf numFmtId="166" fontId="12" fillId="4" borderId="6" xfId="1" applyNumberFormat="1" applyFont="1" applyFill="1" applyBorder="1" applyAlignment="1">
      <alignment vertical="center"/>
    </xf>
    <xf numFmtId="0" fontId="8" fillId="0" borderId="0" xfId="0" applyFont="1"/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3" fontId="2" fillId="0" borderId="0" xfId="0" applyNumberFormat="1" applyFont="1"/>
    <xf numFmtId="0" fontId="13" fillId="0" borderId="17" xfId="0" applyFont="1" applyBorder="1" applyAlignment="1">
      <alignment horizontal="left" indent="3"/>
    </xf>
    <xf numFmtId="0" fontId="8" fillId="0" borderId="18" xfId="0" applyFont="1" applyBorder="1"/>
    <xf numFmtId="0" fontId="8" fillId="2" borderId="0" xfId="0" applyFont="1" applyFill="1" applyAlignment="1">
      <alignment horizontal="left" vertical="top" wrapText="1"/>
    </xf>
    <xf numFmtId="0" fontId="8" fillId="2" borderId="18" xfId="0" applyFont="1" applyFill="1" applyBorder="1" applyAlignment="1">
      <alignment horizontal="left" vertical="top" wrapText="1"/>
    </xf>
    <xf numFmtId="0" fontId="8" fillId="0" borderId="0" xfId="0" applyFont="1" applyAlignment="1">
      <alignment vertical="center"/>
    </xf>
    <xf numFmtId="0" fontId="8" fillId="0" borderId="17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left" indent="3"/>
    </xf>
    <xf numFmtId="0" fontId="8" fillId="2" borderId="0" xfId="0" applyFont="1" applyFill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3" borderId="0" xfId="0" applyFont="1" applyFill="1"/>
    <xf numFmtId="0" fontId="8" fillId="3" borderId="18" xfId="0" applyFont="1" applyFill="1" applyBorder="1"/>
    <xf numFmtId="0" fontId="8" fillId="2" borderId="0" xfId="0" applyFont="1" applyFill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3" borderId="18" xfId="0" applyFont="1" applyFill="1" applyBorder="1" applyAlignment="1">
      <alignment horizontal="center" wrapText="1"/>
    </xf>
    <xf numFmtId="0" fontId="8" fillId="2" borderId="0" xfId="0" applyFont="1" applyFill="1" applyAlignment="1">
      <alignment horizontal="left" wrapText="1"/>
    </xf>
    <xf numFmtId="0" fontId="8" fillId="2" borderId="18" xfId="0" applyFont="1" applyFill="1" applyBorder="1" applyAlignment="1">
      <alignment horizontal="left" wrapText="1"/>
    </xf>
    <xf numFmtId="0" fontId="8" fillId="0" borderId="19" xfId="0" applyFont="1" applyBorder="1" applyAlignment="1">
      <alignment horizontal="left" indent="3"/>
    </xf>
    <xf numFmtId="0" fontId="8" fillId="0" borderId="20" xfId="0" applyFont="1" applyBorder="1"/>
    <xf numFmtId="0" fontId="8" fillId="0" borderId="21" xfId="0" applyFont="1" applyBorder="1"/>
    <xf numFmtId="0" fontId="8" fillId="0" borderId="0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3225-BB91-41D3-B33E-C292C8D44FA1}">
  <dimension ref="A1:J40"/>
  <sheetViews>
    <sheetView tabSelected="1" workbookViewId="0">
      <selection activeCell="F17" sqref="F17"/>
    </sheetView>
  </sheetViews>
  <sheetFormatPr baseColWidth="10" defaultRowHeight="15" x14ac:dyDescent="0.25"/>
  <cols>
    <col min="1" max="1" width="4.5703125" customWidth="1"/>
    <col min="2" max="2" width="12.5703125" customWidth="1"/>
    <col min="3" max="3" width="34.140625" customWidth="1"/>
    <col min="4" max="4" width="0" hidden="1" customWidth="1"/>
    <col min="6" max="6" width="79" customWidth="1"/>
    <col min="7" max="7" width="11.7109375" customWidth="1"/>
    <col min="8" max="8" width="12.7109375" customWidth="1"/>
    <col min="9" max="9" width="13.85546875" customWidth="1"/>
    <col min="10" max="10" width="19.140625" customWidth="1"/>
  </cols>
  <sheetData>
    <row r="1" spans="1:10" ht="27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x14ac:dyDescent="0.25">
      <c r="A3" s="3" t="s">
        <v>1</v>
      </c>
      <c r="B3" s="3"/>
      <c r="C3" s="4" t="s">
        <v>2</v>
      </c>
      <c r="D3" s="4"/>
      <c r="E3" s="4"/>
      <c r="F3" s="4"/>
      <c r="G3" s="5"/>
      <c r="H3" s="6"/>
      <c r="I3" s="7"/>
      <c r="J3" s="8"/>
    </row>
    <row r="4" spans="1:10" ht="15.75" x14ac:dyDescent="0.25">
      <c r="A4" s="3" t="s">
        <v>3</v>
      </c>
      <c r="B4" s="3"/>
      <c r="C4" s="4" t="s">
        <v>4</v>
      </c>
      <c r="D4" s="4"/>
      <c r="E4" s="4"/>
      <c r="F4" s="4"/>
      <c r="G4" s="5"/>
      <c r="H4" s="6"/>
      <c r="I4" s="7"/>
      <c r="J4" s="8"/>
    </row>
    <row r="5" spans="1:10" ht="15.75" x14ac:dyDescent="0.25">
      <c r="A5" s="3" t="s">
        <v>5</v>
      </c>
      <c r="B5" s="3"/>
      <c r="C5" s="9">
        <v>2022</v>
      </c>
      <c r="D5" s="10"/>
      <c r="E5" s="10"/>
      <c r="F5" s="10"/>
      <c r="G5" s="5"/>
      <c r="H5" s="6"/>
      <c r="I5" s="7"/>
      <c r="J5" s="8"/>
    </row>
    <row r="6" spans="1:10" ht="15.75" x14ac:dyDescent="0.25">
      <c r="A6" s="3" t="s">
        <v>6</v>
      </c>
      <c r="B6" s="3"/>
      <c r="C6" s="11" t="s">
        <v>7</v>
      </c>
      <c r="D6" s="10"/>
      <c r="E6" s="10"/>
      <c r="F6" s="10"/>
      <c r="G6" s="5"/>
      <c r="H6" s="6"/>
      <c r="I6" s="7"/>
      <c r="J6" s="8"/>
    </row>
    <row r="7" spans="1:10" ht="15.75" thickBot="1" x14ac:dyDescent="0.3">
      <c r="A7" s="1"/>
      <c r="B7" s="5"/>
      <c r="C7" s="6"/>
      <c r="D7" s="5"/>
      <c r="E7" s="5"/>
      <c r="F7" s="5"/>
      <c r="G7" s="5"/>
      <c r="H7" s="6"/>
      <c r="I7" s="5"/>
      <c r="J7" s="1"/>
    </row>
    <row r="8" spans="1:10" ht="39" thickBot="1" x14ac:dyDescent="0.3">
      <c r="A8" s="12" t="s">
        <v>8</v>
      </c>
      <c r="B8" s="13" t="s">
        <v>9</v>
      </c>
      <c r="C8" s="13" t="s">
        <v>10</v>
      </c>
      <c r="D8" s="13" t="s">
        <v>11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  <c r="J8" s="14" t="s">
        <v>16</v>
      </c>
    </row>
    <row r="9" spans="1:10" ht="24" x14ac:dyDescent="0.25">
      <c r="A9" s="15">
        <v>1</v>
      </c>
      <c r="B9" s="16" t="s">
        <v>17</v>
      </c>
      <c r="C9" s="17" t="s">
        <v>18</v>
      </c>
      <c r="D9" s="15" t="s">
        <v>19</v>
      </c>
      <c r="E9" s="63" t="s">
        <v>19</v>
      </c>
      <c r="F9" s="18" t="s">
        <v>20</v>
      </c>
      <c r="G9" s="15" t="s">
        <v>21</v>
      </c>
      <c r="H9" s="19">
        <v>317503</v>
      </c>
      <c r="I9" s="20">
        <v>137.5</v>
      </c>
      <c r="J9" s="21">
        <v>43656662.5</v>
      </c>
    </row>
    <row r="10" spans="1:10" ht="24" x14ac:dyDescent="0.25">
      <c r="A10" s="15">
        <v>2</v>
      </c>
      <c r="B10" s="16" t="s">
        <v>59</v>
      </c>
      <c r="C10" s="17" t="s">
        <v>18</v>
      </c>
      <c r="D10" s="15"/>
      <c r="E10" s="63" t="s">
        <v>19</v>
      </c>
      <c r="F10" s="18" t="s">
        <v>60</v>
      </c>
      <c r="G10" s="15" t="s">
        <v>21</v>
      </c>
      <c r="H10" s="19">
        <v>5000</v>
      </c>
      <c r="I10" s="20">
        <v>137.5</v>
      </c>
      <c r="J10" s="21">
        <v>687500</v>
      </c>
    </row>
    <row r="11" spans="1:10" ht="24" x14ac:dyDescent="0.25">
      <c r="A11" s="15">
        <v>3</v>
      </c>
      <c r="B11" s="16" t="s">
        <v>61</v>
      </c>
      <c r="C11" s="17" t="s">
        <v>18</v>
      </c>
      <c r="D11" s="15"/>
      <c r="E11" s="63" t="s">
        <v>19</v>
      </c>
      <c r="F11" s="18" t="s">
        <v>62</v>
      </c>
      <c r="G11" s="15" t="s">
        <v>21</v>
      </c>
      <c r="H11" s="19">
        <v>5000</v>
      </c>
      <c r="I11" s="20">
        <v>137.5</v>
      </c>
      <c r="J11" s="21">
        <v>687500</v>
      </c>
    </row>
    <row r="12" spans="1:10" ht="24" x14ac:dyDescent="0.25">
      <c r="A12" s="15">
        <v>4</v>
      </c>
      <c r="B12" s="16" t="s">
        <v>22</v>
      </c>
      <c r="C12" s="17" t="s">
        <v>18</v>
      </c>
      <c r="D12" s="15" t="s">
        <v>19</v>
      </c>
      <c r="E12" s="63" t="s">
        <v>19</v>
      </c>
      <c r="F12" s="18" t="s">
        <v>23</v>
      </c>
      <c r="G12" s="15" t="s">
        <v>21</v>
      </c>
      <c r="H12" s="19">
        <v>21000</v>
      </c>
      <c r="I12" s="20">
        <v>137.5</v>
      </c>
      <c r="J12" s="21">
        <v>2887500</v>
      </c>
    </row>
    <row r="13" spans="1:10" ht="24" x14ac:dyDescent="0.25">
      <c r="A13" s="15">
        <v>5</v>
      </c>
      <c r="B13" s="16" t="s">
        <v>24</v>
      </c>
      <c r="C13" s="17" t="s">
        <v>18</v>
      </c>
      <c r="D13" s="15" t="s">
        <v>19</v>
      </c>
      <c r="E13" s="63" t="s">
        <v>19</v>
      </c>
      <c r="F13" s="22" t="s">
        <v>25</v>
      </c>
      <c r="G13" s="15" t="s">
        <v>21</v>
      </c>
      <c r="H13" s="19">
        <v>4000</v>
      </c>
      <c r="I13" s="20">
        <v>137.5</v>
      </c>
      <c r="J13" s="21">
        <v>550000</v>
      </c>
    </row>
    <row r="14" spans="1:10" ht="24" x14ac:dyDescent="0.25">
      <c r="A14" s="15">
        <v>6</v>
      </c>
      <c r="B14" s="16" t="s">
        <v>26</v>
      </c>
      <c r="C14" s="17" t="s">
        <v>18</v>
      </c>
      <c r="D14" s="15" t="s">
        <v>19</v>
      </c>
      <c r="E14" s="63" t="s">
        <v>19</v>
      </c>
      <c r="F14" s="22" t="s">
        <v>27</v>
      </c>
      <c r="G14" s="15" t="s">
        <v>21</v>
      </c>
      <c r="H14" s="19">
        <v>3000</v>
      </c>
      <c r="I14" s="20">
        <v>137.5</v>
      </c>
      <c r="J14" s="21">
        <v>412500</v>
      </c>
    </row>
    <row r="15" spans="1:10" ht="24" x14ac:dyDescent="0.25">
      <c r="A15" s="15">
        <v>7</v>
      </c>
      <c r="B15" s="16" t="s">
        <v>28</v>
      </c>
      <c r="C15" s="17" t="s">
        <v>18</v>
      </c>
      <c r="D15" s="15" t="s">
        <v>19</v>
      </c>
      <c r="E15" s="63" t="s">
        <v>19</v>
      </c>
      <c r="F15" s="22" t="s">
        <v>29</v>
      </c>
      <c r="G15" s="15" t="s">
        <v>21</v>
      </c>
      <c r="H15" s="19">
        <v>3000</v>
      </c>
      <c r="I15" s="20">
        <v>137.5</v>
      </c>
      <c r="J15" s="21">
        <v>412500</v>
      </c>
    </row>
    <row r="16" spans="1:10" ht="24" x14ac:dyDescent="0.25">
      <c r="A16" s="15">
        <v>8</v>
      </c>
      <c r="B16" s="16" t="s">
        <v>30</v>
      </c>
      <c r="C16" s="17" t="s">
        <v>18</v>
      </c>
      <c r="D16" s="15" t="s">
        <v>19</v>
      </c>
      <c r="E16" s="63" t="s">
        <v>19</v>
      </c>
      <c r="F16" s="22" t="s">
        <v>31</v>
      </c>
      <c r="G16" s="15" t="s">
        <v>21</v>
      </c>
      <c r="H16" s="19">
        <v>3000</v>
      </c>
      <c r="I16" s="20">
        <v>137.5</v>
      </c>
      <c r="J16" s="21">
        <v>412500</v>
      </c>
    </row>
    <row r="17" spans="1:10" ht="24" x14ac:dyDescent="0.25">
      <c r="A17" s="15">
        <v>9</v>
      </c>
      <c r="B17" s="16" t="s">
        <v>32</v>
      </c>
      <c r="C17" s="17" t="s">
        <v>18</v>
      </c>
      <c r="D17" s="15" t="s">
        <v>19</v>
      </c>
      <c r="E17" s="63" t="s">
        <v>19</v>
      </c>
      <c r="F17" s="22" t="s">
        <v>33</v>
      </c>
      <c r="G17" s="15" t="s">
        <v>21</v>
      </c>
      <c r="H17" s="19">
        <v>10000</v>
      </c>
      <c r="I17" s="20">
        <v>137.5</v>
      </c>
      <c r="J17" s="21">
        <v>1375000</v>
      </c>
    </row>
    <row r="18" spans="1:10" ht="24" x14ac:dyDescent="0.25">
      <c r="A18" s="15">
        <v>10</v>
      </c>
      <c r="B18" s="16" t="s">
        <v>34</v>
      </c>
      <c r="C18" s="17" t="s">
        <v>18</v>
      </c>
      <c r="D18" s="15" t="s">
        <v>19</v>
      </c>
      <c r="E18" s="63" t="s">
        <v>19</v>
      </c>
      <c r="F18" s="22" t="s">
        <v>35</v>
      </c>
      <c r="G18" s="15" t="s">
        <v>21</v>
      </c>
      <c r="H18" s="19">
        <v>4000</v>
      </c>
      <c r="I18" s="20">
        <v>137.5</v>
      </c>
      <c r="J18" s="21">
        <v>550000</v>
      </c>
    </row>
    <row r="19" spans="1:10" ht="24" x14ac:dyDescent="0.25">
      <c r="A19" s="15">
        <v>11</v>
      </c>
      <c r="B19" s="16" t="s">
        <v>36</v>
      </c>
      <c r="C19" s="17" t="s">
        <v>18</v>
      </c>
      <c r="D19" s="15"/>
      <c r="E19" s="63" t="s">
        <v>19</v>
      </c>
      <c r="F19" s="22" t="s">
        <v>37</v>
      </c>
      <c r="G19" s="15" t="s">
        <v>21</v>
      </c>
      <c r="H19" s="19">
        <v>4000</v>
      </c>
      <c r="I19" s="20">
        <v>137.5</v>
      </c>
      <c r="J19" s="21">
        <v>550000</v>
      </c>
    </row>
    <row r="20" spans="1:10" ht="24" x14ac:dyDescent="0.25">
      <c r="A20" s="15">
        <v>12</v>
      </c>
      <c r="B20" s="16" t="s">
        <v>38</v>
      </c>
      <c r="C20" s="17" t="s">
        <v>18</v>
      </c>
      <c r="D20" s="15"/>
      <c r="E20" s="63" t="s">
        <v>19</v>
      </c>
      <c r="F20" s="22" t="s">
        <v>39</v>
      </c>
      <c r="G20" s="15" t="s">
        <v>21</v>
      </c>
      <c r="H20" s="19">
        <v>4000</v>
      </c>
      <c r="I20" s="20">
        <v>137.5</v>
      </c>
      <c r="J20" s="21">
        <v>550000</v>
      </c>
    </row>
    <row r="21" spans="1:10" ht="24" x14ac:dyDescent="0.25">
      <c r="A21" s="15">
        <v>13</v>
      </c>
      <c r="B21" s="23" t="s">
        <v>40</v>
      </c>
      <c r="C21" s="17" t="s">
        <v>18</v>
      </c>
      <c r="D21" s="15"/>
      <c r="E21" s="63" t="s">
        <v>19</v>
      </c>
      <c r="F21" s="24" t="s">
        <v>41</v>
      </c>
      <c r="G21" s="15" t="s">
        <v>21</v>
      </c>
      <c r="H21" s="25">
        <v>57300</v>
      </c>
      <c r="I21" s="20">
        <v>109.7</v>
      </c>
      <c r="J21" s="21">
        <v>6285810</v>
      </c>
    </row>
    <row r="22" spans="1:10" ht="24" x14ac:dyDescent="0.25">
      <c r="A22" s="15">
        <v>14</v>
      </c>
      <c r="B22" s="23" t="s">
        <v>42</v>
      </c>
      <c r="C22" s="17" t="s">
        <v>18</v>
      </c>
      <c r="D22" s="15" t="s">
        <v>19</v>
      </c>
      <c r="E22" s="63" t="s">
        <v>19</v>
      </c>
      <c r="F22" s="24" t="s">
        <v>43</v>
      </c>
      <c r="G22" s="15" t="s">
        <v>21</v>
      </c>
      <c r="H22" s="25">
        <v>40000</v>
      </c>
      <c r="I22" s="20">
        <v>116.2</v>
      </c>
      <c r="J22" s="21">
        <v>4648000</v>
      </c>
    </row>
    <row r="23" spans="1:10" ht="24" x14ac:dyDescent="0.25">
      <c r="A23" s="15">
        <v>15</v>
      </c>
      <c r="B23" s="23" t="s">
        <v>44</v>
      </c>
      <c r="C23" s="17" t="s">
        <v>18</v>
      </c>
      <c r="D23" s="15" t="s">
        <v>19</v>
      </c>
      <c r="E23" s="63" t="s">
        <v>19</v>
      </c>
      <c r="F23" s="24" t="s">
        <v>45</v>
      </c>
      <c r="G23" s="15" t="s">
        <v>46</v>
      </c>
      <c r="H23" s="25">
        <v>18</v>
      </c>
      <c r="I23" s="20">
        <v>112000</v>
      </c>
      <c r="J23" s="21">
        <v>2016000</v>
      </c>
    </row>
    <row r="24" spans="1:10" ht="36" x14ac:dyDescent="0.25">
      <c r="A24" s="15">
        <v>16</v>
      </c>
      <c r="B24" s="26" t="s">
        <v>47</v>
      </c>
      <c r="C24" s="17" t="s">
        <v>18</v>
      </c>
      <c r="D24" s="15" t="s">
        <v>19</v>
      </c>
      <c r="E24" s="63" t="s">
        <v>19</v>
      </c>
      <c r="F24" s="27" t="s">
        <v>48</v>
      </c>
      <c r="G24" s="15" t="s">
        <v>46</v>
      </c>
      <c r="H24" s="28">
        <v>20</v>
      </c>
      <c r="I24" s="20">
        <v>85000</v>
      </c>
      <c r="J24" s="21">
        <v>1700000</v>
      </c>
    </row>
    <row r="25" spans="1:10" x14ac:dyDescent="0.25">
      <c r="A25" s="29" t="s">
        <v>49</v>
      </c>
      <c r="B25" s="30"/>
      <c r="C25" s="30"/>
      <c r="D25" s="30"/>
      <c r="E25" s="30"/>
      <c r="F25" s="30"/>
      <c r="G25" s="30"/>
      <c r="H25" s="30"/>
      <c r="I25" s="31"/>
      <c r="J25" s="32">
        <f>SUM(J9:J24)</f>
        <v>67381472.5</v>
      </c>
    </row>
    <row r="26" spans="1:10" ht="15.75" thickBot="1" x14ac:dyDescent="0.3">
      <c r="A26" s="33"/>
      <c r="B26" s="33"/>
      <c r="C26" s="33"/>
      <c r="D26" s="33"/>
      <c r="E26" s="33"/>
      <c r="F26" s="33"/>
      <c r="G26" s="1"/>
      <c r="H26" s="1"/>
      <c r="I26" s="1"/>
      <c r="J26" s="1"/>
    </row>
    <row r="27" spans="1:10" ht="15.75" thickBot="1" x14ac:dyDescent="0.3">
      <c r="A27" s="33"/>
      <c r="B27" s="34" t="s">
        <v>50</v>
      </c>
      <c r="C27" s="35"/>
      <c r="D27" s="35"/>
      <c r="E27" s="35"/>
      <c r="F27" s="36"/>
      <c r="G27" s="1"/>
      <c r="H27" s="37"/>
      <c r="I27" s="37"/>
      <c r="J27" s="1"/>
    </row>
    <row r="28" spans="1:10" x14ac:dyDescent="0.25">
      <c r="A28" s="33"/>
      <c r="B28" s="38" t="s">
        <v>51</v>
      </c>
      <c r="C28" s="33"/>
      <c r="D28" s="33"/>
      <c r="E28" s="33"/>
      <c r="F28" s="39"/>
      <c r="G28" s="1"/>
      <c r="H28" s="37"/>
      <c r="I28" s="1"/>
      <c r="J28" s="1"/>
    </row>
    <row r="29" spans="1:10" x14ac:dyDescent="0.25">
      <c r="A29" s="33"/>
      <c r="B29" s="38"/>
      <c r="C29" s="40"/>
      <c r="D29" s="40"/>
      <c r="E29" s="40"/>
      <c r="F29" s="41"/>
      <c r="G29" s="1"/>
      <c r="H29" s="1"/>
      <c r="I29" s="1"/>
      <c r="J29" s="1"/>
    </row>
    <row r="30" spans="1:10" x14ac:dyDescent="0.25">
      <c r="A30" s="33"/>
      <c r="B30" s="38" t="s">
        <v>52</v>
      </c>
      <c r="C30" s="33"/>
      <c r="D30" s="33"/>
      <c r="E30" s="33"/>
      <c r="F30" s="39"/>
      <c r="G30" s="1"/>
      <c r="H30" s="1"/>
      <c r="I30" s="1"/>
      <c r="J30" s="1"/>
    </row>
    <row r="31" spans="1:10" x14ac:dyDescent="0.25">
      <c r="A31" s="42"/>
      <c r="B31" s="43"/>
      <c r="C31" s="44" t="s">
        <v>53</v>
      </c>
      <c r="D31" s="44"/>
      <c r="E31" s="44"/>
      <c r="F31" s="45"/>
      <c r="G31" s="46"/>
      <c r="H31" s="46"/>
      <c r="I31" s="46"/>
      <c r="J31" s="46"/>
    </row>
    <row r="32" spans="1:10" x14ac:dyDescent="0.25">
      <c r="A32" s="42"/>
      <c r="B32" s="43"/>
      <c r="C32" s="44"/>
      <c r="D32" s="47"/>
      <c r="E32" s="47"/>
      <c r="F32" s="48"/>
      <c r="G32" s="46"/>
      <c r="H32" s="46"/>
      <c r="I32" s="46"/>
      <c r="J32" s="46"/>
    </row>
    <row r="33" spans="1:10" x14ac:dyDescent="0.25">
      <c r="A33" s="33"/>
      <c r="B33" s="49"/>
      <c r="C33" s="50"/>
      <c r="D33" s="50"/>
      <c r="E33" s="50"/>
      <c r="F33" s="51"/>
      <c r="G33" s="1"/>
      <c r="H33" s="1"/>
      <c r="I33" s="46"/>
      <c r="J33" s="46"/>
    </row>
    <row r="34" spans="1:10" x14ac:dyDescent="0.25">
      <c r="A34" s="33"/>
      <c r="B34" s="38" t="s">
        <v>54</v>
      </c>
      <c r="C34" s="52"/>
      <c r="D34" s="52"/>
      <c r="E34" s="52"/>
      <c r="F34" s="53"/>
      <c r="G34" s="1"/>
      <c r="H34" s="1"/>
      <c r="I34" s="46"/>
      <c r="J34" s="46"/>
    </row>
    <row r="35" spans="1:10" x14ac:dyDescent="0.25">
      <c r="A35" s="33"/>
      <c r="B35" s="49"/>
      <c r="C35" s="54" t="s">
        <v>55</v>
      </c>
      <c r="D35" s="54"/>
      <c r="E35" s="54"/>
      <c r="F35" s="55"/>
      <c r="G35" s="1"/>
      <c r="H35" s="1"/>
      <c r="I35" s="46"/>
      <c r="J35" s="46"/>
    </row>
    <row r="36" spans="1:10" x14ac:dyDescent="0.25">
      <c r="A36" s="33"/>
      <c r="B36" s="38" t="s">
        <v>56</v>
      </c>
      <c r="C36" s="56"/>
      <c r="D36" s="56"/>
      <c r="E36" s="56"/>
      <c r="F36" s="57"/>
      <c r="G36" s="1"/>
      <c r="H36" s="1"/>
      <c r="I36" s="46"/>
      <c r="J36" s="46"/>
    </row>
    <row r="37" spans="1:10" x14ac:dyDescent="0.25">
      <c r="A37" s="33"/>
      <c r="B37" s="49"/>
      <c r="C37" s="58" t="s">
        <v>57</v>
      </c>
      <c r="D37" s="58"/>
      <c r="E37" s="58"/>
      <c r="F37" s="59"/>
      <c r="G37" s="1"/>
      <c r="H37" s="1"/>
      <c r="I37" s="1"/>
      <c r="J37" s="1"/>
    </row>
    <row r="38" spans="1:10" x14ac:dyDescent="0.25">
      <c r="A38" s="33"/>
      <c r="B38" s="38" t="s">
        <v>58</v>
      </c>
      <c r="C38" s="52"/>
      <c r="D38" s="52"/>
      <c r="E38" s="52"/>
      <c r="F38" s="53"/>
      <c r="G38" s="1"/>
      <c r="H38" s="1"/>
      <c r="I38" s="1"/>
      <c r="J38" s="1"/>
    </row>
    <row r="39" spans="1:10" x14ac:dyDescent="0.25">
      <c r="A39" s="33"/>
      <c r="B39" s="38"/>
      <c r="C39" s="50"/>
      <c r="D39" s="50"/>
      <c r="E39" s="50"/>
      <c r="F39" s="51"/>
      <c r="G39" s="1"/>
      <c r="H39" s="1"/>
      <c r="I39" s="1"/>
      <c r="J39" s="1"/>
    </row>
    <row r="40" spans="1:10" ht="15.75" thickBot="1" x14ac:dyDescent="0.3">
      <c r="A40" s="33"/>
      <c r="B40" s="60"/>
      <c r="C40" s="61"/>
      <c r="D40" s="61"/>
      <c r="E40" s="61"/>
      <c r="F40" s="62"/>
      <c r="G40" s="1"/>
      <c r="H40" s="1"/>
      <c r="I40" s="1"/>
      <c r="J40" s="1"/>
    </row>
  </sheetData>
  <mergeCells count="16">
    <mergeCell ref="C33:F33"/>
    <mergeCell ref="C35:F35"/>
    <mergeCell ref="C37:F37"/>
    <mergeCell ref="C39:F39"/>
    <mergeCell ref="A6:B6"/>
    <mergeCell ref="A25:I25"/>
    <mergeCell ref="B27:F27"/>
    <mergeCell ref="C29:F29"/>
    <mergeCell ref="C31:F31"/>
    <mergeCell ref="C32:F32"/>
    <mergeCell ref="B1:I1"/>
    <mergeCell ref="A3:B3"/>
    <mergeCell ref="C3:F3"/>
    <mergeCell ref="A4:B4"/>
    <mergeCell ref="C4:F4"/>
    <mergeCell ref="A5:B5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2022-04-22T16:18:54Z</dcterms:created>
  <dcterms:modified xsi:type="dcterms:W3CDTF">2022-04-22T16:24:23Z</dcterms:modified>
</cp:coreProperties>
</file>