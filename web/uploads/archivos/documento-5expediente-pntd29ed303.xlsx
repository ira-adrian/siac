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cesidades Trimestrales" sheetId="1" r:id="rId4"/>
    <sheet name="Nota Pedido MIDSP" sheetId="2" r:id="rId5"/>
    <sheet name="APG MIDSP" sheetId="3" r:id="rId6"/>
  </sheets>
  <definedNames>
    <definedName name="_xlnm.Print_Area" localSheetId="1">'Nota Pedido MIDSP'!$A$1:$G$23</definedName>
    <definedName name="_xlnm.Print_Area" localSheetId="2">'APG MIDSP'!$A$1:$Q$24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<sst xmlns="http://schemas.openxmlformats.org/spreadsheetml/2006/main" uniqueCount="80">
  <si>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Pedido de Necesidades Trimestrales</t>
  </si>
  <si>
    <t>JURISDICCION:</t>
  </si>
  <si>
    <t>30 - MINISTERIO DE ECONOMIA</t>
  </si>
  <si>
    <t xml:space="preserve">SAF N°: </t>
  </si>
  <si>
    <t>100 - SECRETARIA DE COMPRAS Y ABASTECIMIENTO</t>
  </si>
  <si>
    <t>EJERCICIO:</t>
  </si>
  <si>
    <t>TRIMESTRE:</t>
  </si>
  <si>
    <t>3° 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</si>
  <si>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</si>
  <si>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</si>
  <si>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</si>
  <si>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</si>
  <si>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</si>
  <si>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</si>
  <si>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</si>
  <si>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</si>
  <si>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</si>
  <si>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ESPECIFICACION TECNICA</t>
  </si>
  <si>
    <t>2.5.6-793.31</t>
  </si>
  <si>
    <t>COMBUSTIBLES Y LUBRICANTES</t>
  </si>
  <si>
    <t>2.5.6</t>
  </si>
  <si>
    <t>GAS OIL; PRESENTACION: POR LITRO, USO: MOTORES DIESEL, COMERCIALIZACION: GRADO 3, DESTINO: DPTO. S.F.V. DE CATAMARCA</t>
  </si>
  <si>
    <t>LITROS</t>
  </si>
  <si>
    <t>TRES MILLONES SESENTA Y UNO MIL QUINIENTOS CON 00/100 PESOS</t>
  </si>
  <si>
    <t>Total</t>
  </si>
  <si>
    <t>Plazos y lugares de entrega:</t>
  </si>
  <si>
    <r>
      <t xml:space="preserve">a) LUGAR DE ENTREGA:   - De 08 a 12 horas. 
</t>
    </r>
    <r>
      <rPr>
        <rFont val="Calibri"/>
        <b val="true"/>
        <i val="false"/>
        <strike val="false"/>
        <color rgb="FF000000"/>
        <sz val="11"/>
        <u val="none"/>
      </rPr>
      <t xml:space="preserve">b)</t>
    </r>
    <r>
      <rPr>
        <rFont val="Calibri"/>
        <b val="false"/>
        <i val="false"/>
        <strike val="false"/>
        <color rgb="FF000000"/>
        <sz val="11"/>
        <u val="none"/>
      </rPr>
      <t xml:space="preserve"> FORMA DE LA ENTREGA: Libre de flete, acarreo y embalaje, como así también, de todo riesgo de pérdida o destrucción total o parcial, por causas ajenas a la Institución. 
</t>
    </r>
    <r>
      <rPr>
        <rFont val="Calibri"/>
        <b val="true"/>
        <i val="false"/>
        <strike val="false"/>
        <color rgb="FF000000"/>
        <sz val="11"/>
        <u val="none"/>
      </rPr>
      <t xml:space="preserve">c)</t>
    </r>
    <r>
      <rPr>
        <rFont val="Calibri"/>
        <b val="false"/>
        <i val="false"/>
        <strike val="false"/>
        <color rgb="FF000000"/>
        <sz val="11"/>
        <u val="none"/>
      </rPr>
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</si>
  <si>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t>Calidad Minima esperada:</t>
  </si>
  <si>
    <t>Que cumpla con lo solicitado y condiciones de calidad, productos de muy buena calidad.-</t>
  </si>
  <si>
    <t>Mantenimiento:</t>
  </si>
  <si>
    <t>30 (treinta)  días habiles</t>
  </si>
  <si>
    <t>Forma de Pago:</t>
  </si>
  <si>
    <t>Dentro de los 30 días de efectuada la recepcion definitiva de los bienes solicitados.-</t>
  </si>
  <si>
    <t>NOTA DE PEDIDO</t>
  </si>
  <si>
    <t>N°</t>
  </si>
  <si>
    <t>452 / 2022</t>
  </si>
  <si>
    <t xml:space="preserve">JURISDICCIÓN: </t>
  </si>
  <si>
    <t>SAF:</t>
  </si>
  <si>
    <t>UNIDAD EJECUTORA:</t>
  </si>
  <si>
    <t>SAF 33 - MINISTERIO DE INCLUSIÓN DIGITAL Y SISTEMA PRODUCTIVOS</t>
  </si>
  <si>
    <t xml:space="preserve">DEPENDENCIA SOLICITANTE: </t>
  </si>
  <si>
    <t>PERIODO UTILIZACIÓN:</t>
  </si>
  <si>
    <t>3° TRIMESTRE - 2022</t>
  </si>
  <si>
    <t>OBJETO:</t>
  </si>
  <si>
    <t>256 - COMBUSTIBLES Y LUBRICANTES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</si>
  <si>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</si>
  <si>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</si>
  <si>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</si>
  <si>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</si>
  <si>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</si>
  <si>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</si>
  <si>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</si>
  <si>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</si>
  <si>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 xml:space="preserve">Costo total estimado: </t>
  </si>
  <si>
    <t>DETALLE TECNICO</t>
  </si>
  <si>
    <t>AUTORIZACION PARA GASTAR</t>
  </si>
  <si>
    <t>JURISDICCIÓN:</t>
  </si>
  <si>
    <r>
      <rPr>
        <rFont val="Arial"/>
        <b val="true"/>
        <i val="false"/>
        <strike val="false"/>
        <color rgb="FF000000"/>
        <sz val="10"/>
        <u val="single"/>
      </rPr>
      <t xml:space="preserve">AUTORIZACIÓN</t>
    </r>
    <r>
      <rPr>
        <rFont val="Arial"/>
        <b val="true"/>
        <i val="false"/>
        <strike val="false"/>
        <color rgb="FF000000"/>
        <sz val="10"/>
        <u val="none"/>
      </rPr>
      <t xml:space="preserve">:</t>
    </r>
  </si>
  <si>
    <t>Señor Jefe de Servicio Administrativo Financiero:</t>
  </si>
  <si>
    <t xml:space="preserve"> Autorizo la realización de los  trámites correspondientes, a fin de proveer a  este Organismo los bienes y/o servicios que se detallan en Nota  de Pedido N° 452 / 2022, 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</si>
  <si>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</si>
  <si>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</si>
  <si>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</si>
  <si>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</si>
  <si>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</si>
  <si>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</si>
  <si>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</si>
  <si>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</si>
  <si>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</si>
  <si>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</si>
  <si>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</si>
  <si>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</si>
  <si>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</si>
  <si>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</si>
  <si>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</si>
  <si>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</si>
  <si>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</si>
  <si>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 xml:space="preserve">TOTAL DE PESOS: </t>
  </si>
  <si>
    <t>JUSTIFICACIÓN:</t>
  </si>
  <si>
    <t>OBSERVACIONES:</t>
  </si>
</sst>
</file>

<file path=xl/styles.xml><?xml version="1.0" encoding="utf-8"?>
<styleSheet xmlns="http://schemas.openxmlformats.org/spreadsheetml/2006/main" xml:space="preserve">
  <numFmts count="5">
    <numFmt numFmtId="164" formatCode="_-[$$-2C0A]\ * #,##0.00_-;\-[$$-2C0A]\ * #,##0.00_-;_-[$$-2C0A]\ * &quot;-&quot;??_-;_-@_-"/>
    <numFmt numFmtId="165" formatCode="&quot;$&quot;\ #,##0.00"/>
    <numFmt numFmtId="166" formatCode="[$$-2C0A]\ #,##0.00;[$$-2C0A]&quot; -&quot;#,##0.00"/>
    <numFmt numFmtId="167" formatCode="dd\-mm\-yy;@"/>
    <numFmt numFmtId="168" formatCode="[$$-2C0A]\ #,##0.00"/>
  </numFmts>
  <fonts count="22"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C0C0C0"/>
      <name val="Times New Roman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single"/>
      <sz val="12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singl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single"/>
      <sz val="11"/>
      <color rgb="FFFF0000"/>
      <name val="Calibri"/>
    </font>
    <font>
      <b val="1"/>
      <i val="0"/>
      <strike val="0"/>
      <u val="none"/>
      <sz val="22"/>
      <color rgb="FF000000"/>
      <name val="Times New Roman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single"/>
      <sz val="14"/>
      <color rgb="FF000000"/>
      <name val="Times New Roman"/>
    </font>
    <font>
      <b val="1"/>
      <i val="0"/>
      <strike val="0"/>
      <u val="single"/>
      <sz val="10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72">
    <border/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3D3D3D"/>
      </right>
    </border>
    <border>
      <left style="medium">
        <color rgb="FF3D3D3D"/>
      </left>
      <bottom style="medium">
        <color rgb="FF3D3D3D"/>
      </bottom>
    </border>
    <border>
      <bottom style="medium">
        <color rgb="FF3D3D3D"/>
      </bottom>
    </border>
    <border>
      <right style="medium">
        <color rgb="FF3D3D3D"/>
      </right>
      <bottom style="medium">
        <color rgb="FF3D3D3D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3D3D3D"/>
      </left>
      <right style="medium">
        <color rgb="FF3D3D3D"/>
      </right>
      <bottom style="medium">
        <color rgb="FF3D3D3D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</border>
    <border>
      <left style="medium">
        <color rgb="FF3D3D3D"/>
      </left>
      <top style="medium">
        <color rgb="FF000000"/>
      </top>
      <bottom style="medium">
        <color rgb="FF000000"/>
      </bottom>
    </border>
    <border>
      <left style="medium">
        <color rgb="FF3D3D3D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3D3D3D"/>
      </right>
      <top style="medium">
        <color rgb="FF3D3D3D"/>
      </top>
    </border>
    <border>
      <left style="medium">
        <color rgb="FF3D3D3D"/>
      </left>
    </border>
    <border>
      <left style="medium">
        <color rgb="FF000000"/>
      </left>
      <right style="medium">
        <color rgb="FF3D3D3D"/>
      </right>
      <top style="medium">
        <color rgb="FF000000"/>
      </top>
    </border>
    <border>
      <left style="medium">
        <color rgb="FF3D3D3D"/>
      </left>
      <top style="medium">
        <color rgb="FF000000"/>
      </top>
    </border>
    <border>
      <left style="medium">
        <color rgb="FF3D3D3D"/>
      </left>
      <top style="medium">
        <color rgb="FF3D3D3D"/>
      </top>
    </border>
    <border>
      <left style="medium">
        <color rgb="FF000000"/>
      </left>
      <right style="medium">
        <color rgb="FF000000"/>
      </right>
      <top style="medium">
        <color rgb="FF3D3D3D"/>
      </top>
      <bottom style="medium">
        <color rgb="FF000000"/>
      </bottom>
    </border>
    <border>
      <left style="medium">
        <color rgb="FF3D3D3D"/>
      </left>
      <top style="thin">
        <color rgb="FF000000"/>
      </top>
      <bottom style="medium">
        <color rgb="FF3D3D3D"/>
      </bottom>
    </border>
    <border>
      <right style="medium">
        <color rgb="FF3D3D3D"/>
      </right>
      <top style="thin">
        <color rgb="FF000000"/>
      </top>
      <bottom style="medium">
        <color rgb="FF3D3D3D"/>
      </bottom>
    </border>
    <border>
      <top style="thin">
        <color rgb="FF000000"/>
      </top>
      <bottom style="medium">
        <color rgb="FF3D3D3D"/>
      </bottom>
    </border>
    <border>
      <left style="medium">
        <color rgb="FF3D3D3D"/>
      </left>
      <top style="medium">
        <color rgb="FF3D3D3D"/>
      </top>
      <bottom style="medium">
        <color rgb="FF3D3D3D"/>
      </bottom>
    </border>
    <border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3D3D3D"/>
      </top>
      <bottom style="medium">
        <color rgb="FF3D3D3D"/>
      </bottom>
    </border>
    <border>
      <right style="medium">
        <color rgb="FF3D3D3D"/>
      </right>
      <top style="medium">
        <color rgb="FF000000"/>
      </top>
    </border>
    <border>
      <left style="medium">
        <color rgb="FF000000"/>
      </left>
      <top style="medium">
        <color rgb="FF3D3D3D"/>
      </top>
      <bottom style="medium">
        <color rgb="FF3D3D3D"/>
      </bottom>
    </border>
    <border>
      <left style="medium">
        <color rgb="FF3D3D3D"/>
      </left>
      <right style="medium">
        <color rgb="FF3D3D3D"/>
      </right>
    </border>
    <border>
      <left style="medium">
        <color rgb="FF3D3D3D"/>
      </left>
      <right style="medium">
        <color rgb="FF3D3D3D"/>
      </right>
      <top style="medium">
        <color rgb="FF3D3D3D"/>
      </top>
    </border>
  </borders>
  <cellStyleXfs count="1">
    <xf numFmtId="0" fontId="0" fillId="0" borderId="0"/>
  </cellStyleXfs>
  <cellXfs count="178"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2" numFmtId="0" fillId="0" borderId="0" applyFont="1" applyNumberFormat="0" applyFill="0" applyBorder="0" applyAlignment="1" applyProtection="true">
      <alignment horizontal="left" vertical="bottom" textRotation="0" wrapText="true" shrinkToFit="false"/>
      <protection hidden="false"/>
    </xf>
    <xf xfId="0" fontId="2" numFmtId="0" fillId="0" borderId="0" applyFont="1" applyNumberFormat="0" applyFill="0" applyBorder="0" applyAlignment="1" applyProtection="true">
      <alignment horizontal="center" vertical="bottom" textRotation="0" wrapText="true" shrinkToFit="false"/>
      <protection hidden="false"/>
    </xf>
    <xf xfId="0" fontId="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3" numFmtId="0" fillId="0" borderId="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3" numFmtId="0" fillId="0" borderId="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5" numFmtId="164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4" numFmtId="0" fillId="0" borderId="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4" numFmtId="0" fillId="0" borderId="5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6" numFmtId="0" fillId="0" borderId="4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7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1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" numFmtId="165" fillId="0" borderId="12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7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7" numFmtId="164" fillId="0" borderId="13" applyFont="1" applyNumberFormat="1" applyFill="0" applyBorder="1" applyAlignment="0" applyProtection="true">
      <alignment horizontal="general" vertical="bottom" textRotation="0" wrapText="false" shrinkToFit="false"/>
      <protection hidden="false"/>
    </xf>
    <xf xfId="0" fontId="1" numFmtId="0" fillId="0" borderId="1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4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166" fillId="0" borderId="16" applyFont="1" applyNumberFormat="1" applyFill="0" applyBorder="1" applyAlignment="1" applyProtection="true">
      <alignment horizontal="center" vertical="center" textRotation="0" wrapText="true" shrinkToFit="false"/>
      <protection hidden="false"/>
    </xf>
    <xf xfId="0" fontId="4" numFmtId="0" fillId="0" borderId="1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8" numFmtId="0" fillId="0" borderId="0" applyFont="1" applyNumberFormat="0" applyFill="0" applyBorder="0" applyAlignment="1" applyProtection="true">
      <alignment horizontal="general" vertical="center" textRotation="0" wrapText="false" shrinkToFit="false"/>
      <protection hidden="false"/>
    </xf>
    <xf xfId="0" fontId="9" numFmtId="0" fillId="0" borderId="18" applyFont="1" applyNumberFormat="0" applyFill="0" applyBorder="1" applyAlignment="1" applyProtection="true">
      <alignment horizontal="right" vertical="center" textRotation="0" wrapText="false" shrinkToFit="false"/>
      <protection hidden="false"/>
    </xf>
    <xf xfId="0" fontId="10" numFmtId="0" fillId="0" borderId="19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1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1" numFmtId="0" fillId="0" borderId="20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2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12" numFmtId="0" fillId="0" borderId="23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4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5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6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2" numFmtId="0" fillId="0" borderId="22" applyFont="1" applyNumberFormat="0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27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8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9" applyFont="0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3" fillId="0" borderId="0" applyFont="1" applyNumberFormat="1" applyFill="0" applyBorder="0" applyAlignment="0" applyProtection="true">
      <alignment horizontal="general" vertical="bottom" textRotation="0" wrapText="false" shrinkToFit="false"/>
      <protection hidden="false"/>
    </xf>
    <xf xfId="0" fontId="0" numFmtId="167" fillId="0" borderId="0" applyFont="0" applyNumberFormat="1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left" vertical="bottom" textRotation="0" wrapText="false" shrinkToFit="false"/>
      <protection hidden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0" applyFont="1" applyNumberFormat="0" applyFill="0" applyBorder="0" applyAlignment="0" applyProtection="true">
      <alignment horizontal="general" vertical="bottom" textRotation="0" wrapText="false" shrinkToFit="false"/>
      <protection hidden="false"/>
    </xf>
    <xf xfId="0" fontId="12" numFmtId="0" fillId="0" borderId="30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1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3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2" numFmtId="0" fillId="0" borderId="33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0" numFmtId="0" fillId="0" borderId="21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16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0" fillId="0" borderId="34" applyFont="0" applyNumberFormat="0" applyFill="0" applyBorder="1" applyAlignment="1" applyProtection="true">
      <alignment horizontal="center" vertical="center" textRotation="0" wrapText="false" shrinkToFit="false"/>
      <protection hidden="false"/>
    </xf>
    <xf xfId="0" fontId="0" numFmtId="165" fillId="0" borderId="35" applyFont="0" applyNumberFormat="1" applyFill="0" applyBorder="1" applyAlignment="1" applyProtection="true">
      <alignment horizontal="general" vertical="center" textRotation="0" wrapText="false" shrinkToFit="false"/>
      <protection hidden="false"/>
    </xf>
    <xf xfId="0" fontId="0" numFmtId="0" fillId="0" borderId="0" applyFont="0" applyNumberFormat="0" applyFill="0" applyBorder="0" applyAlignment="1" applyProtection="true">
      <alignment horizontal="general" vertical="center" textRotation="0" wrapText="false" shrinkToFit="false"/>
      <protection hidden="false"/>
    </xf>
    <xf xfId="0" fontId="12" numFmtId="166" fillId="0" borderId="36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13" numFmtId="0" fillId="0" borderId="37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1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2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4" numFmtId="0" fillId="0" borderId="38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4" numFmtId="0" fillId="0" borderId="3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2" numFmtId="0" fillId="0" borderId="12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" numFmtId="165" fillId="0" borderId="12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0" numFmtId="49" fillId="0" borderId="34" applyFont="0" applyNumberFormat="1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37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5" numFmtId="0" fillId="0" borderId="2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1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1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4" numFmtId="0" fillId="0" borderId="40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0" applyFont="1" applyNumberFormat="0" applyFill="0" applyBorder="0" applyAlignment="1" applyProtection="true">
      <alignment horizontal="left" vertical="center" textRotation="0" wrapText="true" shrinkToFit="false"/>
      <protection hidden="false"/>
    </xf>
    <xf xfId="0" fontId="4" numFmtId="0" fillId="0" borderId="41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6" numFmtId="0" fillId="0" borderId="18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20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6" numFmtId="0" fillId="0" borderId="19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7" numFmtId="0" fillId="0" borderId="18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20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7" numFmtId="0" fillId="0" borderId="19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8" numFmtId="0" fillId="0" borderId="0" applyFont="1" applyNumberFormat="0" applyFill="0" applyBorder="0" applyAlignment="1" applyProtection="true">
      <alignment horizontal="center" vertical="center" textRotation="0" wrapText="false" shrinkToFit="false"/>
      <protection hidden="false"/>
    </xf>
    <xf xfId="0" fontId="4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4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2" numFmtId="0" fillId="0" borderId="2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1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1" numFmtId="0" fillId="0" borderId="46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1" numFmtId="0" fillId="0" borderId="47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3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168" fillId="0" borderId="48" applyFont="1" applyNumberFormat="1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37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9" numFmtId="0" fillId="0" borderId="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4" numFmtId="0" fillId="0" borderId="2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1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4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3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3" numFmtId="0" fillId="0" borderId="49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0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3" numFmtId="0" fillId="0" borderId="51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3" numFmtId="0" fillId="0" borderId="5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9" numFmtId="0" fillId="0" borderId="1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9" numFmtId="0" fillId="0" borderId="2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6" numFmtId="0" fillId="0" borderId="2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6" numFmtId="0" fillId="0" borderId="2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1" numFmtId="0" fillId="0" borderId="2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1" numFmtId="0" fillId="0" borderId="2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9" numFmtId="0" fillId="0" borderId="53" applyFont="1" applyNumberFormat="0" applyFill="0" applyBorder="1" applyAlignment="1" applyProtection="true">
      <alignment horizontal="left" vertical="bottom" textRotation="0" wrapText="false" shrinkToFit="false"/>
      <protection hidden="false"/>
    </xf>
    <xf xfId="0" fontId="10" numFmtId="0" fillId="0" borderId="1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4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6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0" numFmtId="0" fillId="0" borderId="57" applyFont="1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0" numFmtId="0" fillId="0" borderId="57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0" numFmtId="0" fillId="0" borderId="0" applyFont="1" applyNumberFormat="0" applyFill="0" applyBorder="0" applyAlignment="1" applyProtection="true">
      <alignment horizontal="left" vertical="center" textRotation="0" wrapText="true" shrinkToFit="false" indent="1"/>
      <protection hidden="false"/>
    </xf>
    <xf xfId="0" fontId="10" numFmtId="0" fillId="0" borderId="3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2" numFmtId="0" fillId="0" borderId="58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9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56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2" numFmtId="0" fillId="0" borderId="6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20" numFmtId="0" fillId="0" borderId="62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20" numFmtId="0" fillId="0" borderId="6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10" numFmtId="0" fillId="0" borderId="62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4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0" numFmtId="0" fillId="0" borderId="6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0" numFmtId="0" fillId="0" borderId="18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10" numFmtId="1" fillId="0" borderId="19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21" numFmtId="0" fillId="0" borderId="53" applyFont="1" applyNumberFormat="0" applyFill="0" applyBorder="1" applyAlignment="1" applyProtection="true">
      <alignment horizontal="center" vertical="center" textRotation="0" wrapText="true" shrinkToFit="false"/>
      <protection hidden="false"/>
    </xf>
    <xf xfId="0" fontId="0" numFmtId="0" fillId="0" borderId="53" applyFont="0" applyNumberFormat="0" applyFill="0" applyBorder="1" applyAlignment="1" applyProtection="true">
      <alignment horizontal="left" vertical="center" textRotation="0" wrapText="fals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false" shrinkToFit="false"/>
      <protection hidden="false"/>
    </xf>
    <xf xfId="0" fontId="1" numFmtId="0" fillId="0" borderId="65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53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68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13" numFmtId="0" fillId="0" borderId="5" applyFont="1" applyNumberFormat="0" applyFill="0" applyBorder="1" applyAlignment="1" applyProtection="true">
      <alignment horizontal="general" vertical="center" textRotation="0" wrapText="true" shrinkToFit="false"/>
      <protection hidden="false"/>
    </xf>
    <xf xfId="0" fontId="4" numFmtId="0" fillId="0" borderId="69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6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4" numFmtId="0" fillId="0" borderId="67" applyFont="1" applyNumberFormat="0" applyFill="0" applyBorder="1" applyAlignment="1" applyProtection="true">
      <alignment horizontal="left" vertical="center" textRotation="0" wrapText="true" shrinkToFit="false"/>
      <protection hidden="false"/>
    </xf>
    <xf xfId="0" fontId="13" numFmtId="0" fillId="0" borderId="36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13" numFmtId="0" fillId="0" borderId="70" applyFont="1" applyNumberFormat="0" applyFill="0" applyBorder="1" applyAlignment="1" applyProtection="true">
      <alignment horizontal="left" vertical="center" textRotation="0" wrapText="true" shrinkToFit="false" indent="1"/>
      <protection hidden="false"/>
    </xf>
    <xf xfId="0" fontId="0" numFmtId="0" fillId="0" borderId="71" applyFont="0" applyNumberFormat="0" applyFill="0" applyBorder="1" applyAlignment="0" applyProtection="true">
      <alignment horizontal="general" vertical="bottom" textRotation="0" wrapText="false" shrinkToFit="false"/>
      <protection hidden="false"/>
    </xf>
    <xf xfId="0" fontId="12" numFmtId="0" fillId="0" borderId="71" applyFont="1" applyNumberFormat="0" applyFill="0" applyBorder="1" applyAlignment="1" applyProtection="true">
      <alignment horizontal="center" vertical="center" textRotation="0" wrapText="false" shrinkToFit="false"/>
      <protection hidden="false"/>
    </xf>
    <xf xfId="0" fontId="12" numFmtId="0" fillId="0" borderId="60" applyFont="1" applyNumberFormat="0" applyFill="0" applyBorder="1" applyAlignment="1" applyProtection="true">
      <alignment horizontal="center" vertical="center" textRotation="0" wrapText="false" shrinkToFit="false"/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3"/>
  <sheetViews>
    <sheetView tabSelected="1" workbookViewId="0" showGridLines="true" showRowColHeaders="1">
      <selection activeCell="I13" sqref="I13"/>
    </sheetView>
  </sheetViews>
  <sheetFormatPr customHeight="true" defaultRowHeight="12.75" defaultColWidth="11" outlineLevelRow="0" outlineLevelCol="0"/>
  <cols>
    <col min="1" max="1" width="4.5703125" customWidth="true" style="1"/>
    <col min="2" max="2" width="15.28515625" customWidth="true" style="1"/>
    <col min="3" max="3" width="31.28515625" customWidth="true" style="1"/>
    <col min="4" max="4" width="8.42578125" customWidth="true" style="1"/>
    <col min="5" max="5" width="69" customWidth="true" style="1"/>
    <col min="6" max="6" width="11.85546875" customWidth="true" style="1"/>
    <col min="7" max="7" width="9.140625" customWidth="true" style="1"/>
    <col min="8" max="8" width="13.85546875" customWidth="true" style="1"/>
    <col min="9" max="9" width="14.5703125" customWidth="true" style="1"/>
    <col min="10" max="10" width="31.7109375" customWidth="true" style="1"/>
  </cols>
  <sheetData>
    <row r="1" spans="1:10" customHeight="1" ht="13.5"/>
    <row r="2" spans="1:10" customHeight="1" ht="24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8"/>
    </row>
    <row r="4" spans="1:10" customHeight="1" ht="18">
      <c r="A4" s="102" t="s">
        <v>1</v>
      </c>
      <c r="B4" s="103"/>
      <c r="C4" s="99" t="s">
        <v>2</v>
      </c>
      <c r="D4" s="100"/>
      <c r="E4" s="100"/>
      <c r="F4" s="100"/>
      <c r="G4" s="100"/>
      <c r="H4" s="100"/>
      <c r="I4" s="100"/>
      <c r="J4" s="101"/>
    </row>
    <row r="5" spans="1:10" customHeight="1" ht="18">
      <c r="A5" s="104" t="s">
        <v>3</v>
      </c>
      <c r="B5" s="105"/>
      <c r="C5" s="99" t="s">
        <v>4</v>
      </c>
      <c r="D5" s="100"/>
      <c r="E5" s="100"/>
      <c r="F5" s="100"/>
      <c r="G5" s="100"/>
      <c r="H5" s="100"/>
      <c r="I5" s="100"/>
      <c r="J5" s="101"/>
    </row>
    <row r="6" spans="1:10" customHeight="1" ht="16.5">
      <c r="A6" s="104" t="s">
        <v>5</v>
      </c>
      <c r="B6" s="105"/>
      <c r="C6" s="99">
        <v>2022</v>
      </c>
      <c r="D6" s="100"/>
      <c r="E6" s="100"/>
      <c r="F6" s="100"/>
      <c r="G6" s="100"/>
      <c r="H6" s="100"/>
      <c r="I6" s="100"/>
      <c r="J6" s="101"/>
    </row>
    <row r="7" spans="1:10" customHeight="1" ht="16.5">
      <c r="A7" s="106" t="s">
        <v>6</v>
      </c>
      <c r="B7" s="107"/>
      <c r="C7" s="99" t="s">
        <v>7</v>
      </c>
      <c r="D7" s="100"/>
      <c r="E7" s="100"/>
      <c r="F7" s="100"/>
      <c r="G7" s="100"/>
      <c r="H7" s="100"/>
      <c r="I7" s="100"/>
      <c r="J7" s="101"/>
    </row>
    <row r="8" spans="1:10" customHeight="1" ht="13.5">
      <c r="A8" s="5"/>
      <c r="B8" s="3"/>
      <c r="C8" s="4"/>
      <c r="D8" s="3"/>
      <c r="E8" s="3"/>
      <c r="F8" s="3"/>
      <c r="G8" s="4"/>
      <c r="H8" s="3"/>
      <c r="I8" s="5"/>
      <c r="J8" s="5"/>
    </row>
    <row r="9" spans="1:10" customHeight="1" ht="38.25">
      <c r="A9" s="15" t="s">
        <v>8</v>
      </c>
      <c r="B9" s="16" t="s">
        <v>9</v>
      </c>
      <c r="C9" s="17" t="s">
        <v>10</v>
      </c>
      <c r="D9" s="18" t="s">
        <v>11</v>
      </c>
      <c r="E9" s="15" t="s">
        <v>12</v>
      </c>
      <c r="F9" s="14" t="s">
        <v>13</v>
      </c>
      <c r="G9" s="19" t="s">
        <v>14</v>
      </c>
      <c r="H9" s="20" t="s">
        <v>15</v>
      </c>
      <c r="I9" s="21" t="s">
        <v>16</v>
      </c>
      <c r="J9" s="21" t="s">
        <v>17</v>
      </c>
    </row>
    <row r="10" spans="1:10" customHeight="1" ht="20.25" s="22" customFormat="1">
      <c r="A10" s="79">
        <v>1</v>
      </c>
      <c r="B10" s="80" t="s">
        <v>18</v>
      </c>
      <c r="C10" s="80" t="s">
        <v>19</v>
      </c>
      <c r="D10" s="79" t="s">
        <v>20</v>
      </c>
      <c r="E10" s="80" t="s">
        <v>21</v>
      </c>
      <c r="F10" s="81" t="s">
        <v>22</v>
      </c>
      <c r="G10" s="81">
        <v>15000</v>
      </c>
      <c r="H10" s="82">
        <v>204.1</v>
      </c>
      <c r="I10" s="82">
        <v>3061500.0</v>
      </c>
      <c r="J10" s="80"/>
    </row>
    <row r="11" spans="1:10" customHeight="1" ht="20.25">
      <c r="A11" s="79"/>
      <c r="B11" s="80"/>
      <c r="C11" s="80"/>
      <c r="D11" s="79"/>
      <c r="E11" s="80"/>
      <c r="F11" s="81"/>
      <c r="G11" s="81"/>
      <c r="H11" s="82"/>
      <c r="I11" s="82"/>
      <c r="J11" s="80"/>
    </row>
    <row r="12" spans="1:10" customHeight="1" ht="17.25" s="22" customFormat="1">
      <c r="A12" s="23"/>
      <c r="B12" s="27"/>
      <c r="C12" s="27"/>
      <c r="D12" s="23"/>
      <c r="E12" s="80"/>
      <c r="F12" s="23"/>
      <c r="G12" s="23"/>
      <c r="H12" s="24"/>
      <c r="I12" s="24"/>
      <c r="J12" s="80"/>
    </row>
    <row r="13" spans="1:10" customHeight="1" ht="13.5">
      <c r="C13" s="10" t="s">
        <v>23</v>
      </c>
      <c r="H13" s="25" t="s">
        <v>24</v>
      </c>
      <c r="I13" s="26">
        <f>SUM(I10:I12)</f>
        <v>3061500</v>
      </c>
      <c r="J13" s="10"/>
    </row>
    <row r="14" spans="1:10" customHeight="1" ht="15">
      <c r="B14" s="11"/>
      <c r="C14" s="12"/>
      <c r="D14" s="12"/>
      <c r="E14" s="13"/>
      <c r="F14" s="9"/>
    </row>
    <row r="15" spans="1:10" customHeight="1" ht="15">
      <c r="B15" s="87" t="s">
        <v>25</v>
      </c>
      <c r="C15" s="88"/>
      <c r="D15" s="88"/>
      <c r="E15" s="89"/>
    </row>
    <row r="16" spans="1:10" customHeight="1" ht="128.25">
      <c r="B16" s="93" t="inlineStr">
        <is>
          <r>
            <t xml:space="preserve">a) LUGAR DE ENTREGA:   - De 08 a 12 horas.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b)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FORMA DE LA ENTREGA: Libre de flete, acarreo y embalaje, como así también, de todo riesgo de pérdida o destrucción total o parcial, por causas ajenas a la Institución. 
</t>
          </r>
          <r>
            <rPr>
              <rFont val="Calibri"/>
              <b val="true"/>
              <i val="false"/>
              <strike val="false"/>
              <color rgb="FF000000"/>
              <sz val="11"/>
              <u val="none"/>
            </rPr>
            <t xml:space="preserve">c)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  PLAZO DE ENTREGA: El Oferente deberá establecer plazo de entrega de los elementos cotizados, debiendo ser expresado en días hábiles; que no podrá ser superior a cinco (5) días hábiles, contados a partir de la recepción de la comunicación prevista en el Artículo 80 del Anexo I - Reglamento Parcial N° 2 de la ley 4938.                                                                                                      </t>
          </r>
        </is>
      </c>
      <c r="C16" s="94"/>
      <c r="D16" s="94"/>
      <c r="E16" s="95"/>
    </row>
    <row r="17" spans="1:10" customHeight="1" ht="16.5">
      <c r="B17" s="87" t="s">
        <v>27</v>
      </c>
      <c r="C17" s="88"/>
      <c r="D17" s="88"/>
      <c r="E17" s="89"/>
    </row>
    <row r="18" spans="1:10" customHeight="1" ht="15">
      <c r="B18" s="90" t="s">
        <v>28</v>
      </c>
      <c r="C18" s="91"/>
      <c r="D18" s="91"/>
      <c r="E18" s="92"/>
    </row>
    <row r="19" spans="1:10" customHeight="1" ht="15">
      <c r="B19" s="87" t="s">
        <v>29</v>
      </c>
      <c r="C19" s="88"/>
      <c r="D19" s="88"/>
      <c r="E19" s="89"/>
    </row>
    <row r="20" spans="1:10" customHeight="1" ht="15">
      <c r="B20" s="90" t="s">
        <v>30</v>
      </c>
      <c r="C20" s="91"/>
      <c r="D20" s="91"/>
      <c r="E20" s="92"/>
    </row>
    <row r="21" spans="1:10" customHeight="1" ht="15">
      <c r="B21" s="87" t="s">
        <v>31</v>
      </c>
      <c r="C21" s="88"/>
      <c r="D21" s="88"/>
      <c r="E21" s="89"/>
    </row>
    <row r="22" spans="1:10" customHeight="1" ht="31.5">
      <c r="B22" s="84" t="s">
        <v>32</v>
      </c>
      <c r="C22" s="85"/>
      <c r="D22" s="85"/>
      <c r="E22" s="86"/>
    </row>
    <row r="23" spans="1:10" customHeight="1" ht="12.75">
      <c r="C23" s="2"/>
      <c r="D23" s="2"/>
      <c r="E23" s="2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:J2"/>
    <mergeCell ref="C4:J4"/>
    <mergeCell ref="C5:J5"/>
    <mergeCell ref="C6:J6"/>
    <mergeCell ref="C7:J7"/>
    <mergeCell ref="B20:E20"/>
    <mergeCell ref="A4:B4"/>
    <mergeCell ref="A5:B5"/>
    <mergeCell ref="A6:B6"/>
    <mergeCell ref="A7:B7"/>
    <mergeCell ref="B22:E22"/>
    <mergeCell ref="B15:E15"/>
    <mergeCell ref="B17:E17"/>
    <mergeCell ref="B19:E19"/>
    <mergeCell ref="B21:E21"/>
    <mergeCell ref="B18:E18"/>
    <mergeCell ref="B16:E16"/>
  </mergeCells>
  <printOptions gridLines="false" gridLinesSet="true"/>
  <pageMargins left="0.7" right="0.7" top="0.75" bottom="0.75" header="0.51180555555555" footer="0.51180555555555"/>
  <pageSetup paperSize="9" orientation="landscape" scale="42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0" workbookViewId="0" showGridLines="true" showRowColHeaders="1">
      <selection activeCell="A2" sqref="A2"/>
    </sheetView>
  </sheetViews>
  <sheetFormatPr customHeight="true" defaultRowHeight="12.75" defaultColWidth="9.140625" outlineLevelRow="0" outlineLevelCol="0"/>
  <cols>
    <col min="1" max="1" width="7.28515625" customWidth="true" style="38"/>
    <col min="2" max="2" width="20.140625" customWidth="true" style="38"/>
    <col min="3" max="3" width="85.85546875" customWidth="true" style="38"/>
    <col min="4" max="4" width="9.140625" style="38"/>
    <col min="5" max="5" width="11" customWidth="true" style="38"/>
    <col min="6" max="6" width="16" customWidth="true" style="38"/>
    <col min="7" max="7" width="10.5703125" customWidth="true" style="38"/>
  </cols>
  <sheetData>
    <row r="1" spans="1:7" customHeight="1" ht="18">
      <c r="A1" s="108" t="s">
        <v>33</v>
      </c>
      <c r="B1" s="108"/>
      <c r="C1" s="108"/>
      <c r="D1" s="108"/>
      <c r="E1" s="108"/>
      <c r="F1" s="108"/>
      <c r="G1" s="108"/>
    </row>
    <row r="2" spans="1:7" customHeight="1" ht="18.75">
      <c r="A2" s="39"/>
      <c r="B2" s="39"/>
      <c r="C2" s="39"/>
      <c r="D2" s="39"/>
      <c r="E2" s="39"/>
      <c r="F2" s="40" t="s">
        <v>34</v>
      </c>
      <c r="G2" s="41" t="s">
        <v>35</v>
      </c>
    </row>
    <row r="3" spans="1:7" customHeight="1" ht="7.5">
      <c r="A3" s="39"/>
      <c r="B3" s="39"/>
      <c r="C3" s="39"/>
      <c r="D3" s="39"/>
      <c r="E3" s="39"/>
      <c r="F3" s="39"/>
      <c r="G3" s="39"/>
    </row>
    <row r="4" spans="1:7" customHeight="1" ht="18.75">
      <c r="A4" s="137" t="s">
        <v>36</v>
      </c>
      <c r="B4" s="138"/>
      <c r="C4" s="109" t="s">
        <v>2</v>
      </c>
      <c r="D4" s="110"/>
      <c r="E4" s="110"/>
      <c r="F4" s="110"/>
      <c r="G4" s="111"/>
    </row>
    <row r="5" spans="1:7" customHeight="1" ht="18.75">
      <c r="A5" s="127" t="s">
        <v>37</v>
      </c>
      <c r="B5" s="128"/>
      <c r="C5" s="112" t="s">
        <v>4</v>
      </c>
      <c r="D5" s="113"/>
      <c r="E5" s="113"/>
      <c r="F5" s="113"/>
      <c r="G5" s="114"/>
    </row>
    <row r="6" spans="1:7" customHeight="1" ht="18.75">
      <c r="A6" s="127" t="s">
        <v>38</v>
      </c>
      <c r="B6" s="128"/>
      <c r="C6" s="112" t="s">
        <v>39</v>
      </c>
      <c r="D6" s="113"/>
      <c r="E6" s="113"/>
      <c r="F6" s="113"/>
      <c r="G6" s="114"/>
    </row>
    <row r="7" spans="1:7" customHeight="1" ht="32.25">
      <c r="A7" s="127" t="s">
        <v>40</v>
      </c>
      <c r="B7" s="128"/>
      <c r="C7" s="112" t="s">
        <v>39</v>
      </c>
      <c r="D7" s="113"/>
      <c r="E7" s="113"/>
      <c r="F7" s="113"/>
      <c r="G7" s="114"/>
    </row>
    <row r="8" spans="1:7" customHeight="1" ht="16.5">
      <c r="A8" s="127" t="s">
        <v>41</v>
      </c>
      <c r="B8" s="128"/>
      <c r="C8" s="112" t="s">
        <v>42</v>
      </c>
      <c r="D8" s="113"/>
      <c r="E8" s="113"/>
      <c r="F8" s="113"/>
      <c r="G8" s="114"/>
    </row>
    <row r="9" spans="1:7" customHeight="1" ht="27.75">
      <c r="A9" s="117" t="s">
        <v>43</v>
      </c>
      <c r="B9" s="118"/>
      <c r="C9" s="124" t="s">
        <v>44</v>
      </c>
      <c r="D9" s="125"/>
      <c r="E9" s="125"/>
      <c r="F9" s="125"/>
      <c r="G9" s="126"/>
    </row>
    <row r="10" spans="1:7" customHeight="1" ht="16.5">
      <c r="A10" s="42"/>
      <c r="B10" s="43"/>
      <c r="C10" s="7"/>
      <c r="D10" s="7"/>
      <c r="E10" s="6"/>
      <c r="F10" s="6"/>
      <c r="G10" s="8"/>
    </row>
    <row r="11" spans="1:7" customHeight="1" ht="18.75">
      <c r="A11" s="129" t="s">
        <v>45</v>
      </c>
      <c r="B11" s="131" t="s">
        <v>46</v>
      </c>
      <c r="C11" s="119" t="s">
        <v>47</v>
      </c>
      <c r="D11" s="135" t="s">
        <v>48</v>
      </c>
      <c r="E11" s="135" t="s">
        <v>49</v>
      </c>
      <c r="F11" s="135" t="s">
        <v>50</v>
      </c>
      <c r="G11" s="135" t="s">
        <v>51</v>
      </c>
    </row>
    <row r="12" spans="1:7" customHeight="1" ht="24">
      <c r="A12" s="130"/>
      <c r="B12" s="132"/>
      <c r="C12" s="120"/>
      <c r="D12" s="136"/>
      <c r="E12" s="136"/>
      <c r="F12" s="136"/>
      <c r="G12" s="136"/>
    </row>
    <row r="13" spans="1:7" customHeight="1" ht="15">
      <c r="A13" s="44">
        <v>1</v>
      </c>
      <c r="B13" s="34" t="s">
        <v>18</v>
      </c>
      <c r="C13" s="35" t="s">
        <v>21</v>
      </c>
      <c r="D13" s="31" t="s">
        <v>52</v>
      </c>
      <c r="E13" s="31" t="s">
        <v>22</v>
      </c>
      <c r="F13" s="32">
        <v>204.1</v>
      </c>
      <c r="G13" s="33">
        <v>15000</v>
      </c>
    </row>
    <row r="14" spans="1:7" customHeight="1" ht="15">
      <c r="A14" s="44"/>
      <c r="B14" s="34"/>
      <c r="C14" s="35"/>
      <c r="D14" s="31"/>
      <c r="E14" s="31"/>
      <c r="F14" s="32"/>
      <c r="G14" s="33"/>
    </row>
    <row r="15" spans="1:7" customHeight="1" ht="15.75">
      <c r="A15" s="45"/>
      <c r="B15" s="36"/>
      <c r="C15" s="37"/>
      <c r="D15" s="28"/>
      <c r="E15" s="28"/>
      <c r="F15" s="29"/>
      <c r="G15" s="30"/>
    </row>
    <row r="16" spans="1:7" customHeight="1" ht="20.25">
      <c r="A16" s="122" t="s">
        <v>53</v>
      </c>
      <c r="B16" s="123"/>
      <c r="C16" s="133" t="s">
        <v>23</v>
      </c>
      <c r="D16" s="133"/>
      <c r="E16" s="134"/>
      <c r="F16" s="121">
        <f>SUMPRODUCT(F13:F15,G13:G15)</f>
        <v>3061500</v>
      </c>
      <c r="G16" s="121"/>
    </row>
    <row r="20" spans="1:7" customHeight="1" ht="13.5"/>
    <row r="21" spans="1:7" customHeight="1" ht="15.75">
      <c r="A21" s="46"/>
      <c r="B21" s="115" t="s">
        <v>54</v>
      </c>
      <c r="C21" s="115"/>
      <c r="D21" s="116"/>
    </row>
    <row r="22" spans="1:7" customHeight="1" ht="18.75">
      <c r="A22" s="47"/>
      <c r="B22" s="48"/>
      <c r="C22" s="49"/>
      <c r="D22" s="50"/>
    </row>
    <row r="23" spans="1:7" customHeight="1" ht="18.75">
      <c r="A23" s="51"/>
      <c r="B23" s="52"/>
      <c r="C23" s="53"/>
      <c r="D23" s="54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4:B4"/>
    <mergeCell ref="A5:B5"/>
    <mergeCell ref="A6:B6"/>
    <mergeCell ref="A7:B7"/>
    <mergeCell ref="D11:D12"/>
    <mergeCell ref="A16:B16"/>
    <mergeCell ref="C9:G9"/>
    <mergeCell ref="A8:B8"/>
    <mergeCell ref="A11:A12"/>
    <mergeCell ref="B11:B12"/>
    <mergeCell ref="C16:E16"/>
    <mergeCell ref="F11:F12"/>
    <mergeCell ref="G11:G12"/>
    <mergeCell ref="E11:E12"/>
    <mergeCell ref="A1:G1"/>
    <mergeCell ref="C4:G4"/>
    <mergeCell ref="C5:G5"/>
    <mergeCell ref="C6:G6"/>
    <mergeCell ref="C7:G7"/>
    <mergeCell ref="B21:D21"/>
    <mergeCell ref="C8:G8"/>
    <mergeCell ref="A9:B9"/>
    <mergeCell ref="C11:C12"/>
    <mergeCell ref="F16:G16"/>
  </mergeCells>
  <printOptions gridLines="false" gridLinesSet="true" horizontalCentered="true"/>
  <pageMargins left="0.19652777777778" right="0.19652777777778" top="0.98402777777778" bottom="0.98402777777778" header="0.51180555555555" footer="0.51180555555555"/>
  <pageSetup paperSize="9" orientation="landscape" scale="9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4"/>
  <sheetViews>
    <sheetView tabSelected="0" workbookViewId="0" showGridLines="true" showRowColHeaders="1">
      <selection activeCell="A2" sqref="A2"/>
    </sheetView>
  </sheetViews>
  <sheetFormatPr customHeight="true" defaultRowHeight="12.75" defaultColWidth="11" outlineLevelRow="0" outlineLevelCol="0"/>
  <cols>
    <col min="1" max="1" width="4.42578125" customWidth="true" style="57"/>
    <col min="2" max="2" width="4.42578125" customWidth="true" style="57"/>
    <col min="3" max="3" width="4.42578125" customWidth="true" style="57"/>
    <col min="4" max="4" width="4.42578125" customWidth="true" style="57"/>
    <col min="5" max="5" width="7.5703125" customWidth="true" style="57"/>
    <col min="6" max="6" width="5.85546875" customWidth="true" style="57"/>
    <col min="7" max="7" width="4.42578125" customWidth="true" style="58"/>
    <col min="8" max="8" width="4.42578125" customWidth="true" style="57"/>
    <col min="9" max="9" width="4.42578125" customWidth="true" style="57"/>
    <col min="10" max="10" width="4.42578125" customWidth="true" style="57"/>
    <col min="11" max="11" width="4.42578125" customWidth="true" style="57"/>
    <col min="12" max="12" width="5" customWidth="true" style="57"/>
    <col min="13" max="13" width="4.42578125" customWidth="true" style="57"/>
    <col min="14" max="14" width="4.42578125" customWidth="true" style="57"/>
    <col min="15" max="15" width="24.7109375" customWidth="true" style="57"/>
    <col min="16" max="16" width="14.85546875" customWidth="true" style="57"/>
    <col min="17" max="17" width="14.7109375" customWidth="true" style="57"/>
  </cols>
  <sheetData>
    <row r="1" spans="1:17" customHeight="1" ht="15.75">
      <c r="A1" s="159" t="s">
        <v>5</v>
      </c>
      <c r="B1" s="159"/>
      <c r="C1" s="159"/>
      <c r="D1" s="160">
        <v>2022</v>
      </c>
      <c r="E1" s="160"/>
      <c r="F1" s="55"/>
      <c r="G1" s="55"/>
      <c r="H1" s="56"/>
      <c r="I1" s="56"/>
      <c r="J1" s="56"/>
      <c r="K1" s="56"/>
      <c r="L1" s="56"/>
      <c r="M1" s="56"/>
      <c r="N1" s="56"/>
      <c r="P1" s="161" t="s">
        <v>55</v>
      </c>
      <c r="Q1" s="161"/>
    </row>
    <row r="2" spans="1:17" customHeight="1" ht="15.75">
      <c r="H2" s="56"/>
      <c r="I2" s="56"/>
      <c r="J2" s="56"/>
      <c r="K2" s="56"/>
      <c r="L2" s="56"/>
      <c r="M2" s="56"/>
      <c r="N2" s="56"/>
      <c r="P2" s="161"/>
      <c r="Q2" s="161"/>
    </row>
    <row r="4" spans="1:17" customHeight="1" ht="18" s="59" customFormat="1">
      <c r="A4" s="162" t="s">
        <v>56</v>
      </c>
      <c r="B4" s="162"/>
      <c r="C4" s="162"/>
      <c r="D4" s="162"/>
      <c r="E4" s="162"/>
      <c r="F4" s="162"/>
      <c r="G4" s="163" t="s">
        <v>2</v>
      </c>
      <c r="H4" s="163"/>
      <c r="I4" s="163"/>
      <c r="J4" s="163"/>
      <c r="K4" s="163"/>
      <c r="L4" s="163"/>
      <c r="M4" s="163"/>
      <c r="N4" s="163"/>
      <c r="O4" s="163"/>
      <c r="P4" s="163"/>
      <c r="Q4" s="163"/>
    </row>
    <row r="5" spans="1:17" customHeight="1" ht="32.25" s="59" customFormat="1">
      <c r="A5" s="164" t="s">
        <v>37</v>
      </c>
      <c r="B5" s="165"/>
      <c r="C5" s="165"/>
      <c r="D5" s="165"/>
      <c r="E5" s="165"/>
      <c r="F5" s="166"/>
      <c r="G5" s="167" t="s">
        <v>4</v>
      </c>
      <c r="H5" s="167"/>
      <c r="I5" s="167"/>
      <c r="J5" s="167"/>
      <c r="K5" s="167"/>
      <c r="L5" s="167"/>
      <c r="M5" s="167"/>
      <c r="N5" s="167"/>
      <c r="O5" s="167"/>
      <c r="P5" s="167"/>
      <c r="Q5" s="167"/>
    </row>
    <row r="6" spans="1:17" customHeight="1" ht="18" s="59" customFormat="1">
      <c r="A6" s="164" t="s">
        <v>38</v>
      </c>
      <c r="B6" s="165"/>
      <c r="C6" s="165"/>
      <c r="D6" s="165"/>
      <c r="E6" s="165"/>
      <c r="F6" s="166"/>
      <c r="G6" s="163" t="s">
        <v>39</v>
      </c>
      <c r="H6" s="163"/>
      <c r="I6" s="163"/>
      <c r="J6" s="163"/>
      <c r="K6" s="163"/>
      <c r="L6" s="163"/>
      <c r="M6" s="163"/>
      <c r="N6" s="163"/>
      <c r="O6" s="163"/>
      <c r="P6" s="163"/>
      <c r="Q6" s="163"/>
    </row>
    <row r="7" spans="1:17" customHeight="1" ht="44.25" s="59" customFormat="1">
      <c r="A7" s="164" t="s">
        <v>40</v>
      </c>
      <c r="B7" s="165"/>
      <c r="C7" s="165"/>
      <c r="D7" s="165"/>
      <c r="E7" s="165"/>
      <c r="F7" s="166"/>
      <c r="G7" s="170" t="s">
        <v>39</v>
      </c>
      <c r="H7" s="171"/>
      <c r="I7" s="171"/>
      <c r="J7" s="171"/>
      <c r="K7" s="171"/>
      <c r="L7" s="171"/>
      <c r="M7" s="171"/>
      <c r="N7" s="171"/>
      <c r="O7" s="171"/>
      <c r="P7" s="171"/>
      <c r="Q7" s="172"/>
    </row>
    <row r="8" spans="1:17" customHeight="1" ht="18">
      <c r="A8" s="139" t="s">
        <v>57</v>
      </c>
      <c r="B8" s="139"/>
      <c r="C8" s="139" t="s">
        <v>42</v>
      </c>
      <c r="D8" s="139"/>
      <c r="E8" s="139"/>
      <c r="F8" s="139"/>
      <c r="G8" s="139"/>
      <c r="H8" s="139"/>
      <c r="I8" s="139"/>
      <c r="J8" s="139"/>
      <c r="K8" s="139"/>
      <c r="L8" s="139"/>
      <c r="M8" s="139"/>
      <c r="N8" s="139"/>
      <c r="O8" s="139"/>
      <c r="P8" s="139"/>
      <c r="Q8" s="139"/>
    </row>
    <row r="9" spans="1:17" customHeight="1" ht="18">
      <c r="A9" s="144" t="s">
        <v>58</v>
      </c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60"/>
      <c r="P9" s="60"/>
      <c r="Q9" s="61"/>
    </row>
    <row r="10" spans="1:17" customHeight="1" ht="54.75">
      <c r="A10" s="145" t="s">
        <v>59</v>
      </c>
      <c r="B10" s="146"/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</row>
    <row r="11" spans="1:17" customHeight="1" ht="9">
      <c r="A11" s="62"/>
      <c r="B11" s="63"/>
      <c r="C11" s="63"/>
      <c r="D11" s="63"/>
      <c r="E11" s="63"/>
      <c r="F11" s="63"/>
      <c r="G11" s="64"/>
      <c r="H11" s="63"/>
      <c r="I11" s="63"/>
      <c r="J11" s="63"/>
      <c r="K11" s="63"/>
      <c r="L11" s="63"/>
      <c r="M11" s="63"/>
      <c r="N11" s="63"/>
      <c r="O11" s="63"/>
      <c r="P11" s="63"/>
      <c r="Q11" s="65"/>
    </row>
    <row r="12" spans="1:17" customHeight="1" ht="15.75">
      <c r="A12" s="176" t="s">
        <v>60</v>
      </c>
      <c r="B12" s="176"/>
      <c r="C12" s="176"/>
      <c r="D12" s="176"/>
      <c r="E12" s="176"/>
      <c r="F12" s="176"/>
      <c r="G12" s="176"/>
      <c r="H12" s="176"/>
      <c r="I12" s="176"/>
      <c r="J12" s="176"/>
      <c r="K12" s="176"/>
      <c r="L12" s="176"/>
      <c r="M12" s="176"/>
      <c r="N12" s="176"/>
      <c r="O12" s="176"/>
      <c r="P12" s="176"/>
      <c r="Q12" s="176"/>
    </row>
    <row r="13" spans="1:17" customHeight="1" ht="15.75">
      <c r="A13" s="176" t="s">
        <v>61</v>
      </c>
      <c r="B13" s="176"/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7"/>
      <c r="O13" s="148" t="s">
        <v>62</v>
      </c>
      <c r="P13" s="149"/>
      <c r="Q13" s="152" t="s">
        <v>63</v>
      </c>
    </row>
    <row r="14" spans="1:17" customHeight="1" ht="15.75">
      <c r="A14" s="66" t="s">
        <v>64</v>
      </c>
      <c r="B14" s="66" t="s">
        <v>65</v>
      </c>
      <c r="C14" s="66" t="s">
        <v>66</v>
      </c>
      <c r="D14" s="66" t="s">
        <v>67</v>
      </c>
      <c r="E14" s="66" t="s">
        <v>68</v>
      </c>
      <c r="F14" s="66" t="s">
        <v>69</v>
      </c>
      <c r="G14" s="67" t="s">
        <v>70</v>
      </c>
      <c r="H14" s="66" t="s">
        <v>71</v>
      </c>
      <c r="I14" s="66" t="s">
        <v>72</v>
      </c>
      <c r="J14" s="66" t="s">
        <v>73</v>
      </c>
      <c r="K14" s="66" t="s">
        <v>73</v>
      </c>
      <c r="L14" s="66" t="s">
        <v>74</v>
      </c>
      <c r="M14" s="66" t="s">
        <v>75</v>
      </c>
      <c r="N14" s="66" t="s">
        <v>76</v>
      </c>
      <c r="O14" s="150"/>
      <c r="P14" s="151"/>
      <c r="Q14" s="153"/>
    </row>
    <row r="15" spans="1:17" customHeight="1" ht="24.75" s="72" customFormat="1">
      <c r="A15" s="68"/>
      <c r="B15" s="69">
        <v>0</v>
      </c>
      <c r="C15" s="69">
        <v>0</v>
      </c>
      <c r="D15" s="69"/>
      <c r="E15" s="69"/>
      <c r="F15" s="69">
        <v>4901</v>
      </c>
      <c r="G15" s="69"/>
      <c r="H15" s="69"/>
      <c r="I15" s="69">
        <v>2</v>
      </c>
      <c r="J15" s="69">
        <v>5</v>
      </c>
      <c r="K15" s="69">
        <v>6</v>
      </c>
      <c r="L15" s="69">
        <v>0</v>
      </c>
      <c r="M15" s="70">
        <v>1</v>
      </c>
      <c r="N15" s="83">
        <v>11</v>
      </c>
      <c r="O15" s="78" t="s">
        <v>19</v>
      </c>
      <c r="P15" s="77"/>
      <c r="Q15" s="71">
        <v>3061500.0</v>
      </c>
    </row>
    <row r="16" spans="1:17" customHeight="1" ht="24.75">
      <c r="A16" s="68"/>
      <c r="B16" s="69"/>
      <c r="C16" s="69"/>
      <c r="D16" s="69"/>
      <c r="E16" s="69"/>
      <c r="F16" s="69"/>
      <c r="G16" s="69"/>
      <c r="H16" s="69"/>
      <c r="I16" s="69"/>
      <c r="J16" s="69"/>
      <c r="K16" s="69"/>
      <c r="L16" s="69"/>
      <c r="M16" s="70"/>
      <c r="N16" s="83"/>
      <c r="O16" s="78"/>
      <c r="P16" s="77"/>
      <c r="Q16" s="71"/>
    </row>
    <row r="17" spans="1:17" customHeight="1" ht="24.75" s="72" customFormat="1">
      <c r="A17" s="68"/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  <c r="N17" s="83"/>
      <c r="O17" s="78"/>
      <c r="P17" s="77"/>
      <c r="Q17" s="71"/>
    </row>
    <row r="18" spans="1:17" customHeight="1" ht="33.75">
      <c r="A18" s="154" t="s">
        <v>77</v>
      </c>
      <c r="B18" s="155"/>
      <c r="C18" s="156" t="s">
        <v>23</v>
      </c>
      <c r="D18" s="157"/>
      <c r="E18" s="157"/>
      <c r="F18" s="157"/>
      <c r="G18" s="157"/>
      <c r="H18" s="157"/>
      <c r="I18" s="157"/>
      <c r="J18" s="157"/>
      <c r="K18" s="157"/>
      <c r="L18" s="157"/>
      <c r="M18" s="157"/>
      <c r="N18" s="157"/>
      <c r="O18" s="157"/>
      <c r="P18" s="158"/>
      <c r="Q18" s="73">
        <f>SUM(Q15:Q17)</f>
        <v>3061500</v>
      </c>
    </row>
    <row r="19" spans="1:17" customHeight="1" ht="18">
      <c r="A19" s="175"/>
      <c r="B19" s="175"/>
      <c r="C19" s="175"/>
      <c r="D19" s="175"/>
      <c r="E19" s="175"/>
      <c r="F19" s="175"/>
      <c r="G19" s="175"/>
      <c r="H19" s="175"/>
      <c r="I19" s="175"/>
      <c r="J19" s="175"/>
      <c r="K19" s="175"/>
      <c r="L19" s="175"/>
      <c r="M19" s="175"/>
      <c r="N19" s="175"/>
      <c r="O19" s="175"/>
      <c r="P19" s="175"/>
      <c r="Q19" s="175"/>
    </row>
    <row r="20" spans="1:17" customHeight="1" ht="17.25">
      <c r="A20" s="140" t="s">
        <v>78</v>
      </c>
      <c r="B20" s="141"/>
      <c r="C20" s="141"/>
      <c r="D20" s="141"/>
      <c r="E20" s="141"/>
      <c r="F20" s="142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</row>
    <row r="21" spans="1:17" customHeight="1" ht="18">
      <c r="A21" s="173" t="s">
        <v>44</v>
      </c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3"/>
    </row>
    <row r="22" spans="1:17" customHeight="1" ht="28.5">
      <c r="A22" s="174"/>
      <c r="B22" s="174"/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</row>
    <row r="23" spans="1:17" customHeight="1" ht="15.75">
      <c r="A23" s="140" t="s">
        <v>79</v>
      </c>
      <c r="B23" s="141"/>
      <c r="C23" s="141"/>
      <c r="D23" s="141"/>
      <c r="E23" s="141"/>
      <c r="F23" s="142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9"/>
    </row>
    <row r="24" spans="1:17" customHeight="1" ht="13.5">
      <c r="A24" s="74"/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6"/>
    </row>
  </sheetData>
  <sheetProtection sheet="false" objects="false" scenarios="false" formatCells="true" formatColumns="true" formatRows="true" insertColumns="true" insertRows="true" insertHyperlinks="true" deleteColumns="true" deleteRows="true" selectLockedCells="false" sort="true" autoFilter="true" pivotTables="true" selectUnlockedCells="false"/>
  <mergeCells>
    <mergeCell ref="A23:F23"/>
    <mergeCell ref="G23:Q23"/>
    <mergeCell ref="A6:F6"/>
    <mergeCell ref="G6:Q6"/>
    <mergeCell ref="A7:F7"/>
    <mergeCell ref="G7:Q7"/>
    <mergeCell ref="A21:Q22"/>
    <mergeCell ref="A19:Q19"/>
    <mergeCell ref="A12:Q12"/>
    <mergeCell ref="A13:N13"/>
    <mergeCell ref="A1:C1"/>
    <mergeCell ref="D1:E1"/>
    <mergeCell ref="P1:Q2"/>
    <mergeCell ref="A4:F4"/>
    <mergeCell ref="G4:Q4"/>
    <mergeCell ref="A5:F5"/>
    <mergeCell ref="G5:Q5"/>
    <mergeCell ref="A8:Q8"/>
    <mergeCell ref="A20:F20"/>
    <mergeCell ref="G20:Q20"/>
    <mergeCell ref="A9:N9"/>
    <mergeCell ref="A10:Q10"/>
    <mergeCell ref="O13:P14"/>
    <mergeCell ref="Q13:Q14"/>
    <mergeCell ref="A18:B18"/>
    <mergeCell ref="C18:P18"/>
  </mergeCells>
  <printOptions gridLines="false" gridLinesSet="true" horizontalCentered="true"/>
  <pageMargins left="0.39375" right="0.39375" top="0.98402777777778" bottom="0.98402777777778" header="0.51180555555555" footer="0.51180555555555"/>
  <pageSetup paperSize="9" orientation="portrait" scale="8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Necesidades Trimestrales</vt:lpstr>
      <vt:lpstr>Nota Pedido MIDSP</vt:lpstr>
      <vt:lpstr>APG MIDSP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2022-07-06T14:43:28+00:00</dcterms:created>
  <dcterms:modified xsi:type="dcterms:W3CDTF">2022-07-15T12:40:22+00:00</dcterms:modified>
  <dc:title/>
  <dc:description/>
  <dc:subject/>
  <cp:keywords/>
  <cp:category/>
</cp:coreProperties>
</file>