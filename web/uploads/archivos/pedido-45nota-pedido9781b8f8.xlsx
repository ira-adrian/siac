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M SALUD\REACTIVOS PARA AGUA\final\"/>
    </mc:Choice>
  </mc:AlternateContent>
  <xr:revisionPtr revIDLastSave="0" documentId="13_ncr:1_{42030D66-60C5-4B19-9B93-CD7DDD145C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10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12" i="2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3" i="2"/>
  <c r="M33" i="2" s="1"/>
  <c r="J34" i="2"/>
  <c r="M34" i="2" s="1"/>
  <c r="J35" i="2"/>
  <c r="M35" i="2" s="1"/>
  <c r="J36" i="2"/>
  <c r="M36" i="2" s="1"/>
  <c r="J37" i="2"/>
  <c r="M37" i="2" s="1"/>
  <c r="J38" i="2"/>
  <c r="M38" i="2" s="1"/>
  <c r="J39" i="2"/>
  <c r="M39" i="2" s="1"/>
  <c r="J40" i="2"/>
  <c r="M40" i="2" s="1"/>
  <c r="J41" i="2"/>
  <c r="M41" i="2" s="1"/>
  <c r="J42" i="2"/>
  <c r="M42" i="2" s="1"/>
  <c r="J43" i="2"/>
  <c r="M43" i="2" s="1"/>
  <c r="J44" i="2"/>
  <c r="M44" i="2" s="1"/>
  <c r="J45" i="2"/>
  <c r="M45" i="2" s="1"/>
  <c r="J46" i="2"/>
  <c r="M46" i="2" s="1"/>
  <c r="J47" i="2"/>
  <c r="M47" i="2" s="1"/>
  <c r="J48" i="2"/>
  <c r="M48" i="2" s="1"/>
  <c r="J49" i="2"/>
  <c r="M49" i="2" s="1"/>
  <c r="J50" i="2"/>
  <c r="M50" i="2" s="1"/>
  <c r="J51" i="2"/>
  <c r="M51" i="2" s="1"/>
  <c r="J52" i="2"/>
  <c r="M52" i="2" s="1"/>
  <c r="J53" i="2"/>
  <c r="M53" i="2" s="1"/>
  <c r="J54" i="2"/>
  <c r="M54" i="2" s="1"/>
  <c r="J55" i="2"/>
  <c r="M55" i="2" s="1"/>
  <c r="J56" i="2"/>
  <c r="M56" i="2" s="1"/>
  <c r="J57" i="2"/>
  <c r="M57" i="2" s="1"/>
  <c r="J58" i="2"/>
  <c r="M58" i="2" s="1"/>
  <c r="J59" i="2"/>
  <c r="M59" i="2" s="1"/>
  <c r="J60" i="2"/>
  <c r="M60" i="2" s="1"/>
  <c r="J61" i="2"/>
  <c r="M61" i="2" s="1"/>
  <c r="J62" i="2"/>
  <c r="M62" i="2" s="1"/>
  <c r="J63" i="2"/>
  <c r="M63" i="2" s="1"/>
  <c r="J12" i="2"/>
  <c r="M12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12" i="2"/>
  <c r="A41" i="3"/>
  <c r="G7" i="3"/>
  <c r="G6" i="3"/>
  <c r="D4" i="2"/>
  <c r="G5" i="3" s="1"/>
  <c r="D3" i="2"/>
  <c r="G4" i="3" s="1"/>
  <c r="M65" i="2" l="1"/>
  <c r="J65" i="2" s="1"/>
  <c r="Q15" i="3" s="1"/>
  <c r="Q38" i="3" s="1"/>
  <c r="I62" i="1" l="1"/>
</calcChain>
</file>

<file path=xl/sharedStrings.xml><?xml version="1.0" encoding="utf-8"?>
<sst xmlns="http://schemas.openxmlformats.org/spreadsheetml/2006/main" count="391" uniqueCount="182">
  <si>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</si>
  <si>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</si>
  <si>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</si>
  <si>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</si>
  <si>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</si>
  <si>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</si>
  <si>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</si>
  <si>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</si>
  <si>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</si>
  <si>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</si>
  <si>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</si>
  <si>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</si>
  <si>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</si>
  <si>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</si>
  <si>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</si>
  <si>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</si>
  <si>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</si>
  <si>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</si>
  <si>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</si>
  <si>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2.5.1-9009.29</t>
  </si>
  <si>
    <t>QUIMICOS</t>
  </si>
  <si>
    <t>2.5.1</t>
  </si>
  <si>
    <t>2.5.1-9009.99</t>
  </si>
  <si>
    <t>ACIDOS; COMPUESTO QUIMICO: AC. SULFURICO, ESTADO: LIQUIDO, CALIDAD: PRO ANALISIS, CONCENTRACION/PUREZA: 98 %, PRESENTACION: ENVASE X 1 L</t>
  </si>
  <si>
    <t>2.5.1-9013.22</t>
  </si>
  <si>
    <t>2.5.1-9015.66</t>
  </si>
  <si>
    <t>BASES; COMPUESTO QUIMICO: HIDROXIDO DE POTASIO, ESTADO: SOLIDO, CALIDAD: FARMACOPEA, CONCENTRACION/PUREZA: 98 %, PRESENTACION: ENVASE X 1 Kg</t>
  </si>
  <si>
    <t>2.5.1-9015.52</t>
  </si>
  <si>
    <t>BASES; COMPUESTO QUIMICO: HIDROXIDO DE SODIO, ESTADO: SOLUCION, CALIDAD: PRO ANALISIS, CONCENTRACION/PUREZA: 0,1 N, PRESENTACION: ENVASE X 1 L</t>
  </si>
  <si>
    <t>HIDROCARBUROS; COMPUESTO QUIMICO: CICLOHEXANO, ESTADO: LIQUIDO, CONCENTRACION/PUREZA: 100 %, PRESENTACION: ENVASE X 1 L, CALIDAD: PRO ANALISIS</t>
  </si>
  <si>
    <t>2.5.1-9016.184</t>
  </si>
  <si>
    <t>QUÍMICOS</t>
  </si>
  <si>
    <t>MEDIOS DE CULTIVO Y SUPLEMENTO; NOMBRE DEL PRODUCTO: AGAR BAIRD PARKER, ESTADO: SOLIDO, PRESENTACION: ENVASE X 500 GR</t>
  </si>
  <si>
    <t>2.5.1-9016.774</t>
  </si>
  <si>
    <t>MEDIOS DE CULTIVO Y SUPLEMENTO; NOMBRE DEL PRODUCTO: AGAR BASE BACILLUS CEREUS, ESTADO: SOLIDO, PRESENTACION: ENVASE X 500 GR</t>
  </si>
  <si>
    <t>MEDIOS DE CULTIVO Y SUPLEMENTO; NOMBRE DEL PRODUCTO: AGAR BASE SANGRE, ESTADO: SOLIDO, PRESENTACION: ENVASE X 500 Ml</t>
  </si>
  <si>
    <t>2.5.1-9016.205</t>
  </si>
  <si>
    <t>MEDIOS DE CULTIVO Y SUPLEMENTO; NOMBRE DEL PRODUCTO: AGAR BILIS ESCULINA AZIDA, ESTADO: SOLIDO, PRESENTACION: ENVASE X 100 GR</t>
  </si>
  <si>
    <t>2.5.1-9016.78</t>
  </si>
  <si>
    <t>MEDIOS DE CULTIVO Y SUPLEMENTO; NOMBRE DEL PRODUCTO: AGAR CETRIMIDA, ESTADO: SOLIDO, PRESENTACION: ENVASE X 500 GR</t>
  </si>
  <si>
    <t>2.5.1-9016.646</t>
  </si>
  <si>
    <t>2.5.1-9016.244</t>
  </si>
  <si>
    <t>MEDIOS DE CULTIVO Y SUPLEMENTO; NOMBRE DEL PRODUCTO: AGAR MAC CONKEY SORBITOL, ESTADO: SOLIDO, PRESENTACION: ENVASE X 500 GR</t>
  </si>
  <si>
    <t>2.5.1-9016.241</t>
  </si>
  <si>
    <t>MEDIOS DE CULTIVO Y SUPLEMENTO; NOMBRE DEL PRODUCTO: AGAR MAC CONKEY, ESTADO: SOLIDO, PRESENTACION: ENVASE X 500 GR</t>
  </si>
  <si>
    <t>2.5.1-9016.952</t>
  </si>
  <si>
    <t>MEDIOS DE CULTIVO Y SUPLEMENTO; NOMBRE DEL PRODUCTO: AGAR MANITOL SALADO, ESTADO: SOLIDO, PRESENTACION: ENVASE X 100 GR</t>
  </si>
  <si>
    <t>2.5.1-9016.200</t>
  </si>
  <si>
    <t>MEDIOS DE CULTIVO Y SUPLEMENTO; NOMBRE DEL PRODUCTO: AGAR NUTRITIVO, ESTADO: SOLIDO, PRESENTACION: ENVASE X 500 GR</t>
  </si>
  <si>
    <t>2.5.1-9016.86</t>
  </si>
  <si>
    <t>MEDIOS DE CULTIVO Y SUPLEMENTO; NOMBRE DEL PRODUCTO: AGAR RECUENTO TOTAL, ESTADO: SOLIDO, PRESENTACION: ENVASE X 500 GR</t>
  </si>
  <si>
    <t>2.5.1-9016.264</t>
  </si>
  <si>
    <t>MEDIOS DE CULTIVO Y SUPLEMENTO; NOMBRE DEL PRODUCTO: AGAR SABOURAUD GLUCOSA, ESTADO: SOLIDO, PRESENTACION: ENVASE X 500 GR</t>
  </si>
  <si>
    <t>2.5.1-9016.392</t>
  </si>
  <si>
    <t>MEDIOS DE CULTIVO Y SUPLEMENTO; NOMBRE DEL PRODUCTO: AGAR SALMONELLA- SHIGELLA, ESTADO: SOLIDO, PRESENTACION: ENVASE X 500 GR</t>
  </si>
  <si>
    <t>2.5.1-9016.826</t>
  </si>
  <si>
    <t>MEDIOS DE CULTIVO Y SUPLEMENTO; NOMBRE DEL PRODUCTO: AGAR TIOGLICOLATO RESAZURINA, ESTADO: SOLIDO, PRESENTACION: ENVASE X 500 GR</t>
  </si>
  <si>
    <t>2.5.1-9016.874</t>
  </si>
  <si>
    <t>MEDIOS DE CULTIVO Y SUPLEMENTO; NOMBRE DEL PRODUCTO: AGAR VIOLETA ROJO BILIS GLUCOS, ESTADO: SOLIDO, PRESENTACION: ENVASE X 500 GR</t>
  </si>
  <si>
    <t>2.5.1-9016.366</t>
  </si>
  <si>
    <t>MEDIOS DE CULTIVO Y SUPLEMENTO; NOMBRE DEL PRODUCTO: AGAR VIOLETA ROJO NEUTRO BILIS, ESTADO: SOLIDO, PRESENTACION: ENVASE X 500 GR</t>
  </si>
  <si>
    <t>2.5.1-9016.71</t>
  </si>
  <si>
    <t>MEDIOS DE CULTIVO Y SUPLEMENTO; NOMBRE DEL PRODUCTO: AGAR XLT, ESTADO: SOLIDO, PRESENTACION: ENVASE X 500 GR</t>
  </si>
  <si>
    <t>2.5.1-9016.664</t>
  </si>
  <si>
    <t>MEDIOS DE CULTIVO Y SUPLEMENTO; NOMBRE DEL PRODUCTO: C.LAURIL SULFATO TRIPTOSA MODI, ESTADO: SOLIDO, PRESENTACION: ENVASE X 500 mGr</t>
  </si>
  <si>
    <t>2.5.1-9016.145</t>
  </si>
  <si>
    <t>MEDIOS DE CULTIVO Y SUPLEMENTO; NOMBRE DEL PRODUCTO: CALDO AZIDA GLUCOSA, ESTADO: SOLIDO, PRESENTACION: ENVASE X 500 GR</t>
  </si>
  <si>
    <t>2.5.1-9016.373</t>
  </si>
  <si>
    <t>MEDIOS DE CULTIVO Y SUPLEMENTO; NOMBRE DEL PRODUCTO: CALDO ESCHERICHIA COLI, ESTADO: SOLIDO, PRESENTACION: ENVASE X 500 GR</t>
  </si>
  <si>
    <t>2.5.1-9016.503</t>
  </si>
  <si>
    <t>MEDIOS DE CULTIVO Y SUPLEMENTO; NOMBRE DEL PRODUCTO: CALDO GIOLITTI CANTONI, ESTADO: SOLIDO, PRESENTACION: ENVASE X 500 GR</t>
  </si>
  <si>
    <t>2.5.1-9016.54</t>
  </si>
  <si>
    <t>MEDIOS DE CULTIVO Y SUPLEMENTO; NOMBRE DEL PRODUCTO: CALDO SELENITO VERDE BRILLANTE, ESTADO: SOLIDO, PRESENTACION: ENVASE X 500 GR</t>
  </si>
  <si>
    <t>2.5.1-9016.46</t>
  </si>
  <si>
    <t xml:space="preserve">MEDIOS DE CULTIVO Y SUPLEMENTO; NOMBRE DEL PRODUCTO: CALDO TETRATIONATO, ESTADO: SOLIDO, PRESENTACION: ENVASE X 500 GR            </t>
  </si>
  <si>
    <t>2.5.1-8976.27</t>
  </si>
  <si>
    <t>MEDIOS DE CULTIVO Y SUPLEMENTO; NOMBRE DEL PRODUCTO: GENERADORES DE ANAEROBIOSIS, ESTADO: SOLIDO, PRESENTACION: ENVASE X 10 UN</t>
  </si>
  <si>
    <t>2.5.1-9016.848</t>
  </si>
  <si>
    <t>MEDIOS DE CULTIVO Y SUPLEMENTO; NOMBRE DEL PRODUCTO: NOVOBIOCINA MONOSODICA, ESTADO: SOLIDO, PRESENTACION: ENVASE X 10 GR</t>
  </si>
  <si>
    <t>2.5.1-9016.640</t>
  </si>
  <si>
    <t xml:space="preserve">MEDIOS DE CULTIVO Y SUPLEMENTO; NOMBRE DEL PRODUCTO: PEPTONA ACIDA DE CASEINA, ESTADO: SOLIDO, PRESENTACION: ENVASE X 100 GR            </t>
  </si>
  <si>
    <t>2.5.1-9016.410</t>
  </si>
  <si>
    <t>MEDIOS DE CULTIVO Y SUPLEMENTO; NOMBRE DEL PRODUCTO: SUP.EMULSION YEMA DE HUEVO, ESTADO: SOLUCION, PRESENTACION: ENVASE X 100 mL</t>
  </si>
  <si>
    <t>2.5.1-9016.709</t>
  </si>
  <si>
    <t>MEDIOS DE CULTIVO Y SUPLEMENTO; NOMBRE DEL PRODUCTO: TIOGLICOLATO USP MEDIO, ESTADO: SOLIDO, PRESENTACION: ENVASE X 500 GR</t>
  </si>
  <si>
    <t>2.5.1-9052.2018</t>
  </si>
  <si>
    <t>2.5.1-9052.1090</t>
  </si>
  <si>
    <t>REACTIVOS P/LAB. TEC. MANUAL ; NOMBRE: DET BACT AEROBIC/HONGOS Y LEV., USO: MICROBIOLOGIA, PRESENTACION: ENVASE X 60 DETERM.</t>
  </si>
  <si>
    <t>2.5.1-9052.305</t>
  </si>
  <si>
    <t>REACTIVOS P/LAB. TEC. MANUAL ; NOMBRE: DET. DE CLORO LIBRE, USO: ANALISIS DE AGUA, PRESENTACION: ENVASE X 50 DETERM.</t>
  </si>
  <si>
    <t>2.5.1-9052.1171</t>
  </si>
  <si>
    <t>REACTIVOS P/LAB. TEC. MANUAL ; NOMBRE: DETERMINACION DE AMONIO, USO: ANALISIS DE AGUA, PRESENTACION: ENVASE X 30 DETERM.</t>
  </si>
  <si>
    <t>2.5.1-9052.1172</t>
  </si>
  <si>
    <t>REACTIVOS P/LAB. TEC. MANUAL ; NOMBRE: DETERMINACION DE CLORURO, USO: ANALISIS DE AGUA, PRESENTACION: ENVASE X 30 DETERM.</t>
  </si>
  <si>
    <t>2.5.1-9052.1173</t>
  </si>
  <si>
    <t>REACTIVOS P/LAB. TEC. MANUAL ; NOMBRE: DETERMINACION DE CROMO, USO: ANALISIS DE AGUA, PRESENTACION: ENVASE X 30 DETERM.</t>
  </si>
  <si>
    <t>2.5.1-9052.1176</t>
  </si>
  <si>
    <t>REACTIVOS P/LAB. TEC. MANUAL ; NOMBRE: DETERMINACION DE DETERGENTES, USO: ANALISIS DE AGUA, PRESENTACION: ENVASE X 30 DETERM.</t>
  </si>
  <si>
    <t>2.5.1-9052.1177</t>
  </si>
  <si>
    <t>REACTIVOS P/LAB. TEC. MANUAL ; NOMBRE: DETERMINACION DE DUREZA, USO: ANALISIS DE AGUA, PRESENTACION: ENVASE X 30 DETERM.</t>
  </si>
  <si>
    <t>2.5.1-9052.1187</t>
  </si>
  <si>
    <t>REACTIVOS P/LAB. TEC. MANUAL ; NOMBRE: DETERMINACION DE FENOLES, USO: ANALISIS DE AGUA, PRESENTACION: ENVASE X 30 DETERM.</t>
  </si>
  <si>
    <t>2.5.1-9052.1188</t>
  </si>
  <si>
    <t>REACTIVOS P/LAB. TEC. MANUAL ; NOMBRE: DETERMINACION DE FOSFATO, USO: ANALISIS DE AGUA, PRESENTACION: ENVASE X 30 DETERM.</t>
  </si>
  <si>
    <t>2.5.1-9052.1178</t>
  </si>
  <si>
    <t>REACTIVOS P/LAB. TEC. MANUAL ; NOMBRE: DETERMINACION DE HIERRO, USO: ANALISIS DE AGUA, PRESENTACION: ENVASE X 30 DETERM.</t>
  </si>
  <si>
    <t>2.5.1-9052.1181</t>
  </si>
  <si>
    <t>REACTIVOS P/LAB. TEC. MANUAL ; NOMBRE: DETERMINACION DE NITRATOS, USO: ANALISIS DE AGUA, PRESENTACION: ENVASE X 30 DETERM.</t>
  </si>
  <si>
    <t>2.5.1-9052.1182</t>
  </si>
  <si>
    <t>REACTIVOS P/LAB. TEC. MANUAL ; NOMBRE: DETERMINACION DE NITRITOS, USO: ANALISIS DE AGUA, PRESENTACION: ENVASE X 30 DETERM.</t>
  </si>
  <si>
    <t>2.5.1-9052.1189</t>
  </si>
  <si>
    <t>REACTIVOS P/LAB. TEC. MANUAL ; NOMBRE: DETERMINACION DE SILICE, USO: ANALISIS DE AGUA, PRESENTACION: ENVASE X 30 DETERM.</t>
  </si>
  <si>
    <t>2.5.1-9052.1190</t>
  </si>
  <si>
    <t>REACTIVOS P/LAB. TEC. MANUAL ; NOMBRE: DETERMINACION DE SULFATO, USO: ANALISIS DE AGUA, PRESENTACION: ENVASE X 30 DETERM.</t>
  </si>
  <si>
    <t>2.5.1-9052.2022</t>
  </si>
  <si>
    <t>REACTIVOS P/LAB. TEC. MANUAL ; NOMBRE: KIT DETERM DE FLUOR, USO: ANALISIS DE AGUA, PRESENTACION: ENVASE X 150 UN</t>
  </si>
  <si>
    <t>2.5.1-9004.912</t>
  </si>
  <si>
    <t xml:space="preserve">SALES; COMPUESTO QUIMICO: NITRATO DE PLATA, ESTADO: SOLUCION, CALIDAD: PRO ANALISIS, CONCENTRACION/PUREZA: 0,1 N, PRESENTACION: ENVASE X 1 L, GRADO HIDRATACION: SOLUCION  </t>
  </si>
  <si>
    <t>2.5.1-9004.334</t>
  </si>
  <si>
    <t xml:space="preserve">SALES; COMPUESTO QUIMICO: TELURITO DE POTASIO, ESTADO: SOLIDO, CALIDAD: PRO ANALISIS, CONCENTRACION/PUREZA: 99 %, PRESENTACION: ENVASE X 25 GR, GRADO HIDRATACION: ANHIDRO            </t>
  </si>
  <si>
    <t>TOTAL RUBRO QUIMICOS PARA AGUA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</si>
  <si>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</si>
  <si>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</si>
  <si>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</si>
  <si>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</si>
  <si>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</si>
  <si>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</si>
  <si>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</si>
  <si>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</si>
  <si>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</si>
  <si>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</si>
  <si>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</si>
  <si>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</si>
  <si>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</si>
  <si>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</si>
  <si>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</si>
  <si>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</si>
  <si>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</si>
  <si>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</si>
  <si>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</si>
  <si>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</si>
  <si>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</si>
  <si>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</si>
  <si>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</si>
  <si>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</si>
  <si>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</si>
  <si>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</si>
  <si>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</si>
  <si>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</si>
  <si>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</si>
  <si>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</si>
  <si>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</si>
  <si>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</si>
  <si>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</si>
  <si>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</si>
  <si>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</si>
  <si>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</si>
  <si>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DIRECCION PROVINCIAL DE SALUD Y MEDIO AMBIENTE</t>
  </si>
  <si>
    <t>1° TRIMESTRE 2022</t>
  </si>
  <si>
    <r>
      <t>AUTORIZACIÓN</t>
    </r>
    <r>
      <rPr>
        <b/>
        <sz val="10"/>
        <rFont val="Arial"/>
        <family val="2"/>
      </rPr>
      <t>:</t>
    </r>
  </si>
  <si>
    <t>ALDEHIDOS Y CETONAS; COMPUESTO QUIMICO: ACETONA, ESTADO: LIQUIDO, CALIDAD: PRO ANALISIS, CONCENTRACION/PUREZA: 99 %, PRESENTACION: ENVASE X 1 L</t>
  </si>
  <si>
    <t>REACTIVOS P/LAB. TEC. MANUAL ; NOMBRE: KIT DETERM DE ALCALINIDAD, USO: ANALISIS DE AGUA, PRESENTACION: ENVASE X 100  UN</t>
  </si>
  <si>
    <t>NO</t>
  </si>
  <si>
    <t>Costo total estimado: UN MILLON CIENTO DIECISIETE MIL SEISCIENTOS SETENTA Y NUEVE CON 48/100.-</t>
  </si>
  <si>
    <t>1.1</t>
  </si>
  <si>
    <t>COMPUESTOS QUIMICOS</t>
  </si>
  <si>
    <t>TOTAL DE PESOS: UN MILLON CIENTO DIECISIETE MIL SEISCIENTOS SETENTA Y NUEVE CON 48/100.-</t>
  </si>
  <si>
    <t>DETALLE TECNICO Y ESPECIFICACIONES</t>
  </si>
  <si>
    <t>Plazos de entrega</t>
  </si>
  <si>
    <t>Lugar de Entrega:</t>
  </si>
  <si>
    <t>Calidad Minima esperada</t>
  </si>
  <si>
    <t>Mantenimiento</t>
  </si>
  <si>
    <t>cuarenta y cinco (45) días</t>
  </si>
  <si>
    <t>Avenida Enrique Ocampo N° 257, Capital Catamarca. - en el horario de 8:00hs a 12:00hs de lunes a viernes</t>
  </si>
  <si>
    <t xml:space="preserve"> 01/2022</t>
  </si>
  <si>
    <t>ADQUISICION DEL RUBRO REACTIVOS PARA AGUA</t>
  </si>
  <si>
    <t>2.5.1-9016.181</t>
  </si>
  <si>
    <t>2.5.1-9016.368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</si>
  <si>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</si>
  <si>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veinte  (20) dias habiles</t>
  </si>
  <si>
    <t>MEDIOS DE CULTIVO Y SUPLEMENTO; NOMBRE DEL PRODUCTO: AGAR EMB, ESTADO: SOLIDO, PRESENTACION: ENVASE X 100 GR</t>
  </si>
  <si>
    <t>ACIDOS; COMPUESTO QUIMICO: AC. CLORHIDRICO, ESTADO: SOLUCION, CALIDAD: PRO ANALISIS, CONCENTRACION/PUREZA: 37 %, PRESENTACION: ENVASE X 1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</si>
</sst>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0"/>
      <name val="Calibri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4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0" fillId="0" borderId="0" applyBorder="0" applyProtection="0"/>
    <xf numFmtId="0" fontId="23" fillId="0" borderId="61" applyProtection="0"/>
    <xf numFmtId="0" fontId="23" fillId="0" borderId="6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4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0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6" xfId="2" applyNumberFormat="1" applyFont="1" applyBorder="1" applyAlignment="1">
      <alignment horizontal="center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6" fontId="10" fillId="2" borderId="9" xfId="2" applyNumberFormat="1" applyFont="1" applyFill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166" fontId="7" fillId="2" borderId="3" xfId="2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 applyFill="1"/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166" fontId="10" fillId="0" borderId="8" xfId="0" applyNumberFormat="1" applyFont="1" applyBorder="1" applyAlignment="1">
      <alignment horizontal="center" vertical="center"/>
    </xf>
    <xf numFmtId="0" fontId="7" fillId="0" borderId="0" xfId="0" applyFont="1"/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7" fillId="0" borderId="1" xfId="0" applyFont="1" applyBorder="1" applyAlignment="1">
      <alignment wrapText="1"/>
    </xf>
    <xf numFmtId="0" fontId="7" fillId="2" borderId="1" xfId="4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left" vertical="center" wrapText="1"/>
    </xf>
    <xf numFmtId="0" fontId="7" fillId="0" borderId="1" xfId="4" applyFont="1" applyFill="1" applyBorder="1" applyAlignment="1">
      <alignment horizontal="left" vertical="center" wrapText="1"/>
    </xf>
    <xf numFmtId="0" fontId="7" fillId="0" borderId="1" xfId="0" applyFont="1" applyFill="1" applyBorder="1"/>
    <xf numFmtId="0" fontId="7" fillId="0" borderId="1" xfId="4" applyFont="1" applyFill="1" applyBorder="1" applyAlignment="1">
      <alignment horizontal="center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0" fontId="7" fillId="0" borderId="1" xfId="2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6" xfId="0" applyFont="1" applyBorder="1" applyAlignment="1">
      <alignment horizontal="left" vertical="center" wrapText="1" indent="1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3" fontId="18" fillId="0" borderId="33" xfId="0" applyNumberFormat="1" applyFont="1" applyBorder="1" applyAlignment="1"/>
    <xf numFmtId="168" fontId="0" fillId="0" borderId="33" xfId="0" applyNumberFormat="1" applyBorder="1" applyAlignment="1">
      <alignment horizontal="left"/>
    </xf>
    <xf numFmtId="0" fontId="0" fillId="0" borderId="33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9" xfId="0" applyBorder="1"/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3" xfId="0" applyFont="1" applyBorder="1" applyAlignment="1">
      <alignment horizontal="left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170" fontId="0" fillId="0" borderId="49" xfId="7" applyNumberFormat="1" applyFont="1" applyBorder="1" applyAlignment="1" applyProtection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170" fontId="0" fillId="0" borderId="54" xfId="7" applyNumberFormat="1" applyFont="1" applyBorder="1" applyAlignment="1" applyProtection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70" fontId="0" fillId="0" borderId="58" xfId="7" applyNumberFormat="1" applyFont="1" applyBorder="1" applyAlignment="1" applyProtection="1">
      <alignment horizontal="center" vertical="center"/>
    </xf>
    <xf numFmtId="170" fontId="22" fillId="0" borderId="6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26" xfId="0" applyFont="1" applyBorder="1" applyAlignment="1">
      <alignment horizontal="center" vertical="center" wrapText="1"/>
    </xf>
    <xf numFmtId="3" fontId="16" fillId="0" borderId="27" xfId="0" applyNumberFormat="1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6" fillId="0" borderId="28" xfId="0" applyFont="1" applyBorder="1" applyAlignment="1">
      <alignment horizontal="center" vertical="center" wrapText="1"/>
    </xf>
    <xf numFmtId="3" fontId="16" fillId="0" borderId="29" xfId="0" applyNumberFormat="1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3" fontId="16" fillId="0" borderId="63" xfId="0" applyNumberFormat="1" applyFont="1" applyBorder="1" applyAlignment="1">
      <alignment horizontal="center" vertical="center" wrapText="1"/>
    </xf>
    <xf numFmtId="166" fontId="12" fillId="0" borderId="12" xfId="0" applyNumberFormat="1" applyFont="1" applyBorder="1" applyAlignment="1">
      <alignment horizontal="right" vertical="center"/>
    </xf>
    <xf numFmtId="166" fontId="12" fillId="0" borderId="0" xfId="0" applyNumberFormat="1" applyFont="1" applyBorder="1" applyAlignment="1">
      <alignment vertical="center"/>
    </xf>
    <xf numFmtId="166" fontId="13" fillId="0" borderId="0" xfId="0" applyNumberFormat="1" applyFont="1" applyBorder="1" applyAlignment="1">
      <alignment horizontal="left" vertical="center" wrapText="1" indent="1"/>
    </xf>
    <xf numFmtId="166" fontId="16" fillId="0" borderId="10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166" fontId="16" fillId="0" borderId="2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5" fillId="0" borderId="0" xfId="0" applyNumberFormat="1" applyFont="1"/>
    <xf numFmtId="166" fontId="31" fillId="0" borderId="0" xfId="0" applyNumberFormat="1" applyFont="1" applyAlignment="1">
      <alignment vertical="center" wrapText="1"/>
    </xf>
    <xf numFmtId="166" fontId="31" fillId="0" borderId="0" xfId="0" applyNumberFormat="1" applyFont="1" applyAlignment="1">
      <alignment wrapText="1"/>
    </xf>
    <xf numFmtId="0" fontId="32" fillId="0" borderId="11" xfId="5" applyFont="1" applyFill="1" applyBorder="1" applyAlignment="1">
      <alignment horizontal="center" vertical="center" wrapText="1"/>
    </xf>
    <xf numFmtId="0" fontId="3" fillId="0" borderId="33" xfId="5" applyFont="1" applyFill="1" applyBorder="1" applyAlignment="1">
      <alignment vertical="center" wrapText="1"/>
    </xf>
    <xf numFmtId="0" fontId="32" fillId="0" borderId="2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2" fillId="0" borderId="22" xfId="5" applyFont="1" applyFill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2" fillId="0" borderId="22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32" fillId="0" borderId="66" xfId="5" applyFont="1" applyBorder="1" applyAlignment="1">
      <alignment horizontal="center" wrapText="1"/>
    </xf>
    <xf numFmtId="0" fontId="3" fillId="0" borderId="67" xfId="5" applyFont="1" applyBorder="1" applyAlignment="1">
      <alignment horizontal="left" vertical="center"/>
    </xf>
    <xf numFmtId="0" fontId="3" fillId="0" borderId="0" xfId="5" applyFont="1" applyFill="1" applyBorder="1" applyAlignment="1">
      <alignment horizontal="center"/>
    </xf>
    <xf numFmtId="0" fontId="3" fillId="0" borderId="0" xfId="5" applyFont="1" applyBorder="1" applyAlignment="1">
      <alignment horizontal="center"/>
    </xf>
    <xf numFmtId="0" fontId="3" fillId="0" borderId="16" xfId="5" applyFont="1" applyFill="1" applyBorder="1" applyAlignment="1">
      <alignment horizontal="left" vertical="center" wrapText="1"/>
    </xf>
    <xf numFmtId="0" fontId="3" fillId="0" borderId="67" xfId="5" applyFont="1" applyBorder="1" applyAlignment="1">
      <alignment horizontal="center"/>
    </xf>
    <xf numFmtId="0" fontId="3" fillId="0" borderId="68" xfId="5" applyFont="1" applyFill="1" applyBorder="1" applyAlignment="1">
      <alignment vertical="center" wrapText="1"/>
    </xf>
    <xf numFmtId="0" fontId="3" fillId="0" borderId="16" xfId="5" applyFont="1" applyFill="1" applyBorder="1" applyAlignment="1">
      <alignment vertical="center"/>
    </xf>
    <xf numFmtId="0" fontId="3" fillId="0" borderId="0" xfId="5" applyFont="1" applyFill="1" applyBorder="1" applyAlignment="1">
      <alignment vertical="center" wrapText="1"/>
    </xf>
    <xf numFmtId="3" fontId="0" fillId="0" borderId="0" xfId="0" applyNumberFormat="1" applyBorder="1" applyAlignment="1">
      <alignment horizontal="center" vertical="center"/>
    </xf>
    <xf numFmtId="0" fontId="3" fillId="0" borderId="16" xfId="5" applyFont="1" applyFill="1" applyBorder="1" applyAlignment="1">
      <alignment horizontal="center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69" xfId="5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 wrapText="1" indent="1"/>
    </xf>
    <xf numFmtId="167" fontId="14" fillId="0" borderId="18" xfId="0" applyNumberFormat="1" applyFont="1" applyBorder="1" applyAlignment="1">
      <alignment horizontal="center" vertical="center"/>
    </xf>
    <xf numFmtId="0" fontId="16" fillId="0" borderId="64" xfId="0" applyFont="1" applyBorder="1" applyAlignment="1">
      <alignment horizontal="left" vertical="center" wrapText="1"/>
    </xf>
    <xf numFmtId="0" fontId="16" fillId="0" borderId="65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" vertical="center" wrapText="1"/>
    </xf>
    <xf numFmtId="166" fontId="15" fillId="0" borderId="24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 inden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8" fillId="0" borderId="18" xfId="0" applyFont="1" applyBorder="1" applyAlignment="1">
      <alignment vertical="center" wrapText="1"/>
    </xf>
    <xf numFmtId="0" fontId="21" fillId="0" borderId="41" xfId="0" applyFont="1" applyBorder="1" applyAlignment="1">
      <alignment vertical="center" wrapText="1"/>
    </xf>
    <xf numFmtId="0" fontId="21" fillId="0" borderId="30" xfId="0" applyFont="1" applyBorder="1" applyAlignment="1">
      <alignment horizontal="left" vertical="center" wrapText="1" indent="1"/>
    </xf>
    <xf numFmtId="0" fontId="0" fillId="0" borderId="53" xfId="0" applyFont="1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8" fillId="0" borderId="59" xfId="0" applyFont="1" applyBorder="1" applyAlignment="1">
      <alignment horizontal="left" vertical="center" wrapText="1"/>
    </xf>
    <xf numFmtId="0" fontId="0" fillId="0" borderId="37" xfId="0" applyBorder="1"/>
    <xf numFmtId="0" fontId="0" fillId="0" borderId="53" xfId="0" applyFont="1" applyBorder="1" applyAlignment="1">
      <alignment horizontal="center" vertical="center"/>
    </xf>
    <xf numFmtId="49" fontId="21" fillId="0" borderId="38" xfId="0" applyNumberFormat="1" applyFont="1" applyBorder="1" applyAlignment="1">
      <alignment horizontal="justify" vertical="center" wrapText="1"/>
    </xf>
    <xf numFmtId="0" fontId="22" fillId="0" borderId="37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0" fillId="0" borderId="53" xfId="0" applyBorder="1" applyAlignment="1">
      <alignment horizontal="center"/>
    </xf>
    <xf numFmtId="0" fontId="21" fillId="0" borderId="37" xfId="0" applyFont="1" applyBorder="1" applyAlignment="1">
      <alignment horizontal="left" vertical="center"/>
    </xf>
    <xf numFmtId="0" fontId="0" fillId="0" borderId="31" xfId="0" applyFont="1" applyBorder="1" applyAlignment="1">
      <alignment horizontal="center"/>
    </xf>
    <xf numFmtId="3" fontId="18" fillId="0" borderId="32" xfId="0" applyNumberFormat="1" applyFont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0" fontId="9" fillId="0" borderId="34" xfId="0" applyFont="1" applyBorder="1" applyAlignment="1">
      <alignment vertical="center"/>
    </xf>
    <xf numFmtId="0" fontId="27" fillId="0" borderId="35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 wrapText="1"/>
    </xf>
    <xf numFmtId="0" fontId="29" fillId="0" borderId="36" xfId="0" applyFont="1" applyBorder="1" applyAlignment="1">
      <alignment horizontal="left" vertical="center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6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2"/>
  <sheetViews>
    <sheetView tabSelected="1" topLeftCell="C44" zoomScaleNormal="100" workbookViewId="0">
      <selection activeCell="O57" sqref="O56:O57"/>
    </sheetView>
  </sheetViews>
  <sheetFormatPr baseColWidth="10" defaultRowHeight="15" x14ac:dyDescent="0.25"/>
  <cols>
    <col min="1" max="1" width="4.85546875" style="57" bestFit="1" customWidth="1"/>
    <col min="2" max="2" width="20.7109375" style="57" customWidth="1"/>
    <col min="3" max="3" width="34" style="57" customWidth="1"/>
    <col min="4" max="4" width="5.5703125" style="57" bestFit="1" customWidth="1"/>
    <col min="5" max="5" width="75.7109375" style="58" bestFit="1" customWidth="1"/>
    <col min="6" max="6" width="10.5703125" style="57" bestFit="1" customWidth="1"/>
    <col min="7" max="7" width="10.42578125" style="59" bestFit="1" customWidth="1"/>
    <col min="8" max="8" width="11.42578125" style="60" bestFit="1" customWidth="1"/>
    <col min="9" max="9" width="16.28515625" style="60" bestFit="1" customWidth="1"/>
    <col min="10" max="10" width="23.7109375" hidden="1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0" ht="18.75" x14ac:dyDescent="0.25">
      <c r="A2" s="3"/>
      <c r="B2" s="158" t="s">
        <v>0</v>
      </c>
      <c r="C2" s="158"/>
      <c r="D2" s="158"/>
      <c r="E2" s="158"/>
      <c r="F2" s="158"/>
      <c r="G2" s="158"/>
      <c r="H2" s="158"/>
      <c r="I2" s="6"/>
    </row>
    <row r="3" spans="1:10" x14ac:dyDescent="0.25">
      <c r="A3" s="3"/>
      <c r="B3" s="2"/>
      <c r="C3" s="3"/>
      <c r="D3" s="3"/>
      <c r="E3" s="4"/>
      <c r="F3" s="3"/>
      <c r="G3" s="5"/>
      <c r="H3" s="7"/>
      <c r="I3" s="6"/>
    </row>
    <row r="4" spans="1:10" x14ac:dyDescent="0.25">
      <c r="A4" s="157" t="s">
        <v>1</v>
      </c>
      <c r="B4" s="157"/>
      <c r="C4" s="108" t="s">
        <v>2</v>
      </c>
      <c r="D4" s="108"/>
      <c r="E4" s="108"/>
      <c r="F4" s="8"/>
      <c r="G4" s="9"/>
      <c r="H4" s="7"/>
      <c r="I4" s="6"/>
    </row>
    <row r="5" spans="1:10" ht="15" customHeight="1" x14ac:dyDescent="0.25">
      <c r="A5" s="157" t="s">
        <v>3</v>
      </c>
      <c r="B5" s="157"/>
      <c r="C5" s="108" t="s">
        <v>4</v>
      </c>
      <c r="D5" s="108"/>
      <c r="E5" s="108"/>
      <c r="F5" s="8"/>
      <c r="G5" s="9"/>
      <c r="H5" s="7"/>
      <c r="I5" s="6"/>
    </row>
    <row r="6" spans="1:10" x14ac:dyDescent="0.25">
      <c r="A6" s="157" t="s">
        <v>5</v>
      </c>
      <c r="B6" s="157"/>
      <c r="C6" s="10">
        <v>2022</v>
      </c>
      <c r="D6" s="11"/>
      <c r="E6" s="10"/>
      <c r="F6" s="8"/>
      <c r="G6" s="9"/>
      <c r="H6" s="7"/>
      <c r="I6" s="6"/>
    </row>
    <row r="7" spans="1:10" x14ac:dyDescent="0.25">
      <c r="A7" s="157" t="s">
        <v>6</v>
      </c>
      <c r="B7" s="157"/>
      <c r="C7" s="10" t="s">
        <v>7</v>
      </c>
      <c r="D7" s="11"/>
      <c r="E7" s="10"/>
      <c r="F7" s="8"/>
      <c r="G7" s="9"/>
      <c r="H7" s="7"/>
      <c r="I7" s="6"/>
    </row>
    <row r="8" spans="1:10" x14ac:dyDescent="0.25">
      <c r="A8" s="3"/>
      <c r="B8" s="8"/>
      <c r="C8" s="8"/>
      <c r="D8" s="8"/>
      <c r="E8" s="12"/>
      <c r="F8" s="8"/>
      <c r="G8" s="9"/>
      <c r="H8" s="7"/>
      <c r="I8" s="6"/>
    </row>
    <row r="9" spans="1:10" ht="38.25" x14ac:dyDescent="0.25">
      <c r="A9" s="13" t="s">
        <v>8</v>
      </c>
      <c r="B9" s="13" t="s">
        <v>9</v>
      </c>
      <c r="C9" s="14" t="s">
        <v>10</v>
      </c>
      <c r="D9" s="13" t="s">
        <v>11</v>
      </c>
      <c r="E9" s="14" t="s">
        <v>12</v>
      </c>
      <c r="F9" s="14" t="s">
        <v>13</v>
      </c>
      <c r="G9" s="15" t="s">
        <v>14</v>
      </c>
      <c r="H9" s="17" t="s">
        <v>15</v>
      </c>
      <c r="I9" s="16" t="s">
        <v>16</v>
      </c>
      <c r="J9" s="18" t="s">
        <v>17</v>
      </c>
    </row>
    <row r="10" spans="1:10" s="43" customFormat="1" ht="25.5" x14ac:dyDescent="0.2">
      <c r="A10" s="36">
        <v>1</v>
      </c>
      <c r="B10" s="38" t="s">
        <v>19</v>
      </c>
      <c r="C10" s="36" t="s">
        <v>20</v>
      </c>
      <c r="D10" s="36" t="s">
        <v>21</v>
      </c>
      <c r="E10" s="37" t="s">
        <v>181</v>
      </c>
      <c r="F10" s="36" t="s">
        <v>18</v>
      </c>
      <c r="G10" s="29">
        <v>2</v>
      </c>
      <c r="H10" s="155">
        <v>1268.76</v>
      </c>
      <c r="I10" s="30">
        <f>G10*H10</f>
        <v>2537.52</v>
      </c>
      <c r="J10" s="32"/>
    </row>
    <row r="11" spans="1:10" s="43" customFormat="1" ht="25.5" x14ac:dyDescent="0.2">
      <c r="A11" s="39">
        <v>2</v>
      </c>
      <c r="B11" s="20" t="s">
        <v>22</v>
      </c>
      <c r="C11" s="39" t="s">
        <v>20</v>
      </c>
      <c r="D11" s="39" t="s">
        <v>21</v>
      </c>
      <c r="E11" s="40" t="s">
        <v>23</v>
      </c>
      <c r="F11" s="39" t="s">
        <v>18</v>
      </c>
      <c r="G11" s="22">
        <v>2</v>
      </c>
      <c r="H11" s="155">
        <v>1282.07</v>
      </c>
      <c r="I11" s="30">
        <f t="shared" ref="I11:I61" si="0">G11*H11</f>
        <v>2564.14</v>
      </c>
      <c r="J11" s="32"/>
    </row>
    <row r="12" spans="1:10" s="43" customFormat="1" ht="30.75" customHeight="1" x14ac:dyDescent="0.2">
      <c r="A12" s="39">
        <v>3</v>
      </c>
      <c r="B12" s="20" t="s">
        <v>24</v>
      </c>
      <c r="C12" s="39" t="s">
        <v>20</v>
      </c>
      <c r="D12" s="39" t="s">
        <v>21</v>
      </c>
      <c r="E12" s="40" t="s">
        <v>160</v>
      </c>
      <c r="F12" s="39" t="s">
        <v>18</v>
      </c>
      <c r="G12" s="22">
        <v>2</v>
      </c>
      <c r="H12" s="155">
        <v>7458.08</v>
      </c>
      <c r="I12" s="30">
        <f t="shared" si="0"/>
        <v>14916.16</v>
      </c>
      <c r="J12" s="32"/>
    </row>
    <row r="13" spans="1:10" s="43" customFormat="1" ht="25.5" x14ac:dyDescent="0.2">
      <c r="A13" s="39">
        <v>4</v>
      </c>
      <c r="B13" s="20" t="s">
        <v>25</v>
      </c>
      <c r="C13" s="39" t="s">
        <v>20</v>
      </c>
      <c r="D13" s="39" t="s">
        <v>21</v>
      </c>
      <c r="E13" s="40" t="s">
        <v>26</v>
      </c>
      <c r="F13" s="39" t="s">
        <v>18</v>
      </c>
      <c r="G13" s="22">
        <v>2</v>
      </c>
      <c r="H13" s="155">
        <v>783.6</v>
      </c>
      <c r="I13" s="30">
        <f t="shared" si="0"/>
        <v>1567.2</v>
      </c>
      <c r="J13" s="32"/>
    </row>
    <row r="14" spans="1:10" s="43" customFormat="1" ht="25.5" x14ac:dyDescent="0.2">
      <c r="A14" s="39">
        <v>5</v>
      </c>
      <c r="B14" s="20" t="s">
        <v>27</v>
      </c>
      <c r="C14" s="39" t="s">
        <v>20</v>
      </c>
      <c r="D14" s="39" t="s">
        <v>21</v>
      </c>
      <c r="E14" s="40" t="s">
        <v>28</v>
      </c>
      <c r="F14" s="39" t="s">
        <v>18</v>
      </c>
      <c r="G14" s="22">
        <v>2</v>
      </c>
      <c r="H14" s="155">
        <v>747.6</v>
      </c>
      <c r="I14" s="30">
        <f t="shared" si="0"/>
        <v>1495.2</v>
      </c>
      <c r="J14" s="32"/>
    </row>
    <row r="15" spans="1:10" s="43" customFormat="1" ht="25.5" x14ac:dyDescent="0.2">
      <c r="A15" s="39">
        <v>6</v>
      </c>
      <c r="B15" s="20" t="s">
        <v>75</v>
      </c>
      <c r="C15" s="39" t="s">
        <v>20</v>
      </c>
      <c r="D15" s="39" t="s">
        <v>21</v>
      </c>
      <c r="E15" s="40" t="s">
        <v>29</v>
      </c>
      <c r="F15" s="39" t="s">
        <v>18</v>
      </c>
      <c r="G15" s="22">
        <v>2</v>
      </c>
      <c r="H15" s="155">
        <v>6387.6</v>
      </c>
      <c r="I15" s="30">
        <f t="shared" si="0"/>
        <v>12775.2</v>
      </c>
      <c r="J15" s="32"/>
    </row>
    <row r="16" spans="1:10" s="43" customFormat="1" ht="25.5" x14ac:dyDescent="0.2">
      <c r="A16" s="39">
        <v>7</v>
      </c>
      <c r="B16" s="20" t="s">
        <v>30</v>
      </c>
      <c r="C16" s="39" t="s">
        <v>31</v>
      </c>
      <c r="D16" s="39" t="s">
        <v>21</v>
      </c>
      <c r="E16" s="40" t="s">
        <v>32</v>
      </c>
      <c r="F16" s="39" t="s">
        <v>18</v>
      </c>
      <c r="G16" s="22">
        <v>1</v>
      </c>
      <c r="H16" s="155">
        <v>19988.509999999998</v>
      </c>
      <c r="I16" s="30">
        <f t="shared" si="0"/>
        <v>19988.509999999998</v>
      </c>
      <c r="J16" s="47"/>
    </row>
    <row r="17" spans="1:10" s="43" customFormat="1" ht="25.5" x14ac:dyDescent="0.2">
      <c r="A17" s="39">
        <v>8</v>
      </c>
      <c r="B17" s="39" t="s">
        <v>33</v>
      </c>
      <c r="C17" s="39" t="s">
        <v>31</v>
      </c>
      <c r="D17" s="39" t="s">
        <v>21</v>
      </c>
      <c r="E17" s="40" t="s">
        <v>34</v>
      </c>
      <c r="F17" s="39" t="s">
        <v>18</v>
      </c>
      <c r="G17" s="22">
        <v>2</v>
      </c>
      <c r="H17" s="155">
        <v>20640.91</v>
      </c>
      <c r="I17" s="30">
        <f t="shared" si="0"/>
        <v>41281.82</v>
      </c>
      <c r="J17" s="32"/>
    </row>
    <row r="18" spans="1:10" s="43" customFormat="1" ht="25.5" x14ac:dyDescent="0.2">
      <c r="A18" s="39">
        <v>9</v>
      </c>
      <c r="B18" s="20" t="s">
        <v>47</v>
      </c>
      <c r="C18" s="39" t="s">
        <v>31</v>
      </c>
      <c r="D18" s="39" t="s">
        <v>21</v>
      </c>
      <c r="E18" s="40" t="s">
        <v>35</v>
      </c>
      <c r="F18" s="39" t="s">
        <v>18</v>
      </c>
      <c r="G18" s="22">
        <v>1</v>
      </c>
      <c r="H18" s="155">
        <v>6360</v>
      </c>
      <c r="I18" s="30">
        <f t="shared" si="0"/>
        <v>6360</v>
      </c>
      <c r="J18" s="32"/>
    </row>
    <row r="19" spans="1:10" s="43" customFormat="1" ht="25.5" x14ac:dyDescent="0.2">
      <c r="A19" s="19">
        <v>10</v>
      </c>
      <c r="B19" s="48" t="s">
        <v>36</v>
      </c>
      <c r="C19" s="49" t="s">
        <v>31</v>
      </c>
      <c r="D19" s="49" t="s">
        <v>21</v>
      </c>
      <c r="E19" s="50" t="s">
        <v>37</v>
      </c>
      <c r="F19" s="49" t="s">
        <v>18</v>
      </c>
      <c r="G19" s="22">
        <v>1</v>
      </c>
      <c r="H19" s="155">
        <v>12526.18</v>
      </c>
      <c r="I19" s="30">
        <f t="shared" si="0"/>
        <v>12526.18</v>
      </c>
      <c r="J19" s="32"/>
    </row>
    <row r="20" spans="1:10" s="33" customFormat="1" ht="25.5" x14ac:dyDescent="0.2">
      <c r="A20" s="19">
        <v>11</v>
      </c>
      <c r="B20" s="48" t="s">
        <v>38</v>
      </c>
      <c r="C20" s="49" t="s">
        <v>31</v>
      </c>
      <c r="D20" s="49" t="s">
        <v>21</v>
      </c>
      <c r="E20" s="50" t="s">
        <v>39</v>
      </c>
      <c r="F20" s="49" t="s">
        <v>18</v>
      </c>
      <c r="G20" s="22">
        <v>1</v>
      </c>
      <c r="H20" s="155">
        <v>24630.92</v>
      </c>
      <c r="I20" s="30">
        <f t="shared" si="0"/>
        <v>24630.92</v>
      </c>
      <c r="J20" s="21"/>
    </row>
    <row r="21" spans="1:10" s="33" customFormat="1" ht="29.25" customHeight="1" x14ac:dyDescent="0.2">
      <c r="A21" s="23">
        <v>12</v>
      </c>
      <c r="B21" s="24" t="s">
        <v>40</v>
      </c>
      <c r="C21" s="23" t="s">
        <v>31</v>
      </c>
      <c r="D21" s="23" t="s">
        <v>21</v>
      </c>
      <c r="E21" s="51" t="s">
        <v>180</v>
      </c>
      <c r="F21" s="25" t="s">
        <v>18</v>
      </c>
      <c r="G21" s="22">
        <v>2</v>
      </c>
      <c r="H21" s="155">
        <v>23746.3</v>
      </c>
      <c r="I21" s="30">
        <f t="shared" si="0"/>
        <v>47492.6</v>
      </c>
      <c r="J21" s="52"/>
    </row>
    <row r="22" spans="1:10" s="33" customFormat="1" ht="25.5" x14ac:dyDescent="0.2">
      <c r="A22" s="23">
        <v>13</v>
      </c>
      <c r="B22" s="53" t="s">
        <v>41</v>
      </c>
      <c r="C22" s="23" t="s">
        <v>31</v>
      </c>
      <c r="D22" s="23" t="s">
        <v>21</v>
      </c>
      <c r="E22" s="51" t="s">
        <v>42</v>
      </c>
      <c r="F22" s="25" t="s">
        <v>18</v>
      </c>
      <c r="G22" s="22">
        <v>1</v>
      </c>
      <c r="H22" s="155">
        <v>20170.419999999998</v>
      </c>
      <c r="I22" s="30">
        <f t="shared" si="0"/>
        <v>20170.419999999998</v>
      </c>
      <c r="J22" s="52"/>
    </row>
    <row r="23" spans="1:10" s="43" customFormat="1" ht="25.5" x14ac:dyDescent="0.2">
      <c r="A23" s="23">
        <v>14</v>
      </c>
      <c r="B23" s="24" t="s">
        <v>43</v>
      </c>
      <c r="C23" s="25" t="s">
        <v>31</v>
      </c>
      <c r="D23" s="25" t="s">
        <v>21</v>
      </c>
      <c r="E23" s="51" t="s">
        <v>44</v>
      </c>
      <c r="F23" s="25" t="s">
        <v>18</v>
      </c>
      <c r="G23" s="22">
        <v>2</v>
      </c>
      <c r="H23" s="155">
        <v>17975.04</v>
      </c>
      <c r="I23" s="30">
        <f t="shared" si="0"/>
        <v>35950.080000000002</v>
      </c>
      <c r="J23" s="54"/>
    </row>
    <row r="24" spans="1:10" s="43" customFormat="1" ht="25.5" x14ac:dyDescent="0.2">
      <c r="A24" s="20">
        <v>15</v>
      </c>
      <c r="B24" s="39" t="s">
        <v>176</v>
      </c>
      <c r="C24" s="39" t="s">
        <v>20</v>
      </c>
      <c r="D24" s="156" t="s">
        <v>21</v>
      </c>
      <c r="E24" s="40" t="s">
        <v>46</v>
      </c>
      <c r="F24" s="55" t="s">
        <v>18</v>
      </c>
      <c r="G24" s="22">
        <v>1</v>
      </c>
      <c r="H24" s="155">
        <v>12737.16</v>
      </c>
      <c r="I24" s="30">
        <f t="shared" si="0"/>
        <v>12737.16</v>
      </c>
      <c r="J24" s="54"/>
    </row>
    <row r="25" spans="1:10" s="43" customFormat="1" ht="25.5" x14ac:dyDescent="0.2">
      <c r="A25" s="20">
        <v>16</v>
      </c>
      <c r="B25" s="20" t="s">
        <v>63</v>
      </c>
      <c r="C25" s="20" t="s">
        <v>31</v>
      </c>
      <c r="D25" s="20" t="s">
        <v>21</v>
      </c>
      <c r="E25" s="40" t="s">
        <v>48</v>
      </c>
      <c r="F25" s="55" t="s">
        <v>18</v>
      </c>
      <c r="G25" s="22">
        <v>1</v>
      </c>
      <c r="H25" s="155">
        <v>5808.3600000000006</v>
      </c>
      <c r="I25" s="30">
        <f t="shared" si="0"/>
        <v>5808.3600000000006</v>
      </c>
      <c r="J25" s="32"/>
    </row>
    <row r="26" spans="1:10" s="43" customFormat="1" ht="25.5" x14ac:dyDescent="0.2">
      <c r="A26" s="39">
        <v>17</v>
      </c>
      <c r="B26" s="39" t="s">
        <v>49</v>
      </c>
      <c r="C26" s="39" t="s">
        <v>20</v>
      </c>
      <c r="D26" s="39" t="s">
        <v>21</v>
      </c>
      <c r="E26" s="40" t="s">
        <v>50</v>
      </c>
      <c r="F26" s="39" t="s">
        <v>18</v>
      </c>
      <c r="G26" s="22">
        <v>2</v>
      </c>
      <c r="H26" s="155">
        <v>5245.13</v>
      </c>
      <c r="I26" s="30">
        <f t="shared" si="0"/>
        <v>10490.26</v>
      </c>
      <c r="J26" s="32"/>
    </row>
    <row r="27" spans="1:10" s="43" customFormat="1" ht="25.5" x14ac:dyDescent="0.2">
      <c r="A27" s="39">
        <v>18</v>
      </c>
      <c r="B27" s="39" t="s">
        <v>51</v>
      </c>
      <c r="C27" s="39" t="s">
        <v>31</v>
      </c>
      <c r="D27" s="39" t="s">
        <v>21</v>
      </c>
      <c r="E27" s="40" t="s">
        <v>52</v>
      </c>
      <c r="F27" s="39" t="s">
        <v>18</v>
      </c>
      <c r="G27" s="22">
        <v>1</v>
      </c>
      <c r="H27" s="155">
        <v>11269.92</v>
      </c>
      <c r="I27" s="30">
        <f t="shared" si="0"/>
        <v>11269.92</v>
      </c>
      <c r="J27" s="32"/>
    </row>
    <row r="28" spans="1:10" s="43" customFormat="1" ht="25.5" x14ac:dyDescent="0.2">
      <c r="A28" s="39">
        <v>19</v>
      </c>
      <c r="B28" s="39" t="s">
        <v>53</v>
      </c>
      <c r="C28" s="39" t="s">
        <v>31</v>
      </c>
      <c r="D28" s="39" t="s">
        <v>21</v>
      </c>
      <c r="E28" s="47" t="s">
        <v>54</v>
      </c>
      <c r="F28" s="39" t="s">
        <v>18</v>
      </c>
      <c r="G28" s="22">
        <v>1</v>
      </c>
      <c r="H28" s="155">
        <v>16270.7</v>
      </c>
      <c r="I28" s="30">
        <f t="shared" si="0"/>
        <v>16270.7</v>
      </c>
      <c r="J28" s="32"/>
    </row>
    <row r="29" spans="1:10" s="43" customFormat="1" ht="25.5" x14ac:dyDescent="0.2">
      <c r="A29" s="39">
        <v>20</v>
      </c>
      <c r="B29" s="39" t="s">
        <v>83</v>
      </c>
      <c r="C29" s="39" t="s">
        <v>20</v>
      </c>
      <c r="D29" s="39" t="s">
        <v>21</v>
      </c>
      <c r="E29" s="40" t="s">
        <v>56</v>
      </c>
      <c r="F29" s="39" t="s">
        <v>18</v>
      </c>
      <c r="G29" s="22">
        <v>1</v>
      </c>
      <c r="H29" s="155">
        <v>47244.37</v>
      </c>
      <c r="I29" s="30">
        <f t="shared" si="0"/>
        <v>47244.37</v>
      </c>
      <c r="J29" s="32"/>
    </row>
    <row r="30" spans="1:10" s="43" customFormat="1" ht="25.5" x14ac:dyDescent="0.2">
      <c r="A30" s="39">
        <v>21</v>
      </c>
      <c r="B30" s="39" t="s">
        <v>57</v>
      </c>
      <c r="C30" s="39" t="s">
        <v>31</v>
      </c>
      <c r="D30" s="39" t="s">
        <v>21</v>
      </c>
      <c r="E30" s="40" t="s">
        <v>58</v>
      </c>
      <c r="F30" s="39" t="s">
        <v>18</v>
      </c>
      <c r="G30" s="22">
        <v>2</v>
      </c>
      <c r="H30" s="155">
        <v>16357.27</v>
      </c>
      <c r="I30" s="30">
        <f t="shared" si="0"/>
        <v>32714.54</v>
      </c>
      <c r="J30" s="32"/>
    </row>
    <row r="31" spans="1:10" s="43" customFormat="1" ht="25.5" x14ac:dyDescent="0.2">
      <c r="A31" s="39">
        <v>22</v>
      </c>
      <c r="B31" s="39" t="s">
        <v>59</v>
      </c>
      <c r="C31" s="39" t="s">
        <v>31</v>
      </c>
      <c r="D31" s="39" t="s">
        <v>21</v>
      </c>
      <c r="E31" s="40" t="s">
        <v>60</v>
      </c>
      <c r="F31" s="39" t="s">
        <v>18</v>
      </c>
      <c r="G31" s="22">
        <v>2</v>
      </c>
      <c r="H31" s="155">
        <v>12477.67</v>
      </c>
      <c r="I31" s="30">
        <f t="shared" si="0"/>
        <v>24955.34</v>
      </c>
      <c r="J31" s="32"/>
    </row>
    <row r="32" spans="1:10" s="43" customFormat="1" ht="25.5" x14ac:dyDescent="0.2">
      <c r="A32" s="39">
        <v>23</v>
      </c>
      <c r="B32" s="39" t="s">
        <v>61</v>
      </c>
      <c r="C32" s="39" t="s">
        <v>20</v>
      </c>
      <c r="D32" s="39" t="s">
        <v>21</v>
      </c>
      <c r="E32" s="40" t="s">
        <v>62</v>
      </c>
      <c r="F32" s="39" t="s">
        <v>18</v>
      </c>
      <c r="G32" s="22">
        <v>1</v>
      </c>
      <c r="H32" s="155">
        <v>93271.18</v>
      </c>
      <c r="I32" s="30">
        <f t="shared" si="0"/>
        <v>93271.18</v>
      </c>
      <c r="J32" s="32"/>
    </row>
    <row r="33" spans="1:10" s="43" customFormat="1" ht="25.5" x14ac:dyDescent="0.2">
      <c r="A33" s="39">
        <v>24</v>
      </c>
      <c r="B33" s="39" t="s">
        <v>177</v>
      </c>
      <c r="C33" s="39" t="s">
        <v>31</v>
      </c>
      <c r="D33" s="39" t="s">
        <v>21</v>
      </c>
      <c r="E33" s="40" t="s">
        <v>64</v>
      </c>
      <c r="F33" s="39" t="s">
        <v>18</v>
      </c>
      <c r="G33" s="22">
        <v>2</v>
      </c>
      <c r="H33" s="155">
        <v>20132.04</v>
      </c>
      <c r="I33" s="30">
        <f t="shared" si="0"/>
        <v>40264.080000000002</v>
      </c>
      <c r="J33" s="32"/>
    </row>
    <row r="34" spans="1:10" s="43" customFormat="1" ht="25.5" x14ac:dyDescent="0.2">
      <c r="A34" s="39">
        <v>25</v>
      </c>
      <c r="B34" s="39" t="s">
        <v>65</v>
      </c>
      <c r="C34" s="39" t="s">
        <v>31</v>
      </c>
      <c r="D34" s="39" t="s">
        <v>21</v>
      </c>
      <c r="E34" s="40" t="s">
        <v>66</v>
      </c>
      <c r="F34" s="39" t="s">
        <v>18</v>
      </c>
      <c r="G34" s="22">
        <v>1</v>
      </c>
      <c r="H34" s="155">
        <v>21878.400000000001</v>
      </c>
      <c r="I34" s="30">
        <f t="shared" si="0"/>
        <v>21878.400000000001</v>
      </c>
      <c r="J34" s="32"/>
    </row>
    <row r="35" spans="1:10" s="43" customFormat="1" ht="25.5" x14ac:dyDescent="0.2">
      <c r="A35" s="39">
        <v>26</v>
      </c>
      <c r="B35" s="39" t="s">
        <v>67</v>
      </c>
      <c r="C35" s="39" t="s">
        <v>31</v>
      </c>
      <c r="D35" s="39" t="s">
        <v>21</v>
      </c>
      <c r="E35" s="40" t="s">
        <v>68</v>
      </c>
      <c r="F35" s="39" t="s">
        <v>18</v>
      </c>
      <c r="G35" s="22">
        <v>2</v>
      </c>
      <c r="H35" s="155">
        <v>19238.400000000001</v>
      </c>
      <c r="I35" s="30">
        <f t="shared" si="0"/>
        <v>38476.800000000003</v>
      </c>
      <c r="J35" s="32"/>
    </row>
    <row r="36" spans="1:10" s="43" customFormat="1" ht="25.5" x14ac:dyDescent="0.2">
      <c r="A36" s="39">
        <v>27</v>
      </c>
      <c r="B36" s="39" t="s">
        <v>69</v>
      </c>
      <c r="C36" s="39" t="s">
        <v>31</v>
      </c>
      <c r="D36" s="39" t="s">
        <v>21</v>
      </c>
      <c r="E36" s="40" t="s">
        <v>70</v>
      </c>
      <c r="F36" s="39" t="s">
        <v>18</v>
      </c>
      <c r="G36" s="22">
        <v>1</v>
      </c>
      <c r="H36" s="155">
        <v>30958.15</v>
      </c>
      <c r="I36" s="30">
        <f t="shared" si="0"/>
        <v>30958.15</v>
      </c>
      <c r="J36" s="54"/>
    </row>
    <row r="37" spans="1:10" s="43" customFormat="1" ht="25.5" x14ac:dyDescent="0.2">
      <c r="A37" s="20">
        <v>28</v>
      </c>
      <c r="B37" s="20" t="s">
        <v>71</v>
      </c>
      <c r="C37" s="20" t="s">
        <v>31</v>
      </c>
      <c r="D37" s="20" t="s">
        <v>21</v>
      </c>
      <c r="E37" s="40" t="s">
        <v>72</v>
      </c>
      <c r="F37" s="55" t="s">
        <v>18</v>
      </c>
      <c r="G37" s="22">
        <v>2</v>
      </c>
      <c r="H37" s="155">
        <v>36607.449999999997</v>
      </c>
      <c r="I37" s="30">
        <f t="shared" si="0"/>
        <v>73214.899999999994</v>
      </c>
      <c r="J37" s="32"/>
    </row>
    <row r="38" spans="1:10" s="43" customFormat="1" ht="25.5" x14ac:dyDescent="0.2">
      <c r="A38" s="39">
        <v>29</v>
      </c>
      <c r="B38" s="39" t="s">
        <v>73</v>
      </c>
      <c r="C38" s="39" t="s">
        <v>31</v>
      </c>
      <c r="D38" s="39" t="s">
        <v>21</v>
      </c>
      <c r="E38" s="40" t="s">
        <v>74</v>
      </c>
      <c r="F38" s="39" t="s">
        <v>18</v>
      </c>
      <c r="G38" s="22">
        <v>1</v>
      </c>
      <c r="H38" s="155">
        <v>3882.74</v>
      </c>
      <c r="I38" s="30">
        <f t="shared" si="0"/>
        <v>3882.74</v>
      </c>
      <c r="J38" s="32"/>
    </row>
    <row r="39" spans="1:10" s="43" customFormat="1" ht="25.5" x14ac:dyDescent="0.2">
      <c r="A39" s="39">
        <v>30</v>
      </c>
      <c r="B39" s="39" t="s">
        <v>55</v>
      </c>
      <c r="C39" s="39" t="s">
        <v>20</v>
      </c>
      <c r="D39" s="39" t="s">
        <v>21</v>
      </c>
      <c r="E39" s="40" t="s">
        <v>76</v>
      </c>
      <c r="F39" s="39" t="s">
        <v>18</v>
      </c>
      <c r="G39" s="22">
        <v>2</v>
      </c>
      <c r="H39" s="155">
        <v>5475.6</v>
      </c>
      <c r="I39" s="30">
        <f t="shared" si="0"/>
        <v>10951.2</v>
      </c>
      <c r="J39" s="32"/>
    </row>
    <row r="40" spans="1:10" s="43" customFormat="1" ht="25.5" x14ac:dyDescent="0.2">
      <c r="A40" s="39">
        <v>31</v>
      </c>
      <c r="B40" s="39" t="s">
        <v>77</v>
      </c>
      <c r="C40" s="39" t="s">
        <v>31</v>
      </c>
      <c r="D40" s="39" t="s">
        <v>21</v>
      </c>
      <c r="E40" s="40" t="s">
        <v>78</v>
      </c>
      <c r="F40" s="39" t="s">
        <v>18</v>
      </c>
      <c r="G40" s="22">
        <v>1</v>
      </c>
      <c r="H40" s="155">
        <v>33924.879999999997</v>
      </c>
      <c r="I40" s="30">
        <f t="shared" si="0"/>
        <v>33924.879999999997</v>
      </c>
      <c r="J40" s="32"/>
    </row>
    <row r="41" spans="1:10" s="43" customFormat="1" ht="25.5" x14ac:dyDescent="0.2">
      <c r="A41" s="39">
        <v>32</v>
      </c>
      <c r="B41" s="39" t="s">
        <v>79</v>
      </c>
      <c r="C41" s="39" t="s">
        <v>31</v>
      </c>
      <c r="D41" s="39" t="s">
        <v>21</v>
      </c>
      <c r="E41" s="40" t="s">
        <v>80</v>
      </c>
      <c r="F41" s="39" t="s">
        <v>18</v>
      </c>
      <c r="G41" s="22">
        <v>4</v>
      </c>
      <c r="H41" s="155">
        <v>9148.01</v>
      </c>
      <c r="I41" s="30">
        <f t="shared" si="0"/>
        <v>36592.04</v>
      </c>
      <c r="J41" s="32"/>
    </row>
    <row r="42" spans="1:10" s="43" customFormat="1" ht="25.5" x14ac:dyDescent="0.2">
      <c r="A42" s="39">
        <v>33</v>
      </c>
      <c r="B42" s="39" t="s">
        <v>81</v>
      </c>
      <c r="C42" s="39" t="s">
        <v>31</v>
      </c>
      <c r="D42" s="39" t="s">
        <v>21</v>
      </c>
      <c r="E42" s="40" t="s">
        <v>82</v>
      </c>
      <c r="F42" s="39" t="s">
        <v>18</v>
      </c>
      <c r="G42" s="22">
        <v>2</v>
      </c>
      <c r="H42" s="155">
        <v>37059.379999999997</v>
      </c>
      <c r="I42" s="30">
        <f t="shared" si="0"/>
        <v>74118.759999999995</v>
      </c>
      <c r="J42" s="32"/>
    </row>
    <row r="43" spans="1:10" s="43" customFormat="1" ht="25.5" x14ac:dyDescent="0.2">
      <c r="A43" s="39">
        <v>34</v>
      </c>
      <c r="B43" s="39" t="s">
        <v>45</v>
      </c>
      <c r="C43" s="39" t="s">
        <v>20</v>
      </c>
      <c r="D43" s="39" t="s">
        <v>21</v>
      </c>
      <c r="E43" s="40" t="s">
        <v>84</v>
      </c>
      <c r="F43" s="39" t="s">
        <v>18</v>
      </c>
      <c r="G43" s="22">
        <v>1</v>
      </c>
      <c r="H43" s="155">
        <v>32278.19</v>
      </c>
      <c r="I43" s="30">
        <f t="shared" si="0"/>
        <v>32278.19</v>
      </c>
      <c r="J43" s="32"/>
    </row>
    <row r="44" spans="1:10" s="43" customFormat="1" ht="25.5" x14ac:dyDescent="0.2">
      <c r="A44" s="39">
        <v>35</v>
      </c>
      <c r="B44" s="39" t="s">
        <v>85</v>
      </c>
      <c r="C44" s="39" t="s">
        <v>20</v>
      </c>
      <c r="D44" s="39" t="s">
        <v>21</v>
      </c>
      <c r="E44" s="40" t="s">
        <v>161</v>
      </c>
      <c r="F44" s="39" t="s">
        <v>18</v>
      </c>
      <c r="G44" s="22">
        <v>3</v>
      </c>
      <c r="H44" s="155">
        <v>2407.94</v>
      </c>
      <c r="I44" s="30">
        <f t="shared" si="0"/>
        <v>7223.82</v>
      </c>
      <c r="J44" s="32"/>
    </row>
    <row r="45" spans="1:10" s="43" customFormat="1" ht="25.5" x14ac:dyDescent="0.2">
      <c r="A45" s="39">
        <v>36</v>
      </c>
      <c r="B45" s="39" t="s">
        <v>86</v>
      </c>
      <c r="C45" s="39" t="s">
        <v>20</v>
      </c>
      <c r="D45" s="39" t="s">
        <v>21</v>
      </c>
      <c r="E45" s="40" t="s">
        <v>87</v>
      </c>
      <c r="F45" s="39" t="s">
        <v>18</v>
      </c>
      <c r="G45" s="22">
        <v>1</v>
      </c>
      <c r="H45" s="155">
        <v>17418.169999999998</v>
      </c>
      <c r="I45" s="30">
        <f t="shared" si="0"/>
        <v>17418.169999999998</v>
      </c>
      <c r="J45" s="32"/>
    </row>
    <row r="46" spans="1:10" s="43" customFormat="1" ht="25.5" x14ac:dyDescent="0.2">
      <c r="A46" s="39">
        <v>37</v>
      </c>
      <c r="B46" s="39" t="s">
        <v>88</v>
      </c>
      <c r="C46" s="39" t="s">
        <v>20</v>
      </c>
      <c r="D46" s="39" t="s">
        <v>21</v>
      </c>
      <c r="E46" s="40" t="s">
        <v>89</v>
      </c>
      <c r="F46" s="39" t="s">
        <v>18</v>
      </c>
      <c r="G46" s="22">
        <v>4</v>
      </c>
      <c r="H46" s="155">
        <v>3746</v>
      </c>
      <c r="I46" s="30">
        <f t="shared" si="0"/>
        <v>14984</v>
      </c>
      <c r="J46" s="32"/>
    </row>
    <row r="47" spans="1:10" s="43" customFormat="1" ht="25.5" x14ac:dyDescent="0.2">
      <c r="A47" s="39">
        <v>38</v>
      </c>
      <c r="B47" s="39" t="s">
        <v>90</v>
      </c>
      <c r="C47" s="39" t="s">
        <v>20</v>
      </c>
      <c r="D47" s="39" t="s">
        <v>21</v>
      </c>
      <c r="E47" s="40" t="s">
        <v>91</v>
      </c>
      <c r="F47" s="39" t="s">
        <v>18</v>
      </c>
      <c r="G47" s="22">
        <v>6</v>
      </c>
      <c r="H47" s="155">
        <v>2043.24</v>
      </c>
      <c r="I47" s="30">
        <f t="shared" si="0"/>
        <v>12259.44</v>
      </c>
      <c r="J47" s="32"/>
    </row>
    <row r="48" spans="1:10" s="43" customFormat="1" ht="25.5" x14ac:dyDescent="0.2">
      <c r="A48" s="39">
        <v>39</v>
      </c>
      <c r="B48" s="39" t="s">
        <v>92</v>
      </c>
      <c r="C48" s="39" t="s">
        <v>20</v>
      </c>
      <c r="D48" s="39" t="s">
        <v>21</v>
      </c>
      <c r="E48" s="40" t="s">
        <v>93</v>
      </c>
      <c r="F48" s="39" t="s">
        <v>18</v>
      </c>
      <c r="G48" s="22">
        <v>6</v>
      </c>
      <c r="H48" s="155">
        <v>2139.0700000000002</v>
      </c>
      <c r="I48" s="30">
        <f t="shared" si="0"/>
        <v>12834.420000000002</v>
      </c>
      <c r="J48" s="32"/>
    </row>
    <row r="49" spans="1:10" s="43" customFormat="1" ht="25.5" x14ac:dyDescent="0.2">
      <c r="A49" s="39">
        <v>40</v>
      </c>
      <c r="B49" s="39" t="s">
        <v>94</v>
      </c>
      <c r="C49" s="39" t="s">
        <v>20</v>
      </c>
      <c r="D49" s="39" t="s">
        <v>21</v>
      </c>
      <c r="E49" s="40" t="s">
        <v>95</v>
      </c>
      <c r="F49" s="39" t="s">
        <v>18</v>
      </c>
      <c r="G49" s="22">
        <v>3</v>
      </c>
      <c r="H49" s="155">
        <v>2675.76</v>
      </c>
      <c r="I49" s="30">
        <f t="shared" si="0"/>
        <v>8027.2800000000007</v>
      </c>
      <c r="J49" s="32"/>
    </row>
    <row r="50" spans="1:10" s="43" customFormat="1" ht="25.5" x14ac:dyDescent="0.2">
      <c r="A50" s="39">
        <v>41</v>
      </c>
      <c r="B50" s="39" t="s">
        <v>96</v>
      </c>
      <c r="C50" s="39" t="s">
        <v>20</v>
      </c>
      <c r="D50" s="39" t="s">
        <v>21</v>
      </c>
      <c r="E50" s="40" t="s">
        <v>97</v>
      </c>
      <c r="F50" s="39" t="s">
        <v>18</v>
      </c>
      <c r="G50" s="22">
        <v>3</v>
      </c>
      <c r="H50" s="155">
        <v>3478.18</v>
      </c>
      <c r="I50" s="30">
        <f t="shared" si="0"/>
        <v>10434.539999999999</v>
      </c>
      <c r="J50" s="32"/>
    </row>
    <row r="51" spans="1:10" s="43" customFormat="1" ht="25.5" x14ac:dyDescent="0.2">
      <c r="A51" s="39">
        <v>42</v>
      </c>
      <c r="B51" s="39" t="s">
        <v>98</v>
      </c>
      <c r="C51" s="39" t="s">
        <v>20</v>
      </c>
      <c r="D51" s="39" t="s">
        <v>21</v>
      </c>
      <c r="E51" s="40" t="s">
        <v>99</v>
      </c>
      <c r="F51" s="39" t="s">
        <v>18</v>
      </c>
      <c r="G51" s="22">
        <v>3</v>
      </c>
      <c r="H51" s="155">
        <v>2043.24</v>
      </c>
      <c r="I51" s="30">
        <f t="shared" si="0"/>
        <v>6129.72</v>
      </c>
      <c r="J51" s="32"/>
    </row>
    <row r="52" spans="1:10" s="43" customFormat="1" ht="25.5" x14ac:dyDescent="0.2">
      <c r="A52" s="39">
        <v>43</v>
      </c>
      <c r="B52" s="39" t="s">
        <v>100</v>
      </c>
      <c r="C52" s="39" t="s">
        <v>20</v>
      </c>
      <c r="D52" s="39" t="s">
        <v>21</v>
      </c>
      <c r="E52" s="40" t="s">
        <v>101</v>
      </c>
      <c r="F52" s="39" t="s">
        <v>18</v>
      </c>
      <c r="G52" s="22">
        <v>3</v>
      </c>
      <c r="H52" s="155">
        <v>5108.2700000000004</v>
      </c>
      <c r="I52" s="30">
        <f t="shared" si="0"/>
        <v>15324.810000000001</v>
      </c>
      <c r="J52" s="32"/>
    </row>
    <row r="53" spans="1:10" s="43" customFormat="1" ht="25.5" x14ac:dyDescent="0.2">
      <c r="A53" s="39">
        <v>44</v>
      </c>
      <c r="B53" s="39" t="s">
        <v>102</v>
      </c>
      <c r="C53" s="39" t="s">
        <v>20</v>
      </c>
      <c r="D53" s="39" t="s">
        <v>21</v>
      </c>
      <c r="E53" s="40" t="s">
        <v>103</v>
      </c>
      <c r="F53" s="39" t="s">
        <v>18</v>
      </c>
      <c r="G53" s="22">
        <v>2</v>
      </c>
      <c r="H53" s="155">
        <v>7491.98</v>
      </c>
      <c r="I53" s="30">
        <f t="shared" si="0"/>
        <v>14983.96</v>
      </c>
      <c r="J53" s="32"/>
    </row>
    <row r="54" spans="1:10" s="43" customFormat="1" ht="25.5" x14ac:dyDescent="0.2">
      <c r="A54" s="39">
        <v>45</v>
      </c>
      <c r="B54" s="39" t="s">
        <v>104</v>
      </c>
      <c r="C54" s="39" t="s">
        <v>20</v>
      </c>
      <c r="D54" s="39" t="s">
        <v>21</v>
      </c>
      <c r="E54" s="40" t="s">
        <v>105</v>
      </c>
      <c r="F54" s="39" t="s">
        <v>18</v>
      </c>
      <c r="G54" s="22">
        <v>3</v>
      </c>
      <c r="H54" s="155">
        <v>3356.72</v>
      </c>
      <c r="I54" s="30">
        <f t="shared" si="0"/>
        <v>10070.16</v>
      </c>
      <c r="J54" s="32"/>
    </row>
    <row r="55" spans="1:10" s="43" customFormat="1" ht="25.5" x14ac:dyDescent="0.2">
      <c r="A55" s="39">
        <v>46</v>
      </c>
      <c r="B55" s="39" t="s">
        <v>106</v>
      </c>
      <c r="C55" s="39" t="s">
        <v>20</v>
      </c>
      <c r="D55" s="39" t="s">
        <v>21</v>
      </c>
      <c r="E55" s="40" t="s">
        <v>107</v>
      </c>
      <c r="F55" s="39" t="s">
        <v>18</v>
      </c>
      <c r="G55" s="22">
        <v>3</v>
      </c>
      <c r="H55" s="155">
        <v>3162.61</v>
      </c>
      <c r="I55" s="30">
        <f t="shared" si="0"/>
        <v>9487.83</v>
      </c>
      <c r="J55" s="32"/>
    </row>
    <row r="56" spans="1:10" s="43" customFormat="1" ht="25.5" x14ac:dyDescent="0.2">
      <c r="A56" s="39">
        <v>47</v>
      </c>
      <c r="B56" s="39" t="s">
        <v>108</v>
      </c>
      <c r="C56" s="39" t="s">
        <v>20</v>
      </c>
      <c r="D56" s="39" t="s">
        <v>21</v>
      </c>
      <c r="E56" s="40" t="s">
        <v>109</v>
      </c>
      <c r="F56" s="39" t="s">
        <v>18</v>
      </c>
      <c r="G56" s="22">
        <v>6</v>
      </c>
      <c r="H56" s="155">
        <v>4816.24</v>
      </c>
      <c r="I56" s="30">
        <f t="shared" si="0"/>
        <v>28897.439999999999</v>
      </c>
      <c r="J56" s="32"/>
    </row>
    <row r="57" spans="1:10" s="43" customFormat="1" ht="25.5" x14ac:dyDescent="0.2">
      <c r="A57" s="39">
        <v>48</v>
      </c>
      <c r="B57" s="39" t="s">
        <v>110</v>
      </c>
      <c r="C57" s="39" t="s">
        <v>20</v>
      </c>
      <c r="D57" s="39" t="s">
        <v>21</v>
      </c>
      <c r="E57" s="40" t="s">
        <v>111</v>
      </c>
      <c r="F57" s="39" t="s">
        <v>18</v>
      </c>
      <c r="G57" s="22">
        <v>2</v>
      </c>
      <c r="H57" s="155">
        <v>7491.98</v>
      </c>
      <c r="I57" s="30">
        <f t="shared" si="0"/>
        <v>14983.96</v>
      </c>
      <c r="J57" s="32"/>
    </row>
    <row r="58" spans="1:10" s="43" customFormat="1" ht="25.5" x14ac:dyDescent="0.2">
      <c r="A58" s="39">
        <v>49</v>
      </c>
      <c r="B58" s="39" t="s">
        <v>112</v>
      </c>
      <c r="C58" s="39" t="s">
        <v>20</v>
      </c>
      <c r="D58" s="39" t="s">
        <v>21</v>
      </c>
      <c r="E58" s="40" t="s">
        <v>113</v>
      </c>
      <c r="F58" s="39" t="s">
        <v>18</v>
      </c>
      <c r="G58" s="22">
        <v>3</v>
      </c>
      <c r="H58" s="155">
        <v>3210.71</v>
      </c>
      <c r="I58" s="30">
        <f t="shared" si="0"/>
        <v>9632.130000000001</v>
      </c>
      <c r="J58" s="32"/>
    </row>
    <row r="59" spans="1:10" s="43" customFormat="1" ht="25.5" x14ac:dyDescent="0.2">
      <c r="A59" s="39">
        <v>50</v>
      </c>
      <c r="B59" s="39" t="s">
        <v>114</v>
      </c>
      <c r="C59" s="39" t="s">
        <v>20</v>
      </c>
      <c r="D59" s="39" t="s">
        <v>21</v>
      </c>
      <c r="E59" s="40" t="s">
        <v>115</v>
      </c>
      <c r="F59" s="39" t="s">
        <v>18</v>
      </c>
      <c r="G59" s="22">
        <v>4</v>
      </c>
      <c r="H59" s="155">
        <v>4038.04</v>
      </c>
      <c r="I59" s="30">
        <f t="shared" si="0"/>
        <v>16152.16</v>
      </c>
      <c r="J59" s="32"/>
    </row>
    <row r="60" spans="1:10" s="43" customFormat="1" ht="38.25" x14ac:dyDescent="0.2">
      <c r="A60" s="39">
        <v>51</v>
      </c>
      <c r="B60" s="39" t="s">
        <v>116</v>
      </c>
      <c r="C60" s="39" t="s">
        <v>20</v>
      </c>
      <c r="D60" s="39" t="s">
        <v>21</v>
      </c>
      <c r="E60" s="40" t="s">
        <v>117</v>
      </c>
      <c r="F60" s="39" t="s">
        <v>18</v>
      </c>
      <c r="G60" s="22">
        <v>1</v>
      </c>
      <c r="H60" s="155">
        <v>8800.7999999999993</v>
      </c>
      <c r="I60" s="30">
        <f t="shared" si="0"/>
        <v>8800.7999999999993</v>
      </c>
      <c r="J60" s="32"/>
    </row>
    <row r="61" spans="1:10" s="43" customFormat="1" ht="39" thickBot="1" x14ac:dyDescent="0.25">
      <c r="A61" s="31">
        <v>52</v>
      </c>
      <c r="B61" s="31" t="s">
        <v>118</v>
      </c>
      <c r="C61" s="31" t="s">
        <v>31</v>
      </c>
      <c r="D61" s="31" t="s">
        <v>21</v>
      </c>
      <c r="E61" s="41" t="s">
        <v>119</v>
      </c>
      <c r="F61" s="31" t="s">
        <v>18</v>
      </c>
      <c r="G61" s="26">
        <v>2</v>
      </c>
      <c r="H61" s="56">
        <v>2238.46</v>
      </c>
      <c r="I61" s="30">
        <f t="shared" si="0"/>
        <v>4476.92</v>
      </c>
      <c r="J61" s="32"/>
    </row>
    <row r="62" spans="1:10" s="46" customFormat="1" ht="13.5" thickBot="1" x14ac:dyDescent="0.25">
      <c r="A62" s="44"/>
      <c r="B62" s="35"/>
      <c r="C62" s="35"/>
      <c r="D62" s="35"/>
      <c r="E62" s="34" t="s">
        <v>120</v>
      </c>
      <c r="F62" s="35"/>
      <c r="G62" s="27"/>
      <c r="H62" s="42"/>
      <c r="I62" s="28">
        <f>+SUM(I10:I61)</f>
        <v>1117679.4799999997</v>
      </c>
      <c r="J62" s="45"/>
    </row>
    <row r="63" spans="1:10" ht="15.75" thickBot="1" x14ac:dyDescent="0.3"/>
    <row r="64" spans="1:10" ht="60" x14ac:dyDescent="0.25">
      <c r="B64" s="132" t="s">
        <v>167</v>
      </c>
      <c r="C64" s="133"/>
      <c r="D64" s="133"/>
      <c r="E64" s="148"/>
      <c r="F64" s="150"/>
      <c r="G64" s="151"/>
    </row>
    <row r="65" spans="2:7" x14ac:dyDescent="0.25">
      <c r="B65" s="134"/>
      <c r="C65" s="135"/>
      <c r="D65" s="135"/>
      <c r="E65" s="146"/>
      <c r="F65" s="135"/>
      <c r="G65" s="151"/>
    </row>
    <row r="66" spans="2:7" x14ac:dyDescent="0.25">
      <c r="B66" s="136" t="s">
        <v>168</v>
      </c>
      <c r="C66" s="137" t="s">
        <v>179</v>
      </c>
      <c r="D66" s="144"/>
      <c r="E66" s="152"/>
      <c r="F66" s="144"/>
      <c r="G66" s="151"/>
    </row>
    <row r="67" spans="2:7" x14ac:dyDescent="0.25">
      <c r="B67" s="136"/>
      <c r="C67" s="138"/>
      <c r="D67" s="144"/>
      <c r="E67" s="152"/>
      <c r="F67" s="144"/>
      <c r="G67" s="151"/>
    </row>
    <row r="68" spans="2:7" x14ac:dyDescent="0.25">
      <c r="B68" s="136" t="s">
        <v>169</v>
      </c>
      <c r="C68" s="139" t="s">
        <v>173</v>
      </c>
      <c r="D68" s="139"/>
      <c r="E68" s="149"/>
      <c r="F68" s="139"/>
      <c r="G68" s="151"/>
    </row>
    <row r="69" spans="2:7" x14ac:dyDescent="0.25">
      <c r="B69" s="136"/>
      <c r="C69" s="139"/>
      <c r="D69" s="139"/>
      <c r="E69" s="149"/>
      <c r="F69" s="139"/>
      <c r="G69" s="151"/>
    </row>
    <row r="70" spans="2:7" ht="30" x14ac:dyDescent="0.25">
      <c r="B70" s="140" t="s">
        <v>170</v>
      </c>
      <c r="C70" s="141"/>
      <c r="D70" s="145"/>
      <c r="E70" s="153"/>
      <c r="F70" s="145"/>
      <c r="G70" s="151"/>
    </row>
    <row r="71" spans="2:7" x14ac:dyDescent="0.25">
      <c r="B71" s="140"/>
      <c r="C71" s="141"/>
      <c r="D71" s="145"/>
      <c r="E71" s="153"/>
      <c r="F71" s="145"/>
      <c r="G71" s="151"/>
    </row>
    <row r="72" spans="2:7" ht="15.75" thickBot="1" x14ac:dyDescent="0.3">
      <c r="B72" s="142" t="s">
        <v>171</v>
      </c>
      <c r="C72" s="143" t="s">
        <v>172</v>
      </c>
      <c r="D72" s="147"/>
      <c r="E72" s="154"/>
      <c r="F72" s="145"/>
      <c r="G72" s="151"/>
    </row>
  </sheetData>
  <mergeCells count="5">
    <mergeCell ref="A7:B7"/>
    <mergeCell ref="B2:H2"/>
    <mergeCell ref="A4:B4"/>
    <mergeCell ref="A5:B5"/>
    <mergeCell ref="A6:B6"/>
  </mergeCells>
  <conditionalFormatting sqref="B18">
    <cfRule type="duplicateValues" dxfId="62" priority="77"/>
  </conditionalFormatting>
  <conditionalFormatting sqref="E18">
    <cfRule type="duplicateValues" dxfId="61" priority="78"/>
  </conditionalFormatting>
  <conditionalFormatting sqref="E18">
    <cfRule type="duplicateValues" dxfId="60" priority="79"/>
    <cfRule type="duplicateValues" dxfId="59" priority="80"/>
  </conditionalFormatting>
  <conditionalFormatting sqref="E18 B18">
    <cfRule type="duplicateValues" dxfId="58" priority="81"/>
  </conditionalFormatting>
  <conditionalFormatting sqref="E18">
    <cfRule type="duplicateValues" dxfId="57" priority="82"/>
  </conditionalFormatting>
  <conditionalFormatting sqref="B19:B20">
    <cfRule type="duplicateValues" dxfId="56" priority="59"/>
  </conditionalFormatting>
  <conditionalFormatting sqref="E19:E20">
    <cfRule type="duplicateValues" dxfId="55" priority="60"/>
  </conditionalFormatting>
  <conditionalFormatting sqref="E19:E20 B19:B20">
    <cfRule type="duplicateValues" dxfId="54" priority="61"/>
  </conditionalFormatting>
  <conditionalFormatting sqref="E19:E20">
    <cfRule type="duplicateValues" dxfId="53" priority="62"/>
  </conditionalFormatting>
  <conditionalFormatting sqref="E19:E20">
    <cfRule type="duplicateValues" dxfId="52" priority="63"/>
    <cfRule type="duplicateValues" dxfId="51" priority="64"/>
  </conditionalFormatting>
  <conditionalFormatting sqref="B23">
    <cfRule type="duplicateValues" dxfId="50" priority="95"/>
  </conditionalFormatting>
  <conditionalFormatting sqref="E23">
    <cfRule type="duplicateValues" dxfId="49" priority="96"/>
  </conditionalFormatting>
  <conditionalFormatting sqref="E23 B23">
    <cfRule type="duplicateValues" dxfId="48" priority="97"/>
  </conditionalFormatting>
  <conditionalFormatting sqref="E23">
    <cfRule type="duplicateValues" dxfId="47" priority="98"/>
    <cfRule type="duplicateValues" dxfId="46" priority="99"/>
  </conditionalFormatting>
  <conditionalFormatting sqref="B21">
    <cfRule type="duplicateValues" dxfId="45" priority="54"/>
  </conditionalFormatting>
  <conditionalFormatting sqref="E21">
    <cfRule type="duplicateValues" dxfId="44" priority="55"/>
  </conditionalFormatting>
  <conditionalFormatting sqref="J20 E21 B21">
    <cfRule type="duplicateValues" dxfId="43" priority="56"/>
  </conditionalFormatting>
  <conditionalFormatting sqref="E21">
    <cfRule type="duplicateValues" dxfId="42" priority="57"/>
    <cfRule type="duplicateValues" dxfId="41" priority="58"/>
  </conditionalFormatting>
  <conditionalFormatting sqref="B22">
    <cfRule type="duplicateValues" dxfId="40" priority="100"/>
  </conditionalFormatting>
  <conditionalFormatting sqref="E22">
    <cfRule type="duplicateValues" dxfId="39" priority="101"/>
  </conditionalFormatting>
  <conditionalFormatting sqref="E22">
    <cfRule type="duplicateValues" dxfId="38" priority="102"/>
    <cfRule type="duplicateValues" dxfId="37" priority="103"/>
  </conditionalFormatting>
  <conditionalFormatting sqref="B22 E22">
    <cfRule type="duplicateValues" dxfId="36" priority="104"/>
  </conditionalFormatting>
  <conditionalFormatting sqref="B22">
    <cfRule type="duplicateValues" dxfId="35" priority="105"/>
  </conditionalFormatting>
  <conditionalFormatting sqref="B24:B25">
    <cfRule type="duplicateValues" dxfId="34" priority="49"/>
  </conditionalFormatting>
  <conditionalFormatting sqref="E24:E25">
    <cfRule type="duplicateValues" dxfId="33" priority="50"/>
  </conditionalFormatting>
  <conditionalFormatting sqref="B24 E24">
    <cfRule type="duplicateValues" dxfId="32" priority="51"/>
  </conditionalFormatting>
  <conditionalFormatting sqref="E24:E25">
    <cfRule type="duplicateValues" dxfId="31" priority="52"/>
    <cfRule type="duplicateValues" dxfId="30" priority="53"/>
  </conditionalFormatting>
  <conditionalFormatting sqref="J23:J24">
    <cfRule type="duplicateValues" dxfId="29" priority="48"/>
  </conditionalFormatting>
  <conditionalFormatting sqref="B37">
    <cfRule type="duplicateValues" dxfId="28" priority="44"/>
  </conditionalFormatting>
  <conditionalFormatting sqref="E37">
    <cfRule type="duplicateValues" dxfId="27" priority="45"/>
  </conditionalFormatting>
  <conditionalFormatting sqref="E37">
    <cfRule type="duplicateValues" dxfId="26" priority="46"/>
    <cfRule type="duplicateValues" dxfId="25" priority="47"/>
  </conditionalFormatting>
  <conditionalFormatting sqref="J36">
    <cfRule type="duplicateValues" dxfId="24" priority="43"/>
  </conditionalFormatting>
  <conditionalFormatting sqref="B1:B9 E1:E9">
    <cfRule type="duplicateValues" dxfId="23" priority="106"/>
  </conditionalFormatting>
  <conditionalFormatting sqref="E1:E9 B1:B9">
    <cfRule type="duplicateValues" dxfId="22" priority="107"/>
  </conditionalFormatting>
  <conditionalFormatting sqref="B10:B16">
    <cfRule type="duplicateValues" dxfId="21" priority="135"/>
  </conditionalFormatting>
  <conditionalFormatting sqref="E10:E16">
    <cfRule type="duplicateValues" dxfId="20" priority="136"/>
  </conditionalFormatting>
  <conditionalFormatting sqref="E10:E16">
    <cfRule type="duplicateValues" dxfId="19" priority="137"/>
    <cfRule type="duplicateValues" dxfId="18" priority="138"/>
  </conditionalFormatting>
  <conditionalFormatting sqref="E10:E16 B10:B16">
    <cfRule type="duplicateValues" dxfId="17" priority="139"/>
  </conditionalFormatting>
  <conditionalFormatting sqref="E10:E16">
    <cfRule type="duplicateValues" dxfId="16" priority="141"/>
  </conditionalFormatting>
  <conditionalFormatting sqref="B1:B9">
    <cfRule type="duplicateValues" dxfId="15" priority="150"/>
  </conditionalFormatting>
  <conditionalFormatting sqref="E1:E9">
    <cfRule type="duplicateValues" dxfId="14" priority="151"/>
  </conditionalFormatting>
  <conditionalFormatting sqref="E1:E9">
    <cfRule type="duplicateValues" dxfId="13" priority="152"/>
    <cfRule type="duplicateValues" dxfId="12" priority="153"/>
  </conditionalFormatting>
  <conditionalFormatting sqref="E70:E72 E66:E67">
    <cfRule type="duplicateValues" dxfId="11" priority="5"/>
  </conditionalFormatting>
  <conditionalFormatting sqref="E70:E72 B66:B72 E66:E67">
    <cfRule type="duplicateValues" dxfId="10" priority="4"/>
  </conditionalFormatting>
  <conditionalFormatting sqref="E70:E72">
    <cfRule type="duplicateValues" dxfId="9" priority="3"/>
  </conditionalFormatting>
  <conditionalFormatting sqref="E70:E72 E66:E67">
    <cfRule type="duplicateValues" dxfId="8" priority="1"/>
    <cfRule type="duplicateValues" dxfId="7" priority="2"/>
  </conditionalFormatting>
  <conditionalFormatting sqref="B66:B72">
    <cfRule type="duplicateValues" dxfId="6" priority="6"/>
  </conditionalFormatting>
  <conditionalFormatting sqref="E66:E72">
    <cfRule type="duplicateValues" dxfId="5" priority="7"/>
    <cfRule type="duplicateValues" dxfId="4" priority="8"/>
  </conditionalFormatting>
  <conditionalFormatting sqref="E66:E72">
    <cfRule type="duplicateValues" dxfId="3" priority="9"/>
  </conditionalFormatting>
  <conditionalFormatting sqref="E66:E72">
    <cfRule type="duplicateValues" dxfId="2" priority="10"/>
  </conditionalFormatting>
  <conditionalFormatting sqref="B66:B72 E66:E72">
    <cfRule type="duplicateValues" dxfId="1" priority="11"/>
  </conditionalFormatting>
  <conditionalFormatting sqref="B66:B72">
    <cfRule type="duplicateValues" dxfId="0" priority="1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topLeftCell="A22" workbookViewId="0">
      <selection activeCell="D8" sqref="D8:K8"/>
    </sheetView>
  </sheetViews>
  <sheetFormatPr baseColWidth="10" defaultRowHeight="15" x14ac:dyDescent="0.25"/>
  <cols>
    <col min="1" max="1" width="5.5703125" customWidth="1"/>
    <col min="2" max="2" width="15.140625" style="114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3.140625" customWidth="1"/>
    <col min="8" max="8" width="9.28515625" customWidth="1"/>
    <col min="9" max="9" width="15.5703125" customWidth="1"/>
    <col min="10" max="10" width="14.7109375" style="128" customWidth="1"/>
    <col min="11" max="11" width="15.5703125" customWidth="1"/>
    <col min="13" max="13" width="14.5703125" style="129" bestFit="1" customWidth="1"/>
  </cols>
  <sheetData>
    <row r="1" spans="1:13" ht="30.75" thickBot="1" x14ac:dyDescent="0.3">
      <c r="A1" s="169" t="s">
        <v>121</v>
      </c>
      <c r="B1" s="169"/>
      <c r="C1" s="169"/>
      <c r="D1" s="169"/>
      <c r="E1" s="169"/>
      <c r="F1" s="169"/>
      <c r="G1" s="169"/>
      <c r="H1" s="169"/>
      <c r="I1" s="169"/>
      <c r="J1" s="122" t="s">
        <v>122</v>
      </c>
      <c r="K1" s="61" t="s">
        <v>174</v>
      </c>
    </row>
    <row r="2" spans="1:13" ht="16.5" thickBot="1" x14ac:dyDescent="0.3">
      <c r="A2" s="62"/>
      <c r="B2" s="112"/>
      <c r="C2" s="63"/>
      <c r="D2" s="64"/>
      <c r="E2" s="64"/>
      <c r="F2" s="64"/>
      <c r="G2" s="64"/>
      <c r="H2" s="64"/>
      <c r="I2" s="64"/>
      <c r="J2" s="123"/>
      <c r="K2" s="65"/>
    </row>
    <row r="3" spans="1:13" ht="16.5" thickBot="1" x14ac:dyDescent="0.3">
      <c r="A3" s="170" t="s">
        <v>123</v>
      </c>
      <c r="B3" s="170"/>
      <c r="C3" s="170"/>
      <c r="D3" s="171" t="str">
        <f>'SAF 011'!C4</f>
        <v>040 - MINISTERIO DE SALUD</v>
      </c>
      <c r="E3" s="171"/>
      <c r="F3" s="171"/>
      <c r="G3" s="171"/>
      <c r="H3" s="171"/>
      <c r="I3" s="171"/>
      <c r="J3" s="171"/>
      <c r="K3" s="171"/>
    </row>
    <row r="4" spans="1:13" ht="16.5" thickBot="1" x14ac:dyDescent="0.3">
      <c r="A4" s="172" t="s">
        <v>124</v>
      </c>
      <c r="B4" s="172"/>
      <c r="C4" s="172"/>
      <c r="D4" s="171" t="str">
        <f>'SAF 011'!C5</f>
        <v>011 - DIRECCION PROVINCIAL DE ADMINISTRACION - MINISTERIO DE SALUD</v>
      </c>
      <c r="E4" s="171"/>
      <c r="F4" s="171"/>
      <c r="G4" s="171"/>
      <c r="H4" s="171"/>
      <c r="I4" s="171"/>
      <c r="J4" s="171"/>
      <c r="K4" s="171"/>
    </row>
    <row r="5" spans="1:13" ht="16.5" thickBot="1" x14ac:dyDescent="0.3">
      <c r="A5" s="172" t="s">
        <v>125</v>
      </c>
      <c r="B5" s="172"/>
      <c r="C5" s="172"/>
      <c r="D5" s="171" t="s">
        <v>157</v>
      </c>
      <c r="E5" s="171"/>
      <c r="F5" s="171"/>
      <c r="G5" s="171"/>
      <c r="H5" s="171"/>
      <c r="I5" s="171"/>
      <c r="J5" s="171"/>
      <c r="K5" s="171"/>
    </row>
    <row r="6" spans="1:13" ht="16.5" thickBot="1" x14ac:dyDescent="0.3">
      <c r="A6" s="170" t="s">
        <v>126</v>
      </c>
      <c r="B6" s="170"/>
      <c r="C6" s="170"/>
      <c r="D6" s="171" t="s">
        <v>157</v>
      </c>
      <c r="E6" s="171"/>
      <c r="F6" s="171"/>
      <c r="G6" s="171"/>
      <c r="H6" s="171"/>
      <c r="I6" s="171"/>
      <c r="J6" s="171"/>
      <c r="K6" s="171"/>
    </row>
    <row r="7" spans="1:13" ht="16.5" thickBot="1" x14ac:dyDescent="0.3">
      <c r="A7" s="172" t="s">
        <v>127</v>
      </c>
      <c r="B7" s="172"/>
      <c r="C7" s="172"/>
      <c r="D7" s="171" t="s">
        <v>158</v>
      </c>
      <c r="E7" s="171"/>
      <c r="F7" s="171"/>
      <c r="G7" s="171"/>
      <c r="H7" s="171"/>
      <c r="I7" s="171"/>
      <c r="J7" s="171"/>
      <c r="K7" s="171"/>
    </row>
    <row r="8" spans="1:13" ht="16.5" thickBot="1" x14ac:dyDescent="0.3">
      <c r="A8" s="173" t="s">
        <v>128</v>
      </c>
      <c r="B8" s="173"/>
      <c r="C8" s="173"/>
      <c r="D8" s="174" t="s">
        <v>175</v>
      </c>
      <c r="E8" s="174"/>
      <c r="F8" s="174"/>
      <c r="G8" s="174"/>
      <c r="H8" s="174"/>
      <c r="I8" s="174"/>
      <c r="J8" s="174"/>
      <c r="K8" s="174"/>
    </row>
    <row r="9" spans="1:13" ht="16.5" thickBot="1" x14ac:dyDescent="0.3">
      <c r="A9" s="66"/>
      <c r="B9" s="113"/>
      <c r="C9" s="67"/>
      <c r="D9" s="68"/>
      <c r="E9" s="68"/>
      <c r="F9" s="68"/>
      <c r="G9" s="68"/>
      <c r="H9" s="68"/>
      <c r="I9" s="68"/>
      <c r="J9" s="124"/>
      <c r="K9" s="69"/>
    </row>
    <row r="10" spans="1:13" ht="15.75" thickBot="1" x14ac:dyDescent="0.3">
      <c r="A10" s="175" t="s">
        <v>129</v>
      </c>
      <c r="B10" s="167" t="s">
        <v>130</v>
      </c>
      <c r="C10" s="167" t="s">
        <v>131</v>
      </c>
      <c r="D10" s="167"/>
      <c r="E10" s="167"/>
      <c r="F10" s="167"/>
      <c r="G10" s="167"/>
      <c r="H10" s="167" t="s">
        <v>132</v>
      </c>
      <c r="I10" s="167" t="s">
        <v>133</v>
      </c>
      <c r="J10" s="168" t="s">
        <v>134</v>
      </c>
      <c r="K10" s="165" t="s">
        <v>135</v>
      </c>
    </row>
    <row r="11" spans="1:13" ht="39.75" customHeight="1" thickBot="1" x14ac:dyDescent="0.3">
      <c r="A11" s="175"/>
      <c r="B11" s="167"/>
      <c r="C11" s="167"/>
      <c r="D11" s="167"/>
      <c r="E11" s="167"/>
      <c r="F11" s="167"/>
      <c r="G11" s="167"/>
      <c r="H11" s="167"/>
      <c r="I11" s="167"/>
      <c r="J11" s="168"/>
      <c r="K11" s="165"/>
    </row>
    <row r="12" spans="1:13" s="117" customFormat="1" ht="26.25" customHeight="1" x14ac:dyDescent="0.2">
      <c r="A12" s="115">
        <v>1</v>
      </c>
      <c r="B12" s="70" t="str">
        <f>'SAF 011'!B10</f>
        <v>2.5.1-9009.29</v>
      </c>
      <c r="C12" s="166" t="str">
        <f>'SAF 011'!E10</f>
        <v>ACIDOS; COMPUESTO QUIMICO: AC. CLORHIDRICO, ESTADO: SOLUCION, CALIDAD: PRO ANALISIS, CONCENTRACION/PUREZA: 37 %, PRESENTACION: ENVASE X 1 L</v>
      </c>
      <c r="D12" s="166"/>
      <c r="E12" s="166"/>
      <c r="F12" s="166"/>
      <c r="G12" s="166"/>
      <c r="H12" s="70" t="s">
        <v>162</v>
      </c>
      <c r="I12" s="70" t="str">
        <f>'SAF 011'!F10</f>
        <v>UNIDAD</v>
      </c>
      <c r="J12" s="125">
        <f>'SAF 011'!H10</f>
        <v>1268.76</v>
      </c>
      <c r="K12" s="116" t="e">
        <f>'SAF 011'!#REF!</f>
        <v>#REF!</v>
      </c>
      <c r="M12" s="130" t="e">
        <f>+J12*K12</f>
        <v>#REF!</v>
      </c>
    </row>
    <row r="13" spans="1:13" s="117" customFormat="1" ht="26.25" customHeight="1" x14ac:dyDescent="0.2">
      <c r="A13" s="118">
        <v>2</v>
      </c>
      <c r="B13" s="71" t="str">
        <f>'SAF 011'!B11</f>
        <v>2.5.1-9009.99</v>
      </c>
      <c r="C13" s="161" t="str">
        <f>'SAF 011'!E11</f>
        <v>ACIDOS; COMPUESTO QUIMICO: AC. SULFURICO, ESTADO: LIQUIDO, CALIDAD: PRO ANALISIS, CONCENTRACION/PUREZA: 98 %, PRESENTACION: ENVASE X 1 L</v>
      </c>
      <c r="D13" s="162"/>
      <c r="E13" s="162"/>
      <c r="F13" s="162"/>
      <c r="G13" s="163"/>
      <c r="H13" s="71" t="s">
        <v>162</v>
      </c>
      <c r="I13" s="71" t="str">
        <f>'SAF 011'!F11</f>
        <v>UNIDAD</v>
      </c>
      <c r="J13" s="126">
        <f>'SAF 011'!H11</f>
        <v>1282.07</v>
      </c>
      <c r="K13" s="119" t="e">
        <f>'SAF 011'!#REF!</f>
        <v>#REF!</v>
      </c>
      <c r="M13" s="130" t="e">
        <f t="shared" ref="M13:M63" si="0">+J13*K13</f>
        <v>#REF!</v>
      </c>
    </row>
    <row r="14" spans="1:13" s="117" customFormat="1" ht="26.25" customHeight="1" x14ac:dyDescent="0.2">
      <c r="A14" s="118">
        <v>3</v>
      </c>
      <c r="B14" s="71" t="str">
        <f>'SAF 011'!B12</f>
        <v>2.5.1-9013.22</v>
      </c>
      <c r="C14" s="161" t="str">
        <f>'SAF 011'!E12</f>
        <v>ALDEHIDOS Y CETONAS; COMPUESTO QUIMICO: ACETONA, ESTADO: LIQUIDO, CALIDAD: PRO ANALISIS, CONCENTRACION/PUREZA: 99 %, PRESENTACION: ENVASE X 1 L</v>
      </c>
      <c r="D14" s="162"/>
      <c r="E14" s="162"/>
      <c r="F14" s="162"/>
      <c r="G14" s="163"/>
      <c r="H14" s="71" t="s">
        <v>162</v>
      </c>
      <c r="I14" s="71" t="str">
        <f>'SAF 011'!F12</f>
        <v>UNIDAD</v>
      </c>
      <c r="J14" s="126">
        <f>'SAF 011'!H12</f>
        <v>7458.08</v>
      </c>
      <c r="K14" s="119" t="e">
        <f>'SAF 011'!#REF!</f>
        <v>#REF!</v>
      </c>
      <c r="M14" s="130" t="e">
        <f t="shared" si="0"/>
        <v>#REF!</v>
      </c>
    </row>
    <row r="15" spans="1:13" s="117" customFormat="1" ht="26.25" customHeight="1" x14ac:dyDescent="0.2">
      <c r="A15" s="118">
        <v>4</v>
      </c>
      <c r="B15" s="71" t="str">
        <f>'SAF 011'!B13</f>
        <v>2.5.1-9015.66</v>
      </c>
      <c r="C15" s="161" t="str">
        <f>'SAF 011'!E13</f>
        <v>BASES; COMPUESTO QUIMICO: HIDROXIDO DE POTASIO, ESTADO: SOLIDO, CALIDAD: FARMACOPEA, CONCENTRACION/PUREZA: 98 %, PRESENTACION: ENVASE X 1 Kg</v>
      </c>
      <c r="D15" s="162"/>
      <c r="E15" s="162"/>
      <c r="F15" s="162"/>
      <c r="G15" s="163"/>
      <c r="H15" s="71" t="s">
        <v>162</v>
      </c>
      <c r="I15" s="71" t="str">
        <f>'SAF 011'!F13</f>
        <v>UNIDAD</v>
      </c>
      <c r="J15" s="126">
        <f>'SAF 011'!H13</f>
        <v>783.6</v>
      </c>
      <c r="K15" s="119" t="e">
        <f>'SAF 011'!#REF!</f>
        <v>#REF!</v>
      </c>
      <c r="M15" s="130" t="e">
        <f t="shared" si="0"/>
        <v>#REF!</v>
      </c>
    </row>
    <row r="16" spans="1:13" s="117" customFormat="1" ht="26.25" customHeight="1" x14ac:dyDescent="0.2">
      <c r="A16" s="118">
        <v>5</v>
      </c>
      <c r="B16" s="71" t="str">
        <f>'SAF 011'!B14</f>
        <v>2.5.1-9015.52</v>
      </c>
      <c r="C16" s="161" t="str">
        <f>'SAF 011'!E14</f>
        <v>BASES; COMPUESTO QUIMICO: HIDROXIDO DE SODIO, ESTADO: SOLUCION, CALIDAD: PRO ANALISIS, CONCENTRACION/PUREZA: 0,1 N, PRESENTACION: ENVASE X 1 L</v>
      </c>
      <c r="D16" s="162"/>
      <c r="E16" s="162"/>
      <c r="F16" s="162"/>
      <c r="G16" s="163"/>
      <c r="H16" s="71" t="s">
        <v>162</v>
      </c>
      <c r="I16" s="71" t="str">
        <f>'SAF 011'!F14</f>
        <v>UNIDAD</v>
      </c>
      <c r="J16" s="126">
        <f>'SAF 011'!H14</f>
        <v>747.6</v>
      </c>
      <c r="K16" s="119" t="e">
        <f>'SAF 011'!#REF!</f>
        <v>#REF!</v>
      </c>
      <c r="M16" s="130" t="e">
        <f t="shared" si="0"/>
        <v>#REF!</v>
      </c>
    </row>
    <row r="17" spans="1:13" s="117" customFormat="1" ht="26.25" customHeight="1" x14ac:dyDescent="0.2">
      <c r="A17" s="118">
        <v>6</v>
      </c>
      <c r="B17" s="71" t="str">
        <f>'SAF 011'!B15</f>
        <v>2.5.1-8976.27</v>
      </c>
      <c r="C17" s="161" t="str">
        <f>'SAF 011'!E15</f>
        <v>HIDROCARBUROS; COMPUESTO QUIMICO: CICLOHEXANO, ESTADO: LIQUIDO, CONCENTRACION/PUREZA: 100 %, PRESENTACION: ENVASE X 1 L, CALIDAD: PRO ANALISIS</v>
      </c>
      <c r="D17" s="162"/>
      <c r="E17" s="162"/>
      <c r="F17" s="162"/>
      <c r="G17" s="163"/>
      <c r="H17" s="71" t="s">
        <v>162</v>
      </c>
      <c r="I17" s="71" t="str">
        <f>'SAF 011'!F15</f>
        <v>UNIDAD</v>
      </c>
      <c r="J17" s="126">
        <f>'SAF 011'!H15</f>
        <v>6387.6</v>
      </c>
      <c r="K17" s="119" t="e">
        <f>'SAF 011'!#REF!</f>
        <v>#REF!</v>
      </c>
      <c r="M17" s="130" t="e">
        <f t="shared" si="0"/>
        <v>#REF!</v>
      </c>
    </row>
    <row r="18" spans="1:13" s="117" customFormat="1" ht="26.25" customHeight="1" x14ac:dyDescent="0.2">
      <c r="A18" s="118">
        <v>7</v>
      </c>
      <c r="B18" s="71" t="str">
        <f>'SAF 011'!B16</f>
        <v>2.5.1-9016.184</v>
      </c>
      <c r="C18" s="161" t="str">
        <f>'SAF 011'!E16</f>
        <v>MEDIOS DE CULTIVO Y SUPLEMENTO; NOMBRE DEL PRODUCTO: AGAR BAIRD PARKER, ESTADO: SOLIDO, PRESENTACION: ENVASE X 500 GR</v>
      </c>
      <c r="D18" s="162"/>
      <c r="E18" s="162"/>
      <c r="F18" s="162"/>
      <c r="G18" s="163"/>
      <c r="H18" s="71" t="s">
        <v>162</v>
      </c>
      <c r="I18" s="71" t="str">
        <f>'SAF 011'!F16</f>
        <v>UNIDAD</v>
      </c>
      <c r="J18" s="126">
        <f>'SAF 011'!H16</f>
        <v>19988.509999999998</v>
      </c>
      <c r="K18" s="119" t="e">
        <f>'SAF 011'!#REF!</f>
        <v>#REF!</v>
      </c>
      <c r="M18" s="130" t="e">
        <f t="shared" si="0"/>
        <v>#REF!</v>
      </c>
    </row>
    <row r="19" spans="1:13" s="117" customFormat="1" ht="26.25" customHeight="1" x14ac:dyDescent="0.2">
      <c r="A19" s="118">
        <v>8</v>
      </c>
      <c r="B19" s="71" t="str">
        <f>'SAF 011'!B17</f>
        <v>2.5.1-9016.774</v>
      </c>
      <c r="C19" s="161" t="str">
        <f>'SAF 011'!E17</f>
        <v>MEDIOS DE CULTIVO Y SUPLEMENTO; NOMBRE DEL PRODUCTO: AGAR BASE BACILLUS CEREUS, ESTADO: SOLIDO, PRESENTACION: ENVASE X 500 GR</v>
      </c>
      <c r="D19" s="162"/>
      <c r="E19" s="162"/>
      <c r="F19" s="162"/>
      <c r="G19" s="163"/>
      <c r="H19" s="71" t="s">
        <v>162</v>
      </c>
      <c r="I19" s="71" t="str">
        <f>'SAF 011'!F17</f>
        <v>UNIDAD</v>
      </c>
      <c r="J19" s="126">
        <f>'SAF 011'!H17</f>
        <v>20640.91</v>
      </c>
      <c r="K19" s="119" t="e">
        <f>'SAF 011'!#REF!</f>
        <v>#REF!</v>
      </c>
      <c r="M19" s="130" t="e">
        <f t="shared" si="0"/>
        <v>#REF!</v>
      </c>
    </row>
    <row r="20" spans="1:13" s="117" customFormat="1" ht="26.25" customHeight="1" x14ac:dyDescent="0.2">
      <c r="A20" s="118">
        <v>9</v>
      </c>
      <c r="B20" s="71" t="str">
        <f>'SAF 011'!B18</f>
        <v>2.5.1-9016.200</v>
      </c>
      <c r="C20" s="161" t="str">
        <f>'SAF 011'!E18</f>
        <v>MEDIOS DE CULTIVO Y SUPLEMENTO; NOMBRE DEL PRODUCTO: AGAR BASE SANGRE, ESTADO: SOLIDO, PRESENTACION: ENVASE X 500 Ml</v>
      </c>
      <c r="D20" s="162"/>
      <c r="E20" s="162"/>
      <c r="F20" s="162"/>
      <c r="G20" s="163"/>
      <c r="H20" s="71" t="s">
        <v>162</v>
      </c>
      <c r="I20" s="71" t="str">
        <f>'SAF 011'!F18</f>
        <v>UNIDAD</v>
      </c>
      <c r="J20" s="126">
        <f>'SAF 011'!H18</f>
        <v>6360</v>
      </c>
      <c r="K20" s="119" t="e">
        <f>'SAF 011'!#REF!</f>
        <v>#REF!</v>
      </c>
      <c r="M20" s="130" t="e">
        <f t="shared" si="0"/>
        <v>#REF!</v>
      </c>
    </row>
    <row r="21" spans="1:13" s="117" customFormat="1" ht="26.25" customHeight="1" x14ac:dyDescent="0.2">
      <c r="A21" s="118">
        <v>10</v>
      </c>
      <c r="B21" s="71" t="str">
        <f>'SAF 011'!B19</f>
        <v>2.5.1-9016.205</v>
      </c>
      <c r="C21" s="161" t="str">
        <f>'SAF 011'!E19</f>
        <v>MEDIOS DE CULTIVO Y SUPLEMENTO; NOMBRE DEL PRODUCTO: AGAR BILIS ESCULINA AZIDA, ESTADO: SOLIDO, PRESENTACION: ENVASE X 100 GR</v>
      </c>
      <c r="D21" s="162"/>
      <c r="E21" s="162"/>
      <c r="F21" s="162"/>
      <c r="G21" s="163"/>
      <c r="H21" s="71" t="s">
        <v>162</v>
      </c>
      <c r="I21" s="71" t="str">
        <f>'SAF 011'!F19</f>
        <v>UNIDAD</v>
      </c>
      <c r="J21" s="126">
        <f>'SAF 011'!H19</f>
        <v>12526.18</v>
      </c>
      <c r="K21" s="119" t="e">
        <f>'SAF 011'!#REF!</f>
        <v>#REF!</v>
      </c>
      <c r="M21" s="130" t="e">
        <f t="shared" si="0"/>
        <v>#REF!</v>
      </c>
    </row>
    <row r="22" spans="1:13" s="117" customFormat="1" ht="26.25" customHeight="1" x14ac:dyDescent="0.2">
      <c r="A22" s="118">
        <v>11</v>
      </c>
      <c r="B22" s="71" t="str">
        <f>'SAF 011'!B20</f>
        <v>2.5.1-9016.78</v>
      </c>
      <c r="C22" s="161" t="str">
        <f>'SAF 011'!E20</f>
        <v>MEDIOS DE CULTIVO Y SUPLEMENTO; NOMBRE DEL PRODUCTO: AGAR CETRIMIDA, ESTADO: SOLIDO, PRESENTACION: ENVASE X 500 GR</v>
      </c>
      <c r="D22" s="162"/>
      <c r="E22" s="162"/>
      <c r="F22" s="162"/>
      <c r="G22" s="163"/>
      <c r="H22" s="71" t="s">
        <v>162</v>
      </c>
      <c r="I22" s="71" t="str">
        <f>'SAF 011'!F20</f>
        <v>UNIDAD</v>
      </c>
      <c r="J22" s="126">
        <f>'SAF 011'!H20</f>
        <v>24630.92</v>
      </c>
      <c r="K22" s="119" t="e">
        <f>'SAF 011'!#REF!</f>
        <v>#REF!</v>
      </c>
      <c r="M22" s="130" t="e">
        <f t="shared" si="0"/>
        <v>#REF!</v>
      </c>
    </row>
    <row r="23" spans="1:13" s="117" customFormat="1" ht="26.25" customHeight="1" x14ac:dyDescent="0.2">
      <c r="A23" s="118">
        <v>12</v>
      </c>
      <c r="B23" s="71" t="str">
        <f>'SAF 011'!B21</f>
        <v>2.5.1-9016.646</v>
      </c>
      <c r="C23" s="161" t="str">
        <f>'SAF 011'!E21</f>
        <v>MEDIOS DE CULTIVO Y SUPLEMENTO; NOMBRE DEL PRODUCTO: AGAR EMB, ESTADO: SOLIDO, PRESENTACION: ENVASE X 100 GR</v>
      </c>
      <c r="D23" s="162"/>
      <c r="E23" s="162"/>
      <c r="F23" s="162"/>
      <c r="G23" s="163"/>
      <c r="H23" s="71" t="s">
        <v>162</v>
      </c>
      <c r="I23" s="71" t="str">
        <f>'SAF 011'!F21</f>
        <v>UNIDAD</v>
      </c>
      <c r="J23" s="126">
        <f>'SAF 011'!H21</f>
        <v>23746.3</v>
      </c>
      <c r="K23" s="119" t="e">
        <f>'SAF 011'!#REF!</f>
        <v>#REF!</v>
      </c>
      <c r="M23" s="130" t="e">
        <f t="shared" si="0"/>
        <v>#REF!</v>
      </c>
    </row>
    <row r="24" spans="1:13" s="117" customFormat="1" ht="26.25" customHeight="1" x14ac:dyDescent="0.2">
      <c r="A24" s="118">
        <v>13</v>
      </c>
      <c r="B24" s="71" t="str">
        <f>'SAF 011'!B22</f>
        <v>2.5.1-9016.244</v>
      </c>
      <c r="C24" s="161" t="str">
        <f>'SAF 011'!E22</f>
        <v>MEDIOS DE CULTIVO Y SUPLEMENTO; NOMBRE DEL PRODUCTO: AGAR MAC CONKEY SORBITOL, ESTADO: SOLIDO, PRESENTACION: ENVASE X 500 GR</v>
      </c>
      <c r="D24" s="162"/>
      <c r="E24" s="162"/>
      <c r="F24" s="162"/>
      <c r="G24" s="163"/>
      <c r="H24" s="71" t="s">
        <v>162</v>
      </c>
      <c r="I24" s="71" t="str">
        <f>'SAF 011'!F22</f>
        <v>UNIDAD</v>
      </c>
      <c r="J24" s="126">
        <f>'SAF 011'!H22</f>
        <v>20170.419999999998</v>
      </c>
      <c r="K24" s="119" t="e">
        <f>'SAF 011'!#REF!</f>
        <v>#REF!</v>
      </c>
      <c r="M24" s="130" t="e">
        <f t="shared" si="0"/>
        <v>#REF!</v>
      </c>
    </row>
    <row r="25" spans="1:13" s="117" customFormat="1" ht="26.25" customHeight="1" x14ac:dyDescent="0.2">
      <c r="A25" s="118">
        <v>14</v>
      </c>
      <c r="B25" s="71" t="str">
        <f>'SAF 011'!B23</f>
        <v>2.5.1-9016.241</v>
      </c>
      <c r="C25" s="161" t="str">
        <f>'SAF 011'!E23</f>
        <v>MEDIOS DE CULTIVO Y SUPLEMENTO; NOMBRE DEL PRODUCTO: AGAR MAC CONKEY, ESTADO: SOLIDO, PRESENTACION: ENVASE X 500 GR</v>
      </c>
      <c r="D25" s="162"/>
      <c r="E25" s="162"/>
      <c r="F25" s="162"/>
      <c r="G25" s="163"/>
      <c r="H25" s="71" t="s">
        <v>162</v>
      </c>
      <c r="I25" s="71" t="str">
        <f>'SAF 011'!F23</f>
        <v>UNIDAD</v>
      </c>
      <c r="J25" s="126">
        <f>'SAF 011'!H23</f>
        <v>17975.04</v>
      </c>
      <c r="K25" s="119" t="e">
        <f>'SAF 011'!#REF!</f>
        <v>#REF!</v>
      </c>
      <c r="M25" s="130" t="e">
        <f t="shared" si="0"/>
        <v>#REF!</v>
      </c>
    </row>
    <row r="26" spans="1:13" s="117" customFormat="1" ht="26.25" customHeight="1" x14ac:dyDescent="0.2">
      <c r="A26" s="118">
        <v>15</v>
      </c>
      <c r="B26" s="71" t="str">
        <f>'SAF 011'!B24</f>
        <v>2.5.1-9016.181</v>
      </c>
      <c r="C26" s="161" t="str">
        <f>'SAF 011'!E24</f>
        <v>MEDIOS DE CULTIVO Y SUPLEMENTO; NOMBRE DEL PRODUCTO: AGAR MANITOL SALADO, ESTADO: SOLIDO, PRESENTACION: ENVASE X 100 GR</v>
      </c>
      <c r="D26" s="162"/>
      <c r="E26" s="162"/>
      <c r="F26" s="162"/>
      <c r="G26" s="163"/>
      <c r="H26" s="71" t="s">
        <v>162</v>
      </c>
      <c r="I26" s="71" t="str">
        <f>'SAF 011'!F24</f>
        <v>UNIDAD</v>
      </c>
      <c r="J26" s="126">
        <f>'SAF 011'!H24</f>
        <v>12737.16</v>
      </c>
      <c r="K26" s="119" t="e">
        <f>'SAF 011'!#REF!</f>
        <v>#REF!</v>
      </c>
      <c r="M26" s="130" t="e">
        <f t="shared" si="0"/>
        <v>#REF!</v>
      </c>
    </row>
    <row r="27" spans="1:13" s="117" customFormat="1" ht="26.25" customHeight="1" x14ac:dyDescent="0.2">
      <c r="A27" s="118">
        <v>16</v>
      </c>
      <c r="B27" s="71" t="str">
        <f>'SAF 011'!B25</f>
        <v>2.5.1-9016.664</v>
      </c>
      <c r="C27" s="161" t="str">
        <f>'SAF 011'!E25</f>
        <v>MEDIOS DE CULTIVO Y SUPLEMENTO; NOMBRE DEL PRODUCTO: AGAR NUTRITIVO, ESTADO: SOLIDO, PRESENTACION: ENVASE X 500 GR</v>
      </c>
      <c r="D27" s="162"/>
      <c r="E27" s="162"/>
      <c r="F27" s="162"/>
      <c r="G27" s="163"/>
      <c r="H27" s="71" t="s">
        <v>162</v>
      </c>
      <c r="I27" s="71" t="str">
        <f>'SAF 011'!F25</f>
        <v>UNIDAD</v>
      </c>
      <c r="J27" s="126">
        <f>'SAF 011'!H25</f>
        <v>5808.3600000000006</v>
      </c>
      <c r="K27" s="119" t="e">
        <f>'SAF 011'!#REF!</f>
        <v>#REF!</v>
      </c>
      <c r="M27" s="130" t="e">
        <f t="shared" si="0"/>
        <v>#REF!</v>
      </c>
    </row>
    <row r="28" spans="1:13" s="117" customFormat="1" ht="26.25" customHeight="1" x14ac:dyDescent="0.2">
      <c r="A28" s="118">
        <v>17</v>
      </c>
      <c r="B28" s="71" t="str">
        <f>'SAF 011'!B26</f>
        <v>2.5.1-9016.86</v>
      </c>
      <c r="C28" s="161" t="str">
        <f>'SAF 011'!E26</f>
        <v>MEDIOS DE CULTIVO Y SUPLEMENTO; NOMBRE DEL PRODUCTO: AGAR RECUENTO TOTAL, ESTADO: SOLIDO, PRESENTACION: ENVASE X 500 GR</v>
      </c>
      <c r="D28" s="162"/>
      <c r="E28" s="162"/>
      <c r="F28" s="162"/>
      <c r="G28" s="163"/>
      <c r="H28" s="71" t="s">
        <v>162</v>
      </c>
      <c r="I28" s="71" t="str">
        <f>'SAF 011'!F26</f>
        <v>UNIDAD</v>
      </c>
      <c r="J28" s="126">
        <f>'SAF 011'!H26</f>
        <v>5245.13</v>
      </c>
      <c r="K28" s="119" t="e">
        <f>'SAF 011'!#REF!</f>
        <v>#REF!</v>
      </c>
      <c r="M28" s="130" t="e">
        <f t="shared" si="0"/>
        <v>#REF!</v>
      </c>
    </row>
    <row r="29" spans="1:13" s="117" customFormat="1" ht="26.25" customHeight="1" x14ac:dyDescent="0.2">
      <c r="A29" s="118">
        <v>18</v>
      </c>
      <c r="B29" s="71" t="str">
        <f>'SAF 011'!B27</f>
        <v>2.5.1-9016.264</v>
      </c>
      <c r="C29" s="161" t="str">
        <f>'SAF 011'!E27</f>
        <v>MEDIOS DE CULTIVO Y SUPLEMENTO; NOMBRE DEL PRODUCTO: AGAR SABOURAUD GLUCOSA, ESTADO: SOLIDO, PRESENTACION: ENVASE X 500 GR</v>
      </c>
      <c r="D29" s="162"/>
      <c r="E29" s="162"/>
      <c r="F29" s="162"/>
      <c r="G29" s="163"/>
      <c r="H29" s="71" t="s">
        <v>162</v>
      </c>
      <c r="I29" s="71" t="str">
        <f>'SAF 011'!F27</f>
        <v>UNIDAD</v>
      </c>
      <c r="J29" s="126">
        <f>'SAF 011'!H27</f>
        <v>11269.92</v>
      </c>
      <c r="K29" s="119" t="e">
        <f>'SAF 011'!#REF!</f>
        <v>#REF!</v>
      </c>
      <c r="M29" s="130" t="e">
        <f t="shared" si="0"/>
        <v>#REF!</v>
      </c>
    </row>
    <row r="30" spans="1:13" s="117" customFormat="1" ht="26.25" customHeight="1" x14ac:dyDescent="0.2">
      <c r="A30" s="118">
        <v>19</v>
      </c>
      <c r="B30" s="71" t="str">
        <f>'SAF 011'!B28</f>
        <v>2.5.1-9016.392</v>
      </c>
      <c r="C30" s="161" t="str">
        <f>'SAF 011'!E28</f>
        <v>MEDIOS DE CULTIVO Y SUPLEMENTO; NOMBRE DEL PRODUCTO: AGAR SALMONELLA- SHIGELLA, ESTADO: SOLIDO, PRESENTACION: ENVASE X 500 GR</v>
      </c>
      <c r="D30" s="162"/>
      <c r="E30" s="162"/>
      <c r="F30" s="162"/>
      <c r="G30" s="163"/>
      <c r="H30" s="71" t="s">
        <v>162</v>
      </c>
      <c r="I30" s="71" t="str">
        <f>'SAF 011'!F28</f>
        <v>UNIDAD</v>
      </c>
      <c r="J30" s="126">
        <f>'SAF 011'!H28</f>
        <v>16270.7</v>
      </c>
      <c r="K30" s="119" t="e">
        <f>'SAF 011'!#REF!</f>
        <v>#REF!</v>
      </c>
      <c r="M30" s="130" t="e">
        <f t="shared" si="0"/>
        <v>#REF!</v>
      </c>
    </row>
    <row r="31" spans="1:13" s="117" customFormat="1" ht="26.25" customHeight="1" x14ac:dyDescent="0.2">
      <c r="A31" s="118">
        <v>20</v>
      </c>
      <c r="B31" s="71" t="str">
        <f>'SAF 011'!B29</f>
        <v>2.5.1-9016.709</v>
      </c>
      <c r="C31" s="161" t="str">
        <f>'SAF 011'!E29</f>
        <v>MEDIOS DE CULTIVO Y SUPLEMENTO; NOMBRE DEL PRODUCTO: AGAR TIOGLICOLATO RESAZURINA, ESTADO: SOLIDO, PRESENTACION: ENVASE X 500 GR</v>
      </c>
      <c r="D31" s="162"/>
      <c r="E31" s="162"/>
      <c r="F31" s="162"/>
      <c r="G31" s="163"/>
      <c r="H31" s="71" t="s">
        <v>162</v>
      </c>
      <c r="I31" s="71" t="str">
        <f>'SAF 011'!F29</f>
        <v>UNIDAD</v>
      </c>
      <c r="J31" s="126">
        <f>'SAF 011'!H29</f>
        <v>47244.37</v>
      </c>
      <c r="K31" s="119" t="e">
        <f>'SAF 011'!#REF!</f>
        <v>#REF!</v>
      </c>
      <c r="M31" s="130" t="e">
        <f t="shared" si="0"/>
        <v>#REF!</v>
      </c>
    </row>
    <row r="32" spans="1:13" s="117" customFormat="1" ht="26.25" customHeight="1" x14ac:dyDescent="0.2">
      <c r="A32" s="118">
        <v>21</v>
      </c>
      <c r="B32" s="71" t="str">
        <f>'SAF 011'!B30</f>
        <v>2.5.1-9016.874</v>
      </c>
      <c r="C32" s="161" t="str">
        <f>'SAF 011'!E30</f>
        <v>MEDIOS DE CULTIVO Y SUPLEMENTO; NOMBRE DEL PRODUCTO: AGAR VIOLETA ROJO BILIS GLUCOS, ESTADO: SOLIDO, PRESENTACION: ENVASE X 500 GR</v>
      </c>
      <c r="D32" s="162"/>
      <c r="E32" s="162"/>
      <c r="F32" s="162"/>
      <c r="G32" s="163"/>
      <c r="H32" s="71" t="s">
        <v>162</v>
      </c>
      <c r="I32" s="71" t="str">
        <f>'SAF 011'!F30</f>
        <v>UNIDAD</v>
      </c>
      <c r="J32" s="126">
        <f>'SAF 011'!H30</f>
        <v>16357.27</v>
      </c>
      <c r="K32" s="119" t="e">
        <f>'SAF 011'!#REF!</f>
        <v>#REF!</v>
      </c>
      <c r="M32" s="130" t="e">
        <f t="shared" si="0"/>
        <v>#REF!</v>
      </c>
    </row>
    <row r="33" spans="1:13" s="117" customFormat="1" ht="26.25" customHeight="1" x14ac:dyDescent="0.2">
      <c r="A33" s="118">
        <v>22</v>
      </c>
      <c r="B33" s="71" t="str">
        <f>'SAF 011'!B31</f>
        <v>2.5.1-9016.366</v>
      </c>
      <c r="C33" s="161" t="str">
        <f>'SAF 011'!E31</f>
        <v>MEDIOS DE CULTIVO Y SUPLEMENTO; NOMBRE DEL PRODUCTO: AGAR VIOLETA ROJO NEUTRO BILIS, ESTADO: SOLIDO, PRESENTACION: ENVASE X 500 GR</v>
      </c>
      <c r="D33" s="162"/>
      <c r="E33" s="162"/>
      <c r="F33" s="162"/>
      <c r="G33" s="163"/>
      <c r="H33" s="71" t="s">
        <v>162</v>
      </c>
      <c r="I33" s="71" t="str">
        <f>'SAF 011'!F31</f>
        <v>UNIDAD</v>
      </c>
      <c r="J33" s="126">
        <f>'SAF 011'!H31</f>
        <v>12477.67</v>
      </c>
      <c r="K33" s="119" t="e">
        <f>'SAF 011'!#REF!</f>
        <v>#REF!</v>
      </c>
      <c r="M33" s="130" t="e">
        <f t="shared" si="0"/>
        <v>#REF!</v>
      </c>
    </row>
    <row r="34" spans="1:13" s="117" customFormat="1" ht="26.25" customHeight="1" x14ac:dyDescent="0.2">
      <c r="A34" s="118">
        <v>23</v>
      </c>
      <c r="B34" s="71" t="str">
        <f>'SAF 011'!B32</f>
        <v>2.5.1-9016.71</v>
      </c>
      <c r="C34" s="161" t="str">
        <f>'SAF 011'!E32</f>
        <v>MEDIOS DE CULTIVO Y SUPLEMENTO; NOMBRE DEL PRODUCTO: AGAR XLT, ESTADO: SOLIDO, PRESENTACION: ENVASE X 500 GR</v>
      </c>
      <c r="D34" s="162"/>
      <c r="E34" s="162"/>
      <c r="F34" s="162"/>
      <c r="G34" s="163"/>
      <c r="H34" s="71" t="s">
        <v>162</v>
      </c>
      <c r="I34" s="71" t="str">
        <f>'SAF 011'!F32</f>
        <v>UNIDAD</v>
      </c>
      <c r="J34" s="126">
        <f>'SAF 011'!H32</f>
        <v>93271.18</v>
      </c>
      <c r="K34" s="119" t="e">
        <f>'SAF 011'!#REF!</f>
        <v>#REF!</v>
      </c>
      <c r="M34" s="130" t="e">
        <f t="shared" si="0"/>
        <v>#REF!</v>
      </c>
    </row>
    <row r="35" spans="1:13" s="117" customFormat="1" ht="26.25" customHeight="1" x14ac:dyDescent="0.2">
      <c r="A35" s="118">
        <v>24</v>
      </c>
      <c r="B35" s="71" t="str">
        <f>'SAF 011'!B33</f>
        <v>2.5.1-9016.368</v>
      </c>
      <c r="C35" s="161" t="str">
        <f>'SAF 011'!E33</f>
        <v>MEDIOS DE CULTIVO Y SUPLEMENTO; NOMBRE DEL PRODUCTO: C.LAURIL SULFATO TRIPTOSA MODI, ESTADO: SOLIDO, PRESENTACION: ENVASE X 500 mGr</v>
      </c>
      <c r="D35" s="162"/>
      <c r="E35" s="162"/>
      <c r="F35" s="162"/>
      <c r="G35" s="163"/>
      <c r="H35" s="71" t="s">
        <v>162</v>
      </c>
      <c r="I35" s="71" t="str">
        <f>'SAF 011'!F33</f>
        <v>UNIDAD</v>
      </c>
      <c r="J35" s="126">
        <f>'SAF 011'!H33</f>
        <v>20132.04</v>
      </c>
      <c r="K35" s="119" t="e">
        <f>'SAF 011'!#REF!</f>
        <v>#REF!</v>
      </c>
      <c r="M35" s="130" t="e">
        <f t="shared" si="0"/>
        <v>#REF!</v>
      </c>
    </row>
    <row r="36" spans="1:13" s="117" customFormat="1" ht="26.25" customHeight="1" x14ac:dyDescent="0.2">
      <c r="A36" s="118">
        <v>25</v>
      </c>
      <c r="B36" s="71" t="str">
        <f>'SAF 011'!B34</f>
        <v>2.5.1-9016.145</v>
      </c>
      <c r="C36" s="161" t="str">
        <f>'SAF 011'!E34</f>
        <v>MEDIOS DE CULTIVO Y SUPLEMENTO; NOMBRE DEL PRODUCTO: CALDO AZIDA GLUCOSA, ESTADO: SOLIDO, PRESENTACION: ENVASE X 500 GR</v>
      </c>
      <c r="D36" s="162"/>
      <c r="E36" s="162"/>
      <c r="F36" s="162"/>
      <c r="G36" s="163"/>
      <c r="H36" s="71" t="s">
        <v>162</v>
      </c>
      <c r="I36" s="71" t="str">
        <f>'SAF 011'!F34</f>
        <v>UNIDAD</v>
      </c>
      <c r="J36" s="126">
        <f>'SAF 011'!H34</f>
        <v>21878.400000000001</v>
      </c>
      <c r="K36" s="119" t="e">
        <f>'SAF 011'!#REF!</f>
        <v>#REF!</v>
      </c>
      <c r="M36" s="130" t="e">
        <f t="shared" si="0"/>
        <v>#REF!</v>
      </c>
    </row>
    <row r="37" spans="1:13" s="117" customFormat="1" ht="26.25" customHeight="1" x14ac:dyDescent="0.2">
      <c r="A37" s="118">
        <v>26</v>
      </c>
      <c r="B37" s="71" t="str">
        <f>'SAF 011'!B35</f>
        <v>2.5.1-9016.373</v>
      </c>
      <c r="C37" s="161" t="str">
        <f>'SAF 011'!E35</f>
        <v>MEDIOS DE CULTIVO Y SUPLEMENTO; NOMBRE DEL PRODUCTO: CALDO ESCHERICHIA COLI, ESTADO: SOLIDO, PRESENTACION: ENVASE X 500 GR</v>
      </c>
      <c r="D37" s="162"/>
      <c r="E37" s="162"/>
      <c r="F37" s="162"/>
      <c r="G37" s="163"/>
      <c r="H37" s="71" t="s">
        <v>162</v>
      </c>
      <c r="I37" s="71" t="str">
        <f>'SAF 011'!F35</f>
        <v>UNIDAD</v>
      </c>
      <c r="J37" s="126">
        <f>'SAF 011'!H35</f>
        <v>19238.400000000001</v>
      </c>
      <c r="K37" s="119" t="e">
        <f>'SAF 011'!#REF!</f>
        <v>#REF!</v>
      </c>
      <c r="M37" s="130" t="e">
        <f t="shared" si="0"/>
        <v>#REF!</v>
      </c>
    </row>
    <row r="38" spans="1:13" s="117" customFormat="1" ht="26.25" customHeight="1" x14ac:dyDescent="0.2">
      <c r="A38" s="118">
        <v>27</v>
      </c>
      <c r="B38" s="71" t="str">
        <f>'SAF 011'!B36</f>
        <v>2.5.1-9016.503</v>
      </c>
      <c r="C38" s="161" t="str">
        <f>'SAF 011'!E36</f>
        <v>MEDIOS DE CULTIVO Y SUPLEMENTO; NOMBRE DEL PRODUCTO: CALDO GIOLITTI CANTONI, ESTADO: SOLIDO, PRESENTACION: ENVASE X 500 GR</v>
      </c>
      <c r="D38" s="162"/>
      <c r="E38" s="162"/>
      <c r="F38" s="162"/>
      <c r="G38" s="163"/>
      <c r="H38" s="71" t="s">
        <v>162</v>
      </c>
      <c r="I38" s="71" t="str">
        <f>'SAF 011'!F36</f>
        <v>UNIDAD</v>
      </c>
      <c r="J38" s="126">
        <f>'SAF 011'!H36</f>
        <v>30958.15</v>
      </c>
      <c r="K38" s="119" t="e">
        <f>'SAF 011'!#REF!</f>
        <v>#REF!</v>
      </c>
      <c r="M38" s="130" t="e">
        <f t="shared" si="0"/>
        <v>#REF!</v>
      </c>
    </row>
    <row r="39" spans="1:13" s="117" customFormat="1" ht="26.25" customHeight="1" x14ac:dyDescent="0.2">
      <c r="A39" s="118">
        <v>28</v>
      </c>
      <c r="B39" s="71" t="str">
        <f>'SAF 011'!B37</f>
        <v>2.5.1-9016.54</v>
      </c>
      <c r="C39" s="161" t="str">
        <f>'SAF 011'!E37</f>
        <v>MEDIOS DE CULTIVO Y SUPLEMENTO; NOMBRE DEL PRODUCTO: CALDO SELENITO VERDE BRILLANTE, ESTADO: SOLIDO, PRESENTACION: ENVASE X 500 GR</v>
      </c>
      <c r="D39" s="162"/>
      <c r="E39" s="162"/>
      <c r="F39" s="162"/>
      <c r="G39" s="163"/>
      <c r="H39" s="71" t="s">
        <v>162</v>
      </c>
      <c r="I39" s="71" t="str">
        <f>'SAF 011'!F37</f>
        <v>UNIDAD</v>
      </c>
      <c r="J39" s="126">
        <f>'SAF 011'!H37</f>
        <v>36607.449999999997</v>
      </c>
      <c r="K39" s="119" t="e">
        <f>'SAF 011'!#REF!</f>
        <v>#REF!</v>
      </c>
      <c r="M39" s="130" t="e">
        <f t="shared" si="0"/>
        <v>#REF!</v>
      </c>
    </row>
    <row r="40" spans="1:13" s="117" customFormat="1" ht="26.25" customHeight="1" x14ac:dyDescent="0.2">
      <c r="A40" s="118">
        <v>29</v>
      </c>
      <c r="B40" s="71" t="str">
        <f>'SAF 011'!B38</f>
        <v>2.5.1-9016.46</v>
      </c>
      <c r="C40" s="161" t="str">
        <f>'SAF 011'!E38</f>
        <v xml:space="preserve">MEDIOS DE CULTIVO Y SUPLEMENTO; NOMBRE DEL PRODUCTO: CALDO TETRATIONATO, ESTADO: SOLIDO, PRESENTACION: ENVASE X 500 GR            </v>
      </c>
      <c r="D40" s="162"/>
      <c r="E40" s="162"/>
      <c r="F40" s="162"/>
      <c r="G40" s="163"/>
      <c r="H40" s="71" t="s">
        <v>162</v>
      </c>
      <c r="I40" s="71" t="str">
        <f>'SAF 011'!F38</f>
        <v>UNIDAD</v>
      </c>
      <c r="J40" s="126">
        <f>'SAF 011'!H38</f>
        <v>3882.74</v>
      </c>
      <c r="K40" s="119" t="e">
        <f>'SAF 011'!#REF!</f>
        <v>#REF!</v>
      </c>
      <c r="M40" s="130" t="e">
        <f t="shared" si="0"/>
        <v>#REF!</v>
      </c>
    </row>
    <row r="41" spans="1:13" s="117" customFormat="1" ht="26.25" customHeight="1" x14ac:dyDescent="0.2">
      <c r="A41" s="118">
        <v>30</v>
      </c>
      <c r="B41" s="71" t="str">
        <f>'SAF 011'!B39</f>
        <v>2.5.1-9016.826</v>
      </c>
      <c r="C41" s="161" t="str">
        <f>'SAF 011'!E39</f>
        <v>MEDIOS DE CULTIVO Y SUPLEMENTO; NOMBRE DEL PRODUCTO: GENERADORES DE ANAEROBIOSIS, ESTADO: SOLIDO, PRESENTACION: ENVASE X 10 UN</v>
      </c>
      <c r="D41" s="162"/>
      <c r="E41" s="162"/>
      <c r="F41" s="162"/>
      <c r="G41" s="163"/>
      <c r="H41" s="71" t="s">
        <v>162</v>
      </c>
      <c r="I41" s="71" t="str">
        <f>'SAF 011'!F39</f>
        <v>UNIDAD</v>
      </c>
      <c r="J41" s="126">
        <f>'SAF 011'!H39</f>
        <v>5475.6</v>
      </c>
      <c r="K41" s="119" t="e">
        <f>'SAF 011'!#REF!</f>
        <v>#REF!</v>
      </c>
      <c r="M41" s="130" t="e">
        <f t="shared" si="0"/>
        <v>#REF!</v>
      </c>
    </row>
    <row r="42" spans="1:13" s="117" customFormat="1" ht="26.25" customHeight="1" x14ac:dyDescent="0.2">
      <c r="A42" s="118">
        <v>31</v>
      </c>
      <c r="B42" s="71" t="str">
        <f>'SAF 011'!B40</f>
        <v>2.5.1-9016.848</v>
      </c>
      <c r="C42" s="161" t="str">
        <f>'SAF 011'!E40</f>
        <v>MEDIOS DE CULTIVO Y SUPLEMENTO; NOMBRE DEL PRODUCTO: NOVOBIOCINA MONOSODICA, ESTADO: SOLIDO, PRESENTACION: ENVASE X 10 GR</v>
      </c>
      <c r="D42" s="162"/>
      <c r="E42" s="162"/>
      <c r="F42" s="162"/>
      <c r="G42" s="163"/>
      <c r="H42" s="71" t="s">
        <v>162</v>
      </c>
      <c r="I42" s="71" t="str">
        <f>'SAF 011'!F40</f>
        <v>UNIDAD</v>
      </c>
      <c r="J42" s="126">
        <f>'SAF 011'!H40</f>
        <v>33924.879999999997</v>
      </c>
      <c r="K42" s="119" t="e">
        <f>'SAF 011'!#REF!</f>
        <v>#REF!</v>
      </c>
      <c r="M42" s="130" t="e">
        <f t="shared" si="0"/>
        <v>#REF!</v>
      </c>
    </row>
    <row r="43" spans="1:13" s="117" customFormat="1" ht="26.25" customHeight="1" x14ac:dyDescent="0.2">
      <c r="A43" s="118">
        <v>32</v>
      </c>
      <c r="B43" s="71" t="str">
        <f>'SAF 011'!B41</f>
        <v>2.5.1-9016.640</v>
      </c>
      <c r="C43" s="161" t="str">
        <f>'SAF 011'!E41</f>
        <v xml:space="preserve">MEDIOS DE CULTIVO Y SUPLEMENTO; NOMBRE DEL PRODUCTO: PEPTONA ACIDA DE CASEINA, ESTADO: SOLIDO, PRESENTACION: ENVASE X 100 GR            </v>
      </c>
      <c r="D43" s="162"/>
      <c r="E43" s="162"/>
      <c r="F43" s="162"/>
      <c r="G43" s="163"/>
      <c r="H43" s="71" t="s">
        <v>162</v>
      </c>
      <c r="I43" s="71" t="str">
        <f>'SAF 011'!F41</f>
        <v>UNIDAD</v>
      </c>
      <c r="J43" s="126">
        <f>'SAF 011'!H41</f>
        <v>9148.01</v>
      </c>
      <c r="K43" s="119" t="e">
        <f>'SAF 011'!#REF!</f>
        <v>#REF!</v>
      </c>
      <c r="M43" s="130" t="e">
        <f t="shared" si="0"/>
        <v>#REF!</v>
      </c>
    </row>
    <row r="44" spans="1:13" s="117" customFormat="1" ht="26.25" customHeight="1" x14ac:dyDescent="0.2">
      <c r="A44" s="118">
        <v>33</v>
      </c>
      <c r="B44" s="71" t="str">
        <f>'SAF 011'!B42</f>
        <v>2.5.1-9016.410</v>
      </c>
      <c r="C44" s="161" t="str">
        <f>'SAF 011'!E42</f>
        <v>MEDIOS DE CULTIVO Y SUPLEMENTO; NOMBRE DEL PRODUCTO: SUP.EMULSION YEMA DE HUEVO, ESTADO: SOLUCION, PRESENTACION: ENVASE X 100 mL</v>
      </c>
      <c r="D44" s="162"/>
      <c r="E44" s="162"/>
      <c r="F44" s="162"/>
      <c r="G44" s="163"/>
      <c r="H44" s="71" t="s">
        <v>162</v>
      </c>
      <c r="I44" s="71" t="str">
        <f>'SAF 011'!F42</f>
        <v>UNIDAD</v>
      </c>
      <c r="J44" s="126">
        <f>'SAF 011'!H42</f>
        <v>37059.379999999997</v>
      </c>
      <c r="K44" s="119" t="e">
        <f>'SAF 011'!#REF!</f>
        <v>#REF!</v>
      </c>
      <c r="M44" s="130" t="e">
        <f t="shared" si="0"/>
        <v>#REF!</v>
      </c>
    </row>
    <row r="45" spans="1:13" s="117" customFormat="1" ht="26.25" customHeight="1" x14ac:dyDescent="0.2">
      <c r="A45" s="118">
        <v>34</v>
      </c>
      <c r="B45" s="71" t="str">
        <f>'SAF 011'!B43</f>
        <v>2.5.1-9016.952</v>
      </c>
      <c r="C45" s="161" t="str">
        <f>'SAF 011'!E43</f>
        <v>MEDIOS DE CULTIVO Y SUPLEMENTO; NOMBRE DEL PRODUCTO: TIOGLICOLATO USP MEDIO, ESTADO: SOLIDO, PRESENTACION: ENVASE X 500 GR</v>
      </c>
      <c r="D45" s="162"/>
      <c r="E45" s="162"/>
      <c r="F45" s="162"/>
      <c r="G45" s="163"/>
      <c r="H45" s="71" t="s">
        <v>162</v>
      </c>
      <c r="I45" s="71" t="str">
        <f>'SAF 011'!F43</f>
        <v>UNIDAD</v>
      </c>
      <c r="J45" s="126">
        <f>'SAF 011'!H43</f>
        <v>32278.19</v>
      </c>
      <c r="K45" s="119" t="e">
        <f>'SAF 011'!#REF!</f>
        <v>#REF!</v>
      </c>
      <c r="M45" s="130" t="e">
        <f t="shared" si="0"/>
        <v>#REF!</v>
      </c>
    </row>
    <row r="46" spans="1:13" s="117" customFormat="1" ht="26.25" customHeight="1" x14ac:dyDescent="0.2">
      <c r="A46" s="118">
        <v>35</v>
      </c>
      <c r="B46" s="71" t="str">
        <f>'SAF 011'!B44</f>
        <v>2.5.1-9052.2018</v>
      </c>
      <c r="C46" s="161" t="str">
        <f>'SAF 011'!E44</f>
        <v>REACTIVOS P/LAB. TEC. MANUAL ; NOMBRE: KIT DETERM DE ALCALINIDAD, USO: ANALISIS DE AGUA, PRESENTACION: ENVASE X 100  UN</v>
      </c>
      <c r="D46" s="162"/>
      <c r="E46" s="162"/>
      <c r="F46" s="162"/>
      <c r="G46" s="163"/>
      <c r="H46" s="71" t="s">
        <v>162</v>
      </c>
      <c r="I46" s="71" t="str">
        <f>'SAF 011'!F44</f>
        <v>UNIDAD</v>
      </c>
      <c r="J46" s="126">
        <f>'SAF 011'!H44</f>
        <v>2407.94</v>
      </c>
      <c r="K46" s="119" t="e">
        <f>'SAF 011'!#REF!</f>
        <v>#REF!</v>
      </c>
      <c r="M46" s="130" t="e">
        <f t="shared" si="0"/>
        <v>#REF!</v>
      </c>
    </row>
    <row r="47" spans="1:13" s="117" customFormat="1" ht="26.25" customHeight="1" x14ac:dyDescent="0.2">
      <c r="A47" s="118">
        <v>36</v>
      </c>
      <c r="B47" s="71" t="str">
        <f>'SAF 011'!B45</f>
        <v>2.5.1-9052.1090</v>
      </c>
      <c r="C47" s="161" t="str">
        <f>'SAF 011'!E45</f>
        <v>REACTIVOS P/LAB. TEC. MANUAL ; NOMBRE: DET BACT AEROBIC/HONGOS Y LEV., USO: MICROBIOLOGIA, PRESENTACION: ENVASE X 60 DETERM.</v>
      </c>
      <c r="D47" s="162"/>
      <c r="E47" s="162"/>
      <c r="F47" s="162"/>
      <c r="G47" s="163"/>
      <c r="H47" s="71" t="s">
        <v>162</v>
      </c>
      <c r="I47" s="71" t="str">
        <f>'SAF 011'!F45</f>
        <v>UNIDAD</v>
      </c>
      <c r="J47" s="126">
        <f>'SAF 011'!H45</f>
        <v>17418.169999999998</v>
      </c>
      <c r="K47" s="119" t="e">
        <f>'SAF 011'!#REF!</f>
        <v>#REF!</v>
      </c>
      <c r="M47" s="130" t="e">
        <f t="shared" si="0"/>
        <v>#REF!</v>
      </c>
    </row>
    <row r="48" spans="1:13" s="117" customFormat="1" ht="26.25" customHeight="1" x14ac:dyDescent="0.2">
      <c r="A48" s="118">
        <v>37</v>
      </c>
      <c r="B48" s="71" t="str">
        <f>'SAF 011'!B46</f>
        <v>2.5.1-9052.305</v>
      </c>
      <c r="C48" s="161" t="str">
        <f>'SAF 011'!E46</f>
        <v>REACTIVOS P/LAB. TEC. MANUAL ; NOMBRE: DET. DE CLORO LIBRE, USO: ANALISIS DE AGUA, PRESENTACION: ENVASE X 50 DETERM.</v>
      </c>
      <c r="D48" s="162"/>
      <c r="E48" s="162"/>
      <c r="F48" s="162"/>
      <c r="G48" s="163"/>
      <c r="H48" s="71" t="s">
        <v>162</v>
      </c>
      <c r="I48" s="71" t="str">
        <f>'SAF 011'!F46</f>
        <v>UNIDAD</v>
      </c>
      <c r="J48" s="126">
        <f>'SAF 011'!H46</f>
        <v>3746</v>
      </c>
      <c r="K48" s="119" t="e">
        <f>'SAF 011'!#REF!</f>
        <v>#REF!</v>
      </c>
      <c r="M48" s="130" t="e">
        <f t="shared" si="0"/>
        <v>#REF!</v>
      </c>
    </row>
    <row r="49" spans="1:13" s="117" customFormat="1" ht="26.25" customHeight="1" x14ac:dyDescent="0.2">
      <c r="A49" s="118">
        <v>38</v>
      </c>
      <c r="B49" s="71" t="str">
        <f>'SAF 011'!B47</f>
        <v>2.5.1-9052.1171</v>
      </c>
      <c r="C49" s="161" t="str">
        <f>'SAF 011'!E47</f>
        <v>REACTIVOS P/LAB. TEC. MANUAL ; NOMBRE: DETERMINACION DE AMONIO, USO: ANALISIS DE AGUA, PRESENTACION: ENVASE X 30 DETERM.</v>
      </c>
      <c r="D49" s="162"/>
      <c r="E49" s="162"/>
      <c r="F49" s="162"/>
      <c r="G49" s="163"/>
      <c r="H49" s="71" t="s">
        <v>162</v>
      </c>
      <c r="I49" s="71" t="str">
        <f>'SAF 011'!F47</f>
        <v>UNIDAD</v>
      </c>
      <c r="J49" s="126">
        <f>'SAF 011'!H47</f>
        <v>2043.24</v>
      </c>
      <c r="K49" s="119" t="e">
        <f>'SAF 011'!#REF!</f>
        <v>#REF!</v>
      </c>
      <c r="M49" s="130" t="e">
        <f t="shared" si="0"/>
        <v>#REF!</v>
      </c>
    </row>
    <row r="50" spans="1:13" s="117" customFormat="1" ht="26.25" customHeight="1" x14ac:dyDescent="0.2">
      <c r="A50" s="118">
        <v>39</v>
      </c>
      <c r="B50" s="71" t="str">
        <f>'SAF 011'!B48</f>
        <v>2.5.1-9052.1172</v>
      </c>
      <c r="C50" s="161" t="str">
        <f>'SAF 011'!E48</f>
        <v>REACTIVOS P/LAB. TEC. MANUAL ; NOMBRE: DETERMINACION DE CLORURO, USO: ANALISIS DE AGUA, PRESENTACION: ENVASE X 30 DETERM.</v>
      </c>
      <c r="D50" s="162"/>
      <c r="E50" s="162"/>
      <c r="F50" s="162"/>
      <c r="G50" s="163"/>
      <c r="H50" s="71" t="s">
        <v>162</v>
      </c>
      <c r="I50" s="71" t="str">
        <f>'SAF 011'!F48</f>
        <v>UNIDAD</v>
      </c>
      <c r="J50" s="126">
        <f>'SAF 011'!H48</f>
        <v>2139.0700000000002</v>
      </c>
      <c r="K50" s="119" t="e">
        <f>'SAF 011'!#REF!</f>
        <v>#REF!</v>
      </c>
      <c r="M50" s="130" t="e">
        <f t="shared" si="0"/>
        <v>#REF!</v>
      </c>
    </row>
    <row r="51" spans="1:13" s="117" customFormat="1" ht="26.25" customHeight="1" x14ac:dyDescent="0.2">
      <c r="A51" s="118">
        <v>40</v>
      </c>
      <c r="B51" s="71" t="str">
        <f>'SAF 011'!B49</f>
        <v>2.5.1-9052.1173</v>
      </c>
      <c r="C51" s="161" t="str">
        <f>'SAF 011'!E49</f>
        <v>REACTIVOS P/LAB. TEC. MANUAL ; NOMBRE: DETERMINACION DE CROMO, USO: ANALISIS DE AGUA, PRESENTACION: ENVASE X 30 DETERM.</v>
      </c>
      <c r="D51" s="162"/>
      <c r="E51" s="162"/>
      <c r="F51" s="162"/>
      <c r="G51" s="163"/>
      <c r="H51" s="71" t="s">
        <v>162</v>
      </c>
      <c r="I51" s="71" t="str">
        <f>'SAF 011'!F49</f>
        <v>UNIDAD</v>
      </c>
      <c r="J51" s="126">
        <f>'SAF 011'!H49</f>
        <v>2675.76</v>
      </c>
      <c r="K51" s="119" t="e">
        <f>'SAF 011'!#REF!</f>
        <v>#REF!</v>
      </c>
      <c r="M51" s="130" t="e">
        <f t="shared" si="0"/>
        <v>#REF!</v>
      </c>
    </row>
    <row r="52" spans="1:13" s="117" customFormat="1" ht="26.25" customHeight="1" x14ac:dyDescent="0.2">
      <c r="A52" s="118">
        <v>41</v>
      </c>
      <c r="B52" s="71" t="str">
        <f>'SAF 011'!B50</f>
        <v>2.5.1-9052.1176</v>
      </c>
      <c r="C52" s="161" t="str">
        <f>'SAF 011'!E50</f>
        <v>REACTIVOS P/LAB. TEC. MANUAL ; NOMBRE: DETERMINACION DE DETERGENTES, USO: ANALISIS DE AGUA, PRESENTACION: ENVASE X 30 DETERM.</v>
      </c>
      <c r="D52" s="162"/>
      <c r="E52" s="162"/>
      <c r="F52" s="162"/>
      <c r="G52" s="163"/>
      <c r="H52" s="71" t="s">
        <v>162</v>
      </c>
      <c r="I52" s="71" t="str">
        <f>'SAF 011'!F50</f>
        <v>UNIDAD</v>
      </c>
      <c r="J52" s="126">
        <f>'SAF 011'!H50</f>
        <v>3478.18</v>
      </c>
      <c r="K52" s="119" t="e">
        <f>'SAF 011'!#REF!</f>
        <v>#REF!</v>
      </c>
      <c r="M52" s="130" t="e">
        <f t="shared" si="0"/>
        <v>#REF!</v>
      </c>
    </row>
    <row r="53" spans="1:13" s="117" customFormat="1" ht="26.25" customHeight="1" x14ac:dyDescent="0.2">
      <c r="A53" s="118">
        <v>42</v>
      </c>
      <c r="B53" s="71" t="str">
        <f>'SAF 011'!B51</f>
        <v>2.5.1-9052.1177</v>
      </c>
      <c r="C53" s="161" t="str">
        <f>'SAF 011'!E51</f>
        <v>REACTIVOS P/LAB. TEC. MANUAL ; NOMBRE: DETERMINACION DE DUREZA, USO: ANALISIS DE AGUA, PRESENTACION: ENVASE X 30 DETERM.</v>
      </c>
      <c r="D53" s="162"/>
      <c r="E53" s="162"/>
      <c r="F53" s="162"/>
      <c r="G53" s="163"/>
      <c r="H53" s="71" t="s">
        <v>162</v>
      </c>
      <c r="I53" s="71" t="str">
        <f>'SAF 011'!F51</f>
        <v>UNIDAD</v>
      </c>
      <c r="J53" s="126">
        <f>'SAF 011'!H51</f>
        <v>2043.24</v>
      </c>
      <c r="K53" s="119" t="e">
        <f>'SAF 011'!#REF!</f>
        <v>#REF!</v>
      </c>
      <c r="M53" s="130" t="e">
        <f t="shared" si="0"/>
        <v>#REF!</v>
      </c>
    </row>
    <row r="54" spans="1:13" s="117" customFormat="1" ht="26.25" customHeight="1" x14ac:dyDescent="0.2">
      <c r="A54" s="118">
        <v>43</v>
      </c>
      <c r="B54" s="71" t="str">
        <f>'SAF 011'!B52</f>
        <v>2.5.1-9052.1187</v>
      </c>
      <c r="C54" s="161" t="str">
        <f>'SAF 011'!E52</f>
        <v>REACTIVOS P/LAB. TEC. MANUAL ; NOMBRE: DETERMINACION DE FENOLES, USO: ANALISIS DE AGUA, PRESENTACION: ENVASE X 30 DETERM.</v>
      </c>
      <c r="D54" s="162"/>
      <c r="E54" s="162"/>
      <c r="F54" s="162"/>
      <c r="G54" s="163"/>
      <c r="H54" s="71" t="s">
        <v>162</v>
      </c>
      <c r="I54" s="71" t="str">
        <f>'SAF 011'!F52</f>
        <v>UNIDAD</v>
      </c>
      <c r="J54" s="126">
        <f>'SAF 011'!H52</f>
        <v>5108.2700000000004</v>
      </c>
      <c r="K54" s="119" t="e">
        <f>'SAF 011'!#REF!</f>
        <v>#REF!</v>
      </c>
      <c r="M54" s="130" t="e">
        <f t="shared" si="0"/>
        <v>#REF!</v>
      </c>
    </row>
    <row r="55" spans="1:13" s="117" customFormat="1" ht="26.25" customHeight="1" x14ac:dyDescent="0.2">
      <c r="A55" s="118">
        <v>44</v>
      </c>
      <c r="B55" s="71" t="str">
        <f>'SAF 011'!B53</f>
        <v>2.5.1-9052.1188</v>
      </c>
      <c r="C55" s="161" t="str">
        <f>'SAF 011'!E53</f>
        <v>REACTIVOS P/LAB. TEC. MANUAL ; NOMBRE: DETERMINACION DE FOSFATO, USO: ANALISIS DE AGUA, PRESENTACION: ENVASE X 30 DETERM.</v>
      </c>
      <c r="D55" s="162"/>
      <c r="E55" s="162"/>
      <c r="F55" s="162"/>
      <c r="G55" s="163"/>
      <c r="H55" s="71" t="s">
        <v>162</v>
      </c>
      <c r="I55" s="71" t="str">
        <f>'SAF 011'!F53</f>
        <v>UNIDAD</v>
      </c>
      <c r="J55" s="126">
        <f>'SAF 011'!H53</f>
        <v>7491.98</v>
      </c>
      <c r="K55" s="119" t="e">
        <f>'SAF 011'!#REF!</f>
        <v>#REF!</v>
      </c>
      <c r="M55" s="130" t="e">
        <f t="shared" si="0"/>
        <v>#REF!</v>
      </c>
    </row>
    <row r="56" spans="1:13" s="117" customFormat="1" ht="26.25" customHeight="1" x14ac:dyDescent="0.2">
      <c r="A56" s="118">
        <v>45</v>
      </c>
      <c r="B56" s="71" t="str">
        <f>'SAF 011'!B54</f>
        <v>2.5.1-9052.1178</v>
      </c>
      <c r="C56" s="161" t="str">
        <f>'SAF 011'!E54</f>
        <v>REACTIVOS P/LAB. TEC. MANUAL ; NOMBRE: DETERMINACION DE HIERRO, USO: ANALISIS DE AGUA, PRESENTACION: ENVASE X 30 DETERM.</v>
      </c>
      <c r="D56" s="162"/>
      <c r="E56" s="162"/>
      <c r="F56" s="162"/>
      <c r="G56" s="163"/>
      <c r="H56" s="71" t="s">
        <v>162</v>
      </c>
      <c r="I56" s="71" t="str">
        <f>'SAF 011'!F54</f>
        <v>UNIDAD</v>
      </c>
      <c r="J56" s="126">
        <f>'SAF 011'!H54</f>
        <v>3356.72</v>
      </c>
      <c r="K56" s="119" t="e">
        <f>'SAF 011'!#REF!</f>
        <v>#REF!</v>
      </c>
      <c r="M56" s="130" t="e">
        <f t="shared" si="0"/>
        <v>#REF!</v>
      </c>
    </row>
    <row r="57" spans="1:13" s="117" customFormat="1" ht="26.25" customHeight="1" x14ac:dyDescent="0.2">
      <c r="A57" s="118">
        <v>46</v>
      </c>
      <c r="B57" s="71" t="str">
        <f>'SAF 011'!B55</f>
        <v>2.5.1-9052.1181</v>
      </c>
      <c r="C57" s="161" t="str">
        <f>'SAF 011'!E55</f>
        <v>REACTIVOS P/LAB. TEC. MANUAL ; NOMBRE: DETERMINACION DE NITRATOS, USO: ANALISIS DE AGUA, PRESENTACION: ENVASE X 30 DETERM.</v>
      </c>
      <c r="D57" s="162"/>
      <c r="E57" s="162"/>
      <c r="F57" s="162"/>
      <c r="G57" s="163"/>
      <c r="H57" s="71" t="s">
        <v>162</v>
      </c>
      <c r="I57" s="71" t="str">
        <f>'SAF 011'!F55</f>
        <v>UNIDAD</v>
      </c>
      <c r="J57" s="126">
        <f>'SAF 011'!H55</f>
        <v>3162.61</v>
      </c>
      <c r="K57" s="119" t="e">
        <f>'SAF 011'!#REF!</f>
        <v>#REF!</v>
      </c>
      <c r="M57" s="130" t="e">
        <f t="shared" si="0"/>
        <v>#REF!</v>
      </c>
    </row>
    <row r="58" spans="1:13" s="117" customFormat="1" ht="26.25" customHeight="1" x14ac:dyDescent="0.2">
      <c r="A58" s="118">
        <v>47</v>
      </c>
      <c r="B58" s="71" t="str">
        <f>'SAF 011'!B56</f>
        <v>2.5.1-9052.1182</v>
      </c>
      <c r="C58" s="161" t="str">
        <f>'SAF 011'!E56</f>
        <v>REACTIVOS P/LAB. TEC. MANUAL ; NOMBRE: DETERMINACION DE NITRITOS, USO: ANALISIS DE AGUA, PRESENTACION: ENVASE X 30 DETERM.</v>
      </c>
      <c r="D58" s="162"/>
      <c r="E58" s="162"/>
      <c r="F58" s="162"/>
      <c r="G58" s="163"/>
      <c r="H58" s="71" t="s">
        <v>162</v>
      </c>
      <c r="I58" s="71" t="str">
        <f>'SAF 011'!F56</f>
        <v>UNIDAD</v>
      </c>
      <c r="J58" s="126">
        <f>'SAF 011'!H56</f>
        <v>4816.24</v>
      </c>
      <c r="K58" s="119" t="e">
        <f>'SAF 011'!#REF!</f>
        <v>#REF!</v>
      </c>
      <c r="M58" s="130" t="e">
        <f t="shared" si="0"/>
        <v>#REF!</v>
      </c>
    </row>
    <row r="59" spans="1:13" s="117" customFormat="1" ht="26.25" customHeight="1" x14ac:dyDescent="0.2">
      <c r="A59" s="118">
        <v>48</v>
      </c>
      <c r="B59" s="71" t="str">
        <f>'SAF 011'!B57</f>
        <v>2.5.1-9052.1189</v>
      </c>
      <c r="C59" s="161" t="str">
        <f>'SAF 011'!E57</f>
        <v>REACTIVOS P/LAB. TEC. MANUAL ; NOMBRE: DETERMINACION DE SILICE, USO: ANALISIS DE AGUA, PRESENTACION: ENVASE X 30 DETERM.</v>
      </c>
      <c r="D59" s="162"/>
      <c r="E59" s="162"/>
      <c r="F59" s="162"/>
      <c r="G59" s="163"/>
      <c r="H59" s="71" t="s">
        <v>162</v>
      </c>
      <c r="I59" s="71" t="str">
        <f>'SAF 011'!F57</f>
        <v>UNIDAD</v>
      </c>
      <c r="J59" s="126">
        <f>'SAF 011'!H57</f>
        <v>7491.98</v>
      </c>
      <c r="K59" s="119" t="e">
        <f>'SAF 011'!#REF!</f>
        <v>#REF!</v>
      </c>
      <c r="M59" s="130" t="e">
        <f t="shared" si="0"/>
        <v>#REF!</v>
      </c>
    </row>
    <row r="60" spans="1:13" s="117" customFormat="1" ht="26.25" customHeight="1" x14ac:dyDescent="0.2">
      <c r="A60" s="118">
        <v>49</v>
      </c>
      <c r="B60" s="71" t="str">
        <f>'SAF 011'!B58</f>
        <v>2.5.1-9052.1190</v>
      </c>
      <c r="C60" s="161" t="str">
        <f>'SAF 011'!E58</f>
        <v>REACTIVOS P/LAB. TEC. MANUAL ; NOMBRE: DETERMINACION DE SULFATO, USO: ANALISIS DE AGUA, PRESENTACION: ENVASE X 30 DETERM.</v>
      </c>
      <c r="D60" s="162"/>
      <c r="E60" s="162"/>
      <c r="F60" s="162"/>
      <c r="G60" s="163"/>
      <c r="H60" s="71" t="s">
        <v>162</v>
      </c>
      <c r="I60" s="71" t="str">
        <f>'SAF 011'!F58</f>
        <v>UNIDAD</v>
      </c>
      <c r="J60" s="126">
        <f>'SAF 011'!H58</f>
        <v>3210.71</v>
      </c>
      <c r="K60" s="119" t="e">
        <f>'SAF 011'!#REF!</f>
        <v>#REF!</v>
      </c>
      <c r="M60" s="130" t="e">
        <f t="shared" si="0"/>
        <v>#REF!</v>
      </c>
    </row>
    <row r="61" spans="1:13" s="117" customFormat="1" ht="26.25" customHeight="1" x14ac:dyDescent="0.2">
      <c r="A61" s="118">
        <v>50</v>
      </c>
      <c r="B61" s="71" t="str">
        <f>'SAF 011'!B59</f>
        <v>2.5.1-9052.2022</v>
      </c>
      <c r="C61" s="161" t="str">
        <f>'SAF 011'!E59</f>
        <v>REACTIVOS P/LAB. TEC. MANUAL ; NOMBRE: KIT DETERM DE FLUOR, USO: ANALISIS DE AGUA, PRESENTACION: ENVASE X 150 UN</v>
      </c>
      <c r="D61" s="162"/>
      <c r="E61" s="162"/>
      <c r="F61" s="162"/>
      <c r="G61" s="163"/>
      <c r="H61" s="71" t="s">
        <v>162</v>
      </c>
      <c r="I61" s="71" t="str">
        <f>'SAF 011'!F59</f>
        <v>UNIDAD</v>
      </c>
      <c r="J61" s="126">
        <f>'SAF 011'!H59</f>
        <v>4038.04</v>
      </c>
      <c r="K61" s="119" t="e">
        <f>'SAF 011'!#REF!</f>
        <v>#REF!</v>
      </c>
      <c r="M61" s="130" t="e">
        <f t="shared" si="0"/>
        <v>#REF!</v>
      </c>
    </row>
    <row r="62" spans="1:13" s="117" customFormat="1" ht="26.25" customHeight="1" x14ac:dyDescent="0.2">
      <c r="A62" s="118">
        <v>51</v>
      </c>
      <c r="B62" s="71" t="str">
        <f>'SAF 011'!B60</f>
        <v>2.5.1-9004.912</v>
      </c>
      <c r="C62" s="161" t="str">
        <f>'SAF 011'!E60</f>
        <v xml:space="preserve">SALES; COMPUESTO QUIMICO: NITRATO DE PLATA, ESTADO: SOLUCION, CALIDAD: PRO ANALISIS, CONCENTRACION/PUREZA: 0,1 N, PRESENTACION: ENVASE X 1 L, GRADO HIDRATACION: SOLUCION  </v>
      </c>
      <c r="D62" s="162"/>
      <c r="E62" s="162"/>
      <c r="F62" s="162"/>
      <c r="G62" s="163"/>
      <c r="H62" s="71" t="s">
        <v>162</v>
      </c>
      <c r="I62" s="71" t="str">
        <f>'SAF 011'!F60</f>
        <v>UNIDAD</v>
      </c>
      <c r="J62" s="126">
        <f>'SAF 011'!H60</f>
        <v>8800.7999999999993</v>
      </c>
      <c r="K62" s="119" t="e">
        <f>'SAF 011'!#REF!</f>
        <v>#REF!</v>
      </c>
      <c r="M62" s="130" t="e">
        <f t="shared" si="0"/>
        <v>#REF!</v>
      </c>
    </row>
    <row r="63" spans="1:13" s="117" customFormat="1" ht="26.25" customHeight="1" x14ac:dyDescent="0.2">
      <c r="A63" s="118">
        <v>52</v>
      </c>
      <c r="B63" s="71" t="str">
        <f>'SAF 011'!B61</f>
        <v>2.5.1-9004.334</v>
      </c>
      <c r="C63" s="161" t="str">
        <f>'SAF 011'!E61</f>
        <v xml:space="preserve">SALES; COMPUESTO QUIMICO: TELURITO DE POTASIO, ESTADO: SOLIDO, CALIDAD: PRO ANALISIS, CONCENTRACION/PUREZA: 99 %, PRESENTACION: ENVASE X 25 GR, GRADO HIDRATACION: ANHIDRO            </v>
      </c>
      <c r="D63" s="162"/>
      <c r="E63" s="162"/>
      <c r="F63" s="162"/>
      <c r="G63" s="163"/>
      <c r="H63" s="71" t="s">
        <v>162</v>
      </c>
      <c r="I63" s="71" t="str">
        <f>'SAF 011'!F61</f>
        <v>UNIDAD</v>
      </c>
      <c r="J63" s="126">
        <f>'SAF 011'!H61</f>
        <v>2238.46</v>
      </c>
      <c r="K63" s="119" t="e">
        <f>'SAF 011'!#REF!</f>
        <v>#REF!</v>
      </c>
      <c r="M63" s="130" t="e">
        <f t="shared" si="0"/>
        <v>#REF!</v>
      </c>
    </row>
    <row r="64" spans="1:13" s="117" customFormat="1" ht="13.5" thickBot="1" x14ac:dyDescent="0.25">
      <c r="A64" s="120"/>
      <c r="B64" s="111"/>
      <c r="C64" s="164"/>
      <c r="D64" s="164"/>
      <c r="E64" s="164"/>
      <c r="F64" s="164"/>
      <c r="G64" s="164"/>
      <c r="H64" s="111"/>
      <c r="I64" s="111"/>
      <c r="J64" s="127"/>
      <c r="K64" s="121"/>
      <c r="M64" s="131"/>
    </row>
    <row r="65" spans="1:13" ht="19.5" thickBot="1" x14ac:dyDescent="0.3">
      <c r="A65" s="159" t="s">
        <v>163</v>
      </c>
      <c r="B65" s="159"/>
      <c r="C65" s="159"/>
      <c r="D65" s="159"/>
      <c r="E65" s="159"/>
      <c r="F65" s="159"/>
      <c r="G65" s="159"/>
      <c r="H65" s="159"/>
      <c r="I65" s="159"/>
      <c r="J65" s="160" t="e">
        <f>+M65</f>
        <v>#REF!</v>
      </c>
      <c r="K65" s="160"/>
      <c r="M65" s="129" t="e">
        <f>SUM(M12:M64)</f>
        <v>#REF!</v>
      </c>
    </row>
  </sheetData>
  <mergeCells count="75">
    <mergeCell ref="C58:G58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8:G48"/>
    <mergeCell ref="C49:G49"/>
    <mergeCell ref="C50:G50"/>
    <mergeCell ref="C47:G47"/>
    <mergeCell ref="C54:G54"/>
    <mergeCell ref="C55:G55"/>
    <mergeCell ref="C56:G56"/>
    <mergeCell ref="C57:G57"/>
    <mergeCell ref="C51:G51"/>
    <mergeCell ref="C52:G52"/>
    <mergeCell ref="C53:G53"/>
    <mergeCell ref="C30:G30"/>
    <mergeCell ref="C31:G31"/>
    <mergeCell ref="C32:G32"/>
    <mergeCell ref="C33:G33"/>
    <mergeCell ref="C34:G34"/>
    <mergeCell ref="C25:G25"/>
    <mergeCell ref="C26:G26"/>
    <mergeCell ref="C27:G27"/>
    <mergeCell ref="C28:G28"/>
    <mergeCell ref="C29:G29"/>
    <mergeCell ref="C20:G20"/>
    <mergeCell ref="C21:G21"/>
    <mergeCell ref="C22:G22"/>
    <mergeCell ref="C23:G23"/>
    <mergeCell ref="C24:G24"/>
    <mergeCell ref="A5:C5"/>
    <mergeCell ref="D5:K5"/>
    <mergeCell ref="C17:G17"/>
    <mergeCell ref="C18:G18"/>
    <mergeCell ref="C19:G19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A1:I1"/>
    <mergeCell ref="A3:C3"/>
    <mergeCell ref="D3:K3"/>
    <mergeCell ref="A4:C4"/>
    <mergeCell ref="D4:K4"/>
    <mergeCell ref="K10:K11"/>
    <mergeCell ref="C12:G12"/>
    <mergeCell ref="C13:G13"/>
    <mergeCell ref="C14:G14"/>
    <mergeCell ref="C15:G15"/>
    <mergeCell ref="I10:I11"/>
    <mergeCell ref="J10:J11"/>
    <mergeCell ref="A65:I65"/>
    <mergeCell ref="J65:K65"/>
    <mergeCell ref="C59:G59"/>
    <mergeCell ref="C60:G60"/>
    <mergeCell ref="C61:G61"/>
    <mergeCell ref="C62:G62"/>
    <mergeCell ref="C63:G63"/>
    <mergeCell ref="C64:G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25" workbookViewId="0">
      <selection activeCell="O16" sqref="O16:P16"/>
    </sheetView>
  </sheetViews>
  <sheetFormatPr baseColWidth="10" defaultRowHeight="15" x14ac:dyDescent="0.25"/>
  <cols>
    <col min="1" max="5" width="4.42578125" customWidth="1"/>
    <col min="6" max="6" width="7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72"/>
      <c r="G1" s="72"/>
      <c r="H1" s="73"/>
      <c r="I1" s="73"/>
      <c r="J1" s="73"/>
      <c r="K1" s="73"/>
      <c r="L1" s="73"/>
      <c r="M1" s="73"/>
      <c r="N1" s="73"/>
      <c r="O1" s="74"/>
      <c r="P1" s="195" t="s">
        <v>136</v>
      </c>
      <c r="Q1" s="195"/>
    </row>
    <row r="2" spans="1:17" ht="15.75" thickBot="1" x14ac:dyDescent="0.3">
      <c r="A2" s="75"/>
      <c r="B2" s="76"/>
      <c r="C2" s="76"/>
      <c r="D2" s="76"/>
      <c r="E2" s="76"/>
      <c r="F2" s="76"/>
      <c r="G2" s="77"/>
      <c r="H2" s="78"/>
      <c r="I2" s="78"/>
      <c r="J2" s="78"/>
      <c r="K2" s="78"/>
      <c r="L2" s="78"/>
      <c r="M2" s="78"/>
      <c r="N2" s="78"/>
      <c r="O2" s="76"/>
      <c r="P2" s="195"/>
      <c r="Q2" s="195"/>
    </row>
    <row r="3" spans="1:17" ht="15.75" thickBot="1" x14ac:dyDescent="0.3">
      <c r="A3" s="75"/>
      <c r="B3" s="76"/>
      <c r="C3" s="76"/>
      <c r="D3" s="76"/>
      <c r="E3" s="76"/>
      <c r="F3" s="76"/>
      <c r="G3" s="77"/>
      <c r="H3" s="76"/>
      <c r="I3" s="76"/>
      <c r="J3" s="76"/>
      <c r="K3" s="76"/>
      <c r="L3" s="76"/>
      <c r="M3" s="76"/>
      <c r="N3" s="76"/>
      <c r="O3" s="76"/>
      <c r="P3" s="76"/>
      <c r="Q3" s="79"/>
    </row>
    <row r="4" spans="1:17" s="109" customFormat="1" ht="18.75" customHeight="1" thickBot="1" x14ac:dyDescent="0.3">
      <c r="A4" s="196" t="s">
        <v>137</v>
      </c>
      <c r="B4" s="196"/>
      <c r="C4" s="196"/>
      <c r="D4" s="196"/>
      <c r="E4" s="196"/>
      <c r="F4" s="196"/>
      <c r="G4" s="197" t="str">
        <f>NP!D3</f>
        <v>040 -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s="109" customFormat="1" ht="18.75" customHeight="1" thickBot="1" x14ac:dyDescent="0.3">
      <c r="A5" s="198" t="s">
        <v>124</v>
      </c>
      <c r="B5" s="198"/>
      <c r="C5" s="198"/>
      <c r="D5" s="198"/>
      <c r="E5" s="198"/>
      <c r="F5" s="198"/>
      <c r="G5" s="197" t="str">
        <f>NP!D4</f>
        <v>011 - DIRECCION PROVINCIAL DE ADMINISTRACION - MINISTERIO DE SALUD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109" customFormat="1" ht="18.75" customHeight="1" thickBot="1" x14ac:dyDescent="0.3">
      <c r="A6" s="198" t="s">
        <v>125</v>
      </c>
      <c r="B6" s="198"/>
      <c r="C6" s="198"/>
      <c r="D6" s="198"/>
      <c r="E6" s="198"/>
      <c r="F6" s="198"/>
      <c r="G6" s="197" t="str">
        <f>NP!D5</f>
        <v>DIRECCION PROVINCIAL DE SALUD Y MEDIO AMBIENTE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s="109" customFormat="1" ht="18.75" customHeight="1" thickBot="1" x14ac:dyDescent="0.3">
      <c r="A7" s="198" t="s">
        <v>126</v>
      </c>
      <c r="B7" s="198"/>
      <c r="C7" s="198"/>
      <c r="D7" s="198"/>
      <c r="E7" s="198"/>
      <c r="F7" s="198"/>
      <c r="G7" s="197" t="str">
        <f>NP!D6</f>
        <v>DIRECCION PROVINCIAL DE SALUD Y MEDIO AMBIENTE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s="109" customFormat="1" ht="27" customHeight="1" thickBot="1" x14ac:dyDescent="0.3">
      <c r="A8" s="199" t="s">
        <v>159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s="110" customFormat="1" ht="20.25" customHeight="1" x14ac:dyDescent="0.25">
      <c r="A9" s="192" t="s">
        <v>138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s="110" customFormat="1" ht="69" customHeight="1" x14ac:dyDescent="0.25">
      <c r="A10" s="185" t="s">
        <v>178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</row>
    <row r="11" spans="1:17" ht="15.75" thickBot="1" x14ac:dyDescent="0.3">
      <c r="A11" s="80"/>
      <c r="B11" s="81"/>
      <c r="C11" s="81"/>
      <c r="D11" s="81"/>
      <c r="E11" s="81"/>
      <c r="F11" s="81"/>
      <c r="G11" s="82"/>
      <c r="H11" s="81"/>
      <c r="I11" s="81"/>
      <c r="J11" s="81"/>
      <c r="K11" s="81"/>
      <c r="L11" s="81"/>
      <c r="M11" s="81"/>
      <c r="N11" s="81"/>
      <c r="O11" s="81"/>
      <c r="P11" s="81"/>
      <c r="Q11" s="83"/>
    </row>
    <row r="12" spans="1:17" ht="15.75" thickBot="1" x14ac:dyDescent="0.3">
      <c r="A12" s="186" t="s">
        <v>139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</row>
    <row r="13" spans="1:17" ht="15.75" thickBot="1" x14ac:dyDescent="0.3">
      <c r="A13" s="187" t="s">
        <v>140</v>
      </c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8" t="s">
        <v>141</v>
      </c>
      <c r="P13" s="188"/>
      <c r="Q13" s="189" t="s">
        <v>142</v>
      </c>
    </row>
    <row r="14" spans="1:17" ht="15.75" thickBot="1" x14ac:dyDescent="0.3">
      <c r="A14" s="84" t="s">
        <v>143</v>
      </c>
      <c r="B14" s="85" t="s">
        <v>144</v>
      </c>
      <c r="C14" s="85" t="s">
        <v>145</v>
      </c>
      <c r="D14" s="85" t="s">
        <v>146</v>
      </c>
      <c r="E14" s="85" t="s">
        <v>147</v>
      </c>
      <c r="F14" s="85" t="s">
        <v>148</v>
      </c>
      <c r="G14" s="86" t="s">
        <v>149</v>
      </c>
      <c r="H14" s="85" t="s">
        <v>150</v>
      </c>
      <c r="I14" s="85" t="s">
        <v>151</v>
      </c>
      <c r="J14" s="85" t="s">
        <v>152</v>
      </c>
      <c r="K14" s="85" t="s">
        <v>152</v>
      </c>
      <c r="L14" s="85" t="s">
        <v>153</v>
      </c>
      <c r="M14" s="87" t="s">
        <v>154</v>
      </c>
      <c r="N14" s="88" t="s">
        <v>155</v>
      </c>
      <c r="O14" s="188"/>
      <c r="P14" s="188"/>
      <c r="Q14" s="189"/>
    </row>
    <row r="15" spans="1:17" x14ac:dyDescent="0.25">
      <c r="A15" s="89">
        <v>22</v>
      </c>
      <c r="B15" s="90"/>
      <c r="C15" s="90"/>
      <c r="D15" s="90">
        <v>1</v>
      </c>
      <c r="E15" s="90"/>
      <c r="F15" s="90">
        <v>4901</v>
      </c>
      <c r="G15" s="90">
        <v>4</v>
      </c>
      <c r="H15" s="90">
        <v>4</v>
      </c>
      <c r="I15" s="90">
        <v>2</v>
      </c>
      <c r="J15" s="90">
        <v>5</v>
      </c>
      <c r="K15" s="90">
        <v>1</v>
      </c>
      <c r="L15" s="90"/>
      <c r="M15" s="91">
        <v>1</v>
      </c>
      <c r="N15" s="90" t="s">
        <v>164</v>
      </c>
      <c r="O15" s="190" t="s">
        <v>165</v>
      </c>
      <c r="P15" s="190"/>
      <c r="Q15" s="92" t="e">
        <f>NP!J65</f>
        <v>#REF!</v>
      </c>
    </row>
    <row r="16" spans="1:17" x14ac:dyDescent="0.25">
      <c r="A16" s="93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5"/>
      <c r="N16" s="96"/>
      <c r="O16" s="179"/>
      <c r="P16" s="179"/>
      <c r="Q16" s="97"/>
    </row>
    <row r="17" spans="1:17" x14ac:dyDescent="0.25">
      <c r="A17" s="93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5"/>
      <c r="N17" s="96"/>
      <c r="O17" s="191"/>
      <c r="P17" s="191"/>
      <c r="Q17" s="97"/>
    </row>
    <row r="18" spans="1:17" x14ac:dyDescent="0.25">
      <c r="A18" s="93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5"/>
      <c r="N18" s="96"/>
      <c r="O18" s="184"/>
      <c r="P18" s="184"/>
      <c r="Q18" s="97"/>
    </row>
    <row r="19" spans="1:17" x14ac:dyDescent="0.25">
      <c r="A19" s="9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5"/>
      <c r="N19" s="96"/>
      <c r="O19" s="184"/>
      <c r="P19" s="184"/>
      <c r="Q19" s="97"/>
    </row>
    <row r="20" spans="1:17" x14ac:dyDescent="0.25">
      <c r="A20" s="9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5"/>
      <c r="N20" s="96"/>
      <c r="O20" s="184"/>
      <c r="P20" s="184"/>
      <c r="Q20" s="97"/>
    </row>
    <row r="21" spans="1:17" x14ac:dyDescent="0.25">
      <c r="A21" s="93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5"/>
      <c r="N21" s="96"/>
      <c r="O21" s="184"/>
      <c r="P21" s="184"/>
      <c r="Q21" s="97"/>
    </row>
    <row r="22" spans="1:17" x14ac:dyDescent="0.25">
      <c r="A22" s="93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5"/>
      <c r="N22" s="96"/>
      <c r="O22" s="184"/>
      <c r="P22" s="184"/>
      <c r="Q22" s="97"/>
    </row>
    <row r="23" spans="1:17" x14ac:dyDescent="0.25">
      <c r="A23" s="93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5"/>
      <c r="N23" s="96"/>
      <c r="O23" s="184"/>
      <c r="P23" s="184"/>
      <c r="Q23" s="97"/>
    </row>
    <row r="24" spans="1:17" x14ac:dyDescent="0.25">
      <c r="A24" s="93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5"/>
      <c r="N24" s="96"/>
      <c r="O24" s="184"/>
      <c r="P24" s="184"/>
      <c r="Q24" s="97"/>
    </row>
    <row r="25" spans="1:17" x14ac:dyDescent="0.25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96"/>
      <c r="O25" s="184"/>
      <c r="P25" s="184"/>
      <c r="Q25" s="97"/>
    </row>
    <row r="26" spans="1:17" x14ac:dyDescent="0.25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96"/>
      <c r="O26" s="184"/>
      <c r="P26" s="184"/>
      <c r="Q26" s="97"/>
    </row>
    <row r="27" spans="1:17" x14ac:dyDescent="0.25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96"/>
      <c r="O27" s="184"/>
      <c r="P27" s="184"/>
      <c r="Q27" s="97"/>
    </row>
    <row r="28" spans="1:17" x14ac:dyDescent="0.25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96"/>
      <c r="O28" s="184"/>
      <c r="P28" s="184"/>
      <c r="Q28" s="97"/>
    </row>
    <row r="29" spans="1:17" x14ac:dyDescent="0.25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96"/>
      <c r="O29" s="184"/>
      <c r="P29" s="184"/>
      <c r="Q29" s="97"/>
    </row>
    <row r="30" spans="1:17" x14ac:dyDescent="0.25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96"/>
      <c r="O30" s="184"/>
      <c r="P30" s="184"/>
      <c r="Q30" s="97"/>
    </row>
    <row r="31" spans="1:17" x14ac:dyDescent="0.25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96"/>
      <c r="O31" s="184"/>
      <c r="P31" s="184"/>
      <c r="Q31" s="97"/>
    </row>
    <row r="32" spans="1:17" x14ac:dyDescent="0.25">
      <c r="A32" s="93"/>
      <c r="B32" s="94"/>
      <c r="C32" s="94"/>
      <c r="D32" s="94"/>
      <c r="E32" s="94"/>
      <c r="F32" s="96"/>
      <c r="G32" s="94"/>
      <c r="H32" s="94"/>
      <c r="I32" s="94"/>
      <c r="J32" s="94"/>
      <c r="K32" s="94"/>
      <c r="L32" s="94"/>
      <c r="M32" s="95"/>
      <c r="N32" s="96"/>
      <c r="O32" s="179"/>
      <c r="P32" s="179"/>
      <c r="Q32" s="97"/>
    </row>
    <row r="33" spans="1:17" x14ac:dyDescent="0.25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96"/>
      <c r="O33" s="179"/>
      <c r="P33" s="179"/>
      <c r="Q33" s="97"/>
    </row>
    <row r="34" spans="1:17" x14ac:dyDescent="0.25">
      <c r="A34" s="93"/>
      <c r="B34" s="94"/>
      <c r="C34" s="94"/>
      <c r="D34" s="94"/>
      <c r="E34" s="94"/>
      <c r="F34" s="96"/>
      <c r="G34" s="94"/>
      <c r="H34" s="94"/>
      <c r="I34" s="94"/>
      <c r="J34" s="94"/>
      <c r="K34" s="94"/>
      <c r="L34" s="94"/>
      <c r="M34" s="95"/>
      <c r="N34" s="96"/>
      <c r="O34" s="179"/>
      <c r="P34" s="179"/>
      <c r="Q34" s="97"/>
    </row>
    <row r="35" spans="1:17" x14ac:dyDescent="0.25">
      <c r="A35" s="93"/>
      <c r="B35" s="94"/>
      <c r="C35" s="94"/>
      <c r="D35" s="94"/>
      <c r="E35" s="94"/>
      <c r="F35" s="96"/>
      <c r="G35" s="94"/>
      <c r="H35" s="94"/>
      <c r="I35" s="94"/>
      <c r="J35" s="94"/>
      <c r="K35" s="94"/>
      <c r="L35" s="94"/>
      <c r="M35" s="95"/>
      <c r="N35" s="96"/>
      <c r="O35" s="179"/>
      <c r="P35" s="179"/>
      <c r="Q35" s="97"/>
    </row>
    <row r="36" spans="1:17" x14ac:dyDescent="0.25">
      <c r="A36" s="98"/>
      <c r="B36" s="99"/>
      <c r="C36" s="99"/>
      <c r="D36" s="99"/>
      <c r="E36" s="99"/>
      <c r="F36" s="100"/>
      <c r="G36" s="99"/>
      <c r="H36" s="99"/>
      <c r="I36" s="99"/>
      <c r="J36" s="99"/>
      <c r="K36" s="99"/>
      <c r="L36" s="99"/>
      <c r="M36" s="101"/>
      <c r="N36" s="102"/>
      <c r="O36" s="180"/>
      <c r="P36" s="180"/>
      <c r="Q36" s="97"/>
    </row>
    <row r="37" spans="1:17" ht="15.75" thickBot="1" x14ac:dyDescent="0.3">
      <c r="A37" s="103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5"/>
      <c r="N37" s="104"/>
      <c r="O37" s="181"/>
      <c r="P37" s="181"/>
      <c r="Q37" s="106"/>
    </row>
    <row r="38" spans="1:17" ht="39" customHeight="1" thickBot="1" x14ac:dyDescent="0.3">
      <c r="A38" s="182" t="s">
        <v>166</v>
      </c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07" t="e">
        <f>SUM(Q15:Q37)</f>
        <v>#REF!</v>
      </c>
    </row>
    <row r="39" spans="1:17" ht="15.75" thickBot="1" x14ac:dyDescent="0.3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</row>
    <row r="40" spans="1:17" ht="15.75" thickBot="1" x14ac:dyDescent="0.3">
      <c r="A40" s="176" t="s">
        <v>156</v>
      </c>
      <c r="B40" s="176"/>
      <c r="C40" s="176"/>
      <c r="D40" s="176"/>
      <c r="E40" s="176"/>
      <c r="F40" s="176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</row>
    <row r="41" spans="1:17" ht="15.75" thickBot="1" x14ac:dyDescent="0.3">
      <c r="A41" s="178" t="str">
        <f>NP!D8</f>
        <v>ADQUISICION DEL RUBRO REACTIVOS PARA AGUA</v>
      </c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</row>
    <row r="42" spans="1:17" ht="15.75" thickBot="1" x14ac:dyDescent="0.3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2022-02-14T12:59:51Z</dcterms:modified>
</cp:coreProperties>
</file>