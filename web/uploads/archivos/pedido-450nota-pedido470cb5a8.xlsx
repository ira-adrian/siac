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05" yWindow="195" windowWidth="20730" windowHeight="11460" tabRatio="500"/>
  </bookViews>
  <sheets>
    <sheet name="Necesidades Trimestrales" sheetId="1" r:id="rId1"/>
    <sheet name=" NotaPedido" sheetId="2" r:id="rId2"/>
    <sheet name="Autor Gastar" sheetId="3" r:id="rId3"/>
    <sheet name="Hoja1" sheetId="4" r:id="rId4"/>
  </sheets>
  <definedNames>
    <definedName name="_xlnm.Print_Area" localSheetId="1">' NotaPedido'!$A$1:$K$18</definedName>
    <definedName name="_xlnm.Print_Area" localSheetId="2">'Autor Gastar'!$A$1:$Q$30</definedName>
    <definedName name="_xlnm.Print_Area" localSheetId="0">'Necesidades Trimestrales'!$A$1:$I$80</definedName>
  </definedNames>
  <calcPr calcId="144525"/>
</workbook>
</file>

<file path=xl/calcChain.xml><?xml version="1.0" encoding="utf-8"?>
<calcChain xmlns="http://schemas.openxmlformats.org/spreadsheetml/2006/main">
  <c r="Q23" i="3" l="1"/>
  <c r="I15" i="1" l="1"/>
  <c r="D15" i="1"/>
  <c r="I14" i="1"/>
  <c r="D14" i="1"/>
  <c r="I10" i="1" l="1"/>
  <c r="I11" i="1"/>
  <c r="I12" i="1"/>
  <c r="I13" i="1"/>
  <c r="D13" i="1" l="1"/>
  <c r="D11" i="1"/>
  <c r="D12" i="1"/>
  <c r="D10" i="1"/>
  <c r="G4" i="3" l="1"/>
  <c r="G6" i="3" l="1"/>
  <c r="G7" i="3"/>
  <c r="G5" i="3"/>
  <c r="A10" i="3" l="1"/>
  <c r="D1" i="3"/>
</calcChain>
</file>

<file path=xl/sharedStrings.xml><?xml version="1.0" encoding="utf-8"?>
<sst xmlns="http://schemas.openxmlformats.org/spreadsheetml/2006/main" count="172" uniqueCount="94">
  <si>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</si>
  <si>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</si>
  <si>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</si>
  <si>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</si>
  <si>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</si>
  <si>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</si>
  <si>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</si>
  <si>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</si>
  <si>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</si>
  <si>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</si>
  <si>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</si>
  <si>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</si>
  <si>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</si>
  <si>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</si>
  <si>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</si>
  <si>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</si>
  <si>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</si>
  <si>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</si>
  <si>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</si>
  <si>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Garantia</t>
  </si>
  <si>
    <t>Especificidades Item N° 2:</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</si>
  <si>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</si>
  <si>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</si>
  <si>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</si>
  <si>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</si>
  <si>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</si>
  <si>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</si>
  <si>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</si>
  <si>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</si>
  <si>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</si>
  <si>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</si>
  <si>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</si>
  <si>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</si>
  <si>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</si>
  <si>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</si>
  <si>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</si>
  <si>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</si>
  <si>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</si>
  <si>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</si>
  <si>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</si>
  <si>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</si>
  <si>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</si>
  <si>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</si>
  <si>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</si>
  <si>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</si>
  <si>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</si>
  <si>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</si>
  <si>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</si>
  <si>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</si>
  <si>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</si>
  <si>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</si>
  <si>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</si>
  <si>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</si>
  <si>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</si>
  <si>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</si>
  <si>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</si>
  <si>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</si>
  <si>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</si>
  <si>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</si>
  <si>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5 años</t>
  </si>
  <si>
    <t>Equipo de Computación</t>
  </si>
  <si>
    <t>4.3.6-6160.221</t>
  </si>
  <si>
    <t>4.3.6-6191.77</t>
  </si>
  <si>
    <t>4.3.6-6170.59</t>
  </si>
  <si>
    <t>4.3.6-6161.289</t>
  </si>
  <si>
    <t>INFORMATICA</t>
  </si>
  <si>
    <t>COMPUTADORAS; TIPO: DE ESCRITORIO, CODIGO ETAP: PC-002-00, VERSION ETAP: 23.0</t>
  </si>
  <si>
    <t>UPS; TIPO: UPS, CODIGO ETAP: UPS-001, VERSION ETAP: 20.0</t>
  </si>
  <si>
    <t>DIG. DE IMAGENES/ESCANER; TIPO: ESCANER DOCUMENTOS PRODUCCION, CODIGO ETAP: SC-006, VERSION ETAP: 22.0</t>
  </si>
  <si>
    <t>IMPRESORAS; TIPO: LASER, CODIGO ETAP: PR-014, VERSION ETAP: 19,0</t>
  </si>
  <si>
    <t xml:space="preserve">COMPUTADORA ESTÁNDAR - ALTO RENDIMIENTO - CPU: INTEL COFFELAKE CORE I3 9100 3.6GHZ s1151 * Motherboard: MSI H310M PRO-VHD PLUS * Memoria RAM: DDR4 4GB 2666MHZ OEM CHIP MICRON (Cant: 2) * Video: Intel HD 630 ( Integrado ) * Disco Solido (SSD): SSD 240G * Fuente: 500W (c/Gabinete) * TECLADO+MOUSE+PARLANTES * Placa WiFi USB DUAL Frecuencias 2,4 y 5 Ghz * Monitor LED 19" Resolución de 1366px-768px. * </t>
  </si>
  <si>
    <t>* CAPACIDAD (VA): 850 VA * BATERÍA INTERNA: 12v 7a
* Autonomía: 10 a 20 mín (segun carga) * 4 SALIDAS (3+1)
* Estabilizador incorporado * Proteccion contra picos de tension
* Fusible con reposicion * PUERTO USB Y SOFTWARE
* Funcion ahorro energia * Pulsador MULTIFUNCIÓN</t>
  </si>
  <si>
    <t>Especificidades Item N° 4:</t>
  </si>
  <si>
    <t>Tipo de escáner Alimentador de hojas múltiples * Medidas 330 mm x 246 mm x 162 mm * Velocidades de producción: Hasta 30 ppm / 60 ipm a 200 dpi y 300 dpi * Volumen diario recomendado: Hasta 3,000 páginas al día * Tamaño máximo del documento: 216 x 356 mm; documentos largos hasta 3 metros * Alimentador: Hasta 75 hojas; compatible con documentos pequeños * Conectividad: USB 2.0 de alta velocidad * Resolución óptica: 600 dpi * Panel de control: Pantalla gráfica LCD en color de 4 líneas con cuatro botones * Peso: 3,2 kg</t>
  </si>
  <si>
    <t>Velocidad de impresión: A4: Hasta 20 ppm- Primera página impresa en negro: 8,3 segundos - Resolución de impresión Negro (óptima): Hasta 1,200 x 1,200 dpi
- -Tecnología de impresión: Láser -Tecnologías de resolución de impresión: ReCP - Cantidad de cartuchos de impresión: 1 (negro) - Idiomas estándar de impresora: SPL - Funciones del software inteligente de la impresora: Impresión manual a doble cara, impresión de varias páginas por hoja, compaginado, marcas de agua, acepta una variedad de tamaños y tipos de papel -Conectividad: estándar Puerto USB 2.0 de alta velocidad, conexión inalámbrica 802.11 b/g/n  - Capacidad inalámbrica: WIFI integrado - Capacidad de impresión: móvil16 Apple AirPrint™; Google Cloud Print™; Aplicaciones móviles; Certificación Mopria™; Impresión Wi-Fi Direct®; HP Smart app - Memoria Estándar: 64 MB; Máximo: 64 MB - Velocidad del procesador: 400 MHz - Ciclo de trabajo: Mensual, A4: Hasta 10,000 páginas - Volumen de páginas mensuales recomendado: 100 a 1,500</t>
  </si>
  <si>
    <t>Garantía del fabricante minima de un (1) año.</t>
  </si>
  <si>
    <t>Especificidades Item N°3:</t>
  </si>
  <si>
    <t>70 - MINISTERIO DE CIENCIA E INNOVACION TECNOLOGICA</t>
  </si>
  <si>
    <t>20 - MINISTERIO DE CIENCIA E INNOVACION TECNOLOGICA</t>
  </si>
  <si>
    <t xml:space="preserve"> MINISTERIO DE CIENCIA E INNOVACION TECNOLOGICA</t>
  </si>
  <si>
    <t>DIRECCION PROVINCIAL DE GESTION ADMINISTRATIVA</t>
  </si>
  <si>
    <t>016/2020</t>
  </si>
  <si>
    <t>Especificidades Item N° 5:</t>
  </si>
  <si>
    <t>El plazo de entrega  no podrá ser superior a los veinte (20)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Republica de Venezuela S/N° - CAPE- Pabellón N° 26 San Fernando del Valle de Catamarca.  Se presentará Remito que deberá cumplimentar lo dispuesto por la R.G. AFIP  1415/03, sin excepción.</t>
  </si>
  <si>
    <t xml:space="preserve">ADQUISICIÓN DE  EQUIPOS DE COMPUTACION DESTINADOS  A LAS DIFERENTES AREAS ADMINISTRATIVAS DEPENDIENTES DEL MINISTERIO DE CIENCIA E INNOVACION TECNOLOGICA.- </t>
  </si>
  <si>
    <t>Tipo de impresora: Multifunción - Tecnología de impresión: Láser - Tipo de impresión: Color - Con Wi-Fi - Con USB - Velocidad del procesador: 1200 MHz - Velocidad de impresión en blanco y negro: 28 ppm - Velocidad de impresión en color: 28 ppm - Tipos de papel: Bond, Etiqueta, Folleto, Fotográfico, Membretado, Normal, Pre impreso, Pre perforado, Reciclado, Rugoso - Tamaños de papel: A4,A5,A6,JIS B5,JIS B6,Oficio,Sobre B5,Sobre C5,Sobre DL, Tarjeta postal JIS doble, Tarjeta postal JIS simple,16K,10 x 15 cm,76 x 127 mm - 216 x 356 mm.-</t>
  </si>
  <si>
    <t>4.3.6-6160.208</t>
  </si>
  <si>
    <t>COMPUTADORAS; TIPO: NOTEBOOK, CODIGO ETAP: PC-008, VERSION ETAP: 22.0</t>
  </si>
  <si>
    <t>Especificidades Item N° 6:</t>
  </si>
  <si>
    <t>Memoria RAM 8 GB - Capacidad del disco rígido 1 TB - Capacidad del SSD - 240 GB - Resolución de la pantalla 1366 x 768 14” - GPU - Intel HD Graphics 620 - Marca del procesador Intel- Línea del procesador Core i5 - Frecuencia de actualización de la pantalla 60 Hz - Nombre del sistema operativo: FreeDOS 2.0 - Versión del sistema operativo 2.0</t>
  </si>
  <si>
    <t>PESOS: PESOS DOS MILLONES CUATROCIENTOS VEINTISIETE MIL SETECIENTOS NOVENTA CON 00/100.-</t>
  </si>
  <si>
    <t>Costo total estimado:  PESOS DOS MILLONES CUATROCIENTOS VEINTISIETE MIL SETECIENTOS NOVENTA CON 00/100.-</t>
  </si>
  <si>
    <t>1.1</t>
  </si>
  <si>
    <t>Mantenimiento:  Treinta Días Hábiles.-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</si>
</sst>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 #,##0.00_);_(\$* \(#,##0.00\);_(\$* \-??_);_(@_)"/>
    <numFmt numFmtId="165" formatCode="_-* #,##0.00&quot; €&quot;_-;\-* #,##0.00&quot; €&quot;_-;_-* \-??&quot; €&quot;_-;_-@_-"/>
    <numFmt numFmtId="166" formatCode="[$$-2C0A]\ #,##0.00;[$$-2C0A]&quot; -&quot;#,##0.00"/>
    <numFmt numFmtId="167" formatCode="[$$-2C0A]\ #,##0.00"/>
    <numFmt numFmtId="168" formatCode="dd\-mm\-yy;@"/>
    <numFmt numFmtId="169" formatCode="_ [$$-2C0A]\ * #,##0.00_ ;_ [$$-2C0A]\ * \-#,##0.00_ ;_ [$$-2C0A]\ * &quot;-&quot;??_ ;_ @_ "/>
  </numFmts>
  <fonts count="25"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62">
    <border>
      <left/>
      <right/>
      <top/>
      <bottom/>
      <diagonal/>
    </border>
    <border>
      <left/>
      <right/>
      <top/>
      <bottom style="thick">
        <color rgb="FF33CCCC"/>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style="thick">
        <color auto="1"/>
      </right>
      <top style="thick">
        <color auto="1"/>
      </top>
      <bottom style="thin">
        <color indexed="64"/>
      </bottom>
      <diagonal/>
    </border>
    <border>
      <left style="thin">
        <color auto="1"/>
      </left>
      <right style="medium">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41">
    <xf numFmtId="0" fontId="0" fillId="0" borderId="0" xfId="0"/>
    <xf numFmtId="0" fontId="0" fillId="0" borderId="0" xfId="0" applyBorder="1"/>
    <xf numFmtId="0" fontId="2" fillId="0" borderId="0" xfId="0" applyFont="1" applyBorder="1" applyAlignment="1">
      <alignment vertical="center"/>
    </xf>
    <xf numFmtId="0" fontId="5" fillId="0" borderId="12" xfId="0" applyFont="1" applyBorder="1" applyAlignment="1">
      <alignment horizontal="right" vertical="center"/>
    </xf>
    <xf numFmtId="0" fontId="5" fillId="0" borderId="14"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9" fillId="0" borderId="22" xfId="0" applyFont="1" applyBorder="1" applyAlignment="1">
      <alignment horizontal="center" vertical="center"/>
    </xf>
    <xf numFmtId="0" fontId="9" fillId="0" borderId="22" xfId="0" applyFont="1" applyBorder="1" applyAlignment="1">
      <alignment horizontal="left" vertical="center"/>
    </xf>
    <xf numFmtId="3" fontId="4" fillId="0" borderId="22" xfId="0" applyNumberFormat="1" applyFont="1" applyBorder="1" applyAlignment="1">
      <alignment horizontal="center" vertical="center"/>
    </xf>
    <xf numFmtId="0" fontId="9" fillId="0" borderId="23" xfId="0" applyFont="1" applyBorder="1" applyAlignment="1">
      <alignment horizontal="center" vertical="center"/>
    </xf>
    <xf numFmtId="0" fontId="9" fillId="0" borderId="23" xfId="0" applyFont="1" applyBorder="1" applyAlignment="1">
      <alignment horizontal="left" vertical="center"/>
    </xf>
    <xf numFmtId="0" fontId="4" fillId="0" borderId="23" xfId="0" applyFont="1" applyBorder="1" applyAlignment="1">
      <alignment horizontal="center" vertical="center"/>
    </xf>
    <xf numFmtId="0" fontId="4" fillId="0" borderId="23" xfId="0" applyFont="1" applyBorder="1" applyAlignment="1">
      <alignment horizontal="center" vertical="center" wrapText="1"/>
    </xf>
    <xf numFmtId="3" fontId="4" fillId="0" borderId="23" xfId="0" applyNumberFormat="1" applyFont="1" applyBorder="1" applyAlignment="1">
      <alignment horizontal="center"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2" xfId="0" applyBorder="1"/>
    <xf numFmtId="0" fontId="0" fillId="0" borderId="29" xfId="0" applyBorder="1"/>
    <xf numFmtId="0" fontId="0" fillId="0" borderId="14" xfId="0" applyBorder="1"/>
    <xf numFmtId="0" fontId="0" fillId="0" borderId="14" xfId="0" applyBorder="1" applyAlignment="1">
      <alignment horizontal="left"/>
    </xf>
    <xf numFmtId="0" fontId="0" fillId="0" borderId="30" xfId="0" applyBorder="1"/>
    <xf numFmtId="0" fontId="14" fillId="0" borderId="32" xfId="0" applyFont="1" applyBorder="1" applyAlignment="1">
      <alignment horizontal="center" vertical="center"/>
    </xf>
    <xf numFmtId="0" fontId="14" fillId="0" borderId="33" xfId="0" applyFont="1" applyBorder="1" applyAlignment="1">
      <alignment horizontal="center" vertical="center"/>
    </xf>
    <xf numFmtId="0" fontId="14" fillId="0" borderId="33" xfId="0" applyFont="1" applyBorder="1" applyAlignment="1">
      <alignment horizontal="left" vertical="center"/>
    </xf>
    <xf numFmtId="0" fontId="14" fillId="0" borderId="34" xfId="0" applyFont="1" applyBorder="1" applyAlignment="1">
      <alignment horizontal="center" vertical="center"/>
    </xf>
    <xf numFmtId="0" fontId="14" fillId="0" borderId="28" xfId="0" applyFont="1" applyBorder="1" applyAlignment="1">
      <alignment horizontal="center" vertical="center"/>
    </xf>
    <xf numFmtId="0" fontId="0" fillId="0" borderId="36" xfId="0" applyFont="1" applyBorder="1" applyAlignment="1">
      <alignment horizontal="center" vertical="center"/>
    </xf>
    <xf numFmtId="166" fontId="0" fillId="0" borderId="38" xfId="3" applyNumberFormat="1" applyFont="1" applyBorder="1" applyAlignment="1" applyProtection="1">
      <alignment horizontal="center" vertical="center"/>
    </xf>
    <xf numFmtId="0" fontId="0" fillId="0" borderId="39" xfId="0" applyFont="1" applyBorder="1" applyAlignment="1">
      <alignment horizontal="center" vertical="center"/>
    </xf>
    <xf numFmtId="0" fontId="0" fillId="0" borderId="40" xfId="0" applyFont="1" applyBorder="1" applyAlignment="1">
      <alignment horizontal="center" vertic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166" fontId="0" fillId="0" borderId="43" xfId="3" applyNumberFormat="1" applyFont="1" applyBorder="1" applyAlignment="1" applyProtection="1">
      <alignment horizontal="center" vertical="center"/>
    </xf>
    <xf numFmtId="0" fontId="12" fillId="0" borderId="39" xfId="0" applyFont="1" applyBorder="1" applyAlignment="1">
      <alignment horizontal="center" vertical="center"/>
    </xf>
    <xf numFmtId="0" fontId="12" fillId="0" borderId="40" xfId="0" applyFont="1" applyBorder="1" applyAlignment="1">
      <alignment horizontal="center" vertical="center"/>
    </xf>
    <xf numFmtId="0" fontId="0" fillId="0" borderId="42" xfId="0" applyBorder="1" applyAlignment="1">
      <alignment horizontal="center" vertical="center"/>
    </xf>
    <xf numFmtId="0" fontId="12" fillId="0" borderId="41" xfId="0" applyFont="1" applyBorder="1" applyAlignment="1">
      <alignment horizontal="center" vertical="center"/>
    </xf>
    <xf numFmtId="0" fontId="12" fillId="0" borderId="42" xfId="0" applyFont="1"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166" fontId="0" fillId="0" borderId="47" xfId="3" applyNumberFormat="1" applyFont="1" applyBorder="1" applyAlignment="1" applyProtection="1">
      <alignment horizontal="center" vertical="center"/>
    </xf>
    <xf numFmtId="166" fontId="14" fillId="0" borderId="48" xfId="0" applyNumberFormat="1" applyFont="1" applyBorder="1" applyAlignment="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22" fillId="0" borderId="2" xfId="0" applyFont="1" applyBorder="1" applyAlignment="1">
      <alignment horizontal="left" vertical="center" wrapText="1"/>
    </xf>
    <xf numFmtId="0" fontId="22" fillId="0" borderId="2" xfId="0" applyFont="1" applyBorder="1" applyAlignment="1">
      <alignment horizontal="center" vertical="center" wrapText="1"/>
    </xf>
    <xf numFmtId="0" fontId="23" fillId="0" borderId="4" xfId="0" applyFont="1" applyBorder="1"/>
    <xf numFmtId="0" fontId="16" fillId="0" borderId="5" xfId="0" applyFont="1" applyBorder="1"/>
    <xf numFmtId="0" fontId="16" fillId="0" borderId="6" xfId="0" applyFont="1" applyBorder="1"/>
    <xf numFmtId="0" fontId="16" fillId="0" borderId="7" xfId="0" applyFont="1" applyBorder="1"/>
    <xf numFmtId="0" fontId="16" fillId="0" borderId="0" xfId="0" applyFont="1" applyBorder="1"/>
    <xf numFmtId="0" fontId="16" fillId="0" borderId="8" xfId="0" applyFont="1" applyBorder="1"/>
    <xf numFmtId="0" fontId="23" fillId="0" borderId="7" xfId="0" applyFont="1" applyBorder="1" applyAlignment="1">
      <alignment horizontal="left" indent="3"/>
    </xf>
    <xf numFmtId="0" fontId="16" fillId="0" borderId="7" xfId="0" applyFont="1" applyBorder="1" applyAlignment="1">
      <alignment horizontal="left" indent="3"/>
    </xf>
    <xf numFmtId="0" fontId="16" fillId="0" borderId="0" xfId="0" applyFont="1" applyBorder="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left" indent="3"/>
    </xf>
    <xf numFmtId="0" fontId="16" fillId="0" borderId="10" xfId="0" applyFont="1" applyBorder="1"/>
    <xf numFmtId="0" fontId="16" fillId="0" borderId="11" xfId="0" applyFont="1" applyBorder="1"/>
    <xf numFmtId="0" fontId="6" fillId="4" borderId="13" xfId="0" applyFont="1" applyFill="1" applyBorder="1" applyAlignment="1">
      <alignment horizontal="center" vertical="center"/>
    </xf>
    <xf numFmtId="0" fontId="4" fillId="4" borderId="21" xfId="0" applyFont="1" applyFill="1" applyBorder="1" applyAlignment="1">
      <alignment horizontal="center" vertical="center"/>
    </xf>
    <xf numFmtId="0" fontId="4" fillId="3" borderId="21" xfId="0" applyFont="1" applyFill="1" applyBorder="1" applyAlignment="1">
      <alignment horizontal="center" vertical="center" wrapText="1"/>
    </xf>
    <xf numFmtId="166" fontId="4" fillId="3" borderId="21" xfId="1" applyNumberFormat="1" applyFont="1" applyFill="1" applyBorder="1" applyAlignment="1" applyProtection="1">
      <alignment horizontal="right" vertical="center" wrapText="1"/>
    </xf>
    <xf numFmtId="0" fontId="0" fillId="4" borderId="35" xfId="0" applyFont="1" applyFill="1" applyBorder="1" applyAlignment="1">
      <alignment horizontal="center" vertical="center"/>
    </xf>
    <xf numFmtId="0" fontId="0" fillId="4" borderId="36" xfId="0" applyFont="1" applyFill="1" applyBorder="1" applyAlignment="1">
      <alignment horizontal="center" vertical="center"/>
    </xf>
    <xf numFmtId="0" fontId="0" fillId="4" borderId="37" xfId="0" applyFont="1" applyFill="1" applyBorder="1" applyAlignment="1">
      <alignment horizontal="center" vertical="center"/>
    </xf>
    <xf numFmtId="0" fontId="15" fillId="0" borderId="0" xfId="0" applyFont="1"/>
    <xf numFmtId="0" fontId="22" fillId="4" borderId="2" xfId="0" applyFont="1" applyFill="1" applyBorder="1" applyAlignment="1">
      <alignment horizontal="center" vertical="center" wrapText="1"/>
    </xf>
    <xf numFmtId="166" fontId="21" fillId="4" borderId="2" xfId="1" applyNumberFormat="1" applyFont="1" applyFill="1" applyBorder="1" applyAlignment="1" applyProtection="1">
      <alignment horizontal="right" vertical="center" wrapText="1"/>
    </xf>
    <xf numFmtId="166" fontId="21" fillId="4" borderId="3" xfId="1" applyNumberFormat="1" applyFont="1" applyFill="1" applyBorder="1" applyAlignment="1" applyProtection="1">
      <alignment horizontal="right" vertical="center" wrapText="1"/>
    </xf>
    <xf numFmtId="0" fontId="24" fillId="4" borderId="0" xfId="0" applyFont="1" applyFill="1" applyAlignment="1">
      <alignment horizontal="left" wrapText="1" indent="1"/>
    </xf>
    <xf numFmtId="0" fontId="20" fillId="3" borderId="0" xfId="0" applyFont="1" applyFill="1" applyAlignment="1">
      <alignment horizontal="left" wrapText="1"/>
    </xf>
    <xf numFmtId="0" fontId="21" fillId="0" borderId="55" xfId="0" applyFont="1" applyBorder="1" applyAlignment="1">
      <alignment horizontal="center" vertical="center"/>
    </xf>
    <xf numFmtId="0" fontId="22" fillId="4" borderId="56" xfId="0" applyFont="1" applyFill="1" applyBorder="1" applyAlignment="1">
      <alignment horizontal="center" vertical="center" wrapText="1"/>
    </xf>
    <xf numFmtId="0" fontId="22" fillId="0" borderId="56" xfId="0" applyFont="1" applyBorder="1" applyAlignment="1">
      <alignment horizontal="left" vertical="center" wrapText="1"/>
    </xf>
    <xf numFmtId="0" fontId="22" fillId="0" borderId="56" xfId="0" applyFont="1" applyBorder="1" applyAlignment="1">
      <alignment horizontal="center" vertical="center" wrapText="1"/>
    </xf>
    <xf numFmtId="166" fontId="21" fillId="4" borderId="56" xfId="1" applyNumberFormat="1" applyFont="1" applyFill="1" applyBorder="1" applyAlignment="1" applyProtection="1">
      <alignment horizontal="right" vertical="center" wrapText="1"/>
    </xf>
    <xf numFmtId="166" fontId="21" fillId="4" borderId="58" xfId="1" applyNumberFormat="1" applyFont="1" applyFill="1" applyBorder="1" applyAlignment="1" applyProtection="1">
      <alignment horizontal="right" vertical="center" wrapText="1"/>
    </xf>
    <xf numFmtId="0" fontId="20" fillId="0" borderId="57" xfId="0" applyFont="1" applyBorder="1" applyAlignment="1">
      <alignment horizontal="center" vertical="center" wrapText="1"/>
    </xf>
    <xf numFmtId="169" fontId="4" fillId="0" borderId="23" xfId="0" applyNumberFormat="1" applyFont="1" applyBorder="1" applyAlignment="1">
      <alignment horizontal="center" vertical="center" wrapText="1"/>
    </xf>
    <xf numFmtId="0" fontId="16" fillId="4" borderId="0" xfId="0" applyFont="1" applyFill="1" applyBorder="1" applyAlignment="1">
      <alignment horizontal="left" vertical="top" wrapText="1"/>
    </xf>
    <xf numFmtId="0" fontId="16" fillId="4" borderId="8" xfId="0" applyFont="1" applyFill="1" applyBorder="1" applyAlignment="1">
      <alignment horizontal="left" vertical="top" wrapText="1"/>
    </xf>
    <xf numFmtId="0" fontId="16" fillId="4" borderId="0" xfId="0" applyFont="1" applyFill="1" applyBorder="1" applyAlignment="1">
      <alignment horizontal="left" wrapText="1"/>
    </xf>
    <xf numFmtId="0" fontId="16" fillId="4" borderId="8" xfId="0" applyFont="1" applyFill="1" applyBorder="1" applyAlignment="1">
      <alignment horizontal="left" wrapText="1"/>
    </xf>
    <xf numFmtId="0" fontId="16" fillId="4" borderId="0" xfId="0" applyFont="1" applyFill="1" applyBorder="1" applyAlignment="1">
      <alignment horizontal="left"/>
    </xf>
    <xf numFmtId="0" fontId="16" fillId="4" borderId="8" xfId="0" applyFont="1" applyFill="1" applyBorder="1" applyAlignment="1">
      <alignment horizontal="left"/>
    </xf>
    <xf numFmtId="0" fontId="16" fillId="4" borderId="0" xfId="0" applyFont="1" applyFill="1" applyBorder="1" applyAlignment="1">
      <alignment horizontal="left" vertical="center" wrapText="1"/>
    </xf>
    <xf numFmtId="0" fontId="16" fillId="4" borderId="8" xfId="0" applyFont="1" applyFill="1" applyBorder="1" applyAlignment="1">
      <alignment horizontal="left" vertical="center" wrapText="1"/>
    </xf>
    <xf numFmtId="0" fontId="18" fillId="0" borderId="0" xfId="0" applyFont="1" applyBorder="1" applyAlignment="1">
      <alignment horizontal="left" vertical="center" wrapText="1"/>
    </xf>
    <xf numFmtId="0" fontId="17" fillId="0" borderId="0" xfId="0" applyFont="1" applyBorder="1" applyAlignment="1">
      <alignment horizontal="center"/>
    </xf>
    <xf numFmtId="0" fontId="24" fillId="4" borderId="0" xfId="0" applyFont="1" applyFill="1" applyBorder="1" applyAlignment="1">
      <alignment horizontal="left" wrapText="1" indent="1"/>
    </xf>
    <xf numFmtId="0" fontId="5" fillId="0" borderId="0" xfId="0" applyFont="1" applyBorder="1" applyAlignment="1">
      <alignment horizontal="center" vertical="center"/>
    </xf>
    <xf numFmtId="0" fontId="7" fillId="0" borderId="15" xfId="0" applyFont="1" applyBorder="1" applyAlignment="1">
      <alignment horizontal="left" vertical="center" wrapText="1"/>
    </xf>
    <xf numFmtId="0" fontId="6" fillId="3" borderId="16" xfId="0" applyFont="1" applyFill="1" applyBorder="1" applyAlignment="1">
      <alignment horizontal="left" vertical="center" wrapText="1" indent="1"/>
    </xf>
    <xf numFmtId="0" fontId="7" fillId="0" borderId="17" xfId="0" applyFont="1" applyBorder="1" applyAlignment="1">
      <alignment horizontal="left" vertical="center" wrapText="1"/>
    </xf>
    <xf numFmtId="0" fontId="7" fillId="0" borderId="18" xfId="0" applyFont="1" applyBorder="1" applyAlignment="1">
      <alignment horizontal="left" vertical="center"/>
    </xf>
    <xf numFmtId="0" fontId="16" fillId="4" borderId="19" xfId="0" applyFont="1" applyFill="1" applyBorder="1" applyAlignment="1">
      <alignment horizontal="left" vertical="center" wrapText="1" indent="1"/>
    </xf>
    <xf numFmtId="0" fontId="8" fillId="0" borderId="18" xfId="0" applyFont="1" applyBorder="1" applyAlignment="1">
      <alignment horizontal="center" vertical="center"/>
    </xf>
    <xf numFmtId="0" fontId="8" fillId="0" borderId="20"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16" xfId="0" applyFont="1" applyBorder="1" applyAlignment="1">
      <alignment horizontal="left" vertical="center" wrapText="1" indent="1"/>
    </xf>
    <xf numFmtId="167" fontId="7" fillId="0" borderId="16" xfId="0" applyNumberFormat="1" applyFont="1" applyBorder="1" applyAlignment="1">
      <alignment horizontal="center" vertical="center"/>
    </xf>
    <xf numFmtId="0" fontId="4" fillId="0" borderId="52" xfId="0" applyFont="1" applyBorder="1" applyAlignment="1">
      <alignment horizontal="left" vertical="center" wrapText="1"/>
    </xf>
    <xf numFmtId="0" fontId="4" fillId="0" borderId="53" xfId="0" applyFont="1" applyBorder="1" applyAlignment="1">
      <alignment horizontal="left" vertical="center" wrapText="1"/>
    </xf>
    <xf numFmtId="0" fontId="4" fillId="0" borderId="54" xfId="0" applyFont="1" applyBorder="1" applyAlignment="1">
      <alignment horizontal="left" vertical="center" wrapText="1"/>
    </xf>
    <xf numFmtId="0" fontId="4" fillId="0" borderId="59" xfId="0" applyFont="1" applyBorder="1" applyAlignment="1">
      <alignment horizontal="left" vertical="center" wrapText="1"/>
    </xf>
    <xf numFmtId="0" fontId="4" fillId="0" borderId="60" xfId="0" applyFont="1" applyBorder="1" applyAlignment="1">
      <alignment horizontal="left" vertical="center" wrapText="1"/>
    </xf>
    <xf numFmtId="0" fontId="4" fillId="0" borderId="61" xfId="0" applyFont="1" applyBorder="1" applyAlignment="1">
      <alignment horizontal="left" vertical="center" wrapText="1"/>
    </xf>
    <xf numFmtId="0" fontId="0" fillId="0" borderId="24" xfId="0" applyFont="1" applyBorder="1" applyAlignment="1">
      <alignment horizontal="center"/>
    </xf>
    <xf numFmtId="3" fontId="10" fillId="0" borderId="25" xfId="0" applyNumberFormat="1" applyFont="1" applyBorder="1" applyAlignment="1">
      <alignment horizontal="center"/>
    </xf>
    <xf numFmtId="0" fontId="11" fillId="0" borderId="13" xfId="0" applyFont="1" applyBorder="1" applyAlignment="1">
      <alignment horizontal="center" vertical="center" wrapText="1"/>
    </xf>
    <xf numFmtId="0" fontId="2" fillId="0" borderId="13" xfId="0" applyFont="1" applyBorder="1"/>
    <xf numFmtId="0" fontId="12" fillId="0" borderId="13" xfId="0" applyFont="1" applyBorder="1" applyAlignment="1">
      <alignment horizontal="left" indent="1"/>
    </xf>
    <xf numFmtId="0" fontId="4" fillId="0" borderId="15" xfId="0" applyFont="1" applyBorder="1" applyAlignment="1">
      <alignment horizontal="left" vertical="center" wrapText="1"/>
    </xf>
    <xf numFmtId="0" fontId="4" fillId="0" borderId="50" xfId="0" applyFont="1" applyBorder="1" applyAlignment="1">
      <alignment horizontal="left" vertical="center" wrapText="1"/>
    </xf>
    <xf numFmtId="0" fontId="4" fillId="0" borderId="51" xfId="0" applyFont="1" applyBorder="1" applyAlignment="1">
      <alignment horizontal="left" vertical="center" wrapText="1"/>
    </xf>
    <xf numFmtId="0" fontId="13" fillId="0" borderId="13" xfId="0" applyFont="1" applyBorder="1" applyAlignment="1">
      <alignment horizontal="left"/>
    </xf>
    <xf numFmtId="0" fontId="12" fillId="0" borderId="27" xfId="0" applyFont="1" applyBorder="1"/>
    <xf numFmtId="0" fontId="12" fillId="0" borderId="28" xfId="0" applyFont="1" applyBorder="1" applyAlignment="1">
      <alignment horizontal="left" vertical="center" wrapText="1" indent="1"/>
    </xf>
    <xf numFmtId="0" fontId="14" fillId="0" borderId="26" xfId="0" applyFont="1" applyBorder="1" applyAlignment="1">
      <alignment horizontal="center" vertical="center"/>
    </xf>
    <xf numFmtId="0" fontId="14" fillId="0" borderId="13" xfId="0" applyFont="1" applyBorder="1" applyAlignment="1">
      <alignment horizontal="center" vertical="center"/>
    </xf>
    <xf numFmtId="0" fontId="14" fillId="0" borderId="26" xfId="0" applyFont="1" applyBorder="1" applyAlignment="1">
      <alignment horizontal="center" vertical="center" wrapText="1"/>
    </xf>
    <xf numFmtId="0" fontId="14" fillId="0" borderId="31" xfId="0" applyFont="1" applyBorder="1" applyAlignment="1">
      <alignment horizontal="center" vertical="center"/>
    </xf>
    <xf numFmtId="0" fontId="15" fillId="0" borderId="36" xfId="0" applyFont="1" applyBorder="1" applyAlignment="1">
      <alignment horizontal="left" vertical="center" wrapText="1"/>
    </xf>
    <xf numFmtId="0" fontId="0" fillId="0" borderId="36" xfId="0" applyFont="1" applyBorder="1" applyAlignment="1">
      <alignment horizontal="left" vertical="center" wrapText="1"/>
    </xf>
    <xf numFmtId="0" fontId="0" fillId="0" borderId="42" xfId="0" applyFont="1" applyBorder="1" applyAlignment="1">
      <alignment horizontal="left" vertical="center"/>
    </xf>
    <xf numFmtId="0" fontId="10" fillId="0" borderId="24" xfId="0" applyFont="1" applyBorder="1" applyAlignment="1">
      <alignment vertical="center" wrapText="1"/>
    </xf>
    <xf numFmtId="0" fontId="10" fillId="0" borderId="49" xfId="0" applyFont="1" applyBorder="1" applyAlignment="1">
      <alignment vertical="center" wrapText="1"/>
    </xf>
    <xf numFmtId="0" fontId="10" fillId="0" borderId="19" xfId="0" applyFont="1" applyBorder="1" applyAlignment="1">
      <alignment vertical="center" wrapText="1"/>
    </xf>
    <xf numFmtId="0" fontId="12" fillId="0" borderId="31" xfId="0" applyFont="1" applyBorder="1" applyAlignment="1">
      <alignment vertical="center" wrapText="1"/>
    </xf>
    <xf numFmtId="0" fontId="2" fillId="4" borderId="48" xfId="0" applyFont="1" applyFill="1" applyBorder="1" applyAlignment="1">
      <alignment horizontal="left" vertical="center" wrapText="1" indent="1"/>
    </xf>
    <xf numFmtId="0" fontId="0" fillId="0" borderId="42" xfId="0" applyBorder="1" applyAlignment="1">
      <alignment horizontal="left" vertical="center"/>
    </xf>
    <xf numFmtId="0" fontId="0" fillId="0" borderId="45" xfId="0" applyBorder="1" applyAlignment="1">
      <alignment horizontal="left" vertical="center"/>
    </xf>
    <xf numFmtId="0" fontId="10" fillId="0" borderId="48" xfId="0" applyFont="1" applyBorder="1" applyAlignment="1">
      <alignment horizontal="left" vertical="center" wrapText="1"/>
    </xf>
    <xf numFmtId="0" fontId="0" fillId="0" borderId="26" xfId="0" applyBorder="1"/>
  </cellXfs>
  <cellStyles count="5">
    <cellStyle name="Encabezado 1" xfId="2"/>
    <cellStyle name="Moneda" xfId="1" builtinId="4"/>
    <cellStyle name="Moneda_AUTORIZACION Y NOTA DE PEDIDO" xfId="3"/>
    <cellStyle name="Neutral 1" xf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xmlns=""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xmlns=""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xmlns=""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xmlns=""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I111"/>
  <sheetViews>
    <sheetView tabSelected="1" topLeftCell="A22" zoomScale="130" zoomScaleNormal="130" workbookViewId="0">
      <selection activeCell="B26" sqref="B26"/>
    </sheetView>
  </sheetViews>
  <sheetFormatPr baseColWidth="10" defaultColWidth="11" defaultRowHeight="12.75" x14ac:dyDescent="0.2"/>
  <cols>
    <col min="1" max="1" width="4.5703125" style="47" customWidth="1"/>
    <col min="2" max="2" width="12.5703125" style="47" customWidth="1"/>
    <col min="3" max="3" width="19.7109375" style="47" customWidth="1"/>
    <col min="4" max="4" width="7.140625" style="47" customWidth="1"/>
    <col min="5" max="5" width="59.42578125" style="47" customWidth="1"/>
    <col min="6" max="6" width="11" style="47"/>
    <col min="7" max="7" width="10.85546875" style="47" customWidth="1"/>
    <col min="8" max="8" width="11.85546875" style="47" customWidth="1"/>
    <col min="9" max="9" width="13.42578125" style="47" customWidth="1"/>
    <col min="10" max="16384" width="11" style="47"/>
  </cols>
  <sheetData>
    <row r="2" spans="1:9" ht="27" x14ac:dyDescent="0.35">
      <c r="B2" s="95" t="s">
        <v>0</v>
      </c>
      <c r="C2" s="95"/>
      <c r="D2" s="95"/>
      <c r="E2" s="95"/>
      <c r="F2" s="95"/>
      <c r="G2" s="95"/>
      <c r="H2" s="95"/>
    </row>
    <row r="3" spans="1:9" ht="8.25" customHeight="1" x14ac:dyDescent="0.2"/>
    <row r="4" spans="1:9" ht="27.75" customHeight="1" x14ac:dyDescent="0.25">
      <c r="A4" s="94" t="s">
        <v>1</v>
      </c>
      <c r="B4" s="94"/>
      <c r="C4" s="96" t="s">
        <v>77</v>
      </c>
      <c r="D4" s="96"/>
      <c r="E4" s="96"/>
      <c r="F4" s="48"/>
      <c r="G4" s="49"/>
      <c r="H4" s="48"/>
    </row>
    <row r="5" spans="1:9" ht="18" customHeight="1" x14ac:dyDescent="0.25">
      <c r="A5" s="94" t="s">
        <v>2</v>
      </c>
      <c r="B5" s="94"/>
      <c r="C5" s="96" t="s">
        <v>78</v>
      </c>
      <c r="D5" s="96"/>
      <c r="E5" s="96"/>
      <c r="F5" s="48"/>
      <c r="G5" s="49"/>
      <c r="H5" s="48"/>
    </row>
    <row r="6" spans="1:9" ht="16.5" customHeight="1" x14ac:dyDescent="0.25">
      <c r="A6" s="94" t="s">
        <v>3</v>
      </c>
      <c r="B6" s="94"/>
      <c r="C6" s="76">
        <v>2020</v>
      </c>
      <c r="D6" s="77"/>
      <c r="E6" s="77"/>
      <c r="F6" s="48"/>
      <c r="G6" s="49"/>
      <c r="H6" s="48"/>
    </row>
    <row r="7" spans="1:9" ht="16.5" customHeight="1" x14ac:dyDescent="0.25">
      <c r="A7" s="94" t="s">
        <v>4</v>
      </c>
      <c r="B7" s="94"/>
      <c r="C7" s="76">
        <v>4</v>
      </c>
      <c r="D7" s="77"/>
      <c r="E7" s="77"/>
      <c r="F7" s="48"/>
      <c r="G7" s="49"/>
      <c r="H7" s="48"/>
    </row>
    <row r="8" spans="1:9" x14ac:dyDescent="0.2">
      <c r="B8" s="48"/>
      <c r="C8" s="49"/>
      <c r="D8" s="48"/>
      <c r="E8" s="48"/>
      <c r="F8" s="48"/>
      <c r="G8" s="49"/>
      <c r="H8" s="48"/>
    </row>
    <row r="9" spans="1:9" ht="39" thickTop="1" x14ac:dyDescent="0.2">
      <c r="A9" s="84" t="s">
        <v>5</v>
      </c>
      <c r="B9" s="84" t="s">
        <v>6</v>
      </c>
      <c r="C9" s="84" t="s">
        <v>7</v>
      </c>
      <c r="D9" s="84" t="s">
        <v>8</v>
      </c>
      <c r="E9" s="84" t="s">
        <v>9</v>
      </c>
      <c r="F9" s="84" t="s">
        <v>10</v>
      </c>
      <c r="G9" s="84" t="s">
        <v>11</v>
      </c>
      <c r="H9" s="84" t="s">
        <v>12</v>
      </c>
      <c r="I9" s="84" t="s">
        <v>13</v>
      </c>
    </row>
    <row r="10" spans="1:9" ht="51" customHeight="1" thickBot="1" x14ac:dyDescent="0.25">
      <c r="A10" s="78">
        <v>1</v>
      </c>
      <c r="B10" s="79" t="s">
        <v>61</v>
      </c>
      <c r="C10" s="80" t="s">
        <v>65</v>
      </c>
      <c r="D10" s="81" t="str">
        <f t="shared" ref="D10:D12" si="0">LEFT(B10,5)</f>
        <v>4.3.6</v>
      </c>
      <c r="E10" s="80" t="s">
        <v>66</v>
      </c>
      <c r="F10" s="79" t="s">
        <v>14</v>
      </c>
      <c r="G10" s="79">
        <v>15</v>
      </c>
      <c r="H10" s="82">
        <v>81255</v>
      </c>
      <c r="I10" s="83">
        <f t="shared" ref="I10:I13" si="1">G10*H10</f>
        <v>1218825</v>
      </c>
    </row>
    <row r="11" spans="1:9" ht="45.75" customHeight="1" thickBot="1" x14ac:dyDescent="0.25">
      <c r="A11" s="78">
        <v>2</v>
      </c>
      <c r="B11" s="79" t="s">
        <v>62</v>
      </c>
      <c r="C11" s="50" t="s">
        <v>65</v>
      </c>
      <c r="D11" s="51" t="str">
        <f>LEFT(B11,5)</f>
        <v>4.3.6</v>
      </c>
      <c r="E11" s="80" t="s">
        <v>67</v>
      </c>
      <c r="F11" s="73" t="s">
        <v>14</v>
      </c>
      <c r="G11" s="79">
        <v>15</v>
      </c>
      <c r="H11" s="74">
        <v>9088</v>
      </c>
      <c r="I11" s="75">
        <f t="shared" si="1"/>
        <v>136320</v>
      </c>
    </row>
    <row r="12" spans="1:9" ht="52.5" customHeight="1" thickBot="1" x14ac:dyDescent="0.25">
      <c r="A12" s="78">
        <v>3</v>
      </c>
      <c r="B12" s="79" t="s">
        <v>63</v>
      </c>
      <c r="C12" s="50" t="s">
        <v>65</v>
      </c>
      <c r="D12" s="51" t="str">
        <f t="shared" si="0"/>
        <v>4.3.6</v>
      </c>
      <c r="E12" s="80" t="s">
        <v>68</v>
      </c>
      <c r="F12" s="73" t="s">
        <v>14</v>
      </c>
      <c r="G12" s="79">
        <v>5</v>
      </c>
      <c r="H12" s="74">
        <v>52946</v>
      </c>
      <c r="I12" s="75">
        <f t="shared" si="1"/>
        <v>264730</v>
      </c>
    </row>
    <row r="13" spans="1:9" ht="39.75" customHeight="1" thickBot="1" x14ac:dyDescent="0.25">
      <c r="A13" s="78">
        <v>4</v>
      </c>
      <c r="B13" s="79" t="s">
        <v>64</v>
      </c>
      <c r="C13" s="50" t="s">
        <v>65</v>
      </c>
      <c r="D13" s="51" t="str">
        <f>LEFT(B11,5)</f>
        <v>4.3.6</v>
      </c>
      <c r="E13" s="80" t="s">
        <v>69</v>
      </c>
      <c r="F13" s="73" t="s">
        <v>14</v>
      </c>
      <c r="G13" s="79">
        <v>10</v>
      </c>
      <c r="H13" s="74">
        <v>22496</v>
      </c>
      <c r="I13" s="75">
        <f t="shared" si="1"/>
        <v>224960</v>
      </c>
    </row>
    <row r="14" spans="1:9" ht="39.75" customHeight="1" x14ac:dyDescent="0.2">
      <c r="A14" s="78">
        <v>5</v>
      </c>
      <c r="B14" s="79" t="s">
        <v>64</v>
      </c>
      <c r="C14" s="50" t="s">
        <v>65</v>
      </c>
      <c r="D14" s="51" t="str">
        <f>LEFT(B12,5)</f>
        <v>4.3.6</v>
      </c>
      <c r="E14" s="80" t="s">
        <v>69</v>
      </c>
      <c r="F14" s="73" t="s">
        <v>14</v>
      </c>
      <c r="G14" s="79">
        <v>1</v>
      </c>
      <c r="H14" s="74">
        <v>82960</v>
      </c>
      <c r="I14" s="75">
        <f t="shared" ref="I14:I15" si="2">G14*H14</f>
        <v>82960</v>
      </c>
    </row>
    <row r="15" spans="1:9" ht="51" customHeight="1" x14ac:dyDescent="0.2">
      <c r="A15" s="78">
        <v>6</v>
      </c>
      <c r="B15" s="79" t="s">
        <v>86</v>
      </c>
      <c r="C15" s="80" t="s">
        <v>65</v>
      </c>
      <c r="D15" s="81" t="str">
        <f t="shared" ref="D15" si="3">LEFT(B15,5)</f>
        <v>4.3.6</v>
      </c>
      <c r="E15" s="80" t="s">
        <v>87</v>
      </c>
      <c r="F15" s="79" t="s">
        <v>14</v>
      </c>
      <c r="G15" s="79">
        <v>5</v>
      </c>
      <c r="H15" s="82">
        <v>99999</v>
      </c>
      <c r="I15" s="83">
        <f t="shared" si="2"/>
        <v>499995</v>
      </c>
    </row>
    <row r="16" spans="1:9" ht="13.5" thickBot="1" x14ac:dyDescent="0.25"/>
    <row r="17" spans="2:5" x14ac:dyDescent="0.2">
      <c r="B17" s="52" t="s">
        <v>15</v>
      </c>
      <c r="C17" s="53"/>
      <c r="D17" s="53"/>
      <c r="E17" s="54"/>
    </row>
    <row r="18" spans="2:5" ht="7.5" customHeight="1" x14ac:dyDescent="0.2">
      <c r="B18" s="55"/>
      <c r="C18" s="56"/>
      <c r="D18" s="56"/>
      <c r="E18" s="57"/>
    </row>
    <row r="19" spans="2:5" x14ac:dyDescent="0.2">
      <c r="B19" s="58" t="s">
        <v>16</v>
      </c>
      <c r="C19" s="56"/>
      <c r="D19" s="56"/>
      <c r="E19" s="57"/>
    </row>
    <row r="20" spans="2:5" ht="63.75" customHeight="1" x14ac:dyDescent="0.2">
      <c r="B20" s="58"/>
      <c r="C20" s="88" t="s">
        <v>70</v>
      </c>
      <c r="D20" s="88"/>
      <c r="E20" s="89"/>
    </row>
    <row r="21" spans="2:5" x14ac:dyDescent="0.2">
      <c r="B21" s="58" t="s">
        <v>17</v>
      </c>
      <c r="C21" s="56"/>
      <c r="D21" s="56"/>
      <c r="E21" s="57"/>
    </row>
    <row r="22" spans="2:5" x14ac:dyDescent="0.2">
      <c r="B22" s="59"/>
      <c r="C22" s="88" t="s">
        <v>83</v>
      </c>
      <c r="D22" s="88"/>
      <c r="E22" s="89"/>
    </row>
    <row r="23" spans="2:5" ht="59.25" customHeight="1" x14ac:dyDescent="0.2">
      <c r="B23" s="59"/>
      <c r="C23" s="88"/>
      <c r="D23" s="88"/>
      <c r="E23" s="89"/>
    </row>
    <row r="24" spans="2:5" x14ac:dyDescent="0.2">
      <c r="B24" s="58" t="s">
        <v>18</v>
      </c>
      <c r="C24" s="56"/>
      <c r="D24" s="56"/>
      <c r="E24" s="57"/>
    </row>
    <row r="25" spans="2:5" ht="6" customHeight="1" x14ac:dyDescent="0.2">
      <c r="B25" s="59"/>
      <c r="C25" s="88"/>
      <c r="D25" s="88"/>
      <c r="E25" s="89"/>
    </row>
    <row r="26" spans="2:5" x14ac:dyDescent="0.2">
      <c r="B26" s="58" t="s">
        <v>93</v>
      </c>
      <c r="C26" s="60"/>
      <c r="D26" s="60"/>
      <c r="E26" s="61"/>
    </row>
    <row r="27" spans="2:5" ht="7.5" customHeight="1" x14ac:dyDescent="0.2">
      <c r="B27" s="59"/>
      <c r="C27" s="88"/>
      <c r="D27" s="88"/>
      <c r="E27" s="89"/>
    </row>
    <row r="28" spans="2:5" x14ac:dyDescent="0.2">
      <c r="B28" s="58" t="s">
        <v>19</v>
      </c>
      <c r="C28" s="56"/>
      <c r="D28" s="56"/>
      <c r="E28" s="57"/>
    </row>
    <row r="29" spans="2:5" ht="15" customHeight="1" x14ac:dyDescent="0.2">
      <c r="B29" s="58"/>
      <c r="C29" s="88" t="s">
        <v>75</v>
      </c>
      <c r="D29" s="90"/>
      <c r="E29" s="91"/>
    </row>
    <row r="30" spans="2:5" ht="13.5" thickBot="1" x14ac:dyDescent="0.25">
      <c r="B30" s="62"/>
      <c r="C30" s="63"/>
      <c r="D30" s="63"/>
      <c r="E30" s="64"/>
    </row>
    <row r="31" spans="2:5" ht="13.5" thickBot="1" x14ac:dyDescent="0.25"/>
    <row r="32" spans="2:5" x14ac:dyDescent="0.2">
      <c r="B32" s="52" t="s">
        <v>20</v>
      </c>
      <c r="C32" s="53"/>
      <c r="D32" s="53"/>
      <c r="E32" s="54"/>
    </row>
    <row r="33" spans="2:5" ht="6.75" customHeight="1" x14ac:dyDescent="0.2">
      <c r="B33" s="55"/>
      <c r="C33" s="56"/>
      <c r="D33" s="56"/>
      <c r="E33" s="57"/>
    </row>
    <row r="34" spans="2:5" x14ac:dyDescent="0.2">
      <c r="B34" s="58" t="s">
        <v>16</v>
      </c>
      <c r="C34" s="56"/>
      <c r="D34" s="56"/>
      <c r="E34" s="57"/>
    </row>
    <row r="35" spans="2:5" ht="67.5" customHeight="1" x14ac:dyDescent="0.2">
      <c r="B35" s="58"/>
      <c r="C35" s="86" t="s">
        <v>71</v>
      </c>
      <c r="D35" s="86"/>
      <c r="E35" s="87"/>
    </row>
    <row r="36" spans="2:5" x14ac:dyDescent="0.2">
      <c r="B36" s="58" t="s">
        <v>17</v>
      </c>
      <c r="C36" s="56"/>
      <c r="D36" s="56"/>
      <c r="E36" s="57"/>
    </row>
    <row r="37" spans="2:5" ht="24" customHeight="1" x14ac:dyDescent="0.2">
      <c r="B37" s="59"/>
      <c r="C37" s="88" t="s">
        <v>83</v>
      </c>
      <c r="D37" s="88"/>
      <c r="E37" s="89"/>
    </row>
    <row r="38" spans="2:5" ht="41.25" customHeight="1" x14ac:dyDescent="0.2">
      <c r="B38" s="59"/>
      <c r="C38" s="88"/>
      <c r="D38" s="88"/>
      <c r="E38" s="89"/>
    </row>
    <row r="39" spans="2:5" x14ac:dyDescent="0.2">
      <c r="B39" s="58" t="s">
        <v>18</v>
      </c>
      <c r="C39" s="56"/>
      <c r="D39" s="56"/>
      <c r="E39" s="57"/>
    </row>
    <row r="40" spans="2:5" ht="4.5" customHeight="1" x14ac:dyDescent="0.2">
      <c r="B40" s="59"/>
      <c r="C40" s="88"/>
      <c r="D40" s="88"/>
      <c r="E40" s="89"/>
    </row>
    <row r="41" spans="2:5" x14ac:dyDescent="0.2">
      <c r="B41" s="58" t="s">
        <v>93</v>
      </c>
      <c r="C41" s="60"/>
      <c r="D41" s="60"/>
      <c r="E41" s="61"/>
    </row>
    <row r="42" spans="2:5" ht="7.5" customHeight="1" x14ac:dyDescent="0.2">
      <c r="B42" s="59"/>
      <c r="C42" s="88"/>
      <c r="D42" s="88"/>
      <c r="E42" s="89"/>
    </row>
    <row r="43" spans="2:5" x14ac:dyDescent="0.2">
      <c r="B43" s="58" t="s">
        <v>19</v>
      </c>
      <c r="C43" s="56"/>
      <c r="D43" s="56"/>
      <c r="E43" s="57"/>
    </row>
    <row r="44" spans="2:5" x14ac:dyDescent="0.2">
      <c r="B44" s="58"/>
      <c r="C44" s="88" t="s">
        <v>75</v>
      </c>
      <c r="D44" s="90"/>
      <c r="E44" s="91"/>
    </row>
    <row r="45" spans="2:5" ht="2.25" customHeight="1" thickBot="1" x14ac:dyDescent="0.25">
      <c r="B45" s="62"/>
      <c r="C45" s="63"/>
      <c r="D45" s="63"/>
      <c r="E45" s="64"/>
    </row>
    <row r="47" spans="2:5" ht="13.5" thickBot="1" x14ac:dyDescent="0.25"/>
    <row r="48" spans="2:5" x14ac:dyDescent="0.2">
      <c r="B48" s="52" t="s">
        <v>76</v>
      </c>
      <c r="C48" s="53"/>
      <c r="D48" s="53"/>
      <c r="E48" s="54"/>
    </row>
    <row r="49" spans="2:5" x14ac:dyDescent="0.2">
      <c r="B49" s="55"/>
      <c r="C49" s="56"/>
      <c r="D49" s="56"/>
      <c r="E49" s="57"/>
    </row>
    <row r="50" spans="2:5" x14ac:dyDescent="0.2">
      <c r="B50" s="58" t="s">
        <v>16</v>
      </c>
      <c r="C50" s="56"/>
      <c r="D50" s="56"/>
      <c r="E50" s="57"/>
    </row>
    <row r="51" spans="2:5" ht="63.75" customHeight="1" x14ac:dyDescent="0.2">
      <c r="B51" s="58"/>
      <c r="C51" s="86" t="s">
        <v>73</v>
      </c>
      <c r="D51" s="86"/>
      <c r="E51" s="87"/>
    </row>
    <row r="52" spans="2:5" x14ac:dyDescent="0.2">
      <c r="B52" s="58" t="s">
        <v>17</v>
      </c>
      <c r="C52" s="56"/>
      <c r="D52" s="56"/>
      <c r="E52" s="57"/>
    </row>
    <row r="53" spans="2:5" x14ac:dyDescent="0.2">
      <c r="B53" s="59"/>
      <c r="C53" s="88" t="s">
        <v>83</v>
      </c>
      <c r="D53" s="88"/>
      <c r="E53" s="89"/>
    </row>
    <row r="54" spans="2:5" ht="51.75" customHeight="1" x14ac:dyDescent="0.2">
      <c r="B54" s="59"/>
      <c r="C54" s="88"/>
      <c r="D54" s="88"/>
      <c r="E54" s="89"/>
    </row>
    <row r="55" spans="2:5" x14ac:dyDescent="0.2">
      <c r="B55" s="58" t="s">
        <v>18</v>
      </c>
      <c r="C55" s="56"/>
      <c r="D55" s="56"/>
      <c r="E55" s="57"/>
    </row>
    <row r="56" spans="2:5" x14ac:dyDescent="0.2">
      <c r="B56" s="59"/>
      <c r="C56" s="88"/>
      <c r="D56" s="88"/>
      <c r="E56" s="89"/>
    </row>
    <row r="57" spans="2:5" x14ac:dyDescent="0.2">
      <c r="B57" s="58" t="s">
        <v>93</v>
      </c>
      <c r="C57" s="60"/>
      <c r="D57" s="60"/>
      <c r="E57" s="61"/>
    </row>
    <row r="58" spans="2:5" x14ac:dyDescent="0.2">
      <c r="B58" s="59"/>
      <c r="C58" s="88"/>
      <c r="D58" s="88"/>
      <c r="E58" s="89"/>
    </row>
    <row r="59" spans="2:5" x14ac:dyDescent="0.2">
      <c r="B59" s="58" t="s">
        <v>19</v>
      </c>
      <c r="C59" s="56"/>
      <c r="D59" s="56"/>
      <c r="E59" s="57"/>
    </row>
    <row r="60" spans="2:5" x14ac:dyDescent="0.2">
      <c r="B60" s="58"/>
      <c r="C60" s="88" t="s">
        <v>75</v>
      </c>
      <c r="D60" s="90"/>
      <c r="E60" s="91"/>
    </row>
    <row r="61" spans="2:5" ht="13.5" thickBot="1" x14ac:dyDescent="0.25">
      <c r="B61" s="62"/>
      <c r="C61" s="63"/>
      <c r="D61" s="63"/>
      <c r="E61" s="64"/>
    </row>
    <row r="62" spans="2:5" ht="20.25" customHeight="1" x14ac:dyDescent="0.2"/>
    <row r="63" spans="2:5" ht="13.5" thickBot="1" x14ac:dyDescent="0.25"/>
    <row r="64" spans="2:5" x14ac:dyDescent="0.2">
      <c r="B64" s="52" t="s">
        <v>72</v>
      </c>
      <c r="C64" s="53"/>
      <c r="D64" s="53"/>
      <c r="E64" s="54"/>
    </row>
    <row r="65" spans="2:5" ht="3.75" customHeight="1" x14ac:dyDescent="0.2">
      <c r="B65" s="55"/>
      <c r="C65" s="56"/>
      <c r="D65" s="56"/>
      <c r="E65" s="57"/>
    </row>
    <row r="66" spans="2:5" x14ac:dyDescent="0.2">
      <c r="B66" s="58" t="s">
        <v>16</v>
      </c>
      <c r="C66" s="56"/>
      <c r="D66" s="56"/>
      <c r="E66" s="57"/>
    </row>
    <row r="67" spans="2:5" ht="137.25" customHeight="1" x14ac:dyDescent="0.2">
      <c r="B67" s="58"/>
      <c r="C67" s="92" t="s">
        <v>74</v>
      </c>
      <c r="D67" s="92"/>
      <c r="E67" s="93"/>
    </row>
    <row r="68" spans="2:5" x14ac:dyDescent="0.2">
      <c r="B68" s="58" t="s">
        <v>17</v>
      </c>
      <c r="C68" s="56"/>
      <c r="D68" s="56"/>
      <c r="E68" s="57"/>
    </row>
    <row r="69" spans="2:5" x14ac:dyDescent="0.2">
      <c r="B69" s="59"/>
      <c r="C69" s="88" t="s">
        <v>83</v>
      </c>
      <c r="D69" s="88"/>
      <c r="E69" s="89"/>
    </row>
    <row r="70" spans="2:5" ht="52.5" customHeight="1" x14ac:dyDescent="0.2">
      <c r="B70" s="59"/>
      <c r="C70" s="88"/>
      <c r="D70" s="88"/>
      <c r="E70" s="89"/>
    </row>
    <row r="71" spans="2:5" x14ac:dyDescent="0.2">
      <c r="B71" s="58" t="s">
        <v>18</v>
      </c>
      <c r="C71" s="56"/>
      <c r="D71" s="56"/>
      <c r="E71" s="57"/>
    </row>
    <row r="72" spans="2:5" x14ac:dyDescent="0.2">
      <c r="B72" s="59"/>
      <c r="C72" s="88"/>
      <c r="D72" s="88"/>
      <c r="E72" s="89"/>
    </row>
    <row r="73" spans="2:5" x14ac:dyDescent="0.2">
      <c r="B73" s="58" t="s">
        <v>93</v>
      </c>
      <c r="C73" s="60"/>
      <c r="D73" s="60"/>
      <c r="E73" s="61"/>
    </row>
    <row r="74" spans="2:5" x14ac:dyDescent="0.2">
      <c r="B74" s="59"/>
      <c r="C74" s="88"/>
      <c r="D74" s="88"/>
      <c r="E74" s="89"/>
    </row>
    <row r="75" spans="2:5" x14ac:dyDescent="0.2">
      <c r="B75" s="58" t="s">
        <v>19</v>
      </c>
      <c r="C75" s="56"/>
      <c r="D75" s="56"/>
      <c r="E75" s="57"/>
    </row>
    <row r="76" spans="2:5" x14ac:dyDescent="0.2">
      <c r="B76" s="58"/>
      <c r="C76" s="88" t="s">
        <v>75</v>
      </c>
      <c r="D76" s="90"/>
      <c r="E76" s="91"/>
    </row>
    <row r="77" spans="2:5" ht="13.5" thickBot="1" x14ac:dyDescent="0.25">
      <c r="B77" s="62"/>
      <c r="C77" s="63"/>
      <c r="D77" s="63"/>
      <c r="E77" s="64"/>
    </row>
    <row r="78" spans="2:5" ht="4.5" customHeight="1" x14ac:dyDescent="0.2"/>
    <row r="79" spans="2:5" ht="7.5" customHeight="1" x14ac:dyDescent="0.2"/>
    <row r="80" spans="2:5" ht="12.75" customHeight="1" thickBot="1" x14ac:dyDescent="0.25"/>
    <row r="81" spans="2:5" x14ac:dyDescent="0.2">
      <c r="B81" s="52" t="s">
        <v>82</v>
      </c>
      <c r="C81" s="53"/>
      <c r="D81" s="53"/>
      <c r="E81" s="54"/>
    </row>
    <row r="82" spans="2:5" ht="3.75" customHeight="1" x14ac:dyDescent="0.2">
      <c r="B82" s="55"/>
      <c r="C82" s="56"/>
      <c r="D82" s="56"/>
      <c r="E82" s="57"/>
    </row>
    <row r="83" spans="2:5" x14ac:dyDescent="0.2">
      <c r="B83" s="58" t="s">
        <v>16</v>
      </c>
      <c r="C83" s="56"/>
      <c r="D83" s="56"/>
      <c r="E83" s="57"/>
    </row>
    <row r="84" spans="2:5" ht="83.25" customHeight="1" x14ac:dyDescent="0.2">
      <c r="B84" s="58"/>
      <c r="C84" s="86" t="s">
        <v>85</v>
      </c>
      <c r="D84" s="86"/>
      <c r="E84" s="87"/>
    </row>
    <row r="85" spans="2:5" x14ac:dyDescent="0.2">
      <c r="B85" s="58" t="s">
        <v>17</v>
      </c>
      <c r="C85" s="56"/>
      <c r="D85" s="56"/>
      <c r="E85" s="57"/>
    </row>
    <row r="86" spans="2:5" x14ac:dyDescent="0.2">
      <c r="B86" s="59"/>
      <c r="C86" s="88" t="s">
        <v>83</v>
      </c>
      <c r="D86" s="88"/>
      <c r="E86" s="89"/>
    </row>
    <row r="87" spans="2:5" ht="52.5" customHeight="1" x14ac:dyDescent="0.2">
      <c r="B87" s="59"/>
      <c r="C87" s="88"/>
      <c r="D87" s="88"/>
      <c r="E87" s="89"/>
    </row>
    <row r="88" spans="2:5" x14ac:dyDescent="0.2">
      <c r="B88" s="58" t="s">
        <v>18</v>
      </c>
      <c r="C88" s="56"/>
      <c r="D88" s="56"/>
      <c r="E88" s="57"/>
    </row>
    <row r="89" spans="2:5" x14ac:dyDescent="0.2">
      <c r="B89" s="59"/>
      <c r="C89" s="88"/>
      <c r="D89" s="88"/>
      <c r="E89" s="89"/>
    </row>
    <row r="90" spans="2:5" x14ac:dyDescent="0.2">
      <c r="B90" s="58" t="s">
        <v>93</v>
      </c>
      <c r="C90" s="60"/>
      <c r="D90" s="60"/>
      <c r="E90" s="61"/>
    </row>
    <row r="91" spans="2:5" x14ac:dyDescent="0.2">
      <c r="B91" s="59"/>
      <c r="C91" s="88"/>
      <c r="D91" s="88"/>
      <c r="E91" s="89"/>
    </row>
    <row r="92" spans="2:5" x14ac:dyDescent="0.2">
      <c r="B92" s="58" t="s">
        <v>19</v>
      </c>
      <c r="C92" s="56"/>
      <c r="D92" s="56"/>
      <c r="E92" s="57"/>
    </row>
    <row r="93" spans="2:5" x14ac:dyDescent="0.2">
      <c r="B93" s="58"/>
      <c r="C93" s="88" t="s">
        <v>75</v>
      </c>
      <c r="D93" s="90"/>
      <c r="E93" s="91"/>
    </row>
    <row r="94" spans="2:5" ht="13.5" thickBot="1" x14ac:dyDescent="0.25">
      <c r="B94" s="62"/>
      <c r="C94" s="63"/>
      <c r="D94" s="63"/>
      <c r="E94" s="64"/>
    </row>
    <row r="95" spans="2:5" ht="4.5" customHeight="1" x14ac:dyDescent="0.2"/>
    <row r="97" spans="2:5" ht="13.5" thickBot="1" x14ac:dyDescent="0.25"/>
    <row r="98" spans="2:5" x14ac:dyDescent="0.2">
      <c r="B98" s="52" t="s">
        <v>88</v>
      </c>
      <c r="C98" s="53"/>
      <c r="D98" s="53"/>
      <c r="E98" s="54"/>
    </row>
    <row r="99" spans="2:5" ht="3.75" customHeight="1" x14ac:dyDescent="0.2">
      <c r="B99" s="55"/>
      <c r="C99" s="56"/>
      <c r="D99" s="56"/>
      <c r="E99" s="57"/>
    </row>
    <row r="100" spans="2:5" x14ac:dyDescent="0.2">
      <c r="B100" s="58" t="s">
        <v>16</v>
      </c>
      <c r="C100" s="56"/>
      <c r="D100" s="56"/>
      <c r="E100" s="57"/>
    </row>
    <row r="101" spans="2:5" ht="83.25" customHeight="1" x14ac:dyDescent="0.2">
      <c r="B101" s="58"/>
      <c r="C101" s="86" t="s">
        <v>89</v>
      </c>
      <c r="D101" s="86"/>
      <c r="E101" s="87"/>
    </row>
    <row r="102" spans="2:5" x14ac:dyDescent="0.2">
      <c r="B102" s="58" t="s">
        <v>17</v>
      </c>
      <c r="C102" s="56"/>
      <c r="D102" s="56"/>
      <c r="E102" s="57"/>
    </row>
    <row r="103" spans="2:5" x14ac:dyDescent="0.2">
      <c r="B103" s="59"/>
      <c r="C103" s="88" t="s">
        <v>83</v>
      </c>
      <c r="D103" s="88"/>
      <c r="E103" s="89"/>
    </row>
    <row r="104" spans="2:5" ht="52.5" customHeight="1" x14ac:dyDescent="0.2">
      <c r="B104" s="59"/>
      <c r="C104" s="88"/>
      <c r="D104" s="88"/>
      <c r="E104" s="89"/>
    </row>
    <row r="105" spans="2:5" x14ac:dyDescent="0.2">
      <c r="B105" s="58" t="s">
        <v>18</v>
      </c>
      <c r="C105" s="56"/>
      <c r="D105" s="56"/>
      <c r="E105" s="57"/>
    </row>
    <row r="106" spans="2:5" x14ac:dyDescent="0.2">
      <c r="B106" s="59"/>
      <c r="C106" s="88"/>
      <c r="D106" s="88"/>
      <c r="E106" s="89"/>
    </row>
    <row r="107" spans="2:5" x14ac:dyDescent="0.2">
      <c r="B107" s="58" t="s">
        <v>93</v>
      </c>
      <c r="C107" s="60"/>
      <c r="D107" s="60"/>
      <c r="E107" s="61"/>
    </row>
    <row r="108" spans="2:5" x14ac:dyDescent="0.2">
      <c r="B108" s="59"/>
      <c r="C108" s="88"/>
      <c r="D108" s="88"/>
      <c r="E108" s="89"/>
    </row>
    <row r="109" spans="2:5" x14ac:dyDescent="0.2">
      <c r="B109" s="58" t="s">
        <v>19</v>
      </c>
      <c r="C109" s="56"/>
      <c r="D109" s="56"/>
      <c r="E109" s="57"/>
    </row>
    <row r="110" spans="2:5" x14ac:dyDescent="0.2">
      <c r="B110" s="58"/>
      <c r="C110" s="88" t="s">
        <v>75</v>
      </c>
      <c r="D110" s="90"/>
      <c r="E110" s="91"/>
    </row>
    <row r="111" spans="2:5" ht="13.5" thickBot="1" x14ac:dyDescent="0.25">
      <c r="B111" s="62"/>
      <c r="C111" s="63"/>
      <c r="D111" s="63"/>
      <c r="E111" s="64"/>
    </row>
  </sheetData>
  <mergeCells count="37">
    <mergeCell ref="C25:E25"/>
    <mergeCell ref="C27:E27"/>
    <mergeCell ref="C29:E29"/>
    <mergeCell ref="C20:E20"/>
    <mergeCell ref="C22:E23"/>
    <mergeCell ref="A6:B6"/>
    <mergeCell ref="A7:B7"/>
    <mergeCell ref="B2:H2"/>
    <mergeCell ref="A4:B4"/>
    <mergeCell ref="C4:E4"/>
    <mergeCell ref="A5:B5"/>
    <mergeCell ref="C5:E5"/>
    <mergeCell ref="C35:E35"/>
    <mergeCell ref="C37:E38"/>
    <mergeCell ref="C40:E40"/>
    <mergeCell ref="C42:E42"/>
    <mergeCell ref="C44:E44"/>
    <mergeCell ref="C51:E51"/>
    <mergeCell ref="C53:E54"/>
    <mergeCell ref="C56:E56"/>
    <mergeCell ref="C58:E58"/>
    <mergeCell ref="C60:E60"/>
    <mergeCell ref="C67:E67"/>
    <mergeCell ref="C69:E70"/>
    <mergeCell ref="C72:E72"/>
    <mergeCell ref="C74:E74"/>
    <mergeCell ref="C76:E76"/>
    <mergeCell ref="C84:E84"/>
    <mergeCell ref="C86:E87"/>
    <mergeCell ref="C89:E89"/>
    <mergeCell ref="C91:E91"/>
    <mergeCell ref="C93:E93"/>
    <mergeCell ref="C101:E101"/>
    <mergeCell ref="C103:E104"/>
    <mergeCell ref="C106:E106"/>
    <mergeCell ref="C108:E108"/>
    <mergeCell ref="C110:E110"/>
  </mergeCells>
  <pageMargins left="0.70866141732283472" right="0.70866141732283472" top="0.74803149606299213" bottom="0.74803149606299213" header="0.51181102362204722" footer="0.51181102362204722"/>
  <pageSetup paperSize="5" firstPageNumber="0" fitToHeight="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J18"/>
  <sheetViews>
    <sheetView zoomScale="110" zoomScaleNormal="110" workbookViewId="0">
      <selection activeCell="K19" sqref="A1:K19"/>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97" t="s">
        <v>21</v>
      </c>
      <c r="B1" s="97"/>
      <c r="C1" s="97"/>
      <c r="D1" s="97"/>
      <c r="E1" s="97"/>
      <c r="F1" s="97"/>
      <c r="G1" s="97"/>
      <c r="H1" s="97"/>
      <c r="I1" s="97"/>
      <c r="J1" s="3" t="s">
        <v>22</v>
      </c>
      <c r="K1" s="65" t="s">
        <v>81</v>
      </c>
    </row>
    <row r="2" spans="1:11" ht="18.75" customHeight="1" thickBot="1" x14ac:dyDescent="0.25">
      <c r="A2" s="4"/>
      <c r="B2" s="4"/>
      <c r="C2" s="4"/>
      <c r="D2" s="5"/>
      <c r="E2" s="5"/>
      <c r="F2" s="5"/>
      <c r="G2" s="5"/>
      <c r="H2" s="5"/>
      <c r="I2" s="5"/>
      <c r="J2" s="5"/>
      <c r="K2" s="5"/>
    </row>
    <row r="3" spans="1:11" ht="18.75" customHeight="1" thickBot="1" x14ac:dyDescent="0.25">
      <c r="A3" s="98" t="s">
        <v>56</v>
      </c>
      <c r="B3" s="98"/>
      <c r="C3" s="98"/>
      <c r="D3" s="99" t="s">
        <v>77</v>
      </c>
      <c r="E3" s="99"/>
      <c r="F3" s="99"/>
      <c r="G3" s="99"/>
      <c r="H3" s="99"/>
      <c r="I3" s="99"/>
      <c r="J3" s="99"/>
      <c r="K3" s="99"/>
    </row>
    <row r="4" spans="1:11" ht="18.75" customHeight="1" thickBot="1" x14ac:dyDescent="0.25">
      <c r="A4" s="100" t="s">
        <v>57</v>
      </c>
      <c r="B4" s="100"/>
      <c r="C4" s="100"/>
      <c r="D4" s="99" t="s">
        <v>78</v>
      </c>
      <c r="E4" s="99"/>
      <c r="F4" s="99"/>
      <c r="G4" s="99"/>
      <c r="H4" s="99"/>
      <c r="I4" s="99"/>
      <c r="J4" s="99"/>
      <c r="K4" s="99"/>
    </row>
    <row r="5" spans="1:11" ht="18.75" customHeight="1" thickBot="1" x14ac:dyDescent="0.25">
      <c r="A5" s="100" t="s">
        <v>35</v>
      </c>
      <c r="B5" s="100"/>
      <c r="C5" s="100"/>
      <c r="D5" s="99" t="s">
        <v>79</v>
      </c>
      <c r="E5" s="99"/>
      <c r="F5" s="99"/>
      <c r="G5" s="99"/>
      <c r="H5" s="99"/>
      <c r="I5" s="99"/>
      <c r="J5" s="99"/>
      <c r="K5" s="99"/>
    </row>
    <row r="6" spans="1:11" ht="16.5" customHeight="1" thickBot="1" x14ac:dyDescent="0.25">
      <c r="A6" s="98" t="s">
        <v>58</v>
      </c>
      <c r="B6" s="98"/>
      <c r="C6" s="98"/>
      <c r="D6" s="99" t="s">
        <v>80</v>
      </c>
      <c r="E6" s="99"/>
      <c r="F6" s="99"/>
      <c r="G6" s="99"/>
      <c r="H6" s="99"/>
      <c r="I6" s="99"/>
      <c r="J6" s="99"/>
      <c r="K6" s="99"/>
    </row>
    <row r="7" spans="1:11" ht="16.5" customHeight="1" x14ac:dyDescent="0.2">
      <c r="A7" s="100" t="s">
        <v>23</v>
      </c>
      <c r="B7" s="100"/>
      <c r="C7" s="100"/>
      <c r="D7" s="99" t="s">
        <v>59</v>
      </c>
      <c r="E7" s="99"/>
      <c r="F7" s="99"/>
      <c r="G7" s="99"/>
      <c r="H7" s="99"/>
      <c r="I7" s="99"/>
      <c r="J7" s="99"/>
      <c r="K7" s="99"/>
    </row>
    <row r="8" spans="1:11" ht="40.5" customHeight="1" x14ac:dyDescent="0.2">
      <c r="A8" s="101" t="s">
        <v>24</v>
      </c>
      <c r="B8" s="101"/>
      <c r="C8" s="101"/>
      <c r="D8" s="102" t="s">
        <v>84</v>
      </c>
      <c r="E8" s="102"/>
      <c r="F8" s="102"/>
      <c r="G8" s="102"/>
      <c r="H8" s="102"/>
      <c r="I8" s="102"/>
      <c r="J8" s="102"/>
      <c r="K8" s="102"/>
    </row>
    <row r="9" spans="1:11" ht="15.75" x14ac:dyDescent="0.2">
      <c r="A9" s="6"/>
      <c r="B9" s="6"/>
      <c r="C9" s="6"/>
      <c r="D9" s="7"/>
      <c r="E9" s="7"/>
      <c r="F9" s="7"/>
      <c r="G9" s="7"/>
      <c r="H9" s="7"/>
      <c r="I9" s="7"/>
      <c r="J9" s="7"/>
      <c r="K9" s="7"/>
    </row>
    <row r="10" spans="1:11" ht="18.75" customHeight="1" x14ac:dyDescent="0.2">
      <c r="A10" s="103" t="s">
        <v>25</v>
      </c>
      <c r="B10" s="104" t="s">
        <v>26</v>
      </c>
      <c r="C10" s="104" t="s">
        <v>27</v>
      </c>
      <c r="D10" s="104"/>
      <c r="E10" s="104"/>
      <c r="F10" s="104"/>
      <c r="G10" s="104"/>
      <c r="H10" s="104" t="s">
        <v>28</v>
      </c>
      <c r="I10" s="104" t="s">
        <v>29</v>
      </c>
      <c r="J10" s="104" t="s">
        <v>30</v>
      </c>
      <c r="K10" s="105" t="s">
        <v>31</v>
      </c>
    </row>
    <row r="11" spans="1:11" ht="24" customHeight="1" thickBot="1" x14ac:dyDescent="0.25">
      <c r="A11" s="103"/>
      <c r="B11" s="104"/>
      <c r="C11" s="104"/>
      <c r="D11" s="104"/>
      <c r="E11" s="104"/>
      <c r="F11" s="104"/>
      <c r="G11" s="104"/>
      <c r="H11" s="104"/>
      <c r="I11" s="104"/>
      <c r="J11" s="104"/>
      <c r="K11" s="105"/>
    </row>
    <row r="12" spans="1:11" ht="49.5" customHeight="1" thickBot="1" x14ac:dyDescent="0.25">
      <c r="A12" s="8">
        <v>1</v>
      </c>
      <c r="B12" s="9" t="s">
        <v>61</v>
      </c>
      <c r="C12" s="108" t="s">
        <v>66</v>
      </c>
      <c r="D12" s="109"/>
      <c r="E12" s="109"/>
      <c r="F12" s="109"/>
      <c r="G12" s="110"/>
      <c r="H12" s="66" t="s">
        <v>32</v>
      </c>
      <c r="I12" s="67" t="s">
        <v>14</v>
      </c>
      <c r="J12" s="68">
        <v>81255</v>
      </c>
      <c r="K12" s="10">
        <v>15</v>
      </c>
    </row>
    <row r="13" spans="1:11" ht="65.25" customHeight="1" thickBot="1" x14ac:dyDescent="0.25">
      <c r="A13" s="8">
        <v>2</v>
      </c>
      <c r="B13" s="9" t="s">
        <v>62</v>
      </c>
      <c r="C13" s="108" t="s">
        <v>67</v>
      </c>
      <c r="D13" s="109"/>
      <c r="E13" s="109"/>
      <c r="F13" s="109"/>
      <c r="G13" s="110"/>
      <c r="H13" s="66" t="s">
        <v>32</v>
      </c>
      <c r="I13" s="67" t="s">
        <v>14</v>
      </c>
      <c r="J13" s="68">
        <v>9088</v>
      </c>
      <c r="K13" s="10">
        <v>15</v>
      </c>
    </row>
    <row r="14" spans="1:11" ht="65.25" customHeight="1" thickBot="1" x14ac:dyDescent="0.25">
      <c r="A14" s="8">
        <v>3</v>
      </c>
      <c r="B14" s="9" t="s">
        <v>63</v>
      </c>
      <c r="C14" s="108" t="s">
        <v>68</v>
      </c>
      <c r="D14" s="109"/>
      <c r="E14" s="109"/>
      <c r="F14" s="109"/>
      <c r="G14" s="110"/>
      <c r="H14" s="66" t="s">
        <v>32</v>
      </c>
      <c r="I14" s="67" t="s">
        <v>14</v>
      </c>
      <c r="J14" s="68">
        <v>52946</v>
      </c>
      <c r="K14" s="10">
        <v>5</v>
      </c>
    </row>
    <row r="15" spans="1:11" ht="45" customHeight="1" thickBot="1" x14ac:dyDescent="0.25">
      <c r="A15" s="8">
        <v>4</v>
      </c>
      <c r="B15" s="9" t="s">
        <v>64</v>
      </c>
      <c r="C15" s="108" t="s">
        <v>69</v>
      </c>
      <c r="D15" s="109"/>
      <c r="E15" s="109"/>
      <c r="F15" s="109"/>
      <c r="G15" s="110"/>
      <c r="H15" s="66" t="s">
        <v>32</v>
      </c>
      <c r="I15" s="67" t="s">
        <v>14</v>
      </c>
      <c r="J15" s="68">
        <v>22496</v>
      </c>
      <c r="K15" s="10">
        <v>10</v>
      </c>
    </row>
    <row r="16" spans="1:11" ht="45" customHeight="1" x14ac:dyDescent="0.2">
      <c r="A16" s="8">
        <v>5</v>
      </c>
      <c r="B16" s="9" t="s">
        <v>64</v>
      </c>
      <c r="C16" s="108" t="s">
        <v>69</v>
      </c>
      <c r="D16" s="109"/>
      <c r="E16" s="109"/>
      <c r="F16" s="109"/>
      <c r="G16" s="110"/>
      <c r="H16" s="66" t="s">
        <v>32</v>
      </c>
      <c r="I16" s="67" t="s">
        <v>14</v>
      </c>
      <c r="J16" s="68">
        <v>82960</v>
      </c>
      <c r="K16" s="10">
        <v>1</v>
      </c>
    </row>
    <row r="17" spans="1:11" ht="37.5" customHeight="1" thickBot="1" x14ac:dyDescent="0.25">
      <c r="A17" s="11">
        <v>6</v>
      </c>
      <c r="B17" s="12" t="s">
        <v>86</v>
      </c>
      <c r="C17" s="111" t="s">
        <v>87</v>
      </c>
      <c r="D17" s="112"/>
      <c r="E17" s="112"/>
      <c r="F17" s="112"/>
      <c r="G17" s="113"/>
      <c r="H17" s="13" t="s">
        <v>32</v>
      </c>
      <c r="I17" s="14" t="s">
        <v>14</v>
      </c>
      <c r="J17" s="85">
        <v>99999</v>
      </c>
      <c r="K17" s="15">
        <v>5</v>
      </c>
    </row>
    <row r="18" spans="1:11" ht="31.5" customHeight="1" thickBot="1" x14ac:dyDescent="0.25">
      <c r="A18" s="106" t="s">
        <v>91</v>
      </c>
      <c r="B18" s="106"/>
      <c r="C18" s="106"/>
      <c r="D18" s="106"/>
      <c r="E18" s="106"/>
      <c r="F18" s="106"/>
      <c r="G18" s="106"/>
      <c r="H18" s="106"/>
      <c r="I18" s="106"/>
      <c r="J18" s="107">
        <v>2427790</v>
      </c>
      <c r="K18" s="107"/>
    </row>
  </sheetData>
  <mergeCells count="28">
    <mergeCell ref="A18:I18"/>
    <mergeCell ref="J18:K18"/>
    <mergeCell ref="C12:G12"/>
    <mergeCell ref="C17:G17"/>
    <mergeCell ref="C13:G13"/>
    <mergeCell ref="C15:G15"/>
    <mergeCell ref="C14:G14"/>
    <mergeCell ref="C16:G16"/>
    <mergeCell ref="A8:C8"/>
    <mergeCell ref="D8:K8"/>
    <mergeCell ref="A10:A11"/>
    <mergeCell ref="B10:B11"/>
    <mergeCell ref="C10:G11"/>
    <mergeCell ref="H10:H11"/>
    <mergeCell ref="I10:I11"/>
    <mergeCell ref="J10:J11"/>
    <mergeCell ref="K10:K11"/>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5" scale="85"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0"/>
  <sheetViews>
    <sheetView topLeftCell="A13" zoomScale="130" zoomScaleNormal="130" workbookViewId="0">
      <selection activeCell="R15" sqref="R15"/>
    </sheetView>
  </sheetViews>
  <sheetFormatPr baseColWidth="10" defaultColWidth="11" defaultRowHeight="12.75" x14ac:dyDescent="0.2"/>
  <cols>
    <col min="1" max="4" width="4.42578125" customWidth="1"/>
    <col min="5" max="5" width="4.140625" customWidth="1"/>
    <col min="6" max="6" width="5.42578125" customWidth="1"/>
    <col min="7" max="7" width="4.42578125" style="16" customWidth="1"/>
    <col min="8" max="14" width="4.42578125" customWidth="1"/>
    <col min="15" max="15" width="14.85546875" customWidth="1"/>
    <col min="16" max="16" width="14" customWidth="1"/>
    <col min="17" max="17" width="14.7109375" customWidth="1"/>
  </cols>
  <sheetData>
    <row r="1" spans="1:17" ht="15.75" customHeight="1" x14ac:dyDescent="0.25">
      <c r="A1" s="114" t="s">
        <v>3</v>
      </c>
      <c r="B1" s="114"/>
      <c r="C1" s="114"/>
      <c r="D1" s="115">
        <f>'Necesidades Trimestrales'!C6</f>
        <v>2020</v>
      </c>
      <c r="E1" s="115"/>
      <c r="F1" s="17"/>
      <c r="G1" s="17"/>
      <c r="H1" s="18"/>
      <c r="I1" s="18"/>
      <c r="J1" s="18"/>
      <c r="K1" s="18"/>
      <c r="L1" s="18"/>
      <c r="M1" s="18"/>
      <c r="N1" s="18"/>
      <c r="P1" s="116" t="s">
        <v>33</v>
      </c>
      <c r="Q1" s="116"/>
    </row>
    <row r="2" spans="1:17" ht="15.75" customHeight="1" x14ac:dyDescent="0.2">
      <c r="H2" s="18"/>
      <c r="I2" s="18"/>
      <c r="J2" s="18"/>
      <c r="K2" s="18"/>
      <c r="L2" s="18"/>
      <c r="M2" s="18"/>
      <c r="N2" s="18"/>
      <c r="P2" s="116"/>
      <c r="Q2" s="116"/>
    </row>
    <row r="4" spans="1:17" s="19" customFormat="1" ht="18" customHeight="1" thickBot="1" x14ac:dyDescent="0.25">
      <c r="A4" s="117" t="s">
        <v>34</v>
      </c>
      <c r="B4" s="117"/>
      <c r="C4" s="117"/>
      <c r="D4" s="117"/>
      <c r="E4" s="117"/>
      <c r="F4" s="117"/>
      <c r="G4" s="118" t="str">
        <f>' NotaPedido'!D3</f>
        <v>70 - MINISTERIO DE CIENCIA E INNOVACION TECNOLOGICA</v>
      </c>
      <c r="H4" s="118"/>
      <c r="I4" s="118"/>
      <c r="J4" s="118"/>
      <c r="K4" s="118"/>
      <c r="L4" s="118"/>
      <c r="M4" s="118"/>
      <c r="N4" s="118"/>
      <c r="O4" s="118"/>
      <c r="P4" s="118"/>
      <c r="Q4" s="118"/>
    </row>
    <row r="5" spans="1:17" s="19" customFormat="1" ht="18" customHeight="1" thickBot="1" x14ac:dyDescent="0.25">
      <c r="A5" s="119" t="s">
        <v>57</v>
      </c>
      <c r="B5" s="120"/>
      <c r="C5" s="120"/>
      <c r="D5" s="120"/>
      <c r="E5" s="120"/>
      <c r="F5" s="121"/>
      <c r="G5" s="118" t="str">
        <f>' NotaPedido'!D4</f>
        <v>20 - MINISTERIO DE CIENCIA E INNOVACION TECNOLOGICA</v>
      </c>
      <c r="H5" s="118"/>
      <c r="I5" s="118"/>
      <c r="J5" s="118"/>
      <c r="K5" s="118"/>
      <c r="L5" s="118"/>
      <c r="M5" s="118"/>
      <c r="N5" s="118"/>
      <c r="O5" s="118"/>
      <c r="P5" s="118"/>
      <c r="Q5" s="118"/>
    </row>
    <row r="6" spans="1:17" s="19" customFormat="1" ht="18" customHeight="1" thickBot="1" x14ac:dyDescent="0.25">
      <c r="A6" s="119" t="s">
        <v>35</v>
      </c>
      <c r="B6" s="120"/>
      <c r="C6" s="120"/>
      <c r="D6" s="120"/>
      <c r="E6" s="120"/>
      <c r="F6" s="121"/>
      <c r="G6" s="118" t="str">
        <f>' NotaPedido'!D5</f>
        <v xml:space="preserve"> MINISTERIO DE CIENCIA E INNOVACION TECNOLOGICA</v>
      </c>
      <c r="H6" s="118"/>
      <c r="I6" s="118"/>
      <c r="J6" s="118"/>
      <c r="K6" s="118"/>
      <c r="L6" s="118"/>
      <c r="M6" s="118"/>
      <c r="N6" s="118"/>
      <c r="O6" s="118"/>
      <c r="P6" s="118"/>
      <c r="Q6" s="118"/>
    </row>
    <row r="7" spans="1:17" s="19" customFormat="1" ht="18" customHeight="1" thickBot="1" x14ac:dyDescent="0.25">
      <c r="A7" s="119" t="s">
        <v>58</v>
      </c>
      <c r="B7" s="120"/>
      <c r="C7" s="120"/>
      <c r="D7" s="120"/>
      <c r="E7" s="120"/>
      <c r="F7" s="121"/>
      <c r="G7" s="118" t="str">
        <f>' NotaPedido'!D6</f>
        <v>DIRECCION PROVINCIAL DE GESTION ADMINISTRATIVA</v>
      </c>
      <c r="H7" s="118"/>
      <c r="I7" s="118"/>
      <c r="J7" s="118"/>
      <c r="K7" s="118"/>
      <c r="L7" s="118"/>
      <c r="M7" s="118"/>
      <c r="N7" s="118"/>
      <c r="O7" s="118"/>
      <c r="P7" s="118"/>
      <c r="Q7" s="118"/>
    </row>
    <row r="8" spans="1:17" ht="18" customHeight="1" thickBot="1" x14ac:dyDescent="0.25">
      <c r="A8" s="122" t="s">
        <v>36</v>
      </c>
      <c r="B8" s="122"/>
      <c r="C8" s="122"/>
      <c r="D8" s="122"/>
      <c r="E8" s="122"/>
      <c r="F8" s="122"/>
      <c r="G8" s="122"/>
      <c r="H8" s="122"/>
      <c r="I8" s="122"/>
      <c r="J8" s="122"/>
      <c r="K8" s="122"/>
      <c r="L8" s="122"/>
      <c r="M8" s="122"/>
      <c r="N8" s="122"/>
      <c r="O8" s="122"/>
      <c r="P8" s="122"/>
      <c r="Q8" s="122"/>
    </row>
    <row r="9" spans="1:17" ht="18" customHeight="1" x14ac:dyDescent="0.2">
      <c r="A9" s="123" t="s">
        <v>37</v>
      </c>
      <c r="B9" s="123"/>
      <c r="C9" s="123"/>
      <c r="D9" s="123"/>
      <c r="E9" s="123"/>
      <c r="F9" s="123"/>
      <c r="G9" s="123"/>
      <c r="H9" s="123"/>
      <c r="I9" s="123"/>
      <c r="J9" s="123"/>
      <c r="K9" s="123"/>
      <c r="L9" s="123"/>
      <c r="M9" s="123"/>
      <c r="N9" s="123"/>
      <c r="O9" s="1"/>
      <c r="P9" s="1"/>
      <c r="Q9" s="20"/>
    </row>
    <row r="10" spans="1:17" ht="54.75" customHeight="1" x14ac:dyDescent="0.2">
      <c r="A10" s="124"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016/2020,  afectando la erogación resultante a los créditos presupuestarios aprobados a favor de esta Unidad Ejecutora, conforme al siguiente detalle:</v>
      </c>
      <c r="B10" s="124"/>
      <c r="C10" s="124"/>
      <c r="D10" s="124"/>
      <c r="E10" s="124"/>
      <c r="F10" s="124"/>
      <c r="G10" s="124"/>
      <c r="H10" s="124"/>
      <c r="I10" s="124"/>
      <c r="J10" s="124"/>
      <c r="K10" s="124"/>
      <c r="L10" s="124"/>
      <c r="M10" s="124"/>
      <c r="N10" s="124"/>
      <c r="O10" s="124"/>
      <c r="P10" s="124"/>
      <c r="Q10" s="124"/>
    </row>
    <row r="11" spans="1:17" ht="9" customHeight="1" x14ac:dyDescent="0.2">
      <c r="A11" s="21"/>
      <c r="B11" s="22"/>
      <c r="C11" s="22"/>
      <c r="D11" s="22"/>
      <c r="E11" s="22"/>
      <c r="F11" s="22"/>
      <c r="G11" s="23"/>
      <c r="H11" s="22"/>
      <c r="I11" s="22"/>
      <c r="J11" s="22"/>
      <c r="K11" s="22"/>
      <c r="L11" s="22"/>
      <c r="M11" s="22"/>
      <c r="N11" s="22"/>
      <c r="O11" s="22"/>
      <c r="P11" s="22"/>
      <c r="Q11" s="24"/>
    </row>
    <row r="12" spans="1:17" ht="15.75" customHeight="1" x14ac:dyDescent="0.2">
      <c r="A12" s="125" t="s">
        <v>38</v>
      </c>
      <c r="B12" s="125"/>
      <c r="C12" s="125"/>
      <c r="D12" s="125"/>
      <c r="E12" s="125"/>
      <c r="F12" s="125"/>
      <c r="G12" s="125"/>
      <c r="H12" s="125"/>
      <c r="I12" s="125"/>
      <c r="J12" s="125"/>
      <c r="K12" s="125"/>
      <c r="L12" s="125"/>
      <c r="M12" s="125"/>
      <c r="N12" s="125"/>
      <c r="O12" s="125"/>
      <c r="P12" s="125"/>
      <c r="Q12" s="125"/>
    </row>
    <row r="13" spans="1:17" ht="15.75" customHeight="1" x14ac:dyDescent="0.2">
      <c r="A13" s="126" t="s">
        <v>39</v>
      </c>
      <c r="B13" s="126"/>
      <c r="C13" s="126"/>
      <c r="D13" s="126"/>
      <c r="E13" s="126"/>
      <c r="F13" s="126"/>
      <c r="G13" s="126"/>
      <c r="H13" s="126"/>
      <c r="I13" s="126"/>
      <c r="J13" s="126"/>
      <c r="K13" s="126"/>
      <c r="L13" s="126"/>
      <c r="M13" s="126"/>
      <c r="N13" s="126"/>
      <c r="O13" s="127" t="s">
        <v>40</v>
      </c>
      <c r="P13" s="127"/>
      <c r="Q13" s="128" t="s">
        <v>41</v>
      </c>
    </row>
    <row r="14" spans="1:17" ht="15.75" customHeight="1" x14ac:dyDescent="0.2">
      <c r="A14" s="25" t="s">
        <v>42</v>
      </c>
      <c r="B14" s="26" t="s">
        <v>43</v>
      </c>
      <c r="C14" s="26" t="s">
        <v>44</v>
      </c>
      <c r="D14" s="26" t="s">
        <v>45</v>
      </c>
      <c r="E14" s="26" t="s">
        <v>46</v>
      </c>
      <c r="F14" s="26" t="s">
        <v>47</v>
      </c>
      <c r="G14" s="27" t="s">
        <v>48</v>
      </c>
      <c r="H14" s="26" t="s">
        <v>49</v>
      </c>
      <c r="I14" s="26" t="s">
        <v>50</v>
      </c>
      <c r="J14" s="26" t="s">
        <v>51</v>
      </c>
      <c r="K14" s="26" t="s">
        <v>51</v>
      </c>
      <c r="L14" s="26" t="s">
        <v>52</v>
      </c>
      <c r="M14" s="28" t="s">
        <v>53</v>
      </c>
      <c r="N14" s="29" t="s">
        <v>54</v>
      </c>
      <c r="O14" s="127"/>
      <c r="P14" s="127"/>
      <c r="Q14" s="128"/>
    </row>
    <row r="15" spans="1:17" ht="22.5" customHeight="1" x14ac:dyDescent="0.2">
      <c r="A15" s="69">
        <v>15</v>
      </c>
      <c r="B15" s="70">
        <v>0</v>
      </c>
      <c r="C15" s="70">
        <v>0</v>
      </c>
      <c r="D15" s="70">
        <v>1</v>
      </c>
      <c r="E15" s="70">
        <v>0</v>
      </c>
      <c r="F15" s="70">
        <v>4901</v>
      </c>
      <c r="G15" s="70">
        <v>3</v>
      </c>
      <c r="H15" s="70">
        <v>4</v>
      </c>
      <c r="I15" s="30">
        <v>4</v>
      </c>
      <c r="J15" s="30">
        <v>3</v>
      </c>
      <c r="K15" s="30">
        <v>6</v>
      </c>
      <c r="L15" s="70">
        <v>0</v>
      </c>
      <c r="M15" s="71">
        <v>1</v>
      </c>
      <c r="N15" s="70" t="s">
        <v>92</v>
      </c>
      <c r="O15" s="129" t="s">
        <v>60</v>
      </c>
      <c r="P15" s="130"/>
      <c r="Q15" s="31">
        <v>2427790</v>
      </c>
    </row>
    <row r="16" spans="1:17" ht="17.25" customHeight="1" x14ac:dyDescent="0.2">
      <c r="A16" s="32"/>
      <c r="B16" s="33"/>
      <c r="C16" s="33"/>
      <c r="D16" s="33"/>
      <c r="E16" s="33"/>
      <c r="F16" s="33"/>
      <c r="G16" s="33"/>
      <c r="H16" s="33"/>
      <c r="I16" s="33"/>
      <c r="J16" s="33"/>
      <c r="K16" s="33"/>
      <c r="L16" s="33"/>
      <c r="M16" s="34"/>
      <c r="N16" s="35"/>
      <c r="O16" s="131"/>
      <c r="P16" s="131"/>
      <c r="Q16" s="36"/>
    </row>
    <row r="17" spans="1:18" ht="17.25" customHeight="1" x14ac:dyDescent="0.2">
      <c r="A17" s="32"/>
      <c r="B17" s="33"/>
      <c r="C17" s="33"/>
      <c r="D17" s="33"/>
      <c r="E17" s="33"/>
      <c r="F17" s="35"/>
      <c r="G17" s="33"/>
      <c r="H17" s="33"/>
      <c r="I17" s="33"/>
      <c r="J17" s="33"/>
      <c r="K17" s="33"/>
      <c r="L17" s="33"/>
      <c r="M17" s="34"/>
      <c r="N17" s="35"/>
      <c r="O17" s="131"/>
      <c r="P17" s="131"/>
      <c r="Q17" s="36"/>
    </row>
    <row r="18" spans="1:18" ht="17.25" customHeight="1" x14ac:dyDescent="0.2">
      <c r="A18" s="32"/>
      <c r="B18" s="33"/>
      <c r="C18" s="33"/>
      <c r="D18" s="33"/>
      <c r="E18" s="33"/>
      <c r="F18" s="33"/>
      <c r="G18" s="33"/>
      <c r="H18" s="33"/>
      <c r="I18" s="33"/>
      <c r="J18" s="33"/>
      <c r="K18" s="33"/>
      <c r="L18" s="33"/>
      <c r="M18" s="34"/>
      <c r="N18" s="35"/>
      <c r="O18" s="131"/>
      <c r="P18" s="131"/>
      <c r="Q18" s="36"/>
    </row>
    <row r="19" spans="1:18" ht="17.25" customHeight="1" x14ac:dyDescent="0.2">
      <c r="A19" s="32"/>
      <c r="B19" s="33"/>
      <c r="C19" s="33"/>
      <c r="D19" s="33"/>
      <c r="E19" s="33"/>
      <c r="F19" s="35"/>
      <c r="G19" s="33"/>
      <c r="H19" s="33"/>
      <c r="I19" s="33"/>
      <c r="J19" s="33"/>
      <c r="K19" s="33"/>
      <c r="L19" s="33"/>
      <c r="M19" s="34"/>
      <c r="N19" s="35"/>
      <c r="O19" s="131"/>
      <c r="P19" s="131"/>
      <c r="Q19" s="36"/>
    </row>
    <row r="20" spans="1:18" ht="17.25" customHeight="1" x14ac:dyDescent="0.2">
      <c r="A20" s="32"/>
      <c r="B20" s="33"/>
      <c r="C20" s="33"/>
      <c r="D20" s="33"/>
      <c r="E20" s="33"/>
      <c r="F20" s="35"/>
      <c r="G20" s="33"/>
      <c r="H20" s="33"/>
      <c r="I20" s="33"/>
      <c r="J20" s="33"/>
      <c r="K20" s="33"/>
      <c r="L20" s="33"/>
      <c r="M20" s="34"/>
      <c r="N20" s="35"/>
      <c r="O20" s="131"/>
      <c r="P20" s="131"/>
      <c r="Q20" s="36"/>
    </row>
    <row r="21" spans="1:18" ht="8.25" customHeight="1" x14ac:dyDescent="0.2">
      <c r="A21" s="37"/>
      <c r="B21" s="38"/>
      <c r="C21" s="38"/>
      <c r="D21" s="38"/>
      <c r="E21" s="38"/>
      <c r="F21" s="39"/>
      <c r="G21" s="38"/>
      <c r="H21" s="38"/>
      <c r="I21" s="38"/>
      <c r="J21" s="38"/>
      <c r="K21" s="38"/>
      <c r="L21" s="38"/>
      <c r="M21" s="40"/>
      <c r="N21" s="41"/>
      <c r="O21" s="137"/>
      <c r="P21" s="137"/>
      <c r="Q21" s="36"/>
      <c r="R21" s="1"/>
    </row>
    <row r="22" spans="1:18" ht="17.25" customHeight="1" x14ac:dyDescent="0.2">
      <c r="A22" s="42"/>
      <c r="B22" s="43"/>
      <c r="C22" s="43"/>
      <c r="D22" s="43"/>
      <c r="E22" s="43"/>
      <c r="F22" s="43"/>
      <c r="G22" s="43"/>
      <c r="H22" s="43"/>
      <c r="I22" s="43"/>
      <c r="J22" s="43"/>
      <c r="K22" s="43"/>
      <c r="L22" s="43"/>
      <c r="M22" s="44"/>
      <c r="N22" s="43"/>
      <c r="O22" s="138"/>
      <c r="P22" s="138"/>
      <c r="Q22" s="45"/>
    </row>
    <row r="23" spans="1:18" ht="29.25" customHeight="1" x14ac:dyDescent="0.2">
      <c r="A23" s="139" t="s">
        <v>90</v>
      </c>
      <c r="B23" s="139"/>
      <c r="C23" s="139"/>
      <c r="D23" s="139"/>
      <c r="E23" s="139"/>
      <c r="F23" s="139"/>
      <c r="G23" s="139"/>
      <c r="H23" s="139"/>
      <c r="I23" s="139"/>
      <c r="J23" s="139"/>
      <c r="K23" s="139"/>
      <c r="L23" s="139"/>
      <c r="M23" s="139"/>
      <c r="N23" s="139"/>
      <c r="O23" s="139"/>
      <c r="P23" s="139"/>
      <c r="Q23" s="46">
        <f>SUM(Q15:Q22)</f>
        <v>2427790</v>
      </c>
    </row>
    <row r="24" spans="1:18" ht="18" customHeight="1" thickBot="1" x14ac:dyDescent="0.25">
      <c r="A24" s="140"/>
      <c r="B24" s="140"/>
      <c r="C24" s="140"/>
      <c r="D24" s="140"/>
      <c r="E24" s="140"/>
      <c r="F24" s="140"/>
      <c r="G24" s="140"/>
      <c r="H24" s="140"/>
      <c r="I24" s="140"/>
      <c r="J24" s="140"/>
      <c r="K24" s="140"/>
      <c r="L24" s="140"/>
      <c r="M24" s="140"/>
      <c r="N24" s="140"/>
      <c r="O24" s="140"/>
      <c r="P24" s="140"/>
      <c r="Q24" s="140"/>
    </row>
    <row r="25" spans="1:18" ht="17.25" customHeight="1" thickBot="1" x14ac:dyDescent="0.25">
      <c r="A25" s="132" t="s">
        <v>55</v>
      </c>
      <c r="B25" s="133"/>
      <c r="C25" s="133"/>
      <c r="D25" s="133"/>
      <c r="E25" s="133"/>
      <c r="F25" s="134"/>
      <c r="G25" s="135"/>
      <c r="H25" s="135"/>
      <c r="I25" s="135"/>
      <c r="J25" s="135"/>
      <c r="K25" s="135"/>
      <c r="L25" s="135"/>
      <c r="M25" s="135"/>
      <c r="N25" s="135"/>
      <c r="O25" s="135"/>
      <c r="P25" s="135"/>
      <c r="Q25" s="135"/>
    </row>
    <row r="26" spans="1:18" ht="18" customHeight="1" thickBot="1" x14ac:dyDescent="0.25">
      <c r="A26" s="136" t="s">
        <v>84</v>
      </c>
      <c r="B26" s="136"/>
      <c r="C26" s="136"/>
      <c r="D26" s="136"/>
      <c r="E26" s="136"/>
      <c r="F26" s="136"/>
      <c r="G26" s="136"/>
      <c r="H26" s="136"/>
      <c r="I26" s="136"/>
      <c r="J26" s="136"/>
      <c r="K26" s="136"/>
      <c r="L26" s="136"/>
      <c r="M26" s="136"/>
      <c r="N26" s="136"/>
      <c r="O26" s="136"/>
      <c r="P26" s="136"/>
      <c r="Q26" s="136"/>
    </row>
    <row r="27" spans="1:18" ht="18.75" customHeight="1" x14ac:dyDescent="0.2">
      <c r="A27" s="136"/>
      <c r="B27" s="136"/>
      <c r="C27" s="136"/>
      <c r="D27" s="136"/>
      <c r="E27" s="136"/>
      <c r="F27" s="136"/>
      <c r="G27" s="136"/>
      <c r="H27" s="136"/>
      <c r="I27" s="136"/>
      <c r="J27" s="136"/>
      <c r="K27" s="136"/>
      <c r="L27" s="136"/>
      <c r="M27" s="136"/>
      <c r="N27" s="136"/>
      <c r="O27" s="136"/>
      <c r="P27" s="136"/>
      <c r="Q27" s="136"/>
    </row>
    <row r="30" spans="1:18" x14ac:dyDescent="0.2">
      <c r="A30" s="72"/>
    </row>
  </sheetData>
  <mergeCells count="31">
    <mergeCell ref="A25:F25"/>
    <mergeCell ref="G25:Q25"/>
    <mergeCell ref="A26:Q27"/>
    <mergeCell ref="O20:P20"/>
    <mergeCell ref="O21:P21"/>
    <mergeCell ref="O22:P22"/>
    <mergeCell ref="A23:P23"/>
    <mergeCell ref="A24:Q24"/>
    <mergeCell ref="O15:P15"/>
    <mergeCell ref="O16:P16"/>
    <mergeCell ref="O17:P17"/>
    <mergeCell ref="O18:P18"/>
    <mergeCell ref="O19:P19"/>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5" scale="90" firstPageNumber="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4:G9"/>
  <sheetViews>
    <sheetView workbookViewId="0">
      <selection activeCell="G13" sqref="G13"/>
    </sheetView>
  </sheetViews>
  <sheetFormatPr baseColWidth="10" defaultRowHeight="12.75" x14ac:dyDescent="0.2"/>
  <cols>
    <col min="7" max="7" width="20.85546875" customWidth="1"/>
  </cols>
  <sheetData>
    <row r="4" spans="7:7" x14ac:dyDescent="0.2">
      <c r="G4" s="47"/>
    </row>
    <row r="5" spans="7:7" x14ac:dyDescent="0.2">
      <c r="G5" s="47"/>
    </row>
    <row r="6" spans="7:7" x14ac:dyDescent="0.2">
      <c r="G6" s="47"/>
    </row>
    <row r="7" spans="7:7" x14ac:dyDescent="0.2">
      <c r="G7" s="47"/>
    </row>
    <row r="8" spans="7:7" x14ac:dyDescent="0.2">
      <c r="G8" s="47"/>
    </row>
    <row r="9" spans="7:7" x14ac:dyDescent="0.2">
      <c r="G9"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Necesidades Trimestrales</vt:lpstr>
      <vt:lpstr> NotaPedido</vt:lpstr>
      <vt:lpstr>Autor Gastar</vt:lpstr>
      <vt:lpstr>Hoja1</vt:lpstr>
      <vt:lpstr>' NotaPedido'!Área_de_impresión</vt:lpstr>
      <vt:lpstr>'Autor Gastar'!Área_de_impresión</vt:lpstr>
      <vt:lpstr>'Necesidades Trimestrales'!Área_de_impresión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Luffi</cp:lastModifiedBy>
  <cp:revision>2</cp:revision>
  <cp:lastPrinted>2020-11-16T14:26:52Z</cp:lastPrinted>
  <dcterms:created xsi:type="dcterms:W3CDTF">2020-07-17T23:44:49Z</dcterms:created>
  <dcterms:modified xsi:type="dcterms:W3CDTF">2020-11-20T15:20:09Z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