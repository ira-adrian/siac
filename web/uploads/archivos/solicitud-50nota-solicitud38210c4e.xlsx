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AC Nutricion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10" i="1"/>
  <c r="D23" i="1" l="1"/>
  <c r="D11" i="1"/>
  <c r="D12" i="1" l="1"/>
  <c r="D13" i="1"/>
  <c r="D14" i="1"/>
  <c r="D15" i="1"/>
  <c r="D16" i="1"/>
  <c r="D17" i="1"/>
  <c r="D18" i="1"/>
  <c r="D19" i="1"/>
  <c r="D20" i="1"/>
  <c r="D21" i="1"/>
  <c r="D22" i="1"/>
  <c r="D10" i="1"/>
  <c r="B15" i="2"/>
  <c r="B16" i="2"/>
  <c r="B17" i="2"/>
  <c r="B18" i="2"/>
  <c r="B19" i="2"/>
  <c r="B20" i="2"/>
  <c r="B21" i="2"/>
  <c r="B22" i="2"/>
  <c r="B23" i="2"/>
  <c r="B24" i="2"/>
  <c r="B25" i="2"/>
  <c r="K17" i="2"/>
  <c r="K18" i="2"/>
  <c r="K19" i="2"/>
  <c r="K20" i="2"/>
  <c r="K21" i="2"/>
  <c r="K22" i="2"/>
  <c r="K23" i="2"/>
  <c r="K24" i="2"/>
  <c r="K25" i="2"/>
  <c r="C16" i="2"/>
  <c r="C17" i="2"/>
  <c r="C18" i="2"/>
  <c r="C19" i="2"/>
  <c r="C20" i="2"/>
  <c r="C21" i="2"/>
  <c r="C22" i="2"/>
  <c r="C23" i="2"/>
  <c r="C24" i="2"/>
  <c r="C25" i="2"/>
  <c r="J17" i="2"/>
  <c r="J18" i="2"/>
  <c r="J19" i="2"/>
  <c r="J20" i="2"/>
  <c r="J21" i="2"/>
  <c r="J22" i="2"/>
  <c r="J23" i="2"/>
  <c r="J24" i="2"/>
  <c r="J25" i="2"/>
  <c r="I17" i="2"/>
  <c r="I18" i="2"/>
  <c r="I19" i="2"/>
  <c r="I20" i="2"/>
  <c r="I21" i="2"/>
  <c r="I22" i="2"/>
  <c r="I23" i="2"/>
  <c r="I24" i="2"/>
  <c r="I25" i="2"/>
  <c r="A25" i="3"/>
  <c r="A10" i="3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6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<sst xmlns="http://schemas.openxmlformats.org/spreadsheetml/2006/main" count="151" uniqueCount="105">
  <si>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</si>
  <si>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</si>
  <si>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</si>
  <si>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</si>
  <si>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</si>
  <si>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</si>
  <si>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</si>
  <si>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</si>
  <si>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</si>
  <si>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</si>
  <si>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</si>
  <si>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</si>
  <si>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</si>
  <si>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</si>
  <si>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</si>
  <si>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</si>
  <si>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</si>
  <si>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</si>
  <si>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</si>
  <si>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</si>
  <si>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</si>
  <si>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</si>
  <si>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</si>
  <si>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</si>
  <si>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</si>
  <si>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</si>
  <si>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</si>
  <si>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</si>
  <si>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</si>
  <si>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</si>
  <si>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</si>
  <si>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</si>
  <si>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</si>
  <si>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</si>
  <si>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</si>
  <si>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</si>
  <si>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</si>
  <si>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</si>
  <si>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</si>
  <si>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</si>
  <si>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</si>
  <si>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</si>
  <si>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</si>
  <si>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</si>
  <si>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</si>
  <si>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</si>
  <si>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</si>
  <si>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</si>
  <si>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</si>
  <si>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</si>
  <si>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</si>
  <si>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</si>
  <si>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</si>
  <si>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</si>
  <si>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</si>
  <si>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</si>
  <si>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</si>
  <si>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</si>
  <si>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</si>
  <si>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</si>
  <si>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</si>
  <si>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</si>
  <si>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</si>
  <si>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10 dias - Servicio de Farmacia del HISJB</t>
  </si>
  <si>
    <t xml:space="preserve">45 dias habiles </t>
  </si>
  <si>
    <t>3.1</t>
  </si>
  <si>
    <t>1.1</t>
  </si>
  <si>
    <t>SOLUCIONES P/MEDICINA; TIPO: AGUA DESTILADA, PRESENTACION: AMPOLLA DE 10 ML</t>
  </si>
  <si>
    <t>2.5.2-1726.520</t>
  </si>
  <si>
    <t>PROD. MEDICO/FARMACEUTICOS/LAB</t>
  </si>
  <si>
    <t xml:space="preserve">AMPOLLA </t>
  </si>
  <si>
    <t>2.5.2-2183.7</t>
  </si>
  <si>
    <t>EXPANSORES PLASMATICOS; PRINCIPIO ACTIVO: ALBUMINA HUMANA, CONCENTRACION: 20 %, PRESENTACION: 50ML</t>
  </si>
  <si>
    <t xml:space="preserve">SACHET </t>
  </si>
  <si>
    <t>2.5.2-1903.103</t>
  </si>
  <si>
    <t>RECONSTITUYENTE GENERAL; DROGA GENERICA: ALIMENTO ENTERAL PARA SONDA FORTIFICADO CON FIBRAS, FORMA FARMACEUTICA: ENVASE, PRESENTACION: 1 L, TIPO: ASOCIACION</t>
  </si>
  <si>
    <t>UNIDAD</t>
  </si>
  <si>
    <t>2.5.2-1903.104</t>
  </si>
  <si>
    <t>RECONSTITUYENTE GENERAL; DROGA GENERICA: ALIMENTO ENTERAL PARA SONDA BAJO INDICE GLUCEMICO, FORMA FARMACEUTICA: ENVASE, PRESENTACION: 1 L, TIPO: ASOCIACION</t>
  </si>
  <si>
    <t>2.5.2-1903.105</t>
  </si>
  <si>
    <t>RECONSTITUYENTE GENERAL; TIPO: ASOCIACION, DROGA GENERICA: ALIMENTO ENTERAL PARA SONDA BAJO INDICE GLUCEMICO, FORMA FARMACEUTICA: SOLUCION, PRESENTACION: ENVASE X 500 CM3</t>
  </si>
  <si>
    <t>SOLUCIONES P/MEDICINA; TIPO: CLORURO DE POTASIO 15 MEQ, PRESENTACION: AMPOLLA DE 5 mL</t>
  </si>
  <si>
    <t>2.5.2-1726.305</t>
  </si>
  <si>
    <t>SOLUCIONES P/MEDICINA; PRESENTACION: AMPOLLA X 20 ML, TIPO: CLORURO DE SODIO MOLAR AL 20 %</t>
  </si>
  <si>
    <t>2.5.2-1726.519</t>
  </si>
  <si>
    <t>NORMALIZADORES DE CALCEMIA; TIPO: MONODROGA, DROGA GENERICA: GLUCONATO DE CALCIO 10 %, FORMA FARMACEUTICA: AMPOLLA, PRESENTACION: ENVASE X 10 mL</t>
  </si>
  <si>
    <t>2.5.2-2689.7</t>
  </si>
  <si>
    <t>SOLUCIONES P/MEDICINA; TIPO: HEMODIALISIS ACIDA A, PRESENTACION: ENVASE X 10 L</t>
  </si>
  <si>
    <t>2.5.2-1726.460</t>
  </si>
  <si>
    <t xml:space="preserve">BIDON </t>
  </si>
  <si>
    <t>2.5.2-1726.449</t>
  </si>
  <si>
    <t>SOLUCIONES P/MEDICINA; TIPO: HEMODIALISIS BASICO B, PRESENTACION: ENVASE X 10 L</t>
  </si>
  <si>
    <t>2.5.2-1726.377</t>
  </si>
  <si>
    <t>SOLUCIONES P/MEDICINA; TIPO: DEXTROSA AL 25 %, PRESENTACION: ENVASE X 500 Ml</t>
  </si>
  <si>
    <t>2.5.2-1726.419</t>
  </si>
  <si>
    <t>SOLUCIONES P/MEDICINA; TIPO: FISIOLOGICA, PRESENTACION: ENVASE X 10 mL</t>
  </si>
  <si>
    <t>2.5.2-1726.182</t>
  </si>
  <si>
    <t>SOLUCIONES P/MEDICINA; TIPO: RINGER LACTATO, PRESENTACION: ENVASE X 500 mL</t>
  </si>
  <si>
    <t>SOLUCIONES P/MEDICINA; TIPO: FISIOLOGICA, PRESENTACION: ENVASE X 100 mL</t>
  </si>
  <si>
    <t>2.5.2-1726.369</t>
  </si>
  <si>
    <t>Costo total estimado: CINCO MILLONES TRESCIENTOS NOVENTA Y CINCO MIL QUINIENTOS TRES CON 00/100.-----</t>
  </si>
  <si>
    <t>ADQUISICIÓN DE NUTRICIÓN Y SOLUCIONES</t>
  </si>
  <si>
    <t>Productos Farmac. y Medicinales</t>
  </si>
  <si>
    <t>TOTAL DE PESOS: CINCO MILLONES TRESCIENTOS NOVENTA Y CINCO MIL QUINIENTOS TRES CON 00/100.---</t>
  </si>
  <si>
    <t>DOCFI-2022-01128507-CAT-DASIS#HSJB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</si>
</sst>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167" fontId="15" fillId="5" borderId="0" xfId="0" applyNumberFormat="1" applyFont="1" applyFill="1"/>
    <xf numFmtId="167" fontId="15" fillId="0" borderId="0" xfId="0" applyNumberFormat="1" applyFo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4"/>
  <sheetViews>
    <sheetView tabSelected="1" topLeftCell="A13" zoomScale="85" zoomScaleNormal="85" workbookViewId="0">
      <selection activeCell="O20" sqref="O2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11" style="39"/>
    <col min="11" max="11" width="18" style="39" customWidth="1"/>
    <col min="12" max="16384" width="11" style="39"/>
  </cols>
  <sheetData>
    <row r="2" spans="1:11" ht="27" x14ac:dyDescent="0.35">
      <c r="B2" s="80" t="s">
        <v>0</v>
      </c>
      <c r="C2" s="80"/>
      <c r="D2" s="80"/>
      <c r="E2" s="80"/>
      <c r="F2" s="80"/>
      <c r="G2" s="80"/>
      <c r="H2" s="80"/>
    </row>
    <row r="4" spans="1:11" ht="18" customHeight="1" x14ac:dyDescent="0.25">
      <c r="A4" s="81" t="s">
        <v>1</v>
      </c>
      <c r="B4" s="81"/>
      <c r="C4" s="82" t="s">
        <v>59</v>
      </c>
      <c r="D4" s="82"/>
      <c r="E4" s="82"/>
      <c r="F4" s="40"/>
      <c r="G4" s="41"/>
      <c r="H4" s="40"/>
    </row>
    <row r="5" spans="1:11" ht="18" customHeight="1" x14ac:dyDescent="0.25">
      <c r="A5" s="81" t="s">
        <v>2</v>
      </c>
      <c r="B5" s="81"/>
      <c r="C5" s="82" t="s">
        <v>60</v>
      </c>
      <c r="D5" s="82"/>
      <c r="E5" s="82"/>
      <c r="F5" s="40"/>
      <c r="G5" s="41"/>
      <c r="H5" s="40"/>
    </row>
    <row r="6" spans="1:11" ht="16.5" customHeight="1" x14ac:dyDescent="0.25">
      <c r="A6" s="81" t="s">
        <v>3</v>
      </c>
      <c r="B6" s="81"/>
      <c r="C6" s="59">
        <v>2022</v>
      </c>
      <c r="D6" s="60"/>
      <c r="E6" s="60"/>
      <c r="F6" s="40"/>
      <c r="G6" s="41"/>
      <c r="H6" s="40"/>
    </row>
    <row r="7" spans="1:11" ht="16.5" customHeight="1" x14ac:dyDescent="0.25">
      <c r="A7" s="81" t="s">
        <v>4</v>
      </c>
      <c r="B7" s="81"/>
      <c r="C7" s="59">
        <v>2</v>
      </c>
      <c r="D7" s="60"/>
      <c r="E7" s="60"/>
      <c r="F7" s="40"/>
      <c r="G7" s="41"/>
      <c r="H7" s="40"/>
    </row>
    <row r="8" spans="1:11" ht="13.5" thickBot="1" x14ac:dyDescent="0.25">
      <c r="B8" s="40"/>
      <c r="C8" s="41"/>
      <c r="D8" s="40"/>
      <c r="E8" s="40"/>
      <c r="F8" s="40"/>
      <c r="G8" s="41"/>
      <c r="H8" s="40"/>
    </row>
    <row r="9" spans="1:11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1" s="79" customFormat="1" ht="52.5" customHeight="1" thickBot="1" x14ac:dyDescent="0.25">
      <c r="A10" s="75">
        <v>1</v>
      </c>
      <c r="B10" s="56" t="s">
        <v>68</v>
      </c>
      <c r="C10" s="76" t="s">
        <v>69</v>
      </c>
      <c r="D10" s="77" t="str">
        <f>LEFT(B10,5)</f>
        <v>2.5.2</v>
      </c>
      <c r="E10" s="78" t="s">
        <v>67</v>
      </c>
      <c r="F10" s="56" t="s">
        <v>70</v>
      </c>
      <c r="G10" s="56">
        <v>8000</v>
      </c>
      <c r="H10" s="57">
        <v>32</v>
      </c>
      <c r="I10" s="58">
        <f t="shared" ref="I10:I23" si="0">G10*H10</f>
        <v>256000</v>
      </c>
      <c r="K10" s="128">
        <f>+H10*I10</f>
        <v>8192000</v>
      </c>
    </row>
    <row r="11" spans="1:11" s="79" customFormat="1" ht="46.5" customHeight="1" thickBot="1" x14ac:dyDescent="0.25">
      <c r="A11" s="75">
        <v>2</v>
      </c>
      <c r="B11" s="56" t="s">
        <v>71</v>
      </c>
      <c r="C11" s="76" t="s">
        <v>69</v>
      </c>
      <c r="D11" s="77" t="str">
        <f t="shared" ref="D11:D22" si="1">LEFT(B11,5)</f>
        <v>2.5.2</v>
      </c>
      <c r="E11" s="78" t="s">
        <v>72</v>
      </c>
      <c r="F11" s="56" t="s">
        <v>73</v>
      </c>
      <c r="G11" s="56">
        <v>260</v>
      </c>
      <c r="H11" s="57">
        <v>2268</v>
      </c>
      <c r="I11" s="58">
        <f t="shared" si="0"/>
        <v>589680</v>
      </c>
      <c r="K11" s="128">
        <f t="shared" ref="K11:K23" si="2">+H11*I11</f>
        <v>1337394240</v>
      </c>
    </row>
    <row r="12" spans="1:11" s="79" customFormat="1" ht="63" customHeight="1" thickBot="1" x14ac:dyDescent="0.25">
      <c r="A12" s="75">
        <v>3</v>
      </c>
      <c r="B12" s="56" t="s">
        <v>74</v>
      </c>
      <c r="C12" s="76" t="s">
        <v>69</v>
      </c>
      <c r="D12" s="77" t="str">
        <f t="shared" si="1"/>
        <v>2.5.2</v>
      </c>
      <c r="E12" s="78" t="s">
        <v>75</v>
      </c>
      <c r="F12" s="56" t="s">
        <v>76</v>
      </c>
      <c r="G12" s="56">
        <v>540</v>
      </c>
      <c r="H12" s="57">
        <v>1158</v>
      </c>
      <c r="I12" s="58">
        <f t="shared" si="0"/>
        <v>625320</v>
      </c>
      <c r="K12" s="128">
        <f t="shared" si="2"/>
        <v>724120560</v>
      </c>
    </row>
    <row r="13" spans="1:11" s="79" customFormat="1" ht="61.5" customHeight="1" thickBot="1" x14ac:dyDescent="0.25">
      <c r="A13" s="75">
        <v>4</v>
      </c>
      <c r="B13" s="56" t="s">
        <v>77</v>
      </c>
      <c r="C13" s="76" t="s">
        <v>69</v>
      </c>
      <c r="D13" s="77" t="str">
        <f t="shared" si="1"/>
        <v>2.5.2</v>
      </c>
      <c r="E13" s="78" t="s">
        <v>78</v>
      </c>
      <c r="F13" s="56" t="s">
        <v>76</v>
      </c>
      <c r="G13" s="56">
        <v>540</v>
      </c>
      <c r="H13" s="57">
        <v>1536</v>
      </c>
      <c r="I13" s="58">
        <f t="shared" si="0"/>
        <v>829440</v>
      </c>
      <c r="K13" s="128">
        <f t="shared" si="2"/>
        <v>1274019840</v>
      </c>
    </row>
    <row r="14" spans="1:11" s="79" customFormat="1" ht="72" customHeight="1" thickBot="1" x14ac:dyDescent="0.25">
      <c r="A14" s="75">
        <v>5</v>
      </c>
      <c r="B14" s="56" t="s">
        <v>79</v>
      </c>
      <c r="C14" s="76" t="s">
        <v>69</v>
      </c>
      <c r="D14" s="77" t="str">
        <f t="shared" si="1"/>
        <v>2.5.2</v>
      </c>
      <c r="E14" s="78" t="s">
        <v>80</v>
      </c>
      <c r="F14" s="56" t="s">
        <v>76</v>
      </c>
      <c r="G14" s="56">
        <v>697</v>
      </c>
      <c r="H14" s="57">
        <v>1145</v>
      </c>
      <c r="I14" s="58">
        <f t="shared" si="0"/>
        <v>798065</v>
      </c>
      <c r="K14" s="128">
        <f t="shared" si="2"/>
        <v>913784425</v>
      </c>
    </row>
    <row r="15" spans="1:11" s="79" customFormat="1" ht="42" customHeight="1" thickBot="1" x14ac:dyDescent="0.25">
      <c r="A15" s="75">
        <v>6</v>
      </c>
      <c r="B15" s="56" t="s">
        <v>82</v>
      </c>
      <c r="C15" s="76" t="s">
        <v>69</v>
      </c>
      <c r="D15" s="77" t="str">
        <f t="shared" si="1"/>
        <v>2.5.2</v>
      </c>
      <c r="E15" s="78" t="s">
        <v>81</v>
      </c>
      <c r="F15" s="56" t="s">
        <v>70</v>
      </c>
      <c r="G15" s="56">
        <v>2000</v>
      </c>
      <c r="H15" s="57">
        <v>29.4</v>
      </c>
      <c r="I15" s="58">
        <f t="shared" si="0"/>
        <v>58800</v>
      </c>
      <c r="K15" s="128">
        <f t="shared" si="2"/>
        <v>1728720</v>
      </c>
    </row>
    <row r="16" spans="1:11" s="79" customFormat="1" ht="51.75" customHeight="1" thickBot="1" x14ac:dyDescent="0.25">
      <c r="A16" s="75">
        <v>7</v>
      </c>
      <c r="B16" s="56" t="s">
        <v>84</v>
      </c>
      <c r="C16" s="76" t="s">
        <v>69</v>
      </c>
      <c r="D16" s="77" t="str">
        <f t="shared" si="1"/>
        <v>2.5.2</v>
      </c>
      <c r="E16" s="78" t="s">
        <v>83</v>
      </c>
      <c r="F16" s="56" t="s">
        <v>70</v>
      </c>
      <c r="G16" s="56">
        <v>600</v>
      </c>
      <c r="H16" s="57">
        <v>44</v>
      </c>
      <c r="I16" s="58">
        <f t="shared" si="0"/>
        <v>26400</v>
      </c>
      <c r="K16" s="128">
        <f t="shared" si="2"/>
        <v>1161600</v>
      </c>
    </row>
    <row r="17" spans="1:11" s="79" customFormat="1" ht="65.25" customHeight="1" thickBot="1" x14ac:dyDescent="0.25">
      <c r="A17" s="75">
        <v>8</v>
      </c>
      <c r="B17" s="56" t="s">
        <v>86</v>
      </c>
      <c r="C17" s="76" t="s">
        <v>69</v>
      </c>
      <c r="D17" s="77" t="str">
        <f t="shared" si="1"/>
        <v>2.5.2</v>
      </c>
      <c r="E17" s="78" t="s">
        <v>85</v>
      </c>
      <c r="F17" s="56" t="s">
        <v>70</v>
      </c>
      <c r="G17" s="56">
        <v>200</v>
      </c>
      <c r="H17" s="57">
        <v>84</v>
      </c>
      <c r="I17" s="58">
        <f t="shared" si="0"/>
        <v>16800</v>
      </c>
      <c r="K17" s="128">
        <f t="shared" si="2"/>
        <v>1411200</v>
      </c>
    </row>
    <row r="18" spans="1:11" s="79" customFormat="1" ht="42.75" customHeight="1" thickBot="1" x14ac:dyDescent="0.25">
      <c r="A18" s="75">
        <v>9</v>
      </c>
      <c r="B18" s="56" t="s">
        <v>88</v>
      </c>
      <c r="C18" s="76" t="s">
        <v>69</v>
      </c>
      <c r="D18" s="77" t="str">
        <f t="shared" si="1"/>
        <v>2.5.2</v>
      </c>
      <c r="E18" s="78" t="s">
        <v>87</v>
      </c>
      <c r="F18" s="56" t="s">
        <v>89</v>
      </c>
      <c r="G18" s="56">
        <v>650</v>
      </c>
      <c r="H18" s="57">
        <v>787</v>
      </c>
      <c r="I18" s="58">
        <f t="shared" si="0"/>
        <v>511550</v>
      </c>
      <c r="K18" s="128">
        <f t="shared" si="2"/>
        <v>402589850</v>
      </c>
    </row>
    <row r="19" spans="1:11" s="79" customFormat="1" ht="48" customHeight="1" thickBot="1" x14ac:dyDescent="0.25">
      <c r="A19" s="75">
        <v>10</v>
      </c>
      <c r="B19" s="56" t="s">
        <v>90</v>
      </c>
      <c r="C19" s="76" t="s">
        <v>69</v>
      </c>
      <c r="D19" s="77" t="str">
        <f t="shared" si="1"/>
        <v>2.5.2</v>
      </c>
      <c r="E19" s="78" t="s">
        <v>91</v>
      </c>
      <c r="F19" s="56" t="s">
        <v>89</v>
      </c>
      <c r="G19" s="56">
        <v>960</v>
      </c>
      <c r="H19" s="57">
        <v>694</v>
      </c>
      <c r="I19" s="58">
        <f t="shared" si="0"/>
        <v>666240</v>
      </c>
      <c r="K19" s="128">
        <f t="shared" si="2"/>
        <v>462370560</v>
      </c>
    </row>
    <row r="20" spans="1:11" s="79" customFormat="1" ht="45.75" customHeight="1" thickBot="1" x14ac:dyDescent="0.25">
      <c r="A20" s="75">
        <v>11</v>
      </c>
      <c r="B20" s="56" t="s">
        <v>92</v>
      </c>
      <c r="C20" s="76" t="s">
        <v>69</v>
      </c>
      <c r="D20" s="77" t="str">
        <f t="shared" si="1"/>
        <v>2.5.2</v>
      </c>
      <c r="E20" s="78" t="s">
        <v>93</v>
      </c>
      <c r="F20" s="56" t="s">
        <v>73</v>
      </c>
      <c r="G20" s="56">
        <v>30</v>
      </c>
      <c r="H20" s="57">
        <v>208</v>
      </c>
      <c r="I20" s="58">
        <f t="shared" si="0"/>
        <v>6240</v>
      </c>
      <c r="K20" s="128">
        <f t="shared" si="2"/>
        <v>1297920</v>
      </c>
    </row>
    <row r="21" spans="1:11" s="79" customFormat="1" ht="40.5" customHeight="1" thickBot="1" x14ac:dyDescent="0.25">
      <c r="A21" s="75">
        <v>12</v>
      </c>
      <c r="B21" s="56" t="s">
        <v>94</v>
      </c>
      <c r="C21" s="76" t="s">
        <v>69</v>
      </c>
      <c r="D21" s="77" t="str">
        <f t="shared" si="1"/>
        <v>2.5.2</v>
      </c>
      <c r="E21" s="78" t="s">
        <v>95</v>
      </c>
      <c r="F21" s="56" t="s">
        <v>73</v>
      </c>
      <c r="G21" s="56">
        <v>6000</v>
      </c>
      <c r="H21" s="57">
        <v>33</v>
      </c>
      <c r="I21" s="58">
        <f t="shared" si="0"/>
        <v>198000</v>
      </c>
      <c r="K21" s="128">
        <f t="shared" si="2"/>
        <v>6534000</v>
      </c>
    </row>
    <row r="22" spans="1:11" s="79" customFormat="1" ht="36" customHeight="1" thickBot="1" x14ac:dyDescent="0.25">
      <c r="A22" s="75">
        <v>13</v>
      </c>
      <c r="B22" s="56" t="s">
        <v>99</v>
      </c>
      <c r="C22" s="76" t="s">
        <v>69</v>
      </c>
      <c r="D22" s="77" t="str">
        <f t="shared" si="1"/>
        <v>2.5.2</v>
      </c>
      <c r="E22" s="78" t="s">
        <v>98</v>
      </c>
      <c r="F22" s="56" t="s">
        <v>73</v>
      </c>
      <c r="G22" s="56">
        <v>7700</v>
      </c>
      <c r="H22" s="57">
        <v>89</v>
      </c>
      <c r="I22" s="58">
        <f t="shared" si="0"/>
        <v>685300</v>
      </c>
      <c r="K22" s="128">
        <f t="shared" si="2"/>
        <v>60991700</v>
      </c>
    </row>
    <row r="23" spans="1:11" s="79" customFormat="1" ht="42.75" customHeight="1" thickBot="1" x14ac:dyDescent="0.25">
      <c r="A23" s="75">
        <v>14</v>
      </c>
      <c r="B23" s="56" t="s">
        <v>96</v>
      </c>
      <c r="C23" s="76" t="s">
        <v>69</v>
      </c>
      <c r="D23" s="77" t="str">
        <f t="shared" ref="D23" si="3">LEFT(B23,5)</f>
        <v>2.5.2</v>
      </c>
      <c r="E23" s="78" t="s">
        <v>97</v>
      </c>
      <c r="F23" s="56" t="s">
        <v>73</v>
      </c>
      <c r="G23" s="56">
        <v>1200</v>
      </c>
      <c r="H23" s="57">
        <v>106.39</v>
      </c>
      <c r="I23" s="58">
        <f t="shared" si="0"/>
        <v>127668</v>
      </c>
      <c r="K23" s="128">
        <f t="shared" si="2"/>
        <v>13582598.52</v>
      </c>
    </row>
    <row r="25" spans="1:11" ht="13.5" thickBot="1" x14ac:dyDescent="0.25"/>
    <row r="26" spans="1:11" x14ac:dyDescent="0.2">
      <c r="B26" s="42" t="s">
        <v>14</v>
      </c>
      <c r="C26" s="43"/>
      <c r="D26" s="43"/>
      <c r="E26" s="44"/>
      <c r="K26" s="129">
        <f>SUM(K10:K23)</f>
        <v>5209179213.5200005</v>
      </c>
    </row>
    <row r="27" spans="1:11" ht="5.25" customHeight="1" x14ac:dyDescent="0.2">
      <c r="B27" s="45"/>
      <c r="C27" s="46"/>
      <c r="D27" s="46"/>
      <c r="E27" s="47"/>
    </row>
    <row r="28" spans="1:11" x14ac:dyDescent="0.2">
      <c r="B28" s="48" t="s">
        <v>15</v>
      </c>
      <c r="C28" s="46"/>
      <c r="D28" s="46"/>
      <c r="E28" s="47"/>
    </row>
    <row r="29" spans="1:11" ht="41.25" customHeight="1" x14ac:dyDescent="0.2">
      <c r="B29" s="48"/>
      <c r="C29" s="83"/>
      <c r="D29" s="83"/>
      <c r="E29" s="83"/>
    </row>
    <row r="30" spans="1:11" x14ac:dyDescent="0.2">
      <c r="B30" s="48" t="s">
        <v>16</v>
      </c>
      <c r="C30" s="46"/>
      <c r="D30" s="46"/>
      <c r="E30" s="47"/>
    </row>
    <row r="31" spans="1:11" x14ac:dyDescent="0.2">
      <c r="B31" s="49"/>
      <c r="C31" s="84" t="s">
        <v>63</v>
      </c>
      <c r="D31" s="84"/>
      <c r="E31" s="84"/>
    </row>
    <row r="32" spans="1:11" x14ac:dyDescent="0.2">
      <c r="B32" s="49"/>
      <c r="C32" s="85"/>
      <c r="D32" s="85"/>
      <c r="E32" s="85"/>
    </row>
    <row r="33" spans="2:5" x14ac:dyDescent="0.2">
      <c r="B33" s="48" t="s">
        <v>17</v>
      </c>
      <c r="C33" s="46"/>
      <c r="D33" s="46"/>
      <c r="E33" s="47"/>
    </row>
    <row r="34" spans="2:5" ht="26.25" customHeight="1" x14ac:dyDescent="0.2">
      <c r="B34" s="49"/>
      <c r="C34" s="83"/>
      <c r="D34" s="83"/>
      <c r="E34" s="83"/>
    </row>
    <row r="35" spans="2:5" x14ac:dyDescent="0.2">
      <c r="B35" s="48" t="s">
        <v>18</v>
      </c>
      <c r="C35" s="50"/>
      <c r="D35" s="50"/>
      <c r="E35" s="51"/>
    </row>
    <row r="36" spans="2:5" ht="26.25" customHeight="1" x14ac:dyDescent="0.2">
      <c r="B36" s="49"/>
      <c r="C36" s="87" t="s">
        <v>64</v>
      </c>
      <c r="D36" s="87"/>
      <c r="E36" s="87"/>
    </row>
    <row r="37" spans="2:5" x14ac:dyDescent="0.2">
      <c r="B37" s="48" t="s">
        <v>19</v>
      </c>
      <c r="C37" s="46"/>
      <c r="D37" s="46"/>
      <c r="E37" s="47"/>
    </row>
    <row r="38" spans="2:5" ht="23.25" customHeight="1" x14ac:dyDescent="0.2">
      <c r="B38" s="48"/>
      <c r="C38" s="86"/>
      <c r="D38" s="86"/>
      <c r="E38" s="86"/>
    </row>
    <row r="39" spans="2:5" x14ac:dyDescent="0.2">
      <c r="B39" s="52"/>
      <c r="C39" s="53"/>
      <c r="D39" s="53"/>
      <c r="E39" s="54"/>
    </row>
    <row r="41" spans="2:5" x14ac:dyDescent="0.2">
      <c r="B41" s="42" t="s">
        <v>20</v>
      </c>
      <c r="C41" s="43"/>
      <c r="D41" s="43"/>
      <c r="E41" s="44"/>
    </row>
    <row r="42" spans="2:5" ht="7.5" customHeight="1" x14ac:dyDescent="0.2">
      <c r="B42" s="45"/>
      <c r="C42" s="46"/>
      <c r="D42" s="46"/>
      <c r="E42" s="47"/>
    </row>
    <row r="43" spans="2:5" x14ac:dyDescent="0.2">
      <c r="B43" s="48" t="s">
        <v>15</v>
      </c>
      <c r="C43" s="46"/>
      <c r="D43" s="46"/>
      <c r="E43" s="47"/>
    </row>
    <row r="44" spans="2:5" ht="39" customHeight="1" x14ac:dyDescent="0.2">
      <c r="B44" s="48"/>
      <c r="C44" s="83"/>
      <c r="D44" s="83"/>
      <c r="E44" s="83"/>
    </row>
    <row r="45" spans="2:5" x14ac:dyDescent="0.2">
      <c r="B45" s="48" t="s">
        <v>16</v>
      </c>
      <c r="C45" s="46"/>
      <c r="D45" s="46"/>
      <c r="E45" s="47"/>
    </row>
    <row r="46" spans="2:5" x14ac:dyDescent="0.2">
      <c r="B46" s="49"/>
      <c r="C46" s="86"/>
      <c r="D46" s="86"/>
      <c r="E46" s="86"/>
    </row>
    <row r="47" spans="2:5" x14ac:dyDescent="0.2">
      <c r="B47" s="49"/>
      <c r="C47" s="86"/>
      <c r="D47" s="86"/>
      <c r="E47" s="86"/>
    </row>
    <row r="48" spans="2:5" x14ac:dyDescent="0.2">
      <c r="B48" s="48" t="s">
        <v>17</v>
      </c>
      <c r="C48" s="46"/>
      <c r="D48" s="46"/>
      <c r="E48" s="47"/>
    </row>
    <row r="49" spans="2:5" x14ac:dyDescent="0.2">
      <c r="B49" s="49"/>
      <c r="C49" s="83"/>
      <c r="D49" s="83"/>
      <c r="E49" s="83"/>
    </row>
    <row r="50" spans="2:5" x14ac:dyDescent="0.2">
      <c r="B50" s="48" t="s">
        <v>18</v>
      </c>
      <c r="C50" s="50"/>
      <c r="D50" s="50"/>
      <c r="E50" s="51"/>
    </row>
    <row r="51" spans="2:5" x14ac:dyDescent="0.2">
      <c r="B51" s="49"/>
      <c r="C51" s="83"/>
      <c r="D51" s="83"/>
      <c r="E51" s="83"/>
    </row>
    <row r="52" spans="2:5" x14ac:dyDescent="0.2">
      <c r="B52" s="48" t="s">
        <v>19</v>
      </c>
      <c r="C52" s="46"/>
      <c r="D52" s="46"/>
      <c r="E52" s="47"/>
    </row>
    <row r="53" spans="2:5" x14ac:dyDescent="0.2">
      <c r="B53" s="48"/>
      <c r="C53" s="86"/>
      <c r="D53" s="86"/>
      <c r="E53" s="86"/>
    </row>
    <row r="54" spans="2:5" x14ac:dyDescent="0.2">
      <c r="B54" s="52"/>
      <c r="C54" s="53"/>
      <c r="D54" s="53"/>
      <c r="E54" s="54"/>
    </row>
  </sheetData>
  <mergeCells count="19">
    <mergeCell ref="C47:E47"/>
    <mergeCell ref="C49:E49"/>
    <mergeCell ref="C51:E51"/>
    <mergeCell ref="C53:E53"/>
    <mergeCell ref="C34:E34"/>
    <mergeCell ref="C36:E36"/>
    <mergeCell ref="C38:E38"/>
    <mergeCell ref="C44:E44"/>
    <mergeCell ref="C46:E46"/>
    <mergeCell ref="A6:B6"/>
    <mergeCell ref="A7:B7"/>
    <mergeCell ref="C29:E29"/>
    <mergeCell ref="C31:E31"/>
    <mergeCell ref="C32:E3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6"/>
  <sheetViews>
    <sheetView zoomScale="70" zoomScaleNormal="70" workbookViewId="0">
      <selection activeCell="A4" sqref="A4:C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85546875" style="2" customWidth="1"/>
    <col min="11" max="11" width="46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8" t="s">
        <v>21</v>
      </c>
      <c r="B1" s="88"/>
      <c r="C1" s="88"/>
      <c r="D1" s="88"/>
      <c r="E1" s="88"/>
      <c r="F1" s="88"/>
      <c r="G1" s="88"/>
      <c r="H1" s="88"/>
      <c r="I1" s="88"/>
      <c r="J1" s="3" t="s">
        <v>22</v>
      </c>
      <c r="K1" s="61" t="s">
        <v>104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9" t="s">
        <v>55</v>
      </c>
      <c r="B3" s="89"/>
      <c r="C3" s="89"/>
      <c r="D3" s="90" t="str">
        <f>'Necesidades Trimestrales'!C4</f>
        <v>40 - Ministerio de Salud</v>
      </c>
      <c r="E3" s="90"/>
      <c r="F3" s="90"/>
      <c r="G3" s="90"/>
      <c r="H3" s="90"/>
      <c r="I3" s="90"/>
      <c r="J3" s="90"/>
      <c r="K3" s="90"/>
    </row>
    <row r="4" spans="1:11" ht="29.25" customHeight="1" thickBot="1" x14ac:dyDescent="0.25">
      <c r="A4" s="91" t="s">
        <v>56</v>
      </c>
      <c r="B4" s="91"/>
      <c r="C4" s="91"/>
      <c r="D4" s="90" t="str">
        <f>'Necesidades Trimestrales'!C5</f>
        <v>23 - Hospital Interzonal San Juan Bautista</v>
      </c>
      <c r="E4" s="90"/>
      <c r="F4" s="90"/>
      <c r="G4" s="90"/>
      <c r="H4" s="90"/>
      <c r="I4" s="90"/>
      <c r="J4" s="90"/>
      <c r="K4" s="90"/>
    </row>
    <row r="5" spans="1:11" ht="27" customHeight="1" thickBot="1" x14ac:dyDescent="0.25">
      <c r="A5" s="91" t="s">
        <v>34</v>
      </c>
      <c r="B5" s="91"/>
      <c r="C5" s="91"/>
      <c r="D5" s="90" t="s">
        <v>61</v>
      </c>
      <c r="E5" s="90"/>
      <c r="F5" s="90"/>
      <c r="G5" s="90"/>
      <c r="H5" s="90"/>
      <c r="I5" s="90"/>
      <c r="J5" s="90"/>
      <c r="K5" s="90"/>
    </row>
    <row r="6" spans="1:11" ht="21.75" customHeight="1" thickBot="1" x14ac:dyDescent="0.25">
      <c r="A6" s="89" t="s">
        <v>57</v>
      </c>
      <c r="B6" s="89"/>
      <c r="C6" s="89"/>
      <c r="D6" s="90" t="s">
        <v>62</v>
      </c>
      <c r="E6" s="90"/>
      <c r="F6" s="90"/>
      <c r="G6" s="90"/>
      <c r="H6" s="90"/>
      <c r="I6" s="90"/>
      <c r="J6" s="90"/>
      <c r="K6" s="90"/>
    </row>
    <row r="7" spans="1:11" ht="18.75" customHeight="1" x14ac:dyDescent="0.2">
      <c r="A7" s="91" t="s">
        <v>23</v>
      </c>
      <c r="B7" s="91"/>
      <c r="C7" s="91"/>
      <c r="D7" s="90" t="str">
        <f>'Necesidades Trimestrales'!C7 &amp; "° Trimestre - Año " &amp; 'Necesidades Trimestrales'!C6</f>
        <v>2° Trimestre - Año 2022</v>
      </c>
      <c r="E7" s="90"/>
      <c r="F7" s="90"/>
      <c r="G7" s="90"/>
      <c r="H7" s="90"/>
      <c r="I7" s="90"/>
      <c r="J7" s="90"/>
      <c r="K7" s="90"/>
    </row>
    <row r="8" spans="1:11" ht="16.5" customHeight="1" x14ac:dyDescent="0.2">
      <c r="A8" s="94" t="s">
        <v>24</v>
      </c>
      <c r="B8" s="94"/>
      <c r="C8" s="94"/>
      <c r="D8" s="95" t="s">
        <v>101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6" t="s">
        <v>25</v>
      </c>
      <c r="B10" s="97" t="s">
        <v>26</v>
      </c>
      <c r="C10" s="97" t="s">
        <v>27</v>
      </c>
      <c r="D10" s="97"/>
      <c r="E10" s="97"/>
      <c r="F10" s="97"/>
      <c r="G10" s="97"/>
      <c r="H10" s="97" t="s">
        <v>28</v>
      </c>
      <c r="I10" s="97" t="s">
        <v>29</v>
      </c>
      <c r="J10" s="97" t="s">
        <v>30</v>
      </c>
      <c r="K10" s="98" t="s">
        <v>31</v>
      </c>
    </row>
    <row r="11" spans="1:11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20.25" customHeight="1" thickBot="1" x14ac:dyDescent="0.25">
      <c r="A12" s="8">
        <v>1</v>
      </c>
      <c r="B12" s="62" t="str">
        <f>'Necesidades Trimestrales'!B10</f>
        <v>2.5.2-1726.520</v>
      </c>
      <c r="C12" s="99" t="str">
        <f>'Necesidades Trimestrales'!E10</f>
        <v>SOLUCIONES P/MEDICINA; TIPO: AGUA DESTILADA, PRESENTACION: AMPOLLA DE 10 ML</v>
      </c>
      <c r="D12" s="99"/>
      <c r="E12" s="99"/>
      <c r="F12" s="99"/>
      <c r="G12" s="99"/>
      <c r="H12" s="63" t="s">
        <v>58</v>
      </c>
      <c r="I12" s="64" t="str">
        <f>'Necesidades Trimestrales'!F10</f>
        <v xml:space="preserve">AMPOLLA </v>
      </c>
      <c r="J12" s="65">
        <f>'Necesidades Trimestrales'!H10</f>
        <v>32</v>
      </c>
      <c r="K12" s="66">
        <f>'Necesidades Trimestrales'!G10</f>
        <v>8000</v>
      </c>
    </row>
    <row r="13" spans="1:11" ht="33" customHeight="1" thickBot="1" x14ac:dyDescent="0.25">
      <c r="A13" s="8">
        <v>2</v>
      </c>
      <c r="B13" s="62" t="str">
        <f>'Necesidades Trimestrales'!B11</f>
        <v>2.5.2-2183.7</v>
      </c>
      <c r="C13" s="99" t="str">
        <f>'Necesidades Trimestrales'!E11</f>
        <v>EXPANSORES PLASMATICOS; PRINCIPIO ACTIVO: ALBUMINA HUMANA, CONCENTRACION: 20 %, PRESENTACION: 50ML</v>
      </c>
      <c r="D13" s="99"/>
      <c r="E13" s="99"/>
      <c r="F13" s="99"/>
      <c r="G13" s="99"/>
      <c r="H13" s="63" t="s">
        <v>58</v>
      </c>
      <c r="I13" s="64" t="str">
        <f>'Necesidades Trimestrales'!F11</f>
        <v xml:space="preserve">SACHET </v>
      </c>
      <c r="J13" s="65">
        <f>'Necesidades Trimestrales'!H11</f>
        <v>2268</v>
      </c>
      <c r="K13" s="66">
        <f>'Necesidades Trimestrales'!G11</f>
        <v>260</v>
      </c>
    </row>
    <row r="14" spans="1:11" ht="38.25" customHeight="1" thickBot="1" x14ac:dyDescent="0.25">
      <c r="A14" s="8">
        <v>3</v>
      </c>
      <c r="B14" s="62" t="str">
        <f>'Necesidades Trimestrales'!B12</f>
        <v>2.5.2-1903.103</v>
      </c>
      <c r="C14" s="99" t="str">
        <f>'Necesidades Trimestrales'!E12</f>
        <v>RECONSTITUYENTE GENERAL; DROGA GENERICA: ALIMENTO ENTERAL PARA SONDA FORTIFICADO CON FIBRAS, FORMA FARMACEUTICA: ENVASE, PRESENTACION: 1 L, TIPO: ASOCIACION</v>
      </c>
      <c r="D14" s="99"/>
      <c r="E14" s="99"/>
      <c r="F14" s="99"/>
      <c r="G14" s="99"/>
      <c r="H14" s="63" t="s">
        <v>58</v>
      </c>
      <c r="I14" s="64" t="str">
        <f>'Necesidades Trimestrales'!F12</f>
        <v>UNIDAD</v>
      </c>
      <c r="J14" s="65">
        <f>'Necesidades Trimestrales'!H12</f>
        <v>1158</v>
      </c>
      <c r="K14" s="66">
        <f>'Necesidades Trimestrales'!G12</f>
        <v>540</v>
      </c>
    </row>
    <row r="15" spans="1:11" ht="39.75" customHeight="1" thickBot="1" x14ac:dyDescent="0.25">
      <c r="A15" s="8">
        <v>4</v>
      </c>
      <c r="B15" s="62" t="str">
        <f>'Necesidades Trimestrales'!B13</f>
        <v>2.5.2-1903.104</v>
      </c>
      <c r="C15" s="99" t="str">
        <f>'Necesidades Trimestrales'!E13</f>
        <v>RECONSTITUYENTE GENERAL; DROGA GENERICA: ALIMENTO ENTERAL PARA SONDA BAJO INDICE GLUCEMICO, FORMA FARMACEUTICA: ENVASE, PRESENTACION: 1 L, TIPO: ASOCIACION</v>
      </c>
      <c r="D15" s="99"/>
      <c r="E15" s="99"/>
      <c r="F15" s="99"/>
      <c r="G15" s="99"/>
      <c r="H15" s="63" t="s">
        <v>58</v>
      </c>
      <c r="I15" s="64" t="str">
        <f>'Necesidades Trimestrales'!F13</f>
        <v>UNIDAD</v>
      </c>
      <c r="J15" s="65">
        <f>'Necesidades Trimestrales'!H13</f>
        <v>1536</v>
      </c>
      <c r="K15" s="66">
        <f>'Necesidades Trimestrales'!G13</f>
        <v>540</v>
      </c>
    </row>
    <row r="16" spans="1:11" ht="39.75" customHeight="1" thickBot="1" x14ac:dyDescent="0.25">
      <c r="A16" s="8">
        <v>5</v>
      </c>
      <c r="B16" s="62" t="str">
        <f>'Necesidades Trimestrales'!B14</f>
        <v>2.5.2-1903.105</v>
      </c>
      <c r="C16" s="99" t="str">
        <f>'Necesidades Trimestrales'!E14</f>
        <v>RECONSTITUYENTE GENERAL; TIPO: ASOCIACION, DROGA GENERICA: ALIMENTO ENTERAL PARA SONDA BAJO INDICE GLUCEMICO, FORMA FARMACEUTICA: SOLUCION, PRESENTACION: ENVASE X 500 CM3</v>
      </c>
      <c r="D16" s="99"/>
      <c r="E16" s="99"/>
      <c r="F16" s="99"/>
      <c r="G16" s="99"/>
      <c r="H16" s="63" t="s">
        <v>58</v>
      </c>
      <c r="I16" s="64" t="str">
        <f>'Necesidades Trimestrales'!F14</f>
        <v>UNIDAD</v>
      </c>
      <c r="J16" s="65">
        <f>'Necesidades Trimestrales'!H14</f>
        <v>1145</v>
      </c>
      <c r="K16" s="66">
        <f>'Necesidades Trimestrales'!G14</f>
        <v>697</v>
      </c>
    </row>
    <row r="17" spans="1:1024" ht="37.5" customHeight="1" thickBot="1" x14ac:dyDescent="0.25">
      <c r="A17" s="8">
        <v>6</v>
      </c>
      <c r="B17" s="62" t="str">
        <f>'Necesidades Trimestrales'!B15</f>
        <v>2.5.2-1726.305</v>
      </c>
      <c r="C17" s="99" t="str">
        <f>'Necesidades Trimestrales'!E15</f>
        <v>SOLUCIONES P/MEDICINA; TIPO: CLORURO DE POTASIO 15 MEQ, PRESENTACION: AMPOLLA DE 5 mL</v>
      </c>
      <c r="D17" s="99"/>
      <c r="E17" s="99"/>
      <c r="F17" s="99"/>
      <c r="G17" s="99"/>
      <c r="H17" s="63" t="s">
        <v>58</v>
      </c>
      <c r="I17" s="64" t="str">
        <f>'Necesidades Trimestrales'!F15</f>
        <v xml:space="preserve">AMPOLLA </v>
      </c>
      <c r="J17" s="65">
        <f>'Necesidades Trimestrales'!H15</f>
        <v>29.4</v>
      </c>
      <c r="K17" s="66">
        <f>'Necesidades Trimestrales'!G15</f>
        <v>2000</v>
      </c>
    </row>
    <row r="18" spans="1:1024" ht="38.25" customHeight="1" thickBot="1" x14ac:dyDescent="0.25">
      <c r="A18" s="8">
        <v>7</v>
      </c>
      <c r="B18" s="62" t="str">
        <f>'Necesidades Trimestrales'!B16</f>
        <v>2.5.2-1726.519</v>
      </c>
      <c r="C18" s="99" t="str">
        <f>'Necesidades Trimestrales'!E16</f>
        <v>SOLUCIONES P/MEDICINA; PRESENTACION: AMPOLLA X 20 ML, TIPO: CLORURO DE SODIO MOLAR AL 20 %</v>
      </c>
      <c r="D18" s="99"/>
      <c r="E18" s="99"/>
      <c r="F18" s="99"/>
      <c r="G18" s="99"/>
      <c r="H18" s="63" t="s">
        <v>58</v>
      </c>
      <c r="I18" s="64" t="str">
        <f>'Necesidades Trimestrales'!F16</f>
        <v xml:space="preserve">AMPOLLA </v>
      </c>
      <c r="J18" s="65">
        <f>'Necesidades Trimestrales'!H16</f>
        <v>44</v>
      </c>
      <c r="K18" s="66">
        <f>'Necesidades Trimestrales'!G16</f>
        <v>600</v>
      </c>
    </row>
    <row r="19" spans="1:1024" ht="45" customHeight="1" thickBot="1" x14ac:dyDescent="0.25">
      <c r="A19" s="8">
        <v>8</v>
      </c>
      <c r="B19" s="62" t="str">
        <f>'Necesidades Trimestrales'!B17</f>
        <v>2.5.2-2689.7</v>
      </c>
      <c r="C19" s="99" t="str">
        <f>'Necesidades Trimestrales'!E17</f>
        <v>NORMALIZADORES DE CALCEMIA; TIPO: MONODROGA, DROGA GENERICA: GLUCONATO DE CALCIO 10 %, FORMA FARMACEUTICA: AMPOLLA, PRESENTACION: ENVASE X 10 mL</v>
      </c>
      <c r="D19" s="99"/>
      <c r="E19" s="99"/>
      <c r="F19" s="99"/>
      <c r="G19" s="99"/>
      <c r="H19" s="63" t="s">
        <v>58</v>
      </c>
      <c r="I19" s="64" t="str">
        <f>'Necesidades Trimestrales'!F17</f>
        <v xml:space="preserve">AMPOLLA </v>
      </c>
      <c r="J19" s="65">
        <f>'Necesidades Trimestrales'!H17</f>
        <v>84</v>
      </c>
      <c r="K19" s="66">
        <f>'Necesidades Trimestrales'!G17</f>
        <v>200</v>
      </c>
    </row>
    <row r="20" spans="1:1024" ht="32.25" customHeight="1" thickBot="1" x14ac:dyDescent="0.25">
      <c r="A20" s="8">
        <v>9</v>
      </c>
      <c r="B20" s="62" t="str">
        <f>'Necesidades Trimestrales'!B18</f>
        <v>2.5.2-1726.460</v>
      </c>
      <c r="C20" s="99" t="str">
        <f>'Necesidades Trimestrales'!E18</f>
        <v>SOLUCIONES P/MEDICINA; TIPO: HEMODIALISIS ACIDA A, PRESENTACION: ENVASE X 10 L</v>
      </c>
      <c r="D20" s="99"/>
      <c r="E20" s="99"/>
      <c r="F20" s="99"/>
      <c r="G20" s="99"/>
      <c r="H20" s="63" t="s">
        <v>58</v>
      </c>
      <c r="I20" s="64" t="str">
        <f>'Necesidades Trimestrales'!F18</f>
        <v xml:space="preserve">BIDON </v>
      </c>
      <c r="J20" s="65">
        <f>'Necesidades Trimestrales'!H18</f>
        <v>787</v>
      </c>
      <c r="K20" s="66">
        <f>'Necesidades Trimestrales'!G18</f>
        <v>650</v>
      </c>
    </row>
    <row r="21" spans="1:1024" ht="32.25" customHeight="1" thickBot="1" x14ac:dyDescent="0.25">
      <c r="A21" s="8">
        <v>10</v>
      </c>
      <c r="B21" s="62" t="str">
        <f>'Necesidades Trimestrales'!B19</f>
        <v>2.5.2-1726.449</v>
      </c>
      <c r="C21" s="99" t="str">
        <f>'Necesidades Trimestrales'!E19</f>
        <v>SOLUCIONES P/MEDICINA; TIPO: HEMODIALISIS BASICO B, PRESENTACION: ENVASE X 10 L</v>
      </c>
      <c r="D21" s="99"/>
      <c r="E21" s="99"/>
      <c r="F21" s="99"/>
      <c r="G21" s="99"/>
      <c r="H21" s="63" t="s">
        <v>58</v>
      </c>
      <c r="I21" s="64" t="str">
        <f>'Necesidades Trimestrales'!F19</f>
        <v xml:space="preserve">BIDON </v>
      </c>
      <c r="J21" s="65">
        <f>'Necesidades Trimestrales'!H19</f>
        <v>694</v>
      </c>
      <c r="K21" s="66">
        <f>'Necesidades Trimestrales'!G19</f>
        <v>960</v>
      </c>
    </row>
    <row r="22" spans="1:1024" ht="30" customHeight="1" thickBot="1" x14ac:dyDescent="0.25">
      <c r="A22" s="8">
        <v>11</v>
      </c>
      <c r="B22" s="62" t="str">
        <f>'Necesidades Trimestrales'!B20</f>
        <v>2.5.2-1726.377</v>
      </c>
      <c r="C22" s="99" t="str">
        <f>'Necesidades Trimestrales'!E20</f>
        <v>SOLUCIONES P/MEDICINA; TIPO: DEXTROSA AL 25 %, PRESENTACION: ENVASE X 500 Ml</v>
      </c>
      <c r="D22" s="99"/>
      <c r="E22" s="99"/>
      <c r="F22" s="99"/>
      <c r="G22" s="99"/>
      <c r="H22" s="63" t="s">
        <v>58</v>
      </c>
      <c r="I22" s="64" t="str">
        <f>'Necesidades Trimestrales'!F20</f>
        <v xml:space="preserve">SACHET </v>
      </c>
      <c r="J22" s="65">
        <f>'Necesidades Trimestrales'!H20</f>
        <v>208</v>
      </c>
      <c r="K22" s="66">
        <f>'Necesidades Trimestrales'!G20</f>
        <v>30</v>
      </c>
    </row>
    <row r="23" spans="1:1024" ht="27" customHeight="1" thickBot="1" x14ac:dyDescent="0.25">
      <c r="A23" s="8">
        <v>12</v>
      </c>
      <c r="B23" s="62" t="str">
        <f>'Necesidades Trimestrales'!B21</f>
        <v>2.5.2-1726.419</v>
      </c>
      <c r="C23" s="99" t="str">
        <f>'Necesidades Trimestrales'!E21</f>
        <v>SOLUCIONES P/MEDICINA; TIPO: FISIOLOGICA, PRESENTACION: ENVASE X 10 mL</v>
      </c>
      <c r="D23" s="99"/>
      <c r="E23" s="99"/>
      <c r="F23" s="99"/>
      <c r="G23" s="99"/>
      <c r="H23" s="63" t="s">
        <v>58</v>
      </c>
      <c r="I23" s="64" t="str">
        <f>'Necesidades Trimestrales'!F21</f>
        <v xml:space="preserve">SACHET </v>
      </c>
      <c r="J23" s="65">
        <f>'Necesidades Trimestrales'!H21</f>
        <v>33</v>
      </c>
      <c r="K23" s="66">
        <f>'Necesidades Trimestrales'!G21</f>
        <v>6000</v>
      </c>
    </row>
    <row r="24" spans="1:1024" ht="36" customHeight="1" thickBot="1" x14ac:dyDescent="0.25">
      <c r="A24" s="8">
        <v>13</v>
      </c>
      <c r="B24" s="62" t="str">
        <f>'Necesidades Trimestrales'!B22</f>
        <v>2.5.2-1726.369</v>
      </c>
      <c r="C24" s="99" t="str">
        <f>'Necesidades Trimestrales'!E22</f>
        <v>SOLUCIONES P/MEDICINA; TIPO: FISIOLOGICA, PRESENTACION: ENVASE X 100 mL</v>
      </c>
      <c r="D24" s="99"/>
      <c r="E24" s="99"/>
      <c r="F24" s="99"/>
      <c r="G24" s="99"/>
      <c r="H24" s="63" t="s">
        <v>58</v>
      </c>
      <c r="I24" s="64" t="str">
        <f>'Necesidades Trimestrales'!F22</f>
        <v xml:space="preserve">SACHET </v>
      </c>
      <c r="J24" s="65">
        <f>'Necesidades Trimestrales'!H22</f>
        <v>89</v>
      </c>
      <c r="K24" s="66">
        <f>'Necesidades Trimestrales'!G22</f>
        <v>7700</v>
      </c>
    </row>
    <row r="25" spans="1:1024" ht="30" customHeight="1" thickBot="1" x14ac:dyDescent="0.25">
      <c r="A25" s="8">
        <v>14</v>
      </c>
      <c r="B25" s="62" t="str">
        <f>'Necesidades Trimestrales'!B23</f>
        <v>2.5.2-1726.182</v>
      </c>
      <c r="C25" s="99" t="str">
        <f>'Necesidades Trimestrales'!E23</f>
        <v>SOLUCIONES P/MEDICINA; TIPO: RINGER LACTATO, PRESENTACION: ENVASE X 500 mL</v>
      </c>
      <c r="D25" s="99"/>
      <c r="E25" s="99"/>
      <c r="F25" s="99"/>
      <c r="G25" s="99"/>
      <c r="H25" s="63" t="s">
        <v>58</v>
      </c>
      <c r="I25" s="64" t="str">
        <f>'Necesidades Trimestrales'!F23</f>
        <v xml:space="preserve">SACHET </v>
      </c>
      <c r="J25" s="65">
        <f>'Necesidades Trimestrales'!H23</f>
        <v>106.39</v>
      </c>
      <c r="K25" s="66">
        <f>'Necesidades Trimestrales'!G23</f>
        <v>1200</v>
      </c>
    </row>
    <row r="26" spans="1:1024" ht="20.25" customHeight="1" thickBot="1" x14ac:dyDescent="0.25">
      <c r="A26" s="92" t="s">
        <v>100</v>
      </c>
      <c r="B26" s="92"/>
      <c r="C26" s="92"/>
      <c r="D26" s="92"/>
      <c r="E26" s="92"/>
      <c r="F26" s="92"/>
      <c r="G26" s="92"/>
      <c r="H26" s="92"/>
      <c r="I26" s="92"/>
      <c r="J26" s="93">
        <f>SUMPRODUCT(J12:J25,K12:K25)</f>
        <v>5395503</v>
      </c>
      <c r="K26" s="93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</sheetData>
  <mergeCells count="36">
    <mergeCell ref="C21:G21"/>
    <mergeCell ref="C22:G22"/>
    <mergeCell ref="C23:G23"/>
    <mergeCell ref="C24:G24"/>
    <mergeCell ref="C16:G16"/>
    <mergeCell ref="C17:G17"/>
    <mergeCell ref="C18:G18"/>
    <mergeCell ref="C19:G19"/>
    <mergeCell ref="C20:G20"/>
    <mergeCell ref="A26:I26"/>
    <mergeCell ref="J26:K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5:G25"/>
    <mergeCell ref="C12:G12"/>
    <mergeCell ref="C13:G13"/>
    <mergeCell ref="C14:G14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6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0" t="s">
        <v>3</v>
      </c>
      <c r="B1" s="100"/>
      <c r="C1" s="100"/>
      <c r="D1" s="101">
        <f>'Necesidades Trimestrales'!C6</f>
        <v>2022</v>
      </c>
      <c r="E1" s="101"/>
      <c r="F1" s="10"/>
      <c r="G1" s="10"/>
      <c r="H1" s="11"/>
      <c r="I1" s="11"/>
      <c r="J1" s="11"/>
      <c r="K1" s="11"/>
      <c r="L1" s="11"/>
      <c r="M1" s="11"/>
      <c r="N1" s="11"/>
      <c r="P1" s="102" t="s">
        <v>32</v>
      </c>
      <c r="Q1" s="10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2"/>
      <c r="Q2" s="102"/>
    </row>
    <row r="4" spans="1:17" s="12" customFormat="1" ht="18" customHeight="1" thickBot="1" x14ac:dyDescent="0.25">
      <c r="A4" s="103" t="s">
        <v>33</v>
      </c>
      <c r="B4" s="103"/>
      <c r="C4" s="103"/>
      <c r="D4" s="103"/>
      <c r="E4" s="103"/>
      <c r="F4" s="103"/>
      <c r="G4" s="104" t="str">
        <f>NotaPedido!D3</f>
        <v>40 - Ministerio de Salud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2" customFormat="1" ht="18" customHeight="1" thickBot="1" x14ac:dyDescent="0.25">
      <c r="A5" s="105" t="s">
        <v>56</v>
      </c>
      <c r="B5" s="106"/>
      <c r="C5" s="106"/>
      <c r="D5" s="106"/>
      <c r="E5" s="106"/>
      <c r="F5" s="107"/>
      <c r="G5" s="104" t="str">
        <f>NotaPedido!D4</f>
        <v>23 - Hospital Interzonal San Juan Bautista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2" customFormat="1" ht="18" customHeight="1" thickBot="1" x14ac:dyDescent="0.25">
      <c r="A6" s="105" t="s">
        <v>34</v>
      </c>
      <c r="B6" s="106"/>
      <c r="C6" s="106"/>
      <c r="D6" s="106"/>
      <c r="E6" s="106"/>
      <c r="F6" s="107"/>
      <c r="G6" s="104" t="str">
        <f>NotaPedido!D5</f>
        <v>168 - Direccion Asistencial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2" customFormat="1" ht="18" customHeight="1" thickBot="1" x14ac:dyDescent="0.25">
      <c r="A7" s="105" t="s">
        <v>57</v>
      </c>
      <c r="B7" s="106"/>
      <c r="C7" s="106"/>
      <c r="D7" s="106"/>
      <c r="E7" s="106"/>
      <c r="F7" s="107"/>
      <c r="G7" s="104" t="str">
        <f>NotaPedido!D6</f>
        <v>Servicio de Farmacia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thickBot="1" x14ac:dyDescent="0.25">
      <c r="A8" s="108" t="s">
        <v>35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</row>
    <row r="9" spans="1:17" ht="18" customHeight="1" x14ac:dyDescent="0.2">
      <c r="A9" s="113" t="s">
        <v>36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DOCFI-2022-01128507-CAT-DASIS#HSJB,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37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38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39</v>
      </c>
      <c r="P13" s="117"/>
      <c r="Q13" s="118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7"/>
      <c r="P14" s="117"/>
      <c r="Q14" s="118"/>
    </row>
    <row r="15" spans="1:17" ht="17.25" customHeight="1" x14ac:dyDescent="0.2">
      <c r="A15" s="69">
        <v>33</v>
      </c>
      <c r="B15" s="70"/>
      <c r="C15" s="70"/>
      <c r="D15" s="70">
        <v>2</v>
      </c>
      <c r="E15" s="70"/>
      <c r="F15" s="70">
        <v>4901</v>
      </c>
      <c r="G15" s="70">
        <v>3</v>
      </c>
      <c r="H15" s="71" t="s">
        <v>65</v>
      </c>
      <c r="I15" s="72">
        <v>2</v>
      </c>
      <c r="J15" s="72">
        <v>5</v>
      </c>
      <c r="K15" s="72">
        <v>2</v>
      </c>
      <c r="L15" s="70"/>
      <c r="M15" s="73">
        <v>1</v>
      </c>
      <c r="N15" s="71" t="s">
        <v>66</v>
      </c>
      <c r="O15" s="109" t="s">
        <v>102</v>
      </c>
      <c r="P15" s="109"/>
      <c r="Q15" s="23">
        <v>5395503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7"/>
      <c r="I16" s="25"/>
      <c r="J16" s="25"/>
      <c r="K16" s="25"/>
      <c r="L16" s="25"/>
      <c r="M16" s="26"/>
      <c r="N16" s="68"/>
      <c r="O16" s="110"/>
      <c r="P16" s="11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7"/>
      <c r="I17" s="25"/>
      <c r="J17" s="25"/>
      <c r="K17" s="25"/>
      <c r="L17" s="25"/>
      <c r="M17" s="26"/>
      <c r="N17" s="68"/>
      <c r="O17" s="110"/>
      <c r="P17" s="110"/>
      <c r="Q17" s="28"/>
      <c r="S17" s="74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7"/>
      <c r="I18" s="25"/>
      <c r="J18" s="25"/>
      <c r="K18" s="25"/>
      <c r="L18" s="25"/>
      <c r="M18" s="26"/>
      <c r="N18" s="68"/>
      <c r="O18" s="111"/>
      <c r="P18" s="11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2"/>
      <c r="P19" s="112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4"/>
      <c r="P20" s="124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5"/>
      <c r="P21" s="125"/>
      <c r="Q21" s="37"/>
    </row>
    <row r="22" spans="1:19" ht="20.25" customHeight="1" x14ac:dyDescent="0.2">
      <c r="A22" s="126" t="s">
        <v>103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38">
        <f>SUM(Q15:Q21)</f>
        <v>5395503</v>
      </c>
    </row>
    <row r="23" spans="1:19" ht="18" customHeight="1" thickBo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</row>
    <row r="24" spans="1:19" ht="17.25" customHeight="1" thickBot="1" x14ac:dyDescent="0.25">
      <c r="A24" s="119" t="s">
        <v>54</v>
      </c>
      <c r="B24" s="120"/>
      <c r="C24" s="120"/>
      <c r="D24" s="120"/>
      <c r="E24" s="120"/>
      <c r="F24" s="121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9" ht="18" customHeight="1" thickBot="1" x14ac:dyDescent="0.25">
      <c r="A25" s="123" t="str">
        <f>"Para la "&amp; NotaPedido!D8 &amp;" para ser destinados al " &amp; NotaPedido!D6 &amp;"  del HISJB del Ministerio de Salud."</f>
        <v>Para la ADQUISICIÓN DE NUTRICIÓN Y SOLUCIONES para ser destinados al Servicio de Farmacia  del HISJB del Ministerio de Salud.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5" customHeight="1" x14ac:dyDescent="0.2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2022-06-29T15:18:07Z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