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452921-CAT-DPPR#MHP\"/>
    </mc:Choice>
  </mc:AlternateContent>
  <xr:revisionPtr revIDLastSave="0" documentId="8_{466454AD-7F67-4A2A-ADA3-BEE91136DFB2}" xr6:coauthVersionLast="46" xr6:coauthVersionMax="46" xr10:uidLastSave="{00000000-0000-0000-0000-000000000000}"/>
  <bookViews>
    <workbookView xWindow="-120" yWindow="-120" windowWidth="29040" windowHeight="15840" tabRatio="500" firstSheet="1" activeTab="1" xr2:uid="{00000000-000D-0000-FFFF-FFFF00000000}"/>
  </bookViews>
  <sheets>
    <sheet name="Necesidades Trimestrales" sheetId="1" state="hidden" r:id="rId1"/>
    <sheet name=" NotaPedido" sheetId="2" r:id="rId2"/>
    <sheet name="Autor Gastar" sheetId="3" r:id="rId3"/>
  </sheets>
  <definedNames>
    <definedName name="_xlnm.Print_Area" localSheetId="1">' NotaPedido'!$A$1:$K$13</definedName>
    <definedName name="_xlnm.Print_Area" localSheetId="2">'Autor Gastar'!$A$1:$Q$20</definedName>
  </definedNames>
  <calcPr calcId="181029"/>
</workbook>
</file>

<file path=xl/calcChain.xml><?xml version="1.0" encoding="utf-8"?>
<calcChain xmlns="http://schemas.openxmlformats.org/spreadsheetml/2006/main">
  <c r="J12" i="2" l="1"/>
  <c r="D7" i="2" l="1"/>
  <c r="A10" i="3"/>
  <c r="G6" i="3" l="1"/>
  <c r="G7" i="3"/>
  <c r="D3" i="2"/>
  <c r="G4" i="3" s="1"/>
  <c r="D4" i="2"/>
  <c r="G5" i="3" s="1"/>
  <c r="D1" i="3" l="1"/>
  <c r="K12" i="2"/>
  <c r="I12" i="2"/>
  <c r="C12" i="2"/>
  <c r="B12" i="2"/>
  <c r="I10" i="1"/>
  <c r="D10" i="1"/>
  <c r="I15" i="3" l="1"/>
  <c r="J15" i="3"/>
  <c r="K15" i="3"/>
  <c r="J13" i="2"/>
  <c r="I11" i="1"/>
  <c r="Q15" i="3" s="1"/>
  <c r="Q16" i="3" s="1"/>
</calcChain>
</file>

<file path=xl/sharedStrings.xml><?xml version="1.0" encoding="utf-8"?>
<sst xmlns="http://schemas.openxmlformats.org/spreadsheetml/2006/main" count="84" uniqueCount="79">
  <si>
    <t>Pedido de Necesidades Trimestrales</t>
  </si>
  <si>
    <t>JURISDICCION:</t>
  </si>
  <si>
    <t>90- Ministerio de Seguridad</t>
  </si>
  <si>
    <t xml:space="preserve">SAF N°: </t>
  </si>
  <si>
    <t>7 - Dirección Provincial de Administración de la Policía de la Provincia de Catamarca</t>
  </si>
  <si>
    <t>EJERCICIO:</t>
  </si>
  <si>
    <t>TRIMESTRE:</t>
  </si>
  <si>
    <t>2do. Trimestre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</si>
  <si>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</si>
  <si>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</si>
  <si>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</si>
  <si>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</si>
  <si>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</si>
  <si>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</si>
  <si>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</si>
  <si>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</si>
  <si>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</si>
  <si>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4.3.2-215.438</t>
  </si>
  <si>
    <t>EQUIPOS</t>
  </si>
  <si>
    <t xml:space="preserve">VEHICULOS UTILITARIOS; TIPO: CHASIS CABINA SIMPLE, CARROZADO ESPECIAL: TIPO MORGUERA, MOTOR: DIESEL, UBICACIÓN MOTOR: DELANTERA, POTENCIA: 120-180 CV, CILINDRADA: 2.100-3.000 CM3, N° DE CILINDROS: 4, N° VÁLVULAS: 16, TRACCIÓN: 4X2, MARCHA: SIN VALOR, TANQUE DE COMBUSTIBLE: 70-110 LTS., ABS: SI, AIRBAGS: SI </t>
  </si>
  <si>
    <t>UNIDAD</t>
  </si>
  <si>
    <t>Especificidades Item N° 1:</t>
  </si>
  <si>
    <t>Descripción técnica</t>
  </si>
  <si>
    <t>SEGÚN DETALLE EN ANEXO ESPECIFICACIONES. Además deberá especificar: 1) SERVICIOS que cubre la concesionaria sin cargo y cuáles no (indicando progresivamente cada service); 2) CURSO DE CAPACITACIÓN para el personal de mantenimiento; 3)Manual de información y reseteo del vehículo; 4) PATENTAMIENTO a nombre de “POLICIA DE LA PROVINCIA DE CATAMARCA” – 5) COBERTURA DE SEGURO OBLIGATORIO de responsabilidad civil contra terceros y terceros transportados por 60 (sesenta) días, contados a partir de la recepción definitiva de los móviles. -</t>
  </si>
  <si>
    <t>Plazos y lugares de entrega</t>
  </si>
  <si>
    <r>
      <t xml:space="preserve">a) LUGAR DE ENTREGA: Departamento Logística, sito en Av. Felix Avellaneda RP N° 33  KM 2., SUMALAO - VALLE VIEJO. De 08 a 12 horas. 
b) FORMA DE LA ENTREGA: Libre de flete, acarreo y embalaje, como así también, de todo riesgo de pérdida o destrucción total o parcial, por causas ajenas a la Institución.
c)  PLAZO DE ENTREGA: El Oferente deberá establecer plazo de entrega de los elementos cotizados, debiendo ser expresado en días hábiles; que no podrá ser superior a </t>
    </r>
    <r>
      <rPr>
        <b/>
        <u/>
        <sz val="10"/>
        <rFont val="Century Gothic"/>
        <family val="2"/>
      </rPr>
      <t>sesenta (60) días hábiles</t>
    </r>
    <r>
      <rPr>
        <sz val="10"/>
        <rFont val="Century Gothic"/>
        <family val="2"/>
      </rPr>
      <t>, contados a partir de la recepción de la comunicación prevista en el Reglamento Parcial N° 2 de la ley 4938.</t>
    </r>
  </si>
  <si>
    <t>Calidad Minima esperada</t>
  </si>
  <si>
    <t>QUE CUMPLA CON LO SOLICITADO.-</t>
  </si>
  <si>
    <t>Mantenimiento</t>
  </si>
  <si>
    <t>30 DIAS HÁBILES.-</t>
  </si>
  <si>
    <t>Garantia</t>
  </si>
  <si>
    <t>SEGÚN DETALLE EN ANEXO ESPECIFICACIONES.-</t>
  </si>
  <si>
    <t>NOTA DE PEDIDO</t>
  </si>
  <si>
    <t>N°</t>
  </si>
  <si>
    <t>66/2021</t>
  </si>
  <si>
    <t xml:space="preserve">JURISDICCIÓN: </t>
  </si>
  <si>
    <t>SAF:</t>
  </si>
  <si>
    <t>UNIDAD EJECUTORA:</t>
  </si>
  <si>
    <t xml:space="preserve">Policia de Catamarca </t>
  </si>
  <si>
    <t xml:space="preserve">DEPENDENCIA SOLICITANTE: </t>
  </si>
  <si>
    <t>Dirección de Bomberos</t>
  </si>
  <si>
    <t>PERIODO UTILIZACIÓN:</t>
  </si>
  <si>
    <t>OBJETO:</t>
  </si>
  <si>
    <t>Adquisicion de una Unidad Móvil Morguera que será empleada para el servicio de Traslado de Cadáveres y Exhumaciones, por pedido de la justicia ordinaria y quienes lo requieran en base a pedidos realizados por el cumplimiento de Protocolos COVID-19.-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</si>
  <si>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</si>
  <si>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</si>
  <si>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</si>
  <si>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</si>
  <si>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</si>
  <si>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</si>
  <si>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</si>
  <si>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</si>
  <si>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Costo total estimado: Pesos Cinco Millones Novecientos Noventa y Siete Mil Doscientos Sesenta y Tres con 36/100.-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</si>
  <si>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</si>
  <si>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</si>
  <si>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</si>
  <si>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</si>
  <si>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</si>
  <si>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</si>
  <si>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</si>
  <si>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</si>
  <si>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</si>
  <si>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</si>
  <si>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</si>
  <si>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</si>
  <si>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</si>
  <si>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</si>
  <si>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</si>
  <si>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</si>
  <si>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</si>
  <si>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</si>
  <si>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</si>
  <si>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</si>
  <si>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</si>
  <si>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</si>
  <si>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Equipo de Transporte, Tracción y Elevación</t>
  </si>
  <si>
    <t>TOTAL DE PESOS: Cinco Millones Novecientos Noventa y Siete Mil Doscientos Sesenta y Tres con 36/100.-</t>
  </si>
  <si>
    <t>JUSTIFICACIÓN:</t>
  </si>
  <si>
    <t>Para la Adquisicion de una Unidad Móvil Morguera que será empleada para el servicio de Traslado de Cadáveres y Exhumaciones, por pedido de la justicia ordinaria y quienes lo requieran en base a pedidos realizados por el cumplimiento de Protocolos COVID-19.-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</si>
</sst>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14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22"/>
      <name val="Century Gothic"/>
      <family val="2"/>
    </font>
    <font>
      <b/>
      <sz val="11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sz val="11"/>
      <name val="Century Gothic"/>
      <family val="2"/>
    </font>
    <font>
      <sz val="9"/>
      <name val="Century Gothic"/>
      <family val="2"/>
    </font>
    <font>
      <b/>
      <u/>
      <sz val="10"/>
      <name val="Century Gothic"/>
      <family val="2"/>
    </font>
    <font>
      <u/>
      <sz val="1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5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/>
      <top style="medium">
        <color indexed="64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</borders>
  <cellStyleXfs count="5">
    <xf numFmtId="0" fontId="0" fillId="0" borderId="0"/>
    <xf numFmtId="165" fontId="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19">
    <xf numFmtId="0" fontId="0" fillId="0" borderId="0" xfId="0"/>
    <xf numFmtId="0" fontId="5" fillId="3" borderId="0" xfId="0" applyFont="1" applyFill="1"/>
    <xf numFmtId="0" fontId="5" fillId="3" borderId="0" xfId="0" applyFont="1" applyFill="1" applyAlignment="1">
      <alignment horizontal="left" wrapText="1"/>
    </xf>
    <xf numFmtId="0" fontId="5" fillId="3" borderId="0" xfId="0" applyFont="1" applyFill="1" applyAlignment="1">
      <alignment horizontal="center" wrapText="1"/>
    </xf>
    <xf numFmtId="0" fontId="8" fillId="4" borderId="0" xfId="0" applyFont="1" applyFill="1" applyAlignment="1">
      <alignment horizontal="left" wrapText="1" indent="1"/>
    </xf>
    <xf numFmtId="0" fontId="9" fillId="3" borderId="0" xfId="0" applyFont="1" applyFill="1" applyAlignment="1">
      <alignment horizontal="left" wrapText="1"/>
    </xf>
    <xf numFmtId="0" fontId="9" fillId="3" borderId="45" xfId="0" applyFont="1" applyFill="1" applyBorder="1" applyAlignment="1">
      <alignment horizontal="center" vertical="center" wrapText="1"/>
    </xf>
    <xf numFmtId="0" fontId="9" fillId="3" borderId="46" xfId="0" applyFont="1" applyFill="1" applyBorder="1" applyAlignment="1">
      <alignment horizontal="center" vertical="center" wrapText="1"/>
    </xf>
    <xf numFmtId="0" fontId="9" fillId="3" borderId="47" xfId="0" applyFont="1" applyFill="1" applyBorder="1" applyAlignment="1">
      <alignment horizontal="center" vertical="center" wrapText="1"/>
    </xf>
    <xf numFmtId="0" fontId="9" fillId="3" borderId="48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/>
    </xf>
    <xf numFmtId="0" fontId="10" fillId="4" borderId="42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left" vertical="center" wrapText="1"/>
    </xf>
    <xf numFmtId="0" fontId="10" fillId="4" borderId="43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166" fontId="10" fillId="4" borderId="42" xfId="1" applyNumberFormat="1" applyFont="1" applyFill="1" applyBorder="1" applyAlignment="1" applyProtection="1">
      <alignment horizontal="center" vertical="center" wrapText="1"/>
    </xf>
    <xf numFmtId="166" fontId="10" fillId="4" borderId="22" xfId="1" applyNumberFormat="1" applyFont="1" applyFill="1" applyBorder="1" applyAlignment="1" applyProtection="1">
      <alignment horizontal="right" vertical="center" wrapText="1"/>
    </xf>
    <xf numFmtId="0" fontId="11" fillId="3" borderId="0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center" wrapText="1"/>
    </xf>
    <xf numFmtId="166" fontId="8" fillId="3" borderId="17" xfId="0" applyNumberFormat="1" applyFont="1" applyFill="1" applyBorder="1" applyAlignment="1">
      <alignment horizontal="right" wrapText="1"/>
    </xf>
    <xf numFmtId="0" fontId="12" fillId="3" borderId="5" xfId="0" applyFont="1" applyFill="1" applyBorder="1"/>
    <xf numFmtId="0" fontId="5" fillId="3" borderId="6" xfId="0" applyFont="1" applyFill="1" applyBorder="1"/>
    <xf numFmtId="0" fontId="5" fillId="3" borderId="7" xfId="0" applyFont="1" applyFill="1" applyBorder="1"/>
    <xf numFmtId="0" fontId="5" fillId="3" borderId="8" xfId="0" applyFont="1" applyFill="1" applyBorder="1"/>
    <xf numFmtId="0" fontId="5" fillId="3" borderId="0" xfId="0" applyFont="1" applyFill="1" applyBorder="1"/>
    <xf numFmtId="0" fontId="5" fillId="3" borderId="9" xfId="0" applyFont="1" applyFill="1" applyBorder="1"/>
    <xf numFmtId="0" fontId="13" fillId="3" borderId="8" xfId="0" applyFont="1" applyFill="1" applyBorder="1" applyAlignment="1">
      <alignment horizontal="left" indent="3"/>
    </xf>
    <xf numFmtId="0" fontId="5" fillId="3" borderId="8" xfId="0" applyFont="1" applyFill="1" applyBorder="1" applyAlignment="1">
      <alignment horizontal="left" indent="3"/>
    </xf>
    <xf numFmtId="0" fontId="5" fillId="3" borderId="9" xfId="0" applyFont="1" applyFill="1" applyBorder="1" applyAlignment="1">
      <alignment horizontal="center" wrapText="1"/>
    </xf>
    <xf numFmtId="0" fontId="5" fillId="3" borderId="10" xfId="0" applyFont="1" applyFill="1" applyBorder="1" applyAlignment="1">
      <alignment horizontal="left" indent="3"/>
    </xf>
    <xf numFmtId="0" fontId="5" fillId="3" borderId="11" xfId="0" applyFont="1" applyFill="1" applyBorder="1"/>
    <xf numFmtId="0" fontId="5" fillId="3" borderId="12" xfId="0" applyFont="1" applyFill="1" applyBorder="1"/>
    <xf numFmtId="0" fontId="5" fillId="3" borderId="0" xfId="0" applyFont="1" applyFill="1" applyBorder="1" applyAlignment="1">
      <alignment vertical="center"/>
    </xf>
    <xf numFmtId="0" fontId="5" fillId="3" borderId="55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4" borderId="54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 wrapText="1"/>
    </xf>
    <xf numFmtId="166" fontId="5" fillId="3" borderId="54" xfId="1" applyNumberFormat="1" applyFont="1" applyFill="1" applyBorder="1" applyAlignment="1" applyProtection="1">
      <alignment horizontal="center" vertical="center" wrapText="1"/>
    </xf>
    <xf numFmtId="3" fontId="5" fillId="3" borderId="22" xfId="0" applyNumberFormat="1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right" vertical="center"/>
    </xf>
    <xf numFmtId="0" fontId="9" fillId="4" borderId="14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vertical="center"/>
    </xf>
    <xf numFmtId="0" fontId="12" fillId="3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left" vertical="center"/>
    </xf>
    <xf numFmtId="0" fontId="9" fillId="3" borderId="0" xfId="0" applyFont="1" applyFill="1" applyBorder="1" applyAlignment="1">
      <alignment horizontal="left" vertical="center" wrapText="1" indent="1"/>
    </xf>
    <xf numFmtId="168" fontId="5" fillId="3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/>
    </xf>
    <xf numFmtId="0" fontId="5" fillId="3" borderId="13" xfId="0" applyFont="1" applyFill="1" applyBorder="1"/>
    <xf numFmtId="0" fontId="5" fillId="3" borderId="28" xfId="0" applyFont="1" applyFill="1" applyBorder="1"/>
    <xf numFmtId="0" fontId="5" fillId="3" borderId="15" xfId="0" applyFont="1" applyFill="1" applyBorder="1"/>
    <xf numFmtId="0" fontId="5" fillId="3" borderId="15" xfId="0" applyFont="1" applyFill="1" applyBorder="1" applyAlignment="1">
      <alignment horizontal="left"/>
    </xf>
    <xf numFmtId="0" fontId="5" fillId="3" borderId="29" xfId="0" applyFont="1" applyFill="1" applyBorder="1"/>
    <xf numFmtId="0" fontId="9" fillId="3" borderId="31" xfId="0" applyFont="1" applyFill="1" applyBorder="1" applyAlignment="1">
      <alignment horizontal="center" vertical="center"/>
    </xf>
    <xf numFmtId="0" fontId="9" fillId="3" borderId="32" xfId="0" applyFont="1" applyFill="1" applyBorder="1" applyAlignment="1">
      <alignment horizontal="center" vertical="center"/>
    </xf>
    <xf numFmtId="0" fontId="9" fillId="3" borderId="32" xfId="0" applyFont="1" applyFill="1" applyBorder="1" applyAlignment="1">
      <alignment horizontal="left" vertical="center"/>
    </xf>
    <xf numFmtId="0" fontId="9" fillId="3" borderId="33" xfId="0" applyFont="1" applyFill="1" applyBorder="1" applyAlignment="1">
      <alignment horizontal="center" vertical="center"/>
    </xf>
    <xf numFmtId="0" fontId="9" fillId="3" borderId="27" xfId="0" applyFont="1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/>
    </xf>
    <xf numFmtId="0" fontId="5" fillId="4" borderId="35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0" fontId="5" fillId="4" borderId="36" xfId="0" applyFont="1" applyFill="1" applyBorder="1" applyAlignment="1">
      <alignment horizontal="center" vertical="center"/>
    </xf>
    <xf numFmtId="166" fontId="5" fillId="3" borderId="37" xfId="3" applyNumberFormat="1" applyFont="1" applyFill="1" applyBorder="1" applyAlignment="1" applyProtection="1">
      <alignment horizontal="center" vertical="center"/>
    </xf>
    <xf numFmtId="3" fontId="9" fillId="3" borderId="0" xfId="0" applyNumberFormat="1" applyFont="1" applyFill="1" applyBorder="1" applyAlignment="1"/>
    <xf numFmtId="166" fontId="9" fillId="3" borderId="38" xfId="0" applyNumberFormat="1" applyFont="1" applyFill="1" applyBorder="1" applyAlignment="1">
      <alignment horizontal="center" vertical="center"/>
    </xf>
    <xf numFmtId="0" fontId="9" fillId="3" borderId="44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/>
    </xf>
    <xf numFmtId="0" fontId="7" fillId="3" borderId="0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left" wrapText="1" indent="1"/>
    </xf>
    <xf numFmtId="0" fontId="5" fillId="4" borderId="9" xfId="0" applyFont="1" applyFill="1" applyBorder="1" applyAlignment="1">
      <alignment horizontal="left" vertical="center" wrapText="1"/>
    </xf>
    <xf numFmtId="0" fontId="5" fillId="4" borderId="0" xfId="0" applyFont="1" applyFill="1" applyBorder="1" applyAlignment="1">
      <alignment horizontal="left" vertical="center" wrapText="1"/>
    </xf>
    <xf numFmtId="0" fontId="12" fillId="3" borderId="0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left" vertical="center" wrapText="1"/>
    </xf>
    <xf numFmtId="0" fontId="9" fillId="3" borderId="17" xfId="0" applyFont="1" applyFill="1" applyBorder="1" applyAlignment="1">
      <alignment horizontal="left" vertical="center" wrapText="1" indent="1"/>
    </xf>
    <xf numFmtId="0" fontId="5" fillId="3" borderId="18" xfId="0" applyFont="1" applyFill="1" applyBorder="1" applyAlignment="1">
      <alignment horizontal="left" vertical="center" wrapText="1"/>
    </xf>
    <xf numFmtId="0" fontId="9" fillId="3" borderId="52" xfId="0" applyFont="1" applyFill="1" applyBorder="1" applyAlignment="1">
      <alignment horizontal="left" vertical="center" wrapText="1" indent="1"/>
    </xf>
    <xf numFmtId="167" fontId="9" fillId="3" borderId="5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5" fillId="3" borderId="19" xfId="0" applyFont="1" applyFill="1" applyBorder="1" applyAlignment="1">
      <alignment horizontal="left" vertical="center"/>
    </xf>
    <xf numFmtId="0" fontId="9" fillId="4" borderId="20" xfId="0" applyFont="1" applyFill="1" applyBorder="1" applyAlignment="1">
      <alignment horizontal="left" vertical="center" wrapText="1" indent="1"/>
    </xf>
    <xf numFmtId="0" fontId="9" fillId="3" borderId="23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 wrapText="1"/>
    </xf>
    <xf numFmtId="0" fontId="9" fillId="3" borderId="44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 wrapText="1"/>
    </xf>
    <xf numFmtId="0" fontId="9" fillId="3" borderId="20" xfId="0" applyFont="1" applyFill="1" applyBorder="1" applyAlignment="1">
      <alignment horizontal="center" vertical="center" wrapText="1"/>
    </xf>
    <xf numFmtId="0" fontId="9" fillId="3" borderId="49" xfId="0" applyFont="1" applyFill="1" applyBorder="1" applyAlignment="1">
      <alignment horizontal="center" vertical="center" wrapText="1"/>
    </xf>
    <xf numFmtId="0" fontId="9" fillId="3" borderId="50" xfId="0" applyFont="1" applyFill="1" applyBorder="1" applyAlignment="1">
      <alignment horizontal="center" vertical="center" wrapText="1"/>
    </xf>
    <xf numFmtId="0" fontId="9" fillId="3" borderId="51" xfId="0" applyFont="1" applyFill="1" applyBorder="1" applyAlignment="1">
      <alignment horizontal="center" vertical="center" wrapText="1"/>
    </xf>
    <xf numFmtId="0" fontId="9" fillId="3" borderId="53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5" fillId="3" borderId="23" xfId="0" applyFont="1" applyFill="1" applyBorder="1" applyAlignment="1">
      <alignment horizontal="center"/>
    </xf>
    <xf numFmtId="1" fontId="9" fillId="3" borderId="24" xfId="0" applyNumberFormat="1" applyFont="1" applyFill="1" applyBorder="1" applyAlignment="1">
      <alignment horizontal="center"/>
    </xf>
    <xf numFmtId="0" fontId="9" fillId="3" borderId="14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/>
    <xf numFmtId="0" fontId="5" fillId="3" borderId="14" xfId="0" applyFont="1" applyFill="1" applyBorder="1" applyAlignment="1">
      <alignment horizontal="left" indent="1"/>
    </xf>
    <xf numFmtId="0" fontId="5" fillId="3" borderId="40" xfId="0" applyFont="1" applyFill="1" applyBorder="1" applyAlignment="1">
      <alignment horizontal="left" vertical="center" wrapText="1"/>
    </xf>
    <xf numFmtId="0" fontId="5" fillId="3" borderId="41" xfId="0" applyFont="1" applyFill="1" applyBorder="1" applyAlignment="1">
      <alignment horizontal="left" vertical="center" wrapText="1"/>
    </xf>
    <xf numFmtId="0" fontId="12" fillId="3" borderId="14" xfId="0" applyFont="1" applyFill="1" applyBorder="1" applyAlignment="1">
      <alignment horizontal="left"/>
    </xf>
    <xf numFmtId="0" fontId="5" fillId="3" borderId="35" xfId="0" applyFont="1" applyFill="1" applyBorder="1" applyAlignment="1">
      <alignment horizontal="left" vertical="center" wrapText="1"/>
    </xf>
    <xf numFmtId="0" fontId="5" fillId="3" borderId="26" xfId="0" applyFont="1" applyFill="1" applyBorder="1" applyAlignment="1"/>
    <xf numFmtId="0" fontId="5" fillId="3" borderId="27" xfId="0" applyFont="1" applyFill="1" applyBorder="1" applyAlignment="1">
      <alignment horizontal="left" vertical="center" wrapText="1" indent="1"/>
    </xf>
    <xf numFmtId="0" fontId="9" fillId="3" borderId="25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9" fillId="3" borderId="25" xfId="0" applyFont="1" applyFill="1" applyBorder="1" applyAlignment="1">
      <alignment horizontal="center" vertical="center" wrapText="1"/>
    </xf>
    <xf numFmtId="0" fontId="9" fillId="3" borderId="30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vertical="center" wrapText="1"/>
    </xf>
    <xf numFmtId="0" fontId="9" fillId="3" borderId="39" xfId="0" applyFont="1" applyFill="1" applyBorder="1" applyAlignment="1">
      <alignment vertical="center" wrapText="1"/>
    </xf>
    <xf numFmtId="0" fontId="9" fillId="3" borderId="20" xfId="0" applyFont="1" applyFill="1" applyBorder="1" applyAlignment="1">
      <alignment vertical="center" wrapText="1"/>
    </xf>
    <xf numFmtId="0" fontId="5" fillId="3" borderId="30" xfId="0" applyFont="1" applyFill="1" applyBorder="1" applyAlignment="1">
      <alignment vertical="center" wrapText="1"/>
    </xf>
    <xf numFmtId="0" fontId="5" fillId="4" borderId="38" xfId="0" applyFont="1" applyFill="1" applyBorder="1" applyAlignment="1">
      <alignment horizontal="left" vertical="center" wrapText="1" indent="1"/>
    </xf>
    <xf numFmtId="0" fontId="9" fillId="3" borderId="38" xfId="0" applyFont="1" applyFill="1" applyBorder="1" applyAlignment="1">
      <alignment horizontal="left" vertical="center" wrapText="1"/>
    </xf>
    <xf numFmtId="0" fontId="5" fillId="3" borderId="25" xfId="0" applyFont="1" applyFill="1" applyBorder="1" applyAlignment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7"/>
  <sheetViews>
    <sheetView zoomScale="90" zoomScaleNormal="90" workbookViewId="0">
      <selection activeCell="K19" sqref="K19:K20"/>
    </sheetView>
  </sheetViews>
  <sheetFormatPr baseColWidth="10" defaultColWidth="11" defaultRowHeight="13.5" x14ac:dyDescent="0.25"/>
  <cols>
    <col min="1" max="1" width="4.5703125" style="1" customWidth="1"/>
    <col min="2" max="2" width="12.85546875" style="1" customWidth="1"/>
    <col min="3" max="3" width="32.425781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7.140625" style="1" customWidth="1"/>
    <col min="9" max="9" width="18.5703125" style="1" customWidth="1"/>
    <col min="10" max="16384" width="11" style="1"/>
  </cols>
  <sheetData>
    <row r="2" spans="1:9" ht="28.5" x14ac:dyDescent="0.4">
      <c r="B2" s="69" t="s">
        <v>0</v>
      </c>
      <c r="C2" s="69"/>
      <c r="D2" s="69"/>
      <c r="E2" s="69"/>
      <c r="F2" s="69"/>
      <c r="G2" s="69"/>
      <c r="H2" s="69"/>
    </row>
    <row r="4" spans="1:9" ht="18" customHeight="1" x14ac:dyDescent="0.25">
      <c r="A4" s="70" t="s">
        <v>1</v>
      </c>
      <c r="B4" s="70"/>
      <c r="C4" s="71" t="s">
        <v>2</v>
      </c>
      <c r="D4" s="71"/>
      <c r="E4" s="71"/>
      <c r="F4" s="2"/>
      <c r="G4" s="3"/>
      <c r="H4" s="2"/>
    </row>
    <row r="5" spans="1:9" ht="18" customHeight="1" x14ac:dyDescent="0.25">
      <c r="A5" s="70" t="s">
        <v>3</v>
      </c>
      <c r="B5" s="70"/>
      <c r="C5" s="71" t="s">
        <v>4</v>
      </c>
      <c r="D5" s="71"/>
      <c r="E5" s="71"/>
      <c r="F5" s="2"/>
      <c r="G5" s="3"/>
      <c r="H5" s="2"/>
    </row>
    <row r="6" spans="1:9" ht="16.5" customHeight="1" x14ac:dyDescent="0.25">
      <c r="A6" s="70" t="s">
        <v>5</v>
      </c>
      <c r="B6" s="70"/>
      <c r="C6" s="4">
        <v>2021</v>
      </c>
      <c r="D6" s="5"/>
      <c r="E6" s="5"/>
      <c r="F6" s="2"/>
      <c r="G6" s="3"/>
      <c r="H6" s="2"/>
    </row>
    <row r="7" spans="1:9" ht="16.5" customHeight="1" x14ac:dyDescent="0.25">
      <c r="A7" s="70" t="s">
        <v>6</v>
      </c>
      <c r="B7" s="70"/>
      <c r="C7" s="4" t="s">
        <v>7</v>
      </c>
      <c r="D7" s="5"/>
      <c r="E7" s="5"/>
      <c r="F7" s="2"/>
      <c r="G7" s="3"/>
      <c r="H7" s="2"/>
    </row>
    <row r="8" spans="1:9" ht="14.25" thickBot="1" x14ac:dyDescent="0.3">
      <c r="B8" s="2"/>
      <c r="C8" s="3"/>
      <c r="D8" s="2"/>
      <c r="E8" s="2"/>
      <c r="F8" s="2"/>
      <c r="G8" s="3"/>
      <c r="H8" s="2"/>
    </row>
    <row r="9" spans="1:9" ht="26.25" thickBot="1" x14ac:dyDescent="0.3">
      <c r="A9" s="6" t="s">
        <v>8</v>
      </c>
      <c r="B9" s="7" t="s">
        <v>9</v>
      </c>
      <c r="C9" s="68" t="s">
        <v>10</v>
      </c>
      <c r="D9" s="68" t="s">
        <v>11</v>
      </c>
      <c r="E9" s="68" t="s">
        <v>12</v>
      </c>
      <c r="F9" s="8" t="s">
        <v>13</v>
      </c>
      <c r="G9" s="9" t="s">
        <v>14</v>
      </c>
      <c r="H9" s="7" t="s">
        <v>15</v>
      </c>
      <c r="I9" s="68" t="s">
        <v>16</v>
      </c>
    </row>
    <row r="10" spans="1:9" ht="60" customHeight="1" thickBot="1" x14ac:dyDescent="0.3">
      <c r="A10" s="10">
        <v>1</v>
      </c>
      <c r="B10" s="11" t="s">
        <v>17</v>
      </c>
      <c r="C10" s="12" t="s">
        <v>18</v>
      </c>
      <c r="D10" s="13" t="str">
        <f>LEFT(B10,5)</f>
        <v>4.3.2</v>
      </c>
      <c r="E10" s="14" t="s">
        <v>19</v>
      </c>
      <c r="F10" s="15" t="s">
        <v>20</v>
      </c>
      <c r="G10" s="16">
        <v>1</v>
      </c>
      <c r="H10" s="17">
        <v>5997263.3600000003</v>
      </c>
      <c r="I10" s="18">
        <f>H10*G10</f>
        <v>5997263.3600000003</v>
      </c>
    </row>
    <row r="11" spans="1:9" ht="21.75" customHeight="1" thickBot="1" x14ac:dyDescent="0.3">
      <c r="A11" s="19"/>
      <c r="B11" s="20"/>
      <c r="C11" s="21"/>
      <c r="D11" s="20"/>
      <c r="E11" s="21"/>
      <c r="F11" s="22"/>
      <c r="G11" s="22"/>
      <c r="H11" s="22"/>
      <c r="I11" s="23">
        <f>SUM(I10:I10)</f>
        <v>5997263.3600000003</v>
      </c>
    </row>
    <row r="14" spans="1:9" x14ac:dyDescent="0.25">
      <c r="B14" s="24" t="s">
        <v>21</v>
      </c>
      <c r="C14" s="25"/>
      <c r="D14" s="25"/>
      <c r="E14" s="26"/>
    </row>
    <row r="15" spans="1:9" ht="5.25" customHeight="1" x14ac:dyDescent="0.25">
      <c r="B15" s="27"/>
      <c r="C15" s="28"/>
      <c r="D15" s="28"/>
      <c r="E15" s="29"/>
    </row>
    <row r="16" spans="1:9" x14ac:dyDescent="0.25">
      <c r="B16" s="30" t="s">
        <v>22</v>
      </c>
      <c r="C16" s="28"/>
      <c r="D16" s="28"/>
      <c r="E16" s="29"/>
    </row>
    <row r="17" spans="2:5" ht="67.5" customHeight="1" x14ac:dyDescent="0.25">
      <c r="B17" s="30"/>
      <c r="C17" s="72" t="s">
        <v>23</v>
      </c>
      <c r="D17" s="72"/>
      <c r="E17" s="72"/>
    </row>
    <row r="18" spans="2:5" x14ac:dyDescent="0.25">
      <c r="B18" s="30" t="s">
        <v>24</v>
      </c>
      <c r="C18" s="28"/>
      <c r="D18" s="28"/>
      <c r="E18" s="29"/>
    </row>
    <row r="19" spans="2:5" ht="40.5" customHeight="1" x14ac:dyDescent="0.25">
      <c r="B19" s="31"/>
      <c r="C19" s="73" t="s">
        <v>25</v>
      </c>
      <c r="D19" s="73"/>
      <c r="E19" s="72"/>
    </row>
    <row r="20" spans="2:5" ht="74.25" customHeight="1" x14ac:dyDescent="0.25">
      <c r="B20" s="31"/>
      <c r="C20" s="73"/>
      <c r="D20" s="73"/>
      <c r="E20" s="72"/>
    </row>
    <row r="21" spans="2:5" x14ac:dyDescent="0.25">
      <c r="B21" s="30" t="s">
        <v>26</v>
      </c>
      <c r="C21" s="28"/>
      <c r="D21" s="28"/>
      <c r="E21" s="29"/>
    </row>
    <row r="22" spans="2:5" ht="26.25" customHeight="1" x14ac:dyDescent="0.25">
      <c r="B22" s="31"/>
      <c r="C22" s="72" t="s">
        <v>27</v>
      </c>
      <c r="D22" s="72"/>
      <c r="E22" s="72"/>
    </row>
    <row r="23" spans="2:5" x14ac:dyDescent="0.25">
      <c r="B23" s="30" t="s">
        <v>28</v>
      </c>
      <c r="C23" s="22"/>
      <c r="D23" s="22"/>
      <c r="E23" s="32"/>
    </row>
    <row r="24" spans="2:5" ht="26.25" customHeight="1" x14ac:dyDescent="0.25">
      <c r="B24" s="31"/>
      <c r="C24" s="72" t="s">
        <v>29</v>
      </c>
      <c r="D24" s="72"/>
      <c r="E24" s="72"/>
    </row>
    <row r="25" spans="2:5" x14ac:dyDescent="0.25">
      <c r="B25" s="30" t="s">
        <v>30</v>
      </c>
      <c r="C25" s="28"/>
      <c r="D25" s="28"/>
      <c r="E25" s="29"/>
    </row>
    <row r="26" spans="2:5" ht="23.25" customHeight="1" x14ac:dyDescent="0.25">
      <c r="B26" s="30"/>
      <c r="C26" s="72" t="s">
        <v>31</v>
      </c>
      <c r="D26" s="72"/>
      <c r="E26" s="72"/>
    </row>
    <row r="27" spans="2:5" ht="14.25" thickBot="1" x14ac:dyDescent="0.3">
      <c r="B27" s="33"/>
      <c r="C27" s="34"/>
      <c r="D27" s="34"/>
      <c r="E27" s="35"/>
    </row>
  </sheetData>
  <mergeCells count="12">
    <mergeCell ref="C22:E22"/>
    <mergeCell ref="C24:E24"/>
    <mergeCell ref="C26:E26"/>
    <mergeCell ref="A6:B6"/>
    <mergeCell ref="A7:B7"/>
    <mergeCell ref="C17:E17"/>
    <mergeCell ref="C19:E20"/>
    <mergeCell ref="B2:H2"/>
    <mergeCell ref="A4:B4"/>
    <mergeCell ref="C4:E4"/>
    <mergeCell ref="A5:B5"/>
    <mergeCell ref="C5:E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J13"/>
  <sheetViews>
    <sheetView tabSelected="1" workbookViewId="0">
      <selection activeCell="D20" sqref="D20"/>
    </sheetView>
  </sheetViews>
  <sheetFormatPr baseColWidth="10" defaultColWidth="9.140625" defaultRowHeight="13.5" x14ac:dyDescent="0.25"/>
  <cols>
    <col min="1" max="1" width="5.5703125" style="36" customWidth="1"/>
    <col min="2" max="2" width="15.140625" style="36" customWidth="1"/>
    <col min="3" max="3" width="14.140625" style="36" customWidth="1"/>
    <col min="4" max="4" width="26" style="36" customWidth="1"/>
    <col min="5" max="5" width="8" style="36" customWidth="1"/>
    <col min="6" max="6" width="7.85546875" style="36" customWidth="1"/>
    <col min="7" max="7" width="27.140625" style="36" customWidth="1"/>
    <col min="8" max="8" width="9.28515625" style="36" customWidth="1"/>
    <col min="9" max="9" width="15.5703125" style="36" customWidth="1"/>
    <col min="10" max="10" width="14.7109375" style="36" customWidth="1"/>
    <col min="11" max="11" width="15.5703125" style="36" customWidth="1"/>
    <col min="12" max="14" width="5.85546875" style="36" customWidth="1"/>
    <col min="15" max="15" width="12.5703125" style="36" customWidth="1"/>
    <col min="16" max="1024" width="9.140625" style="36"/>
    <col min="1025" max="16384" width="9.140625" style="1"/>
  </cols>
  <sheetData>
    <row r="1" spans="1:11" ht="18" customHeight="1" x14ac:dyDescent="0.25">
      <c r="A1" s="74" t="s">
        <v>32</v>
      </c>
      <c r="B1" s="74"/>
      <c r="C1" s="74"/>
      <c r="D1" s="74"/>
      <c r="E1" s="74"/>
      <c r="F1" s="74"/>
      <c r="G1" s="74"/>
      <c r="H1" s="74"/>
      <c r="I1" s="74"/>
      <c r="J1" s="43" t="s">
        <v>33</v>
      </c>
      <c r="K1" s="44" t="s">
        <v>34</v>
      </c>
    </row>
    <row r="2" spans="1:11" ht="18.75" customHeight="1" thickBot="1" x14ac:dyDescent="0.3">
      <c r="A2" s="45"/>
      <c r="B2" s="45"/>
      <c r="C2" s="45"/>
      <c r="D2" s="46"/>
      <c r="E2" s="46"/>
      <c r="F2" s="46"/>
      <c r="G2" s="46"/>
      <c r="H2" s="46"/>
      <c r="I2" s="46"/>
      <c r="J2" s="46"/>
      <c r="K2" s="46"/>
    </row>
    <row r="3" spans="1:11" ht="18.75" customHeight="1" thickBot="1" x14ac:dyDescent="0.3">
      <c r="A3" s="75" t="s">
        <v>35</v>
      </c>
      <c r="B3" s="75"/>
      <c r="C3" s="75"/>
      <c r="D3" s="76" t="str">
        <f>'Necesidades Trimestrales'!C4</f>
        <v>90- Ministerio de Seguridad</v>
      </c>
      <c r="E3" s="76"/>
      <c r="F3" s="76"/>
      <c r="G3" s="76"/>
      <c r="H3" s="76"/>
      <c r="I3" s="76"/>
      <c r="J3" s="76"/>
      <c r="K3" s="76"/>
    </row>
    <row r="4" spans="1:11" ht="18.75" customHeight="1" thickBot="1" x14ac:dyDescent="0.3">
      <c r="A4" s="77" t="s">
        <v>36</v>
      </c>
      <c r="B4" s="77"/>
      <c r="C4" s="77"/>
      <c r="D4" s="76" t="str">
        <f>'Necesidades Trimestrales'!C5</f>
        <v>7 - Dirección Provincial de Administración de la Policía de la Provincia de Catamarca</v>
      </c>
      <c r="E4" s="76"/>
      <c r="F4" s="76"/>
      <c r="G4" s="76"/>
      <c r="H4" s="76"/>
      <c r="I4" s="76"/>
      <c r="J4" s="76"/>
      <c r="K4" s="76"/>
    </row>
    <row r="5" spans="1:11" ht="18.75" customHeight="1" thickBot="1" x14ac:dyDescent="0.3">
      <c r="A5" s="77" t="s">
        <v>37</v>
      </c>
      <c r="B5" s="77"/>
      <c r="C5" s="77"/>
      <c r="D5" s="76" t="s">
        <v>38</v>
      </c>
      <c r="E5" s="76"/>
      <c r="F5" s="76"/>
      <c r="G5" s="76"/>
      <c r="H5" s="76"/>
      <c r="I5" s="76"/>
      <c r="J5" s="76"/>
      <c r="K5" s="76"/>
    </row>
    <row r="6" spans="1:11" ht="16.5" customHeight="1" thickBot="1" x14ac:dyDescent="0.3">
      <c r="A6" s="75" t="s">
        <v>39</v>
      </c>
      <c r="B6" s="75"/>
      <c r="C6" s="75"/>
      <c r="D6" s="76" t="s">
        <v>40</v>
      </c>
      <c r="E6" s="76"/>
      <c r="F6" s="76"/>
      <c r="G6" s="76"/>
      <c r="H6" s="76"/>
      <c r="I6" s="76"/>
      <c r="J6" s="76"/>
      <c r="K6" s="76"/>
    </row>
    <row r="7" spans="1:11" ht="16.5" customHeight="1" x14ac:dyDescent="0.25">
      <c r="A7" s="77" t="s">
        <v>41</v>
      </c>
      <c r="B7" s="77"/>
      <c r="C7" s="77"/>
      <c r="D7" s="76" t="str">
        <f>'Necesidades Trimestrales'!C7 &amp; "  "  &amp;  'Necesidades Trimestrales'!C6</f>
        <v>2do. Trimestre  2021</v>
      </c>
      <c r="E7" s="76"/>
      <c r="F7" s="76"/>
      <c r="G7" s="76"/>
      <c r="H7" s="76"/>
      <c r="I7" s="76"/>
      <c r="J7" s="76"/>
      <c r="K7" s="76"/>
    </row>
    <row r="8" spans="1:11" ht="46.5" customHeight="1" x14ac:dyDescent="0.25">
      <c r="A8" s="83" t="s">
        <v>42</v>
      </c>
      <c r="B8" s="83"/>
      <c r="C8" s="83"/>
      <c r="D8" s="84" t="s">
        <v>43</v>
      </c>
      <c r="E8" s="84"/>
      <c r="F8" s="84"/>
      <c r="G8" s="84"/>
      <c r="H8" s="84"/>
      <c r="I8" s="84"/>
      <c r="J8" s="84"/>
      <c r="K8" s="84"/>
    </row>
    <row r="9" spans="1:11" x14ac:dyDescent="0.25">
      <c r="A9" s="47"/>
      <c r="B9" s="47"/>
      <c r="C9" s="47"/>
      <c r="D9" s="48"/>
      <c r="E9" s="48"/>
      <c r="F9" s="48"/>
      <c r="G9" s="48"/>
      <c r="H9" s="48"/>
      <c r="I9" s="48"/>
      <c r="J9" s="48"/>
      <c r="K9" s="48"/>
    </row>
    <row r="10" spans="1:11" ht="18.75" customHeight="1" thickBot="1" x14ac:dyDescent="0.3">
      <c r="A10" s="85" t="s">
        <v>44</v>
      </c>
      <c r="B10" s="87" t="s">
        <v>45</v>
      </c>
      <c r="C10" s="89" t="s">
        <v>46</v>
      </c>
      <c r="D10" s="90"/>
      <c r="E10" s="90"/>
      <c r="F10" s="90"/>
      <c r="G10" s="91"/>
      <c r="H10" s="95" t="s">
        <v>47</v>
      </c>
      <c r="I10" s="87" t="s">
        <v>48</v>
      </c>
      <c r="J10" s="95" t="s">
        <v>49</v>
      </c>
      <c r="K10" s="87" t="s">
        <v>50</v>
      </c>
    </row>
    <row r="11" spans="1:11" ht="24" customHeight="1" thickBot="1" x14ac:dyDescent="0.3">
      <c r="A11" s="86"/>
      <c r="B11" s="88"/>
      <c r="C11" s="92"/>
      <c r="D11" s="93"/>
      <c r="E11" s="93"/>
      <c r="F11" s="93"/>
      <c r="G11" s="94"/>
      <c r="H11" s="96"/>
      <c r="I11" s="88"/>
      <c r="J11" s="96"/>
      <c r="K11" s="88"/>
    </row>
    <row r="12" spans="1:11" ht="62.25" customHeight="1" x14ac:dyDescent="0.25">
      <c r="A12" s="37">
        <v>1</v>
      </c>
      <c r="B12" s="38" t="str">
        <f>'Necesidades Trimestrales'!B10</f>
        <v>4.3.2-215.438</v>
      </c>
      <c r="C12" s="80" t="str">
        <f>'Necesidades Trimestrales'!E10</f>
        <v xml:space="preserve">VEHICULOS UTILITARIOS; TIPO: CHASIS CABINA SIMPLE, CARROZADO ESPECIAL: TIPO MORGUERA, MOTOR: DIESEL, UBICACIÓN MOTOR: DELANTERA, POTENCIA: 120-180 CV, CILINDRADA: 2.100-3.000 CM3, N° DE CILINDROS: 4, N° VÁLVULAS: 16, TRACCIÓN: 4X2, MARCHA: SIN VALOR, TANQUE DE COMBUSTIBLE: 70-110 LTS., ABS: SI, AIRBAGS: SI </v>
      </c>
      <c r="D12" s="81"/>
      <c r="E12" s="81"/>
      <c r="F12" s="81"/>
      <c r="G12" s="82"/>
      <c r="H12" s="39" t="s">
        <v>51</v>
      </c>
      <c r="I12" s="40" t="str">
        <f>'Necesidades Trimestrales'!F10</f>
        <v>UNIDAD</v>
      </c>
      <c r="J12" s="41">
        <f>'Necesidades Trimestrales'!H10</f>
        <v>5997263.3600000003</v>
      </c>
      <c r="K12" s="42">
        <f>'Necesidades Trimestrales'!G10</f>
        <v>1</v>
      </c>
    </row>
    <row r="13" spans="1:11" ht="20.25" customHeight="1" thickBot="1" x14ac:dyDescent="0.3">
      <c r="A13" s="78" t="s">
        <v>52</v>
      </c>
      <c r="B13" s="78"/>
      <c r="C13" s="78"/>
      <c r="D13" s="78"/>
      <c r="E13" s="78"/>
      <c r="F13" s="78"/>
      <c r="G13" s="78"/>
      <c r="H13" s="78"/>
      <c r="I13" s="78"/>
      <c r="J13" s="79">
        <f>SUMPRODUCT(J12:J12,K12:K12)</f>
        <v>5997263.3600000003</v>
      </c>
      <c r="K13" s="79"/>
    </row>
  </sheetData>
  <mergeCells count="23">
    <mergeCell ref="A13:I13"/>
    <mergeCell ref="J13:K13"/>
    <mergeCell ref="C12:G12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527777777778" right="0.196527777777778" top="0.98402777777777795" bottom="0.98402777777777795" header="0.51180555555555496" footer="0.51180555555555496"/>
  <pageSetup paperSize="9" scale="84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"/>
  <sheetViews>
    <sheetView topLeftCell="A10" workbookViewId="0">
      <selection activeCell="A21" sqref="A21"/>
    </sheetView>
  </sheetViews>
  <sheetFormatPr baseColWidth="10" defaultColWidth="11" defaultRowHeight="13.5" x14ac:dyDescent="0.25"/>
  <cols>
    <col min="1" max="5" width="4.42578125" style="1" customWidth="1"/>
    <col min="6" max="6" width="5" style="1" bestFit="1" customWidth="1"/>
    <col min="7" max="7" width="4.42578125" style="50" customWidth="1"/>
    <col min="8" max="14" width="4.42578125" style="1" customWidth="1"/>
    <col min="15" max="16" width="14.85546875" style="1" customWidth="1"/>
    <col min="17" max="17" width="15.5703125" style="1" customWidth="1"/>
    <col min="18" max="16384" width="11" style="1"/>
  </cols>
  <sheetData>
    <row r="1" spans="1:17" ht="15.75" customHeight="1" x14ac:dyDescent="0.25">
      <c r="A1" s="97" t="s">
        <v>5</v>
      </c>
      <c r="B1" s="97"/>
      <c r="C1" s="97"/>
      <c r="D1" s="98">
        <f>'Necesidades Trimestrales'!C6</f>
        <v>2021</v>
      </c>
      <c r="E1" s="98"/>
      <c r="F1" s="66"/>
      <c r="G1" s="66"/>
      <c r="H1" s="49"/>
      <c r="I1" s="49"/>
      <c r="J1" s="49"/>
      <c r="K1" s="49"/>
      <c r="L1" s="49"/>
      <c r="M1" s="49"/>
      <c r="N1" s="49"/>
      <c r="P1" s="99" t="s">
        <v>53</v>
      </c>
      <c r="Q1" s="99"/>
    </row>
    <row r="2" spans="1:17" ht="15.75" customHeight="1" x14ac:dyDescent="0.25">
      <c r="H2" s="49"/>
      <c r="I2" s="49"/>
      <c r="J2" s="49"/>
      <c r="K2" s="49"/>
      <c r="L2" s="49"/>
      <c r="M2" s="49"/>
      <c r="N2" s="49"/>
      <c r="P2" s="99"/>
      <c r="Q2" s="99"/>
    </row>
    <row r="4" spans="1:17" ht="18" customHeight="1" thickBot="1" x14ac:dyDescent="0.3">
      <c r="A4" s="100" t="s">
        <v>54</v>
      </c>
      <c r="B4" s="100"/>
      <c r="C4" s="100"/>
      <c r="D4" s="100"/>
      <c r="E4" s="100"/>
      <c r="F4" s="100"/>
      <c r="G4" s="101" t="str">
        <f>' NotaPedido'!D3</f>
        <v>90- Ministerio de Seguridad</v>
      </c>
      <c r="H4" s="101"/>
      <c r="I4" s="101"/>
      <c r="J4" s="101"/>
      <c r="K4" s="101"/>
      <c r="L4" s="101"/>
      <c r="M4" s="101"/>
      <c r="N4" s="101"/>
      <c r="O4" s="101"/>
      <c r="P4" s="101"/>
      <c r="Q4" s="101"/>
    </row>
    <row r="5" spans="1:17" ht="18" customHeight="1" thickBot="1" x14ac:dyDescent="0.3">
      <c r="A5" s="75" t="s">
        <v>36</v>
      </c>
      <c r="B5" s="102"/>
      <c r="C5" s="102"/>
      <c r="D5" s="102"/>
      <c r="E5" s="102"/>
      <c r="F5" s="103"/>
      <c r="G5" s="101" t="str">
        <f>' NotaPedido'!D4</f>
        <v>7 - Dirección Provincial de Administración de la Policía de la Provincia de Catamarca</v>
      </c>
      <c r="H5" s="101"/>
      <c r="I5" s="101"/>
      <c r="J5" s="101"/>
      <c r="K5" s="101"/>
      <c r="L5" s="101"/>
      <c r="M5" s="101"/>
      <c r="N5" s="101"/>
      <c r="O5" s="101"/>
      <c r="P5" s="101"/>
      <c r="Q5" s="101"/>
    </row>
    <row r="6" spans="1:17" ht="18" customHeight="1" thickBot="1" x14ac:dyDescent="0.3">
      <c r="A6" s="75" t="s">
        <v>37</v>
      </c>
      <c r="B6" s="102"/>
      <c r="C6" s="102"/>
      <c r="D6" s="102"/>
      <c r="E6" s="102"/>
      <c r="F6" s="103"/>
      <c r="G6" s="101" t="str">
        <f>' NotaPedido'!D5</f>
        <v xml:space="preserve">Policia de Catamarca </v>
      </c>
      <c r="H6" s="101"/>
      <c r="I6" s="101"/>
      <c r="J6" s="101"/>
      <c r="K6" s="101"/>
      <c r="L6" s="101"/>
      <c r="M6" s="101"/>
      <c r="N6" s="101"/>
      <c r="O6" s="101"/>
      <c r="P6" s="101"/>
      <c r="Q6" s="101"/>
    </row>
    <row r="7" spans="1:17" ht="18" customHeight="1" thickBot="1" x14ac:dyDescent="0.3">
      <c r="A7" s="75" t="s">
        <v>39</v>
      </c>
      <c r="B7" s="102"/>
      <c r="C7" s="102"/>
      <c r="D7" s="102"/>
      <c r="E7" s="102"/>
      <c r="F7" s="103"/>
      <c r="G7" s="101" t="str">
        <f>' NotaPedido'!D6</f>
        <v>Dirección de Bomberos</v>
      </c>
      <c r="H7" s="101"/>
      <c r="I7" s="101"/>
      <c r="J7" s="101"/>
      <c r="K7" s="101"/>
      <c r="L7" s="101"/>
      <c r="M7" s="101"/>
      <c r="N7" s="101"/>
      <c r="O7" s="101"/>
      <c r="P7" s="101"/>
      <c r="Q7" s="101"/>
    </row>
    <row r="8" spans="1:17" ht="18" customHeight="1" thickBot="1" x14ac:dyDescent="0.3">
      <c r="A8" s="104" t="s">
        <v>55</v>
      </c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04"/>
      <c r="Q8" s="104"/>
    </row>
    <row r="9" spans="1:17" ht="18" customHeight="1" x14ac:dyDescent="0.25">
      <c r="A9" s="106" t="s">
        <v>56</v>
      </c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28"/>
      <c r="P9" s="28"/>
      <c r="Q9" s="51"/>
    </row>
    <row r="10" spans="1:17" ht="54.75" customHeight="1" x14ac:dyDescent="0.25">
      <c r="A10" s="107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66/2021,  afectando la erogación resultante a los créditos presupuestarios aprobados a favor de esta Unidad Ejecutora, conforme al siguiente detalle:</v>
      </c>
      <c r="B10" s="107"/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</row>
    <row r="11" spans="1:17" ht="9" customHeight="1" x14ac:dyDescent="0.25">
      <c r="A11" s="52"/>
      <c r="B11" s="53"/>
      <c r="C11" s="53"/>
      <c r="D11" s="53"/>
      <c r="E11" s="53"/>
      <c r="F11" s="53"/>
      <c r="G11" s="54"/>
      <c r="H11" s="53"/>
      <c r="I11" s="53"/>
      <c r="J11" s="53"/>
      <c r="K11" s="53"/>
      <c r="L11" s="53"/>
      <c r="M11" s="53"/>
      <c r="N11" s="53"/>
      <c r="O11" s="53"/>
      <c r="P11" s="53"/>
      <c r="Q11" s="55"/>
    </row>
    <row r="12" spans="1:17" ht="15.75" customHeight="1" x14ac:dyDescent="0.25">
      <c r="A12" s="108" t="s">
        <v>57</v>
      </c>
      <c r="B12" s="108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</row>
    <row r="13" spans="1:17" ht="15.75" customHeight="1" x14ac:dyDescent="0.25">
      <c r="A13" s="109" t="s">
        <v>58</v>
      </c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10" t="s">
        <v>59</v>
      </c>
      <c r="P13" s="110"/>
      <c r="Q13" s="111" t="s">
        <v>60</v>
      </c>
    </row>
    <row r="14" spans="1:17" ht="15.75" customHeight="1" x14ac:dyDescent="0.25">
      <c r="A14" s="56" t="s">
        <v>61</v>
      </c>
      <c r="B14" s="57" t="s">
        <v>62</v>
      </c>
      <c r="C14" s="57" t="s">
        <v>63</v>
      </c>
      <c r="D14" s="57" t="s">
        <v>64</v>
      </c>
      <c r="E14" s="57" t="s">
        <v>65</v>
      </c>
      <c r="F14" s="57" t="s">
        <v>66</v>
      </c>
      <c r="G14" s="58" t="s">
        <v>67</v>
      </c>
      <c r="H14" s="57" t="s">
        <v>68</v>
      </c>
      <c r="I14" s="57" t="s">
        <v>69</v>
      </c>
      <c r="J14" s="57" t="s">
        <v>70</v>
      </c>
      <c r="K14" s="57" t="s">
        <v>70</v>
      </c>
      <c r="L14" s="57" t="s">
        <v>71</v>
      </c>
      <c r="M14" s="59" t="s">
        <v>72</v>
      </c>
      <c r="N14" s="60" t="s">
        <v>73</v>
      </c>
      <c r="O14" s="110"/>
      <c r="P14" s="110"/>
      <c r="Q14" s="111"/>
    </row>
    <row r="15" spans="1:17" ht="28.5" customHeight="1" x14ac:dyDescent="0.25">
      <c r="A15" s="61">
        <v>16</v>
      </c>
      <c r="B15" s="62">
        <v>0</v>
      </c>
      <c r="C15" s="62">
        <v>0</v>
      </c>
      <c r="D15" s="62">
        <v>1</v>
      </c>
      <c r="E15" s="62">
        <v>0</v>
      </c>
      <c r="F15" s="62">
        <v>10</v>
      </c>
      <c r="G15" s="62">
        <v>2</v>
      </c>
      <c r="H15" s="62">
        <v>1</v>
      </c>
      <c r="I15" s="63" t="str">
        <f>LEFT('Necesidades Trimestrales'!D10,1)</f>
        <v>4</v>
      </c>
      <c r="J15" s="63" t="str">
        <f>MID('Necesidades Trimestrales'!D10,3,1)</f>
        <v>3</v>
      </c>
      <c r="K15" s="63" t="str">
        <f>RIGHT('Necesidades Trimestrales'!D10,1)</f>
        <v>2</v>
      </c>
      <c r="L15" s="62">
        <v>0</v>
      </c>
      <c r="M15" s="64">
        <v>1</v>
      </c>
      <c r="N15" s="62" t="s">
        <v>74</v>
      </c>
      <c r="O15" s="105" t="s">
        <v>75</v>
      </c>
      <c r="P15" s="105"/>
      <c r="Q15" s="65">
        <f>'Necesidades Trimestrales'!I11</f>
        <v>5997263.3600000003</v>
      </c>
    </row>
    <row r="16" spans="1:17" ht="31.5" customHeight="1" thickBot="1" x14ac:dyDescent="0.3">
      <c r="A16" s="117" t="s">
        <v>76</v>
      </c>
      <c r="B16" s="117"/>
      <c r="C16" s="117"/>
      <c r="D16" s="117"/>
      <c r="E16" s="117"/>
      <c r="F16" s="117"/>
      <c r="G16" s="117"/>
      <c r="H16" s="117"/>
      <c r="I16" s="117"/>
      <c r="J16" s="117"/>
      <c r="K16" s="117"/>
      <c r="L16" s="117"/>
      <c r="M16" s="117"/>
      <c r="N16" s="117"/>
      <c r="O16" s="117"/>
      <c r="P16" s="117"/>
      <c r="Q16" s="67">
        <f>SUM(Q15:Q15)</f>
        <v>5997263.3600000003</v>
      </c>
    </row>
    <row r="17" spans="1:17" ht="18" customHeight="1" thickBot="1" x14ac:dyDescent="0.3">
      <c r="A17" s="118"/>
      <c r="B17" s="118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</row>
    <row r="18" spans="1:17" ht="17.25" customHeight="1" thickBot="1" x14ac:dyDescent="0.3">
      <c r="A18" s="112" t="s">
        <v>77</v>
      </c>
      <c r="B18" s="113"/>
      <c r="C18" s="113"/>
      <c r="D18" s="113"/>
      <c r="E18" s="113"/>
      <c r="F18" s="114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</row>
    <row r="19" spans="1:17" ht="23.25" customHeight="1" thickBot="1" x14ac:dyDescent="0.3">
      <c r="A19" s="116" t="s">
        <v>78</v>
      </c>
      <c r="B19" s="116"/>
      <c r="C19" s="116"/>
      <c r="D19" s="116"/>
      <c r="E19" s="116"/>
      <c r="F19" s="116"/>
      <c r="G19" s="116"/>
      <c r="H19" s="116"/>
      <c r="I19" s="116"/>
      <c r="J19" s="116"/>
      <c r="K19" s="116"/>
      <c r="L19" s="116"/>
      <c r="M19" s="116"/>
      <c r="N19" s="116"/>
      <c r="O19" s="116"/>
      <c r="P19" s="116"/>
      <c r="Q19" s="116"/>
    </row>
    <row r="20" spans="1:17" ht="20.25" customHeight="1" x14ac:dyDescent="0.25">
      <c r="A20" s="116"/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</row>
  </sheetData>
  <mergeCells count="24">
    <mergeCell ref="A18:F18"/>
    <mergeCell ref="G18:Q18"/>
    <mergeCell ref="A19:Q20"/>
    <mergeCell ref="A16:P16"/>
    <mergeCell ref="A17:Q17"/>
    <mergeCell ref="O15:P15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Jessi</dc:creator>
  <cp:keywords/>
  <dc:description/>
  <cp:lastModifiedBy>COMPRAS</cp:lastModifiedBy>
  <cp:revision>2</cp:revision>
  <dcterms:created xsi:type="dcterms:W3CDTF">2020-07-17T23:44:49Z</dcterms:created>
  <dcterms:modified xsi:type="dcterms:W3CDTF">2021-08-10T15:13:22Z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