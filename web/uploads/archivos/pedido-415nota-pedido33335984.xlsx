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45" windowWidth="20640" windowHeight="11700" tabRatio="500"/>
  </bookViews>
  <sheets>
    <sheet name="Necesidades Trimestrales" sheetId="1" r:id="rId1"/>
    <sheet name=" NotaPedido" sheetId="2" r:id="rId2"/>
    <sheet name="Autor Gastar" sheetId="3" r:id="rId3"/>
    <sheet name="ANEXO I" sheetId="4" r:id="rId4"/>
  </sheets>
  <definedNames>
    <definedName name="_xlnm.Print_Area" localSheetId="1">' NotaPedido'!$A$1:$K$35</definedName>
    <definedName name="_xlnm.Print_Area" localSheetId="2">'Autor Gastar'!$A$1:$Q$27</definedName>
    <definedName name="_xlnm.Print_Area" localSheetId="0">'Necesidades Trimestrales'!$E$9:$E$32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12" i="2"/>
  <c r="J13" i="2" l="1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K12" i="2"/>
  <c r="J12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10" i="1"/>
  <c r="A10" i="3" l="1"/>
  <c r="B12" i="2" l="1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C31" i="2"/>
  <c r="C32" i="2"/>
  <c r="C33" i="2"/>
  <c r="C34" i="2"/>
  <c r="C29" i="2"/>
  <c r="C30" i="2"/>
  <c r="C24" i="2"/>
  <c r="C25" i="2"/>
  <c r="C26" i="2"/>
  <c r="C27" i="2"/>
  <c r="C28" i="2"/>
  <c r="C20" i="2"/>
  <c r="C21" i="2"/>
  <c r="C22" i="2"/>
  <c r="C23" i="2"/>
  <c r="C19" i="2"/>
  <c r="C17" i="2"/>
  <c r="C18" i="2"/>
  <c r="C14" i="2"/>
  <c r="C15" i="2"/>
  <c r="C16" i="2"/>
  <c r="C13" i="2"/>
  <c r="C12" i="2"/>
  <c r="G6" i="3" l="1"/>
  <c r="G7" i="3"/>
  <c r="D7" i="2"/>
  <c r="D3" i="2"/>
  <c r="G4" i="3" s="1"/>
  <c r="D4" i="2"/>
  <c r="G5" i="3" s="1"/>
  <c r="D1" i="3" l="1"/>
  <c r="Q23" i="3" l="1"/>
  <c r="J35" i="2"/>
</calcChain>
</file>

<file path=xl/sharedStrings.xml><?xml version="1.0" encoding="utf-8"?>
<sst xmlns="http://schemas.openxmlformats.org/spreadsheetml/2006/main" count="245" uniqueCount="154">
  <si>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</si>
  <si>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</si>
  <si>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</si>
  <si>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</si>
  <si>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</si>
  <si>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</si>
  <si>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</si>
  <si>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</si>
  <si>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</si>
  <si>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</si>
  <si>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</si>
  <si>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</si>
  <si>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</si>
  <si>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</si>
  <si>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</si>
  <si>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</si>
  <si>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</si>
  <si>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</si>
  <si>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</si>
  <si>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</si>
  <si>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</si>
  <si>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</si>
  <si>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</si>
  <si>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</si>
  <si>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</si>
  <si>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</si>
  <si>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</si>
  <si>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</si>
  <si>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</si>
  <si>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</si>
  <si>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</si>
  <si>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</si>
  <si>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</si>
  <si>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</si>
  <si>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</si>
  <si>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</si>
  <si>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</si>
  <si>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</si>
  <si>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</si>
  <si>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</si>
  <si>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</si>
  <si>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</si>
  <si>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</si>
  <si>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</si>
  <si>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</si>
  <si>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</si>
  <si>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</si>
  <si>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</si>
  <si>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</si>
  <si>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</si>
  <si>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</si>
  <si>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</si>
  <si>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</si>
  <si>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2.1.1</t>
  </si>
  <si>
    <t>2.1.1-6546.154</t>
  </si>
  <si>
    <t>VERDURAS Y HORTALIZAS; ESTADO: NATURAL, PESO: SIN VALOR, VARIEDAD: AJO, PRESENTACION: UNIDAD</t>
  </si>
  <si>
    <t>2.1.1-6546.330</t>
  </si>
  <si>
    <t>VERDURAS Y HORTALIZAS; VARIEDAD: ZAPALLO ANCO, ESTADO: NATURAL, PRESENTACION: UNIDAD, PESO: 1 Kg</t>
  </si>
  <si>
    <t>KG.</t>
  </si>
  <si>
    <t>2.1.1-6546.207</t>
  </si>
  <si>
    <t>VERDURAS Y HORTALIZAS; VARIEDAD: BATATA, ESTADO: NATURAL, PRESENTACION: BOLSA, PESO: 10 Kg</t>
  </si>
  <si>
    <t>VERDURAS Y HORTALIZAS; VARIEDAD: BERENJENA, ESTADO: NATURAL, PRESENTACION: GRANEL, PESO: SIN VALOR</t>
  </si>
  <si>
    <t>2.1.1-6546.177</t>
  </si>
  <si>
    <t>VERDURAS Y HORTALIZAS; VARIEDAD: CEBOLLA, ESTADO: NATURAL, PRESENTACION: BOLSA, PESO: 20 Kg</t>
  </si>
  <si>
    <t>2.1.1-6546.236</t>
  </si>
  <si>
    <t>VERDURAS Y HORTALIZAS; VARIEDAD: CEBOLLA DE VERDEO, ESTADO: NATURAL, PRESENTACION: CAJON, PESO: 10 Kg, ELEM. TRANSPORTE: CAJON, MATERIAL ELEM. TRANSPORTE: CARTON, LIBRE DE GLUTEN: NO</t>
  </si>
  <si>
    <t>2.1.1-6546.377</t>
  </si>
  <si>
    <t>VERDURAS Y HORTALIZAS; VARIEDAD: ESPINACA, PRESENTACION: ATADO, ESTADO: NATURAL, PESO: SIN VALOR</t>
  </si>
  <si>
    <t>2.1.1-6546.169</t>
  </si>
  <si>
    <t>VERDURAS Y HORTALIZAS; VARIEDAD: LECHUGA ARREPOLLADA, ESTADO: NATURAL, PRESENTACION: A GRANEL, PESO: 300 GR CADA PLANTA, ELEM. TRANSPORTE: SIN, MATERIAL ELEM. TRANSPORTE: SIN, LIBRE DE GLUTEN: SI</t>
  </si>
  <si>
    <t>2.1.1-6546.374</t>
  </si>
  <si>
    <t>FRUTAS; ESTADO: NATURAL, VARIEDAD: NARANJA PARA JUGO, PRESENTACION: A GRANEL, PESO: SIN VALOR</t>
  </si>
  <si>
    <t>2.1.1-6539.7</t>
  </si>
  <si>
    <t>VERDURAS Y HORTALIZAS; VARIEDAD: PAPA, ESTADO: NATURAL, PRESENTACION: BOLSA, PESO: 50 Kg</t>
  </si>
  <si>
    <t>2.1.1-6546.234</t>
  </si>
  <si>
    <t>AVES; ESPECIE: PECHUGA DE POLLO, PRESENTACION: A GRANEL, EVISCERADO: SIN MENUDOS, TIPO: PECHUGA DE POLLO</t>
  </si>
  <si>
    <t>2.1.1-621.15</t>
  </si>
  <si>
    <t>VERDURAS Y HORTALIZAS; VARIEDAD: PEREJIL, ESTADO: NATURAL, PRESENTACION: GRANEL, PESO: SIN VALOR</t>
  </si>
  <si>
    <t>2.1.1-6546.132</t>
  </si>
  <si>
    <t>VERDURAS Y HORTALIZAS; VARIEDAD: MORRON VERDE, ESTADO: NATURAL, PRESENTACION: GRANEL, PESO: SIN VALOR</t>
  </si>
  <si>
    <t>2.1.1-6546.95</t>
  </si>
  <si>
    <t>BOLSA</t>
  </si>
  <si>
    <t>VERDURAS Y HORTALIZAS; ESTADO: NATURAL, PRESENTACION: GRANEL, PESO: SIN VALOR, VARIEDAD: ZAPALLO CRIOLLO</t>
  </si>
  <si>
    <t>2.1.1-6546.188</t>
  </si>
  <si>
    <t>024 - Hospital Interzonal de Niños</t>
  </si>
  <si>
    <t>040 - Ministerio de Salud</t>
  </si>
  <si>
    <t>Adquisición de Alimentos</t>
  </si>
  <si>
    <t>Servicio de Alimentacion y Dietoterapia</t>
  </si>
  <si>
    <t>1.1</t>
  </si>
  <si>
    <t>Alimentos para Personas</t>
  </si>
  <si>
    <t>NO</t>
  </si>
  <si>
    <t>Para la adquisición de Alimentos destinados al servico de Alimentacion y Dietoterapia del Hospital Interzonal de Niños Eva Peron, para el normal funcionamiento del organismo.</t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</si>
  <si>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30 Días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</si>
  <si>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10 días de notificada la Orden de Compra</t>
    </r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</si>
  <si>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NUTRICION Y DIETOTERAPIA -HOSPITAL INT. DE NIÑOS EVA PERON – AV. VIRGEN DEL VALLE N° 1050-CATAMARCA DE 8:00 A 12:00HS., DEBIENDO CORRER LOS GASTOS DE FLETES, ACARREO, CARGA, DESCARGA Y SEGURO A CARGO DEL ADJUDICATARIO.</t>
    </r>
  </si>
  <si>
    <r>
      <t xml:space="preserve">Condicion de Calidad:  </t>
    </r>
    <r>
      <rPr>
        <sz val="10"/>
        <rFont val="Times New Roman"/>
        <family val="1"/>
      </rPr>
      <t>El producto ofertado deberá ser provisto en su envase o unidad comercial original, cerrados en fábrica y embalados en cajas que prevean humedad, golpes u otro deterioro que pueda dañar al producto ofertado de acuerdo a lo establecido en ANEXO I - ESPECIFICACIONESTÉCNICAS</t>
    </r>
  </si>
  <si>
    <t>ANEXO I:</t>
  </si>
  <si>
    <t>ESPECIFICACIONES TÉCNICAS</t>
  </si>
  <si>
    <t>CARACTERÍSTICAS GENERALES</t>
  </si>
  <si>
    <t>REQUISITOS:</t>
  </si>
  <si>
    <t>• Estabilidad en las entregas, según fechas y horarios pactados.</t>
  </si>
  <si>
    <t>• Concordancia de los productos, condiciones y cantidades en peso o unidades pedidas, de acuerdo con la compra.</t>
  </si>
  <si>
    <t>• Tener el vehículo de transporte limpio y desinfectado, tanto en el interior como en el exterior.</t>
  </si>
  <si>
    <t>• Vestimenta sanitaria (blusa, chaqueta o delantal, pantalón y calzado blanco o de colores claros).</t>
  </si>
  <si>
    <t>• Los productos procederán de ESTABLECIMIENTOS AUTORIZADOS POR LA  AUTORIDAD COMPETENTE.</t>
  </si>
  <si>
    <t>DOCUMENTACIÓN:</t>
  </si>
  <si>
    <t>• Registro de habilitación bromatológica del establecimiento.</t>
  </si>
  <si>
    <t>• Certificado de desinfección.</t>
  </si>
  <si>
    <t>• Libreta sanitaria del personal.</t>
  </si>
  <si>
    <t>• Habilitación bromatológica del vehículo que transporta los alimentos.</t>
  </si>
  <si>
    <t>AVES:</t>
  </si>
  <si>
    <t>• La temperatura de la carne de pollo en el momento de la recepción deberá estar entre -2º C y 2ºC para las aves enfriadas y no deberá ser mayor de -15º C para las aves congeladas. Sus caracteres organolépticos (color, olor, aspecto y consistencia), deben ser característicos.</t>
  </si>
  <si>
    <t>• El envase del POLLO trozado deberá ofrecer garantías de seguridad en su cierre y cada unidad de venta será identificada adecuadamente.</t>
  </si>
  <si>
    <t>• Todos los productos encuadrados en esta clasificación deben ajustarse a la definición y requisitos, de rotulado y embalaje, establecidos en los artículos 256 y 257 – Capítulo VI (“alimentos carnes y afines”) del CÓDIGO ALIMENTARIO ARGENTINO(C.A.A).</t>
  </si>
  <si>
    <t>FRUTAS Y VERDURAS:</t>
  </si>
  <si>
    <t>• Las frutas y verduras que ingresen al establecimiento deber ser de 1ra calidad, fresca, limpias, enteras, en especial la papa debe venir sin exceso de tierra lo más limpia posible y conservando sus caracteres organolépticos característicos.</t>
  </si>
  <si>
    <t>• Uniformidad: tamaño, forma, color y madurez característicos.</t>
  </si>
  <si>
    <t>• No debe tener ningún tipo de contaminación física, química o biológica.</t>
  </si>
  <si>
    <t>• Sanas, se excluyen en todos los casos los productos afectados por podredumbre o por alteraciones, que le hagan impropio para el consumo.</t>
  </si>
  <si>
    <t>• Exentas de olor y/o sabor extraño.</t>
  </si>
  <si>
    <t>• La lechuga y cualquier otra hortaliza de hojas debe estar verde, compacta, fresca (sin indicios de marchitez), limpia y sin tejido oxidado ni hojas dañadas por insectos u otros daños.</t>
  </si>
  <si>
    <t>CAJON</t>
  </si>
  <si>
    <t>UNIDAD</t>
  </si>
  <si>
    <t>TOTAL DE PESOS: QUINIENTOS OCHENTA Y UN MIL DIEZ CON 00/100.</t>
  </si>
  <si>
    <t>546/2020</t>
  </si>
  <si>
    <t>FRUTAS; VARIEDAD: MANZANA RED DELICIOSA, ESTADO: NATURAL, PRESENTACION: ENVASE X 15 Kg, ELEM. TRANSPORTE: CAJON, MATERIAL ELEM. TRANSPORTE: CARTON</t>
  </si>
  <si>
    <t>2.1.1-6539.170</t>
  </si>
  <si>
    <t>FRUTAS; VARIEDAD: LIMON, ESTADO: NATURAL, PRESENTACION: ENVASE X 15 Kg, ELEM. TRANSPORTE: CAJON, MATERIAL ELEM. TRANSPORTE: CARTON</t>
  </si>
  <si>
    <t>2.1.1-6539.173</t>
  </si>
  <si>
    <t>FRUTAS; VARIEDAD: BANANA, ESTADO: NATURAL, PRESENTACION: ENVASE X 15 Kg, ELEM. TRANSPORTE: CAJON, MATERIAL ELEM. TRANSPORTE: CARTON</t>
  </si>
  <si>
    <t>2.1.1-6539.171</t>
  </si>
  <si>
    <t>FRUTAS; VARIEDAD: PERA, ESTADO: NATURAL, PRESENTACION: ENVASE X 20 Kg</t>
  </si>
  <si>
    <t>2.1.1-6539.157</t>
  </si>
  <si>
    <t>VERDURAS Y HORTALIZAS; VARIEDAD: REMOLACHA, ESTADO: NATURAL, PRESENTACION: ENVASE X 15 Kg, PESO: SIN VALOR</t>
  </si>
  <si>
    <t>2.1.1-6546.248</t>
  </si>
  <si>
    <t>VERDURAS Y HORTALIZAS; VARIEDAD: TOMATE REDONDO, ESTADO: NATURAL, PRESENTACION: CAJON, PESO: 10 Kg</t>
  </si>
  <si>
    <t>2.1.1-6546.18</t>
  </si>
  <si>
    <t>VERDURAS Y HORTALIZAS; VARIEDAD: ZANAHORIA, PRESENTACION: BOLSA, ESTADO: NATURAL, PESO: 20 Kg</t>
  </si>
  <si>
    <t>2.1.1-6546.167</t>
  </si>
  <si>
    <t>VERDURAS Y HORTALIZAS; VARIEDAD: ZAPALLITO REDONDO, ESTADO: NATURAL, PRESENTACION: SIN VALOR, PESO: 20 Kg</t>
  </si>
  <si>
    <t>VERDURAS Y HORTALIZAS; VARIEDAD: ZUCHINI, ESTADO: NATURAL, PRESENTACION: CAJON, PESO: 18 Kg</t>
  </si>
  <si>
    <t>2.1.1-6546.298</t>
  </si>
  <si>
    <t>ITEM 47: MAPLE POR 30 UNIDADES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</si>
  <si>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</si>
  <si>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r>
      <t xml:space="preserve">ITEM 12: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1KG</t>
    </r>
  </si>
  <si>
    <r>
      <t xml:space="preserve">ITEM 5: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1 KG</t>
    </r>
  </si>
  <si>
    <t>ITEM 17:  PESO: 1KG</t>
  </si>
  <si>
    <t>ITEM 23:  PESO: 1KG</t>
  </si>
  <si>
    <t>ITEM 14:  PESO: 1KG</t>
  </si>
  <si>
    <t>Costo total estimado: QUINIENTOS OCHENTA Y UN MIL DIEZ CON 00/100.</t>
  </si>
  <si>
    <t>2.1.1-6546.240</t>
  </si>
  <si>
    <r>
      <t xml:space="preserve">ITEM 8: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UNIDADES DE PLANTAS (ATADO) DE  300 GRS. APROX.</t>
    </r>
  </si>
  <si>
    <r>
      <t xml:space="preserve">ITEM 9: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UNIDADES DE PLANTAS (ATADO) DE  300 GRS. APROX.</t>
    </r>
  </si>
  <si>
    <t>ITEM 16:  PESO: UNIDADES DE PLANTA (ATADO) DE  150 GRS. APROX.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</si>
</sst>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b/>
      <i/>
      <u/>
      <sz val="11"/>
      <name val="Calibri"/>
      <family val="2"/>
    </font>
    <font>
      <u/>
      <sz val="9"/>
      <name val="Century Gothic"/>
      <family val="2"/>
    </font>
    <font>
      <sz val="9"/>
      <color rgb="FF000000"/>
      <name val="Century Gothic"/>
      <family val="2"/>
    </font>
    <font>
      <b/>
      <sz val="9"/>
      <color rgb="FF000000"/>
      <name val="Century Gothic"/>
      <family val="2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3" xfId="0" applyFont="1" applyBorder="1"/>
    <xf numFmtId="0" fontId="15" fillId="0" borderId="4" xfId="0" applyFont="1" applyBorder="1"/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20" fillId="0" borderId="48" xfId="0" applyFont="1" applyBorder="1" applyAlignment="1">
      <alignment horizontal="center" vertical="center"/>
    </xf>
    <xf numFmtId="0" fontId="21" fillId="0" borderId="49" xfId="0" applyFont="1" applyBorder="1" applyAlignment="1">
      <alignment horizontal="left" vertical="center" wrapText="1"/>
    </xf>
    <xf numFmtId="166" fontId="15" fillId="0" borderId="0" xfId="0" applyNumberFormat="1" applyFont="1"/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0" fillId="0" borderId="56" xfId="0" applyBorder="1"/>
    <xf numFmtId="0" fontId="5" fillId="3" borderId="10" xfId="0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66" fontId="4" fillId="3" borderId="19" xfId="1" applyNumberFormat="1" applyFont="1" applyFill="1" applyBorder="1" applyAlignment="1" applyProtection="1">
      <alignment horizontal="right" vertical="center" wrapText="1"/>
    </xf>
    <xf numFmtId="3" fontId="4" fillId="3" borderId="19" xfId="0" applyNumberFormat="1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21" fillId="4" borderId="54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166" fontId="20" fillId="4" borderId="50" xfId="1" applyNumberFormat="1" applyFont="1" applyFill="1" applyBorder="1" applyAlignment="1" applyProtection="1">
      <alignment horizontal="right" vertical="center" wrapText="1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21" fillId="0" borderId="49" xfId="0" applyFont="1" applyFill="1" applyBorder="1" applyAlignment="1">
      <alignment horizontal="left" vertical="center" wrapText="1"/>
    </xf>
    <xf numFmtId="0" fontId="21" fillId="0" borderId="53" xfId="0" applyFont="1" applyFill="1" applyBorder="1" applyAlignment="1">
      <alignment horizontal="center" vertical="center" wrapText="1"/>
    </xf>
    <xf numFmtId="0" fontId="0" fillId="0" borderId="56" xfId="0" applyFill="1" applyBorder="1"/>
    <xf numFmtId="0" fontId="21" fillId="0" borderId="54" xfId="0" applyFont="1" applyFill="1" applyBorder="1" applyAlignment="1">
      <alignment horizontal="center" vertical="center" wrapText="1"/>
    </xf>
    <xf numFmtId="0" fontId="21" fillId="0" borderId="49" xfId="0" applyFont="1" applyFill="1" applyBorder="1" applyAlignment="1">
      <alignment horizontal="center" vertical="center" wrapText="1"/>
    </xf>
    <xf numFmtId="166" fontId="20" fillId="0" borderId="49" xfId="1" applyNumberFormat="1" applyFont="1" applyFill="1" applyBorder="1" applyAlignment="1" applyProtection="1">
      <alignment horizontal="right" vertical="center" wrapText="1"/>
    </xf>
    <xf numFmtId="0" fontId="15" fillId="0" borderId="0" xfId="0" applyFont="1" applyFill="1"/>
    <xf numFmtId="166" fontId="0" fillId="0" borderId="34" xfId="3" applyNumberFormat="1" applyFont="1" applyFill="1" applyBorder="1" applyAlignment="1" applyProtection="1">
      <alignment horizontal="center" vertical="center"/>
    </xf>
    <xf numFmtId="166" fontId="13" fillId="0" borderId="44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indent="3"/>
    </xf>
    <xf numFmtId="0" fontId="15" fillId="4" borderId="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horizontal="left" wrapText="1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justify" vertical="center"/>
    </xf>
    <xf numFmtId="0" fontId="25" fillId="0" borderId="0" xfId="0" applyFont="1" applyAlignment="1">
      <alignment horizontal="justify" vertical="center"/>
    </xf>
    <xf numFmtId="0" fontId="28" fillId="0" borderId="0" xfId="0" applyFont="1" applyAlignment="1">
      <alignment horizontal="justify" vertical="center"/>
    </xf>
    <xf numFmtId="0" fontId="19" fillId="0" borderId="58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4" fillId="0" borderId="56" xfId="0" applyFont="1" applyFill="1" applyBorder="1"/>
    <xf numFmtId="0" fontId="0" fillId="0" borderId="55" xfId="0" applyFill="1" applyBorder="1"/>
    <xf numFmtId="0" fontId="22" fillId="0" borderId="5" xfId="0" applyFont="1" applyBorder="1" applyAlignment="1">
      <alignment horizontal="left" indent="3"/>
    </xf>
    <xf numFmtId="0" fontId="29" fillId="3" borderId="5" xfId="0" applyFont="1" applyFill="1" applyBorder="1" applyAlignment="1">
      <alignment horizontal="left" vertical="center"/>
    </xf>
    <xf numFmtId="0" fontId="0" fillId="3" borderId="56" xfId="0" applyFill="1" applyBorder="1"/>
    <xf numFmtId="0" fontId="0" fillId="0" borderId="62" xfId="0" applyBorder="1"/>
    <xf numFmtId="0" fontId="30" fillId="3" borderId="0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left" vertical="center" wrapText="1"/>
    </xf>
    <xf numFmtId="0" fontId="15" fillId="4" borderId="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horizontal="left" wrapText="1"/>
    </xf>
    <xf numFmtId="0" fontId="24" fillId="4" borderId="5" xfId="5" applyFont="1" applyFill="1" applyBorder="1" applyAlignment="1">
      <alignment horizontal="left" wrapText="1"/>
    </xf>
    <xf numFmtId="0" fontId="24" fillId="4" borderId="0" xfId="5" applyFont="1" applyFill="1" applyBorder="1" applyAlignment="1">
      <alignment horizontal="left" wrapText="1"/>
    </xf>
    <xf numFmtId="0" fontId="24" fillId="4" borderId="6" xfId="5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32" fillId="4" borderId="5" xfId="5" applyFont="1" applyFill="1" applyBorder="1" applyAlignment="1">
      <alignment horizontal="left" wrapText="1"/>
    </xf>
    <xf numFmtId="0" fontId="32" fillId="4" borderId="0" xfId="5" applyFont="1" applyFill="1" applyBorder="1" applyAlignment="1">
      <alignment horizontal="left" wrapText="1"/>
    </xf>
    <xf numFmtId="0" fontId="32" fillId="4" borderId="6" xfId="5" applyFont="1" applyFill="1" applyBorder="1" applyAlignment="1">
      <alignment horizontal="left" wrapText="1"/>
    </xf>
    <xf numFmtId="0" fontId="6" fillId="3" borderId="14" xfId="0" applyFont="1" applyFill="1" applyBorder="1" applyAlignment="1">
      <alignment horizontal="left" vertical="center" wrapText="1" indent="1"/>
    </xf>
    <xf numFmtId="167" fontId="7" fillId="3" borderId="14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Fill="1" applyBorder="1" applyAlignment="1">
      <alignment horizontal="left" vertical="center" wrapText="1"/>
    </xf>
    <xf numFmtId="0" fontId="0" fillId="0" borderId="22" xfId="0" applyBorder="1"/>
    <xf numFmtId="0" fontId="14" fillId="0" borderId="3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2"/>
  <sheetViews>
    <sheetView tabSelected="1" topLeftCell="A15" zoomScale="90" zoomScaleNormal="90" workbookViewId="0">
      <selection activeCell="C38" sqref="C38:E38"/>
    </sheetView>
  </sheetViews>
  <sheetFormatPr baseColWidth="10" defaultColWidth="11" defaultRowHeight="12.75" x14ac:dyDescent="0.2"/>
  <cols>
    <col min="1" max="1" width="4.5703125" style="30" customWidth="1"/>
    <col min="2" max="2" width="17.28515625" style="30" customWidth="1"/>
    <col min="3" max="3" width="13.28515625" style="30" customWidth="1"/>
    <col min="4" max="4" width="8.42578125" style="30" customWidth="1"/>
    <col min="5" max="5" width="106.140625" style="30" customWidth="1"/>
    <col min="6" max="6" width="11" style="30"/>
    <col min="7" max="7" width="10.42578125" style="30" bestFit="1" customWidth="1"/>
    <col min="8" max="8" width="13.85546875" style="30" customWidth="1"/>
    <col min="9" max="9" width="18.5703125" style="30" customWidth="1"/>
    <col min="10" max="16384" width="11" style="30"/>
  </cols>
  <sheetData>
    <row r="2" spans="1:9" ht="27" x14ac:dyDescent="0.35">
      <c r="B2" s="106" t="s">
        <v>0</v>
      </c>
      <c r="C2" s="106"/>
      <c r="D2" s="106"/>
      <c r="E2" s="106"/>
      <c r="F2" s="106"/>
      <c r="G2" s="106"/>
      <c r="H2" s="106"/>
    </row>
    <row r="3" spans="1:9" ht="12" customHeight="1" x14ac:dyDescent="0.2"/>
    <row r="4" spans="1:9" ht="18" customHeight="1" x14ac:dyDescent="0.25">
      <c r="A4" s="107" t="s">
        <v>1</v>
      </c>
      <c r="B4" s="107"/>
      <c r="C4" s="108" t="s">
        <v>85</v>
      </c>
      <c r="D4" s="108"/>
      <c r="E4" s="108"/>
      <c r="F4" s="31"/>
      <c r="G4" s="32"/>
      <c r="H4" s="31"/>
    </row>
    <row r="5" spans="1:9" ht="18" customHeight="1" x14ac:dyDescent="0.25">
      <c r="A5" s="107" t="s">
        <v>2</v>
      </c>
      <c r="B5" s="107"/>
      <c r="C5" s="108" t="s">
        <v>84</v>
      </c>
      <c r="D5" s="108"/>
      <c r="E5" s="108"/>
      <c r="F5" s="31"/>
      <c r="G5" s="32"/>
      <c r="H5" s="31"/>
    </row>
    <row r="6" spans="1:9" ht="16.5" customHeight="1" x14ac:dyDescent="0.25">
      <c r="A6" s="107" t="s">
        <v>3</v>
      </c>
      <c r="B6" s="107"/>
      <c r="C6" s="59">
        <v>2020</v>
      </c>
      <c r="D6" s="60"/>
      <c r="E6" s="60"/>
      <c r="F6" s="31"/>
      <c r="G6" s="32"/>
      <c r="H6" s="31"/>
    </row>
    <row r="7" spans="1:9" ht="16.5" customHeight="1" x14ac:dyDescent="0.25">
      <c r="A7" s="107" t="s">
        <v>4</v>
      </c>
      <c r="B7" s="107"/>
      <c r="C7" s="59">
        <v>4</v>
      </c>
      <c r="D7" s="60"/>
      <c r="E7" s="60"/>
      <c r="F7" s="31"/>
      <c r="G7" s="32"/>
      <c r="H7" s="31"/>
    </row>
    <row r="8" spans="1:9" ht="13.5" thickBot="1" x14ac:dyDescent="0.25">
      <c r="B8" s="31"/>
      <c r="C8" s="32"/>
      <c r="D8" s="31"/>
      <c r="E8" s="31"/>
      <c r="F8" s="31"/>
      <c r="G8" s="32"/>
      <c r="H8" s="31"/>
    </row>
    <row r="9" spans="1:9" ht="39.75" thickTop="1" thickBot="1" x14ac:dyDescent="0.25">
      <c r="A9" s="41" t="s">
        <v>5</v>
      </c>
      <c r="B9" s="41" t="s">
        <v>6</v>
      </c>
      <c r="C9" s="41" t="s">
        <v>7</v>
      </c>
      <c r="D9" s="42" t="s">
        <v>8</v>
      </c>
      <c r="E9" s="88" t="s">
        <v>9</v>
      </c>
      <c r="F9" s="89" t="s">
        <v>10</v>
      </c>
      <c r="G9" s="90" t="s">
        <v>11</v>
      </c>
      <c r="H9" s="90" t="s">
        <v>12</v>
      </c>
      <c r="I9" s="91" t="s">
        <v>13</v>
      </c>
    </row>
    <row r="10" spans="1:9" ht="13.5" thickTop="1" x14ac:dyDescent="0.2">
      <c r="A10" s="38">
        <v>1</v>
      </c>
      <c r="B10" s="93" t="s">
        <v>54</v>
      </c>
      <c r="C10" s="39" t="s">
        <v>52</v>
      </c>
      <c r="D10" s="43" t="s">
        <v>53</v>
      </c>
      <c r="E10" s="97" t="s">
        <v>55</v>
      </c>
      <c r="F10" s="61" t="s">
        <v>122</v>
      </c>
      <c r="G10" s="62">
        <v>400</v>
      </c>
      <c r="H10" s="63">
        <v>42</v>
      </c>
      <c r="I10" s="64">
        <f>G10*H10</f>
        <v>16800</v>
      </c>
    </row>
    <row r="11" spans="1:9" x14ac:dyDescent="0.2">
      <c r="A11" s="38">
        <v>2</v>
      </c>
      <c r="B11" s="72" t="s">
        <v>56</v>
      </c>
      <c r="C11" s="39" t="s">
        <v>52</v>
      </c>
      <c r="D11" s="43" t="s">
        <v>53</v>
      </c>
      <c r="E11" s="44" t="s">
        <v>57</v>
      </c>
      <c r="F11" s="61" t="s">
        <v>58</v>
      </c>
      <c r="G11" s="62">
        <v>1000</v>
      </c>
      <c r="H11" s="63">
        <v>35</v>
      </c>
      <c r="I11" s="64">
        <f t="shared" ref="I11:I32" si="0">G11*H11</f>
        <v>35000</v>
      </c>
    </row>
    <row r="12" spans="1:9" x14ac:dyDescent="0.2">
      <c r="A12" s="38">
        <v>3</v>
      </c>
      <c r="B12" t="s">
        <v>130</v>
      </c>
      <c r="C12" s="39" t="s">
        <v>52</v>
      </c>
      <c r="D12" s="43" t="s">
        <v>53</v>
      </c>
      <c r="E12" s="44" t="s">
        <v>129</v>
      </c>
      <c r="F12" s="61" t="s">
        <v>121</v>
      </c>
      <c r="G12" s="74">
        <v>20</v>
      </c>
      <c r="H12" s="63">
        <v>1350</v>
      </c>
      <c r="I12" s="64">
        <f t="shared" si="0"/>
        <v>27000</v>
      </c>
    </row>
    <row r="13" spans="1:9" s="76" customFormat="1" x14ac:dyDescent="0.2">
      <c r="A13" s="38">
        <v>4</v>
      </c>
      <c r="B13" s="72" t="s">
        <v>59</v>
      </c>
      <c r="C13" s="70" t="s">
        <v>52</v>
      </c>
      <c r="D13" s="71" t="s">
        <v>53</v>
      </c>
      <c r="E13" s="72" t="s">
        <v>60</v>
      </c>
      <c r="F13" s="73" t="s">
        <v>81</v>
      </c>
      <c r="G13" s="74">
        <v>10</v>
      </c>
      <c r="H13" s="75">
        <v>500</v>
      </c>
      <c r="I13" s="64">
        <f t="shared" si="0"/>
        <v>5000</v>
      </c>
    </row>
    <row r="14" spans="1:9" s="76" customFormat="1" x14ac:dyDescent="0.2">
      <c r="A14" s="38">
        <v>5</v>
      </c>
      <c r="B14" s="72" t="s">
        <v>62</v>
      </c>
      <c r="C14" s="70" t="s">
        <v>52</v>
      </c>
      <c r="D14" s="71" t="s">
        <v>53</v>
      </c>
      <c r="E14" s="96" t="s">
        <v>61</v>
      </c>
      <c r="F14" s="73" t="s">
        <v>58</v>
      </c>
      <c r="G14" s="74">
        <v>100</v>
      </c>
      <c r="H14" s="75">
        <v>95</v>
      </c>
      <c r="I14" s="64">
        <f t="shared" si="0"/>
        <v>9500</v>
      </c>
    </row>
    <row r="15" spans="1:9" s="76" customFormat="1" x14ac:dyDescent="0.2">
      <c r="A15" s="38">
        <v>6</v>
      </c>
      <c r="B15" s="72" t="s">
        <v>64</v>
      </c>
      <c r="C15" s="70" t="s">
        <v>52</v>
      </c>
      <c r="D15" s="71" t="s">
        <v>53</v>
      </c>
      <c r="E15" s="92" t="s">
        <v>63</v>
      </c>
      <c r="F15" s="73" t="s">
        <v>81</v>
      </c>
      <c r="G15" s="74">
        <v>100</v>
      </c>
      <c r="H15" s="75">
        <v>850</v>
      </c>
      <c r="I15" s="64">
        <f t="shared" si="0"/>
        <v>85000</v>
      </c>
    </row>
    <row r="16" spans="1:9" s="76" customFormat="1" x14ac:dyDescent="0.2">
      <c r="A16" s="38">
        <v>7</v>
      </c>
      <c r="B16" s="72" t="s">
        <v>66</v>
      </c>
      <c r="C16" s="70" t="s">
        <v>52</v>
      </c>
      <c r="D16" s="71" t="s">
        <v>53</v>
      </c>
      <c r="E16" s="72" t="s">
        <v>65</v>
      </c>
      <c r="F16" s="73" t="s">
        <v>121</v>
      </c>
      <c r="G16" s="74">
        <v>1</v>
      </c>
      <c r="H16" s="75">
        <v>1000</v>
      </c>
      <c r="I16" s="64">
        <f t="shared" si="0"/>
        <v>1000</v>
      </c>
    </row>
    <row r="17" spans="1:9" x14ac:dyDescent="0.2">
      <c r="A17" s="38">
        <v>8</v>
      </c>
      <c r="B17" s="72" t="s">
        <v>68</v>
      </c>
      <c r="C17" s="39" t="s">
        <v>52</v>
      </c>
      <c r="D17" s="43" t="s">
        <v>53</v>
      </c>
      <c r="E17" s="44" t="s">
        <v>67</v>
      </c>
      <c r="F17" s="61" t="s">
        <v>122</v>
      </c>
      <c r="G17" s="62">
        <v>50</v>
      </c>
      <c r="H17" s="63">
        <v>31</v>
      </c>
      <c r="I17" s="64">
        <f t="shared" si="0"/>
        <v>1550</v>
      </c>
    </row>
    <row r="18" spans="1:9" x14ac:dyDescent="0.2">
      <c r="A18" s="38">
        <v>9</v>
      </c>
      <c r="B18" s="72" t="s">
        <v>70</v>
      </c>
      <c r="C18" s="39" t="s">
        <v>52</v>
      </c>
      <c r="D18" s="43" t="s">
        <v>53</v>
      </c>
      <c r="E18" s="96" t="s">
        <v>69</v>
      </c>
      <c r="F18" s="61" t="s">
        <v>122</v>
      </c>
      <c r="G18" s="62">
        <v>80</v>
      </c>
      <c r="H18" s="63">
        <v>42</v>
      </c>
      <c r="I18" s="64">
        <f t="shared" si="0"/>
        <v>3360</v>
      </c>
    </row>
    <row r="19" spans="1:9" x14ac:dyDescent="0.2">
      <c r="A19" s="38">
        <v>10</v>
      </c>
      <c r="B19" t="s">
        <v>128</v>
      </c>
      <c r="C19" s="39" t="s">
        <v>52</v>
      </c>
      <c r="D19" s="43" t="s">
        <v>53</v>
      </c>
      <c r="E19" s="44" t="s">
        <v>127</v>
      </c>
      <c r="F19" s="61" t="s">
        <v>121</v>
      </c>
      <c r="G19" s="62">
        <v>5</v>
      </c>
      <c r="H19" s="63">
        <v>320</v>
      </c>
      <c r="I19" s="64">
        <f t="shared" si="0"/>
        <v>1600</v>
      </c>
    </row>
    <row r="20" spans="1:9" x14ac:dyDescent="0.2">
      <c r="A20" s="38">
        <v>11</v>
      </c>
      <c r="B20" t="s">
        <v>126</v>
      </c>
      <c r="C20" s="39" t="s">
        <v>52</v>
      </c>
      <c r="D20" s="43" t="s">
        <v>53</v>
      </c>
      <c r="E20" s="44" t="s">
        <v>125</v>
      </c>
      <c r="F20" s="61" t="s">
        <v>121</v>
      </c>
      <c r="G20" s="62">
        <v>40</v>
      </c>
      <c r="H20" s="63">
        <v>1410</v>
      </c>
      <c r="I20" s="64">
        <f t="shared" si="0"/>
        <v>56400</v>
      </c>
    </row>
    <row r="21" spans="1:9" x14ac:dyDescent="0.2">
      <c r="A21" s="38">
        <v>12</v>
      </c>
      <c r="B21" s="72" t="s">
        <v>72</v>
      </c>
      <c r="C21" s="39" t="s">
        <v>52</v>
      </c>
      <c r="D21" s="43" t="s">
        <v>53</v>
      </c>
      <c r="E21" s="96" t="s">
        <v>71</v>
      </c>
      <c r="F21" s="61" t="s">
        <v>58</v>
      </c>
      <c r="G21" s="62">
        <v>400</v>
      </c>
      <c r="H21" s="63">
        <v>30</v>
      </c>
      <c r="I21" s="64">
        <f t="shared" si="0"/>
        <v>12000</v>
      </c>
    </row>
    <row r="22" spans="1:9" x14ac:dyDescent="0.2">
      <c r="A22" s="38">
        <v>13</v>
      </c>
      <c r="B22" s="72" t="s">
        <v>74</v>
      </c>
      <c r="C22" s="39" t="s">
        <v>52</v>
      </c>
      <c r="D22" s="43" t="s">
        <v>53</v>
      </c>
      <c r="E22" s="44" t="s">
        <v>73</v>
      </c>
      <c r="F22" s="61" t="s">
        <v>81</v>
      </c>
      <c r="G22" s="62">
        <v>100</v>
      </c>
      <c r="H22" s="63">
        <v>600</v>
      </c>
      <c r="I22" s="64">
        <f t="shared" si="0"/>
        <v>60000</v>
      </c>
    </row>
    <row r="23" spans="1:9" x14ac:dyDescent="0.2">
      <c r="A23" s="38">
        <v>14</v>
      </c>
      <c r="B23" s="72" t="s">
        <v>76</v>
      </c>
      <c r="C23" s="39" t="s">
        <v>52</v>
      </c>
      <c r="D23" s="43" t="s">
        <v>53</v>
      </c>
      <c r="E23" s="96" t="s">
        <v>75</v>
      </c>
      <c r="F23" s="61" t="s">
        <v>58</v>
      </c>
      <c r="G23" s="62">
        <v>500</v>
      </c>
      <c r="H23" s="63">
        <v>230</v>
      </c>
      <c r="I23" s="64">
        <f t="shared" si="0"/>
        <v>115000</v>
      </c>
    </row>
    <row r="24" spans="1:9" x14ac:dyDescent="0.2">
      <c r="A24" s="38">
        <v>15</v>
      </c>
      <c r="B24" t="s">
        <v>132</v>
      </c>
      <c r="C24" s="39" t="s">
        <v>52</v>
      </c>
      <c r="D24" s="43" t="s">
        <v>53</v>
      </c>
      <c r="E24" s="96" t="s">
        <v>131</v>
      </c>
      <c r="F24" s="61" t="s">
        <v>58</v>
      </c>
      <c r="G24" s="62">
        <v>20</v>
      </c>
      <c r="H24" s="63">
        <v>1900</v>
      </c>
      <c r="I24" s="64">
        <f t="shared" si="0"/>
        <v>38000</v>
      </c>
    </row>
    <row r="25" spans="1:9" x14ac:dyDescent="0.2">
      <c r="A25" s="38">
        <v>16</v>
      </c>
      <c r="B25" s="72" t="s">
        <v>78</v>
      </c>
      <c r="C25" s="39" t="s">
        <v>52</v>
      </c>
      <c r="D25" s="43" t="s">
        <v>53</v>
      </c>
      <c r="E25" s="96" t="s">
        <v>77</v>
      </c>
      <c r="F25" s="61" t="s">
        <v>122</v>
      </c>
      <c r="G25" s="62">
        <v>50</v>
      </c>
      <c r="H25" s="63">
        <v>10</v>
      </c>
      <c r="I25" s="64">
        <f t="shared" si="0"/>
        <v>500</v>
      </c>
    </row>
    <row r="26" spans="1:9" x14ac:dyDescent="0.2">
      <c r="A26" s="38">
        <v>17</v>
      </c>
      <c r="B26" s="72" t="s">
        <v>80</v>
      </c>
      <c r="C26" s="39" t="s">
        <v>52</v>
      </c>
      <c r="D26" s="43" t="s">
        <v>53</v>
      </c>
      <c r="E26" s="96" t="s">
        <v>79</v>
      </c>
      <c r="F26" s="61" t="s">
        <v>58</v>
      </c>
      <c r="G26" s="62">
        <v>10</v>
      </c>
      <c r="H26" s="63">
        <v>85</v>
      </c>
      <c r="I26" s="64">
        <f t="shared" si="0"/>
        <v>850</v>
      </c>
    </row>
    <row r="27" spans="1:9" x14ac:dyDescent="0.2">
      <c r="A27" s="38">
        <v>18</v>
      </c>
      <c r="B27" s="44" t="s">
        <v>134</v>
      </c>
      <c r="C27" s="39" t="s">
        <v>52</v>
      </c>
      <c r="D27" s="43" t="s">
        <v>53</v>
      </c>
      <c r="E27" s="44" t="s">
        <v>133</v>
      </c>
      <c r="F27" s="61" t="s">
        <v>81</v>
      </c>
      <c r="G27" s="62">
        <v>5</v>
      </c>
      <c r="H27" s="63">
        <v>4000</v>
      </c>
      <c r="I27" s="64">
        <f t="shared" si="0"/>
        <v>20000</v>
      </c>
    </row>
    <row r="28" spans="1:9" x14ac:dyDescent="0.2">
      <c r="A28" s="38">
        <v>19</v>
      </c>
      <c r="B28" s="44" t="s">
        <v>136</v>
      </c>
      <c r="C28" s="39" t="s">
        <v>52</v>
      </c>
      <c r="D28" s="43" t="s">
        <v>53</v>
      </c>
      <c r="E28" s="44" t="s">
        <v>135</v>
      </c>
      <c r="F28" s="61" t="s">
        <v>121</v>
      </c>
      <c r="G28" s="62">
        <v>40</v>
      </c>
      <c r="H28" s="63">
        <v>670</v>
      </c>
      <c r="I28" s="64">
        <f t="shared" si="0"/>
        <v>26800</v>
      </c>
    </row>
    <row r="29" spans="1:9" x14ac:dyDescent="0.2">
      <c r="A29" s="38">
        <v>20</v>
      </c>
      <c r="B29" s="44" t="s">
        <v>138</v>
      </c>
      <c r="C29" s="39" t="s">
        <v>52</v>
      </c>
      <c r="D29" s="43" t="s">
        <v>53</v>
      </c>
      <c r="E29" s="44" t="s">
        <v>137</v>
      </c>
      <c r="F29" s="61" t="s">
        <v>81</v>
      </c>
      <c r="G29" s="62">
        <v>15</v>
      </c>
      <c r="H29" s="63">
        <v>1040</v>
      </c>
      <c r="I29" s="64">
        <f t="shared" si="0"/>
        <v>15600</v>
      </c>
    </row>
    <row r="30" spans="1:9" x14ac:dyDescent="0.2">
      <c r="A30" s="38">
        <v>21</v>
      </c>
      <c r="B30" s="72" t="s">
        <v>150</v>
      </c>
      <c r="C30" s="39" t="s">
        <v>52</v>
      </c>
      <c r="D30" s="43" t="s">
        <v>53</v>
      </c>
      <c r="E30" s="44" t="s">
        <v>139</v>
      </c>
      <c r="F30" s="61" t="s">
        <v>121</v>
      </c>
      <c r="G30" s="62">
        <v>30</v>
      </c>
      <c r="H30" s="63">
        <v>780</v>
      </c>
      <c r="I30" s="64">
        <f t="shared" si="0"/>
        <v>23400</v>
      </c>
    </row>
    <row r="31" spans="1:9" x14ac:dyDescent="0.2">
      <c r="A31" s="38">
        <v>22</v>
      </c>
      <c r="B31" t="s">
        <v>141</v>
      </c>
      <c r="C31" s="39" t="s">
        <v>52</v>
      </c>
      <c r="D31" s="43" t="s">
        <v>53</v>
      </c>
      <c r="E31" s="44" t="s">
        <v>140</v>
      </c>
      <c r="F31" s="61" t="s">
        <v>121</v>
      </c>
      <c r="G31" s="62">
        <v>22</v>
      </c>
      <c r="H31" s="63">
        <v>1000</v>
      </c>
      <c r="I31" s="64">
        <f t="shared" si="0"/>
        <v>22000</v>
      </c>
    </row>
    <row r="32" spans="1:9" x14ac:dyDescent="0.2">
      <c r="A32" s="38">
        <v>23</v>
      </c>
      <c r="B32" s="72" t="s">
        <v>83</v>
      </c>
      <c r="C32" s="39" t="s">
        <v>52</v>
      </c>
      <c r="D32" s="43" t="s">
        <v>53</v>
      </c>
      <c r="E32" s="96" t="s">
        <v>82</v>
      </c>
      <c r="F32" s="61" t="s">
        <v>58</v>
      </c>
      <c r="G32" s="62">
        <v>150</v>
      </c>
      <c r="H32" s="63">
        <v>31</v>
      </c>
      <c r="I32" s="64">
        <f t="shared" si="0"/>
        <v>4650</v>
      </c>
    </row>
    <row r="33" spans="2:9" ht="13.5" thickBot="1" x14ac:dyDescent="0.25">
      <c r="I33" s="40"/>
    </row>
    <row r="34" spans="2:9" x14ac:dyDescent="0.2">
      <c r="B34" s="79" t="s">
        <v>14</v>
      </c>
      <c r="C34" s="33"/>
      <c r="D34" s="33"/>
      <c r="E34" s="34"/>
    </row>
    <row r="35" spans="2:9" x14ac:dyDescent="0.2">
      <c r="B35" s="109" t="s">
        <v>143</v>
      </c>
      <c r="C35" s="110"/>
      <c r="D35" s="110"/>
      <c r="E35" s="111"/>
    </row>
    <row r="36" spans="2:9" x14ac:dyDescent="0.2">
      <c r="B36" s="109"/>
      <c r="C36" s="110" t="s">
        <v>142</v>
      </c>
      <c r="D36" s="110"/>
      <c r="E36" s="111"/>
    </row>
    <row r="37" spans="2:9" ht="14.25" x14ac:dyDescent="0.2">
      <c r="B37" s="95"/>
      <c r="C37" s="98" t="s">
        <v>145</v>
      </c>
      <c r="D37" s="98"/>
      <c r="E37" s="99"/>
    </row>
    <row r="38" spans="2:9" ht="14.25" x14ac:dyDescent="0.2">
      <c r="B38" s="95"/>
      <c r="C38" s="98" t="s">
        <v>151</v>
      </c>
      <c r="D38" s="98"/>
      <c r="E38" s="99"/>
    </row>
    <row r="39" spans="2:9" ht="14.25" x14ac:dyDescent="0.2">
      <c r="B39" s="95"/>
      <c r="C39" s="98" t="s">
        <v>152</v>
      </c>
      <c r="D39" s="98"/>
      <c r="E39" s="99"/>
    </row>
    <row r="40" spans="2:9" ht="14.25" x14ac:dyDescent="0.2">
      <c r="B40" s="95"/>
      <c r="C40" s="98" t="s">
        <v>144</v>
      </c>
      <c r="D40" s="98"/>
      <c r="E40" s="99"/>
    </row>
    <row r="41" spans="2:9" ht="14.25" x14ac:dyDescent="0.2">
      <c r="B41" s="95"/>
      <c r="C41" s="98" t="s">
        <v>148</v>
      </c>
      <c r="D41" s="98"/>
      <c r="E41" s="99"/>
    </row>
    <row r="42" spans="2:9" ht="14.25" x14ac:dyDescent="0.2">
      <c r="B42" s="95"/>
      <c r="C42" s="98" t="s">
        <v>153</v>
      </c>
      <c r="D42" s="98"/>
      <c r="E42" s="99"/>
    </row>
    <row r="43" spans="2:9" ht="14.25" x14ac:dyDescent="0.2">
      <c r="B43" s="95"/>
      <c r="C43" s="98" t="s">
        <v>146</v>
      </c>
      <c r="D43" s="98"/>
      <c r="E43" s="99"/>
    </row>
    <row r="44" spans="2:9" ht="14.25" x14ac:dyDescent="0.2">
      <c r="B44" s="94"/>
      <c r="C44" s="98" t="s">
        <v>147</v>
      </c>
      <c r="D44" s="98"/>
      <c r="E44" s="99"/>
    </row>
    <row r="45" spans="2:9" ht="12.75" customHeight="1" x14ac:dyDescent="0.2">
      <c r="B45" s="100" t="s">
        <v>94</v>
      </c>
      <c r="C45" s="101"/>
      <c r="D45" s="101"/>
      <c r="E45" s="102"/>
    </row>
    <row r="46" spans="2:9" ht="26.25" customHeight="1" x14ac:dyDescent="0.2">
      <c r="B46" s="100"/>
      <c r="C46" s="101"/>
      <c r="D46" s="101"/>
      <c r="E46" s="102"/>
    </row>
    <row r="47" spans="2:9" ht="26.25" customHeight="1" x14ac:dyDescent="0.2">
      <c r="B47" s="100" t="s">
        <v>92</v>
      </c>
      <c r="C47" s="101"/>
      <c r="D47" s="101"/>
      <c r="E47" s="102"/>
    </row>
    <row r="48" spans="2:9" ht="26.25" customHeight="1" x14ac:dyDescent="0.2">
      <c r="B48" s="100" t="s">
        <v>93</v>
      </c>
      <c r="C48" s="101"/>
      <c r="D48" s="101"/>
      <c r="E48" s="102"/>
    </row>
    <row r="49" spans="2:5" ht="18" customHeight="1" x14ac:dyDescent="0.2">
      <c r="B49" s="80"/>
      <c r="C49" s="81"/>
      <c r="D49" s="81"/>
      <c r="E49" s="82"/>
    </row>
    <row r="50" spans="2:5" ht="33" customHeight="1" x14ac:dyDescent="0.2">
      <c r="B50" s="103" t="s">
        <v>95</v>
      </c>
      <c r="C50" s="104"/>
      <c r="D50" s="104"/>
      <c r="E50" s="105"/>
    </row>
    <row r="51" spans="2:5" ht="17.25" customHeight="1" x14ac:dyDescent="0.2">
      <c r="B51" s="80"/>
      <c r="C51" s="81"/>
      <c r="D51" s="81"/>
      <c r="E51" s="82"/>
    </row>
    <row r="52" spans="2:5" ht="13.5" thickBot="1" x14ac:dyDescent="0.25">
      <c r="B52" s="35"/>
      <c r="C52" s="36"/>
      <c r="D52" s="36"/>
      <c r="E52" s="37"/>
    </row>
  </sheetData>
  <mergeCells count="20">
    <mergeCell ref="A6:B6"/>
    <mergeCell ref="A7:B7"/>
    <mergeCell ref="B45:E46"/>
    <mergeCell ref="C37:E37"/>
    <mergeCell ref="C39:E39"/>
    <mergeCell ref="C40:E40"/>
    <mergeCell ref="C41:E41"/>
    <mergeCell ref="B35:E36"/>
    <mergeCell ref="C42:E42"/>
    <mergeCell ref="C38:E38"/>
    <mergeCell ref="B2:H2"/>
    <mergeCell ref="A4:B4"/>
    <mergeCell ref="C4:E4"/>
    <mergeCell ref="A5:B5"/>
    <mergeCell ref="C5:E5"/>
    <mergeCell ref="C43:E43"/>
    <mergeCell ref="C44:E44"/>
    <mergeCell ref="B47:E47"/>
    <mergeCell ref="B48:E48"/>
    <mergeCell ref="B50:E50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5"/>
  <sheetViews>
    <sheetView topLeftCell="A22" zoomScale="110" zoomScaleNormal="110" workbookViewId="0">
      <selection activeCell="A36" sqref="A36"/>
    </sheetView>
  </sheetViews>
  <sheetFormatPr baseColWidth="10" defaultColWidth="9.140625" defaultRowHeight="12.75" x14ac:dyDescent="0.2"/>
  <cols>
    <col min="1" max="1" width="5.5703125" style="47" customWidth="1"/>
    <col min="2" max="2" width="15.140625" style="47" customWidth="1"/>
    <col min="3" max="3" width="14.140625" style="47" customWidth="1"/>
    <col min="4" max="4" width="26" style="47" customWidth="1"/>
    <col min="5" max="5" width="8" style="47" customWidth="1"/>
    <col min="6" max="6" width="7.85546875" style="47" customWidth="1"/>
    <col min="7" max="7" width="48.5703125" style="47" customWidth="1"/>
    <col min="8" max="8" width="9.28515625" style="47" customWidth="1"/>
    <col min="9" max="9" width="15.5703125" style="47" customWidth="1"/>
    <col min="10" max="10" width="14.7109375" style="47" customWidth="1"/>
    <col min="11" max="11" width="15.5703125" style="47" customWidth="1"/>
    <col min="12" max="14" width="5.85546875" style="47" customWidth="1"/>
    <col min="15" max="15" width="12.5703125" style="47" customWidth="1"/>
    <col min="16" max="1024" width="9.140625" style="47"/>
    <col min="1025" max="16384" width="9.140625" style="48"/>
  </cols>
  <sheetData>
    <row r="1" spans="1:11" ht="18" customHeight="1" x14ac:dyDescent="0.2">
      <c r="A1" s="120" t="s">
        <v>15</v>
      </c>
      <c r="B1" s="120"/>
      <c r="C1" s="120"/>
      <c r="D1" s="120"/>
      <c r="E1" s="120"/>
      <c r="F1" s="120"/>
      <c r="G1" s="120"/>
      <c r="H1" s="120"/>
      <c r="I1" s="120"/>
      <c r="J1" s="45" t="s">
        <v>16</v>
      </c>
      <c r="K1" s="46" t="s">
        <v>124</v>
      </c>
    </row>
    <row r="2" spans="1:11" ht="18.75" customHeight="1" thickBot="1" x14ac:dyDescent="0.25">
      <c r="A2" s="49"/>
      <c r="B2" s="49"/>
      <c r="C2" s="49"/>
      <c r="D2" s="50"/>
      <c r="E2" s="50"/>
      <c r="F2" s="50"/>
      <c r="G2" s="50"/>
      <c r="H2" s="50"/>
      <c r="I2" s="50"/>
      <c r="J2" s="50"/>
      <c r="K2" s="50"/>
    </row>
    <row r="3" spans="1:11" ht="18.75" customHeight="1" thickBot="1" x14ac:dyDescent="0.25">
      <c r="A3" s="121" t="s">
        <v>49</v>
      </c>
      <c r="B3" s="121"/>
      <c r="C3" s="121"/>
      <c r="D3" s="112" t="str">
        <f>'Necesidades Trimestrales'!C4</f>
        <v>040 -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22" t="s">
        <v>50</v>
      </c>
      <c r="B4" s="122"/>
      <c r="C4" s="122"/>
      <c r="D4" s="112" t="str">
        <f>'Necesidades Trimestrales'!C5</f>
        <v>024 - Hospital Interzonal de Niños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22" t="s">
        <v>28</v>
      </c>
      <c r="B5" s="122"/>
      <c r="C5" s="122"/>
      <c r="D5" s="112" t="s">
        <v>84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21" t="s">
        <v>51</v>
      </c>
      <c r="B6" s="121"/>
      <c r="C6" s="121"/>
      <c r="D6" s="112" t="s">
        <v>87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">
      <c r="A7" s="122" t="s">
        <v>17</v>
      </c>
      <c r="B7" s="122"/>
      <c r="C7" s="122"/>
      <c r="D7" s="112" t="str">
        <f>'Necesidades Trimestrales'!C7 &amp; "° Trimestre - Año " &amp; 'Necesidades Trimestrales'!C6</f>
        <v>4° Trimestre - Año 2020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">
      <c r="A8" s="115" t="s">
        <v>18</v>
      </c>
      <c r="B8" s="115"/>
      <c r="C8" s="115"/>
      <c r="D8" s="116" t="s">
        <v>86</v>
      </c>
      <c r="E8" s="116"/>
      <c r="F8" s="116"/>
      <c r="G8" s="116"/>
      <c r="H8" s="116"/>
      <c r="I8" s="116"/>
      <c r="J8" s="116"/>
      <c r="K8" s="116"/>
    </row>
    <row r="9" spans="1:11" ht="15.75" x14ac:dyDescent="0.2">
      <c r="A9" s="51"/>
      <c r="B9" s="51"/>
      <c r="C9" s="51"/>
      <c r="D9" s="52"/>
      <c r="E9" s="52"/>
      <c r="F9" s="52"/>
      <c r="G9" s="52"/>
      <c r="H9" s="52"/>
      <c r="I9" s="52"/>
      <c r="J9" s="52"/>
      <c r="K9" s="52"/>
    </row>
    <row r="10" spans="1:11" ht="18.75" customHeight="1" x14ac:dyDescent="0.2">
      <c r="A10" s="117" t="s">
        <v>19</v>
      </c>
      <c r="B10" s="118" t="s">
        <v>20</v>
      </c>
      <c r="C10" s="118" t="s">
        <v>21</v>
      </c>
      <c r="D10" s="118"/>
      <c r="E10" s="118"/>
      <c r="F10" s="118"/>
      <c r="G10" s="118"/>
      <c r="H10" s="118" t="s">
        <v>22</v>
      </c>
      <c r="I10" s="118" t="s">
        <v>23</v>
      </c>
      <c r="J10" s="118" t="s">
        <v>24</v>
      </c>
      <c r="K10" s="119" t="s">
        <v>25</v>
      </c>
    </row>
    <row r="11" spans="1:11" ht="24" customHeight="1" thickBot="1" x14ac:dyDescent="0.2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9"/>
    </row>
    <row r="12" spans="1:11" ht="20.25" customHeight="1" x14ac:dyDescent="0.2">
      <c r="A12" s="58">
        <v>1</v>
      </c>
      <c r="B12" s="53" t="str">
        <f>'Necesidades Trimestrales'!B10</f>
        <v>2.1.1-6546.154</v>
      </c>
      <c r="C12" s="114" t="str">
        <f>'Necesidades Trimestrales'!E10</f>
        <v>VERDURAS Y HORTALIZAS; ESTADO: NATURAL, PESO: SIN VALOR, VARIEDAD: AJO, PRESENTACION: UNIDAD</v>
      </c>
      <c r="D12" s="114"/>
      <c r="E12" s="114"/>
      <c r="F12" s="114"/>
      <c r="G12" s="114"/>
      <c r="H12" s="54" t="s">
        <v>90</v>
      </c>
      <c r="I12" s="55" t="str">
        <f>+'Necesidades Trimestrales'!F10</f>
        <v>UNIDAD</v>
      </c>
      <c r="J12" s="56">
        <f>+'Necesidades Trimestrales'!H10</f>
        <v>42</v>
      </c>
      <c r="K12" s="57">
        <f>+'Necesidades Trimestrales'!G10</f>
        <v>400</v>
      </c>
    </row>
    <row r="13" spans="1:11" ht="20.25" customHeight="1" x14ac:dyDescent="0.2">
      <c r="A13" s="58">
        <v>2</v>
      </c>
      <c r="B13" s="53" t="str">
        <f>'Necesidades Trimestrales'!B11</f>
        <v>2.1.1-6546.330</v>
      </c>
      <c r="C13" s="114" t="str">
        <f>'Necesidades Trimestrales'!E11</f>
        <v>VERDURAS Y HORTALIZAS; VARIEDAD: ZAPALLO ANCO, ESTADO: NATURAL, PRESENTACION: UNIDAD, PESO: 1 Kg</v>
      </c>
      <c r="D13" s="114"/>
      <c r="E13" s="114"/>
      <c r="F13" s="114"/>
      <c r="G13" s="114"/>
      <c r="H13" s="54" t="s">
        <v>90</v>
      </c>
      <c r="I13" s="55" t="str">
        <f>+'Necesidades Trimestrales'!F11</f>
        <v>KG.</v>
      </c>
      <c r="J13" s="56">
        <f>+'Necesidades Trimestrales'!H11</f>
        <v>35</v>
      </c>
      <c r="K13" s="57">
        <f>+'Necesidades Trimestrales'!G11</f>
        <v>1000</v>
      </c>
    </row>
    <row r="14" spans="1:11" ht="20.25" customHeight="1" x14ac:dyDescent="0.2">
      <c r="A14" s="58">
        <v>3</v>
      </c>
      <c r="B14" s="53" t="str">
        <f>'Necesidades Trimestrales'!B12</f>
        <v>2.1.1-6539.171</v>
      </c>
      <c r="C14" s="114" t="str">
        <f>'Necesidades Trimestrales'!E12</f>
        <v>FRUTAS; VARIEDAD: BANANA, ESTADO: NATURAL, PRESENTACION: ENVASE X 15 Kg, ELEM. TRANSPORTE: CAJON, MATERIAL ELEM. TRANSPORTE: CARTON</v>
      </c>
      <c r="D14" s="114"/>
      <c r="E14" s="114"/>
      <c r="F14" s="114"/>
      <c r="G14" s="114"/>
      <c r="H14" s="54" t="s">
        <v>90</v>
      </c>
      <c r="I14" s="55" t="str">
        <f>+'Necesidades Trimestrales'!F12</f>
        <v>CAJON</v>
      </c>
      <c r="J14" s="56">
        <f>+'Necesidades Trimestrales'!H12</f>
        <v>1350</v>
      </c>
      <c r="K14" s="57">
        <f>+'Necesidades Trimestrales'!G12</f>
        <v>20</v>
      </c>
    </row>
    <row r="15" spans="1:11" ht="20.25" customHeight="1" x14ac:dyDescent="0.2">
      <c r="A15" s="58">
        <v>4</v>
      </c>
      <c r="B15" s="53" t="str">
        <f>'Necesidades Trimestrales'!B13</f>
        <v>2.1.1-6546.207</v>
      </c>
      <c r="C15" s="114" t="str">
        <f>'Necesidades Trimestrales'!E13</f>
        <v>VERDURAS Y HORTALIZAS; VARIEDAD: BATATA, ESTADO: NATURAL, PRESENTACION: BOLSA, PESO: 10 Kg</v>
      </c>
      <c r="D15" s="114"/>
      <c r="E15" s="114"/>
      <c r="F15" s="114"/>
      <c r="G15" s="114"/>
      <c r="H15" s="54" t="s">
        <v>90</v>
      </c>
      <c r="I15" s="55" t="str">
        <f>+'Necesidades Trimestrales'!F13</f>
        <v>BOLSA</v>
      </c>
      <c r="J15" s="56">
        <f>+'Necesidades Trimestrales'!H13</f>
        <v>500</v>
      </c>
      <c r="K15" s="57">
        <f>+'Necesidades Trimestrales'!G13</f>
        <v>10</v>
      </c>
    </row>
    <row r="16" spans="1:11" ht="20.25" customHeight="1" x14ac:dyDescent="0.2">
      <c r="A16" s="58">
        <v>5</v>
      </c>
      <c r="B16" s="53" t="str">
        <f>'Necesidades Trimestrales'!B14</f>
        <v>2.1.1-6546.177</v>
      </c>
      <c r="C16" s="114" t="str">
        <f>'Necesidades Trimestrales'!E14</f>
        <v>VERDURAS Y HORTALIZAS; VARIEDAD: BERENJENA, ESTADO: NATURAL, PRESENTACION: GRANEL, PESO: SIN VALOR</v>
      </c>
      <c r="D16" s="114"/>
      <c r="E16" s="114"/>
      <c r="F16" s="114"/>
      <c r="G16" s="114"/>
      <c r="H16" s="54" t="s">
        <v>90</v>
      </c>
      <c r="I16" s="55" t="str">
        <f>+'Necesidades Trimestrales'!F14</f>
        <v>KG.</v>
      </c>
      <c r="J16" s="56">
        <f>+'Necesidades Trimestrales'!H14</f>
        <v>95</v>
      </c>
      <c r="K16" s="57">
        <f>+'Necesidades Trimestrales'!G14</f>
        <v>100</v>
      </c>
    </row>
    <row r="17" spans="1:11" ht="20.25" customHeight="1" x14ac:dyDescent="0.2">
      <c r="A17" s="58">
        <v>6</v>
      </c>
      <c r="B17" s="53" t="str">
        <f>'Necesidades Trimestrales'!B15</f>
        <v>2.1.1-6546.236</v>
      </c>
      <c r="C17" s="114" t="str">
        <f>'Necesidades Trimestrales'!E15</f>
        <v>VERDURAS Y HORTALIZAS; VARIEDAD: CEBOLLA, ESTADO: NATURAL, PRESENTACION: BOLSA, PESO: 20 Kg</v>
      </c>
      <c r="D17" s="114"/>
      <c r="E17" s="114"/>
      <c r="F17" s="114"/>
      <c r="G17" s="114"/>
      <c r="H17" s="54" t="s">
        <v>90</v>
      </c>
      <c r="I17" s="55" t="str">
        <f>+'Necesidades Trimestrales'!F15</f>
        <v>BOLSA</v>
      </c>
      <c r="J17" s="56">
        <f>+'Necesidades Trimestrales'!H15</f>
        <v>850</v>
      </c>
      <c r="K17" s="57">
        <f>+'Necesidades Trimestrales'!G15</f>
        <v>100</v>
      </c>
    </row>
    <row r="18" spans="1:11" ht="20.25" customHeight="1" x14ac:dyDescent="0.2">
      <c r="A18" s="58">
        <v>7</v>
      </c>
      <c r="B18" s="53" t="str">
        <f>'Necesidades Trimestrales'!B16</f>
        <v>2.1.1-6546.377</v>
      </c>
      <c r="C18" s="114" t="str">
        <f>'Necesidades Trimestrales'!E16</f>
        <v>VERDURAS Y HORTALIZAS; VARIEDAD: CEBOLLA DE VERDEO, ESTADO: NATURAL, PRESENTACION: CAJON, PESO: 10 Kg, ELEM. TRANSPORTE: CAJON, MATERIAL ELEM. TRANSPORTE: CARTON, LIBRE DE GLUTEN: NO</v>
      </c>
      <c r="D18" s="114"/>
      <c r="E18" s="114"/>
      <c r="F18" s="114"/>
      <c r="G18" s="114"/>
      <c r="H18" s="54" t="s">
        <v>90</v>
      </c>
      <c r="I18" s="55" t="str">
        <f>+'Necesidades Trimestrales'!F16</f>
        <v>CAJON</v>
      </c>
      <c r="J18" s="56">
        <f>+'Necesidades Trimestrales'!H16</f>
        <v>1000</v>
      </c>
      <c r="K18" s="57">
        <f>+'Necesidades Trimestrales'!G16</f>
        <v>1</v>
      </c>
    </row>
    <row r="19" spans="1:11" ht="20.25" customHeight="1" x14ac:dyDescent="0.2">
      <c r="A19" s="58">
        <v>8</v>
      </c>
      <c r="B19" s="53" t="str">
        <f>'Necesidades Trimestrales'!B17</f>
        <v>2.1.1-6546.169</v>
      </c>
      <c r="C19" s="114" t="str">
        <f>'Necesidades Trimestrales'!E17</f>
        <v>VERDURAS Y HORTALIZAS; VARIEDAD: ESPINACA, PRESENTACION: ATADO, ESTADO: NATURAL, PESO: SIN VALOR</v>
      </c>
      <c r="D19" s="114"/>
      <c r="E19" s="114"/>
      <c r="F19" s="114"/>
      <c r="G19" s="114"/>
      <c r="H19" s="54" t="s">
        <v>90</v>
      </c>
      <c r="I19" s="55" t="str">
        <f>+'Necesidades Trimestrales'!F17</f>
        <v>UNIDAD</v>
      </c>
      <c r="J19" s="56">
        <f>+'Necesidades Trimestrales'!H17</f>
        <v>31</v>
      </c>
      <c r="K19" s="57">
        <f>+'Necesidades Trimestrales'!G17</f>
        <v>50</v>
      </c>
    </row>
    <row r="20" spans="1:11" ht="20.25" customHeight="1" x14ac:dyDescent="0.2">
      <c r="A20" s="58">
        <v>9</v>
      </c>
      <c r="B20" s="53" t="str">
        <f>'Necesidades Trimestrales'!B18</f>
        <v>2.1.1-6546.374</v>
      </c>
      <c r="C20" s="114" t="str">
        <f>'Necesidades Trimestrales'!E18</f>
        <v>VERDURAS Y HORTALIZAS; VARIEDAD: LECHUGA ARREPOLLADA, ESTADO: NATURAL, PRESENTACION: A GRANEL, PESO: 300 GR CADA PLANTA, ELEM. TRANSPORTE: SIN, MATERIAL ELEM. TRANSPORTE: SIN, LIBRE DE GLUTEN: SI</v>
      </c>
      <c r="D20" s="114"/>
      <c r="E20" s="114"/>
      <c r="F20" s="114"/>
      <c r="G20" s="114"/>
      <c r="H20" s="54" t="s">
        <v>90</v>
      </c>
      <c r="I20" s="55" t="str">
        <f>+'Necesidades Trimestrales'!F18</f>
        <v>UNIDAD</v>
      </c>
      <c r="J20" s="56">
        <f>+'Necesidades Trimestrales'!H18</f>
        <v>42</v>
      </c>
      <c r="K20" s="57">
        <f>+'Necesidades Trimestrales'!G18</f>
        <v>80</v>
      </c>
    </row>
    <row r="21" spans="1:11" ht="20.25" customHeight="1" x14ac:dyDescent="0.2">
      <c r="A21" s="58">
        <v>10</v>
      </c>
      <c r="B21" s="53" t="str">
        <f>'Necesidades Trimestrales'!B19</f>
        <v>2.1.1-6539.173</v>
      </c>
      <c r="C21" s="114" t="str">
        <f>'Necesidades Trimestrales'!E19</f>
        <v>FRUTAS; VARIEDAD: LIMON, ESTADO: NATURAL, PRESENTACION: ENVASE X 15 Kg, ELEM. TRANSPORTE: CAJON, MATERIAL ELEM. TRANSPORTE: CARTON</v>
      </c>
      <c r="D21" s="114"/>
      <c r="E21" s="114"/>
      <c r="F21" s="114"/>
      <c r="G21" s="114"/>
      <c r="H21" s="54" t="s">
        <v>90</v>
      </c>
      <c r="I21" s="55" t="str">
        <f>+'Necesidades Trimestrales'!F19</f>
        <v>CAJON</v>
      </c>
      <c r="J21" s="56">
        <f>+'Necesidades Trimestrales'!H19</f>
        <v>320</v>
      </c>
      <c r="K21" s="57">
        <f>+'Necesidades Trimestrales'!G19</f>
        <v>5</v>
      </c>
    </row>
    <row r="22" spans="1:11" ht="20.25" customHeight="1" x14ac:dyDescent="0.2">
      <c r="A22" s="58">
        <v>11</v>
      </c>
      <c r="B22" s="53" t="str">
        <f>'Necesidades Trimestrales'!B20</f>
        <v>2.1.1-6539.170</v>
      </c>
      <c r="C22" s="114" t="str">
        <f>'Necesidades Trimestrales'!E20</f>
        <v>FRUTAS; VARIEDAD: MANZANA RED DELICIOSA, ESTADO: NATURAL, PRESENTACION: ENVASE X 15 Kg, ELEM. TRANSPORTE: CAJON, MATERIAL ELEM. TRANSPORTE: CARTON</v>
      </c>
      <c r="D22" s="114"/>
      <c r="E22" s="114"/>
      <c r="F22" s="114"/>
      <c r="G22" s="114"/>
      <c r="H22" s="54" t="s">
        <v>90</v>
      </c>
      <c r="I22" s="55" t="str">
        <f>+'Necesidades Trimestrales'!F20</f>
        <v>CAJON</v>
      </c>
      <c r="J22" s="56">
        <f>+'Necesidades Trimestrales'!H20</f>
        <v>1410</v>
      </c>
      <c r="K22" s="57">
        <f>+'Necesidades Trimestrales'!G20</f>
        <v>40</v>
      </c>
    </row>
    <row r="23" spans="1:11" ht="20.25" customHeight="1" x14ac:dyDescent="0.2">
      <c r="A23" s="58">
        <v>12</v>
      </c>
      <c r="B23" s="53" t="str">
        <f>'Necesidades Trimestrales'!B21</f>
        <v>2.1.1-6539.7</v>
      </c>
      <c r="C23" s="114" t="str">
        <f>'Necesidades Trimestrales'!E21</f>
        <v>FRUTAS; ESTADO: NATURAL, VARIEDAD: NARANJA PARA JUGO, PRESENTACION: A GRANEL, PESO: SIN VALOR</v>
      </c>
      <c r="D23" s="114"/>
      <c r="E23" s="114"/>
      <c r="F23" s="114"/>
      <c r="G23" s="114"/>
      <c r="H23" s="54" t="s">
        <v>90</v>
      </c>
      <c r="I23" s="55" t="str">
        <f>+'Necesidades Trimestrales'!F21</f>
        <v>KG.</v>
      </c>
      <c r="J23" s="56">
        <f>+'Necesidades Trimestrales'!H21</f>
        <v>30</v>
      </c>
      <c r="K23" s="57">
        <f>+'Necesidades Trimestrales'!G21</f>
        <v>400</v>
      </c>
    </row>
    <row r="24" spans="1:11" ht="20.25" customHeight="1" x14ac:dyDescent="0.2">
      <c r="A24" s="58">
        <v>13</v>
      </c>
      <c r="B24" s="53" t="str">
        <f>'Necesidades Trimestrales'!B22</f>
        <v>2.1.1-6546.234</v>
      </c>
      <c r="C24" s="114" t="str">
        <f>'Necesidades Trimestrales'!E22</f>
        <v>VERDURAS Y HORTALIZAS; VARIEDAD: PAPA, ESTADO: NATURAL, PRESENTACION: BOLSA, PESO: 50 Kg</v>
      </c>
      <c r="D24" s="114"/>
      <c r="E24" s="114"/>
      <c r="F24" s="114"/>
      <c r="G24" s="114"/>
      <c r="H24" s="54" t="s">
        <v>90</v>
      </c>
      <c r="I24" s="55" t="str">
        <f>+'Necesidades Trimestrales'!F22</f>
        <v>BOLSA</v>
      </c>
      <c r="J24" s="56">
        <f>+'Necesidades Trimestrales'!H22</f>
        <v>600</v>
      </c>
      <c r="K24" s="57">
        <f>+'Necesidades Trimestrales'!G22</f>
        <v>100</v>
      </c>
    </row>
    <row r="25" spans="1:11" ht="20.25" customHeight="1" x14ac:dyDescent="0.2">
      <c r="A25" s="58">
        <v>14</v>
      </c>
      <c r="B25" s="53" t="str">
        <f>'Necesidades Trimestrales'!B23</f>
        <v>2.1.1-621.15</v>
      </c>
      <c r="C25" s="114" t="str">
        <f>'Necesidades Trimestrales'!E23</f>
        <v>AVES; ESPECIE: PECHUGA DE POLLO, PRESENTACION: A GRANEL, EVISCERADO: SIN MENUDOS, TIPO: PECHUGA DE POLLO</v>
      </c>
      <c r="D25" s="114"/>
      <c r="E25" s="114"/>
      <c r="F25" s="114"/>
      <c r="G25" s="114"/>
      <c r="H25" s="54" t="s">
        <v>90</v>
      </c>
      <c r="I25" s="55" t="str">
        <f>+'Necesidades Trimestrales'!F23</f>
        <v>KG.</v>
      </c>
      <c r="J25" s="56">
        <f>+'Necesidades Trimestrales'!H23</f>
        <v>230</v>
      </c>
      <c r="K25" s="57">
        <f>+'Necesidades Trimestrales'!G23</f>
        <v>500</v>
      </c>
    </row>
    <row r="26" spans="1:11" ht="20.25" customHeight="1" x14ac:dyDescent="0.2">
      <c r="A26" s="58">
        <v>15</v>
      </c>
      <c r="B26" s="53" t="str">
        <f>'Necesidades Trimestrales'!B24</f>
        <v>2.1.1-6539.157</v>
      </c>
      <c r="C26" s="114" t="str">
        <f>'Necesidades Trimestrales'!E24</f>
        <v>FRUTAS; VARIEDAD: PERA, ESTADO: NATURAL, PRESENTACION: ENVASE X 20 Kg</v>
      </c>
      <c r="D26" s="114"/>
      <c r="E26" s="114"/>
      <c r="F26" s="114"/>
      <c r="G26" s="114"/>
      <c r="H26" s="54" t="s">
        <v>90</v>
      </c>
      <c r="I26" s="55" t="str">
        <f>+'Necesidades Trimestrales'!F24</f>
        <v>KG.</v>
      </c>
      <c r="J26" s="56">
        <f>+'Necesidades Trimestrales'!H24</f>
        <v>1900</v>
      </c>
      <c r="K26" s="57">
        <f>+'Necesidades Trimestrales'!G24</f>
        <v>20</v>
      </c>
    </row>
    <row r="27" spans="1:11" ht="20.25" customHeight="1" x14ac:dyDescent="0.2">
      <c r="A27" s="58">
        <v>16</v>
      </c>
      <c r="B27" s="53" t="str">
        <f>'Necesidades Trimestrales'!B25</f>
        <v>2.1.1-6546.132</v>
      </c>
      <c r="C27" s="114" t="str">
        <f>'Necesidades Trimestrales'!E25</f>
        <v>VERDURAS Y HORTALIZAS; VARIEDAD: PEREJIL, ESTADO: NATURAL, PRESENTACION: GRANEL, PESO: SIN VALOR</v>
      </c>
      <c r="D27" s="114"/>
      <c r="E27" s="114"/>
      <c r="F27" s="114"/>
      <c r="G27" s="114"/>
      <c r="H27" s="54" t="s">
        <v>90</v>
      </c>
      <c r="I27" s="55" t="str">
        <f>+'Necesidades Trimestrales'!F25</f>
        <v>UNIDAD</v>
      </c>
      <c r="J27" s="56">
        <f>+'Necesidades Trimestrales'!H25</f>
        <v>10</v>
      </c>
      <c r="K27" s="57">
        <f>+'Necesidades Trimestrales'!G25</f>
        <v>50</v>
      </c>
    </row>
    <row r="28" spans="1:11" ht="20.25" customHeight="1" x14ac:dyDescent="0.2">
      <c r="A28" s="58">
        <v>17</v>
      </c>
      <c r="B28" s="53" t="str">
        <f>'Necesidades Trimestrales'!B26</f>
        <v>2.1.1-6546.95</v>
      </c>
      <c r="C28" s="114" t="str">
        <f>'Necesidades Trimestrales'!E26</f>
        <v>VERDURAS Y HORTALIZAS; VARIEDAD: MORRON VERDE, ESTADO: NATURAL, PRESENTACION: GRANEL, PESO: SIN VALOR</v>
      </c>
      <c r="D28" s="114"/>
      <c r="E28" s="114"/>
      <c r="F28" s="114"/>
      <c r="G28" s="114"/>
      <c r="H28" s="54" t="s">
        <v>90</v>
      </c>
      <c r="I28" s="55" t="str">
        <f>+'Necesidades Trimestrales'!F26</f>
        <v>KG.</v>
      </c>
      <c r="J28" s="56">
        <f>+'Necesidades Trimestrales'!H26</f>
        <v>85</v>
      </c>
      <c r="K28" s="57">
        <f>+'Necesidades Trimestrales'!G26</f>
        <v>10</v>
      </c>
    </row>
    <row r="29" spans="1:11" ht="20.25" customHeight="1" x14ac:dyDescent="0.2">
      <c r="A29" s="58">
        <v>18</v>
      </c>
      <c r="B29" s="53" t="str">
        <f>'Necesidades Trimestrales'!B27</f>
        <v>2.1.1-6546.248</v>
      </c>
      <c r="C29" s="114" t="str">
        <f>'Necesidades Trimestrales'!E27</f>
        <v>VERDURAS Y HORTALIZAS; VARIEDAD: REMOLACHA, ESTADO: NATURAL, PRESENTACION: ENVASE X 15 Kg, PESO: SIN VALOR</v>
      </c>
      <c r="D29" s="114"/>
      <c r="E29" s="114"/>
      <c r="F29" s="114"/>
      <c r="G29" s="114"/>
      <c r="H29" s="54" t="s">
        <v>90</v>
      </c>
      <c r="I29" s="55" t="str">
        <f>+'Necesidades Trimestrales'!F27</f>
        <v>BOLSA</v>
      </c>
      <c r="J29" s="56">
        <f>+'Necesidades Trimestrales'!H27</f>
        <v>4000</v>
      </c>
      <c r="K29" s="57">
        <f>+'Necesidades Trimestrales'!G27</f>
        <v>5</v>
      </c>
    </row>
    <row r="30" spans="1:11" ht="20.25" customHeight="1" x14ac:dyDescent="0.2">
      <c r="A30" s="58">
        <v>19</v>
      </c>
      <c r="B30" s="53" t="str">
        <f>'Necesidades Trimestrales'!B28</f>
        <v>2.1.1-6546.18</v>
      </c>
      <c r="C30" s="114" t="str">
        <f>'Necesidades Trimestrales'!E28</f>
        <v>VERDURAS Y HORTALIZAS; VARIEDAD: TOMATE REDONDO, ESTADO: NATURAL, PRESENTACION: CAJON, PESO: 10 Kg</v>
      </c>
      <c r="D30" s="114"/>
      <c r="E30" s="114"/>
      <c r="F30" s="114"/>
      <c r="G30" s="114"/>
      <c r="H30" s="54" t="s">
        <v>90</v>
      </c>
      <c r="I30" s="55" t="str">
        <f>+'Necesidades Trimestrales'!F28</f>
        <v>CAJON</v>
      </c>
      <c r="J30" s="56">
        <f>+'Necesidades Trimestrales'!H28</f>
        <v>670</v>
      </c>
      <c r="K30" s="57">
        <f>+'Necesidades Trimestrales'!G28</f>
        <v>40</v>
      </c>
    </row>
    <row r="31" spans="1:11" ht="20.25" customHeight="1" x14ac:dyDescent="0.2">
      <c r="A31" s="58">
        <v>20</v>
      </c>
      <c r="B31" s="53" t="str">
        <f>'Necesidades Trimestrales'!B29</f>
        <v>2.1.1-6546.167</v>
      </c>
      <c r="C31" s="114" t="str">
        <f>'Necesidades Trimestrales'!E29</f>
        <v>VERDURAS Y HORTALIZAS; VARIEDAD: ZANAHORIA, PRESENTACION: BOLSA, ESTADO: NATURAL, PESO: 20 Kg</v>
      </c>
      <c r="D31" s="114"/>
      <c r="E31" s="114"/>
      <c r="F31" s="114"/>
      <c r="G31" s="114"/>
      <c r="H31" s="54" t="s">
        <v>90</v>
      </c>
      <c r="I31" s="55" t="str">
        <f>+'Necesidades Trimestrales'!F29</f>
        <v>BOLSA</v>
      </c>
      <c r="J31" s="56">
        <f>+'Necesidades Trimestrales'!H29</f>
        <v>1040</v>
      </c>
      <c r="K31" s="57">
        <f>+'Necesidades Trimestrales'!G29</f>
        <v>15</v>
      </c>
    </row>
    <row r="32" spans="1:11" ht="20.25" customHeight="1" x14ac:dyDescent="0.2">
      <c r="A32" s="58">
        <v>21</v>
      </c>
      <c r="B32" s="53" t="str">
        <f>'Necesidades Trimestrales'!B30</f>
        <v>2.1.1-6546.240</v>
      </c>
      <c r="C32" s="114" t="str">
        <f>'Necesidades Trimestrales'!E30</f>
        <v>VERDURAS Y HORTALIZAS; VARIEDAD: ZAPALLITO REDONDO, ESTADO: NATURAL, PRESENTACION: SIN VALOR, PESO: 20 Kg</v>
      </c>
      <c r="D32" s="114"/>
      <c r="E32" s="114"/>
      <c r="F32" s="114"/>
      <c r="G32" s="114"/>
      <c r="H32" s="54" t="s">
        <v>90</v>
      </c>
      <c r="I32" s="55" t="str">
        <f>+'Necesidades Trimestrales'!F30</f>
        <v>CAJON</v>
      </c>
      <c r="J32" s="56">
        <f>+'Necesidades Trimestrales'!H30</f>
        <v>780</v>
      </c>
      <c r="K32" s="57">
        <f>+'Necesidades Trimestrales'!G30</f>
        <v>30</v>
      </c>
    </row>
    <row r="33" spans="1:11" ht="20.25" customHeight="1" x14ac:dyDescent="0.2">
      <c r="A33" s="58">
        <v>22</v>
      </c>
      <c r="B33" s="53" t="str">
        <f>'Necesidades Trimestrales'!B31</f>
        <v>2.1.1-6546.298</v>
      </c>
      <c r="C33" s="114" t="str">
        <f>'Necesidades Trimestrales'!E31</f>
        <v>VERDURAS Y HORTALIZAS; VARIEDAD: ZUCHINI, ESTADO: NATURAL, PRESENTACION: CAJON, PESO: 18 Kg</v>
      </c>
      <c r="D33" s="114"/>
      <c r="E33" s="114"/>
      <c r="F33" s="114"/>
      <c r="G33" s="114"/>
      <c r="H33" s="54" t="s">
        <v>90</v>
      </c>
      <c r="I33" s="55" t="str">
        <f>+'Necesidades Trimestrales'!F31</f>
        <v>CAJON</v>
      </c>
      <c r="J33" s="56">
        <f>+'Necesidades Trimestrales'!H31</f>
        <v>1000</v>
      </c>
      <c r="K33" s="57">
        <f>+'Necesidades Trimestrales'!G31</f>
        <v>22</v>
      </c>
    </row>
    <row r="34" spans="1:11" ht="24" customHeight="1" thickBot="1" x14ac:dyDescent="0.25">
      <c r="A34" s="58">
        <v>23</v>
      </c>
      <c r="B34" s="53" t="str">
        <f>'Necesidades Trimestrales'!B32</f>
        <v>2.1.1-6546.188</v>
      </c>
      <c r="C34" s="114" t="str">
        <f>'Necesidades Trimestrales'!E32</f>
        <v>VERDURAS Y HORTALIZAS; ESTADO: NATURAL, PRESENTACION: GRANEL, PESO: SIN VALOR, VARIEDAD: ZAPALLO CRIOLLO</v>
      </c>
      <c r="D34" s="114"/>
      <c r="E34" s="114"/>
      <c r="F34" s="114"/>
      <c r="G34" s="114"/>
      <c r="H34" s="54" t="s">
        <v>90</v>
      </c>
      <c r="I34" s="55" t="str">
        <f>+'Necesidades Trimestrales'!F32</f>
        <v>KG.</v>
      </c>
      <c r="J34" s="56">
        <f>+'Necesidades Trimestrales'!H32</f>
        <v>31</v>
      </c>
      <c r="K34" s="57">
        <f>+'Necesidades Trimestrales'!G32</f>
        <v>150</v>
      </c>
    </row>
    <row r="35" spans="1:11" ht="20.25" customHeight="1" thickBot="1" x14ac:dyDescent="0.25">
      <c r="A35" s="112" t="s">
        <v>149</v>
      </c>
      <c r="B35" s="112"/>
      <c r="C35" s="112"/>
      <c r="D35" s="112"/>
      <c r="E35" s="112"/>
      <c r="F35" s="112"/>
      <c r="G35" s="112"/>
      <c r="H35" s="112"/>
      <c r="I35" s="112"/>
      <c r="J35" s="113">
        <f>SUMPRODUCT(J12:J34,K12:K34)</f>
        <v>581010</v>
      </c>
      <c r="K35" s="113"/>
    </row>
  </sheetData>
  <mergeCells count="45">
    <mergeCell ref="C28:G28"/>
    <mergeCell ref="C24:G24"/>
    <mergeCell ref="C25:G25"/>
    <mergeCell ref="C26:G26"/>
    <mergeCell ref="C34:G34"/>
    <mergeCell ref="C31:G31"/>
    <mergeCell ref="C32:G32"/>
    <mergeCell ref="C33:G33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5:I35"/>
    <mergeCell ref="J35:K35"/>
    <mergeCell ref="C12:G12"/>
    <mergeCell ref="C13:G13"/>
    <mergeCell ref="C14:G14"/>
    <mergeCell ref="C17:G17"/>
    <mergeCell ref="C18:G18"/>
    <mergeCell ref="C15:G15"/>
    <mergeCell ref="C16:G16"/>
    <mergeCell ref="C22:G22"/>
    <mergeCell ref="C23:G23"/>
    <mergeCell ref="C20:G20"/>
    <mergeCell ref="C21:G21"/>
    <mergeCell ref="C19:G19"/>
    <mergeCell ref="C29:G29"/>
    <mergeCell ref="C27:G2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9" zoomScale="130" zoomScaleNormal="130" workbookViewId="0">
      <selection activeCell="J17" sqref="J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6" t="s">
        <v>3</v>
      </c>
      <c r="B1" s="146"/>
      <c r="C1" s="146"/>
      <c r="D1" s="147">
        <f>'Necesidades Trimestrales'!C6</f>
        <v>2020</v>
      </c>
      <c r="E1" s="147"/>
      <c r="F1" s="3"/>
      <c r="G1" s="3"/>
      <c r="H1" s="4"/>
      <c r="I1" s="4"/>
      <c r="J1" s="4"/>
      <c r="K1" s="4"/>
      <c r="L1" s="4"/>
      <c r="M1" s="4"/>
      <c r="N1" s="4"/>
      <c r="P1" s="148" t="s">
        <v>26</v>
      </c>
      <c r="Q1" s="14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8"/>
      <c r="Q2" s="148"/>
    </row>
    <row r="4" spans="1:17" s="5" customFormat="1" ht="18" customHeight="1" thickBot="1" x14ac:dyDescent="0.25">
      <c r="A4" s="149" t="s">
        <v>27</v>
      </c>
      <c r="B4" s="149"/>
      <c r="C4" s="149"/>
      <c r="D4" s="149"/>
      <c r="E4" s="149"/>
      <c r="F4" s="149"/>
      <c r="G4" s="144" t="str">
        <f>' NotaPedido'!D3</f>
        <v>040 - 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5" customFormat="1" ht="18" customHeight="1" thickBot="1" x14ac:dyDescent="0.25">
      <c r="A5" s="141" t="s">
        <v>50</v>
      </c>
      <c r="B5" s="142"/>
      <c r="C5" s="142"/>
      <c r="D5" s="142"/>
      <c r="E5" s="142"/>
      <c r="F5" s="143"/>
      <c r="G5" s="144" t="str">
        <f>' NotaPedido'!D4</f>
        <v>024 - Hospital Interzonal de Niños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5" customFormat="1" ht="18" customHeight="1" thickBot="1" x14ac:dyDescent="0.25">
      <c r="A6" s="141" t="s">
        <v>28</v>
      </c>
      <c r="B6" s="142"/>
      <c r="C6" s="142"/>
      <c r="D6" s="142"/>
      <c r="E6" s="142"/>
      <c r="F6" s="143"/>
      <c r="G6" s="144" t="str">
        <f>' NotaPedido'!D5</f>
        <v>024 - Hospital Interzonal de Niños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5" customFormat="1" ht="18" customHeight="1" thickBot="1" x14ac:dyDescent="0.25">
      <c r="A7" s="141" t="s">
        <v>51</v>
      </c>
      <c r="B7" s="142"/>
      <c r="C7" s="142"/>
      <c r="D7" s="142"/>
      <c r="E7" s="142"/>
      <c r="F7" s="143"/>
      <c r="G7" s="144" t="str">
        <f>' NotaPedido'!D6</f>
        <v>Servicio de Alimentacion y Dietoterapia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29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5" t="s">
        <v>30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6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546/2020,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7" t="s">
        <v>31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32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33</v>
      </c>
      <c r="P13" s="139"/>
      <c r="Q13" s="140" t="s">
        <v>34</v>
      </c>
    </row>
    <row r="14" spans="1:17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9"/>
      <c r="P14" s="139"/>
      <c r="Q14" s="140"/>
    </row>
    <row r="15" spans="1:17" ht="17.25" customHeight="1" x14ac:dyDescent="0.2">
      <c r="A15" s="65">
        <v>36</v>
      </c>
      <c r="B15" s="66"/>
      <c r="C15" s="66"/>
      <c r="D15" s="66">
        <v>1</v>
      </c>
      <c r="E15" s="66"/>
      <c r="F15" s="66">
        <v>4901</v>
      </c>
      <c r="G15" s="66">
        <v>3</v>
      </c>
      <c r="H15" s="66">
        <v>310</v>
      </c>
      <c r="I15" s="67">
        <v>2</v>
      </c>
      <c r="J15" s="67">
        <v>1</v>
      </c>
      <c r="K15" s="67">
        <v>1</v>
      </c>
      <c r="L15" s="66"/>
      <c r="M15" s="68">
        <v>1</v>
      </c>
      <c r="N15" s="69" t="s">
        <v>88</v>
      </c>
      <c r="O15" s="133" t="s">
        <v>89</v>
      </c>
      <c r="P15" s="134"/>
      <c r="Q15" s="77">
        <v>581010</v>
      </c>
    </row>
    <row r="16" spans="1:17" ht="17.25" customHeight="1" x14ac:dyDescent="0.2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128"/>
      <c r="P16" s="128"/>
      <c r="Q16" s="20"/>
    </row>
    <row r="17" spans="1:18" ht="17.25" customHeight="1" x14ac:dyDescent="0.2">
      <c r="A17" s="16"/>
      <c r="B17" s="17"/>
      <c r="C17" s="17"/>
      <c r="D17" s="17"/>
      <c r="E17" s="17"/>
      <c r="F17" s="19"/>
      <c r="G17" s="17"/>
      <c r="H17" s="17"/>
      <c r="I17" s="17"/>
      <c r="J17" s="17"/>
      <c r="K17" s="17"/>
      <c r="L17" s="17"/>
      <c r="M17" s="18"/>
      <c r="N17" s="19"/>
      <c r="O17" s="128"/>
      <c r="P17" s="128"/>
      <c r="Q17" s="20"/>
    </row>
    <row r="18" spans="1:18" ht="17.25" customHeight="1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/>
      <c r="O18" s="128"/>
      <c r="P18" s="128"/>
      <c r="Q18" s="20"/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28"/>
      <c r="P19" s="128"/>
      <c r="Q19" s="20"/>
    </row>
    <row r="20" spans="1:18" ht="17.25" customHeight="1" x14ac:dyDescent="0.2">
      <c r="A20" s="16"/>
      <c r="B20" s="17"/>
      <c r="C20" s="17"/>
      <c r="D20" s="17"/>
      <c r="E20" s="17"/>
      <c r="F20" s="19"/>
      <c r="G20" s="17"/>
      <c r="H20" s="17"/>
      <c r="I20" s="17"/>
      <c r="J20" s="17"/>
      <c r="K20" s="17"/>
      <c r="L20" s="17"/>
      <c r="M20" s="18"/>
      <c r="N20" s="19"/>
      <c r="O20" s="128"/>
      <c r="P20" s="128"/>
      <c r="Q20" s="20"/>
    </row>
    <row r="21" spans="1:18" ht="17.25" customHeight="1" x14ac:dyDescent="0.2">
      <c r="A21" s="21"/>
      <c r="B21" s="22"/>
      <c r="C21" s="22"/>
      <c r="D21" s="22"/>
      <c r="E21" s="22"/>
      <c r="F21" s="23"/>
      <c r="G21" s="22"/>
      <c r="H21" s="22"/>
      <c r="I21" s="22"/>
      <c r="J21" s="22"/>
      <c r="K21" s="22"/>
      <c r="L21" s="22"/>
      <c r="M21" s="24"/>
      <c r="N21" s="25"/>
      <c r="O21" s="129"/>
      <c r="P21" s="129"/>
      <c r="Q21" s="20"/>
      <c r="R21" s="1"/>
    </row>
    <row r="22" spans="1:18" ht="17.25" customHeight="1" x14ac:dyDescent="0.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7"/>
      <c r="O22" s="130"/>
      <c r="P22" s="130"/>
      <c r="Q22" s="29"/>
    </row>
    <row r="23" spans="1:18" ht="29.25" customHeight="1" x14ac:dyDescent="0.2">
      <c r="A23" s="131" t="s">
        <v>123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78">
        <f>SUM(Q15:Q22)</f>
        <v>581010</v>
      </c>
    </row>
    <row r="24" spans="1:18" ht="18" customHeight="1" thickBot="1" x14ac:dyDescent="0.25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8" ht="17.25" customHeight="1" thickBot="1" x14ac:dyDescent="0.25">
      <c r="A25" s="123" t="s">
        <v>48</v>
      </c>
      <c r="B25" s="124"/>
      <c r="C25" s="124"/>
      <c r="D25" s="124"/>
      <c r="E25" s="124"/>
      <c r="F25" s="125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1:18" ht="18" customHeight="1" thickBot="1" x14ac:dyDescent="0.25">
      <c r="A26" s="127" t="s">
        <v>91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  <row r="27" spans="1:18" ht="15" customHeight="1" x14ac:dyDescent="0.2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D16" sqref="D16"/>
    </sheetView>
  </sheetViews>
  <sheetFormatPr baseColWidth="10" defaultRowHeight="12.75" x14ac:dyDescent="0.2"/>
  <cols>
    <col min="1" max="1" width="109.7109375" customWidth="1"/>
  </cols>
  <sheetData>
    <row r="1" spans="1:1" ht="15" x14ac:dyDescent="0.2">
      <c r="A1" s="83" t="s">
        <v>96</v>
      </c>
    </row>
    <row r="2" spans="1:1" ht="15" x14ac:dyDescent="0.2">
      <c r="A2" s="84" t="s">
        <v>97</v>
      </c>
    </row>
    <row r="3" spans="1:1" ht="15" x14ac:dyDescent="0.2">
      <c r="A3" s="84" t="s">
        <v>98</v>
      </c>
    </row>
    <row r="4" spans="1:1" ht="15" x14ac:dyDescent="0.2">
      <c r="A4" s="85" t="s">
        <v>99</v>
      </c>
    </row>
    <row r="5" spans="1:1" ht="15" x14ac:dyDescent="0.2">
      <c r="A5" s="86" t="s">
        <v>100</v>
      </c>
    </row>
    <row r="6" spans="1:1" ht="15" x14ac:dyDescent="0.2">
      <c r="A6" s="86" t="s">
        <v>101</v>
      </c>
    </row>
    <row r="7" spans="1:1" ht="15" x14ac:dyDescent="0.2">
      <c r="A7" s="86" t="s">
        <v>102</v>
      </c>
    </row>
    <row r="8" spans="1:1" ht="15" x14ac:dyDescent="0.2">
      <c r="A8" s="86" t="s">
        <v>103</v>
      </c>
    </row>
    <row r="9" spans="1:1" ht="15" x14ac:dyDescent="0.2">
      <c r="A9" s="86" t="s">
        <v>104</v>
      </c>
    </row>
    <row r="10" spans="1:1" ht="15" x14ac:dyDescent="0.2">
      <c r="A10" s="85" t="s">
        <v>105</v>
      </c>
    </row>
    <row r="11" spans="1:1" ht="15" x14ac:dyDescent="0.2">
      <c r="A11" s="86" t="s">
        <v>106</v>
      </c>
    </row>
    <row r="12" spans="1:1" ht="15" x14ac:dyDescent="0.2">
      <c r="A12" s="86" t="s">
        <v>107</v>
      </c>
    </row>
    <row r="13" spans="1:1" ht="15" x14ac:dyDescent="0.2">
      <c r="A13" s="86" t="s">
        <v>108</v>
      </c>
    </row>
    <row r="14" spans="1:1" ht="15" x14ac:dyDescent="0.2">
      <c r="A14" s="86" t="s">
        <v>109</v>
      </c>
    </row>
    <row r="15" spans="1:1" ht="15" x14ac:dyDescent="0.2">
      <c r="A15" s="87" t="s">
        <v>110</v>
      </c>
    </row>
    <row r="16" spans="1:1" ht="45" x14ac:dyDescent="0.2">
      <c r="A16" s="86" t="s">
        <v>111</v>
      </c>
    </row>
    <row r="17" spans="1:1" ht="30" x14ac:dyDescent="0.2">
      <c r="A17" s="86" t="s">
        <v>112</v>
      </c>
    </row>
    <row r="18" spans="1:1" ht="45" x14ac:dyDescent="0.2">
      <c r="A18" s="86" t="s">
        <v>113</v>
      </c>
    </row>
    <row r="19" spans="1:1" ht="15" x14ac:dyDescent="0.2">
      <c r="A19" s="87" t="s">
        <v>114</v>
      </c>
    </row>
    <row r="20" spans="1:1" ht="30" x14ac:dyDescent="0.2">
      <c r="A20" s="86" t="s">
        <v>115</v>
      </c>
    </row>
    <row r="21" spans="1:1" ht="15" x14ac:dyDescent="0.2">
      <c r="A21" s="86" t="s">
        <v>116</v>
      </c>
    </row>
    <row r="22" spans="1:1" ht="15" x14ac:dyDescent="0.2">
      <c r="A22" s="86" t="s">
        <v>117</v>
      </c>
    </row>
    <row r="23" spans="1:1" ht="30" x14ac:dyDescent="0.2">
      <c r="A23" s="86" t="s">
        <v>118</v>
      </c>
    </row>
    <row r="24" spans="1:1" ht="15" x14ac:dyDescent="0.2">
      <c r="A24" s="86" t="s">
        <v>119</v>
      </c>
    </row>
    <row r="25" spans="1:1" ht="30" x14ac:dyDescent="0.2">
      <c r="A25" s="8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Necesidades Trimestrales</vt:lpstr>
      <vt:lpstr> NotaPedido</vt:lpstr>
      <vt:lpstr>Autor Gastar</vt:lpstr>
      <vt:lpstr>ANEXO I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2020-12-16T15:06:35Z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