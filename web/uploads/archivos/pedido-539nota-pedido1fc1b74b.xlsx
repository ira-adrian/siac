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TRIMESTRALES\4° trimestre 2022\QUIROFANO\"/>
    </mc:Choice>
  </mc:AlternateContent>
  <xr:revisionPtr revIDLastSave="0" documentId="13_ncr:1_{59D8EBAC-6196-4EC4-A5C6-07575E1BAEF1}" xr6:coauthVersionLast="47" xr6:coauthVersionMax="47" xr10:uidLastSave="{00000000-0000-0000-0000-000000000000}"/>
  <bookViews>
    <workbookView xWindow="-120" yWindow="-120" windowWidth="20730" windowHeight="11160" tabRatio="500" activeTab="1" xr2:uid="{00000000-000D-0000-FFFF-FFFF00000000}"/>
  </bookViews>
  <sheets>
    <sheet name="Necesidades Trimestrales" sheetId="1" r:id="rId1"/>
    <sheet name=" NotaPedido" sheetId="2" r:id="rId2"/>
    <sheet name="Autor Gastar" sheetId="3" r:id="rId3"/>
  </sheets>
  <externalReferences>
    <externalReference r:id="rId4"/>
  </externalReferences>
  <definedNames>
    <definedName name="_xlnm._FilterDatabase" localSheetId="0" hidden="1">'Necesidades Trimestrales'!$A$9:$I$39</definedName>
    <definedName name="_xlnm.Print_Area" localSheetId="1">' NotaPedido'!$A$1:$G$38</definedName>
    <definedName name="_xlnm.Print_Area" localSheetId="2">'Autor Gastar'!$A$1:$Q$23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3" i="2" l="1"/>
  <c r="D20" i="1"/>
  <c r="D21" i="1"/>
  <c r="D22" i="1"/>
  <c r="D23" i="1"/>
  <c r="C7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12" i="2"/>
  <c r="E37" i="2"/>
  <c r="E36" i="2"/>
  <c r="E35" i="2"/>
  <c r="E34" i="2"/>
  <c r="E33" i="2"/>
  <c r="E32" i="2"/>
  <c r="E31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12" i="2"/>
  <c r="B37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12" i="2"/>
  <c r="I35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10" i="1"/>
  <c r="D34" i="1"/>
  <c r="D32" i="1"/>
  <c r="D33" i="1"/>
  <c r="I36" i="1" l="1"/>
  <c r="F38" i="2"/>
  <c r="D25" i="1"/>
  <c r="D24" i="1"/>
  <c r="D31" i="1"/>
  <c r="D30" i="1"/>
  <c r="D29" i="1"/>
  <c r="D12" i="1" l="1"/>
  <c r="D14" i="1"/>
  <c r="C4" i="2" l="1"/>
  <c r="E13" i="2" l="1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D28" i="1" l="1"/>
  <c r="D27" i="1"/>
  <c r="D26" i="1"/>
  <c r="A10" i="3" l="1"/>
  <c r="E12" i="2"/>
  <c r="D11" i="1"/>
  <c r="D13" i="1"/>
  <c r="D15" i="1"/>
  <c r="D17" i="1"/>
  <c r="D18" i="1"/>
  <c r="D19" i="1"/>
  <c r="D35" i="1"/>
  <c r="D10" i="1"/>
  <c r="Q19" i="3" l="1"/>
</calcChain>
</file>

<file path=xl/sharedStrings.xml><?xml version="1.0" encoding="utf-8"?>
<sst xmlns="http://schemas.openxmlformats.org/spreadsheetml/2006/main" count="408" uniqueCount="163">
  <si>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</si>
  <si>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</si>
  <si>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</si>
  <si>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</si>
  <si>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</si>
  <si>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</si>
  <si>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</si>
  <si>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</si>
  <si>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</si>
  <si>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</si>
  <si>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</si>
  <si>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</si>
  <si>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</si>
  <si>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</si>
  <si>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</si>
  <si>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Plazos y lugares de entrega</t>
  </si>
  <si>
    <t>Calidad Minima esperada</t>
  </si>
  <si>
    <t>Mantenimiento</t>
  </si>
  <si>
    <t>Garantia</t>
  </si>
  <si>
    <t>Especificidades Item N° 2: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</si>
  <si>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</si>
  <si>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</si>
  <si>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</si>
  <si>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</si>
  <si>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</si>
  <si>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</si>
  <si>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</si>
  <si>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</si>
  <si>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</si>
  <si>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</si>
  <si>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</si>
  <si>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</si>
  <si>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</si>
  <si>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</si>
  <si>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</si>
  <si>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</si>
  <si>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</si>
  <si>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</si>
  <si>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</si>
  <si>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</si>
  <si>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</si>
  <si>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</si>
  <si>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</si>
  <si>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</si>
  <si>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</si>
  <si>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</si>
  <si>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</si>
  <si>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</si>
  <si>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</si>
  <si>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</si>
  <si>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</si>
  <si>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</si>
  <si>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</si>
  <si>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</si>
  <si>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</si>
  <si>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</si>
  <si>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</si>
  <si>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28- Maternidad Provincial 25 de Mayo</t>
  </si>
  <si>
    <t>Especificidades Item N° 3:</t>
  </si>
  <si>
    <t>1.1</t>
  </si>
  <si>
    <t>Servicio de Quirófano</t>
  </si>
  <si>
    <t>unidad</t>
  </si>
  <si>
    <t>PROD. MEDICO/FARMACEUTICOS/LAB</t>
  </si>
  <si>
    <t>2.9.5-6504.6</t>
  </si>
  <si>
    <t>Especificidades Item N°5 :</t>
  </si>
  <si>
    <t>Especificidades Item N°7 :</t>
  </si>
  <si>
    <t>Especificidades Item N°8 :</t>
  </si>
  <si>
    <t>Especificidades Item N°10 :</t>
  </si>
  <si>
    <t>PINZAS P/MEDICINA; USO: CIRUGIA GENERAL, TIPO: DISECCION, MEDIDA: 20 Cm</t>
  </si>
  <si>
    <t>2.9.5-5769.50</t>
  </si>
  <si>
    <t>PINZAS P/MEDICINA; USO: CIRUGIA GENERAL, TIPO: KOCHER, MEDIDA: 14 Cm</t>
  </si>
  <si>
    <t>2.9.5-5769.41</t>
  </si>
  <si>
    <t>HISTEROMETROS; TIPO: NO DESCARTABLE, MATERIAL: METAL, USO: MEDICION CANAL UTERINO</t>
  </si>
  <si>
    <t>2.9.5-8430.2</t>
  </si>
  <si>
    <t>Utiles Menores Médico, Quirúrgico y de Laboratorio</t>
  </si>
  <si>
    <t>Especificidades Item N°4 :</t>
  </si>
  <si>
    <t>Especificidades Item N°6:</t>
  </si>
  <si>
    <t>Especificidades Item N°09 :</t>
  </si>
  <si>
    <t>Especificidades Item N° 11:</t>
  </si>
  <si>
    <t>Especificidades Item N°12 :</t>
  </si>
  <si>
    <t>Especificidades Item N° 14:</t>
  </si>
  <si>
    <t xml:space="preserve">169-Direccion Asistencial </t>
  </si>
  <si>
    <t>Histerometro SIMS . 32cm,ac. Inox.quirugico, maleable</t>
  </si>
  <si>
    <t>2.9.5-8874.110</t>
  </si>
  <si>
    <t>INSTRUMENTAL MEDICO; DESCARTABLE: NO, MATERIAL: ACERO QUIRURGICO, ELEMENTO: LEGRA CURVA</t>
  </si>
  <si>
    <t>NO</t>
  </si>
  <si>
    <t>FRASCOS ASPIRADORES; USO: CIRUGIA GENERAL, PRESENTACION: FRASCO DE 3 L</t>
  </si>
  <si>
    <t>2.9.5-459.94</t>
  </si>
  <si>
    <t>TIJERAS P/MEDICINA; TIPO: METZEMBAUNG, MEDIDA: 25 Cm, USO: CIRUGIA GENERAL</t>
  </si>
  <si>
    <t>TIJERAS P/MEDICINA; TIPO: RECTA, MEDIDA: 17, MODELO: MAYO, USO: CIRUGIA, MODELO EQUIPO: MAYO</t>
  </si>
  <si>
    <t>2.9.5-459.15</t>
  </si>
  <si>
    <t>PINZAS DE CIRUGIA; TIPO: KOCHER, MEDIDA: 18 Cm</t>
  </si>
  <si>
    <t>2.9.5-472.72</t>
  </si>
  <si>
    <t>PINZAS DE CIRUGIA; MEDIDA: 16 Cm, TIPO: DISECCION SIN DIENTE</t>
  </si>
  <si>
    <t>2.9.5-472.6</t>
  </si>
  <si>
    <t>MANGOS DE BISTURI; TIPO: HOJA INTERCAMBIABLE, USO: DISECCION, CAMBIAR HOJAS: SI, NUMERO: 4, MATERIAL: ACERO INOXIDABLE</t>
  </si>
  <si>
    <t>2.9.5-5627.17</t>
  </si>
  <si>
    <t>ESPECULOS; MATERIAL: ACERO QUIRURGICO, TIPO: VAGINAL, PRESENTACION: UNIDAD</t>
  </si>
  <si>
    <t>2.9.5-7791.1</t>
  </si>
  <si>
    <t>PORTA AGUJAS; MATERIAL: ACERO QUIRURGICO, TAMAÑO: 16 Cm, PRESENTACION: UNIDAD</t>
  </si>
  <si>
    <t>2.9.5-6337.7</t>
  </si>
  <si>
    <t>CAJAS P/ESTERILIZAR; MATERIAL: ACERO QUIRURGICO, TIPO: LISA, DIMENSION: 25 X 15 X 5 Cm</t>
  </si>
  <si>
    <t>2.9.5-5512.12</t>
  </si>
  <si>
    <t>CAJAS P/ESTERILIZAR; MATERIAL: ACERO QUIRURGICO, TIPO: PERFORADA, DIMENSION: 16,5 X 26,7 X 32 Cm</t>
  </si>
  <si>
    <t>2.9.5-5512.4</t>
  </si>
  <si>
    <t>VALVAS; MATERIAL: ACERO QUIRURGICO, TIPO: FINOCCHIETO, ANCHO: 6 Cm</t>
  </si>
  <si>
    <t>2.9.5-8142.7</t>
  </si>
  <si>
    <t>VALVAS; MATERIAL: ACERO QUIRURGICO , TIPO: DOYEN, ANCHO: 15 Cm</t>
  </si>
  <si>
    <t>2.9.5-8142.4</t>
  </si>
  <si>
    <t>VALVAS; MATERIAL: ACERO QUIRURGICO , TIPO: BREISKY CHICA, ANCHO: 6 Cm</t>
  </si>
  <si>
    <t>2.9.5-8142.2</t>
  </si>
  <si>
    <t>VALVAS; MATERIAL: ACERO QUIRURGICO , TIPO: BREISKY MEDIANA, ANCHO: 10 Cm</t>
  </si>
  <si>
    <t>2.9.5-8142.3</t>
  </si>
  <si>
    <t>PINZAS DE CIRUGIA; TIPO: DE PEAN, MEDIDA: GRANDE</t>
  </si>
  <si>
    <t>2.9.5-472.70</t>
  </si>
  <si>
    <t>PINZAS DE CIRUGIA; TIPO: PEAN, MEDIDA: 16 Cm</t>
  </si>
  <si>
    <t>2.9.5-472.336</t>
  </si>
  <si>
    <t>FRASCO ASPIRADOR  Con Valvula X 3 Lt  Eco Vac. "Descartable". Presentacion por unidad.</t>
  </si>
  <si>
    <t>TIJERAS TIPO: RECTA, MEDIDA: 16cm o 17cm, MODELO: MAYO, USO: CIRUGIA, fuerte</t>
  </si>
  <si>
    <t xml:space="preserve">PINZA MODELO: KOCHER RECTA FUERTE 14 CM O 16 CM </t>
  </si>
  <si>
    <t>PINZAS DE MANO IZQUIERDA P/CIRUGIA; MEDIDA: 16 Cm O 18 cm, TIPO: DISECCION SIN DIENTE</t>
  </si>
  <si>
    <t>2.9.5</t>
  </si>
  <si>
    <t>PINZAS mano izquierda; USO: CIRUGIA GENERAL, TIPO: DISECCION, MEDIDA: 20 Cm. Modelo: Brown o Rusa</t>
  </si>
  <si>
    <t>MANGOS DE BISTURI; TIPO: HOJA INTERCAMBIABLE,  NUMERO: 4, MATERIAL: ACERO INOXIDABLE</t>
  </si>
  <si>
    <t>2.9.5-472.241</t>
  </si>
  <si>
    <t>PINZAS DE CIRUGIA; TIPO: DOBLE UTILIDAD , MEDIDA: 18 Cm</t>
  </si>
  <si>
    <t>PINZAS DE CIRUGIA; TIPO: DOBLE UTILIDAD , MEDIDA: 24 Cm</t>
  </si>
  <si>
    <t>2.9.5-472.242</t>
  </si>
  <si>
    <t>QUIROFANO</t>
  </si>
  <si>
    <t>Especificidades Item N° 13:</t>
  </si>
  <si>
    <t>Especificidades Item N°15:</t>
  </si>
  <si>
    <t>Especificidades Item N° 16 :</t>
  </si>
  <si>
    <t>Especificidades Item N° 17 :</t>
  </si>
  <si>
    <t>Especificidades Item N° 24 :</t>
  </si>
  <si>
    <t>Especificidades Item N° 25 :</t>
  </si>
  <si>
    <t>Especificidades Item N° 26 :</t>
  </si>
  <si>
    <t>00/2022</t>
  </si>
  <si>
    <t xml:space="preserve">TIJERAS METZEMBAUNG ROMA CURVA FUERTE </t>
  </si>
  <si>
    <t xml:space="preserve">PINZA  KOCHER -RECTA FUERTE  18 CM O 16 CM </t>
  </si>
  <si>
    <t>ESPECULOS VAGINAL ; MATERIAL: ACERO QUIRURGICO; TIPO : COLLINS - T.chico (90 x27 mm)aprox</t>
  </si>
  <si>
    <t>ESPECULOS VAGINAL ; MATERIAL: ACERO QUIRURGICO; TIPO : COLLINS- T:Mediano(095 x 35 mm)aprox</t>
  </si>
  <si>
    <t>ESPECULOS VAGINAL ; MATERIAL: ACERO QUIRURGICO; TIPO : COLLINS - T. grande (110 x 30)aprox.</t>
  </si>
  <si>
    <t xml:space="preserve">PORTA AGUJAS de buen agarre, con cremallera </t>
  </si>
  <si>
    <t>SI</t>
  </si>
  <si>
    <t>30 DIAS HABILES</t>
  </si>
  <si>
    <t>10 DIAS HABILES -SERVICIO DE QUIROFANO.  Maternidad Provincial 25 de Mayo - H de Pedraza 1500</t>
  </si>
  <si>
    <t>1 AÑO</t>
  </si>
  <si>
    <t xml:space="preserve">Cureta uterina , tipo: PINARD, larga, de 30 a 40 cm aprox. Acero inox o quirurgico de alta resistencia </t>
  </si>
  <si>
    <t xml:space="preserve">CAJAS P/ESTERILIZAR,  DIMENSION: 28cm x 15cm x 6Cm </t>
  </si>
  <si>
    <t>CAJAS P/ESTERILIZAR,  con DIMENSION:32cm x 15cm x6cm</t>
  </si>
  <si>
    <t>CAJAS P/ESTERILIZAR, con DIMENSION: 20cm X 9cm X 4 cm</t>
  </si>
  <si>
    <t xml:space="preserve">CAJA P/ESTERILIZAR, MEDIDAS. 40CM X 20CM X 8 CM . Se acepta no menos de 2cm de diferencia en las medidas solicitadas. </t>
  </si>
  <si>
    <t>PINZAS DE CIRUGIA; TIPO: DOBLE UTILIDAD , MEDIDA: 24 cm. Pinza de punta fina y delicada</t>
  </si>
  <si>
    <t>PINZAS DE CIRUGIA; TIPO: DOBLE UTILIDAD , MEDIDA: 18 Cm . Pinza de punta fina y delicada</t>
  </si>
  <si>
    <t>4 Trimestre - 2022</t>
  </si>
  <si>
    <t>40-Ministerio de Salud</t>
  </si>
  <si>
    <t>Instrumentos de Trabajo para quirofano</t>
  </si>
  <si>
    <t>Costo total estimado: SETECIENTOS NOVENTA Y CUATRO MIL CIENTO NOVENTA Y CINCO  00/100</t>
  </si>
  <si>
    <t>TOTAL DE PESOS:  SETECIENTOS NOVENTA Y CUATRO MIL CIENTO NOVENTA Y CINCO  00/100</t>
  </si>
  <si>
    <t>Especificidades Item N° 1 AL 26</t>
  </si>
  <si>
    <t>Especificidades Item N° 1</t>
  </si>
  <si>
    <t>6 MESES</t>
  </si>
  <si>
    <t xml:space="preserve">Para la adquisición de Instrumental para quirofano de la Maternidad Provincial 25 de Mayo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</si>
</sst>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&quot;$&quot;#,##0.00"/>
  </numFmts>
  <fonts count="34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Times New Roman"/>
      <family val="1"/>
    </font>
    <font>
      <b/>
      <sz val="10"/>
      <name val="Arial"/>
      <family val="2"/>
    </font>
    <font>
      <b/>
      <sz val="12"/>
      <name val="Times New Roman"/>
      <family val="1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u/>
      <sz val="10"/>
      <name val="Times New Roman"/>
      <family val="1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F2F2F2"/>
      </patternFill>
    </fill>
    <fill>
      <patternFill patternType="solid">
        <fgColor rgb="FFFFC7CE"/>
      </patternFill>
    </fill>
  </fills>
  <borders count="45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165" fontId="15" fillId="0" borderId="0" applyBorder="0" applyProtection="0"/>
    <xf numFmtId="0" fontId="2" fillId="0" borderId="1" applyProtection="0"/>
    <xf numFmtId="164" fontId="3" fillId="0" borderId="0" applyBorder="0" applyProtection="0"/>
    <xf numFmtId="0" fontId="4" fillId="2" borderId="0" applyBorder="0" applyProtection="0"/>
    <xf numFmtId="0" fontId="25" fillId="4" borderId="40" applyNumberFormat="0" applyAlignment="0" applyProtection="0"/>
    <xf numFmtId="0" fontId="29" fillId="5" borderId="0" applyNumberFormat="0" applyBorder="0" applyAlignment="0" applyProtection="0"/>
  </cellStyleXfs>
  <cellXfs count="173">
    <xf numFmtId="0" fontId="0" fillId="0" borderId="0" xfId="0"/>
    <xf numFmtId="0" fontId="3" fillId="0" borderId="0" xfId="0" applyFont="1" applyAlignment="1">
      <alignment vertical="center"/>
    </xf>
    <xf numFmtId="0" fontId="6" fillId="0" borderId="16" xfId="0" applyFont="1" applyBorder="1" applyAlignment="1">
      <alignment horizontal="right" vertical="center"/>
    </xf>
    <xf numFmtId="0" fontId="6" fillId="0" borderId="18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 indent="1"/>
    </xf>
    <xf numFmtId="0" fontId="0" fillId="0" borderId="0" xfId="0" applyAlignment="1">
      <alignment horizontal="left"/>
    </xf>
    <xf numFmtId="3" fontId="10" fillId="0" borderId="0" xfId="0" applyNumberFormat="1" applyFont="1"/>
    <xf numFmtId="168" fontId="0" fillId="0" borderId="0" xfId="0" applyNumberFormat="1" applyAlignment="1">
      <alignment horizontal="left"/>
    </xf>
    <xf numFmtId="0" fontId="3" fillId="0" borderId="0" xfId="0" applyFont="1"/>
    <xf numFmtId="0" fontId="14" fillId="0" borderId="32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4" fillId="0" borderId="33" xfId="0" applyFont="1" applyBorder="1" applyAlignment="1">
      <alignment horizontal="left" vertical="center"/>
    </xf>
    <xf numFmtId="0" fontId="14" fillId="0" borderId="34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166" fontId="14" fillId="0" borderId="35" xfId="0" applyNumberFormat="1" applyFont="1" applyBorder="1" applyAlignment="1">
      <alignment horizontal="center" vertical="center"/>
    </xf>
    <xf numFmtId="0" fontId="16" fillId="0" borderId="0" xfId="0" applyFont="1"/>
    <xf numFmtId="0" fontId="19" fillId="0" borderId="0" xfId="0" applyFont="1" applyAlignment="1">
      <alignment horizontal="left" wrapText="1"/>
    </xf>
    <xf numFmtId="0" fontId="19" fillId="0" borderId="0" xfId="0" applyFont="1" applyAlignment="1">
      <alignment horizontal="center" wrapText="1"/>
    </xf>
    <xf numFmtId="0" fontId="21" fillId="0" borderId="6" xfId="0" applyFont="1" applyBorder="1" applyAlignment="1">
      <alignment horizontal="center" vertical="center" wrapText="1"/>
    </xf>
    <xf numFmtId="0" fontId="16" fillId="0" borderId="9" xfId="0" applyFont="1" applyBorder="1"/>
    <xf numFmtId="0" fontId="16" fillId="0" borderId="10" xfId="0" applyFont="1" applyBorder="1"/>
    <xf numFmtId="0" fontId="16" fillId="0" borderId="11" xfId="0" applyFont="1" applyBorder="1"/>
    <xf numFmtId="0" fontId="16" fillId="0" borderId="12" xfId="0" applyFont="1" applyBorder="1"/>
    <xf numFmtId="0" fontId="22" fillId="0" borderId="11" xfId="0" applyFont="1" applyBorder="1" applyAlignment="1">
      <alignment horizontal="left" indent="3"/>
    </xf>
    <xf numFmtId="0" fontId="16" fillId="0" borderId="11" xfId="0" applyFont="1" applyBorder="1" applyAlignment="1">
      <alignment horizontal="left" indent="3"/>
    </xf>
    <xf numFmtId="0" fontId="16" fillId="0" borderId="13" xfId="0" applyFont="1" applyBorder="1" applyAlignment="1">
      <alignment horizontal="left" indent="3"/>
    </xf>
    <xf numFmtId="0" fontId="16" fillId="0" borderId="14" xfId="0" applyFont="1" applyBorder="1"/>
    <xf numFmtId="0" fontId="16" fillId="0" borderId="15" xfId="0" applyFont="1" applyBorder="1"/>
    <xf numFmtId="0" fontId="23" fillId="0" borderId="0" xfId="0" applyFont="1" applyAlignment="1">
      <alignment horizontal="left" wrapText="1" indent="1"/>
    </xf>
    <xf numFmtId="0" fontId="20" fillId="0" borderId="0" xfId="0" applyFont="1" applyAlignment="1">
      <alignment horizontal="left" wrapText="1"/>
    </xf>
    <xf numFmtId="0" fontId="16" fillId="0" borderId="0" xfId="0" applyFont="1" applyAlignment="1">
      <alignment horizontal="center" wrapText="1"/>
    </xf>
    <xf numFmtId="0" fontId="16" fillId="0" borderId="12" xfId="0" applyFont="1" applyBorder="1" applyAlignment="1">
      <alignment horizontal="center" wrapText="1"/>
    </xf>
    <xf numFmtId="0" fontId="19" fillId="0" borderId="6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69" fontId="24" fillId="0" borderId="6" xfId="0" applyNumberFormat="1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3" borderId="0" xfId="0" applyFont="1" applyFill="1"/>
    <xf numFmtId="0" fontId="15" fillId="3" borderId="0" xfId="0" applyFont="1" applyFill="1" applyAlignment="1">
      <alignment horizontal="left" vertical="center"/>
    </xf>
    <xf numFmtId="0" fontId="15" fillId="0" borderId="0" xfId="0" applyFont="1"/>
    <xf numFmtId="0" fontId="5" fillId="0" borderId="6" xfId="0" applyFont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166" fontId="5" fillId="0" borderId="6" xfId="1" applyNumberFormat="1" applyFont="1" applyBorder="1" applyAlignment="1" applyProtection="1">
      <alignment horizontal="right" vertical="center" wrapText="1"/>
    </xf>
    <xf numFmtId="0" fontId="5" fillId="0" borderId="5" xfId="0" applyFont="1" applyBorder="1" applyAlignment="1">
      <alignment horizontal="center" vertical="center"/>
    </xf>
    <xf numFmtId="3" fontId="5" fillId="0" borderId="7" xfId="0" applyNumberFormat="1" applyFont="1" applyBorder="1" applyAlignment="1">
      <alignment horizontal="center" vertical="center"/>
    </xf>
    <xf numFmtId="167" fontId="3" fillId="0" borderId="0" xfId="0" applyNumberFormat="1" applyFont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6" fontId="0" fillId="0" borderId="7" xfId="3" applyNumberFormat="1" applyFont="1" applyBorder="1" applyAlignment="1" applyProtection="1">
      <alignment horizontal="center" vertical="center"/>
    </xf>
    <xf numFmtId="0" fontId="16" fillId="0" borderId="0" xfId="0" applyFont="1" applyAlignment="1">
      <alignment horizontal="left"/>
    </xf>
    <xf numFmtId="0" fontId="20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 wrapText="1"/>
    </xf>
    <xf numFmtId="0" fontId="15" fillId="0" borderId="6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169" fontId="16" fillId="0" borderId="6" xfId="0" applyNumberFormat="1" applyFont="1" applyBorder="1" applyAlignment="1">
      <alignment horizontal="center" vertical="center"/>
    </xf>
    <xf numFmtId="169" fontId="16" fillId="0" borderId="6" xfId="0" applyNumberFormat="1" applyFont="1" applyBorder="1" applyAlignment="1">
      <alignment horizontal="center"/>
    </xf>
    <xf numFmtId="0" fontId="5" fillId="0" borderId="6" xfId="0" applyFont="1" applyBorder="1" applyAlignment="1">
      <alignment vertical="center" wrapText="1"/>
    </xf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horizontal="center" vertical="center"/>
    </xf>
    <xf numFmtId="0" fontId="16" fillId="0" borderId="12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169" fontId="15" fillId="0" borderId="0" xfId="1" applyNumberFormat="1" applyAlignment="1">
      <alignment horizontal="center"/>
    </xf>
    <xf numFmtId="169" fontId="15" fillId="0" borderId="6" xfId="1" applyNumberFormat="1" applyBorder="1" applyAlignment="1">
      <alignment horizontal="center"/>
    </xf>
    <xf numFmtId="0" fontId="15" fillId="0" borderId="6" xfId="0" applyFont="1" applyBorder="1" applyAlignment="1">
      <alignment horizontal="center" wrapText="1"/>
    </xf>
    <xf numFmtId="0" fontId="16" fillId="0" borderId="6" xfId="0" applyFont="1" applyBorder="1" applyAlignment="1">
      <alignment horizontal="center"/>
    </xf>
    <xf numFmtId="0" fontId="26" fillId="0" borderId="0" xfId="0" applyFont="1" applyAlignment="1">
      <alignment horizontal="center"/>
    </xf>
    <xf numFmtId="0" fontId="24" fillId="0" borderId="0" xfId="0" applyFont="1" applyAlignment="1">
      <alignment horizontal="center" vertical="center" wrapText="1"/>
    </xf>
    <xf numFmtId="169" fontId="16" fillId="0" borderId="0" xfId="0" applyNumberFormat="1" applyFont="1" applyAlignment="1">
      <alignment horizontal="center"/>
    </xf>
    <xf numFmtId="0" fontId="16" fillId="0" borderId="13" xfId="0" applyFont="1" applyBorder="1"/>
    <xf numFmtId="0" fontId="30" fillId="0" borderId="13" xfId="5" applyFont="1" applyFill="1" applyBorder="1"/>
    <xf numFmtId="0" fontId="30" fillId="0" borderId="14" xfId="5" applyFont="1" applyFill="1" applyBorder="1"/>
    <xf numFmtId="0" fontId="30" fillId="0" borderId="15" xfId="5" applyFont="1" applyFill="1" applyBorder="1"/>
    <xf numFmtId="0" fontId="22" fillId="0" borderId="0" xfId="0" applyFont="1" applyAlignment="1">
      <alignment horizontal="left" indent="3"/>
    </xf>
    <xf numFmtId="0" fontId="22" fillId="0" borderId="10" xfId="0" applyFont="1" applyBorder="1"/>
    <xf numFmtId="0" fontId="22" fillId="0" borderId="9" xfId="0" applyFont="1" applyBorder="1"/>
    <xf numFmtId="0" fontId="20" fillId="0" borderId="43" xfId="0" applyFont="1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21" fillId="0" borderId="43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169" fontId="24" fillId="0" borderId="43" xfId="0" applyNumberFormat="1" applyFont="1" applyBorder="1" applyAlignment="1">
      <alignment horizontal="center" vertical="center" wrapText="1"/>
    </xf>
    <xf numFmtId="0" fontId="20" fillId="0" borderId="42" xfId="0" applyFont="1" applyBorder="1" applyAlignment="1">
      <alignment horizontal="center" vertical="center" wrapText="1"/>
    </xf>
    <xf numFmtId="0" fontId="16" fillId="0" borderId="0" xfId="0" applyFont="1" applyAlignment="1">
      <alignment horizontal="left" wrapText="1"/>
    </xf>
    <xf numFmtId="0" fontId="26" fillId="0" borderId="0" xfId="0" applyFont="1" applyAlignment="1">
      <alignment horizontal="center" wrapText="1"/>
    </xf>
    <xf numFmtId="0" fontId="26" fillId="0" borderId="0" xfId="0" applyFont="1"/>
    <xf numFmtId="0" fontId="26" fillId="0" borderId="12" xfId="0" applyFont="1" applyBorder="1"/>
    <xf numFmtId="0" fontId="27" fillId="0" borderId="0" xfId="0" applyFont="1" applyAlignment="1">
      <alignment vertical="center"/>
    </xf>
    <xf numFmtId="0" fontId="27" fillId="0" borderId="0" xfId="0" applyFont="1"/>
    <xf numFmtId="0" fontId="27" fillId="0" borderId="12" xfId="0" applyFont="1" applyBorder="1" applyAlignment="1">
      <alignment horizontal="center" vertical="top" wrapText="1"/>
    </xf>
    <xf numFmtId="0" fontId="27" fillId="0" borderId="0" xfId="0" applyFont="1" applyAlignment="1">
      <alignment vertical="top"/>
    </xf>
    <xf numFmtId="0" fontId="27" fillId="0" borderId="41" xfId="0" applyFont="1" applyBorder="1" applyAlignment="1">
      <alignment vertical="center"/>
    </xf>
    <xf numFmtId="0" fontId="28" fillId="0" borderId="0" xfId="0" applyFont="1"/>
    <xf numFmtId="0" fontId="1" fillId="3" borderId="0" xfId="6" applyFont="1" applyFill="1" applyBorder="1"/>
    <xf numFmtId="0" fontId="1" fillId="3" borderId="16" xfId="6" applyFont="1" applyFill="1" applyBorder="1"/>
    <xf numFmtId="0" fontId="31" fillId="3" borderId="29" xfId="0" applyFont="1" applyFill="1" applyBorder="1"/>
    <xf numFmtId="0" fontId="31" fillId="3" borderId="18" xfId="0" applyFont="1" applyFill="1" applyBorder="1"/>
    <xf numFmtId="0" fontId="31" fillId="3" borderId="18" xfId="0" applyFont="1" applyFill="1" applyBorder="1" applyAlignment="1">
      <alignment horizontal="left"/>
    </xf>
    <xf numFmtId="0" fontId="31" fillId="3" borderId="30" xfId="0" applyFont="1" applyFill="1" applyBorder="1"/>
    <xf numFmtId="0" fontId="0" fillId="0" borderId="44" xfId="0" applyBorder="1" applyAlignment="1">
      <alignment horizontal="center" vertical="center" wrapText="1"/>
    </xf>
    <xf numFmtId="0" fontId="0" fillId="0" borderId="44" xfId="0" applyBorder="1" applyAlignment="1">
      <alignment horizontal="center" wrapText="1"/>
    </xf>
    <xf numFmtId="0" fontId="21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21" fillId="0" borderId="0" xfId="0" applyFont="1" applyAlignment="1">
      <alignment horizontal="center" vertical="center" wrapText="1"/>
    </xf>
    <xf numFmtId="0" fontId="22" fillId="0" borderId="13" xfId="0" applyFont="1" applyBorder="1" applyAlignment="1">
      <alignment horizontal="left" indent="3"/>
    </xf>
    <xf numFmtId="0" fontId="32" fillId="0" borderId="8" xfId="0" applyFont="1" applyBorder="1"/>
    <xf numFmtId="49" fontId="33" fillId="3" borderId="17" xfId="6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left" vertical="center"/>
    </xf>
    <xf numFmtId="0" fontId="5" fillId="3" borderId="6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 wrapText="1"/>
    </xf>
    <xf numFmtId="166" fontId="5" fillId="3" borderId="6" xfId="1" applyNumberFormat="1" applyFont="1" applyFill="1" applyBorder="1" applyAlignment="1" applyProtection="1">
      <alignment horizontal="right" vertical="center" wrapText="1"/>
    </xf>
    <xf numFmtId="3" fontId="5" fillId="3" borderId="7" xfId="0" applyNumberFormat="1" applyFont="1" applyFill="1" applyBorder="1" applyAlignment="1">
      <alignment horizontal="center" vertical="center"/>
    </xf>
    <xf numFmtId="0" fontId="5" fillId="3" borderId="44" xfId="0" applyFont="1" applyFill="1" applyBorder="1" applyAlignment="1">
      <alignment horizontal="center" vertical="center"/>
    </xf>
    <xf numFmtId="0" fontId="5" fillId="3" borderId="44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left" vertical="center" wrapText="1"/>
    </xf>
    <xf numFmtId="0" fontId="23" fillId="0" borderId="0" xfId="0" applyFont="1" applyAlignment="1">
      <alignment horizontal="left" wrapText="1" indent="1"/>
    </xf>
    <xf numFmtId="0" fontId="26" fillId="0" borderId="12" xfId="0" applyFont="1" applyBorder="1" applyAlignment="1">
      <alignment wrapText="1"/>
    </xf>
    <xf numFmtId="0" fontId="16" fillId="0" borderId="0" xfId="0" applyFont="1" applyAlignment="1">
      <alignment horizontal="center"/>
    </xf>
    <xf numFmtId="0" fontId="16" fillId="0" borderId="12" xfId="0" applyFont="1" applyBorder="1" applyAlignment="1">
      <alignment horizontal="center"/>
    </xf>
    <xf numFmtId="0" fontId="16" fillId="0" borderId="12" xfId="0" applyFont="1" applyBorder="1" applyAlignment="1">
      <alignment wrapText="1"/>
    </xf>
    <xf numFmtId="0" fontId="16" fillId="0" borderId="12" xfId="0" applyFont="1" applyBorder="1" applyAlignment="1">
      <alignment horizontal="center" wrapText="1"/>
    </xf>
    <xf numFmtId="0" fontId="16" fillId="0" borderId="15" xfId="0" applyFont="1" applyBorder="1" applyAlignment="1">
      <alignment horizontal="center"/>
    </xf>
    <xf numFmtId="0" fontId="27" fillId="3" borderId="0" xfId="0" applyFont="1" applyFill="1" applyAlignment="1">
      <alignment horizontal="center" vertical="center" wrapText="1"/>
    </xf>
    <xf numFmtId="0" fontId="27" fillId="3" borderId="12" xfId="0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 wrapText="1"/>
    </xf>
    <xf numFmtId="0" fontId="26" fillId="0" borderId="12" xfId="0" applyFont="1" applyBorder="1" applyAlignment="1">
      <alignment horizontal="center" wrapText="1"/>
    </xf>
    <xf numFmtId="0" fontId="16" fillId="0" borderId="12" xfId="0" applyFont="1" applyBorder="1"/>
    <xf numFmtId="0" fontId="7" fillId="0" borderId="39" xfId="0" applyFont="1" applyBorder="1" applyAlignment="1">
      <alignment horizontal="left" vertical="center" wrapText="1" indent="1"/>
    </xf>
    <xf numFmtId="167" fontId="8" fillId="0" borderId="39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0" borderId="19" xfId="0" applyFont="1" applyBorder="1" applyAlignment="1">
      <alignment horizontal="left" vertical="center" wrapText="1"/>
    </xf>
    <xf numFmtId="0" fontId="7" fillId="0" borderId="20" xfId="0" applyFont="1" applyBorder="1" applyAlignment="1">
      <alignment horizontal="left" vertical="center" wrapText="1" indent="1"/>
    </xf>
    <xf numFmtId="0" fontId="8" fillId="0" borderId="21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 wrapText="1" indent="1"/>
    </xf>
    <xf numFmtId="0" fontId="10" fillId="0" borderId="24" xfId="0" applyFont="1" applyBorder="1" applyAlignment="1">
      <alignment vertical="center" wrapText="1"/>
    </xf>
    <xf numFmtId="0" fontId="10" fillId="0" borderId="36" xfId="0" applyFont="1" applyBorder="1" applyAlignment="1">
      <alignment vertical="center" wrapText="1"/>
    </xf>
    <xf numFmtId="0" fontId="10" fillId="0" borderId="23" xfId="0" applyFont="1" applyBorder="1" applyAlignment="1">
      <alignment vertical="center" wrapText="1"/>
    </xf>
    <xf numFmtId="0" fontId="12" fillId="0" borderId="31" xfId="0" applyFont="1" applyBorder="1" applyAlignment="1">
      <alignment vertical="center" wrapText="1"/>
    </xf>
    <xf numFmtId="0" fontId="12" fillId="0" borderId="35" xfId="0" applyFont="1" applyBorder="1" applyAlignment="1">
      <alignment horizontal="left" vertical="center" wrapText="1" indent="1"/>
    </xf>
    <xf numFmtId="0" fontId="0" fillId="0" borderId="6" xfId="0" applyBorder="1" applyAlignment="1">
      <alignment horizontal="left" vertical="center"/>
    </xf>
    <xf numFmtId="0" fontId="10" fillId="0" borderId="35" xfId="0" applyFont="1" applyBorder="1" applyAlignment="1">
      <alignment horizontal="left" vertical="center" wrapText="1"/>
    </xf>
    <xf numFmtId="0" fontId="0" fillId="0" borderId="26" xfId="0" applyBorder="1"/>
    <xf numFmtId="0" fontId="15" fillId="0" borderId="6" xfId="0" applyFont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1" fillId="3" borderId="27" xfId="6" applyFont="1" applyFill="1" applyBorder="1"/>
    <xf numFmtId="0" fontId="1" fillId="3" borderId="28" xfId="6" applyFont="1" applyFill="1" applyBorder="1" applyAlignment="1">
      <alignment horizontal="left" vertical="center" wrapText="1" indent="1"/>
    </xf>
    <xf numFmtId="0" fontId="14" fillId="0" borderId="26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 wrapText="1"/>
    </xf>
    <xf numFmtId="0" fontId="14" fillId="0" borderId="31" xfId="0" applyFont="1" applyBorder="1" applyAlignment="1">
      <alignment horizontal="center" vertical="center"/>
    </xf>
    <xf numFmtId="0" fontId="5" fillId="0" borderId="19" xfId="0" applyFont="1" applyBorder="1" applyAlignment="1">
      <alignment horizontal="left" vertical="center" wrapText="1"/>
    </xf>
    <xf numFmtId="0" fontId="5" fillId="0" borderId="37" xfId="0" applyFont="1" applyBorder="1" applyAlignment="1">
      <alignment horizontal="left" vertical="center" wrapText="1"/>
    </xf>
    <xf numFmtId="0" fontId="5" fillId="0" borderId="38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indent="1"/>
    </xf>
    <xf numFmtId="0" fontId="13" fillId="0" borderId="17" xfId="0" applyFont="1" applyBorder="1" applyAlignment="1">
      <alignment horizontal="left"/>
    </xf>
    <xf numFmtId="0" fontId="0" fillId="0" borderId="24" xfId="0" applyBorder="1" applyAlignment="1">
      <alignment horizontal="center"/>
    </xf>
    <xf numFmtId="3" fontId="10" fillId="0" borderId="25" xfId="0" applyNumberFormat="1" applyFont="1" applyBorder="1" applyAlignment="1">
      <alignment horizontal="center"/>
    </xf>
    <xf numFmtId="0" fontId="11" fillId="0" borderId="17" xfId="0" applyFont="1" applyBorder="1" applyAlignment="1">
      <alignment horizontal="center" vertical="center" wrapText="1"/>
    </xf>
    <xf numFmtId="0" fontId="3" fillId="0" borderId="17" xfId="0" applyFont="1" applyBorder="1"/>
  </cellXfs>
  <cellStyles count="7">
    <cellStyle name="Encabezado 1" xfId="2" xr:uid="{00000000-0005-0000-0000-000000000000}"/>
    <cellStyle name="Incorrecto" xfId="6" builtinId="27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  <cellStyle name="Salida" xfId="5" builtinId="2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lau_/Desktop/PROGRAMACION%202DO%20TRIMESTRE%202021/NPE%20y%20APG%20-%20FEBRERO%202021Ropa%20Para%20quirofan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 refreshError="1">
        <row r="4">
          <cell r="C4" t="str">
            <v>42-Ministerio de Salud</v>
          </cell>
        </row>
        <row r="5">
          <cell r="C5" t="str">
            <v>28- Maternidad Provincial 25 de Mayo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17"/>
  <sheetViews>
    <sheetView topLeftCell="A295" zoomScale="75" zoomScaleNormal="75" workbookViewId="0">
      <selection activeCell="C324" sqref="C324"/>
    </sheetView>
  </sheetViews>
  <sheetFormatPr baseColWidth="10" defaultColWidth="11" defaultRowHeight="12.75" x14ac:dyDescent="0.2"/>
  <cols>
    <col min="1" max="1" width="4.5703125" style="17" customWidth="1"/>
    <col min="2" max="2" width="28.5703125" style="17" customWidth="1"/>
    <col min="3" max="3" width="32.42578125" style="17" customWidth="1"/>
    <col min="4" max="4" width="8.42578125" style="17" customWidth="1"/>
    <col min="5" max="5" width="79" style="17" customWidth="1"/>
    <col min="6" max="6" width="11" style="17"/>
    <col min="7" max="7" width="12.7109375" style="17" customWidth="1"/>
    <col min="8" max="8" width="13.85546875" style="17" customWidth="1"/>
    <col min="9" max="9" width="18.5703125" style="17" customWidth="1"/>
    <col min="10" max="16384" width="11" style="17"/>
  </cols>
  <sheetData>
    <row r="2" spans="1:9" ht="27" x14ac:dyDescent="0.35">
      <c r="B2" s="120" t="s">
        <v>0</v>
      </c>
      <c r="C2" s="120"/>
      <c r="D2" s="120"/>
      <c r="E2" s="120"/>
      <c r="F2" s="120"/>
      <c r="G2" s="120"/>
      <c r="H2" s="120"/>
    </row>
    <row r="3" spans="1:9" ht="15.75" x14ac:dyDescent="0.25">
      <c r="E3" s="65" t="s">
        <v>128</v>
      </c>
    </row>
    <row r="4" spans="1:9" ht="18" customHeight="1" x14ac:dyDescent="0.25">
      <c r="A4" s="121" t="s">
        <v>1</v>
      </c>
      <c r="B4" s="121"/>
      <c r="C4" s="122" t="s">
        <v>155</v>
      </c>
      <c r="D4" s="122"/>
      <c r="E4" s="122"/>
      <c r="F4" s="18"/>
      <c r="G4" s="19"/>
      <c r="H4" s="18"/>
    </row>
    <row r="5" spans="1:9" ht="18" customHeight="1" x14ac:dyDescent="0.25">
      <c r="A5" s="121" t="s">
        <v>2</v>
      </c>
      <c r="B5" s="121"/>
      <c r="C5" s="122" t="s">
        <v>57</v>
      </c>
      <c r="D5" s="122"/>
      <c r="E5" s="122"/>
      <c r="F5" s="18"/>
      <c r="G5" s="19"/>
      <c r="H5" s="18"/>
    </row>
    <row r="6" spans="1:9" ht="16.5" customHeight="1" x14ac:dyDescent="0.25">
      <c r="A6" s="121" t="s">
        <v>3</v>
      </c>
      <c r="B6" s="121"/>
      <c r="C6" s="30">
        <v>2022</v>
      </c>
      <c r="D6" s="31"/>
      <c r="E6" s="31"/>
      <c r="F6" s="18"/>
      <c r="G6" s="19"/>
      <c r="H6" s="18"/>
    </row>
    <row r="7" spans="1:9" ht="16.5" customHeight="1" x14ac:dyDescent="0.25">
      <c r="A7" s="121" t="s">
        <v>4</v>
      </c>
      <c r="B7" s="121"/>
      <c r="C7" s="30" t="s">
        <v>154</v>
      </c>
      <c r="D7" s="31"/>
      <c r="E7" s="31"/>
      <c r="F7" s="18"/>
      <c r="G7" s="19"/>
      <c r="H7" s="18"/>
    </row>
    <row r="8" spans="1:9" ht="13.5" thickBot="1" x14ac:dyDescent="0.25">
      <c r="B8" s="18"/>
      <c r="C8" s="19"/>
      <c r="D8" s="18"/>
      <c r="E8" s="18"/>
      <c r="F8" s="18"/>
      <c r="G8" s="19"/>
      <c r="H8" s="18"/>
    </row>
    <row r="9" spans="1:9" ht="39.75" thickTop="1" thickBot="1" x14ac:dyDescent="0.25">
      <c r="A9" s="85" t="s">
        <v>5</v>
      </c>
      <c r="B9" s="85" t="s">
        <v>6</v>
      </c>
      <c r="C9" s="85" t="s">
        <v>7</v>
      </c>
      <c r="D9" s="85" t="s">
        <v>8</v>
      </c>
      <c r="E9" s="85" t="s">
        <v>9</v>
      </c>
      <c r="F9" s="85" t="s">
        <v>10</v>
      </c>
      <c r="G9" s="85" t="s">
        <v>11</v>
      </c>
      <c r="H9" s="85" t="s">
        <v>12</v>
      </c>
      <c r="I9" s="85" t="s">
        <v>13</v>
      </c>
    </row>
    <row r="10" spans="1:9" ht="33.75" customHeight="1" x14ac:dyDescent="0.2">
      <c r="A10" s="80">
        <v>1</v>
      </c>
      <c r="B10" s="81" t="s">
        <v>87</v>
      </c>
      <c r="C10" s="81" t="s">
        <v>62</v>
      </c>
      <c r="D10" s="82" t="str">
        <f>LEFT(B10,5)</f>
        <v>2.9.5</v>
      </c>
      <c r="E10" s="81" t="s">
        <v>88</v>
      </c>
      <c r="F10" s="83" t="s">
        <v>61</v>
      </c>
      <c r="G10" s="83">
        <v>5</v>
      </c>
      <c r="H10" s="84">
        <v>2960</v>
      </c>
      <c r="I10" s="84">
        <f>G10*H10</f>
        <v>14800</v>
      </c>
    </row>
    <row r="11" spans="1:9" ht="32.25" customHeight="1" x14ac:dyDescent="0.2">
      <c r="A11" s="53">
        <v>2</v>
      </c>
      <c r="B11" s="36" t="s">
        <v>63</v>
      </c>
      <c r="C11" s="36" t="s">
        <v>62</v>
      </c>
      <c r="D11" s="20" t="str">
        <f t="shared" ref="D11:D17" si="0">LEFT(B11,5)</f>
        <v>2.9.5</v>
      </c>
      <c r="E11" s="36" t="s">
        <v>86</v>
      </c>
      <c r="F11" s="35" t="s">
        <v>61</v>
      </c>
      <c r="G11" s="35">
        <v>2</v>
      </c>
      <c r="H11" s="37">
        <v>6500</v>
      </c>
      <c r="I11" s="84">
        <f t="shared" ref="I11:I34" si="1">G11*H11</f>
        <v>13000</v>
      </c>
    </row>
    <row r="12" spans="1:9" ht="32.25" customHeight="1" x14ac:dyDescent="0.2">
      <c r="A12" s="80">
        <v>3</v>
      </c>
      <c r="B12" s="36" t="s">
        <v>90</v>
      </c>
      <c r="C12" s="36" t="s">
        <v>62</v>
      </c>
      <c r="D12" s="20" t="str">
        <f t="shared" si="0"/>
        <v>2.9.5</v>
      </c>
      <c r="E12" s="38" t="s">
        <v>89</v>
      </c>
      <c r="F12" s="35" t="s">
        <v>61</v>
      </c>
      <c r="G12" s="35">
        <v>10</v>
      </c>
      <c r="H12" s="37">
        <v>1815</v>
      </c>
      <c r="I12" s="84">
        <f t="shared" si="1"/>
        <v>18150</v>
      </c>
    </row>
    <row r="13" spans="1:9" ht="33" customHeight="1" x14ac:dyDescent="0.2">
      <c r="A13" s="53">
        <v>4</v>
      </c>
      <c r="B13" s="36" t="s">
        <v>92</v>
      </c>
      <c r="C13" s="36" t="s">
        <v>62</v>
      </c>
      <c r="D13" s="20" t="str">
        <f t="shared" si="0"/>
        <v>2.9.5</v>
      </c>
      <c r="E13" s="36" t="s">
        <v>91</v>
      </c>
      <c r="F13" s="35" t="s">
        <v>61</v>
      </c>
      <c r="G13" s="35">
        <v>20</v>
      </c>
      <c r="H13" s="37">
        <v>1987</v>
      </c>
      <c r="I13" s="84">
        <f t="shared" si="1"/>
        <v>39740</v>
      </c>
    </row>
    <row r="14" spans="1:9" ht="32.25" customHeight="1" x14ac:dyDescent="0.2">
      <c r="A14" s="80">
        <v>5</v>
      </c>
      <c r="B14" s="36" t="s">
        <v>71</v>
      </c>
      <c r="C14" s="36" t="s">
        <v>62</v>
      </c>
      <c r="D14" s="20" t="str">
        <f t="shared" si="0"/>
        <v>2.9.5</v>
      </c>
      <c r="E14" s="36" t="s">
        <v>70</v>
      </c>
      <c r="F14" s="35" t="s">
        <v>61</v>
      </c>
      <c r="G14" s="35">
        <v>20</v>
      </c>
      <c r="H14" s="37">
        <v>1355</v>
      </c>
      <c r="I14" s="84">
        <f t="shared" si="1"/>
        <v>27100</v>
      </c>
    </row>
    <row r="15" spans="1:9" ht="33" customHeight="1" x14ac:dyDescent="0.2">
      <c r="A15" s="53">
        <v>6</v>
      </c>
      <c r="B15" s="36" t="s">
        <v>94</v>
      </c>
      <c r="C15" s="36" t="s">
        <v>62</v>
      </c>
      <c r="D15" s="20" t="str">
        <f t="shared" si="0"/>
        <v>2.9.5</v>
      </c>
      <c r="E15" s="38" t="s">
        <v>93</v>
      </c>
      <c r="F15" s="35" t="s">
        <v>61</v>
      </c>
      <c r="G15" s="35">
        <v>10</v>
      </c>
      <c r="H15" s="37">
        <v>750</v>
      </c>
      <c r="I15" s="84">
        <f t="shared" si="1"/>
        <v>7500</v>
      </c>
    </row>
    <row r="16" spans="1:9" ht="39.75" customHeight="1" x14ac:dyDescent="0.2">
      <c r="A16" s="80">
        <v>7</v>
      </c>
      <c r="B16" s="36" t="s">
        <v>69</v>
      </c>
      <c r="C16" s="36" t="s">
        <v>62</v>
      </c>
      <c r="D16" s="20" t="s">
        <v>121</v>
      </c>
      <c r="E16" s="36" t="s">
        <v>68</v>
      </c>
      <c r="F16" s="35" t="s">
        <v>61</v>
      </c>
      <c r="G16" s="35">
        <v>10</v>
      </c>
      <c r="H16" s="37">
        <v>1128</v>
      </c>
      <c r="I16" s="84">
        <f t="shared" si="1"/>
        <v>11280</v>
      </c>
    </row>
    <row r="17" spans="1:9" ht="39.75" customHeight="1" x14ac:dyDescent="0.2">
      <c r="A17" s="53">
        <v>8</v>
      </c>
      <c r="B17" s="36" t="s">
        <v>96</v>
      </c>
      <c r="C17" s="36" t="s">
        <v>62</v>
      </c>
      <c r="D17" s="20" t="str">
        <f t="shared" si="0"/>
        <v>2.9.5</v>
      </c>
      <c r="E17" s="36" t="s">
        <v>95</v>
      </c>
      <c r="F17" s="35" t="s">
        <v>61</v>
      </c>
      <c r="G17" s="35">
        <v>10</v>
      </c>
      <c r="H17" s="37">
        <v>566</v>
      </c>
      <c r="I17" s="84">
        <f t="shared" si="1"/>
        <v>5660</v>
      </c>
    </row>
    <row r="18" spans="1:9" ht="39.75" customHeight="1" x14ac:dyDescent="0.2">
      <c r="A18" s="80">
        <v>9</v>
      </c>
      <c r="B18" s="35" t="s">
        <v>98</v>
      </c>
      <c r="C18" s="38" t="s">
        <v>62</v>
      </c>
      <c r="D18" s="34" t="str">
        <f>LEFT(B19,5)</f>
        <v>2.9.5</v>
      </c>
      <c r="E18" s="38" t="s">
        <v>97</v>
      </c>
      <c r="F18" s="35" t="s">
        <v>61</v>
      </c>
      <c r="G18" s="35">
        <v>3</v>
      </c>
      <c r="H18" s="37">
        <v>4990</v>
      </c>
      <c r="I18" s="84">
        <f t="shared" si="1"/>
        <v>14970</v>
      </c>
    </row>
    <row r="19" spans="1:9" ht="39.75" customHeight="1" x14ac:dyDescent="0.2">
      <c r="A19" s="53">
        <v>10</v>
      </c>
      <c r="B19" s="35" t="s">
        <v>98</v>
      </c>
      <c r="C19" s="36" t="s">
        <v>62</v>
      </c>
      <c r="D19" s="20" t="str">
        <f>LEFT(B16,5)</f>
        <v>2.9.5</v>
      </c>
      <c r="E19" s="38" t="s">
        <v>97</v>
      </c>
      <c r="F19" s="35" t="s">
        <v>61</v>
      </c>
      <c r="G19" s="64">
        <v>12</v>
      </c>
      <c r="H19" s="37">
        <v>4990</v>
      </c>
      <c r="I19" s="84">
        <f t="shared" si="1"/>
        <v>59880</v>
      </c>
    </row>
    <row r="20" spans="1:9" ht="39.75" customHeight="1" x14ac:dyDescent="0.2">
      <c r="A20" s="80">
        <v>11</v>
      </c>
      <c r="B20" s="35" t="s">
        <v>98</v>
      </c>
      <c r="C20" s="36" t="s">
        <v>62</v>
      </c>
      <c r="D20" s="20" t="str">
        <f t="shared" ref="D20:D23" si="2">LEFT(B17,5)</f>
        <v>2.9.5</v>
      </c>
      <c r="E20" s="38" t="s">
        <v>97</v>
      </c>
      <c r="F20" s="35" t="s">
        <v>61</v>
      </c>
      <c r="G20" s="69">
        <v>5</v>
      </c>
      <c r="H20" s="37">
        <v>4990</v>
      </c>
      <c r="I20" s="84">
        <f t="shared" si="1"/>
        <v>24950</v>
      </c>
    </row>
    <row r="21" spans="1:9" ht="39.75" customHeight="1" x14ac:dyDescent="0.2">
      <c r="A21" s="53">
        <v>12</v>
      </c>
      <c r="B21" s="49" t="s">
        <v>83</v>
      </c>
      <c r="C21" s="36" t="s">
        <v>62</v>
      </c>
      <c r="D21" s="20" t="str">
        <f t="shared" si="2"/>
        <v>2.9.5</v>
      </c>
      <c r="E21" s="55" t="s">
        <v>84</v>
      </c>
      <c r="F21" s="35" t="s">
        <v>61</v>
      </c>
      <c r="G21" s="35">
        <v>4</v>
      </c>
      <c r="H21" s="37">
        <v>5308</v>
      </c>
      <c r="I21" s="84">
        <f t="shared" si="1"/>
        <v>21232</v>
      </c>
    </row>
    <row r="22" spans="1:9" ht="39.75" customHeight="1" x14ac:dyDescent="0.2">
      <c r="A22" s="80">
        <v>13</v>
      </c>
      <c r="B22" s="36" t="s">
        <v>100</v>
      </c>
      <c r="C22" s="38" t="s">
        <v>62</v>
      </c>
      <c r="D22" s="20" t="str">
        <f t="shared" si="2"/>
        <v>2.9.5</v>
      </c>
      <c r="E22" s="36" t="s">
        <v>99</v>
      </c>
      <c r="F22" s="35" t="s">
        <v>61</v>
      </c>
      <c r="G22" s="35">
        <v>10</v>
      </c>
      <c r="H22" s="37">
        <v>1880</v>
      </c>
      <c r="I22" s="84">
        <f t="shared" si="1"/>
        <v>18800</v>
      </c>
    </row>
    <row r="23" spans="1:9" ht="33.75" customHeight="1" x14ac:dyDescent="0.2">
      <c r="A23" s="53">
        <v>14</v>
      </c>
      <c r="B23" s="62" t="s">
        <v>102</v>
      </c>
      <c r="C23" s="36" t="s">
        <v>62</v>
      </c>
      <c r="D23" s="20" t="str">
        <f t="shared" si="2"/>
        <v>2.9.5</v>
      </c>
      <c r="E23" s="61" t="s">
        <v>101</v>
      </c>
      <c r="F23" s="35" t="s">
        <v>61</v>
      </c>
      <c r="G23" s="35">
        <v>5</v>
      </c>
      <c r="H23" s="58">
        <v>8986</v>
      </c>
      <c r="I23" s="84">
        <f t="shared" si="1"/>
        <v>44930</v>
      </c>
    </row>
    <row r="24" spans="1:9" ht="34.5" customHeight="1" x14ac:dyDescent="0.2">
      <c r="A24" s="80">
        <v>15</v>
      </c>
      <c r="B24" s="62" t="s">
        <v>102</v>
      </c>
      <c r="C24" s="36" t="s">
        <v>62</v>
      </c>
      <c r="D24" s="20" t="str">
        <f>LEFT(B21,5)</f>
        <v>2.9.5</v>
      </c>
      <c r="E24" s="61" t="s">
        <v>101</v>
      </c>
      <c r="F24" s="35" t="s">
        <v>61</v>
      </c>
      <c r="G24" s="35">
        <v>5</v>
      </c>
      <c r="H24" s="58">
        <v>8986</v>
      </c>
      <c r="I24" s="84">
        <f t="shared" si="1"/>
        <v>44930</v>
      </c>
    </row>
    <row r="25" spans="1:9" ht="34.5" customHeight="1" x14ac:dyDescent="0.2">
      <c r="A25" s="53">
        <v>16</v>
      </c>
      <c r="B25" s="62" t="s">
        <v>102</v>
      </c>
      <c r="C25" s="55" t="s">
        <v>62</v>
      </c>
      <c r="D25" s="20" t="str">
        <f>LEFT(B22,5)</f>
        <v>2.9.5</v>
      </c>
      <c r="E25" s="61" t="s">
        <v>101</v>
      </c>
      <c r="F25" s="56" t="s">
        <v>61</v>
      </c>
      <c r="G25" s="57">
        <v>10</v>
      </c>
      <c r="H25" s="66">
        <v>9986</v>
      </c>
      <c r="I25" s="84">
        <f t="shared" si="1"/>
        <v>99860</v>
      </c>
    </row>
    <row r="26" spans="1:9" ht="34.5" customHeight="1" x14ac:dyDescent="0.2">
      <c r="A26" s="80">
        <v>17</v>
      </c>
      <c r="B26" s="36" t="s">
        <v>104</v>
      </c>
      <c r="C26" s="55" t="s">
        <v>62</v>
      </c>
      <c r="D26" s="20" t="str">
        <f>LEFT(B28,5)</f>
        <v>2.9.5</v>
      </c>
      <c r="E26" s="36" t="s">
        <v>103</v>
      </c>
      <c r="F26" s="56" t="s">
        <v>61</v>
      </c>
      <c r="G26" s="57">
        <v>5</v>
      </c>
      <c r="H26" s="59">
        <v>20897</v>
      </c>
      <c r="I26" s="84">
        <f t="shared" si="1"/>
        <v>104485</v>
      </c>
    </row>
    <row r="27" spans="1:9" ht="36" customHeight="1" x14ac:dyDescent="0.2">
      <c r="A27" s="53">
        <v>18</v>
      </c>
      <c r="B27" s="62" t="s">
        <v>106</v>
      </c>
      <c r="C27" s="55" t="s">
        <v>62</v>
      </c>
      <c r="D27" s="20" t="str">
        <f>LEFT(B30,5)</f>
        <v>2.9.5</v>
      </c>
      <c r="E27" s="62" t="s">
        <v>105</v>
      </c>
      <c r="F27" s="56" t="s">
        <v>61</v>
      </c>
      <c r="G27" s="57">
        <v>2</v>
      </c>
      <c r="H27" s="59">
        <v>14916</v>
      </c>
      <c r="I27" s="84">
        <f t="shared" si="1"/>
        <v>29832</v>
      </c>
    </row>
    <row r="28" spans="1:9" ht="30.75" customHeight="1" x14ac:dyDescent="0.2">
      <c r="A28" s="80">
        <v>19</v>
      </c>
      <c r="B28" s="54" t="s">
        <v>108</v>
      </c>
      <c r="C28" s="55" t="s">
        <v>62</v>
      </c>
      <c r="D28" s="20" t="str">
        <f>LEFT(B29,5)</f>
        <v>2.9.5</v>
      </c>
      <c r="E28" s="36" t="s">
        <v>107</v>
      </c>
      <c r="F28" s="56" t="s">
        <v>61</v>
      </c>
      <c r="G28" s="57">
        <v>2</v>
      </c>
      <c r="H28" s="59">
        <v>10700</v>
      </c>
      <c r="I28" s="84">
        <f t="shared" si="1"/>
        <v>21400</v>
      </c>
    </row>
    <row r="29" spans="1:9" ht="30.75" customHeight="1" x14ac:dyDescent="0.2">
      <c r="A29" s="53">
        <v>20</v>
      </c>
      <c r="B29" s="54" t="s">
        <v>112</v>
      </c>
      <c r="C29" s="68" t="s">
        <v>62</v>
      </c>
      <c r="D29" s="20" t="str">
        <f>LEFT(B31,5)</f>
        <v>2.9.5</v>
      </c>
      <c r="E29" s="36" t="s">
        <v>111</v>
      </c>
      <c r="F29" s="56" t="s">
        <v>61</v>
      </c>
      <c r="G29" s="57">
        <v>2</v>
      </c>
      <c r="H29" s="67">
        <v>13987</v>
      </c>
      <c r="I29" s="84">
        <f t="shared" si="1"/>
        <v>27974</v>
      </c>
    </row>
    <row r="30" spans="1:9" ht="31.5" customHeight="1" x14ac:dyDescent="0.2">
      <c r="A30" s="80">
        <v>21</v>
      </c>
      <c r="B30" s="54" t="s">
        <v>110</v>
      </c>
      <c r="C30" s="68" t="s">
        <v>62</v>
      </c>
      <c r="D30" s="20" t="str">
        <f>LEFT(B32,5)</f>
        <v>2.9.5</v>
      </c>
      <c r="E30" s="36" t="s">
        <v>109</v>
      </c>
      <c r="F30" s="56" t="s">
        <v>61</v>
      </c>
      <c r="G30" s="56">
        <v>2</v>
      </c>
      <c r="H30" s="67">
        <v>12976</v>
      </c>
      <c r="I30" s="84">
        <f t="shared" si="1"/>
        <v>25952</v>
      </c>
    </row>
    <row r="31" spans="1:9" ht="35.25" customHeight="1" x14ac:dyDescent="0.2">
      <c r="A31" s="53">
        <v>22</v>
      </c>
      <c r="B31" s="56" t="s">
        <v>114</v>
      </c>
      <c r="C31" s="68" t="s">
        <v>62</v>
      </c>
      <c r="D31" s="20" t="str">
        <f>LEFT(B34,5)</f>
        <v>2.9.5</v>
      </c>
      <c r="E31" s="56" t="s">
        <v>113</v>
      </c>
      <c r="F31" s="56" t="s">
        <v>61</v>
      </c>
      <c r="G31" s="57">
        <v>10</v>
      </c>
      <c r="H31" s="59">
        <v>4202</v>
      </c>
      <c r="I31" s="84">
        <f t="shared" si="1"/>
        <v>42020</v>
      </c>
    </row>
    <row r="32" spans="1:9" ht="31.5" customHeight="1" x14ac:dyDescent="0.2">
      <c r="A32" s="80">
        <v>23</v>
      </c>
      <c r="B32" s="56" t="s">
        <v>116</v>
      </c>
      <c r="C32" s="36" t="s">
        <v>62</v>
      </c>
      <c r="D32" s="20" t="str">
        <f>LEFT(B33,5)</f>
        <v>2.9.5</v>
      </c>
      <c r="E32" s="56" t="s">
        <v>115</v>
      </c>
      <c r="F32" s="56" t="s">
        <v>61</v>
      </c>
      <c r="G32" s="57">
        <v>10</v>
      </c>
      <c r="H32" s="59">
        <v>1803</v>
      </c>
      <c r="I32" s="84">
        <f t="shared" si="1"/>
        <v>18030</v>
      </c>
    </row>
    <row r="33" spans="1:9" ht="30.75" customHeight="1" x14ac:dyDescent="0.2">
      <c r="A33" s="53">
        <v>24</v>
      </c>
      <c r="B33" s="54" t="s">
        <v>127</v>
      </c>
      <c r="C33" s="68" t="s">
        <v>62</v>
      </c>
      <c r="D33" s="20" t="str">
        <f>LEFT(B34,5)</f>
        <v>2.9.5</v>
      </c>
      <c r="E33" s="54" t="s">
        <v>126</v>
      </c>
      <c r="F33" s="56" t="s">
        <v>61</v>
      </c>
      <c r="G33" s="57">
        <v>4</v>
      </c>
      <c r="H33" s="59">
        <v>6500</v>
      </c>
      <c r="I33" s="84">
        <f t="shared" si="1"/>
        <v>26000</v>
      </c>
    </row>
    <row r="34" spans="1:9" ht="31.5" customHeight="1" x14ac:dyDescent="0.2">
      <c r="A34" s="80">
        <v>25</v>
      </c>
      <c r="B34" s="49" t="s">
        <v>124</v>
      </c>
      <c r="C34" s="68" t="s">
        <v>62</v>
      </c>
      <c r="D34" s="20" t="str">
        <f>LEFT(B35,5)</f>
        <v>2.9.5</v>
      </c>
      <c r="E34" s="36" t="s">
        <v>125</v>
      </c>
      <c r="F34" s="56" t="s">
        <v>61</v>
      </c>
      <c r="G34" s="69">
        <v>4</v>
      </c>
      <c r="H34" s="67">
        <v>4000</v>
      </c>
      <c r="I34" s="84">
        <f t="shared" si="1"/>
        <v>16000</v>
      </c>
    </row>
    <row r="35" spans="1:9" ht="34.5" customHeight="1" x14ac:dyDescent="0.2">
      <c r="A35" s="53">
        <v>26</v>
      </c>
      <c r="B35" s="102" t="s">
        <v>73</v>
      </c>
      <c r="C35" s="103" t="s">
        <v>62</v>
      </c>
      <c r="D35" s="104" t="str">
        <f>LEFT(B14,5)</f>
        <v>2.9.5</v>
      </c>
      <c r="E35" s="102" t="s">
        <v>72</v>
      </c>
      <c r="F35" s="56" t="s">
        <v>61</v>
      </c>
      <c r="G35" s="35">
        <v>6</v>
      </c>
      <c r="H35" s="59">
        <v>2620</v>
      </c>
      <c r="I35" s="84">
        <f>G35*H35</f>
        <v>15720</v>
      </c>
    </row>
    <row r="36" spans="1:9" ht="34.5" customHeight="1" thickBot="1" x14ac:dyDescent="0.25">
      <c r="A36" s="70"/>
      <c r="B36" s="105"/>
      <c r="C36" s="106"/>
      <c r="D36" s="107"/>
      <c r="E36" s="105"/>
      <c r="F36" s="62"/>
      <c r="G36" s="71"/>
      <c r="H36" s="72"/>
      <c r="I36" s="72">
        <f>SUM(I10:I35)</f>
        <v>794195</v>
      </c>
    </row>
    <row r="37" spans="1:9" ht="34.5" customHeight="1" x14ac:dyDescent="0.2">
      <c r="A37" s="70"/>
      <c r="B37" s="109" t="s">
        <v>159</v>
      </c>
      <c r="C37" s="21"/>
      <c r="D37" s="21"/>
      <c r="E37" s="22"/>
      <c r="F37" s="62"/>
      <c r="G37" s="71"/>
      <c r="H37" s="72"/>
      <c r="I37" s="72"/>
    </row>
    <row r="38" spans="1:9" ht="24" customHeight="1" x14ac:dyDescent="0.2">
      <c r="A38" s="70"/>
      <c r="B38" s="25" t="s">
        <v>14</v>
      </c>
      <c r="C38" s="123"/>
      <c r="D38" s="123"/>
      <c r="E38" s="123"/>
      <c r="F38" s="62"/>
      <c r="G38" s="71"/>
      <c r="H38" s="72"/>
      <c r="I38" s="72"/>
    </row>
    <row r="39" spans="1:9" ht="21.75" customHeight="1" x14ac:dyDescent="0.2">
      <c r="A39" s="70"/>
      <c r="B39" s="25" t="s">
        <v>15</v>
      </c>
      <c r="C39" s="124" t="s">
        <v>145</v>
      </c>
      <c r="D39" s="124"/>
      <c r="E39" s="125"/>
      <c r="F39" s="62"/>
      <c r="G39" s="71"/>
      <c r="H39" s="72"/>
      <c r="I39" s="72"/>
    </row>
    <row r="40" spans="1:9" ht="1.5" customHeight="1" x14ac:dyDescent="0.2">
      <c r="A40" s="70"/>
      <c r="B40" s="26"/>
      <c r="C40" s="125"/>
      <c r="D40" s="125"/>
      <c r="E40" s="125"/>
      <c r="F40" s="62"/>
      <c r="G40" s="71"/>
      <c r="H40" s="72"/>
      <c r="I40" s="72"/>
    </row>
    <row r="41" spans="1:9" ht="25.5" customHeight="1" x14ac:dyDescent="0.2">
      <c r="A41" s="70"/>
      <c r="B41" s="25" t="s">
        <v>16</v>
      </c>
      <c r="E41" s="24"/>
      <c r="F41" s="62"/>
      <c r="G41" s="71"/>
      <c r="H41" s="72"/>
      <c r="I41" s="72"/>
    </row>
    <row r="42" spans="1:9" ht="25.5" customHeight="1" x14ac:dyDescent="0.2">
      <c r="A42" s="70"/>
      <c r="B42" s="25" t="s">
        <v>17</v>
      </c>
      <c r="C42" s="86" t="s">
        <v>144</v>
      </c>
      <c r="D42" s="32"/>
      <c r="E42" s="33"/>
      <c r="F42" s="62"/>
      <c r="G42" s="71"/>
      <c r="H42" s="72"/>
      <c r="I42" s="72"/>
    </row>
    <row r="43" spans="1:9" ht="1.5" customHeight="1" x14ac:dyDescent="0.2">
      <c r="A43" s="70"/>
      <c r="B43" s="26"/>
      <c r="C43" s="127"/>
      <c r="D43" s="127"/>
      <c r="E43" s="127"/>
      <c r="F43" s="62"/>
      <c r="G43" s="71"/>
      <c r="H43" s="72"/>
      <c r="I43" s="72"/>
    </row>
    <row r="44" spans="1:9" ht="34.5" customHeight="1" x14ac:dyDescent="0.2">
      <c r="A44" s="70"/>
      <c r="B44" s="25" t="s">
        <v>18</v>
      </c>
      <c r="C44" s="17" t="s">
        <v>146</v>
      </c>
      <c r="E44" s="24"/>
      <c r="F44" s="62"/>
      <c r="G44" s="71"/>
      <c r="H44" s="72"/>
      <c r="I44" s="72"/>
    </row>
    <row r="45" spans="1:9" ht="34.5" customHeight="1" thickBot="1" x14ac:dyDescent="0.25">
      <c r="A45" s="70"/>
      <c r="B45" s="108"/>
      <c r="C45" s="128"/>
      <c r="D45" s="128"/>
      <c r="E45" s="128"/>
      <c r="F45" s="62"/>
      <c r="G45" s="71"/>
      <c r="H45" s="72"/>
      <c r="I45" s="72"/>
    </row>
    <row r="46" spans="1:9" ht="29.25" customHeight="1" thickBot="1" x14ac:dyDescent="0.25">
      <c r="B46" s="27"/>
      <c r="C46" s="28"/>
      <c r="D46" s="28"/>
      <c r="E46" s="29"/>
    </row>
    <row r="47" spans="1:9" ht="29.25" customHeight="1" x14ac:dyDescent="0.2">
      <c r="B47" s="109" t="s">
        <v>160</v>
      </c>
      <c r="C47" s="21"/>
      <c r="D47" s="21"/>
      <c r="E47" s="22"/>
    </row>
    <row r="48" spans="1:9" ht="24" customHeight="1" x14ac:dyDescent="0.2">
      <c r="B48" s="25" t="s">
        <v>14</v>
      </c>
      <c r="C48" s="123" t="s">
        <v>137</v>
      </c>
      <c r="D48" s="123"/>
      <c r="E48" s="123"/>
    </row>
    <row r="49" spans="2:5" ht="23.25" customHeight="1" x14ac:dyDescent="0.2">
      <c r="B49" s="25" t="s">
        <v>15</v>
      </c>
      <c r="C49" s="124" t="s">
        <v>145</v>
      </c>
      <c r="D49" s="124"/>
      <c r="E49" s="125"/>
    </row>
    <row r="50" spans="2:5" ht="28.5" customHeight="1" x14ac:dyDescent="0.2">
      <c r="B50" s="25" t="s">
        <v>16</v>
      </c>
      <c r="E50" s="24"/>
    </row>
    <row r="51" spans="2:5" ht="24.75" customHeight="1" x14ac:dyDescent="0.2">
      <c r="B51" s="25" t="s">
        <v>17</v>
      </c>
      <c r="C51" s="126" t="s">
        <v>144</v>
      </c>
      <c r="D51" s="126"/>
      <c r="E51" s="126"/>
    </row>
    <row r="52" spans="2:5" ht="26.25" customHeight="1" x14ac:dyDescent="0.2">
      <c r="B52" s="25" t="s">
        <v>18</v>
      </c>
      <c r="C52" s="17" t="s">
        <v>161</v>
      </c>
      <c r="E52" s="24"/>
    </row>
    <row r="53" spans="2:5" ht="42.75" customHeight="1" thickBot="1" x14ac:dyDescent="0.25">
      <c r="B53" s="73"/>
      <c r="C53" s="28"/>
      <c r="D53" s="28"/>
      <c r="E53" s="29"/>
    </row>
    <row r="54" spans="2:5" ht="18" customHeight="1" thickBot="1" x14ac:dyDescent="0.25">
      <c r="C54" s="28"/>
      <c r="D54" s="28"/>
      <c r="E54" s="28"/>
    </row>
    <row r="55" spans="2:5" ht="34.5" customHeight="1" x14ac:dyDescent="0.2">
      <c r="B55" s="109" t="s">
        <v>19</v>
      </c>
      <c r="E55" s="22"/>
    </row>
    <row r="56" spans="2:5" ht="26.25" customHeight="1" x14ac:dyDescent="0.2">
      <c r="B56" s="25" t="s">
        <v>14</v>
      </c>
      <c r="C56" s="123" t="s">
        <v>117</v>
      </c>
      <c r="D56" s="123"/>
      <c r="E56" s="123"/>
    </row>
    <row r="57" spans="2:5" ht="20.25" customHeight="1" x14ac:dyDescent="0.2">
      <c r="B57" s="25" t="s">
        <v>15</v>
      </c>
      <c r="C57" s="124" t="s">
        <v>145</v>
      </c>
      <c r="D57" s="124"/>
      <c r="E57" s="125"/>
    </row>
    <row r="58" spans="2:5" x14ac:dyDescent="0.2">
      <c r="B58" s="26"/>
      <c r="C58" s="125"/>
      <c r="D58" s="125"/>
      <c r="E58" s="125"/>
    </row>
    <row r="59" spans="2:5" ht="21" customHeight="1" x14ac:dyDescent="0.2">
      <c r="B59" s="25" t="s">
        <v>16</v>
      </c>
      <c r="E59" s="24"/>
    </row>
    <row r="60" spans="2:5" x14ac:dyDescent="0.2">
      <c r="B60" s="25" t="s">
        <v>17</v>
      </c>
      <c r="C60" s="86" t="s">
        <v>144</v>
      </c>
      <c r="D60" s="32"/>
      <c r="E60" s="33"/>
    </row>
    <row r="61" spans="2:5" ht="26.25" customHeight="1" x14ac:dyDescent="0.2">
      <c r="B61" s="26"/>
      <c r="C61" s="127"/>
      <c r="D61" s="127"/>
      <c r="E61" s="127"/>
    </row>
    <row r="62" spans="2:5" x14ac:dyDescent="0.2">
      <c r="B62" s="25" t="s">
        <v>18</v>
      </c>
      <c r="C62" s="17" t="s">
        <v>161</v>
      </c>
      <c r="E62" s="24"/>
    </row>
    <row r="63" spans="2:5" ht="23.25" customHeight="1" x14ac:dyDescent="0.2">
      <c r="B63" s="25"/>
      <c r="C63" s="125"/>
      <c r="D63" s="125"/>
      <c r="E63" s="125"/>
    </row>
    <row r="64" spans="2:5" ht="13.5" thickBot="1" x14ac:dyDescent="0.25">
      <c r="B64" s="27"/>
      <c r="C64" s="28"/>
      <c r="D64" s="28"/>
      <c r="E64" s="29"/>
    </row>
    <row r="65" spans="2:5" ht="13.5" thickBot="1" x14ac:dyDescent="0.25"/>
    <row r="66" spans="2:5" x14ac:dyDescent="0.2">
      <c r="B66" s="109" t="s">
        <v>58</v>
      </c>
      <c r="C66" s="21"/>
      <c r="D66" s="21"/>
      <c r="E66" s="22"/>
    </row>
    <row r="67" spans="2:5" ht="7.5" customHeight="1" x14ac:dyDescent="0.2">
      <c r="B67" s="23"/>
      <c r="E67" s="24"/>
    </row>
    <row r="68" spans="2:5" x14ac:dyDescent="0.2">
      <c r="B68" s="25" t="s">
        <v>14</v>
      </c>
      <c r="E68" s="24"/>
    </row>
    <row r="69" spans="2:5" ht="21.75" customHeight="1" x14ac:dyDescent="0.2">
      <c r="B69" s="25"/>
      <c r="C69" s="131" t="s">
        <v>118</v>
      </c>
      <c r="D69" s="131"/>
      <c r="E69" s="132"/>
    </row>
    <row r="70" spans="2:5" ht="23.25" customHeight="1" x14ac:dyDescent="0.2">
      <c r="B70" s="25" t="s">
        <v>15</v>
      </c>
      <c r="C70" s="124" t="s">
        <v>145</v>
      </c>
      <c r="D70" s="124"/>
      <c r="E70" s="125"/>
    </row>
    <row r="71" spans="2:5" x14ac:dyDescent="0.2">
      <c r="B71" s="26"/>
      <c r="C71" s="125"/>
      <c r="D71" s="125"/>
      <c r="E71" s="125"/>
    </row>
    <row r="72" spans="2:5" x14ac:dyDescent="0.2">
      <c r="B72" s="25" t="s">
        <v>16</v>
      </c>
      <c r="E72" s="24"/>
    </row>
    <row r="73" spans="2:5" x14ac:dyDescent="0.2">
      <c r="B73" s="26"/>
      <c r="C73" s="127"/>
      <c r="D73" s="127"/>
      <c r="E73" s="127"/>
    </row>
    <row r="74" spans="2:5" x14ac:dyDescent="0.2">
      <c r="B74" s="25" t="s">
        <v>17</v>
      </c>
      <c r="C74" s="86" t="s">
        <v>144</v>
      </c>
      <c r="D74" s="32"/>
      <c r="E74" s="33"/>
    </row>
    <row r="75" spans="2:5" x14ac:dyDescent="0.2">
      <c r="B75" s="26"/>
      <c r="C75" s="127"/>
      <c r="D75" s="127"/>
      <c r="E75" s="127"/>
    </row>
    <row r="76" spans="2:5" x14ac:dyDescent="0.2">
      <c r="B76" s="25" t="s">
        <v>18</v>
      </c>
      <c r="C76" s="17" t="s">
        <v>161</v>
      </c>
      <c r="E76" s="24"/>
    </row>
    <row r="77" spans="2:5" x14ac:dyDescent="0.2">
      <c r="B77" s="25"/>
      <c r="C77" s="125"/>
      <c r="D77" s="125"/>
      <c r="E77" s="125"/>
    </row>
    <row r="78" spans="2:5" ht="13.5" thickBot="1" x14ac:dyDescent="0.25">
      <c r="B78" s="27"/>
      <c r="C78" s="28"/>
      <c r="D78" s="28"/>
      <c r="E78" s="29"/>
    </row>
    <row r="79" spans="2:5" ht="13.5" thickBot="1" x14ac:dyDescent="0.25"/>
    <row r="80" spans="2:5" x14ac:dyDescent="0.2">
      <c r="B80" s="109" t="s">
        <v>75</v>
      </c>
      <c r="C80" s="21"/>
      <c r="D80" s="21"/>
      <c r="E80" s="22"/>
    </row>
    <row r="81" spans="2:5" x14ac:dyDescent="0.2">
      <c r="B81" s="23"/>
      <c r="E81" s="24"/>
    </row>
    <row r="82" spans="2:5" x14ac:dyDescent="0.2">
      <c r="B82" s="25" t="s">
        <v>14</v>
      </c>
      <c r="E82" s="24"/>
    </row>
    <row r="83" spans="2:5" x14ac:dyDescent="0.2">
      <c r="B83" s="25"/>
      <c r="C83" s="132" t="s">
        <v>138</v>
      </c>
      <c r="D83" s="132"/>
      <c r="E83" s="132"/>
    </row>
    <row r="84" spans="2:5" ht="25.5" customHeight="1" x14ac:dyDescent="0.2">
      <c r="B84" s="25" t="s">
        <v>15</v>
      </c>
      <c r="C84" s="124" t="s">
        <v>145</v>
      </c>
      <c r="D84" s="124"/>
      <c r="E84" s="125"/>
    </row>
    <row r="85" spans="2:5" x14ac:dyDescent="0.2">
      <c r="B85" s="26"/>
      <c r="C85" s="125"/>
      <c r="D85" s="125"/>
      <c r="E85" s="125"/>
    </row>
    <row r="86" spans="2:5" x14ac:dyDescent="0.2">
      <c r="B86" s="25" t="s">
        <v>16</v>
      </c>
      <c r="E86" s="24"/>
    </row>
    <row r="87" spans="2:5" x14ac:dyDescent="0.2">
      <c r="B87" s="26"/>
      <c r="C87" s="127"/>
      <c r="D87" s="127"/>
      <c r="E87" s="127"/>
    </row>
    <row r="88" spans="2:5" x14ac:dyDescent="0.2">
      <c r="B88" s="25" t="s">
        <v>17</v>
      </c>
      <c r="C88" s="86" t="s">
        <v>144</v>
      </c>
      <c r="D88" s="32"/>
      <c r="E88" s="33"/>
    </row>
    <row r="89" spans="2:5" x14ac:dyDescent="0.2">
      <c r="B89" s="26"/>
      <c r="C89" s="127"/>
      <c r="D89" s="127"/>
      <c r="E89" s="127"/>
    </row>
    <row r="90" spans="2:5" x14ac:dyDescent="0.2">
      <c r="B90" s="25" t="s">
        <v>18</v>
      </c>
      <c r="C90" s="17" t="s">
        <v>161</v>
      </c>
      <c r="E90" s="24"/>
    </row>
    <row r="91" spans="2:5" x14ac:dyDescent="0.2">
      <c r="B91" s="25"/>
      <c r="C91" s="125"/>
      <c r="D91" s="125"/>
      <c r="E91" s="125"/>
    </row>
    <row r="92" spans="2:5" ht="13.5" thickBot="1" x14ac:dyDescent="0.25">
      <c r="B92" s="27"/>
      <c r="C92" s="28"/>
      <c r="D92" s="28"/>
      <c r="E92" s="29"/>
    </row>
    <row r="93" spans="2:5" ht="13.5" thickBot="1" x14ac:dyDescent="0.25"/>
    <row r="94" spans="2:5" x14ac:dyDescent="0.2">
      <c r="B94" s="109" t="s">
        <v>64</v>
      </c>
      <c r="C94" s="21"/>
      <c r="D94" s="21"/>
      <c r="E94" s="22"/>
    </row>
    <row r="95" spans="2:5" x14ac:dyDescent="0.2">
      <c r="B95" s="23"/>
      <c r="E95" s="24"/>
    </row>
    <row r="96" spans="2:5" x14ac:dyDescent="0.2">
      <c r="B96" s="25" t="s">
        <v>14</v>
      </c>
      <c r="E96" s="24"/>
    </row>
    <row r="97" spans="2:5" ht="24" customHeight="1" x14ac:dyDescent="0.2">
      <c r="B97" s="25"/>
      <c r="C97" s="129" t="s">
        <v>119</v>
      </c>
      <c r="D97" s="129"/>
      <c r="E97" s="130"/>
    </row>
    <row r="98" spans="2:5" x14ac:dyDescent="0.2">
      <c r="B98" s="25" t="s">
        <v>15</v>
      </c>
      <c r="C98" s="124" t="s">
        <v>145</v>
      </c>
      <c r="D98" s="124"/>
      <c r="E98" s="125"/>
    </row>
    <row r="99" spans="2:5" x14ac:dyDescent="0.2">
      <c r="B99" s="26"/>
      <c r="C99" s="125"/>
      <c r="D99" s="125"/>
      <c r="E99" s="125"/>
    </row>
    <row r="100" spans="2:5" x14ac:dyDescent="0.2">
      <c r="B100" s="25" t="s">
        <v>16</v>
      </c>
      <c r="E100" s="24"/>
    </row>
    <row r="101" spans="2:5" x14ac:dyDescent="0.2">
      <c r="B101" s="26"/>
      <c r="C101" s="127"/>
      <c r="D101" s="127"/>
      <c r="E101" s="127"/>
    </row>
    <row r="102" spans="2:5" x14ac:dyDescent="0.2">
      <c r="B102" s="25" t="s">
        <v>17</v>
      </c>
      <c r="C102" s="86" t="s">
        <v>144</v>
      </c>
      <c r="D102" s="32"/>
      <c r="E102" s="33"/>
    </row>
    <row r="103" spans="2:5" x14ac:dyDescent="0.2">
      <c r="B103" s="26"/>
      <c r="C103" s="127"/>
      <c r="D103" s="127"/>
      <c r="E103" s="127"/>
    </row>
    <row r="104" spans="2:5" x14ac:dyDescent="0.2">
      <c r="B104" s="25" t="s">
        <v>18</v>
      </c>
      <c r="C104" s="17" t="s">
        <v>161</v>
      </c>
      <c r="E104" s="24"/>
    </row>
    <row r="105" spans="2:5" x14ac:dyDescent="0.2">
      <c r="B105" s="25"/>
      <c r="C105" s="125"/>
      <c r="D105" s="125"/>
      <c r="E105" s="125"/>
    </row>
    <row r="106" spans="2:5" ht="13.5" thickBot="1" x14ac:dyDescent="0.25">
      <c r="B106" s="27"/>
      <c r="C106" s="28"/>
      <c r="D106" s="28"/>
      <c r="E106" s="29"/>
    </row>
    <row r="107" spans="2:5" ht="13.5" thickBot="1" x14ac:dyDescent="0.25"/>
    <row r="108" spans="2:5" x14ac:dyDescent="0.2">
      <c r="B108" s="109" t="s">
        <v>76</v>
      </c>
      <c r="C108" s="21"/>
      <c r="D108" s="21"/>
      <c r="E108" s="22"/>
    </row>
    <row r="109" spans="2:5" x14ac:dyDescent="0.2">
      <c r="B109" s="23"/>
      <c r="E109" s="24"/>
    </row>
    <row r="110" spans="2:5" x14ac:dyDescent="0.2">
      <c r="B110" s="25" t="s">
        <v>14</v>
      </c>
      <c r="C110" s="88" t="s">
        <v>120</v>
      </c>
      <c r="D110" s="88"/>
      <c r="E110" s="89"/>
    </row>
    <row r="111" spans="2:5" x14ac:dyDescent="0.2">
      <c r="B111" s="25"/>
      <c r="C111" s="124" t="s">
        <v>145</v>
      </c>
      <c r="D111" s="124"/>
      <c r="E111" s="124"/>
    </row>
    <row r="112" spans="2:5" x14ac:dyDescent="0.2">
      <c r="B112" s="25" t="s">
        <v>15</v>
      </c>
      <c r="C112" s="124"/>
      <c r="D112" s="124"/>
      <c r="E112" s="124"/>
    </row>
    <row r="113" spans="2:5" x14ac:dyDescent="0.2">
      <c r="B113" s="26"/>
      <c r="C113" s="125"/>
      <c r="D113" s="125"/>
      <c r="E113" s="125"/>
    </row>
    <row r="114" spans="2:5" x14ac:dyDescent="0.2">
      <c r="B114" s="25" t="s">
        <v>16</v>
      </c>
      <c r="E114" s="24"/>
    </row>
    <row r="115" spans="2:5" x14ac:dyDescent="0.2">
      <c r="B115" s="26"/>
      <c r="C115" s="127"/>
      <c r="D115" s="127"/>
      <c r="E115" s="127"/>
    </row>
    <row r="116" spans="2:5" x14ac:dyDescent="0.2">
      <c r="B116" s="25" t="s">
        <v>17</v>
      </c>
      <c r="C116" s="86" t="s">
        <v>144</v>
      </c>
      <c r="D116" s="32"/>
      <c r="E116" s="33"/>
    </row>
    <row r="117" spans="2:5" x14ac:dyDescent="0.2">
      <c r="B117" s="26"/>
      <c r="C117" s="127"/>
      <c r="D117" s="127"/>
      <c r="E117" s="127"/>
    </row>
    <row r="118" spans="2:5" x14ac:dyDescent="0.2">
      <c r="B118" s="25" t="s">
        <v>18</v>
      </c>
      <c r="C118" s="17" t="s">
        <v>161</v>
      </c>
      <c r="E118" s="24"/>
    </row>
    <row r="119" spans="2:5" x14ac:dyDescent="0.2">
      <c r="B119" s="25"/>
      <c r="C119" s="125"/>
      <c r="D119" s="125"/>
      <c r="E119" s="125"/>
    </row>
    <row r="120" spans="2:5" ht="13.5" thickBot="1" x14ac:dyDescent="0.25">
      <c r="B120" s="27"/>
      <c r="C120" s="28"/>
      <c r="D120" s="28"/>
      <c r="E120" s="29"/>
    </row>
    <row r="121" spans="2:5" ht="13.5" thickBot="1" x14ac:dyDescent="0.25"/>
    <row r="122" spans="2:5" x14ac:dyDescent="0.2">
      <c r="B122" s="109" t="s">
        <v>65</v>
      </c>
      <c r="C122" s="21"/>
      <c r="D122" s="21"/>
      <c r="E122" s="22"/>
    </row>
    <row r="123" spans="2:5" x14ac:dyDescent="0.2">
      <c r="B123" s="23"/>
      <c r="E123" s="24"/>
    </row>
    <row r="124" spans="2:5" x14ac:dyDescent="0.2">
      <c r="B124" s="25" t="s">
        <v>14</v>
      </c>
      <c r="C124" s="88" t="s">
        <v>122</v>
      </c>
      <c r="E124" s="24"/>
    </row>
    <row r="125" spans="2:5" ht="14.25" customHeight="1" x14ac:dyDescent="0.2">
      <c r="B125" s="25"/>
      <c r="C125" s="127"/>
      <c r="D125" s="127"/>
      <c r="E125" s="127"/>
    </row>
    <row r="126" spans="2:5" ht="18.75" customHeight="1" x14ac:dyDescent="0.2">
      <c r="B126" s="25" t="s">
        <v>15</v>
      </c>
      <c r="C126" s="124" t="s">
        <v>145</v>
      </c>
      <c r="D126" s="124"/>
      <c r="E126" s="125"/>
    </row>
    <row r="127" spans="2:5" x14ac:dyDescent="0.2">
      <c r="B127" s="26"/>
      <c r="C127" s="125"/>
      <c r="D127" s="125"/>
      <c r="E127" s="125"/>
    </row>
    <row r="128" spans="2:5" x14ac:dyDescent="0.2">
      <c r="B128" s="25" t="s">
        <v>16</v>
      </c>
      <c r="E128" s="24"/>
    </row>
    <row r="129" spans="2:5" x14ac:dyDescent="0.2">
      <c r="B129" s="26"/>
      <c r="C129" s="127"/>
      <c r="D129" s="127"/>
      <c r="E129" s="127"/>
    </row>
    <row r="130" spans="2:5" x14ac:dyDescent="0.2">
      <c r="B130" s="25" t="s">
        <v>17</v>
      </c>
      <c r="C130" s="86" t="s">
        <v>144</v>
      </c>
      <c r="D130" s="32"/>
      <c r="E130" s="33"/>
    </row>
    <row r="131" spans="2:5" x14ac:dyDescent="0.2">
      <c r="B131" s="26"/>
      <c r="C131" s="127"/>
      <c r="D131" s="127"/>
      <c r="E131" s="127"/>
    </row>
    <row r="132" spans="2:5" x14ac:dyDescent="0.2">
      <c r="B132" s="25" t="s">
        <v>18</v>
      </c>
      <c r="C132" s="17" t="s">
        <v>161</v>
      </c>
      <c r="E132" s="24"/>
    </row>
    <row r="133" spans="2:5" x14ac:dyDescent="0.2">
      <c r="B133" s="25"/>
      <c r="C133" s="125"/>
      <c r="D133" s="125"/>
      <c r="E133" s="125"/>
    </row>
    <row r="134" spans="2:5" ht="13.5" thickBot="1" x14ac:dyDescent="0.25">
      <c r="B134" s="27"/>
      <c r="C134" s="28"/>
      <c r="D134" s="28"/>
      <c r="E134" s="29"/>
    </row>
    <row r="135" spans="2:5" ht="13.5" thickBot="1" x14ac:dyDescent="0.25"/>
    <row r="136" spans="2:5" x14ac:dyDescent="0.2">
      <c r="B136" s="109" t="s">
        <v>66</v>
      </c>
      <c r="C136" s="21"/>
      <c r="D136" s="21"/>
      <c r="E136" s="22"/>
    </row>
    <row r="137" spans="2:5" x14ac:dyDescent="0.2">
      <c r="B137" s="23"/>
      <c r="E137" s="24"/>
    </row>
    <row r="138" spans="2:5" x14ac:dyDescent="0.2">
      <c r="B138" s="25" t="s">
        <v>14</v>
      </c>
      <c r="C138" s="88" t="s">
        <v>123</v>
      </c>
      <c r="D138" s="88"/>
      <c r="E138" s="89"/>
    </row>
    <row r="139" spans="2:5" x14ac:dyDescent="0.2">
      <c r="B139" s="25"/>
      <c r="C139" s="39"/>
      <c r="D139" s="32"/>
      <c r="E139" s="33"/>
    </row>
    <row r="140" spans="2:5" x14ac:dyDescent="0.2">
      <c r="B140" s="25" t="s">
        <v>15</v>
      </c>
      <c r="C140" s="124" t="s">
        <v>145</v>
      </c>
      <c r="D140" s="124"/>
      <c r="E140" s="125"/>
    </row>
    <row r="141" spans="2:5" x14ac:dyDescent="0.2">
      <c r="B141" s="26"/>
      <c r="C141" s="125"/>
      <c r="D141" s="125"/>
      <c r="E141" s="125"/>
    </row>
    <row r="142" spans="2:5" x14ac:dyDescent="0.2">
      <c r="B142" s="25" t="s">
        <v>16</v>
      </c>
      <c r="E142" s="24"/>
    </row>
    <row r="143" spans="2:5" x14ac:dyDescent="0.2">
      <c r="B143" s="26"/>
      <c r="C143" s="127"/>
      <c r="D143" s="127"/>
      <c r="E143" s="127"/>
    </row>
    <row r="144" spans="2:5" x14ac:dyDescent="0.2">
      <c r="B144" s="25" t="s">
        <v>17</v>
      </c>
      <c r="C144" s="86" t="s">
        <v>144</v>
      </c>
      <c r="D144" s="32"/>
      <c r="E144" s="33"/>
    </row>
    <row r="145" spans="2:5" x14ac:dyDescent="0.2">
      <c r="B145" s="26"/>
      <c r="C145" s="127"/>
      <c r="D145" s="127"/>
      <c r="E145" s="127"/>
    </row>
    <row r="146" spans="2:5" x14ac:dyDescent="0.2">
      <c r="B146" s="25" t="s">
        <v>18</v>
      </c>
      <c r="C146" s="17" t="s">
        <v>161</v>
      </c>
      <c r="E146" s="24"/>
    </row>
    <row r="147" spans="2:5" x14ac:dyDescent="0.2">
      <c r="B147" s="25"/>
      <c r="C147" s="125"/>
      <c r="D147" s="125"/>
      <c r="E147" s="125"/>
    </row>
    <row r="148" spans="2:5" ht="13.5" thickBot="1" x14ac:dyDescent="0.25">
      <c r="B148" s="27"/>
      <c r="C148" s="28"/>
      <c r="D148" s="28"/>
      <c r="E148" s="29"/>
    </row>
    <row r="149" spans="2:5" ht="13.5" thickBot="1" x14ac:dyDescent="0.25"/>
    <row r="150" spans="2:5" x14ac:dyDescent="0.2">
      <c r="B150" s="109" t="s">
        <v>77</v>
      </c>
      <c r="C150" s="21"/>
      <c r="D150" s="21"/>
      <c r="E150" s="22"/>
    </row>
    <row r="151" spans="2:5" x14ac:dyDescent="0.2">
      <c r="B151" s="23"/>
      <c r="E151" s="24"/>
    </row>
    <row r="152" spans="2:5" ht="23.25" customHeight="1" x14ac:dyDescent="0.2">
      <c r="B152" s="25" t="s">
        <v>14</v>
      </c>
      <c r="C152" s="88" t="s">
        <v>139</v>
      </c>
      <c r="D152" s="88"/>
      <c r="E152" s="89"/>
    </row>
    <row r="153" spans="2:5" ht="21.75" customHeight="1" x14ac:dyDescent="0.2">
      <c r="B153" s="25" t="s">
        <v>15</v>
      </c>
      <c r="C153" s="124" t="s">
        <v>145</v>
      </c>
      <c r="D153" s="124"/>
      <c r="E153" s="125"/>
    </row>
    <row r="154" spans="2:5" x14ac:dyDescent="0.2">
      <c r="B154" s="26"/>
      <c r="C154" s="125"/>
      <c r="D154" s="125"/>
      <c r="E154" s="125"/>
    </row>
    <row r="155" spans="2:5" x14ac:dyDescent="0.2">
      <c r="B155" s="25" t="s">
        <v>16</v>
      </c>
      <c r="E155" s="24"/>
    </row>
    <row r="156" spans="2:5" x14ac:dyDescent="0.2">
      <c r="B156" s="26"/>
      <c r="C156" s="127"/>
      <c r="D156" s="127"/>
      <c r="E156" s="127"/>
    </row>
    <row r="157" spans="2:5" x14ac:dyDescent="0.2">
      <c r="B157" s="25" t="s">
        <v>17</v>
      </c>
      <c r="C157" s="86" t="s">
        <v>144</v>
      </c>
      <c r="D157" s="32"/>
      <c r="E157" s="33"/>
    </row>
    <row r="158" spans="2:5" x14ac:dyDescent="0.2">
      <c r="B158" s="26"/>
      <c r="C158" s="127"/>
      <c r="D158" s="127"/>
      <c r="E158" s="127"/>
    </row>
    <row r="159" spans="2:5" x14ac:dyDescent="0.2">
      <c r="B159" s="25" t="s">
        <v>18</v>
      </c>
      <c r="C159" s="17" t="s">
        <v>161</v>
      </c>
      <c r="E159" s="24"/>
    </row>
    <row r="160" spans="2:5" x14ac:dyDescent="0.2">
      <c r="B160" s="25"/>
      <c r="C160" s="125"/>
      <c r="D160" s="125"/>
      <c r="E160" s="125"/>
    </row>
    <row r="161" spans="2:5" ht="13.5" thickBot="1" x14ac:dyDescent="0.25">
      <c r="B161" s="27"/>
      <c r="C161" s="28"/>
      <c r="D161" s="28"/>
      <c r="E161" s="29"/>
    </row>
    <row r="162" spans="2:5" ht="13.5" thickBot="1" x14ac:dyDescent="0.25"/>
    <row r="163" spans="2:5" x14ac:dyDescent="0.2">
      <c r="B163" s="109" t="s">
        <v>67</v>
      </c>
      <c r="C163" s="21"/>
      <c r="D163" s="21"/>
      <c r="E163" s="22"/>
    </row>
    <row r="164" spans="2:5" x14ac:dyDescent="0.2">
      <c r="B164" s="23"/>
      <c r="E164" s="24"/>
    </row>
    <row r="165" spans="2:5" ht="18.75" customHeight="1" x14ac:dyDescent="0.2">
      <c r="B165" s="25" t="s">
        <v>14</v>
      </c>
      <c r="C165" s="88" t="s">
        <v>140</v>
      </c>
      <c r="D165" s="88"/>
      <c r="E165" s="89"/>
    </row>
    <row r="166" spans="2:5" ht="24.75" customHeight="1" x14ac:dyDescent="0.2">
      <c r="B166" s="25" t="s">
        <v>15</v>
      </c>
      <c r="C166" s="124" t="s">
        <v>145</v>
      </c>
      <c r="D166" s="124"/>
      <c r="E166" s="125"/>
    </row>
    <row r="167" spans="2:5" x14ac:dyDescent="0.2">
      <c r="B167" s="26"/>
      <c r="C167" s="125"/>
      <c r="D167" s="125"/>
      <c r="E167" s="125"/>
    </row>
    <row r="168" spans="2:5" x14ac:dyDescent="0.2">
      <c r="B168" s="25" t="s">
        <v>16</v>
      </c>
      <c r="E168" s="24"/>
    </row>
    <row r="169" spans="2:5" x14ac:dyDescent="0.2">
      <c r="B169" s="26"/>
      <c r="C169" s="127"/>
      <c r="D169" s="127"/>
      <c r="E169" s="127"/>
    </row>
    <row r="170" spans="2:5" x14ac:dyDescent="0.2">
      <c r="B170" s="25" t="s">
        <v>17</v>
      </c>
      <c r="C170" s="86" t="s">
        <v>144</v>
      </c>
      <c r="D170" s="32"/>
      <c r="E170" s="33"/>
    </row>
    <row r="171" spans="2:5" x14ac:dyDescent="0.2">
      <c r="B171" s="26"/>
      <c r="C171" s="127"/>
      <c r="D171" s="127"/>
      <c r="E171" s="127"/>
    </row>
    <row r="172" spans="2:5" x14ac:dyDescent="0.2">
      <c r="B172" s="25" t="s">
        <v>18</v>
      </c>
      <c r="C172" s="17" t="s">
        <v>161</v>
      </c>
      <c r="E172" s="24"/>
    </row>
    <row r="173" spans="2:5" x14ac:dyDescent="0.2">
      <c r="B173" s="25"/>
      <c r="C173" s="125"/>
      <c r="D173" s="125"/>
      <c r="E173" s="125"/>
    </row>
    <row r="174" spans="2:5" ht="13.5" thickBot="1" x14ac:dyDescent="0.25">
      <c r="B174" s="27"/>
      <c r="C174" s="28"/>
      <c r="D174" s="28"/>
      <c r="E174" s="29"/>
    </row>
    <row r="175" spans="2:5" ht="13.5" thickBot="1" x14ac:dyDescent="0.25"/>
    <row r="176" spans="2:5" x14ac:dyDescent="0.2">
      <c r="B176" s="109" t="s">
        <v>78</v>
      </c>
      <c r="C176" s="21"/>
      <c r="D176" s="21"/>
      <c r="E176" s="22"/>
    </row>
    <row r="177" spans="2:5" x14ac:dyDescent="0.2">
      <c r="B177" s="23"/>
      <c r="E177" s="24"/>
    </row>
    <row r="178" spans="2:5" x14ac:dyDescent="0.2">
      <c r="B178" s="25" t="s">
        <v>14</v>
      </c>
      <c r="C178" s="88" t="s">
        <v>141</v>
      </c>
      <c r="D178" s="88"/>
      <c r="E178" s="89"/>
    </row>
    <row r="179" spans="2:5" ht="27" customHeight="1" x14ac:dyDescent="0.2">
      <c r="B179" s="25" t="s">
        <v>15</v>
      </c>
      <c r="C179" s="124" t="s">
        <v>145</v>
      </c>
      <c r="D179" s="124"/>
      <c r="E179" s="125"/>
    </row>
    <row r="180" spans="2:5" x14ac:dyDescent="0.2">
      <c r="B180" s="26"/>
      <c r="C180" s="125"/>
      <c r="D180" s="125"/>
      <c r="E180" s="125"/>
    </row>
    <row r="181" spans="2:5" x14ac:dyDescent="0.2">
      <c r="B181" s="25" t="s">
        <v>16</v>
      </c>
      <c r="E181" s="24"/>
    </row>
    <row r="182" spans="2:5" x14ac:dyDescent="0.2">
      <c r="B182" s="26"/>
      <c r="C182" s="127"/>
      <c r="D182" s="127"/>
      <c r="E182" s="127"/>
    </row>
    <row r="183" spans="2:5" x14ac:dyDescent="0.2">
      <c r="B183" s="25" t="s">
        <v>17</v>
      </c>
      <c r="C183" s="86" t="s">
        <v>144</v>
      </c>
      <c r="D183" s="32"/>
      <c r="E183" s="33"/>
    </row>
    <row r="184" spans="2:5" x14ac:dyDescent="0.2">
      <c r="B184" s="26"/>
      <c r="C184" s="127"/>
      <c r="D184" s="127"/>
      <c r="E184" s="127"/>
    </row>
    <row r="185" spans="2:5" x14ac:dyDescent="0.2">
      <c r="B185" s="25" t="s">
        <v>18</v>
      </c>
      <c r="C185" s="17" t="s">
        <v>161</v>
      </c>
      <c r="E185" s="24"/>
    </row>
    <row r="186" spans="2:5" x14ac:dyDescent="0.2">
      <c r="B186" s="25"/>
      <c r="C186" s="125"/>
      <c r="D186" s="125"/>
      <c r="E186" s="125"/>
    </row>
    <row r="187" spans="2:5" ht="13.5" thickBot="1" x14ac:dyDescent="0.25">
      <c r="B187" s="27"/>
      <c r="C187" s="28"/>
      <c r="D187" s="28"/>
      <c r="E187" s="29"/>
    </row>
    <row r="188" spans="2:5" ht="13.5" thickBot="1" x14ac:dyDescent="0.25"/>
    <row r="189" spans="2:5" x14ac:dyDescent="0.2">
      <c r="B189" s="109" t="s">
        <v>79</v>
      </c>
      <c r="C189" s="21"/>
      <c r="D189" s="21"/>
      <c r="E189" s="22"/>
    </row>
    <row r="190" spans="2:5" x14ac:dyDescent="0.2">
      <c r="B190" s="23"/>
      <c r="E190" s="24"/>
    </row>
    <row r="191" spans="2:5" x14ac:dyDescent="0.2">
      <c r="B191" s="25" t="s">
        <v>14</v>
      </c>
      <c r="C191" s="88" t="s">
        <v>147</v>
      </c>
      <c r="D191" s="88"/>
      <c r="E191" s="89"/>
    </row>
    <row r="192" spans="2:5" x14ac:dyDescent="0.2">
      <c r="B192" s="25"/>
      <c r="C192" s="41"/>
      <c r="D192" s="32"/>
      <c r="E192" s="33"/>
    </row>
    <row r="193" spans="2:5" x14ac:dyDescent="0.2">
      <c r="B193" s="25" t="s">
        <v>15</v>
      </c>
      <c r="C193" s="124" t="s">
        <v>145</v>
      </c>
      <c r="D193" s="124"/>
      <c r="E193" s="125"/>
    </row>
    <row r="194" spans="2:5" x14ac:dyDescent="0.2">
      <c r="B194" s="26"/>
      <c r="C194" s="133"/>
      <c r="D194" s="133"/>
      <c r="E194" s="133"/>
    </row>
    <row r="195" spans="2:5" x14ac:dyDescent="0.2">
      <c r="B195" s="25" t="s">
        <v>16</v>
      </c>
      <c r="E195" s="24"/>
    </row>
    <row r="196" spans="2:5" x14ac:dyDescent="0.2">
      <c r="B196" s="26"/>
      <c r="C196" s="127"/>
      <c r="D196" s="127"/>
      <c r="E196" s="127"/>
    </row>
    <row r="197" spans="2:5" x14ac:dyDescent="0.2">
      <c r="B197" s="25" t="s">
        <v>17</v>
      </c>
      <c r="C197" s="86" t="s">
        <v>144</v>
      </c>
      <c r="D197" s="32"/>
      <c r="E197" s="33"/>
    </row>
    <row r="198" spans="2:5" x14ac:dyDescent="0.2">
      <c r="B198" s="26"/>
      <c r="C198" s="127"/>
      <c r="D198" s="127"/>
      <c r="E198" s="127"/>
    </row>
    <row r="199" spans="2:5" x14ac:dyDescent="0.2">
      <c r="B199" s="25" t="s">
        <v>18</v>
      </c>
      <c r="C199" s="17" t="s">
        <v>161</v>
      </c>
      <c r="E199" s="24"/>
    </row>
    <row r="200" spans="2:5" x14ac:dyDescent="0.2">
      <c r="B200" s="25"/>
      <c r="C200" s="125"/>
      <c r="D200" s="125"/>
      <c r="E200" s="125"/>
    </row>
    <row r="201" spans="2:5" ht="13.5" thickBot="1" x14ac:dyDescent="0.25">
      <c r="B201" s="27"/>
      <c r="C201" s="28"/>
      <c r="D201" s="28"/>
      <c r="E201" s="29"/>
    </row>
    <row r="202" spans="2:5" ht="13.5" thickBot="1" x14ac:dyDescent="0.25"/>
    <row r="203" spans="2:5" x14ac:dyDescent="0.2">
      <c r="B203" s="109" t="s">
        <v>129</v>
      </c>
      <c r="C203" s="21"/>
      <c r="D203" s="21"/>
      <c r="E203" s="22"/>
    </row>
    <row r="204" spans="2:5" x14ac:dyDescent="0.2">
      <c r="B204" s="23"/>
      <c r="E204" s="24"/>
    </row>
    <row r="205" spans="2:5" ht="29.25" customHeight="1" x14ac:dyDescent="0.2">
      <c r="B205" s="25" t="s">
        <v>14</v>
      </c>
      <c r="C205" s="90" t="s">
        <v>142</v>
      </c>
      <c r="D205" s="88"/>
      <c r="E205" s="89"/>
    </row>
    <row r="206" spans="2:5" x14ac:dyDescent="0.2">
      <c r="B206" s="25"/>
      <c r="C206" s="40"/>
      <c r="D206" s="32"/>
      <c r="E206" s="33"/>
    </row>
    <row r="207" spans="2:5" x14ac:dyDescent="0.2">
      <c r="B207" s="25" t="s">
        <v>15</v>
      </c>
      <c r="C207" s="124" t="s">
        <v>145</v>
      </c>
      <c r="D207" s="124"/>
      <c r="E207" s="125"/>
    </row>
    <row r="208" spans="2:5" x14ac:dyDescent="0.2">
      <c r="B208" s="26"/>
      <c r="C208" s="125"/>
      <c r="D208" s="125"/>
      <c r="E208" s="125"/>
    </row>
    <row r="209" spans="2:5" x14ac:dyDescent="0.2">
      <c r="B209" s="25" t="s">
        <v>16</v>
      </c>
      <c r="E209" s="24"/>
    </row>
    <row r="210" spans="2:5" x14ac:dyDescent="0.2">
      <c r="B210" s="26"/>
      <c r="C210" s="127"/>
      <c r="D210" s="127"/>
      <c r="E210" s="127"/>
    </row>
    <row r="211" spans="2:5" x14ac:dyDescent="0.2">
      <c r="B211" s="25" t="s">
        <v>17</v>
      </c>
      <c r="C211" s="86" t="s">
        <v>144</v>
      </c>
      <c r="D211" s="32"/>
      <c r="E211" s="33"/>
    </row>
    <row r="212" spans="2:5" x14ac:dyDescent="0.2">
      <c r="B212" s="26"/>
      <c r="C212" s="127"/>
      <c r="D212" s="127"/>
      <c r="E212" s="127"/>
    </row>
    <row r="213" spans="2:5" x14ac:dyDescent="0.2">
      <c r="B213" s="25" t="s">
        <v>18</v>
      </c>
      <c r="C213" s="17" t="s">
        <v>161</v>
      </c>
      <c r="E213" s="24"/>
    </row>
    <row r="214" spans="2:5" x14ac:dyDescent="0.2">
      <c r="B214" s="25"/>
      <c r="C214" s="125"/>
      <c r="D214" s="125"/>
      <c r="E214" s="125"/>
    </row>
    <row r="215" spans="2:5" ht="13.5" thickBot="1" x14ac:dyDescent="0.25">
      <c r="B215" s="27"/>
      <c r="C215" s="28"/>
      <c r="D215" s="28"/>
      <c r="E215" s="29"/>
    </row>
    <row r="216" spans="2:5" ht="13.5" thickBot="1" x14ac:dyDescent="0.25"/>
    <row r="217" spans="2:5" x14ac:dyDescent="0.2">
      <c r="B217" s="109" t="s">
        <v>80</v>
      </c>
      <c r="C217" s="79"/>
      <c r="D217" s="79"/>
      <c r="E217" s="78"/>
    </row>
    <row r="218" spans="2:5" x14ac:dyDescent="0.2">
      <c r="B218" s="23"/>
      <c r="E218" s="24"/>
    </row>
    <row r="219" spans="2:5" ht="24.75" customHeight="1" x14ac:dyDescent="0.2">
      <c r="B219" s="25" t="s">
        <v>14</v>
      </c>
      <c r="C219" s="91" t="s">
        <v>148</v>
      </c>
      <c r="D219" s="87"/>
      <c r="E219" s="92"/>
    </row>
    <row r="220" spans="2:5" ht="17.25" customHeight="1" x14ac:dyDescent="0.2">
      <c r="B220" s="25"/>
      <c r="E220" s="33"/>
    </row>
    <row r="221" spans="2:5" x14ac:dyDescent="0.2">
      <c r="B221" s="25" t="s">
        <v>15</v>
      </c>
      <c r="C221" s="124" t="s">
        <v>145</v>
      </c>
      <c r="D221" s="124"/>
      <c r="E221" s="125"/>
    </row>
    <row r="222" spans="2:5" ht="15.75" customHeight="1" x14ac:dyDescent="0.2">
      <c r="B222" s="26"/>
      <c r="D222" s="64"/>
      <c r="E222" s="63"/>
    </row>
    <row r="223" spans="2:5" x14ac:dyDescent="0.2">
      <c r="B223" s="25" t="s">
        <v>16</v>
      </c>
      <c r="C223" s="52"/>
      <c r="D223" s="32"/>
      <c r="E223" s="24"/>
    </row>
    <row r="224" spans="2:5" x14ac:dyDescent="0.2">
      <c r="B224" s="26"/>
      <c r="C224" s="32"/>
      <c r="D224" s="32"/>
      <c r="E224" s="33"/>
    </row>
    <row r="225" spans="1:5" x14ac:dyDescent="0.2">
      <c r="B225" s="25" t="s">
        <v>17</v>
      </c>
      <c r="C225" s="86" t="s">
        <v>144</v>
      </c>
      <c r="D225" s="32"/>
      <c r="E225" s="33"/>
    </row>
    <row r="226" spans="1:5" x14ac:dyDescent="0.2">
      <c r="B226" s="26"/>
      <c r="C226" s="32"/>
      <c r="E226" s="33"/>
    </row>
    <row r="227" spans="1:5" x14ac:dyDescent="0.2">
      <c r="B227" s="25" t="s">
        <v>18</v>
      </c>
      <c r="C227" s="17" t="s">
        <v>161</v>
      </c>
      <c r="E227" s="24"/>
    </row>
    <row r="228" spans="1:5" x14ac:dyDescent="0.2">
      <c r="B228" s="25"/>
      <c r="C228" s="64"/>
      <c r="D228" s="64"/>
      <c r="E228" s="63"/>
    </row>
    <row r="229" spans="1:5" ht="13.5" thickBot="1" x14ac:dyDescent="0.25">
      <c r="B229" s="27"/>
      <c r="C229" s="28"/>
      <c r="D229" s="28"/>
      <c r="E229" s="29"/>
    </row>
    <row r="230" spans="1:5" ht="13.5" thickBot="1" x14ac:dyDescent="0.25"/>
    <row r="231" spans="1:5" x14ac:dyDescent="0.2">
      <c r="B231" s="109" t="s">
        <v>130</v>
      </c>
      <c r="C231" s="21"/>
      <c r="D231" s="21"/>
      <c r="E231" s="22"/>
    </row>
    <row r="232" spans="1:5" x14ac:dyDescent="0.2">
      <c r="B232" s="23"/>
      <c r="E232" s="24"/>
    </row>
    <row r="233" spans="1:5" x14ac:dyDescent="0.2">
      <c r="B233" s="25" t="s">
        <v>14</v>
      </c>
      <c r="C233" s="93" t="s">
        <v>149</v>
      </c>
      <c r="D233" s="88"/>
      <c r="E233" s="89"/>
    </row>
    <row r="234" spans="1:5" x14ac:dyDescent="0.2">
      <c r="B234" s="23"/>
      <c r="E234" s="24"/>
    </row>
    <row r="235" spans="1:5" x14ac:dyDescent="0.2">
      <c r="B235" s="25" t="s">
        <v>15</v>
      </c>
      <c r="C235" s="124" t="s">
        <v>145</v>
      </c>
      <c r="D235" s="124"/>
      <c r="E235" s="125"/>
    </row>
    <row r="236" spans="1:5" x14ac:dyDescent="0.2">
      <c r="B236" s="23"/>
      <c r="C236" s="64"/>
      <c r="E236" s="24"/>
    </row>
    <row r="237" spans="1:5" x14ac:dyDescent="0.2">
      <c r="B237" s="25" t="s">
        <v>16</v>
      </c>
      <c r="C237" s="52"/>
      <c r="E237" s="24"/>
    </row>
    <row r="238" spans="1:5" x14ac:dyDescent="0.2">
      <c r="B238" s="23"/>
      <c r="E238" s="24"/>
    </row>
    <row r="239" spans="1:5" x14ac:dyDescent="0.2">
      <c r="A239" s="24"/>
      <c r="B239" s="77" t="s">
        <v>17</v>
      </c>
      <c r="C239" s="17" t="s">
        <v>144</v>
      </c>
      <c r="E239" s="24"/>
    </row>
    <row r="240" spans="1:5" x14ac:dyDescent="0.2">
      <c r="A240" s="24"/>
      <c r="E240" s="24"/>
    </row>
    <row r="241" spans="1:5" x14ac:dyDescent="0.2">
      <c r="A241" s="24"/>
      <c r="B241" s="77" t="s">
        <v>18</v>
      </c>
      <c r="C241" s="17" t="s">
        <v>161</v>
      </c>
      <c r="E241" s="24"/>
    </row>
    <row r="242" spans="1:5" ht="15.75" thickBot="1" x14ac:dyDescent="0.3">
      <c r="B242" s="74"/>
      <c r="C242" s="75"/>
      <c r="D242" s="75"/>
      <c r="E242" s="76"/>
    </row>
    <row r="243" spans="1:5" ht="13.5" thickBot="1" x14ac:dyDescent="0.25"/>
    <row r="244" spans="1:5" x14ac:dyDescent="0.2">
      <c r="B244" s="109" t="s">
        <v>131</v>
      </c>
      <c r="C244" s="21"/>
      <c r="D244" s="21"/>
      <c r="E244" s="22"/>
    </row>
    <row r="245" spans="1:5" x14ac:dyDescent="0.2">
      <c r="B245" s="23"/>
      <c r="E245" s="24"/>
    </row>
    <row r="246" spans="1:5" x14ac:dyDescent="0.2">
      <c r="B246" s="25" t="s">
        <v>14</v>
      </c>
      <c r="C246" s="93" t="s">
        <v>150</v>
      </c>
      <c r="D246" s="88"/>
      <c r="E246" s="89"/>
    </row>
    <row r="247" spans="1:5" x14ac:dyDescent="0.2">
      <c r="B247" s="25"/>
      <c r="C247" s="32"/>
      <c r="D247" s="32"/>
      <c r="E247" s="33"/>
    </row>
    <row r="248" spans="1:5" x14ac:dyDescent="0.2">
      <c r="B248" s="25" t="s">
        <v>15</v>
      </c>
      <c r="C248" s="124" t="s">
        <v>145</v>
      </c>
      <c r="D248" s="124"/>
      <c r="E248" s="125"/>
    </row>
    <row r="249" spans="1:5" ht="18.75" customHeight="1" x14ac:dyDescent="0.2">
      <c r="B249" s="26"/>
      <c r="D249" s="64"/>
      <c r="E249" s="63"/>
    </row>
    <row r="250" spans="1:5" x14ac:dyDescent="0.2">
      <c r="B250" s="25" t="s">
        <v>16</v>
      </c>
      <c r="E250" s="24"/>
    </row>
    <row r="251" spans="1:5" x14ac:dyDescent="0.2">
      <c r="B251" s="26"/>
      <c r="C251" s="32"/>
      <c r="D251" s="32"/>
      <c r="E251" s="33"/>
    </row>
    <row r="252" spans="1:5" x14ac:dyDescent="0.2">
      <c r="B252" s="25" t="s">
        <v>17</v>
      </c>
      <c r="C252" s="86" t="s">
        <v>144</v>
      </c>
      <c r="D252" s="32"/>
      <c r="E252" s="33"/>
    </row>
    <row r="253" spans="1:5" x14ac:dyDescent="0.2">
      <c r="B253" s="26"/>
      <c r="C253" s="32"/>
      <c r="D253" s="32"/>
      <c r="E253" s="33"/>
    </row>
    <row r="254" spans="1:5" x14ac:dyDescent="0.2">
      <c r="B254" s="25" t="s">
        <v>18</v>
      </c>
      <c r="E254" s="24"/>
    </row>
    <row r="255" spans="1:5" x14ac:dyDescent="0.2">
      <c r="B255" s="25"/>
      <c r="C255" s="64"/>
      <c r="D255" s="64"/>
      <c r="E255" s="63"/>
    </row>
    <row r="256" spans="1:5" ht="13.5" thickBot="1" x14ac:dyDescent="0.25">
      <c r="B256" s="27"/>
      <c r="C256" s="28"/>
      <c r="D256" s="28"/>
      <c r="E256" s="29"/>
    </row>
    <row r="258" spans="2:5" ht="13.5" thickBot="1" x14ac:dyDescent="0.25"/>
    <row r="259" spans="2:5" x14ac:dyDescent="0.2">
      <c r="B259" s="109" t="s">
        <v>132</v>
      </c>
      <c r="C259" s="21"/>
      <c r="D259" s="21"/>
      <c r="E259" s="22"/>
    </row>
    <row r="260" spans="2:5" ht="22.5" customHeight="1" x14ac:dyDescent="0.2">
      <c r="B260" s="23"/>
      <c r="C260" s="131" t="s">
        <v>151</v>
      </c>
      <c r="D260" s="131"/>
      <c r="E260" s="132"/>
    </row>
    <row r="261" spans="2:5" ht="31.5" customHeight="1" x14ac:dyDescent="0.2">
      <c r="B261" s="23"/>
      <c r="C261" s="131"/>
      <c r="D261" s="131"/>
      <c r="E261" s="132"/>
    </row>
    <row r="262" spans="2:5" x14ac:dyDescent="0.2">
      <c r="B262" s="25" t="s">
        <v>14</v>
      </c>
      <c r="E262" s="24"/>
    </row>
    <row r="263" spans="2:5" x14ac:dyDescent="0.2">
      <c r="B263" s="25"/>
      <c r="C263" s="32"/>
      <c r="D263" s="32"/>
      <c r="E263" s="33"/>
    </row>
    <row r="264" spans="2:5" x14ac:dyDescent="0.2">
      <c r="B264" s="25" t="s">
        <v>15</v>
      </c>
      <c r="C264" s="124" t="s">
        <v>145</v>
      </c>
      <c r="D264" s="124"/>
      <c r="E264" s="125"/>
    </row>
    <row r="265" spans="2:5" x14ac:dyDescent="0.2">
      <c r="B265" s="26"/>
      <c r="C265" s="64"/>
      <c r="D265" s="64"/>
      <c r="E265" s="63"/>
    </row>
    <row r="266" spans="2:5" x14ac:dyDescent="0.2">
      <c r="B266" s="25" t="s">
        <v>16</v>
      </c>
      <c r="E266" s="24"/>
    </row>
    <row r="267" spans="2:5" x14ac:dyDescent="0.2">
      <c r="B267" s="26"/>
      <c r="C267" s="32"/>
      <c r="D267" s="32"/>
      <c r="E267" s="33"/>
    </row>
    <row r="268" spans="2:5" x14ac:dyDescent="0.2">
      <c r="B268" s="25" t="s">
        <v>17</v>
      </c>
      <c r="C268" s="86" t="s">
        <v>144</v>
      </c>
      <c r="D268" s="32"/>
      <c r="E268" s="33"/>
    </row>
    <row r="269" spans="2:5" x14ac:dyDescent="0.2">
      <c r="B269" s="26"/>
      <c r="C269" s="32"/>
      <c r="D269" s="32"/>
      <c r="E269" s="33"/>
    </row>
    <row r="270" spans="2:5" x14ac:dyDescent="0.2">
      <c r="B270" s="25" t="s">
        <v>18</v>
      </c>
      <c r="E270" s="24"/>
    </row>
    <row r="271" spans="2:5" x14ac:dyDescent="0.2">
      <c r="B271" s="25"/>
      <c r="C271" s="64"/>
      <c r="D271" s="64"/>
      <c r="E271" s="63"/>
    </row>
    <row r="272" spans="2:5" ht="13.5" thickBot="1" x14ac:dyDescent="0.25">
      <c r="B272" s="27"/>
      <c r="C272" s="28"/>
      <c r="D272" s="28"/>
      <c r="E272" s="29"/>
    </row>
    <row r="274" spans="2:5" ht="13.5" thickBot="1" x14ac:dyDescent="0.25"/>
    <row r="275" spans="2:5" x14ac:dyDescent="0.2">
      <c r="B275" s="109" t="s">
        <v>133</v>
      </c>
      <c r="C275" s="21"/>
      <c r="D275" s="21"/>
      <c r="E275" s="22"/>
    </row>
    <row r="276" spans="2:5" x14ac:dyDescent="0.2">
      <c r="B276" s="23"/>
      <c r="E276" s="24"/>
    </row>
    <row r="277" spans="2:5" x14ac:dyDescent="0.2">
      <c r="B277" s="25" t="s">
        <v>14</v>
      </c>
      <c r="C277" s="94" t="s">
        <v>152</v>
      </c>
      <c r="D277" s="88"/>
      <c r="E277" s="89"/>
    </row>
    <row r="278" spans="2:5" x14ac:dyDescent="0.2">
      <c r="B278" s="25"/>
      <c r="C278" s="32"/>
      <c r="D278" s="32"/>
      <c r="E278" s="33"/>
    </row>
    <row r="279" spans="2:5" x14ac:dyDescent="0.2">
      <c r="B279" s="25" t="s">
        <v>15</v>
      </c>
      <c r="C279" s="124" t="s">
        <v>145</v>
      </c>
      <c r="D279" s="124"/>
      <c r="E279" s="125"/>
    </row>
    <row r="280" spans="2:5" x14ac:dyDescent="0.2">
      <c r="B280" s="26"/>
      <c r="C280" s="64"/>
      <c r="D280" s="64"/>
      <c r="E280" s="63"/>
    </row>
    <row r="281" spans="2:5" x14ac:dyDescent="0.2">
      <c r="B281" s="25" t="s">
        <v>16</v>
      </c>
      <c r="E281" s="24"/>
    </row>
    <row r="282" spans="2:5" x14ac:dyDescent="0.2">
      <c r="B282" s="26"/>
      <c r="C282" s="32"/>
      <c r="D282" s="32"/>
      <c r="E282" s="33"/>
    </row>
    <row r="283" spans="2:5" x14ac:dyDescent="0.2">
      <c r="B283" s="25" t="s">
        <v>17</v>
      </c>
      <c r="C283" s="86" t="s">
        <v>144</v>
      </c>
      <c r="D283" s="32"/>
      <c r="E283" s="33"/>
    </row>
    <row r="284" spans="2:5" x14ac:dyDescent="0.2">
      <c r="B284" s="26"/>
      <c r="C284" s="32"/>
      <c r="D284" s="32"/>
      <c r="E284" s="33"/>
    </row>
    <row r="285" spans="2:5" x14ac:dyDescent="0.2">
      <c r="B285" s="25" t="s">
        <v>18</v>
      </c>
      <c r="E285" s="24"/>
    </row>
    <row r="286" spans="2:5" x14ac:dyDescent="0.2">
      <c r="B286" s="25"/>
      <c r="C286" s="64"/>
      <c r="D286" s="64"/>
      <c r="E286" s="63"/>
    </row>
    <row r="287" spans="2:5" ht="13.5" thickBot="1" x14ac:dyDescent="0.25">
      <c r="B287" s="27"/>
      <c r="C287" s="28"/>
      <c r="D287" s="28"/>
      <c r="E287" s="29"/>
    </row>
    <row r="289" spans="2:5" ht="13.5" thickBot="1" x14ac:dyDescent="0.25"/>
    <row r="290" spans="2:5" x14ac:dyDescent="0.2">
      <c r="B290" s="109" t="s">
        <v>134</v>
      </c>
      <c r="C290" s="21"/>
      <c r="D290" s="21"/>
      <c r="E290" s="22"/>
    </row>
    <row r="291" spans="2:5" x14ac:dyDescent="0.2">
      <c r="B291" s="23"/>
      <c r="E291" s="24"/>
    </row>
    <row r="292" spans="2:5" x14ac:dyDescent="0.2">
      <c r="B292" s="25" t="s">
        <v>14</v>
      </c>
      <c r="C292" s="94" t="s">
        <v>153</v>
      </c>
      <c r="D292" s="88"/>
      <c r="E292" s="89"/>
    </row>
    <row r="293" spans="2:5" x14ac:dyDescent="0.2">
      <c r="B293" s="25"/>
      <c r="C293" s="32"/>
      <c r="D293" s="32"/>
      <c r="E293" s="33"/>
    </row>
    <row r="294" spans="2:5" x14ac:dyDescent="0.2">
      <c r="B294" s="25" t="s">
        <v>15</v>
      </c>
      <c r="C294" s="124" t="s">
        <v>145</v>
      </c>
      <c r="D294" s="124"/>
      <c r="E294" s="125"/>
    </row>
    <row r="295" spans="2:5" x14ac:dyDescent="0.2">
      <c r="B295" s="26"/>
      <c r="C295" s="64"/>
      <c r="D295" s="64"/>
      <c r="E295" s="63"/>
    </row>
    <row r="296" spans="2:5" x14ac:dyDescent="0.2">
      <c r="B296" s="25" t="s">
        <v>16</v>
      </c>
      <c r="E296" s="24"/>
    </row>
    <row r="297" spans="2:5" x14ac:dyDescent="0.2">
      <c r="B297" s="26"/>
      <c r="C297" s="32"/>
      <c r="D297" s="32"/>
      <c r="E297" s="33"/>
    </row>
    <row r="298" spans="2:5" x14ac:dyDescent="0.2">
      <c r="B298" s="25" t="s">
        <v>17</v>
      </c>
      <c r="C298" s="86" t="s">
        <v>144</v>
      </c>
      <c r="D298" s="32"/>
      <c r="E298" s="33"/>
    </row>
    <row r="299" spans="2:5" x14ac:dyDescent="0.2">
      <c r="B299" s="26"/>
      <c r="C299" s="32"/>
      <c r="D299" s="32"/>
      <c r="E299" s="33"/>
    </row>
    <row r="300" spans="2:5" x14ac:dyDescent="0.2">
      <c r="B300" s="25" t="s">
        <v>18</v>
      </c>
      <c r="E300" s="24"/>
    </row>
    <row r="301" spans="2:5" x14ac:dyDescent="0.2">
      <c r="B301" s="25"/>
      <c r="C301" s="64"/>
      <c r="D301" s="64"/>
      <c r="E301" s="63"/>
    </row>
    <row r="302" spans="2:5" ht="13.5" thickBot="1" x14ac:dyDescent="0.25">
      <c r="B302" s="27"/>
      <c r="C302" s="28"/>
      <c r="D302" s="28"/>
      <c r="E302" s="29"/>
    </row>
    <row r="304" spans="2:5" ht="13.5" thickBot="1" x14ac:dyDescent="0.25"/>
    <row r="305" spans="2:5" x14ac:dyDescent="0.2">
      <c r="B305" s="109" t="s">
        <v>135</v>
      </c>
      <c r="C305" s="21"/>
      <c r="D305" s="21"/>
      <c r="E305" s="22"/>
    </row>
    <row r="306" spans="2:5" x14ac:dyDescent="0.2">
      <c r="B306" s="23"/>
      <c r="E306" s="24"/>
    </row>
    <row r="307" spans="2:5" ht="15.75" x14ac:dyDescent="0.25">
      <c r="B307" s="25" t="s">
        <v>14</v>
      </c>
      <c r="C307" s="95" t="s">
        <v>82</v>
      </c>
      <c r="D307" s="88"/>
      <c r="E307" s="89"/>
    </row>
    <row r="308" spans="2:5" x14ac:dyDescent="0.2">
      <c r="B308" s="25"/>
      <c r="C308" s="32"/>
      <c r="D308" s="32"/>
      <c r="E308" s="33"/>
    </row>
    <row r="309" spans="2:5" x14ac:dyDescent="0.2">
      <c r="B309" s="25" t="s">
        <v>15</v>
      </c>
      <c r="C309" s="124" t="s">
        <v>145</v>
      </c>
      <c r="D309" s="124"/>
      <c r="E309" s="125"/>
    </row>
    <row r="310" spans="2:5" x14ac:dyDescent="0.2">
      <c r="B310" s="26"/>
      <c r="C310" s="64"/>
      <c r="D310" s="64"/>
      <c r="E310" s="63"/>
    </row>
    <row r="311" spans="2:5" x14ac:dyDescent="0.2">
      <c r="B311" s="25" t="s">
        <v>16</v>
      </c>
      <c r="E311" s="24"/>
    </row>
    <row r="312" spans="2:5" x14ac:dyDescent="0.2">
      <c r="B312" s="26"/>
      <c r="C312" s="32"/>
      <c r="D312" s="32"/>
      <c r="E312" s="33"/>
    </row>
    <row r="313" spans="2:5" x14ac:dyDescent="0.2">
      <c r="B313" s="25" t="s">
        <v>17</v>
      </c>
      <c r="C313" s="32" t="s">
        <v>144</v>
      </c>
      <c r="D313" s="32"/>
      <c r="E313" s="33"/>
    </row>
    <row r="314" spans="2:5" x14ac:dyDescent="0.2">
      <c r="B314" s="26"/>
      <c r="C314" s="32"/>
      <c r="D314" s="32"/>
      <c r="E314" s="33"/>
    </row>
    <row r="315" spans="2:5" x14ac:dyDescent="0.2">
      <c r="B315" s="25" t="s">
        <v>18</v>
      </c>
      <c r="E315" s="24"/>
    </row>
    <row r="316" spans="2:5" x14ac:dyDescent="0.2">
      <c r="B316" s="25"/>
      <c r="C316" s="64"/>
      <c r="D316" s="64"/>
      <c r="E316" s="63"/>
    </row>
    <row r="317" spans="2:5" ht="13.5" thickBot="1" x14ac:dyDescent="0.25">
      <c r="B317" s="27"/>
      <c r="C317" s="28"/>
      <c r="D317" s="28"/>
      <c r="E317" s="29"/>
    </row>
  </sheetData>
  <mergeCells count="87">
    <mergeCell ref="C279:E279"/>
    <mergeCell ref="C294:E294"/>
    <mergeCell ref="C309:E309"/>
    <mergeCell ref="C207:E207"/>
    <mergeCell ref="C221:E221"/>
    <mergeCell ref="C235:E235"/>
    <mergeCell ref="C248:E248"/>
    <mergeCell ref="C264:E264"/>
    <mergeCell ref="C208:E208"/>
    <mergeCell ref="C210:E210"/>
    <mergeCell ref="C212:E212"/>
    <mergeCell ref="C214:E214"/>
    <mergeCell ref="C260:E261"/>
    <mergeCell ref="C196:E196"/>
    <mergeCell ref="C198:E198"/>
    <mergeCell ref="C200:E200"/>
    <mergeCell ref="C182:E182"/>
    <mergeCell ref="C184:E184"/>
    <mergeCell ref="C186:E186"/>
    <mergeCell ref="C194:E194"/>
    <mergeCell ref="C193:E193"/>
    <mergeCell ref="C173:E173"/>
    <mergeCell ref="C180:E180"/>
    <mergeCell ref="C160:E160"/>
    <mergeCell ref="C167:E167"/>
    <mergeCell ref="C169:E169"/>
    <mergeCell ref="C166:E166"/>
    <mergeCell ref="C179:E179"/>
    <mergeCell ref="C129:E129"/>
    <mergeCell ref="C131:E131"/>
    <mergeCell ref="C133:E133"/>
    <mergeCell ref="C171:E171"/>
    <mergeCell ref="C154:E154"/>
    <mergeCell ref="C156:E156"/>
    <mergeCell ref="C158:E158"/>
    <mergeCell ref="C141:E141"/>
    <mergeCell ref="C143:E143"/>
    <mergeCell ref="C145:E145"/>
    <mergeCell ref="C147:E147"/>
    <mergeCell ref="C140:E140"/>
    <mergeCell ref="C153:E153"/>
    <mergeCell ref="C103:E103"/>
    <mergeCell ref="C105:E105"/>
    <mergeCell ref="C113:E113"/>
    <mergeCell ref="C111:E112"/>
    <mergeCell ref="C127:E127"/>
    <mergeCell ref="C115:E115"/>
    <mergeCell ref="C117:E117"/>
    <mergeCell ref="C119:E119"/>
    <mergeCell ref="C125:E125"/>
    <mergeCell ref="C126:E126"/>
    <mergeCell ref="C101:E101"/>
    <mergeCell ref="C98:E98"/>
    <mergeCell ref="C83:E83"/>
    <mergeCell ref="C85:E85"/>
    <mergeCell ref="C87:E87"/>
    <mergeCell ref="C89:E89"/>
    <mergeCell ref="C84:E84"/>
    <mergeCell ref="C57:E57"/>
    <mergeCell ref="C56:E56"/>
    <mergeCell ref="C91:E91"/>
    <mergeCell ref="C97:E97"/>
    <mergeCell ref="C99:E99"/>
    <mergeCell ref="C58:E58"/>
    <mergeCell ref="C61:E61"/>
    <mergeCell ref="C77:E77"/>
    <mergeCell ref="C63:E63"/>
    <mergeCell ref="C69:E69"/>
    <mergeCell ref="C71:E71"/>
    <mergeCell ref="C73:E73"/>
    <mergeCell ref="C75:E75"/>
    <mergeCell ref="C70:E70"/>
    <mergeCell ref="A6:B6"/>
    <mergeCell ref="A7:B7"/>
    <mergeCell ref="C48:E48"/>
    <mergeCell ref="C49:E49"/>
    <mergeCell ref="C51:E51"/>
    <mergeCell ref="C39:E39"/>
    <mergeCell ref="C38:E38"/>
    <mergeCell ref="C40:E40"/>
    <mergeCell ref="C43:E43"/>
    <mergeCell ref="C45:E45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F38"/>
  <sheetViews>
    <sheetView tabSelected="1" topLeftCell="A10" zoomScale="90" zoomScaleNormal="90" workbookViewId="0">
      <selection activeCell="C8" sqref="C8:G8"/>
    </sheetView>
  </sheetViews>
  <sheetFormatPr baseColWidth="10" defaultColWidth="9.140625" defaultRowHeight="12.75" x14ac:dyDescent="0.2"/>
  <cols>
    <col min="1" max="1" width="5.5703125" style="1" customWidth="1"/>
    <col min="2" max="2" width="15.140625" style="1" customWidth="1"/>
    <col min="3" max="3" width="99.28515625" style="1" customWidth="1"/>
    <col min="4" max="4" width="9.28515625" style="1" customWidth="1"/>
    <col min="5" max="5" width="15.5703125" style="1" customWidth="1"/>
    <col min="6" max="6" width="14.7109375" style="1" customWidth="1"/>
    <col min="7" max="7" width="15.5703125" style="1" customWidth="1"/>
    <col min="8" max="8" width="12.5703125" style="1" bestFit="1" customWidth="1"/>
    <col min="9" max="10" width="5.85546875" style="1" customWidth="1"/>
    <col min="11" max="11" width="12.5703125" style="1" customWidth="1"/>
    <col min="12" max="1020" width="9.140625" style="1"/>
  </cols>
  <sheetData>
    <row r="1" spans="1:8" ht="18" customHeight="1" thickBot="1" x14ac:dyDescent="0.25">
      <c r="A1" s="142" t="s">
        <v>20</v>
      </c>
      <c r="B1" s="142"/>
      <c r="C1" s="142"/>
      <c r="D1" s="142"/>
      <c r="E1" s="142"/>
      <c r="F1" s="2" t="s">
        <v>21</v>
      </c>
      <c r="G1" s="110" t="s">
        <v>136</v>
      </c>
    </row>
    <row r="2" spans="1:8" ht="18.75" customHeight="1" thickBot="1" x14ac:dyDescent="0.25">
      <c r="A2" s="3"/>
      <c r="B2" s="3"/>
      <c r="C2" s="4"/>
      <c r="D2" s="4"/>
      <c r="E2" s="4"/>
      <c r="F2" s="4"/>
      <c r="G2" s="4"/>
    </row>
    <row r="3" spans="1:8" ht="18.75" customHeight="1" thickBot="1" x14ac:dyDescent="0.25">
      <c r="A3" s="143" t="s">
        <v>54</v>
      </c>
      <c r="B3" s="143"/>
      <c r="C3" s="144" t="str">
        <f>+'Necesidades Trimestrales'!C4:E4</f>
        <v>40-Ministerio de Salud</v>
      </c>
      <c r="D3" s="144"/>
      <c r="E3" s="144"/>
      <c r="F3" s="144"/>
      <c r="G3" s="144"/>
    </row>
    <row r="4" spans="1:8" ht="18.75" customHeight="1" thickBot="1" x14ac:dyDescent="0.25">
      <c r="A4" s="145" t="s">
        <v>55</v>
      </c>
      <c r="B4" s="145"/>
      <c r="C4" s="144" t="str">
        <f>'[1]Necesidades Trimestrales'!C5</f>
        <v>28- Maternidad Provincial 25 de Mayo</v>
      </c>
      <c r="D4" s="144"/>
      <c r="E4" s="144"/>
      <c r="F4" s="144"/>
      <c r="G4" s="144"/>
    </row>
    <row r="5" spans="1:8" ht="28.5" customHeight="1" thickBot="1" x14ac:dyDescent="0.25">
      <c r="A5" s="145" t="s">
        <v>33</v>
      </c>
      <c r="B5" s="145"/>
      <c r="C5" s="144" t="s">
        <v>81</v>
      </c>
      <c r="D5" s="144"/>
      <c r="E5" s="144"/>
      <c r="F5" s="144"/>
      <c r="G5" s="144"/>
    </row>
    <row r="6" spans="1:8" ht="16.5" customHeight="1" thickBot="1" x14ac:dyDescent="0.25">
      <c r="A6" s="143" t="s">
        <v>56</v>
      </c>
      <c r="B6" s="143"/>
      <c r="C6" s="144" t="s">
        <v>60</v>
      </c>
      <c r="D6" s="144"/>
      <c r="E6" s="144"/>
      <c r="F6" s="144"/>
      <c r="G6" s="144"/>
    </row>
    <row r="7" spans="1:8" ht="16.5" customHeight="1" thickBot="1" x14ac:dyDescent="0.25">
      <c r="A7" s="145" t="s">
        <v>22</v>
      </c>
      <c r="B7" s="145"/>
      <c r="C7" s="144" t="str">
        <f>'Necesidades Trimestrales'!C7</f>
        <v>4 Trimestre - 2022</v>
      </c>
      <c r="D7" s="144"/>
      <c r="E7" s="144"/>
      <c r="F7" s="144"/>
      <c r="G7" s="144"/>
    </row>
    <row r="8" spans="1:8" ht="16.5" customHeight="1" thickBot="1" x14ac:dyDescent="0.25">
      <c r="A8" s="146" t="s">
        <v>23</v>
      </c>
      <c r="B8" s="146"/>
      <c r="C8" s="147" t="s">
        <v>156</v>
      </c>
      <c r="D8" s="147"/>
      <c r="E8" s="147"/>
      <c r="F8" s="147"/>
      <c r="G8" s="147"/>
    </row>
    <row r="9" spans="1:8" ht="16.5" thickBot="1" x14ac:dyDescent="0.25">
      <c r="A9" s="5"/>
      <c r="B9" s="5"/>
      <c r="C9" s="5"/>
      <c r="D9" s="6"/>
      <c r="E9" s="6"/>
      <c r="F9" s="6"/>
      <c r="G9" s="6"/>
    </row>
    <row r="10" spans="1:8" ht="18.75" customHeight="1" x14ac:dyDescent="0.2">
      <c r="A10" s="136" t="s">
        <v>24</v>
      </c>
      <c r="B10" s="138" t="s">
        <v>25</v>
      </c>
      <c r="C10" s="138" t="s">
        <v>26</v>
      </c>
      <c r="D10" s="138" t="s">
        <v>27</v>
      </c>
      <c r="E10" s="138" t="s">
        <v>28</v>
      </c>
      <c r="F10" s="138" t="s">
        <v>29</v>
      </c>
      <c r="G10" s="140" t="s">
        <v>30</v>
      </c>
    </row>
    <row r="11" spans="1:8" ht="24" customHeight="1" x14ac:dyDescent="0.2">
      <c r="A11" s="137"/>
      <c r="B11" s="139"/>
      <c r="C11" s="139"/>
      <c r="D11" s="139"/>
      <c r="E11" s="139"/>
      <c r="F11" s="139"/>
      <c r="G11" s="141"/>
    </row>
    <row r="12" spans="1:8" ht="35.25" customHeight="1" x14ac:dyDescent="0.2">
      <c r="A12" s="111">
        <f>'Necesidades Trimestrales'!A10</f>
        <v>1</v>
      </c>
      <c r="B12" s="112" t="str">
        <f>'Necesidades Trimestrales'!B10</f>
        <v>2.9.5-459.94</v>
      </c>
      <c r="C12" s="113" t="str">
        <f>'Necesidades Trimestrales'!E10</f>
        <v>TIJERAS P/MEDICINA; TIPO: METZEMBAUNG, MEDIDA: 25 Cm, USO: CIRUGIA GENERAL</v>
      </c>
      <c r="D12" s="114" t="s">
        <v>143</v>
      </c>
      <c r="E12" s="115" t="str">
        <f>'Necesidades Trimestrales'!F10</f>
        <v>unidad</v>
      </c>
      <c r="F12" s="116">
        <f>'Necesidades Trimestrales'!H10</f>
        <v>2960</v>
      </c>
      <c r="G12" s="117">
        <f>'Necesidades Trimestrales'!G10</f>
        <v>5</v>
      </c>
      <c r="H12" s="48"/>
    </row>
    <row r="13" spans="1:8" ht="35.25" customHeight="1" x14ac:dyDescent="0.2">
      <c r="A13" s="111">
        <f>'Necesidades Trimestrales'!A11</f>
        <v>2</v>
      </c>
      <c r="B13" s="112" t="str">
        <f>'Necesidades Trimestrales'!B11</f>
        <v>2.9.5-6504.6</v>
      </c>
      <c r="C13" s="113" t="str">
        <f>'Necesidades Trimestrales'!E11</f>
        <v>FRASCOS ASPIRADORES; USO: CIRUGIA GENERAL, PRESENTACION: FRASCO DE 3 L</v>
      </c>
      <c r="D13" s="114" t="s">
        <v>143</v>
      </c>
      <c r="E13" s="115" t="str">
        <f>'Necesidades Trimestrales'!F11</f>
        <v>unidad</v>
      </c>
      <c r="F13" s="116">
        <f>'Necesidades Trimestrales'!H11</f>
        <v>6500</v>
      </c>
      <c r="G13" s="117">
        <f>'Necesidades Trimestrales'!G11</f>
        <v>2</v>
      </c>
      <c r="H13" s="48"/>
    </row>
    <row r="14" spans="1:8" ht="35.25" customHeight="1" x14ac:dyDescent="0.2">
      <c r="A14" s="111">
        <f>'Necesidades Trimestrales'!A12</f>
        <v>3</v>
      </c>
      <c r="B14" s="112" t="str">
        <f>'Necesidades Trimestrales'!B12</f>
        <v>2.9.5-459.15</v>
      </c>
      <c r="C14" s="113" t="str">
        <f>'Necesidades Trimestrales'!E12</f>
        <v>TIJERAS P/MEDICINA; TIPO: RECTA, MEDIDA: 17, MODELO: MAYO, USO: CIRUGIA, MODELO EQUIPO: MAYO</v>
      </c>
      <c r="D14" s="114" t="s">
        <v>143</v>
      </c>
      <c r="E14" s="115" t="str">
        <f>'Necesidades Trimestrales'!F12</f>
        <v>unidad</v>
      </c>
      <c r="F14" s="116">
        <f>'Necesidades Trimestrales'!H12</f>
        <v>1815</v>
      </c>
      <c r="G14" s="117">
        <f>'Necesidades Trimestrales'!G12</f>
        <v>10</v>
      </c>
      <c r="H14" s="48"/>
    </row>
    <row r="15" spans="1:8" ht="35.25" customHeight="1" x14ac:dyDescent="0.2">
      <c r="A15" s="111">
        <f>'Necesidades Trimestrales'!A13</f>
        <v>4</v>
      </c>
      <c r="B15" s="112" t="str">
        <f>'Necesidades Trimestrales'!B13</f>
        <v>2.9.5-472.72</v>
      </c>
      <c r="C15" s="113" t="str">
        <f>'Necesidades Trimestrales'!E13</f>
        <v>PINZAS DE CIRUGIA; TIPO: KOCHER, MEDIDA: 18 Cm</v>
      </c>
      <c r="D15" s="114" t="s">
        <v>143</v>
      </c>
      <c r="E15" s="115" t="str">
        <f>'Necesidades Trimestrales'!F13</f>
        <v>unidad</v>
      </c>
      <c r="F15" s="116">
        <f>'Necesidades Trimestrales'!H13</f>
        <v>1987</v>
      </c>
      <c r="G15" s="117">
        <f>'Necesidades Trimestrales'!G13</f>
        <v>20</v>
      </c>
      <c r="H15" s="48"/>
    </row>
    <row r="16" spans="1:8" ht="35.25" customHeight="1" x14ac:dyDescent="0.2">
      <c r="A16" s="111">
        <f>'Necesidades Trimestrales'!A14</f>
        <v>5</v>
      </c>
      <c r="B16" s="112" t="str">
        <f>'Necesidades Trimestrales'!B14</f>
        <v>2.9.5-5769.41</v>
      </c>
      <c r="C16" s="113" t="str">
        <f>'Necesidades Trimestrales'!E14</f>
        <v>PINZAS P/MEDICINA; USO: CIRUGIA GENERAL, TIPO: KOCHER, MEDIDA: 14 Cm</v>
      </c>
      <c r="D16" s="114" t="s">
        <v>143</v>
      </c>
      <c r="E16" s="115" t="str">
        <f>'Necesidades Trimestrales'!F14</f>
        <v>unidad</v>
      </c>
      <c r="F16" s="116">
        <f>'Necesidades Trimestrales'!H14</f>
        <v>1355</v>
      </c>
      <c r="G16" s="117">
        <f>'Necesidades Trimestrales'!G14</f>
        <v>20</v>
      </c>
      <c r="H16" s="48"/>
    </row>
    <row r="17" spans="1:8" ht="35.25" customHeight="1" x14ac:dyDescent="0.2">
      <c r="A17" s="111">
        <f>'Necesidades Trimestrales'!A15</f>
        <v>6</v>
      </c>
      <c r="B17" s="112" t="str">
        <f>'Necesidades Trimestrales'!B15</f>
        <v>2.9.5-472.6</v>
      </c>
      <c r="C17" s="113" t="str">
        <f>'Necesidades Trimestrales'!E15</f>
        <v>PINZAS DE CIRUGIA; MEDIDA: 16 Cm, TIPO: DISECCION SIN DIENTE</v>
      </c>
      <c r="D17" s="114" t="s">
        <v>143</v>
      </c>
      <c r="E17" s="115" t="str">
        <f>'Necesidades Trimestrales'!F15</f>
        <v>unidad</v>
      </c>
      <c r="F17" s="116">
        <f>'Necesidades Trimestrales'!H15</f>
        <v>750</v>
      </c>
      <c r="G17" s="117">
        <f>'Necesidades Trimestrales'!G15</f>
        <v>10</v>
      </c>
      <c r="H17" s="48"/>
    </row>
    <row r="18" spans="1:8" ht="35.25" customHeight="1" x14ac:dyDescent="0.2">
      <c r="A18" s="111">
        <f>'Necesidades Trimestrales'!A16</f>
        <v>7</v>
      </c>
      <c r="B18" s="112" t="str">
        <f>'Necesidades Trimestrales'!B16</f>
        <v>2.9.5-5769.50</v>
      </c>
      <c r="C18" s="113" t="str">
        <f>'Necesidades Trimestrales'!E16</f>
        <v>PINZAS P/MEDICINA; USO: CIRUGIA GENERAL, TIPO: DISECCION, MEDIDA: 20 Cm</v>
      </c>
      <c r="D18" s="114" t="s">
        <v>143</v>
      </c>
      <c r="E18" s="115" t="str">
        <f>'Necesidades Trimestrales'!F16</f>
        <v>unidad</v>
      </c>
      <c r="F18" s="116">
        <f>'Necesidades Trimestrales'!H16</f>
        <v>1128</v>
      </c>
      <c r="G18" s="117">
        <f>'Necesidades Trimestrales'!G16</f>
        <v>10</v>
      </c>
      <c r="H18" s="48"/>
    </row>
    <row r="19" spans="1:8" ht="35.25" customHeight="1" x14ac:dyDescent="0.2">
      <c r="A19" s="111">
        <f>'Necesidades Trimestrales'!A17</f>
        <v>8</v>
      </c>
      <c r="B19" s="112" t="str">
        <f>'Necesidades Trimestrales'!B17</f>
        <v>2.9.5-5627.17</v>
      </c>
      <c r="C19" s="113" t="str">
        <f>'Necesidades Trimestrales'!E17</f>
        <v>MANGOS DE BISTURI; TIPO: HOJA INTERCAMBIABLE, USO: DISECCION, CAMBIAR HOJAS: SI, NUMERO: 4, MATERIAL: ACERO INOXIDABLE</v>
      </c>
      <c r="D19" s="114" t="s">
        <v>143</v>
      </c>
      <c r="E19" s="115" t="str">
        <f>'Necesidades Trimestrales'!F17</f>
        <v>unidad</v>
      </c>
      <c r="F19" s="116">
        <f>'Necesidades Trimestrales'!H17</f>
        <v>566</v>
      </c>
      <c r="G19" s="117">
        <f>'Necesidades Trimestrales'!G17</f>
        <v>10</v>
      </c>
      <c r="H19" s="48"/>
    </row>
    <row r="20" spans="1:8" ht="35.25" customHeight="1" x14ac:dyDescent="0.2">
      <c r="A20" s="111">
        <f>'Necesidades Trimestrales'!A18</f>
        <v>9</v>
      </c>
      <c r="B20" s="112" t="str">
        <f>'Necesidades Trimestrales'!B18</f>
        <v>2.9.5-7791.1</v>
      </c>
      <c r="C20" s="113" t="str">
        <f>'Necesidades Trimestrales'!E18</f>
        <v>ESPECULOS; MATERIAL: ACERO QUIRURGICO, TIPO: VAGINAL, PRESENTACION: UNIDAD</v>
      </c>
      <c r="D20" s="114" t="s">
        <v>143</v>
      </c>
      <c r="E20" s="115" t="str">
        <f>'Necesidades Trimestrales'!F18</f>
        <v>unidad</v>
      </c>
      <c r="F20" s="116">
        <f>'Necesidades Trimestrales'!H18</f>
        <v>4990</v>
      </c>
      <c r="G20" s="117">
        <f>'Necesidades Trimestrales'!G18</f>
        <v>3</v>
      </c>
      <c r="H20" s="48"/>
    </row>
    <row r="21" spans="1:8" ht="35.25" customHeight="1" x14ac:dyDescent="0.2">
      <c r="A21" s="111">
        <f>'Necesidades Trimestrales'!A19</f>
        <v>10</v>
      </c>
      <c r="B21" s="112" t="str">
        <f>'Necesidades Trimestrales'!B19</f>
        <v>2.9.5-7791.1</v>
      </c>
      <c r="C21" s="113" t="str">
        <f>'Necesidades Trimestrales'!E19</f>
        <v>ESPECULOS; MATERIAL: ACERO QUIRURGICO, TIPO: VAGINAL, PRESENTACION: UNIDAD</v>
      </c>
      <c r="D21" s="114" t="s">
        <v>143</v>
      </c>
      <c r="E21" s="115" t="str">
        <f>'Necesidades Trimestrales'!F19</f>
        <v>unidad</v>
      </c>
      <c r="F21" s="116">
        <f>'Necesidades Trimestrales'!H19</f>
        <v>4990</v>
      </c>
      <c r="G21" s="117">
        <f>'Necesidades Trimestrales'!G19</f>
        <v>12</v>
      </c>
      <c r="H21" s="48"/>
    </row>
    <row r="22" spans="1:8" ht="35.25" customHeight="1" x14ac:dyDescent="0.2">
      <c r="A22" s="111">
        <f>'Necesidades Trimestrales'!A20</f>
        <v>11</v>
      </c>
      <c r="B22" s="112" t="str">
        <f>'Necesidades Trimestrales'!B20</f>
        <v>2.9.5-7791.1</v>
      </c>
      <c r="C22" s="113" t="str">
        <f>'Necesidades Trimestrales'!E20</f>
        <v>ESPECULOS; MATERIAL: ACERO QUIRURGICO, TIPO: VAGINAL, PRESENTACION: UNIDAD</v>
      </c>
      <c r="D22" s="114" t="s">
        <v>143</v>
      </c>
      <c r="E22" s="115" t="str">
        <f>'Necesidades Trimestrales'!F20</f>
        <v>unidad</v>
      </c>
      <c r="F22" s="116">
        <f>'Necesidades Trimestrales'!H20</f>
        <v>4990</v>
      </c>
      <c r="G22" s="117">
        <f>'Necesidades Trimestrales'!G20</f>
        <v>5</v>
      </c>
      <c r="H22" s="48"/>
    </row>
    <row r="23" spans="1:8" ht="35.25" customHeight="1" x14ac:dyDescent="0.2">
      <c r="A23" s="111">
        <f>'Necesidades Trimestrales'!A21</f>
        <v>12</v>
      </c>
      <c r="B23" s="112" t="str">
        <f>'Necesidades Trimestrales'!B21</f>
        <v>2.9.5-8874.110</v>
      </c>
      <c r="C23" s="113" t="str">
        <f>'Necesidades Trimestrales'!E21</f>
        <v>INSTRUMENTAL MEDICO; DESCARTABLE: NO, MATERIAL: ACERO QUIRURGICO, ELEMENTO: LEGRA CURVA</v>
      </c>
      <c r="D23" s="114" t="s">
        <v>143</v>
      </c>
      <c r="E23" s="115" t="str">
        <f>'Necesidades Trimestrales'!F21</f>
        <v>unidad</v>
      </c>
      <c r="F23" s="116">
        <f>'Necesidades Trimestrales'!H21</f>
        <v>5308</v>
      </c>
      <c r="G23" s="117">
        <f>'Necesidades Trimestrales'!G21</f>
        <v>4</v>
      </c>
      <c r="H23" s="48"/>
    </row>
    <row r="24" spans="1:8" ht="35.25" customHeight="1" x14ac:dyDescent="0.2">
      <c r="A24" s="111">
        <f>'Necesidades Trimestrales'!A22</f>
        <v>13</v>
      </c>
      <c r="B24" s="112" t="str">
        <f>'Necesidades Trimestrales'!B22</f>
        <v>2.9.5-6337.7</v>
      </c>
      <c r="C24" s="113" t="str">
        <f>'Necesidades Trimestrales'!E22</f>
        <v>PORTA AGUJAS; MATERIAL: ACERO QUIRURGICO, TAMAÑO: 16 Cm, PRESENTACION: UNIDAD</v>
      </c>
      <c r="D24" s="114" t="s">
        <v>143</v>
      </c>
      <c r="E24" s="115" t="str">
        <f>'Necesidades Trimestrales'!F22</f>
        <v>unidad</v>
      </c>
      <c r="F24" s="116">
        <f>'Necesidades Trimestrales'!H22</f>
        <v>1880</v>
      </c>
      <c r="G24" s="117">
        <f>'Necesidades Trimestrales'!G22</f>
        <v>10</v>
      </c>
      <c r="H24" s="48"/>
    </row>
    <row r="25" spans="1:8" ht="35.25" customHeight="1" x14ac:dyDescent="0.2">
      <c r="A25" s="111">
        <f>'Necesidades Trimestrales'!A23</f>
        <v>14</v>
      </c>
      <c r="B25" s="112" t="str">
        <f>'Necesidades Trimestrales'!B23</f>
        <v>2.9.5-5512.12</v>
      </c>
      <c r="C25" s="113" t="str">
        <f>'Necesidades Trimestrales'!E23</f>
        <v>CAJAS P/ESTERILIZAR; MATERIAL: ACERO QUIRURGICO, TIPO: LISA, DIMENSION: 25 X 15 X 5 Cm</v>
      </c>
      <c r="D25" s="114" t="s">
        <v>143</v>
      </c>
      <c r="E25" s="115" t="str">
        <f>'Necesidades Trimestrales'!F23</f>
        <v>unidad</v>
      </c>
      <c r="F25" s="116">
        <f>'Necesidades Trimestrales'!H23</f>
        <v>8986</v>
      </c>
      <c r="G25" s="117">
        <f>'Necesidades Trimestrales'!G23</f>
        <v>5</v>
      </c>
      <c r="H25" s="48"/>
    </row>
    <row r="26" spans="1:8" ht="35.25" customHeight="1" x14ac:dyDescent="0.2">
      <c r="A26" s="111">
        <f>'Necesidades Trimestrales'!A24</f>
        <v>15</v>
      </c>
      <c r="B26" s="112" t="str">
        <f>'Necesidades Trimestrales'!B24</f>
        <v>2.9.5-5512.12</v>
      </c>
      <c r="C26" s="113" t="str">
        <f>'Necesidades Trimestrales'!E24</f>
        <v>CAJAS P/ESTERILIZAR; MATERIAL: ACERO QUIRURGICO, TIPO: LISA, DIMENSION: 25 X 15 X 5 Cm</v>
      </c>
      <c r="D26" s="114" t="s">
        <v>143</v>
      </c>
      <c r="E26" s="115" t="str">
        <f>'Necesidades Trimestrales'!F24</f>
        <v>unidad</v>
      </c>
      <c r="F26" s="116">
        <f>'Necesidades Trimestrales'!H24</f>
        <v>8986</v>
      </c>
      <c r="G26" s="117">
        <f>'Necesidades Trimestrales'!G24</f>
        <v>5</v>
      </c>
      <c r="H26" s="48"/>
    </row>
    <row r="27" spans="1:8" ht="35.25" customHeight="1" x14ac:dyDescent="0.2">
      <c r="A27" s="111">
        <f>'Necesidades Trimestrales'!A25</f>
        <v>16</v>
      </c>
      <c r="B27" s="112" t="str">
        <f>'Necesidades Trimestrales'!B25</f>
        <v>2.9.5-5512.12</v>
      </c>
      <c r="C27" s="113" t="str">
        <f>'Necesidades Trimestrales'!E25</f>
        <v>CAJAS P/ESTERILIZAR; MATERIAL: ACERO QUIRURGICO, TIPO: LISA, DIMENSION: 25 X 15 X 5 Cm</v>
      </c>
      <c r="D27" s="114" t="s">
        <v>143</v>
      </c>
      <c r="E27" s="115" t="str">
        <f>'Necesidades Trimestrales'!F25</f>
        <v>unidad</v>
      </c>
      <c r="F27" s="116">
        <f>'Necesidades Trimestrales'!H25</f>
        <v>9986</v>
      </c>
      <c r="G27" s="117">
        <f>'Necesidades Trimestrales'!G25</f>
        <v>10</v>
      </c>
      <c r="H27" s="48"/>
    </row>
    <row r="28" spans="1:8" ht="35.25" customHeight="1" x14ac:dyDescent="0.2">
      <c r="A28" s="111">
        <f>'Necesidades Trimestrales'!A26</f>
        <v>17</v>
      </c>
      <c r="B28" s="112" t="str">
        <f>'Necesidades Trimestrales'!B26</f>
        <v>2.9.5-5512.4</v>
      </c>
      <c r="C28" s="113" t="str">
        <f>'Necesidades Trimestrales'!E26</f>
        <v>CAJAS P/ESTERILIZAR; MATERIAL: ACERO QUIRURGICO, TIPO: PERFORADA, DIMENSION: 16,5 X 26,7 X 32 Cm</v>
      </c>
      <c r="D28" s="114" t="s">
        <v>143</v>
      </c>
      <c r="E28" s="115" t="str">
        <f>'Necesidades Trimestrales'!F26</f>
        <v>unidad</v>
      </c>
      <c r="F28" s="116">
        <f>'Necesidades Trimestrales'!H26</f>
        <v>20897</v>
      </c>
      <c r="G28" s="117">
        <f>'Necesidades Trimestrales'!G26</f>
        <v>5</v>
      </c>
      <c r="H28" s="48"/>
    </row>
    <row r="29" spans="1:8" ht="35.25" customHeight="1" x14ac:dyDescent="0.2">
      <c r="A29" s="111">
        <f>'Necesidades Trimestrales'!A27</f>
        <v>18</v>
      </c>
      <c r="B29" s="112" t="str">
        <f>'Necesidades Trimestrales'!B27</f>
        <v>2.9.5-8142.7</v>
      </c>
      <c r="C29" s="113" t="str">
        <f>'Necesidades Trimestrales'!E27</f>
        <v>VALVAS; MATERIAL: ACERO QUIRURGICO, TIPO: FINOCCHIETO, ANCHO: 6 Cm</v>
      </c>
      <c r="D29" s="114" t="s">
        <v>85</v>
      </c>
      <c r="E29" s="115" t="str">
        <f>'Necesidades Trimestrales'!F27</f>
        <v>unidad</v>
      </c>
      <c r="F29" s="116">
        <f>'Necesidades Trimestrales'!H27</f>
        <v>14916</v>
      </c>
      <c r="G29" s="117">
        <f>'Necesidades Trimestrales'!G27</f>
        <v>2</v>
      </c>
      <c r="H29" s="48"/>
    </row>
    <row r="30" spans="1:8" ht="35.25" customHeight="1" x14ac:dyDescent="0.2">
      <c r="A30" s="111">
        <f>'Necesidades Trimestrales'!A28</f>
        <v>19</v>
      </c>
      <c r="B30" s="112" t="str">
        <f>'Necesidades Trimestrales'!B28</f>
        <v>2.9.5-8142.4</v>
      </c>
      <c r="C30" s="113" t="str">
        <f>'Necesidades Trimestrales'!E28</f>
        <v>VALVAS; MATERIAL: ACERO QUIRURGICO , TIPO: DOYEN, ANCHO: 15 Cm</v>
      </c>
      <c r="D30" s="118" t="s">
        <v>85</v>
      </c>
      <c r="E30" s="119" t="str">
        <f>'Necesidades Trimestrales'!F28</f>
        <v>unidad</v>
      </c>
      <c r="F30" s="116">
        <f>'Necesidades Trimestrales'!H28</f>
        <v>10700</v>
      </c>
      <c r="G30" s="117">
        <f>'Necesidades Trimestrales'!G28</f>
        <v>2</v>
      </c>
      <c r="H30" s="48"/>
    </row>
    <row r="31" spans="1:8" ht="35.25" customHeight="1" x14ac:dyDescent="0.2">
      <c r="A31" s="111">
        <f>'Necesidades Trimestrales'!A29</f>
        <v>20</v>
      </c>
      <c r="B31" s="112" t="str">
        <f>'Necesidades Trimestrales'!B29</f>
        <v>2.9.5-8142.3</v>
      </c>
      <c r="C31" s="113" t="str">
        <f>'Necesidades Trimestrales'!E29</f>
        <v>VALVAS; MATERIAL: ACERO QUIRURGICO , TIPO: BREISKY MEDIANA, ANCHO: 10 Cm</v>
      </c>
      <c r="D31" s="118" t="s">
        <v>85</v>
      </c>
      <c r="E31" s="115" t="str">
        <f>'Necesidades Trimestrales'!F29</f>
        <v>unidad</v>
      </c>
      <c r="F31" s="116">
        <f>'Necesidades Trimestrales'!H29</f>
        <v>13987</v>
      </c>
      <c r="G31" s="117">
        <f>'Necesidades Trimestrales'!G29</f>
        <v>2</v>
      </c>
      <c r="H31" s="48"/>
    </row>
    <row r="32" spans="1:8" ht="35.25" customHeight="1" x14ac:dyDescent="0.2">
      <c r="A32" s="111">
        <f>'Necesidades Trimestrales'!A30</f>
        <v>21</v>
      </c>
      <c r="B32" s="112" t="str">
        <f>'Necesidades Trimestrales'!B30</f>
        <v>2.9.5-8142.2</v>
      </c>
      <c r="C32" s="113" t="str">
        <f>'Necesidades Trimestrales'!E30</f>
        <v>VALVAS; MATERIAL: ACERO QUIRURGICO , TIPO: BREISKY CHICA, ANCHO: 6 Cm</v>
      </c>
      <c r="D32" s="118" t="s">
        <v>85</v>
      </c>
      <c r="E32" s="115" t="str">
        <f>'Necesidades Trimestrales'!F30</f>
        <v>unidad</v>
      </c>
      <c r="F32" s="116">
        <f>'Necesidades Trimestrales'!H30</f>
        <v>12976</v>
      </c>
      <c r="G32" s="117">
        <f>'Necesidades Trimestrales'!G30</f>
        <v>2</v>
      </c>
      <c r="H32" s="48"/>
    </row>
    <row r="33" spans="1:8" ht="35.25" customHeight="1" x14ac:dyDescent="0.2">
      <c r="A33" s="111">
        <f>'Necesidades Trimestrales'!A31</f>
        <v>22</v>
      </c>
      <c r="B33" s="112" t="str">
        <f>'Necesidades Trimestrales'!B31</f>
        <v>2.9.5-472.70</v>
      </c>
      <c r="C33" s="113" t="str">
        <f>'Necesidades Trimestrales'!E31</f>
        <v>PINZAS DE CIRUGIA; TIPO: DE PEAN, MEDIDA: GRANDE</v>
      </c>
      <c r="D33" s="118" t="s">
        <v>85</v>
      </c>
      <c r="E33" s="115" t="str">
        <f>'Necesidades Trimestrales'!F31</f>
        <v>unidad</v>
      </c>
      <c r="F33" s="116">
        <f>'Necesidades Trimestrales'!H31</f>
        <v>4202</v>
      </c>
      <c r="G33" s="117">
        <f>'Necesidades Trimestrales'!G31</f>
        <v>10</v>
      </c>
      <c r="H33" s="48"/>
    </row>
    <row r="34" spans="1:8" ht="35.25" customHeight="1" x14ac:dyDescent="0.2">
      <c r="A34" s="111">
        <f>'Necesidades Trimestrales'!A32</f>
        <v>23</v>
      </c>
      <c r="B34" s="112" t="str">
        <f>'Necesidades Trimestrales'!B32</f>
        <v>2.9.5-472.336</v>
      </c>
      <c r="C34" s="113" t="str">
        <f>'Necesidades Trimestrales'!E32</f>
        <v>PINZAS DE CIRUGIA; TIPO: PEAN, MEDIDA: 16 Cm</v>
      </c>
      <c r="D34" s="118" t="s">
        <v>85</v>
      </c>
      <c r="E34" s="115" t="str">
        <f>'Necesidades Trimestrales'!F32</f>
        <v>unidad</v>
      </c>
      <c r="F34" s="116">
        <f>'Necesidades Trimestrales'!H32</f>
        <v>1803</v>
      </c>
      <c r="G34" s="117">
        <f>'Necesidades Trimestrales'!G32</f>
        <v>10</v>
      </c>
      <c r="H34" s="48"/>
    </row>
    <row r="35" spans="1:8" ht="35.25" customHeight="1" x14ac:dyDescent="0.2">
      <c r="A35" s="111">
        <f>'Necesidades Trimestrales'!A33</f>
        <v>24</v>
      </c>
      <c r="B35" s="112" t="str">
        <f>'Necesidades Trimestrales'!B33</f>
        <v>2.9.5-472.242</v>
      </c>
      <c r="C35" s="113" t="str">
        <f>'Necesidades Trimestrales'!E33</f>
        <v>PINZAS DE CIRUGIA; TIPO: DOBLE UTILIDAD , MEDIDA: 24 Cm</v>
      </c>
      <c r="D35" s="114" t="s">
        <v>143</v>
      </c>
      <c r="E35" s="115" t="str">
        <f>'Necesidades Trimestrales'!F33</f>
        <v>unidad</v>
      </c>
      <c r="F35" s="116">
        <f>'Necesidades Trimestrales'!H33</f>
        <v>6500</v>
      </c>
      <c r="G35" s="117">
        <f>'Necesidades Trimestrales'!G33</f>
        <v>4</v>
      </c>
      <c r="H35" s="48"/>
    </row>
    <row r="36" spans="1:8" ht="35.25" customHeight="1" x14ac:dyDescent="0.2">
      <c r="A36" s="111">
        <f>'Necesidades Trimestrales'!A34</f>
        <v>25</v>
      </c>
      <c r="B36" s="112" t="str">
        <f>'Necesidades Trimestrales'!B34</f>
        <v>2.9.5-472.241</v>
      </c>
      <c r="C36" s="113" t="str">
        <f>'Necesidades Trimestrales'!E34</f>
        <v>PINZAS DE CIRUGIA; TIPO: DOBLE UTILIDAD , MEDIDA: 18 Cm</v>
      </c>
      <c r="D36" s="114" t="s">
        <v>143</v>
      </c>
      <c r="E36" s="115" t="str">
        <f>'Necesidades Trimestrales'!F34</f>
        <v>unidad</v>
      </c>
      <c r="F36" s="116">
        <f>'Necesidades Trimestrales'!H34</f>
        <v>4000</v>
      </c>
      <c r="G36" s="117">
        <f>'Necesidades Trimestrales'!G34</f>
        <v>4</v>
      </c>
      <c r="H36" s="48"/>
    </row>
    <row r="37" spans="1:8" ht="35.25" customHeight="1" x14ac:dyDescent="0.2">
      <c r="A37" s="46">
        <f>'Necesidades Trimestrales'!A35</f>
        <v>26</v>
      </c>
      <c r="B37" s="42" t="str">
        <f>'Necesidades Trimestrales'!B35</f>
        <v>2.9.5-8430.2</v>
      </c>
      <c r="C37" s="60" t="str">
        <f>'Necesidades Trimestrales'!E35</f>
        <v>HISTEROMETROS; TIPO: NO DESCARTABLE, MATERIAL: METAL, USO: MEDICION CANAL UTERINO</v>
      </c>
      <c r="D37" s="43" t="s">
        <v>143</v>
      </c>
      <c r="E37" s="44" t="str">
        <f>'Necesidades Trimestrales'!F35</f>
        <v>unidad</v>
      </c>
      <c r="F37" s="45">
        <f>'Necesidades Trimestrales'!H35</f>
        <v>2620</v>
      </c>
      <c r="G37" s="47">
        <f>'Necesidades Trimestrales'!G35</f>
        <v>6</v>
      </c>
      <c r="H37" s="48"/>
    </row>
    <row r="38" spans="1:8" ht="20.25" customHeight="1" thickBot="1" x14ac:dyDescent="0.25">
      <c r="A38" s="134" t="s">
        <v>157</v>
      </c>
      <c r="B38" s="134"/>
      <c r="C38" s="134"/>
      <c r="D38" s="134"/>
      <c r="E38" s="134"/>
      <c r="F38" s="135">
        <f>SUMPRODUCT(G12:G37,F12:F37)</f>
        <v>794195</v>
      </c>
      <c r="G38" s="135"/>
      <c r="H38" s="48"/>
    </row>
  </sheetData>
  <mergeCells count="22">
    <mergeCell ref="A8:B8"/>
    <mergeCell ref="C8:G8"/>
    <mergeCell ref="C5:G5"/>
    <mergeCell ref="A6:B6"/>
    <mergeCell ref="C6:G6"/>
    <mergeCell ref="A7:B7"/>
    <mergeCell ref="C7:G7"/>
    <mergeCell ref="A5:B5"/>
    <mergeCell ref="A1:E1"/>
    <mergeCell ref="A3:B3"/>
    <mergeCell ref="C3:G3"/>
    <mergeCell ref="A4:B4"/>
    <mergeCell ref="C4:G4"/>
    <mergeCell ref="A38:E38"/>
    <mergeCell ref="F38:G38"/>
    <mergeCell ref="A10:A11"/>
    <mergeCell ref="B10:B11"/>
    <mergeCell ref="C10:C11"/>
    <mergeCell ref="D10:D11"/>
    <mergeCell ref="E10:E11"/>
    <mergeCell ref="F10:F11"/>
    <mergeCell ref="G10:G11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3"/>
  <sheetViews>
    <sheetView topLeftCell="A16" zoomScale="130" zoomScaleNormal="130" workbookViewId="0">
      <selection activeCell="A22" sqref="A22:Q23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7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69" t="s">
        <v>3</v>
      </c>
      <c r="B1" s="169"/>
      <c r="C1" s="169"/>
      <c r="D1" s="170">
        <v>2022</v>
      </c>
      <c r="E1" s="170"/>
      <c r="F1" s="8"/>
      <c r="G1" s="8"/>
      <c r="H1" s="9"/>
      <c r="I1" s="9"/>
      <c r="J1" s="9"/>
      <c r="K1" s="9"/>
      <c r="L1" s="9"/>
      <c r="M1" s="9"/>
      <c r="N1" s="9"/>
      <c r="P1" s="171" t="s">
        <v>31</v>
      </c>
      <c r="Q1" s="171"/>
    </row>
    <row r="2" spans="1:17" ht="15.75" customHeight="1" x14ac:dyDescent="0.2">
      <c r="H2" s="9"/>
      <c r="I2" s="9"/>
      <c r="J2" s="9"/>
      <c r="K2" s="9"/>
      <c r="L2" s="9"/>
      <c r="M2" s="9"/>
      <c r="N2" s="9"/>
      <c r="P2" s="171"/>
      <c r="Q2" s="171"/>
    </row>
    <row r="4" spans="1:17" s="10" customFormat="1" ht="18" customHeight="1" thickBot="1" x14ac:dyDescent="0.25">
      <c r="A4" s="172" t="s">
        <v>32</v>
      </c>
      <c r="B4" s="172"/>
      <c r="C4" s="172"/>
      <c r="D4" s="172"/>
      <c r="E4" s="172"/>
      <c r="F4" s="172"/>
      <c r="G4" s="167" t="s">
        <v>155</v>
      </c>
      <c r="H4" s="167"/>
      <c r="I4" s="167"/>
      <c r="J4" s="167"/>
      <c r="K4" s="167"/>
      <c r="L4" s="167"/>
      <c r="M4" s="167"/>
      <c r="N4" s="167"/>
      <c r="O4" s="167"/>
      <c r="P4" s="167"/>
      <c r="Q4" s="167"/>
    </row>
    <row r="5" spans="1:17" s="10" customFormat="1" ht="18" customHeight="1" thickBot="1" x14ac:dyDescent="0.25">
      <c r="A5" s="164" t="s">
        <v>55</v>
      </c>
      <c r="B5" s="165"/>
      <c r="C5" s="165"/>
      <c r="D5" s="165"/>
      <c r="E5" s="165"/>
      <c r="F5" s="166"/>
      <c r="G5" s="167" t="s">
        <v>57</v>
      </c>
      <c r="H5" s="167"/>
      <c r="I5" s="167"/>
      <c r="J5" s="167"/>
      <c r="K5" s="167"/>
      <c r="L5" s="167"/>
      <c r="M5" s="167"/>
      <c r="N5" s="167"/>
      <c r="O5" s="167"/>
      <c r="P5" s="167"/>
      <c r="Q5" s="167"/>
    </row>
    <row r="6" spans="1:17" s="10" customFormat="1" ht="18" customHeight="1" thickBot="1" x14ac:dyDescent="0.25">
      <c r="A6" s="164" t="s">
        <v>33</v>
      </c>
      <c r="B6" s="165"/>
      <c r="C6" s="165"/>
      <c r="D6" s="165"/>
      <c r="E6" s="165"/>
      <c r="F6" s="166"/>
      <c r="G6" s="167" t="s">
        <v>81</v>
      </c>
      <c r="H6" s="167"/>
      <c r="I6" s="167"/>
      <c r="J6" s="167"/>
      <c r="K6" s="167"/>
      <c r="L6" s="167"/>
      <c r="M6" s="167"/>
      <c r="N6" s="167"/>
      <c r="O6" s="167"/>
      <c r="P6" s="167"/>
      <c r="Q6" s="167"/>
    </row>
    <row r="7" spans="1:17" s="10" customFormat="1" ht="18" customHeight="1" thickBot="1" x14ac:dyDescent="0.25">
      <c r="A7" s="164" t="s">
        <v>56</v>
      </c>
      <c r="B7" s="165"/>
      <c r="C7" s="165"/>
      <c r="D7" s="165"/>
      <c r="E7" s="165"/>
      <c r="F7" s="166"/>
      <c r="G7" s="167" t="s">
        <v>60</v>
      </c>
      <c r="H7" s="167"/>
      <c r="I7" s="167"/>
      <c r="J7" s="167"/>
      <c r="K7" s="167"/>
      <c r="L7" s="167"/>
      <c r="M7" s="167"/>
      <c r="N7" s="167"/>
      <c r="O7" s="167"/>
      <c r="P7" s="167"/>
      <c r="Q7" s="167"/>
    </row>
    <row r="8" spans="1:17" ht="18" customHeight="1" thickBot="1" x14ac:dyDescent="0.25">
      <c r="A8" s="168" t="s">
        <v>34</v>
      </c>
      <c r="B8" s="168"/>
      <c r="C8" s="168"/>
      <c r="D8" s="168"/>
      <c r="E8" s="168"/>
      <c r="F8" s="168"/>
      <c r="G8" s="168"/>
      <c r="H8" s="168"/>
      <c r="I8" s="168"/>
      <c r="J8" s="168"/>
      <c r="K8" s="168"/>
      <c r="L8" s="168"/>
      <c r="M8" s="168"/>
      <c r="N8" s="168"/>
      <c r="O8" s="168"/>
      <c r="P8" s="168"/>
      <c r="Q8" s="168"/>
    </row>
    <row r="9" spans="1:17" ht="18" customHeight="1" x14ac:dyDescent="0.25">
      <c r="A9" s="158" t="s">
        <v>35</v>
      </c>
      <c r="B9" s="158"/>
      <c r="C9" s="158"/>
      <c r="D9" s="158"/>
      <c r="E9" s="158"/>
      <c r="F9" s="158"/>
      <c r="G9" s="158"/>
      <c r="H9" s="158"/>
      <c r="I9" s="158"/>
      <c r="J9" s="158"/>
      <c r="K9" s="158"/>
      <c r="L9" s="158"/>
      <c r="M9" s="158"/>
      <c r="N9" s="158"/>
      <c r="O9" s="96"/>
      <c r="P9" s="96"/>
      <c r="Q9" s="97"/>
    </row>
    <row r="10" spans="1:17" ht="54.75" customHeight="1" x14ac:dyDescent="0.2">
      <c r="A10" s="159" t="str">
        <f>"Autorizo la realización de los  trámites correspondientes, a fin de proveer a  este Organismo los bienes y/o servicios que se detallan en Nota  de Pedido N° " &amp; ' NotaPedido'!G1&amp;",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00/2022,  afectando la erogación resultante a los créditos presupuestarios aprobados a favor de esta Unidad Ejecutora, conforme al siguiente detalle:</v>
      </c>
      <c r="B10" s="159"/>
      <c r="C10" s="159"/>
      <c r="D10" s="159"/>
      <c r="E10" s="159"/>
      <c r="F10" s="159"/>
      <c r="G10" s="159"/>
      <c r="H10" s="159"/>
      <c r="I10" s="159"/>
      <c r="J10" s="159"/>
      <c r="K10" s="159"/>
      <c r="L10" s="159"/>
      <c r="M10" s="159"/>
      <c r="N10" s="159"/>
      <c r="O10" s="159"/>
      <c r="P10" s="159"/>
      <c r="Q10" s="159"/>
    </row>
    <row r="11" spans="1:17" ht="9" customHeight="1" x14ac:dyDescent="0.2">
      <c r="A11" s="98"/>
      <c r="B11" s="99"/>
      <c r="C11" s="99"/>
      <c r="D11" s="99"/>
      <c r="E11" s="99"/>
      <c r="F11" s="99"/>
      <c r="G11" s="100"/>
      <c r="H11" s="99"/>
      <c r="I11" s="99"/>
      <c r="J11" s="99"/>
      <c r="K11" s="99"/>
      <c r="L11" s="99"/>
      <c r="M11" s="99"/>
      <c r="N11" s="99"/>
      <c r="O11" s="99"/>
      <c r="P11" s="99"/>
      <c r="Q11" s="101"/>
    </row>
    <row r="12" spans="1:17" ht="15.75" customHeight="1" x14ac:dyDescent="0.2">
      <c r="A12" s="160" t="s">
        <v>36</v>
      </c>
      <c r="B12" s="160"/>
      <c r="C12" s="160"/>
      <c r="D12" s="160"/>
      <c r="E12" s="160"/>
      <c r="F12" s="160"/>
      <c r="G12" s="160"/>
      <c r="H12" s="160"/>
      <c r="I12" s="160"/>
      <c r="J12" s="160"/>
      <c r="K12" s="160"/>
      <c r="L12" s="160"/>
      <c r="M12" s="160"/>
      <c r="N12" s="160"/>
      <c r="O12" s="160"/>
      <c r="P12" s="160"/>
      <c r="Q12" s="160"/>
    </row>
    <row r="13" spans="1:17" ht="15.75" customHeight="1" x14ac:dyDescent="0.2">
      <c r="A13" s="161" t="s">
        <v>37</v>
      </c>
      <c r="B13" s="161"/>
      <c r="C13" s="161"/>
      <c r="D13" s="161"/>
      <c r="E13" s="161"/>
      <c r="F13" s="161"/>
      <c r="G13" s="161"/>
      <c r="H13" s="161"/>
      <c r="I13" s="161"/>
      <c r="J13" s="161"/>
      <c r="K13" s="161"/>
      <c r="L13" s="161"/>
      <c r="M13" s="161"/>
      <c r="N13" s="161"/>
      <c r="O13" s="162" t="s">
        <v>38</v>
      </c>
      <c r="P13" s="162"/>
      <c r="Q13" s="163" t="s">
        <v>39</v>
      </c>
    </row>
    <row r="14" spans="1:17" ht="15.75" customHeight="1" x14ac:dyDescent="0.2">
      <c r="A14" s="11" t="s">
        <v>40</v>
      </c>
      <c r="B14" s="12" t="s">
        <v>41</v>
      </c>
      <c r="C14" s="12" t="s">
        <v>42</v>
      </c>
      <c r="D14" s="12" t="s">
        <v>43</v>
      </c>
      <c r="E14" s="12" t="s">
        <v>44</v>
      </c>
      <c r="F14" s="12" t="s">
        <v>45</v>
      </c>
      <c r="G14" s="13" t="s">
        <v>46</v>
      </c>
      <c r="H14" s="12" t="s">
        <v>47</v>
      </c>
      <c r="I14" s="12" t="s">
        <v>48</v>
      </c>
      <c r="J14" s="12" t="s">
        <v>49</v>
      </c>
      <c r="K14" s="12" t="s">
        <v>49</v>
      </c>
      <c r="L14" s="12" t="s">
        <v>50</v>
      </c>
      <c r="M14" s="14" t="s">
        <v>51</v>
      </c>
      <c r="N14" s="15" t="s">
        <v>52</v>
      </c>
      <c r="O14" s="162"/>
      <c r="P14" s="162"/>
      <c r="Q14" s="163"/>
    </row>
    <row r="15" spans="1:17" ht="30" customHeight="1" x14ac:dyDescent="0.2">
      <c r="A15" s="50">
        <v>42</v>
      </c>
      <c r="B15" s="49"/>
      <c r="C15" s="49"/>
      <c r="D15" s="49">
        <v>2</v>
      </c>
      <c r="E15" s="49"/>
      <c r="F15" s="49">
        <v>4901</v>
      </c>
      <c r="G15" s="49">
        <v>3</v>
      </c>
      <c r="H15" s="49">
        <v>1</v>
      </c>
      <c r="I15" s="49">
        <v>2</v>
      </c>
      <c r="J15" s="49">
        <v>9</v>
      </c>
      <c r="K15" s="49">
        <v>5</v>
      </c>
      <c r="L15" s="49"/>
      <c r="M15" s="49">
        <v>1</v>
      </c>
      <c r="N15" s="49" t="s">
        <v>59</v>
      </c>
      <c r="O15" s="156" t="s">
        <v>74</v>
      </c>
      <c r="P15" s="157"/>
      <c r="Q15" s="51">
        <v>794195</v>
      </c>
    </row>
    <row r="16" spans="1:17" ht="30" customHeight="1" x14ac:dyDescent="0.2">
      <c r="A16" s="50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153"/>
      <c r="P16" s="153"/>
      <c r="Q16" s="51"/>
    </row>
    <row r="17" spans="1:17" ht="30" customHeight="1" x14ac:dyDescent="0.2">
      <c r="A17" s="50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153"/>
      <c r="P17" s="153"/>
      <c r="Q17" s="51"/>
    </row>
    <row r="18" spans="1:17" ht="30" customHeight="1" x14ac:dyDescent="0.2">
      <c r="A18" s="50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153"/>
      <c r="P18" s="153"/>
      <c r="Q18" s="51"/>
    </row>
    <row r="19" spans="1:17" ht="26.25" customHeight="1" thickBot="1" x14ac:dyDescent="0.25">
      <c r="A19" s="154" t="s">
        <v>158</v>
      </c>
      <c r="B19" s="154"/>
      <c r="C19" s="154"/>
      <c r="D19" s="154"/>
      <c r="E19" s="154"/>
      <c r="F19" s="154"/>
      <c r="G19" s="154"/>
      <c r="H19" s="154"/>
      <c r="I19" s="154"/>
      <c r="J19" s="154"/>
      <c r="K19" s="154"/>
      <c r="L19" s="154"/>
      <c r="M19" s="154"/>
      <c r="N19" s="154"/>
      <c r="O19" s="154"/>
      <c r="P19" s="154"/>
      <c r="Q19" s="16">
        <f>SUM(Q15:Q18)</f>
        <v>794195</v>
      </c>
    </row>
    <row r="20" spans="1:17" ht="18" customHeight="1" thickBot="1" x14ac:dyDescent="0.25">
      <c r="A20" s="155"/>
      <c r="B20" s="155"/>
      <c r="C20" s="155"/>
      <c r="D20" s="155"/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</row>
    <row r="21" spans="1:17" ht="17.25" customHeight="1" thickBot="1" x14ac:dyDescent="0.25">
      <c r="A21" s="148" t="s">
        <v>53</v>
      </c>
      <c r="B21" s="149"/>
      <c r="C21" s="149"/>
      <c r="D21" s="149"/>
      <c r="E21" s="149"/>
      <c r="F21" s="150"/>
      <c r="G21" s="151"/>
      <c r="H21" s="151"/>
      <c r="I21" s="151"/>
      <c r="J21" s="151"/>
      <c r="K21" s="151"/>
      <c r="L21" s="151"/>
      <c r="M21" s="151"/>
      <c r="N21" s="151"/>
      <c r="O21" s="151"/>
      <c r="P21" s="151"/>
      <c r="Q21" s="151"/>
    </row>
    <row r="22" spans="1:17" ht="18" customHeight="1" thickBot="1" x14ac:dyDescent="0.25">
      <c r="A22" s="152" t="s">
        <v>162</v>
      </c>
      <c r="B22" s="152"/>
      <c r="C22" s="152"/>
      <c r="D22" s="152"/>
      <c r="E22" s="152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</row>
    <row r="23" spans="1:17" ht="15" customHeight="1" x14ac:dyDescent="0.2">
      <c r="A23" s="152"/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</row>
  </sheetData>
  <mergeCells count="27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O15:P15"/>
    <mergeCell ref="O16:P16"/>
    <mergeCell ref="O17:P17"/>
    <mergeCell ref="A9:N9"/>
    <mergeCell ref="A10:Q10"/>
    <mergeCell ref="A12:Q12"/>
    <mergeCell ref="A13:N13"/>
    <mergeCell ref="O13:P14"/>
    <mergeCell ref="Q13:Q14"/>
    <mergeCell ref="A21:F21"/>
    <mergeCell ref="G21:Q21"/>
    <mergeCell ref="A22:Q23"/>
    <mergeCell ref="O18:P18"/>
    <mergeCell ref="A19:P19"/>
    <mergeCell ref="A20:Q20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usuario</cp:lastModifiedBy>
  <cp:revision>2</cp:revision>
  <cp:lastPrinted>2022-10-14T11:35:55Z</cp:lastPrinted>
  <dcterms:created xsi:type="dcterms:W3CDTF">2020-07-17T23:44:49Z</dcterms:created>
  <dcterms:modified xsi:type="dcterms:W3CDTF">2022-10-14T12:30:17Z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