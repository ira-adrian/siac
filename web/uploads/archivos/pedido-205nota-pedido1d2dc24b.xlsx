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28E5482C-43CB-40BC-85B5-382D46024EB3}" xr6:coauthVersionLast="46" xr6:coauthVersionMax="46" xr10:uidLastSave="{00000000-0000-0000-0000-000000000000}"/>
  <bookViews>
    <workbookView xWindow="-120" yWindow="-120" windowWidth="29040" windowHeight="15840" tabRatio="500" activeTab="1" xr2:uid="{00000000-000D-0000-FFFF-FFFF00000000}"/>
  </bookViews>
  <sheets>
    <sheet name="Necesidades Trimestrales" sheetId="1" r:id="rId1"/>
    <sheet name="NotaPedido" sheetId="2" r:id="rId2"/>
    <sheet name="Autor Gastar" sheetId="3" r:id="rId3"/>
  </sheets>
  <definedNames>
    <definedName name="_xlnm._FilterDatabase" localSheetId="0" hidden="1">'Necesidades Trimestrales'!$A$9:$I$47</definedName>
    <definedName name="_xlnm.Print_Area" localSheetId="2">'Autor Gastar'!$A$1:$Q$27</definedName>
    <definedName name="_xlnm.Print_Area" localSheetId="1">NotaPedido!$A$1:$K$50</definedName>
  </definedNames>
  <calcPr calcId="181029"/>
</workbook>
</file>

<file path=xl/calcChain.xml><?xml version="1.0" encoding="utf-8"?>
<calcChain xmlns="http://schemas.openxmlformats.org/spreadsheetml/2006/main">
  <c r="I10" i="1" l="1"/>
  <c r="I11" i="1"/>
  <c r="I12" i="1"/>
  <c r="I13" i="1"/>
  <c r="I14" i="1"/>
  <c r="I15" i="1"/>
  <c r="I16" i="1"/>
  <c r="I17" i="1"/>
  <c r="I18" i="1"/>
  <c r="I19" i="1"/>
  <c r="B15" i="2" l="1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A26" i="3"/>
  <c r="A10" i="3"/>
  <c r="J17" i="2"/>
  <c r="K16" i="2"/>
  <c r="J16" i="2"/>
  <c r="I16" i="2"/>
  <c r="K15" i="2"/>
  <c r="J15" i="2"/>
  <c r="I15" i="2"/>
  <c r="C15" i="2"/>
  <c r="K14" i="2"/>
  <c r="J14" i="2"/>
  <c r="I14" i="2"/>
  <c r="C14" i="2"/>
  <c r="B14" i="2"/>
  <c r="K13" i="2"/>
  <c r="J13" i="2"/>
  <c r="I13" i="2"/>
  <c r="C13" i="2"/>
  <c r="B13" i="2"/>
  <c r="K12" i="2"/>
  <c r="J12" i="2"/>
  <c r="I12" i="2"/>
  <c r="C12" i="2"/>
  <c r="B12" i="2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J50" i="2" l="1"/>
  <c r="G6" i="3" l="1"/>
  <c r="G7" i="3"/>
  <c r="D7" i="2"/>
  <c r="D3" i="2"/>
  <c r="G4" i="3" s="1"/>
  <c r="D4" i="2"/>
  <c r="G5" i="3" s="1"/>
  <c r="D1" i="3" l="1"/>
  <c r="Q23" i="3"/>
</calcChain>
</file>

<file path=xl/sharedStrings.xml><?xml version="1.0" encoding="utf-8"?>
<sst xmlns="http://schemas.openxmlformats.org/spreadsheetml/2006/main" count="564" uniqueCount="217">
  <si>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</si>
  <si>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</si>
  <si>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</si>
  <si>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</si>
  <si>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</si>
  <si>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</si>
  <si>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</si>
  <si>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</si>
  <si>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</si>
  <si>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</si>
  <si>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</si>
  <si>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</si>
  <si>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</si>
  <si>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</si>
  <si>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Descripción técnica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</si>
  <si>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</si>
  <si>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</si>
  <si>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</si>
  <si>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</si>
  <si>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</si>
  <si>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</si>
  <si>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</si>
  <si>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</si>
  <si>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</si>
  <si>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</si>
  <si>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</si>
  <si>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</si>
  <si>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</si>
  <si>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</si>
  <si>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</si>
  <si>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</si>
  <si>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</si>
  <si>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</si>
  <si>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</si>
  <si>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</si>
  <si>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</si>
  <si>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</si>
  <si>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</si>
  <si>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</si>
  <si>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</si>
  <si>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</si>
  <si>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</si>
  <si>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</si>
  <si>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</si>
  <si>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</si>
  <si>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</si>
  <si>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</si>
  <si>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</si>
  <si>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</si>
  <si>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</si>
  <si>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</si>
  <si>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</si>
  <si>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</si>
  <si>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</si>
  <si>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</si>
  <si>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</si>
  <si>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40 - Ministerio de Salud</t>
  </si>
  <si>
    <t>23 - Hospital Interzonal San Juan Bautista</t>
  </si>
  <si>
    <t>3.1</t>
  </si>
  <si>
    <t>1.1</t>
  </si>
  <si>
    <t>2.9.6-1355.1368</t>
  </si>
  <si>
    <t>REPUESTOS</t>
  </si>
  <si>
    <t>CARTUCHOS DE TINTA; CODIGO: 840C 6615, USO: HEWLETT PACKARD</t>
  </si>
  <si>
    <t>UNIDAD</t>
  </si>
  <si>
    <t>2.9.6-1355.1369</t>
  </si>
  <si>
    <t xml:space="preserve">CARTUCHOS DE TINTA; CODIGO: 840C 6625, USO: DESK JET </t>
  </si>
  <si>
    <t>2.9.6-1355.1140</t>
  </si>
  <si>
    <t>CARTUCHOS DE TINTA; CODIGO: C9352AL, DESCRIPCION: SIN VALOR, COLOR: SIN VALOR, USO: HEWLETT PACKARD</t>
  </si>
  <si>
    <t>2.9.6-401.2193</t>
  </si>
  <si>
    <t>CARTUCHOS DE TONER; CODIGO: SP 310 DNW, USO: LASER RICOH</t>
  </si>
  <si>
    <t>2.9.6-401.2377</t>
  </si>
  <si>
    <t>CARTUCHOS DE TONER; CODIGO: CF279A, USO: HEWLETT PACKARD</t>
  </si>
  <si>
    <t>2.9.6-1355.1379</t>
  </si>
  <si>
    <t>CARTUCHOS DE TINTA; CODIGO: C6656A, USO: HP 5650</t>
  </si>
  <si>
    <t>2.9.6-1355.623</t>
  </si>
  <si>
    <t>CARTUCHOS DE TINTA; CODIGO: C6657A, PRODUCTO: CARTUCHO DE TINTA, COLOR: COLOR, USO: HEWLETT PACKARD, DESCRIPCION: CARTUCHO DE TINTA</t>
  </si>
  <si>
    <t>2.9.6-401.2056</t>
  </si>
  <si>
    <t>CARTUCHOS DE TONER; CODIGO: CC640WL, USO: HEWLETT PACKARD</t>
  </si>
  <si>
    <t>2.9.6-401.1502</t>
  </si>
  <si>
    <t>CARTUCHOS DE TONER; CODIGO: CC643WL, USO: HEWLETT PACKARD</t>
  </si>
  <si>
    <t>2.9.6-401.1486</t>
  </si>
  <si>
    <t>CARTUCHOS DE TONER; CODIGO: HP 53A, USO: HP</t>
  </si>
  <si>
    <t>2.9.6-401.932</t>
  </si>
  <si>
    <t>CARTUCHOS DE TONER; CODIGO: Q7551A, COLOR: NEGRO, DESCRIPCION: CARTUCHO TONER, USO: HEWLETT PACKARD</t>
  </si>
  <si>
    <t>2.9.6-401.2024</t>
  </si>
  <si>
    <t>CARTUCHOS DE TONER; CODIGO: MLT-D111S, USO: SAMSUNG</t>
  </si>
  <si>
    <t>2.9.6-401.1362</t>
  </si>
  <si>
    <t>CARTUCHOS DE TONER; CODIGO: CE285A, USO: HEWLETT PACKARD</t>
  </si>
  <si>
    <t>2.9.6-401.2093</t>
  </si>
  <si>
    <t>CARTUCHOS DE TONER; CODIGO: SP5210DN, USO: LANIER RICOH</t>
  </si>
  <si>
    <t>2.9.6-401.2045</t>
  </si>
  <si>
    <t>CARTUCHOS DE TONER; CODIGO: TN 1060, USO: BROTHER</t>
  </si>
  <si>
    <t>2.9.6-1355.1631</t>
  </si>
  <si>
    <t>CARTUCHOS DE TINTA; CODIGO: CH561HL, USO: HEWLETT PACKARD</t>
  </si>
  <si>
    <t>2.9.6-1355.1630</t>
  </si>
  <si>
    <t>CARTUCHOS DE TINTA; CODIGO: CH562HL, USO: HEWLETT PACKARD</t>
  </si>
  <si>
    <t>2.9.6-401.1172</t>
  </si>
  <si>
    <t>CARTUCHOS DE TONER; CODIGO: CC364A, USO: HEWLETT PACKARD</t>
  </si>
  <si>
    <t>2.9.6-401.1859</t>
  </si>
  <si>
    <t>CARTUCHOS DE TONER; CODIGO: MLT-D101S, USO: SAMSUNG 2165</t>
  </si>
  <si>
    <t>2.9.6-1355.1858</t>
  </si>
  <si>
    <t>CARTUCHOS DE TINTA; CODIGO: CZ103XL, USO: HP 3515</t>
  </si>
  <si>
    <t>2.9.6-1355.1859</t>
  </si>
  <si>
    <t>CARTUCHOS DE TINTA; CODIGO: CZ104XL, USO: HP 3515</t>
  </si>
  <si>
    <t>2.9.6-401.1060</t>
  </si>
  <si>
    <t>CARTUCHOS DE TONER; CODIGO: HPQ2612A, COLOR: SIN VALOR, DESCRIPCION: SIN VALOR, USO: HEWLETT PACKARD</t>
  </si>
  <si>
    <t>2.9.6-1355.1988</t>
  </si>
  <si>
    <t>CARTUCHOS DE TINTA; CODIGO: 664, USO: HEWLET PACKARD</t>
  </si>
  <si>
    <t>2.9.6-1891.822</t>
  </si>
  <si>
    <t>REP. Y ACC. P/IMPRESORA; MODELO EQUIPO: L3110, MARCA EQUIPO: EPSON, ELEMENTO: BOTELLA DE TINTA</t>
  </si>
  <si>
    <t>2.9.6-401.2128</t>
  </si>
  <si>
    <t>CARTUCHOS DE TONER; CODIGO: CF226A, USO: HEWLETT PACKARD</t>
  </si>
  <si>
    <t>2.9.6-401.2378</t>
  </si>
  <si>
    <t>CARTUCHOS DE TONER; CODIGO: W1105A, USO: HEWLETT PACKARD</t>
  </si>
  <si>
    <t>2.9.6-401.1136</t>
  </si>
  <si>
    <t>CARTUCHOS DE TONER; CODIGO: T1200, USO: TOSHIBA</t>
  </si>
  <si>
    <t>2.9.6-401.1289</t>
  </si>
  <si>
    <t>CARTUCHOS DE TONER; CODIGO: T 1640, USO: TOSHIBA ESTUDIO 166</t>
  </si>
  <si>
    <t>2.9.6-401.2379</t>
  </si>
  <si>
    <t>CARTUCHOS DE TONER; CODIGO: T-4530A, USO: TOSHIBA</t>
  </si>
  <si>
    <t>2.9.6-401.2328</t>
  </si>
  <si>
    <t>CARTUCHOS DE TONER; CODIGO: 74710U, USO: TOSHIBA</t>
  </si>
  <si>
    <t>2.9.6-401.2161</t>
  </si>
  <si>
    <t>CARTUCHOS DE TONER; CODIGO: 841768, USO: RICOH</t>
  </si>
  <si>
    <t>2.9.6-401.2285</t>
  </si>
  <si>
    <t>CARTUCHOS DE TONER; CODIGO: MP 301, USO: RICOH</t>
  </si>
  <si>
    <t>2.9.6-401.2380</t>
  </si>
  <si>
    <t>CARTUCHOS DE TONER; CODIGO: 408284, USO: RICOH</t>
  </si>
  <si>
    <t>Cart. tinta p/imp. H.P. D1660 - Photosmart -color- ORIGINAL</t>
  </si>
  <si>
    <t>Cart. tinta p/imp. H.P. D1660 - Photosmart -negro-  ORIGINAL</t>
  </si>
  <si>
    <t>Toner p/impr. Samsung M2020 W (111) -  ORIGINAL</t>
  </si>
  <si>
    <t>Cartucho p/imp. H.P. Deskjet 2135 (664) - Negro - orig. o altern.</t>
  </si>
  <si>
    <t>Cartucho p/imp. H.P. Deskjet 2135 (664) - Color - orig. o altern.</t>
  </si>
  <si>
    <t>Cartucho (frasco) p/imp. Epson L3110 - negro (544)</t>
  </si>
  <si>
    <t>Cartucho (frasco) p/imp. Epson L3110 - cyan (544)</t>
  </si>
  <si>
    <t>Cartucho (frasco) p/imp. Epson L3110 - magenta (544)</t>
  </si>
  <si>
    <t>Cartucho (frasco) p/imp. Epson L3110 - amarillo (544)</t>
  </si>
  <si>
    <t>Toner p/imp. H.P. Laser  (105 A) - ORIGINAL con chips</t>
  </si>
  <si>
    <t>Toner para Fotocopiadora m/Toshiba Estudio 120-150  - ORIGINAL</t>
  </si>
  <si>
    <t>Toner para Fotocopiadora m/Toshiba Estudio 455 Di  - ORIGINAL</t>
  </si>
  <si>
    <t>Toner para Fotocopiadora m/Toshiba Estudio 477 S  - ORIGINAL</t>
  </si>
  <si>
    <t>Toner para Fotocopiadora RICOH 2501 SP - ORIGINAL</t>
  </si>
  <si>
    <t>Toner para Fotocopiadora RICOH MP 301 SP - ORIGINAL</t>
  </si>
  <si>
    <t>Toner para Fotocopiadora RICOH OFICIO SP 3710 SF - ORIGINAL</t>
  </si>
  <si>
    <t>Especificidades Item N° 03:</t>
  </si>
  <si>
    <t>Especificidades Item N° 04:</t>
  </si>
  <si>
    <t>Especificidades Item N° 05:</t>
  </si>
  <si>
    <t>Especificidades Item N° 09:</t>
  </si>
  <si>
    <t>Especificidades Item N° 10:</t>
  </si>
  <si>
    <t>Especificidades Item N° 12:</t>
  </si>
  <si>
    <t>Especificidades Item N° 13:</t>
  </si>
  <si>
    <t>Especificidades Item N° 24 :</t>
  </si>
  <si>
    <t>Especificidades Item N° 25 :</t>
  </si>
  <si>
    <t>Especificidades Item N° 26 :</t>
  </si>
  <si>
    <t>Especificidades Item N° 27 :</t>
  </si>
  <si>
    <t>Especificidades Item N° 28 :</t>
  </si>
  <si>
    <t>Especificidades Item N° 29 :</t>
  </si>
  <si>
    <t>Especificidades Item N° 31 :</t>
  </si>
  <si>
    <t>Especificidades Item N° 32 :</t>
  </si>
  <si>
    <t>Especificidades Item N° 33 :</t>
  </si>
  <si>
    <t>Especificidades Item N° 34 :</t>
  </si>
  <si>
    <t>Especificidades Item N° 35 :</t>
  </si>
  <si>
    <t>Especificidades Item N° 36 :</t>
  </si>
  <si>
    <t>Especificidades Item N° 37 :</t>
  </si>
  <si>
    <t>Especificidades Item N° 38 :</t>
  </si>
  <si>
    <t>Mantenimiento de Oferta: 45 dias habiles</t>
  </si>
  <si>
    <t>Lugar de entrega: División Patrimonio</t>
  </si>
  <si>
    <t>Plazo de entrega: 10 dias habiles</t>
  </si>
  <si>
    <t>Adquisición de Tonners</t>
  </si>
  <si>
    <t>Costo total estimado: un millon quinientos treinta y dos mil ciento noventa y siete con 47/100.---</t>
  </si>
  <si>
    <t xml:space="preserve">División Patrimonio </t>
  </si>
  <si>
    <t xml:space="preserve">237 - Dirección de Mantenimiento </t>
  </si>
  <si>
    <t>056 - 2021</t>
  </si>
  <si>
    <t>TOTAL DE PESOS: UN MILLON QUINIENTOS TREINTA Y DOS MIL CIENTO NOVENTA Y SIETE CON 47/100.-</t>
  </si>
  <si>
    <t>Especificidades Item N° 01:</t>
  </si>
  <si>
    <t>Especificidades Item N° 02:</t>
  </si>
  <si>
    <t>Especificidades Item N° 06:</t>
  </si>
  <si>
    <t>Especificidades Item N° 07:</t>
  </si>
  <si>
    <t>Especificidades Item N° 08:</t>
  </si>
  <si>
    <t>Especificidades Item N° 11:</t>
  </si>
  <si>
    <t>Especificidades Item N° 30 :</t>
  </si>
  <si>
    <t>Especificidades Item N° 14:</t>
  </si>
  <si>
    <t>Especificidades Item N° 15:</t>
  </si>
  <si>
    <t>Especificidades Item N° 16:</t>
  </si>
  <si>
    <t>Especificidades Item N° 17:</t>
  </si>
  <si>
    <t>Especificidades Item N° 18:</t>
  </si>
  <si>
    <t>Especificidades Item N° 19:</t>
  </si>
  <si>
    <t>Especificidades Item N° 20:</t>
  </si>
  <si>
    <t>Especificidades Item N° 21:</t>
  </si>
  <si>
    <t>Especificidades Item N° 22:</t>
  </si>
  <si>
    <t>Especificidades Item N° 23:</t>
  </si>
  <si>
    <t>SI</t>
  </si>
  <si>
    <t>Cart. tinta p/impresora H.P. 840 C - negro -  original o altern.</t>
  </si>
  <si>
    <t>Cart. tinta p/impresora H.P. 840 C - color - original o altern.</t>
  </si>
  <si>
    <t xml:space="preserve">Cart. tinta p/imp. H.P. 3920 - D1460 - negro - original </t>
  </si>
  <si>
    <t xml:space="preserve">Cart. tinta p/imp. H.P. 3920 - D1460 - color - original </t>
  </si>
  <si>
    <t>Cart. tinta p/imp. H.P. 5650 - negro - original o alternativo</t>
  </si>
  <si>
    <t>Cart. tinta p/imp. H.P. 5650 - color - original o alternativo</t>
  </si>
  <si>
    <t>Tonner p/imp. Laser H.P.  P 2014  - original o altern.</t>
  </si>
  <si>
    <t xml:space="preserve">Tonner p/imp. Laser H.P. 3005 DN - original </t>
  </si>
  <si>
    <t>Toner p/imp. Laser H.P. 1102 W - original o altern.</t>
  </si>
  <si>
    <t>Toner p/imp. Ricoh (Lanier) 5210DN original o alternat.</t>
  </si>
  <si>
    <t>Toner p/imp. Brother HL- 1110 original o altern.</t>
  </si>
  <si>
    <t>Cart. p/imp. H.P. Deskjet 1000 - negro - original o altern.</t>
  </si>
  <si>
    <t>Cart. p/imp. H.P. Deskjet 1000 -color - original o altern.</t>
  </si>
  <si>
    <t xml:space="preserve">Toner p/imp. Laser  H.P. Jet 4014N -  original </t>
  </si>
  <si>
    <t>Toner p/imp.  Samsung 2165W - original o altern.</t>
  </si>
  <si>
    <t>Toner p/imp. Laser  H.P. 1015/1020 -  original o altern.</t>
  </si>
  <si>
    <t>Toner p/imp. H.P. Laser Pro M402 (226)  orig. o alt.</t>
  </si>
  <si>
    <t xml:space="preserve">Toner p/imp. Ricoh SP 310 - negro - original </t>
  </si>
  <si>
    <t>Toner p/imp. H.P. Laser Jet Pro M12W - negro - original o altern.</t>
  </si>
  <si>
    <t>Utiles de Escritorio, Oficina y Enseñanza</t>
  </si>
  <si>
    <t>Original o alternativo</t>
  </si>
  <si>
    <t>ORIGINAL</t>
  </si>
  <si>
    <t>2.9.2</t>
  </si>
  <si>
    <t>2.9.6-1355.1409</t>
  </si>
  <si>
    <t>CARTUCHOS DE TINTA; CODIGO: HP 21, USO: HEWLETT PACKARD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</si>
</sst>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</numFmts>
  <fonts count="28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sz val="12"/>
      <name val="Calibri"/>
      <family val="2"/>
    </font>
    <font>
      <sz val="9"/>
      <name val="Arial"/>
      <family val="2"/>
    </font>
    <font>
      <sz val="16"/>
      <name val="Times New Roman"/>
      <family val="1"/>
    </font>
    <font>
      <b/>
      <sz val="9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5" fontId="14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29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5" fillId="0" borderId="10" xfId="0" applyFont="1" applyBorder="1" applyAlignment="1">
      <alignment horizontal="right" vertical="center"/>
    </xf>
    <xf numFmtId="0" fontId="5" fillId="0" borderId="12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 indent="1"/>
    </xf>
    <xf numFmtId="0" fontId="4" fillId="0" borderId="19" xfId="0" applyFont="1" applyBorder="1" applyAlignment="1">
      <alignment horizontal="center"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0" fillId="0" borderId="34" xfId="3" applyNumberFormat="1" applyFont="1" applyBorder="1" applyAlignment="1" applyProtection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6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6" fontId="0" fillId="0" borderId="43" xfId="3" applyNumberFormat="1" applyFont="1" applyBorder="1" applyAlignment="1" applyProtection="1">
      <alignment horizontal="center" vertical="center"/>
    </xf>
    <xf numFmtId="166" fontId="13" fillId="0" borderId="44" xfId="0" applyNumberFormat="1" applyFont="1" applyBorder="1" applyAlignment="1">
      <alignment horizontal="center" vertical="center"/>
    </xf>
    <xf numFmtId="0" fontId="15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22" fillId="0" borderId="2" xfId="0" applyFont="1" applyBorder="1"/>
    <xf numFmtId="0" fontId="15" fillId="0" borderId="3" xfId="0" applyFont="1" applyBorder="1"/>
    <xf numFmtId="0" fontId="15" fillId="0" borderId="4" xfId="0" applyFont="1" applyBorder="1"/>
    <xf numFmtId="0" fontId="15" fillId="0" borderId="5" xfId="0" applyFont="1" applyBorder="1"/>
    <xf numFmtId="0" fontId="15" fillId="0" borderId="0" xfId="0" applyFont="1" applyBorder="1"/>
    <xf numFmtId="0" fontId="15" fillId="0" borderId="6" xfId="0" applyFont="1" applyBorder="1"/>
    <xf numFmtId="0" fontId="22" fillId="0" borderId="5" xfId="0" applyFont="1" applyBorder="1" applyAlignment="1">
      <alignment horizontal="left" indent="3"/>
    </xf>
    <xf numFmtId="0" fontId="15" fillId="0" borderId="5" xfId="0" applyFont="1" applyBorder="1" applyAlignment="1">
      <alignment horizontal="left" indent="3"/>
    </xf>
    <xf numFmtId="0" fontId="15" fillId="0" borderId="0" xfId="0" applyFont="1" applyBorder="1" applyAlignment="1">
      <alignment horizontal="center" wrapText="1"/>
    </xf>
    <xf numFmtId="0" fontId="15" fillId="0" borderId="6" xfId="0" applyFont="1" applyBorder="1" applyAlignment="1">
      <alignment horizontal="center" wrapText="1"/>
    </xf>
    <xf numFmtId="0" fontId="15" fillId="0" borderId="7" xfId="0" applyFont="1" applyBorder="1" applyAlignment="1">
      <alignment horizontal="left" indent="3"/>
    </xf>
    <xf numFmtId="0" fontId="15" fillId="0" borderId="8" xfId="0" applyFont="1" applyBorder="1"/>
    <xf numFmtId="0" fontId="15" fillId="0" borderId="9" xfId="0" applyFont="1" applyBorder="1"/>
    <xf numFmtId="0" fontId="19" fillId="0" borderId="14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/>
    </xf>
    <xf numFmtId="0" fontId="21" fillId="0" borderId="14" xfId="0" applyFont="1" applyBorder="1" applyAlignment="1">
      <alignment horizontal="left" vertical="center" wrapText="1"/>
    </xf>
    <xf numFmtId="0" fontId="21" fillId="0" borderId="14" xfId="0" applyFont="1" applyBorder="1" applyAlignment="1">
      <alignment horizontal="center" vertical="center" wrapText="1"/>
    </xf>
    <xf numFmtId="0" fontId="24" fillId="0" borderId="14" xfId="0" applyFont="1" applyFill="1" applyBorder="1" applyAlignment="1">
      <alignment vertical="center" wrapText="1"/>
    </xf>
    <xf numFmtId="0" fontId="21" fillId="4" borderId="14" xfId="0" applyFont="1" applyFill="1" applyBorder="1" applyAlignment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center" vertical="center" wrapText="1"/>
    </xf>
    <xf numFmtId="166" fontId="20" fillId="4" borderId="14" xfId="1" applyNumberFormat="1" applyFont="1" applyFill="1" applyBorder="1" applyAlignment="1" applyProtection="1">
      <alignment horizontal="right" vertical="center" wrapText="1"/>
    </xf>
    <xf numFmtId="0" fontId="23" fillId="4" borderId="0" xfId="0" applyFont="1" applyFill="1" applyAlignment="1">
      <alignment horizontal="left" wrapText="1" indent="1"/>
    </xf>
    <xf numFmtId="0" fontId="19" fillId="5" borderId="0" xfId="0" applyFont="1" applyFill="1" applyAlignment="1">
      <alignment horizontal="left" wrapText="1"/>
    </xf>
    <xf numFmtId="0" fontId="6" fillId="4" borderId="11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 wrapText="1"/>
    </xf>
    <xf numFmtId="166" fontId="4" fillId="5" borderId="19" xfId="1" applyNumberFormat="1" applyFont="1" applyFill="1" applyBorder="1" applyAlignment="1" applyProtection="1">
      <alignment horizontal="right" vertical="center" wrapText="1"/>
    </xf>
    <xf numFmtId="3" fontId="4" fillId="5" borderId="19" xfId="0" applyNumberFormat="1" applyFont="1" applyFill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0" fontId="0" fillId="4" borderId="31" xfId="0" applyFont="1" applyFill="1" applyBorder="1" applyAlignment="1">
      <alignment horizontal="center" vertical="center"/>
    </xf>
    <xf numFmtId="0" fontId="0" fillId="4" borderId="32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0" fillId="5" borderId="32" xfId="0" applyFont="1" applyFill="1" applyBorder="1" applyAlignment="1">
      <alignment horizontal="center" vertical="center"/>
    </xf>
    <xf numFmtId="0" fontId="0" fillId="4" borderId="33" xfId="0" applyFont="1" applyFill="1" applyBorder="1" applyAlignment="1">
      <alignment horizontal="center" vertical="center"/>
    </xf>
    <xf numFmtId="166" fontId="0" fillId="0" borderId="0" xfId="0" applyNumberFormat="1"/>
    <xf numFmtId="0" fontId="24" fillId="5" borderId="14" xfId="0" applyFont="1" applyFill="1" applyBorder="1" applyAlignment="1">
      <alignment vertical="center" wrapText="1"/>
    </xf>
    <xf numFmtId="0" fontId="15" fillId="3" borderId="6" xfId="0" applyFont="1" applyFill="1" applyBorder="1" applyAlignment="1">
      <alignment horizontal="center" wrapText="1"/>
    </xf>
    <xf numFmtId="0" fontId="15" fillId="3" borderId="6" xfId="0" applyFont="1" applyFill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6" fillId="6" borderId="50" xfId="0" applyFont="1" applyFill="1" applyBorder="1" applyAlignment="1">
      <alignment horizontal="center" vertical="center"/>
    </xf>
    <xf numFmtId="0" fontId="15" fillId="3" borderId="0" xfId="0" applyFont="1" applyFill="1" applyBorder="1" applyAlignment="1">
      <alignment horizontal="center" wrapText="1"/>
    </xf>
    <xf numFmtId="0" fontId="16" fillId="0" borderId="0" xfId="0" applyFont="1" applyBorder="1" applyAlignment="1">
      <alignment horizontal="center"/>
    </xf>
    <xf numFmtId="0" fontId="17" fillId="0" borderId="0" xfId="0" applyFont="1" applyBorder="1" applyAlignment="1">
      <alignment horizontal="left" vertical="center" wrapText="1"/>
    </xf>
    <xf numFmtId="0" fontId="23" fillId="4" borderId="0" xfId="0" applyFont="1" applyFill="1" applyBorder="1" applyAlignment="1">
      <alignment horizontal="left" wrapText="1" indent="1"/>
    </xf>
    <xf numFmtId="0" fontId="5" fillId="0" borderId="0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6" fillId="5" borderId="14" xfId="0" applyFont="1" applyFill="1" applyBorder="1" applyAlignment="1">
      <alignment horizontal="left" vertical="center" wrapText="1" indent="1"/>
    </xf>
    <xf numFmtId="0" fontId="7" fillId="0" borderId="15" xfId="0" applyFont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/>
    </xf>
    <xf numFmtId="0" fontId="6" fillId="4" borderId="17" xfId="0" applyFont="1" applyFill="1" applyBorder="1" applyAlignment="1">
      <alignment horizontal="left" vertical="center" wrapText="1" indent="1"/>
    </xf>
    <xf numFmtId="0" fontId="8" fillId="0" borderId="16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left" vertical="center" wrapText="1" indent="1"/>
    </xf>
    <xf numFmtId="167" fontId="7" fillId="0" borderId="14" xfId="0" applyNumberFormat="1" applyFont="1" applyBorder="1" applyAlignment="1">
      <alignment horizontal="center" vertical="center"/>
    </xf>
    <xf numFmtId="0" fontId="4" fillId="5" borderId="19" xfId="0" applyFont="1" applyFill="1" applyBorder="1" applyAlignment="1">
      <alignment horizontal="left" vertical="center" wrapText="1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  <xf numFmtId="0" fontId="4" fillId="0" borderId="13" xfId="0" applyFont="1" applyBorder="1" applyAlignment="1">
      <alignment horizontal="left" vertical="center" wrapText="1"/>
    </xf>
    <xf numFmtId="0" fontId="4" fillId="0" borderId="46" xfId="0" applyFont="1" applyBorder="1" applyAlignment="1">
      <alignment horizontal="left" vertical="center" wrapText="1"/>
    </xf>
    <xf numFmtId="0" fontId="4" fillId="0" borderId="47" xfId="0" applyFont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1" fillId="0" borderId="23" xfId="0" applyFont="1" applyBorder="1"/>
    <xf numFmtId="0" fontId="11" fillId="0" borderId="24" xfId="0" applyFont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25" fillId="0" borderId="32" xfId="0" applyFont="1" applyBorder="1" applyAlignment="1">
      <alignment horizontal="left" vertical="center" wrapText="1"/>
    </xf>
    <xf numFmtId="0" fontId="25" fillId="0" borderId="38" xfId="0" applyFont="1" applyBorder="1" applyAlignment="1">
      <alignment horizontal="left" vertical="center"/>
    </xf>
    <xf numFmtId="0" fontId="14" fillId="0" borderId="38" xfId="0" applyFont="1" applyBorder="1" applyAlignment="1">
      <alignment horizontal="left" vertical="center"/>
    </xf>
    <xf numFmtId="0" fontId="0" fillId="0" borderId="38" xfId="0" applyFont="1" applyBorder="1" applyAlignment="1">
      <alignment horizontal="left" vertical="center"/>
    </xf>
    <xf numFmtId="0" fontId="9" fillId="0" borderId="20" xfId="0" applyFont="1" applyBorder="1" applyAlignment="1">
      <alignment vertical="center" wrapText="1"/>
    </xf>
    <xf numFmtId="0" fontId="9" fillId="0" borderId="45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1" fillId="0" borderId="27" xfId="0" applyFont="1" applyBorder="1" applyAlignment="1">
      <alignment vertical="center" wrapText="1"/>
    </xf>
    <xf numFmtId="0" fontId="11" fillId="4" borderId="44" xfId="0" applyFont="1" applyFill="1" applyBorder="1" applyAlignment="1">
      <alignment horizontal="left" vertical="center" wrapText="1" indent="1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27" fillId="0" borderId="44" xfId="0" applyFont="1" applyBorder="1" applyAlignment="1">
      <alignment horizontal="left" vertical="center" wrapText="1"/>
    </xf>
    <xf numFmtId="0" fontId="0" fillId="0" borderId="22" xfId="0" applyBorder="1"/>
  </cellXfs>
  <cellStyles count="5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621"/>
  <sheetViews>
    <sheetView topLeftCell="A4" zoomScale="85" zoomScaleNormal="85" workbookViewId="0">
      <selection activeCell="C12" sqref="C12"/>
    </sheetView>
  </sheetViews>
  <sheetFormatPr baseColWidth="10" defaultColWidth="11" defaultRowHeight="12.75" x14ac:dyDescent="0.2"/>
  <cols>
    <col min="1" max="1" width="4.5703125" style="39" customWidth="1"/>
    <col min="2" max="2" width="13.85546875" style="39" customWidth="1"/>
    <col min="3" max="3" width="32.42578125" style="39" customWidth="1"/>
    <col min="4" max="4" width="8.42578125" style="39" customWidth="1"/>
    <col min="5" max="5" width="79" style="39" customWidth="1"/>
    <col min="6" max="6" width="11" style="39"/>
    <col min="7" max="7" width="12.7109375" style="39" customWidth="1"/>
    <col min="8" max="8" width="13.85546875" style="39" customWidth="1"/>
    <col min="9" max="9" width="18.5703125" style="39" customWidth="1"/>
    <col min="10" max="16384" width="11" style="39"/>
  </cols>
  <sheetData>
    <row r="2" spans="1:9" ht="27" x14ac:dyDescent="0.35">
      <c r="B2" s="86" t="s">
        <v>0</v>
      </c>
      <c r="C2" s="86"/>
      <c r="D2" s="86"/>
      <c r="E2" s="86"/>
      <c r="F2" s="86"/>
      <c r="G2" s="86"/>
      <c r="H2" s="86"/>
    </row>
    <row r="4" spans="1:9" ht="18" customHeight="1" x14ac:dyDescent="0.25">
      <c r="A4" s="87" t="s">
        <v>1</v>
      </c>
      <c r="B4" s="87"/>
      <c r="C4" s="88" t="s">
        <v>56</v>
      </c>
      <c r="D4" s="88"/>
      <c r="E4" s="88"/>
      <c r="F4" s="40"/>
      <c r="G4" s="41"/>
      <c r="H4" s="40"/>
    </row>
    <row r="5" spans="1:9" ht="18" customHeight="1" x14ac:dyDescent="0.25">
      <c r="A5" s="87" t="s">
        <v>2</v>
      </c>
      <c r="B5" s="87"/>
      <c r="C5" s="88" t="s">
        <v>57</v>
      </c>
      <c r="D5" s="88"/>
      <c r="E5" s="88"/>
      <c r="F5" s="40"/>
      <c r="G5" s="41"/>
      <c r="H5" s="40"/>
    </row>
    <row r="6" spans="1:9" ht="16.5" customHeight="1" x14ac:dyDescent="0.25">
      <c r="A6" s="87" t="s">
        <v>3</v>
      </c>
      <c r="B6" s="87"/>
      <c r="C6" s="63">
        <v>2021</v>
      </c>
      <c r="D6" s="64"/>
      <c r="E6" s="64"/>
      <c r="F6" s="40"/>
      <c r="G6" s="41"/>
      <c r="H6" s="40"/>
    </row>
    <row r="7" spans="1:9" ht="16.5" customHeight="1" x14ac:dyDescent="0.25">
      <c r="A7" s="87" t="s">
        <v>4</v>
      </c>
      <c r="B7" s="87"/>
      <c r="C7" s="63">
        <v>3</v>
      </c>
      <c r="D7" s="64"/>
      <c r="E7" s="64"/>
      <c r="F7" s="40"/>
      <c r="G7" s="41"/>
      <c r="H7" s="40"/>
    </row>
    <row r="8" spans="1:9" ht="13.5" thickBot="1" x14ac:dyDescent="0.25">
      <c r="B8" s="40"/>
      <c r="C8" s="41"/>
      <c r="D8" s="40"/>
      <c r="E8" s="40"/>
      <c r="F8" s="40"/>
      <c r="G8" s="41"/>
      <c r="H8" s="40"/>
    </row>
    <row r="9" spans="1:9" ht="39" thickBot="1" x14ac:dyDescent="0.25">
      <c r="A9" s="55" t="s">
        <v>5</v>
      </c>
      <c r="B9" s="55" t="s">
        <v>6</v>
      </c>
      <c r="C9" s="55" t="s">
        <v>7</v>
      </c>
      <c r="D9" s="55" t="s">
        <v>8</v>
      </c>
      <c r="E9" s="55" t="s">
        <v>9</v>
      </c>
      <c r="F9" s="55" t="s">
        <v>10</v>
      </c>
      <c r="G9" s="55" t="s">
        <v>11</v>
      </c>
      <c r="H9" s="55" t="s">
        <v>12</v>
      </c>
      <c r="I9" s="55" t="s">
        <v>13</v>
      </c>
    </row>
    <row r="10" spans="1:9" ht="31.9" customHeight="1" thickBot="1" x14ac:dyDescent="0.25">
      <c r="A10" s="56">
        <v>1</v>
      </c>
      <c r="B10" s="60" t="s">
        <v>60</v>
      </c>
      <c r="C10" s="57" t="s">
        <v>61</v>
      </c>
      <c r="D10" s="58" t="s">
        <v>214</v>
      </c>
      <c r="E10" s="59" t="s">
        <v>62</v>
      </c>
      <c r="F10" s="60" t="s">
        <v>63</v>
      </c>
      <c r="G10" s="60">
        <v>9</v>
      </c>
      <c r="H10" s="61">
        <v>1800</v>
      </c>
      <c r="I10" s="62">
        <f t="shared" ref="I10:I47" si="0">G10*H10</f>
        <v>16200</v>
      </c>
    </row>
    <row r="11" spans="1:9" ht="31.9" customHeight="1" thickBot="1" x14ac:dyDescent="0.25">
      <c r="A11" s="56">
        <v>2</v>
      </c>
      <c r="B11" s="60" t="s">
        <v>64</v>
      </c>
      <c r="C11" s="57" t="s">
        <v>61</v>
      </c>
      <c r="D11" s="58" t="s">
        <v>214</v>
      </c>
      <c r="E11" s="59" t="s">
        <v>65</v>
      </c>
      <c r="F11" s="60" t="s">
        <v>63</v>
      </c>
      <c r="G11" s="60">
        <v>9</v>
      </c>
      <c r="H11" s="61">
        <v>2100</v>
      </c>
      <c r="I11" s="62">
        <f t="shared" si="0"/>
        <v>18900</v>
      </c>
    </row>
    <row r="12" spans="1:9" ht="31.9" customHeight="1" thickBot="1" x14ac:dyDescent="0.25">
      <c r="A12" s="56">
        <v>3</v>
      </c>
      <c r="B12" s="60" t="s">
        <v>215</v>
      </c>
      <c r="C12" s="57" t="s">
        <v>61</v>
      </c>
      <c r="D12" s="58" t="s">
        <v>214</v>
      </c>
      <c r="E12" s="59" t="s">
        <v>216</v>
      </c>
      <c r="F12" s="60" t="s">
        <v>63</v>
      </c>
      <c r="G12" s="60">
        <v>30</v>
      </c>
      <c r="H12" s="61">
        <v>2380</v>
      </c>
      <c r="I12" s="62">
        <f t="shared" si="0"/>
        <v>71400</v>
      </c>
    </row>
    <row r="13" spans="1:9" ht="49.5" customHeight="1" thickBot="1" x14ac:dyDescent="0.25">
      <c r="A13" s="56">
        <v>4</v>
      </c>
      <c r="B13" s="60" t="s">
        <v>66</v>
      </c>
      <c r="C13" s="57" t="s">
        <v>61</v>
      </c>
      <c r="D13" s="58" t="s">
        <v>214</v>
      </c>
      <c r="E13" s="59" t="s">
        <v>67</v>
      </c>
      <c r="F13" s="60" t="s">
        <v>63</v>
      </c>
      <c r="G13" s="60">
        <v>30</v>
      </c>
      <c r="H13" s="61">
        <v>2580</v>
      </c>
      <c r="I13" s="62">
        <f t="shared" si="0"/>
        <v>77400</v>
      </c>
    </row>
    <row r="14" spans="1:9" ht="31.9" customHeight="1" thickBot="1" x14ac:dyDescent="0.25">
      <c r="A14" s="56">
        <v>5</v>
      </c>
      <c r="B14" s="60" t="s">
        <v>68</v>
      </c>
      <c r="C14" s="57" t="s">
        <v>61</v>
      </c>
      <c r="D14" s="58" t="s">
        <v>214</v>
      </c>
      <c r="E14" s="59" t="s">
        <v>69</v>
      </c>
      <c r="F14" s="60" t="s">
        <v>63</v>
      </c>
      <c r="G14" s="60">
        <v>20</v>
      </c>
      <c r="H14" s="61">
        <v>7700</v>
      </c>
      <c r="I14" s="62">
        <f t="shared" si="0"/>
        <v>154000</v>
      </c>
    </row>
    <row r="15" spans="1:9" ht="31.9" customHeight="1" thickBot="1" x14ac:dyDescent="0.25">
      <c r="A15" s="56">
        <v>6</v>
      </c>
      <c r="B15" s="60" t="s">
        <v>70</v>
      </c>
      <c r="C15" s="57" t="s">
        <v>61</v>
      </c>
      <c r="D15" s="58" t="s">
        <v>214</v>
      </c>
      <c r="E15" s="59" t="s">
        <v>71</v>
      </c>
      <c r="F15" s="60" t="s">
        <v>63</v>
      </c>
      <c r="G15" s="60">
        <v>10</v>
      </c>
      <c r="H15" s="61">
        <v>1310.9</v>
      </c>
      <c r="I15" s="62">
        <f t="shared" si="0"/>
        <v>13109</v>
      </c>
    </row>
    <row r="16" spans="1:9" ht="31.9" customHeight="1" thickBot="1" x14ac:dyDescent="0.25">
      <c r="A16" s="56">
        <v>7</v>
      </c>
      <c r="B16" s="60" t="s">
        <v>72</v>
      </c>
      <c r="C16" s="57" t="s">
        <v>61</v>
      </c>
      <c r="D16" s="58" t="s">
        <v>214</v>
      </c>
      <c r="E16" s="59" t="s">
        <v>73</v>
      </c>
      <c r="F16" s="60" t="s">
        <v>63</v>
      </c>
      <c r="G16" s="60">
        <v>4</v>
      </c>
      <c r="H16" s="61">
        <v>2096</v>
      </c>
      <c r="I16" s="62">
        <f t="shared" si="0"/>
        <v>8384</v>
      </c>
    </row>
    <row r="17" spans="1:9" ht="42.75" customHeight="1" thickBot="1" x14ac:dyDescent="0.25">
      <c r="A17" s="56">
        <v>8</v>
      </c>
      <c r="B17" s="60" t="s">
        <v>74</v>
      </c>
      <c r="C17" s="57" t="s">
        <v>61</v>
      </c>
      <c r="D17" s="58" t="s">
        <v>214</v>
      </c>
      <c r="E17" s="59" t="s">
        <v>75</v>
      </c>
      <c r="F17" s="60" t="s">
        <v>63</v>
      </c>
      <c r="G17" s="60">
        <v>4</v>
      </c>
      <c r="H17" s="61">
        <v>3435</v>
      </c>
      <c r="I17" s="62">
        <f t="shared" si="0"/>
        <v>13740</v>
      </c>
    </row>
    <row r="18" spans="1:9" ht="31.9" customHeight="1" thickBot="1" x14ac:dyDescent="0.25">
      <c r="A18" s="56">
        <v>9</v>
      </c>
      <c r="B18" s="60" t="s">
        <v>76</v>
      </c>
      <c r="C18" s="57" t="s">
        <v>61</v>
      </c>
      <c r="D18" s="58" t="s">
        <v>214</v>
      </c>
      <c r="E18" s="59" t="s">
        <v>77</v>
      </c>
      <c r="F18" s="60" t="s">
        <v>63</v>
      </c>
      <c r="G18" s="60">
        <v>21</v>
      </c>
      <c r="H18" s="61">
        <v>2953.59</v>
      </c>
      <c r="I18" s="62">
        <f t="shared" si="0"/>
        <v>62025.39</v>
      </c>
    </row>
    <row r="19" spans="1:9" ht="31.9" customHeight="1" thickBot="1" x14ac:dyDescent="0.25">
      <c r="A19" s="56">
        <v>10</v>
      </c>
      <c r="B19" s="60" t="s">
        <v>78</v>
      </c>
      <c r="C19" s="57" t="s">
        <v>61</v>
      </c>
      <c r="D19" s="58" t="s">
        <v>214</v>
      </c>
      <c r="E19" s="59" t="s">
        <v>79</v>
      </c>
      <c r="F19" s="60" t="s">
        <v>63</v>
      </c>
      <c r="G19" s="60">
        <v>21</v>
      </c>
      <c r="H19" s="61">
        <v>3526.92</v>
      </c>
      <c r="I19" s="62">
        <f t="shared" si="0"/>
        <v>74065.320000000007</v>
      </c>
    </row>
    <row r="20" spans="1:9" ht="31.9" customHeight="1" thickBot="1" x14ac:dyDescent="0.25">
      <c r="A20" s="56">
        <v>11</v>
      </c>
      <c r="B20" s="60" t="s">
        <v>80</v>
      </c>
      <c r="C20" s="57" t="s">
        <v>61</v>
      </c>
      <c r="D20" s="58" t="s">
        <v>214</v>
      </c>
      <c r="E20" s="59" t="s">
        <v>81</v>
      </c>
      <c r="F20" s="60" t="s">
        <v>63</v>
      </c>
      <c r="G20" s="60">
        <v>20</v>
      </c>
      <c r="H20" s="61">
        <v>1879.85</v>
      </c>
      <c r="I20" s="62">
        <f t="shared" si="0"/>
        <v>37597</v>
      </c>
    </row>
    <row r="21" spans="1:9" ht="43.5" customHeight="1" thickBot="1" x14ac:dyDescent="0.25">
      <c r="A21" s="56">
        <v>12</v>
      </c>
      <c r="B21" s="60" t="s">
        <v>82</v>
      </c>
      <c r="C21" s="57" t="s">
        <v>61</v>
      </c>
      <c r="D21" s="58" t="s">
        <v>214</v>
      </c>
      <c r="E21" s="59" t="s">
        <v>83</v>
      </c>
      <c r="F21" s="60" t="s">
        <v>63</v>
      </c>
      <c r="G21" s="60">
        <v>1</v>
      </c>
      <c r="H21" s="61">
        <v>4500</v>
      </c>
      <c r="I21" s="62">
        <f t="shared" si="0"/>
        <v>4500</v>
      </c>
    </row>
    <row r="22" spans="1:9" ht="31.9" customHeight="1" thickBot="1" x14ac:dyDescent="0.25">
      <c r="A22" s="56">
        <v>13</v>
      </c>
      <c r="B22" s="60" t="s">
        <v>84</v>
      </c>
      <c r="C22" s="57" t="s">
        <v>61</v>
      </c>
      <c r="D22" s="58" t="s">
        <v>214</v>
      </c>
      <c r="E22" s="59" t="s">
        <v>85</v>
      </c>
      <c r="F22" s="60" t="s">
        <v>63</v>
      </c>
      <c r="G22" s="60">
        <v>20</v>
      </c>
      <c r="H22" s="61">
        <v>4700</v>
      </c>
      <c r="I22" s="62">
        <f t="shared" si="0"/>
        <v>94000</v>
      </c>
    </row>
    <row r="23" spans="1:9" ht="31.9" customHeight="1" thickBot="1" x14ac:dyDescent="0.25">
      <c r="A23" s="56">
        <v>14</v>
      </c>
      <c r="B23" s="60" t="s">
        <v>86</v>
      </c>
      <c r="C23" s="57" t="s">
        <v>61</v>
      </c>
      <c r="D23" s="58" t="s">
        <v>214</v>
      </c>
      <c r="E23" s="59" t="s">
        <v>87</v>
      </c>
      <c r="F23" s="60" t="s">
        <v>63</v>
      </c>
      <c r="G23" s="60">
        <v>36</v>
      </c>
      <c r="H23" s="61">
        <v>1025.45</v>
      </c>
      <c r="I23" s="62">
        <f t="shared" si="0"/>
        <v>36916.200000000004</v>
      </c>
    </row>
    <row r="24" spans="1:9" ht="31.9" customHeight="1" thickBot="1" x14ac:dyDescent="0.25">
      <c r="A24" s="56">
        <v>15</v>
      </c>
      <c r="B24" s="60" t="s">
        <v>88</v>
      </c>
      <c r="C24" s="57" t="s">
        <v>61</v>
      </c>
      <c r="D24" s="58" t="s">
        <v>214</v>
      </c>
      <c r="E24" s="59" t="s">
        <v>89</v>
      </c>
      <c r="F24" s="60" t="s">
        <v>63</v>
      </c>
      <c r="G24" s="60">
        <v>3</v>
      </c>
      <c r="H24" s="61">
        <v>7400</v>
      </c>
      <c r="I24" s="62">
        <f t="shared" si="0"/>
        <v>22200</v>
      </c>
    </row>
    <row r="25" spans="1:9" ht="31.9" customHeight="1" thickBot="1" x14ac:dyDescent="0.25">
      <c r="A25" s="56">
        <v>16</v>
      </c>
      <c r="B25" s="60" t="s">
        <v>90</v>
      </c>
      <c r="C25" s="57" t="s">
        <v>61</v>
      </c>
      <c r="D25" s="58" t="s">
        <v>214</v>
      </c>
      <c r="E25" s="59" t="s">
        <v>91</v>
      </c>
      <c r="F25" s="60" t="s">
        <v>63</v>
      </c>
      <c r="G25" s="60">
        <v>36</v>
      </c>
      <c r="H25" s="61">
        <v>1118.96</v>
      </c>
      <c r="I25" s="62">
        <f t="shared" si="0"/>
        <v>40282.559999999998</v>
      </c>
    </row>
    <row r="26" spans="1:9" ht="31.9" customHeight="1" thickBot="1" x14ac:dyDescent="0.25">
      <c r="A26" s="56">
        <v>17</v>
      </c>
      <c r="B26" s="60" t="s">
        <v>92</v>
      </c>
      <c r="C26" s="57" t="s">
        <v>61</v>
      </c>
      <c r="D26" s="58" t="s">
        <v>214</v>
      </c>
      <c r="E26" s="59" t="s">
        <v>93</v>
      </c>
      <c r="F26" s="60" t="s">
        <v>63</v>
      </c>
      <c r="G26" s="60">
        <v>12</v>
      </c>
      <c r="H26" s="61">
        <v>2996.26</v>
      </c>
      <c r="I26" s="62">
        <f t="shared" si="0"/>
        <v>35955.120000000003</v>
      </c>
    </row>
    <row r="27" spans="1:9" ht="31.9" customHeight="1" thickBot="1" x14ac:dyDescent="0.25">
      <c r="A27" s="56">
        <v>18</v>
      </c>
      <c r="B27" s="60" t="s">
        <v>94</v>
      </c>
      <c r="C27" s="57" t="s">
        <v>61</v>
      </c>
      <c r="D27" s="58" t="s">
        <v>214</v>
      </c>
      <c r="E27" s="59" t="s">
        <v>95</v>
      </c>
      <c r="F27" s="60" t="s">
        <v>63</v>
      </c>
      <c r="G27" s="60">
        <v>12</v>
      </c>
      <c r="H27" s="61">
        <v>3326.92</v>
      </c>
      <c r="I27" s="62">
        <f t="shared" si="0"/>
        <v>39923.040000000001</v>
      </c>
    </row>
    <row r="28" spans="1:9" ht="31.9" customHeight="1" thickBot="1" x14ac:dyDescent="0.25">
      <c r="A28" s="56">
        <v>19</v>
      </c>
      <c r="B28" s="60" t="s">
        <v>96</v>
      </c>
      <c r="C28" s="57" t="s">
        <v>61</v>
      </c>
      <c r="D28" s="58" t="s">
        <v>214</v>
      </c>
      <c r="E28" s="59" t="s">
        <v>97</v>
      </c>
      <c r="F28" s="60" t="s">
        <v>63</v>
      </c>
      <c r="G28" s="60">
        <v>5</v>
      </c>
      <c r="H28" s="61">
        <v>27000</v>
      </c>
      <c r="I28" s="62">
        <f t="shared" si="0"/>
        <v>135000</v>
      </c>
    </row>
    <row r="29" spans="1:9" ht="31.9" customHeight="1" thickBot="1" x14ac:dyDescent="0.25">
      <c r="A29" s="56">
        <v>20</v>
      </c>
      <c r="B29" s="60" t="s">
        <v>98</v>
      </c>
      <c r="C29" s="57" t="s">
        <v>61</v>
      </c>
      <c r="D29" s="58" t="s">
        <v>214</v>
      </c>
      <c r="E29" s="59" t="s">
        <v>99</v>
      </c>
      <c r="F29" s="60" t="s">
        <v>63</v>
      </c>
      <c r="G29" s="60">
        <v>21</v>
      </c>
      <c r="H29" s="61">
        <v>1611.3</v>
      </c>
      <c r="I29" s="62">
        <f t="shared" si="0"/>
        <v>33837.299999999996</v>
      </c>
    </row>
    <row r="30" spans="1:9" ht="31.9" customHeight="1" thickBot="1" x14ac:dyDescent="0.25">
      <c r="A30" s="56">
        <v>21</v>
      </c>
      <c r="B30" s="60" t="s">
        <v>100</v>
      </c>
      <c r="C30" s="57" t="s">
        <v>61</v>
      </c>
      <c r="D30" s="58" t="s">
        <v>214</v>
      </c>
      <c r="E30" s="59" t="s">
        <v>101</v>
      </c>
      <c r="F30" s="60" t="s">
        <v>63</v>
      </c>
      <c r="G30" s="60">
        <v>24</v>
      </c>
      <c r="H30" s="61">
        <v>4406.8999999999996</v>
      </c>
      <c r="I30" s="62">
        <f t="shared" si="0"/>
        <v>105765.59999999999</v>
      </c>
    </row>
    <row r="31" spans="1:9" ht="31.9" customHeight="1" thickBot="1" x14ac:dyDescent="0.25">
      <c r="A31" s="56">
        <v>22</v>
      </c>
      <c r="B31" s="60" t="s">
        <v>102</v>
      </c>
      <c r="C31" s="57" t="s">
        <v>61</v>
      </c>
      <c r="D31" s="58" t="s">
        <v>214</v>
      </c>
      <c r="E31" s="59" t="s">
        <v>103</v>
      </c>
      <c r="F31" s="60" t="s">
        <v>63</v>
      </c>
      <c r="G31" s="60">
        <v>24</v>
      </c>
      <c r="H31" s="61">
        <v>4721.82</v>
      </c>
      <c r="I31" s="62">
        <f t="shared" si="0"/>
        <v>113323.68</v>
      </c>
    </row>
    <row r="32" spans="1:9" ht="45" customHeight="1" thickBot="1" x14ac:dyDescent="0.25">
      <c r="A32" s="56">
        <v>23</v>
      </c>
      <c r="B32" s="60" t="s">
        <v>104</v>
      </c>
      <c r="C32" s="57" t="s">
        <v>61</v>
      </c>
      <c r="D32" s="58" t="s">
        <v>214</v>
      </c>
      <c r="E32" s="59" t="s">
        <v>105</v>
      </c>
      <c r="F32" s="60" t="s">
        <v>63</v>
      </c>
      <c r="G32" s="60">
        <v>4</v>
      </c>
      <c r="H32" s="61">
        <v>1043.28</v>
      </c>
      <c r="I32" s="62">
        <f t="shared" si="0"/>
        <v>4173.12</v>
      </c>
    </row>
    <row r="33" spans="1:9" ht="31.9" customHeight="1" thickBot="1" x14ac:dyDescent="0.25">
      <c r="A33" s="56">
        <v>24</v>
      </c>
      <c r="B33" s="60" t="s">
        <v>106</v>
      </c>
      <c r="C33" s="57" t="s">
        <v>61</v>
      </c>
      <c r="D33" s="58" t="s">
        <v>214</v>
      </c>
      <c r="E33" s="59" t="s">
        <v>107</v>
      </c>
      <c r="F33" s="60" t="s">
        <v>63</v>
      </c>
      <c r="G33" s="60">
        <v>12</v>
      </c>
      <c r="H33" s="61">
        <v>4406.8999999999996</v>
      </c>
      <c r="I33" s="62">
        <f t="shared" si="0"/>
        <v>52882.799999999996</v>
      </c>
    </row>
    <row r="34" spans="1:9" ht="41.25" customHeight="1" thickBot="1" x14ac:dyDescent="0.25">
      <c r="A34" s="56">
        <v>25</v>
      </c>
      <c r="B34" s="60" t="s">
        <v>106</v>
      </c>
      <c r="C34" s="57" t="s">
        <v>61</v>
      </c>
      <c r="D34" s="58" t="s">
        <v>214</v>
      </c>
      <c r="E34" s="59" t="s">
        <v>107</v>
      </c>
      <c r="F34" s="60" t="s">
        <v>63</v>
      </c>
      <c r="G34" s="60">
        <v>12</v>
      </c>
      <c r="H34" s="61">
        <v>4721.82</v>
      </c>
      <c r="I34" s="62">
        <f t="shared" si="0"/>
        <v>56661.84</v>
      </c>
    </row>
    <row r="35" spans="1:9" ht="39.75" customHeight="1" thickBot="1" x14ac:dyDescent="0.25">
      <c r="A35" s="56">
        <v>26</v>
      </c>
      <c r="B35" s="60" t="s">
        <v>108</v>
      </c>
      <c r="C35" s="57" t="s">
        <v>61</v>
      </c>
      <c r="D35" s="58" t="s">
        <v>214</v>
      </c>
      <c r="E35" s="79" t="s">
        <v>109</v>
      </c>
      <c r="F35" s="60" t="s">
        <v>63</v>
      </c>
      <c r="G35" s="60">
        <v>8</v>
      </c>
      <c r="H35" s="61">
        <v>582.54999999999995</v>
      </c>
      <c r="I35" s="62">
        <f t="shared" si="0"/>
        <v>4660.3999999999996</v>
      </c>
    </row>
    <row r="36" spans="1:9" ht="51.75" customHeight="1" thickBot="1" x14ac:dyDescent="0.25">
      <c r="A36" s="56">
        <v>27</v>
      </c>
      <c r="B36" s="60" t="s">
        <v>108</v>
      </c>
      <c r="C36" s="57" t="s">
        <v>61</v>
      </c>
      <c r="D36" s="58" t="s">
        <v>214</v>
      </c>
      <c r="E36" s="59" t="s">
        <v>109</v>
      </c>
      <c r="F36" s="60" t="s">
        <v>63</v>
      </c>
      <c r="G36" s="60">
        <v>8</v>
      </c>
      <c r="H36" s="61">
        <v>582.54999999999995</v>
      </c>
      <c r="I36" s="62">
        <f t="shared" si="0"/>
        <v>4660.3999999999996</v>
      </c>
    </row>
    <row r="37" spans="1:9" ht="45" customHeight="1" thickBot="1" x14ac:dyDescent="0.25">
      <c r="A37" s="56">
        <v>28</v>
      </c>
      <c r="B37" s="60" t="s">
        <v>108</v>
      </c>
      <c r="C37" s="57" t="s">
        <v>61</v>
      </c>
      <c r="D37" s="58" t="s">
        <v>214</v>
      </c>
      <c r="E37" s="59" t="s">
        <v>109</v>
      </c>
      <c r="F37" s="60" t="s">
        <v>63</v>
      </c>
      <c r="G37" s="60">
        <v>8</v>
      </c>
      <c r="H37" s="61">
        <v>582.54999999999995</v>
      </c>
      <c r="I37" s="62">
        <f t="shared" si="0"/>
        <v>4660.3999999999996</v>
      </c>
    </row>
    <row r="38" spans="1:9" ht="50.25" customHeight="1" thickBot="1" x14ac:dyDescent="0.25">
      <c r="A38" s="56">
        <v>29</v>
      </c>
      <c r="B38" s="60" t="s">
        <v>108</v>
      </c>
      <c r="C38" s="57" t="s">
        <v>61</v>
      </c>
      <c r="D38" s="58" t="s">
        <v>214</v>
      </c>
      <c r="E38" s="59" t="s">
        <v>109</v>
      </c>
      <c r="F38" s="60" t="s">
        <v>63</v>
      </c>
      <c r="G38" s="60">
        <v>8</v>
      </c>
      <c r="H38" s="61">
        <v>582.54999999999995</v>
      </c>
      <c r="I38" s="62">
        <f t="shared" si="0"/>
        <v>4660.3999999999996</v>
      </c>
    </row>
    <row r="39" spans="1:9" ht="31.9" customHeight="1" thickBot="1" x14ac:dyDescent="0.25">
      <c r="A39" s="56">
        <v>30</v>
      </c>
      <c r="B39" s="60" t="s">
        <v>110</v>
      </c>
      <c r="C39" s="57" t="s">
        <v>61</v>
      </c>
      <c r="D39" s="58" t="s">
        <v>214</v>
      </c>
      <c r="E39" s="59" t="s">
        <v>111</v>
      </c>
      <c r="F39" s="60" t="s">
        <v>63</v>
      </c>
      <c r="G39" s="60">
        <v>4</v>
      </c>
      <c r="H39" s="61">
        <v>1274</v>
      </c>
      <c r="I39" s="62">
        <f t="shared" si="0"/>
        <v>5096</v>
      </c>
    </row>
    <row r="40" spans="1:9" ht="31.9" customHeight="1" thickBot="1" x14ac:dyDescent="0.25">
      <c r="A40" s="56">
        <v>31</v>
      </c>
      <c r="B40" s="60" t="s">
        <v>112</v>
      </c>
      <c r="C40" s="57" t="s">
        <v>61</v>
      </c>
      <c r="D40" s="58" t="s">
        <v>214</v>
      </c>
      <c r="E40" s="59" t="s">
        <v>113</v>
      </c>
      <c r="F40" s="60" t="s">
        <v>63</v>
      </c>
      <c r="G40" s="60">
        <v>6</v>
      </c>
      <c r="H40" s="61">
        <v>2169.65</v>
      </c>
      <c r="I40" s="62">
        <f t="shared" si="0"/>
        <v>13017.900000000001</v>
      </c>
    </row>
    <row r="41" spans="1:9" ht="31.9" customHeight="1" thickBot="1" x14ac:dyDescent="0.25">
      <c r="A41" s="56">
        <v>32</v>
      </c>
      <c r="B41" s="60" t="s">
        <v>114</v>
      </c>
      <c r="C41" s="57" t="s">
        <v>61</v>
      </c>
      <c r="D41" s="58" t="s">
        <v>214</v>
      </c>
      <c r="E41" s="59" t="s">
        <v>115</v>
      </c>
      <c r="F41" s="60" t="s">
        <v>63</v>
      </c>
      <c r="G41" s="60">
        <v>3</v>
      </c>
      <c r="H41" s="61">
        <v>5300</v>
      </c>
      <c r="I41" s="62">
        <f t="shared" si="0"/>
        <v>15900</v>
      </c>
    </row>
    <row r="42" spans="1:9" ht="31.9" customHeight="1" thickBot="1" x14ac:dyDescent="0.25">
      <c r="A42" s="56">
        <v>33</v>
      </c>
      <c r="B42" s="60" t="s">
        <v>116</v>
      </c>
      <c r="C42" s="57" t="s">
        <v>61</v>
      </c>
      <c r="D42" s="58" t="s">
        <v>214</v>
      </c>
      <c r="E42" s="59" t="s">
        <v>117</v>
      </c>
      <c r="F42" s="60" t="s">
        <v>63</v>
      </c>
      <c r="G42" s="60">
        <v>4</v>
      </c>
      <c r="H42" s="61">
        <v>7900</v>
      </c>
      <c r="I42" s="62">
        <f t="shared" si="0"/>
        <v>31600</v>
      </c>
    </row>
    <row r="43" spans="1:9" ht="31.9" customHeight="1" thickBot="1" x14ac:dyDescent="0.25">
      <c r="A43" s="56">
        <v>34</v>
      </c>
      <c r="B43" s="60" t="s">
        <v>118</v>
      </c>
      <c r="C43" s="57" t="s">
        <v>61</v>
      </c>
      <c r="D43" s="58" t="s">
        <v>214</v>
      </c>
      <c r="E43" s="59" t="s">
        <v>119</v>
      </c>
      <c r="F43" s="60" t="s">
        <v>63</v>
      </c>
      <c r="G43" s="60">
        <v>3</v>
      </c>
      <c r="H43" s="61">
        <v>9900</v>
      </c>
      <c r="I43" s="62">
        <f t="shared" si="0"/>
        <v>29700</v>
      </c>
    </row>
    <row r="44" spans="1:9" ht="31.9" customHeight="1" thickBot="1" x14ac:dyDescent="0.25">
      <c r="A44" s="56">
        <v>35</v>
      </c>
      <c r="B44" s="60" t="s">
        <v>120</v>
      </c>
      <c r="C44" s="57" t="s">
        <v>61</v>
      </c>
      <c r="D44" s="58" t="s">
        <v>214</v>
      </c>
      <c r="E44" s="59" t="s">
        <v>121</v>
      </c>
      <c r="F44" s="60" t="s">
        <v>63</v>
      </c>
      <c r="G44" s="60">
        <v>2</v>
      </c>
      <c r="H44" s="61">
        <v>15500</v>
      </c>
      <c r="I44" s="62">
        <f t="shared" si="0"/>
        <v>31000</v>
      </c>
    </row>
    <row r="45" spans="1:9" ht="31.9" customHeight="1" thickBot="1" x14ac:dyDescent="0.25">
      <c r="A45" s="56">
        <v>36</v>
      </c>
      <c r="B45" s="60" t="s">
        <v>122</v>
      </c>
      <c r="C45" s="57" t="s">
        <v>61</v>
      </c>
      <c r="D45" s="58" t="s">
        <v>214</v>
      </c>
      <c r="E45" s="59" t="s">
        <v>123</v>
      </c>
      <c r="F45" s="60" t="s">
        <v>63</v>
      </c>
      <c r="G45" s="60">
        <v>4</v>
      </c>
      <c r="H45" s="61">
        <v>7700</v>
      </c>
      <c r="I45" s="62">
        <f t="shared" si="0"/>
        <v>30800</v>
      </c>
    </row>
    <row r="46" spans="1:9" ht="31.9" customHeight="1" thickBot="1" x14ac:dyDescent="0.25">
      <c r="A46" s="56">
        <v>37</v>
      </c>
      <c r="B46" s="60" t="s">
        <v>124</v>
      </c>
      <c r="C46" s="57" t="s">
        <v>61</v>
      </c>
      <c r="D46" s="58" t="s">
        <v>214</v>
      </c>
      <c r="E46" s="59" t="s">
        <v>125</v>
      </c>
      <c r="F46" s="60" t="s">
        <v>63</v>
      </c>
      <c r="G46" s="60">
        <v>3</v>
      </c>
      <c r="H46" s="61">
        <v>3700</v>
      </c>
      <c r="I46" s="62">
        <f t="shared" si="0"/>
        <v>11100</v>
      </c>
    </row>
    <row r="47" spans="1:9" ht="31.9" customHeight="1" thickBot="1" x14ac:dyDescent="0.25">
      <c r="A47" s="56">
        <v>38</v>
      </c>
      <c r="B47" s="60" t="s">
        <v>126</v>
      </c>
      <c r="C47" s="57" t="s">
        <v>61</v>
      </c>
      <c r="D47" s="58" t="s">
        <v>214</v>
      </c>
      <c r="E47" s="59" t="s">
        <v>127</v>
      </c>
      <c r="F47" s="60" t="s">
        <v>63</v>
      </c>
      <c r="G47" s="60">
        <v>3</v>
      </c>
      <c r="H47" s="61">
        <v>7700</v>
      </c>
      <c r="I47" s="62">
        <f t="shared" si="0"/>
        <v>23100</v>
      </c>
    </row>
    <row r="48" spans="1:9" ht="13.5" thickBot="1" x14ac:dyDescent="0.25"/>
    <row r="49" spans="3:6" ht="30.75" customHeight="1" thickBot="1" x14ac:dyDescent="0.25">
      <c r="C49" s="82" t="s">
        <v>167</v>
      </c>
      <c r="D49" s="83"/>
      <c r="E49" s="84"/>
    </row>
    <row r="50" spans="3:6" ht="30.75" customHeight="1" thickBot="1" x14ac:dyDescent="0.25">
      <c r="C50" s="82" t="s">
        <v>166</v>
      </c>
      <c r="D50" s="83"/>
      <c r="E50" s="84"/>
    </row>
    <row r="51" spans="3:6" ht="29.25" customHeight="1" thickBot="1" x14ac:dyDescent="0.25">
      <c r="C51" s="82" t="s">
        <v>165</v>
      </c>
      <c r="D51" s="83"/>
      <c r="E51" s="84"/>
    </row>
    <row r="52" spans="3:6" ht="13.5" thickBot="1" x14ac:dyDescent="0.25"/>
    <row r="53" spans="3:6" x14ac:dyDescent="0.2">
      <c r="C53" s="42" t="s">
        <v>174</v>
      </c>
      <c r="D53" s="43"/>
      <c r="E53" s="43"/>
      <c r="F53" s="44"/>
    </row>
    <row r="54" spans="3:6" ht="5.25" customHeight="1" x14ac:dyDescent="0.2">
      <c r="C54" s="45"/>
      <c r="D54" s="46"/>
      <c r="E54" s="46"/>
      <c r="F54" s="47"/>
    </row>
    <row r="55" spans="3:6" x14ac:dyDescent="0.2">
      <c r="C55" s="48" t="s">
        <v>14</v>
      </c>
      <c r="D55" s="46"/>
      <c r="E55" s="46"/>
      <c r="F55" s="47"/>
    </row>
    <row r="56" spans="3:6" ht="41.25" customHeight="1" x14ac:dyDescent="0.2">
      <c r="C56" s="48"/>
      <c r="D56" s="80" t="s">
        <v>192</v>
      </c>
      <c r="E56" s="80"/>
      <c r="F56" s="80"/>
    </row>
    <row r="57" spans="3:6" x14ac:dyDescent="0.2">
      <c r="C57" s="48" t="s">
        <v>15</v>
      </c>
      <c r="D57" s="46"/>
      <c r="E57" s="46"/>
      <c r="F57" s="47"/>
    </row>
    <row r="58" spans="3:6" x14ac:dyDescent="0.2">
      <c r="C58" s="49"/>
      <c r="D58" s="81"/>
      <c r="E58" s="81"/>
      <c r="F58" s="81"/>
    </row>
    <row r="59" spans="3:6" x14ac:dyDescent="0.2">
      <c r="C59" s="49"/>
      <c r="D59" s="81"/>
      <c r="E59" s="81"/>
      <c r="F59" s="81"/>
    </row>
    <row r="60" spans="3:6" x14ac:dyDescent="0.2">
      <c r="C60" s="48" t="s">
        <v>16</v>
      </c>
      <c r="D60" s="46"/>
      <c r="E60" s="46"/>
      <c r="F60" s="47"/>
    </row>
    <row r="61" spans="3:6" ht="26.25" customHeight="1" x14ac:dyDescent="0.2">
      <c r="C61" s="49"/>
      <c r="D61" s="80"/>
      <c r="E61" s="80"/>
      <c r="F61" s="80"/>
    </row>
    <row r="62" spans="3:6" x14ac:dyDescent="0.2">
      <c r="C62" s="48" t="s">
        <v>17</v>
      </c>
      <c r="D62" s="50"/>
      <c r="E62" s="50"/>
      <c r="F62" s="51"/>
    </row>
    <row r="63" spans="3:6" ht="26.25" customHeight="1" x14ac:dyDescent="0.2">
      <c r="C63" s="49"/>
      <c r="D63" s="80"/>
      <c r="E63" s="80"/>
      <c r="F63" s="80"/>
    </row>
    <row r="64" spans="3:6" x14ac:dyDescent="0.2">
      <c r="C64" s="48" t="s">
        <v>18</v>
      </c>
      <c r="D64" s="46"/>
      <c r="E64" s="46"/>
      <c r="F64" s="47"/>
    </row>
    <row r="65" spans="3:6" ht="23.25" customHeight="1" x14ac:dyDescent="0.2">
      <c r="C65" s="48"/>
      <c r="D65" s="81"/>
      <c r="E65" s="81"/>
      <c r="F65" s="81"/>
    </row>
    <row r="66" spans="3:6" ht="13.5" thickBot="1" x14ac:dyDescent="0.25">
      <c r="C66" s="52"/>
      <c r="D66" s="53"/>
      <c r="E66" s="53"/>
      <c r="F66" s="54"/>
    </row>
    <row r="67" spans="3:6" ht="13.5" thickBot="1" x14ac:dyDescent="0.25"/>
    <row r="68" spans="3:6" x14ac:dyDescent="0.2">
      <c r="C68" s="42" t="s">
        <v>175</v>
      </c>
      <c r="D68" s="43"/>
      <c r="E68" s="43"/>
      <c r="F68" s="44"/>
    </row>
    <row r="69" spans="3:6" ht="7.5" customHeight="1" x14ac:dyDescent="0.2">
      <c r="C69" s="45"/>
      <c r="D69" s="46"/>
      <c r="E69" s="46"/>
      <c r="F69" s="47"/>
    </row>
    <row r="70" spans="3:6" x14ac:dyDescent="0.2">
      <c r="C70" s="48" t="s">
        <v>14</v>
      </c>
      <c r="D70" s="46"/>
      <c r="E70" s="46"/>
      <c r="F70" s="47"/>
    </row>
    <row r="71" spans="3:6" ht="39" customHeight="1" x14ac:dyDescent="0.2">
      <c r="C71" s="48"/>
      <c r="D71" s="80" t="s">
        <v>193</v>
      </c>
      <c r="E71" s="80"/>
      <c r="F71" s="80"/>
    </row>
    <row r="72" spans="3:6" x14ac:dyDescent="0.2">
      <c r="C72" s="48" t="s">
        <v>15</v>
      </c>
      <c r="D72" s="46"/>
      <c r="E72" s="46"/>
      <c r="F72" s="47"/>
    </row>
    <row r="73" spans="3:6" x14ac:dyDescent="0.2">
      <c r="C73" s="49"/>
      <c r="D73" s="81"/>
      <c r="E73" s="81"/>
      <c r="F73" s="81"/>
    </row>
    <row r="74" spans="3:6" x14ac:dyDescent="0.2">
      <c r="C74" s="49"/>
      <c r="D74" s="81"/>
      <c r="E74" s="81"/>
      <c r="F74" s="81"/>
    </row>
    <row r="75" spans="3:6" x14ac:dyDescent="0.2">
      <c r="C75" s="48" t="s">
        <v>16</v>
      </c>
      <c r="D75" s="46"/>
      <c r="E75" s="46"/>
      <c r="F75" s="47"/>
    </row>
    <row r="76" spans="3:6" x14ac:dyDescent="0.2">
      <c r="C76" s="49"/>
      <c r="D76" s="80"/>
      <c r="E76" s="80"/>
      <c r="F76" s="80"/>
    </row>
    <row r="77" spans="3:6" x14ac:dyDescent="0.2">
      <c r="C77" s="48" t="s">
        <v>17</v>
      </c>
      <c r="D77" s="50"/>
      <c r="E77" s="50"/>
      <c r="F77" s="51"/>
    </row>
    <row r="78" spans="3:6" x14ac:dyDescent="0.2">
      <c r="C78" s="49"/>
      <c r="D78" s="80"/>
      <c r="E78" s="80"/>
      <c r="F78" s="80"/>
    </row>
    <row r="79" spans="3:6" x14ac:dyDescent="0.2">
      <c r="C79" s="48" t="s">
        <v>18</v>
      </c>
      <c r="D79" s="46"/>
      <c r="E79" s="46"/>
      <c r="F79" s="47"/>
    </row>
    <row r="80" spans="3:6" x14ac:dyDescent="0.2">
      <c r="C80" s="48"/>
      <c r="D80" s="81"/>
      <c r="E80" s="81"/>
      <c r="F80" s="81"/>
    </row>
    <row r="81" spans="3:6" ht="13.5" thickBot="1" x14ac:dyDescent="0.25">
      <c r="C81" s="52"/>
      <c r="D81" s="53"/>
      <c r="E81" s="53"/>
      <c r="F81" s="54"/>
    </row>
    <row r="82" spans="3:6" ht="13.5" thickBot="1" x14ac:dyDescent="0.25"/>
    <row r="83" spans="3:6" x14ac:dyDescent="0.2">
      <c r="C83" s="42" t="s">
        <v>144</v>
      </c>
      <c r="D83" s="43"/>
      <c r="E83" s="43"/>
      <c r="F83" s="44"/>
    </row>
    <row r="84" spans="3:6" ht="5.25" customHeight="1" x14ac:dyDescent="0.2">
      <c r="C84" s="45"/>
      <c r="D84" s="46"/>
      <c r="E84" s="46"/>
      <c r="F84" s="47"/>
    </row>
    <row r="85" spans="3:6" x14ac:dyDescent="0.2">
      <c r="C85" s="48" t="s">
        <v>14</v>
      </c>
      <c r="D85" s="46"/>
      <c r="E85" s="46"/>
      <c r="F85" s="47"/>
    </row>
    <row r="86" spans="3:6" ht="41.25" customHeight="1" x14ac:dyDescent="0.2">
      <c r="C86" s="48"/>
      <c r="D86" s="80" t="s">
        <v>194</v>
      </c>
      <c r="E86" s="80"/>
      <c r="F86" s="80"/>
    </row>
    <row r="87" spans="3:6" x14ac:dyDescent="0.2">
      <c r="C87" s="48" t="s">
        <v>15</v>
      </c>
      <c r="D87" s="46"/>
      <c r="E87" s="46"/>
      <c r="F87" s="47"/>
    </row>
    <row r="88" spans="3:6" x14ac:dyDescent="0.2">
      <c r="C88" s="49"/>
      <c r="D88" s="81"/>
      <c r="E88" s="81"/>
      <c r="F88" s="81"/>
    </row>
    <row r="89" spans="3:6" x14ac:dyDescent="0.2">
      <c r="C89" s="49"/>
      <c r="D89" s="81"/>
      <c r="E89" s="81"/>
      <c r="F89" s="81"/>
    </row>
    <row r="90" spans="3:6" x14ac:dyDescent="0.2">
      <c r="C90" s="48" t="s">
        <v>16</v>
      </c>
      <c r="D90" s="46"/>
      <c r="E90" s="46"/>
      <c r="F90" s="47"/>
    </row>
    <row r="91" spans="3:6" ht="26.25" customHeight="1" x14ac:dyDescent="0.2">
      <c r="C91" s="49"/>
      <c r="D91" s="80"/>
      <c r="E91" s="80"/>
      <c r="F91" s="80"/>
    </row>
    <row r="92" spans="3:6" x14ac:dyDescent="0.2">
      <c r="C92" s="48" t="s">
        <v>17</v>
      </c>
      <c r="D92" s="50"/>
      <c r="E92" s="50"/>
      <c r="F92" s="51"/>
    </row>
    <row r="93" spans="3:6" ht="26.25" customHeight="1" x14ac:dyDescent="0.2">
      <c r="C93" s="49"/>
      <c r="D93" s="80"/>
      <c r="E93" s="80"/>
      <c r="F93" s="80"/>
    </row>
    <row r="94" spans="3:6" x14ac:dyDescent="0.2">
      <c r="C94" s="48" t="s">
        <v>18</v>
      </c>
      <c r="D94" s="46"/>
      <c r="E94" s="46"/>
      <c r="F94" s="47"/>
    </row>
    <row r="95" spans="3:6" ht="23.25" customHeight="1" x14ac:dyDescent="0.2">
      <c r="C95" s="48"/>
      <c r="D95" s="81"/>
      <c r="E95" s="81"/>
      <c r="F95" s="81"/>
    </row>
    <row r="96" spans="3:6" ht="13.5" thickBot="1" x14ac:dyDescent="0.25">
      <c r="C96" s="52"/>
      <c r="D96" s="53"/>
      <c r="E96" s="53"/>
      <c r="F96" s="54"/>
    </row>
    <row r="97" spans="3:6" ht="13.5" thickBot="1" x14ac:dyDescent="0.25"/>
    <row r="98" spans="3:6" x14ac:dyDescent="0.2">
      <c r="C98" s="42" t="s">
        <v>145</v>
      </c>
      <c r="D98" s="43"/>
      <c r="E98" s="43"/>
      <c r="F98" s="44"/>
    </row>
    <row r="99" spans="3:6" ht="7.5" customHeight="1" x14ac:dyDescent="0.2">
      <c r="C99" s="45"/>
      <c r="D99" s="46"/>
      <c r="E99" s="46"/>
      <c r="F99" s="47"/>
    </row>
    <row r="100" spans="3:6" x14ac:dyDescent="0.2">
      <c r="C100" s="48" t="s">
        <v>14</v>
      </c>
      <c r="D100" s="46"/>
      <c r="E100" s="46"/>
      <c r="F100" s="47"/>
    </row>
    <row r="101" spans="3:6" ht="39" customHeight="1" x14ac:dyDescent="0.2">
      <c r="C101" s="48"/>
      <c r="D101" s="80" t="s">
        <v>195</v>
      </c>
      <c r="E101" s="80"/>
      <c r="F101" s="80"/>
    </row>
    <row r="102" spans="3:6" x14ac:dyDescent="0.2">
      <c r="C102" s="48" t="s">
        <v>15</v>
      </c>
      <c r="D102" s="46"/>
      <c r="E102" s="46"/>
      <c r="F102" s="47"/>
    </row>
    <row r="103" spans="3:6" x14ac:dyDescent="0.2">
      <c r="C103" s="49"/>
      <c r="D103" s="81"/>
      <c r="E103" s="81"/>
      <c r="F103" s="81"/>
    </row>
    <row r="104" spans="3:6" x14ac:dyDescent="0.2">
      <c r="C104" s="49"/>
      <c r="D104" s="81"/>
      <c r="E104" s="81"/>
      <c r="F104" s="81"/>
    </row>
    <row r="105" spans="3:6" x14ac:dyDescent="0.2">
      <c r="C105" s="48" t="s">
        <v>16</v>
      </c>
      <c r="D105" s="46"/>
      <c r="E105" s="46"/>
      <c r="F105" s="47"/>
    </row>
    <row r="106" spans="3:6" x14ac:dyDescent="0.2">
      <c r="C106" s="49"/>
      <c r="D106" s="80"/>
      <c r="E106" s="80"/>
      <c r="F106" s="80"/>
    </row>
    <row r="107" spans="3:6" x14ac:dyDescent="0.2">
      <c r="C107" s="48" t="s">
        <v>17</v>
      </c>
      <c r="D107" s="50"/>
      <c r="E107" s="50"/>
      <c r="F107" s="51"/>
    </row>
    <row r="108" spans="3:6" x14ac:dyDescent="0.2">
      <c r="C108" s="49"/>
      <c r="D108" s="80"/>
      <c r="E108" s="80"/>
      <c r="F108" s="80"/>
    </row>
    <row r="109" spans="3:6" x14ac:dyDescent="0.2">
      <c r="C109" s="48" t="s">
        <v>18</v>
      </c>
      <c r="D109" s="46"/>
      <c r="E109" s="46"/>
      <c r="F109" s="47"/>
    </row>
    <row r="110" spans="3:6" x14ac:dyDescent="0.2">
      <c r="C110" s="48"/>
      <c r="D110" s="81"/>
      <c r="E110" s="81"/>
      <c r="F110" s="81"/>
    </row>
    <row r="111" spans="3:6" ht="13.5" thickBot="1" x14ac:dyDescent="0.25">
      <c r="C111" s="52"/>
      <c r="D111" s="53"/>
      <c r="E111" s="53"/>
      <c r="F111" s="54"/>
    </row>
    <row r="112" spans="3:6" ht="13.5" thickBot="1" x14ac:dyDescent="0.25"/>
    <row r="113" spans="3:6" x14ac:dyDescent="0.2">
      <c r="C113" s="42" t="s">
        <v>146</v>
      </c>
      <c r="D113" s="43"/>
      <c r="E113" s="43"/>
      <c r="F113" s="44"/>
    </row>
    <row r="114" spans="3:6" x14ac:dyDescent="0.2">
      <c r="C114" s="45"/>
      <c r="D114" s="46"/>
      <c r="E114" s="46"/>
      <c r="F114" s="47"/>
    </row>
    <row r="115" spans="3:6" x14ac:dyDescent="0.2">
      <c r="C115" s="48" t="s">
        <v>14</v>
      </c>
      <c r="D115" s="46"/>
      <c r="E115" s="46"/>
      <c r="F115" s="47"/>
    </row>
    <row r="116" spans="3:6" x14ac:dyDescent="0.2">
      <c r="C116" s="48"/>
      <c r="D116" s="80" t="s">
        <v>209</v>
      </c>
      <c r="E116" s="80"/>
      <c r="F116" s="80"/>
    </row>
    <row r="117" spans="3:6" x14ac:dyDescent="0.2">
      <c r="C117" s="48" t="s">
        <v>15</v>
      </c>
      <c r="D117" s="46"/>
      <c r="E117" s="46"/>
      <c r="F117" s="47"/>
    </row>
    <row r="118" spans="3:6" x14ac:dyDescent="0.2">
      <c r="C118" s="49"/>
      <c r="D118" s="81"/>
      <c r="E118" s="81"/>
      <c r="F118" s="81"/>
    </row>
    <row r="119" spans="3:6" x14ac:dyDescent="0.2">
      <c r="C119" s="49"/>
      <c r="D119" s="81"/>
      <c r="E119" s="81"/>
      <c r="F119" s="81"/>
    </row>
    <row r="120" spans="3:6" x14ac:dyDescent="0.2">
      <c r="C120" s="48" t="s">
        <v>16</v>
      </c>
      <c r="D120" s="46"/>
      <c r="E120" s="46"/>
      <c r="F120" s="47"/>
    </row>
    <row r="121" spans="3:6" x14ac:dyDescent="0.2">
      <c r="C121" s="49"/>
      <c r="D121" s="80"/>
      <c r="E121" s="80"/>
      <c r="F121" s="80"/>
    </row>
    <row r="122" spans="3:6" x14ac:dyDescent="0.2">
      <c r="C122" s="48" t="s">
        <v>17</v>
      </c>
      <c r="D122" s="50"/>
      <c r="E122" s="50"/>
      <c r="F122" s="51"/>
    </row>
    <row r="123" spans="3:6" x14ac:dyDescent="0.2">
      <c r="C123" s="49"/>
      <c r="D123" s="80"/>
      <c r="E123" s="80"/>
      <c r="F123" s="80"/>
    </row>
    <row r="124" spans="3:6" x14ac:dyDescent="0.2">
      <c r="C124" s="48" t="s">
        <v>18</v>
      </c>
      <c r="D124" s="46"/>
      <c r="E124" s="46"/>
      <c r="F124" s="47"/>
    </row>
    <row r="125" spans="3:6" x14ac:dyDescent="0.2">
      <c r="C125" s="48"/>
      <c r="D125" s="81"/>
      <c r="E125" s="81"/>
      <c r="F125" s="81"/>
    </row>
    <row r="126" spans="3:6" ht="13.5" thickBot="1" x14ac:dyDescent="0.25">
      <c r="C126" s="52"/>
      <c r="D126" s="53"/>
      <c r="E126" s="53"/>
      <c r="F126" s="54"/>
    </row>
    <row r="127" spans="3:6" ht="13.5" thickBot="1" x14ac:dyDescent="0.25"/>
    <row r="128" spans="3:6" x14ac:dyDescent="0.2">
      <c r="C128" s="42" t="s">
        <v>176</v>
      </c>
      <c r="D128" s="43"/>
      <c r="E128" s="43"/>
      <c r="F128" s="44"/>
    </row>
    <row r="129" spans="3:6" ht="5.25" customHeight="1" x14ac:dyDescent="0.2">
      <c r="C129" s="45"/>
      <c r="D129" s="46"/>
      <c r="E129" s="46"/>
      <c r="F129" s="47"/>
    </row>
    <row r="130" spans="3:6" x14ac:dyDescent="0.2">
      <c r="C130" s="48" t="s">
        <v>14</v>
      </c>
      <c r="D130" s="46"/>
      <c r="E130" s="46"/>
      <c r="F130" s="47"/>
    </row>
    <row r="131" spans="3:6" ht="41.25" customHeight="1" x14ac:dyDescent="0.2">
      <c r="C131" s="48"/>
      <c r="D131" s="80" t="s">
        <v>210</v>
      </c>
      <c r="E131" s="80"/>
      <c r="F131" s="80"/>
    </row>
    <row r="132" spans="3:6" x14ac:dyDescent="0.2">
      <c r="C132" s="48" t="s">
        <v>15</v>
      </c>
      <c r="D132" s="46"/>
      <c r="E132" s="46"/>
      <c r="F132" s="47"/>
    </row>
    <row r="133" spans="3:6" x14ac:dyDescent="0.2">
      <c r="C133" s="49"/>
      <c r="D133" s="81"/>
      <c r="E133" s="81"/>
      <c r="F133" s="81"/>
    </row>
    <row r="134" spans="3:6" x14ac:dyDescent="0.2">
      <c r="C134" s="49"/>
      <c r="D134" s="81"/>
      <c r="E134" s="81"/>
      <c r="F134" s="81"/>
    </row>
    <row r="135" spans="3:6" x14ac:dyDescent="0.2">
      <c r="C135" s="48" t="s">
        <v>16</v>
      </c>
      <c r="D135" s="46"/>
      <c r="E135" s="46"/>
      <c r="F135" s="47"/>
    </row>
    <row r="136" spans="3:6" ht="26.25" customHeight="1" x14ac:dyDescent="0.2">
      <c r="C136" s="49"/>
      <c r="D136" s="80"/>
      <c r="E136" s="80"/>
      <c r="F136" s="80"/>
    </row>
    <row r="137" spans="3:6" x14ac:dyDescent="0.2">
      <c r="C137" s="48" t="s">
        <v>17</v>
      </c>
      <c r="D137" s="50"/>
      <c r="E137" s="50"/>
      <c r="F137" s="51"/>
    </row>
    <row r="138" spans="3:6" ht="26.25" customHeight="1" x14ac:dyDescent="0.2">
      <c r="C138" s="49"/>
      <c r="D138" s="80"/>
      <c r="E138" s="80"/>
      <c r="F138" s="80"/>
    </row>
    <row r="139" spans="3:6" x14ac:dyDescent="0.2">
      <c r="C139" s="48" t="s">
        <v>18</v>
      </c>
      <c r="D139" s="46"/>
      <c r="E139" s="46"/>
      <c r="F139" s="47"/>
    </row>
    <row r="140" spans="3:6" ht="23.25" customHeight="1" x14ac:dyDescent="0.2">
      <c r="C140" s="48"/>
      <c r="D140" s="81"/>
      <c r="E140" s="81"/>
      <c r="F140" s="81"/>
    </row>
    <row r="141" spans="3:6" ht="13.5" thickBot="1" x14ac:dyDescent="0.25">
      <c r="C141" s="52"/>
      <c r="D141" s="53"/>
      <c r="E141" s="53"/>
      <c r="F141" s="54"/>
    </row>
    <row r="142" spans="3:6" ht="13.5" thickBot="1" x14ac:dyDescent="0.25"/>
    <row r="143" spans="3:6" x14ac:dyDescent="0.2">
      <c r="C143" s="42" t="s">
        <v>177</v>
      </c>
      <c r="D143" s="43"/>
      <c r="E143" s="43"/>
      <c r="F143" s="44"/>
    </row>
    <row r="144" spans="3:6" ht="7.5" customHeight="1" x14ac:dyDescent="0.2">
      <c r="C144" s="45"/>
      <c r="D144" s="46"/>
      <c r="E144" s="46"/>
      <c r="F144" s="47"/>
    </row>
    <row r="145" spans="3:6" x14ac:dyDescent="0.2">
      <c r="C145" s="48" t="s">
        <v>14</v>
      </c>
      <c r="D145" s="46"/>
      <c r="E145" s="46"/>
      <c r="F145" s="47"/>
    </row>
    <row r="146" spans="3:6" ht="39" customHeight="1" x14ac:dyDescent="0.2">
      <c r="C146" s="48"/>
      <c r="D146" s="80" t="s">
        <v>196</v>
      </c>
      <c r="E146" s="80"/>
      <c r="F146" s="80"/>
    </row>
    <row r="147" spans="3:6" x14ac:dyDescent="0.2">
      <c r="C147" s="48" t="s">
        <v>15</v>
      </c>
      <c r="D147" s="46"/>
      <c r="E147" s="46"/>
      <c r="F147" s="47"/>
    </row>
    <row r="148" spans="3:6" x14ac:dyDescent="0.2">
      <c r="C148" s="49"/>
      <c r="D148" s="81"/>
      <c r="E148" s="81"/>
      <c r="F148" s="81"/>
    </row>
    <row r="149" spans="3:6" x14ac:dyDescent="0.2">
      <c r="C149" s="49"/>
      <c r="D149" s="81"/>
      <c r="E149" s="81"/>
      <c r="F149" s="81"/>
    </row>
    <row r="150" spans="3:6" x14ac:dyDescent="0.2">
      <c r="C150" s="48" t="s">
        <v>16</v>
      </c>
      <c r="D150" s="46"/>
      <c r="E150" s="46"/>
      <c r="F150" s="47"/>
    </row>
    <row r="151" spans="3:6" x14ac:dyDescent="0.2">
      <c r="C151" s="49"/>
      <c r="D151" s="80"/>
      <c r="E151" s="80"/>
      <c r="F151" s="80"/>
    </row>
    <row r="152" spans="3:6" x14ac:dyDescent="0.2">
      <c r="C152" s="48" t="s">
        <v>17</v>
      </c>
      <c r="D152" s="50"/>
      <c r="E152" s="50"/>
      <c r="F152" s="51"/>
    </row>
    <row r="153" spans="3:6" x14ac:dyDescent="0.2">
      <c r="C153" s="49"/>
      <c r="D153" s="80"/>
      <c r="E153" s="80"/>
      <c r="F153" s="80"/>
    </row>
    <row r="154" spans="3:6" x14ac:dyDescent="0.2">
      <c r="C154" s="48" t="s">
        <v>18</v>
      </c>
      <c r="D154" s="46"/>
      <c r="E154" s="46"/>
      <c r="F154" s="47"/>
    </row>
    <row r="155" spans="3:6" x14ac:dyDescent="0.2">
      <c r="C155" s="48"/>
      <c r="D155" s="81"/>
      <c r="E155" s="81"/>
      <c r="F155" s="81"/>
    </row>
    <row r="156" spans="3:6" ht="13.5" thickBot="1" x14ac:dyDescent="0.25">
      <c r="C156" s="52"/>
      <c r="D156" s="53"/>
      <c r="E156" s="53"/>
      <c r="F156" s="54"/>
    </row>
    <row r="157" spans="3:6" ht="13.5" thickBot="1" x14ac:dyDescent="0.25"/>
    <row r="158" spans="3:6" x14ac:dyDescent="0.2">
      <c r="C158" s="42" t="s">
        <v>178</v>
      </c>
      <c r="D158" s="43"/>
      <c r="E158" s="43"/>
      <c r="F158" s="44"/>
    </row>
    <row r="159" spans="3:6" x14ac:dyDescent="0.2">
      <c r="C159" s="45"/>
      <c r="D159" s="46"/>
      <c r="E159" s="46"/>
      <c r="F159" s="47"/>
    </row>
    <row r="160" spans="3:6" x14ac:dyDescent="0.2">
      <c r="C160" s="48" t="s">
        <v>14</v>
      </c>
      <c r="D160" s="46"/>
      <c r="E160" s="46"/>
      <c r="F160" s="47"/>
    </row>
    <row r="161" spans="3:6" x14ac:dyDescent="0.2">
      <c r="C161" s="48"/>
      <c r="D161" s="80" t="s">
        <v>197</v>
      </c>
      <c r="E161" s="80"/>
      <c r="F161" s="80"/>
    </row>
    <row r="162" spans="3:6" x14ac:dyDescent="0.2">
      <c r="C162" s="48" t="s">
        <v>15</v>
      </c>
      <c r="D162" s="46"/>
      <c r="E162" s="46"/>
      <c r="F162" s="47"/>
    </row>
    <row r="163" spans="3:6" x14ac:dyDescent="0.2">
      <c r="C163" s="49"/>
      <c r="D163" s="81"/>
      <c r="E163" s="81"/>
      <c r="F163" s="81"/>
    </row>
    <row r="164" spans="3:6" x14ac:dyDescent="0.2">
      <c r="C164" s="49"/>
      <c r="D164" s="81"/>
      <c r="E164" s="81"/>
      <c r="F164" s="81"/>
    </row>
    <row r="165" spans="3:6" x14ac:dyDescent="0.2">
      <c r="C165" s="48" t="s">
        <v>16</v>
      </c>
      <c r="D165" s="46"/>
      <c r="E165" s="46"/>
      <c r="F165" s="47"/>
    </row>
    <row r="166" spans="3:6" x14ac:dyDescent="0.2">
      <c r="C166" s="49"/>
      <c r="D166" s="80"/>
      <c r="E166" s="80"/>
      <c r="F166" s="80"/>
    </row>
    <row r="167" spans="3:6" x14ac:dyDescent="0.2">
      <c r="C167" s="48" t="s">
        <v>17</v>
      </c>
      <c r="D167" s="50"/>
      <c r="E167" s="50"/>
      <c r="F167" s="51"/>
    </row>
    <row r="168" spans="3:6" x14ac:dyDescent="0.2">
      <c r="C168" s="49"/>
      <c r="D168" s="80"/>
      <c r="E168" s="80"/>
      <c r="F168" s="80"/>
    </row>
    <row r="169" spans="3:6" x14ac:dyDescent="0.2">
      <c r="C169" s="48" t="s">
        <v>18</v>
      </c>
      <c r="D169" s="46"/>
      <c r="E169" s="46"/>
      <c r="F169" s="47"/>
    </row>
    <row r="170" spans="3:6" x14ac:dyDescent="0.2">
      <c r="C170" s="48"/>
      <c r="D170" s="81"/>
      <c r="E170" s="81"/>
      <c r="F170" s="81"/>
    </row>
    <row r="171" spans="3:6" ht="13.5" thickBot="1" x14ac:dyDescent="0.25">
      <c r="C171" s="52"/>
      <c r="D171" s="53"/>
      <c r="E171" s="53"/>
      <c r="F171" s="54"/>
    </row>
    <row r="172" spans="3:6" ht="13.5" thickBot="1" x14ac:dyDescent="0.25"/>
    <row r="173" spans="3:6" x14ac:dyDescent="0.2">
      <c r="C173" s="42" t="s">
        <v>147</v>
      </c>
      <c r="D173" s="43"/>
      <c r="E173" s="43"/>
      <c r="F173" s="44"/>
    </row>
    <row r="174" spans="3:6" x14ac:dyDescent="0.2">
      <c r="C174" s="45"/>
      <c r="D174" s="46"/>
      <c r="E174" s="46"/>
      <c r="F174" s="47"/>
    </row>
    <row r="175" spans="3:6" x14ac:dyDescent="0.2">
      <c r="C175" s="48" t="s">
        <v>14</v>
      </c>
      <c r="D175" s="46"/>
      <c r="E175" s="46"/>
      <c r="F175" s="47"/>
    </row>
    <row r="176" spans="3:6" x14ac:dyDescent="0.2">
      <c r="C176" s="48"/>
      <c r="D176" s="80" t="s">
        <v>128</v>
      </c>
      <c r="E176" s="80"/>
      <c r="F176" s="80"/>
    </row>
    <row r="177" spans="3:6" x14ac:dyDescent="0.2">
      <c r="C177" s="48" t="s">
        <v>15</v>
      </c>
      <c r="D177" s="46"/>
      <c r="E177" s="46"/>
      <c r="F177" s="47"/>
    </row>
    <row r="178" spans="3:6" x14ac:dyDescent="0.2">
      <c r="C178" s="49"/>
      <c r="D178" s="81"/>
      <c r="E178" s="81"/>
      <c r="F178" s="81"/>
    </row>
    <row r="179" spans="3:6" x14ac:dyDescent="0.2">
      <c r="C179" s="49"/>
      <c r="D179" s="81"/>
      <c r="E179" s="81"/>
      <c r="F179" s="81"/>
    </row>
    <row r="180" spans="3:6" x14ac:dyDescent="0.2">
      <c r="C180" s="48" t="s">
        <v>16</v>
      </c>
      <c r="D180" s="46"/>
      <c r="E180" s="46"/>
      <c r="F180" s="47"/>
    </row>
    <row r="181" spans="3:6" x14ac:dyDescent="0.2">
      <c r="C181" s="49"/>
      <c r="D181" s="80"/>
      <c r="E181" s="80"/>
      <c r="F181" s="80"/>
    </row>
    <row r="182" spans="3:6" x14ac:dyDescent="0.2">
      <c r="C182" s="48" t="s">
        <v>17</v>
      </c>
      <c r="D182" s="50"/>
      <c r="E182" s="50"/>
      <c r="F182" s="51"/>
    </row>
    <row r="183" spans="3:6" x14ac:dyDescent="0.2">
      <c r="C183" s="49"/>
      <c r="D183" s="80"/>
      <c r="E183" s="80"/>
      <c r="F183" s="80"/>
    </row>
    <row r="184" spans="3:6" x14ac:dyDescent="0.2">
      <c r="C184" s="48" t="s">
        <v>18</v>
      </c>
      <c r="D184" s="46"/>
      <c r="E184" s="46"/>
      <c r="F184" s="47"/>
    </row>
    <row r="185" spans="3:6" x14ac:dyDescent="0.2">
      <c r="C185" s="48"/>
      <c r="D185" s="81"/>
      <c r="E185" s="81"/>
      <c r="F185" s="81"/>
    </row>
    <row r="186" spans="3:6" ht="13.5" thickBot="1" x14ac:dyDescent="0.25">
      <c r="C186" s="52"/>
      <c r="D186" s="53"/>
      <c r="E186" s="53"/>
      <c r="F186" s="54"/>
    </row>
    <row r="187" spans="3:6" ht="13.5" thickBot="1" x14ac:dyDescent="0.25"/>
    <row r="188" spans="3:6" x14ac:dyDescent="0.2">
      <c r="C188" s="42" t="s">
        <v>148</v>
      </c>
      <c r="D188" s="43"/>
      <c r="E188" s="43"/>
      <c r="F188" s="44"/>
    </row>
    <row r="189" spans="3:6" x14ac:dyDescent="0.2">
      <c r="C189" s="45"/>
      <c r="D189" s="46"/>
      <c r="E189" s="46"/>
      <c r="F189" s="47"/>
    </row>
    <row r="190" spans="3:6" x14ac:dyDescent="0.2">
      <c r="C190" s="48" t="s">
        <v>14</v>
      </c>
      <c r="D190" s="46"/>
      <c r="E190" s="46"/>
      <c r="F190" s="47"/>
    </row>
    <row r="191" spans="3:6" x14ac:dyDescent="0.2">
      <c r="C191" s="48"/>
      <c r="D191" s="80" t="s">
        <v>129</v>
      </c>
      <c r="E191" s="80"/>
      <c r="F191" s="80"/>
    </row>
    <row r="192" spans="3:6" x14ac:dyDescent="0.2">
      <c r="C192" s="48" t="s">
        <v>15</v>
      </c>
      <c r="D192" s="46"/>
      <c r="E192" s="46"/>
      <c r="F192" s="47"/>
    </row>
    <row r="193" spans="3:6" x14ac:dyDescent="0.2">
      <c r="C193" s="49"/>
      <c r="D193" s="81"/>
      <c r="E193" s="81"/>
      <c r="F193" s="81"/>
    </row>
    <row r="194" spans="3:6" x14ac:dyDescent="0.2">
      <c r="C194" s="49"/>
      <c r="D194" s="81"/>
      <c r="E194" s="81"/>
      <c r="F194" s="81"/>
    </row>
    <row r="195" spans="3:6" x14ac:dyDescent="0.2">
      <c r="C195" s="48" t="s">
        <v>16</v>
      </c>
      <c r="D195" s="46"/>
      <c r="E195" s="46"/>
      <c r="F195" s="47"/>
    </row>
    <row r="196" spans="3:6" x14ac:dyDescent="0.2">
      <c r="C196" s="49"/>
      <c r="D196" s="80"/>
      <c r="E196" s="80"/>
      <c r="F196" s="80"/>
    </row>
    <row r="197" spans="3:6" x14ac:dyDescent="0.2">
      <c r="C197" s="48" t="s">
        <v>17</v>
      </c>
      <c r="D197" s="50"/>
      <c r="E197" s="50"/>
      <c r="F197" s="51"/>
    </row>
    <row r="198" spans="3:6" x14ac:dyDescent="0.2">
      <c r="C198" s="49"/>
      <c r="D198" s="80"/>
      <c r="E198" s="80"/>
      <c r="F198" s="80"/>
    </row>
    <row r="199" spans="3:6" x14ac:dyDescent="0.2">
      <c r="C199" s="48" t="s">
        <v>18</v>
      </c>
      <c r="D199" s="46"/>
      <c r="E199" s="46"/>
      <c r="F199" s="47"/>
    </row>
    <row r="200" spans="3:6" x14ac:dyDescent="0.2">
      <c r="C200" s="48"/>
      <c r="D200" s="81"/>
      <c r="E200" s="81"/>
      <c r="F200" s="81"/>
    </row>
    <row r="201" spans="3:6" ht="13.5" thickBot="1" x14ac:dyDescent="0.25">
      <c r="C201" s="52"/>
      <c r="D201" s="53"/>
      <c r="E201" s="53"/>
      <c r="F201" s="54"/>
    </row>
    <row r="202" spans="3:6" ht="13.5" thickBot="1" x14ac:dyDescent="0.25"/>
    <row r="203" spans="3:6" x14ac:dyDescent="0.2">
      <c r="C203" s="42" t="s">
        <v>179</v>
      </c>
      <c r="D203" s="43"/>
      <c r="E203" s="43"/>
      <c r="F203" s="44"/>
    </row>
    <row r="204" spans="3:6" x14ac:dyDescent="0.2">
      <c r="C204" s="45"/>
      <c r="D204" s="46"/>
      <c r="E204" s="46"/>
      <c r="F204" s="47"/>
    </row>
    <row r="205" spans="3:6" x14ac:dyDescent="0.2">
      <c r="C205" s="48" t="s">
        <v>14</v>
      </c>
      <c r="D205" s="46"/>
      <c r="E205" s="46"/>
      <c r="F205" s="47"/>
    </row>
    <row r="206" spans="3:6" x14ac:dyDescent="0.2">
      <c r="C206" s="48"/>
      <c r="D206" s="80" t="s">
        <v>198</v>
      </c>
      <c r="E206" s="80"/>
      <c r="F206" s="80"/>
    </row>
    <row r="207" spans="3:6" x14ac:dyDescent="0.2">
      <c r="C207" s="48" t="s">
        <v>15</v>
      </c>
      <c r="D207" s="46"/>
      <c r="E207" s="46"/>
      <c r="F207" s="47"/>
    </row>
    <row r="208" spans="3:6" x14ac:dyDescent="0.2">
      <c r="C208" s="49"/>
      <c r="D208" s="81"/>
      <c r="E208" s="81"/>
      <c r="F208" s="81"/>
    </row>
    <row r="209" spans="3:6" x14ac:dyDescent="0.2">
      <c r="C209" s="49"/>
      <c r="D209" s="81"/>
      <c r="E209" s="81"/>
      <c r="F209" s="81"/>
    </row>
    <row r="210" spans="3:6" x14ac:dyDescent="0.2">
      <c r="C210" s="48" t="s">
        <v>16</v>
      </c>
      <c r="D210" s="46"/>
      <c r="E210" s="46"/>
      <c r="F210" s="47"/>
    </row>
    <row r="211" spans="3:6" x14ac:dyDescent="0.2">
      <c r="C211" s="49"/>
      <c r="D211" s="80"/>
      <c r="E211" s="80"/>
      <c r="F211" s="80"/>
    </row>
    <row r="212" spans="3:6" x14ac:dyDescent="0.2">
      <c r="C212" s="48" t="s">
        <v>17</v>
      </c>
      <c r="D212" s="50"/>
      <c r="E212" s="50"/>
      <c r="F212" s="51"/>
    </row>
    <row r="213" spans="3:6" x14ac:dyDescent="0.2">
      <c r="C213" s="49"/>
      <c r="D213" s="80"/>
      <c r="E213" s="80"/>
      <c r="F213" s="80"/>
    </row>
    <row r="214" spans="3:6" x14ac:dyDescent="0.2">
      <c r="C214" s="48" t="s">
        <v>18</v>
      </c>
      <c r="D214" s="46"/>
      <c r="E214" s="46"/>
      <c r="F214" s="47"/>
    </row>
    <row r="215" spans="3:6" x14ac:dyDescent="0.2">
      <c r="C215" s="48"/>
      <c r="D215" s="81"/>
      <c r="E215" s="81"/>
      <c r="F215" s="81"/>
    </row>
    <row r="216" spans="3:6" ht="13.5" thickBot="1" x14ac:dyDescent="0.25">
      <c r="C216" s="52"/>
      <c r="D216" s="53"/>
      <c r="E216" s="53"/>
      <c r="F216" s="54"/>
    </row>
    <row r="217" spans="3:6" ht="13.5" thickBot="1" x14ac:dyDescent="0.25"/>
    <row r="218" spans="3:6" x14ac:dyDescent="0.2">
      <c r="C218" s="42" t="s">
        <v>149</v>
      </c>
      <c r="D218" s="43"/>
      <c r="E218" s="43"/>
      <c r="F218" s="44"/>
    </row>
    <row r="219" spans="3:6" x14ac:dyDescent="0.2">
      <c r="C219" s="45"/>
      <c r="D219" s="46"/>
      <c r="E219" s="46"/>
      <c r="F219" s="47"/>
    </row>
    <row r="220" spans="3:6" x14ac:dyDescent="0.2">
      <c r="C220" s="48" t="s">
        <v>14</v>
      </c>
      <c r="D220" s="46"/>
      <c r="E220" s="46"/>
      <c r="F220" s="47"/>
    </row>
    <row r="221" spans="3:6" x14ac:dyDescent="0.2">
      <c r="C221" s="48"/>
      <c r="D221" s="80" t="s">
        <v>199</v>
      </c>
      <c r="E221" s="80"/>
      <c r="F221" s="80"/>
    </row>
    <row r="222" spans="3:6" x14ac:dyDescent="0.2">
      <c r="C222" s="48" t="s">
        <v>15</v>
      </c>
      <c r="D222" s="46"/>
      <c r="E222" s="46"/>
      <c r="F222" s="47"/>
    </row>
    <row r="223" spans="3:6" x14ac:dyDescent="0.2">
      <c r="C223" s="49"/>
      <c r="D223" s="81"/>
      <c r="E223" s="81"/>
      <c r="F223" s="81"/>
    </row>
    <row r="224" spans="3:6" x14ac:dyDescent="0.2">
      <c r="C224" s="49"/>
      <c r="D224" s="81"/>
      <c r="E224" s="81"/>
      <c r="F224" s="81"/>
    </row>
    <row r="225" spans="3:6" x14ac:dyDescent="0.2">
      <c r="C225" s="48" t="s">
        <v>16</v>
      </c>
      <c r="D225" s="46"/>
      <c r="E225" s="46"/>
      <c r="F225" s="47"/>
    </row>
    <row r="226" spans="3:6" x14ac:dyDescent="0.2">
      <c r="C226" s="49"/>
      <c r="D226" s="80"/>
      <c r="E226" s="80"/>
      <c r="F226" s="80"/>
    </row>
    <row r="227" spans="3:6" x14ac:dyDescent="0.2">
      <c r="C227" s="48" t="s">
        <v>17</v>
      </c>
      <c r="D227" s="50"/>
      <c r="E227" s="50"/>
      <c r="F227" s="51"/>
    </row>
    <row r="228" spans="3:6" x14ac:dyDescent="0.2">
      <c r="C228" s="49"/>
      <c r="D228" s="80"/>
      <c r="E228" s="80"/>
      <c r="F228" s="80"/>
    </row>
    <row r="229" spans="3:6" x14ac:dyDescent="0.2">
      <c r="C229" s="48" t="s">
        <v>18</v>
      </c>
      <c r="D229" s="46"/>
      <c r="E229" s="46"/>
      <c r="F229" s="47"/>
    </row>
    <row r="230" spans="3:6" x14ac:dyDescent="0.2">
      <c r="C230" s="48"/>
      <c r="D230" s="81"/>
      <c r="E230" s="81"/>
      <c r="F230" s="81"/>
    </row>
    <row r="231" spans="3:6" ht="13.5" thickBot="1" x14ac:dyDescent="0.25">
      <c r="C231" s="52"/>
      <c r="D231" s="53"/>
      <c r="E231" s="53"/>
      <c r="F231" s="54"/>
    </row>
    <row r="232" spans="3:6" ht="13.5" thickBot="1" x14ac:dyDescent="0.25"/>
    <row r="233" spans="3:6" x14ac:dyDescent="0.2">
      <c r="C233" s="42" t="s">
        <v>150</v>
      </c>
      <c r="D233" s="43"/>
      <c r="E233" s="43"/>
      <c r="F233" s="44"/>
    </row>
    <row r="234" spans="3:6" x14ac:dyDescent="0.2">
      <c r="C234" s="45"/>
      <c r="D234" s="46"/>
      <c r="E234" s="46"/>
      <c r="F234" s="47"/>
    </row>
    <row r="235" spans="3:6" x14ac:dyDescent="0.2">
      <c r="C235" s="48" t="s">
        <v>14</v>
      </c>
      <c r="D235" s="46"/>
      <c r="E235" s="46"/>
      <c r="F235" s="47"/>
    </row>
    <row r="236" spans="3:6" x14ac:dyDescent="0.2">
      <c r="C236" s="48"/>
      <c r="D236" s="80" t="s">
        <v>130</v>
      </c>
      <c r="E236" s="80"/>
      <c r="F236" s="80"/>
    </row>
    <row r="237" spans="3:6" x14ac:dyDescent="0.2">
      <c r="C237" s="48" t="s">
        <v>15</v>
      </c>
      <c r="D237" s="46"/>
      <c r="E237" s="46"/>
      <c r="F237" s="47"/>
    </row>
    <row r="238" spans="3:6" x14ac:dyDescent="0.2">
      <c r="C238" s="49"/>
      <c r="D238" s="81"/>
      <c r="E238" s="81"/>
      <c r="F238" s="81"/>
    </row>
    <row r="239" spans="3:6" x14ac:dyDescent="0.2">
      <c r="C239" s="49"/>
      <c r="D239" s="81"/>
      <c r="E239" s="81"/>
      <c r="F239" s="81"/>
    </row>
    <row r="240" spans="3:6" x14ac:dyDescent="0.2">
      <c r="C240" s="48" t="s">
        <v>16</v>
      </c>
      <c r="D240" s="46"/>
      <c r="E240" s="46"/>
      <c r="F240" s="47"/>
    </row>
    <row r="241" spans="3:6" x14ac:dyDescent="0.2">
      <c r="C241" s="49"/>
      <c r="D241" s="80"/>
      <c r="E241" s="80"/>
      <c r="F241" s="80"/>
    </row>
    <row r="242" spans="3:6" x14ac:dyDescent="0.2">
      <c r="C242" s="48" t="s">
        <v>17</v>
      </c>
      <c r="D242" s="50"/>
      <c r="E242" s="50"/>
      <c r="F242" s="51"/>
    </row>
    <row r="243" spans="3:6" x14ac:dyDescent="0.2">
      <c r="C243" s="49"/>
      <c r="D243" s="80"/>
      <c r="E243" s="80"/>
      <c r="F243" s="80"/>
    </row>
    <row r="244" spans="3:6" x14ac:dyDescent="0.2">
      <c r="C244" s="48" t="s">
        <v>18</v>
      </c>
      <c r="D244" s="46"/>
      <c r="E244" s="46"/>
      <c r="F244" s="47"/>
    </row>
    <row r="245" spans="3:6" x14ac:dyDescent="0.2">
      <c r="C245" s="48"/>
      <c r="D245" s="81"/>
      <c r="E245" s="81"/>
      <c r="F245" s="81"/>
    </row>
    <row r="246" spans="3:6" ht="13.5" thickBot="1" x14ac:dyDescent="0.25">
      <c r="C246" s="52"/>
      <c r="D246" s="53"/>
      <c r="E246" s="53"/>
      <c r="F246" s="54"/>
    </row>
    <row r="247" spans="3:6" ht="13.5" thickBot="1" x14ac:dyDescent="0.25"/>
    <row r="248" spans="3:6" x14ac:dyDescent="0.2">
      <c r="C248" s="42" t="s">
        <v>181</v>
      </c>
      <c r="D248" s="43"/>
      <c r="E248" s="43"/>
      <c r="F248" s="44"/>
    </row>
    <row r="249" spans="3:6" x14ac:dyDescent="0.2">
      <c r="C249" s="45"/>
      <c r="D249" s="46"/>
      <c r="E249" s="46"/>
      <c r="F249" s="47"/>
    </row>
    <row r="250" spans="3:6" x14ac:dyDescent="0.2">
      <c r="C250" s="48" t="s">
        <v>14</v>
      </c>
      <c r="D250" s="46"/>
      <c r="E250" s="46"/>
      <c r="F250" s="47"/>
    </row>
    <row r="251" spans="3:6" x14ac:dyDescent="0.2">
      <c r="C251" s="48"/>
      <c r="D251" s="80" t="s">
        <v>200</v>
      </c>
      <c r="E251" s="80"/>
      <c r="F251" s="80"/>
    </row>
    <row r="252" spans="3:6" x14ac:dyDescent="0.2">
      <c r="C252" s="48" t="s">
        <v>15</v>
      </c>
      <c r="D252" s="46"/>
      <c r="E252" s="46"/>
      <c r="F252" s="47"/>
    </row>
    <row r="253" spans="3:6" x14ac:dyDescent="0.2">
      <c r="C253" s="49"/>
      <c r="D253" s="81"/>
      <c r="E253" s="81"/>
      <c r="F253" s="81"/>
    </row>
    <row r="254" spans="3:6" x14ac:dyDescent="0.2">
      <c r="C254" s="49"/>
      <c r="D254" s="81"/>
      <c r="E254" s="81"/>
      <c r="F254" s="81"/>
    </row>
    <row r="255" spans="3:6" x14ac:dyDescent="0.2">
      <c r="C255" s="48" t="s">
        <v>16</v>
      </c>
      <c r="D255" s="46"/>
      <c r="E255" s="46"/>
      <c r="F255" s="47"/>
    </row>
    <row r="256" spans="3:6" x14ac:dyDescent="0.2">
      <c r="C256" s="49"/>
      <c r="D256" s="80"/>
      <c r="E256" s="80"/>
      <c r="F256" s="80"/>
    </row>
    <row r="257" spans="3:6" x14ac:dyDescent="0.2">
      <c r="C257" s="48" t="s">
        <v>17</v>
      </c>
      <c r="D257" s="50"/>
      <c r="E257" s="50"/>
      <c r="F257" s="51"/>
    </row>
    <row r="258" spans="3:6" x14ac:dyDescent="0.2">
      <c r="C258" s="49"/>
      <c r="D258" s="80"/>
      <c r="E258" s="80"/>
      <c r="F258" s="80"/>
    </row>
    <row r="259" spans="3:6" x14ac:dyDescent="0.2">
      <c r="C259" s="48" t="s">
        <v>18</v>
      </c>
      <c r="D259" s="46"/>
      <c r="E259" s="46"/>
      <c r="F259" s="47"/>
    </row>
    <row r="260" spans="3:6" x14ac:dyDescent="0.2">
      <c r="C260" s="48"/>
      <c r="D260" s="81"/>
      <c r="E260" s="81"/>
      <c r="F260" s="81"/>
    </row>
    <row r="261" spans="3:6" ht="13.5" thickBot="1" x14ac:dyDescent="0.25">
      <c r="C261" s="52"/>
      <c r="D261" s="53"/>
      <c r="E261" s="53"/>
      <c r="F261" s="54"/>
    </row>
    <row r="262" spans="3:6" ht="13.5" thickBot="1" x14ac:dyDescent="0.25"/>
    <row r="263" spans="3:6" x14ac:dyDescent="0.2">
      <c r="C263" s="42" t="s">
        <v>182</v>
      </c>
      <c r="D263" s="43"/>
      <c r="E263" s="43"/>
      <c r="F263" s="44"/>
    </row>
    <row r="264" spans="3:6" x14ac:dyDescent="0.2">
      <c r="C264" s="45"/>
      <c r="D264" s="46"/>
      <c r="E264" s="46"/>
      <c r="F264" s="47"/>
    </row>
    <row r="265" spans="3:6" x14ac:dyDescent="0.2">
      <c r="C265" s="48" t="s">
        <v>14</v>
      </c>
      <c r="D265" s="46"/>
      <c r="E265" s="46"/>
      <c r="F265" s="47"/>
    </row>
    <row r="266" spans="3:6" x14ac:dyDescent="0.2">
      <c r="C266" s="48"/>
      <c r="D266" s="80" t="s">
        <v>201</v>
      </c>
      <c r="E266" s="80"/>
      <c r="F266" s="80"/>
    </row>
    <row r="267" spans="3:6" x14ac:dyDescent="0.2">
      <c r="C267" s="48" t="s">
        <v>15</v>
      </c>
      <c r="D267" s="46"/>
      <c r="E267" s="46"/>
      <c r="F267" s="47"/>
    </row>
    <row r="268" spans="3:6" x14ac:dyDescent="0.2">
      <c r="C268" s="49"/>
      <c r="D268" s="81"/>
      <c r="E268" s="81"/>
      <c r="F268" s="81"/>
    </row>
    <row r="269" spans="3:6" x14ac:dyDescent="0.2">
      <c r="C269" s="49"/>
      <c r="D269" s="81"/>
      <c r="E269" s="81"/>
      <c r="F269" s="81"/>
    </row>
    <row r="270" spans="3:6" x14ac:dyDescent="0.2">
      <c r="C270" s="48" t="s">
        <v>16</v>
      </c>
      <c r="D270" s="46"/>
      <c r="E270" s="46"/>
      <c r="F270" s="47"/>
    </row>
    <row r="271" spans="3:6" x14ac:dyDescent="0.2">
      <c r="C271" s="49"/>
      <c r="D271" s="80"/>
      <c r="E271" s="80"/>
      <c r="F271" s="80"/>
    </row>
    <row r="272" spans="3:6" x14ac:dyDescent="0.2">
      <c r="C272" s="48" t="s">
        <v>17</v>
      </c>
      <c r="D272" s="50"/>
      <c r="E272" s="50"/>
      <c r="F272" s="51"/>
    </row>
    <row r="273" spans="3:6" x14ac:dyDescent="0.2">
      <c r="C273" s="49"/>
      <c r="D273" s="80"/>
      <c r="E273" s="80"/>
      <c r="F273" s="80"/>
    </row>
    <row r="274" spans="3:6" x14ac:dyDescent="0.2">
      <c r="C274" s="48" t="s">
        <v>18</v>
      </c>
      <c r="D274" s="46"/>
      <c r="E274" s="46"/>
      <c r="F274" s="47"/>
    </row>
    <row r="275" spans="3:6" x14ac:dyDescent="0.2">
      <c r="C275" s="48"/>
      <c r="D275" s="81"/>
      <c r="E275" s="81"/>
      <c r="F275" s="81"/>
    </row>
    <row r="276" spans="3:6" ht="13.5" thickBot="1" x14ac:dyDescent="0.25">
      <c r="C276" s="52"/>
      <c r="D276" s="53"/>
      <c r="E276" s="53"/>
      <c r="F276" s="54"/>
    </row>
    <row r="277" spans="3:6" ht="13.5" thickBot="1" x14ac:dyDescent="0.25"/>
    <row r="278" spans="3:6" x14ac:dyDescent="0.2">
      <c r="C278" s="42" t="s">
        <v>183</v>
      </c>
      <c r="D278" s="43"/>
      <c r="E278" s="43"/>
      <c r="F278" s="44"/>
    </row>
    <row r="279" spans="3:6" x14ac:dyDescent="0.2">
      <c r="C279" s="45"/>
      <c r="D279" s="46"/>
      <c r="E279" s="46"/>
      <c r="F279" s="47"/>
    </row>
    <row r="280" spans="3:6" x14ac:dyDescent="0.2">
      <c r="C280" s="48" t="s">
        <v>14</v>
      </c>
      <c r="D280" s="46"/>
      <c r="E280" s="46"/>
      <c r="F280" s="47"/>
    </row>
    <row r="281" spans="3:6" x14ac:dyDescent="0.2">
      <c r="C281" s="48"/>
      <c r="D281" s="80" t="s">
        <v>202</v>
      </c>
      <c r="E281" s="80"/>
      <c r="F281" s="80"/>
    </row>
    <row r="282" spans="3:6" x14ac:dyDescent="0.2">
      <c r="C282" s="48" t="s">
        <v>15</v>
      </c>
      <c r="D282" s="46"/>
      <c r="E282" s="46"/>
      <c r="F282" s="47"/>
    </row>
    <row r="283" spans="3:6" x14ac:dyDescent="0.2">
      <c r="C283" s="49"/>
      <c r="D283" s="81"/>
      <c r="E283" s="81"/>
      <c r="F283" s="81"/>
    </row>
    <row r="284" spans="3:6" x14ac:dyDescent="0.2">
      <c r="C284" s="49"/>
      <c r="D284" s="81"/>
      <c r="E284" s="81"/>
      <c r="F284" s="81"/>
    </row>
    <row r="285" spans="3:6" x14ac:dyDescent="0.2">
      <c r="C285" s="48" t="s">
        <v>16</v>
      </c>
      <c r="D285" s="46"/>
      <c r="E285" s="46"/>
      <c r="F285" s="47"/>
    </row>
    <row r="286" spans="3:6" x14ac:dyDescent="0.2">
      <c r="C286" s="49"/>
      <c r="D286" s="80"/>
      <c r="E286" s="80"/>
      <c r="F286" s="80"/>
    </row>
    <row r="287" spans="3:6" x14ac:dyDescent="0.2">
      <c r="C287" s="48" t="s">
        <v>17</v>
      </c>
      <c r="D287" s="50"/>
      <c r="E287" s="50"/>
      <c r="F287" s="51"/>
    </row>
    <row r="288" spans="3:6" x14ac:dyDescent="0.2">
      <c r="C288" s="49"/>
      <c r="D288" s="80"/>
      <c r="E288" s="80"/>
      <c r="F288" s="80"/>
    </row>
    <row r="289" spans="3:6" x14ac:dyDescent="0.2">
      <c r="C289" s="48" t="s">
        <v>18</v>
      </c>
      <c r="D289" s="46"/>
      <c r="E289" s="46"/>
      <c r="F289" s="47"/>
    </row>
    <row r="290" spans="3:6" x14ac:dyDescent="0.2">
      <c r="C290" s="48"/>
      <c r="D290" s="81"/>
      <c r="E290" s="81"/>
      <c r="F290" s="81"/>
    </row>
    <row r="291" spans="3:6" ht="13.5" thickBot="1" x14ac:dyDescent="0.25">
      <c r="C291" s="52"/>
      <c r="D291" s="53"/>
      <c r="E291" s="53"/>
      <c r="F291" s="54"/>
    </row>
    <row r="292" spans="3:6" ht="13.5" thickBot="1" x14ac:dyDescent="0.25"/>
    <row r="293" spans="3:6" x14ac:dyDescent="0.2">
      <c r="C293" s="42" t="s">
        <v>184</v>
      </c>
      <c r="D293" s="43"/>
      <c r="E293" s="43"/>
      <c r="F293" s="44"/>
    </row>
    <row r="294" spans="3:6" x14ac:dyDescent="0.2">
      <c r="C294" s="45"/>
      <c r="D294" s="46"/>
      <c r="E294" s="46"/>
      <c r="F294" s="47"/>
    </row>
    <row r="295" spans="3:6" x14ac:dyDescent="0.2">
      <c r="C295" s="48" t="s">
        <v>14</v>
      </c>
      <c r="D295" s="46"/>
      <c r="E295" s="46"/>
      <c r="F295" s="47"/>
    </row>
    <row r="296" spans="3:6" x14ac:dyDescent="0.2">
      <c r="C296" s="48"/>
      <c r="D296" s="80" t="s">
        <v>203</v>
      </c>
      <c r="E296" s="80"/>
      <c r="F296" s="80"/>
    </row>
    <row r="297" spans="3:6" x14ac:dyDescent="0.2">
      <c r="C297" s="48" t="s">
        <v>15</v>
      </c>
      <c r="D297" s="46"/>
      <c r="E297" s="46"/>
      <c r="F297" s="47"/>
    </row>
    <row r="298" spans="3:6" x14ac:dyDescent="0.2">
      <c r="C298" s="49"/>
      <c r="D298" s="81"/>
      <c r="E298" s="81"/>
      <c r="F298" s="81"/>
    </row>
    <row r="299" spans="3:6" x14ac:dyDescent="0.2">
      <c r="C299" s="49"/>
      <c r="D299" s="81"/>
      <c r="E299" s="81"/>
      <c r="F299" s="81"/>
    </row>
    <row r="300" spans="3:6" x14ac:dyDescent="0.2">
      <c r="C300" s="48" t="s">
        <v>16</v>
      </c>
      <c r="D300" s="46"/>
      <c r="E300" s="46"/>
      <c r="F300" s="47"/>
    </row>
    <row r="301" spans="3:6" x14ac:dyDescent="0.2">
      <c r="C301" s="49"/>
      <c r="D301" s="80"/>
      <c r="E301" s="80"/>
      <c r="F301" s="80"/>
    </row>
    <row r="302" spans="3:6" x14ac:dyDescent="0.2">
      <c r="C302" s="48" t="s">
        <v>17</v>
      </c>
      <c r="D302" s="50"/>
      <c r="E302" s="50"/>
      <c r="F302" s="51"/>
    </row>
    <row r="303" spans="3:6" x14ac:dyDescent="0.2">
      <c r="C303" s="49"/>
      <c r="D303" s="80"/>
      <c r="E303" s="80"/>
      <c r="F303" s="80"/>
    </row>
    <row r="304" spans="3:6" x14ac:dyDescent="0.2">
      <c r="C304" s="48" t="s">
        <v>18</v>
      </c>
      <c r="D304" s="46"/>
      <c r="E304" s="46"/>
      <c r="F304" s="47"/>
    </row>
    <row r="305" spans="3:6" x14ac:dyDescent="0.2">
      <c r="C305" s="48"/>
      <c r="D305" s="81"/>
      <c r="E305" s="81"/>
      <c r="F305" s="81"/>
    </row>
    <row r="306" spans="3:6" ht="13.5" thickBot="1" x14ac:dyDescent="0.25">
      <c r="C306" s="52"/>
      <c r="D306" s="53"/>
      <c r="E306" s="53"/>
      <c r="F306" s="54"/>
    </row>
    <row r="307" spans="3:6" ht="13.5" thickBot="1" x14ac:dyDescent="0.25"/>
    <row r="308" spans="3:6" x14ac:dyDescent="0.2">
      <c r="C308" s="42" t="s">
        <v>185</v>
      </c>
      <c r="D308" s="43"/>
      <c r="E308" s="43"/>
      <c r="F308" s="44"/>
    </row>
    <row r="309" spans="3:6" x14ac:dyDescent="0.2">
      <c r="C309" s="45"/>
      <c r="D309" s="46"/>
      <c r="E309" s="46"/>
      <c r="F309" s="47"/>
    </row>
    <row r="310" spans="3:6" x14ac:dyDescent="0.2">
      <c r="C310" s="48" t="s">
        <v>14</v>
      </c>
      <c r="D310" s="46"/>
      <c r="E310" s="46"/>
      <c r="F310" s="47"/>
    </row>
    <row r="311" spans="3:6" x14ac:dyDescent="0.2">
      <c r="C311" s="48"/>
      <c r="D311" s="80" t="s">
        <v>204</v>
      </c>
      <c r="E311" s="80"/>
      <c r="F311" s="80"/>
    </row>
    <row r="312" spans="3:6" x14ac:dyDescent="0.2">
      <c r="C312" s="48" t="s">
        <v>15</v>
      </c>
      <c r="D312" s="46"/>
      <c r="E312" s="46"/>
      <c r="F312" s="47"/>
    </row>
    <row r="313" spans="3:6" x14ac:dyDescent="0.2">
      <c r="C313" s="49"/>
      <c r="D313" s="81"/>
      <c r="E313" s="81"/>
      <c r="F313" s="81"/>
    </row>
    <row r="314" spans="3:6" x14ac:dyDescent="0.2">
      <c r="C314" s="49"/>
      <c r="D314" s="81"/>
      <c r="E314" s="81"/>
      <c r="F314" s="81"/>
    </row>
    <row r="315" spans="3:6" x14ac:dyDescent="0.2">
      <c r="C315" s="48" t="s">
        <v>16</v>
      </c>
      <c r="D315" s="46"/>
      <c r="E315" s="46"/>
      <c r="F315" s="47"/>
    </row>
    <row r="316" spans="3:6" x14ac:dyDescent="0.2">
      <c r="C316" s="49"/>
      <c r="D316" s="80"/>
      <c r="E316" s="80"/>
      <c r="F316" s="80"/>
    </row>
    <row r="317" spans="3:6" x14ac:dyDescent="0.2">
      <c r="C317" s="48" t="s">
        <v>17</v>
      </c>
      <c r="D317" s="50"/>
      <c r="E317" s="50"/>
      <c r="F317" s="51"/>
    </row>
    <row r="318" spans="3:6" x14ac:dyDescent="0.2">
      <c r="C318" s="49"/>
      <c r="D318" s="80"/>
      <c r="E318" s="80"/>
      <c r="F318" s="80"/>
    </row>
    <row r="319" spans="3:6" x14ac:dyDescent="0.2">
      <c r="C319" s="48" t="s">
        <v>18</v>
      </c>
      <c r="D319" s="46"/>
      <c r="E319" s="46"/>
      <c r="F319" s="47"/>
    </row>
    <row r="320" spans="3:6" x14ac:dyDescent="0.2">
      <c r="C320" s="48"/>
      <c r="D320" s="81"/>
      <c r="E320" s="81"/>
      <c r="F320" s="81"/>
    </row>
    <row r="321" spans="3:6" ht="13.5" thickBot="1" x14ac:dyDescent="0.25">
      <c r="C321" s="52"/>
      <c r="D321" s="53"/>
      <c r="E321" s="53"/>
      <c r="F321" s="54"/>
    </row>
    <row r="322" spans="3:6" ht="13.5" thickBot="1" x14ac:dyDescent="0.25"/>
    <row r="323" spans="3:6" x14ac:dyDescent="0.2">
      <c r="C323" s="42" t="s">
        <v>186</v>
      </c>
      <c r="D323" s="43"/>
      <c r="E323" s="43"/>
      <c r="F323" s="44"/>
    </row>
    <row r="324" spans="3:6" x14ac:dyDescent="0.2">
      <c r="C324" s="45"/>
      <c r="D324" s="46"/>
      <c r="E324" s="46"/>
      <c r="F324" s="47"/>
    </row>
    <row r="325" spans="3:6" x14ac:dyDescent="0.2">
      <c r="C325" s="48" t="s">
        <v>14</v>
      </c>
      <c r="D325" s="46"/>
      <c r="E325" s="46"/>
      <c r="F325" s="47"/>
    </row>
    <row r="326" spans="3:6" x14ac:dyDescent="0.2">
      <c r="C326" s="48"/>
      <c r="D326" s="80" t="s">
        <v>205</v>
      </c>
      <c r="E326" s="80"/>
      <c r="F326" s="80"/>
    </row>
    <row r="327" spans="3:6" x14ac:dyDescent="0.2">
      <c r="C327" s="48" t="s">
        <v>15</v>
      </c>
      <c r="D327" s="46"/>
      <c r="E327" s="46"/>
      <c r="F327" s="47"/>
    </row>
    <row r="328" spans="3:6" x14ac:dyDescent="0.2">
      <c r="C328" s="49"/>
      <c r="D328" s="81"/>
      <c r="E328" s="81"/>
      <c r="F328" s="81"/>
    </row>
    <row r="329" spans="3:6" x14ac:dyDescent="0.2">
      <c r="C329" s="49"/>
      <c r="D329" s="81"/>
      <c r="E329" s="81"/>
      <c r="F329" s="81"/>
    </row>
    <row r="330" spans="3:6" x14ac:dyDescent="0.2">
      <c r="C330" s="48" t="s">
        <v>16</v>
      </c>
      <c r="D330" s="46"/>
      <c r="E330" s="46"/>
      <c r="F330" s="47"/>
    </row>
    <row r="331" spans="3:6" x14ac:dyDescent="0.2">
      <c r="C331" s="49"/>
      <c r="D331" s="80"/>
      <c r="E331" s="80"/>
      <c r="F331" s="80"/>
    </row>
    <row r="332" spans="3:6" x14ac:dyDescent="0.2">
      <c r="C332" s="48" t="s">
        <v>17</v>
      </c>
      <c r="D332" s="50"/>
      <c r="E332" s="50"/>
      <c r="F332" s="51"/>
    </row>
    <row r="333" spans="3:6" x14ac:dyDescent="0.2">
      <c r="C333" s="49"/>
      <c r="D333" s="80"/>
      <c r="E333" s="80"/>
      <c r="F333" s="80"/>
    </row>
    <row r="334" spans="3:6" x14ac:dyDescent="0.2">
      <c r="C334" s="48" t="s">
        <v>18</v>
      </c>
      <c r="D334" s="46"/>
      <c r="E334" s="46"/>
      <c r="F334" s="47"/>
    </row>
    <row r="335" spans="3:6" x14ac:dyDescent="0.2">
      <c r="C335" s="48"/>
      <c r="D335" s="81"/>
      <c r="E335" s="81"/>
      <c r="F335" s="81"/>
    </row>
    <row r="336" spans="3:6" ht="13.5" thickBot="1" x14ac:dyDescent="0.25">
      <c r="C336" s="52"/>
      <c r="D336" s="53"/>
      <c r="E336" s="53"/>
      <c r="F336" s="54"/>
    </row>
    <row r="337" spans="3:6" ht="13.5" thickBot="1" x14ac:dyDescent="0.25"/>
    <row r="338" spans="3:6" x14ac:dyDescent="0.2">
      <c r="C338" s="42" t="s">
        <v>187</v>
      </c>
      <c r="D338" s="43"/>
      <c r="E338" s="43"/>
      <c r="F338" s="44"/>
    </row>
    <row r="339" spans="3:6" x14ac:dyDescent="0.2">
      <c r="C339" s="45"/>
      <c r="D339" s="46"/>
      <c r="E339" s="46"/>
      <c r="F339" s="47"/>
    </row>
    <row r="340" spans="3:6" x14ac:dyDescent="0.2">
      <c r="C340" s="48" t="s">
        <v>14</v>
      </c>
      <c r="D340" s="46"/>
      <c r="E340" s="46"/>
      <c r="F340" s="47"/>
    </row>
    <row r="341" spans="3:6" x14ac:dyDescent="0.2">
      <c r="C341" s="48"/>
      <c r="D341" s="80" t="s">
        <v>206</v>
      </c>
      <c r="E341" s="80"/>
      <c r="F341" s="80"/>
    </row>
    <row r="342" spans="3:6" x14ac:dyDescent="0.2">
      <c r="C342" s="48" t="s">
        <v>15</v>
      </c>
      <c r="D342" s="46"/>
      <c r="E342" s="46"/>
      <c r="F342" s="47"/>
    </row>
    <row r="343" spans="3:6" x14ac:dyDescent="0.2">
      <c r="C343" s="49"/>
      <c r="D343" s="81"/>
      <c r="E343" s="81"/>
      <c r="F343" s="81"/>
    </row>
    <row r="344" spans="3:6" x14ac:dyDescent="0.2">
      <c r="C344" s="49"/>
      <c r="D344" s="81"/>
      <c r="E344" s="81"/>
      <c r="F344" s="81"/>
    </row>
    <row r="345" spans="3:6" x14ac:dyDescent="0.2">
      <c r="C345" s="48" t="s">
        <v>16</v>
      </c>
      <c r="D345" s="46"/>
      <c r="E345" s="46"/>
      <c r="F345" s="47"/>
    </row>
    <row r="346" spans="3:6" x14ac:dyDescent="0.2">
      <c r="C346" s="49"/>
      <c r="D346" s="80"/>
      <c r="E346" s="80"/>
      <c r="F346" s="80"/>
    </row>
    <row r="347" spans="3:6" x14ac:dyDescent="0.2">
      <c r="C347" s="48" t="s">
        <v>17</v>
      </c>
      <c r="D347" s="50"/>
      <c r="E347" s="50"/>
      <c r="F347" s="51"/>
    </row>
    <row r="348" spans="3:6" x14ac:dyDescent="0.2">
      <c r="C348" s="49"/>
      <c r="D348" s="80"/>
      <c r="E348" s="80"/>
      <c r="F348" s="80"/>
    </row>
    <row r="349" spans="3:6" x14ac:dyDescent="0.2">
      <c r="C349" s="48" t="s">
        <v>18</v>
      </c>
      <c r="D349" s="46"/>
      <c r="E349" s="46"/>
      <c r="F349" s="47"/>
    </row>
    <row r="350" spans="3:6" x14ac:dyDescent="0.2">
      <c r="C350" s="48"/>
      <c r="D350" s="81"/>
      <c r="E350" s="81"/>
      <c r="F350" s="81"/>
    </row>
    <row r="351" spans="3:6" ht="13.5" thickBot="1" x14ac:dyDescent="0.25">
      <c r="C351" s="52"/>
      <c r="D351" s="53"/>
      <c r="E351" s="53"/>
      <c r="F351" s="54"/>
    </row>
    <row r="352" spans="3:6" ht="13.5" thickBot="1" x14ac:dyDescent="0.25"/>
    <row r="353" spans="3:6" x14ac:dyDescent="0.2">
      <c r="C353" s="42" t="s">
        <v>188</v>
      </c>
      <c r="D353" s="43"/>
      <c r="E353" s="43"/>
      <c r="F353" s="44"/>
    </row>
    <row r="354" spans="3:6" x14ac:dyDescent="0.2">
      <c r="C354" s="45"/>
      <c r="D354" s="46"/>
      <c r="E354" s="46"/>
      <c r="F354" s="47"/>
    </row>
    <row r="355" spans="3:6" x14ac:dyDescent="0.2">
      <c r="C355" s="48" t="s">
        <v>14</v>
      </c>
      <c r="D355" s="46"/>
      <c r="E355" s="46"/>
      <c r="F355" s="47"/>
    </row>
    <row r="356" spans="3:6" x14ac:dyDescent="0.2">
      <c r="C356" s="48"/>
      <c r="D356" s="80" t="s">
        <v>212</v>
      </c>
      <c r="E356" s="80"/>
      <c r="F356" s="80"/>
    </row>
    <row r="357" spans="3:6" x14ac:dyDescent="0.2">
      <c r="C357" s="48" t="s">
        <v>15</v>
      </c>
      <c r="D357" s="46"/>
      <c r="E357" s="46"/>
      <c r="F357" s="47"/>
    </row>
    <row r="358" spans="3:6" x14ac:dyDescent="0.2">
      <c r="C358" s="49"/>
      <c r="D358" s="81"/>
      <c r="E358" s="81"/>
      <c r="F358" s="81"/>
    </row>
    <row r="359" spans="3:6" x14ac:dyDescent="0.2">
      <c r="C359" s="49"/>
      <c r="D359" s="81"/>
      <c r="E359" s="81"/>
      <c r="F359" s="81"/>
    </row>
    <row r="360" spans="3:6" x14ac:dyDescent="0.2">
      <c r="C360" s="48" t="s">
        <v>16</v>
      </c>
      <c r="D360" s="46"/>
      <c r="E360" s="46"/>
      <c r="F360" s="47"/>
    </row>
    <row r="361" spans="3:6" x14ac:dyDescent="0.2">
      <c r="C361" s="49"/>
      <c r="D361" s="80"/>
      <c r="E361" s="80"/>
      <c r="F361" s="80"/>
    </row>
    <row r="362" spans="3:6" x14ac:dyDescent="0.2">
      <c r="C362" s="48" t="s">
        <v>17</v>
      </c>
      <c r="D362" s="50"/>
      <c r="E362" s="50"/>
      <c r="F362" s="51"/>
    </row>
    <row r="363" spans="3:6" x14ac:dyDescent="0.2">
      <c r="C363" s="49"/>
      <c r="D363" s="80"/>
      <c r="E363" s="80"/>
      <c r="F363" s="80"/>
    </row>
    <row r="364" spans="3:6" x14ac:dyDescent="0.2">
      <c r="C364" s="48" t="s">
        <v>18</v>
      </c>
      <c r="D364" s="46"/>
      <c r="E364" s="46"/>
      <c r="F364" s="47"/>
    </row>
    <row r="365" spans="3:6" x14ac:dyDescent="0.2">
      <c r="C365" s="48"/>
      <c r="D365" s="81"/>
      <c r="E365" s="81"/>
      <c r="F365" s="81"/>
    </row>
    <row r="366" spans="3:6" ht="13.5" thickBot="1" x14ac:dyDescent="0.25">
      <c r="C366" s="52"/>
      <c r="D366" s="53"/>
      <c r="E366" s="53"/>
      <c r="F366" s="54"/>
    </row>
    <row r="367" spans="3:6" ht="13.5" thickBot="1" x14ac:dyDescent="0.25"/>
    <row r="368" spans="3:6" x14ac:dyDescent="0.2">
      <c r="C368" s="42" t="s">
        <v>189</v>
      </c>
      <c r="D368" s="43"/>
      <c r="E368" s="43"/>
      <c r="F368" s="44"/>
    </row>
    <row r="369" spans="3:6" x14ac:dyDescent="0.2">
      <c r="C369" s="45"/>
      <c r="D369" s="46"/>
      <c r="E369" s="46"/>
      <c r="F369" s="47"/>
    </row>
    <row r="370" spans="3:6" x14ac:dyDescent="0.2">
      <c r="C370" s="48" t="s">
        <v>14</v>
      </c>
      <c r="D370" s="46"/>
      <c r="E370" s="46"/>
      <c r="F370" s="47"/>
    </row>
    <row r="371" spans="3:6" x14ac:dyDescent="0.2">
      <c r="C371" s="48"/>
      <c r="D371" s="80" t="s">
        <v>212</v>
      </c>
      <c r="E371" s="80"/>
      <c r="F371" s="80"/>
    </row>
    <row r="372" spans="3:6" x14ac:dyDescent="0.2">
      <c r="C372" s="48" t="s">
        <v>15</v>
      </c>
      <c r="D372" s="46"/>
      <c r="E372" s="46"/>
      <c r="F372" s="47"/>
    </row>
    <row r="373" spans="3:6" x14ac:dyDescent="0.2">
      <c r="C373" s="49"/>
      <c r="D373" s="81"/>
      <c r="E373" s="81"/>
      <c r="F373" s="81"/>
    </row>
    <row r="374" spans="3:6" x14ac:dyDescent="0.2">
      <c r="C374" s="49"/>
      <c r="D374" s="81"/>
      <c r="E374" s="81"/>
      <c r="F374" s="81"/>
    </row>
    <row r="375" spans="3:6" x14ac:dyDescent="0.2">
      <c r="C375" s="48" t="s">
        <v>16</v>
      </c>
      <c r="D375" s="46"/>
      <c r="E375" s="46"/>
      <c r="F375" s="47"/>
    </row>
    <row r="376" spans="3:6" x14ac:dyDescent="0.2">
      <c r="C376" s="49"/>
      <c r="D376" s="80"/>
      <c r="E376" s="80"/>
      <c r="F376" s="80"/>
    </row>
    <row r="377" spans="3:6" x14ac:dyDescent="0.2">
      <c r="C377" s="48" t="s">
        <v>17</v>
      </c>
      <c r="D377" s="50"/>
      <c r="E377" s="50"/>
      <c r="F377" s="51"/>
    </row>
    <row r="378" spans="3:6" x14ac:dyDescent="0.2">
      <c r="C378" s="49"/>
      <c r="D378" s="80"/>
      <c r="E378" s="80"/>
      <c r="F378" s="80"/>
    </row>
    <row r="379" spans="3:6" x14ac:dyDescent="0.2">
      <c r="C379" s="48" t="s">
        <v>18</v>
      </c>
      <c r="D379" s="46"/>
      <c r="E379" s="46"/>
      <c r="F379" s="47"/>
    </row>
    <row r="380" spans="3:6" x14ac:dyDescent="0.2">
      <c r="C380" s="48"/>
      <c r="D380" s="81"/>
      <c r="E380" s="81"/>
      <c r="F380" s="81"/>
    </row>
    <row r="381" spans="3:6" ht="13.5" thickBot="1" x14ac:dyDescent="0.25">
      <c r="C381" s="52"/>
      <c r="D381" s="53"/>
      <c r="E381" s="53"/>
      <c r="F381" s="54"/>
    </row>
    <row r="382" spans="3:6" ht="13.5" thickBot="1" x14ac:dyDescent="0.25"/>
    <row r="383" spans="3:6" x14ac:dyDescent="0.2">
      <c r="C383" s="42" t="s">
        <v>190</v>
      </c>
      <c r="D383" s="43"/>
      <c r="E383" s="43"/>
      <c r="F383" s="44"/>
    </row>
    <row r="384" spans="3:6" x14ac:dyDescent="0.2">
      <c r="C384" s="45"/>
      <c r="D384" s="46"/>
      <c r="E384" s="46"/>
      <c r="F384" s="47"/>
    </row>
    <row r="385" spans="3:6" x14ac:dyDescent="0.2">
      <c r="C385" s="48" t="s">
        <v>14</v>
      </c>
      <c r="D385" s="46"/>
      <c r="E385" s="46"/>
      <c r="F385" s="47"/>
    </row>
    <row r="386" spans="3:6" x14ac:dyDescent="0.2">
      <c r="C386" s="48"/>
      <c r="D386" s="80" t="s">
        <v>207</v>
      </c>
      <c r="E386" s="80"/>
      <c r="F386" s="80"/>
    </row>
    <row r="387" spans="3:6" x14ac:dyDescent="0.2">
      <c r="C387" s="48" t="s">
        <v>15</v>
      </c>
      <c r="D387" s="46"/>
      <c r="E387" s="46"/>
      <c r="F387" s="47"/>
    </row>
    <row r="388" spans="3:6" x14ac:dyDescent="0.2">
      <c r="C388" s="49"/>
      <c r="D388" s="81"/>
      <c r="E388" s="81"/>
      <c r="F388" s="81"/>
    </row>
    <row r="389" spans="3:6" x14ac:dyDescent="0.2">
      <c r="C389" s="49"/>
      <c r="D389" s="81"/>
      <c r="E389" s="81"/>
      <c r="F389" s="81"/>
    </row>
    <row r="390" spans="3:6" x14ac:dyDescent="0.2">
      <c r="C390" s="48" t="s">
        <v>16</v>
      </c>
      <c r="D390" s="46"/>
      <c r="E390" s="46"/>
      <c r="F390" s="47"/>
    </row>
    <row r="391" spans="3:6" x14ac:dyDescent="0.2">
      <c r="C391" s="49"/>
      <c r="D391" s="80"/>
      <c r="E391" s="80"/>
      <c r="F391" s="80"/>
    </row>
    <row r="392" spans="3:6" x14ac:dyDescent="0.2">
      <c r="C392" s="48" t="s">
        <v>17</v>
      </c>
      <c r="D392" s="50"/>
      <c r="E392" s="50"/>
      <c r="F392" s="51"/>
    </row>
    <row r="393" spans="3:6" x14ac:dyDescent="0.2">
      <c r="C393" s="49"/>
      <c r="D393" s="80"/>
      <c r="E393" s="80"/>
      <c r="F393" s="80"/>
    </row>
    <row r="394" spans="3:6" x14ac:dyDescent="0.2">
      <c r="C394" s="48" t="s">
        <v>18</v>
      </c>
      <c r="D394" s="46"/>
      <c r="E394" s="46"/>
      <c r="F394" s="47"/>
    </row>
    <row r="395" spans="3:6" x14ac:dyDescent="0.2">
      <c r="C395" s="48"/>
      <c r="D395" s="81"/>
      <c r="E395" s="81"/>
      <c r="F395" s="81"/>
    </row>
    <row r="396" spans="3:6" ht="13.5" thickBot="1" x14ac:dyDescent="0.25">
      <c r="C396" s="52"/>
      <c r="D396" s="53"/>
      <c r="E396" s="53"/>
      <c r="F396" s="54"/>
    </row>
    <row r="397" spans="3:6" ht="13.5" thickBot="1" x14ac:dyDescent="0.25"/>
    <row r="398" spans="3:6" x14ac:dyDescent="0.2">
      <c r="C398" s="42" t="s">
        <v>151</v>
      </c>
      <c r="D398" s="43"/>
      <c r="E398" s="43"/>
      <c r="F398" s="44"/>
    </row>
    <row r="399" spans="3:6" x14ac:dyDescent="0.2">
      <c r="C399" s="45"/>
      <c r="D399" s="46"/>
      <c r="E399" s="46"/>
      <c r="F399" s="47"/>
    </row>
    <row r="400" spans="3:6" x14ac:dyDescent="0.2">
      <c r="C400" s="48" t="s">
        <v>14</v>
      </c>
      <c r="D400" s="46"/>
      <c r="E400" s="46"/>
      <c r="F400" s="47"/>
    </row>
    <row r="401" spans="3:6" x14ac:dyDescent="0.2">
      <c r="C401" s="48"/>
      <c r="D401" s="85" t="s">
        <v>131</v>
      </c>
      <c r="E401" s="85"/>
      <c r="F401" s="80"/>
    </row>
    <row r="402" spans="3:6" x14ac:dyDescent="0.2">
      <c r="C402" s="48" t="s">
        <v>15</v>
      </c>
      <c r="D402" s="46"/>
      <c r="E402" s="46"/>
      <c r="F402" s="47"/>
    </row>
    <row r="403" spans="3:6" x14ac:dyDescent="0.2">
      <c r="C403" s="49"/>
      <c r="D403" s="81"/>
      <c r="E403" s="81"/>
      <c r="F403" s="81"/>
    </row>
    <row r="404" spans="3:6" x14ac:dyDescent="0.2">
      <c r="C404" s="49"/>
      <c r="D404" s="81"/>
      <c r="E404" s="81"/>
      <c r="F404" s="81"/>
    </row>
    <row r="405" spans="3:6" x14ac:dyDescent="0.2">
      <c r="C405" s="48" t="s">
        <v>16</v>
      </c>
      <c r="D405" s="46"/>
      <c r="E405" s="46"/>
      <c r="F405" s="47"/>
    </row>
    <row r="406" spans="3:6" x14ac:dyDescent="0.2">
      <c r="C406" s="49"/>
      <c r="D406" s="80"/>
      <c r="E406" s="80"/>
      <c r="F406" s="80"/>
    </row>
    <row r="407" spans="3:6" x14ac:dyDescent="0.2">
      <c r="C407" s="48" t="s">
        <v>17</v>
      </c>
      <c r="D407" s="50"/>
      <c r="E407" s="50"/>
      <c r="F407" s="51"/>
    </row>
    <row r="408" spans="3:6" x14ac:dyDescent="0.2">
      <c r="C408" s="49"/>
      <c r="D408" s="80"/>
      <c r="E408" s="80"/>
      <c r="F408" s="80"/>
    </row>
    <row r="409" spans="3:6" x14ac:dyDescent="0.2">
      <c r="C409" s="48" t="s">
        <v>18</v>
      </c>
      <c r="D409" s="46"/>
      <c r="E409" s="46"/>
      <c r="F409" s="47"/>
    </row>
    <row r="410" spans="3:6" x14ac:dyDescent="0.2">
      <c r="C410" s="48"/>
      <c r="D410" s="81"/>
      <c r="E410" s="81"/>
      <c r="F410" s="81"/>
    </row>
    <row r="411" spans="3:6" ht="13.5" thickBot="1" x14ac:dyDescent="0.25">
      <c r="C411" s="52"/>
      <c r="D411" s="53"/>
      <c r="E411" s="53"/>
      <c r="F411" s="54"/>
    </row>
    <row r="412" spans="3:6" ht="13.5" thickBot="1" x14ac:dyDescent="0.25"/>
    <row r="413" spans="3:6" x14ac:dyDescent="0.2">
      <c r="C413" s="42" t="s">
        <v>152</v>
      </c>
      <c r="D413" s="43"/>
      <c r="E413" s="43"/>
      <c r="F413" s="44"/>
    </row>
    <row r="414" spans="3:6" x14ac:dyDescent="0.2">
      <c r="C414" s="45"/>
      <c r="D414" s="46"/>
      <c r="E414" s="46"/>
      <c r="F414" s="47"/>
    </row>
    <row r="415" spans="3:6" x14ac:dyDescent="0.2">
      <c r="C415" s="48" t="s">
        <v>14</v>
      </c>
      <c r="D415" s="46"/>
      <c r="E415" s="46"/>
      <c r="F415" s="47"/>
    </row>
    <row r="416" spans="3:6" x14ac:dyDescent="0.2">
      <c r="C416" s="48"/>
      <c r="D416" s="85" t="s">
        <v>132</v>
      </c>
      <c r="E416" s="85"/>
      <c r="F416" s="80"/>
    </row>
    <row r="417" spans="3:6" x14ac:dyDescent="0.2">
      <c r="C417" s="48" t="s">
        <v>15</v>
      </c>
      <c r="D417" s="46"/>
      <c r="E417" s="46"/>
      <c r="F417" s="47"/>
    </row>
    <row r="418" spans="3:6" x14ac:dyDescent="0.2">
      <c r="C418" s="49"/>
      <c r="D418" s="81"/>
      <c r="E418" s="81"/>
      <c r="F418" s="81"/>
    </row>
    <row r="419" spans="3:6" x14ac:dyDescent="0.2">
      <c r="C419" s="49"/>
      <c r="D419" s="81"/>
      <c r="E419" s="81"/>
      <c r="F419" s="81"/>
    </row>
    <row r="420" spans="3:6" x14ac:dyDescent="0.2">
      <c r="C420" s="48" t="s">
        <v>16</v>
      </c>
      <c r="D420" s="46"/>
      <c r="E420" s="46"/>
      <c r="F420" s="47"/>
    </row>
    <row r="421" spans="3:6" x14ac:dyDescent="0.2">
      <c r="C421" s="49"/>
      <c r="D421" s="80"/>
      <c r="E421" s="80"/>
      <c r="F421" s="80"/>
    </row>
    <row r="422" spans="3:6" x14ac:dyDescent="0.2">
      <c r="C422" s="48" t="s">
        <v>17</v>
      </c>
      <c r="D422" s="50"/>
      <c r="E422" s="50"/>
      <c r="F422" s="51"/>
    </row>
    <row r="423" spans="3:6" x14ac:dyDescent="0.2">
      <c r="C423" s="49"/>
      <c r="D423" s="80"/>
      <c r="E423" s="80"/>
      <c r="F423" s="80"/>
    </row>
    <row r="424" spans="3:6" x14ac:dyDescent="0.2">
      <c r="C424" s="48" t="s">
        <v>18</v>
      </c>
      <c r="D424" s="46"/>
      <c r="E424" s="46"/>
      <c r="F424" s="47"/>
    </row>
    <row r="425" spans="3:6" x14ac:dyDescent="0.2">
      <c r="C425" s="48"/>
      <c r="D425" s="81"/>
      <c r="E425" s="81"/>
      <c r="F425" s="81"/>
    </row>
    <row r="426" spans="3:6" ht="13.5" thickBot="1" x14ac:dyDescent="0.25">
      <c r="C426" s="52"/>
      <c r="D426" s="53"/>
      <c r="E426" s="53"/>
      <c r="F426" s="54"/>
    </row>
    <row r="427" spans="3:6" ht="13.5" thickBot="1" x14ac:dyDescent="0.25"/>
    <row r="428" spans="3:6" x14ac:dyDescent="0.2">
      <c r="C428" s="42" t="s">
        <v>153</v>
      </c>
      <c r="D428" s="43"/>
      <c r="E428" s="43"/>
      <c r="F428" s="44"/>
    </row>
    <row r="429" spans="3:6" x14ac:dyDescent="0.2">
      <c r="C429" s="45"/>
      <c r="D429" s="46"/>
      <c r="E429" s="46"/>
      <c r="F429" s="47"/>
    </row>
    <row r="430" spans="3:6" x14ac:dyDescent="0.2">
      <c r="C430" s="48" t="s">
        <v>14</v>
      </c>
      <c r="D430" s="46"/>
      <c r="E430" s="46"/>
      <c r="F430" s="47"/>
    </row>
    <row r="431" spans="3:6" x14ac:dyDescent="0.2">
      <c r="C431" s="48"/>
      <c r="D431" s="85" t="s">
        <v>133</v>
      </c>
      <c r="E431" s="85"/>
      <c r="F431" s="80"/>
    </row>
    <row r="432" spans="3:6" x14ac:dyDescent="0.2">
      <c r="C432" s="48" t="s">
        <v>15</v>
      </c>
      <c r="D432" s="46"/>
      <c r="E432" s="46"/>
      <c r="F432" s="47"/>
    </row>
    <row r="433" spans="3:6" x14ac:dyDescent="0.2">
      <c r="C433" s="49"/>
      <c r="D433" s="81"/>
      <c r="E433" s="81"/>
      <c r="F433" s="81"/>
    </row>
    <row r="434" spans="3:6" x14ac:dyDescent="0.2">
      <c r="C434" s="49"/>
      <c r="D434" s="81"/>
      <c r="E434" s="81"/>
      <c r="F434" s="81"/>
    </row>
    <row r="435" spans="3:6" x14ac:dyDescent="0.2">
      <c r="C435" s="48" t="s">
        <v>16</v>
      </c>
      <c r="D435" s="46"/>
      <c r="E435" s="46"/>
      <c r="F435" s="47"/>
    </row>
    <row r="436" spans="3:6" x14ac:dyDescent="0.2">
      <c r="C436" s="49"/>
      <c r="D436" s="80"/>
      <c r="E436" s="80"/>
      <c r="F436" s="80"/>
    </row>
    <row r="437" spans="3:6" x14ac:dyDescent="0.2">
      <c r="C437" s="48" t="s">
        <v>17</v>
      </c>
      <c r="D437" s="50"/>
      <c r="E437" s="50"/>
      <c r="F437" s="51"/>
    </row>
    <row r="438" spans="3:6" x14ac:dyDescent="0.2">
      <c r="C438" s="49"/>
      <c r="D438" s="80"/>
      <c r="E438" s="80"/>
      <c r="F438" s="80"/>
    </row>
    <row r="439" spans="3:6" x14ac:dyDescent="0.2">
      <c r="C439" s="48" t="s">
        <v>18</v>
      </c>
      <c r="D439" s="46"/>
      <c r="E439" s="46"/>
      <c r="F439" s="47"/>
    </row>
    <row r="440" spans="3:6" x14ac:dyDescent="0.2">
      <c r="C440" s="48"/>
      <c r="D440" s="81"/>
      <c r="E440" s="81"/>
      <c r="F440" s="81"/>
    </row>
    <row r="441" spans="3:6" ht="13.5" thickBot="1" x14ac:dyDescent="0.25">
      <c r="C441" s="52"/>
      <c r="D441" s="53"/>
      <c r="E441" s="53"/>
      <c r="F441" s="54"/>
    </row>
    <row r="442" spans="3:6" ht="13.5" thickBot="1" x14ac:dyDescent="0.25"/>
    <row r="443" spans="3:6" x14ac:dyDescent="0.2">
      <c r="C443" s="42" t="s">
        <v>154</v>
      </c>
      <c r="D443" s="43"/>
      <c r="E443" s="43"/>
      <c r="F443" s="44"/>
    </row>
    <row r="444" spans="3:6" x14ac:dyDescent="0.2">
      <c r="C444" s="45"/>
      <c r="D444" s="46"/>
      <c r="E444" s="46"/>
      <c r="F444" s="47"/>
    </row>
    <row r="445" spans="3:6" x14ac:dyDescent="0.2">
      <c r="C445" s="48" t="s">
        <v>14</v>
      </c>
      <c r="D445" s="46"/>
      <c r="E445" s="46"/>
      <c r="F445" s="47"/>
    </row>
    <row r="446" spans="3:6" x14ac:dyDescent="0.2">
      <c r="C446" s="48"/>
      <c r="D446" s="85" t="s">
        <v>134</v>
      </c>
      <c r="E446" s="85"/>
      <c r="F446" s="80"/>
    </row>
    <row r="447" spans="3:6" x14ac:dyDescent="0.2">
      <c r="C447" s="48" t="s">
        <v>15</v>
      </c>
      <c r="D447" s="46"/>
      <c r="E447" s="46"/>
      <c r="F447" s="47"/>
    </row>
    <row r="448" spans="3:6" x14ac:dyDescent="0.2">
      <c r="C448" s="49"/>
      <c r="D448" s="81"/>
      <c r="E448" s="81"/>
      <c r="F448" s="81"/>
    </row>
    <row r="449" spans="3:6" x14ac:dyDescent="0.2">
      <c r="C449" s="49"/>
      <c r="D449" s="81"/>
      <c r="E449" s="81"/>
      <c r="F449" s="81"/>
    </row>
    <row r="450" spans="3:6" x14ac:dyDescent="0.2">
      <c r="C450" s="48" t="s">
        <v>16</v>
      </c>
      <c r="D450" s="46"/>
      <c r="E450" s="46"/>
      <c r="F450" s="47"/>
    </row>
    <row r="451" spans="3:6" x14ac:dyDescent="0.2">
      <c r="C451" s="49"/>
      <c r="D451" s="80"/>
      <c r="E451" s="80"/>
      <c r="F451" s="80"/>
    </row>
    <row r="452" spans="3:6" x14ac:dyDescent="0.2">
      <c r="C452" s="48" t="s">
        <v>17</v>
      </c>
      <c r="D452" s="50"/>
      <c r="E452" s="50"/>
      <c r="F452" s="51"/>
    </row>
    <row r="453" spans="3:6" x14ac:dyDescent="0.2">
      <c r="C453" s="49"/>
      <c r="D453" s="80"/>
      <c r="E453" s="80"/>
      <c r="F453" s="80"/>
    </row>
    <row r="454" spans="3:6" x14ac:dyDescent="0.2">
      <c r="C454" s="48" t="s">
        <v>18</v>
      </c>
      <c r="D454" s="46"/>
      <c r="E454" s="46"/>
      <c r="F454" s="47"/>
    </row>
    <row r="455" spans="3:6" x14ac:dyDescent="0.2">
      <c r="C455" s="48"/>
      <c r="D455" s="81"/>
      <c r="E455" s="81"/>
      <c r="F455" s="81"/>
    </row>
    <row r="456" spans="3:6" ht="13.5" thickBot="1" x14ac:dyDescent="0.25">
      <c r="C456" s="52"/>
      <c r="D456" s="53"/>
      <c r="E456" s="53"/>
      <c r="F456" s="54"/>
    </row>
    <row r="457" spans="3:6" ht="13.5" thickBot="1" x14ac:dyDescent="0.25"/>
    <row r="458" spans="3:6" x14ac:dyDescent="0.2">
      <c r="C458" s="42" t="s">
        <v>155</v>
      </c>
      <c r="D458" s="43"/>
      <c r="E458" s="43"/>
      <c r="F458" s="44"/>
    </row>
    <row r="459" spans="3:6" x14ac:dyDescent="0.2">
      <c r="C459" s="45"/>
      <c r="D459" s="46"/>
      <c r="E459" s="46"/>
      <c r="F459" s="47"/>
    </row>
    <row r="460" spans="3:6" x14ac:dyDescent="0.2">
      <c r="C460" s="48" t="s">
        <v>14</v>
      </c>
      <c r="D460" s="46"/>
      <c r="E460" s="46"/>
      <c r="F460" s="47"/>
    </row>
    <row r="461" spans="3:6" x14ac:dyDescent="0.2">
      <c r="C461" s="48"/>
      <c r="D461" s="85" t="s">
        <v>135</v>
      </c>
      <c r="E461" s="85"/>
      <c r="F461" s="80"/>
    </row>
    <row r="462" spans="3:6" x14ac:dyDescent="0.2">
      <c r="C462" s="48" t="s">
        <v>15</v>
      </c>
      <c r="D462" s="46"/>
      <c r="E462" s="46"/>
      <c r="F462" s="47"/>
    </row>
    <row r="463" spans="3:6" x14ac:dyDescent="0.2">
      <c r="C463" s="49"/>
      <c r="D463" s="81"/>
      <c r="E463" s="81"/>
      <c r="F463" s="81"/>
    </row>
    <row r="464" spans="3:6" x14ac:dyDescent="0.2">
      <c r="C464" s="49"/>
      <c r="D464" s="81"/>
      <c r="E464" s="81"/>
      <c r="F464" s="81"/>
    </row>
    <row r="465" spans="3:6" x14ac:dyDescent="0.2">
      <c r="C465" s="48" t="s">
        <v>16</v>
      </c>
      <c r="D465" s="46"/>
      <c r="E465" s="46"/>
      <c r="F465" s="47"/>
    </row>
    <row r="466" spans="3:6" x14ac:dyDescent="0.2">
      <c r="C466" s="49"/>
      <c r="D466" s="80"/>
      <c r="E466" s="80"/>
      <c r="F466" s="80"/>
    </row>
    <row r="467" spans="3:6" x14ac:dyDescent="0.2">
      <c r="C467" s="48" t="s">
        <v>17</v>
      </c>
      <c r="D467" s="50"/>
      <c r="E467" s="50"/>
      <c r="F467" s="51"/>
    </row>
    <row r="468" spans="3:6" x14ac:dyDescent="0.2">
      <c r="C468" s="49"/>
      <c r="D468" s="80"/>
      <c r="E468" s="80"/>
      <c r="F468" s="80"/>
    </row>
    <row r="469" spans="3:6" x14ac:dyDescent="0.2">
      <c r="C469" s="48" t="s">
        <v>18</v>
      </c>
      <c r="D469" s="46"/>
      <c r="E469" s="46"/>
      <c r="F469" s="47"/>
    </row>
    <row r="470" spans="3:6" x14ac:dyDescent="0.2">
      <c r="C470" s="48"/>
      <c r="D470" s="81"/>
      <c r="E470" s="81"/>
      <c r="F470" s="81"/>
    </row>
    <row r="471" spans="3:6" ht="13.5" thickBot="1" x14ac:dyDescent="0.25">
      <c r="C471" s="52"/>
      <c r="D471" s="53"/>
      <c r="E471" s="53"/>
      <c r="F471" s="54"/>
    </row>
    <row r="472" spans="3:6" ht="13.5" thickBot="1" x14ac:dyDescent="0.25"/>
    <row r="473" spans="3:6" x14ac:dyDescent="0.2">
      <c r="C473" s="42" t="s">
        <v>156</v>
      </c>
      <c r="D473" s="43"/>
      <c r="E473" s="43"/>
      <c r="F473" s="44"/>
    </row>
    <row r="474" spans="3:6" x14ac:dyDescent="0.2">
      <c r="C474" s="45"/>
      <c r="D474" s="46"/>
      <c r="E474" s="46"/>
      <c r="F474" s="47"/>
    </row>
    <row r="475" spans="3:6" x14ac:dyDescent="0.2">
      <c r="C475" s="48" t="s">
        <v>14</v>
      </c>
      <c r="D475" s="46"/>
      <c r="E475" s="46"/>
      <c r="F475" s="47"/>
    </row>
    <row r="476" spans="3:6" x14ac:dyDescent="0.2">
      <c r="C476" s="48"/>
      <c r="D476" s="85" t="s">
        <v>136</v>
      </c>
      <c r="E476" s="85"/>
      <c r="F476" s="80"/>
    </row>
    <row r="477" spans="3:6" x14ac:dyDescent="0.2">
      <c r="C477" s="48" t="s">
        <v>15</v>
      </c>
      <c r="D477" s="46"/>
      <c r="E477" s="46"/>
      <c r="F477" s="47"/>
    </row>
    <row r="478" spans="3:6" x14ac:dyDescent="0.2">
      <c r="C478" s="49"/>
      <c r="D478" s="81"/>
      <c r="E478" s="81"/>
      <c r="F478" s="81"/>
    </row>
    <row r="479" spans="3:6" x14ac:dyDescent="0.2">
      <c r="C479" s="49"/>
      <c r="D479" s="81"/>
      <c r="E479" s="81"/>
      <c r="F479" s="81"/>
    </row>
    <row r="480" spans="3:6" x14ac:dyDescent="0.2">
      <c r="C480" s="48" t="s">
        <v>16</v>
      </c>
      <c r="D480" s="46"/>
      <c r="E480" s="46"/>
      <c r="F480" s="47"/>
    </row>
    <row r="481" spans="3:6" x14ac:dyDescent="0.2">
      <c r="C481" s="49"/>
      <c r="D481" s="80"/>
      <c r="E481" s="80"/>
      <c r="F481" s="80"/>
    </row>
    <row r="482" spans="3:6" x14ac:dyDescent="0.2">
      <c r="C482" s="48" t="s">
        <v>17</v>
      </c>
      <c r="D482" s="50"/>
      <c r="E482" s="50"/>
      <c r="F482" s="51"/>
    </row>
    <row r="483" spans="3:6" x14ac:dyDescent="0.2">
      <c r="C483" s="49"/>
      <c r="D483" s="80"/>
      <c r="E483" s="80"/>
      <c r="F483" s="80"/>
    </row>
    <row r="484" spans="3:6" x14ac:dyDescent="0.2">
      <c r="C484" s="48" t="s">
        <v>18</v>
      </c>
      <c r="D484" s="46"/>
      <c r="E484" s="46"/>
      <c r="F484" s="47"/>
    </row>
    <row r="485" spans="3:6" x14ac:dyDescent="0.2">
      <c r="C485" s="48"/>
      <c r="D485" s="81"/>
      <c r="E485" s="81"/>
      <c r="F485" s="81"/>
    </row>
    <row r="486" spans="3:6" ht="13.5" thickBot="1" x14ac:dyDescent="0.25">
      <c r="C486" s="52"/>
      <c r="D486" s="53"/>
      <c r="E486" s="53"/>
      <c r="F486" s="54"/>
    </row>
    <row r="487" spans="3:6" ht="13.5" thickBot="1" x14ac:dyDescent="0.25"/>
    <row r="488" spans="3:6" x14ac:dyDescent="0.2">
      <c r="C488" s="42" t="s">
        <v>180</v>
      </c>
      <c r="D488" s="43"/>
      <c r="E488" s="43"/>
      <c r="F488" s="44"/>
    </row>
    <row r="489" spans="3:6" x14ac:dyDescent="0.2">
      <c r="C489" s="45"/>
      <c r="D489" s="46"/>
      <c r="E489" s="46"/>
      <c r="F489" s="47"/>
    </row>
    <row r="490" spans="3:6" x14ac:dyDescent="0.2">
      <c r="C490" s="48" t="s">
        <v>14</v>
      </c>
      <c r="D490" s="46"/>
      <c r="E490" s="46"/>
      <c r="F490" s="47"/>
    </row>
    <row r="491" spans="3:6" x14ac:dyDescent="0.2">
      <c r="C491" s="48"/>
      <c r="D491" s="85" t="s">
        <v>208</v>
      </c>
      <c r="E491" s="85"/>
      <c r="F491" s="80"/>
    </row>
    <row r="492" spans="3:6" x14ac:dyDescent="0.2">
      <c r="C492" s="48" t="s">
        <v>15</v>
      </c>
      <c r="D492" s="46"/>
      <c r="E492" s="46"/>
      <c r="F492" s="47"/>
    </row>
    <row r="493" spans="3:6" x14ac:dyDescent="0.2">
      <c r="C493" s="49"/>
      <c r="D493" s="81"/>
      <c r="E493" s="81"/>
      <c r="F493" s="81"/>
    </row>
    <row r="494" spans="3:6" x14ac:dyDescent="0.2">
      <c r="C494" s="49"/>
      <c r="D494" s="81"/>
      <c r="E494" s="81"/>
      <c r="F494" s="81"/>
    </row>
    <row r="495" spans="3:6" x14ac:dyDescent="0.2">
      <c r="C495" s="48" t="s">
        <v>16</v>
      </c>
      <c r="D495" s="46"/>
      <c r="E495" s="46"/>
      <c r="F495" s="47"/>
    </row>
    <row r="496" spans="3:6" x14ac:dyDescent="0.2">
      <c r="C496" s="49"/>
      <c r="D496" s="80"/>
      <c r="E496" s="80"/>
      <c r="F496" s="80"/>
    </row>
    <row r="497" spans="3:6" x14ac:dyDescent="0.2">
      <c r="C497" s="48" t="s">
        <v>17</v>
      </c>
      <c r="D497" s="50"/>
      <c r="E497" s="50"/>
      <c r="F497" s="51"/>
    </row>
    <row r="498" spans="3:6" x14ac:dyDescent="0.2">
      <c r="C498" s="49"/>
      <c r="D498" s="80"/>
      <c r="E498" s="80"/>
      <c r="F498" s="80"/>
    </row>
    <row r="499" spans="3:6" x14ac:dyDescent="0.2">
      <c r="C499" s="48" t="s">
        <v>18</v>
      </c>
      <c r="D499" s="46"/>
      <c r="E499" s="46"/>
      <c r="F499" s="47"/>
    </row>
    <row r="500" spans="3:6" x14ac:dyDescent="0.2">
      <c r="C500" s="48"/>
      <c r="D500" s="81"/>
      <c r="E500" s="81"/>
      <c r="F500" s="81"/>
    </row>
    <row r="501" spans="3:6" ht="13.5" thickBot="1" x14ac:dyDescent="0.25">
      <c r="C501" s="52"/>
      <c r="D501" s="53"/>
      <c r="E501" s="53"/>
      <c r="F501" s="54"/>
    </row>
    <row r="502" spans="3:6" ht="13.5" thickBot="1" x14ac:dyDescent="0.25"/>
    <row r="503" spans="3:6" x14ac:dyDescent="0.2">
      <c r="C503" s="42" t="s">
        <v>157</v>
      </c>
      <c r="D503" s="43"/>
      <c r="E503" s="43"/>
      <c r="F503" s="44"/>
    </row>
    <row r="504" spans="3:6" x14ac:dyDescent="0.2">
      <c r="C504" s="45"/>
      <c r="D504" s="46"/>
      <c r="E504" s="46"/>
      <c r="F504" s="47"/>
    </row>
    <row r="505" spans="3:6" x14ac:dyDescent="0.2">
      <c r="C505" s="48" t="s">
        <v>14</v>
      </c>
      <c r="D505" s="46"/>
      <c r="E505" s="46"/>
      <c r="F505" s="47"/>
    </row>
    <row r="506" spans="3:6" x14ac:dyDescent="0.2">
      <c r="C506" s="48"/>
      <c r="D506" s="85" t="s">
        <v>137</v>
      </c>
      <c r="E506" s="85"/>
      <c r="F506" s="80"/>
    </row>
    <row r="507" spans="3:6" x14ac:dyDescent="0.2">
      <c r="C507" s="48" t="s">
        <v>15</v>
      </c>
      <c r="D507" s="46"/>
      <c r="E507" s="46"/>
      <c r="F507" s="47"/>
    </row>
    <row r="508" spans="3:6" x14ac:dyDescent="0.2">
      <c r="C508" s="49"/>
      <c r="D508" s="81"/>
      <c r="E508" s="81"/>
      <c r="F508" s="81"/>
    </row>
    <row r="509" spans="3:6" x14ac:dyDescent="0.2">
      <c r="C509" s="49"/>
      <c r="D509" s="81"/>
      <c r="E509" s="81"/>
      <c r="F509" s="81"/>
    </row>
    <row r="510" spans="3:6" x14ac:dyDescent="0.2">
      <c r="C510" s="48" t="s">
        <v>16</v>
      </c>
      <c r="D510" s="46"/>
      <c r="E510" s="46"/>
      <c r="F510" s="47"/>
    </row>
    <row r="511" spans="3:6" x14ac:dyDescent="0.2">
      <c r="C511" s="49"/>
      <c r="D511" s="80"/>
      <c r="E511" s="80"/>
      <c r="F511" s="80"/>
    </row>
    <row r="512" spans="3:6" x14ac:dyDescent="0.2">
      <c r="C512" s="48" t="s">
        <v>17</v>
      </c>
      <c r="D512" s="50"/>
      <c r="E512" s="50"/>
      <c r="F512" s="51"/>
    </row>
    <row r="513" spans="3:6" x14ac:dyDescent="0.2">
      <c r="C513" s="49"/>
      <c r="D513" s="80"/>
      <c r="E513" s="80"/>
      <c r="F513" s="80"/>
    </row>
    <row r="514" spans="3:6" x14ac:dyDescent="0.2">
      <c r="C514" s="48" t="s">
        <v>18</v>
      </c>
      <c r="D514" s="46"/>
      <c r="E514" s="46"/>
      <c r="F514" s="47"/>
    </row>
    <row r="515" spans="3:6" x14ac:dyDescent="0.2">
      <c r="C515" s="48"/>
      <c r="D515" s="81"/>
      <c r="E515" s="81"/>
      <c r="F515" s="81"/>
    </row>
    <row r="516" spans="3:6" ht="13.5" thickBot="1" x14ac:dyDescent="0.25">
      <c r="C516" s="52"/>
      <c r="D516" s="53"/>
      <c r="E516" s="53"/>
      <c r="F516" s="54"/>
    </row>
    <row r="517" spans="3:6" ht="13.5" thickBot="1" x14ac:dyDescent="0.25"/>
    <row r="518" spans="3:6" x14ac:dyDescent="0.2">
      <c r="C518" s="42" t="s">
        <v>158</v>
      </c>
      <c r="D518" s="43"/>
      <c r="E518" s="43"/>
      <c r="F518" s="44"/>
    </row>
    <row r="519" spans="3:6" x14ac:dyDescent="0.2">
      <c r="C519" s="45"/>
      <c r="D519" s="46"/>
      <c r="E519" s="46"/>
      <c r="F519" s="47"/>
    </row>
    <row r="520" spans="3:6" x14ac:dyDescent="0.2">
      <c r="C520" s="48" t="s">
        <v>14</v>
      </c>
      <c r="D520" s="46"/>
      <c r="E520" s="46"/>
      <c r="F520" s="47"/>
    </row>
    <row r="521" spans="3:6" x14ac:dyDescent="0.2">
      <c r="C521" s="48"/>
      <c r="D521" s="85" t="s">
        <v>138</v>
      </c>
      <c r="E521" s="85"/>
      <c r="F521" s="80"/>
    </row>
    <row r="522" spans="3:6" x14ac:dyDescent="0.2">
      <c r="C522" s="48" t="s">
        <v>15</v>
      </c>
      <c r="D522" s="46"/>
      <c r="E522" s="46"/>
      <c r="F522" s="47"/>
    </row>
    <row r="523" spans="3:6" x14ac:dyDescent="0.2">
      <c r="C523" s="49"/>
      <c r="D523" s="81"/>
      <c r="E523" s="81"/>
      <c r="F523" s="81"/>
    </row>
    <row r="524" spans="3:6" x14ac:dyDescent="0.2">
      <c r="C524" s="49"/>
      <c r="D524" s="81"/>
      <c r="E524" s="81"/>
      <c r="F524" s="81"/>
    </row>
    <row r="525" spans="3:6" x14ac:dyDescent="0.2">
      <c r="C525" s="48" t="s">
        <v>16</v>
      </c>
      <c r="D525" s="46"/>
      <c r="E525" s="46"/>
      <c r="F525" s="47"/>
    </row>
    <row r="526" spans="3:6" x14ac:dyDescent="0.2">
      <c r="C526" s="49"/>
      <c r="D526" s="80"/>
      <c r="E526" s="80"/>
      <c r="F526" s="80"/>
    </row>
    <row r="527" spans="3:6" x14ac:dyDescent="0.2">
      <c r="C527" s="48" t="s">
        <v>17</v>
      </c>
      <c r="D527" s="50"/>
      <c r="E527" s="50"/>
      <c r="F527" s="51"/>
    </row>
    <row r="528" spans="3:6" x14ac:dyDescent="0.2">
      <c r="C528" s="49"/>
      <c r="D528" s="80"/>
      <c r="E528" s="80"/>
      <c r="F528" s="80"/>
    </row>
    <row r="529" spans="3:6" x14ac:dyDescent="0.2">
      <c r="C529" s="48" t="s">
        <v>18</v>
      </c>
      <c r="D529" s="46"/>
      <c r="E529" s="46"/>
      <c r="F529" s="47"/>
    </row>
    <row r="530" spans="3:6" x14ac:dyDescent="0.2">
      <c r="C530" s="48"/>
      <c r="D530" s="81"/>
      <c r="E530" s="81"/>
      <c r="F530" s="81"/>
    </row>
    <row r="531" spans="3:6" ht="13.5" thickBot="1" x14ac:dyDescent="0.25">
      <c r="C531" s="52"/>
      <c r="D531" s="53"/>
      <c r="E531" s="53"/>
      <c r="F531" s="54"/>
    </row>
    <row r="532" spans="3:6" ht="13.5" thickBot="1" x14ac:dyDescent="0.25"/>
    <row r="533" spans="3:6" x14ac:dyDescent="0.2">
      <c r="C533" s="42" t="s">
        <v>159</v>
      </c>
      <c r="D533" s="43"/>
      <c r="E533" s="43"/>
      <c r="F533" s="44"/>
    </row>
    <row r="534" spans="3:6" x14ac:dyDescent="0.2">
      <c r="C534" s="45"/>
      <c r="D534" s="46"/>
      <c r="E534" s="46"/>
      <c r="F534" s="47"/>
    </row>
    <row r="535" spans="3:6" x14ac:dyDescent="0.2">
      <c r="C535" s="48" t="s">
        <v>14</v>
      </c>
      <c r="D535" s="46"/>
      <c r="E535" s="46"/>
      <c r="F535" s="47"/>
    </row>
    <row r="536" spans="3:6" x14ac:dyDescent="0.2">
      <c r="C536" s="48"/>
      <c r="D536" s="85" t="s">
        <v>213</v>
      </c>
      <c r="E536" s="85"/>
      <c r="F536" s="80"/>
    </row>
    <row r="537" spans="3:6" x14ac:dyDescent="0.2">
      <c r="C537" s="48" t="s">
        <v>15</v>
      </c>
      <c r="D537" s="46"/>
      <c r="E537" s="46"/>
      <c r="F537" s="47"/>
    </row>
    <row r="538" spans="3:6" x14ac:dyDescent="0.2">
      <c r="C538" s="49"/>
      <c r="D538" s="81"/>
      <c r="E538" s="81"/>
      <c r="F538" s="81"/>
    </row>
    <row r="539" spans="3:6" x14ac:dyDescent="0.2">
      <c r="C539" s="49"/>
      <c r="D539" s="81"/>
      <c r="E539" s="81"/>
      <c r="F539" s="81"/>
    </row>
    <row r="540" spans="3:6" x14ac:dyDescent="0.2">
      <c r="C540" s="48" t="s">
        <v>16</v>
      </c>
      <c r="D540" s="46"/>
      <c r="E540" s="46"/>
      <c r="F540" s="47"/>
    </row>
    <row r="541" spans="3:6" x14ac:dyDescent="0.2">
      <c r="C541" s="49"/>
      <c r="D541" s="80"/>
      <c r="E541" s="80"/>
      <c r="F541" s="80"/>
    </row>
    <row r="542" spans="3:6" x14ac:dyDescent="0.2">
      <c r="C542" s="48" t="s">
        <v>17</v>
      </c>
      <c r="D542" s="50"/>
      <c r="E542" s="50"/>
      <c r="F542" s="51"/>
    </row>
    <row r="543" spans="3:6" x14ac:dyDescent="0.2">
      <c r="C543" s="49"/>
      <c r="D543" s="80"/>
      <c r="E543" s="80"/>
      <c r="F543" s="80"/>
    </row>
    <row r="544" spans="3:6" x14ac:dyDescent="0.2">
      <c r="C544" s="48" t="s">
        <v>18</v>
      </c>
      <c r="D544" s="46"/>
      <c r="E544" s="46"/>
      <c r="F544" s="47"/>
    </row>
    <row r="545" spans="3:6" x14ac:dyDescent="0.2">
      <c r="C545" s="48"/>
      <c r="D545" s="81"/>
      <c r="E545" s="81"/>
      <c r="F545" s="81"/>
    </row>
    <row r="546" spans="3:6" ht="13.5" thickBot="1" x14ac:dyDescent="0.25">
      <c r="C546" s="52"/>
      <c r="D546" s="53"/>
      <c r="E546" s="53"/>
      <c r="F546" s="54"/>
    </row>
    <row r="547" spans="3:6" ht="13.5" thickBot="1" x14ac:dyDescent="0.25"/>
    <row r="548" spans="3:6" x14ac:dyDescent="0.2">
      <c r="C548" s="42" t="s">
        <v>160</v>
      </c>
      <c r="D548" s="43"/>
      <c r="E548" s="43"/>
      <c r="F548" s="44"/>
    </row>
    <row r="549" spans="3:6" x14ac:dyDescent="0.2">
      <c r="C549" s="45"/>
      <c r="D549" s="46"/>
      <c r="E549" s="46"/>
      <c r="F549" s="47"/>
    </row>
    <row r="550" spans="3:6" x14ac:dyDescent="0.2">
      <c r="C550" s="48" t="s">
        <v>14</v>
      </c>
      <c r="D550" s="46"/>
      <c r="E550" s="46"/>
      <c r="F550" s="47"/>
    </row>
    <row r="551" spans="3:6" x14ac:dyDescent="0.2">
      <c r="C551" s="48"/>
      <c r="D551" s="85" t="s">
        <v>139</v>
      </c>
      <c r="E551" s="85"/>
      <c r="F551" s="80"/>
    </row>
    <row r="552" spans="3:6" x14ac:dyDescent="0.2">
      <c r="C552" s="48" t="s">
        <v>15</v>
      </c>
      <c r="D552" s="46"/>
      <c r="E552" s="46"/>
      <c r="F552" s="47"/>
    </row>
    <row r="553" spans="3:6" x14ac:dyDescent="0.2">
      <c r="C553" s="49"/>
      <c r="D553" s="81"/>
      <c r="E553" s="81"/>
      <c r="F553" s="81"/>
    </row>
    <row r="554" spans="3:6" x14ac:dyDescent="0.2">
      <c r="C554" s="49"/>
      <c r="D554" s="81"/>
      <c r="E554" s="81"/>
      <c r="F554" s="81"/>
    </row>
    <row r="555" spans="3:6" x14ac:dyDescent="0.2">
      <c r="C555" s="48" t="s">
        <v>16</v>
      </c>
      <c r="D555" s="46"/>
      <c r="E555" s="46"/>
      <c r="F555" s="47"/>
    </row>
    <row r="556" spans="3:6" x14ac:dyDescent="0.2">
      <c r="C556" s="49"/>
      <c r="D556" s="80"/>
      <c r="E556" s="80"/>
      <c r="F556" s="80"/>
    </row>
    <row r="557" spans="3:6" x14ac:dyDescent="0.2">
      <c r="C557" s="48" t="s">
        <v>17</v>
      </c>
      <c r="D557" s="50"/>
      <c r="E557" s="50"/>
      <c r="F557" s="51"/>
    </row>
    <row r="558" spans="3:6" x14ac:dyDescent="0.2">
      <c r="C558" s="49"/>
      <c r="D558" s="80"/>
      <c r="E558" s="80"/>
      <c r="F558" s="80"/>
    </row>
    <row r="559" spans="3:6" x14ac:dyDescent="0.2">
      <c r="C559" s="48" t="s">
        <v>18</v>
      </c>
      <c r="D559" s="46"/>
      <c r="E559" s="46"/>
      <c r="F559" s="47"/>
    </row>
    <row r="560" spans="3:6" x14ac:dyDescent="0.2">
      <c r="C560" s="48"/>
      <c r="D560" s="81"/>
      <c r="E560" s="81"/>
      <c r="F560" s="81"/>
    </row>
    <row r="561" spans="3:6" ht="13.5" thickBot="1" x14ac:dyDescent="0.25">
      <c r="C561" s="52"/>
      <c r="D561" s="53"/>
      <c r="E561" s="53"/>
      <c r="F561" s="54"/>
    </row>
    <row r="562" spans="3:6" ht="13.5" thickBot="1" x14ac:dyDescent="0.25"/>
    <row r="563" spans="3:6" x14ac:dyDescent="0.2">
      <c r="C563" s="42" t="s">
        <v>161</v>
      </c>
      <c r="D563" s="43"/>
      <c r="E563" s="43"/>
      <c r="F563" s="44"/>
    </row>
    <row r="564" spans="3:6" x14ac:dyDescent="0.2">
      <c r="C564" s="45"/>
      <c r="D564" s="46"/>
      <c r="E564" s="46"/>
      <c r="F564" s="47"/>
    </row>
    <row r="565" spans="3:6" x14ac:dyDescent="0.2">
      <c r="C565" s="48" t="s">
        <v>14</v>
      </c>
      <c r="D565" s="46"/>
      <c r="E565" s="46"/>
      <c r="F565" s="47"/>
    </row>
    <row r="566" spans="3:6" x14ac:dyDescent="0.2">
      <c r="C566" s="48"/>
      <c r="D566" s="85" t="s">
        <v>140</v>
      </c>
      <c r="E566" s="85"/>
      <c r="F566" s="80"/>
    </row>
    <row r="567" spans="3:6" x14ac:dyDescent="0.2">
      <c r="C567" s="48" t="s">
        <v>15</v>
      </c>
      <c r="D567" s="46"/>
      <c r="E567" s="46"/>
      <c r="F567" s="47"/>
    </row>
    <row r="568" spans="3:6" x14ac:dyDescent="0.2">
      <c r="C568" s="49"/>
      <c r="D568" s="81"/>
      <c r="E568" s="81"/>
      <c r="F568" s="81"/>
    </row>
    <row r="569" spans="3:6" x14ac:dyDescent="0.2">
      <c r="C569" s="49"/>
      <c r="D569" s="81"/>
      <c r="E569" s="81"/>
      <c r="F569" s="81"/>
    </row>
    <row r="570" spans="3:6" x14ac:dyDescent="0.2">
      <c r="C570" s="48" t="s">
        <v>16</v>
      </c>
      <c r="D570" s="46"/>
      <c r="E570" s="46"/>
      <c r="F570" s="47"/>
    </row>
    <row r="571" spans="3:6" x14ac:dyDescent="0.2">
      <c r="C571" s="49"/>
      <c r="D571" s="80"/>
      <c r="E571" s="80"/>
      <c r="F571" s="80"/>
    </row>
    <row r="572" spans="3:6" x14ac:dyDescent="0.2">
      <c r="C572" s="48" t="s">
        <v>17</v>
      </c>
      <c r="D572" s="50"/>
      <c r="E572" s="50"/>
      <c r="F572" s="51"/>
    </row>
    <row r="573" spans="3:6" x14ac:dyDescent="0.2">
      <c r="C573" s="49"/>
      <c r="D573" s="80"/>
      <c r="E573" s="80"/>
      <c r="F573" s="80"/>
    </row>
    <row r="574" spans="3:6" x14ac:dyDescent="0.2">
      <c r="C574" s="48" t="s">
        <v>18</v>
      </c>
      <c r="D574" s="46"/>
      <c r="E574" s="46"/>
      <c r="F574" s="47"/>
    </row>
    <row r="575" spans="3:6" x14ac:dyDescent="0.2">
      <c r="C575" s="48"/>
      <c r="D575" s="81"/>
      <c r="E575" s="81"/>
      <c r="F575" s="81"/>
    </row>
    <row r="576" spans="3:6" ht="13.5" thickBot="1" x14ac:dyDescent="0.25">
      <c r="C576" s="52"/>
      <c r="D576" s="53"/>
      <c r="E576" s="53"/>
      <c r="F576" s="54"/>
    </row>
    <row r="577" spans="3:6" ht="13.5" thickBot="1" x14ac:dyDescent="0.25"/>
    <row r="578" spans="3:6" x14ac:dyDescent="0.2">
      <c r="C578" s="42" t="s">
        <v>162</v>
      </c>
      <c r="D578" s="43"/>
      <c r="E578" s="43"/>
      <c r="F578" s="44"/>
    </row>
    <row r="579" spans="3:6" x14ac:dyDescent="0.2">
      <c r="C579" s="45"/>
      <c r="D579" s="46"/>
      <c r="E579" s="46"/>
      <c r="F579" s="47"/>
    </row>
    <row r="580" spans="3:6" x14ac:dyDescent="0.2">
      <c r="C580" s="48" t="s">
        <v>14</v>
      </c>
      <c r="D580" s="46"/>
      <c r="E580" s="46"/>
      <c r="F580" s="47"/>
    </row>
    <row r="581" spans="3:6" x14ac:dyDescent="0.2">
      <c r="C581" s="48"/>
      <c r="D581" s="85" t="s">
        <v>141</v>
      </c>
      <c r="E581" s="85"/>
      <c r="F581" s="80"/>
    </row>
    <row r="582" spans="3:6" x14ac:dyDescent="0.2">
      <c r="C582" s="48" t="s">
        <v>15</v>
      </c>
      <c r="D582" s="46"/>
      <c r="E582" s="46"/>
      <c r="F582" s="47"/>
    </row>
    <row r="583" spans="3:6" x14ac:dyDescent="0.2">
      <c r="C583" s="49"/>
      <c r="D583" s="81"/>
      <c r="E583" s="81"/>
      <c r="F583" s="81"/>
    </row>
    <row r="584" spans="3:6" x14ac:dyDescent="0.2">
      <c r="C584" s="49"/>
      <c r="D584" s="81"/>
      <c r="E584" s="81"/>
      <c r="F584" s="81"/>
    </row>
    <row r="585" spans="3:6" x14ac:dyDescent="0.2">
      <c r="C585" s="48" t="s">
        <v>16</v>
      </c>
      <c r="D585" s="46"/>
      <c r="E585" s="46"/>
      <c r="F585" s="47"/>
    </row>
    <row r="586" spans="3:6" x14ac:dyDescent="0.2">
      <c r="C586" s="49"/>
      <c r="D586" s="80"/>
      <c r="E586" s="80"/>
      <c r="F586" s="80"/>
    </row>
    <row r="587" spans="3:6" x14ac:dyDescent="0.2">
      <c r="C587" s="48" t="s">
        <v>17</v>
      </c>
      <c r="D587" s="50"/>
      <c r="E587" s="50"/>
      <c r="F587" s="51"/>
    </row>
    <row r="588" spans="3:6" x14ac:dyDescent="0.2">
      <c r="C588" s="49"/>
      <c r="D588" s="80"/>
      <c r="E588" s="80"/>
      <c r="F588" s="80"/>
    </row>
    <row r="589" spans="3:6" x14ac:dyDescent="0.2">
      <c r="C589" s="48" t="s">
        <v>18</v>
      </c>
      <c r="D589" s="46"/>
      <c r="E589" s="46"/>
      <c r="F589" s="47"/>
    </row>
    <row r="590" spans="3:6" x14ac:dyDescent="0.2">
      <c r="C590" s="48"/>
      <c r="D590" s="81"/>
      <c r="E590" s="81"/>
      <c r="F590" s="81"/>
    </row>
    <row r="591" spans="3:6" ht="13.5" thickBot="1" x14ac:dyDescent="0.25">
      <c r="C591" s="52"/>
      <c r="D591" s="53"/>
      <c r="E591" s="53"/>
      <c r="F591" s="54"/>
    </row>
    <row r="592" spans="3:6" ht="13.5" thickBot="1" x14ac:dyDescent="0.25"/>
    <row r="593" spans="3:6" x14ac:dyDescent="0.2">
      <c r="C593" s="42" t="s">
        <v>163</v>
      </c>
      <c r="D593" s="43"/>
      <c r="E593" s="43"/>
      <c r="F593" s="44"/>
    </row>
    <row r="594" spans="3:6" x14ac:dyDescent="0.2">
      <c r="C594" s="45"/>
      <c r="D594" s="46"/>
      <c r="E594" s="46"/>
      <c r="F594" s="47"/>
    </row>
    <row r="595" spans="3:6" x14ac:dyDescent="0.2">
      <c r="C595" s="48" t="s">
        <v>14</v>
      </c>
      <c r="D595" s="46"/>
      <c r="E595" s="46"/>
      <c r="F595" s="47"/>
    </row>
    <row r="596" spans="3:6" x14ac:dyDescent="0.2">
      <c r="C596" s="48"/>
      <c r="D596" s="85" t="s">
        <v>142</v>
      </c>
      <c r="E596" s="85"/>
      <c r="F596" s="80"/>
    </row>
    <row r="597" spans="3:6" x14ac:dyDescent="0.2">
      <c r="C597" s="48" t="s">
        <v>15</v>
      </c>
      <c r="D597" s="46"/>
      <c r="E597" s="46"/>
      <c r="F597" s="47"/>
    </row>
    <row r="598" spans="3:6" x14ac:dyDescent="0.2">
      <c r="C598" s="49"/>
      <c r="D598" s="81"/>
      <c r="E598" s="81"/>
      <c r="F598" s="81"/>
    </row>
    <row r="599" spans="3:6" x14ac:dyDescent="0.2">
      <c r="C599" s="49"/>
      <c r="D599" s="81"/>
      <c r="E599" s="81"/>
      <c r="F599" s="81"/>
    </row>
    <row r="600" spans="3:6" x14ac:dyDescent="0.2">
      <c r="C600" s="48" t="s">
        <v>16</v>
      </c>
      <c r="D600" s="46"/>
      <c r="E600" s="46"/>
      <c r="F600" s="47"/>
    </row>
    <row r="601" spans="3:6" x14ac:dyDescent="0.2">
      <c r="C601" s="49"/>
      <c r="D601" s="80"/>
      <c r="E601" s="80"/>
      <c r="F601" s="80"/>
    </row>
    <row r="602" spans="3:6" x14ac:dyDescent="0.2">
      <c r="C602" s="48" t="s">
        <v>17</v>
      </c>
      <c r="D602" s="50"/>
      <c r="E602" s="50"/>
      <c r="F602" s="51"/>
    </row>
    <row r="603" spans="3:6" x14ac:dyDescent="0.2">
      <c r="C603" s="49"/>
      <c r="D603" s="80"/>
      <c r="E603" s="80"/>
      <c r="F603" s="80"/>
    </row>
    <row r="604" spans="3:6" x14ac:dyDescent="0.2">
      <c r="C604" s="48" t="s">
        <v>18</v>
      </c>
      <c r="D604" s="46"/>
      <c r="E604" s="46"/>
      <c r="F604" s="47"/>
    </row>
    <row r="605" spans="3:6" x14ac:dyDescent="0.2">
      <c r="C605" s="48"/>
      <c r="D605" s="81"/>
      <c r="E605" s="81"/>
      <c r="F605" s="81"/>
    </row>
    <row r="606" spans="3:6" ht="13.5" thickBot="1" x14ac:dyDescent="0.25">
      <c r="C606" s="52"/>
      <c r="D606" s="53"/>
      <c r="E606" s="53"/>
      <c r="F606" s="54"/>
    </row>
    <row r="607" spans="3:6" ht="13.5" thickBot="1" x14ac:dyDescent="0.25"/>
    <row r="608" spans="3:6" x14ac:dyDescent="0.2">
      <c r="C608" s="42" t="s">
        <v>164</v>
      </c>
      <c r="D608" s="43"/>
      <c r="E608" s="43"/>
      <c r="F608" s="44"/>
    </row>
    <row r="609" spans="3:6" x14ac:dyDescent="0.2">
      <c r="C609" s="45"/>
      <c r="D609" s="46"/>
      <c r="E609" s="46"/>
      <c r="F609" s="47"/>
    </row>
    <row r="610" spans="3:6" x14ac:dyDescent="0.2">
      <c r="C610" s="48" t="s">
        <v>14</v>
      </c>
      <c r="D610" s="46"/>
      <c r="E610" s="46"/>
      <c r="F610" s="47"/>
    </row>
    <row r="611" spans="3:6" x14ac:dyDescent="0.2">
      <c r="C611" s="48"/>
      <c r="D611" s="85" t="s">
        <v>143</v>
      </c>
      <c r="E611" s="85"/>
      <c r="F611" s="80"/>
    </row>
    <row r="612" spans="3:6" x14ac:dyDescent="0.2">
      <c r="C612" s="48" t="s">
        <v>15</v>
      </c>
      <c r="D612" s="46"/>
      <c r="E612" s="46"/>
      <c r="F612" s="47"/>
    </row>
    <row r="613" spans="3:6" x14ac:dyDescent="0.2">
      <c r="C613" s="49"/>
      <c r="D613" s="81"/>
      <c r="E613" s="81"/>
      <c r="F613" s="81"/>
    </row>
    <row r="614" spans="3:6" x14ac:dyDescent="0.2">
      <c r="C614" s="49"/>
      <c r="D614" s="81"/>
      <c r="E614" s="81"/>
      <c r="F614" s="81"/>
    </row>
    <row r="615" spans="3:6" x14ac:dyDescent="0.2">
      <c r="C615" s="48" t="s">
        <v>16</v>
      </c>
      <c r="D615" s="46"/>
      <c r="E615" s="46"/>
      <c r="F615" s="47"/>
    </row>
    <row r="616" spans="3:6" x14ac:dyDescent="0.2">
      <c r="C616" s="49"/>
      <c r="D616" s="80"/>
      <c r="E616" s="80"/>
      <c r="F616" s="80"/>
    </row>
    <row r="617" spans="3:6" x14ac:dyDescent="0.2">
      <c r="C617" s="48" t="s">
        <v>17</v>
      </c>
      <c r="D617" s="50"/>
      <c r="E617" s="50"/>
      <c r="F617" s="51"/>
    </row>
    <row r="618" spans="3:6" x14ac:dyDescent="0.2">
      <c r="C618" s="49"/>
      <c r="D618" s="80"/>
      <c r="E618" s="80"/>
      <c r="F618" s="80"/>
    </row>
    <row r="619" spans="3:6" x14ac:dyDescent="0.2">
      <c r="C619" s="48" t="s">
        <v>18</v>
      </c>
      <c r="D619" s="46"/>
      <c r="E619" s="46"/>
      <c r="F619" s="47"/>
    </row>
    <row r="620" spans="3:6" x14ac:dyDescent="0.2">
      <c r="C620" s="48"/>
      <c r="D620" s="81"/>
      <c r="E620" s="81"/>
      <c r="F620" s="81"/>
    </row>
    <row r="621" spans="3:6" ht="13.5" thickBot="1" x14ac:dyDescent="0.25">
      <c r="C621" s="52"/>
      <c r="D621" s="53"/>
      <c r="E621" s="53"/>
      <c r="F621" s="54"/>
    </row>
  </sheetData>
  <mergeCells count="238">
    <mergeCell ref="D395:F395"/>
    <mergeCell ref="D365:F365"/>
    <mergeCell ref="D371:F371"/>
    <mergeCell ref="D373:F373"/>
    <mergeCell ref="D374:F374"/>
    <mergeCell ref="D376:F376"/>
    <mergeCell ref="D378:F378"/>
    <mergeCell ref="D380:F380"/>
    <mergeCell ref="D386:F386"/>
    <mergeCell ref="D388:F388"/>
    <mergeCell ref="D350:F350"/>
    <mergeCell ref="D356:F356"/>
    <mergeCell ref="D358:F358"/>
    <mergeCell ref="D359:F359"/>
    <mergeCell ref="D361:F361"/>
    <mergeCell ref="D363:F363"/>
    <mergeCell ref="D389:F389"/>
    <mergeCell ref="D391:F391"/>
    <mergeCell ref="D393:F393"/>
    <mergeCell ref="D329:F329"/>
    <mergeCell ref="D331:F331"/>
    <mergeCell ref="D333:F333"/>
    <mergeCell ref="D335:F335"/>
    <mergeCell ref="D341:F341"/>
    <mergeCell ref="D343:F343"/>
    <mergeCell ref="D344:F344"/>
    <mergeCell ref="D346:F346"/>
    <mergeCell ref="D348:F348"/>
    <mergeCell ref="D215:F215"/>
    <mergeCell ref="D221:F221"/>
    <mergeCell ref="D223:F223"/>
    <mergeCell ref="D224:F224"/>
    <mergeCell ref="D226:F226"/>
    <mergeCell ref="D228:F228"/>
    <mergeCell ref="D230:F230"/>
    <mergeCell ref="D491:F491"/>
    <mergeCell ref="D251:F251"/>
    <mergeCell ref="D253:F253"/>
    <mergeCell ref="D254:F254"/>
    <mergeCell ref="D256:F256"/>
    <mergeCell ref="D258:F258"/>
    <mergeCell ref="D260:F260"/>
    <mergeCell ref="D266:F266"/>
    <mergeCell ref="D268:F268"/>
    <mergeCell ref="D269:F269"/>
    <mergeCell ref="D271:F271"/>
    <mergeCell ref="D273:F273"/>
    <mergeCell ref="D275:F275"/>
    <mergeCell ref="D281:F281"/>
    <mergeCell ref="D283:F283"/>
    <mergeCell ref="D284:F284"/>
    <mergeCell ref="D320:F320"/>
    <mergeCell ref="D89:F89"/>
    <mergeCell ref="D91:F91"/>
    <mergeCell ref="D93:F93"/>
    <mergeCell ref="D95:F95"/>
    <mergeCell ref="D101:F101"/>
    <mergeCell ref="D103:F103"/>
    <mergeCell ref="D104:F104"/>
    <mergeCell ref="D106:F106"/>
    <mergeCell ref="D213:F213"/>
    <mergeCell ref="D138:F138"/>
    <mergeCell ref="D140:F140"/>
    <mergeCell ref="D146:F146"/>
    <mergeCell ref="D148:F148"/>
    <mergeCell ref="D108:F108"/>
    <mergeCell ref="D110:F110"/>
    <mergeCell ref="D116:F116"/>
    <mergeCell ref="D118:F118"/>
    <mergeCell ref="D119:F119"/>
    <mergeCell ref="D179:F179"/>
    <mergeCell ref="D181:F181"/>
    <mergeCell ref="D183:F183"/>
    <mergeCell ref="D185:F185"/>
    <mergeCell ref="D191:F191"/>
    <mergeCell ref="D121:F121"/>
    <mergeCell ref="B2:H2"/>
    <mergeCell ref="A4:B4"/>
    <mergeCell ref="C4:E4"/>
    <mergeCell ref="A5:B5"/>
    <mergeCell ref="C5:E5"/>
    <mergeCell ref="A6:B6"/>
    <mergeCell ref="A7:B7"/>
    <mergeCell ref="D86:F86"/>
    <mergeCell ref="D88:F88"/>
    <mergeCell ref="D56:F56"/>
    <mergeCell ref="D58:F58"/>
    <mergeCell ref="D59:F59"/>
    <mergeCell ref="D61:F61"/>
    <mergeCell ref="D63:F63"/>
    <mergeCell ref="D65:F65"/>
    <mergeCell ref="D71:F71"/>
    <mergeCell ref="D73:F73"/>
    <mergeCell ref="D74:F74"/>
    <mergeCell ref="D76:F76"/>
    <mergeCell ref="D78:F78"/>
    <mergeCell ref="D80:F80"/>
    <mergeCell ref="D123:F123"/>
    <mergeCell ref="D125:F125"/>
    <mergeCell ref="D176:F176"/>
    <mergeCell ref="D178:F178"/>
    <mergeCell ref="D149:F149"/>
    <mergeCell ref="D151:F151"/>
    <mergeCell ref="D153:F153"/>
    <mergeCell ref="D155:F155"/>
    <mergeCell ref="D161:F161"/>
    <mergeCell ref="D163:F163"/>
    <mergeCell ref="D164:F164"/>
    <mergeCell ref="D166:F166"/>
    <mergeCell ref="D168:F168"/>
    <mergeCell ref="D170:F170"/>
    <mergeCell ref="D131:F131"/>
    <mergeCell ref="D133:F133"/>
    <mergeCell ref="D134:F134"/>
    <mergeCell ref="D136:F136"/>
    <mergeCell ref="D209:F209"/>
    <mergeCell ref="D193:F193"/>
    <mergeCell ref="D194:F194"/>
    <mergeCell ref="D196:F196"/>
    <mergeCell ref="D198:F198"/>
    <mergeCell ref="D200:F200"/>
    <mergeCell ref="D206:F206"/>
    <mergeCell ref="D208:F208"/>
    <mergeCell ref="D211:F211"/>
    <mergeCell ref="D241:F241"/>
    <mergeCell ref="D243:F243"/>
    <mergeCell ref="D245:F245"/>
    <mergeCell ref="D401:F401"/>
    <mergeCell ref="D403:F403"/>
    <mergeCell ref="D236:F236"/>
    <mergeCell ref="D238:F238"/>
    <mergeCell ref="D239:F239"/>
    <mergeCell ref="D286:F286"/>
    <mergeCell ref="D288:F288"/>
    <mergeCell ref="D290:F290"/>
    <mergeCell ref="D296:F296"/>
    <mergeCell ref="D298:F298"/>
    <mergeCell ref="D299:F299"/>
    <mergeCell ref="D301:F301"/>
    <mergeCell ref="D303:F303"/>
    <mergeCell ref="D305:F305"/>
    <mergeCell ref="D311:F311"/>
    <mergeCell ref="D313:F313"/>
    <mergeCell ref="D314:F314"/>
    <mergeCell ref="D316:F316"/>
    <mergeCell ref="D318:F318"/>
    <mergeCell ref="D326:F326"/>
    <mergeCell ref="D328:F328"/>
    <mergeCell ref="D418:F418"/>
    <mergeCell ref="D419:F419"/>
    <mergeCell ref="D421:F421"/>
    <mergeCell ref="D423:F423"/>
    <mergeCell ref="D425:F425"/>
    <mergeCell ref="D404:F404"/>
    <mergeCell ref="D406:F406"/>
    <mergeCell ref="D408:F408"/>
    <mergeCell ref="D410:F410"/>
    <mergeCell ref="D416:F416"/>
    <mergeCell ref="D440:F440"/>
    <mergeCell ref="D446:F446"/>
    <mergeCell ref="D448:F448"/>
    <mergeCell ref="D449:F449"/>
    <mergeCell ref="D451:F451"/>
    <mergeCell ref="D431:F431"/>
    <mergeCell ref="D433:F433"/>
    <mergeCell ref="D434:F434"/>
    <mergeCell ref="D436:F436"/>
    <mergeCell ref="D438:F438"/>
    <mergeCell ref="D466:F466"/>
    <mergeCell ref="D468:F468"/>
    <mergeCell ref="D470:F470"/>
    <mergeCell ref="D476:F476"/>
    <mergeCell ref="D478:F478"/>
    <mergeCell ref="D453:F453"/>
    <mergeCell ref="D455:F455"/>
    <mergeCell ref="D461:F461"/>
    <mergeCell ref="D463:F463"/>
    <mergeCell ref="D464:F464"/>
    <mergeCell ref="D508:F508"/>
    <mergeCell ref="D509:F509"/>
    <mergeCell ref="D511:F511"/>
    <mergeCell ref="D513:F513"/>
    <mergeCell ref="D515:F515"/>
    <mergeCell ref="D479:F479"/>
    <mergeCell ref="D481:F481"/>
    <mergeCell ref="D483:F483"/>
    <mergeCell ref="D485:F485"/>
    <mergeCell ref="D506:F506"/>
    <mergeCell ref="D493:F493"/>
    <mergeCell ref="D494:F494"/>
    <mergeCell ref="D496:F496"/>
    <mergeCell ref="D498:F498"/>
    <mergeCell ref="D500:F500"/>
    <mergeCell ref="D530:F530"/>
    <mergeCell ref="D536:F536"/>
    <mergeCell ref="D538:F538"/>
    <mergeCell ref="D539:F539"/>
    <mergeCell ref="D541:F541"/>
    <mergeCell ref="D521:F521"/>
    <mergeCell ref="D523:F523"/>
    <mergeCell ref="D524:F524"/>
    <mergeCell ref="D526:F526"/>
    <mergeCell ref="D528:F528"/>
    <mergeCell ref="D581:F581"/>
    <mergeCell ref="D556:F556"/>
    <mergeCell ref="D558:F558"/>
    <mergeCell ref="D560:F560"/>
    <mergeCell ref="D566:F566"/>
    <mergeCell ref="D568:F568"/>
    <mergeCell ref="D543:F543"/>
    <mergeCell ref="D545:F545"/>
    <mergeCell ref="D551:F551"/>
    <mergeCell ref="D553:F553"/>
    <mergeCell ref="D554:F554"/>
    <mergeCell ref="D618:F618"/>
    <mergeCell ref="D620:F620"/>
    <mergeCell ref="C49:E49"/>
    <mergeCell ref="C50:E50"/>
    <mergeCell ref="C51:E51"/>
    <mergeCell ref="D605:F605"/>
    <mergeCell ref="D611:F611"/>
    <mergeCell ref="D613:F613"/>
    <mergeCell ref="D614:F614"/>
    <mergeCell ref="D616:F616"/>
    <mergeCell ref="D596:F596"/>
    <mergeCell ref="D598:F598"/>
    <mergeCell ref="D599:F599"/>
    <mergeCell ref="D601:F601"/>
    <mergeCell ref="D603:F603"/>
    <mergeCell ref="D583:F583"/>
    <mergeCell ref="D584:F584"/>
    <mergeCell ref="D586:F586"/>
    <mergeCell ref="D588:F588"/>
    <mergeCell ref="D590:F590"/>
    <mergeCell ref="D569:F569"/>
    <mergeCell ref="D571:F571"/>
    <mergeCell ref="D573:F573"/>
    <mergeCell ref="D575:F57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50"/>
  <sheetViews>
    <sheetView tabSelected="1" zoomScale="70" zoomScaleNormal="70" workbookViewId="0">
      <selection activeCell="C17" sqref="C17:G17"/>
    </sheetView>
  </sheetViews>
  <sheetFormatPr baseColWidth="10" defaultColWidth="9.140625" defaultRowHeight="12.75" x14ac:dyDescent="0.2"/>
  <cols>
    <col min="1" max="1" width="5.5703125" style="2" customWidth="1"/>
    <col min="2" max="2" width="15.140625" style="2" customWidth="1"/>
    <col min="3" max="3" width="14.140625" style="2" customWidth="1"/>
    <col min="4" max="4" width="26" style="2" customWidth="1"/>
    <col min="5" max="5" width="8" style="2" customWidth="1"/>
    <col min="6" max="6" width="7.85546875" style="2" customWidth="1"/>
    <col min="7" max="7" width="42" style="2" customWidth="1"/>
    <col min="8" max="8" width="9.28515625" style="2" customWidth="1"/>
    <col min="9" max="9" width="15.5703125" style="2" customWidth="1"/>
    <col min="10" max="10" width="14.7109375" style="2" customWidth="1"/>
    <col min="11" max="11" width="15.5703125" style="2" customWidth="1"/>
    <col min="12" max="14" width="5.85546875" style="2" customWidth="1"/>
    <col min="15" max="15" width="12.5703125" style="2" customWidth="1"/>
    <col min="16" max="1024" width="9.140625" style="2"/>
  </cols>
  <sheetData>
    <row r="1" spans="1:11" ht="18" customHeight="1" x14ac:dyDescent="0.2">
      <c r="A1" s="89" t="s">
        <v>19</v>
      </c>
      <c r="B1" s="89"/>
      <c r="C1" s="89"/>
      <c r="D1" s="89"/>
      <c r="E1" s="89"/>
      <c r="F1" s="89"/>
      <c r="G1" s="89"/>
      <c r="H1" s="89"/>
      <c r="I1" s="89"/>
      <c r="J1" s="3" t="s">
        <v>20</v>
      </c>
      <c r="K1" s="65" t="s">
        <v>172</v>
      </c>
    </row>
    <row r="2" spans="1:11" ht="18.75" customHeight="1" thickBot="1" x14ac:dyDescent="0.25">
      <c r="A2" s="4"/>
      <c r="B2" s="4"/>
      <c r="C2" s="4"/>
      <c r="D2" s="5"/>
      <c r="E2" s="5"/>
      <c r="F2" s="5"/>
      <c r="G2" s="5"/>
      <c r="H2" s="5"/>
      <c r="I2" s="5"/>
      <c r="J2" s="5"/>
      <c r="K2" s="5"/>
    </row>
    <row r="3" spans="1:11" ht="18.75" customHeight="1" thickBot="1" x14ac:dyDescent="0.25">
      <c r="A3" s="90" t="s">
        <v>53</v>
      </c>
      <c r="B3" s="90"/>
      <c r="C3" s="90"/>
      <c r="D3" s="91" t="str">
        <f>'Necesidades Trimestrales'!C4</f>
        <v>40 - Ministerio de Salud</v>
      </c>
      <c r="E3" s="91"/>
      <c r="F3" s="91"/>
      <c r="G3" s="91"/>
      <c r="H3" s="91"/>
      <c r="I3" s="91"/>
      <c r="J3" s="91"/>
      <c r="K3" s="91"/>
    </row>
    <row r="4" spans="1:11" ht="18.75" customHeight="1" thickBot="1" x14ac:dyDescent="0.25">
      <c r="A4" s="92" t="s">
        <v>54</v>
      </c>
      <c r="B4" s="92"/>
      <c r="C4" s="92"/>
      <c r="D4" s="91" t="str">
        <f>'Necesidades Trimestrales'!C5</f>
        <v>23 - Hospital Interzonal San Juan Bautista</v>
      </c>
      <c r="E4" s="91"/>
      <c r="F4" s="91"/>
      <c r="G4" s="91"/>
      <c r="H4" s="91"/>
      <c r="I4" s="91"/>
      <c r="J4" s="91"/>
      <c r="K4" s="91"/>
    </row>
    <row r="5" spans="1:11" ht="18.75" customHeight="1" thickBot="1" x14ac:dyDescent="0.25">
      <c r="A5" s="92" t="s">
        <v>32</v>
      </c>
      <c r="B5" s="92"/>
      <c r="C5" s="92"/>
      <c r="D5" s="91" t="s">
        <v>171</v>
      </c>
      <c r="E5" s="91"/>
      <c r="F5" s="91"/>
      <c r="G5" s="91"/>
      <c r="H5" s="91"/>
      <c r="I5" s="91"/>
      <c r="J5" s="91"/>
      <c r="K5" s="91"/>
    </row>
    <row r="6" spans="1:11" ht="16.5" customHeight="1" thickBot="1" x14ac:dyDescent="0.25">
      <c r="A6" s="90" t="s">
        <v>55</v>
      </c>
      <c r="B6" s="90"/>
      <c r="C6" s="90"/>
      <c r="D6" s="91" t="s">
        <v>170</v>
      </c>
      <c r="E6" s="91"/>
      <c r="F6" s="91"/>
      <c r="G6" s="91"/>
      <c r="H6" s="91"/>
      <c r="I6" s="91"/>
      <c r="J6" s="91"/>
      <c r="K6" s="91"/>
    </row>
    <row r="7" spans="1:11" ht="16.5" customHeight="1" x14ac:dyDescent="0.2">
      <c r="A7" s="92" t="s">
        <v>21</v>
      </c>
      <c r="B7" s="92"/>
      <c r="C7" s="92"/>
      <c r="D7" s="91" t="str">
        <f>'Necesidades Trimestrales'!C7 &amp; "° Trimestre - Año " &amp; 'Necesidades Trimestrales'!C6</f>
        <v>3° Trimestre - Año 2021</v>
      </c>
      <c r="E7" s="91"/>
      <c r="F7" s="91"/>
      <c r="G7" s="91"/>
      <c r="H7" s="91"/>
      <c r="I7" s="91"/>
      <c r="J7" s="91"/>
      <c r="K7" s="91"/>
    </row>
    <row r="8" spans="1:11" ht="16.5" customHeight="1" x14ac:dyDescent="0.2">
      <c r="A8" s="93" t="s">
        <v>22</v>
      </c>
      <c r="B8" s="93"/>
      <c r="C8" s="93"/>
      <c r="D8" s="94" t="s">
        <v>168</v>
      </c>
      <c r="E8" s="94"/>
      <c r="F8" s="94"/>
      <c r="G8" s="94"/>
      <c r="H8" s="94"/>
      <c r="I8" s="94"/>
      <c r="J8" s="94"/>
      <c r="K8" s="94"/>
    </row>
    <row r="9" spans="1:11" ht="15.75" x14ac:dyDescent="0.2">
      <c r="A9" s="6"/>
      <c r="B9" s="6"/>
      <c r="C9" s="6"/>
      <c r="D9" s="7"/>
      <c r="E9" s="7"/>
      <c r="F9" s="7"/>
      <c r="G9" s="7"/>
      <c r="H9" s="7"/>
      <c r="I9" s="7"/>
      <c r="J9" s="7"/>
      <c r="K9" s="7"/>
    </row>
    <row r="10" spans="1:11" ht="18.75" customHeight="1" x14ac:dyDescent="0.2">
      <c r="A10" s="95" t="s">
        <v>23</v>
      </c>
      <c r="B10" s="96" t="s">
        <v>24</v>
      </c>
      <c r="C10" s="96" t="s">
        <v>25</v>
      </c>
      <c r="D10" s="96"/>
      <c r="E10" s="96"/>
      <c r="F10" s="96"/>
      <c r="G10" s="96"/>
      <c r="H10" s="96" t="s">
        <v>26</v>
      </c>
      <c r="I10" s="96" t="s">
        <v>27</v>
      </c>
      <c r="J10" s="96" t="s">
        <v>28</v>
      </c>
      <c r="K10" s="97" t="s">
        <v>29</v>
      </c>
    </row>
    <row r="11" spans="1:11" ht="24" customHeight="1" thickBot="1" x14ac:dyDescent="0.25">
      <c r="A11" s="95"/>
      <c r="B11" s="96"/>
      <c r="C11" s="96"/>
      <c r="D11" s="96"/>
      <c r="E11" s="96"/>
      <c r="F11" s="96"/>
      <c r="G11" s="96"/>
      <c r="H11" s="96"/>
      <c r="I11" s="96"/>
      <c r="J11" s="96"/>
      <c r="K11" s="97"/>
    </row>
    <row r="12" spans="1:11" ht="33" customHeight="1" thickBot="1" x14ac:dyDescent="0.25">
      <c r="A12" s="8">
        <v>1</v>
      </c>
      <c r="B12" s="66" t="str">
        <f>'Necesidades Trimestrales'!B10</f>
        <v>2.9.6-1355.1368</v>
      </c>
      <c r="C12" s="100" t="str">
        <f>'Necesidades Trimestrales'!E10</f>
        <v>CARTUCHOS DE TINTA; CODIGO: 840C 6615, USO: HEWLETT PACKARD</v>
      </c>
      <c r="D12" s="100"/>
      <c r="E12" s="100"/>
      <c r="F12" s="100"/>
      <c r="G12" s="100"/>
      <c r="H12" s="67" t="s">
        <v>191</v>
      </c>
      <c r="I12" s="68" t="str">
        <f>'Necesidades Trimestrales'!F10</f>
        <v>UNIDAD</v>
      </c>
      <c r="J12" s="69">
        <f>'Necesidades Trimestrales'!H10</f>
        <v>1800</v>
      </c>
      <c r="K12" s="70">
        <f>'Necesidades Trimestrales'!G10</f>
        <v>9</v>
      </c>
    </row>
    <row r="13" spans="1:11" ht="33" customHeight="1" thickBot="1" x14ac:dyDescent="0.25">
      <c r="A13" s="8">
        <v>2</v>
      </c>
      <c r="B13" s="66" t="str">
        <f>'Necesidades Trimestrales'!B11</f>
        <v>2.9.6-1355.1369</v>
      </c>
      <c r="C13" s="100" t="str">
        <f>'Necesidades Trimestrales'!E11</f>
        <v xml:space="preserve">CARTUCHOS DE TINTA; CODIGO: 840C 6625, USO: DESK JET </v>
      </c>
      <c r="D13" s="100"/>
      <c r="E13" s="100"/>
      <c r="F13" s="100"/>
      <c r="G13" s="100"/>
      <c r="H13" s="67" t="s">
        <v>191</v>
      </c>
      <c r="I13" s="68" t="str">
        <f>'Necesidades Trimestrales'!F11</f>
        <v>UNIDAD</v>
      </c>
      <c r="J13" s="69">
        <f>'Necesidades Trimestrales'!H11</f>
        <v>2100</v>
      </c>
      <c r="K13" s="70">
        <f>'Necesidades Trimestrales'!G11</f>
        <v>9</v>
      </c>
    </row>
    <row r="14" spans="1:11" ht="33" customHeight="1" thickBot="1" x14ac:dyDescent="0.25">
      <c r="A14" s="8">
        <v>3</v>
      </c>
      <c r="B14" s="66" t="str">
        <f>'Necesidades Trimestrales'!B12</f>
        <v>2.9.6-1355.1409</v>
      </c>
      <c r="C14" s="100" t="str">
        <f>'Necesidades Trimestrales'!E12</f>
        <v>CARTUCHOS DE TINTA; CODIGO: HP 21, USO: HEWLETT PACKARD</v>
      </c>
      <c r="D14" s="100"/>
      <c r="E14" s="100"/>
      <c r="F14" s="100"/>
      <c r="G14" s="100"/>
      <c r="H14" s="67" t="s">
        <v>191</v>
      </c>
      <c r="I14" s="68" t="str">
        <f>'Necesidades Trimestrales'!F12</f>
        <v>UNIDAD</v>
      </c>
      <c r="J14" s="69">
        <f>'Necesidades Trimestrales'!H12</f>
        <v>2380</v>
      </c>
      <c r="K14" s="70">
        <f>'Necesidades Trimestrales'!G12</f>
        <v>30</v>
      </c>
    </row>
    <row r="15" spans="1:11" ht="33" customHeight="1" thickBot="1" x14ac:dyDescent="0.25">
      <c r="A15" s="8">
        <v>4</v>
      </c>
      <c r="B15" s="66" t="str">
        <f>'Necesidades Trimestrales'!B13</f>
        <v>2.9.6-1355.1140</v>
      </c>
      <c r="C15" s="100" t="str">
        <f>'Necesidades Trimestrales'!E13</f>
        <v>CARTUCHOS DE TINTA; CODIGO: C9352AL, DESCRIPCION: SIN VALOR, COLOR: SIN VALOR, USO: HEWLETT PACKARD</v>
      </c>
      <c r="D15" s="100"/>
      <c r="E15" s="100"/>
      <c r="F15" s="100"/>
      <c r="G15" s="100"/>
      <c r="H15" s="67" t="s">
        <v>191</v>
      </c>
      <c r="I15" s="68" t="str">
        <f>'Necesidades Trimestrales'!F13</f>
        <v>UNIDAD</v>
      </c>
      <c r="J15" s="69">
        <f>'Necesidades Trimestrales'!H13</f>
        <v>2580</v>
      </c>
      <c r="K15" s="70">
        <f>'Necesidades Trimestrales'!G13</f>
        <v>30</v>
      </c>
    </row>
    <row r="16" spans="1:11" ht="33" customHeight="1" thickBot="1" x14ac:dyDescent="0.25">
      <c r="A16" s="8">
        <v>5</v>
      </c>
      <c r="B16" s="66" t="str">
        <f>'Necesidades Trimestrales'!B14</f>
        <v>2.9.6-401.2193</v>
      </c>
      <c r="C16" s="100" t="str">
        <f>'Necesidades Trimestrales'!E14</f>
        <v>CARTUCHOS DE TONER; CODIGO: SP 310 DNW, USO: LASER RICOH</v>
      </c>
      <c r="D16" s="100"/>
      <c r="E16" s="100"/>
      <c r="F16" s="100"/>
      <c r="G16" s="100"/>
      <c r="H16" s="67" t="s">
        <v>191</v>
      </c>
      <c r="I16" s="68" t="str">
        <f>'Necesidades Trimestrales'!F14</f>
        <v>UNIDAD</v>
      </c>
      <c r="J16" s="69">
        <f>'Necesidades Trimestrales'!H14</f>
        <v>7700</v>
      </c>
      <c r="K16" s="70">
        <f>'Necesidades Trimestrales'!G14</f>
        <v>20</v>
      </c>
    </row>
    <row r="17" spans="1:11" ht="33" customHeight="1" thickBot="1" x14ac:dyDescent="0.25">
      <c r="A17" s="8">
        <v>6</v>
      </c>
      <c r="B17" s="66" t="str">
        <f>'Necesidades Trimestrales'!B15</f>
        <v>2.9.6-401.2377</v>
      </c>
      <c r="C17" s="100" t="str">
        <f>'Necesidades Trimestrales'!E15</f>
        <v>CARTUCHOS DE TONER; CODIGO: CF279A, USO: HEWLETT PACKARD</v>
      </c>
      <c r="D17" s="100"/>
      <c r="E17" s="100"/>
      <c r="F17" s="100"/>
      <c r="G17" s="100"/>
      <c r="H17" s="67" t="s">
        <v>191</v>
      </c>
      <c r="I17" s="68" t="str">
        <f>'Necesidades Trimestrales'!F15</f>
        <v>UNIDAD</v>
      </c>
      <c r="J17" s="69">
        <f>'Necesidades Trimestrales'!H15</f>
        <v>1310.9</v>
      </c>
      <c r="K17" s="70">
        <f>'Necesidades Trimestrales'!G15</f>
        <v>10</v>
      </c>
    </row>
    <row r="18" spans="1:11" ht="33" customHeight="1" thickBot="1" x14ac:dyDescent="0.25">
      <c r="A18" s="8">
        <v>7</v>
      </c>
      <c r="B18" s="66" t="str">
        <f>'Necesidades Trimestrales'!B16</f>
        <v>2.9.6-1355.1379</v>
      </c>
      <c r="C18" s="100" t="str">
        <f>'Necesidades Trimestrales'!E16</f>
        <v>CARTUCHOS DE TINTA; CODIGO: C6656A, USO: HP 5650</v>
      </c>
      <c r="D18" s="100"/>
      <c r="E18" s="100"/>
      <c r="F18" s="100"/>
      <c r="G18" s="100"/>
      <c r="H18" s="67" t="s">
        <v>191</v>
      </c>
      <c r="I18" s="68" t="str">
        <f>'Necesidades Trimestrales'!F16</f>
        <v>UNIDAD</v>
      </c>
      <c r="J18" s="69">
        <f>'Necesidades Trimestrales'!H16</f>
        <v>2096</v>
      </c>
      <c r="K18" s="70">
        <f>'Necesidades Trimestrales'!G16</f>
        <v>4</v>
      </c>
    </row>
    <row r="19" spans="1:11" ht="33" customHeight="1" thickBot="1" x14ac:dyDescent="0.25">
      <c r="A19" s="8">
        <v>8</v>
      </c>
      <c r="B19" s="66" t="str">
        <f>'Necesidades Trimestrales'!B17</f>
        <v>2.9.6-1355.623</v>
      </c>
      <c r="C19" s="100" t="str">
        <f>'Necesidades Trimestrales'!E17</f>
        <v>CARTUCHOS DE TINTA; CODIGO: C6657A, PRODUCTO: CARTUCHO DE TINTA, COLOR: COLOR, USO: HEWLETT PACKARD, DESCRIPCION: CARTUCHO DE TINTA</v>
      </c>
      <c r="D19" s="100"/>
      <c r="E19" s="100"/>
      <c r="F19" s="100"/>
      <c r="G19" s="100"/>
      <c r="H19" s="67" t="s">
        <v>191</v>
      </c>
      <c r="I19" s="68" t="str">
        <f>'Necesidades Trimestrales'!F17</f>
        <v>UNIDAD</v>
      </c>
      <c r="J19" s="69">
        <f>'Necesidades Trimestrales'!H17</f>
        <v>3435</v>
      </c>
      <c r="K19" s="70">
        <f>'Necesidades Trimestrales'!G17</f>
        <v>4</v>
      </c>
    </row>
    <row r="20" spans="1:11" ht="33" customHeight="1" thickBot="1" x14ac:dyDescent="0.25">
      <c r="A20" s="8">
        <v>9</v>
      </c>
      <c r="B20" s="66" t="str">
        <f>'Necesidades Trimestrales'!B18</f>
        <v>2.9.6-401.2056</v>
      </c>
      <c r="C20" s="100" t="str">
        <f>'Necesidades Trimestrales'!E18</f>
        <v>CARTUCHOS DE TONER; CODIGO: CC640WL, USO: HEWLETT PACKARD</v>
      </c>
      <c r="D20" s="100"/>
      <c r="E20" s="100"/>
      <c r="F20" s="100"/>
      <c r="G20" s="100"/>
      <c r="H20" s="67" t="s">
        <v>191</v>
      </c>
      <c r="I20" s="68" t="str">
        <f>'Necesidades Trimestrales'!F18</f>
        <v>UNIDAD</v>
      </c>
      <c r="J20" s="69">
        <f>'Necesidades Trimestrales'!H18</f>
        <v>2953.59</v>
      </c>
      <c r="K20" s="70">
        <f>'Necesidades Trimestrales'!G18</f>
        <v>21</v>
      </c>
    </row>
    <row r="21" spans="1:11" ht="33" customHeight="1" thickBot="1" x14ac:dyDescent="0.25">
      <c r="A21" s="8">
        <v>10</v>
      </c>
      <c r="B21" s="66" t="str">
        <f>'Necesidades Trimestrales'!B19</f>
        <v>2.9.6-401.1502</v>
      </c>
      <c r="C21" s="100" t="str">
        <f>'Necesidades Trimestrales'!E19</f>
        <v>CARTUCHOS DE TONER; CODIGO: CC643WL, USO: HEWLETT PACKARD</v>
      </c>
      <c r="D21" s="100"/>
      <c r="E21" s="100"/>
      <c r="F21" s="100"/>
      <c r="G21" s="100"/>
      <c r="H21" s="67" t="s">
        <v>191</v>
      </c>
      <c r="I21" s="68" t="str">
        <f>'Necesidades Trimestrales'!F19</f>
        <v>UNIDAD</v>
      </c>
      <c r="J21" s="69">
        <f>'Necesidades Trimestrales'!H19</f>
        <v>3526.92</v>
      </c>
      <c r="K21" s="70">
        <f>'Necesidades Trimestrales'!G19</f>
        <v>21</v>
      </c>
    </row>
    <row r="22" spans="1:11" ht="33" customHeight="1" thickBot="1" x14ac:dyDescent="0.25">
      <c r="A22" s="8">
        <v>11</v>
      </c>
      <c r="B22" s="66" t="str">
        <f>'Necesidades Trimestrales'!B20</f>
        <v>2.9.6-401.1486</v>
      </c>
      <c r="C22" s="100" t="str">
        <f>'Necesidades Trimestrales'!E20</f>
        <v>CARTUCHOS DE TONER; CODIGO: HP 53A, USO: HP</v>
      </c>
      <c r="D22" s="100"/>
      <c r="E22" s="100"/>
      <c r="F22" s="100"/>
      <c r="G22" s="100"/>
      <c r="H22" s="67" t="s">
        <v>191</v>
      </c>
      <c r="I22" s="68" t="str">
        <f>'Necesidades Trimestrales'!F20</f>
        <v>UNIDAD</v>
      </c>
      <c r="J22" s="69">
        <f>'Necesidades Trimestrales'!H20</f>
        <v>1879.85</v>
      </c>
      <c r="K22" s="70">
        <f>'Necesidades Trimestrales'!G20</f>
        <v>20</v>
      </c>
    </row>
    <row r="23" spans="1:11" ht="33" customHeight="1" thickBot="1" x14ac:dyDescent="0.25">
      <c r="A23" s="8">
        <v>12</v>
      </c>
      <c r="B23" s="66" t="str">
        <f>'Necesidades Trimestrales'!B21</f>
        <v>2.9.6-401.932</v>
      </c>
      <c r="C23" s="100" t="str">
        <f>'Necesidades Trimestrales'!E21</f>
        <v>CARTUCHOS DE TONER; CODIGO: Q7551A, COLOR: NEGRO, DESCRIPCION: CARTUCHO TONER, USO: HEWLETT PACKARD</v>
      </c>
      <c r="D23" s="100"/>
      <c r="E23" s="100"/>
      <c r="F23" s="100"/>
      <c r="G23" s="100"/>
      <c r="H23" s="67" t="s">
        <v>191</v>
      </c>
      <c r="I23" s="68" t="str">
        <f>'Necesidades Trimestrales'!F21</f>
        <v>UNIDAD</v>
      </c>
      <c r="J23" s="69">
        <f>'Necesidades Trimestrales'!H21</f>
        <v>4500</v>
      </c>
      <c r="K23" s="70">
        <f>'Necesidades Trimestrales'!G21</f>
        <v>1</v>
      </c>
    </row>
    <row r="24" spans="1:11" ht="33" customHeight="1" thickBot="1" x14ac:dyDescent="0.25">
      <c r="A24" s="8">
        <v>13</v>
      </c>
      <c r="B24" s="66" t="str">
        <f>'Necesidades Trimestrales'!B22</f>
        <v>2.9.6-401.2024</v>
      </c>
      <c r="C24" s="100" t="str">
        <f>'Necesidades Trimestrales'!E22</f>
        <v>CARTUCHOS DE TONER; CODIGO: MLT-D111S, USO: SAMSUNG</v>
      </c>
      <c r="D24" s="100"/>
      <c r="E24" s="100"/>
      <c r="F24" s="100"/>
      <c r="G24" s="100"/>
      <c r="H24" s="67" t="s">
        <v>191</v>
      </c>
      <c r="I24" s="68" t="str">
        <f>'Necesidades Trimestrales'!F22</f>
        <v>UNIDAD</v>
      </c>
      <c r="J24" s="69">
        <f>'Necesidades Trimestrales'!H22</f>
        <v>4700</v>
      </c>
      <c r="K24" s="70">
        <f>'Necesidades Trimestrales'!G22</f>
        <v>20</v>
      </c>
    </row>
    <row r="25" spans="1:11" ht="33" customHeight="1" thickBot="1" x14ac:dyDescent="0.25">
      <c r="A25" s="8">
        <v>14</v>
      </c>
      <c r="B25" s="66" t="str">
        <f>'Necesidades Trimestrales'!B23</f>
        <v>2.9.6-401.1362</v>
      </c>
      <c r="C25" s="100" t="str">
        <f>'Necesidades Trimestrales'!E23</f>
        <v>CARTUCHOS DE TONER; CODIGO: CE285A, USO: HEWLETT PACKARD</v>
      </c>
      <c r="D25" s="100"/>
      <c r="E25" s="100"/>
      <c r="F25" s="100"/>
      <c r="G25" s="100"/>
      <c r="H25" s="67" t="s">
        <v>191</v>
      </c>
      <c r="I25" s="68" t="str">
        <f>'Necesidades Trimestrales'!F23</f>
        <v>UNIDAD</v>
      </c>
      <c r="J25" s="69">
        <f>'Necesidades Trimestrales'!H23</f>
        <v>1025.45</v>
      </c>
      <c r="K25" s="70">
        <f>'Necesidades Trimestrales'!G23</f>
        <v>36</v>
      </c>
    </row>
    <row r="26" spans="1:11" ht="33" customHeight="1" thickBot="1" x14ac:dyDescent="0.25">
      <c r="A26" s="8">
        <v>15</v>
      </c>
      <c r="B26" s="66" t="str">
        <f>'Necesidades Trimestrales'!B24</f>
        <v>2.9.6-401.2093</v>
      </c>
      <c r="C26" s="100" t="str">
        <f>'Necesidades Trimestrales'!E24</f>
        <v>CARTUCHOS DE TONER; CODIGO: SP5210DN, USO: LANIER RICOH</v>
      </c>
      <c r="D26" s="100"/>
      <c r="E26" s="100"/>
      <c r="F26" s="100"/>
      <c r="G26" s="100"/>
      <c r="H26" s="67" t="s">
        <v>191</v>
      </c>
      <c r="I26" s="68" t="str">
        <f>'Necesidades Trimestrales'!F24</f>
        <v>UNIDAD</v>
      </c>
      <c r="J26" s="69">
        <f>'Necesidades Trimestrales'!H24</f>
        <v>7400</v>
      </c>
      <c r="K26" s="70">
        <f>'Necesidades Trimestrales'!G24</f>
        <v>3</v>
      </c>
    </row>
    <row r="27" spans="1:11" ht="33" customHeight="1" thickBot="1" x14ac:dyDescent="0.25">
      <c r="A27" s="8">
        <v>16</v>
      </c>
      <c r="B27" s="66" t="str">
        <f>'Necesidades Trimestrales'!B25</f>
        <v>2.9.6-401.2045</v>
      </c>
      <c r="C27" s="100" t="str">
        <f>'Necesidades Trimestrales'!E25</f>
        <v>CARTUCHOS DE TONER; CODIGO: TN 1060, USO: BROTHER</v>
      </c>
      <c r="D27" s="100"/>
      <c r="E27" s="100"/>
      <c r="F27" s="100"/>
      <c r="G27" s="100"/>
      <c r="H27" s="67" t="s">
        <v>191</v>
      </c>
      <c r="I27" s="68" t="str">
        <f>'Necesidades Trimestrales'!F25</f>
        <v>UNIDAD</v>
      </c>
      <c r="J27" s="69">
        <f>'Necesidades Trimestrales'!H25</f>
        <v>1118.96</v>
      </c>
      <c r="K27" s="70">
        <f>'Necesidades Trimestrales'!G25</f>
        <v>36</v>
      </c>
    </row>
    <row r="28" spans="1:11" ht="33" customHeight="1" thickBot="1" x14ac:dyDescent="0.25">
      <c r="A28" s="8">
        <v>17</v>
      </c>
      <c r="B28" s="66" t="str">
        <f>'Necesidades Trimestrales'!B26</f>
        <v>2.9.6-1355.1631</v>
      </c>
      <c r="C28" s="100" t="str">
        <f>'Necesidades Trimestrales'!E26</f>
        <v>CARTUCHOS DE TINTA; CODIGO: CH561HL, USO: HEWLETT PACKARD</v>
      </c>
      <c r="D28" s="100"/>
      <c r="E28" s="100"/>
      <c r="F28" s="100"/>
      <c r="G28" s="100"/>
      <c r="H28" s="67" t="s">
        <v>191</v>
      </c>
      <c r="I28" s="68" t="str">
        <f>'Necesidades Trimestrales'!F26</f>
        <v>UNIDAD</v>
      </c>
      <c r="J28" s="69">
        <f>'Necesidades Trimestrales'!H26</f>
        <v>2996.26</v>
      </c>
      <c r="K28" s="70">
        <f>'Necesidades Trimestrales'!G26</f>
        <v>12</v>
      </c>
    </row>
    <row r="29" spans="1:11" ht="33" customHeight="1" thickBot="1" x14ac:dyDescent="0.25">
      <c r="A29" s="8">
        <v>18</v>
      </c>
      <c r="B29" s="66" t="str">
        <f>'Necesidades Trimestrales'!B27</f>
        <v>2.9.6-1355.1630</v>
      </c>
      <c r="C29" s="100" t="str">
        <f>'Necesidades Trimestrales'!E27</f>
        <v>CARTUCHOS DE TINTA; CODIGO: CH562HL, USO: HEWLETT PACKARD</v>
      </c>
      <c r="D29" s="100"/>
      <c r="E29" s="100"/>
      <c r="F29" s="100"/>
      <c r="G29" s="100"/>
      <c r="H29" s="67" t="s">
        <v>191</v>
      </c>
      <c r="I29" s="68" t="str">
        <f>'Necesidades Trimestrales'!F27</f>
        <v>UNIDAD</v>
      </c>
      <c r="J29" s="69">
        <f>'Necesidades Trimestrales'!H27</f>
        <v>3326.92</v>
      </c>
      <c r="K29" s="70">
        <f>'Necesidades Trimestrales'!G27</f>
        <v>12</v>
      </c>
    </row>
    <row r="30" spans="1:11" ht="33" customHeight="1" thickBot="1" x14ac:dyDescent="0.25">
      <c r="A30" s="8">
        <v>19</v>
      </c>
      <c r="B30" s="66" t="str">
        <f>'Necesidades Trimestrales'!B28</f>
        <v>2.9.6-401.1172</v>
      </c>
      <c r="C30" s="100" t="str">
        <f>'Necesidades Trimestrales'!E28</f>
        <v>CARTUCHOS DE TONER; CODIGO: CC364A, USO: HEWLETT PACKARD</v>
      </c>
      <c r="D30" s="100"/>
      <c r="E30" s="100"/>
      <c r="F30" s="100"/>
      <c r="G30" s="100"/>
      <c r="H30" s="67" t="s">
        <v>191</v>
      </c>
      <c r="I30" s="68" t="str">
        <f>'Necesidades Trimestrales'!F28</f>
        <v>UNIDAD</v>
      </c>
      <c r="J30" s="69">
        <f>'Necesidades Trimestrales'!H28</f>
        <v>27000</v>
      </c>
      <c r="K30" s="70">
        <f>'Necesidades Trimestrales'!G28</f>
        <v>5</v>
      </c>
    </row>
    <row r="31" spans="1:11" ht="33" customHeight="1" thickBot="1" x14ac:dyDescent="0.25">
      <c r="A31" s="8">
        <v>20</v>
      </c>
      <c r="B31" s="66" t="str">
        <f>'Necesidades Trimestrales'!B29</f>
        <v>2.9.6-401.1859</v>
      </c>
      <c r="C31" s="100" t="str">
        <f>'Necesidades Trimestrales'!E29</f>
        <v>CARTUCHOS DE TONER; CODIGO: MLT-D101S, USO: SAMSUNG 2165</v>
      </c>
      <c r="D31" s="100"/>
      <c r="E31" s="100"/>
      <c r="F31" s="100"/>
      <c r="G31" s="100"/>
      <c r="H31" s="67" t="s">
        <v>191</v>
      </c>
      <c r="I31" s="68" t="str">
        <f>'Necesidades Trimestrales'!F29</f>
        <v>UNIDAD</v>
      </c>
      <c r="J31" s="69">
        <f>'Necesidades Trimestrales'!H29</f>
        <v>1611.3</v>
      </c>
      <c r="K31" s="70">
        <f>'Necesidades Trimestrales'!G29</f>
        <v>21</v>
      </c>
    </row>
    <row r="32" spans="1:11" ht="33" customHeight="1" thickBot="1" x14ac:dyDescent="0.25">
      <c r="A32" s="8">
        <v>21</v>
      </c>
      <c r="B32" s="66" t="str">
        <f>'Necesidades Trimestrales'!B30</f>
        <v>2.9.6-1355.1858</v>
      </c>
      <c r="C32" s="100" t="str">
        <f>'Necesidades Trimestrales'!E30</f>
        <v>CARTUCHOS DE TINTA; CODIGO: CZ103XL, USO: HP 3515</v>
      </c>
      <c r="D32" s="100"/>
      <c r="E32" s="100"/>
      <c r="F32" s="100"/>
      <c r="G32" s="100"/>
      <c r="H32" s="67" t="s">
        <v>191</v>
      </c>
      <c r="I32" s="68" t="str">
        <f>'Necesidades Trimestrales'!F30</f>
        <v>UNIDAD</v>
      </c>
      <c r="J32" s="69">
        <f>'Necesidades Trimestrales'!H30</f>
        <v>4406.8999999999996</v>
      </c>
      <c r="K32" s="70">
        <f>'Necesidades Trimestrales'!G30</f>
        <v>24</v>
      </c>
    </row>
    <row r="33" spans="1:11" ht="33" customHeight="1" thickBot="1" x14ac:dyDescent="0.25">
      <c r="A33" s="8">
        <v>22</v>
      </c>
      <c r="B33" s="66" t="str">
        <f>'Necesidades Trimestrales'!B31</f>
        <v>2.9.6-1355.1859</v>
      </c>
      <c r="C33" s="100" t="str">
        <f>'Necesidades Trimestrales'!E31</f>
        <v>CARTUCHOS DE TINTA; CODIGO: CZ104XL, USO: HP 3515</v>
      </c>
      <c r="D33" s="100"/>
      <c r="E33" s="100"/>
      <c r="F33" s="100"/>
      <c r="G33" s="100"/>
      <c r="H33" s="67" t="s">
        <v>191</v>
      </c>
      <c r="I33" s="68" t="str">
        <f>'Necesidades Trimestrales'!F31</f>
        <v>UNIDAD</v>
      </c>
      <c r="J33" s="69">
        <f>'Necesidades Trimestrales'!H31</f>
        <v>4721.82</v>
      </c>
      <c r="K33" s="70">
        <f>'Necesidades Trimestrales'!G31</f>
        <v>24</v>
      </c>
    </row>
    <row r="34" spans="1:11" ht="33" customHeight="1" thickBot="1" x14ac:dyDescent="0.25">
      <c r="A34" s="8">
        <v>23</v>
      </c>
      <c r="B34" s="66" t="str">
        <f>'Necesidades Trimestrales'!B32</f>
        <v>2.9.6-401.1060</v>
      </c>
      <c r="C34" s="100" t="str">
        <f>'Necesidades Trimestrales'!E32</f>
        <v>CARTUCHOS DE TONER; CODIGO: HPQ2612A, COLOR: SIN VALOR, DESCRIPCION: SIN VALOR, USO: HEWLETT PACKARD</v>
      </c>
      <c r="D34" s="100"/>
      <c r="E34" s="100"/>
      <c r="F34" s="100"/>
      <c r="G34" s="100"/>
      <c r="H34" s="67" t="s">
        <v>191</v>
      </c>
      <c r="I34" s="68" t="str">
        <f>'Necesidades Trimestrales'!F32</f>
        <v>UNIDAD</v>
      </c>
      <c r="J34" s="69">
        <f>'Necesidades Trimestrales'!H32</f>
        <v>1043.28</v>
      </c>
      <c r="K34" s="70">
        <f>'Necesidades Trimestrales'!G32</f>
        <v>4</v>
      </c>
    </row>
    <row r="35" spans="1:11" ht="33" customHeight="1" thickBot="1" x14ac:dyDescent="0.25">
      <c r="A35" s="8">
        <v>24</v>
      </c>
      <c r="B35" s="66" t="str">
        <f>'Necesidades Trimestrales'!B33</f>
        <v>2.9.6-1355.1988</v>
      </c>
      <c r="C35" s="100" t="str">
        <f>'Necesidades Trimestrales'!E33</f>
        <v>CARTUCHOS DE TINTA; CODIGO: 664, USO: HEWLET PACKARD</v>
      </c>
      <c r="D35" s="100"/>
      <c r="E35" s="100"/>
      <c r="F35" s="100"/>
      <c r="G35" s="100"/>
      <c r="H35" s="67" t="s">
        <v>191</v>
      </c>
      <c r="I35" s="68" t="str">
        <f>'Necesidades Trimestrales'!F33</f>
        <v>UNIDAD</v>
      </c>
      <c r="J35" s="69">
        <f>'Necesidades Trimestrales'!H33</f>
        <v>4406.8999999999996</v>
      </c>
      <c r="K35" s="70">
        <f>'Necesidades Trimestrales'!G33</f>
        <v>12</v>
      </c>
    </row>
    <row r="36" spans="1:11" ht="33" customHeight="1" thickBot="1" x14ac:dyDescent="0.25">
      <c r="A36" s="8">
        <v>25</v>
      </c>
      <c r="B36" s="66" t="str">
        <f>'Necesidades Trimestrales'!B34</f>
        <v>2.9.6-1355.1988</v>
      </c>
      <c r="C36" s="100" t="str">
        <f>'Necesidades Trimestrales'!E34</f>
        <v>CARTUCHOS DE TINTA; CODIGO: 664, USO: HEWLET PACKARD</v>
      </c>
      <c r="D36" s="100"/>
      <c r="E36" s="100"/>
      <c r="F36" s="100"/>
      <c r="G36" s="100"/>
      <c r="H36" s="67" t="s">
        <v>191</v>
      </c>
      <c r="I36" s="68" t="str">
        <f>'Necesidades Trimestrales'!F34</f>
        <v>UNIDAD</v>
      </c>
      <c r="J36" s="69">
        <f>'Necesidades Trimestrales'!H34</f>
        <v>4721.82</v>
      </c>
      <c r="K36" s="70">
        <f>'Necesidades Trimestrales'!G34</f>
        <v>12</v>
      </c>
    </row>
    <row r="37" spans="1:11" ht="33" customHeight="1" thickBot="1" x14ac:dyDescent="0.25">
      <c r="A37" s="8">
        <v>26</v>
      </c>
      <c r="B37" s="66" t="str">
        <f>'Necesidades Trimestrales'!B35</f>
        <v>2.9.6-1891.822</v>
      </c>
      <c r="C37" s="100" t="str">
        <f>'Necesidades Trimestrales'!E35</f>
        <v>REP. Y ACC. P/IMPRESORA; MODELO EQUIPO: L3110, MARCA EQUIPO: EPSON, ELEMENTO: BOTELLA DE TINTA</v>
      </c>
      <c r="D37" s="100"/>
      <c r="E37" s="100"/>
      <c r="F37" s="100"/>
      <c r="G37" s="100"/>
      <c r="H37" s="67" t="s">
        <v>191</v>
      </c>
      <c r="I37" s="68" t="str">
        <f>'Necesidades Trimestrales'!F35</f>
        <v>UNIDAD</v>
      </c>
      <c r="J37" s="69">
        <f>'Necesidades Trimestrales'!H35</f>
        <v>582.54999999999995</v>
      </c>
      <c r="K37" s="70">
        <f>'Necesidades Trimestrales'!G35</f>
        <v>8</v>
      </c>
    </row>
    <row r="38" spans="1:11" ht="33" customHeight="1" thickBot="1" x14ac:dyDescent="0.25">
      <c r="A38" s="8">
        <v>27</v>
      </c>
      <c r="B38" s="66" t="str">
        <f>'Necesidades Trimestrales'!B36</f>
        <v>2.9.6-1891.822</v>
      </c>
      <c r="C38" s="100" t="str">
        <f>'Necesidades Trimestrales'!E36</f>
        <v>REP. Y ACC. P/IMPRESORA; MODELO EQUIPO: L3110, MARCA EQUIPO: EPSON, ELEMENTO: BOTELLA DE TINTA</v>
      </c>
      <c r="D38" s="100"/>
      <c r="E38" s="100"/>
      <c r="F38" s="100"/>
      <c r="G38" s="100"/>
      <c r="H38" s="67" t="s">
        <v>191</v>
      </c>
      <c r="I38" s="68" t="str">
        <f>'Necesidades Trimestrales'!F36</f>
        <v>UNIDAD</v>
      </c>
      <c r="J38" s="69">
        <f>'Necesidades Trimestrales'!H36</f>
        <v>582.54999999999995</v>
      </c>
      <c r="K38" s="70">
        <f>'Necesidades Trimestrales'!G36</f>
        <v>8</v>
      </c>
    </row>
    <row r="39" spans="1:11" ht="33" customHeight="1" thickBot="1" x14ac:dyDescent="0.25">
      <c r="A39" s="8">
        <v>28</v>
      </c>
      <c r="B39" s="66" t="str">
        <f>'Necesidades Trimestrales'!B37</f>
        <v>2.9.6-1891.822</v>
      </c>
      <c r="C39" s="100" t="str">
        <f>'Necesidades Trimestrales'!E37</f>
        <v>REP. Y ACC. P/IMPRESORA; MODELO EQUIPO: L3110, MARCA EQUIPO: EPSON, ELEMENTO: BOTELLA DE TINTA</v>
      </c>
      <c r="D39" s="100"/>
      <c r="E39" s="100"/>
      <c r="F39" s="100"/>
      <c r="G39" s="100"/>
      <c r="H39" s="67" t="s">
        <v>191</v>
      </c>
      <c r="I39" s="68" t="str">
        <f>'Necesidades Trimestrales'!F37</f>
        <v>UNIDAD</v>
      </c>
      <c r="J39" s="69">
        <f>'Necesidades Trimestrales'!H37</f>
        <v>582.54999999999995</v>
      </c>
      <c r="K39" s="70">
        <f>'Necesidades Trimestrales'!G37</f>
        <v>8</v>
      </c>
    </row>
    <row r="40" spans="1:11" ht="33" customHeight="1" thickBot="1" x14ac:dyDescent="0.25">
      <c r="A40" s="8">
        <v>29</v>
      </c>
      <c r="B40" s="66" t="str">
        <f>'Necesidades Trimestrales'!B38</f>
        <v>2.9.6-1891.822</v>
      </c>
      <c r="C40" s="100" t="str">
        <f>'Necesidades Trimestrales'!E38</f>
        <v>REP. Y ACC. P/IMPRESORA; MODELO EQUIPO: L3110, MARCA EQUIPO: EPSON, ELEMENTO: BOTELLA DE TINTA</v>
      </c>
      <c r="D40" s="100"/>
      <c r="E40" s="100"/>
      <c r="F40" s="100"/>
      <c r="G40" s="100"/>
      <c r="H40" s="67" t="s">
        <v>191</v>
      </c>
      <c r="I40" s="68" t="str">
        <f>'Necesidades Trimestrales'!F38</f>
        <v>UNIDAD</v>
      </c>
      <c r="J40" s="69">
        <f>'Necesidades Trimestrales'!H38</f>
        <v>582.54999999999995</v>
      </c>
      <c r="K40" s="70">
        <f>'Necesidades Trimestrales'!G38</f>
        <v>8</v>
      </c>
    </row>
    <row r="41" spans="1:11" ht="33" customHeight="1" thickBot="1" x14ac:dyDescent="0.25">
      <c r="A41" s="8">
        <v>30</v>
      </c>
      <c r="B41" s="66" t="str">
        <f>'Necesidades Trimestrales'!B39</f>
        <v>2.9.6-401.2128</v>
      </c>
      <c r="C41" s="100" t="str">
        <f>'Necesidades Trimestrales'!E39</f>
        <v>CARTUCHOS DE TONER; CODIGO: CF226A, USO: HEWLETT PACKARD</v>
      </c>
      <c r="D41" s="100"/>
      <c r="E41" s="100"/>
      <c r="F41" s="100"/>
      <c r="G41" s="100"/>
      <c r="H41" s="67" t="s">
        <v>191</v>
      </c>
      <c r="I41" s="68" t="str">
        <f>'Necesidades Trimestrales'!F39</f>
        <v>UNIDAD</v>
      </c>
      <c r="J41" s="69">
        <f>'Necesidades Trimestrales'!H39</f>
        <v>1274</v>
      </c>
      <c r="K41" s="70">
        <f>'Necesidades Trimestrales'!G39</f>
        <v>4</v>
      </c>
    </row>
    <row r="42" spans="1:11" ht="33" customHeight="1" thickBot="1" x14ac:dyDescent="0.25">
      <c r="A42" s="8">
        <v>31</v>
      </c>
      <c r="B42" s="66" t="str">
        <f>'Necesidades Trimestrales'!B40</f>
        <v>2.9.6-401.2378</v>
      </c>
      <c r="C42" s="100" t="str">
        <f>'Necesidades Trimestrales'!E40</f>
        <v>CARTUCHOS DE TONER; CODIGO: W1105A, USO: HEWLETT PACKARD</v>
      </c>
      <c r="D42" s="100"/>
      <c r="E42" s="100"/>
      <c r="F42" s="100"/>
      <c r="G42" s="100"/>
      <c r="H42" s="67" t="s">
        <v>191</v>
      </c>
      <c r="I42" s="68" t="str">
        <f>'Necesidades Trimestrales'!F40</f>
        <v>UNIDAD</v>
      </c>
      <c r="J42" s="69">
        <f>'Necesidades Trimestrales'!H40</f>
        <v>2169.65</v>
      </c>
      <c r="K42" s="70">
        <f>'Necesidades Trimestrales'!G40</f>
        <v>6</v>
      </c>
    </row>
    <row r="43" spans="1:11" ht="33" customHeight="1" thickBot="1" x14ac:dyDescent="0.25">
      <c r="A43" s="8">
        <v>32</v>
      </c>
      <c r="B43" s="66" t="str">
        <f>'Necesidades Trimestrales'!B41</f>
        <v>2.9.6-401.1136</v>
      </c>
      <c r="C43" s="100" t="str">
        <f>'Necesidades Trimestrales'!E41</f>
        <v>CARTUCHOS DE TONER; CODIGO: T1200, USO: TOSHIBA</v>
      </c>
      <c r="D43" s="100"/>
      <c r="E43" s="100"/>
      <c r="F43" s="100"/>
      <c r="G43" s="100"/>
      <c r="H43" s="67" t="s">
        <v>191</v>
      </c>
      <c r="I43" s="68" t="str">
        <f>'Necesidades Trimestrales'!F41</f>
        <v>UNIDAD</v>
      </c>
      <c r="J43" s="69">
        <f>'Necesidades Trimestrales'!H41</f>
        <v>5300</v>
      </c>
      <c r="K43" s="70">
        <f>'Necesidades Trimestrales'!G41</f>
        <v>3</v>
      </c>
    </row>
    <row r="44" spans="1:11" ht="33" customHeight="1" thickBot="1" x14ac:dyDescent="0.25">
      <c r="A44" s="8">
        <v>33</v>
      </c>
      <c r="B44" s="66" t="str">
        <f>'Necesidades Trimestrales'!B42</f>
        <v>2.9.6-401.1289</v>
      </c>
      <c r="C44" s="100" t="str">
        <f>'Necesidades Trimestrales'!E42</f>
        <v>CARTUCHOS DE TONER; CODIGO: T 1640, USO: TOSHIBA ESTUDIO 166</v>
      </c>
      <c r="D44" s="100"/>
      <c r="E44" s="100"/>
      <c r="F44" s="100"/>
      <c r="G44" s="100"/>
      <c r="H44" s="67" t="s">
        <v>191</v>
      </c>
      <c r="I44" s="68" t="str">
        <f>'Necesidades Trimestrales'!F42</f>
        <v>UNIDAD</v>
      </c>
      <c r="J44" s="69">
        <f>'Necesidades Trimestrales'!H42</f>
        <v>7900</v>
      </c>
      <c r="K44" s="70">
        <f>'Necesidades Trimestrales'!G42</f>
        <v>4</v>
      </c>
    </row>
    <row r="45" spans="1:11" ht="33" customHeight="1" thickBot="1" x14ac:dyDescent="0.25">
      <c r="A45" s="8">
        <v>34</v>
      </c>
      <c r="B45" s="66" t="str">
        <f>'Necesidades Trimestrales'!B43</f>
        <v>2.9.6-401.2379</v>
      </c>
      <c r="C45" s="100" t="str">
        <f>'Necesidades Trimestrales'!E43</f>
        <v>CARTUCHOS DE TONER; CODIGO: T-4530A, USO: TOSHIBA</v>
      </c>
      <c r="D45" s="100"/>
      <c r="E45" s="100"/>
      <c r="F45" s="100"/>
      <c r="G45" s="100"/>
      <c r="H45" s="67" t="s">
        <v>191</v>
      </c>
      <c r="I45" s="68" t="str">
        <f>'Necesidades Trimestrales'!F43</f>
        <v>UNIDAD</v>
      </c>
      <c r="J45" s="69">
        <f>'Necesidades Trimestrales'!H43</f>
        <v>9900</v>
      </c>
      <c r="K45" s="70">
        <f>'Necesidades Trimestrales'!G43</f>
        <v>3</v>
      </c>
    </row>
    <row r="46" spans="1:11" ht="33" customHeight="1" thickBot="1" x14ac:dyDescent="0.25">
      <c r="A46" s="8">
        <v>35</v>
      </c>
      <c r="B46" s="66" t="str">
        <f>'Necesidades Trimestrales'!B44</f>
        <v>2.9.6-401.2328</v>
      </c>
      <c r="C46" s="100" t="str">
        <f>'Necesidades Trimestrales'!E44</f>
        <v>CARTUCHOS DE TONER; CODIGO: 74710U, USO: TOSHIBA</v>
      </c>
      <c r="D46" s="100"/>
      <c r="E46" s="100"/>
      <c r="F46" s="100"/>
      <c r="G46" s="100"/>
      <c r="H46" s="67" t="s">
        <v>191</v>
      </c>
      <c r="I46" s="68" t="str">
        <f>'Necesidades Trimestrales'!F44</f>
        <v>UNIDAD</v>
      </c>
      <c r="J46" s="69">
        <f>'Necesidades Trimestrales'!H44</f>
        <v>15500</v>
      </c>
      <c r="K46" s="70">
        <f>'Necesidades Trimestrales'!G44</f>
        <v>2</v>
      </c>
    </row>
    <row r="47" spans="1:11" ht="33" customHeight="1" thickBot="1" x14ac:dyDescent="0.25">
      <c r="A47" s="8">
        <v>36</v>
      </c>
      <c r="B47" s="66" t="str">
        <f>'Necesidades Trimestrales'!B45</f>
        <v>2.9.6-401.2161</v>
      </c>
      <c r="C47" s="100" t="str">
        <f>'Necesidades Trimestrales'!E45</f>
        <v>CARTUCHOS DE TONER; CODIGO: 841768, USO: RICOH</v>
      </c>
      <c r="D47" s="100"/>
      <c r="E47" s="100"/>
      <c r="F47" s="100"/>
      <c r="G47" s="100"/>
      <c r="H47" s="67" t="s">
        <v>191</v>
      </c>
      <c r="I47" s="68" t="str">
        <f>'Necesidades Trimestrales'!F45</f>
        <v>UNIDAD</v>
      </c>
      <c r="J47" s="69">
        <f>'Necesidades Trimestrales'!H45</f>
        <v>7700</v>
      </c>
      <c r="K47" s="70">
        <f>'Necesidades Trimestrales'!G45</f>
        <v>4</v>
      </c>
    </row>
    <row r="48" spans="1:11" ht="33" customHeight="1" thickBot="1" x14ac:dyDescent="0.25">
      <c r="A48" s="8">
        <v>37</v>
      </c>
      <c r="B48" s="66" t="str">
        <f>'Necesidades Trimestrales'!B46</f>
        <v>2.9.6-401.2285</v>
      </c>
      <c r="C48" s="100" t="str">
        <f>'Necesidades Trimestrales'!E46</f>
        <v>CARTUCHOS DE TONER; CODIGO: MP 301, USO: RICOH</v>
      </c>
      <c r="D48" s="100"/>
      <c r="E48" s="100"/>
      <c r="F48" s="100"/>
      <c r="G48" s="100"/>
      <c r="H48" s="67" t="s">
        <v>191</v>
      </c>
      <c r="I48" s="68" t="str">
        <f>'Necesidades Trimestrales'!F46</f>
        <v>UNIDAD</v>
      </c>
      <c r="J48" s="69">
        <f>'Necesidades Trimestrales'!H46</f>
        <v>3700</v>
      </c>
      <c r="K48" s="70">
        <f>'Necesidades Trimestrales'!G46</f>
        <v>3</v>
      </c>
    </row>
    <row r="49" spans="1:1024" ht="33" customHeight="1" thickBot="1" x14ac:dyDescent="0.25">
      <c r="A49" s="8">
        <v>38</v>
      </c>
      <c r="B49" s="66" t="str">
        <f>'Necesidades Trimestrales'!B47</f>
        <v>2.9.6-401.2380</v>
      </c>
      <c r="C49" s="100" t="str">
        <f>'Necesidades Trimestrales'!E47</f>
        <v>CARTUCHOS DE TONER; CODIGO: 408284, USO: RICOH</v>
      </c>
      <c r="D49" s="100"/>
      <c r="E49" s="100"/>
      <c r="F49" s="100"/>
      <c r="G49" s="100"/>
      <c r="H49" s="67" t="s">
        <v>191</v>
      </c>
      <c r="I49" s="68" t="str">
        <f>'Necesidades Trimestrales'!F47</f>
        <v>UNIDAD</v>
      </c>
      <c r="J49" s="69">
        <f>'Necesidades Trimestrales'!H47</f>
        <v>7700</v>
      </c>
      <c r="K49" s="70">
        <f>'Necesidades Trimestrales'!G47</f>
        <v>3</v>
      </c>
    </row>
    <row r="50" spans="1:1024" ht="20.25" customHeight="1" thickBot="1" x14ac:dyDescent="0.25">
      <c r="A50" s="98" t="s">
        <v>169</v>
      </c>
      <c r="B50" s="98"/>
      <c r="C50" s="98"/>
      <c r="D50" s="98"/>
      <c r="E50" s="98"/>
      <c r="F50" s="98"/>
      <c r="G50" s="98"/>
      <c r="H50" s="98"/>
      <c r="I50" s="98"/>
      <c r="J50" s="99">
        <f>SUMPRODUCT(J12:J49,K12:K49)</f>
        <v>1532197.4699999997</v>
      </c>
      <c r="K50" s="99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</row>
  </sheetData>
  <mergeCells count="60">
    <mergeCell ref="C46:G46"/>
    <mergeCell ref="C47:G47"/>
    <mergeCell ref="C48:G48"/>
    <mergeCell ref="C49:G49"/>
    <mergeCell ref="C41:G41"/>
    <mergeCell ref="C42:G42"/>
    <mergeCell ref="C43:G43"/>
    <mergeCell ref="C44:G44"/>
    <mergeCell ref="C45:G45"/>
    <mergeCell ref="C36:G36"/>
    <mergeCell ref="C37:G37"/>
    <mergeCell ref="C38:G38"/>
    <mergeCell ref="C39:G39"/>
    <mergeCell ref="C40:G40"/>
    <mergeCell ref="C31:G31"/>
    <mergeCell ref="C32:G32"/>
    <mergeCell ref="C33:G33"/>
    <mergeCell ref="C34:G34"/>
    <mergeCell ref="C35:G35"/>
    <mergeCell ref="C26:G26"/>
    <mergeCell ref="C27:G27"/>
    <mergeCell ref="C28:G28"/>
    <mergeCell ref="C29:G29"/>
    <mergeCell ref="C30:G30"/>
    <mergeCell ref="A50:I50"/>
    <mergeCell ref="J50:K5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</mergeCells>
  <printOptions horizontalCentered="1"/>
  <pageMargins left="0.19685039370078741" right="0.19685039370078741" top="0.98425196850393704" bottom="0.98425196850393704" header="0.51181102362204722" footer="0.51181102362204722"/>
  <pageSetup paperSize="5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7"/>
  <sheetViews>
    <sheetView zoomScale="130" zoomScaleNormal="130" workbookViewId="0">
      <selection activeCell="K18" sqref="K18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9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01" t="s">
        <v>3</v>
      </c>
      <c r="B1" s="101"/>
      <c r="C1" s="101"/>
      <c r="D1" s="102">
        <f>'Necesidades Trimestrales'!C6</f>
        <v>2021</v>
      </c>
      <c r="E1" s="102"/>
      <c r="F1" s="10"/>
      <c r="G1" s="10"/>
      <c r="H1" s="11"/>
      <c r="I1" s="11"/>
      <c r="J1" s="11"/>
      <c r="K1" s="11"/>
      <c r="L1" s="11"/>
      <c r="M1" s="11"/>
      <c r="N1" s="11"/>
      <c r="P1" s="103" t="s">
        <v>30</v>
      </c>
      <c r="Q1" s="103"/>
    </row>
    <row r="2" spans="1:17" ht="15.75" customHeight="1" x14ac:dyDescent="0.2">
      <c r="H2" s="11"/>
      <c r="I2" s="11"/>
      <c r="J2" s="11"/>
      <c r="K2" s="11"/>
      <c r="L2" s="11"/>
      <c r="M2" s="11"/>
      <c r="N2" s="11"/>
      <c r="P2" s="103"/>
      <c r="Q2" s="103"/>
    </row>
    <row r="4" spans="1:17" s="12" customFormat="1" ht="18" customHeight="1" thickBot="1" x14ac:dyDescent="0.25">
      <c r="A4" s="104" t="s">
        <v>31</v>
      </c>
      <c r="B4" s="104"/>
      <c r="C4" s="104"/>
      <c r="D4" s="104"/>
      <c r="E4" s="104"/>
      <c r="F4" s="104"/>
      <c r="G4" s="105" t="str">
        <f>NotaPedido!D3</f>
        <v>40 - Ministerio de Salud</v>
      </c>
      <c r="H4" s="105"/>
      <c r="I4" s="105"/>
      <c r="J4" s="105"/>
      <c r="K4" s="105"/>
      <c r="L4" s="105"/>
      <c r="M4" s="105"/>
      <c r="N4" s="105"/>
      <c r="O4" s="105"/>
      <c r="P4" s="105"/>
      <c r="Q4" s="105"/>
    </row>
    <row r="5" spans="1:17" s="12" customFormat="1" ht="18" customHeight="1" thickBot="1" x14ac:dyDescent="0.25">
      <c r="A5" s="106" t="s">
        <v>54</v>
      </c>
      <c r="B5" s="107"/>
      <c r="C5" s="107"/>
      <c r="D5" s="107"/>
      <c r="E5" s="107"/>
      <c r="F5" s="108"/>
      <c r="G5" s="105" t="str">
        <f>NotaPedido!D4</f>
        <v>23 - Hospital Interzonal San Juan Bautista</v>
      </c>
      <c r="H5" s="105"/>
      <c r="I5" s="105"/>
      <c r="J5" s="105"/>
      <c r="K5" s="105"/>
      <c r="L5" s="105"/>
      <c r="M5" s="105"/>
      <c r="N5" s="105"/>
      <c r="O5" s="105"/>
      <c r="P5" s="105"/>
      <c r="Q5" s="105"/>
    </row>
    <row r="6" spans="1:17" s="12" customFormat="1" ht="18" customHeight="1" thickBot="1" x14ac:dyDescent="0.25">
      <c r="A6" s="106" t="s">
        <v>32</v>
      </c>
      <c r="B6" s="107"/>
      <c r="C6" s="107"/>
      <c r="D6" s="107"/>
      <c r="E6" s="107"/>
      <c r="F6" s="108"/>
      <c r="G6" s="105" t="str">
        <f>NotaPedido!D5</f>
        <v xml:space="preserve">237 - Dirección de Mantenimiento </v>
      </c>
      <c r="H6" s="105"/>
      <c r="I6" s="105"/>
      <c r="J6" s="105"/>
      <c r="K6" s="105"/>
      <c r="L6" s="105"/>
      <c r="M6" s="105"/>
      <c r="N6" s="105"/>
      <c r="O6" s="105"/>
      <c r="P6" s="105"/>
      <c r="Q6" s="105"/>
    </row>
    <row r="7" spans="1:17" s="12" customFormat="1" ht="18" customHeight="1" thickBot="1" x14ac:dyDescent="0.25">
      <c r="A7" s="106" t="s">
        <v>55</v>
      </c>
      <c r="B7" s="107"/>
      <c r="C7" s="107"/>
      <c r="D7" s="107"/>
      <c r="E7" s="107"/>
      <c r="F7" s="108"/>
      <c r="G7" s="105" t="str">
        <f>NotaPedido!D6</f>
        <v xml:space="preserve">División Patrimonio </v>
      </c>
      <c r="H7" s="105"/>
      <c r="I7" s="105"/>
      <c r="J7" s="105"/>
      <c r="K7" s="105"/>
      <c r="L7" s="105"/>
      <c r="M7" s="105"/>
      <c r="N7" s="105"/>
      <c r="O7" s="105"/>
      <c r="P7" s="105"/>
      <c r="Q7" s="105"/>
    </row>
    <row r="8" spans="1:17" ht="18" customHeight="1" thickBot="1" x14ac:dyDescent="0.25">
      <c r="A8" s="109" t="s">
        <v>33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</row>
    <row r="9" spans="1:17" ht="18" customHeight="1" x14ac:dyDescent="0.2">
      <c r="A9" s="110" t="s">
        <v>34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"/>
      <c r="P9" s="1"/>
      <c r="Q9" s="13"/>
    </row>
    <row r="10" spans="1:17" ht="54.75" customHeight="1" x14ac:dyDescent="0.2">
      <c r="A10" s="111" t="str">
        <f>"Autorizo la realización de los  trámites correspondientes, a fin de proveer a  este Organismo los bienes y/o servicios que se detallan en Nota de Pedido N° " &amp; 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056 - 2021,  afectando la erogación resultante a los créditos presupuestarios aprobados a favor de esta Unidad Ejecutora, conforme al siguiente detalle:</v>
      </c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</row>
    <row r="11" spans="1:17" ht="9" customHeight="1" x14ac:dyDescent="0.2">
      <c r="A11" s="14"/>
      <c r="B11" s="15"/>
      <c r="C11" s="15"/>
      <c r="D11" s="15"/>
      <c r="E11" s="15"/>
      <c r="F11" s="15"/>
      <c r="G11" s="16"/>
      <c r="H11" s="15"/>
      <c r="I11" s="15"/>
      <c r="J11" s="15"/>
      <c r="K11" s="15"/>
      <c r="L11" s="15"/>
      <c r="M11" s="15"/>
      <c r="N11" s="15"/>
      <c r="O11" s="15"/>
      <c r="P11" s="15"/>
      <c r="Q11" s="17"/>
    </row>
    <row r="12" spans="1:17" ht="15.75" customHeight="1" x14ac:dyDescent="0.2">
      <c r="A12" s="112" t="s">
        <v>35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</row>
    <row r="13" spans="1:17" ht="15.75" customHeight="1" x14ac:dyDescent="0.2">
      <c r="A13" s="113" t="s">
        <v>36</v>
      </c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4" t="s">
        <v>37</v>
      </c>
      <c r="P13" s="114"/>
      <c r="Q13" s="115" t="s">
        <v>38</v>
      </c>
    </row>
    <row r="14" spans="1:17" ht="15.75" customHeight="1" x14ac:dyDescent="0.2">
      <c r="A14" s="18" t="s">
        <v>39</v>
      </c>
      <c r="B14" s="19" t="s">
        <v>40</v>
      </c>
      <c r="C14" s="19" t="s">
        <v>41</v>
      </c>
      <c r="D14" s="19" t="s">
        <v>42</v>
      </c>
      <c r="E14" s="19" t="s">
        <v>43</v>
      </c>
      <c r="F14" s="19" t="s">
        <v>44</v>
      </c>
      <c r="G14" s="20" t="s">
        <v>45</v>
      </c>
      <c r="H14" s="19" t="s">
        <v>46</v>
      </c>
      <c r="I14" s="19" t="s">
        <v>47</v>
      </c>
      <c r="J14" s="19" t="s">
        <v>48</v>
      </c>
      <c r="K14" s="19" t="s">
        <v>48</v>
      </c>
      <c r="L14" s="19" t="s">
        <v>49</v>
      </c>
      <c r="M14" s="21" t="s">
        <v>50</v>
      </c>
      <c r="N14" s="22" t="s">
        <v>51</v>
      </c>
      <c r="O14" s="114"/>
      <c r="P14" s="114"/>
      <c r="Q14" s="115"/>
    </row>
    <row r="15" spans="1:17" ht="23.45" customHeight="1" x14ac:dyDescent="0.2">
      <c r="A15" s="73">
        <v>33</v>
      </c>
      <c r="B15" s="74"/>
      <c r="C15" s="74"/>
      <c r="D15" s="74">
        <v>4</v>
      </c>
      <c r="E15" s="74"/>
      <c r="F15" s="74">
        <v>4901</v>
      </c>
      <c r="G15" s="74">
        <v>3</v>
      </c>
      <c r="H15" s="75" t="s">
        <v>58</v>
      </c>
      <c r="I15" s="76">
        <v>2</v>
      </c>
      <c r="J15" s="76">
        <v>9</v>
      </c>
      <c r="K15" s="76">
        <v>2</v>
      </c>
      <c r="L15" s="74"/>
      <c r="M15" s="77">
        <v>1</v>
      </c>
      <c r="N15" s="75" t="s">
        <v>59</v>
      </c>
      <c r="O15" s="116" t="s">
        <v>211</v>
      </c>
      <c r="P15" s="116"/>
      <c r="Q15" s="23">
        <v>1532197.47</v>
      </c>
    </row>
    <row r="16" spans="1:17" ht="17.25" customHeight="1" x14ac:dyDescent="0.2">
      <c r="A16" s="24"/>
      <c r="B16" s="25"/>
      <c r="C16" s="25"/>
      <c r="D16" s="25"/>
      <c r="E16" s="25"/>
      <c r="F16" s="25"/>
      <c r="G16" s="25"/>
      <c r="H16" s="71"/>
      <c r="I16" s="25"/>
      <c r="J16" s="25"/>
      <c r="K16" s="25"/>
      <c r="L16" s="25"/>
      <c r="M16" s="26"/>
      <c r="N16" s="72"/>
      <c r="O16" s="117"/>
      <c r="P16" s="117"/>
      <c r="Q16" s="28"/>
    </row>
    <row r="17" spans="1:19" ht="17.25" customHeight="1" x14ac:dyDescent="0.2">
      <c r="A17" s="24"/>
      <c r="B17" s="25"/>
      <c r="C17" s="25"/>
      <c r="D17" s="25"/>
      <c r="E17" s="25"/>
      <c r="F17" s="27"/>
      <c r="G17" s="25"/>
      <c r="H17" s="71"/>
      <c r="I17" s="25"/>
      <c r="J17" s="25"/>
      <c r="K17" s="25"/>
      <c r="L17" s="25"/>
      <c r="M17" s="26"/>
      <c r="N17" s="72"/>
      <c r="O17" s="117"/>
      <c r="P17" s="117"/>
      <c r="Q17" s="28"/>
      <c r="S17" s="78"/>
    </row>
    <row r="18" spans="1:19" ht="17.25" customHeight="1" x14ac:dyDescent="0.2">
      <c r="A18" s="24"/>
      <c r="B18" s="25"/>
      <c r="C18" s="25"/>
      <c r="D18" s="25"/>
      <c r="E18" s="25"/>
      <c r="F18" s="25"/>
      <c r="G18" s="25"/>
      <c r="H18" s="71"/>
      <c r="I18" s="25"/>
      <c r="J18" s="25"/>
      <c r="K18" s="25"/>
      <c r="L18" s="25"/>
      <c r="M18" s="26"/>
      <c r="N18" s="72"/>
      <c r="O18" s="118"/>
      <c r="P18" s="119"/>
      <c r="Q18" s="28"/>
    </row>
    <row r="19" spans="1:19" ht="17.25" customHeight="1" x14ac:dyDescent="0.2">
      <c r="A19" s="24"/>
      <c r="B19" s="25"/>
      <c r="C19" s="25"/>
      <c r="D19" s="25"/>
      <c r="E19" s="25"/>
      <c r="F19" s="27"/>
      <c r="G19" s="25"/>
      <c r="H19" s="25"/>
      <c r="I19" s="25"/>
      <c r="J19" s="25"/>
      <c r="K19" s="25"/>
      <c r="L19" s="25"/>
      <c r="M19" s="26"/>
      <c r="N19" s="27"/>
      <c r="O19" s="119"/>
      <c r="P19" s="119"/>
      <c r="Q19" s="28"/>
    </row>
    <row r="20" spans="1:19" ht="17.25" customHeight="1" x14ac:dyDescent="0.2">
      <c r="A20" s="24"/>
      <c r="B20" s="25"/>
      <c r="C20" s="25"/>
      <c r="D20" s="25"/>
      <c r="E20" s="25"/>
      <c r="F20" s="27"/>
      <c r="G20" s="25"/>
      <c r="H20" s="25"/>
      <c r="I20" s="25"/>
      <c r="J20" s="25"/>
      <c r="K20" s="25"/>
      <c r="L20" s="25"/>
      <c r="M20" s="26"/>
      <c r="N20" s="27"/>
      <c r="O20" s="119"/>
      <c r="P20" s="119"/>
      <c r="Q20" s="28"/>
    </row>
    <row r="21" spans="1:19" ht="17.25" customHeight="1" x14ac:dyDescent="0.2">
      <c r="A21" s="29"/>
      <c r="B21" s="30"/>
      <c r="C21" s="30"/>
      <c r="D21" s="30"/>
      <c r="E21" s="30"/>
      <c r="F21" s="31"/>
      <c r="G21" s="30"/>
      <c r="H21" s="30"/>
      <c r="I21" s="30"/>
      <c r="J21" s="30"/>
      <c r="K21" s="30"/>
      <c r="L21" s="30"/>
      <c r="M21" s="32"/>
      <c r="N21" s="33"/>
      <c r="O21" s="125"/>
      <c r="P21" s="125"/>
      <c r="Q21" s="28"/>
      <c r="R21" s="1"/>
    </row>
    <row r="22" spans="1:19" ht="17.25" customHeight="1" x14ac:dyDescent="0.2">
      <c r="A22" s="34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6"/>
      <c r="N22" s="35"/>
      <c r="O22" s="126"/>
      <c r="P22" s="126"/>
      <c r="Q22" s="37"/>
    </row>
    <row r="23" spans="1:19" ht="20.25" customHeight="1" x14ac:dyDescent="0.2">
      <c r="A23" s="127" t="s">
        <v>173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27"/>
      <c r="Q23" s="38">
        <f>SUM(Q15:Q22)</f>
        <v>1532197.47</v>
      </c>
    </row>
    <row r="24" spans="1:19" ht="18" customHeight="1" thickBot="1" x14ac:dyDescent="0.25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spans="1:19" ht="17.25" customHeight="1" thickBot="1" x14ac:dyDescent="0.25">
      <c r="A25" s="120" t="s">
        <v>52</v>
      </c>
      <c r="B25" s="121"/>
      <c r="C25" s="121"/>
      <c r="D25" s="121"/>
      <c r="E25" s="121"/>
      <c r="F25" s="122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</row>
    <row r="26" spans="1:19" ht="18" customHeight="1" thickBot="1" x14ac:dyDescent="0.25">
      <c r="A26" s="124" t="str">
        <f>"Para la "&amp; NotaPedido!D8 &amp;" para ser destinados al " &amp; NotaPedido!D6 &amp;"  del HISJB del Ministerio de Salud."</f>
        <v>Para la Adquisición de Tonners para ser destinados al División Patrimonio   del HISJB del Ministerio de Salud.</v>
      </c>
      <c r="B26" s="124"/>
      <c r="C26" s="124"/>
      <c r="D26" s="124"/>
      <c r="E26" s="124"/>
      <c r="F26" s="124"/>
      <c r="G26" s="124"/>
      <c r="H26" s="124"/>
      <c r="I26" s="124"/>
      <c r="J26" s="124"/>
      <c r="K26" s="124"/>
      <c r="L26" s="124"/>
      <c r="M26" s="124"/>
      <c r="N26" s="124"/>
      <c r="O26" s="124"/>
      <c r="P26" s="124"/>
      <c r="Q26" s="124"/>
    </row>
    <row r="27" spans="1:19" ht="15" customHeight="1" x14ac:dyDescent="0.2">
      <c r="A27" s="124"/>
      <c r="B27" s="124"/>
      <c r="C27" s="124"/>
      <c r="D27" s="124"/>
      <c r="E27" s="124"/>
      <c r="F27" s="124"/>
      <c r="G27" s="124"/>
      <c r="H27" s="124"/>
      <c r="I27" s="124"/>
      <c r="J27" s="124"/>
      <c r="K27" s="124"/>
      <c r="L27" s="124"/>
      <c r="M27" s="124"/>
      <c r="N27" s="124"/>
      <c r="O27" s="124"/>
      <c r="P27" s="124"/>
      <c r="Q27" s="124"/>
    </row>
  </sheetData>
  <mergeCells count="31">
    <mergeCell ref="A25:F25"/>
    <mergeCell ref="G25:Q25"/>
    <mergeCell ref="A26:Q27"/>
    <mergeCell ref="O20:P20"/>
    <mergeCell ref="O21:P21"/>
    <mergeCell ref="O22:P22"/>
    <mergeCell ref="A23:P23"/>
    <mergeCell ref="A24:Q24"/>
    <mergeCell ref="O15:P15"/>
    <mergeCell ref="O16:P16"/>
    <mergeCell ref="O17:P17"/>
    <mergeCell ref="O18:P18"/>
    <mergeCell ref="O19:P19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NotaPedido</vt:lpstr>
      <vt:lpstr>Autor Gastar</vt:lpstr>
      <vt:lpstr>'Autor Gastar'!Área_de_impresión</vt:lpstr>
      <vt:lpstr>NotaPedido!Área_de_impresión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COMPRAS</cp:lastModifiedBy>
  <cp:revision>2</cp:revision>
  <cp:lastPrinted>2021-08-05T13:20:34Z</cp:lastPrinted>
  <dcterms:created xsi:type="dcterms:W3CDTF">2020-07-17T23:44:49Z</dcterms:created>
  <dcterms:modified xsi:type="dcterms:W3CDTF">2021-08-12T16:17:54Z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