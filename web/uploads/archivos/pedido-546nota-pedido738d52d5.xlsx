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Trimestrales'!$A$9:$I$33</definedName>
    <definedName name="_xlnm.Print_Area" localSheetId="2">'Autor Gastar'!$A$1:$Q$26</definedName>
    <definedName name="_xlnm.Print_Area" localSheetId="1">NotaPedido!$A$1:$K$33</definedName>
  </definedNames>
  <calcPr calcId="152511"/>
</workbook>
</file>

<file path=xl/calcChain.xml><?xml version="1.0" encoding="utf-8"?>
<calcChain xmlns="http://schemas.openxmlformats.org/spreadsheetml/2006/main">
  <c r="K27" i="2" l="1"/>
  <c r="K28" i="2"/>
  <c r="K29" i="2"/>
  <c r="K30" i="2"/>
  <c r="K31" i="2"/>
  <c r="K32" i="2"/>
  <c r="J28" i="2"/>
  <c r="J29" i="2"/>
  <c r="J30" i="2"/>
  <c r="J31" i="2"/>
  <c r="J32" i="2"/>
  <c r="I28" i="2"/>
  <c r="I29" i="2"/>
  <c r="I30" i="2"/>
  <c r="I31" i="2"/>
  <c r="I32" i="2"/>
  <c r="C28" i="2"/>
  <c r="C29" i="2"/>
  <c r="C30" i="2"/>
  <c r="C31" i="2"/>
  <c r="C32" i="2"/>
  <c r="B27" i="2"/>
  <c r="B28" i="2"/>
  <c r="B29" i="2"/>
  <c r="B30" i="2"/>
  <c r="B31" i="2"/>
  <c r="B32" i="2"/>
  <c r="I30" i="1"/>
  <c r="D30" i="1"/>
  <c r="I29" i="1"/>
  <c r="D29" i="1"/>
  <c r="I28" i="1"/>
  <c r="D28" i="1"/>
  <c r="I27" i="1"/>
  <c r="D27" i="1"/>
  <c r="I26" i="1"/>
  <c r="D26" i="1"/>
  <c r="A25" i="3" l="1"/>
  <c r="Q22" i="3"/>
  <c r="A10" i="3"/>
  <c r="G7" i="3"/>
  <c r="G6" i="3"/>
  <c r="D1" i="3"/>
  <c r="J27" i="2"/>
  <c r="I27" i="2"/>
  <c r="C27" i="2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7" i="2"/>
  <c r="D4" i="2"/>
  <c r="G5" i="3" s="1"/>
  <c r="D3" i="2"/>
  <c r="G4" i="3" s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31" i="1" l="1"/>
  <c r="J33" i="2"/>
</calcChain>
</file>

<file path=xl/sharedStrings.xml><?xml version="1.0" encoding="utf-8"?>
<sst xmlns="http://schemas.openxmlformats.org/spreadsheetml/2006/main" count="260" uniqueCount="141">
  <si>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</si>
  <si>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</si>
  <si>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</si>
  <si>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</si>
  <si>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</si>
  <si>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</si>
  <si>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</si>
  <si>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</si>
  <si>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</si>
  <si>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</si>
  <si>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</si>
  <si>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</si>
  <si>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</si>
  <si>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</si>
  <si>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</si>
  <si>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</si>
  <si>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2.3.4-938.46</t>
  </si>
  <si>
    <t>BAZAR Y MENAJE</t>
  </si>
  <si>
    <t>SERVILLETAS DE PAPEL; TIPO LISAS, MOTIVO: SIN DIMENSION:33X33 Cm, PRESENTACION: PAQUETEX 1000 UN. COLOR: BLANCA</t>
  </si>
  <si>
    <t>UNIDAD</t>
  </si>
  <si>
    <t>2.9.4-689.15</t>
  </si>
  <si>
    <t>CUCHILLOS; TIPO: DE MESA, MATERIAL: PLÁSTICO</t>
  </si>
  <si>
    <t>2.9.4-1184.42</t>
  </si>
  <si>
    <t>2.5.8-3977.40</t>
  </si>
  <si>
    <t>FERRETERIA</t>
  </si>
  <si>
    <t>BOLSAS DE POLIETILENO; TAMAÑO; 15X25 Cm, ESPESOR: 17mN, PRESENTACION: ROLLO X 200 UN.</t>
  </si>
  <si>
    <t>2.9.4-6970.3</t>
  </si>
  <si>
    <t>COMPOTERAS; MATERIAL: POLICARBONATO, CAPACIDAD:250ml</t>
  </si>
  <si>
    <t>2.9.4-1184.49</t>
  </si>
  <si>
    <t>2.9.4-690.15</t>
  </si>
  <si>
    <t>CUCHARAS; TIPO: DE MESA, MATERIAL: PLÁSTICO.</t>
  </si>
  <si>
    <t>2.5.8-1055.37</t>
  </si>
  <si>
    <t>BANDEJA DE PLASTICO; MATERIAL:PLASTICO, LARGO X ANCHO: 233X170mm, FORMA: OVAL, PRESENTACION: CAJA X 600 UN.</t>
  </si>
  <si>
    <t>2.9.4-4743.4</t>
  </si>
  <si>
    <t>BANDEJA P/TRANSP, DE ALIMENTO; CAPACIDAD: 700GR, MATERIAL: ALUMINIO, TIPO:SIN VALOR, MEDIDAS14X10X4,5Cm, INTERIOR: SIN VALOR, EXTERIOR: SIN VALOR,DIMENSION:14X10X4,5Cm,ACABADO:SIN VALOR.</t>
  </si>
  <si>
    <t>2.9.4-692.10</t>
  </si>
  <si>
    <t>TENEDORES;TIPO:DE MESA,MATERIAL:PLASTICO</t>
  </si>
  <si>
    <t>2.3.4-938.59</t>
  </si>
  <si>
    <t>SERVILLETAS DE PAPEL; TIPO:ROLLO, MOTIVO:SIN DIMENSION 25X10Cm, PRESENTACION: ENVASE X 3 UN.</t>
  </si>
  <si>
    <t>2.9.4-4743.24</t>
  </si>
  <si>
    <t>BANDEJA P/TRANSP. DE ALIMENTO;DIMENSION:18X14X4 CmTIPO:C/TAPA,MATERIAL:ALUMINIO APTO MICROONDAS,CAPACIDAD: 750CM3</t>
  </si>
  <si>
    <t>2.9.4-690.16</t>
  </si>
  <si>
    <t>CUCHARAS;TIPO TE, MATERIAL:PLÁSTICO.</t>
  </si>
  <si>
    <t>2.5.8-5590.59</t>
  </si>
  <si>
    <t>LIBRERIA,PAP. Y UTILES OFICINA</t>
  </si>
  <si>
    <t>FILMS DE POLIETILENO; ESPESOR:10MnANCHO: 45Cm, PRESENTACION:ROLLOX900M, USO: ALIMENTARIO</t>
  </si>
  <si>
    <t>2.9.4-1015.40</t>
  </si>
  <si>
    <t>BANDEJAS DE MESA ; MATERIAL: PLÁSTICO, DIMENSION: 16,5X12X5,5Cm, FORMA:RECTANGULAR</t>
  </si>
  <si>
    <t>2.9.4-588.70</t>
  </si>
  <si>
    <t>VASOS PLASTICOS DESCARTABLES; MATERIAL: POLIESTIRENO, MOTIVO: LISO, CAPACIDAD: 240 CM3, PRESENTACION: ENVASE X 1000 UN, TIPO: APTO MICROONDAS</t>
  </si>
  <si>
    <t>2.9.5-1909.206</t>
  </si>
  <si>
    <t>PROD. MEDICO/FARMACEUTICOS/LAB</t>
  </si>
  <si>
    <t>GUANTES USO MEDICINAL; TIPO: DESCARTABLES, TAMAÑO:UNICO, MATERIAL:POLIETILENO,PRESENTACION: :ENVASE X 100UN., ESTERIL:SI, TALCO:NO DESCARTABLE: SI.</t>
  </si>
  <si>
    <t>PLAZO DE ENTREGA: 10 DIAS - LUGAR DE ENTREGA: SERVICIO DE NUTRICION - HOSPITAL INTERZONAL SAN JUAN BAUTISTA - AV. ILLIA ESQ. MARIANO MORENO</t>
  </si>
  <si>
    <t>MANTENIMIENTO DE OFERTA: 45 DIAS HABILES</t>
  </si>
  <si>
    <t>Especificidades Item N° 2:</t>
  </si>
  <si>
    <t>Descripción técnica</t>
  </si>
  <si>
    <t xml:space="preserve">Cuchillos Plásticos Super Reforzados Serruchos  color Blanco descartables </t>
  </si>
  <si>
    <t>Plazos y lugares de entrega</t>
  </si>
  <si>
    <t>Calidad Minima esperada</t>
  </si>
  <si>
    <t>Mantenimiento</t>
  </si>
  <si>
    <t>Garantia</t>
  </si>
  <si>
    <t>Especificidades Item N° 3:</t>
  </si>
  <si>
    <t>VASOS DE POLIESTILENO EXPANDIDO CAPACIDAD: 180 CM3 CON TAPA</t>
  </si>
  <si>
    <t>Especificidades Item N° 6:</t>
  </si>
  <si>
    <t xml:space="preserve">VASOS DE POLIESTILENO EXPANDIDO CAPACIDAD: 240 CM3 CON TAPA TERMICO </t>
  </si>
  <si>
    <t>Especificidades Item N° 7:</t>
  </si>
  <si>
    <t>Cucharas de Plastico Blancas Tipo Sopera Descartable</t>
  </si>
  <si>
    <t>Especificidades Item N° 9:</t>
  </si>
  <si>
    <t>CON TAPA</t>
  </si>
  <si>
    <t>Especificidades Item N° 10:</t>
  </si>
  <si>
    <t xml:space="preserve">Tenedores Plásticos Super Reforzados Firmes color Blanco descartables </t>
  </si>
  <si>
    <t>Especificidades Item N° 13:</t>
  </si>
  <si>
    <t>Cucharitas para postre, blancas plasticas descartables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</si>
  <si>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</si>
  <si>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</si>
  <si>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</si>
  <si>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</si>
  <si>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</si>
  <si>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</si>
  <si>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</si>
  <si>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</si>
  <si>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</si>
  <si>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</si>
  <si>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</si>
  <si>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</si>
  <si>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</si>
  <si>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</si>
  <si>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</si>
  <si>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</si>
  <si>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</si>
  <si>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</si>
  <si>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</si>
  <si>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</si>
  <si>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</si>
  <si>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</si>
  <si>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</si>
  <si>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</si>
  <si>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</si>
  <si>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</si>
  <si>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</si>
  <si>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</si>
  <si>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</si>
  <si>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</si>
  <si>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</si>
  <si>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</si>
  <si>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</si>
  <si>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</si>
  <si>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</si>
  <si>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</si>
  <si>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</si>
  <si>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</si>
  <si>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</si>
  <si>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</si>
  <si>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 xml:space="preserve">Productos de papel y cartón </t>
  </si>
  <si>
    <t xml:space="preserve">Productos de material plástico </t>
  </si>
  <si>
    <t>Utensillos de Cocina y Comedor</t>
  </si>
  <si>
    <t>Utiles Menores Med. Quir. y de Lab.</t>
  </si>
  <si>
    <t>JUSTIFICACIÓN:</t>
  </si>
  <si>
    <t>VASOS; MATERIAL: POLIESTIRENO EXPANDIDO, TIPO: DESCARTABLE, CAPACIDAD: 180 CM3</t>
  </si>
  <si>
    <t>VASOS; MATERIAL: POLIESTIRENO, TIPO: TERMICO, CAPACIDAD: 240 mL</t>
  </si>
  <si>
    <t>2.5.8-5590.41</t>
  </si>
  <si>
    <t>FILMS DE POLIETILENO; ESPESOR: 100 Mn, ANCHO: 2 M, PRESENTACION: ROLLO X 100 M, USO: ALIMENTARIO</t>
  </si>
  <si>
    <t>ROLLO</t>
  </si>
  <si>
    <t>2.5.8-5590.3</t>
  </si>
  <si>
    <t>FILMS DE POLIETILENO; ESPESOR: 70 Mn, ANCHO: SIN VALOR, PRESENTACION: POR KILOGRAMO, USO: SIN VALOR</t>
  </si>
  <si>
    <t>NYLON CRISTAL  DE 1 METRO DOBLE ANCHO</t>
  </si>
  <si>
    <t xml:space="preserve">  ROLLO DE 15 CM DE ANCHO. TIPO TUBO</t>
  </si>
  <si>
    <t xml:space="preserve"> ROLLO DE 25 CM DE ANCHO. TIPO TUBO</t>
  </si>
  <si>
    <t xml:space="preserve"> ROLLO DE 40 CM  DE ANCHO. TIPO TUBO</t>
  </si>
  <si>
    <t>Especificidades Item N° 18:</t>
  </si>
  <si>
    <t>Especificidades Item N° 19:</t>
  </si>
  <si>
    <t>Especificidades Item N° 20:</t>
  </si>
  <si>
    <t>Especificidades Item N° 21:</t>
  </si>
  <si>
    <t xml:space="preserve">NO </t>
  </si>
  <si>
    <t xml:space="preserve">SI </t>
  </si>
  <si>
    <t>Costo total estimado: PESOS SIETE MILLONES CIENTO CUARENTA Y DOS MIL SETECIENTOS CINCUENTA CON 00/100.----</t>
  </si>
  <si>
    <t>TOTAL DE PESOS: SIETE MILLONES CIENTO CUARENTA Y DOS MIL SETECIENTOS CINCUENTA CON 00/100.---</t>
  </si>
  <si>
    <t>NOTA DE PEDIDO 122</t>
  </si>
  <si>
    <t xml:space="preserve">Adquisición de Descartables para Nutrición </t>
  </si>
  <si>
    <t>DOCFI-2022-01958292-CAT-DASIS#HSJB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</si>
</sst>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\-??_);_(@_)"/>
    <numFmt numFmtId="165" formatCode="_-* #,##0.00&quot; €&quot;_-;\-* #,##0.00&quot; €&quot;_-;_-* \-??&quot; €&quot;_-;_-@_-"/>
    <numFmt numFmtId="166" formatCode="dd\-mm\-yy;@"/>
    <numFmt numFmtId="167" formatCode="[$$-2C0A]\ #,##0.00;[$$-2C0A]&quot; -&quot;#,##0.00"/>
    <numFmt numFmtId="168" formatCode="[$$-2C0A]\ #,##0.00"/>
  </numFmts>
  <fonts count="27" x14ac:knownFonts="1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rgb="FF993300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5" fontId="6" fillId="0" borderId="0" applyBorder="0" applyProtection="0"/>
    <xf numFmtId="164" fontId="22" fillId="0" borderId="0" applyBorder="0" applyProtection="0"/>
    <xf numFmtId="0" fontId="21" fillId="5" borderId="0" applyBorder="0" applyProtection="0"/>
  </cellStyleXfs>
  <cellXfs count="16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7" fontId="0" fillId="0" borderId="31" xfId="2" applyNumberFormat="1" applyFont="1" applyBorder="1" applyAlignment="1" applyProtection="1">
      <alignment horizontal="center" vertical="center"/>
    </xf>
    <xf numFmtId="167" fontId="0" fillId="0" borderId="32" xfId="2" applyNumberFormat="1" applyFont="1" applyBorder="1" applyAlignment="1" applyProtection="1">
      <alignment horizontal="center" vertical="center"/>
    </xf>
    <xf numFmtId="167" fontId="0" fillId="0" borderId="0" xfId="0" applyNumberFormat="1"/>
    <xf numFmtId="167" fontId="0" fillId="0" borderId="33" xfId="2" applyNumberFormat="1" applyFont="1" applyBorder="1" applyAlignment="1" applyProtection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3" fillId="3" borderId="38" xfId="0" applyFont="1" applyFill="1" applyBorder="1" applyAlignment="1">
      <alignment horizontal="center" vertical="center" wrapText="1"/>
    </xf>
    <xf numFmtId="167" fontId="3" fillId="3" borderId="38" xfId="1" applyNumberFormat="1" applyFont="1" applyFill="1" applyBorder="1" applyAlignment="1" applyProtection="1">
      <alignment horizontal="right" vertical="center" wrapText="1"/>
    </xf>
    <xf numFmtId="3" fontId="3" fillId="3" borderId="38" xfId="0" applyNumberFormat="1" applyFont="1" applyFill="1" applyBorder="1" applyAlignment="1">
      <alignment horizontal="center" vertical="center"/>
    </xf>
    <xf numFmtId="0" fontId="13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6" fillId="2" borderId="0" xfId="0" applyFont="1" applyFill="1" applyAlignment="1">
      <alignment horizontal="left" wrapText="1" indent="1"/>
    </xf>
    <xf numFmtId="0" fontId="18" fillId="3" borderId="0" xfId="0" applyFont="1" applyFill="1" applyAlignment="1">
      <alignment horizontal="left" wrapText="1"/>
    </xf>
    <xf numFmtId="0" fontId="18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0" fillId="0" borderId="42" xfId="0" applyFont="1" applyBorder="1"/>
    <xf numFmtId="0" fontId="13" fillId="0" borderId="43" xfId="0" applyFont="1" applyBorder="1"/>
    <xf numFmtId="0" fontId="13" fillId="0" borderId="44" xfId="0" applyFont="1" applyBorder="1"/>
    <xf numFmtId="0" fontId="13" fillId="0" borderId="45" xfId="0" applyFont="1" applyBorder="1"/>
    <xf numFmtId="0" fontId="13" fillId="0" borderId="0" xfId="0" applyFont="1" applyBorder="1"/>
    <xf numFmtId="0" fontId="13" fillId="0" borderId="46" xfId="0" applyFont="1" applyBorder="1"/>
    <xf numFmtId="0" fontId="20" fillId="0" borderId="45" xfId="0" applyFont="1" applyBorder="1" applyAlignment="1">
      <alignment horizontal="left" indent="3"/>
    </xf>
    <xf numFmtId="0" fontId="13" fillId="0" borderId="45" xfId="0" applyFont="1" applyBorder="1" applyAlignment="1">
      <alignment horizontal="left" indent="3"/>
    </xf>
    <xf numFmtId="0" fontId="13" fillId="0" borderId="0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13" fillId="0" borderId="47" xfId="0" applyFont="1" applyBorder="1" applyAlignment="1">
      <alignment horizontal="left" indent="3"/>
    </xf>
    <xf numFmtId="0" fontId="13" fillId="0" borderId="48" xfId="0" applyFont="1" applyBorder="1"/>
    <xf numFmtId="0" fontId="13" fillId="0" borderId="49" xfId="0" applyFont="1" applyBorder="1"/>
    <xf numFmtId="167" fontId="19" fillId="0" borderId="0" xfId="0" applyNumberFormat="1" applyFont="1"/>
    <xf numFmtId="167" fontId="13" fillId="0" borderId="0" xfId="0" applyNumberFormat="1" applyFont="1"/>
    <xf numFmtId="0" fontId="3" fillId="0" borderId="0" xfId="0" applyFont="1"/>
    <xf numFmtId="0" fontId="20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20" fillId="0" borderId="45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4" fillId="0" borderId="34" xfId="0" applyFont="1" applyBorder="1" applyAlignment="1">
      <alignment horizontal="center" vertical="center"/>
    </xf>
    <xf numFmtId="0" fontId="25" fillId="2" borderId="34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center" vertical="center" wrapText="1"/>
    </xf>
    <xf numFmtId="0" fontId="24" fillId="0" borderId="34" xfId="0" applyFont="1" applyFill="1" applyBorder="1" applyAlignment="1">
      <alignment vertical="center" wrapText="1"/>
    </xf>
    <xf numFmtId="167" fontId="24" fillId="2" borderId="34" xfId="1" applyNumberFormat="1" applyFont="1" applyFill="1" applyBorder="1" applyAlignment="1" applyProtection="1">
      <alignment horizontal="center" vertical="center" wrapText="1"/>
    </xf>
    <xf numFmtId="167" fontId="24" fillId="2" borderId="34" xfId="1" applyNumberFormat="1" applyFont="1" applyFill="1" applyBorder="1" applyAlignment="1" applyProtection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0" xfId="0" applyFont="1"/>
    <xf numFmtId="0" fontId="24" fillId="3" borderId="34" xfId="0" applyFont="1" applyFill="1" applyBorder="1" applyAlignment="1">
      <alignment vertical="center"/>
    </xf>
    <xf numFmtId="0" fontId="25" fillId="3" borderId="34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vertical="center" wrapText="1"/>
    </xf>
    <xf numFmtId="0" fontId="24" fillId="3" borderId="3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 wrapText="1"/>
    </xf>
    <xf numFmtId="0" fontId="3" fillId="2" borderId="46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/>
    </xf>
    <xf numFmtId="0" fontId="3" fillId="4" borderId="46" xfId="0" applyFont="1" applyFill="1" applyBorder="1" applyAlignment="1">
      <alignment horizontal="left" wrapText="1"/>
    </xf>
    <xf numFmtId="0" fontId="3" fillId="2" borderId="46" xfId="0" applyFont="1" applyFill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horizontal="left" wrapText="1" indent="1"/>
    </xf>
    <xf numFmtId="0" fontId="19" fillId="0" borderId="39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3" fillId="4" borderId="46" xfId="0" applyFont="1" applyFill="1" applyBorder="1" applyAlignment="1">
      <alignment horizontal="left" vertical="center" wrapText="1"/>
    </xf>
    <xf numFmtId="0" fontId="13" fillId="2" borderId="46" xfId="0" applyFont="1" applyFill="1" applyBorder="1" applyAlignment="1">
      <alignment horizontal="left"/>
    </xf>
    <xf numFmtId="0" fontId="13" fillId="2" borderId="46" xfId="0" applyFont="1" applyFill="1" applyBorder="1" applyAlignment="1">
      <alignment horizontal="center"/>
    </xf>
    <xf numFmtId="0" fontId="13" fillId="4" borderId="46" xfId="0" applyFont="1" applyFill="1" applyBorder="1" applyAlignment="1">
      <alignment horizontal="center" wrapText="1"/>
    </xf>
    <xf numFmtId="0" fontId="13" fillId="2" borderId="46" xfId="0" applyFont="1" applyFill="1" applyBorder="1" applyAlignment="1">
      <alignment horizontal="left" wrapText="1"/>
    </xf>
    <xf numFmtId="0" fontId="13" fillId="4" borderId="4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 indent="1"/>
    </xf>
    <xf numFmtId="0" fontId="10" fillId="0" borderId="35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 wrapText="1" indent="1"/>
    </xf>
    <xf numFmtId="168" fontId="10" fillId="0" borderId="34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3" xfId="0" applyFont="1" applyBorder="1"/>
    <xf numFmtId="0" fontId="2" fillId="0" borderId="3" xfId="0" applyFont="1" applyBorder="1" applyAlignment="1">
      <alignment horizontal="left" inden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3" fillId="0" borderId="21" xfId="0" applyFont="1" applyBorder="1" applyAlignment="1">
      <alignment horizontal="left" vertical="center" wrapText="1"/>
    </xf>
    <xf numFmtId="0" fontId="0" fillId="0" borderId="11" xfId="0" applyBorder="1"/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</cellXfs>
  <cellStyles count="4">
    <cellStyle name="Moneda" xfId="1" builtin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3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52" customWidth="1"/>
    <col min="2" max="2" width="15.7109375" style="52" customWidth="1"/>
    <col min="3" max="3" width="32.42578125" style="52" customWidth="1"/>
    <col min="4" max="4" width="8.42578125" style="52" customWidth="1"/>
    <col min="5" max="5" width="79" style="52" customWidth="1"/>
    <col min="6" max="6" width="11" style="52"/>
    <col min="7" max="7" width="12.7109375" style="52" customWidth="1"/>
    <col min="8" max="8" width="13.85546875" style="52" customWidth="1"/>
    <col min="9" max="9" width="18.5703125" style="52" customWidth="1"/>
    <col min="10" max="16384" width="11" style="52"/>
  </cols>
  <sheetData>
    <row r="2" spans="1:9" ht="27" x14ac:dyDescent="0.35">
      <c r="B2" s="112" t="s">
        <v>0</v>
      </c>
      <c r="C2" s="112"/>
      <c r="D2" s="112"/>
      <c r="E2" s="112"/>
      <c r="F2" s="112"/>
      <c r="G2" s="112"/>
      <c r="H2" s="112"/>
    </row>
    <row r="4" spans="1:9" ht="18" customHeight="1" x14ac:dyDescent="0.25">
      <c r="A4" s="113" t="s">
        <v>1</v>
      </c>
      <c r="B4" s="113"/>
      <c r="C4" s="114" t="s">
        <v>2</v>
      </c>
      <c r="D4" s="114"/>
      <c r="E4" s="114"/>
      <c r="F4" s="53"/>
      <c r="G4" s="54"/>
      <c r="H4" s="53"/>
    </row>
    <row r="5" spans="1:9" ht="18" customHeight="1" x14ac:dyDescent="0.25">
      <c r="A5" s="113" t="s">
        <v>3</v>
      </c>
      <c r="B5" s="113"/>
      <c r="C5" s="114" t="s">
        <v>4</v>
      </c>
      <c r="D5" s="114"/>
      <c r="E5" s="114"/>
      <c r="F5" s="53"/>
      <c r="G5" s="54"/>
      <c r="H5" s="53"/>
    </row>
    <row r="6" spans="1:9" ht="16.5" customHeight="1" x14ac:dyDescent="0.25">
      <c r="A6" s="113" t="s">
        <v>5</v>
      </c>
      <c r="B6" s="113"/>
      <c r="C6" s="55">
        <v>2022</v>
      </c>
      <c r="D6" s="56"/>
      <c r="E6" s="56"/>
      <c r="F6" s="53"/>
      <c r="G6" s="54"/>
      <c r="H6" s="53"/>
    </row>
    <row r="7" spans="1:9" ht="16.5" customHeight="1" x14ac:dyDescent="0.25">
      <c r="A7" s="113" t="s">
        <v>6</v>
      </c>
      <c r="B7" s="113"/>
      <c r="C7" s="55">
        <v>4</v>
      </c>
      <c r="D7" s="56"/>
      <c r="E7" s="56"/>
      <c r="F7" s="53"/>
      <c r="G7" s="54"/>
      <c r="H7" s="53"/>
    </row>
    <row r="8" spans="1:9" ht="13.5" thickBot="1" x14ac:dyDescent="0.25">
      <c r="B8" s="53"/>
      <c r="C8" s="54"/>
      <c r="D8" s="53"/>
      <c r="E8" s="53"/>
      <c r="F8" s="53"/>
      <c r="G8" s="54"/>
      <c r="H8" s="53"/>
    </row>
    <row r="9" spans="1:9" ht="39" thickBot="1" x14ac:dyDescent="0.25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9" ht="31.9" customHeight="1" thickBot="1" x14ac:dyDescent="0.25">
      <c r="A10" s="90">
        <v>1</v>
      </c>
      <c r="B10" s="91" t="s">
        <v>16</v>
      </c>
      <c r="C10" s="92" t="s">
        <v>17</v>
      </c>
      <c r="D10" s="93" t="str">
        <f>LEFT(B10,5)</f>
        <v>2.3.4</v>
      </c>
      <c r="E10" s="94" t="s">
        <v>18</v>
      </c>
      <c r="F10" s="91" t="s">
        <v>19</v>
      </c>
      <c r="G10" s="91">
        <v>25</v>
      </c>
      <c r="H10" s="95">
        <v>1900</v>
      </c>
      <c r="I10" s="96">
        <f t="shared" ref="I10:I25" si="0">G10*H10</f>
        <v>47500</v>
      </c>
    </row>
    <row r="11" spans="1:9" ht="31.9" customHeight="1" thickBot="1" x14ac:dyDescent="0.25">
      <c r="A11" s="90">
        <v>2</v>
      </c>
      <c r="B11" s="91" t="s">
        <v>20</v>
      </c>
      <c r="C11" s="92" t="s">
        <v>17</v>
      </c>
      <c r="D11" s="93" t="str">
        <f t="shared" ref="D11:D25" si="1">LEFT(B11,5)</f>
        <v>2.9.4</v>
      </c>
      <c r="E11" s="94" t="s">
        <v>21</v>
      </c>
      <c r="F11" s="91" t="s">
        <v>19</v>
      </c>
      <c r="G11" s="91">
        <v>25000</v>
      </c>
      <c r="H11" s="95">
        <v>4.2</v>
      </c>
      <c r="I11" s="96">
        <f t="shared" si="0"/>
        <v>105000</v>
      </c>
    </row>
    <row r="12" spans="1:9" ht="31.9" customHeight="1" thickBot="1" x14ac:dyDescent="0.3">
      <c r="A12" s="90">
        <v>3</v>
      </c>
      <c r="B12" s="91" t="s">
        <v>22</v>
      </c>
      <c r="C12" s="92" t="s">
        <v>17</v>
      </c>
      <c r="D12" s="93" t="str">
        <f t="shared" si="1"/>
        <v>2.9.4</v>
      </c>
      <c r="E12" s="97" t="s">
        <v>119</v>
      </c>
      <c r="F12" s="91" t="s">
        <v>19</v>
      </c>
      <c r="G12" s="91">
        <v>5000</v>
      </c>
      <c r="H12" s="95">
        <v>16</v>
      </c>
      <c r="I12" s="96">
        <f t="shared" si="0"/>
        <v>80000</v>
      </c>
    </row>
    <row r="13" spans="1:9" ht="31.9" customHeight="1" thickBot="1" x14ac:dyDescent="0.25">
      <c r="A13" s="90">
        <v>4</v>
      </c>
      <c r="B13" s="91" t="s">
        <v>23</v>
      </c>
      <c r="C13" s="92" t="s">
        <v>24</v>
      </c>
      <c r="D13" s="93" t="str">
        <f t="shared" si="1"/>
        <v>2.5.8</v>
      </c>
      <c r="E13" s="94" t="s">
        <v>25</v>
      </c>
      <c r="F13" s="91" t="s">
        <v>19</v>
      </c>
      <c r="G13" s="91">
        <v>600</v>
      </c>
      <c r="H13" s="95">
        <v>310</v>
      </c>
      <c r="I13" s="96">
        <f t="shared" si="0"/>
        <v>186000</v>
      </c>
    </row>
    <row r="14" spans="1:9" ht="31.9" customHeight="1" thickBot="1" x14ac:dyDescent="0.25">
      <c r="A14" s="90">
        <v>5</v>
      </c>
      <c r="B14" s="91" t="s">
        <v>26</v>
      </c>
      <c r="C14" s="92" t="s">
        <v>17</v>
      </c>
      <c r="D14" s="93" t="str">
        <f t="shared" si="1"/>
        <v>2.9.4</v>
      </c>
      <c r="E14" s="94" t="s">
        <v>27</v>
      </c>
      <c r="F14" s="91" t="s">
        <v>19</v>
      </c>
      <c r="G14" s="91">
        <v>25000</v>
      </c>
      <c r="H14" s="95">
        <v>16</v>
      </c>
      <c r="I14" s="96">
        <f t="shared" si="0"/>
        <v>400000</v>
      </c>
    </row>
    <row r="15" spans="1:9" ht="30" customHeight="1" thickBot="1" x14ac:dyDescent="0.3">
      <c r="A15" s="90">
        <v>6</v>
      </c>
      <c r="B15" s="91" t="s">
        <v>28</v>
      </c>
      <c r="C15" s="92" t="s">
        <v>17</v>
      </c>
      <c r="D15" s="93" t="str">
        <f t="shared" si="1"/>
        <v>2.9.4</v>
      </c>
      <c r="E15" s="98" t="s">
        <v>120</v>
      </c>
      <c r="F15" s="91" t="s">
        <v>19</v>
      </c>
      <c r="G15" s="91">
        <v>50000</v>
      </c>
      <c r="H15" s="95">
        <v>20</v>
      </c>
      <c r="I15" s="96">
        <f t="shared" si="0"/>
        <v>1000000</v>
      </c>
    </row>
    <row r="16" spans="1:9" ht="31.9" customHeight="1" thickBot="1" x14ac:dyDescent="0.25">
      <c r="A16" s="90">
        <v>7</v>
      </c>
      <c r="B16" s="91" t="s">
        <v>29</v>
      </c>
      <c r="C16" s="92" t="s">
        <v>17</v>
      </c>
      <c r="D16" s="93" t="str">
        <f t="shared" si="1"/>
        <v>2.9.4</v>
      </c>
      <c r="E16" s="94" t="s">
        <v>30</v>
      </c>
      <c r="F16" s="91" t="s">
        <v>19</v>
      </c>
      <c r="G16" s="91">
        <v>25000</v>
      </c>
      <c r="H16" s="95">
        <v>4.2</v>
      </c>
      <c r="I16" s="96">
        <f t="shared" si="0"/>
        <v>105000</v>
      </c>
    </row>
    <row r="17" spans="1:14" ht="31.9" customHeight="1" thickBot="1" x14ac:dyDescent="0.25">
      <c r="A17" s="90">
        <v>8</v>
      </c>
      <c r="B17" s="91" t="s">
        <v>31</v>
      </c>
      <c r="C17" s="92" t="s">
        <v>17</v>
      </c>
      <c r="D17" s="93" t="str">
        <f t="shared" si="1"/>
        <v>2.5.8</v>
      </c>
      <c r="E17" s="94" t="s">
        <v>32</v>
      </c>
      <c r="F17" s="91" t="s">
        <v>19</v>
      </c>
      <c r="G17" s="91">
        <v>25</v>
      </c>
      <c r="H17" s="95">
        <v>54000</v>
      </c>
      <c r="I17" s="96">
        <f t="shared" si="0"/>
        <v>1350000</v>
      </c>
    </row>
    <row r="18" spans="1:14" ht="50.25" customHeight="1" thickBot="1" x14ac:dyDescent="0.25">
      <c r="A18" s="90">
        <v>9</v>
      </c>
      <c r="B18" s="91" t="s">
        <v>33</v>
      </c>
      <c r="C18" s="92" t="s">
        <v>17</v>
      </c>
      <c r="D18" s="93" t="str">
        <f t="shared" si="1"/>
        <v>2.9.4</v>
      </c>
      <c r="E18" s="94" t="s">
        <v>34</v>
      </c>
      <c r="F18" s="91" t="s">
        <v>19</v>
      </c>
      <c r="G18" s="91">
        <v>5000</v>
      </c>
      <c r="H18" s="95">
        <v>31</v>
      </c>
      <c r="I18" s="96">
        <f t="shared" si="0"/>
        <v>155000</v>
      </c>
      <c r="N18" s="52">
        <v>3</v>
      </c>
    </row>
    <row r="19" spans="1:14" ht="31.9" customHeight="1" thickBot="1" x14ac:dyDescent="0.25">
      <c r="A19" s="90">
        <v>10</v>
      </c>
      <c r="B19" s="91" t="s">
        <v>35</v>
      </c>
      <c r="C19" s="92" t="s">
        <v>17</v>
      </c>
      <c r="D19" s="93" t="str">
        <f t="shared" si="1"/>
        <v>2.9.4</v>
      </c>
      <c r="E19" s="94" t="s">
        <v>36</v>
      </c>
      <c r="F19" s="91" t="s">
        <v>19</v>
      </c>
      <c r="G19" s="91">
        <v>25000</v>
      </c>
      <c r="H19" s="95">
        <v>4.2</v>
      </c>
      <c r="I19" s="96">
        <f t="shared" si="0"/>
        <v>105000</v>
      </c>
    </row>
    <row r="20" spans="1:14" ht="31.9" customHeight="1" thickBot="1" x14ac:dyDescent="0.25">
      <c r="A20" s="90">
        <v>11</v>
      </c>
      <c r="B20" s="91" t="s">
        <v>37</v>
      </c>
      <c r="C20" s="92" t="s">
        <v>17</v>
      </c>
      <c r="D20" s="93" t="str">
        <f t="shared" si="1"/>
        <v>2.3.4</v>
      </c>
      <c r="E20" s="94" t="s">
        <v>38</v>
      </c>
      <c r="F20" s="91" t="s">
        <v>19</v>
      </c>
      <c r="G20" s="91">
        <v>150</v>
      </c>
      <c r="H20" s="95">
        <v>190</v>
      </c>
      <c r="I20" s="96">
        <f t="shared" si="0"/>
        <v>28500</v>
      </c>
    </row>
    <row r="21" spans="1:14" ht="37.5" customHeight="1" thickBot="1" x14ac:dyDescent="0.25">
      <c r="A21" s="90">
        <v>12</v>
      </c>
      <c r="B21" s="91" t="s">
        <v>39</v>
      </c>
      <c r="C21" s="92" t="s">
        <v>17</v>
      </c>
      <c r="D21" s="93" t="str">
        <f t="shared" si="1"/>
        <v>2.9.4</v>
      </c>
      <c r="E21" s="94" t="s">
        <v>40</v>
      </c>
      <c r="F21" s="91" t="s">
        <v>19</v>
      </c>
      <c r="G21" s="91">
        <v>60000</v>
      </c>
      <c r="H21" s="95">
        <v>34</v>
      </c>
      <c r="I21" s="96">
        <f t="shared" si="0"/>
        <v>2040000</v>
      </c>
    </row>
    <row r="22" spans="1:14" ht="31.9" customHeight="1" thickBot="1" x14ac:dyDescent="0.25">
      <c r="A22" s="90">
        <v>13</v>
      </c>
      <c r="B22" s="91" t="s">
        <v>41</v>
      </c>
      <c r="C22" s="92" t="s">
        <v>17</v>
      </c>
      <c r="D22" s="93" t="str">
        <f t="shared" si="1"/>
        <v>2.9.4</v>
      </c>
      <c r="E22" s="94" t="s">
        <v>42</v>
      </c>
      <c r="F22" s="91" t="s">
        <v>19</v>
      </c>
      <c r="G22" s="91">
        <v>25000</v>
      </c>
      <c r="H22" s="95">
        <v>2.6</v>
      </c>
      <c r="I22" s="96">
        <f t="shared" si="0"/>
        <v>65000</v>
      </c>
    </row>
    <row r="23" spans="1:14" ht="31.9" customHeight="1" thickBot="1" x14ac:dyDescent="0.25">
      <c r="A23" s="90">
        <v>14</v>
      </c>
      <c r="B23" s="91" t="s">
        <v>43</v>
      </c>
      <c r="C23" s="92" t="s">
        <v>44</v>
      </c>
      <c r="D23" s="93" t="str">
        <f t="shared" si="1"/>
        <v>2.5.8</v>
      </c>
      <c r="E23" s="94" t="s">
        <v>45</v>
      </c>
      <c r="F23" s="91" t="s">
        <v>19</v>
      </c>
      <c r="G23" s="91">
        <v>5</v>
      </c>
      <c r="H23" s="95">
        <v>8400</v>
      </c>
      <c r="I23" s="96">
        <f t="shared" si="0"/>
        <v>42000</v>
      </c>
    </row>
    <row r="24" spans="1:14" ht="31.9" customHeight="1" thickBot="1" x14ac:dyDescent="0.25">
      <c r="A24" s="90">
        <v>15</v>
      </c>
      <c r="B24" s="91" t="s">
        <v>46</v>
      </c>
      <c r="C24" s="92" t="s">
        <v>17</v>
      </c>
      <c r="D24" s="93" t="str">
        <f t="shared" si="1"/>
        <v>2.9.4</v>
      </c>
      <c r="E24" s="94" t="s">
        <v>47</v>
      </c>
      <c r="F24" s="91" t="s">
        <v>19</v>
      </c>
      <c r="G24" s="91">
        <v>2000</v>
      </c>
      <c r="H24" s="95">
        <v>16</v>
      </c>
      <c r="I24" s="96">
        <f t="shared" si="0"/>
        <v>32000</v>
      </c>
    </row>
    <row r="25" spans="1:14" ht="48" customHeight="1" thickBot="1" x14ac:dyDescent="0.25">
      <c r="A25" s="90">
        <v>16</v>
      </c>
      <c r="B25" s="91" t="s">
        <v>48</v>
      </c>
      <c r="C25" s="92" t="s">
        <v>17</v>
      </c>
      <c r="D25" s="93" t="str">
        <f t="shared" si="1"/>
        <v>2.9.4</v>
      </c>
      <c r="E25" s="94" t="s">
        <v>49</v>
      </c>
      <c r="F25" s="91" t="s">
        <v>19</v>
      </c>
      <c r="G25" s="91">
        <v>60</v>
      </c>
      <c r="H25" s="95">
        <v>18000</v>
      </c>
      <c r="I25" s="96">
        <f t="shared" si="0"/>
        <v>1080000</v>
      </c>
    </row>
    <row r="26" spans="1:14" ht="56.25" customHeight="1" thickBot="1" x14ac:dyDescent="0.25">
      <c r="A26" s="90">
        <v>17</v>
      </c>
      <c r="B26" s="91" t="s">
        <v>50</v>
      </c>
      <c r="C26" s="92" t="s">
        <v>51</v>
      </c>
      <c r="D26" s="93" t="str">
        <f t="shared" ref="D26:D30" si="2">LEFT(B26,5)</f>
        <v>2.9.5</v>
      </c>
      <c r="E26" s="94" t="s">
        <v>52</v>
      </c>
      <c r="F26" s="91" t="s">
        <v>19</v>
      </c>
      <c r="G26" s="91">
        <v>5</v>
      </c>
      <c r="H26" s="95">
        <v>150</v>
      </c>
      <c r="I26" s="96">
        <f t="shared" ref="I26:I30" si="3">G26*H26</f>
        <v>750</v>
      </c>
    </row>
    <row r="27" spans="1:14" ht="48" customHeight="1" thickBot="1" x14ac:dyDescent="0.25">
      <c r="A27" s="102">
        <v>18</v>
      </c>
      <c r="B27" s="99" t="s">
        <v>121</v>
      </c>
      <c r="C27" s="99" t="s">
        <v>44</v>
      </c>
      <c r="D27" s="100" t="str">
        <f t="shared" si="2"/>
        <v>2.5.8</v>
      </c>
      <c r="E27" s="101" t="s">
        <v>122</v>
      </c>
      <c r="F27" s="91" t="s">
        <v>123</v>
      </c>
      <c r="G27" s="91">
        <v>3</v>
      </c>
      <c r="H27" s="95">
        <v>32000</v>
      </c>
      <c r="I27" s="96">
        <f t="shared" si="3"/>
        <v>96000</v>
      </c>
      <c r="J27" s="74"/>
    </row>
    <row r="28" spans="1:14" ht="48" customHeight="1" thickBot="1" x14ac:dyDescent="0.25">
      <c r="A28" s="102">
        <v>19</v>
      </c>
      <c r="B28" s="99" t="s">
        <v>124</v>
      </c>
      <c r="C28" s="99" t="s">
        <v>44</v>
      </c>
      <c r="D28" s="100" t="str">
        <f t="shared" si="2"/>
        <v>2.5.8</v>
      </c>
      <c r="E28" s="101" t="s">
        <v>125</v>
      </c>
      <c r="F28" s="91" t="s">
        <v>123</v>
      </c>
      <c r="G28" s="91">
        <v>30</v>
      </c>
      <c r="H28" s="95">
        <v>2500</v>
      </c>
      <c r="I28" s="96">
        <f t="shared" si="3"/>
        <v>75000</v>
      </c>
      <c r="J28" s="74"/>
    </row>
    <row r="29" spans="1:14" ht="48" customHeight="1" thickBot="1" x14ac:dyDescent="0.25">
      <c r="A29" s="102">
        <v>20</v>
      </c>
      <c r="B29" s="99" t="s">
        <v>124</v>
      </c>
      <c r="C29" s="99" t="s">
        <v>44</v>
      </c>
      <c r="D29" s="100" t="str">
        <f t="shared" si="2"/>
        <v>2.5.8</v>
      </c>
      <c r="E29" s="101" t="s">
        <v>125</v>
      </c>
      <c r="F29" s="91" t="s">
        <v>123</v>
      </c>
      <c r="G29" s="91">
        <v>30</v>
      </c>
      <c r="H29" s="95">
        <v>2500</v>
      </c>
      <c r="I29" s="96">
        <f t="shared" si="3"/>
        <v>75000</v>
      </c>
      <c r="J29" s="74"/>
    </row>
    <row r="30" spans="1:14" ht="49.5" customHeight="1" thickBot="1" x14ac:dyDescent="0.25">
      <c r="A30" s="102">
        <v>21</v>
      </c>
      <c r="B30" s="99" t="s">
        <v>124</v>
      </c>
      <c r="C30" s="99" t="s">
        <v>44</v>
      </c>
      <c r="D30" s="100" t="str">
        <f t="shared" si="2"/>
        <v>2.5.8</v>
      </c>
      <c r="E30" s="101" t="s">
        <v>125</v>
      </c>
      <c r="F30" s="91" t="s">
        <v>123</v>
      </c>
      <c r="G30" s="91">
        <v>30</v>
      </c>
      <c r="H30" s="95">
        <v>2500</v>
      </c>
      <c r="I30" s="96">
        <f t="shared" si="3"/>
        <v>75000</v>
      </c>
      <c r="J30" s="74"/>
    </row>
    <row r="31" spans="1:14" ht="13.5" thickBot="1" x14ac:dyDescent="0.25">
      <c r="I31" s="72">
        <f>SUM(I10:I30)</f>
        <v>7142750</v>
      </c>
    </row>
    <row r="32" spans="1:14" ht="37.5" customHeight="1" thickTop="1" thickBot="1" x14ac:dyDescent="0.25">
      <c r="B32" s="115" t="s">
        <v>53</v>
      </c>
      <c r="C32" s="116"/>
      <c r="D32" s="116"/>
      <c r="E32" s="117"/>
      <c r="G32" s="58"/>
      <c r="H32" s="58"/>
      <c r="I32" s="73"/>
    </row>
    <row r="33" spans="2:9" ht="35.25" customHeight="1" thickTop="1" thickBot="1" x14ac:dyDescent="0.25">
      <c r="B33" s="115" t="s">
        <v>54</v>
      </c>
      <c r="C33" s="116"/>
      <c r="D33" s="116"/>
      <c r="E33" s="117"/>
      <c r="G33" s="58"/>
      <c r="H33" s="58"/>
      <c r="I33" s="73"/>
    </row>
    <row r="34" spans="2:9" ht="13.5" thickTop="1" x14ac:dyDescent="0.2">
      <c r="B34" s="58"/>
      <c r="G34" s="58"/>
      <c r="H34" s="58"/>
      <c r="I34" s="73"/>
    </row>
    <row r="35" spans="2:9" x14ac:dyDescent="0.2">
      <c r="B35" s="58"/>
      <c r="G35" s="58"/>
      <c r="H35" s="58"/>
    </row>
    <row r="36" spans="2:9" x14ac:dyDescent="0.2">
      <c r="B36" s="59" t="s">
        <v>55</v>
      </c>
      <c r="C36" s="60"/>
      <c r="D36" s="60"/>
      <c r="E36" s="61"/>
    </row>
    <row r="37" spans="2:9" x14ac:dyDescent="0.2">
      <c r="B37" s="62"/>
      <c r="C37" s="63"/>
      <c r="D37" s="63"/>
      <c r="E37" s="64"/>
    </row>
    <row r="38" spans="2:9" x14ac:dyDescent="0.2">
      <c r="B38" s="65" t="s">
        <v>56</v>
      </c>
      <c r="C38" s="63"/>
      <c r="D38" s="63"/>
      <c r="E38" s="64"/>
    </row>
    <row r="39" spans="2:9" ht="33.75" customHeight="1" x14ac:dyDescent="0.2">
      <c r="B39" s="65"/>
      <c r="C39" s="118" t="s">
        <v>57</v>
      </c>
      <c r="D39" s="118"/>
      <c r="E39" s="118"/>
    </row>
    <row r="40" spans="2:9" x14ac:dyDescent="0.2">
      <c r="B40" s="65" t="s">
        <v>58</v>
      </c>
      <c r="C40" s="63"/>
      <c r="D40" s="63"/>
      <c r="E40" s="64"/>
    </row>
    <row r="41" spans="2:9" x14ac:dyDescent="0.2">
      <c r="B41" s="66"/>
      <c r="C41" s="119"/>
      <c r="D41" s="119"/>
      <c r="E41" s="119"/>
    </row>
    <row r="42" spans="2:9" x14ac:dyDescent="0.2">
      <c r="B42" s="66"/>
      <c r="C42" s="120"/>
      <c r="D42" s="120"/>
      <c r="E42" s="120"/>
    </row>
    <row r="43" spans="2:9" x14ac:dyDescent="0.2">
      <c r="B43" s="65" t="s">
        <v>59</v>
      </c>
      <c r="C43" s="63"/>
      <c r="D43" s="63"/>
      <c r="E43" s="64"/>
    </row>
    <row r="44" spans="2:9" x14ac:dyDescent="0.2">
      <c r="B44" s="66"/>
      <c r="C44" s="121"/>
      <c r="D44" s="121"/>
      <c r="E44" s="121"/>
    </row>
    <row r="45" spans="2:9" x14ac:dyDescent="0.2">
      <c r="B45" s="65" t="s">
        <v>60</v>
      </c>
      <c r="C45" s="67"/>
      <c r="D45" s="67"/>
      <c r="E45" s="68"/>
    </row>
    <row r="46" spans="2:9" x14ac:dyDescent="0.2">
      <c r="B46" s="66"/>
      <c r="C46" s="122"/>
      <c r="D46" s="122"/>
      <c r="E46" s="122"/>
    </row>
    <row r="47" spans="2:9" x14ac:dyDescent="0.2">
      <c r="B47" s="65" t="s">
        <v>61</v>
      </c>
      <c r="C47" s="63"/>
      <c r="D47" s="63"/>
      <c r="E47" s="64"/>
    </row>
    <row r="48" spans="2:9" ht="16.5" customHeight="1" x14ac:dyDescent="0.2">
      <c r="B48" s="65"/>
      <c r="C48" s="123"/>
      <c r="D48" s="123"/>
      <c r="E48" s="123"/>
    </row>
    <row r="49" spans="2:5" x14ac:dyDescent="0.2">
      <c r="B49" s="69"/>
      <c r="C49" s="70"/>
      <c r="D49" s="70"/>
      <c r="E49" s="71"/>
    </row>
    <row r="51" spans="2:5" x14ac:dyDescent="0.2">
      <c r="B51" s="59" t="s">
        <v>62</v>
      </c>
      <c r="C51" s="60"/>
      <c r="D51" s="60"/>
      <c r="E51" s="61"/>
    </row>
    <row r="52" spans="2:5" x14ac:dyDescent="0.2">
      <c r="B52" s="62"/>
      <c r="C52" s="63"/>
      <c r="D52" s="63"/>
      <c r="E52" s="64"/>
    </row>
    <row r="53" spans="2:5" x14ac:dyDescent="0.2">
      <c r="B53" s="65" t="s">
        <v>56</v>
      </c>
      <c r="C53" s="63"/>
      <c r="D53" s="63"/>
      <c r="E53" s="64"/>
    </row>
    <row r="54" spans="2:5" ht="24.75" customHeight="1" x14ac:dyDescent="0.2">
      <c r="B54" s="65"/>
      <c r="C54" s="118" t="s">
        <v>63</v>
      </c>
      <c r="D54" s="118"/>
      <c r="E54" s="118"/>
    </row>
    <row r="55" spans="2:5" x14ac:dyDescent="0.2">
      <c r="B55" s="65" t="s">
        <v>58</v>
      </c>
      <c r="C55" s="63"/>
      <c r="D55" s="63"/>
      <c r="E55" s="64"/>
    </row>
    <row r="56" spans="2:5" x14ac:dyDescent="0.2">
      <c r="B56" s="66"/>
      <c r="C56" s="119"/>
      <c r="D56" s="119"/>
      <c r="E56" s="119"/>
    </row>
    <row r="57" spans="2:5" x14ac:dyDescent="0.2">
      <c r="B57" s="66"/>
      <c r="C57" s="120"/>
      <c r="D57" s="120"/>
      <c r="E57" s="120"/>
    </row>
    <row r="58" spans="2:5" x14ac:dyDescent="0.2">
      <c r="B58" s="65" t="s">
        <v>59</v>
      </c>
      <c r="C58" s="63"/>
      <c r="D58" s="63"/>
      <c r="E58" s="64"/>
    </row>
    <row r="59" spans="2:5" x14ac:dyDescent="0.2">
      <c r="B59" s="66"/>
      <c r="C59" s="121"/>
      <c r="D59" s="121"/>
      <c r="E59" s="121"/>
    </row>
    <row r="60" spans="2:5" x14ac:dyDescent="0.2">
      <c r="B60" s="65" t="s">
        <v>60</v>
      </c>
      <c r="C60" s="67"/>
      <c r="D60" s="67"/>
      <c r="E60" s="68"/>
    </row>
    <row r="61" spans="2:5" x14ac:dyDescent="0.2">
      <c r="B61" s="66"/>
      <c r="C61" s="122"/>
      <c r="D61" s="122"/>
      <c r="E61" s="122"/>
    </row>
    <row r="62" spans="2:5" x14ac:dyDescent="0.2">
      <c r="B62" s="65" t="s">
        <v>61</v>
      </c>
      <c r="C62" s="63"/>
      <c r="D62" s="63"/>
      <c r="E62" s="64"/>
    </row>
    <row r="63" spans="2:5" x14ac:dyDescent="0.2">
      <c r="B63" s="65"/>
      <c r="C63" s="123"/>
      <c r="D63" s="123"/>
      <c r="E63" s="123"/>
    </row>
    <row r="64" spans="2:5" x14ac:dyDescent="0.2">
      <c r="B64" s="69"/>
      <c r="C64" s="70"/>
      <c r="D64" s="70"/>
      <c r="E64" s="71"/>
    </row>
    <row r="66" spans="2:5" x14ac:dyDescent="0.2">
      <c r="B66" s="59" t="s">
        <v>64</v>
      </c>
      <c r="C66" s="60"/>
      <c r="D66" s="60"/>
      <c r="E66" s="61"/>
    </row>
    <row r="67" spans="2:5" x14ac:dyDescent="0.2">
      <c r="B67" s="62"/>
      <c r="C67" s="63"/>
      <c r="D67" s="63"/>
      <c r="E67" s="64"/>
    </row>
    <row r="68" spans="2:5" x14ac:dyDescent="0.2">
      <c r="B68" s="65" t="s">
        <v>56</v>
      </c>
      <c r="C68" s="63"/>
      <c r="D68" s="63"/>
      <c r="E68" s="64"/>
    </row>
    <row r="69" spans="2:5" ht="24" customHeight="1" x14ac:dyDescent="0.2">
      <c r="B69" s="65"/>
      <c r="C69" s="118" t="s">
        <v>65</v>
      </c>
      <c r="D69" s="118"/>
      <c r="E69" s="118"/>
    </row>
    <row r="70" spans="2:5" x14ac:dyDescent="0.2">
      <c r="B70" s="65" t="s">
        <v>58</v>
      </c>
      <c r="C70" s="63"/>
      <c r="D70" s="63"/>
      <c r="E70" s="64"/>
    </row>
    <row r="71" spans="2:5" x14ac:dyDescent="0.2">
      <c r="B71" s="66"/>
      <c r="C71" s="119"/>
      <c r="D71" s="119"/>
      <c r="E71" s="119"/>
    </row>
    <row r="72" spans="2:5" x14ac:dyDescent="0.2">
      <c r="B72" s="66"/>
      <c r="C72" s="120"/>
      <c r="D72" s="120"/>
      <c r="E72" s="120"/>
    </row>
    <row r="73" spans="2:5" x14ac:dyDescent="0.2">
      <c r="B73" s="65" t="s">
        <v>59</v>
      </c>
      <c r="C73" s="63"/>
      <c r="D73" s="63"/>
      <c r="E73" s="64"/>
    </row>
    <row r="74" spans="2:5" x14ac:dyDescent="0.2">
      <c r="B74" s="66"/>
      <c r="C74" s="121"/>
      <c r="D74" s="121"/>
      <c r="E74" s="121"/>
    </row>
    <row r="75" spans="2:5" x14ac:dyDescent="0.2">
      <c r="B75" s="65" t="s">
        <v>60</v>
      </c>
      <c r="C75" s="67"/>
      <c r="D75" s="67"/>
      <c r="E75" s="68"/>
    </row>
    <row r="76" spans="2:5" x14ac:dyDescent="0.2">
      <c r="B76" s="66"/>
      <c r="C76" s="122"/>
      <c r="D76" s="122"/>
      <c r="E76" s="122"/>
    </row>
    <row r="77" spans="2:5" x14ac:dyDescent="0.2">
      <c r="B77" s="65" t="s">
        <v>61</v>
      </c>
      <c r="C77" s="63"/>
      <c r="D77" s="63"/>
      <c r="E77" s="64"/>
    </row>
    <row r="78" spans="2:5" x14ac:dyDescent="0.2">
      <c r="B78" s="65"/>
      <c r="C78" s="123"/>
      <c r="D78" s="123"/>
      <c r="E78" s="123"/>
    </row>
    <row r="79" spans="2:5" x14ac:dyDescent="0.2">
      <c r="B79" s="69"/>
      <c r="C79" s="70"/>
      <c r="D79" s="70"/>
      <c r="E79" s="71"/>
    </row>
    <row r="81" spans="2:5" x14ac:dyDescent="0.2">
      <c r="B81" s="59" t="s">
        <v>66</v>
      </c>
      <c r="C81" s="60"/>
      <c r="D81" s="60"/>
      <c r="E81" s="61"/>
    </row>
    <row r="82" spans="2:5" ht="5.25" customHeight="1" x14ac:dyDescent="0.2">
      <c r="B82" s="62"/>
      <c r="C82" s="63"/>
      <c r="D82" s="63"/>
      <c r="E82" s="64"/>
    </row>
    <row r="83" spans="2:5" x14ac:dyDescent="0.2">
      <c r="B83" s="65" t="s">
        <v>56</v>
      </c>
      <c r="C83" s="63"/>
      <c r="D83" s="63"/>
      <c r="E83" s="64"/>
    </row>
    <row r="84" spans="2:5" ht="41.25" customHeight="1" x14ac:dyDescent="0.2">
      <c r="B84" s="65"/>
      <c r="C84" s="118" t="s">
        <v>67</v>
      </c>
      <c r="D84" s="118"/>
      <c r="E84" s="118"/>
    </row>
    <row r="85" spans="2:5" x14ac:dyDescent="0.2">
      <c r="B85" s="65" t="s">
        <v>58</v>
      </c>
      <c r="C85" s="63"/>
      <c r="D85" s="63"/>
      <c r="E85" s="64"/>
    </row>
    <row r="86" spans="2:5" x14ac:dyDescent="0.2">
      <c r="B86" s="66"/>
      <c r="C86" s="119"/>
      <c r="D86" s="119"/>
      <c r="E86" s="119"/>
    </row>
    <row r="87" spans="2:5" x14ac:dyDescent="0.2">
      <c r="B87" s="66"/>
      <c r="C87" s="120"/>
      <c r="D87" s="120"/>
      <c r="E87" s="120"/>
    </row>
    <row r="88" spans="2:5" x14ac:dyDescent="0.2">
      <c r="B88" s="65" t="s">
        <v>59</v>
      </c>
      <c r="C88" s="63"/>
      <c r="D88" s="63"/>
      <c r="E88" s="64"/>
    </row>
    <row r="89" spans="2:5" ht="19.5" customHeight="1" x14ac:dyDescent="0.2">
      <c r="B89" s="66"/>
      <c r="C89" s="121"/>
      <c r="D89" s="121"/>
      <c r="E89" s="121"/>
    </row>
    <row r="90" spans="2:5" x14ac:dyDescent="0.2">
      <c r="B90" s="65" t="s">
        <v>60</v>
      </c>
      <c r="C90" s="67"/>
      <c r="D90" s="67"/>
      <c r="E90" s="68"/>
    </row>
    <row r="91" spans="2:5" ht="17.25" customHeight="1" x14ac:dyDescent="0.2">
      <c r="B91" s="66"/>
      <c r="C91" s="122"/>
      <c r="D91" s="122"/>
      <c r="E91" s="122"/>
    </row>
    <row r="92" spans="2:5" x14ac:dyDescent="0.2">
      <c r="B92" s="65" t="s">
        <v>61</v>
      </c>
      <c r="C92" s="63"/>
      <c r="D92" s="63"/>
      <c r="E92" s="64"/>
    </row>
    <row r="93" spans="2:5" ht="15" customHeight="1" x14ac:dyDescent="0.2">
      <c r="B93" s="65"/>
      <c r="C93" s="123"/>
      <c r="D93" s="123"/>
      <c r="E93" s="123"/>
    </row>
    <row r="94" spans="2:5" x14ac:dyDescent="0.2">
      <c r="B94" s="69"/>
      <c r="C94" s="70"/>
      <c r="D94" s="70"/>
      <c r="E94" s="71"/>
    </row>
    <row r="96" spans="2:5" x14ac:dyDescent="0.2">
      <c r="B96" s="59" t="s">
        <v>68</v>
      </c>
      <c r="C96" s="60"/>
      <c r="D96" s="60"/>
      <c r="E96" s="61"/>
    </row>
    <row r="97" spans="2:5" x14ac:dyDescent="0.2">
      <c r="B97" s="62"/>
      <c r="C97" s="63"/>
      <c r="D97" s="63"/>
      <c r="E97" s="64"/>
    </row>
    <row r="98" spans="2:5" x14ac:dyDescent="0.2">
      <c r="B98" s="65" t="s">
        <v>56</v>
      </c>
      <c r="C98" s="63"/>
      <c r="D98" s="63"/>
      <c r="E98" s="64"/>
    </row>
    <row r="99" spans="2:5" ht="24" customHeight="1" x14ac:dyDescent="0.2">
      <c r="B99" s="65"/>
      <c r="C99" s="118" t="s">
        <v>69</v>
      </c>
      <c r="D99" s="118"/>
      <c r="E99" s="118"/>
    </row>
    <row r="100" spans="2:5" x14ac:dyDescent="0.2">
      <c r="B100" s="65" t="s">
        <v>58</v>
      </c>
      <c r="C100" s="63"/>
      <c r="D100" s="63"/>
      <c r="E100" s="64"/>
    </row>
    <row r="101" spans="2:5" x14ac:dyDescent="0.2">
      <c r="B101" s="66"/>
      <c r="C101" s="119"/>
      <c r="D101" s="119"/>
      <c r="E101" s="119"/>
    </row>
    <row r="102" spans="2:5" x14ac:dyDescent="0.2">
      <c r="B102" s="66"/>
      <c r="C102" s="120"/>
      <c r="D102" s="120"/>
      <c r="E102" s="120"/>
    </row>
    <row r="103" spans="2:5" x14ac:dyDescent="0.2">
      <c r="B103" s="65" t="s">
        <v>59</v>
      </c>
      <c r="C103" s="63"/>
      <c r="D103" s="63"/>
      <c r="E103" s="64"/>
    </row>
    <row r="104" spans="2:5" x14ac:dyDescent="0.2">
      <c r="B104" s="66"/>
      <c r="C104" s="121"/>
      <c r="D104" s="121"/>
      <c r="E104" s="121"/>
    </row>
    <row r="105" spans="2:5" x14ac:dyDescent="0.2">
      <c r="B105" s="65" t="s">
        <v>60</v>
      </c>
      <c r="C105" s="67"/>
      <c r="D105" s="67"/>
      <c r="E105" s="68"/>
    </row>
    <row r="106" spans="2:5" x14ac:dyDescent="0.2">
      <c r="B106" s="66"/>
      <c r="C106" s="122"/>
      <c r="D106" s="122"/>
      <c r="E106" s="122"/>
    </row>
    <row r="107" spans="2:5" x14ac:dyDescent="0.2">
      <c r="B107" s="65" t="s">
        <v>61</v>
      </c>
      <c r="C107" s="63"/>
      <c r="D107" s="63"/>
      <c r="E107" s="64"/>
    </row>
    <row r="108" spans="2:5" x14ac:dyDescent="0.2">
      <c r="B108" s="65"/>
      <c r="C108" s="123"/>
      <c r="D108" s="123"/>
      <c r="E108" s="123"/>
    </row>
    <row r="109" spans="2:5" x14ac:dyDescent="0.2">
      <c r="B109" s="69"/>
      <c r="C109" s="70"/>
      <c r="D109" s="70"/>
      <c r="E109" s="71"/>
    </row>
    <row r="111" spans="2:5" x14ac:dyDescent="0.2">
      <c r="B111" s="59" t="s">
        <v>70</v>
      </c>
      <c r="C111" s="60"/>
      <c r="D111" s="60"/>
      <c r="E111" s="61"/>
    </row>
    <row r="112" spans="2:5" x14ac:dyDescent="0.2">
      <c r="B112" s="62"/>
      <c r="C112" s="63"/>
      <c r="D112" s="63"/>
      <c r="E112" s="64"/>
    </row>
    <row r="113" spans="2:5" x14ac:dyDescent="0.2">
      <c r="B113" s="65" t="s">
        <v>56</v>
      </c>
      <c r="C113" s="63"/>
      <c r="D113" s="63"/>
      <c r="E113" s="64"/>
    </row>
    <row r="114" spans="2:5" ht="33" customHeight="1" x14ac:dyDescent="0.2">
      <c r="B114" s="65"/>
      <c r="C114" s="118" t="s">
        <v>71</v>
      </c>
      <c r="D114" s="118"/>
      <c r="E114" s="118"/>
    </row>
    <row r="115" spans="2:5" x14ac:dyDescent="0.2">
      <c r="B115" s="65" t="s">
        <v>58</v>
      </c>
      <c r="C115" s="63"/>
      <c r="D115" s="63"/>
      <c r="E115" s="64"/>
    </row>
    <row r="116" spans="2:5" x14ac:dyDescent="0.2">
      <c r="B116" s="66"/>
      <c r="C116" s="119"/>
      <c r="D116" s="119"/>
      <c r="E116" s="119"/>
    </row>
    <row r="117" spans="2:5" x14ac:dyDescent="0.2">
      <c r="B117" s="66"/>
      <c r="C117" s="120"/>
      <c r="D117" s="120"/>
      <c r="E117" s="120"/>
    </row>
    <row r="118" spans="2:5" x14ac:dyDescent="0.2">
      <c r="B118" s="65" t="s">
        <v>59</v>
      </c>
      <c r="C118" s="63"/>
      <c r="D118" s="63"/>
      <c r="E118" s="64"/>
    </row>
    <row r="119" spans="2:5" x14ac:dyDescent="0.2">
      <c r="B119" s="66"/>
      <c r="C119" s="121"/>
      <c r="D119" s="121"/>
      <c r="E119" s="121"/>
    </row>
    <row r="120" spans="2:5" x14ac:dyDescent="0.2">
      <c r="B120" s="65" t="s">
        <v>60</v>
      </c>
      <c r="C120" s="67"/>
      <c r="D120" s="67"/>
      <c r="E120" s="68"/>
    </row>
    <row r="121" spans="2:5" x14ac:dyDescent="0.2">
      <c r="B121" s="66"/>
      <c r="C121" s="122"/>
      <c r="D121" s="122"/>
      <c r="E121" s="122"/>
    </row>
    <row r="122" spans="2:5" x14ac:dyDescent="0.2">
      <c r="B122" s="65" t="s">
        <v>61</v>
      </c>
      <c r="C122" s="63"/>
      <c r="D122" s="63"/>
      <c r="E122" s="64"/>
    </row>
    <row r="123" spans="2:5" x14ac:dyDescent="0.2">
      <c r="B123" s="65"/>
      <c r="C123" s="123"/>
      <c r="D123" s="123"/>
      <c r="E123" s="123"/>
    </row>
    <row r="124" spans="2:5" x14ac:dyDescent="0.2">
      <c r="B124" s="69"/>
      <c r="C124" s="70"/>
      <c r="D124" s="70"/>
      <c r="E124" s="71"/>
    </row>
    <row r="126" spans="2:5" x14ac:dyDescent="0.2">
      <c r="B126" s="59" t="s">
        <v>72</v>
      </c>
      <c r="C126" s="60"/>
      <c r="D126" s="60"/>
      <c r="E126" s="61"/>
    </row>
    <row r="127" spans="2:5" x14ac:dyDescent="0.2">
      <c r="B127" s="62"/>
      <c r="C127" s="63"/>
      <c r="D127" s="63"/>
      <c r="E127" s="64"/>
    </row>
    <row r="128" spans="2:5" x14ac:dyDescent="0.2">
      <c r="B128" s="65" t="s">
        <v>56</v>
      </c>
      <c r="C128" s="63"/>
      <c r="D128" s="63"/>
      <c r="E128" s="64"/>
    </row>
    <row r="129" spans="1:6" ht="32.25" customHeight="1" x14ac:dyDescent="0.2">
      <c r="B129" s="65"/>
      <c r="C129" s="118" t="s">
        <v>73</v>
      </c>
      <c r="D129" s="118"/>
      <c r="E129" s="118"/>
    </row>
    <row r="130" spans="1:6" x14ac:dyDescent="0.2">
      <c r="B130" s="65" t="s">
        <v>58</v>
      </c>
      <c r="C130" s="63"/>
      <c r="D130" s="63"/>
      <c r="E130" s="64"/>
    </row>
    <row r="131" spans="1:6" x14ac:dyDescent="0.2">
      <c r="B131" s="66"/>
      <c r="C131" s="119"/>
      <c r="D131" s="119"/>
      <c r="E131" s="119"/>
    </row>
    <row r="132" spans="1:6" x14ac:dyDescent="0.2">
      <c r="B132" s="66"/>
      <c r="C132" s="120"/>
      <c r="D132" s="120"/>
      <c r="E132" s="120"/>
    </row>
    <row r="133" spans="1:6" x14ac:dyDescent="0.2">
      <c r="B133" s="65" t="s">
        <v>59</v>
      </c>
      <c r="C133" s="63"/>
      <c r="D133" s="63"/>
      <c r="E133" s="64"/>
    </row>
    <row r="134" spans="1:6" x14ac:dyDescent="0.2">
      <c r="B134" s="66"/>
      <c r="C134" s="121"/>
      <c r="D134" s="121"/>
      <c r="E134" s="121"/>
    </row>
    <row r="135" spans="1:6" x14ac:dyDescent="0.2">
      <c r="B135" s="65" t="s">
        <v>60</v>
      </c>
      <c r="C135" s="67"/>
      <c r="D135" s="67"/>
      <c r="E135" s="68"/>
    </row>
    <row r="136" spans="1:6" x14ac:dyDescent="0.2">
      <c r="B136" s="66"/>
      <c r="C136" s="122"/>
      <c r="D136" s="122"/>
      <c r="E136" s="122"/>
    </row>
    <row r="137" spans="1:6" x14ac:dyDescent="0.2">
      <c r="B137" s="65" t="s">
        <v>61</v>
      </c>
      <c r="C137" s="63"/>
      <c r="D137" s="63"/>
      <c r="E137" s="64"/>
    </row>
    <row r="138" spans="1:6" ht="6.75" customHeight="1" x14ac:dyDescent="0.2">
      <c r="B138" s="65"/>
      <c r="C138" s="123"/>
      <c r="D138" s="123"/>
      <c r="E138" s="123"/>
    </row>
    <row r="139" spans="1:6" ht="5.25" customHeight="1" thickBot="1" x14ac:dyDescent="0.25">
      <c r="B139" s="69"/>
      <c r="C139" s="70"/>
      <c r="D139" s="70"/>
      <c r="E139" s="71"/>
    </row>
    <row r="141" spans="1:6" ht="13.5" thickBot="1" x14ac:dyDescent="0.25"/>
    <row r="142" spans="1:6" x14ac:dyDescent="0.2">
      <c r="A142" s="74"/>
      <c r="B142" s="75" t="s">
        <v>130</v>
      </c>
      <c r="C142" s="76"/>
      <c r="D142" s="76"/>
      <c r="E142" s="77"/>
      <c r="F142" s="78"/>
    </row>
    <row r="143" spans="1:6" x14ac:dyDescent="0.2">
      <c r="A143" s="74"/>
      <c r="B143" s="79"/>
      <c r="C143" s="80"/>
      <c r="D143" s="80"/>
      <c r="E143" s="81"/>
      <c r="F143" s="78"/>
    </row>
    <row r="144" spans="1:6" x14ac:dyDescent="0.2">
      <c r="A144" s="74"/>
      <c r="B144" s="82" t="s">
        <v>56</v>
      </c>
      <c r="C144" s="80"/>
      <c r="D144" s="80"/>
      <c r="E144" s="81"/>
      <c r="F144" s="78"/>
    </row>
    <row r="145" spans="1:6" ht="22.5" customHeight="1" x14ac:dyDescent="0.2">
      <c r="A145" s="74"/>
      <c r="B145" s="82"/>
      <c r="C145" s="107" t="s">
        <v>126</v>
      </c>
      <c r="D145" s="107"/>
      <c r="E145" s="108"/>
      <c r="F145" s="78"/>
    </row>
    <row r="146" spans="1:6" x14ac:dyDescent="0.2">
      <c r="A146" s="74"/>
      <c r="B146" s="82" t="s">
        <v>58</v>
      </c>
      <c r="C146" s="80"/>
      <c r="D146" s="80"/>
      <c r="E146" s="81"/>
      <c r="F146" s="78"/>
    </row>
    <row r="147" spans="1:6" x14ac:dyDescent="0.2">
      <c r="A147" s="74"/>
      <c r="B147" s="83"/>
      <c r="C147" s="109"/>
      <c r="D147" s="109"/>
      <c r="E147" s="109"/>
      <c r="F147" s="78"/>
    </row>
    <row r="148" spans="1:6" x14ac:dyDescent="0.2">
      <c r="A148" s="74"/>
      <c r="B148" s="83"/>
      <c r="C148" s="104"/>
      <c r="D148" s="104"/>
      <c r="E148" s="104"/>
      <c r="F148" s="78"/>
    </row>
    <row r="149" spans="1:6" x14ac:dyDescent="0.2">
      <c r="A149" s="74"/>
      <c r="B149" s="82" t="s">
        <v>59</v>
      </c>
      <c r="C149" s="80"/>
      <c r="D149" s="80"/>
      <c r="E149" s="81"/>
      <c r="F149" s="78"/>
    </row>
    <row r="150" spans="1:6" x14ac:dyDescent="0.2">
      <c r="A150" s="74"/>
      <c r="B150" s="83"/>
      <c r="C150" s="105"/>
      <c r="D150" s="105"/>
      <c r="E150" s="105"/>
      <c r="F150" s="78"/>
    </row>
    <row r="151" spans="1:6" x14ac:dyDescent="0.2">
      <c r="A151" s="74"/>
      <c r="B151" s="82" t="s">
        <v>60</v>
      </c>
      <c r="C151" s="84"/>
      <c r="D151" s="84"/>
      <c r="E151" s="85"/>
      <c r="F151" s="78"/>
    </row>
    <row r="152" spans="1:6" x14ac:dyDescent="0.2">
      <c r="A152" s="74"/>
      <c r="B152" s="83"/>
      <c r="C152" s="110"/>
      <c r="D152" s="110"/>
      <c r="E152" s="110"/>
      <c r="F152" s="78"/>
    </row>
    <row r="153" spans="1:6" x14ac:dyDescent="0.2">
      <c r="A153" s="74"/>
      <c r="B153" s="82" t="s">
        <v>61</v>
      </c>
      <c r="C153" s="80"/>
      <c r="D153" s="80"/>
      <c r="E153" s="81"/>
      <c r="F153" s="78"/>
    </row>
    <row r="154" spans="1:6" x14ac:dyDescent="0.2">
      <c r="A154" s="74"/>
      <c r="B154" s="82"/>
      <c r="C154" s="104"/>
      <c r="D154" s="104"/>
      <c r="E154" s="104"/>
      <c r="F154" s="78"/>
    </row>
    <row r="155" spans="1:6" ht="13.5" thickBot="1" x14ac:dyDescent="0.25">
      <c r="A155" s="74"/>
      <c r="B155" s="86"/>
      <c r="C155" s="87"/>
      <c r="D155" s="87"/>
      <c r="E155" s="88"/>
      <c r="F155" s="78"/>
    </row>
    <row r="156" spans="1:6" ht="13.5" thickBot="1" x14ac:dyDescent="0.25">
      <c r="A156" s="74"/>
      <c r="B156" s="78"/>
      <c r="C156" s="78"/>
      <c r="D156" s="78"/>
      <c r="E156" s="89"/>
      <c r="F156" s="78"/>
    </row>
    <row r="157" spans="1:6" x14ac:dyDescent="0.2">
      <c r="A157" s="74"/>
      <c r="B157" s="75" t="s">
        <v>131</v>
      </c>
      <c r="C157" s="76"/>
      <c r="D157" s="76"/>
      <c r="E157" s="77"/>
      <c r="F157" s="78"/>
    </row>
    <row r="158" spans="1:6" x14ac:dyDescent="0.2">
      <c r="A158" s="74"/>
      <c r="B158" s="79"/>
      <c r="C158" s="80"/>
      <c r="D158" s="80"/>
      <c r="E158" s="81"/>
      <c r="F158" s="78"/>
    </row>
    <row r="159" spans="1:6" x14ac:dyDescent="0.2">
      <c r="A159" s="74"/>
      <c r="B159" s="82" t="s">
        <v>56</v>
      </c>
      <c r="C159" s="80"/>
      <c r="D159" s="80"/>
      <c r="E159" s="81"/>
      <c r="F159" s="78"/>
    </row>
    <row r="160" spans="1:6" ht="22.5" customHeight="1" x14ac:dyDescent="0.2">
      <c r="A160" s="74"/>
      <c r="B160" s="82"/>
      <c r="C160" s="107" t="s">
        <v>127</v>
      </c>
      <c r="D160" s="107"/>
      <c r="E160" s="108"/>
      <c r="F160" s="78"/>
    </row>
    <row r="161" spans="1:6" x14ac:dyDescent="0.2">
      <c r="A161" s="74"/>
      <c r="B161" s="82" t="s">
        <v>58</v>
      </c>
      <c r="C161" s="80"/>
      <c r="D161" s="80"/>
      <c r="E161" s="81"/>
      <c r="F161" s="78"/>
    </row>
    <row r="162" spans="1:6" x14ac:dyDescent="0.2">
      <c r="A162" s="74"/>
      <c r="B162" s="83"/>
      <c r="C162" s="111"/>
      <c r="D162" s="111"/>
      <c r="E162" s="111"/>
      <c r="F162" s="78"/>
    </row>
    <row r="163" spans="1:6" x14ac:dyDescent="0.2">
      <c r="A163" s="74"/>
      <c r="B163" s="83"/>
      <c r="C163" s="104"/>
      <c r="D163" s="104"/>
      <c r="E163" s="104"/>
      <c r="F163" s="78"/>
    </row>
    <row r="164" spans="1:6" x14ac:dyDescent="0.2">
      <c r="A164" s="74"/>
      <c r="B164" s="82" t="s">
        <v>59</v>
      </c>
      <c r="C164" s="80"/>
      <c r="D164" s="80"/>
      <c r="E164" s="81"/>
      <c r="F164" s="78"/>
    </row>
    <row r="165" spans="1:6" x14ac:dyDescent="0.2">
      <c r="A165" s="74"/>
      <c r="B165" s="83"/>
      <c r="C165" s="105"/>
      <c r="D165" s="105"/>
      <c r="E165" s="105"/>
      <c r="F165" s="78"/>
    </row>
    <row r="166" spans="1:6" x14ac:dyDescent="0.2">
      <c r="A166" s="74"/>
      <c r="B166" s="82" t="s">
        <v>60</v>
      </c>
      <c r="C166" s="84"/>
      <c r="D166" s="84"/>
      <c r="E166" s="85"/>
      <c r="F166" s="78"/>
    </row>
    <row r="167" spans="1:6" x14ac:dyDescent="0.2">
      <c r="A167" s="74"/>
      <c r="B167" s="83"/>
      <c r="C167" s="106"/>
      <c r="D167" s="106"/>
      <c r="E167" s="106"/>
      <c r="F167" s="78"/>
    </row>
    <row r="168" spans="1:6" x14ac:dyDescent="0.2">
      <c r="A168" s="74"/>
      <c r="B168" s="82" t="s">
        <v>61</v>
      </c>
      <c r="C168" s="80"/>
      <c r="D168" s="80"/>
      <c r="E168" s="81"/>
      <c r="F168" s="78"/>
    </row>
    <row r="169" spans="1:6" x14ac:dyDescent="0.2">
      <c r="A169" s="74"/>
      <c r="B169" s="82"/>
      <c r="C169" s="104"/>
      <c r="D169" s="104"/>
      <c r="E169" s="104"/>
      <c r="F169" s="78"/>
    </row>
    <row r="170" spans="1:6" ht="13.5" thickBot="1" x14ac:dyDescent="0.25">
      <c r="A170" s="74"/>
      <c r="B170" s="86"/>
      <c r="C170" s="87"/>
      <c r="D170" s="87"/>
      <c r="E170" s="88"/>
      <c r="F170" s="78"/>
    </row>
    <row r="171" spans="1:6" x14ac:dyDescent="0.2">
      <c r="A171" s="74"/>
      <c r="B171" s="78"/>
      <c r="C171" s="78"/>
      <c r="D171" s="78"/>
      <c r="E171" s="89"/>
      <c r="F171" s="78"/>
    </row>
    <row r="172" spans="1:6" ht="13.5" thickBot="1" x14ac:dyDescent="0.25">
      <c r="A172" s="74"/>
      <c r="B172" s="78"/>
      <c r="C172" s="78"/>
      <c r="D172" s="78"/>
      <c r="E172" s="89"/>
      <c r="F172" s="78"/>
    </row>
    <row r="173" spans="1:6" x14ac:dyDescent="0.2">
      <c r="A173" s="74"/>
      <c r="B173" s="75" t="s">
        <v>132</v>
      </c>
      <c r="C173" s="76"/>
      <c r="D173" s="76"/>
      <c r="E173" s="77"/>
      <c r="F173" s="78"/>
    </row>
    <row r="174" spans="1:6" x14ac:dyDescent="0.2">
      <c r="A174" s="74"/>
      <c r="B174" s="79"/>
      <c r="C174" s="80"/>
      <c r="D174" s="80"/>
      <c r="E174" s="81"/>
      <c r="F174" s="78"/>
    </row>
    <row r="175" spans="1:6" x14ac:dyDescent="0.2">
      <c r="A175" s="74"/>
      <c r="B175" s="82" t="s">
        <v>56</v>
      </c>
      <c r="C175" s="80"/>
      <c r="D175" s="80"/>
      <c r="E175" s="81"/>
      <c r="F175" s="78"/>
    </row>
    <row r="176" spans="1:6" ht="28.5" customHeight="1" x14ac:dyDescent="0.2">
      <c r="A176" s="74"/>
      <c r="B176" s="82"/>
      <c r="C176" s="107" t="s">
        <v>128</v>
      </c>
      <c r="D176" s="107"/>
      <c r="E176" s="108"/>
      <c r="F176" s="78"/>
    </row>
    <row r="177" spans="1:6" x14ac:dyDescent="0.2">
      <c r="A177" s="74"/>
      <c r="B177" s="82" t="s">
        <v>58</v>
      </c>
      <c r="C177" s="80"/>
      <c r="D177" s="80"/>
      <c r="E177" s="81"/>
      <c r="F177" s="78"/>
    </row>
    <row r="178" spans="1:6" x14ac:dyDescent="0.2">
      <c r="A178" s="74"/>
      <c r="B178" s="83"/>
      <c r="C178" s="111"/>
      <c r="D178" s="111"/>
      <c r="E178" s="111"/>
      <c r="F178" s="78"/>
    </row>
    <row r="179" spans="1:6" x14ac:dyDescent="0.2">
      <c r="A179" s="74"/>
      <c r="B179" s="83"/>
      <c r="C179" s="104"/>
      <c r="D179" s="104"/>
      <c r="E179" s="104"/>
      <c r="F179" s="78"/>
    </row>
    <row r="180" spans="1:6" x14ac:dyDescent="0.2">
      <c r="A180" s="74"/>
      <c r="B180" s="82" t="s">
        <v>59</v>
      </c>
      <c r="C180" s="80"/>
      <c r="D180" s="80"/>
      <c r="E180" s="81"/>
      <c r="F180" s="78"/>
    </row>
    <row r="181" spans="1:6" x14ac:dyDescent="0.2">
      <c r="A181" s="74"/>
      <c r="B181" s="83"/>
      <c r="C181" s="105"/>
      <c r="D181" s="105"/>
      <c r="E181" s="105"/>
      <c r="F181" s="78"/>
    </row>
    <row r="182" spans="1:6" x14ac:dyDescent="0.2">
      <c r="A182" s="74"/>
      <c r="B182" s="82" t="s">
        <v>60</v>
      </c>
      <c r="C182" s="84"/>
      <c r="D182" s="84"/>
      <c r="E182" s="85"/>
      <c r="F182" s="78"/>
    </row>
    <row r="183" spans="1:6" x14ac:dyDescent="0.2">
      <c r="A183" s="74"/>
      <c r="B183" s="83"/>
      <c r="C183" s="106"/>
      <c r="D183" s="106"/>
      <c r="E183" s="106"/>
      <c r="F183" s="78"/>
    </row>
    <row r="184" spans="1:6" x14ac:dyDescent="0.2">
      <c r="A184" s="74"/>
      <c r="B184" s="82" t="s">
        <v>61</v>
      </c>
      <c r="C184" s="80"/>
      <c r="D184" s="80"/>
      <c r="E184" s="81"/>
      <c r="F184" s="78"/>
    </row>
    <row r="185" spans="1:6" x14ac:dyDescent="0.2">
      <c r="A185" s="74"/>
      <c r="B185" s="82"/>
      <c r="C185" s="104"/>
      <c r="D185" s="104"/>
      <c r="E185" s="104"/>
      <c r="F185" s="78"/>
    </row>
    <row r="186" spans="1:6" ht="13.5" thickBot="1" x14ac:dyDescent="0.25">
      <c r="A186" s="74"/>
      <c r="B186" s="86"/>
      <c r="C186" s="87"/>
      <c r="D186" s="87"/>
      <c r="E186" s="88"/>
      <c r="F186" s="78"/>
    </row>
    <row r="187" spans="1:6" x14ac:dyDescent="0.2">
      <c r="A187" s="74"/>
      <c r="B187" s="78"/>
      <c r="C187" s="78"/>
      <c r="D187" s="78"/>
      <c r="E187" s="89"/>
      <c r="F187" s="78"/>
    </row>
    <row r="188" spans="1:6" ht="13.5" thickBot="1" x14ac:dyDescent="0.25">
      <c r="A188" s="74"/>
      <c r="B188" s="78"/>
      <c r="C188" s="78"/>
      <c r="D188" s="78"/>
      <c r="E188" s="89"/>
      <c r="F188" s="78"/>
    </row>
    <row r="189" spans="1:6" x14ac:dyDescent="0.2">
      <c r="A189" s="74"/>
      <c r="B189" s="75" t="s">
        <v>133</v>
      </c>
      <c r="C189" s="76"/>
      <c r="D189" s="76"/>
      <c r="E189" s="77"/>
      <c r="F189" s="78"/>
    </row>
    <row r="190" spans="1:6" x14ac:dyDescent="0.2">
      <c r="A190" s="74"/>
      <c r="B190" s="79"/>
      <c r="C190" s="80"/>
      <c r="D190" s="80"/>
      <c r="E190" s="81"/>
      <c r="F190" s="78"/>
    </row>
    <row r="191" spans="1:6" x14ac:dyDescent="0.2">
      <c r="A191" s="74"/>
      <c r="B191" s="82" t="s">
        <v>56</v>
      </c>
      <c r="C191" s="80"/>
      <c r="D191" s="80"/>
      <c r="E191" s="81"/>
      <c r="F191" s="78"/>
    </row>
    <row r="192" spans="1:6" ht="25.5" customHeight="1" x14ac:dyDescent="0.2">
      <c r="A192" s="74"/>
      <c r="B192" s="82"/>
      <c r="C192" s="107" t="s">
        <v>129</v>
      </c>
      <c r="D192" s="107"/>
      <c r="E192" s="108"/>
      <c r="F192" s="78"/>
    </row>
    <row r="193" spans="1:6" x14ac:dyDescent="0.2">
      <c r="A193" s="74"/>
      <c r="B193" s="82" t="s">
        <v>58</v>
      </c>
      <c r="C193" s="80"/>
      <c r="D193" s="80"/>
      <c r="E193" s="81"/>
      <c r="F193" s="78"/>
    </row>
    <row r="194" spans="1:6" x14ac:dyDescent="0.2">
      <c r="A194" s="74"/>
      <c r="B194" s="83"/>
      <c r="C194" s="111"/>
      <c r="D194" s="111"/>
      <c r="E194" s="111"/>
      <c r="F194" s="78"/>
    </row>
    <row r="195" spans="1:6" x14ac:dyDescent="0.2">
      <c r="A195" s="74"/>
      <c r="B195" s="83"/>
      <c r="C195" s="104"/>
      <c r="D195" s="104"/>
      <c r="E195" s="104"/>
      <c r="F195" s="78"/>
    </row>
    <row r="196" spans="1:6" x14ac:dyDescent="0.2">
      <c r="A196" s="74"/>
      <c r="B196" s="82" t="s">
        <v>59</v>
      </c>
      <c r="C196" s="80"/>
      <c r="D196" s="80"/>
      <c r="E196" s="81"/>
      <c r="F196" s="78"/>
    </row>
    <row r="197" spans="1:6" x14ac:dyDescent="0.2">
      <c r="A197" s="74"/>
      <c r="B197" s="83"/>
      <c r="C197" s="105"/>
      <c r="D197" s="105"/>
      <c r="E197" s="105"/>
      <c r="F197" s="78"/>
    </row>
    <row r="198" spans="1:6" x14ac:dyDescent="0.2">
      <c r="A198" s="74"/>
      <c r="B198" s="82" t="s">
        <v>60</v>
      </c>
      <c r="C198" s="84"/>
      <c r="D198" s="84"/>
      <c r="E198" s="85"/>
      <c r="F198" s="78"/>
    </row>
    <row r="199" spans="1:6" x14ac:dyDescent="0.2">
      <c r="A199" s="74"/>
      <c r="B199" s="83"/>
      <c r="C199" s="106"/>
      <c r="D199" s="106"/>
      <c r="E199" s="106"/>
      <c r="F199" s="78"/>
    </row>
    <row r="200" spans="1:6" x14ac:dyDescent="0.2">
      <c r="A200" s="74"/>
      <c r="B200" s="82" t="s">
        <v>61</v>
      </c>
      <c r="C200" s="80"/>
      <c r="D200" s="80"/>
      <c r="E200" s="81"/>
      <c r="F200" s="78"/>
    </row>
    <row r="201" spans="1:6" x14ac:dyDescent="0.2">
      <c r="A201" s="74"/>
      <c r="B201" s="82"/>
      <c r="C201" s="104"/>
      <c r="D201" s="104"/>
      <c r="E201" s="104"/>
      <c r="F201" s="78"/>
    </row>
    <row r="202" spans="1:6" ht="13.5" thickBot="1" x14ac:dyDescent="0.25">
      <c r="A202" s="74"/>
      <c r="B202" s="86"/>
      <c r="C202" s="87"/>
      <c r="D202" s="87"/>
      <c r="E202" s="88"/>
      <c r="F202" s="78"/>
    </row>
    <row r="203" spans="1:6" x14ac:dyDescent="0.2">
      <c r="A203" s="74"/>
      <c r="B203" s="78"/>
      <c r="C203" s="78"/>
      <c r="D203" s="78"/>
      <c r="E203" s="89"/>
      <c r="F203" s="78"/>
    </row>
  </sheetData>
  <autoFilter ref="A9:I33"/>
  <mergeCells count="75">
    <mergeCell ref="C121:E121"/>
    <mergeCell ref="C123:E123"/>
    <mergeCell ref="C138:E138"/>
    <mergeCell ref="C129:E129"/>
    <mergeCell ref="C131:E131"/>
    <mergeCell ref="C132:E132"/>
    <mergeCell ref="C134:E134"/>
    <mergeCell ref="C136:E136"/>
    <mergeCell ref="C108:E108"/>
    <mergeCell ref="C114:E114"/>
    <mergeCell ref="C116:E116"/>
    <mergeCell ref="C117:E117"/>
    <mergeCell ref="C119:E119"/>
    <mergeCell ref="C99:E99"/>
    <mergeCell ref="C101:E101"/>
    <mergeCell ref="C102:E102"/>
    <mergeCell ref="C104:E104"/>
    <mergeCell ref="C106:E106"/>
    <mergeCell ref="C86:E86"/>
    <mergeCell ref="C87:E87"/>
    <mergeCell ref="C89:E89"/>
    <mergeCell ref="C91:E91"/>
    <mergeCell ref="C93:E93"/>
    <mergeCell ref="C72:E72"/>
    <mergeCell ref="C74:E74"/>
    <mergeCell ref="C76:E76"/>
    <mergeCell ref="C78:E78"/>
    <mergeCell ref="C84:E84"/>
    <mergeCell ref="C59:E59"/>
    <mergeCell ref="C61:E61"/>
    <mergeCell ref="C63:E63"/>
    <mergeCell ref="C69:E69"/>
    <mergeCell ref="C71:E71"/>
    <mergeCell ref="C46:E46"/>
    <mergeCell ref="C48:E48"/>
    <mergeCell ref="C54:E54"/>
    <mergeCell ref="C56:E56"/>
    <mergeCell ref="C57:E57"/>
    <mergeCell ref="C176:E176"/>
    <mergeCell ref="C178:E178"/>
    <mergeCell ref="C179:E179"/>
    <mergeCell ref="B2:H2"/>
    <mergeCell ref="A4:B4"/>
    <mergeCell ref="C4:E4"/>
    <mergeCell ref="A5:B5"/>
    <mergeCell ref="C5:E5"/>
    <mergeCell ref="A6:B6"/>
    <mergeCell ref="A7:B7"/>
    <mergeCell ref="B32:E32"/>
    <mergeCell ref="B33:E33"/>
    <mergeCell ref="C39:E39"/>
    <mergeCell ref="C41:E41"/>
    <mergeCell ref="C42:E42"/>
    <mergeCell ref="C44:E44"/>
    <mergeCell ref="C181:E181"/>
    <mergeCell ref="C183:E183"/>
    <mergeCell ref="C185:E185"/>
    <mergeCell ref="C192:E192"/>
    <mergeCell ref="C194:E194"/>
    <mergeCell ref="C195:E195"/>
    <mergeCell ref="C197:E197"/>
    <mergeCell ref="C199:E199"/>
    <mergeCell ref="C201:E201"/>
    <mergeCell ref="C145:E145"/>
    <mergeCell ref="C147:E147"/>
    <mergeCell ref="C148:E148"/>
    <mergeCell ref="C150:E150"/>
    <mergeCell ref="C152:E152"/>
    <mergeCell ref="C154:E154"/>
    <mergeCell ref="C160:E160"/>
    <mergeCell ref="C162:E162"/>
    <mergeCell ref="C163:E163"/>
    <mergeCell ref="C165:E165"/>
    <mergeCell ref="C167:E167"/>
    <mergeCell ref="C169:E169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3"/>
  <sheetViews>
    <sheetView tabSelected="1" zoomScale="80" zoomScaleNormal="80" workbookViewId="0">
      <selection activeCell="D6" sqref="D6:K6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44.2851562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 x14ac:dyDescent="0.2">
      <c r="A1" s="125" t="s">
        <v>138</v>
      </c>
      <c r="B1" s="125"/>
      <c r="C1" s="125"/>
      <c r="D1" s="125"/>
      <c r="E1" s="125"/>
      <c r="F1" s="125"/>
      <c r="G1" s="125"/>
      <c r="H1" s="125"/>
      <c r="I1" s="125"/>
      <c r="J1" s="48" t="s">
        <v>74</v>
      </c>
      <c r="K1" s="103" t="s">
        <v>140</v>
      </c>
    </row>
    <row r="2" spans="1:11" ht="18.75" customHeight="1" x14ac:dyDescent="0.2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x14ac:dyDescent="0.2">
      <c r="A3" s="126" t="s">
        <v>75</v>
      </c>
      <c r="B3" s="126"/>
      <c r="C3" s="126"/>
      <c r="D3" s="127" t="str">
        <f>'Necesidades Trimestrales'!C4</f>
        <v>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x14ac:dyDescent="0.2">
      <c r="A4" s="128" t="s">
        <v>76</v>
      </c>
      <c r="B4" s="128"/>
      <c r="C4" s="128"/>
      <c r="D4" s="127" t="str">
        <f>'Necesidades Trimestrales'!C5</f>
        <v>23 - Hospital Interzonal San Juan Bautista</v>
      </c>
      <c r="E4" s="127"/>
      <c r="F4" s="127"/>
      <c r="G4" s="127"/>
      <c r="H4" s="127"/>
      <c r="I4" s="127"/>
      <c r="J4" s="127"/>
      <c r="K4" s="127"/>
    </row>
    <row r="5" spans="1:11" ht="18.75" customHeight="1" x14ac:dyDescent="0.2">
      <c r="A5" s="128" t="s">
        <v>77</v>
      </c>
      <c r="B5" s="128"/>
      <c r="C5" s="128"/>
      <c r="D5" s="127" t="s">
        <v>78</v>
      </c>
      <c r="E5" s="127"/>
      <c r="F5" s="127"/>
      <c r="G5" s="127"/>
      <c r="H5" s="127"/>
      <c r="I5" s="127"/>
      <c r="J5" s="127"/>
      <c r="K5" s="127"/>
    </row>
    <row r="6" spans="1:11" ht="16.5" customHeight="1" x14ac:dyDescent="0.2">
      <c r="A6" s="126" t="s">
        <v>79</v>
      </c>
      <c r="B6" s="126"/>
      <c r="C6" s="126"/>
      <c r="D6" s="127" t="s">
        <v>80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81</v>
      </c>
      <c r="B7" s="128"/>
      <c r="C7" s="128"/>
      <c r="D7" s="127" t="str">
        <f>'Necesidades Trimestrales'!C7&amp;"° Trimestre - Año "&amp;'Necesidades Trimestrales'!C6</f>
        <v>4° Trimestre - Año 2022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29" t="s">
        <v>82</v>
      </c>
      <c r="B8" s="129"/>
      <c r="C8" s="129"/>
      <c r="D8" s="130" t="s">
        <v>139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32" t="s">
        <v>83</v>
      </c>
      <c r="B10" s="133" t="s">
        <v>84</v>
      </c>
      <c r="C10" s="133" t="s">
        <v>85</v>
      </c>
      <c r="D10" s="133"/>
      <c r="E10" s="133"/>
      <c r="F10" s="133"/>
      <c r="G10" s="133"/>
      <c r="H10" s="133" t="s">
        <v>86</v>
      </c>
      <c r="I10" s="133" t="s">
        <v>87</v>
      </c>
      <c r="J10" s="133" t="s">
        <v>88</v>
      </c>
      <c r="K10" s="134" t="s">
        <v>89</v>
      </c>
    </row>
    <row r="11" spans="1:11" ht="24" customHeigh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36" customHeight="1" x14ac:dyDescent="0.2">
      <c r="A12" s="45">
        <v>1</v>
      </c>
      <c r="B12" s="46" t="str">
        <f>'Necesidades Trimestrales'!B10</f>
        <v>2.3.4-938.46</v>
      </c>
      <c r="C12" s="124" t="str">
        <f>'Necesidades Trimestrales'!E10</f>
        <v>SERVILLETAS DE PAPEL; TIPO LISAS, MOTIVO: SIN DIMENSION:33X33 Cm, PRESENTACION: PAQUETEX 1000 UN. COLOR: BLANCA</v>
      </c>
      <c r="D12" s="124"/>
      <c r="E12" s="124"/>
      <c r="F12" s="124"/>
      <c r="G12" s="124"/>
      <c r="H12" s="47" t="s">
        <v>90</v>
      </c>
      <c r="I12" s="49" t="str">
        <f>'Necesidades Trimestrales'!F10</f>
        <v>UNIDAD</v>
      </c>
      <c r="J12" s="50">
        <f>'Necesidades Trimestrales'!H10</f>
        <v>1900</v>
      </c>
      <c r="K12" s="51">
        <f>'Necesidades Trimestrales'!G10</f>
        <v>25</v>
      </c>
    </row>
    <row r="13" spans="1:11" ht="36" customHeight="1" x14ac:dyDescent="0.2">
      <c r="A13" s="45">
        <v>2</v>
      </c>
      <c r="B13" s="46" t="str">
        <f>'Necesidades Trimestrales'!B11</f>
        <v>2.9.4-689.15</v>
      </c>
      <c r="C13" s="124" t="str">
        <f>'Necesidades Trimestrales'!E11</f>
        <v>CUCHILLOS; TIPO: DE MESA, MATERIAL: PLÁSTICO</v>
      </c>
      <c r="D13" s="124"/>
      <c r="E13" s="124"/>
      <c r="F13" s="124"/>
      <c r="G13" s="124"/>
      <c r="H13" s="47" t="s">
        <v>90</v>
      </c>
      <c r="I13" s="49" t="str">
        <f>'Necesidades Trimestrales'!F11</f>
        <v>UNIDAD</v>
      </c>
      <c r="J13" s="50">
        <f>'Necesidades Trimestrales'!H11</f>
        <v>4.2</v>
      </c>
      <c r="K13" s="51">
        <f>'Necesidades Trimestrales'!G11</f>
        <v>25000</v>
      </c>
    </row>
    <row r="14" spans="1:11" ht="36" customHeight="1" x14ac:dyDescent="0.2">
      <c r="A14" s="45">
        <v>3</v>
      </c>
      <c r="B14" s="46" t="str">
        <f>'Necesidades Trimestrales'!B12</f>
        <v>2.9.4-1184.42</v>
      </c>
      <c r="C14" s="124" t="str">
        <f>'Necesidades Trimestrales'!E12</f>
        <v>VASOS; MATERIAL: POLIESTIRENO EXPANDIDO, TIPO: DESCARTABLE, CAPACIDAD: 180 CM3</v>
      </c>
      <c r="D14" s="124"/>
      <c r="E14" s="124"/>
      <c r="F14" s="124"/>
      <c r="G14" s="124"/>
      <c r="H14" s="47" t="s">
        <v>90</v>
      </c>
      <c r="I14" s="49" t="str">
        <f>'Necesidades Trimestrales'!F12</f>
        <v>UNIDAD</v>
      </c>
      <c r="J14" s="50">
        <f>'Necesidades Trimestrales'!H12</f>
        <v>16</v>
      </c>
      <c r="K14" s="51">
        <f>'Necesidades Trimestrales'!G12</f>
        <v>5000</v>
      </c>
    </row>
    <row r="15" spans="1:11" ht="36" customHeight="1" x14ac:dyDescent="0.2">
      <c r="A15" s="45">
        <v>4</v>
      </c>
      <c r="B15" s="46" t="str">
        <f>'Necesidades Trimestrales'!B13</f>
        <v>2.5.8-3977.40</v>
      </c>
      <c r="C15" s="124" t="str">
        <f>'Necesidades Trimestrales'!E13</f>
        <v>BOLSAS DE POLIETILENO; TAMAÑO; 15X25 Cm, ESPESOR: 17mN, PRESENTACION: ROLLO X 200 UN.</v>
      </c>
      <c r="D15" s="124"/>
      <c r="E15" s="124"/>
      <c r="F15" s="124"/>
      <c r="G15" s="124"/>
      <c r="H15" s="47" t="s">
        <v>90</v>
      </c>
      <c r="I15" s="49" t="str">
        <f>'Necesidades Trimestrales'!F13</f>
        <v>UNIDAD</v>
      </c>
      <c r="J15" s="50">
        <f>'Necesidades Trimestrales'!H13</f>
        <v>310</v>
      </c>
      <c r="K15" s="51">
        <f>'Necesidades Trimestrales'!G13</f>
        <v>600</v>
      </c>
    </row>
    <row r="16" spans="1:11" ht="36" customHeight="1" x14ac:dyDescent="0.2">
      <c r="A16" s="45">
        <v>5</v>
      </c>
      <c r="B16" s="46" t="str">
        <f>'Necesidades Trimestrales'!B14</f>
        <v>2.9.4-6970.3</v>
      </c>
      <c r="C16" s="124" t="str">
        <f>'Necesidades Trimestrales'!E14</f>
        <v>COMPOTERAS; MATERIAL: POLICARBONATO, CAPACIDAD:250ml</v>
      </c>
      <c r="D16" s="124"/>
      <c r="E16" s="124"/>
      <c r="F16" s="124"/>
      <c r="G16" s="124"/>
      <c r="H16" s="47" t="s">
        <v>90</v>
      </c>
      <c r="I16" s="49" t="str">
        <f>'Necesidades Trimestrales'!F14</f>
        <v>UNIDAD</v>
      </c>
      <c r="J16" s="50">
        <f>'Necesidades Trimestrales'!H14</f>
        <v>16</v>
      </c>
      <c r="K16" s="51">
        <f>'Necesidades Trimestrales'!G14</f>
        <v>25000</v>
      </c>
    </row>
    <row r="17" spans="1:11" ht="36" customHeight="1" x14ac:dyDescent="0.2">
      <c r="A17" s="45">
        <v>6</v>
      </c>
      <c r="B17" s="46" t="str">
        <f>'Necesidades Trimestrales'!B15</f>
        <v>2.9.4-1184.49</v>
      </c>
      <c r="C17" s="124" t="str">
        <f>'Necesidades Trimestrales'!E15</f>
        <v>VASOS; MATERIAL: POLIESTIRENO, TIPO: TERMICO, CAPACIDAD: 240 mL</v>
      </c>
      <c r="D17" s="124"/>
      <c r="E17" s="124"/>
      <c r="F17" s="124"/>
      <c r="G17" s="124"/>
      <c r="H17" s="47" t="s">
        <v>90</v>
      </c>
      <c r="I17" s="49" t="str">
        <f>'Necesidades Trimestrales'!F15</f>
        <v>UNIDAD</v>
      </c>
      <c r="J17" s="50">
        <f>'Necesidades Trimestrales'!H15</f>
        <v>20</v>
      </c>
      <c r="K17" s="51">
        <f>'Necesidades Trimestrales'!G15</f>
        <v>50000</v>
      </c>
    </row>
    <row r="18" spans="1:11" ht="36" customHeight="1" x14ac:dyDescent="0.2">
      <c r="A18" s="45">
        <v>7</v>
      </c>
      <c r="B18" s="46" t="str">
        <f>'Necesidades Trimestrales'!B16</f>
        <v>2.9.4-690.15</v>
      </c>
      <c r="C18" s="124" t="str">
        <f>'Necesidades Trimestrales'!E16</f>
        <v>CUCHARAS; TIPO: DE MESA, MATERIAL: PLÁSTICO.</v>
      </c>
      <c r="D18" s="124"/>
      <c r="E18" s="124"/>
      <c r="F18" s="124"/>
      <c r="G18" s="124"/>
      <c r="H18" s="47" t="s">
        <v>90</v>
      </c>
      <c r="I18" s="49" t="str">
        <f>'Necesidades Trimestrales'!F16</f>
        <v>UNIDAD</v>
      </c>
      <c r="J18" s="50">
        <f>'Necesidades Trimestrales'!H16</f>
        <v>4.2</v>
      </c>
      <c r="K18" s="51">
        <f>'Necesidades Trimestrales'!G16</f>
        <v>25000</v>
      </c>
    </row>
    <row r="19" spans="1:11" ht="36" customHeight="1" x14ac:dyDescent="0.2">
      <c r="A19" s="45">
        <v>8</v>
      </c>
      <c r="B19" s="46" t="str">
        <f>'Necesidades Trimestrales'!B17</f>
        <v>2.5.8-1055.37</v>
      </c>
      <c r="C19" s="124" t="str">
        <f>'Necesidades Trimestrales'!E17</f>
        <v>BANDEJA DE PLASTICO; MATERIAL:PLASTICO, LARGO X ANCHO: 233X170mm, FORMA: OVAL, PRESENTACION: CAJA X 600 UN.</v>
      </c>
      <c r="D19" s="124"/>
      <c r="E19" s="124"/>
      <c r="F19" s="124"/>
      <c r="G19" s="124"/>
      <c r="H19" s="47" t="s">
        <v>90</v>
      </c>
      <c r="I19" s="49" t="str">
        <f>'Necesidades Trimestrales'!F17</f>
        <v>UNIDAD</v>
      </c>
      <c r="J19" s="50">
        <f>'Necesidades Trimestrales'!H17</f>
        <v>54000</v>
      </c>
      <c r="K19" s="51">
        <f>'Necesidades Trimestrales'!G17</f>
        <v>25</v>
      </c>
    </row>
    <row r="20" spans="1:11" ht="48" customHeight="1" x14ac:dyDescent="0.2">
      <c r="A20" s="45">
        <v>9</v>
      </c>
      <c r="B20" s="46" t="str">
        <f>'Necesidades Trimestrales'!B18</f>
        <v>2.9.4-4743.4</v>
      </c>
      <c r="C20" s="124" t="str">
        <f>'Necesidades Trimestrales'!E18</f>
        <v>BANDEJA P/TRANSP, DE ALIMENTO; CAPACIDAD: 700GR, MATERIAL: ALUMINIO, TIPO:SIN VALOR, MEDIDAS14X10X4,5Cm, INTERIOR: SIN VALOR, EXTERIOR: SIN VALOR,DIMENSION:14X10X4,5Cm,ACABADO:SIN VALOR.</v>
      </c>
      <c r="D20" s="124"/>
      <c r="E20" s="124"/>
      <c r="F20" s="124"/>
      <c r="G20" s="124"/>
      <c r="H20" s="47" t="s">
        <v>90</v>
      </c>
      <c r="I20" s="49" t="str">
        <f>'Necesidades Trimestrales'!F18</f>
        <v>UNIDAD</v>
      </c>
      <c r="J20" s="50">
        <f>'Necesidades Trimestrales'!H18</f>
        <v>31</v>
      </c>
      <c r="K20" s="51">
        <f>'Necesidades Trimestrales'!G18</f>
        <v>5000</v>
      </c>
    </row>
    <row r="21" spans="1:11" ht="36" customHeight="1" x14ac:dyDescent="0.2">
      <c r="A21" s="45">
        <v>10</v>
      </c>
      <c r="B21" s="46" t="str">
        <f>'Necesidades Trimestrales'!B19</f>
        <v>2.9.4-692.10</v>
      </c>
      <c r="C21" s="124" t="str">
        <f>'Necesidades Trimestrales'!E19</f>
        <v>TENEDORES;TIPO:DE MESA,MATERIAL:PLASTICO</v>
      </c>
      <c r="D21" s="124"/>
      <c r="E21" s="124"/>
      <c r="F21" s="124"/>
      <c r="G21" s="124"/>
      <c r="H21" s="47" t="s">
        <v>90</v>
      </c>
      <c r="I21" s="49" t="str">
        <f>'Necesidades Trimestrales'!F19</f>
        <v>UNIDAD</v>
      </c>
      <c r="J21" s="50">
        <f>'Necesidades Trimestrales'!H19</f>
        <v>4.2</v>
      </c>
      <c r="K21" s="51">
        <f>'Necesidades Trimestrales'!G19</f>
        <v>25000</v>
      </c>
    </row>
    <row r="22" spans="1:11" ht="36" customHeight="1" x14ac:dyDescent="0.2">
      <c r="A22" s="45">
        <v>11</v>
      </c>
      <c r="B22" s="46" t="str">
        <f>'Necesidades Trimestrales'!B20</f>
        <v>2.3.4-938.59</v>
      </c>
      <c r="C22" s="124" t="str">
        <f>'Necesidades Trimestrales'!E20</f>
        <v>SERVILLETAS DE PAPEL; TIPO:ROLLO, MOTIVO:SIN DIMENSION 25X10Cm, PRESENTACION: ENVASE X 3 UN.</v>
      </c>
      <c r="D22" s="124"/>
      <c r="E22" s="124"/>
      <c r="F22" s="124"/>
      <c r="G22" s="124"/>
      <c r="H22" s="47" t="s">
        <v>90</v>
      </c>
      <c r="I22" s="49" t="str">
        <f>'Necesidades Trimestrales'!F20</f>
        <v>UNIDAD</v>
      </c>
      <c r="J22" s="50">
        <f>'Necesidades Trimestrales'!H20</f>
        <v>190</v>
      </c>
      <c r="K22" s="51">
        <f>'Necesidades Trimestrales'!G20</f>
        <v>150</v>
      </c>
    </row>
    <row r="23" spans="1:11" ht="36" customHeight="1" x14ac:dyDescent="0.2">
      <c r="A23" s="45">
        <v>12</v>
      </c>
      <c r="B23" s="46" t="str">
        <f>'Necesidades Trimestrales'!B21</f>
        <v>2.9.4-4743.24</v>
      </c>
      <c r="C23" s="124" t="str">
        <f>'Necesidades Trimestrales'!E21</f>
        <v>BANDEJA P/TRANSP. DE ALIMENTO;DIMENSION:18X14X4 CmTIPO:C/TAPA,MATERIAL:ALUMINIO APTO MICROONDAS,CAPACIDAD: 750CM3</v>
      </c>
      <c r="D23" s="124"/>
      <c r="E23" s="124"/>
      <c r="F23" s="124"/>
      <c r="G23" s="124"/>
      <c r="H23" s="47" t="s">
        <v>90</v>
      </c>
      <c r="I23" s="49" t="str">
        <f>'Necesidades Trimestrales'!F21</f>
        <v>UNIDAD</v>
      </c>
      <c r="J23" s="50">
        <f>'Necesidades Trimestrales'!H21</f>
        <v>34</v>
      </c>
      <c r="K23" s="51">
        <f>'Necesidades Trimestrales'!G21</f>
        <v>60000</v>
      </c>
    </row>
    <row r="24" spans="1:11" ht="36" customHeight="1" x14ac:dyDescent="0.2">
      <c r="A24" s="45">
        <v>13</v>
      </c>
      <c r="B24" s="46" t="str">
        <f>'Necesidades Trimestrales'!B22</f>
        <v>2.9.4-690.16</v>
      </c>
      <c r="C24" s="124" t="str">
        <f>'Necesidades Trimestrales'!E22</f>
        <v>CUCHARAS;TIPO TE, MATERIAL:PLÁSTICO.</v>
      </c>
      <c r="D24" s="124"/>
      <c r="E24" s="124"/>
      <c r="F24" s="124"/>
      <c r="G24" s="124"/>
      <c r="H24" s="47" t="s">
        <v>90</v>
      </c>
      <c r="I24" s="49" t="str">
        <f>'Necesidades Trimestrales'!F22</f>
        <v>UNIDAD</v>
      </c>
      <c r="J24" s="50">
        <f>'Necesidades Trimestrales'!H22</f>
        <v>2.6</v>
      </c>
      <c r="K24" s="51">
        <f>'Necesidades Trimestrales'!G22</f>
        <v>25000</v>
      </c>
    </row>
    <row r="25" spans="1:11" ht="36" customHeight="1" x14ac:dyDescent="0.2">
      <c r="A25" s="45">
        <v>14</v>
      </c>
      <c r="B25" s="46" t="str">
        <f>'Necesidades Trimestrales'!B23</f>
        <v>2.5.8-5590.59</v>
      </c>
      <c r="C25" s="124" t="str">
        <f>'Necesidades Trimestrales'!E23</f>
        <v>FILMS DE POLIETILENO; ESPESOR:10MnANCHO: 45Cm, PRESENTACION:ROLLOX900M, USO: ALIMENTARIO</v>
      </c>
      <c r="D25" s="124"/>
      <c r="E25" s="124"/>
      <c r="F25" s="124"/>
      <c r="G25" s="124"/>
      <c r="H25" s="47" t="s">
        <v>90</v>
      </c>
      <c r="I25" s="49" t="str">
        <f>'Necesidades Trimestrales'!F23</f>
        <v>UNIDAD</v>
      </c>
      <c r="J25" s="50">
        <f>'Necesidades Trimestrales'!H23</f>
        <v>8400</v>
      </c>
      <c r="K25" s="51">
        <f>'Necesidades Trimestrales'!G23</f>
        <v>5</v>
      </c>
    </row>
    <row r="26" spans="1:11" ht="36" customHeight="1" x14ac:dyDescent="0.2">
      <c r="A26" s="45">
        <v>15</v>
      </c>
      <c r="B26" s="46" t="str">
        <f>'Necesidades Trimestrales'!B24</f>
        <v>2.9.4-1015.40</v>
      </c>
      <c r="C26" s="124" t="str">
        <f>'Necesidades Trimestrales'!E24</f>
        <v>BANDEJAS DE MESA ; MATERIAL: PLÁSTICO, DIMENSION: 16,5X12X5,5Cm, FORMA:RECTANGULAR</v>
      </c>
      <c r="D26" s="124"/>
      <c r="E26" s="124"/>
      <c r="F26" s="124"/>
      <c r="G26" s="124"/>
      <c r="H26" s="47" t="s">
        <v>90</v>
      </c>
      <c r="I26" s="49" t="str">
        <f>'Necesidades Trimestrales'!F24</f>
        <v>UNIDAD</v>
      </c>
      <c r="J26" s="50">
        <f>'Necesidades Trimestrales'!H24</f>
        <v>16</v>
      </c>
      <c r="K26" s="51">
        <f>'Necesidades Trimestrales'!G24</f>
        <v>2000</v>
      </c>
    </row>
    <row r="27" spans="1:11" ht="36" customHeight="1" thickBot="1" x14ac:dyDescent="0.25">
      <c r="A27" s="45">
        <v>16</v>
      </c>
      <c r="B27" s="46" t="str">
        <f>'Necesidades Trimestrales'!B25</f>
        <v>2.9.4-588.70</v>
      </c>
      <c r="C27" s="124" t="str">
        <f>'Necesidades Trimestrales'!E25</f>
        <v>VASOS PLASTICOS DESCARTABLES; MATERIAL: POLIESTIRENO, MOTIVO: LISO, CAPACIDAD: 240 CM3, PRESENTACION: ENVASE X 1000 UN, TIPO: APTO MICROONDAS</v>
      </c>
      <c r="D27" s="124"/>
      <c r="E27" s="124"/>
      <c r="F27" s="124"/>
      <c r="G27" s="124"/>
      <c r="H27" s="47" t="s">
        <v>90</v>
      </c>
      <c r="I27" s="49" t="str">
        <f>'Necesidades Trimestrales'!F25</f>
        <v>UNIDAD</v>
      </c>
      <c r="J27" s="50">
        <f>'Necesidades Trimestrales'!H25</f>
        <v>18000</v>
      </c>
      <c r="K27" s="51">
        <f>'Necesidades Trimestrales'!G25</f>
        <v>60</v>
      </c>
    </row>
    <row r="28" spans="1:11" ht="50.25" customHeight="1" thickBot="1" x14ac:dyDescent="0.25">
      <c r="A28" s="45">
        <v>17</v>
      </c>
      <c r="B28" s="46" t="str">
        <f>'Necesidades Trimestrales'!B26</f>
        <v>2.9.5-1909.206</v>
      </c>
      <c r="C28" s="124" t="str">
        <f>'Necesidades Trimestrales'!E26</f>
        <v>GUANTES USO MEDICINAL; TIPO: DESCARTABLES, TAMAÑO:UNICO, MATERIAL:POLIETILENO,PRESENTACION: :ENVASE X 100UN., ESTERIL:SI, TALCO:NO DESCARTABLE: SI.</v>
      </c>
      <c r="D28" s="124"/>
      <c r="E28" s="124"/>
      <c r="F28" s="124"/>
      <c r="G28" s="124"/>
      <c r="H28" s="47" t="s">
        <v>134</v>
      </c>
      <c r="I28" s="49" t="str">
        <f>'Necesidades Trimestrales'!F26</f>
        <v>UNIDAD</v>
      </c>
      <c r="J28" s="50">
        <f>'Necesidades Trimestrales'!H26</f>
        <v>150</v>
      </c>
      <c r="K28" s="51">
        <f>'Necesidades Trimestrales'!G26</f>
        <v>5</v>
      </c>
    </row>
    <row r="29" spans="1:11" ht="36" customHeight="1" thickBot="1" x14ac:dyDescent="0.25">
      <c r="A29" s="45">
        <v>18</v>
      </c>
      <c r="B29" s="46" t="str">
        <f>'Necesidades Trimestrales'!B27</f>
        <v>2.5.8-5590.41</v>
      </c>
      <c r="C29" s="124" t="str">
        <f>'Necesidades Trimestrales'!E27</f>
        <v>FILMS DE POLIETILENO; ESPESOR: 100 Mn, ANCHO: 2 M, PRESENTACION: ROLLO X 100 M, USO: ALIMENTARIO</v>
      </c>
      <c r="D29" s="124"/>
      <c r="E29" s="124"/>
      <c r="F29" s="124"/>
      <c r="G29" s="124"/>
      <c r="H29" s="47" t="s">
        <v>135</v>
      </c>
      <c r="I29" s="49" t="str">
        <f>'Necesidades Trimestrales'!F27</f>
        <v>ROLLO</v>
      </c>
      <c r="J29" s="50">
        <f>'Necesidades Trimestrales'!H27</f>
        <v>32000</v>
      </c>
      <c r="K29" s="51">
        <f>'Necesidades Trimestrales'!G27</f>
        <v>3</v>
      </c>
    </row>
    <row r="30" spans="1:11" ht="36" customHeight="1" thickBot="1" x14ac:dyDescent="0.25">
      <c r="A30" s="45">
        <v>19</v>
      </c>
      <c r="B30" s="46" t="str">
        <f>'Necesidades Trimestrales'!B28</f>
        <v>2.5.8-5590.3</v>
      </c>
      <c r="C30" s="124" t="str">
        <f>'Necesidades Trimestrales'!E28</f>
        <v>FILMS DE POLIETILENO; ESPESOR: 70 Mn, ANCHO: SIN VALOR, PRESENTACION: POR KILOGRAMO, USO: SIN VALOR</v>
      </c>
      <c r="D30" s="124"/>
      <c r="E30" s="124"/>
      <c r="F30" s="124"/>
      <c r="G30" s="124"/>
      <c r="H30" s="47" t="s">
        <v>135</v>
      </c>
      <c r="I30" s="49" t="str">
        <f>'Necesidades Trimestrales'!F28</f>
        <v>ROLLO</v>
      </c>
      <c r="J30" s="50">
        <f>'Necesidades Trimestrales'!H28</f>
        <v>2500</v>
      </c>
      <c r="K30" s="51">
        <f>'Necesidades Trimestrales'!G28</f>
        <v>30</v>
      </c>
    </row>
    <row r="31" spans="1:11" ht="36" customHeight="1" thickBot="1" x14ac:dyDescent="0.25">
      <c r="A31" s="45">
        <v>20</v>
      </c>
      <c r="B31" s="46" t="str">
        <f>'Necesidades Trimestrales'!B29</f>
        <v>2.5.8-5590.3</v>
      </c>
      <c r="C31" s="124" t="str">
        <f>'Necesidades Trimestrales'!E29</f>
        <v>FILMS DE POLIETILENO; ESPESOR: 70 Mn, ANCHO: SIN VALOR, PRESENTACION: POR KILOGRAMO, USO: SIN VALOR</v>
      </c>
      <c r="D31" s="124"/>
      <c r="E31" s="124"/>
      <c r="F31" s="124"/>
      <c r="G31" s="124"/>
      <c r="H31" s="47" t="s">
        <v>135</v>
      </c>
      <c r="I31" s="49" t="str">
        <f>'Necesidades Trimestrales'!F29</f>
        <v>ROLLO</v>
      </c>
      <c r="J31" s="50">
        <f>'Necesidades Trimestrales'!H29</f>
        <v>2500</v>
      </c>
      <c r="K31" s="51">
        <f>'Necesidades Trimestrales'!G29</f>
        <v>30</v>
      </c>
    </row>
    <row r="32" spans="1:11" ht="48.6" customHeight="1" thickBot="1" x14ac:dyDescent="0.25">
      <c r="A32" s="45">
        <v>21</v>
      </c>
      <c r="B32" s="46" t="str">
        <f>'Necesidades Trimestrales'!B30</f>
        <v>2.5.8-5590.3</v>
      </c>
      <c r="C32" s="124" t="str">
        <f>'Necesidades Trimestrales'!E30</f>
        <v>FILMS DE POLIETILENO; ESPESOR: 70 Mn, ANCHO: SIN VALOR, PRESENTACION: POR KILOGRAMO, USO: SIN VALOR</v>
      </c>
      <c r="D32" s="124"/>
      <c r="E32" s="124"/>
      <c r="F32" s="124"/>
      <c r="G32" s="124"/>
      <c r="H32" s="47" t="s">
        <v>135</v>
      </c>
      <c r="I32" s="49" t="str">
        <f>'Necesidades Trimestrales'!F30</f>
        <v>ROLLO</v>
      </c>
      <c r="J32" s="50">
        <f>'Necesidades Trimestrales'!H30</f>
        <v>2500</v>
      </c>
      <c r="K32" s="51">
        <f>'Necesidades Trimestrales'!G30</f>
        <v>30</v>
      </c>
    </row>
    <row r="33" spans="1:1024" ht="20.25" customHeight="1" thickBot="1" x14ac:dyDescent="0.25">
      <c r="A33" s="135" t="s">
        <v>136</v>
      </c>
      <c r="B33" s="135"/>
      <c r="C33" s="135"/>
      <c r="D33" s="135"/>
      <c r="E33" s="135"/>
      <c r="F33" s="135"/>
      <c r="G33" s="135"/>
      <c r="H33" s="135"/>
      <c r="I33" s="135"/>
      <c r="J33" s="131">
        <f>SUMPRODUCT(J12:J32,K12:K32)</f>
        <v>7142750</v>
      </c>
      <c r="K33" s="131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</sheetData>
  <mergeCells count="43">
    <mergeCell ref="J33:K33"/>
    <mergeCell ref="A10:A11"/>
    <mergeCell ref="B10:B11"/>
    <mergeCell ref="H10:H11"/>
    <mergeCell ref="I10:I11"/>
    <mergeCell ref="J10:J11"/>
    <mergeCell ref="K10:K11"/>
    <mergeCell ref="C10:G11"/>
    <mergeCell ref="C25:G25"/>
    <mergeCell ref="C26:G26"/>
    <mergeCell ref="C27:G27"/>
    <mergeCell ref="C32:G32"/>
    <mergeCell ref="A33:I33"/>
    <mergeCell ref="C20:G20"/>
    <mergeCell ref="C21:G21"/>
    <mergeCell ref="C22:G22"/>
    <mergeCell ref="C24:G24"/>
    <mergeCell ref="C15:G15"/>
    <mergeCell ref="C16:G16"/>
    <mergeCell ref="C17:G17"/>
    <mergeCell ref="C18:G18"/>
    <mergeCell ref="C19:G19"/>
    <mergeCell ref="D8:K8"/>
    <mergeCell ref="C12:G12"/>
    <mergeCell ref="C13:G13"/>
    <mergeCell ref="C14:G14"/>
    <mergeCell ref="C23:G23"/>
    <mergeCell ref="C28:G28"/>
    <mergeCell ref="C29:G29"/>
    <mergeCell ref="C30:G30"/>
    <mergeCell ref="C31:G31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customWidth="1"/>
  </cols>
  <sheetData>
    <row r="1" spans="1:17" ht="15.75" customHeight="1" x14ac:dyDescent="0.25">
      <c r="A1" s="136" t="s">
        <v>5</v>
      </c>
      <c r="B1" s="136"/>
      <c r="C1" s="136"/>
      <c r="D1" s="137">
        <f>'Necesidades Trimestrales'!C6</f>
        <v>2022</v>
      </c>
      <c r="E1" s="137"/>
      <c r="F1" s="3"/>
      <c r="G1" s="3"/>
      <c r="H1" s="4"/>
      <c r="I1" s="4"/>
      <c r="J1" s="4"/>
      <c r="K1" s="4"/>
      <c r="L1" s="4"/>
      <c r="M1" s="4"/>
      <c r="N1" s="4"/>
      <c r="P1" s="143" t="s">
        <v>91</v>
      </c>
      <c r="Q1" s="14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7" s="1" customFormat="1" ht="18" customHeight="1" x14ac:dyDescent="0.2">
      <c r="A4" s="138" t="s">
        <v>92</v>
      </c>
      <c r="B4" s="138"/>
      <c r="C4" s="138"/>
      <c r="D4" s="138"/>
      <c r="E4" s="138"/>
      <c r="F4" s="138"/>
      <c r="G4" s="139" t="str">
        <f>NotaPedido!D3</f>
        <v>40 - Ministerio de Salud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s="1" customFormat="1" ht="18" customHeight="1" x14ac:dyDescent="0.2">
      <c r="A5" s="140" t="s">
        <v>76</v>
      </c>
      <c r="B5" s="141"/>
      <c r="C5" s="141"/>
      <c r="D5" s="141"/>
      <c r="E5" s="141"/>
      <c r="F5" s="142"/>
      <c r="G5" s="139" t="str">
        <f>NotaPedido!D4</f>
        <v>23 - Hospital Interzonal San Juan Bautista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s="1" customFormat="1" ht="18" customHeight="1" x14ac:dyDescent="0.2">
      <c r="A6" s="140" t="s">
        <v>77</v>
      </c>
      <c r="B6" s="141"/>
      <c r="C6" s="141"/>
      <c r="D6" s="141"/>
      <c r="E6" s="141"/>
      <c r="F6" s="142"/>
      <c r="G6" s="139" t="str">
        <f>NotaPedido!D5</f>
        <v>168 - Direccion Asistencial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7" s="1" customFormat="1" ht="18" customHeight="1" x14ac:dyDescent="0.2">
      <c r="A7" s="140" t="s">
        <v>79</v>
      </c>
      <c r="B7" s="141"/>
      <c r="C7" s="141"/>
      <c r="D7" s="141"/>
      <c r="E7" s="141"/>
      <c r="F7" s="142"/>
      <c r="G7" s="139" t="str">
        <f>NotaPedido!D6</f>
        <v>Servicio de Nutricion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x14ac:dyDescent="0.2">
      <c r="A8" s="144" t="s">
        <v>93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45" t="s">
        <v>94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23"/>
      <c r="P9" s="23"/>
      <c r="Q9" s="33"/>
    </row>
    <row r="10" spans="1:17" ht="54.75" customHeight="1" x14ac:dyDescent="0.2">
      <c r="A10" s="146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DOCFI-2022-01958292-CAT-DASIS#HSJB,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 x14ac:dyDescent="0.2">
      <c r="A12" s="147" t="s">
        <v>95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x14ac:dyDescent="0.2">
      <c r="A13" s="148" t="s">
        <v>96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51" t="s">
        <v>97</v>
      </c>
      <c r="P13" s="151"/>
      <c r="Q13" s="150" t="s">
        <v>98</v>
      </c>
    </row>
    <row r="14" spans="1:17" ht="15.75" customHeight="1" x14ac:dyDescent="0.2">
      <c r="A14" s="8" t="s">
        <v>99</v>
      </c>
      <c r="B14" s="9" t="s">
        <v>100</v>
      </c>
      <c r="C14" s="9" t="s">
        <v>101</v>
      </c>
      <c r="D14" s="9" t="s">
        <v>102</v>
      </c>
      <c r="E14" s="9" t="s">
        <v>103</v>
      </c>
      <c r="F14" s="9" t="s">
        <v>104</v>
      </c>
      <c r="G14" s="10" t="s">
        <v>105</v>
      </c>
      <c r="H14" s="9" t="s">
        <v>106</v>
      </c>
      <c r="I14" s="9" t="s">
        <v>107</v>
      </c>
      <c r="J14" s="9" t="s">
        <v>108</v>
      </c>
      <c r="K14" s="9" t="s">
        <v>108</v>
      </c>
      <c r="L14" s="9" t="s">
        <v>109</v>
      </c>
      <c r="M14" s="24" t="s">
        <v>110</v>
      </c>
      <c r="N14" s="25" t="s">
        <v>111</v>
      </c>
      <c r="O14" s="151"/>
      <c r="P14" s="151"/>
      <c r="Q14" s="150"/>
    </row>
    <row r="15" spans="1:17" ht="17.25" customHeight="1" x14ac:dyDescent="0.2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112</v>
      </c>
      <c r="I15" s="26">
        <v>2</v>
      </c>
      <c r="J15" s="26">
        <v>3</v>
      </c>
      <c r="K15" s="26">
        <v>4</v>
      </c>
      <c r="L15" s="12"/>
      <c r="M15" s="27">
        <v>1</v>
      </c>
      <c r="N15" s="13" t="s">
        <v>113</v>
      </c>
      <c r="O15" s="149" t="s">
        <v>114</v>
      </c>
      <c r="P15" s="149"/>
      <c r="Q15" s="35">
        <v>76000</v>
      </c>
    </row>
    <row r="16" spans="1:17" ht="17.25" customHeight="1" x14ac:dyDescent="0.2">
      <c r="A16" s="14">
        <v>33</v>
      </c>
      <c r="B16" s="15"/>
      <c r="C16" s="15"/>
      <c r="D16" s="15">
        <v>2</v>
      </c>
      <c r="E16" s="15"/>
      <c r="F16" s="15">
        <v>4901</v>
      </c>
      <c r="G16" s="15">
        <v>3</v>
      </c>
      <c r="H16" s="16" t="s">
        <v>112</v>
      </c>
      <c r="I16" s="15">
        <v>2</v>
      </c>
      <c r="J16" s="15">
        <v>5</v>
      </c>
      <c r="K16" s="15">
        <v>8</v>
      </c>
      <c r="L16" s="15"/>
      <c r="M16" s="28">
        <v>1</v>
      </c>
      <c r="N16" s="29" t="s">
        <v>113</v>
      </c>
      <c r="O16" s="152" t="s">
        <v>115</v>
      </c>
      <c r="P16" s="152"/>
      <c r="Q16" s="36">
        <v>1899000</v>
      </c>
    </row>
    <row r="17" spans="1:19" ht="17.25" customHeight="1" x14ac:dyDescent="0.2">
      <c r="A17" s="14">
        <v>33</v>
      </c>
      <c r="B17" s="15"/>
      <c r="C17" s="15"/>
      <c r="D17" s="15">
        <v>2</v>
      </c>
      <c r="E17" s="15"/>
      <c r="F17" s="17">
        <v>4901</v>
      </c>
      <c r="G17" s="15">
        <v>3</v>
      </c>
      <c r="H17" s="16" t="s">
        <v>112</v>
      </c>
      <c r="I17" s="15">
        <v>2</v>
      </c>
      <c r="J17" s="15">
        <v>9</v>
      </c>
      <c r="K17" s="15">
        <v>4</v>
      </c>
      <c r="L17" s="15"/>
      <c r="M17" s="28">
        <v>1</v>
      </c>
      <c r="N17" s="29" t="s">
        <v>113</v>
      </c>
      <c r="O17" s="152" t="s">
        <v>116</v>
      </c>
      <c r="P17" s="152"/>
      <c r="Q17" s="36">
        <v>5167000</v>
      </c>
      <c r="S17" s="37"/>
    </row>
    <row r="18" spans="1:19" ht="17.25" customHeight="1" x14ac:dyDescent="0.2">
      <c r="A18" s="14">
        <v>33</v>
      </c>
      <c r="B18" s="15"/>
      <c r="C18" s="15"/>
      <c r="D18" s="15">
        <v>2</v>
      </c>
      <c r="E18" s="15"/>
      <c r="F18" s="17">
        <v>4901</v>
      </c>
      <c r="G18" s="15">
        <v>3</v>
      </c>
      <c r="H18" s="16" t="s">
        <v>112</v>
      </c>
      <c r="I18" s="15">
        <v>2</v>
      </c>
      <c r="J18" s="15">
        <v>9</v>
      </c>
      <c r="K18" s="15">
        <v>5</v>
      </c>
      <c r="L18" s="15"/>
      <c r="M18" s="28">
        <v>1</v>
      </c>
      <c r="N18" s="29" t="s">
        <v>113</v>
      </c>
      <c r="O18" s="152" t="s">
        <v>117</v>
      </c>
      <c r="P18" s="152"/>
      <c r="Q18" s="36">
        <v>750</v>
      </c>
    </row>
    <row r="19" spans="1:19" ht="17.25" customHeight="1" x14ac:dyDescent="0.2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28"/>
      <c r="N19" s="17"/>
      <c r="O19" s="153"/>
      <c r="P19" s="153"/>
      <c r="Q19" s="36"/>
    </row>
    <row r="20" spans="1:19" ht="17.25" customHeight="1" x14ac:dyDescent="0.2">
      <c r="A20" s="18"/>
      <c r="B20" s="19"/>
      <c r="C20" s="19"/>
      <c r="D20" s="19"/>
      <c r="E20" s="19"/>
      <c r="F20" s="20"/>
      <c r="G20" s="19"/>
      <c r="H20" s="19"/>
      <c r="I20" s="19"/>
      <c r="J20" s="19"/>
      <c r="K20" s="19"/>
      <c r="L20" s="19"/>
      <c r="M20" s="30"/>
      <c r="N20" s="31"/>
      <c r="O20" s="155"/>
      <c r="P20" s="155"/>
      <c r="Q20" s="36"/>
      <c r="R20" s="23"/>
    </row>
    <row r="21" spans="1:19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32"/>
      <c r="N21" s="22"/>
      <c r="O21" s="156"/>
      <c r="P21" s="156"/>
      <c r="Q21" s="38"/>
    </row>
    <row r="22" spans="1:19" ht="28.9" customHeight="1" x14ac:dyDescent="0.2">
      <c r="A22" s="157" t="s">
        <v>137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39">
        <f>SUM(Q15:Q21)</f>
        <v>7142750</v>
      </c>
    </row>
    <row r="23" spans="1:19" ht="18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</row>
    <row r="24" spans="1:19" ht="17.25" customHeight="1" x14ac:dyDescent="0.2">
      <c r="A24" s="159" t="s">
        <v>118</v>
      </c>
      <c r="B24" s="160"/>
      <c r="C24" s="160"/>
      <c r="D24" s="160"/>
      <c r="E24" s="160"/>
      <c r="F24" s="161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9" ht="18" customHeight="1" x14ac:dyDescent="0.2">
      <c r="A25" s="154" t="str">
        <f>"Para la "&amp;NotaPedido!D8&amp;" para ser destinados al "&amp;NotaPedido!D6&amp;"  del HISJB del Ministerio de Salud."</f>
        <v>Para la Adquisición de Descartables para Nutrición  para ser destinados al Servicio de Nutricion  del HISJB del Ministerio de Salud.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1:19" ht="15" customHeight="1" x14ac:dyDescent="0.2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</sheetData>
  <mergeCells count="30">
    <mergeCell ref="O16:P16"/>
    <mergeCell ref="O17:P17"/>
    <mergeCell ref="O18:P18"/>
    <mergeCell ref="O19:P19"/>
    <mergeCell ref="A25:Q26"/>
    <mergeCell ref="O20:P20"/>
    <mergeCell ref="O21:P21"/>
    <mergeCell ref="A22:P22"/>
    <mergeCell ref="A23:Q23"/>
    <mergeCell ref="A24:F24"/>
    <mergeCell ref="G24:Q24"/>
    <mergeCell ref="A9:N9"/>
    <mergeCell ref="A10:Q10"/>
    <mergeCell ref="A12:Q12"/>
    <mergeCell ref="A13:N13"/>
    <mergeCell ref="O15:P15"/>
    <mergeCell ref="Q13:Q14"/>
    <mergeCell ref="O13:P14"/>
    <mergeCell ref="A6:F6"/>
    <mergeCell ref="G6:Q6"/>
    <mergeCell ref="A7:F7"/>
    <mergeCell ref="G7:Q7"/>
    <mergeCell ref="A8:Q8"/>
    <mergeCell ref="A1:C1"/>
    <mergeCell ref="D1:E1"/>
    <mergeCell ref="A4:F4"/>
    <mergeCell ref="G4:Q4"/>
    <mergeCell ref="A5:F5"/>
    <mergeCell ref="G5:Q5"/>
    <mergeCell ref="P1:Q2"/>
  </mergeCells>
  <printOptions horizontalCentered="1"/>
  <pageMargins left="0.26" right="0.23" top="0.98402777777777795" bottom="0.98402777777777795" header="0.51180555555555496" footer="0.51180555555555496"/>
  <pageSetup paperSize="9" scale="90" firstPageNumber="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2021-08-26T15:12:00Z</cp:lastPrinted>
  <dcterms:created xsi:type="dcterms:W3CDTF">2020-07-17T23:44:00Z</dcterms:created>
  <dcterms:modified xsi:type="dcterms:W3CDTF">2022-10-13T16:44:06Z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8A86285752E5414CAA0A59F60631F7CE</vt:lpwstr>
  </property>
  <property fmtid="{D5CDD505-2E9C-101B-9397-08002B2CF9AE}" pid="9" name="KSOProductBuildVer">
    <vt:lpwstr>1033-11.2.0.11306</vt:lpwstr>
  </property>
</Properties>
</file>