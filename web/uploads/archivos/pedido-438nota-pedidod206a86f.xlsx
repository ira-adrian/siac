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ILVINA\AGOSTO 2021\"/>
    </mc:Choice>
  </mc:AlternateContent>
  <xr:revisionPtr revIDLastSave="0" documentId="8_{8F3E95C7-365C-43EB-A01D-4AB5C7CD7FA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NotaPedido'!$A$1:$K$14</definedName>
    <definedName name="_xlnm.Print_Area" localSheetId="2">'Autor Gastar'!$A$1:$Q$20</definedName>
  </definedNames>
  <calcPr calcId="181029"/>
</workbook>
</file>

<file path=xl/calcChain.xml><?xml version="1.0" encoding="utf-8"?>
<calcChain xmlns="http://schemas.openxmlformats.org/spreadsheetml/2006/main">
  <c r="D4" i="2" l="1"/>
  <c r="G5" i="3" s="1"/>
  <c r="A10" i="3"/>
  <c r="I11" i="1"/>
  <c r="I10" i="1"/>
  <c r="G7" i="3"/>
  <c r="B12" i="2"/>
  <c r="C12" i="2"/>
  <c r="J12" i="2"/>
  <c r="K12" i="2"/>
  <c r="O12" i="2" s="1"/>
  <c r="I12" i="1"/>
  <c r="Q15" i="3" s="1"/>
  <c r="K13" i="2" l="1"/>
  <c r="J13" i="2"/>
  <c r="C13" i="2"/>
  <c r="B13" i="2"/>
  <c r="O13" i="2" l="1"/>
  <c r="J14" i="2" s="1"/>
  <c r="G6" i="3"/>
  <c r="D3" i="2"/>
  <c r="G4" i="3" s="1"/>
  <c r="D1" i="3" l="1"/>
  <c r="Q16" i="3"/>
</calcChain>
</file>

<file path=xl/sharedStrings.xml><?xml version="1.0" encoding="utf-8"?>
<sst xmlns="http://schemas.openxmlformats.org/spreadsheetml/2006/main" count="93" uniqueCount="81">
  <si>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</si>
  <si>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</si>
  <si>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</si>
  <si>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</si>
  <si>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</si>
  <si>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</si>
  <si>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</si>
  <si>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</si>
  <si>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</si>
  <si>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</si>
  <si>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</si>
  <si>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</si>
  <si>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</si>
  <si>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</si>
  <si>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</si>
  <si>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</si>
  <si>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</si>
  <si>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</si>
  <si>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</si>
  <si>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</si>
  <si>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</si>
  <si>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</si>
  <si>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</si>
  <si>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</si>
  <si>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</si>
  <si>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</si>
  <si>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</si>
  <si>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</si>
  <si>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</si>
  <si>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</si>
  <si>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</si>
  <si>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</si>
  <si>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</si>
  <si>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</si>
  <si>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</si>
  <si>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</si>
  <si>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</si>
  <si>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</si>
  <si>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</si>
  <si>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</si>
  <si>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</si>
  <si>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</si>
  <si>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</si>
  <si>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</si>
  <si>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</si>
  <si>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</si>
  <si>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</si>
  <si>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</si>
  <si>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</si>
  <si>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</si>
  <si>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</si>
  <si>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</si>
  <si>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</si>
  <si>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</si>
  <si>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</si>
  <si>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90 - Ministerio de Seguridad</t>
  </si>
  <si>
    <t>Policía de la Provincia de Catamarca</t>
  </si>
  <si>
    <t>1.1</t>
  </si>
  <si>
    <t>Especificidades de todos los Items.</t>
  </si>
  <si>
    <t>4.4.0-2939.12</t>
  </si>
  <si>
    <t xml:space="preserve">EQUIPO MILITAR Y DE SEGURIDAD </t>
  </si>
  <si>
    <t>PISTOLAS; CALIBRE: 9 MM X 19 NATO, TIPO: DOBLE Y SIMPLE ACCION</t>
  </si>
  <si>
    <t>SI</t>
  </si>
  <si>
    <t>Que Cumpla con lo Solicitado de Forma Integra. -</t>
  </si>
  <si>
    <t>4.4.0</t>
  </si>
  <si>
    <t>4° trimestre- Año 2020.-</t>
  </si>
  <si>
    <t>105/2020</t>
  </si>
  <si>
    <t>AMETRALLADORA; TIPO: SUBFUSIL MP5-SD6, CALIBRE: 9 X 19 mm, VELOCIDAD: 700 1/min, ALCANCE MAXIMO EFECTIVO: 100 M, LONGITUD: 815 mm</t>
  </si>
  <si>
    <t>4.4.0-9562.6</t>
  </si>
  <si>
    <t>ITEM 1: Descripción técnica</t>
  </si>
  <si>
    <t>ITEM 2: Descripción técnica</t>
  </si>
  <si>
    <t>El bien a proveer deberá contar con las siguientes ESPECIFICACIONES TÉCNICAS: Pistola Ametralladora Sig.  MPX-SD calibre 9X19 mm Ultima generacion; Sistema de Perno y Piston totalmente cerrado y giratorio; Selector ambidiestro para disparo en Automatico y Semiautomatico; Sistema de Piston de carrera corta de gas; Sistema de Aparatos de punteria abatible trasera y delantera que se adjunta al sistema de riel integrado en la parte superior del arma a la cual tambien se puede adaptar una mira tipo pro-point (de apuntado rapido) con punto iluminado y una linterna tactica propia del kit del arma.-</t>
  </si>
  <si>
    <t>Direción de Operaciones Especiales KUNTUR.-</t>
  </si>
  <si>
    <t>Adquisición de Aramamento destinadas a la Dirección de Operaciones Especiales KUNTUR de la Policia de la Provincia de Catamarca.-</t>
  </si>
  <si>
    <t>Costo total estimado:  Diez Millones Quinientos Ochenta y Dos Mil Ochocientos Noventa y Seis Pesos con 40/100</t>
  </si>
  <si>
    <t>TOTAL DE PESOS:   Diez Millones Quinientos Ochenta y Dos Mil Ochocientos Noventa y Seis Pesos con 40/100</t>
  </si>
  <si>
    <r>
      <t>AUTORIZACIÓN</t>
    </r>
    <r>
      <rPr>
        <b/>
        <sz val="10"/>
        <rFont val="Century Gothic"/>
        <family val="2"/>
      </rPr>
      <t>:</t>
    </r>
  </si>
  <si>
    <t>7 - Direccion de Administración de la Policia de la Provincia de Catamarca</t>
  </si>
  <si>
    <r>
      <t xml:space="preserve">a) </t>
    </r>
    <r>
      <rPr>
        <b/>
        <sz val="10"/>
        <rFont val="Century Gothic"/>
        <family val="2"/>
      </rPr>
      <t>LUGAR DE ENTREGA</t>
    </r>
    <r>
      <rPr>
        <sz val="10"/>
        <rFont val="Century Gothic"/>
        <family val="2"/>
      </rPr>
      <t>: En la División Armamento y Municiones  - Policía de Catamarca– sito en Chacabuco 809 San Fernando del Valle de Catamarca.  Horario: 08 a 12 horas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quince (15) días hábiles, contados a partir de la recepción de la comunicación prevista en el Artículo 80° de del Reglamento Pracial N° 2 de la ley 4938.</t>
    </r>
  </si>
  <si>
    <t>Adquisición de armamento destinados la Dirección de Operaciones Especiales KUNTUR de la Policia de la Provincia de Catamarca.-</t>
  </si>
  <si>
    <t>El bien a proveer deberá contar con las siguientes ESPECIFICACIONES TÉCNICAS: Pistola CZ  Modelo  p07, Mecanismo de disparo Omega, de funcionamiento semiautomático Calibre 9 milímetros. Acción: Simple y doble. Longitud del cañon: 95 mm. Largo Total: 185 mm., Altura 130 mm; Ancho 37 mm; Armazon Polimeero Reforzado; Grip; Polimero (con 3 lomos) Caño: Martelado en frio; Palanca Decocker: Ambidiestra e intercambiable; Seguros: automático de percutor y Seguro Manial Ambidiestro.  Capacidad no menor a 17 cartuchos. La registración en la ANMAC a cuenta del proveedor.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</si>
</sst>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  <numFmt numFmtId="170" formatCode="&quot;$&quot;\ #,##0.00"/>
  </numFmts>
  <fonts count="22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charset val="1"/>
    </font>
    <font>
      <sz val="10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11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sz val="9"/>
      <name val="Century Gothic"/>
      <family val="2"/>
    </font>
    <font>
      <b/>
      <u/>
      <sz val="12"/>
      <name val="Century Gothic"/>
      <family val="2"/>
    </font>
    <font>
      <sz val="12"/>
      <name val="Century Gothic"/>
      <family val="2"/>
    </font>
    <font>
      <sz val="10"/>
      <color theme="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sz val="9"/>
      <color rgb="FF000000"/>
      <name val="Century Gothic"/>
      <family val="2"/>
    </font>
    <font>
      <u/>
      <sz val="1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7">
    <xf numFmtId="0" fontId="0" fillId="0" borderId="0" xfId="0"/>
    <xf numFmtId="3" fontId="6" fillId="0" borderId="0" xfId="0" applyNumberFormat="1" applyFont="1" applyBorder="1" applyAlignment="1"/>
    <xf numFmtId="168" fontId="5" fillId="0" borderId="0" xfId="0" applyNumberFormat="1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Border="1"/>
    <xf numFmtId="0" fontId="5" fillId="0" borderId="14" xfId="0" applyFont="1" applyBorder="1"/>
    <xf numFmtId="0" fontId="5" fillId="0" borderId="28" xfId="0" applyFont="1" applyBorder="1"/>
    <xf numFmtId="0" fontId="5" fillId="0" borderId="16" xfId="0" applyFont="1" applyBorder="1"/>
    <xf numFmtId="0" fontId="5" fillId="0" borderId="16" xfId="0" applyFont="1" applyBorder="1" applyAlignment="1">
      <alignment horizontal="left"/>
    </xf>
    <xf numFmtId="0" fontId="5" fillId="0" borderId="29" xfId="0" applyFont="1" applyBorder="1"/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2" xfId="0" applyFont="1" applyBorder="1" applyAlignment="1">
      <alignment horizontal="left" vertical="center"/>
    </xf>
    <xf numFmtId="0" fontId="10" fillId="0" borderId="33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5" fillId="0" borderId="34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166" fontId="5" fillId="0" borderId="37" xfId="3" applyNumberFormat="1" applyFont="1" applyBorder="1" applyAlignment="1" applyProtection="1">
      <alignment horizontal="center" vertical="center"/>
    </xf>
    <xf numFmtId="166" fontId="10" fillId="3" borderId="38" xfId="0" applyNumberFormat="1" applyFont="1" applyFill="1" applyBorder="1" applyAlignment="1">
      <alignment horizontal="center" vertical="center"/>
    </xf>
    <xf numFmtId="0" fontId="12" fillId="0" borderId="14" xfId="0" applyFont="1" applyBorder="1" applyAlignment="1">
      <alignment horizontal="right" vertical="center"/>
    </xf>
    <xf numFmtId="0" fontId="7" fillId="0" borderId="15" xfId="0" applyFont="1" applyFill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3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wrapText="1" indent="1"/>
    </xf>
    <xf numFmtId="0" fontId="14" fillId="0" borderId="0" xfId="0" applyFont="1" applyBorder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169" fontId="5" fillId="0" borderId="3" xfId="1" applyNumberFormat="1" applyFont="1" applyBorder="1" applyAlignment="1" applyProtection="1">
      <alignment horizontal="center" vertical="center"/>
    </xf>
    <xf numFmtId="3" fontId="5" fillId="0" borderId="4" xfId="0" applyNumberFormat="1" applyFont="1" applyFill="1" applyBorder="1" applyAlignment="1">
      <alignment horizontal="center" vertical="center"/>
    </xf>
    <xf numFmtId="169" fontId="14" fillId="0" borderId="0" xfId="0" applyNumberFormat="1" applyFont="1" applyBorder="1" applyAlignment="1">
      <alignment vertical="center"/>
    </xf>
    <xf numFmtId="0" fontId="14" fillId="0" borderId="0" xfId="0" applyFont="1"/>
    <xf numFmtId="0" fontId="5" fillId="0" borderId="0" xfId="0" applyFont="1" applyAlignment="1">
      <alignment horizontal="center" vertical="center"/>
    </xf>
    <xf numFmtId="169" fontId="5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Fill="1" applyAlignment="1">
      <alignment horizontal="left" wrapText="1"/>
    </xf>
    <xf numFmtId="0" fontId="18" fillId="0" borderId="0" xfId="0" applyFont="1" applyAlignment="1">
      <alignment horizontal="left" wrapText="1"/>
    </xf>
    <xf numFmtId="0" fontId="19" fillId="0" borderId="52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left" vertical="center" wrapText="1"/>
    </xf>
    <xf numFmtId="169" fontId="19" fillId="0" borderId="54" xfId="0" applyNumberFormat="1" applyFont="1" applyBorder="1" applyAlignment="1">
      <alignment horizontal="center" vertical="center" wrapText="1"/>
    </xf>
    <xf numFmtId="0" fontId="18" fillId="0" borderId="49" xfId="0" applyFont="1" applyBorder="1" applyAlignment="1">
      <alignment horizontal="left" vertical="center" wrapText="1"/>
    </xf>
    <xf numFmtId="0" fontId="18" fillId="0" borderId="49" xfId="0" applyFont="1" applyBorder="1" applyAlignment="1">
      <alignment horizontal="center" vertical="center" wrapText="1"/>
    </xf>
    <xf numFmtId="170" fontId="5" fillId="0" borderId="49" xfId="1" applyNumberFormat="1" applyFont="1" applyBorder="1" applyAlignment="1">
      <alignment horizontal="center" vertical="center"/>
    </xf>
    <xf numFmtId="169" fontId="5" fillId="0" borderId="51" xfId="0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11" fillId="0" borderId="48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49" xfId="0" applyFont="1" applyBorder="1" applyAlignment="1">
      <alignment horizontal="left" vertical="center"/>
    </xf>
    <xf numFmtId="0" fontId="20" fillId="0" borderId="49" xfId="0" applyFont="1" applyFill="1" applyBorder="1" applyAlignment="1">
      <alignment horizontal="left" vertical="center" wrapText="1"/>
    </xf>
    <xf numFmtId="0" fontId="5" fillId="0" borderId="50" xfId="0" applyFont="1" applyFill="1" applyBorder="1" applyAlignment="1">
      <alignment horizontal="left" vertical="center" wrapText="1"/>
    </xf>
    <xf numFmtId="3" fontId="5" fillId="0" borderId="49" xfId="0" applyNumberFormat="1" applyFont="1" applyFill="1" applyBorder="1" applyAlignment="1">
      <alignment horizontal="center" vertical="center"/>
    </xf>
    <xf numFmtId="170" fontId="5" fillId="0" borderId="49" xfId="1" applyNumberFormat="1" applyFont="1" applyBorder="1" applyAlignment="1" applyProtection="1">
      <alignment horizontal="center" vertical="center"/>
    </xf>
    <xf numFmtId="0" fontId="21" fillId="0" borderId="6" xfId="0" applyFont="1" applyBorder="1" applyAlignment="1"/>
    <xf numFmtId="0" fontId="5" fillId="0" borderId="7" xfId="0" applyFont="1" applyBorder="1" applyAlignment="1">
      <alignment horizontal="center" vertical="center"/>
    </xf>
    <xf numFmtId="0" fontId="5" fillId="0" borderId="7" xfId="0" applyFont="1" applyBorder="1"/>
    <xf numFmtId="0" fontId="5" fillId="0" borderId="8" xfId="0" applyFont="1" applyBorder="1" applyAlignment="1">
      <alignment horizontal="left"/>
    </xf>
    <xf numFmtId="0" fontId="5" fillId="0" borderId="9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10" xfId="0" applyFont="1" applyBorder="1" applyAlignment="1">
      <alignment horizontal="left"/>
    </xf>
    <xf numFmtId="0" fontId="21" fillId="0" borderId="9" xfId="0" applyFont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/>
    <xf numFmtId="0" fontId="5" fillId="0" borderId="1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wrapText="1"/>
    </xf>
    <xf numFmtId="0" fontId="5" fillId="0" borderId="10" xfId="0" applyFont="1" applyFill="1" applyBorder="1" applyAlignment="1">
      <alignment horizontal="left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2" xfId="0" applyFont="1" applyFill="1" applyBorder="1"/>
    <xf numFmtId="0" fontId="5" fillId="0" borderId="13" xfId="0" applyFont="1" applyFill="1" applyBorder="1" applyAlignment="1">
      <alignment horizontal="left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/>
    <xf numFmtId="0" fontId="5" fillId="0" borderId="0" xfId="0" applyFont="1" applyFill="1" applyAlignment="1">
      <alignment horizontal="left"/>
    </xf>
    <xf numFmtId="169" fontId="10" fillId="0" borderId="5" xfId="0" applyNumberFormat="1" applyFont="1" applyBorder="1" applyAlignment="1">
      <alignment horizontal="center" vertical="center"/>
    </xf>
    <xf numFmtId="0" fontId="17" fillId="0" borderId="0" xfId="0" applyFont="1" applyFill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left" wrapText="1"/>
    </xf>
    <xf numFmtId="0" fontId="5" fillId="0" borderId="1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left" wrapText="1"/>
    </xf>
    <xf numFmtId="0" fontId="5" fillId="0" borderId="1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12" fillId="0" borderId="0" xfId="0" applyFont="1" applyBorder="1" applyAlignment="1">
      <alignment horizontal="center" vertical="center"/>
    </xf>
    <xf numFmtId="0" fontId="13" fillId="0" borderId="17" xfId="0" applyFont="1" applyBorder="1" applyAlignment="1">
      <alignment horizontal="left" vertical="center" wrapText="1"/>
    </xf>
    <xf numFmtId="0" fontId="7" fillId="0" borderId="18" xfId="0" applyFont="1" applyFill="1" applyBorder="1" applyAlignment="1">
      <alignment horizontal="left" vertical="center" wrapText="1" indent="1"/>
    </xf>
    <xf numFmtId="0" fontId="13" fillId="0" borderId="19" xfId="0" applyFont="1" applyBorder="1" applyAlignment="1">
      <alignment horizontal="left" vertical="center" wrapText="1"/>
    </xf>
    <xf numFmtId="0" fontId="7" fillId="0" borderId="45" xfId="0" applyFont="1" applyFill="1" applyBorder="1" applyAlignment="1">
      <alignment horizontal="left" vertical="center" wrapText="1" indent="1"/>
    </xf>
    <xf numFmtId="167" fontId="13" fillId="0" borderId="45" xfId="0" applyNumberFormat="1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left" vertical="center" wrapText="1" indent="1"/>
    </xf>
    <xf numFmtId="0" fontId="6" fillId="0" borderId="20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 wrapText="1"/>
    </xf>
    <xf numFmtId="0" fontId="5" fillId="0" borderId="23" xfId="0" applyFont="1" applyBorder="1" applyAlignment="1">
      <alignment horizontal="center"/>
    </xf>
    <xf numFmtId="3" fontId="6" fillId="0" borderId="24" xfId="0" applyNumberFormat="1" applyFont="1" applyBorder="1" applyAlignment="1">
      <alignment horizontal="center"/>
    </xf>
    <xf numFmtId="0" fontId="7" fillId="0" borderId="15" xfId="0" applyFont="1" applyBorder="1" applyAlignment="1">
      <alignment horizontal="center" vertical="center" wrapText="1"/>
    </xf>
    <xf numFmtId="0" fontId="5" fillId="0" borderId="15" xfId="0" applyFont="1" applyBorder="1"/>
    <xf numFmtId="0" fontId="8" fillId="0" borderId="15" xfId="0" applyFont="1" applyBorder="1" applyAlignment="1">
      <alignment horizontal="left" indent="1"/>
    </xf>
    <xf numFmtId="0" fontId="5" fillId="0" borderId="17" xfId="0" applyFont="1" applyBorder="1" applyAlignment="1">
      <alignment horizontal="left" vertical="center" wrapText="1"/>
    </xf>
    <xf numFmtId="0" fontId="5" fillId="0" borderId="40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/>
    </xf>
    <xf numFmtId="0" fontId="8" fillId="0" borderId="26" xfId="0" applyFont="1" applyBorder="1"/>
    <xf numFmtId="0" fontId="8" fillId="0" borderId="27" xfId="0" applyFont="1" applyBorder="1" applyAlignment="1">
      <alignment horizontal="left" vertical="center" wrapText="1" indent="1"/>
    </xf>
    <xf numFmtId="0" fontId="10" fillId="0" borderId="25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1" fillId="0" borderId="36" xfId="0" applyFont="1" applyBorder="1" applyAlignment="1">
      <alignment horizontal="left" vertical="center" wrapText="1"/>
    </xf>
    <xf numFmtId="0" fontId="11" fillId="0" borderId="46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6" fillId="0" borderId="39" xfId="0" applyFont="1" applyBorder="1" applyAlignment="1">
      <alignment vertical="center" wrapText="1"/>
    </xf>
    <xf numFmtId="0" fontId="6" fillId="0" borderId="21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26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8" fillId="0" borderId="14" xfId="0" applyFont="1" applyFill="1" applyBorder="1" applyAlignment="1">
      <alignment horizontal="left" vertical="center" wrapText="1"/>
    </xf>
    <xf numFmtId="0" fontId="8" fillId="0" borderId="28" xfId="0" applyFont="1" applyFill="1" applyBorder="1" applyAlignment="1">
      <alignment horizontal="left" vertical="center" wrapText="1"/>
    </xf>
    <xf numFmtId="0" fontId="8" fillId="0" borderId="16" xfId="0" applyFont="1" applyFill="1" applyBorder="1" applyAlignment="1">
      <alignment horizontal="left" vertical="center" wrapText="1"/>
    </xf>
    <xf numFmtId="0" fontId="8" fillId="0" borderId="29" xfId="0" applyFont="1" applyFill="1" applyBorder="1" applyAlignment="1">
      <alignment horizontal="left" vertical="center" wrapText="1"/>
    </xf>
    <xf numFmtId="0" fontId="6" fillId="0" borderId="38" xfId="0" applyFont="1" applyBorder="1" applyAlignment="1">
      <alignment horizontal="left" vertical="center" wrapText="1"/>
    </xf>
    <xf numFmtId="0" fontId="10" fillId="0" borderId="19" xfId="0" applyFont="1" applyBorder="1" applyAlignment="1">
      <alignment vertical="center"/>
    </xf>
    <xf numFmtId="0" fontId="10" fillId="0" borderId="47" xfId="0" applyFont="1" applyBorder="1" applyAlignment="1">
      <alignment vertical="center"/>
    </xf>
    <xf numFmtId="0" fontId="10" fillId="0" borderId="30" xfId="0" applyFont="1" applyBorder="1" applyAlignment="1">
      <alignment vertical="center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2"/>
  <sheetViews>
    <sheetView tabSelected="1" zoomScaleNormal="100" workbookViewId="0">
      <selection activeCell="C5" sqref="C5:E5"/>
    </sheetView>
  </sheetViews>
  <sheetFormatPr baseColWidth="10" defaultColWidth="11" defaultRowHeight="13.5" x14ac:dyDescent="0.25"/>
  <cols>
    <col min="1" max="1" width="7.140625" style="37" customWidth="1"/>
    <col min="2" max="2" width="12.85546875" style="37" customWidth="1"/>
    <col min="3" max="3" width="32.85546875" style="37" customWidth="1"/>
    <col min="4" max="4" width="8.42578125" style="3" customWidth="1"/>
    <col min="5" max="5" width="78.28515625" style="4" customWidth="1"/>
    <col min="6" max="6" width="11" style="37"/>
    <col min="7" max="7" width="12.7109375" style="37" customWidth="1"/>
    <col min="8" max="8" width="13.85546875" style="37" customWidth="1"/>
    <col min="9" max="9" width="18.5703125" style="38" customWidth="1"/>
    <col min="10" max="16384" width="11" style="3"/>
  </cols>
  <sheetData>
    <row r="2" spans="1:9" ht="28.5" x14ac:dyDescent="0.4">
      <c r="B2" s="83" t="s">
        <v>0</v>
      </c>
      <c r="C2" s="83"/>
      <c r="D2" s="83"/>
      <c r="E2" s="83"/>
      <c r="F2" s="83"/>
      <c r="G2" s="83"/>
      <c r="H2" s="83"/>
    </row>
    <row r="4" spans="1:9" ht="18" customHeight="1" x14ac:dyDescent="0.25">
      <c r="A4" s="84" t="s">
        <v>1</v>
      </c>
      <c r="B4" s="84"/>
      <c r="C4" s="85" t="s">
        <v>55</v>
      </c>
      <c r="D4" s="85"/>
      <c r="E4" s="85"/>
      <c r="F4" s="39"/>
      <c r="G4" s="39"/>
      <c r="H4" s="39"/>
    </row>
    <row r="5" spans="1:9" ht="18" customHeight="1" x14ac:dyDescent="0.25">
      <c r="A5" s="84" t="s">
        <v>2</v>
      </c>
      <c r="B5" s="84"/>
      <c r="C5" s="85" t="s">
        <v>77</v>
      </c>
      <c r="D5" s="85"/>
      <c r="E5" s="85"/>
      <c r="F5" s="39"/>
      <c r="G5" s="39"/>
      <c r="H5" s="39"/>
    </row>
    <row r="6" spans="1:9" ht="16.5" customHeight="1" x14ac:dyDescent="0.25">
      <c r="A6" s="84" t="s">
        <v>3</v>
      </c>
      <c r="B6" s="84"/>
      <c r="C6" s="80">
        <v>2020</v>
      </c>
      <c r="D6" s="40"/>
      <c r="E6" s="40"/>
      <c r="F6" s="39"/>
      <c r="G6" s="39"/>
      <c r="H6" s="39"/>
    </row>
    <row r="7" spans="1:9" ht="16.5" customHeight="1" x14ac:dyDescent="0.25">
      <c r="A7" s="84" t="s">
        <v>4</v>
      </c>
      <c r="B7" s="84"/>
      <c r="C7" s="80">
        <v>4</v>
      </c>
      <c r="D7" s="40"/>
      <c r="E7" s="40"/>
      <c r="F7" s="39"/>
      <c r="G7" s="39"/>
      <c r="H7" s="39"/>
    </row>
    <row r="8" spans="1:9" ht="14.25" thickBot="1" x14ac:dyDescent="0.3">
      <c r="B8" s="39"/>
      <c r="C8" s="39"/>
      <c r="D8" s="41"/>
      <c r="E8" s="41"/>
      <c r="F8" s="39"/>
      <c r="G8" s="39"/>
      <c r="H8" s="39"/>
    </row>
    <row r="9" spans="1:9" ht="39" thickBot="1" x14ac:dyDescent="0.3">
      <c r="A9" s="42" t="s">
        <v>5</v>
      </c>
      <c r="B9" s="43" t="s">
        <v>6</v>
      </c>
      <c r="C9" s="43" t="s">
        <v>7</v>
      </c>
      <c r="D9" s="43" t="s">
        <v>8</v>
      </c>
      <c r="E9" s="44" t="s">
        <v>9</v>
      </c>
      <c r="F9" s="43" t="s">
        <v>10</v>
      </c>
      <c r="G9" s="43" t="s">
        <v>11</v>
      </c>
      <c r="H9" s="43" t="s">
        <v>12</v>
      </c>
      <c r="I9" s="45" t="s">
        <v>13</v>
      </c>
    </row>
    <row r="10" spans="1:9" s="50" customFormat="1" ht="39.75" customHeight="1" x14ac:dyDescent="0.2">
      <c r="A10" s="46">
        <v>1</v>
      </c>
      <c r="B10" s="46" t="s">
        <v>68</v>
      </c>
      <c r="C10" s="46" t="s">
        <v>60</v>
      </c>
      <c r="D10" s="46" t="s">
        <v>64</v>
      </c>
      <c r="E10" s="46" t="s">
        <v>67</v>
      </c>
      <c r="F10" s="46" t="s">
        <v>14</v>
      </c>
      <c r="G10" s="47">
        <v>10</v>
      </c>
      <c r="H10" s="48">
        <v>724089.64</v>
      </c>
      <c r="I10" s="49">
        <f>+H10*G10</f>
        <v>7240896.4000000004</v>
      </c>
    </row>
    <row r="11" spans="1:9" s="50" customFormat="1" ht="33" customHeight="1" x14ac:dyDescent="0.2">
      <c r="A11" s="51">
        <v>2</v>
      </c>
      <c r="B11" s="52" t="s">
        <v>59</v>
      </c>
      <c r="C11" s="53" t="s">
        <v>60</v>
      </c>
      <c r="D11" s="54" t="s">
        <v>64</v>
      </c>
      <c r="E11" s="53" t="s">
        <v>61</v>
      </c>
      <c r="F11" s="55" t="s">
        <v>14</v>
      </c>
      <c r="G11" s="56">
        <v>30</v>
      </c>
      <c r="H11" s="57">
        <v>111400</v>
      </c>
      <c r="I11" s="49">
        <f>+H11*G11</f>
        <v>3342000</v>
      </c>
    </row>
    <row r="12" spans="1:9" ht="29.25" customHeight="1" thickBot="1" x14ac:dyDescent="0.3">
      <c r="I12" s="79">
        <f>SUM(I10:I11)</f>
        <v>10582896.4</v>
      </c>
    </row>
    <row r="13" spans="1:9" ht="33" customHeight="1" x14ac:dyDescent="0.25">
      <c r="B13" s="58" t="s">
        <v>58</v>
      </c>
      <c r="C13" s="59"/>
      <c r="D13" s="60"/>
      <c r="E13" s="61"/>
    </row>
    <row r="14" spans="1:9" x14ac:dyDescent="0.25">
      <c r="B14" s="62"/>
      <c r="C14" s="63"/>
      <c r="D14" s="5"/>
      <c r="E14" s="64"/>
    </row>
    <row r="15" spans="1:9" ht="23.25" customHeight="1" x14ac:dyDescent="0.25">
      <c r="B15" s="65" t="s">
        <v>69</v>
      </c>
      <c r="C15" s="63"/>
      <c r="D15" s="5"/>
      <c r="E15" s="64"/>
    </row>
    <row r="16" spans="1:9" ht="78" customHeight="1" x14ac:dyDescent="0.25">
      <c r="B16" s="65"/>
      <c r="C16" s="81" t="s">
        <v>71</v>
      </c>
      <c r="D16" s="81"/>
      <c r="E16" s="82"/>
    </row>
    <row r="17" spans="2:5" ht="23.25" customHeight="1" x14ac:dyDescent="0.25">
      <c r="B17" s="65" t="s">
        <v>70</v>
      </c>
      <c r="C17" s="63"/>
      <c r="D17" s="5"/>
      <c r="E17" s="64"/>
    </row>
    <row r="18" spans="2:5" ht="75" customHeight="1" x14ac:dyDescent="0.25">
      <c r="B18" s="65"/>
      <c r="C18" s="81" t="s">
        <v>80</v>
      </c>
      <c r="D18" s="81"/>
      <c r="E18" s="82"/>
    </row>
    <row r="19" spans="2:5" ht="25.5" customHeight="1" x14ac:dyDescent="0.25">
      <c r="B19" s="65"/>
      <c r="C19" s="87"/>
      <c r="D19" s="87"/>
      <c r="E19" s="88"/>
    </row>
    <row r="20" spans="2:5" ht="19.5" customHeight="1" x14ac:dyDescent="0.25">
      <c r="B20" s="65" t="s">
        <v>15</v>
      </c>
      <c r="C20" s="63"/>
      <c r="D20" s="5"/>
      <c r="E20" s="64"/>
    </row>
    <row r="21" spans="2:5" ht="102.75" customHeight="1" x14ac:dyDescent="0.25">
      <c r="B21" s="62"/>
      <c r="C21" s="89" t="s">
        <v>78</v>
      </c>
      <c r="D21" s="89"/>
      <c r="E21" s="90"/>
    </row>
    <row r="22" spans="2:5" x14ac:dyDescent="0.25">
      <c r="B22" s="62"/>
      <c r="C22" s="86"/>
      <c r="D22" s="86"/>
      <c r="E22" s="86"/>
    </row>
    <row r="23" spans="2:5" ht="17.25" customHeight="1" x14ac:dyDescent="0.25">
      <c r="B23" s="65" t="s">
        <v>16</v>
      </c>
      <c r="C23" s="66"/>
      <c r="D23" s="67"/>
      <c r="E23" s="68"/>
    </row>
    <row r="24" spans="2:5" ht="48" customHeight="1" x14ac:dyDescent="0.25">
      <c r="B24" s="62"/>
      <c r="C24" s="89" t="s">
        <v>63</v>
      </c>
      <c r="D24" s="89"/>
      <c r="E24" s="90"/>
    </row>
    <row r="25" spans="2:5" ht="17.25" customHeight="1" x14ac:dyDescent="0.25">
      <c r="B25" s="65" t="s">
        <v>17</v>
      </c>
      <c r="C25" s="69"/>
      <c r="D25" s="70"/>
      <c r="E25" s="71"/>
    </row>
    <row r="26" spans="2:5" ht="18.75" customHeight="1" x14ac:dyDescent="0.25">
      <c r="B26" s="62"/>
      <c r="C26" s="87"/>
      <c r="D26" s="87"/>
      <c r="E26" s="88"/>
    </row>
    <row r="27" spans="2:5" x14ac:dyDescent="0.25">
      <c r="B27" s="65" t="s">
        <v>18</v>
      </c>
      <c r="C27" s="66"/>
      <c r="D27" s="67"/>
      <c r="E27" s="68"/>
    </row>
    <row r="28" spans="2:5" x14ac:dyDescent="0.25">
      <c r="B28" s="65"/>
      <c r="C28" s="86"/>
      <c r="D28" s="86"/>
      <c r="E28" s="86"/>
    </row>
    <row r="29" spans="2:5" ht="14.25" thickBot="1" x14ac:dyDescent="0.3">
      <c r="B29" s="72"/>
      <c r="C29" s="73"/>
      <c r="D29" s="74"/>
      <c r="E29" s="75"/>
    </row>
    <row r="30" spans="2:5" x14ac:dyDescent="0.25">
      <c r="C30" s="76"/>
      <c r="D30" s="77"/>
      <c r="E30" s="78"/>
    </row>
    <row r="31" spans="2:5" x14ac:dyDescent="0.25">
      <c r="C31" s="76"/>
      <c r="D31" s="77"/>
      <c r="E31" s="78"/>
    </row>
    <row r="32" spans="2:5" x14ac:dyDescent="0.25">
      <c r="C32" s="76"/>
      <c r="D32" s="77"/>
      <c r="E32" s="78"/>
    </row>
    <row r="33" spans="3:5" x14ac:dyDescent="0.25">
      <c r="C33" s="76"/>
      <c r="D33" s="77"/>
      <c r="E33" s="78"/>
    </row>
    <row r="34" spans="3:5" x14ac:dyDescent="0.25">
      <c r="C34" s="76"/>
      <c r="D34" s="77"/>
      <c r="E34" s="78"/>
    </row>
    <row r="35" spans="3:5" x14ac:dyDescent="0.25">
      <c r="C35" s="76"/>
      <c r="D35" s="77"/>
      <c r="E35" s="78"/>
    </row>
    <row r="36" spans="3:5" x14ac:dyDescent="0.25">
      <c r="C36" s="76"/>
      <c r="D36" s="77"/>
      <c r="E36" s="78"/>
    </row>
    <row r="37" spans="3:5" x14ac:dyDescent="0.25">
      <c r="C37" s="76"/>
      <c r="D37" s="77"/>
      <c r="E37" s="78"/>
    </row>
    <row r="38" spans="3:5" x14ac:dyDescent="0.25">
      <c r="C38" s="76"/>
      <c r="D38" s="77"/>
      <c r="E38" s="78"/>
    </row>
    <row r="39" spans="3:5" x14ac:dyDescent="0.25">
      <c r="C39" s="76"/>
      <c r="D39" s="77"/>
      <c r="E39" s="78"/>
    </row>
    <row r="40" spans="3:5" x14ac:dyDescent="0.25">
      <c r="C40" s="76"/>
      <c r="D40" s="77"/>
      <c r="E40" s="78"/>
    </row>
    <row r="41" spans="3:5" x14ac:dyDescent="0.25">
      <c r="C41" s="76"/>
      <c r="D41" s="77"/>
      <c r="E41" s="78"/>
    </row>
    <row r="42" spans="3:5" x14ac:dyDescent="0.25">
      <c r="C42" s="76"/>
      <c r="D42" s="77"/>
      <c r="E42" s="78"/>
    </row>
  </sheetData>
  <mergeCells count="15">
    <mergeCell ref="C28:E28"/>
    <mergeCell ref="C19:E19"/>
    <mergeCell ref="C21:E21"/>
    <mergeCell ref="C22:E22"/>
    <mergeCell ref="C24:E24"/>
    <mergeCell ref="C26:E26"/>
    <mergeCell ref="C18:E18"/>
    <mergeCell ref="B2:H2"/>
    <mergeCell ref="A4:B4"/>
    <mergeCell ref="C4:E4"/>
    <mergeCell ref="A5:B5"/>
    <mergeCell ref="C5:E5"/>
    <mergeCell ref="A6:B6"/>
    <mergeCell ref="A7:B7"/>
    <mergeCell ref="C16:E16"/>
  </mergeCells>
  <pageMargins left="0.19685039370078741" right="0.15748031496062992" top="0.74803149606299213" bottom="0.74803149606299213" header="0.51181102362204722" footer="0.51181102362204722"/>
  <pageSetup paperSize="190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7"/>
  <sheetViews>
    <sheetView zoomScale="90" zoomScaleNormal="90" workbookViewId="0">
      <selection activeCell="J15" sqref="J15"/>
    </sheetView>
  </sheetViews>
  <sheetFormatPr baseColWidth="10" defaultColWidth="9.140625" defaultRowHeight="13.5" x14ac:dyDescent="0.25"/>
  <cols>
    <col min="1" max="1" width="5.42578125" style="23" customWidth="1"/>
    <col min="2" max="2" width="12.28515625" style="23" customWidth="1"/>
    <col min="3" max="3" width="14.140625" style="23" customWidth="1"/>
    <col min="4" max="4" width="26" style="23" customWidth="1"/>
    <col min="5" max="5" width="8" style="23" customWidth="1"/>
    <col min="6" max="6" width="7.85546875" style="23" customWidth="1"/>
    <col min="7" max="7" width="44.7109375" style="23" customWidth="1"/>
    <col min="8" max="8" width="10.42578125" style="23" customWidth="1"/>
    <col min="9" max="9" width="12" style="23" customWidth="1"/>
    <col min="10" max="10" width="15.7109375" style="23" customWidth="1"/>
    <col min="11" max="11" width="10.85546875" style="23" customWidth="1"/>
    <col min="12" max="14" width="5.85546875" style="23" customWidth="1"/>
    <col min="15" max="15" width="22" style="23" customWidth="1"/>
    <col min="16" max="1024" width="9.140625" style="23"/>
    <col min="1025" max="16384" width="9.140625" style="3"/>
  </cols>
  <sheetData>
    <row r="1" spans="1:1024" ht="18" customHeight="1" x14ac:dyDescent="0.25">
      <c r="A1" s="91" t="s">
        <v>19</v>
      </c>
      <c r="B1" s="91"/>
      <c r="C1" s="91"/>
      <c r="D1" s="91"/>
      <c r="E1" s="91"/>
      <c r="F1" s="91"/>
      <c r="G1" s="91"/>
      <c r="H1" s="91"/>
      <c r="I1" s="91"/>
      <c r="J1" s="21" t="s">
        <v>20</v>
      </c>
      <c r="K1" s="22" t="s">
        <v>66</v>
      </c>
    </row>
    <row r="2" spans="1:1024" ht="18.75" customHeight="1" thickBot="1" x14ac:dyDescent="0.3">
      <c r="A2" s="24"/>
      <c r="B2" s="24"/>
      <c r="C2" s="24"/>
      <c r="D2" s="25"/>
      <c r="E2" s="25"/>
      <c r="F2" s="25"/>
      <c r="G2" s="25"/>
      <c r="H2" s="25"/>
      <c r="I2" s="25"/>
      <c r="J2" s="25"/>
      <c r="K2" s="25"/>
    </row>
    <row r="3" spans="1:1024" ht="18.75" customHeight="1" thickBot="1" x14ac:dyDescent="0.3">
      <c r="A3" s="92" t="s">
        <v>52</v>
      </c>
      <c r="B3" s="92"/>
      <c r="C3" s="92"/>
      <c r="D3" s="93" t="str">
        <f>'Necesidades Trimestrales'!C4</f>
        <v>90 - Ministerio de Seguridad</v>
      </c>
      <c r="E3" s="93"/>
      <c r="F3" s="93"/>
      <c r="G3" s="93"/>
      <c r="H3" s="93"/>
      <c r="I3" s="93"/>
      <c r="J3" s="93"/>
      <c r="K3" s="93"/>
    </row>
    <row r="4" spans="1:1024" ht="18.75" customHeight="1" thickBot="1" x14ac:dyDescent="0.3">
      <c r="A4" s="94" t="s">
        <v>53</v>
      </c>
      <c r="B4" s="94"/>
      <c r="C4" s="94"/>
      <c r="D4" s="93" t="str">
        <f>'Necesidades Trimestrales'!C5</f>
        <v>7 - Direccion de Administración de la Policia de la Provincia de Catamarca</v>
      </c>
      <c r="E4" s="93"/>
      <c r="F4" s="93"/>
      <c r="G4" s="93"/>
      <c r="H4" s="93"/>
      <c r="I4" s="93"/>
      <c r="J4" s="93"/>
      <c r="K4" s="93"/>
    </row>
    <row r="5" spans="1:1024" ht="18.75" customHeight="1" thickBot="1" x14ac:dyDescent="0.3">
      <c r="A5" s="94" t="s">
        <v>32</v>
      </c>
      <c r="B5" s="94"/>
      <c r="C5" s="94"/>
      <c r="D5" s="93" t="s">
        <v>56</v>
      </c>
      <c r="E5" s="93"/>
      <c r="F5" s="93"/>
      <c r="G5" s="93"/>
      <c r="H5" s="93"/>
      <c r="I5" s="93"/>
      <c r="J5" s="93"/>
      <c r="K5" s="93"/>
    </row>
    <row r="6" spans="1:1024" ht="16.5" customHeight="1" thickBot="1" x14ac:dyDescent="0.3">
      <c r="A6" s="92" t="s">
        <v>54</v>
      </c>
      <c r="B6" s="92"/>
      <c r="C6" s="92"/>
      <c r="D6" s="93" t="s">
        <v>72</v>
      </c>
      <c r="E6" s="93"/>
      <c r="F6" s="93"/>
      <c r="G6" s="93"/>
      <c r="H6" s="93"/>
      <c r="I6" s="93"/>
      <c r="J6" s="93"/>
      <c r="K6" s="93"/>
    </row>
    <row r="7" spans="1:1024" ht="16.5" customHeight="1" thickBot="1" x14ac:dyDescent="0.3">
      <c r="A7" s="94" t="s">
        <v>21</v>
      </c>
      <c r="B7" s="94"/>
      <c r="C7" s="94"/>
      <c r="D7" s="93" t="s">
        <v>65</v>
      </c>
      <c r="E7" s="93"/>
      <c r="F7" s="93"/>
      <c r="G7" s="93"/>
      <c r="H7" s="93"/>
      <c r="I7" s="93"/>
      <c r="J7" s="93"/>
      <c r="K7" s="93"/>
    </row>
    <row r="8" spans="1:1024" ht="35.25" customHeight="1" thickBot="1" x14ac:dyDescent="0.3">
      <c r="A8" s="104" t="s">
        <v>22</v>
      </c>
      <c r="B8" s="104"/>
      <c r="C8" s="104"/>
      <c r="D8" s="97" t="s">
        <v>79</v>
      </c>
      <c r="E8" s="97"/>
      <c r="F8" s="97"/>
      <c r="G8" s="97"/>
      <c r="H8" s="97"/>
      <c r="I8" s="97"/>
      <c r="J8" s="97"/>
      <c r="K8" s="97"/>
    </row>
    <row r="9" spans="1:1024" ht="18" thickBot="1" x14ac:dyDescent="0.3">
      <c r="A9" s="26"/>
      <c r="B9" s="26"/>
      <c r="C9" s="26"/>
      <c r="D9" s="27"/>
      <c r="E9" s="27"/>
      <c r="F9" s="27"/>
      <c r="G9" s="27"/>
      <c r="H9" s="27"/>
      <c r="I9" s="27"/>
      <c r="J9" s="27"/>
      <c r="K9" s="27"/>
    </row>
    <row r="10" spans="1:1024" ht="14.25" thickBot="1" x14ac:dyDescent="0.3">
      <c r="A10" s="98" t="s">
        <v>23</v>
      </c>
      <c r="B10" s="100" t="s">
        <v>24</v>
      </c>
      <c r="C10" s="100" t="s">
        <v>25</v>
      </c>
      <c r="D10" s="100"/>
      <c r="E10" s="100"/>
      <c r="F10" s="100"/>
      <c r="G10" s="100"/>
      <c r="H10" s="100" t="s">
        <v>26</v>
      </c>
      <c r="I10" s="100" t="s">
        <v>27</v>
      </c>
      <c r="J10" s="100" t="s">
        <v>28</v>
      </c>
      <c r="K10" s="102" t="s">
        <v>29</v>
      </c>
    </row>
    <row r="11" spans="1:1024" ht="14.25" thickBot="1" x14ac:dyDescent="0.3">
      <c r="A11" s="99"/>
      <c r="B11" s="101"/>
      <c r="C11" s="101"/>
      <c r="D11" s="101"/>
      <c r="E11" s="101"/>
      <c r="F11" s="101"/>
      <c r="G11" s="101"/>
      <c r="H11" s="101"/>
      <c r="I11" s="101"/>
      <c r="J11" s="101"/>
      <c r="K11" s="103"/>
      <c r="O11" s="28"/>
    </row>
    <row r="12" spans="1:1024" ht="39" customHeight="1" thickBot="1" x14ac:dyDescent="0.3">
      <c r="A12" s="29">
        <v>1</v>
      </c>
      <c r="B12" s="30" t="str">
        <f>+'Necesidades Trimestrales'!B10</f>
        <v>4.4.0-9562.6</v>
      </c>
      <c r="C12" s="105" t="str">
        <f>+'Necesidades Trimestrales'!E10</f>
        <v>AMETRALLADORA; TIPO: SUBFUSIL MP5-SD6, CALIBRE: 9 X 19 mm, VELOCIDAD: 700 1/min, ALCANCE MAXIMO EFECTIVO: 100 M, LONGITUD: 815 mm</v>
      </c>
      <c r="D12" s="105"/>
      <c r="E12" s="105"/>
      <c r="F12" s="105"/>
      <c r="G12" s="105"/>
      <c r="H12" s="31" t="s">
        <v>62</v>
      </c>
      <c r="I12" s="32" t="s">
        <v>14</v>
      </c>
      <c r="J12" s="33">
        <f>'Necesidades Trimestrales'!H10</f>
        <v>724089.64</v>
      </c>
      <c r="K12" s="34">
        <f>'Necesidades Trimestrales'!G10</f>
        <v>10</v>
      </c>
      <c r="O12" s="35">
        <f>K12*J12</f>
        <v>7240896.4000000004</v>
      </c>
    </row>
    <row r="13" spans="1:1024" ht="28.5" customHeight="1" x14ac:dyDescent="0.25">
      <c r="A13" s="29">
        <v>2</v>
      </c>
      <c r="B13" s="30" t="str">
        <f>+'Necesidades Trimestrales'!B11</f>
        <v>4.4.0-2939.12</v>
      </c>
      <c r="C13" s="105" t="str">
        <f>+'Necesidades Trimestrales'!E11</f>
        <v>PISTOLAS; CALIBRE: 9 MM X 19 NATO, TIPO: DOBLE Y SIMPLE ACCION</v>
      </c>
      <c r="D13" s="105"/>
      <c r="E13" s="105"/>
      <c r="F13" s="105"/>
      <c r="G13" s="105"/>
      <c r="H13" s="31" t="s">
        <v>62</v>
      </c>
      <c r="I13" s="32" t="s">
        <v>14</v>
      </c>
      <c r="J13" s="33">
        <f>'Necesidades Trimestrales'!H11</f>
        <v>111400</v>
      </c>
      <c r="K13" s="34">
        <f>'Necesidades Trimestrales'!G11</f>
        <v>30</v>
      </c>
      <c r="O13" s="35">
        <f>K13*J13</f>
        <v>3342000</v>
      </c>
    </row>
    <row r="14" spans="1:1024" ht="18" thickBot="1" x14ac:dyDescent="0.3">
      <c r="A14" s="95" t="s">
        <v>74</v>
      </c>
      <c r="B14" s="95"/>
      <c r="C14" s="95"/>
      <c r="D14" s="95"/>
      <c r="E14" s="95"/>
      <c r="F14" s="95"/>
      <c r="G14" s="95"/>
      <c r="H14" s="95"/>
      <c r="I14" s="95"/>
      <c r="J14" s="96">
        <f>SUM(O12:O13)</f>
        <v>10582896.4</v>
      </c>
      <c r="K14" s="96"/>
      <c r="L14" s="3"/>
      <c r="M14" s="3"/>
      <c r="N14" s="3"/>
      <c r="O14" s="36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/>
      <c r="WD14" s="3"/>
      <c r="WE14" s="3"/>
      <c r="WF14" s="3"/>
      <c r="WG14" s="3"/>
      <c r="WH14" s="3"/>
      <c r="WI14" s="3"/>
      <c r="WJ14" s="3"/>
      <c r="WK14" s="3"/>
      <c r="WL14" s="3"/>
      <c r="WM14" s="3"/>
      <c r="WN14" s="3"/>
      <c r="WO14" s="3"/>
      <c r="WP14" s="3"/>
      <c r="WQ14" s="3"/>
      <c r="WR14" s="3"/>
      <c r="WS14" s="3"/>
      <c r="WT14" s="3"/>
      <c r="WU14" s="3"/>
      <c r="WV14" s="3"/>
      <c r="WW14" s="3"/>
      <c r="WX14" s="3"/>
      <c r="WY14" s="3"/>
      <c r="WZ14" s="3"/>
      <c r="XA14" s="3"/>
      <c r="XB14" s="3"/>
      <c r="XC14" s="3"/>
      <c r="XD14" s="3"/>
      <c r="XE14" s="3"/>
      <c r="XF14" s="3"/>
      <c r="XG14" s="3"/>
      <c r="XH14" s="3"/>
      <c r="XI14" s="3"/>
      <c r="XJ14" s="3"/>
      <c r="XK14" s="3"/>
      <c r="XL14" s="3"/>
      <c r="XM14" s="3"/>
      <c r="XN14" s="3"/>
      <c r="XO14" s="3"/>
      <c r="XP14" s="3"/>
      <c r="XQ14" s="3"/>
      <c r="XR14" s="3"/>
      <c r="XS14" s="3"/>
      <c r="XT14" s="3"/>
      <c r="XU14" s="3"/>
      <c r="XV14" s="3"/>
      <c r="XW14" s="3"/>
      <c r="XX14" s="3"/>
      <c r="XY14" s="3"/>
      <c r="XZ14" s="3"/>
      <c r="YA14" s="3"/>
      <c r="YB14" s="3"/>
      <c r="YC14" s="3"/>
      <c r="YD14" s="3"/>
      <c r="YE14" s="3"/>
      <c r="YF14" s="3"/>
      <c r="YG14" s="3"/>
      <c r="YH14" s="3"/>
      <c r="YI14" s="3"/>
      <c r="YJ14" s="3"/>
      <c r="YK14" s="3"/>
      <c r="YL14" s="3"/>
      <c r="YM14" s="3"/>
      <c r="YN14" s="3"/>
      <c r="YO14" s="3"/>
      <c r="YP14" s="3"/>
      <c r="YQ14" s="3"/>
      <c r="YR14" s="3"/>
      <c r="YS14" s="3"/>
      <c r="YT14" s="3"/>
      <c r="YU14" s="3"/>
      <c r="YV14" s="3"/>
      <c r="YW14" s="3"/>
      <c r="YX14" s="3"/>
      <c r="YY14" s="3"/>
      <c r="YZ14" s="3"/>
      <c r="ZA14" s="3"/>
      <c r="ZB14" s="3"/>
      <c r="ZC14" s="3"/>
      <c r="ZD14" s="3"/>
      <c r="ZE14" s="3"/>
      <c r="ZF14" s="3"/>
      <c r="ZG14" s="3"/>
      <c r="ZH14" s="3"/>
      <c r="ZI14" s="3"/>
      <c r="ZJ14" s="3"/>
      <c r="ZK14" s="3"/>
      <c r="ZL14" s="3"/>
      <c r="ZM14" s="3"/>
      <c r="ZN14" s="3"/>
      <c r="ZO14" s="3"/>
      <c r="ZP14" s="3"/>
      <c r="ZQ14" s="3"/>
      <c r="ZR14" s="3"/>
      <c r="ZS14" s="3"/>
      <c r="ZT14" s="3"/>
      <c r="ZU14" s="3"/>
      <c r="ZV14" s="3"/>
      <c r="ZW14" s="3"/>
      <c r="ZX14" s="3"/>
      <c r="ZY14" s="3"/>
      <c r="ZZ14" s="3"/>
      <c r="AAA14" s="3"/>
      <c r="AAB14" s="3"/>
      <c r="AAC14" s="3"/>
      <c r="AAD14" s="3"/>
      <c r="AAE14" s="3"/>
      <c r="AAF14" s="3"/>
      <c r="AAG14" s="3"/>
      <c r="AAH14" s="3"/>
      <c r="AAI14" s="3"/>
      <c r="AAJ14" s="3"/>
      <c r="AAK14" s="3"/>
      <c r="AAL14" s="3"/>
      <c r="AAM14" s="3"/>
      <c r="AAN14" s="3"/>
      <c r="AAO14" s="3"/>
      <c r="AAP14" s="3"/>
      <c r="AAQ14" s="3"/>
      <c r="AAR14" s="3"/>
      <c r="AAS14" s="3"/>
      <c r="AAT14" s="3"/>
      <c r="AAU14" s="3"/>
      <c r="AAV14" s="3"/>
      <c r="AAW14" s="3"/>
      <c r="AAX14" s="3"/>
      <c r="AAY14" s="3"/>
      <c r="AAZ14" s="3"/>
      <c r="ABA14" s="3"/>
      <c r="ABB14" s="3"/>
      <c r="ABC14" s="3"/>
      <c r="ABD14" s="3"/>
      <c r="ABE14" s="3"/>
      <c r="ABF14" s="3"/>
      <c r="ABG14" s="3"/>
      <c r="ABH14" s="3"/>
      <c r="ABI14" s="3"/>
      <c r="ABJ14" s="3"/>
      <c r="ABK14" s="3"/>
      <c r="ABL14" s="3"/>
      <c r="ABM14" s="3"/>
      <c r="ABN14" s="3"/>
      <c r="ABO14" s="3"/>
      <c r="ABP14" s="3"/>
      <c r="ABQ14" s="3"/>
      <c r="ABR14" s="3"/>
      <c r="ABS14" s="3"/>
      <c r="ABT14" s="3"/>
      <c r="ABU14" s="3"/>
      <c r="ABV14" s="3"/>
      <c r="ABW14" s="3"/>
      <c r="ABX14" s="3"/>
      <c r="ABY14" s="3"/>
      <c r="ABZ14" s="3"/>
      <c r="ACA14" s="3"/>
      <c r="ACB14" s="3"/>
      <c r="ACC14" s="3"/>
      <c r="ACD14" s="3"/>
      <c r="ACE14" s="3"/>
      <c r="ACF14" s="3"/>
      <c r="ACG14" s="3"/>
      <c r="ACH14" s="3"/>
      <c r="ACI14" s="3"/>
      <c r="ACJ14" s="3"/>
      <c r="ACK14" s="3"/>
      <c r="ACL14" s="3"/>
      <c r="ACM14" s="3"/>
      <c r="ACN14" s="3"/>
      <c r="ACO14" s="3"/>
      <c r="ACP14" s="3"/>
      <c r="ACQ14" s="3"/>
      <c r="ACR14" s="3"/>
      <c r="ACS14" s="3"/>
      <c r="ACT14" s="3"/>
      <c r="ACU14" s="3"/>
      <c r="ACV14" s="3"/>
      <c r="ACW14" s="3"/>
      <c r="ACX14" s="3"/>
      <c r="ACY14" s="3"/>
      <c r="ACZ14" s="3"/>
      <c r="ADA14" s="3"/>
      <c r="ADB14" s="3"/>
      <c r="ADC14" s="3"/>
      <c r="ADD14" s="3"/>
      <c r="ADE14" s="3"/>
      <c r="ADF14" s="3"/>
      <c r="ADG14" s="3"/>
      <c r="ADH14" s="3"/>
      <c r="ADI14" s="3"/>
      <c r="ADJ14" s="3"/>
      <c r="ADK14" s="3"/>
      <c r="ADL14" s="3"/>
      <c r="ADM14" s="3"/>
      <c r="ADN14" s="3"/>
      <c r="ADO14" s="3"/>
      <c r="ADP14" s="3"/>
      <c r="ADQ14" s="3"/>
      <c r="ADR14" s="3"/>
      <c r="ADS14" s="3"/>
      <c r="ADT14" s="3"/>
      <c r="ADU14" s="3"/>
      <c r="ADV14" s="3"/>
      <c r="ADW14" s="3"/>
      <c r="ADX14" s="3"/>
      <c r="ADY14" s="3"/>
      <c r="ADZ14" s="3"/>
      <c r="AEA14" s="3"/>
      <c r="AEB14" s="3"/>
      <c r="AEC14" s="3"/>
      <c r="AED14" s="3"/>
      <c r="AEE14" s="3"/>
      <c r="AEF14" s="3"/>
      <c r="AEG14" s="3"/>
      <c r="AEH14" s="3"/>
      <c r="AEI14" s="3"/>
      <c r="AEJ14" s="3"/>
      <c r="AEK14" s="3"/>
      <c r="AEL14" s="3"/>
      <c r="AEM14" s="3"/>
      <c r="AEN14" s="3"/>
      <c r="AEO14" s="3"/>
      <c r="AEP14" s="3"/>
      <c r="AEQ14" s="3"/>
      <c r="AER14" s="3"/>
      <c r="AES14" s="3"/>
      <c r="AET14" s="3"/>
      <c r="AEU14" s="3"/>
      <c r="AEV14" s="3"/>
      <c r="AEW14" s="3"/>
      <c r="AEX14" s="3"/>
      <c r="AEY14" s="3"/>
      <c r="AEZ14" s="3"/>
      <c r="AFA14" s="3"/>
      <c r="AFB14" s="3"/>
      <c r="AFC14" s="3"/>
      <c r="AFD14" s="3"/>
      <c r="AFE14" s="3"/>
      <c r="AFF14" s="3"/>
      <c r="AFG14" s="3"/>
      <c r="AFH14" s="3"/>
      <c r="AFI14" s="3"/>
      <c r="AFJ14" s="3"/>
      <c r="AFK14" s="3"/>
      <c r="AFL14" s="3"/>
      <c r="AFM14" s="3"/>
      <c r="AFN14" s="3"/>
      <c r="AFO14" s="3"/>
      <c r="AFP14" s="3"/>
      <c r="AFQ14" s="3"/>
      <c r="AFR14" s="3"/>
      <c r="AFS14" s="3"/>
      <c r="AFT14" s="3"/>
      <c r="AFU14" s="3"/>
      <c r="AFV14" s="3"/>
      <c r="AFW14" s="3"/>
      <c r="AFX14" s="3"/>
      <c r="AFY14" s="3"/>
      <c r="AFZ14" s="3"/>
      <c r="AGA14" s="3"/>
      <c r="AGB14" s="3"/>
      <c r="AGC14" s="3"/>
      <c r="AGD14" s="3"/>
      <c r="AGE14" s="3"/>
      <c r="AGF14" s="3"/>
      <c r="AGG14" s="3"/>
      <c r="AGH14" s="3"/>
      <c r="AGI14" s="3"/>
      <c r="AGJ14" s="3"/>
      <c r="AGK14" s="3"/>
      <c r="AGL14" s="3"/>
      <c r="AGM14" s="3"/>
      <c r="AGN14" s="3"/>
      <c r="AGO14" s="3"/>
      <c r="AGP14" s="3"/>
      <c r="AGQ14" s="3"/>
      <c r="AGR14" s="3"/>
      <c r="AGS14" s="3"/>
      <c r="AGT14" s="3"/>
      <c r="AGU14" s="3"/>
      <c r="AGV14" s="3"/>
      <c r="AGW14" s="3"/>
      <c r="AGX14" s="3"/>
      <c r="AGY14" s="3"/>
      <c r="AGZ14" s="3"/>
      <c r="AHA14" s="3"/>
      <c r="AHB14" s="3"/>
      <c r="AHC14" s="3"/>
      <c r="AHD14" s="3"/>
      <c r="AHE14" s="3"/>
      <c r="AHF14" s="3"/>
      <c r="AHG14" s="3"/>
      <c r="AHH14" s="3"/>
      <c r="AHI14" s="3"/>
      <c r="AHJ14" s="3"/>
      <c r="AHK14" s="3"/>
      <c r="AHL14" s="3"/>
      <c r="AHM14" s="3"/>
      <c r="AHN14" s="3"/>
      <c r="AHO14" s="3"/>
      <c r="AHP14" s="3"/>
      <c r="AHQ14" s="3"/>
      <c r="AHR14" s="3"/>
      <c r="AHS14" s="3"/>
      <c r="AHT14" s="3"/>
      <c r="AHU14" s="3"/>
      <c r="AHV14" s="3"/>
      <c r="AHW14" s="3"/>
      <c r="AHX14" s="3"/>
      <c r="AHY14" s="3"/>
      <c r="AHZ14" s="3"/>
      <c r="AIA14" s="3"/>
      <c r="AIB14" s="3"/>
      <c r="AIC14" s="3"/>
      <c r="AID14" s="3"/>
      <c r="AIE14" s="3"/>
      <c r="AIF14" s="3"/>
      <c r="AIG14" s="3"/>
      <c r="AIH14" s="3"/>
      <c r="AII14" s="3"/>
      <c r="AIJ14" s="3"/>
      <c r="AIK14" s="3"/>
      <c r="AIL14" s="3"/>
      <c r="AIM14" s="3"/>
      <c r="AIN14" s="3"/>
      <c r="AIO14" s="3"/>
      <c r="AIP14" s="3"/>
      <c r="AIQ14" s="3"/>
      <c r="AIR14" s="3"/>
      <c r="AIS14" s="3"/>
      <c r="AIT14" s="3"/>
      <c r="AIU14" s="3"/>
      <c r="AIV14" s="3"/>
      <c r="AIW14" s="3"/>
      <c r="AIX14" s="3"/>
      <c r="AIY14" s="3"/>
      <c r="AIZ14" s="3"/>
      <c r="AJA14" s="3"/>
      <c r="AJB14" s="3"/>
      <c r="AJC14" s="3"/>
      <c r="AJD14" s="3"/>
      <c r="AJE14" s="3"/>
      <c r="AJF14" s="3"/>
      <c r="AJG14" s="3"/>
      <c r="AJH14" s="3"/>
      <c r="AJI14" s="3"/>
      <c r="AJJ14" s="3"/>
      <c r="AJK14" s="3"/>
      <c r="AJL14" s="3"/>
      <c r="AJM14" s="3"/>
      <c r="AJN14" s="3"/>
      <c r="AJO14" s="3"/>
      <c r="AJP14" s="3"/>
      <c r="AJQ14" s="3"/>
      <c r="AJR14" s="3"/>
      <c r="AJS14" s="3"/>
      <c r="AJT14" s="3"/>
      <c r="AJU14" s="3"/>
      <c r="AJV14" s="3"/>
      <c r="AJW14" s="3"/>
      <c r="AJX14" s="3"/>
      <c r="AJY14" s="3"/>
      <c r="AJZ14" s="3"/>
      <c r="AKA14" s="3"/>
      <c r="AKB14" s="3"/>
      <c r="AKC14" s="3"/>
      <c r="AKD14" s="3"/>
      <c r="AKE14" s="3"/>
      <c r="AKF14" s="3"/>
      <c r="AKG14" s="3"/>
      <c r="AKH14" s="3"/>
      <c r="AKI14" s="3"/>
      <c r="AKJ14" s="3"/>
      <c r="AKK14" s="3"/>
      <c r="AKL14" s="3"/>
      <c r="AKM14" s="3"/>
      <c r="AKN14" s="3"/>
      <c r="AKO14" s="3"/>
      <c r="AKP14" s="3"/>
      <c r="AKQ14" s="3"/>
      <c r="AKR14" s="3"/>
      <c r="AKS14" s="3"/>
      <c r="AKT14" s="3"/>
      <c r="AKU14" s="3"/>
      <c r="AKV14" s="3"/>
      <c r="AKW14" s="3"/>
      <c r="AKX14" s="3"/>
      <c r="AKY14" s="3"/>
      <c r="AKZ14" s="3"/>
      <c r="ALA14" s="3"/>
      <c r="ALB14" s="3"/>
      <c r="ALC14" s="3"/>
      <c r="ALD14" s="3"/>
      <c r="ALE14" s="3"/>
      <c r="ALF14" s="3"/>
      <c r="ALG14" s="3"/>
      <c r="ALH14" s="3"/>
      <c r="ALI14" s="3"/>
      <c r="ALJ14" s="3"/>
      <c r="ALK14" s="3"/>
      <c r="ALL14" s="3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</row>
    <row r="15" spans="1:1024" x14ac:dyDescent="0.25">
      <c r="O15" s="28"/>
    </row>
    <row r="16" spans="1:1024" x14ac:dyDescent="0.25">
      <c r="O16" s="28"/>
    </row>
    <row r="17" spans="15:15" x14ac:dyDescent="0.25">
      <c r="O17" s="28"/>
    </row>
  </sheetData>
  <mergeCells count="24">
    <mergeCell ref="A14:I14"/>
    <mergeCell ref="J14:K14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3:G13"/>
    <mergeCell ref="C12:G12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topLeftCell="A7" workbookViewId="0">
      <selection activeCell="O22" sqref="O22"/>
    </sheetView>
  </sheetViews>
  <sheetFormatPr baseColWidth="10" defaultColWidth="11" defaultRowHeight="13.5" x14ac:dyDescent="0.25"/>
  <cols>
    <col min="1" max="6" width="4.42578125" style="3" customWidth="1"/>
    <col min="7" max="7" width="4.42578125" style="4" customWidth="1"/>
    <col min="8" max="8" width="4.42578125" style="3" customWidth="1"/>
    <col min="9" max="9" width="6.42578125" style="3" customWidth="1"/>
    <col min="10" max="14" width="4.42578125" style="3" customWidth="1"/>
    <col min="15" max="16" width="14.85546875" style="3" customWidth="1"/>
    <col min="17" max="17" width="14.7109375" style="3" customWidth="1"/>
    <col min="18" max="16384" width="11" style="3"/>
  </cols>
  <sheetData>
    <row r="1" spans="1:17" ht="15.75" customHeight="1" x14ac:dyDescent="0.25">
      <c r="A1" s="106" t="s">
        <v>3</v>
      </c>
      <c r="B1" s="106"/>
      <c r="C1" s="106"/>
      <c r="D1" s="107">
        <f>'Necesidades Trimestrales'!C6</f>
        <v>2020</v>
      </c>
      <c r="E1" s="107"/>
      <c r="F1" s="1"/>
      <c r="G1" s="1"/>
      <c r="H1" s="2"/>
      <c r="I1" s="2"/>
      <c r="J1" s="2"/>
      <c r="K1" s="2"/>
      <c r="L1" s="2"/>
      <c r="M1" s="2"/>
      <c r="N1" s="2"/>
      <c r="P1" s="108" t="s">
        <v>30</v>
      </c>
      <c r="Q1" s="108"/>
    </row>
    <row r="2" spans="1:17" ht="15.75" customHeight="1" x14ac:dyDescent="0.25">
      <c r="H2" s="2"/>
      <c r="I2" s="2"/>
      <c r="J2" s="2"/>
      <c r="K2" s="2"/>
      <c r="L2" s="2"/>
      <c r="M2" s="2"/>
      <c r="N2" s="2"/>
      <c r="P2" s="108"/>
      <c r="Q2" s="108"/>
    </row>
    <row r="4" spans="1:17" ht="18" customHeight="1" thickBot="1" x14ac:dyDescent="0.35">
      <c r="A4" s="109" t="s">
        <v>31</v>
      </c>
      <c r="B4" s="109"/>
      <c r="C4" s="109"/>
      <c r="D4" s="109"/>
      <c r="E4" s="109"/>
      <c r="F4" s="109"/>
      <c r="G4" s="110" t="str">
        <f>' NotaPedido'!D3</f>
        <v>90 - Ministerio de Seguridad</v>
      </c>
      <c r="H4" s="110"/>
      <c r="I4" s="110"/>
      <c r="J4" s="110"/>
      <c r="K4" s="110"/>
      <c r="L4" s="110"/>
      <c r="M4" s="110"/>
      <c r="N4" s="110"/>
      <c r="O4" s="110"/>
      <c r="P4" s="110"/>
      <c r="Q4" s="110"/>
    </row>
    <row r="5" spans="1:17" ht="18" customHeight="1" thickBot="1" x14ac:dyDescent="0.35">
      <c r="A5" s="111" t="s">
        <v>53</v>
      </c>
      <c r="B5" s="112"/>
      <c r="C5" s="112"/>
      <c r="D5" s="112"/>
      <c r="E5" s="112"/>
      <c r="F5" s="113"/>
      <c r="G5" s="110" t="str">
        <f>' NotaPedido'!D4</f>
        <v>7 - Direccion de Administración de la Policia de la Provincia de Catamarca</v>
      </c>
      <c r="H5" s="110"/>
      <c r="I5" s="110"/>
      <c r="J5" s="110"/>
      <c r="K5" s="110"/>
      <c r="L5" s="110"/>
      <c r="M5" s="110"/>
      <c r="N5" s="110"/>
      <c r="O5" s="110"/>
      <c r="P5" s="110"/>
      <c r="Q5" s="110"/>
    </row>
    <row r="6" spans="1:17" ht="18" customHeight="1" thickBot="1" x14ac:dyDescent="0.35">
      <c r="A6" s="111" t="s">
        <v>32</v>
      </c>
      <c r="B6" s="112"/>
      <c r="C6" s="112"/>
      <c r="D6" s="112"/>
      <c r="E6" s="112"/>
      <c r="F6" s="113"/>
      <c r="G6" s="110" t="str">
        <f>' NotaPedido'!D5</f>
        <v>Policía de la Provincia de Catamarca</v>
      </c>
      <c r="H6" s="110"/>
      <c r="I6" s="110"/>
      <c r="J6" s="110"/>
      <c r="K6" s="110"/>
      <c r="L6" s="110"/>
      <c r="M6" s="110"/>
      <c r="N6" s="110"/>
      <c r="O6" s="110"/>
      <c r="P6" s="110"/>
      <c r="Q6" s="110"/>
    </row>
    <row r="7" spans="1:17" ht="18" customHeight="1" thickBot="1" x14ac:dyDescent="0.35">
      <c r="A7" s="111" t="s">
        <v>54</v>
      </c>
      <c r="B7" s="112"/>
      <c r="C7" s="112"/>
      <c r="D7" s="112"/>
      <c r="E7" s="112"/>
      <c r="F7" s="113"/>
      <c r="G7" s="110" t="str">
        <f>' NotaPedido'!D6</f>
        <v>Direción de Operaciones Especiales KUNTUR.-</v>
      </c>
      <c r="H7" s="110"/>
      <c r="I7" s="110"/>
      <c r="J7" s="110"/>
      <c r="K7" s="110"/>
      <c r="L7" s="110"/>
      <c r="M7" s="110"/>
      <c r="N7" s="110"/>
      <c r="O7" s="110"/>
      <c r="P7" s="110"/>
      <c r="Q7" s="110"/>
    </row>
    <row r="8" spans="1:17" ht="18" customHeight="1" thickBot="1" x14ac:dyDescent="0.3">
      <c r="A8" s="114" t="s">
        <v>76</v>
      </c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</row>
    <row r="9" spans="1:17" ht="18" customHeight="1" x14ac:dyDescent="0.3">
      <c r="A9" s="115" t="s">
        <v>33</v>
      </c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5"/>
      <c r="P9" s="5"/>
      <c r="Q9" s="6"/>
    </row>
    <row r="10" spans="1:17" ht="54.75" customHeight="1" x14ac:dyDescent="0.25">
      <c r="A10" s="116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105/2020,  afectando la erogación resultante a los créditos presupuestarios aprobados a favor de esta Unidad Ejecutora, conforme al siguiente detalle: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</row>
    <row r="11" spans="1:17" ht="9" customHeight="1" x14ac:dyDescent="0.25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5">
      <c r="A12" s="117" t="s">
        <v>34</v>
      </c>
      <c r="B12" s="117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</row>
    <row r="13" spans="1:17" ht="15.75" customHeight="1" x14ac:dyDescent="0.25">
      <c r="A13" s="118" t="s">
        <v>35</v>
      </c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9" t="s">
        <v>36</v>
      </c>
      <c r="P13" s="119"/>
      <c r="Q13" s="120" t="s">
        <v>37</v>
      </c>
    </row>
    <row r="14" spans="1:17" ht="15.75" customHeight="1" thickBot="1" x14ac:dyDescent="0.3">
      <c r="A14" s="11" t="s">
        <v>38</v>
      </c>
      <c r="B14" s="12" t="s">
        <v>39</v>
      </c>
      <c r="C14" s="12" t="s">
        <v>40</v>
      </c>
      <c r="D14" s="12" t="s">
        <v>41</v>
      </c>
      <c r="E14" s="12" t="s">
        <v>42</v>
      </c>
      <c r="F14" s="12" t="s">
        <v>43</v>
      </c>
      <c r="G14" s="13" t="s">
        <v>44</v>
      </c>
      <c r="H14" s="12" t="s">
        <v>45</v>
      </c>
      <c r="I14" s="12" t="s">
        <v>46</v>
      </c>
      <c r="J14" s="12" t="s">
        <v>47</v>
      </c>
      <c r="K14" s="12" t="s">
        <v>47</v>
      </c>
      <c r="L14" s="12" t="s">
        <v>48</v>
      </c>
      <c r="M14" s="14" t="s">
        <v>49</v>
      </c>
      <c r="N14" s="15" t="s">
        <v>50</v>
      </c>
      <c r="O14" s="119"/>
      <c r="P14" s="119"/>
      <c r="Q14" s="120"/>
    </row>
    <row r="15" spans="1:17" ht="17.25" customHeight="1" x14ac:dyDescent="0.25">
      <c r="A15" s="16">
        <v>16</v>
      </c>
      <c r="B15" s="17">
        <v>0</v>
      </c>
      <c r="C15" s="17">
        <v>0</v>
      </c>
      <c r="D15" s="17">
        <v>1</v>
      </c>
      <c r="E15" s="17">
        <v>0</v>
      </c>
      <c r="F15" s="17">
        <v>10</v>
      </c>
      <c r="G15" s="17">
        <v>2</v>
      </c>
      <c r="H15" s="17">
        <v>210</v>
      </c>
      <c r="I15" s="17">
        <v>4</v>
      </c>
      <c r="J15" s="17">
        <v>4</v>
      </c>
      <c r="K15" s="17">
        <v>0</v>
      </c>
      <c r="L15" s="17">
        <v>0</v>
      </c>
      <c r="M15" s="18">
        <v>1</v>
      </c>
      <c r="N15" s="17" t="s">
        <v>57</v>
      </c>
      <c r="O15" s="121" t="s">
        <v>60</v>
      </c>
      <c r="P15" s="122"/>
      <c r="Q15" s="19">
        <f>'Necesidades Trimestrales'!I12</f>
        <v>10582896.4</v>
      </c>
    </row>
    <row r="16" spans="1:17" ht="27.75" customHeight="1" thickBot="1" x14ac:dyDescent="0.3">
      <c r="A16" s="133" t="s">
        <v>75</v>
      </c>
      <c r="B16" s="133"/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20">
        <f>SUM(Q15:Q15)</f>
        <v>10582896.4</v>
      </c>
    </row>
    <row r="17" spans="1:17" ht="18" customHeight="1" thickBot="1" x14ac:dyDescent="0.3">
      <c r="A17" s="134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6"/>
    </row>
    <row r="18" spans="1:17" ht="17.25" customHeight="1" thickBot="1" x14ac:dyDescent="0.3">
      <c r="A18" s="123" t="s">
        <v>51</v>
      </c>
      <c r="B18" s="124"/>
      <c r="C18" s="124"/>
      <c r="D18" s="124"/>
      <c r="E18" s="124"/>
      <c r="F18" s="125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</row>
    <row r="19" spans="1:17" ht="18" customHeight="1" x14ac:dyDescent="0.25">
      <c r="A19" s="127" t="s">
        <v>73</v>
      </c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9"/>
    </row>
    <row r="20" spans="1:17" ht="15" customHeight="1" thickBot="1" x14ac:dyDescent="0.3">
      <c r="A20" s="130"/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2"/>
    </row>
  </sheetData>
  <mergeCells count="24">
    <mergeCell ref="O15:P15"/>
    <mergeCell ref="A18:F18"/>
    <mergeCell ref="G18:Q18"/>
    <mergeCell ref="A19:Q20"/>
    <mergeCell ref="A16:P16"/>
    <mergeCell ref="A17:Q17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5" scale="90" firstPageNumber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SILVINA ATENCIO</cp:lastModifiedBy>
  <cp:revision>2</cp:revision>
  <cp:lastPrinted>2020-10-08T11:47:20Z</cp:lastPrinted>
  <dcterms:created xsi:type="dcterms:W3CDTF">2020-07-17T23:44:49Z</dcterms:created>
  <dcterms:modified xsi:type="dcterms:W3CDTF">2021-08-17T14:59:37Z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