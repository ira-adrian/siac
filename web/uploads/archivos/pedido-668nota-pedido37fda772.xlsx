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TRIMESTRALES\5° trimestre 2022\PROGRAMACION\ACUERDOS MARCO\NUTRICION Y SOLUCIONES\"/>
    </mc:Choice>
  </mc:AlternateContent>
  <xr:revisionPtr revIDLastSave="0" documentId="8_{243EFEF3-DECD-4381-B2F4-B709C9D0F9A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definedNames>
    <definedName name="_xlnm._FilterDatabase" localSheetId="0" hidden="1">Hoja1!$A$9:$I$36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5" i="1" l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36" i="1" l="1"/>
</calcChain>
</file>

<file path=xl/sharedStrings.xml><?xml version="1.0" encoding="utf-8"?>
<sst xmlns="http://schemas.openxmlformats.org/spreadsheetml/2006/main" count="133" uniqueCount="89">
  <si>
    <t>JURISDICCION:</t>
  </si>
  <si>
    <t xml:space="preserve">SAF N°: </t>
  </si>
  <si>
    <t>EJERCICIO:</t>
  </si>
  <si>
    <t>TRIMESTRE:</t>
  </si>
  <si>
    <t>ID</t>
  </si>
  <si>
    <t>Pedido de Necesidades Trimestrales</t>
  </si>
  <si>
    <t>CODIGO ITEM</t>
  </si>
  <si>
    <t>2.5.2-1726.10</t>
  </si>
  <si>
    <t>2.5.2-1726.520</t>
  </si>
  <si>
    <t>2.5.2-1726.186</t>
  </si>
  <si>
    <t>2.5.2-2183.7</t>
  </si>
  <si>
    <t>2.5.2-1903.103</t>
  </si>
  <si>
    <t>2.5.2-1903.104</t>
  </si>
  <si>
    <t>2.1.1-4227.56</t>
  </si>
  <si>
    <t>2.1.1-4227.19</t>
  </si>
  <si>
    <t>2.5.2-1726.191</t>
  </si>
  <si>
    <t>2.5.2-1726.9</t>
  </si>
  <si>
    <t>2.5.2-1726.305</t>
  </si>
  <si>
    <t>2.5.2-1726.519</t>
  </si>
  <si>
    <t>2.5.2-2689.7</t>
  </si>
  <si>
    <t>2.5.2-1726.378</t>
  </si>
  <si>
    <t>2.5.2-1726.464</t>
  </si>
  <si>
    <t>2.5.2-1726.14</t>
  </si>
  <si>
    <t>2.5.2-1726.377</t>
  </si>
  <si>
    <t>2.5.2-1726.24</t>
  </si>
  <si>
    <t>2.5.2-1726.17</t>
  </si>
  <si>
    <t>2.5.2-1726.369</t>
  </si>
  <si>
    <t>2.5.2-1726.419</t>
  </si>
  <si>
    <t>2.5.2-1726.393</t>
  </si>
  <si>
    <t>2.5.2-1726.381</t>
  </si>
  <si>
    <t>2.5.2-1726.182</t>
  </si>
  <si>
    <t>2.5.2-1726.371</t>
  </si>
  <si>
    <t>2.1.1-4227.55</t>
  </si>
  <si>
    <t>040 - Ministerio de Salud</t>
  </si>
  <si>
    <t>RUBRO DE COMPRA</t>
  </si>
  <si>
    <t>PROD. MEDICO/FARMACEUTICOS/LAB</t>
  </si>
  <si>
    <t xml:space="preserve">I.P.P. </t>
  </si>
  <si>
    <t>DESCRIPCION</t>
  </si>
  <si>
    <t>SOLUCIONES P/MEDICINA; TIPO: AGUA P/IRRIGACION QUIRURGICA, PRESENTACION: SACHET X 2000 mL</t>
  </si>
  <si>
    <t>SOLUCIONES P/MEDICINA; TIPO: AGUA DESTILADA, PRESENTACION: AMPOLLA DE 10 ML</t>
  </si>
  <si>
    <t>SOLUCIONES P/MEDICINA; TIPO: AGUA DESTILADA, PRESENTACION: ENVASE X 500 mL</t>
  </si>
  <si>
    <t>EXPANSORES PLASMATICOS; PRINCIPIO ACTIVO: ALBUMINA HUMANA, CONCENTRACION: 20 %, PRESENTACION: 50ML</t>
  </si>
  <si>
    <t>RECONSTITUYENTE GENERAL; DROGA GENERICA: ALIMENTO ENTERAL PARA SONDA FORTIFICADO CON FIBRAS, FORMA FARMACEUTICA: ENVASE, PRESENTACION: 1 L, TIPO: ASOCIACION</t>
  </si>
  <si>
    <t>RECONSTITUYENTE GENERAL; DROGA GENERICA: ALIMENTO ENTERAL PARA SONDA BAJO INDICE GLUCEMICO, FORMA FARMACEUTICA: ENVASE, PRESENTACION: 1 L, TIPO: ASOCIACION</t>
  </si>
  <si>
    <t>SUPLEMENTOS DIETARIOS; TIPO: ASOCIACION, DROGA GENERICA: S. PARENTERAL ADULTO 1501-2000 ML, PRESENTACION: UNIDAD</t>
  </si>
  <si>
    <t>SUPLEMENTOS DIETARIOS; TIPO: ASOCIACION, DROGA GENERICA: S. PARENTERAL NEONATAL 0-500 ML, PRESENTACION: UNIDAD, ACCESORIO: CON FILTRO</t>
  </si>
  <si>
    <t>SOLUCIONES P/MEDICINA; TIPO: AMINOACIDOS 10%, PRESENTACION: ENVASE X 500 ML</t>
  </si>
  <si>
    <t>SOLUCIONES P/MEDICINA; TIPO: BICARBONATO 1 MOLAR, PRESENTACION: SACHET DE 100 mL</t>
  </si>
  <si>
    <t>SOLUCIONES P/MEDICINA; TIPO: CLORURO DE POTASIO 15 MEQ, PRESENTACION: AMPOLLA DE 5 mL</t>
  </si>
  <si>
    <t>SOLUCIONES P/MEDICINA; PRESENTACION: AMPOLLA X 20 ML, TIPO: CLORURO DE SODIO MOLAR AL 20 %</t>
  </si>
  <si>
    <t>NORMALIZADORES DE CALCEMIA; TIPO: MONODROGA, DROGA GENERICA: GLUCONATO DE CALCIO 10 %, FORMA FARMACEUTICA: AMPOLLA, PRESENTACION: ENVASE X 10 mL</t>
  </si>
  <si>
    <t>SOLUCIONES P/MEDICINA; TIPO: DEXTROSA AL 50 %, PRESENTACION: ENVASE X 500 mL</t>
  </si>
  <si>
    <t>SOLUCIONES P/MEDICINA; TIPO: DEXTROSA AL 10 %, PRESENTACION: ENVASE X 250 mL</t>
  </si>
  <si>
    <t>SOLUCIONES P/MEDICINA; PRESENTACION: SACHET X 500 mL, TIPO: DEXTROSA AL 10 %</t>
  </si>
  <si>
    <t>SOLUCIONES P/MEDICINA; TIPO: DEXTROSA AL 25 %, PRESENTACION: ENVASE X 500 mL</t>
  </si>
  <si>
    <t>SOLUCIONES P/MEDICINA; TIPO: DEXTROSA AL 5%, PRESENTACION: ENVASE X 500 mL</t>
  </si>
  <si>
    <t>SOLUCIONES P/MEDICINA; TIPO: FISIOLOGICA CLORURO DE SODIO, PRESENTACION: 500 CM3</t>
  </si>
  <si>
    <t>SOLUCIONES P/MEDICINA; TIPO: FISIOLOGICA, PRESENTACION: ENVASE X 100 mL</t>
  </si>
  <si>
    <t>SOLUCIONES P/MEDICINA; TIPO: FISIOLOGICA, PRESENTACION: ENVASE X 10 mL</t>
  </si>
  <si>
    <t>SOLUCIONES P/MEDICINA; TIPO: GLUCOSADA HIPERTONICA AL 25%, PRESENTACION: ENVASE X 10 mL</t>
  </si>
  <si>
    <t>SOLUCIONES P/MEDICINA; TIPO: MANITOL AL 15%, PRESENTACION: ENVASE X 500 mL</t>
  </si>
  <si>
    <t>SOLUCIONES P/MEDICINA; TIPO: RINGER LACTATO, PRESENTACION: ENVASE X 500 mL</t>
  </si>
  <si>
    <t>SOLUCIONES P/MEDICINA; TIPO: SULFATO DE MAGNESIO AL 25%, PRESENTACION: ENVASE X 5 mL</t>
  </si>
  <si>
    <t>SUPLEMENTOS DIETARIOS; TIPO: MONODROGA, DROGA GENERICA: TRIGLICER CADENA MEDIA, PRESENTACION: ENVASE X 500 CM3</t>
  </si>
  <si>
    <t>UNIDAD DE MEDIDA</t>
  </si>
  <si>
    <t>SACHET</t>
  </si>
  <si>
    <t>AMPOLLA</t>
  </si>
  <si>
    <t>UNIDAD</t>
  </si>
  <si>
    <t xml:space="preserve">UNIDAD </t>
  </si>
  <si>
    <t xml:space="preserve">UNIDAD  </t>
  </si>
  <si>
    <t>FRASCO</t>
  </si>
  <si>
    <t>BOTELLA</t>
  </si>
  <si>
    <t>CANTIDAD</t>
  </si>
  <si>
    <t>PRECIO UNITARIO ESTIMADO</t>
  </si>
  <si>
    <t xml:space="preserve">IMPORTE TOTAL ESTIMADO </t>
  </si>
  <si>
    <t>Especificidades Ítems 1 al 26:</t>
  </si>
  <si>
    <t>INFORMACION ADICIONAL:</t>
  </si>
  <si>
    <r>
      <rPr>
        <b/>
        <u/>
        <sz val="10"/>
        <color theme="1"/>
        <rFont val="Arial"/>
        <family val="2"/>
      </rPr>
      <t xml:space="preserve">Descripción técnica ítem N° </t>
    </r>
    <r>
      <rPr>
        <sz val="10"/>
        <color theme="1"/>
        <rFont val="Arial"/>
        <family val="2"/>
      </rPr>
      <t>5 TIPO JEVITY NUTRICION ENTERAL , LIBRE DE GLUTEN SIN LACTOSA</t>
    </r>
  </si>
  <si>
    <r>
      <rPr>
        <b/>
        <u/>
        <sz val="10"/>
        <color theme="1"/>
        <rFont val="Arial"/>
        <family val="2"/>
      </rPr>
      <t xml:space="preserve">Descripción técnica Ítem N° </t>
    </r>
    <r>
      <rPr>
        <sz val="10"/>
        <color theme="1"/>
        <rFont val="Arial"/>
        <family val="2"/>
      </rPr>
      <t xml:space="preserve"> 6 TIPO GLUCERNA X 1 LITRO 1,0KCAL/ML LIBRE DE GLUTEN , SIN LACTOSA</t>
    </r>
  </si>
  <si>
    <r>
      <t xml:space="preserve">Descripción técnica Ítem N° </t>
    </r>
    <r>
      <rPr>
        <sz val="10"/>
        <color theme="1"/>
        <rFont val="Arial"/>
        <family val="2"/>
      </rPr>
      <t>7 EMULSION CON AMINOACIDOS , GLUCOSA ,LIPIDOS Y SALES TIPO SMOFKABIVEN CENTRAL X 1970 ML DE 2200 KCAL</t>
    </r>
  </si>
  <si>
    <r>
      <rPr>
        <b/>
        <u/>
        <sz val="10"/>
        <color theme="1"/>
        <rFont val="Arial"/>
        <family val="2"/>
      </rPr>
      <t xml:space="preserve">Descripción técnica Ítem N° </t>
    </r>
    <r>
      <rPr>
        <sz val="10"/>
        <color theme="1"/>
        <rFont val="Arial"/>
        <family val="2"/>
      </rPr>
      <t>9 TIPO TRAXAMIN</t>
    </r>
  </si>
  <si>
    <r>
      <t>Descripción técnica ítem N°</t>
    </r>
    <r>
      <rPr>
        <sz val="10"/>
        <color theme="1"/>
        <rFont val="Arial"/>
        <family val="2"/>
      </rPr>
      <t xml:space="preserve"> 14,15,16,17,18,19,20 DEBERAN CUMPLIR CON LA DISPOSICION ANMAT 11857/2017  SOLUCIONES PARENTERALES DE GRAN VOLUMEN</t>
    </r>
  </si>
  <si>
    <r>
      <t xml:space="preserve">a) </t>
    </r>
    <r>
      <rPr>
        <b/>
        <u/>
        <sz val="10"/>
        <color theme="1"/>
        <rFont val="Arial"/>
        <family val="2"/>
      </rPr>
      <t>LUGAR DE ENTREGA:</t>
    </r>
    <r>
      <rPr>
        <sz val="10"/>
        <color theme="1"/>
        <rFont val="Arial"/>
        <family val="2"/>
      </rPr>
      <t xml:space="preserve">   SERVICIO DE FARMACIA DE 08:00 A 13:00HS., HERNANDO DE PEDRAZA N° 1650- 
b) </t>
    </r>
    <r>
      <rPr>
        <b/>
        <u/>
        <sz val="10"/>
        <color theme="1"/>
        <rFont val="Arial"/>
        <family val="2"/>
      </rPr>
      <t>FORMA DE LA ENTREGA:</t>
    </r>
    <r>
      <rPr>
        <sz val="10"/>
        <color theme="1"/>
        <rFont val="Arial"/>
        <family val="2"/>
      </rPr>
      <t xml:space="preserve"> Libre de flete, acarreo y embalaje, como así también, de todo riesgo de pérdida o destrucción total o parcial, por causas ajenas a la Institución. 
c)  </t>
    </r>
    <r>
      <rPr>
        <b/>
        <u/>
        <sz val="10"/>
        <color theme="1"/>
        <rFont val="Arial"/>
        <family val="2"/>
      </rPr>
      <t>PLAZO DE ENTREGA:</t>
    </r>
    <r>
      <rPr>
        <sz val="10"/>
        <color theme="1"/>
        <rFont val="Arial"/>
        <family val="2"/>
      </rPr>
      <t xml:space="preserve"> El Oferente deberá establecer plazo de entrega de los elementos cotizados, debiendo ser expresado en días hábiles; que no podrá ser superior a diez (10) días hábiles, contados a partir de la recepción de la comunicación prevista en el Artículo 80 del Anexo I - Reglamento Parcial N° 2 de la ley 4938.                                                                                                      </t>
    </r>
  </si>
  <si>
    <r>
      <rPr>
        <b/>
        <sz val="10"/>
        <color theme="1"/>
        <rFont val="Arial"/>
        <family val="2"/>
      </rPr>
      <t>1-</t>
    </r>
    <r>
      <rPr>
        <sz val="10"/>
        <color theme="1"/>
        <rFont val="Arial"/>
        <family val="2"/>
      </rPr>
      <t>Para oferentes de la Provincia de Catamarca deberán presentar Habilitación Provincial para comercializar el producto que cotizan.</t>
    </r>
  </si>
  <si>
    <r>
      <rPr>
        <b/>
        <sz val="10"/>
        <color theme="1"/>
        <rFont val="Arial"/>
        <family val="2"/>
      </rPr>
      <t>2-</t>
    </r>
    <r>
      <rPr>
        <sz val="10"/>
        <color theme="1"/>
        <rFont val="Arial"/>
        <family val="2"/>
      </rPr>
      <t>Para el resto de oferentes deberán presentar Certificado de Inscripción de ANMAT vigente al momento de la oferta, el mismo deberá ser correspondiente al objeto de la contratación y de encontrarse vencido adjuntar la solicitud de renovación.</t>
    </r>
  </si>
  <si>
    <r>
      <rPr>
        <b/>
        <sz val="10"/>
        <color theme="1"/>
        <rFont val="Arial"/>
        <family val="2"/>
      </rPr>
      <t>3-</t>
    </r>
    <r>
      <rPr>
        <sz val="10"/>
        <color theme="1"/>
        <rFont val="Arial"/>
        <family val="2"/>
      </rPr>
      <t>No se aceptarán ofertas de productos no registrados y autorizada su venta por ANMAT. Se deberá especificar en cada ítem de la propuesta, marca y número de certificado otorgado por dicho ente regulador.</t>
    </r>
  </si>
  <si>
    <r>
      <rPr>
        <b/>
        <sz val="10"/>
        <color theme="1"/>
        <rFont val="Arial"/>
        <family val="2"/>
      </rPr>
      <t>4-</t>
    </r>
    <r>
      <rPr>
        <sz val="10"/>
        <color theme="1"/>
        <rFont val="Arial"/>
        <family val="2"/>
      </rPr>
      <t>Los productos deberán tener un vencimiento posterior a doce (12) meses a partir de la fecha de su recepción.</t>
    </r>
  </si>
  <si>
    <r>
      <rPr>
        <b/>
        <u/>
        <sz val="10"/>
        <color theme="1"/>
        <rFont val="Arial"/>
        <family val="2"/>
      </rPr>
      <t>Plazo de Mantenimiento de Oferta</t>
    </r>
    <r>
      <rPr>
        <sz val="10"/>
        <color theme="1"/>
        <rFont val="Arial"/>
        <family val="2"/>
      </rPr>
      <t>: 45 dias hábiles.</t>
    </r>
  </si>
  <si>
    <t>28- Maternidad Provincial 25 de Mayo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</si>
</sst>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\ * #,##0.00_-;\-&quot;$&quot;\ * #,##0.00_-;_-&quot;$&quot;\ * &quot;-&quot;??_-;_-@_-"/>
    <numFmt numFmtId="164" formatCode="_-&quot;$&quot;\ * #,##0.00_-;\-&quot;$&quot;\ * #,##0.00_-;_-&quot;$&quot;\ * &quot;-&quot;??_-;_-@"/>
    <numFmt numFmtId="165" formatCode="_-&quot;$&quot;* #,##0.00_-;\-&quot;$&quot;* #,##0.00_-;_-&quot;$&quot;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424242"/>
      <name val="Arial"/>
      <family val="2"/>
    </font>
    <font>
      <b/>
      <sz val="10"/>
      <color theme="1"/>
      <name val="Arial"/>
      <family val="2"/>
    </font>
    <font>
      <b/>
      <u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FFFF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FF"/>
      </left>
      <right/>
      <top style="thin">
        <color rgb="FF0000FF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/>
  </cellStyleXfs>
  <cellXfs count="87">
    <xf numFmtId="0" fontId="0" fillId="0" borderId="0" xfId="0"/>
    <xf numFmtId="0" fontId="3" fillId="2" borderId="1" xfId="2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165" fontId="3" fillId="2" borderId="1" xfId="2" applyNumberFormat="1" applyFont="1" applyFill="1" applyBorder="1" applyAlignment="1">
      <alignment horizontal="center" vertical="center" wrapText="1"/>
    </xf>
    <xf numFmtId="0" fontId="2" fillId="2" borderId="0" xfId="2" applyFill="1"/>
    <xf numFmtId="165" fontId="2" fillId="2" borderId="0" xfId="2" applyNumberFormat="1" applyFill="1"/>
    <xf numFmtId="0" fontId="2" fillId="2" borderId="0" xfId="2" applyFill="1" applyAlignment="1">
      <alignment horizontal="left" vertical="center"/>
    </xf>
    <xf numFmtId="0" fontId="4" fillId="2" borderId="0" xfId="2" applyFont="1" applyFill="1" applyAlignment="1">
      <alignment horizontal="left" wrapText="1"/>
    </xf>
    <xf numFmtId="0" fontId="4" fillId="2" borderId="0" xfId="2" applyFont="1" applyFill="1" applyAlignment="1">
      <alignment horizontal="center" wrapText="1"/>
    </xf>
    <xf numFmtId="0" fontId="3" fillId="2" borderId="0" xfId="2" applyFont="1" applyFill="1" applyAlignment="1">
      <alignment horizontal="left" wrapText="1"/>
    </xf>
    <xf numFmtId="0" fontId="4" fillId="2" borderId="0" xfId="2" applyFont="1" applyFill="1" applyAlignment="1">
      <alignment horizontal="left" vertical="center" wrapText="1"/>
    </xf>
    <xf numFmtId="0" fontId="2" fillId="2" borderId="1" xfId="2" applyFill="1" applyBorder="1" applyAlignment="1">
      <alignment horizontal="center" vertical="center"/>
    </xf>
    <xf numFmtId="0" fontId="2" fillId="2" borderId="1" xfId="2" applyFill="1" applyBorder="1" applyAlignment="1">
      <alignment horizontal="left" vertical="center"/>
    </xf>
    <xf numFmtId="3" fontId="2" fillId="0" borderId="1" xfId="2" applyNumberFormat="1" applyBorder="1" applyAlignment="1">
      <alignment horizontal="center" vertical="center"/>
    </xf>
    <xf numFmtId="3" fontId="2" fillId="2" borderId="1" xfId="2" applyNumberFormat="1" applyFill="1" applyBorder="1" applyAlignment="1">
      <alignment horizontal="center" vertical="center"/>
    </xf>
    <xf numFmtId="0" fontId="5" fillId="0" borderId="0" xfId="0" applyFont="1"/>
    <xf numFmtId="0" fontId="3" fillId="3" borderId="0" xfId="2" applyFont="1" applyFill="1" applyAlignment="1">
      <alignment horizontal="left" wrapText="1" inden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 wrapText="1"/>
    </xf>
    <xf numFmtId="164" fontId="5" fillId="2" borderId="3" xfId="0" applyNumberFormat="1" applyFont="1" applyFill="1" applyBorder="1" applyAlignment="1">
      <alignment horizontal="center" vertical="center"/>
    </xf>
    <xf numFmtId="165" fontId="5" fillId="3" borderId="1" xfId="1" applyNumberFormat="1" applyFont="1" applyFill="1" applyBorder="1" applyAlignment="1" applyProtection="1">
      <alignment horizontal="right" vertical="center" wrapText="1"/>
    </xf>
    <xf numFmtId="0" fontId="7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left" wrapText="1"/>
    </xf>
    <xf numFmtId="0" fontId="2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left" vertical="center" wrapText="1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164" fontId="5" fillId="4" borderId="3" xfId="0" applyNumberFormat="1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4" fontId="5" fillId="2" borderId="1" xfId="0" applyNumberFormat="1" applyFont="1" applyFill="1" applyBorder="1" applyAlignment="1">
      <alignment horizontal="center" vertical="center"/>
    </xf>
    <xf numFmtId="165" fontId="5" fillId="3" borderId="7" xfId="1" applyNumberFormat="1" applyFont="1" applyFill="1" applyBorder="1" applyAlignment="1" applyProtection="1">
      <alignment horizontal="right" vertical="center" wrapText="1"/>
    </xf>
    <xf numFmtId="0" fontId="5" fillId="2" borderId="0" xfId="0" applyFont="1" applyFill="1" applyAlignment="1">
      <alignment horizontal="left"/>
    </xf>
    <xf numFmtId="0" fontId="5" fillId="0" borderId="11" xfId="0" applyFont="1" applyBorder="1"/>
    <xf numFmtId="0" fontId="5" fillId="0" borderId="12" xfId="0" applyFont="1" applyBorder="1"/>
    <xf numFmtId="0" fontId="9" fillId="2" borderId="0" xfId="0" applyFont="1" applyFill="1" applyAlignment="1">
      <alignment horizontal="left"/>
    </xf>
    <xf numFmtId="0" fontId="5" fillId="0" borderId="0" xfId="0" applyFont="1" applyAlignment="1">
      <alignment wrapText="1"/>
    </xf>
    <xf numFmtId="0" fontId="2" fillId="2" borderId="0" xfId="2" applyFill="1" applyAlignment="1">
      <alignment wrapText="1"/>
    </xf>
    <xf numFmtId="0" fontId="5" fillId="0" borderId="5" xfId="0" applyFont="1" applyBorder="1" applyAlignment="1">
      <alignment horizontal="left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5" fillId="0" borderId="11" xfId="0" applyFont="1" applyBorder="1" applyAlignment="1">
      <alignment wrapText="1"/>
    </xf>
    <xf numFmtId="0" fontId="5" fillId="2" borderId="13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14" xfId="0" applyFont="1" applyFill="1" applyBorder="1" applyAlignment="1">
      <alignment horizontal="left" vertical="center" wrapText="1"/>
    </xf>
    <xf numFmtId="0" fontId="5" fillId="2" borderId="15" xfId="0" applyFont="1" applyFill="1" applyBorder="1" applyAlignment="1">
      <alignment horizontal="left" vertical="center"/>
    </xf>
    <xf numFmtId="0" fontId="5" fillId="2" borderId="16" xfId="0" applyFont="1" applyFill="1" applyBorder="1" applyAlignment="1">
      <alignment horizontal="left" vertical="center"/>
    </xf>
    <xf numFmtId="0" fontId="5" fillId="2" borderId="17" xfId="0" applyFont="1" applyFill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5" fillId="0" borderId="18" xfId="0" applyFont="1" applyBorder="1" applyAlignment="1">
      <alignment horizontal="left" vertical="center"/>
    </xf>
    <xf numFmtId="0" fontId="5" fillId="0" borderId="9" xfId="0" applyFont="1" applyBorder="1" applyAlignment="1">
      <alignment horizontal="left" vertical="center"/>
    </xf>
    <xf numFmtId="0" fontId="9" fillId="2" borderId="15" xfId="0" applyFont="1" applyFill="1" applyBorder="1" applyAlignment="1">
      <alignment horizontal="left"/>
    </xf>
    <xf numFmtId="0" fontId="5" fillId="2" borderId="16" xfId="0" applyFont="1" applyFill="1" applyBorder="1" applyAlignment="1">
      <alignment horizontal="left"/>
    </xf>
    <xf numFmtId="0" fontId="5" fillId="2" borderId="17" xfId="0" applyFont="1" applyFill="1" applyBorder="1" applyAlignment="1">
      <alignment horizontal="left"/>
    </xf>
    <xf numFmtId="0" fontId="5" fillId="2" borderId="13" xfId="0" applyFont="1" applyFill="1" applyBorder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0" fontId="5" fillId="2" borderId="14" xfId="0" applyFont="1" applyFill="1" applyBorder="1" applyAlignment="1">
      <alignment horizontal="left" vertical="center"/>
    </xf>
    <xf numFmtId="0" fontId="5" fillId="2" borderId="13" xfId="0" applyFont="1" applyFill="1" applyBorder="1" applyAlignment="1">
      <alignment horizontal="left" wrapText="1"/>
    </xf>
    <xf numFmtId="0" fontId="5" fillId="2" borderId="0" xfId="0" applyFont="1" applyFill="1" applyAlignment="1">
      <alignment horizontal="left" wrapText="1"/>
    </xf>
    <xf numFmtId="0" fontId="5" fillId="2" borderId="14" xfId="0" applyFont="1" applyFill="1" applyBorder="1" applyAlignment="1">
      <alignment horizontal="left" wrapText="1"/>
    </xf>
    <xf numFmtId="0" fontId="9" fillId="2" borderId="13" xfId="0" applyFont="1" applyFill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5" fillId="0" borderId="17" xfId="0" applyFont="1" applyBorder="1" applyAlignment="1">
      <alignment horizontal="left" vertical="center" wrapText="1"/>
    </xf>
    <xf numFmtId="0" fontId="9" fillId="2" borderId="10" xfId="0" applyFont="1" applyFill="1" applyBorder="1" applyAlignment="1">
      <alignment horizontal="left" vertical="center"/>
    </xf>
    <xf numFmtId="0" fontId="9" fillId="2" borderId="11" xfId="0" applyFont="1" applyFill="1" applyBorder="1" applyAlignment="1">
      <alignment horizontal="left" vertical="center"/>
    </xf>
    <xf numFmtId="0" fontId="9" fillId="2" borderId="12" xfId="0" applyFont="1" applyFill="1" applyBorder="1" applyAlignment="1">
      <alignment horizontal="left" vertical="center"/>
    </xf>
    <xf numFmtId="0" fontId="5" fillId="2" borderId="10" xfId="0" applyFont="1" applyFill="1" applyBorder="1" applyAlignment="1">
      <alignment horizontal="left"/>
    </xf>
    <xf numFmtId="0" fontId="5" fillId="2" borderId="11" xfId="0" applyFont="1" applyFill="1" applyBorder="1" applyAlignment="1">
      <alignment horizontal="left"/>
    </xf>
    <xf numFmtId="0" fontId="5" fillId="2" borderId="12" xfId="0" applyFont="1" applyFill="1" applyBorder="1" applyAlignment="1">
      <alignment horizontal="left"/>
    </xf>
    <xf numFmtId="0" fontId="3" fillId="2" borderId="0" xfId="2" applyFont="1" applyFill="1" applyAlignment="1">
      <alignment horizontal="left" vertical="center" wrapText="1"/>
    </xf>
    <xf numFmtId="0" fontId="3" fillId="3" borderId="0" xfId="2" applyFont="1" applyFill="1" applyAlignment="1">
      <alignment horizontal="left" wrapText="1" indent="1"/>
    </xf>
    <xf numFmtId="0" fontId="9" fillId="0" borderId="10" xfId="0" applyFont="1" applyBorder="1" applyAlignment="1">
      <alignment horizontal="left" vertical="center"/>
    </xf>
    <xf numFmtId="0" fontId="9" fillId="0" borderId="11" xfId="0" applyFont="1" applyBorder="1" applyAlignment="1">
      <alignment horizontal="left" vertical="center"/>
    </xf>
    <xf numFmtId="0" fontId="6" fillId="2" borderId="8" xfId="2" applyFont="1" applyFill="1" applyBorder="1" applyAlignment="1">
      <alignment horizontal="center"/>
    </xf>
    <xf numFmtId="0" fontId="6" fillId="2" borderId="18" xfId="2" applyFont="1" applyFill="1" applyBorder="1" applyAlignment="1">
      <alignment horizontal="center"/>
    </xf>
    <xf numFmtId="0" fontId="6" fillId="2" borderId="9" xfId="2" applyFont="1" applyFill="1" applyBorder="1" applyAlignment="1">
      <alignment horizontal="center"/>
    </xf>
    <xf numFmtId="165" fontId="5" fillId="2" borderId="6" xfId="0" applyNumberFormat="1" applyFont="1" applyFill="1" applyBorder="1"/>
  </cellXfs>
  <cellStyles count="3">
    <cellStyle name="Moneda" xfId="1" builtinId="4"/>
    <cellStyle name="Normal" xfId="0" builtinId="0"/>
    <cellStyle name="Normal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9"/>
  <sheetViews>
    <sheetView tabSelected="1" topLeftCell="A33" workbookViewId="0">
      <selection activeCell="I36" sqref="I36"/>
    </sheetView>
  </sheetViews>
  <sheetFormatPr baseColWidth="10" defaultRowHeight="12.75" x14ac:dyDescent="0.2"/>
  <cols>
    <col min="1" max="1" width="4.5703125" style="15" customWidth="1"/>
    <col min="2" max="2" width="14" style="15" customWidth="1"/>
    <col min="3" max="3" width="37.140625" style="15" customWidth="1"/>
    <col min="4" max="4" width="8.42578125" style="15" customWidth="1"/>
    <col min="5" max="5" width="74" style="43" customWidth="1"/>
    <col min="6" max="6" width="14.7109375" style="15" bestFit="1" customWidth="1"/>
    <col min="7" max="7" width="10.5703125" style="15" bestFit="1" customWidth="1"/>
    <col min="8" max="8" width="13.28515625" style="15" bestFit="1" customWidth="1"/>
    <col min="9" max="9" width="18.42578125" style="15" customWidth="1"/>
    <col min="10" max="16384" width="11.42578125" style="15"/>
  </cols>
  <sheetData>
    <row r="1" spans="1:9" ht="13.5" thickBot="1" x14ac:dyDescent="0.25"/>
    <row r="2" spans="1:9" ht="13.5" thickBot="1" x14ac:dyDescent="0.25">
      <c r="A2" s="4"/>
      <c r="B2" s="83" t="s">
        <v>5</v>
      </c>
      <c r="C2" s="84"/>
      <c r="D2" s="84"/>
      <c r="E2" s="84"/>
      <c r="F2" s="84"/>
      <c r="G2" s="84"/>
      <c r="H2" s="85"/>
      <c r="I2" s="5"/>
    </row>
    <row r="3" spans="1:9" x14ac:dyDescent="0.2">
      <c r="A3" s="4"/>
      <c r="B3" s="6"/>
      <c r="C3" s="4"/>
      <c r="D3" s="4"/>
      <c r="E3" s="44"/>
      <c r="F3" s="4"/>
      <c r="G3" s="4"/>
      <c r="H3" s="4"/>
      <c r="I3" s="5"/>
    </row>
    <row r="4" spans="1:9" x14ac:dyDescent="0.2">
      <c r="A4" s="79" t="s">
        <v>0</v>
      </c>
      <c r="B4" s="79"/>
      <c r="C4" s="80" t="s">
        <v>33</v>
      </c>
      <c r="D4" s="80"/>
      <c r="E4" s="80"/>
      <c r="F4" s="7"/>
      <c r="G4" s="8"/>
      <c r="H4" s="7"/>
      <c r="I4" s="5"/>
    </row>
    <row r="5" spans="1:9" x14ac:dyDescent="0.2">
      <c r="A5" s="79" t="s">
        <v>1</v>
      </c>
      <c r="B5" s="79"/>
      <c r="C5" s="80" t="s">
        <v>88</v>
      </c>
      <c r="D5" s="80"/>
      <c r="E5" s="80"/>
      <c r="F5" s="7"/>
      <c r="G5" s="8"/>
      <c r="H5" s="7"/>
      <c r="I5" s="5"/>
    </row>
    <row r="6" spans="1:9" x14ac:dyDescent="0.2">
      <c r="A6" s="79" t="s">
        <v>2</v>
      </c>
      <c r="B6" s="79"/>
      <c r="C6" s="16">
        <v>2023</v>
      </c>
      <c r="D6" s="9"/>
      <c r="E6" s="9"/>
      <c r="F6" s="7"/>
      <c r="G6" s="8"/>
      <c r="H6" s="7"/>
      <c r="I6" s="5"/>
    </row>
    <row r="7" spans="1:9" x14ac:dyDescent="0.2">
      <c r="A7" s="79" t="s">
        <v>3</v>
      </c>
      <c r="B7" s="79"/>
      <c r="C7" s="16">
        <v>1</v>
      </c>
      <c r="D7" s="9"/>
      <c r="E7" s="9"/>
      <c r="F7" s="7"/>
      <c r="G7" s="8"/>
      <c r="H7" s="7"/>
      <c r="I7" s="5"/>
    </row>
    <row r="8" spans="1:9" x14ac:dyDescent="0.2">
      <c r="A8" s="4"/>
      <c r="B8" s="10"/>
      <c r="C8" s="8"/>
      <c r="D8" s="7"/>
      <c r="E8" s="7"/>
      <c r="F8" s="7"/>
      <c r="G8" s="8"/>
      <c r="H8" s="7"/>
      <c r="I8" s="5"/>
    </row>
    <row r="9" spans="1:9" ht="38.25" x14ac:dyDescent="0.2">
      <c r="A9" s="1" t="s">
        <v>4</v>
      </c>
      <c r="B9" s="1" t="s">
        <v>6</v>
      </c>
      <c r="C9" s="1" t="s">
        <v>34</v>
      </c>
      <c r="D9" s="1" t="s">
        <v>36</v>
      </c>
      <c r="E9" s="1" t="s">
        <v>37</v>
      </c>
      <c r="F9" s="1" t="s">
        <v>64</v>
      </c>
      <c r="G9" s="1" t="s">
        <v>72</v>
      </c>
      <c r="H9" s="1" t="s">
        <v>73</v>
      </c>
      <c r="I9" s="3" t="s">
        <v>74</v>
      </c>
    </row>
    <row r="10" spans="1:9" ht="25.5" x14ac:dyDescent="0.2">
      <c r="A10" s="11">
        <v>1</v>
      </c>
      <c r="B10" s="17" t="s">
        <v>7</v>
      </c>
      <c r="C10" s="12" t="s">
        <v>35</v>
      </c>
      <c r="D10" s="18">
        <v>252</v>
      </c>
      <c r="E10" s="19" t="s">
        <v>38</v>
      </c>
      <c r="F10" s="20" t="s">
        <v>65</v>
      </c>
      <c r="G10" s="13">
        <v>60</v>
      </c>
      <c r="H10" s="21">
        <v>560</v>
      </c>
      <c r="I10" s="22">
        <f>+G10*H10</f>
        <v>33600</v>
      </c>
    </row>
    <row r="11" spans="1:9" ht="25.5" x14ac:dyDescent="0.2">
      <c r="A11" s="11">
        <v>2</v>
      </c>
      <c r="B11" s="23" t="s">
        <v>8</v>
      </c>
      <c r="C11" s="12" t="s">
        <v>35</v>
      </c>
      <c r="D11" s="18">
        <v>252</v>
      </c>
      <c r="E11" s="19" t="s">
        <v>39</v>
      </c>
      <c r="F11" s="20" t="s">
        <v>66</v>
      </c>
      <c r="G11" s="13">
        <v>9000</v>
      </c>
      <c r="H11" s="21">
        <v>45</v>
      </c>
      <c r="I11" s="22">
        <f t="shared" ref="I11:I35" si="0">+G11*H11</f>
        <v>405000</v>
      </c>
    </row>
    <row r="12" spans="1:9" ht="25.5" x14ac:dyDescent="0.2">
      <c r="A12" s="11">
        <v>3</v>
      </c>
      <c r="B12" s="24" t="s">
        <v>9</v>
      </c>
      <c r="C12" s="12" t="s">
        <v>35</v>
      </c>
      <c r="D12" s="18">
        <v>252</v>
      </c>
      <c r="E12" s="19" t="s">
        <v>40</v>
      </c>
      <c r="F12" s="20" t="s">
        <v>65</v>
      </c>
      <c r="G12" s="13">
        <v>1200</v>
      </c>
      <c r="H12" s="21">
        <v>212</v>
      </c>
      <c r="I12" s="22">
        <f t="shared" si="0"/>
        <v>254400</v>
      </c>
    </row>
    <row r="13" spans="1:9" ht="25.5" x14ac:dyDescent="0.2">
      <c r="A13" s="11">
        <v>4</v>
      </c>
      <c r="B13" s="25" t="s">
        <v>10</v>
      </c>
      <c r="C13" s="12" t="s">
        <v>35</v>
      </c>
      <c r="D13" s="26">
        <v>252</v>
      </c>
      <c r="E13" s="27" t="s">
        <v>41</v>
      </c>
      <c r="F13" s="28" t="s">
        <v>65</v>
      </c>
      <c r="G13" s="14">
        <v>200</v>
      </c>
      <c r="H13" s="21">
        <v>3600</v>
      </c>
      <c r="I13" s="22">
        <f t="shared" si="0"/>
        <v>720000</v>
      </c>
    </row>
    <row r="14" spans="1:9" ht="38.25" x14ac:dyDescent="0.2">
      <c r="A14" s="11">
        <v>5</v>
      </c>
      <c r="B14" s="23" t="s">
        <v>11</v>
      </c>
      <c r="C14" s="12" t="s">
        <v>35</v>
      </c>
      <c r="D14" s="18">
        <v>252</v>
      </c>
      <c r="E14" s="29" t="s">
        <v>42</v>
      </c>
      <c r="F14" s="20" t="s">
        <v>67</v>
      </c>
      <c r="G14" s="13">
        <v>6</v>
      </c>
      <c r="H14" s="21">
        <v>2800</v>
      </c>
      <c r="I14" s="22">
        <f t="shared" si="0"/>
        <v>16800</v>
      </c>
    </row>
    <row r="15" spans="1:9" ht="38.25" x14ac:dyDescent="0.2">
      <c r="A15" s="11">
        <v>6</v>
      </c>
      <c r="B15" s="23" t="s">
        <v>12</v>
      </c>
      <c r="C15" s="12" t="s">
        <v>35</v>
      </c>
      <c r="D15" s="18">
        <v>252</v>
      </c>
      <c r="E15" s="29" t="s">
        <v>43</v>
      </c>
      <c r="F15" s="20" t="s">
        <v>68</v>
      </c>
      <c r="G15" s="13">
        <v>6</v>
      </c>
      <c r="H15" s="21">
        <v>3200</v>
      </c>
      <c r="I15" s="22">
        <f t="shared" si="0"/>
        <v>19200</v>
      </c>
    </row>
    <row r="16" spans="1:9" ht="25.5" x14ac:dyDescent="0.2">
      <c r="A16" s="11">
        <v>7</v>
      </c>
      <c r="B16" s="30" t="s">
        <v>13</v>
      </c>
      <c r="C16" s="12" t="s">
        <v>35</v>
      </c>
      <c r="D16" s="18">
        <v>252</v>
      </c>
      <c r="E16" s="31" t="s">
        <v>44</v>
      </c>
      <c r="F16" s="20" t="s">
        <v>69</v>
      </c>
      <c r="G16" s="13">
        <v>8</v>
      </c>
      <c r="H16" s="21">
        <v>14800</v>
      </c>
      <c r="I16" s="22">
        <f t="shared" si="0"/>
        <v>118400</v>
      </c>
    </row>
    <row r="17" spans="1:9" ht="38.25" x14ac:dyDescent="0.2">
      <c r="A17" s="11">
        <v>8</v>
      </c>
      <c r="B17" s="30" t="s">
        <v>14</v>
      </c>
      <c r="C17" s="12" t="s">
        <v>35</v>
      </c>
      <c r="D17" s="18">
        <v>252</v>
      </c>
      <c r="E17" s="32" t="s">
        <v>45</v>
      </c>
      <c r="F17" s="30" t="s">
        <v>67</v>
      </c>
      <c r="G17" s="13">
        <v>400</v>
      </c>
      <c r="H17" s="33">
        <v>9800</v>
      </c>
      <c r="I17" s="22">
        <f t="shared" si="0"/>
        <v>3920000</v>
      </c>
    </row>
    <row r="18" spans="1:9" ht="25.5" x14ac:dyDescent="0.2">
      <c r="A18" s="11">
        <v>9</v>
      </c>
      <c r="B18" s="34" t="s">
        <v>15</v>
      </c>
      <c r="C18" s="12" t="s">
        <v>35</v>
      </c>
      <c r="D18" s="26">
        <v>252</v>
      </c>
      <c r="E18" s="29" t="s">
        <v>46</v>
      </c>
      <c r="F18" s="34" t="s">
        <v>70</v>
      </c>
      <c r="G18" s="14">
        <v>60</v>
      </c>
      <c r="H18" s="21">
        <v>8840</v>
      </c>
      <c r="I18" s="22">
        <f t="shared" si="0"/>
        <v>530400</v>
      </c>
    </row>
    <row r="19" spans="1:9" ht="25.5" x14ac:dyDescent="0.2">
      <c r="A19" s="11">
        <v>10</v>
      </c>
      <c r="B19" s="30" t="s">
        <v>16</v>
      </c>
      <c r="C19" s="12" t="s">
        <v>35</v>
      </c>
      <c r="D19" s="18">
        <v>252</v>
      </c>
      <c r="E19" s="19" t="s">
        <v>47</v>
      </c>
      <c r="F19" s="20" t="s">
        <v>65</v>
      </c>
      <c r="G19" s="13">
        <v>40</v>
      </c>
      <c r="H19" s="21">
        <v>388</v>
      </c>
      <c r="I19" s="22">
        <f t="shared" si="0"/>
        <v>15520</v>
      </c>
    </row>
    <row r="20" spans="1:9" ht="25.5" x14ac:dyDescent="0.2">
      <c r="A20" s="11">
        <v>11</v>
      </c>
      <c r="B20" s="30" t="s">
        <v>17</v>
      </c>
      <c r="C20" s="12" t="s">
        <v>35</v>
      </c>
      <c r="D20" s="18">
        <v>252</v>
      </c>
      <c r="E20" s="19" t="s">
        <v>48</v>
      </c>
      <c r="F20" s="20" t="s">
        <v>66</v>
      </c>
      <c r="G20" s="13">
        <v>700</v>
      </c>
      <c r="H20" s="33">
        <v>45</v>
      </c>
      <c r="I20" s="22">
        <f t="shared" si="0"/>
        <v>31500</v>
      </c>
    </row>
    <row r="21" spans="1:9" ht="25.5" x14ac:dyDescent="0.2">
      <c r="A21" s="11">
        <v>12</v>
      </c>
      <c r="B21" s="23" t="s">
        <v>18</v>
      </c>
      <c r="C21" s="12" t="s">
        <v>35</v>
      </c>
      <c r="D21" s="18">
        <v>252</v>
      </c>
      <c r="E21" s="19" t="s">
        <v>49</v>
      </c>
      <c r="F21" s="20" t="s">
        <v>66</v>
      </c>
      <c r="G21" s="13">
        <v>300</v>
      </c>
      <c r="H21" s="33">
        <v>77.8</v>
      </c>
      <c r="I21" s="22">
        <f t="shared" si="0"/>
        <v>23340</v>
      </c>
    </row>
    <row r="22" spans="1:9" ht="38.25" x14ac:dyDescent="0.2">
      <c r="A22" s="11">
        <v>13</v>
      </c>
      <c r="B22" s="30" t="s">
        <v>19</v>
      </c>
      <c r="C22" s="12" t="s">
        <v>35</v>
      </c>
      <c r="D22" s="18">
        <v>252</v>
      </c>
      <c r="E22" s="19" t="s">
        <v>50</v>
      </c>
      <c r="F22" s="20" t="s">
        <v>66</v>
      </c>
      <c r="G22" s="13">
        <v>400</v>
      </c>
      <c r="H22" s="21">
        <v>88.5</v>
      </c>
      <c r="I22" s="22">
        <f t="shared" si="0"/>
        <v>35400</v>
      </c>
    </row>
    <row r="23" spans="1:9" ht="25.5" x14ac:dyDescent="0.2">
      <c r="A23" s="11">
        <v>14</v>
      </c>
      <c r="B23" s="30" t="s">
        <v>20</v>
      </c>
      <c r="C23" s="12" t="s">
        <v>35</v>
      </c>
      <c r="D23" s="18">
        <v>252</v>
      </c>
      <c r="E23" s="19" t="s">
        <v>51</v>
      </c>
      <c r="F23" s="20" t="s">
        <v>65</v>
      </c>
      <c r="G23" s="13">
        <v>50</v>
      </c>
      <c r="H23" s="21">
        <v>303</v>
      </c>
      <c r="I23" s="22">
        <f t="shared" si="0"/>
        <v>15150</v>
      </c>
    </row>
    <row r="24" spans="1:9" ht="25.5" x14ac:dyDescent="0.2">
      <c r="A24" s="11">
        <v>15</v>
      </c>
      <c r="B24" s="30" t="s">
        <v>21</v>
      </c>
      <c r="C24" s="12" t="s">
        <v>35</v>
      </c>
      <c r="D24" s="18">
        <v>252</v>
      </c>
      <c r="E24" s="19" t="s">
        <v>52</v>
      </c>
      <c r="F24" s="20" t="s">
        <v>65</v>
      </c>
      <c r="G24" s="13">
        <v>2500</v>
      </c>
      <c r="H24" s="21">
        <v>145</v>
      </c>
      <c r="I24" s="22">
        <f t="shared" si="0"/>
        <v>362500</v>
      </c>
    </row>
    <row r="25" spans="1:9" ht="25.5" x14ac:dyDescent="0.2">
      <c r="A25" s="11">
        <v>16</v>
      </c>
      <c r="B25" s="30" t="s">
        <v>22</v>
      </c>
      <c r="C25" s="12" t="s">
        <v>35</v>
      </c>
      <c r="D25" s="18">
        <v>252</v>
      </c>
      <c r="E25" s="19" t="s">
        <v>53</v>
      </c>
      <c r="F25" s="20" t="s">
        <v>65</v>
      </c>
      <c r="G25" s="13">
        <v>1200</v>
      </c>
      <c r="H25" s="21">
        <v>164.23</v>
      </c>
      <c r="I25" s="22">
        <f t="shared" si="0"/>
        <v>197076</v>
      </c>
    </row>
    <row r="26" spans="1:9" ht="25.5" x14ac:dyDescent="0.2">
      <c r="A26" s="11">
        <v>17</v>
      </c>
      <c r="B26" s="30" t="s">
        <v>23</v>
      </c>
      <c r="C26" s="12" t="s">
        <v>35</v>
      </c>
      <c r="D26" s="18">
        <v>252</v>
      </c>
      <c r="E26" s="19" t="s">
        <v>54</v>
      </c>
      <c r="F26" s="20" t="s">
        <v>65</v>
      </c>
      <c r="G26" s="13">
        <v>300</v>
      </c>
      <c r="H26" s="33">
        <v>275</v>
      </c>
      <c r="I26" s="22">
        <f t="shared" si="0"/>
        <v>82500</v>
      </c>
    </row>
    <row r="27" spans="1:9" ht="25.5" x14ac:dyDescent="0.2">
      <c r="A27" s="11">
        <v>18</v>
      </c>
      <c r="B27" s="30" t="s">
        <v>24</v>
      </c>
      <c r="C27" s="12" t="s">
        <v>35</v>
      </c>
      <c r="D27" s="18">
        <v>252</v>
      </c>
      <c r="E27" s="19" t="s">
        <v>55</v>
      </c>
      <c r="F27" s="20" t="s">
        <v>65</v>
      </c>
      <c r="G27" s="13">
        <v>5500</v>
      </c>
      <c r="H27" s="21">
        <v>228.37</v>
      </c>
      <c r="I27" s="22">
        <f t="shared" si="0"/>
        <v>1256035</v>
      </c>
    </row>
    <row r="28" spans="1:9" ht="25.5" x14ac:dyDescent="0.2">
      <c r="A28" s="11">
        <v>19</v>
      </c>
      <c r="B28" s="20" t="s">
        <v>25</v>
      </c>
      <c r="C28" s="12" t="s">
        <v>35</v>
      </c>
      <c r="D28" s="18">
        <v>252</v>
      </c>
      <c r="E28" s="31" t="s">
        <v>56</v>
      </c>
      <c r="F28" s="20" t="s">
        <v>65</v>
      </c>
      <c r="G28" s="13">
        <v>8400</v>
      </c>
      <c r="H28" s="21">
        <v>198.5</v>
      </c>
      <c r="I28" s="22">
        <f t="shared" si="0"/>
        <v>1667400</v>
      </c>
    </row>
    <row r="29" spans="1:9" ht="25.5" x14ac:dyDescent="0.2">
      <c r="A29" s="11">
        <v>20</v>
      </c>
      <c r="B29" s="30" t="s">
        <v>26</v>
      </c>
      <c r="C29" s="12" t="s">
        <v>35</v>
      </c>
      <c r="D29" s="18">
        <v>252</v>
      </c>
      <c r="E29" s="45" t="s">
        <v>57</v>
      </c>
      <c r="F29" s="20" t="s">
        <v>65</v>
      </c>
      <c r="G29" s="13">
        <v>200</v>
      </c>
      <c r="H29" s="21">
        <v>186</v>
      </c>
      <c r="I29" s="22">
        <f t="shared" si="0"/>
        <v>37200</v>
      </c>
    </row>
    <row r="30" spans="1:9" ht="25.5" x14ac:dyDescent="0.2">
      <c r="A30" s="11">
        <v>21</v>
      </c>
      <c r="B30" s="30" t="s">
        <v>27</v>
      </c>
      <c r="C30" s="12" t="s">
        <v>35</v>
      </c>
      <c r="D30" s="18">
        <v>252</v>
      </c>
      <c r="E30" s="19" t="s">
        <v>58</v>
      </c>
      <c r="F30" s="20" t="s">
        <v>66</v>
      </c>
      <c r="G30" s="13">
        <v>6000</v>
      </c>
      <c r="H30" s="33">
        <v>46</v>
      </c>
      <c r="I30" s="22">
        <f t="shared" si="0"/>
        <v>276000</v>
      </c>
    </row>
    <row r="31" spans="1:9" ht="25.5" x14ac:dyDescent="0.2">
      <c r="A31" s="11">
        <v>22</v>
      </c>
      <c r="B31" s="25" t="s">
        <v>28</v>
      </c>
      <c r="C31" s="12" t="s">
        <v>35</v>
      </c>
      <c r="D31" s="26">
        <v>252</v>
      </c>
      <c r="E31" s="29" t="s">
        <v>59</v>
      </c>
      <c r="F31" s="34" t="s">
        <v>66</v>
      </c>
      <c r="G31" s="14">
        <v>1200</v>
      </c>
      <c r="H31" s="33">
        <v>70.25</v>
      </c>
      <c r="I31" s="22">
        <f t="shared" si="0"/>
        <v>84300</v>
      </c>
    </row>
    <row r="32" spans="1:9" ht="25.5" x14ac:dyDescent="0.2">
      <c r="A32" s="11">
        <v>23</v>
      </c>
      <c r="B32" s="35" t="s">
        <v>29</v>
      </c>
      <c r="C32" s="12" t="s">
        <v>35</v>
      </c>
      <c r="D32" s="26">
        <v>252</v>
      </c>
      <c r="E32" s="46" t="s">
        <v>60</v>
      </c>
      <c r="F32" s="34" t="s">
        <v>65</v>
      </c>
      <c r="G32" s="14">
        <v>40</v>
      </c>
      <c r="H32" s="21">
        <v>517</v>
      </c>
      <c r="I32" s="22">
        <f t="shared" si="0"/>
        <v>20680</v>
      </c>
    </row>
    <row r="33" spans="1:9" ht="25.5" x14ac:dyDescent="0.2">
      <c r="A33" s="11">
        <v>24</v>
      </c>
      <c r="B33" s="30" t="s">
        <v>30</v>
      </c>
      <c r="C33" s="12" t="s">
        <v>35</v>
      </c>
      <c r="D33" s="18">
        <v>252</v>
      </c>
      <c r="E33" s="19" t="s">
        <v>61</v>
      </c>
      <c r="F33" s="30" t="s">
        <v>65</v>
      </c>
      <c r="G33" s="13">
        <v>240</v>
      </c>
      <c r="H33" s="21">
        <v>275.2</v>
      </c>
      <c r="I33" s="22">
        <f t="shared" si="0"/>
        <v>66048</v>
      </c>
    </row>
    <row r="34" spans="1:9" ht="25.5" x14ac:dyDescent="0.2">
      <c r="A34" s="11">
        <v>25</v>
      </c>
      <c r="B34" s="24" t="s">
        <v>31</v>
      </c>
      <c r="C34" s="12" t="s">
        <v>35</v>
      </c>
      <c r="D34" s="18">
        <v>252</v>
      </c>
      <c r="E34" s="19" t="s">
        <v>62</v>
      </c>
      <c r="F34" s="20" t="s">
        <v>66</v>
      </c>
      <c r="G34" s="13">
        <v>3000</v>
      </c>
      <c r="H34" s="33">
        <v>42.5</v>
      </c>
      <c r="I34" s="22">
        <f t="shared" si="0"/>
        <v>127500</v>
      </c>
    </row>
    <row r="35" spans="1:9" ht="26.25" thickBot="1" x14ac:dyDescent="0.25">
      <c r="A35" s="11">
        <v>26</v>
      </c>
      <c r="B35" s="36" t="s">
        <v>32</v>
      </c>
      <c r="C35" s="12" t="s">
        <v>35</v>
      </c>
      <c r="D35" s="18">
        <v>252</v>
      </c>
      <c r="E35" s="2" t="s">
        <v>63</v>
      </c>
      <c r="F35" s="18" t="s">
        <v>71</v>
      </c>
      <c r="G35" s="13">
        <v>24</v>
      </c>
      <c r="H35" s="37">
        <v>12110</v>
      </c>
      <c r="I35" s="38">
        <f t="shared" si="0"/>
        <v>290640</v>
      </c>
    </row>
    <row r="36" spans="1:9" ht="13.5" thickBot="1" x14ac:dyDescent="0.25">
      <c r="I36" s="86">
        <f>SUM(I10:I35)</f>
        <v>10606589</v>
      </c>
    </row>
    <row r="37" spans="1:9" ht="13.5" thickBot="1" x14ac:dyDescent="0.25"/>
    <row r="38" spans="1:9" x14ac:dyDescent="0.2">
      <c r="B38" s="76" t="s">
        <v>77</v>
      </c>
      <c r="C38" s="77"/>
      <c r="D38" s="77"/>
      <c r="E38" s="77"/>
      <c r="F38" s="77"/>
      <c r="G38" s="77"/>
      <c r="H38" s="78"/>
    </row>
    <row r="39" spans="1:9" x14ac:dyDescent="0.2">
      <c r="B39" s="63" t="s">
        <v>78</v>
      </c>
      <c r="C39" s="64"/>
      <c r="D39" s="64"/>
      <c r="E39" s="64"/>
      <c r="F39" s="64"/>
      <c r="G39" s="64"/>
      <c r="H39" s="65"/>
    </row>
    <row r="40" spans="1:9" x14ac:dyDescent="0.2">
      <c r="B40" s="66" t="s">
        <v>79</v>
      </c>
      <c r="C40" s="49"/>
      <c r="D40" s="49"/>
      <c r="E40" s="49"/>
      <c r="F40" s="49"/>
      <c r="G40" s="49"/>
      <c r="H40" s="50"/>
    </row>
    <row r="41" spans="1:9" x14ac:dyDescent="0.2">
      <c r="B41" s="48"/>
      <c r="C41" s="49"/>
      <c r="D41" s="49"/>
      <c r="E41" s="49"/>
      <c r="F41" s="49"/>
      <c r="G41" s="49"/>
      <c r="H41" s="50"/>
    </row>
    <row r="42" spans="1:9" x14ac:dyDescent="0.2">
      <c r="B42" s="63" t="s">
        <v>80</v>
      </c>
      <c r="C42" s="64"/>
      <c r="D42" s="64"/>
      <c r="E42" s="64"/>
      <c r="F42" s="64"/>
      <c r="G42" s="64"/>
      <c r="H42" s="65"/>
    </row>
    <row r="43" spans="1:9" ht="21" customHeight="1" thickBot="1" x14ac:dyDescent="0.25">
      <c r="B43" s="57" t="s">
        <v>81</v>
      </c>
      <c r="C43" s="58"/>
      <c r="D43" s="58"/>
      <c r="E43" s="58"/>
      <c r="F43" s="58"/>
      <c r="G43" s="58"/>
      <c r="H43" s="59"/>
    </row>
    <row r="44" spans="1:9" ht="13.5" thickBot="1" x14ac:dyDescent="0.25">
      <c r="B44" s="42"/>
      <c r="C44" s="39"/>
      <c r="D44" s="39"/>
      <c r="E44" s="27"/>
      <c r="F44" s="39"/>
      <c r="G44" s="39"/>
      <c r="H44" s="39"/>
    </row>
    <row r="45" spans="1:9" x14ac:dyDescent="0.2">
      <c r="B45" s="81" t="s">
        <v>75</v>
      </c>
      <c r="C45" s="82"/>
      <c r="D45" s="40"/>
      <c r="E45" s="47"/>
      <c r="F45" s="40"/>
      <c r="G45" s="40"/>
      <c r="H45" s="41"/>
    </row>
    <row r="46" spans="1:9" x14ac:dyDescent="0.2">
      <c r="B46" s="67" t="s">
        <v>82</v>
      </c>
      <c r="C46" s="68"/>
      <c r="D46" s="68"/>
      <c r="E46" s="68"/>
      <c r="F46" s="68"/>
      <c r="G46" s="68"/>
      <c r="H46" s="69"/>
    </row>
    <row r="47" spans="1:9" x14ac:dyDescent="0.2">
      <c r="B47" s="67"/>
      <c r="C47" s="68"/>
      <c r="D47" s="68"/>
      <c r="E47" s="68"/>
      <c r="F47" s="68"/>
      <c r="G47" s="68"/>
      <c r="H47" s="69"/>
    </row>
    <row r="48" spans="1:9" x14ac:dyDescent="0.2">
      <c r="B48" s="67"/>
      <c r="C48" s="68"/>
      <c r="D48" s="68"/>
      <c r="E48" s="68"/>
      <c r="F48" s="68"/>
      <c r="G48" s="68"/>
      <c r="H48" s="69"/>
    </row>
    <row r="49" spans="2:8" x14ac:dyDescent="0.2">
      <c r="B49" s="67"/>
      <c r="C49" s="68"/>
      <c r="D49" s="68"/>
      <c r="E49" s="68"/>
      <c r="F49" s="68"/>
      <c r="G49" s="68"/>
      <c r="H49" s="69"/>
    </row>
    <row r="50" spans="2:8" x14ac:dyDescent="0.2">
      <c r="B50" s="67"/>
      <c r="C50" s="68"/>
      <c r="D50" s="68"/>
      <c r="E50" s="68"/>
      <c r="F50" s="68"/>
      <c r="G50" s="68"/>
      <c r="H50" s="69"/>
    </row>
    <row r="51" spans="2:8" ht="13.5" thickBot="1" x14ac:dyDescent="0.25">
      <c r="B51" s="70"/>
      <c r="C51" s="71"/>
      <c r="D51" s="71"/>
      <c r="E51" s="71"/>
      <c r="F51" s="71"/>
      <c r="G51" s="71"/>
      <c r="H51" s="72"/>
    </row>
    <row r="52" spans="2:8" x14ac:dyDescent="0.2">
      <c r="B52" s="73" t="s">
        <v>76</v>
      </c>
      <c r="C52" s="74"/>
      <c r="D52" s="74"/>
      <c r="E52" s="74"/>
      <c r="F52" s="74"/>
      <c r="G52" s="74"/>
      <c r="H52" s="75"/>
    </row>
    <row r="53" spans="2:8" x14ac:dyDescent="0.2">
      <c r="B53" s="60" t="s">
        <v>83</v>
      </c>
      <c r="C53" s="61"/>
      <c r="D53" s="61"/>
      <c r="E53" s="61"/>
      <c r="F53" s="61"/>
      <c r="G53" s="61"/>
      <c r="H53" s="62"/>
    </row>
    <row r="54" spans="2:8" x14ac:dyDescent="0.2">
      <c r="B54" s="48" t="s">
        <v>84</v>
      </c>
      <c r="C54" s="49"/>
      <c r="D54" s="49"/>
      <c r="E54" s="49"/>
      <c r="F54" s="49"/>
      <c r="G54" s="49"/>
      <c r="H54" s="50"/>
    </row>
    <row r="55" spans="2:8" x14ac:dyDescent="0.2">
      <c r="B55" s="48"/>
      <c r="C55" s="49"/>
      <c r="D55" s="49"/>
      <c r="E55" s="49"/>
      <c r="F55" s="49"/>
      <c r="G55" s="49"/>
      <c r="H55" s="50"/>
    </row>
    <row r="56" spans="2:8" x14ac:dyDescent="0.2">
      <c r="B56" s="48" t="s">
        <v>85</v>
      </c>
      <c r="C56" s="49"/>
      <c r="D56" s="49"/>
      <c r="E56" s="49"/>
      <c r="F56" s="49"/>
      <c r="G56" s="49"/>
      <c r="H56" s="50"/>
    </row>
    <row r="57" spans="2:8" x14ac:dyDescent="0.2">
      <c r="B57" s="48"/>
      <c r="C57" s="49"/>
      <c r="D57" s="49"/>
      <c r="E57" s="49"/>
      <c r="F57" s="49"/>
      <c r="G57" s="49"/>
      <c r="H57" s="50"/>
    </row>
    <row r="58" spans="2:8" ht="13.5" thickBot="1" x14ac:dyDescent="0.25">
      <c r="B58" s="51" t="s">
        <v>86</v>
      </c>
      <c r="C58" s="52"/>
      <c r="D58" s="52"/>
      <c r="E58" s="52"/>
      <c r="F58" s="52"/>
      <c r="G58" s="52"/>
      <c r="H58" s="53"/>
    </row>
    <row r="59" spans="2:8" ht="13.5" thickBot="1" x14ac:dyDescent="0.25">
      <c r="B59" s="54" t="s">
        <v>87</v>
      </c>
      <c r="C59" s="55"/>
      <c r="D59" s="55"/>
      <c r="E59" s="55"/>
      <c r="F59" s="55"/>
      <c r="G59" s="55"/>
      <c r="H59" s="56"/>
    </row>
  </sheetData>
  <autoFilter ref="A9:I36" xr:uid="{00000000-0009-0000-0000-000000000000}"/>
  <mergeCells count="20">
    <mergeCell ref="B38:H38"/>
    <mergeCell ref="B2:H2"/>
    <mergeCell ref="A4:B4"/>
    <mergeCell ref="C4:E4"/>
    <mergeCell ref="A5:B5"/>
    <mergeCell ref="C5:E5"/>
    <mergeCell ref="A6:B6"/>
    <mergeCell ref="A7:B7"/>
    <mergeCell ref="B39:H39"/>
    <mergeCell ref="B40:H41"/>
    <mergeCell ref="B42:H42"/>
    <mergeCell ref="B46:H51"/>
    <mergeCell ref="B52:H52"/>
    <mergeCell ref="B45:C45"/>
    <mergeCell ref="B54:H55"/>
    <mergeCell ref="B56:H57"/>
    <mergeCell ref="B58:H58"/>
    <mergeCell ref="B59:H59"/>
    <mergeCell ref="B43:H43"/>
    <mergeCell ref="B53:H53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MALDONADO</dc:creator>
  <cp:lastModifiedBy>usuario</cp:lastModifiedBy>
  <dcterms:created xsi:type="dcterms:W3CDTF">2022-12-21T12:40:24Z</dcterms:created>
  <dcterms:modified xsi:type="dcterms:W3CDTF">2022-12-21T14:25:29Z</dcterms:modified>
</cp:coreProperties>
</file>