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105" windowWidth="20640" windowHeight="1176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NotaPedido'!$A$1:$K$41</definedName>
    <definedName name="_xlnm.Print_Area" localSheetId="2">'Autor Gastar'!$A$1:$Q$27</definedName>
    <definedName name="_xlnm.Print_Area" localSheetId="0">'Necesidades Trimestrales'!$E$9:$E$38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9" i="3" l="1"/>
  <c r="K18" i="3" l="1"/>
  <c r="I18" i="3"/>
  <c r="J17" i="3"/>
  <c r="I17" i="3"/>
  <c r="K16" i="3"/>
  <c r="I16" i="3"/>
  <c r="A10" i="3" l="1"/>
  <c r="B14" i="2" l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C34" i="2"/>
  <c r="C35" i="2"/>
  <c r="C36" i="2"/>
  <c r="C37" i="2"/>
  <c r="C38" i="2"/>
  <c r="C39" i="2"/>
  <c r="C40" i="2"/>
  <c r="C26" i="2"/>
  <c r="C27" i="2"/>
  <c r="C28" i="2"/>
  <c r="C29" i="2"/>
  <c r="C30" i="2"/>
  <c r="C31" i="2"/>
  <c r="C32" i="2"/>
  <c r="C33" i="2"/>
  <c r="C21" i="2"/>
  <c r="C22" i="2"/>
  <c r="C23" i="2"/>
  <c r="C24" i="2"/>
  <c r="C25" i="2"/>
  <c r="C17" i="2"/>
  <c r="C18" i="2"/>
  <c r="C19" i="2"/>
  <c r="C20" i="2"/>
  <c r="C15" i="2"/>
  <c r="C16" i="2"/>
  <c r="C14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I13" i="2"/>
  <c r="J13" i="2"/>
  <c r="K13" i="2"/>
  <c r="C13" i="2"/>
  <c r="B13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11" i="1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B12" i="2"/>
  <c r="I10" i="1"/>
  <c r="I15" i="3"/>
  <c r="Q23" i="3" l="1"/>
  <c r="J41" i="2"/>
  <c r="J15" i="3"/>
</calcChain>
</file>

<file path=xl/sharedStrings.xml><?xml version="1.0" encoding="utf-8"?>
<sst xmlns="http://schemas.openxmlformats.org/spreadsheetml/2006/main" count="231" uniqueCount="145">
  <si>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</si>
  <si>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</si>
  <si>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</si>
  <si>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</si>
  <si>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</si>
  <si>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</si>
  <si>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</si>
  <si>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</si>
  <si>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</si>
  <si>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</si>
  <si>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</si>
  <si>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</si>
  <si>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</si>
  <si>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</si>
  <si>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</si>
  <si>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</si>
  <si>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</si>
  <si>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</si>
  <si>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</si>
  <si>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</si>
  <si>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</si>
  <si>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</si>
  <si>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</si>
  <si>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</si>
  <si>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</si>
  <si>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</si>
  <si>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</si>
  <si>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</si>
  <si>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</si>
  <si>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</si>
  <si>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</si>
  <si>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</si>
  <si>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</si>
  <si>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</si>
  <si>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</si>
  <si>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</si>
  <si>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</si>
  <si>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</si>
  <si>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</si>
  <si>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</si>
  <si>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</si>
  <si>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</si>
  <si>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</si>
  <si>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</si>
  <si>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</si>
  <si>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</si>
  <si>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</si>
  <si>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</si>
  <si>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</si>
  <si>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</si>
  <si>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</si>
  <si>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</si>
  <si>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</si>
  <si>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</si>
  <si>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</si>
  <si>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</si>
  <si>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</si>
  <si>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BALDES DE PLASTICO; CAPACIDAD: 10 L, COLOR: AMARILLO</t>
  </si>
  <si>
    <t>2.9.1-564.5</t>
  </si>
  <si>
    <t>ELEMENTOS DE LIMPIEZA</t>
  </si>
  <si>
    <t>TOALLAS DE PAPEL; MATERIAL: FIBRA CELULOSICA, GRAMAJE: 20 GR/M2, DIMENSION: 25 Cm, PRESENTACION: 2 X BOBINA X 400 M</t>
  </si>
  <si>
    <t>2.3.4-783.84</t>
  </si>
  <si>
    <t>ROLLO</t>
  </si>
  <si>
    <t>CEPILLOS P/LABORATORIO; TIPO: P/LIMPIEZA BIBERONES, MATERIAL: CERDA , TAMAÑO: DIAM. 8</t>
  </si>
  <si>
    <t>2.9.5-1908.29</t>
  </si>
  <si>
    <t>PROD. MEDICO/FARMACEUTICOS/LAB</t>
  </si>
  <si>
    <t>LIMPIADORES; TIPO: DESENGRASANTE, PRESENTACION: ENVASE X 5 L</t>
  </si>
  <si>
    <t>2.9.1-6951.60</t>
  </si>
  <si>
    <t>BIDON</t>
  </si>
  <si>
    <t>DESINFECTANTES; PRINCIPIO ACTIVO: 2-FENIFENOL+ETANOL, CONTROL: BACTERIAS, PRESENTACION: ENVASE X 360 CM3</t>
  </si>
  <si>
    <t>2.5.4-505.92</t>
  </si>
  <si>
    <t>LIMPIADORES; TIPO: DESINFECTANTE P/PISO, PRESENTACION: ENVASE X 5 L</t>
  </si>
  <si>
    <t>2.9.1-6951.41</t>
  </si>
  <si>
    <t>ELEM. P/LIMPIEZA SANITARIOS; TIPO: PASTILLA DESODORANTE, PRESENTACION: UNIDAD</t>
  </si>
  <si>
    <t>2.9.1-6961.6</t>
  </si>
  <si>
    <t>LIMPIADORES; TIPO: DETERGENTE NEUTRO, PRESENTACION: ENVASE X 5 L</t>
  </si>
  <si>
    <t>2.9.1-6951.214</t>
  </si>
  <si>
    <t>CEPILLOS; TIPO: ESCOBILLON, MATERIAL: PLASTICO</t>
  </si>
  <si>
    <t>2.9.1-6952.54</t>
  </si>
  <si>
    <t>CABOS DE MADERA; FORMA: RECTO C/ROSCA, APLICACION: ESCOBILLON</t>
  </si>
  <si>
    <t>2.1.5-393.19</t>
  </si>
  <si>
    <t>LANAS DE ACERO; PRESENTACION: PAQUETE, CONTENIDO: MADEJA</t>
  </si>
  <si>
    <t>2.9.1-2030.1</t>
  </si>
  <si>
    <t>PAQUETE</t>
  </si>
  <si>
    <t>ESPONJAS; USO: LIMPIEZA, ADITAMENTO: SIN VALOR, FORMA: RECTANGULAR, COLOR: AMARILLO, MATERIAL: FIBRA, LARGO X ANCHO X ESP: 9,7 X 5,7 X 3,5 Cm</t>
  </si>
  <si>
    <t>2.9.1-1164.26</t>
  </si>
  <si>
    <t>GUANTES P/LIMPIEZA; TAMAÑO: EXTRA GRANDE, MATERIAL: LATEX</t>
  </si>
  <si>
    <t>2.9.1-761.4</t>
  </si>
  <si>
    <t>PAR</t>
  </si>
  <si>
    <t>GUANTES P/LIMPIEZA; TAMAÑO: GRANDE, MATERIAL: LATEX</t>
  </si>
  <si>
    <t>2.9.1-761.1</t>
  </si>
  <si>
    <t>ELEM. LIMPIEZA P/INDUMENTARIA; TIPO: JABON EN POLVO BAJA ESPUMA, PRESENTACION: ENVASE X 25 Kg</t>
  </si>
  <si>
    <t>2.9.1-6960.56</t>
  </si>
  <si>
    <t>BOLSA</t>
  </si>
  <si>
    <t>ARTICULOS DE TOCADOR; TIPO: JABON DE TOCADOR, PRESENTACION: CAJA X 60 X 90 GR</t>
  </si>
  <si>
    <t>2.9.1-6956.50</t>
  </si>
  <si>
    <t>CAJA</t>
  </si>
  <si>
    <t>ESPONJAS; MATERIAL: ACERO INOXIDABLE, USO: LIMPIEZA, ADITAMENTO: SIN, FORMA: MADEJA 15 GR, LARGO X ANCHO X ESP: SIN VALOR, COLOR: ACERO</t>
  </si>
  <si>
    <t>2.9.1-1164.22</t>
  </si>
  <si>
    <t>LIMPIADORES; TIPO: LAVANDINA, PRESENTACION: ENVASE X 2 L</t>
  </si>
  <si>
    <t>BOTELLA</t>
  </si>
  <si>
    <t>2.9.1-6951.27</t>
  </si>
  <si>
    <t>PAPEL HIGIENICO; PRESENTACION: CAJA X 20, TIPO: DOBLE, ANCHO: 10 Cm, LARGO: 80 M, TIPO DE HOJA: DOBLE</t>
  </si>
  <si>
    <t>2.3.4-786.91</t>
  </si>
  <si>
    <t>LIMPIADORES; TIPO: POLVO LIMPIADOR, PRESENTACION: ENVASE X 400 GR</t>
  </si>
  <si>
    <t>TARRO</t>
  </si>
  <si>
    <t>2.9.1-6951.174</t>
  </si>
  <si>
    <t>SECADORES DE GOMA; COLOR: NEGRO, LARGO: 50 Cm</t>
  </si>
  <si>
    <t>2.9.1-683.6</t>
  </si>
  <si>
    <t>TRAPOS REJILLA; DIMENSION: 38 X 42 Cm, MATERIAL: PURO ALGODON, COLOR: BLANCO</t>
  </si>
  <si>
    <t>2.9.1-678.1</t>
  </si>
  <si>
    <t>TRAPOS DE PISO; DIMENSION: 50 X 55 Cm, COLOR: GRIS</t>
  </si>
  <si>
    <t>2.9.1-713.12</t>
  </si>
  <si>
    <t>TOALLAS DE PAPEL; MATERIAL: PAPEL ABSORBENTE, GRAMAJE: 35 GR, DIMENSION: 20 X 24 Cm, PRESENTACION: ENVASE X 2500 HOJAS</t>
  </si>
  <si>
    <t>2.3.4-783.90</t>
  </si>
  <si>
    <t>TOALLAS DE PAPEL; MATERIAL: PAPEL, GRAMAJE: SIN VALOR, DIMENSION: 22,8 (ANCHO) Cm, COLOR: BLANCO, PRESENTACION: ROLLO</t>
  </si>
  <si>
    <t>2.3.4-783.40</t>
  </si>
  <si>
    <t>TACHOS DE RESIDUOS; MATERIAL: PLASTICO, SECCION: RECTANGULAR, DIMENSION: 10 L, TAPA: VAIVEN</t>
  </si>
  <si>
    <t>2.9.1-2661.25</t>
  </si>
  <si>
    <t>TACHOS DE RESIDUOS; MATERIAL: PLASTICO, SECCION: RECTANGULAR, DIMENSION: 20 L, TAPA: A PEDAL</t>
  </si>
  <si>
    <t>2.9.1-2661.34</t>
  </si>
  <si>
    <t>BOLSAS DE RESIDUOS; DIMENSION: 60 X 90 Cm, ESPESOR: 30 mm, PRESENTACION: POR UNIDAD, COLOR: OSCURO</t>
  </si>
  <si>
    <t>2.9.1-646.26</t>
  </si>
  <si>
    <t>BOLSAS DE RESIDUOS; COLOR: OBSCURO, ESPESOR: 30 Mn, DIMENSION: 45 X 60 Cm, PRESENTACION: SIN VALOR</t>
  </si>
  <si>
    <t>2.9.1-646.16</t>
  </si>
  <si>
    <t>Especificidades Item N° 5:</t>
  </si>
  <si>
    <t>EN AEROSOL</t>
  </si>
  <si>
    <t>Especificidades Item N° 25:</t>
  </si>
  <si>
    <t>Servicio de Economato</t>
  </si>
  <si>
    <t>Adquisición de Articulos de Limpieza</t>
  </si>
  <si>
    <t>Para la adquisición de Articulos de Limpieza destinados al servico de Economato del Hospital Interzonal de Niños Eva Peron, para el normal funcionamiento del organismo.</t>
  </si>
  <si>
    <t>Madera, Corcho y sus Manufacturas</t>
  </si>
  <si>
    <t>Productos de Papel y Carton</t>
  </si>
  <si>
    <t>Insecticidas, Fumigantes y Otros</t>
  </si>
  <si>
    <t>Elementos de Limpieza</t>
  </si>
  <si>
    <t>505/2020</t>
  </si>
  <si>
    <t>POR 40 PAÑOS</t>
  </si>
  <si>
    <t>Costo total estimado: Un Millon Ciento Cinco Mil Doscientos Cincuenta y Cinco con 00/100.</t>
  </si>
  <si>
    <t>Utiles Menores Medico, Quirurgico 
y de Laboratorio</t>
  </si>
  <si>
    <t>TOTAL DE PESOS: UN MILLON CIENTO CINCO MIL DOSCIENTOS CINCUENTA Y CINCO CON 00/100.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</si>
  <si>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</si>
  <si>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</si>
  <si>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</si>
  <si>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>Mantenimiento</t>
  </si>
  <si>
    <t xml:space="preserve">45 dias habiles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</si>
</sst>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7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8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9" xfId="0" applyBorder="1"/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13" fillId="0" borderId="4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2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0" fontId="22" fillId="0" borderId="8" xfId="0" applyFont="1" applyBorder="1" applyAlignment="1">
      <alignment horizontal="left" indent="3"/>
    </xf>
    <xf numFmtId="166" fontId="15" fillId="0" borderId="0" xfId="0" applyNumberFormat="1" applyFont="1"/>
    <xf numFmtId="0" fontId="19" fillId="0" borderId="50" xfId="0" applyFont="1" applyBorder="1" applyAlignment="1">
      <alignment horizontal="center" vertical="center" wrapText="1"/>
    </xf>
    <xf numFmtId="0" fontId="0" fillId="0" borderId="51" xfId="0" applyBorder="1"/>
    <xf numFmtId="0" fontId="5" fillId="3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3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left" vertical="center"/>
    </xf>
    <xf numFmtId="0" fontId="4" fillId="4" borderId="53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 wrapText="1"/>
    </xf>
    <xf numFmtId="166" fontId="4" fillId="3" borderId="53" xfId="1" applyNumberFormat="1" applyFont="1" applyFill="1" applyBorder="1" applyAlignment="1" applyProtection="1">
      <alignment horizontal="right" vertical="center" wrapText="1"/>
    </xf>
    <xf numFmtId="3" fontId="4" fillId="3" borderId="53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166" fontId="4" fillId="3" borderId="22" xfId="1" applyNumberFormat="1" applyFont="1" applyFill="1" applyBorder="1" applyAlignment="1" applyProtection="1">
      <alignment horizontal="right" vertical="center" wrapText="1"/>
    </xf>
    <xf numFmtId="3" fontId="4" fillId="3" borderId="22" xfId="0" applyNumberFormat="1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21" fillId="4" borderId="3" xfId="0" applyFont="1" applyFill="1" applyBorder="1" applyAlignment="1">
      <alignment horizontal="center" vertical="center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0" fillId="4" borderId="34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19" fillId="0" borderId="54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/>
    </xf>
    <xf numFmtId="0" fontId="0" fillId="0" borderId="3" xfId="0" applyBorder="1"/>
    <xf numFmtId="0" fontId="2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20" fillId="0" borderId="57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wrapText="1"/>
    </xf>
    <xf numFmtId="0" fontId="21" fillId="4" borderId="51" xfId="0" applyFont="1" applyFill="1" applyBorder="1" applyAlignment="1">
      <alignment horizontal="center" vertical="center" wrapText="1"/>
    </xf>
    <xf numFmtId="166" fontId="20" fillId="4" borderId="51" xfId="1" applyNumberFormat="1" applyFont="1" applyFill="1" applyBorder="1" applyAlignment="1" applyProtection="1">
      <alignment horizontal="right" vertical="center" wrapText="1"/>
    </xf>
    <xf numFmtId="166" fontId="20" fillId="4" borderId="58" xfId="1" applyNumberFormat="1" applyFont="1" applyFill="1" applyBorder="1" applyAlignment="1" applyProtection="1">
      <alignment horizontal="right" vertical="center" wrapText="1"/>
    </xf>
    <xf numFmtId="0" fontId="20" fillId="0" borderId="59" xfId="0" applyFont="1" applyBorder="1" applyAlignment="1">
      <alignment horizontal="center" vertical="center"/>
    </xf>
    <xf numFmtId="0" fontId="0" fillId="0" borderId="60" xfId="0" applyBorder="1"/>
    <xf numFmtId="0" fontId="21" fillId="0" borderId="60" xfId="0" applyFont="1" applyBorder="1" applyAlignment="1">
      <alignment horizontal="center" vertical="center" wrapText="1"/>
    </xf>
    <xf numFmtId="0" fontId="0" fillId="0" borderId="60" xfId="0" applyBorder="1" applyAlignment="1">
      <alignment wrapText="1"/>
    </xf>
    <xf numFmtId="0" fontId="21" fillId="4" borderId="60" xfId="0" applyFont="1" applyFill="1" applyBorder="1" applyAlignment="1">
      <alignment horizontal="center" vertical="center" wrapText="1"/>
    </xf>
    <xf numFmtId="166" fontId="20" fillId="4" borderId="60" xfId="1" applyNumberFormat="1" applyFont="1" applyFill="1" applyBorder="1" applyAlignment="1" applyProtection="1">
      <alignment horizontal="right" vertical="center" wrapText="1"/>
    </xf>
    <xf numFmtId="166" fontId="20" fillId="4" borderId="61" xfId="1" applyNumberFormat="1" applyFont="1" applyFill="1" applyBorder="1" applyAlignment="1" applyProtection="1">
      <alignment horizontal="right" vertical="center" wrapText="1"/>
    </xf>
    <xf numFmtId="0" fontId="14" fillId="0" borderId="51" xfId="0" applyFont="1" applyBorder="1" applyAlignment="1">
      <alignment wrapText="1"/>
    </xf>
    <xf numFmtId="0" fontId="0" fillId="4" borderId="62" xfId="0" applyFont="1" applyFill="1" applyBorder="1" applyAlignment="1">
      <alignment horizontal="center" vertical="center"/>
    </xf>
    <xf numFmtId="0" fontId="0" fillId="4" borderId="40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/>
    </xf>
    <xf numFmtId="0" fontId="0" fillId="3" borderId="40" xfId="0" applyFont="1" applyFill="1" applyBorder="1" applyAlignment="1">
      <alignment horizontal="center" vertical="center"/>
    </xf>
    <xf numFmtId="0" fontId="0" fillId="4" borderId="38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0" fontId="0" fillId="4" borderId="63" xfId="0" applyFont="1" applyFill="1" applyBorder="1" applyAlignment="1">
      <alignment horizontal="center" vertical="center"/>
    </xf>
    <xf numFmtId="0" fontId="0" fillId="3" borderId="63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left" indent="3"/>
    </xf>
    <xf numFmtId="169" fontId="15" fillId="0" borderId="0" xfId="0" applyNumberFormat="1" applyFont="1"/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3" borderId="22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167" fontId="7" fillId="3" borderId="17" xfId="0" applyNumberFormat="1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6" xfId="0" applyFont="1" applyBorder="1"/>
    <xf numFmtId="0" fontId="11" fillId="0" borderId="27" xfId="0" applyFont="1" applyBorder="1" applyAlignment="1">
      <alignment horizontal="left" vertical="center" wrapText="1" indent="1"/>
    </xf>
    <xf numFmtId="0" fontId="13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14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/>
    </xf>
    <xf numFmtId="0" fontId="0" fillId="0" borderId="40" xfId="0" applyFont="1" applyBorder="1" applyAlignment="1">
      <alignment horizontal="left" vertical="center"/>
    </xf>
    <xf numFmtId="0" fontId="0" fillId="0" borderId="40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47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4" borderId="46" xfId="0" applyFont="1" applyFill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9" fillId="0" borderId="46" xfId="0" applyFont="1" applyBorder="1" applyAlignment="1">
      <alignment horizontal="left" vertical="center" wrapText="1"/>
    </xf>
    <xf numFmtId="0" fontId="0" fillId="0" borderId="25" xfId="0" applyBorder="1"/>
    <xf numFmtId="0" fontId="22" fillId="0" borderId="5" xfId="0" applyFont="1" applyBorder="1" applyAlignment="1">
      <alignment horizontal="left" indent="3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22" fillId="0" borderId="8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8" xfId="0" applyFont="1" applyBorder="1" applyAlignment="1">
      <alignment horizontal="left" indent="3"/>
    </xf>
    <xf numFmtId="0" fontId="15" fillId="4" borderId="9" xfId="0" applyFont="1" applyFill="1" applyBorder="1" applyAlignment="1">
      <alignment horizontal="left" wrapText="1"/>
    </xf>
    <xf numFmtId="0" fontId="15" fillId="0" borderId="10" xfId="0" applyFont="1" applyBorder="1" applyAlignment="1">
      <alignment horizontal="left" indent="3"/>
    </xf>
    <xf numFmtId="0" fontId="15" fillId="0" borderId="11" xfId="0" applyFont="1" applyBorder="1"/>
    <xf numFmtId="0" fontId="15" fillId="0" borderId="12" xfId="0" applyFont="1" applyBorder="1"/>
    <xf numFmtId="0" fontId="15" fillId="0" borderId="0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6" xfId="0" applyFont="1" applyFill="1" applyBorder="1"/>
    <xf numFmtId="0" fontId="15" fillId="0" borderId="7" xfId="0" applyFont="1" applyFill="1" applyBorder="1"/>
    <xf numFmtId="0" fontId="15" fillId="0" borderId="0" xfId="0" applyFont="1" applyFill="1" applyBorder="1"/>
    <xf numFmtId="0" fontId="15" fillId="0" borderId="9" xfId="0" applyFont="1" applyFill="1" applyBorder="1"/>
    <xf numFmtId="0" fontId="15" fillId="0" borderId="11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6"/>
  <sheetViews>
    <sheetView topLeftCell="B37" zoomScale="89" zoomScaleNormal="89" workbookViewId="0">
      <selection activeCell="E50" sqref="E50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3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1" width="11" style="32"/>
    <col min="12" max="12" width="12.7109375" style="32" bestFit="1" customWidth="1"/>
    <col min="13" max="16384" width="11" style="32"/>
  </cols>
  <sheetData>
    <row r="2" spans="1:12" ht="27" x14ac:dyDescent="0.35">
      <c r="B2" s="107" t="s">
        <v>0</v>
      </c>
      <c r="C2" s="107"/>
      <c r="D2" s="107"/>
      <c r="E2" s="107"/>
      <c r="F2" s="107"/>
      <c r="G2" s="107"/>
      <c r="H2" s="107"/>
    </row>
    <row r="3" spans="1:12" ht="12" customHeight="1" x14ac:dyDescent="0.2"/>
    <row r="4" spans="1:12" ht="18" customHeight="1" x14ac:dyDescent="0.25">
      <c r="A4" s="106" t="s">
        <v>1</v>
      </c>
      <c r="B4" s="106"/>
      <c r="C4" s="108" t="s">
        <v>54</v>
      </c>
      <c r="D4" s="108"/>
      <c r="E4" s="108"/>
      <c r="F4" s="33"/>
      <c r="G4" s="34"/>
      <c r="H4" s="33"/>
    </row>
    <row r="5" spans="1:12" ht="18" customHeight="1" x14ac:dyDescent="0.25">
      <c r="A5" s="106" t="s">
        <v>2</v>
      </c>
      <c r="B5" s="106"/>
      <c r="C5" s="108" t="s">
        <v>53</v>
      </c>
      <c r="D5" s="108"/>
      <c r="E5" s="108"/>
      <c r="F5" s="33"/>
      <c r="G5" s="34"/>
      <c r="H5" s="33"/>
    </row>
    <row r="6" spans="1:12" ht="16.5" customHeight="1" x14ac:dyDescent="0.25">
      <c r="A6" s="106" t="s">
        <v>3</v>
      </c>
      <c r="B6" s="106"/>
      <c r="C6" s="67">
        <v>2020</v>
      </c>
      <c r="D6" s="68"/>
      <c r="E6" s="68"/>
      <c r="F6" s="33"/>
      <c r="G6" s="34"/>
      <c r="H6" s="33"/>
    </row>
    <row r="7" spans="1:12" ht="16.5" customHeight="1" x14ac:dyDescent="0.25">
      <c r="A7" s="106" t="s">
        <v>4</v>
      </c>
      <c r="B7" s="106"/>
      <c r="C7" s="67">
        <v>4</v>
      </c>
      <c r="D7" s="68"/>
      <c r="E7" s="68"/>
      <c r="F7" s="33"/>
      <c r="G7" s="34"/>
      <c r="H7" s="33"/>
    </row>
    <row r="8" spans="1:12" ht="13.5" thickBot="1" x14ac:dyDescent="0.25">
      <c r="B8" s="33"/>
      <c r="C8" s="34"/>
      <c r="D8" s="33"/>
      <c r="E8" s="33"/>
      <c r="F8" s="33"/>
      <c r="G8" s="34"/>
      <c r="H8" s="33"/>
    </row>
    <row r="9" spans="1:12" ht="39.75" thickTop="1" thickBot="1" x14ac:dyDescent="0.25">
      <c r="A9" s="35" t="s">
        <v>5</v>
      </c>
      <c r="B9" s="35" t="s">
        <v>6</v>
      </c>
      <c r="C9" s="35" t="s">
        <v>7</v>
      </c>
      <c r="D9" s="76" t="s">
        <v>8</v>
      </c>
      <c r="E9" s="77" t="s">
        <v>9</v>
      </c>
      <c r="F9" s="44" t="s">
        <v>10</v>
      </c>
      <c r="G9" s="35" t="s">
        <v>11</v>
      </c>
      <c r="H9" s="35" t="s">
        <v>12</v>
      </c>
      <c r="I9" s="35" t="s">
        <v>13</v>
      </c>
    </row>
    <row r="10" spans="1:12" x14ac:dyDescent="0.2">
      <c r="A10" s="78">
        <v>1</v>
      </c>
      <c r="B10" s="79" t="s">
        <v>58</v>
      </c>
      <c r="C10" s="79" t="s">
        <v>59</v>
      </c>
      <c r="D10" s="80">
        <v>291</v>
      </c>
      <c r="E10" s="81" t="s">
        <v>57</v>
      </c>
      <c r="F10" s="69" t="s">
        <v>14</v>
      </c>
      <c r="G10" s="69">
        <v>20</v>
      </c>
      <c r="H10" s="70">
        <v>135</v>
      </c>
      <c r="I10" s="71">
        <f>H10*G10</f>
        <v>2700</v>
      </c>
      <c r="L10" s="43"/>
    </row>
    <row r="11" spans="1:12" ht="25.5" x14ac:dyDescent="0.2">
      <c r="A11" s="82">
        <v>2</v>
      </c>
      <c r="B11" s="45" t="s">
        <v>61</v>
      </c>
      <c r="C11" s="45" t="s">
        <v>59</v>
      </c>
      <c r="D11" s="83">
        <v>234</v>
      </c>
      <c r="E11" s="84" t="s">
        <v>60</v>
      </c>
      <c r="F11" s="85" t="s">
        <v>62</v>
      </c>
      <c r="G11" s="85">
        <v>200</v>
      </c>
      <c r="H11" s="86">
        <v>490</v>
      </c>
      <c r="I11" s="87">
        <f>G11*H11</f>
        <v>98000</v>
      </c>
      <c r="L11" s="105"/>
    </row>
    <row r="12" spans="1:12" x14ac:dyDescent="0.2">
      <c r="A12" s="82">
        <v>3</v>
      </c>
      <c r="B12" s="45" t="s">
        <v>64</v>
      </c>
      <c r="C12" s="45" t="s">
        <v>65</v>
      </c>
      <c r="D12" s="83">
        <v>295</v>
      </c>
      <c r="E12" s="84" t="s">
        <v>63</v>
      </c>
      <c r="F12" s="85" t="s">
        <v>14</v>
      </c>
      <c r="G12" s="85">
        <v>30</v>
      </c>
      <c r="H12" s="86">
        <v>839</v>
      </c>
      <c r="I12" s="87">
        <f t="shared" ref="I12:I38" si="0">G12*H12</f>
        <v>25170</v>
      </c>
      <c r="L12" s="43"/>
    </row>
    <row r="13" spans="1:12" x14ac:dyDescent="0.2">
      <c r="A13" s="82">
        <v>4</v>
      </c>
      <c r="B13" s="45" t="s">
        <v>67</v>
      </c>
      <c r="C13" s="45" t="s">
        <v>59</v>
      </c>
      <c r="D13" s="83">
        <v>291</v>
      </c>
      <c r="E13" s="84" t="s">
        <v>66</v>
      </c>
      <c r="F13" s="85" t="s">
        <v>68</v>
      </c>
      <c r="G13" s="85">
        <v>10</v>
      </c>
      <c r="H13" s="86">
        <v>669.1</v>
      </c>
      <c r="I13" s="87">
        <f t="shared" si="0"/>
        <v>6691</v>
      </c>
      <c r="L13" s="105"/>
    </row>
    <row r="14" spans="1:12" ht="25.5" x14ac:dyDescent="0.2">
      <c r="A14" s="82">
        <v>5</v>
      </c>
      <c r="B14" s="45" t="s">
        <v>70</v>
      </c>
      <c r="C14" s="45" t="s">
        <v>59</v>
      </c>
      <c r="D14" s="83">
        <v>254</v>
      </c>
      <c r="E14" s="95" t="s">
        <v>69</v>
      </c>
      <c r="F14" s="85" t="s">
        <v>14</v>
      </c>
      <c r="G14" s="85">
        <v>150</v>
      </c>
      <c r="H14" s="86">
        <v>113.06</v>
      </c>
      <c r="I14" s="87">
        <f t="shared" si="0"/>
        <v>16959</v>
      </c>
      <c r="L14" s="43"/>
    </row>
    <row r="15" spans="1:12" x14ac:dyDescent="0.2">
      <c r="A15" s="82">
        <v>6</v>
      </c>
      <c r="B15" s="45" t="s">
        <v>72</v>
      </c>
      <c r="C15" s="45" t="s">
        <v>59</v>
      </c>
      <c r="D15" s="83">
        <v>291</v>
      </c>
      <c r="E15" s="84" t="s">
        <v>71</v>
      </c>
      <c r="F15" s="85" t="s">
        <v>68</v>
      </c>
      <c r="G15" s="85">
        <v>400</v>
      </c>
      <c r="H15" s="86">
        <v>275</v>
      </c>
      <c r="I15" s="87">
        <f t="shared" si="0"/>
        <v>110000</v>
      </c>
      <c r="L15" s="43"/>
    </row>
    <row r="16" spans="1:12" x14ac:dyDescent="0.2">
      <c r="A16" s="82">
        <v>7</v>
      </c>
      <c r="B16" s="45" t="s">
        <v>74</v>
      </c>
      <c r="C16" s="45" t="s">
        <v>59</v>
      </c>
      <c r="D16" s="83">
        <v>291</v>
      </c>
      <c r="E16" s="84" t="s">
        <v>73</v>
      </c>
      <c r="F16" s="85" t="s">
        <v>14</v>
      </c>
      <c r="G16" s="85">
        <v>50</v>
      </c>
      <c r="H16" s="86">
        <v>40</v>
      </c>
      <c r="I16" s="87">
        <f t="shared" si="0"/>
        <v>2000</v>
      </c>
    </row>
    <row r="17" spans="1:9" x14ac:dyDescent="0.2">
      <c r="A17" s="82">
        <v>8</v>
      </c>
      <c r="B17" s="45" t="s">
        <v>76</v>
      </c>
      <c r="C17" s="45" t="s">
        <v>59</v>
      </c>
      <c r="D17" s="83">
        <v>291</v>
      </c>
      <c r="E17" s="84" t="s">
        <v>75</v>
      </c>
      <c r="F17" s="85" t="s">
        <v>68</v>
      </c>
      <c r="G17" s="85">
        <v>360</v>
      </c>
      <c r="H17" s="86">
        <v>650</v>
      </c>
      <c r="I17" s="87">
        <f t="shared" si="0"/>
        <v>234000</v>
      </c>
    </row>
    <row r="18" spans="1:9" x14ac:dyDescent="0.2">
      <c r="A18" s="82">
        <v>9</v>
      </c>
      <c r="B18" s="45" t="s">
        <v>78</v>
      </c>
      <c r="C18" s="45" t="s">
        <v>59</v>
      </c>
      <c r="D18" s="83">
        <v>291</v>
      </c>
      <c r="E18" s="84" t="s">
        <v>77</v>
      </c>
      <c r="F18" s="85" t="s">
        <v>14</v>
      </c>
      <c r="G18" s="85">
        <v>15</v>
      </c>
      <c r="H18" s="86">
        <v>110</v>
      </c>
      <c r="I18" s="87">
        <f t="shared" si="0"/>
        <v>1650</v>
      </c>
    </row>
    <row r="19" spans="1:9" x14ac:dyDescent="0.2">
      <c r="A19" s="82">
        <v>10</v>
      </c>
      <c r="B19" s="45" t="s">
        <v>80</v>
      </c>
      <c r="C19" s="45" t="s">
        <v>59</v>
      </c>
      <c r="D19" s="83">
        <v>215</v>
      </c>
      <c r="E19" s="84" t="s">
        <v>79</v>
      </c>
      <c r="F19" s="85" t="s">
        <v>14</v>
      </c>
      <c r="G19" s="85">
        <v>15</v>
      </c>
      <c r="H19" s="86">
        <v>45</v>
      </c>
      <c r="I19" s="87">
        <f t="shared" si="0"/>
        <v>675</v>
      </c>
    </row>
    <row r="20" spans="1:9" x14ac:dyDescent="0.2">
      <c r="A20" s="82">
        <v>11</v>
      </c>
      <c r="B20" s="45" t="s">
        <v>82</v>
      </c>
      <c r="C20" s="45" t="s">
        <v>59</v>
      </c>
      <c r="D20" s="83">
        <v>291</v>
      </c>
      <c r="E20" s="84" t="s">
        <v>81</v>
      </c>
      <c r="F20" s="85" t="s">
        <v>83</v>
      </c>
      <c r="G20" s="85">
        <v>100</v>
      </c>
      <c r="H20" s="86">
        <v>30</v>
      </c>
      <c r="I20" s="87">
        <f t="shared" si="0"/>
        <v>3000</v>
      </c>
    </row>
    <row r="21" spans="1:9" ht="13.5" customHeight="1" x14ac:dyDescent="0.2">
      <c r="A21" s="82">
        <v>12</v>
      </c>
      <c r="B21" s="45" t="s">
        <v>85</v>
      </c>
      <c r="C21" s="45" t="s">
        <v>59</v>
      </c>
      <c r="D21" s="83">
        <v>291</v>
      </c>
      <c r="E21" s="84" t="s">
        <v>84</v>
      </c>
      <c r="F21" s="85" t="s">
        <v>14</v>
      </c>
      <c r="G21" s="85">
        <v>150</v>
      </c>
      <c r="H21" s="86">
        <v>30</v>
      </c>
      <c r="I21" s="87">
        <f t="shared" si="0"/>
        <v>4500</v>
      </c>
    </row>
    <row r="22" spans="1:9" x14ac:dyDescent="0.2">
      <c r="A22" s="82">
        <v>13</v>
      </c>
      <c r="B22" s="45" t="s">
        <v>87</v>
      </c>
      <c r="C22" s="45" t="s">
        <v>59</v>
      </c>
      <c r="D22" s="83">
        <v>291</v>
      </c>
      <c r="E22" s="84" t="s">
        <v>86</v>
      </c>
      <c r="F22" s="85" t="s">
        <v>88</v>
      </c>
      <c r="G22" s="85">
        <v>100</v>
      </c>
      <c r="H22" s="86">
        <v>145</v>
      </c>
      <c r="I22" s="87">
        <f t="shared" si="0"/>
        <v>14500</v>
      </c>
    </row>
    <row r="23" spans="1:9" x14ac:dyDescent="0.2">
      <c r="A23" s="82">
        <v>14</v>
      </c>
      <c r="B23" s="45" t="s">
        <v>90</v>
      </c>
      <c r="C23" s="45" t="s">
        <v>59</v>
      </c>
      <c r="D23" s="83">
        <v>291</v>
      </c>
      <c r="E23" s="84" t="s">
        <v>89</v>
      </c>
      <c r="F23" s="85" t="s">
        <v>88</v>
      </c>
      <c r="G23" s="85">
        <v>200</v>
      </c>
      <c r="H23" s="86">
        <v>145</v>
      </c>
      <c r="I23" s="87">
        <f t="shared" si="0"/>
        <v>29000</v>
      </c>
    </row>
    <row r="24" spans="1:9" ht="25.5" x14ac:dyDescent="0.2">
      <c r="A24" s="82">
        <v>15</v>
      </c>
      <c r="B24" s="45" t="s">
        <v>92</v>
      </c>
      <c r="C24" s="45" t="s">
        <v>59</v>
      </c>
      <c r="D24" s="83">
        <v>291</v>
      </c>
      <c r="E24" s="84" t="s">
        <v>91</v>
      </c>
      <c r="F24" s="85" t="s">
        <v>93</v>
      </c>
      <c r="G24" s="85">
        <v>20</v>
      </c>
      <c r="H24" s="86">
        <v>2603</v>
      </c>
      <c r="I24" s="87">
        <f t="shared" si="0"/>
        <v>52060</v>
      </c>
    </row>
    <row r="25" spans="1:9" x14ac:dyDescent="0.2">
      <c r="A25" s="82">
        <v>16</v>
      </c>
      <c r="B25" s="45" t="s">
        <v>95</v>
      </c>
      <c r="C25" s="45" t="s">
        <v>59</v>
      </c>
      <c r="D25" s="83">
        <v>291</v>
      </c>
      <c r="E25" s="84" t="s">
        <v>94</v>
      </c>
      <c r="F25" s="85" t="s">
        <v>96</v>
      </c>
      <c r="G25" s="85">
        <v>2</v>
      </c>
      <c r="H25" s="86">
        <v>1800</v>
      </c>
      <c r="I25" s="87">
        <f t="shared" si="0"/>
        <v>3600</v>
      </c>
    </row>
    <row r="26" spans="1:9" ht="25.5" x14ac:dyDescent="0.2">
      <c r="A26" s="82">
        <v>17</v>
      </c>
      <c r="B26" s="45" t="s">
        <v>98</v>
      </c>
      <c r="C26" s="45" t="s">
        <v>59</v>
      </c>
      <c r="D26" s="83">
        <v>291</v>
      </c>
      <c r="E26" s="84" t="s">
        <v>97</v>
      </c>
      <c r="F26" s="85" t="s">
        <v>14</v>
      </c>
      <c r="G26" s="85">
        <v>100</v>
      </c>
      <c r="H26" s="86">
        <v>35</v>
      </c>
      <c r="I26" s="87">
        <f t="shared" si="0"/>
        <v>3500</v>
      </c>
    </row>
    <row r="27" spans="1:9" x14ac:dyDescent="0.2">
      <c r="A27" s="82">
        <v>18</v>
      </c>
      <c r="B27" s="45" t="s">
        <v>101</v>
      </c>
      <c r="C27" s="45" t="s">
        <v>59</v>
      </c>
      <c r="D27" s="83">
        <v>291</v>
      </c>
      <c r="E27" s="84" t="s">
        <v>99</v>
      </c>
      <c r="F27" s="85" t="s">
        <v>100</v>
      </c>
      <c r="G27" s="85">
        <v>1000</v>
      </c>
      <c r="H27" s="86">
        <v>60</v>
      </c>
      <c r="I27" s="87">
        <f t="shared" si="0"/>
        <v>60000</v>
      </c>
    </row>
    <row r="28" spans="1:9" ht="25.5" x14ac:dyDescent="0.2">
      <c r="A28" s="82">
        <v>19</v>
      </c>
      <c r="B28" s="45" t="s">
        <v>103</v>
      </c>
      <c r="C28" s="45" t="s">
        <v>59</v>
      </c>
      <c r="D28" s="83">
        <v>234</v>
      </c>
      <c r="E28" s="84" t="s">
        <v>102</v>
      </c>
      <c r="F28" s="85" t="s">
        <v>96</v>
      </c>
      <c r="G28" s="85">
        <v>30</v>
      </c>
      <c r="H28" s="86">
        <v>600</v>
      </c>
      <c r="I28" s="87">
        <f t="shared" si="0"/>
        <v>18000</v>
      </c>
    </row>
    <row r="29" spans="1:9" x14ac:dyDescent="0.2">
      <c r="A29" s="82">
        <v>20</v>
      </c>
      <c r="B29" s="45" t="s">
        <v>106</v>
      </c>
      <c r="C29" s="45" t="s">
        <v>59</v>
      </c>
      <c r="D29" s="83">
        <v>291</v>
      </c>
      <c r="E29" s="84" t="s">
        <v>104</v>
      </c>
      <c r="F29" s="85" t="s">
        <v>105</v>
      </c>
      <c r="G29" s="85">
        <v>50</v>
      </c>
      <c r="H29" s="86">
        <v>150</v>
      </c>
      <c r="I29" s="87">
        <f t="shared" si="0"/>
        <v>7500</v>
      </c>
    </row>
    <row r="30" spans="1:9" x14ac:dyDescent="0.2">
      <c r="A30" s="82">
        <v>21</v>
      </c>
      <c r="B30" s="45" t="s">
        <v>108</v>
      </c>
      <c r="C30" s="45" t="s">
        <v>59</v>
      </c>
      <c r="D30" s="83">
        <v>291</v>
      </c>
      <c r="E30" s="84" t="s">
        <v>107</v>
      </c>
      <c r="F30" s="85" t="s">
        <v>14</v>
      </c>
      <c r="G30" s="85">
        <v>200</v>
      </c>
      <c r="H30" s="86">
        <v>128</v>
      </c>
      <c r="I30" s="87">
        <f t="shared" si="0"/>
        <v>25600</v>
      </c>
    </row>
    <row r="31" spans="1:9" x14ac:dyDescent="0.2">
      <c r="A31" s="82">
        <v>22</v>
      </c>
      <c r="B31" s="45" t="s">
        <v>110</v>
      </c>
      <c r="C31" s="45" t="s">
        <v>59</v>
      </c>
      <c r="D31" s="83">
        <v>291</v>
      </c>
      <c r="E31" s="84" t="s">
        <v>109</v>
      </c>
      <c r="F31" s="85" t="s">
        <v>14</v>
      </c>
      <c r="G31" s="85">
        <v>200</v>
      </c>
      <c r="H31" s="86">
        <v>40</v>
      </c>
      <c r="I31" s="87">
        <f t="shared" si="0"/>
        <v>8000</v>
      </c>
    </row>
    <row r="32" spans="1:9" x14ac:dyDescent="0.2">
      <c r="A32" s="82">
        <v>23</v>
      </c>
      <c r="B32" s="45" t="s">
        <v>112</v>
      </c>
      <c r="C32" s="45" t="s">
        <v>59</v>
      </c>
      <c r="D32" s="83">
        <v>291</v>
      </c>
      <c r="E32" s="84" t="s">
        <v>111</v>
      </c>
      <c r="F32" s="85" t="s">
        <v>14</v>
      </c>
      <c r="G32" s="85">
        <v>300</v>
      </c>
      <c r="H32" s="86">
        <v>50</v>
      </c>
      <c r="I32" s="87">
        <f t="shared" si="0"/>
        <v>15000</v>
      </c>
    </row>
    <row r="33" spans="1:9" ht="25.5" x14ac:dyDescent="0.2">
      <c r="A33" s="82">
        <v>24</v>
      </c>
      <c r="B33" s="45" t="s">
        <v>114</v>
      </c>
      <c r="C33" s="45" t="s">
        <v>59</v>
      </c>
      <c r="D33" s="83">
        <v>234</v>
      </c>
      <c r="E33" s="84" t="s">
        <v>113</v>
      </c>
      <c r="F33" s="85" t="s">
        <v>96</v>
      </c>
      <c r="G33" s="85">
        <v>300</v>
      </c>
      <c r="H33" s="86">
        <v>528</v>
      </c>
      <c r="I33" s="87">
        <f t="shared" si="0"/>
        <v>158400</v>
      </c>
    </row>
    <row r="34" spans="1:9" ht="25.5" x14ac:dyDescent="0.2">
      <c r="A34" s="82">
        <v>25</v>
      </c>
      <c r="B34" s="45" t="s">
        <v>116</v>
      </c>
      <c r="C34" s="45" t="s">
        <v>59</v>
      </c>
      <c r="D34" s="83">
        <v>234</v>
      </c>
      <c r="E34" s="84" t="s">
        <v>115</v>
      </c>
      <c r="F34" s="85" t="s">
        <v>62</v>
      </c>
      <c r="G34" s="85">
        <v>510</v>
      </c>
      <c r="H34" s="86">
        <v>25</v>
      </c>
      <c r="I34" s="87">
        <f t="shared" si="0"/>
        <v>12750</v>
      </c>
    </row>
    <row r="35" spans="1:9" ht="25.5" x14ac:dyDescent="0.2">
      <c r="A35" s="82">
        <v>26</v>
      </c>
      <c r="B35" s="45" t="s">
        <v>118</v>
      </c>
      <c r="C35" s="45" t="s">
        <v>59</v>
      </c>
      <c r="D35" s="83">
        <v>291</v>
      </c>
      <c r="E35" s="84" t="s">
        <v>117</v>
      </c>
      <c r="F35" s="85" t="s">
        <v>14</v>
      </c>
      <c r="G35" s="85">
        <v>30</v>
      </c>
      <c r="H35" s="86">
        <v>240</v>
      </c>
      <c r="I35" s="87">
        <f t="shared" si="0"/>
        <v>7200</v>
      </c>
    </row>
    <row r="36" spans="1:9" ht="25.5" x14ac:dyDescent="0.2">
      <c r="A36" s="82">
        <v>27</v>
      </c>
      <c r="B36" s="45" t="s">
        <v>120</v>
      </c>
      <c r="C36" s="45" t="s">
        <v>59</v>
      </c>
      <c r="D36" s="83">
        <v>291</v>
      </c>
      <c r="E36" s="84" t="s">
        <v>119</v>
      </c>
      <c r="F36" s="85" t="s">
        <v>14</v>
      </c>
      <c r="G36" s="85">
        <v>10</v>
      </c>
      <c r="H36" s="86">
        <v>480</v>
      </c>
      <c r="I36" s="87">
        <f t="shared" si="0"/>
        <v>4800</v>
      </c>
    </row>
    <row r="37" spans="1:9" ht="25.5" x14ac:dyDescent="0.2">
      <c r="A37" s="82">
        <v>28</v>
      </c>
      <c r="B37" s="45" t="s">
        <v>124</v>
      </c>
      <c r="C37" s="45" t="s">
        <v>59</v>
      </c>
      <c r="D37" s="83">
        <v>291</v>
      </c>
      <c r="E37" s="84" t="s">
        <v>123</v>
      </c>
      <c r="F37" s="85" t="s">
        <v>14</v>
      </c>
      <c r="G37" s="85">
        <v>30000</v>
      </c>
      <c r="H37" s="86">
        <v>1.5</v>
      </c>
      <c r="I37" s="87">
        <f t="shared" si="0"/>
        <v>45000</v>
      </c>
    </row>
    <row r="38" spans="1:9" ht="26.25" thickBot="1" x14ac:dyDescent="0.25">
      <c r="A38" s="88">
        <v>29</v>
      </c>
      <c r="B38" s="89" t="s">
        <v>122</v>
      </c>
      <c r="C38" s="89" t="s">
        <v>59</v>
      </c>
      <c r="D38" s="90">
        <v>291</v>
      </c>
      <c r="E38" s="91" t="s">
        <v>121</v>
      </c>
      <c r="F38" s="92" t="s">
        <v>14</v>
      </c>
      <c r="G38" s="92">
        <v>30000</v>
      </c>
      <c r="H38" s="93">
        <v>4.5</v>
      </c>
      <c r="I38" s="94">
        <f t="shared" si="0"/>
        <v>135000</v>
      </c>
    </row>
    <row r="39" spans="1:9" ht="13.5" thickBot="1" x14ac:dyDescent="0.25">
      <c r="I39" s="43"/>
    </row>
    <row r="40" spans="1:9" x14ac:dyDescent="0.2">
      <c r="B40" s="150" t="s">
        <v>140</v>
      </c>
      <c r="C40" s="37"/>
      <c r="D40" s="37"/>
      <c r="E40" s="38"/>
    </row>
    <row r="41" spans="1:9" ht="12.75" customHeight="1" x14ac:dyDescent="0.2">
      <c r="B41" s="151" t="s">
        <v>141</v>
      </c>
      <c r="C41" s="152"/>
      <c r="D41" s="152"/>
      <c r="E41" s="153"/>
    </row>
    <row r="42" spans="1:9" ht="26.25" customHeight="1" x14ac:dyDescent="0.2">
      <c r="B42" s="151"/>
      <c r="C42" s="152"/>
      <c r="D42" s="152"/>
      <c r="E42" s="153"/>
    </row>
    <row r="43" spans="1:9" ht="26.25" customHeight="1" x14ac:dyDescent="0.2">
      <c r="B43" s="151" t="s">
        <v>142</v>
      </c>
      <c r="C43" s="152"/>
      <c r="D43" s="152"/>
      <c r="E43" s="153"/>
    </row>
    <row r="44" spans="1:9" x14ac:dyDescent="0.2">
      <c r="B44" s="154" t="s">
        <v>143</v>
      </c>
      <c r="C44" s="155"/>
      <c r="D44" s="156"/>
      <c r="E44" s="157"/>
    </row>
    <row r="45" spans="1:9" ht="26.25" customHeight="1" x14ac:dyDescent="0.2">
      <c r="B45" s="158"/>
      <c r="C45" s="159" t="s">
        <v>144</v>
      </c>
      <c r="D45" s="159"/>
      <c r="E45" s="159"/>
    </row>
    <row r="46" spans="1:9" ht="13.5" thickBot="1" x14ac:dyDescent="0.25">
      <c r="B46" s="160"/>
      <c r="C46" s="161"/>
      <c r="D46" s="161"/>
      <c r="E46" s="162"/>
    </row>
    <row r="47" spans="1:9" ht="13.5" thickBot="1" x14ac:dyDescent="0.25"/>
    <row r="48" spans="1:9" x14ac:dyDescent="0.2">
      <c r="B48" s="36" t="s">
        <v>125</v>
      </c>
      <c r="C48" s="37"/>
      <c r="D48" s="37"/>
      <c r="E48" s="38"/>
    </row>
    <row r="49" spans="2:5" ht="5.25" customHeight="1" x14ac:dyDescent="0.2">
      <c r="B49" s="39"/>
      <c r="C49" s="40"/>
      <c r="D49" s="40"/>
      <c r="E49" s="41"/>
    </row>
    <row r="50" spans="2:5" x14ac:dyDescent="0.2">
      <c r="B50" s="42" t="s">
        <v>15</v>
      </c>
      <c r="C50" s="40"/>
      <c r="D50" s="40"/>
      <c r="E50" s="41"/>
    </row>
    <row r="51" spans="2:5" ht="13.5" thickBot="1" x14ac:dyDescent="0.25">
      <c r="B51" s="42"/>
      <c r="C51" s="163" t="s">
        <v>126</v>
      </c>
      <c r="D51" s="163"/>
      <c r="E51" s="164"/>
    </row>
    <row r="52" spans="2:5" ht="13.5" thickBot="1" x14ac:dyDescent="0.25">
      <c r="B52" s="37"/>
      <c r="C52" s="165"/>
      <c r="D52" s="165"/>
      <c r="E52" s="165"/>
    </row>
    <row r="53" spans="2:5" x14ac:dyDescent="0.2">
      <c r="B53" s="36" t="s">
        <v>127</v>
      </c>
      <c r="C53" s="165"/>
      <c r="D53" s="165"/>
      <c r="E53" s="166"/>
    </row>
    <row r="54" spans="2:5" ht="7.5" customHeight="1" x14ac:dyDescent="0.2">
      <c r="B54" s="39"/>
      <c r="C54" s="167"/>
      <c r="D54" s="167"/>
      <c r="E54" s="168"/>
    </row>
    <row r="55" spans="2:5" x14ac:dyDescent="0.2">
      <c r="B55" s="42" t="s">
        <v>15</v>
      </c>
      <c r="C55" s="167"/>
      <c r="D55" s="167"/>
      <c r="E55" s="168"/>
    </row>
    <row r="56" spans="2:5" ht="13.5" thickBot="1" x14ac:dyDescent="0.25">
      <c r="B56" s="104"/>
      <c r="C56" s="169" t="s">
        <v>136</v>
      </c>
      <c r="D56" s="169"/>
      <c r="E56" s="170"/>
    </row>
  </sheetData>
  <mergeCells count="12">
    <mergeCell ref="C56:E56"/>
    <mergeCell ref="A6:B6"/>
    <mergeCell ref="A7:B7"/>
    <mergeCell ref="C51:E51"/>
    <mergeCell ref="B2:H2"/>
    <mergeCell ref="A4:B4"/>
    <mergeCell ref="C4:E4"/>
    <mergeCell ref="A5:B5"/>
    <mergeCell ref="C5:E5"/>
    <mergeCell ref="B41:E42"/>
    <mergeCell ref="B43:E43"/>
    <mergeCell ref="C45:E4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1"/>
  <sheetViews>
    <sheetView tabSelected="1" zoomScale="110" zoomScaleNormal="110" workbookViewId="0">
      <selection activeCell="A42" sqref="A42"/>
    </sheetView>
  </sheetViews>
  <sheetFormatPr baseColWidth="10" defaultColWidth="9.140625" defaultRowHeight="12.75" x14ac:dyDescent="0.2"/>
  <cols>
    <col min="1" max="1" width="5.5703125" style="48" customWidth="1"/>
    <col min="2" max="2" width="15.140625" style="48" customWidth="1"/>
    <col min="3" max="3" width="14.140625" style="48" customWidth="1"/>
    <col min="4" max="4" width="26" style="48" customWidth="1"/>
    <col min="5" max="5" width="8" style="48" customWidth="1"/>
    <col min="6" max="6" width="7.85546875" style="48" customWidth="1"/>
    <col min="7" max="7" width="48.5703125" style="48" customWidth="1"/>
    <col min="8" max="8" width="9.28515625" style="48" customWidth="1"/>
    <col min="9" max="9" width="15.5703125" style="48" customWidth="1"/>
    <col min="10" max="10" width="14.7109375" style="48" customWidth="1"/>
    <col min="11" max="11" width="15.5703125" style="48" customWidth="1"/>
    <col min="12" max="14" width="5.85546875" style="48" customWidth="1"/>
    <col min="15" max="15" width="12.5703125" style="48" customWidth="1"/>
    <col min="16" max="1024" width="9.140625" style="48"/>
    <col min="1025" max="16384" width="9.140625" style="49"/>
  </cols>
  <sheetData>
    <row r="1" spans="1:11" ht="18" customHeight="1" x14ac:dyDescent="0.2">
      <c r="A1" s="110" t="s">
        <v>16</v>
      </c>
      <c r="B1" s="110"/>
      <c r="C1" s="110"/>
      <c r="D1" s="110"/>
      <c r="E1" s="110"/>
      <c r="F1" s="110"/>
      <c r="G1" s="110"/>
      <c r="H1" s="110"/>
      <c r="I1" s="110"/>
      <c r="J1" s="46" t="s">
        <v>17</v>
      </c>
      <c r="K1" s="47" t="s">
        <v>135</v>
      </c>
    </row>
    <row r="2" spans="1:11" ht="18.75" customHeight="1" thickBo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</row>
    <row r="3" spans="1:11" ht="18.75" customHeight="1" thickBot="1" x14ac:dyDescent="0.25">
      <c r="A3" s="111" t="s">
        <v>50</v>
      </c>
      <c r="B3" s="111"/>
      <c r="C3" s="111"/>
      <c r="D3" s="112" t="str">
        <f>'Necesidades Trimestrales'!C4</f>
        <v>040 -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25">
      <c r="A4" s="113" t="s">
        <v>51</v>
      </c>
      <c r="B4" s="113"/>
      <c r="C4" s="113"/>
      <c r="D4" s="112" t="str">
        <f>'Necesidades Trimestrales'!C5</f>
        <v>024 - Hospital Interzonal de Niños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25">
      <c r="A5" s="113" t="s">
        <v>29</v>
      </c>
      <c r="B5" s="113"/>
      <c r="C5" s="113"/>
      <c r="D5" s="112" t="s">
        <v>53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25">
      <c r="A6" s="111" t="s">
        <v>52</v>
      </c>
      <c r="B6" s="111"/>
      <c r="C6" s="111"/>
      <c r="D6" s="112" t="s">
        <v>128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">
      <c r="A7" s="113" t="s">
        <v>18</v>
      </c>
      <c r="B7" s="113"/>
      <c r="C7" s="113"/>
      <c r="D7" s="112" t="str">
        <f>'Necesidades Trimestrales'!C7 &amp; "° Trimestre - Año " &amp; 'Necesidades Trimestrales'!C6</f>
        <v>4° Trimestre - Año 2020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">
      <c r="A8" s="114" t="s">
        <v>19</v>
      </c>
      <c r="B8" s="114"/>
      <c r="C8" s="114"/>
      <c r="D8" s="115" t="s">
        <v>129</v>
      </c>
      <c r="E8" s="115"/>
      <c r="F8" s="115"/>
      <c r="G8" s="115"/>
      <c r="H8" s="115"/>
      <c r="I8" s="115"/>
      <c r="J8" s="115"/>
      <c r="K8" s="115"/>
    </row>
    <row r="9" spans="1:11" ht="15.75" x14ac:dyDescent="0.2">
      <c r="A9" s="52"/>
      <c r="B9" s="52"/>
      <c r="C9" s="52"/>
      <c r="D9" s="53"/>
      <c r="E9" s="53"/>
      <c r="F9" s="53"/>
      <c r="G9" s="53"/>
      <c r="H9" s="53"/>
      <c r="I9" s="53"/>
      <c r="J9" s="53"/>
      <c r="K9" s="53"/>
    </row>
    <row r="10" spans="1:11" ht="18.75" customHeight="1" x14ac:dyDescent="0.2">
      <c r="A10" s="116" t="s">
        <v>20</v>
      </c>
      <c r="B10" s="117" t="s">
        <v>21</v>
      </c>
      <c r="C10" s="117" t="s">
        <v>22</v>
      </c>
      <c r="D10" s="117"/>
      <c r="E10" s="117"/>
      <c r="F10" s="117"/>
      <c r="G10" s="117"/>
      <c r="H10" s="117" t="s">
        <v>23</v>
      </c>
      <c r="I10" s="117" t="s">
        <v>24</v>
      </c>
      <c r="J10" s="117" t="s">
        <v>25</v>
      </c>
      <c r="K10" s="118" t="s">
        <v>26</v>
      </c>
    </row>
    <row r="11" spans="1:11" ht="24" customHeight="1" x14ac:dyDescent="0.2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8"/>
    </row>
    <row r="12" spans="1:11" ht="27.75" customHeight="1" x14ac:dyDescent="0.2">
      <c r="A12" s="54">
        <v>1</v>
      </c>
      <c r="B12" s="55" t="str">
        <f>'Necesidades Trimestrales'!B10</f>
        <v>2.9.1-564.5</v>
      </c>
      <c r="C12" s="120" t="str">
        <f>'Necesidades Trimestrales'!E10</f>
        <v>BALDES DE PLASTICO; CAPACIDAD: 10 L, COLOR: AMARILLO</v>
      </c>
      <c r="D12" s="120"/>
      <c r="E12" s="120"/>
      <c r="F12" s="120"/>
      <c r="G12" s="120"/>
      <c r="H12" s="56" t="s">
        <v>56</v>
      </c>
      <c r="I12" s="57" t="str">
        <f>'Necesidades Trimestrales'!F10</f>
        <v>UNIDAD</v>
      </c>
      <c r="J12" s="58">
        <f>'Necesidades Trimestrales'!H10</f>
        <v>135</v>
      </c>
      <c r="K12" s="59">
        <f>'Necesidades Trimestrales'!G10</f>
        <v>20</v>
      </c>
    </row>
    <row r="13" spans="1:11" ht="20.25" customHeight="1" x14ac:dyDescent="0.2">
      <c r="A13" s="60">
        <v>2</v>
      </c>
      <c r="B13" s="61" t="str">
        <f>'Necesidades Trimestrales'!B11</f>
        <v>2.3.4-783.84</v>
      </c>
      <c r="C13" s="109" t="str">
        <f>'Necesidades Trimestrales'!E11</f>
        <v>TOALLAS DE PAPEL; MATERIAL: FIBRA CELULOSICA, GRAMAJE: 20 GR/M2, DIMENSION: 25 Cm, PRESENTACION: 2 X BOBINA X 400 M</v>
      </c>
      <c r="D13" s="109"/>
      <c r="E13" s="109"/>
      <c r="F13" s="109"/>
      <c r="G13" s="109"/>
      <c r="H13" s="62" t="s">
        <v>56</v>
      </c>
      <c r="I13" s="63" t="str">
        <f>'Necesidades Trimestrales'!F11</f>
        <v>ROLLO</v>
      </c>
      <c r="J13" s="64">
        <f>'Necesidades Trimestrales'!H11</f>
        <v>490</v>
      </c>
      <c r="K13" s="65">
        <f>'Necesidades Trimestrales'!G11</f>
        <v>200</v>
      </c>
    </row>
    <row r="14" spans="1:11" ht="20.25" customHeight="1" x14ac:dyDescent="0.2">
      <c r="A14" s="66">
        <v>3</v>
      </c>
      <c r="B14" s="61" t="str">
        <f>'Necesidades Trimestrales'!B12</f>
        <v>2.9.5-1908.29</v>
      </c>
      <c r="C14" s="109" t="str">
        <f>'Necesidades Trimestrales'!E12</f>
        <v>CEPILLOS P/LABORATORIO; TIPO: P/LIMPIEZA BIBERONES, MATERIAL: CERDA , TAMAÑO: DIAM. 8</v>
      </c>
      <c r="D14" s="109"/>
      <c r="E14" s="109"/>
      <c r="F14" s="109"/>
      <c r="G14" s="109"/>
      <c r="H14" s="62" t="s">
        <v>56</v>
      </c>
      <c r="I14" s="63" t="str">
        <f>'Necesidades Trimestrales'!F12</f>
        <v>UNIDAD</v>
      </c>
      <c r="J14" s="64">
        <f>'Necesidades Trimestrales'!H12</f>
        <v>839</v>
      </c>
      <c r="K14" s="65">
        <f>'Necesidades Trimestrales'!G12</f>
        <v>30</v>
      </c>
    </row>
    <row r="15" spans="1:11" ht="20.25" customHeight="1" x14ac:dyDescent="0.2">
      <c r="A15" s="66">
        <v>4</v>
      </c>
      <c r="B15" s="61" t="str">
        <f>'Necesidades Trimestrales'!B13</f>
        <v>2.9.1-6951.60</v>
      </c>
      <c r="C15" s="109" t="str">
        <f>'Necesidades Trimestrales'!E13</f>
        <v>LIMPIADORES; TIPO: DESENGRASANTE, PRESENTACION: ENVASE X 5 L</v>
      </c>
      <c r="D15" s="109"/>
      <c r="E15" s="109"/>
      <c r="F15" s="109"/>
      <c r="G15" s="109"/>
      <c r="H15" s="62" t="s">
        <v>56</v>
      </c>
      <c r="I15" s="63" t="str">
        <f>'Necesidades Trimestrales'!F13</f>
        <v>BIDON</v>
      </c>
      <c r="J15" s="64">
        <f>'Necesidades Trimestrales'!H13</f>
        <v>669.1</v>
      </c>
      <c r="K15" s="65">
        <f>'Necesidades Trimestrales'!G13</f>
        <v>10</v>
      </c>
    </row>
    <row r="16" spans="1:11" ht="20.25" customHeight="1" x14ac:dyDescent="0.2">
      <c r="A16" s="66">
        <v>5</v>
      </c>
      <c r="B16" s="61" t="str">
        <f>'Necesidades Trimestrales'!B14</f>
        <v>2.5.4-505.92</v>
      </c>
      <c r="C16" s="109" t="str">
        <f>'Necesidades Trimestrales'!E14</f>
        <v>DESINFECTANTES; PRINCIPIO ACTIVO: 2-FENIFENOL+ETANOL, CONTROL: BACTERIAS, PRESENTACION: ENVASE X 360 CM3</v>
      </c>
      <c r="D16" s="109"/>
      <c r="E16" s="109"/>
      <c r="F16" s="109"/>
      <c r="G16" s="109"/>
      <c r="H16" s="62" t="s">
        <v>56</v>
      </c>
      <c r="I16" s="63" t="str">
        <f>'Necesidades Trimestrales'!F14</f>
        <v>UNIDAD</v>
      </c>
      <c r="J16" s="64">
        <f>'Necesidades Trimestrales'!H14</f>
        <v>113.06</v>
      </c>
      <c r="K16" s="65">
        <f>'Necesidades Trimestrales'!G14</f>
        <v>150</v>
      </c>
    </row>
    <row r="17" spans="1:11" ht="20.25" customHeight="1" x14ac:dyDescent="0.2">
      <c r="A17" s="66">
        <v>6</v>
      </c>
      <c r="B17" s="61" t="str">
        <f>'Necesidades Trimestrales'!B15</f>
        <v>2.9.1-6951.41</v>
      </c>
      <c r="C17" s="109" t="str">
        <f>'Necesidades Trimestrales'!E15</f>
        <v>LIMPIADORES; TIPO: DESINFECTANTE P/PISO, PRESENTACION: ENVASE X 5 L</v>
      </c>
      <c r="D17" s="109"/>
      <c r="E17" s="109"/>
      <c r="F17" s="109"/>
      <c r="G17" s="109"/>
      <c r="H17" s="62" t="s">
        <v>56</v>
      </c>
      <c r="I17" s="63" t="str">
        <f>'Necesidades Trimestrales'!F15</f>
        <v>BIDON</v>
      </c>
      <c r="J17" s="64">
        <f>'Necesidades Trimestrales'!H15</f>
        <v>275</v>
      </c>
      <c r="K17" s="65">
        <f>'Necesidades Trimestrales'!G15</f>
        <v>400</v>
      </c>
    </row>
    <row r="18" spans="1:11" ht="20.25" customHeight="1" x14ac:dyDescent="0.2">
      <c r="A18" s="66">
        <v>7</v>
      </c>
      <c r="B18" s="61" t="str">
        <f>'Necesidades Trimestrales'!B16</f>
        <v>2.9.1-6961.6</v>
      </c>
      <c r="C18" s="109" t="str">
        <f>'Necesidades Trimestrales'!E16</f>
        <v>ELEM. P/LIMPIEZA SANITARIOS; TIPO: PASTILLA DESODORANTE, PRESENTACION: UNIDAD</v>
      </c>
      <c r="D18" s="109"/>
      <c r="E18" s="109"/>
      <c r="F18" s="109"/>
      <c r="G18" s="109"/>
      <c r="H18" s="62" t="s">
        <v>56</v>
      </c>
      <c r="I18" s="63" t="str">
        <f>'Necesidades Trimestrales'!F16</f>
        <v>UNIDAD</v>
      </c>
      <c r="J18" s="64">
        <f>'Necesidades Trimestrales'!H16</f>
        <v>40</v>
      </c>
      <c r="K18" s="65">
        <f>'Necesidades Trimestrales'!G16</f>
        <v>50</v>
      </c>
    </row>
    <row r="19" spans="1:11" ht="20.25" customHeight="1" x14ac:dyDescent="0.2">
      <c r="A19" s="66">
        <v>8</v>
      </c>
      <c r="B19" s="61" t="str">
        <f>'Necesidades Trimestrales'!B17</f>
        <v>2.9.1-6951.214</v>
      </c>
      <c r="C19" s="109" t="str">
        <f>'Necesidades Trimestrales'!E17</f>
        <v>LIMPIADORES; TIPO: DETERGENTE NEUTRO, PRESENTACION: ENVASE X 5 L</v>
      </c>
      <c r="D19" s="109"/>
      <c r="E19" s="109"/>
      <c r="F19" s="109"/>
      <c r="G19" s="109"/>
      <c r="H19" s="62" t="s">
        <v>56</v>
      </c>
      <c r="I19" s="63" t="str">
        <f>'Necesidades Trimestrales'!F17</f>
        <v>BIDON</v>
      </c>
      <c r="J19" s="64">
        <f>'Necesidades Trimestrales'!H17</f>
        <v>650</v>
      </c>
      <c r="K19" s="65">
        <f>'Necesidades Trimestrales'!G17</f>
        <v>360</v>
      </c>
    </row>
    <row r="20" spans="1:11" ht="20.25" customHeight="1" x14ac:dyDescent="0.2">
      <c r="A20" s="66">
        <v>9</v>
      </c>
      <c r="B20" s="61" t="str">
        <f>'Necesidades Trimestrales'!B18</f>
        <v>2.9.1-6952.54</v>
      </c>
      <c r="C20" s="109" t="str">
        <f>'Necesidades Trimestrales'!E18</f>
        <v>CEPILLOS; TIPO: ESCOBILLON, MATERIAL: PLASTICO</v>
      </c>
      <c r="D20" s="109"/>
      <c r="E20" s="109"/>
      <c r="F20" s="109"/>
      <c r="G20" s="109"/>
      <c r="H20" s="62" t="s">
        <v>56</v>
      </c>
      <c r="I20" s="63" t="str">
        <f>'Necesidades Trimestrales'!F18</f>
        <v>UNIDAD</v>
      </c>
      <c r="J20" s="64">
        <f>'Necesidades Trimestrales'!H18</f>
        <v>110</v>
      </c>
      <c r="K20" s="65">
        <f>'Necesidades Trimestrales'!G18</f>
        <v>15</v>
      </c>
    </row>
    <row r="21" spans="1:11" ht="20.25" customHeight="1" x14ac:dyDescent="0.2">
      <c r="A21" s="66">
        <v>10</v>
      </c>
      <c r="B21" s="61" t="str">
        <f>'Necesidades Trimestrales'!B19</f>
        <v>2.1.5-393.19</v>
      </c>
      <c r="C21" s="109" t="str">
        <f>'Necesidades Trimestrales'!E19</f>
        <v>CABOS DE MADERA; FORMA: RECTO C/ROSCA, APLICACION: ESCOBILLON</v>
      </c>
      <c r="D21" s="109"/>
      <c r="E21" s="109"/>
      <c r="F21" s="109"/>
      <c r="G21" s="109"/>
      <c r="H21" s="62" t="s">
        <v>56</v>
      </c>
      <c r="I21" s="63" t="str">
        <f>'Necesidades Trimestrales'!F19</f>
        <v>UNIDAD</v>
      </c>
      <c r="J21" s="64">
        <f>'Necesidades Trimestrales'!H19</f>
        <v>45</v>
      </c>
      <c r="K21" s="65">
        <f>'Necesidades Trimestrales'!G19</f>
        <v>15</v>
      </c>
    </row>
    <row r="22" spans="1:11" ht="20.25" customHeight="1" x14ac:dyDescent="0.2">
      <c r="A22" s="66">
        <v>11</v>
      </c>
      <c r="B22" s="61" t="str">
        <f>'Necesidades Trimestrales'!B20</f>
        <v>2.9.1-2030.1</v>
      </c>
      <c r="C22" s="109" t="str">
        <f>'Necesidades Trimestrales'!E20</f>
        <v>LANAS DE ACERO; PRESENTACION: PAQUETE, CONTENIDO: MADEJA</v>
      </c>
      <c r="D22" s="109"/>
      <c r="E22" s="109"/>
      <c r="F22" s="109"/>
      <c r="G22" s="109"/>
      <c r="H22" s="62" t="s">
        <v>56</v>
      </c>
      <c r="I22" s="63" t="str">
        <f>'Necesidades Trimestrales'!F20</f>
        <v>PAQUETE</v>
      </c>
      <c r="J22" s="64">
        <f>'Necesidades Trimestrales'!H20</f>
        <v>30</v>
      </c>
      <c r="K22" s="65">
        <f>'Necesidades Trimestrales'!G20</f>
        <v>100</v>
      </c>
    </row>
    <row r="23" spans="1:11" ht="20.25" customHeight="1" x14ac:dyDescent="0.2">
      <c r="A23" s="66">
        <v>12</v>
      </c>
      <c r="B23" s="61" t="str">
        <f>'Necesidades Trimestrales'!B21</f>
        <v>2.9.1-1164.26</v>
      </c>
      <c r="C23" s="109" t="str">
        <f>'Necesidades Trimestrales'!E21</f>
        <v>ESPONJAS; USO: LIMPIEZA, ADITAMENTO: SIN VALOR, FORMA: RECTANGULAR, COLOR: AMARILLO, MATERIAL: FIBRA, LARGO X ANCHO X ESP: 9,7 X 5,7 X 3,5 Cm</v>
      </c>
      <c r="D23" s="109"/>
      <c r="E23" s="109"/>
      <c r="F23" s="109"/>
      <c r="G23" s="109"/>
      <c r="H23" s="62" t="s">
        <v>56</v>
      </c>
      <c r="I23" s="63" t="str">
        <f>'Necesidades Trimestrales'!F21</f>
        <v>UNIDAD</v>
      </c>
      <c r="J23" s="64">
        <f>'Necesidades Trimestrales'!H21</f>
        <v>30</v>
      </c>
      <c r="K23" s="65">
        <f>'Necesidades Trimestrales'!G21</f>
        <v>150</v>
      </c>
    </row>
    <row r="24" spans="1:11" ht="20.25" customHeight="1" x14ac:dyDescent="0.2">
      <c r="A24" s="66">
        <v>13</v>
      </c>
      <c r="B24" s="61" t="str">
        <f>'Necesidades Trimestrales'!B22</f>
        <v>2.9.1-761.4</v>
      </c>
      <c r="C24" s="109" t="str">
        <f>'Necesidades Trimestrales'!E22</f>
        <v>GUANTES P/LIMPIEZA; TAMAÑO: EXTRA GRANDE, MATERIAL: LATEX</v>
      </c>
      <c r="D24" s="109"/>
      <c r="E24" s="109"/>
      <c r="F24" s="109"/>
      <c r="G24" s="109"/>
      <c r="H24" s="62" t="s">
        <v>56</v>
      </c>
      <c r="I24" s="63" t="str">
        <f>'Necesidades Trimestrales'!F22</f>
        <v>PAR</v>
      </c>
      <c r="J24" s="64">
        <f>'Necesidades Trimestrales'!H22</f>
        <v>145</v>
      </c>
      <c r="K24" s="65">
        <f>'Necesidades Trimestrales'!G22</f>
        <v>100</v>
      </c>
    </row>
    <row r="25" spans="1:11" ht="20.25" customHeight="1" x14ac:dyDescent="0.2">
      <c r="A25" s="66">
        <v>14</v>
      </c>
      <c r="B25" s="61" t="str">
        <f>'Necesidades Trimestrales'!B23</f>
        <v>2.9.1-761.1</v>
      </c>
      <c r="C25" s="109" t="str">
        <f>'Necesidades Trimestrales'!E23</f>
        <v>GUANTES P/LIMPIEZA; TAMAÑO: GRANDE, MATERIAL: LATEX</v>
      </c>
      <c r="D25" s="109"/>
      <c r="E25" s="109"/>
      <c r="F25" s="109"/>
      <c r="G25" s="109"/>
      <c r="H25" s="62" t="s">
        <v>56</v>
      </c>
      <c r="I25" s="63" t="str">
        <f>'Necesidades Trimestrales'!F23</f>
        <v>PAR</v>
      </c>
      <c r="J25" s="64">
        <f>'Necesidades Trimestrales'!H23</f>
        <v>145</v>
      </c>
      <c r="K25" s="65">
        <f>'Necesidades Trimestrales'!G23</f>
        <v>200</v>
      </c>
    </row>
    <row r="26" spans="1:11" ht="20.25" customHeight="1" x14ac:dyDescent="0.2">
      <c r="A26" s="66">
        <v>15</v>
      </c>
      <c r="B26" s="61" t="str">
        <f>'Necesidades Trimestrales'!B24</f>
        <v>2.9.1-6960.56</v>
      </c>
      <c r="C26" s="109" t="str">
        <f>'Necesidades Trimestrales'!E24</f>
        <v>ELEM. LIMPIEZA P/INDUMENTARIA; TIPO: JABON EN POLVO BAJA ESPUMA, PRESENTACION: ENVASE X 25 Kg</v>
      </c>
      <c r="D26" s="109"/>
      <c r="E26" s="109"/>
      <c r="F26" s="109"/>
      <c r="G26" s="109"/>
      <c r="H26" s="62" t="s">
        <v>56</v>
      </c>
      <c r="I26" s="63" t="str">
        <f>'Necesidades Trimestrales'!F24</f>
        <v>BOLSA</v>
      </c>
      <c r="J26" s="64">
        <f>'Necesidades Trimestrales'!H24</f>
        <v>2603</v>
      </c>
      <c r="K26" s="65">
        <f>'Necesidades Trimestrales'!G24</f>
        <v>20</v>
      </c>
    </row>
    <row r="27" spans="1:11" ht="20.25" customHeight="1" x14ac:dyDescent="0.2">
      <c r="A27" s="66">
        <v>16</v>
      </c>
      <c r="B27" s="61" t="str">
        <f>'Necesidades Trimestrales'!B25</f>
        <v>2.9.1-6956.50</v>
      </c>
      <c r="C27" s="109" t="str">
        <f>'Necesidades Trimestrales'!E25</f>
        <v>ARTICULOS DE TOCADOR; TIPO: JABON DE TOCADOR, PRESENTACION: CAJA X 60 X 90 GR</v>
      </c>
      <c r="D27" s="109"/>
      <c r="E27" s="109"/>
      <c r="F27" s="109"/>
      <c r="G27" s="109"/>
      <c r="H27" s="62" t="s">
        <v>56</v>
      </c>
      <c r="I27" s="63" t="str">
        <f>'Necesidades Trimestrales'!F25</f>
        <v>CAJA</v>
      </c>
      <c r="J27" s="64">
        <f>'Necesidades Trimestrales'!H25</f>
        <v>1800</v>
      </c>
      <c r="K27" s="65">
        <f>'Necesidades Trimestrales'!G25</f>
        <v>2</v>
      </c>
    </row>
    <row r="28" spans="1:11" ht="20.25" customHeight="1" x14ac:dyDescent="0.2">
      <c r="A28" s="66">
        <v>17</v>
      </c>
      <c r="B28" s="61" t="str">
        <f>'Necesidades Trimestrales'!B26</f>
        <v>2.9.1-1164.22</v>
      </c>
      <c r="C28" s="109" t="str">
        <f>'Necesidades Trimestrales'!E26</f>
        <v>ESPONJAS; MATERIAL: ACERO INOXIDABLE, USO: LIMPIEZA, ADITAMENTO: SIN, FORMA: MADEJA 15 GR, LARGO X ANCHO X ESP: SIN VALOR, COLOR: ACERO</v>
      </c>
      <c r="D28" s="109"/>
      <c r="E28" s="109"/>
      <c r="F28" s="109"/>
      <c r="G28" s="109"/>
      <c r="H28" s="62" t="s">
        <v>56</v>
      </c>
      <c r="I28" s="63" t="str">
        <f>'Necesidades Trimestrales'!F26</f>
        <v>UNIDAD</v>
      </c>
      <c r="J28" s="64">
        <f>'Necesidades Trimestrales'!H26</f>
        <v>35</v>
      </c>
      <c r="K28" s="65">
        <f>'Necesidades Trimestrales'!G26</f>
        <v>100</v>
      </c>
    </row>
    <row r="29" spans="1:11" ht="20.25" customHeight="1" x14ac:dyDescent="0.2">
      <c r="A29" s="66">
        <v>18</v>
      </c>
      <c r="B29" s="61" t="str">
        <f>'Necesidades Trimestrales'!B27</f>
        <v>2.9.1-6951.27</v>
      </c>
      <c r="C29" s="109" t="str">
        <f>'Necesidades Trimestrales'!E27</f>
        <v>LIMPIADORES; TIPO: LAVANDINA, PRESENTACION: ENVASE X 2 L</v>
      </c>
      <c r="D29" s="109"/>
      <c r="E29" s="109"/>
      <c r="F29" s="109"/>
      <c r="G29" s="109"/>
      <c r="H29" s="62" t="s">
        <v>56</v>
      </c>
      <c r="I29" s="63" t="str">
        <f>'Necesidades Trimestrales'!F27</f>
        <v>BOTELLA</v>
      </c>
      <c r="J29" s="64">
        <f>'Necesidades Trimestrales'!H27</f>
        <v>60</v>
      </c>
      <c r="K29" s="65">
        <f>'Necesidades Trimestrales'!G27</f>
        <v>1000</v>
      </c>
    </row>
    <row r="30" spans="1:11" ht="20.25" customHeight="1" x14ac:dyDescent="0.2">
      <c r="A30" s="66">
        <v>19</v>
      </c>
      <c r="B30" s="61" t="str">
        <f>'Necesidades Trimestrales'!B28</f>
        <v>2.3.4-786.91</v>
      </c>
      <c r="C30" s="109" t="str">
        <f>'Necesidades Trimestrales'!E28</f>
        <v>PAPEL HIGIENICO; PRESENTACION: CAJA X 20, TIPO: DOBLE, ANCHO: 10 Cm, LARGO: 80 M, TIPO DE HOJA: DOBLE</v>
      </c>
      <c r="D30" s="109"/>
      <c r="E30" s="109"/>
      <c r="F30" s="109"/>
      <c r="G30" s="109"/>
      <c r="H30" s="62" t="s">
        <v>56</v>
      </c>
      <c r="I30" s="63" t="str">
        <f>'Necesidades Trimestrales'!F28</f>
        <v>CAJA</v>
      </c>
      <c r="J30" s="64">
        <f>'Necesidades Trimestrales'!H28</f>
        <v>600</v>
      </c>
      <c r="K30" s="65">
        <f>'Necesidades Trimestrales'!G28</f>
        <v>30</v>
      </c>
    </row>
    <row r="31" spans="1:11" ht="20.25" customHeight="1" x14ac:dyDescent="0.2">
      <c r="A31" s="66">
        <v>20</v>
      </c>
      <c r="B31" s="61" t="str">
        <f>'Necesidades Trimestrales'!B29</f>
        <v>2.9.1-6951.174</v>
      </c>
      <c r="C31" s="109" t="str">
        <f>'Necesidades Trimestrales'!E29</f>
        <v>LIMPIADORES; TIPO: POLVO LIMPIADOR, PRESENTACION: ENVASE X 400 GR</v>
      </c>
      <c r="D31" s="109"/>
      <c r="E31" s="109"/>
      <c r="F31" s="109"/>
      <c r="G31" s="109"/>
      <c r="H31" s="62" t="s">
        <v>56</v>
      </c>
      <c r="I31" s="63" t="str">
        <f>'Necesidades Trimestrales'!F29</f>
        <v>TARRO</v>
      </c>
      <c r="J31" s="64">
        <f>'Necesidades Trimestrales'!H29</f>
        <v>150</v>
      </c>
      <c r="K31" s="65">
        <f>'Necesidades Trimestrales'!G29</f>
        <v>50</v>
      </c>
    </row>
    <row r="32" spans="1:11" ht="20.25" customHeight="1" x14ac:dyDescent="0.2">
      <c r="A32" s="66">
        <v>21</v>
      </c>
      <c r="B32" s="61" t="str">
        <f>'Necesidades Trimestrales'!B30</f>
        <v>2.9.1-683.6</v>
      </c>
      <c r="C32" s="109" t="str">
        <f>'Necesidades Trimestrales'!E30</f>
        <v>SECADORES DE GOMA; COLOR: NEGRO, LARGO: 50 Cm</v>
      </c>
      <c r="D32" s="109"/>
      <c r="E32" s="109"/>
      <c r="F32" s="109"/>
      <c r="G32" s="109"/>
      <c r="H32" s="62" t="s">
        <v>56</v>
      </c>
      <c r="I32" s="63" t="str">
        <f>'Necesidades Trimestrales'!F30</f>
        <v>UNIDAD</v>
      </c>
      <c r="J32" s="64">
        <f>'Necesidades Trimestrales'!H30</f>
        <v>128</v>
      </c>
      <c r="K32" s="65">
        <f>'Necesidades Trimestrales'!G30</f>
        <v>200</v>
      </c>
    </row>
    <row r="33" spans="1:11" ht="20.25" customHeight="1" x14ac:dyDescent="0.2">
      <c r="A33" s="66">
        <v>22</v>
      </c>
      <c r="B33" s="61" t="str">
        <f>'Necesidades Trimestrales'!B31</f>
        <v>2.9.1-678.1</v>
      </c>
      <c r="C33" s="109" t="str">
        <f>'Necesidades Trimestrales'!E31</f>
        <v>TRAPOS REJILLA; DIMENSION: 38 X 42 Cm, MATERIAL: PURO ALGODON, COLOR: BLANCO</v>
      </c>
      <c r="D33" s="109"/>
      <c r="E33" s="109"/>
      <c r="F33" s="109"/>
      <c r="G33" s="109"/>
      <c r="H33" s="62" t="s">
        <v>56</v>
      </c>
      <c r="I33" s="63" t="str">
        <f>'Necesidades Trimestrales'!F31</f>
        <v>UNIDAD</v>
      </c>
      <c r="J33" s="64">
        <f>'Necesidades Trimestrales'!H31</f>
        <v>40</v>
      </c>
      <c r="K33" s="65">
        <f>'Necesidades Trimestrales'!G31</f>
        <v>200</v>
      </c>
    </row>
    <row r="34" spans="1:11" ht="20.25" customHeight="1" x14ac:dyDescent="0.2">
      <c r="A34" s="66">
        <v>23</v>
      </c>
      <c r="B34" s="61" t="str">
        <f>'Necesidades Trimestrales'!B32</f>
        <v>2.9.1-713.12</v>
      </c>
      <c r="C34" s="109" t="str">
        <f>'Necesidades Trimestrales'!E32</f>
        <v>TRAPOS DE PISO; DIMENSION: 50 X 55 Cm, COLOR: GRIS</v>
      </c>
      <c r="D34" s="109"/>
      <c r="E34" s="109"/>
      <c r="F34" s="109"/>
      <c r="G34" s="109"/>
      <c r="H34" s="62" t="s">
        <v>56</v>
      </c>
      <c r="I34" s="63" t="str">
        <f>'Necesidades Trimestrales'!F32</f>
        <v>UNIDAD</v>
      </c>
      <c r="J34" s="64">
        <f>'Necesidades Trimestrales'!H32</f>
        <v>50</v>
      </c>
      <c r="K34" s="65">
        <f>'Necesidades Trimestrales'!G32</f>
        <v>300</v>
      </c>
    </row>
    <row r="35" spans="1:11" ht="20.25" customHeight="1" x14ac:dyDescent="0.2">
      <c r="A35" s="66">
        <v>24</v>
      </c>
      <c r="B35" s="61" t="str">
        <f>'Necesidades Trimestrales'!B33</f>
        <v>2.3.4-783.90</v>
      </c>
      <c r="C35" s="109" t="str">
        <f>'Necesidades Trimestrales'!E33</f>
        <v>TOALLAS DE PAPEL; MATERIAL: PAPEL ABSORBENTE, GRAMAJE: 35 GR, DIMENSION: 20 X 24 Cm, PRESENTACION: ENVASE X 2500 HOJAS</v>
      </c>
      <c r="D35" s="109"/>
      <c r="E35" s="109"/>
      <c r="F35" s="109"/>
      <c r="G35" s="109"/>
      <c r="H35" s="62" t="s">
        <v>56</v>
      </c>
      <c r="I35" s="63" t="str">
        <f>'Necesidades Trimestrales'!F33</f>
        <v>CAJA</v>
      </c>
      <c r="J35" s="64">
        <f>'Necesidades Trimestrales'!H33</f>
        <v>528</v>
      </c>
      <c r="K35" s="65">
        <f>'Necesidades Trimestrales'!G33</f>
        <v>300</v>
      </c>
    </row>
    <row r="36" spans="1:11" ht="20.25" customHeight="1" x14ac:dyDescent="0.2">
      <c r="A36" s="66">
        <v>25</v>
      </c>
      <c r="B36" s="61" t="str">
        <f>'Necesidades Trimestrales'!B34</f>
        <v>2.3.4-783.40</v>
      </c>
      <c r="C36" s="109" t="str">
        <f>'Necesidades Trimestrales'!E34</f>
        <v>TOALLAS DE PAPEL; MATERIAL: PAPEL, GRAMAJE: SIN VALOR, DIMENSION: 22,8 (ANCHO) Cm, COLOR: BLANCO, PRESENTACION: ROLLO</v>
      </c>
      <c r="D36" s="109"/>
      <c r="E36" s="109"/>
      <c r="F36" s="109"/>
      <c r="G36" s="109"/>
      <c r="H36" s="62" t="s">
        <v>56</v>
      </c>
      <c r="I36" s="63" t="str">
        <f>'Necesidades Trimestrales'!F34</f>
        <v>ROLLO</v>
      </c>
      <c r="J36" s="64">
        <f>'Necesidades Trimestrales'!H34</f>
        <v>25</v>
      </c>
      <c r="K36" s="65">
        <f>'Necesidades Trimestrales'!G34</f>
        <v>510</v>
      </c>
    </row>
    <row r="37" spans="1:11" ht="20.25" customHeight="1" x14ac:dyDescent="0.2">
      <c r="A37" s="66">
        <v>26</v>
      </c>
      <c r="B37" s="61" t="str">
        <f>'Necesidades Trimestrales'!B35</f>
        <v>2.9.1-2661.25</v>
      </c>
      <c r="C37" s="109" t="str">
        <f>'Necesidades Trimestrales'!E35</f>
        <v>TACHOS DE RESIDUOS; MATERIAL: PLASTICO, SECCION: RECTANGULAR, DIMENSION: 10 L, TAPA: VAIVEN</v>
      </c>
      <c r="D37" s="109"/>
      <c r="E37" s="109"/>
      <c r="F37" s="109"/>
      <c r="G37" s="109"/>
      <c r="H37" s="62" t="s">
        <v>56</v>
      </c>
      <c r="I37" s="63" t="str">
        <f>'Necesidades Trimestrales'!F35</f>
        <v>UNIDAD</v>
      </c>
      <c r="J37" s="64">
        <f>'Necesidades Trimestrales'!H35</f>
        <v>240</v>
      </c>
      <c r="K37" s="65">
        <f>'Necesidades Trimestrales'!G35</f>
        <v>30</v>
      </c>
    </row>
    <row r="38" spans="1:11" ht="20.25" customHeight="1" x14ac:dyDescent="0.2">
      <c r="A38" s="66">
        <v>27</v>
      </c>
      <c r="B38" s="61" t="str">
        <f>'Necesidades Trimestrales'!B36</f>
        <v>2.9.1-2661.34</v>
      </c>
      <c r="C38" s="109" t="str">
        <f>'Necesidades Trimestrales'!E36</f>
        <v>TACHOS DE RESIDUOS; MATERIAL: PLASTICO, SECCION: RECTANGULAR, DIMENSION: 20 L, TAPA: A PEDAL</v>
      </c>
      <c r="D38" s="109"/>
      <c r="E38" s="109"/>
      <c r="F38" s="109"/>
      <c r="G38" s="109"/>
      <c r="H38" s="62" t="s">
        <v>56</v>
      </c>
      <c r="I38" s="63" t="str">
        <f>'Necesidades Trimestrales'!F36</f>
        <v>UNIDAD</v>
      </c>
      <c r="J38" s="64">
        <f>'Necesidades Trimestrales'!H36</f>
        <v>480</v>
      </c>
      <c r="K38" s="65">
        <f>'Necesidades Trimestrales'!G36</f>
        <v>10</v>
      </c>
    </row>
    <row r="39" spans="1:11" ht="20.25" customHeight="1" x14ac:dyDescent="0.2">
      <c r="A39" s="66">
        <v>28</v>
      </c>
      <c r="B39" s="61" t="str">
        <f>'Necesidades Trimestrales'!B37</f>
        <v>2.9.1-646.16</v>
      </c>
      <c r="C39" s="109" t="str">
        <f>'Necesidades Trimestrales'!E37</f>
        <v>BOLSAS DE RESIDUOS; COLOR: OBSCURO, ESPESOR: 30 Mn, DIMENSION: 45 X 60 Cm, PRESENTACION: SIN VALOR</v>
      </c>
      <c r="D39" s="109"/>
      <c r="E39" s="109"/>
      <c r="F39" s="109"/>
      <c r="G39" s="109"/>
      <c r="H39" s="62" t="s">
        <v>56</v>
      </c>
      <c r="I39" s="63" t="str">
        <f>'Necesidades Trimestrales'!F37</f>
        <v>UNIDAD</v>
      </c>
      <c r="J39" s="64">
        <f>'Necesidades Trimestrales'!H37</f>
        <v>1.5</v>
      </c>
      <c r="K39" s="65">
        <f>'Necesidades Trimestrales'!G37</f>
        <v>30000</v>
      </c>
    </row>
    <row r="40" spans="1:11" ht="20.25" customHeight="1" thickBot="1" x14ac:dyDescent="0.25">
      <c r="A40" s="66">
        <v>29</v>
      </c>
      <c r="B40" s="61" t="str">
        <f>'Necesidades Trimestrales'!B38</f>
        <v>2.9.1-646.26</v>
      </c>
      <c r="C40" s="109" t="str">
        <f>'Necesidades Trimestrales'!E38</f>
        <v>BOLSAS DE RESIDUOS; DIMENSION: 60 X 90 Cm, ESPESOR: 30 mm, PRESENTACION: POR UNIDAD, COLOR: OSCURO</v>
      </c>
      <c r="D40" s="109"/>
      <c r="E40" s="109"/>
      <c r="F40" s="109"/>
      <c r="G40" s="109"/>
      <c r="H40" s="62" t="s">
        <v>56</v>
      </c>
      <c r="I40" s="63" t="str">
        <f>'Necesidades Trimestrales'!F38</f>
        <v>UNIDAD</v>
      </c>
      <c r="J40" s="64">
        <f>'Necesidades Trimestrales'!H38</f>
        <v>4.5</v>
      </c>
      <c r="K40" s="65">
        <f>'Necesidades Trimestrales'!G38</f>
        <v>30000</v>
      </c>
    </row>
    <row r="41" spans="1:11" ht="20.25" customHeight="1" thickBot="1" x14ac:dyDescent="0.25">
      <c r="A41" s="112" t="s">
        <v>137</v>
      </c>
      <c r="B41" s="112"/>
      <c r="C41" s="112"/>
      <c r="D41" s="112"/>
      <c r="E41" s="112"/>
      <c r="F41" s="112"/>
      <c r="G41" s="112"/>
      <c r="H41" s="112"/>
      <c r="I41" s="112"/>
      <c r="J41" s="119">
        <f>SUMPRODUCT(J12:J40,K12:K40)</f>
        <v>1105255</v>
      </c>
      <c r="K41" s="119"/>
    </row>
  </sheetData>
  <mergeCells count="51">
    <mergeCell ref="C31:G31"/>
    <mergeCell ref="C22:G22"/>
    <mergeCell ref="C23:G23"/>
    <mergeCell ref="C24:G24"/>
    <mergeCell ref="C25:G25"/>
    <mergeCell ref="C26:G26"/>
    <mergeCell ref="A41:I41"/>
    <mergeCell ref="J41:K4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7:G27"/>
    <mergeCell ref="C28:G28"/>
    <mergeCell ref="C29:G29"/>
    <mergeCell ref="C30:G3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7:G37"/>
    <mergeCell ref="C38:G38"/>
    <mergeCell ref="C39:G39"/>
    <mergeCell ref="C40:G40"/>
    <mergeCell ref="C32:G32"/>
    <mergeCell ref="C33:G33"/>
    <mergeCell ref="C34:G34"/>
    <mergeCell ref="C35:G35"/>
    <mergeCell ref="C36:G3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25" sqref="A25:F2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1" t="s">
        <v>3</v>
      </c>
      <c r="B1" s="121"/>
      <c r="C1" s="121"/>
      <c r="D1" s="122">
        <f>'Necesidades Trimestrales'!C6</f>
        <v>2020</v>
      </c>
      <c r="E1" s="122"/>
      <c r="F1" s="3"/>
      <c r="G1" s="3"/>
      <c r="H1" s="4"/>
      <c r="I1" s="4"/>
      <c r="J1" s="4"/>
      <c r="K1" s="4"/>
      <c r="L1" s="4"/>
      <c r="M1" s="4"/>
      <c r="N1" s="4"/>
      <c r="P1" s="123" t="s">
        <v>27</v>
      </c>
      <c r="Q1" s="12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3"/>
      <c r="Q2" s="123"/>
    </row>
    <row r="4" spans="1:17" s="5" customFormat="1" ht="18" customHeight="1" thickBot="1" x14ac:dyDescent="0.25">
      <c r="A4" s="124" t="s">
        <v>28</v>
      </c>
      <c r="B4" s="124"/>
      <c r="C4" s="124"/>
      <c r="D4" s="124"/>
      <c r="E4" s="124"/>
      <c r="F4" s="124"/>
      <c r="G4" s="125" t="str">
        <f>' NotaPedido'!D3</f>
        <v>040 - Ministerio de Salud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s="5" customFormat="1" ht="18" customHeight="1" thickBot="1" x14ac:dyDescent="0.25">
      <c r="A5" s="126" t="s">
        <v>51</v>
      </c>
      <c r="B5" s="127"/>
      <c r="C5" s="127"/>
      <c r="D5" s="127"/>
      <c r="E5" s="127"/>
      <c r="F5" s="128"/>
      <c r="G5" s="125" t="str">
        <f>' NotaPedido'!D4</f>
        <v>024 - Hospital Interzonal de Niños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5" customFormat="1" ht="18" customHeight="1" thickBot="1" x14ac:dyDescent="0.25">
      <c r="A6" s="126" t="s">
        <v>29</v>
      </c>
      <c r="B6" s="127"/>
      <c r="C6" s="127"/>
      <c r="D6" s="127"/>
      <c r="E6" s="127"/>
      <c r="F6" s="128"/>
      <c r="G6" s="125" t="str">
        <f>' NotaPedido'!D5</f>
        <v>024 - Hospital Interzonal de Niños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5" customFormat="1" ht="18" customHeight="1" thickBot="1" x14ac:dyDescent="0.25">
      <c r="A7" s="126" t="s">
        <v>52</v>
      </c>
      <c r="B7" s="127"/>
      <c r="C7" s="127"/>
      <c r="D7" s="127"/>
      <c r="E7" s="127"/>
      <c r="F7" s="128"/>
      <c r="G7" s="125" t="str">
        <f>' NotaPedido'!D6</f>
        <v>Servicio de Economato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 x14ac:dyDescent="0.25">
      <c r="A8" s="129" t="s">
        <v>30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 x14ac:dyDescent="0.2">
      <c r="A9" s="130" t="s">
        <v>31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6"/>
    </row>
    <row r="10" spans="1:17" ht="54.75" customHeight="1" x14ac:dyDescent="0.2">
      <c r="A10" s="13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505/2020,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2" t="s">
        <v>32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 x14ac:dyDescent="0.2">
      <c r="A13" s="133" t="s">
        <v>33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34</v>
      </c>
      <c r="P13" s="134"/>
      <c r="Q13" s="135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34"/>
      <c r="P14" s="134"/>
      <c r="Q14" s="135"/>
    </row>
    <row r="15" spans="1:17" ht="22.5" customHeight="1" x14ac:dyDescent="0.2">
      <c r="A15" s="72">
        <v>36</v>
      </c>
      <c r="B15" s="73"/>
      <c r="C15" s="73"/>
      <c r="D15" s="73">
        <v>1</v>
      </c>
      <c r="E15" s="73"/>
      <c r="F15" s="73">
        <v>4901</v>
      </c>
      <c r="G15" s="73">
        <v>3</v>
      </c>
      <c r="H15" s="73">
        <v>310</v>
      </c>
      <c r="I15" s="74" t="str">
        <f>LEFT('Necesidades Trimestrales'!D10,1)</f>
        <v>2</v>
      </c>
      <c r="J15" s="74" t="str">
        <f>MID('Necesidades Trimestrales'!D10,3,1)</f>
        <v>1</v>
      </c>
      <c r="K15" s="74">
        <v>5</v>
      </c>
      <c r="L15" s="73"/>
      <c r="M15" s="73">
        <v>1</v>
      </c>
      <c r="N15" s="75" t="s">
        <v>55</v>
      </c>
      <c r="O15" s="136" t="s">
        <v>131</v>
      </c>
      <c r="P15" s="137"/>
      <c r="Q15" s="16">
        <v>675</v>
      </c>
    </row>
    <row r="16" spans="1:17" ht="17.25" customHeight="1" x14ac:dyDescent="0.2">
      <c r="A16" s="96">
        <v>36</v>
      </c>
      <c r="B16" s="102"/>
      <c r="C16" s="102"/>
      <c r="D16" s="102">
        <v>1</v>
      </c>
      <c r="E16" s="102"/>
      <c r="F16" s="102">
        <v>4901</v>
      </c>
      <c r="G16" s="102">
        <v>3</v>
      </c>
      <c r="H16" s="102">
        <v>310</v>
      </c>
      <c r="I16" s="103" t="str">
        <f>LEFT('Necesidades Trimestrales'!D11,1)</f>
        <v>2</v>
      </c>
      <c r="J16" s="103">
        <v>3</v>
      </c>
      <c r="K16" s="103" t="str">
        <f>RIGHT('Necesidades Trimestrales'!D11,1)</f>
        <v>4</v>
      </c>
      <c r="L16" s="102"/>
      <c r="M16" s="97">
        <v>1</v>
      </c>
      <c r="N16" s="98" t="s">
        <v>55</v>
      </c>
      <c r="O16" s="138" t="s">
        <v>132</v>
      </c>
      <c r="P16" s="139"/>
      <c r="Q16" s="21">
        <v>287150</v>
      </c>
    </row>
    <row r="17" spans="1:18" ht="17.25" customHeight="1" x14ac:dyDescent="0.2">
      <c r="A17" s="96">
        <v>36</v>
      </c>
      <c r="B17" s="100"/>
      <c r="C17" s="100"/>
      <c r="D17" s="100">
        <v>1</v>
      </c>
      <c r="E17" s="100"/>
      <c r="F17" s="100">
        <v>4901</v>
      </c>
      <c r="G17" s="100">
        <v>3</v>
      </c>
      <c r="H17" s="100">
        <v>310</v>
      </c>
      <c r="I17" s="101" t="str">
        <f>LEFT('Necesidades Trimestrales'!D12,1)</f>
        <v>2</v>
      </c>
      <c r="J17" s="101" t="str">
        <f>MID('Necesidades Trimestrales'!D12,3,1)</f>
        <v>5</v>
      </c>
      <c r="K17" s="101">
        <v>4</v>
      </c>
      <c r="L17" s="100"/>
      <c r="M17" s="97">
        <v>1</v>
      </c>
      <c r="N17" s="98" t="s">
        <v>55</v>
      </c>
      <c r="O17" s="138" t="s">
        <v>133</v>
      </c>
      <c r="P17" s="139"/>
      <c r="Q17" s="21">
        <v>16959</v>
      </c>
    </row>
    <row r="18" spans="1:18" ht="17.25" customHeight="1" x14ac:dyDescent="0.2">
      <c r="A18" s="96">
        <v>36</v>
      </c>
      <c r="B18" s="97"/>
      <c r="C18" s="97"/>
      <c r="D18" s="97">
        <v>1</v>
      </c>
      <c r="E18" s="97"/>
      <c r="F18" s="97">
        <v>4901</v>
      </c>
      <c r="G18" s="97">
        <v>3</v>
      </c>
      <c r="H18" s="97">
        <v>310</v>
      </c>
      <c r="I18" s="99" t="str">
        <f>LEFT('Necesidades Trimestrales'!D13,1)</f>
        <v>2</v>
      </c>
      <c r="J18" s="99">
        <v>9</v>
      </c>
      <c r="K18" s="99" t="str">
        <f>RIGHT('Necesidades Trimestrales'!D13,1)</f>
        <v>1</v>
      </c>
      <c r="L18" s="97"/>
      <c r="M18" s="97">
        <v>1</v>
      </c>
      <c r="N18" s="98" t="s">
        <v>55</v>
      </c>
      <c r="O18" s="138" t="s">
        <v>134</v>
      </c>
      <c r="P18" s="139"/>
      <c r="Q18" s="21">
        <v>775301</v>
      </c>
    </row>
    <row r="19" spans="1:18" ht="23.25" customHeight="1" x14ac:dyDescent="0.2">
      <c r="A19" s="96">
        <v>36</v>
      </c>
      <c r="B19" s="97"/>
      <c r="C19" s="97"/>
      <c r="D19" s="97">
        <v>1</v>
      </c>
      <c r="E19" s="97"/>
      <c r="F19" s="97">
        <v>4901</v>
      </c>
      <c r="G19" s="97">
        <v>3</v>
      </c>
      <c r="H19" s="97">
        <v>310</v>
      </c>
      <c r="I19" s="99" t="str">
        <f>LEFT('Necesidades Trimestrales'!D14,1)</f>
        <v>2</v>
      </c>
      <c r="J19" s="99">
        <v>9</v>
      </c>
      <c r="K19" s="99">
        <v>5</v>
      </c>
      <c r="L19" s="97"/>
      <c r="M19" s="97">
        <v>1</v>
      </c>
      <c r="N19" s="98" t="s">
        <v>55</v>
      </c>
      <c r="O19" s="140" t="s">
        <v>138</v>
      </c>
      <c r="P19" s="139"/>
      <c r="Q19" s="21">
        <v>25170</v>
      </c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9"/>
      <c r="P20" s="139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6"/>
      <c r="P21" s="146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7"/>
      <c r="P22" s="147"/>
      <c r="Q22" s="30"/>
    </row>
    <row r="23" spans="1:18" ht="29.25" customHeight="1" x14ac:dyDescent="0.2">
      <c r="A23" s="148" t="s">
        <v>139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31">
        <f>SUM(Q15:Q22)</f>
        <v>1105255</v>
      </c>
    </row>
    <row r="24" spans="1:18" ht="18" customHeight="1" thickBot="1" x14ac:dyDescent="0.25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</row>
    <row r="25" spans="1:18" ht="17.25" customHeight="1" thickBot="1" x14ac:dyDescent="0.25">
      <c r="A25" s="141" t="s">
        <v>49</v>
      </c>
      <c r="B25" s="142"/>
      <c r="C25" s="142"/>
      <c r="D25" s="142"/>
      <c r="E25" s="142"/>
      <c r="F25" s="143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</row>
    <row r="26" spans="1:18" ht="18" customHeight="1" thickBot="1" x14ac:dyDescent="0.25">
      <c r="A26" s="145" t="s">
        <v>130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</row>
    <row r="27" spans="1:18" ht="15" customHeight="1" x14ac:dyDescent="0.2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2020-09-28T12:27:35Z</cp:lastPrinted>
  <dcterms:created xsi:type="dcterms:W3CDTF">2020-07-17T23:44:49Z</dcterms:created>
  <dcterms:modified xsi:type="dcterms:W3CDTF">2020-10-20T11:50:07Z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