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9C8498A-2CC8-4C86-A708-4863B290EC7D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NotaPedido'!$A$1:$K$36</definedName>
    <definedName name="_xlnm.Print_Area" localSheetId="2">'Autor Gastar'!$A$1:$Q$26</definedName>
    <definedName name="_xlnm.Print_Area" localSheetId="0">'Necesidades Trimestrales'!$E$9:$E$33</definedName>
  </definedNames>
  <calcPr calcId="181029"/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2" i="2"/>
  <c r="I33" i="1"/>
  <c r="C32" i="2" l="1"/>
  <c r="C35" i="2"/>
  <c r="I30" i="1"/>
  <c r="I18" i="3" l="1"/>
  <c r="K17" i="3" l="1"/>
  <c r="I17" i="3"/>
  <c r="J16" i="3"/>
  <c r="I16" i="3"/>
  <c r="K15" i="3"/>
  <c r="I15" i="3"/>
  <c r="A10" i="3" l="1"/>
  <c r="C34" i="2" l="1"/>
  <c r="C26" i="2"/>
  <c r="C27" i="2"/>
  <c r="C28" i="2"/>
  <c r="C29" i="2"/>
  <c r="C30" i="2"/>
  <c r="C31" i="2"/>
  <c r="C33" i="2"/>
  <c r="C21" i="2"/>
  <c r="C22" i="2"/>
  <c r="C23" i="2"/>
  <c r="C24" i="2"/>
  <c r="C25" i="2"/>
  <c r="C17" i="2"/>
  <c r="C18" i="2"/>
  <c r="C19" i="2"/>
  <c r="C20" i="2"/>
  <c r="C15" i="2"/>
  <c r="C16" i="2"/>
  <c r="C14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3" i="2"/>
  <c r="I34" i="2"/>
  <c r="I35" i="2"/>
  <c r="I13" i="2"/>
  <c r="C13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I11" i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Q22" i="3" l="1"/>
  <c r="J36" i="2"/>
</calcChain>
</file>

<file path=xl/sharedStrings.xml><?xml version="1.0" encoding="utf-8"?>
<sst xmlns="http://schemas.openxmlformats.org/spreadsheetml/2006/main" count="210" uniqueCount="136">
  <si>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</si>
  <si>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</si>
  <si>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</si>
  <si>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</si>
  <si>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</si>
  <si>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</si>
  <si>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</si>
  <si>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</si>
  <si>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</si>
  <si>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</si>
  <si>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</si>
  <si>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</si>
  <si>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</si>
  <si>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</si>
  <si>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</si>
  <si>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</si>
  <si>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</si>
  <si>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</si>
  <si>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</si>
  <si>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</si>
  <si>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</si>
  <si>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</si>
  <si>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</si>
  <si>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</si>
  <si>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</si>
  <si>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</si>
  <si>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</si>
  <si>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</si>
  <si>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</si>
  <si>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</si>
  <si>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</si>
  <si>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</si>
  <si>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</si>
  <si>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</si>
  <si>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</si>
  <si>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</si>
  <si>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</si>
  <si>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</si>
  <si>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</si>
  <si>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</si>
  <si>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</si>
  <si>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</si>
  <si>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</si>
  <si>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</si>
  <si>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</si>
  <si>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</si>
  <si>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</si>
  <si>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</si>
  <si>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</si>
  <si>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</si>
  <si>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</si>
  <si>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</si>
  <si>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</si>
  <si>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</si>
  <si>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</si>
  <si>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NO</t>
  </si>
  <si>
    <t>ELEMENTOS DE LIMPIEZA</t>
  </si>
  <si>
    <t>TOALLAS DE PAPEL; MATERIAL: FIBRA CELULOSICA, GRAMAJE: 20 GR/M2, DIMENSION: 25 Cm, PRESENTACION: 2 X BOBINA X 400 M</t>
  </si>
  <si>
    <t>2.3.4-783.84</t>
  </si>
  <si>
    <t>ROLLO</t>
  </si>
  <si>
    <t>CEPILLOS P/LABORATORIO; TIPO: P/LIMPIEZA BIBERONES, MATERIAL: CERDA , TAMAÑO: DIAM. 8</t>
  </si>
  <si>
    <t>2.9.5-1908.29</t>
  </si>
  <si>
    <t>PROD. MEDICO/FARMACEUTICOS/LAB</t>
  </si>
  <si>
    <t>LIMPIADORES; TIPO: DESENGRASANTE, PRESENTACION: ENVASE X 5 L</t>
  </si>
  <si>
    <t>2.9.1-6951.60</t>
  </si>
  <si>
    <t>BIDON</t>
  </si>
  <si>
    <t>DESINFECTANTES; PRINCIPIO ACTIVO: 2-FENIFENOL+ETANOL, CONTROL: BACTERIAS, PRESENTACION: ENVASE X 360 CM3</t>
  </si>
  <si>
    <t>2.5.4-505.92</t>
  </si>
  <si>
    <t>LIMPIADORES; TIPO: DESINFECTANTE P/PISO, PRESENTACION: ENVASE X 5 L</t>
  </si>
  <si>
    <t>2.9.1-6951.41</t>
  </si>
  <si>
    <t>ELEM. P/LIMPIEZA SANITARIOS; TIPO: PASTILLA DESODORANTE, PRESENTACION: UNIDAD</t>
  </si>
  <si>
    <t>2.9.1-6961.6</t>
  </si>
  <si>
    <t>LIMPIADORES; TIPO: DETERGENTE NEUTRO, PRESENTACION: ENVASE X 5 L</t>
  </si>
  <si>
    <t>2.9.1-6951.214</t>
  </si>
  <si>
    <t>LANAS DE ACERO; PRESENTACION: PAQUETE, CONTENIDO: MADEJA</t>
  </si>
  <si>
    <t>2.9.1-2030.1</t>
  </si>
  <si>
    <t>PAQUETE</t>
  </si>
  <si>
    <t>ESPONJAS; USO: LIMPIEZA, ADITAMENTO: SIN VALOR, FORMA: RECTANGULAR, COLOR: AMARILLO, MATERIAL: FIBRA, LARGO X ANCHO X ESP: 9,7 X 5,7 X 3,5 Cm</t>
  </si>
  <si>
    <t>2.9.1-1164.26</t>
  </si>
  <si>
    <t>PAR</t>
  </si>
  <si>
    <t>GUANTES P/LIMPIEZA; TAMAÑO: GRANDE, MATERIAL: LATEX</t>
  </si>
  <si>
    <t>2.9.1-761.1</t>
  </si>
  <si>
    <t>ARTICULOS DE TOCADOR; TIPO: JABON DE TOCADOR, PRESENTACION: CAJA X 60 X 90 GR</t>
  </si>
  <si>
    <t>2.9.1-6956.50</t>
  </si>
  <si>
    <t>CAJA</t>
  </si>
  <si>
    <t>LIMPIADORES; TIPO: LAVANDINA, PRESENTACION: ENVASE X 2 L</t>
  </si>
  <si>
    <t>BOTELLA</t>
  </si>
  <si>
    <t>2.9.1-6951.27</t>
  </si>
  <si>
    <t>PAPEL HIGIENICO; PRESENTACION: CAJA X 20, TIPO: DOBLE, ANCHO: 10 Cm, LARGO: 80 M, TIPO DE HOJA: DOBLE</t>
  </si>
  <si>
    <t>2.3.4-786.91</t>
  </si>
  <si>
    <t>TRAPOS REJILLA; DIMENSION: 38 X 42 Cm, MATERIAL: PURO ALGODON, COLOR: BLANCO</t>
  </si>
  <si>
    <t>2.9.1-678.1</t>
  </si>
  <si>
    <t>TRAPOS DE PISO; DIMENSION: 50 X 55 Cm, COLOR: GRIS</t>
  </si>
  <si>
    <t>2.9.1-713.12</t>
  </si>
  <si>
    <t>TOALLAS DE PAPEL; MATERIAL: PAPEL, GRAMAJE: SIN VALOR, DIMENSION: 22,8 (ANCHO) Cm, COLOR: BLANCO, PRESENTACION: ROLLO</t>
  </si>
  <si>
    <t>2.3.4-783.40</t>
  </si>
  <si>
    <t>TACHOS DE RESIDUOS; MATERIAL: PLASTICO, SECCION: RECTANGULAR, DIMENSION: 10 L, TAPA: VAIVEN</t>
  </si>
  <si>
    <t>2.9.1-2661.25</t>
  </si>
  <si>
    <t>Especificidades Item N° 5:</t>
  </si>
  <si>
    <t>EN AEROSOL</t>
  </si>
  <si>
    <t>Servicio de Economato</t>
  </si>
  <si>
    <t>Adquisición de Articulos de Limpieza</t>
  </si>
  <si>
    <t>Para la adquisición de Articulos de Limpieza destinados al servico de Economato del Hospital Interzonal de Niños Eva Peron, para el normal funcionamiento del organismo.</t>
  </si>
  <si>
    <t>Productos de Papel y Carton</t>
  </si>
  <si>
    <t>Insecticidas, Fumigantes y Otros</t>
  </si>
  <si>
    <t>Elementos de Limpieza</t>
  </si>
  <si>
    <t>POR 40 PAÑOS</t>
  </si>
  <si>
    <t>Utiles Menores Medico, Quirurgico 
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</si>
  <si>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</si>
  <si>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</si>
  <si>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Mantenimiento</t>
  </si>
  <si>
    <t xml:space="preserve">45 dias habiles </t>
  </si>
  <si>
    <t>CEPILLOS; TIPO: ESCOBA REFORZADA, MATERIAL: PAJA</t>
  </si>
  <si>
    <t>2.9.1-6952.22</t>
  </si>
  <si>
    <t>GUANTES P/LIMPIEZA; MATERIAL: LATEX, TAMAÑO: MEDIANO</t>
  </si>
  <si>
    <t>2.9.1-761.2</t>
  </si>
  <si>
    <t>ARTICULOS DE TOCADOR; TIPO: JABON DE TOCADOR LIQUIDO, PRESENTACION: ENVASE X 5 L</t>
  </si>
  <si>
    <t>2.9.1-6956.27</t>
  </si>
  <si>
    <t>LIMPIADORES MULTIUSO; TIPO: CREMOSO, PRESENTACION: ENVASE X 750 GR</t>
  </si>
  <si>
    <t>2.9.1-4784.9</t>
  </si>
  <si>
    <t>SECADORES DE GOMA; LARGO: 40 Cm, COLOR: NEGRO</t>
  </si>
  <si>
    <t>2.9.1-683.5</t>
  </si>
  <si>
    <t>FRANELAS; DIMENSION: 40 X 50 Cm</t>
  </si>
  <si>
    <t>2.9.1-714.5</t>
  </si>
  <si>
    <t>TOTAL DE PESOS: UN MILLON CINCUENTA MIL TRESCIENTOS CON 00/100.</t>
  </si>
  <si>
    <t>Costo total estimado: Un Millon Cincuenta Mil Trescientos con 00/100.</t>
  </si>
  <si>
    <t>Especificidades Item N° 20:</t>
  </si>
  <si>
    <t>34/2021</t>
  </si>
  <si>
    <t>Especificidades Item N° 4, 6, 8, 9 y 18:</t>
  </si>
  <si>
    <t>NO SE ACEPTARAN PRODUCTOS PARA DILUIR, SOLO SE TENDRAN EN CUENTA PRODUCTOS PREPARADOS LISTOS PARA SU USO EN SU CORRESPONDIENTE ENVASE.</t>
  </si>
  <si>
    <t>BOLSAS DE RESIDUOS; DIMENSION: 80 X 110 Cm, PRESENTACION: POR UNIDAD, ESPESOR: 30 Mn, COLOR: TRANSPARENTE</t>
  </si>
  <si>
    <t>2.9.1-646.58</t>
  </si>
  <si>
    <t>1.3</t>
  </si>
  <si>
    <t>Especificidades Item N° 11:</t>
  </si>
  <si>
    <t>PAQ. X 6 UN.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</si>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</sst>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7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2" fillId="0" borderId="7" xfId="0" applyFont="1" applyBorder="1" applyAlignment="1">
      <alignment horizontal="left" indent="3"/>
    </xf>
    <xf numFmtId="166" fontId="15" fillId="0" borderId="0" xfId="0" applyNumberFormat="1" applyFont="1"/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21" fillId="4" borderId="2" xfId="0" applyFont="1" applyFill="1" applyBorder="1" applyAlignment="1">
      <alignment horizontal="center" vertical="center" wrapText="1"/>
    </xf>
    <xf numFmtId="166" fontId="20" fillId="4" borderId="2" xfId="1" applyNumberFormat="1" applyFont="1" applyFill="1" applyBorder="1" applyAlignment="1" applyProtection="1">
      <alignment horizontal="right" vertical="center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0" fontId="20" fillId="0" borderId="4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166" fontId="20" fillId="4" borderId="48" xfId="1" applyNumberFormat="1" applyFont="1" applyFill="1" applyBorder="1" applyAlignment="1" applyProtection="1">
      <alignment horizontal="right" vertical="center" wrapText="1"/>
    </xf>
    <xf numFmtId="0" fontId="0" fillId="4" borderId="49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50" xfId="0" applyFont="1" applyFill="1" applyBorder="1" applyAlignment="1">
      <alignment horizontal="center" vertical="center"/>
    </xf>
    <xf numFmtId="0" fontId="0" fillId="3" borderId="50" xfId="0" applyFont="1" applyFill="1" applyBorder="1" applyAlignment="1">
      <alignment horizontal="center" vertical="center"/>
    </xf>
    <xf numFmtId="169" fontId="15" fillId="0" borderId="0" xfId="0" applyNumberFormat="1" applyFont="1"/>
    <xf numFmtId="0" fontId="22" fillId="0" borderId="4" xfId="0" applyFont="1" applyBorder="1" applyAlignment="1">
      <alignment horizontal="left" indent="3"/>
    </xf>
    <xf numFmtId="0" fontId="22" fillId="0" borderId="7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15" fillId="0" borderId="5" xfId="0" applyFont="1" applyFill="1" applyBorder="1"/>
    <xf numFmtId="0" fontId="15" fillId="0" borderId="6" xfId="0" applyFont="1" applyFill="1" applyBorder="1"/>
    <xf numFmtId="0" fontId="15" fillId="0" borderId="0" xfId="0" applyFont="1" applyFill="1" applyBorder="1"/>
    <xf numFmtId="0" fontId="15" fillId="0" borderId="8" xfId="0" applyFont="1" applyFill="1" applyBorder="1"/>
    <xf numFmtId="0" fontId="0" fillId="0" borderId="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5" xfId="0" applyBorder="1" applyAlignment="1">
      <alignment vertical="center" wrapText="1"/>
    </xf>
    <xf numFmtId="0" fontId="14" fillId="0" borderId="45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9" fillId="0" borderId="16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52" xfId="0" applyBorder="1" applyAlignment="1">
      <alignment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166" fontId="20" fillId="4" borderId="53" xfId="1" applyNumberFormat="1" applyFont="1" applyFill="1" applyBorder="1" applyAlignment="1" applyProtection="1">
      <alignment horizontal="right" vertical="center" wrapText="1"/>
    </xf>
    <xf numFmtId="0" fontId="0" fillId="0" borderId="52" xfId="0" applyBorder="1" applyAlignment="1">
      <alignment wrapText="1"/>
    </xf>
    <xf numFmtId="0" fontId="4" fillId="3" borderId="4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6" fontId="4" fillId="3" borderId="2" xfId="1" applyNumberFormat="1" applyFont="1" applyFill="1" applyBorder="1" applyAlignment="1" applyProtection="1">
      <alignment horizontal="right" vertical="center" wrapText="1"/>
    </xf>
    <xf numFmtId="3" fontId="4" fillId="3" borderId="3" xfId="0" applyNumberFormat="1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left" vertical="center"/>
    </xf>
    <xf numFmtId="0" fontId="4" fillId="4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 wrapText="1"/>
    </xf>
    <xf numFmtId="166" fontId="4" fillId="3" borderId="45" xfId="1" applyNumberFormat="1" applyFont="1" applyFill="1" applyBorder="1" applyAlignment="1" applyProtection="1">
      <alignment horizontal="right" vertical="center" wrapText="1"/>
    </xf>
    <xf numFmtId="3" fontId="4" fillId="3" borderId="48" xfId="0" applyNumberFormat="1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left" vertical="center"/>
    </xf>
    <xf numFmtId="0" fontId="4" fillId="4" borderId="52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 wrapText="1"/>
    </xf>
    <xf numFmtId="166" fontId="4" fillId="3" borderId="52" xfId="1" applyNumberFormat="1" applyFont="1" applyFill="1" applyBorder="1" applyAlignment="1" applyProtection="1">
      <alignment horizontal="right" vertical="center" wrapText="1"/>
    </xf>
    <xf numFmtId="3" fontId="4" fillId="3" borderId="53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20" fillId="0" borderId="47" xfId="0" applyFont="1" applyFill="1" applyBorder="1" applyAlignment="1">
      <alignment horizontal="center" vertical="center"/>
    </xf>
    <xf numFmtId="0" fontId="0" fillId="0" borderId="45" xfId="0" applyFill="1" applyBorder="1" applyAlignment="1">
      <alignment vertical="center"/>
    </xf>
    <xf numFmtId="0" fontId="0" fillId="0" borderId="45" xfId="0" applyFill="1" applyBorder="1" applyAlignment="1">
      <alignment vertical="center" wrapText="1"/>
    </xf>
    <xf numFmtId="0" fontId="21" fillId="0" borderId="45" xfId="0" applyFont="1" applyFill="1" applyBorder="1" applyAlignment="1">
      <alignment horizontal="center" vertical="center" wrapText="1"/>
    </xf>
    <xf numFmtId="166" fontId="20" fillId="0" borderId="45" xfId="1" applyNumberFormat="1" applyFont="1" applyFill="1" applyBorder="1" applyAlignment="1" applyProtection="1">
      <alignment horizontal="right" vertical="center" wrapText="1"/>
    </xf>
    <xf numFmtId="166" fontId="20" fillId="0" borderId="48" xfId="1" applyNumberFormat="1" applyFont="1" applyFill="1" applyBorder="1" applyAlignment="1" applyProtection="1">
      <alignment horizontal="righ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5" fillId="4" borderId="7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5" fillId="4" borderId="8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3" borderId="4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4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1" xfId="0" applyFont="1" applyFill="1" applyBorder="1" applyAlignment="1">
      <alignment horizontal="left" vertical="center" wrapText="1" indent="1"/>
    </xf>
    <xf numFmtId="0" fontId="0" fillId="0" borderId="35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9" fillId="0" borderId="41" xfId="0" applyFont="1" applyBorder="1" applyAlignment="1">
      <alignment horizontal="left" vertical="center" wrapText="1"/>
    </xf>
    <xf numFmtId="0" fontId="0" fillId="0" borderId="23" xfId="0" applyBorder="1"/>
    <xf numFmtId="0" fontId="14" fillId="0" borderId="35" xfId="0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 wrapText="1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61"/>
  <sheetViews>
    <sheetView tabSelected="1" zoomScale="89" zoomScaleNormal="89" workbookViewId="0">
      <selection activeCell="G61" sqref="G61"/>
    </sheetView>
  </sheetViews>
  <sheetFormatPr baseColWidth="10" defaultColWidth="11" defaultRowHeight="12.75" x14ac:dyDescent="0.2"/>
  <cols>
    <col min="1" max="1" width="4.5703125" style="31" customWidth="1"/>
    <col min="2" max="2" width="14" style="31" customWidth="1"/>
    <col min="3" max="3" width="13.28515625" style="31" customWidth="1"/>
    <col min="4" max="4" width="8.42578125" style="31" customWidth="1"/>
    <col min="5" max="5" width="43.28515625" style="31" customWidth="1"/>
    <col min="6" max="6" width="11" style="31"/>
    <col min="7" max="7" width="10.42578125" style="31" bestFit="1" customWidth="1"/>
    <col min="8" max="8" width="13.85546875" style="31" customWidth="1"/>
    <col min="9" max="9" width="18.5703125" style="31" customWidth="1"/>
    <col min="10" max="11" width="11" style="31"/>
    <col min="12" max="12" width="12.7109375" style="31" bestFit="1" customWidth="1"/>
    <col min="13" max="16384" width="11" style="31"/>
  </cols>
  <sheetData>
    <row r="2" spans="1:14" ht="27" x14ac:dyDescent="0.35">
      <c r="B2" s="136" t="s">
        <v>0</v>
      </c>
      <c r="C2" s="136"/>
      <c r="D2" s="136"/>
      <c r="E2" s="136"/>
      <c r="F2" s="136"/>
      <c r="G2" s="136"/>
      <c r="H2" s="136"/>
    </row>
    <row r="3" spans="1:14" ht="12" customHeight="1" x14ac:dyDescent="0.2"/>
    <row r="4" spans="1:14" ht="18" customHeight="1" x14ac:dyDescent="0.25">
      <c r="A4" s="131" t="s">
        <v>1</v>
      </c>
      <c r="B4" s="131"/>
      <c r="C4" s="137" t="s">
        <v>54</v>
      </c>
      <c r="D4" s="137"/>
      <c r="E4" s="137"/>
      <c r="F4" s="32"/>
      <c r="G4" s="33"/>
      <c r="H4" s="32"/>
    </row>
    <row r="5" spans="1:14" ht="18" customHeight="1" x14ac:dyDescent="0.25">
      <c r="A5" s="131" t="s">
        <v>2</v>
      </c>
      <c r="B5" s="131"/>
      <c r="C5" s="137" t="s">
        <v>53</v>
      </c>
      <c r="D5" s="137"/>
      <c r="E5" s="137"/>
      <c r="F5" s="32"/>
      <c r="G5" s="33"/>
      <c r="H5" s="32"/>
    </row>
    <row r="6" spans="1:14" ht="16.5" customHeight="1" x14ac:dyDescent="0.25">
      <c r="A6" s="131" t="s">
        <v>3</v>
      </c>
      <c r="B6" s="131"/>
      <c r="C6" s="50">
        <v>2021</v>
      </c>
      <c r="D6" s="51"/>
      <c r="E6" s="51"/>
      <c r="F6" s="32"/>
      <c r="G6" s="33"/>
      <c r="H6" s="32"/>
    </row>
    <row r="7" spans="1:14" ht="16.5" customHeight="1" x14ac:dyDescent="0.25">
      <c r="A7" s="131" t="s">
        <v>4</v>
      </c>
      <c r="B7" s="131"/>
      <c r="C7" s="50">
        <v>2</v>
      </c>
      <c r="D7" s="51"/>
      <c r="E7" s="51"/>
      <c r="F7" s="32"/>
      <c r="G7" s="33"/>
      <c r="H7" s="32"/>
    </row>
    <row r="8" spans="1:14" ht="13.5" thickBot="1" x14ac:dyDescent="0.25">
      <c r="B8" s="32"/>
      <c r="C8" s="33"/>
      <c r="D8" s="32"/>
      <c r="E8" s="32"/>
      <c r="F8" s="32"/>
      <c r="G8" s="33"/>
      <c r="H8" s="32"/>
    </row>
    <row r="9" spans="1:14" ht="39" thickBot="1" x14ac:dyDescent="0.25">
      <c r="A9" s="89" t="s">
        <v>5</v>
      </c>
      <c r="B9" s="89" t="s">
        <v>6</v>
      </c>
      <c r="C9" s="89" t="s">
        <v>7</v>
      </c>
      <c r="D9" s="89" t="s">
        <v>8</v>
      </c>
      <c r="E9" s="89" t="s">
        <v>9</v>
      </c>
      <c r="F9" s="89" t="s">
        <v>10</v>
      </c>
      <c r="G9" s="89" t="s">
        <v>11</v>
      </c>
      <c r="H9" s="89" t="s">
        <v>12</v>
      </c>
      <c r="I9" s="89" t="s">
        <v>13</v>
      </c>
    </row>
    <row r="10" spans="1:14" ht="25.5" x14ac:dyDescent="0.2">
      <c r="A10" s="55">
        <v>1</v>
      </c>
      <c r="B10" s="84" t="s">
        <v>113</v>
      </c>
      <c r="C10" s="88" t="s">
        <v>56</v>
      </c>
      <c r="D10" s="56">
        <v>291</v>
      </c>
      <c r="E10" s="88" t="s">
        <v>112</v>
      </c>
      <c r="F10" s="52" t="s">
        <v>14</v>
      </c>
      <c r="G10" s="52">
        <v>10</v>
      </c>
      <c r="H10" s="53">
        <v>250</v>
      </c>
      <c r="I10" s="54">
        <f>H10*G10</f>
        <v>2500</v>
      </c>
      <c r="L10" s="41"/>
    </row>
    <row r="11" spans="1:14" ht="51" x14ac:dyDescent="0.2">
      <c r="A11" s="57">
        <v>2</v>
      </c>
      <c r="B11" s="85" t="s">
        <v>58</v>
      </c>
      <c r="C11" s="86" t="s">
        <v>56</v>
      </c>
      <c r="D11" s="58">
        <v>234</v>
      </c>
      <c r="E11" s="86" t="s">
        <v>57</v>
      </c>
      <c r="F11" s="59" t="s">
        <v>59</v>
      </c>
      <c r="G11" s="59">
        <v>400</v>
      </c>
      <c r="H11" s="60">
        <v>650</v>
      </c>
      <c r="I11" s="61">
        <f>G11*H11</f>
        <v>260000</v>
      </c>
      <c r="L11" s="70"/>
      <c r="N11" s="70"/>
    </row>
    <row r="12" spans="1:14" ht="51" x14ac:dyDescent="0.2">
      <c r="A12" s="57">
        <v>3</v>
      </c>
      <c r="B12" s="85" t="s">
        <v>61</v>
      </c>
      <c r="C12" s="86" t="s">
        <v>62</v>
      </c>
      <c r="D12" s="58">
        <v>295</v>
      </c>
      <c r="E12" s="86" t="s">
        <v>60</v>
      </c>
      <c r="F12" s="59" t="s">
        <v>14</v>
      </c>
      <c r="G12" s="59">
        <v>30</v>
      </c>
      <c r="H12" s="60">
        <v>700</v>
      </c>
      <c r="I12" s="61">
        <f t="shared" ref="I12:I33" si="0">G12*H12</f>
        <v>21000</v>
      </c>
      <c r="L12" s="41"/>
      <c r="N12" s="70"/>
    </row>
    <row r="13" spans="1:14" ht="25.5" x14ac:dyDescent="0.2">
      <c r="A13" s="57">
        <v>4</v>
      </c>
      <c r="B13" s="85" t="s">
        <v>64</v>
      </c>
      <c r="C13" s="86" t="s">
        <v>56</v>
      </c>
      <c r="D13" s="58">
        <v>291</v>
      </c>
      <c r="E13" s="86" t="s">
        <v>63</v>
      </c>
      <c r="F13" s="59" t="s">
        <v>65</v>
      </c>
      <c r="G13" s="59">
        <v>20</v>
      </c>
      <c r="H13" s="60">
        <v>650</v>
      </c>
      <c r="I13" s="61">
        <f t="shared" si="0"/>
        <v>13000</v>
      </c>
      <c r="L13" s="70"/>
    </row>
    <row r="14" spans="1:14" ht="38.25" x14ac:dyDescent="0.2">
      <c r="A14" s="57">
        <v>5</v>
      </c>
      <c r="B14" s="85" t="s">
        <v>67</v>
      </c>
      <c r="C14" s="86" t="s">
        <v>56</v>
      </c>
      <c r="D14" s="58">
        <v>254</v>
      </c>
      <c r="E14" s="87" t="s">
        <v>66</v>
      </c>
      <c r="F14" s="59" t="s">
        <v>14</v>
      </c>
      <c r="G14" s="59">
        <v>100</v>
      </c>
      <c r="H14" s="60">
        <v>200</v>
      </c>
      <c r="I14" s="61">
        <f t="shared" si="0"/>
        <v>20000</v>
      </c>
      <c r="L14" s="41"/>
      <c r="N14" s="70"/>
    </row>
    <row r="15" spans="1:14" ht="25.5" x14ac:dyDescent="0.2">
      <c r="A15" s="57">
        <v>6</v>
      </c>
      <c r="B15" s="85" t="s">
        <v>69</v>
      </c>
      <c r="C15" s="86" t="s">
        <v>56</v>
      </c>
      <c r="D15" s="58">
        <v>291</v>
      </c>
      <c r="E15" s="86" t="s">
        <v>68</v>
      </c>
      <c r="F15" s="59" t="s">
        <v>65</v>
      </c>
      <c r="G15" s="59">
        <v>400</v>
      </c>
      <c r="H15" s="60">
        <v>150</v>
      </c>
      <c r="I15" s="61">
        <f t="shared" si="0"/>
        <v>60000</v>
      </c>
      <c r="L15" s="41"/>
    </row>
    <row r="16" spans="1:14" ht="38.25" x14ac:dyDescent="0.2">
      <c r="A16" s="57">
        <v>7</v>
      </c>
      <c r="B16" s="85" t="s">
        <v>71</v>
      </c>
      <c r="C16" s="86" t="s">
        <v>56</v>
      </c>
      <c r="D16" s="58">
        <v>291</v>
      </c>
      <c r="E16" s="86" t="s">
        <v>70</v>
      </c>
      <c r="F16" s="59" t="s">
        <v>14</v>
      </c>
      <c r="G16" s="59">
        <v>50</v>
      </c>
      <c r="H16" s="60">
        <v>70</v>
      </c>
      <c r="I16" s="61">
        <f t="shared" si="0"/>
        <v>3500</v>
      </c>
    </row>
    <row r="17" spans="1:9" ht="25.5" x14ac:dyDescent="0.2">
      <c r="A17" s="57">
        <v>8</v>
      </c>
      <c r="B17" s="85" t="s">
        <v>73</v>
      </c>
      <c r="C17" s="86" t="s">
        <v>56</v>
      </c>
      <c r="D17" s="58">
        <v>291</v>
      </c>
      <c r="E17" s="86" t="s">
        <v>72</v>
      </c>
      <c r="F17" s="59" t="s">
        <v>65</v>
      </c>
      <c r="G17" s="59">
        <v>800</v>
      </c>
      <c r="H17" s="60">
        <v>275</v>
      </c>
      <c r="I17" s="61">
        <f t="shared" si="0"/>
        <v>220000</v>
      </c>
    </row>
    <row r="18" spans="1:9" ht="38.25" x14ac:dyDescent="0.2">
      <c r="A18" s="57">
        <v>9</v>
      </c>
      <c r="B18" s="85" t="s">
        <v>117</v>
      </c>
      <c r="C18" s="86" t="s">
        <v>56</v>
      </c>
      <c r="D18" s="58">
        <v>291</v>
      </c>
      <c r="E18" s="86" t="s">
        <v>116</v>
      </c>
      <c r="F18" s="59" t="s">
        <v>65</v>
      </c>
      <c r="G18" s="59">
        <v>100</v>
      </c>
      <c r="H18" s="60">
        <v>450</v>
      </c>
      <c r="I18" s="61">
        <f t="shared" si="0"/>
        <v>45000</v>
      </c>
    </row>
    <row r="19" spans="1:9" ht="25.5" x14ac:dyDescent="0.2">
      <c r="A19" s="57">
        <v>10</v>
      </c>
      <c r="B19" s="85" t="s">
        <v>119</v>
      </c>
      <c r="C19" s="86" t="s">
        <v>56</v>
      </c>
      <c r="D19" s="58">
        <v>291</v>
      </c>
      <c r="E19" s="86" t="s">
        <v>118</v>
      </c>
      <c r="F19" s="59" t="s">
        <v>14</v>
      </c>
      <c r="G19" s="59">
        <v>30</v>
      </c>
      <c r="H19" s="60">
        <v>130</v>
      </c>
      <c r="I19" s="61">
        <f t="shared" si="0"/>
        <v>3900</v>
      </c>
    </row>
    <row r="20" spans="1:9" ht="25.5" x14ac:dyDescent="0.2">
      <c r="A20" s="119">
        <v>11</v>
      </c>
      <c r="B20" s="120" t="s">
        <v>75</v>
      </c>
      <c r="C20" s="121" t="s">
        <v>56</v>
      </c>
      <c r="D20" s="122">
        <v>291</v>
      </c>
      <c r="E20" s="121" t="s">
        <v>74</v>
      </c>
      <c r="F20" s="122" t="s">
        <v>76</v>
      </c>
      <c r="G20" s="122">
        <v>100</v>
      </c>
      <c r="H20" s="123">
        <v>37</v>
      </c>
      <c r="I20" s="124">
        <f t="shared" si="0"/>
        <v>3700</v>
      </c>
    </row>
    <row r="21" spans="1:9" ht="54.75" customHeight="1" x14ac:dyDescent="0.2">
      <c r="A21" s="57">
        <v>12</v>
      </c>
      <c r="B21" s="85" t="s">
        <v>78</v>
      </c>
      <c r="C21" s="86" t="s">
        <v>56</v>
      </c>
      <c r="D21" s="58">
        <v>291</v>
      </c>
      <c r="E21" s="86" t="s">
        <v>77</v>
      </c>
      <c r="F21" s="59" t="s">
        <v>14</v>
      </c>
      <c r="G21" s="59">
        <v>200</v>
      </c>
      <c r="H21" s="60">
        <v>23</v>
      </c>
      <c r="I21" s="61">
        <f t="shared" si="0"/>
        <v>4600</v>
      </c>
    </row>
    <row r="22" spans="1:9" ht="29.25" customHeight="1" x14ac:dyDescent="0.2">
      <c r="A22" s="57">
        <v>13</v>
      </c>
      <c r="B22" s="85" t="s">
        <v>115</v>
      </c>
      <c r="C22" s="86" t="s">
        <v>56</v>
      </c>
      <c r="D22" s="58">
        <v>291</v>
      </c>
      <c r="E22" s="86" t="s">
        <v>114</v>
      </c>
      <c r="F22" s="59" t="s">
        <v>79</v>
      </c>
      <c r="G22" s="59">
        <v>200</v>
      </c>
      <c r="H22" s="60">
        <v>110</v>
      </c>
      <c r="I22" s="61">
        <f t="shared" si="0"/>
        <v>22000</v>
      </c>
    </row>
    <row r="23" spans="1:9" ht="25.5" x14ac:dyDescent="0.2">
      <c r="A23" s="57">
        <v>14</v>
      </c>
      <c r="B23" s="85" t="s">
        <v>81</v>
      </c>
      <c r="C23" s="86" t="s">
        <v>56</v>
      </c>
      <c r="D23" s="58">
        <v>291</v>
      </c>
      <c r="E23" s="86" t="s">
        <v>80</v>
      </c>
      <c r="F23" s="59" t="s">
        <v>79</v>
      </c>
      <c r="G23" s="59">
        <v>200</v>
      </c>
      <c r="H23" s="60">
        <v>110</v>
      </c>
      <c r="I23" s="61">
        <f t="shared" si="0"/>
        <v>22000</v>
      </c>
    </row>
    <row r="24" spans="1:9" ht="25.5" x14ac:dyDescent="0.2">
      <c r="A24" s="57">
        <v>15</v>
      </c>
      <c r="B24" s="85" t="s">
        <v>121</v>
      </c>
      <c r="C24" s="86" t="s">
        <v>56</v>
      </c>
      <c r="D24" s="58">
        <v>291</v>
      </c>
      <c r="E24" s="86" t="s">
        <v>120</v>
      </c>
      <c r="F24" s="59" t="s">
        <v>14</v>
      </c>
      <c r="G24" s="59">
        <v>150</v>
      </c>
      <c r="H24" s="60">
        <v>100</v>
      </c>
      <c r="I24" s="61">
        <f t="shared" si="0"/>
        <v>15000</v>
      </c>
    </row>
    <row r="25" spans="1:9" ht="38.25" x14ac:dyDescent="0.2">
      <c r="A25" s="57">
        <v>16</v>
      </c>
      <c r="B25" s="85" t="s">
        <v>83</v>
      </c>
      <c r="C25" s="86" t="s">
        <v>56</v>
      </c>
      <c r="D25" s="58">
        <v>291</v>
      </c>
      <c r="E25" s="86" t="s">
        <v>82</v>
      </c>
      <c r="F25" s="59" t="s">
        <v>84</v>
      </c>
      <c r="G25" s="59">
        <v>2</v>
      </c>
      <c r="H25" s="60">
        <v>4800</v>
      </c>
      <c r="I25" s="61">
        <f t="shared" si="0"/>
        <v>9600</v>
      </c>
    </row>
    <row r="26" spans="1:9" ht="38.25" x14ac:dyDescent="0.2">
      <c r="A26" s="57">
        <v>17</v>
      </c>
      <c r="B26" s="85" t="s">
        <v>97</v>
      </c>
      <c r="C26" s="86" t="s">
        <v>56</v>
      </c>
      <c r="D26" s="58">
        <v>291</v>
      </c>
      <c r="E26" s="86" t="s">
        <v>96</v>
      </c>
      <c r="F26" s="59" t="s">
        <v>14</v>
      </c>
      <c r="G26" s="59">
        <v>20</v>
      </c>
      <c r="H26" s="60">
        <v>450</v>
      </c>
      <c r="I26" s="61">
        <f t="shared" si="0"/>
        <v>9000</v>
      </c>
    </row>
    <row r="27" spans="1:9" ht="25.5" x14ac:dyDescent="0.2">
      <c r="A27" s="57">
        <v>18</v>
      </c>
      <c r="B27" s="85" t="s">
        <v>87</v>
      </c>
      <c r="C27" s="86" t="s">
        <v>56</v>
      </c>
      <c r="D27" s="58">
        <v>291</v>
      </c>
      <c r="E27" s="86" t="s">
        <v>85</v>
      </c>
      <c r="F27" s="59" t="s">
        <v>86</v>
      </c>
      <c r="G27" s="59">
        <v>1200</v>
      </c>
      <c r="H27" s="60">
        <v>88</v>
      </c>
      <c r="I27" s="61">
        <f t="shared" si="0"/>
        <v>105600</v>
      </c>
    </row>
    <row r="28" spans="1:9" ht="38.25" x14ac:dyDescent="0.2">
      <c r="A28" s="57">
        <v>19</v>
      </c>
      <c r="B28" s="85" t="s">
        <v>89</v>
      </c>
      <c r="C28" s="86" t="s">
        <v>56</v>
      </c>
      <c r="D28" s="58">
        <v>234</v>
      </c>
      <c r="E28" s="86" t="s">
        <v>88</v>
      </c>
      <c r="F28" s="59" t="s">
        <v>84</v>
      </c>
      <c r="G28" s="59">
        <v>25</v>
      </c>
      <c r="H28" s="60">
        <v>1600</v>
      </c>
      <c r="I28" s="61">
        <f t="shared" si="0"/>
        <v>40000</v>
      </c>
    </row>
    <row r="29" spans="1:9" ht="51" x14ac:dyDescent="0.2">
      <c r="A29" s="57">
        <v>20</v>
      </c>
      <c r="B29" s="85" t="s">
        <v>95</v>
      </c>
      <c r="C29" s="86" t="s">
        <v>56</v>
      </c>
      <c r="D29" s="58">
        <v>234</v>
      </c>
      <c r="E29" s="86" t="s">
        <v>94</v>
      </c>
      <c r="F29" s="59" t="s">
        <v>59</v>
      </c>
      <c r="G29" s="59">
        <v>500</v>
      </c>
      <c r="H29" s="60">
        <v>55</v>
      </c>
      <c r="I29" s="61">
        <f t="shared" si="0"/>
        <v>27500</v>
      </c>
    </row>
    <row r="30" spans="1:9" ht="25.5" x14ac:dyDescent="0.2">
      <c r="A30" s="57">
        <v>21</v>
      </c>
      <c r="B30" s="85" t="s">
        <v>123</v>
      </c>
      <c r="C30" s="86" t="s">
        <v>56</v>
      </c>
      <c r="D30" s="58">
        <v>291</v>
      </c>
      <c r="E30" s="86" t="s">
        <v>122</v>
      </c>
      <c r="F30" s="59" t="s">
        <v>14</v>
      </c>
      <c r="G30" s="59">
        <v>30</v>
      </c>
      <c r="H30" s="60">
        <v>80</v>
      </c>
      <c r="I30" s="61">
        <f t="shared" si="0"/>
        <v>2400</v>
      </c>
    </row>
    <row r="31" spans="1:9" ht="38.25" x14ac:dyDescent="0.2">
      <c r="A31" s="57">
        <v>22</v>
      </c>
      <c r="B31" s="85" t="s">
        <v>91</v>
      </c>
      <c r="C31" s="86" t="s">
        <v>56</v>
      </c>
      <c r="D31" s="58">
        <v>291</v>
      </c>
      <c r="E31" s="86" t="s">
        <v>90</v>
      </c>
      <c r="F31" s="59" t="s">
        <v>14</v>
      </c>
      <c r="G31" s="59">
        <v>200</v>
      </c>
      <c r="H31" s="60">
        <v>90</v>
      </c>
      <c r="I31" s="61">
        <f t="shared" si="0"/>
        <v>18000</v>
      </c>
    </row>
    <row r="32" spans="1:9" ht="25.5" x14ac:dyDescent="0.2">
      <c r="A32" s="57">
        <v>23</v>
      </c>
      <c r="B32" s="85" t="s">
        <v>93</v>
      </c>
      <c r="C32" s="86" t="s">
        <v>56</v>
      </c>
      <c r="D32" s="58">
        <v>291</v>
      </c>
      <c r="E32" s="86" t="s">
        <v>92</v>
      </c>
      <c r="F32" s="59" t="s">
        <v>14</v>
      </c>
      <c r="G32" s="59">
        <v>300</v>
      </c>
      <c r="H32" s="60">
        <v>90</v>
      </c>
      <c r="I32" s="61">
        <f t="shared" si="0"/>
        <v>27000</v>
      </c>
    </row>
    <row r="33" spans="1:9" ht="39" thickBot="1" x14ac:dyDescent="0.25">
      <c r="A33" s="90">
        <v>24</v>
      </c>
      <c r="B33" s="91" t="s">
        <v>131</v>
      </c>
      <c r="C33" s="92" t="s">
        <v>56</v>
      </c>
      <c r="D33" s="93">
        <v>291</v>
      </c>
      <c r="E33" s="97" t="s">
        <v>130</v>
      </c>
      <c r="F33" s="94" t="s">
        <v>14</v>
      </c>
      <c r="G33" s="94">
        <v>5000</v>
      </c>
      <c r="H33" s="95">
        <v>19</v>
      </c>
      <c r="I33" s="96">
        <f t="shared" si="0"/>
        <v>95000</v>
      </c>
    </row>
    <row r="34" spans="1:9" ht="13.5" thickBot="1" x14ac:dyDescent="0.25">
      <c r="I34" s="41"/>
    </row>
    <row r="35" spans="1:9" x14ac:dyDescent="0.2">
      <c r="B35" s="71" t="s">
        <v>108</v>
      </c>
      <c r="C35" s="35"/>
      <c r="D35" s="35"/>
      <c r="E35" s="36"/>
    </row>
    <row r="36" spans="1:9" ht="12.75" customHeight="1" x14ac:dyDescent="0.2">
      <c r="B36" s="132" t="s">
        <v>109</v>
      </c>
      <c r="C36" s="133"/>
      <c r="D36" s="133"/>
      <c r="E36" s="134"/>
    </row>
    <row r="37" spans="1:9" ht="26.25" customHeight="1" x14ac:dyDescent="0.2">
      <c r="B37" s="132"/>
      <c r="C37" s="133"/>
      <c r="D37" s="133"/>
      <c r="E37" s="134"/>
    </row>
    <row r="38" spans="1:9" ht="26.25" customHeight="1" x14ac:dyDescent="0.2">
      <c r="B38" s="132" t="s">
        <v>135</v>
      </c>
      <c r="C38" s="133"/>
      <c r="D38" s="133"/>
      <c r="E38" s="134"/>
    </row>
    <row r="39" spans="1:9" x14ac:dyDescent="0.2">
      <c r="B39" s="72" t="s">
        <v>110</v>
      </c>
      <c r="C39" s="73"/>
      <c r="D39" s="74"/>
      <c r="E39" s="75"/>
    </row>
    <row r="40" spans="1:9" ht="26.25" customHeight="1" x14ac:dyDescent="0.2">
      <c r="B40" s="76"/>
      <c r="C40" s="135" t="s">
        <v>111</v>
      </c>
      <c r="D40" s="135"/>
      <c r="E40" s="135"/>
    </row>
    <row r="41" spans="1:9" ht="13.5" thickBot="1" x14ac:dyDescent="0.25">
      <c r="B41" s="77"/>
      <c r="C41" s="78"/>
      <c r="D41" s="78"/>
      <c r="E41" s="79"/>
    </row>
    <row r="42" spans="1:9" ht="13.5" thickBot="1" x14ac:dyDescent="0.25"/>
    <row r="43" spans="1:9" x14ac:dyDescent="0.2">
      <c r="B43" s="34" t="s">
        <v>98</v>
      </c>
      <c r="C43" s="35"/>
      <c r="D43" s="35"/>
      <c r="E43" s="36"/>
    </row>
    <row r="44" spans="1:9" ht="5.25" customHeight="1" x14ac:dyDescent="0.2">
      <c r="B44" s="37"/>
      <c r="C44" s="38"/>
      <c r="D44" s="38"/>
      <c r="E44" s="39"/>
    </row>
    <row r="45" spans="1:9" x14ac:dyDescent="0.2">
      <c r="B45" s="40" t="s">
        <v>15</v>
      </c>
      <c r="C45" s="38"/>
      <c r="D45" s="38"/>
      <c r="E45" s="39"/>
    </row>
    <row r="46" spans="1:9" ht="13.5" thickBot="1" x14ac:dyDescent="0.25">
      <c r="B46" s="128" t="s">
        <v>99</v>
      </c>
      <c r="C46" s="129"/>
      <c r="D46" s="129"/>
      <c r="E46" s="130"/>
    </row>
    <row r="47" spans="1:9" ht="13.5" thickBot="1" x14ac:dyDescent="0.25">
      <c r="B47" s="117"/>
      <c r="C47" s="116"/>
      <c r="D47" s="116"/>
      <c r="E47" s="118"/>
    </row>
    <row r="48" spans="1:9" x14ac:dyDescent="0.2">
      <c r="B48" s="34" t="s">
        <v>133</v>
      </c>
      <c r="C48" s="35"/>
      <c r="D48" s="35"/>
      <c r="E48" s="36"/>
    </row>
    <row r="49" spans="2:5" ht="5.25" customHeight="1" x14ac:dyDescent="0.2">
      <c r="B49" s="37"/>
      <c r="C49" s="38"/>
      <c r="D49" s="38"/>
      <c r="E49" s="39"/>
    </row>
    <row r="50" spans="2:5" x14ac:dyDescent="0.2">
      <c r="B50" s="40" t="s">
        <v>15</v>
      </c>
      <c r="C50" s="38"/>
      <c r="D50" s="38"/>
      <c r="E50" s="39"/>
    </row>
    <row r="51" spans="2:5" ht="13.5" thickBot="1" x14ac:dyDescent="0.25">
      <c r="B51" s="128" t="s">
        <v>134</v>
      </c>
      <c r="C51" s="129"/>
      <c r="D51" s="129"/>
      <c r="E51" s="130"/>
    </row>
    <row r="52" spans="2:5" ht="13.5" thickBot="1" x14ac:dyDescent="0.25">
      <c r="B52" s="35"/>
      <c r="C52" s="80"/>
      <c r="D52" s="80"/>
      <c r="E52" s="80"/>
    </row>
    <row r="53" spans="2:5" x14ac:dyDescent="0.2">
      <c r="B53" s="34" t="s">
        <v>126</v>
      </c>
      <c r="C53" s="80"/>
      <c r="D53" s="80"/>
      <c r="E53" s="81"/>
    </row>
    <row r="54" spans="2:5" ht="7.5" customHeight="1" x14ac:dyDescent="0.2">
      <c r="B54" s="37"/>
      <c r="C54" s="82"/>
      <c r="D54" s="82"/>
      <c r="E54" s="83"/>
    </row>
    <row r="55" spans="2:5" x14ac:dyDescent="0.2">
      <c r="B55" s="40" t="s">
        <v>15</v>
      </c>
      <c r="C55" s="82"/>
      <c r="D55" s="82"/>
      <c r="E55" s="83"/>
    </row>
    <row r="56" spans="2:5" ht="13.5" thickBot="1" x14ac:dyDescent="0.25">
      <c r="B56" s="128" t="s">
        <v>106</v>
      </c>
      <c r="C56" s="129"/>
      <c r="D56" s="129"/>
      <c r="E56" s="130"/>
    </row>
    <row r="57" spans="2:5" ht="13.5" thickBot="1" x14ac:dyDescent="0.25"/>
    <row r="58" spans="2:5" x14ac:dyDescent="0.2">
      <c r="B58" s="34" t="s">
        <v>128</v>
      </c>
      <c r="C58" s="80"/>
      <c r="D58" s="80"/>
      <c r="E58" s="81"/>
    </row>
    <row r="59" spans="2:5" x14ac:dyDescent="0.2">
      <c r="B59" s="37"/>
      <c r="C59" s="82"/>
      <c r="D59" s="82"/>
      <c r="E59" s="83"/>
    </row>
    <row r="60" spans="2:5" x14ac:dyDescent="0.2">
      <c r="B60" s="40" t="s">
        <v>15</v>
      </c>
      <c r="C60" s="82"/>
      <c r="D60" s="82"/>
      <c r="E60" s="83"/>
    </row>
    <row r="61" spans="2:5" ht="28.5" customHeight="1" thickBot="1" x14ac:dyDescent="0.25">
      <c r="B61" s="125" t="s">
        <v>129</v>
      </c>
      <c r="C61" s="126"/>
      <c r="D61" s="126"/>
      <c r="E61" s="127"/>
    </row>
  </sheetData>
  <mergeCells count="14">
    <mergeCell ref="B2:H2"/>
    <mergeCell ref="A4:B4"/>
    <mergeCell ref="C4:E4"/>
    <mergeCell ref="A5:B5"/>
    <mergeCell ref="C5:E5"/>
    <mergeCell ref="B61:E61"/>
    <mergeCell ref="B56:E56"/>
    <mergeCell ref="B46:E46"/>
    <mergeCell ref="A6:B6"/>
    <mergeCell ref="A7:B7"/>
    <mergeCell ref="B36:E37"/>
    <mergeCell ref="B38:E38"/>
    <mergeCell ref="C40:E40"/>
    <mergeCell ref="B51:E51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topLeftCell="A16" zoomScale="110" zoomScaleNormal="110" workbookViewId="0">
      <selection activeCell="C38" sqref="C38"/>
    </sheetView>
  </sheetViews>
  <sheetFormatPr baseColWidth="10" defaultColWidth="9.140625" defaultRowHeight="12.75" x14ac:dyDescent="0.2"/>
  <cols>
    <col min="1" max="1" width="5.5703125" style="44" customWidth="1"/>
    <col min="2" max="2" width="15.140625" style="44" customWidth="1"/>
    <col min="3" max="3" width="14.140625" style="44" customWidth="1"/>
    <col min="4" max="4" width="26" style="44" customWidth="1"/>
    <col min="5" max="5" width="5" style="44" customWidth="1"/>
    <col min="6" max="6" width="7.85546875" style="44" hidden="1" customWidth="1"/>
    <col min="7" max="7" width="48.5703125" style="44" hidden="1" customWidth="1"/>
    <col min="8" max="8" width="9.28515625" style="44" customWidth="1"/>
    <col min="9" max="9" width="15.5703125" style="44" customWidth="1"/>
    <col min="10" max="10" width="14.7109375" style="44" customWidth="1"/>
    <col min="11" max="11" width="15.5703125" style="44" customWidth="1"/>
    <col min="12" max="14" width="5.85546875" style="44" customWidth="1"/>
    <col min="15" max="15" width="12.5703125" style="44" customWidth="1"/>
    <col min="16" max="1024" width="9.140625" style="44"/>
    <col min="1025" max="16384" width="9.140625" style="45"/>
  </cols>
  <sheetData>
    <row r="1" spans="1:11" ht="18" customHeight="1" x14ac:dyDescent="0.2">
      <c r="A1" s="147" t="s">
        <v>16</v>
      </c>
      <c r="B1" s="147"/>
      <c r="C1" s="147"/>
      <c r="D1" s="147"/>
      <c r="E1" s="147"/>
      <c r="F1" s="147"/>
      <c r="G1" s="147"/>
      <c r="H1" s="147"/>
      <c r="I1" s="147"/>
      <c r="J1" s="42" t="s">
        <v>17</v>
      </c>
      <c r="K1" s="43" t="s">
        <v>127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48" t="s">
        <v>50</v>
      </c>
      <c r="B3" s="148"/>
      <c r="C3" s="148"/>
      <c r="D3" s="139" t="str">
        <f>'Necesidades Trimestrales'!C4</f>
        <v>040 - Ministerio de Salud</v>
      </c>
      <c r="E3" s="139"/>
      <c r="F3" s="139"/>
      <c r="G3" s="139"/>
      <c r="H3" s="139"/>
      <c r="I3" s="139"/>
      <c r="J3" s="139"/>
      <c r="K3" s="139"/>
    </row>
    <row r="4" spans="1:11" ht="18.75" customHeight="1" thickBot="1" x14ac:dyDescent="0.25">
      <c r="A4" s="149" t="s">
        <v>51</v>
      </c>
      <c r="B4" s="149"/>
      <c r="C4" s="149"/>
      <c r="D4" s="139" t="str">
        <f>'Necesidades Trimestrales'!C5</f>
        <v>024 - Hospital Interzonal de Niños</v>
      </c>
      <c r="E4" s="139"/>
      <c r="F4" s="139"/>
      <c r="G4" s="139"/>
      <c r="H4" s="139"/>
      <c r="I4" s="139"/>
      <c r="J4" s="139"/>
      <c r="K4" s="139"/>
    </row>
    <row r="5" spans="1:11" ht="18.75" customHeight="1" thickBot="1" x14ac:dyDescent="0.25">
      <c r="A5" s="149" t="s">
        <v>29</v>
      </c>
      <c r="B5" s="149"/>
      <c r="C5" s="149"/>
      <c r="D5" s="139" t="s">
        <v>53</v>
      </c>
      <c r="E5" s="139"/>
      <c r="F5" s="139"/>
      <c r="G5" s="139"/>
      <c r="H5" s="139"/>
      <c r="I5" s="139"/>
      <c r="J5" s="139"/>
      <c r="K5" s="139"/>
    </row>
    <row r="6" spans="1:11" ht="16.5" customHeight="1" thickBot="1" x14ac:dyDescent="0.25">
      <c r="A6" s="148" t="s">
        <v>52</v>
      </c>
      <c r="B6" s="148"/>
      <c r="C6" s="148"/>
      <c r="D6" s="139" t="s">
        <v>100</v>
      </c>
      <c r="E6" s="139"/>
      <c r="F6" s="139"/>
      <c r="G6" s="139"/>
      <c r="H6" s="139"/>
      <c r="I6" s="139"/>
      <c r="J6" s="139"/>
      <c r="K6" s="139"/>
    </row>
    <row r="7" spans="1:11" ht="16.5" customHeight="1" x14ac:dyDescent="0.2">
      <c r="A7" s="149" t="s">
        <v>18</v>
      </c>
      <c r="B7" s="149"/>
      <c r="C7" s="149"/>
      <c r="D7" s="139" t="str">
        <f>'Necesidades Trimestrales'!C7 &amp; "° Trimestre - Año " &amp; 'Necesidades Trimestrales'!C6</f>
        <v>2° Trimestre - Año 2021</v>
      </c>
      <c r="E7" s="139"/>
      <c r="F7" s="139"/>
      <c r="G7" s="139"/>
      <c r="H7" s="139"/>
      <c r="I7" s="139"/>
      <c r="J7" s="139"/>
      <c r="K7" s="139"/>
    </row>
    <row r="8" spans="1:11" ht="16.5" customHeight="1" x14ac:dyDescent="0.2">
      <c r="A8" s="150" t="s">
        <v>19</v>
      </c>
      <c r="B8" s="150"/>
      <c r="C8" s="150"/>
      <c r="D8" s="142" t="s">
        <v>101</v>
      </c>
      <c r="E8" s="142"/>
      <c r="F8" s="142"/>
      <c r="G8" s="142"/>
      <c r="H8" s="142"/>
      <c r="I8" s="142"/>
      <c r="J8" s="142"/>
      <c r="K8" s="142"/>
    </row>
    <row r="9" spans="1:11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x14ac:dyDescent="0.2">
      <c r="A10" s="143" t="s">
        <v>20</v>
      </c>
      <c r="B10" s="144" t="s">
        <v>21</v>
      </c>
      <c r="C10" s="144" t="s">
        <v>22</v>
      </c>
      <c r="D10" s="144"/>
      <c r="E10" s="144"/>
      <c r="F10" s="144"/>
      <c r="G10" s="144"/>
      <c r="H10" s="144" t="s">
        <v>23</v>
      </c>
      <c r="I10" s="144" t="s">
        <v>24</v>
      </c>
      <c r="J10" s="144" t="s">
        <v>25</v>
      </c>
      <c r="K10" s="145" t="s">
        <v>26</v>
      </c>
    </row>
    <row r="11" spans="1:11" ht="24" customHeight="1" thickBot="1" x14ac:dyDescent="0.25">
      <c r="A11" s="143"/>
      <c r="B11" s="144"/>
      <c r="C11" s="144"/>
      <c r="D11" s="144"/>
      <c r="E11" s="144"/>
      <c r="F11" s="144"/>
      <c r="G11" s="144"/>
      <c r="H11" s="144"/>
      <c r="I11" s="144"/>
      <c r="J11" s="144"/>
      <c r="K11" s="145"/>
    </row>
    <row r="12" spans="1:11" ht="27.75" customHeight="1" x14ac:dyDescent="0.2">
      <c r="A12" s="98">
        <v>1</v>
      </c>
      <c r="B12" s="99" t="str">
        <f>'Necesidades Trimestrales'!B10</f>
        <v>2.9.1-6952.22</v>
      </c>
      <c r="C12" s="141" t="str">
        <f>'Necesidades Trimestrales'!E10</f>
        <v>CEPILLOS; TIPO: ESCOBA REFORZADA, MATERIAL: PAJA</v>
      </c>
      <c r="D12" s="141"/>
      <c r="E12" s="141"/>
      <c r="F12" s="141"/>
      <c r="G12" s="141"/>
      <c r="H12" s="100" t="s">
        <v>55</v>
      </c>
      <c r="I12" s="101" t="str">
        <f>'Necesidades Trimestrales'!F10</f>
        <v>UNIDAD</v>
      </c>
      <c r="J12" s="102">
        <f>'Necesidades Trimestrales'!H10</f>
        <v>250</v>
      </c>
      <c r="K12" s="103">
        <f>'Necesidades Trimestrales'!G10</f>
        <v>10</v>
      </c>
    </row>
    <row r="13" spans="1:11" ht="39.75" customHeight="1" x14ac:dyDescent="0.2">
      <c r="A13" s="104">
        <v>2</v>
      </c>
      <c r="B13" s="105" t="str">
        <f>'Necesidades Trimestrales'!B11</f>
        <v>2.3.4-783.84</v>
      </c>
      <c r="C13" s="138" t="str">
        <f>'Necesidades Trimestrales'!E11</f>
        <v>TOALLAS DE PAPEL; MATERIAL: FIBRA CELULOSICA, GRAMAJE: 20 GR/M2, DIMENSION: 25 Cm, PRESENTACION: 2 X BOBINA X 400 M</v>
      </c>
      <c r="D13" s="138"/>
      <c r="E13" s="138"/>
      <c r="F13" s="138"/>
      <c r="G13" s="138"/>
      <c r="H13" s="106" t="s">
        <v>55</v>
      </c>
      <c r="I13" s="107" t="str">
        <f>'Necesidades Trimestrales'!F11</f>
        <v>ROLLO</v>
      </c>
      <c r="J13" s="108">
        <f>'Necesidades Trimestrales'!H11</f>
        <v>650</v>
      </c>
      <c r="K13" s="109">
        <f>'Necesidades Trimestrales'!G11</f>
        <v>400</v>
      </c>
    </row>
    <row r="14" spans="1:11" ht="42.75" customHeight="1" x14ac:dyDescent="0.2">
      <c r="A14" s="104">
        <v>3</v>
      </c>
      <c r="B14" s="105" t="str">
        <f>'Necesidades Trimestrales'!B12</f>
        <v>2.9.5-1908.29</v>
      </c>
      <c r="C14" s="138" t="str">
        <f>'Necesidades Trimestrales'!E12</f>
        <v>CEPILLOS P/LABORATORIO; TIPO: P/LIMPIEZA BIBERONES, MATERIAL: CERDA , TAMAÑO: DIAM. 8</v>
      </c>
      <c r="D14" s="138"/>
      <c r="E14" s="138"/>
      <c r="F14" s="138"/>
      <c r="G14" s="138"/>
      <c r="H14" s="106" t="s">
        <v>55</v>
      </c>
      <c r="I14" s="107" t="str">
        <f>'Necesidades Trimestrales'!F12</f>
        <v>UNIDAD</v>
      </c>
      <c r="J14" s="108">
        <f>'Necesidades Trimestrales'!H12</f>
        <v>700</v>
      </c>
      <c r="K14" s="109">
        <f>'Necesidades Trimestrales'!G12</f>
        <v>30</v>
      </c>
    </row>
    <row r="15" spans="1:11" ht="34.5" customHeight="1" x14ac:dyDescent="0.2">
      <c r="A15" s="104">
        <v>4</v>
      </c>
      <c r="B15" s="105" t="str">
        <f>'Necesidades Trimestrales'!B13</f>
        <v>2.9.1-6951.60</v>
      </c>
      <c r="C15" s="138" t="str">
        <f>'Necesidades Trimestrales'!E13</f>
        <v>LIMPIADORES; TIPO: DESENGRASANTE, PRESENTACION: ENVASE X 5 L</v>
      </c>
      <c r="D15" s="138"/>
      <c r="E15" s="138"/>
      <c r="F15" s="138"/>
      <c r="G15" s="138"/>
      <c r="H15" s="106" t="s">
        <v>55</v>
      </c>
      <c r="I15" s="107" t="str">
        <f>'Necesidades Trimestrales'!F13</f>
        <v>BIDON</v>
      </c>
      <c r="J15" s="108">
        <f>'Necesidades Trimestrales'!H13</f>
        <v>650</v>
      </c>
      <c r="K15" s="109">
        <f>'Necesidades Trimestrales'!G13</f>
        <v>20</v>
      </c>
    </row>
    <row r="16" spans="1:11" ht="38.25" customHeight="1" x14ac:dyDescent="0.2">
      <c r="A16" s="104">
        <v>5</v>
      </c>
      <c r="B16" s="105" t="str">
        <f>'Necesidades Trimestrales'!B14</f>
        <v>2.5.4-505.92</v>
      </c>
      <c r="C16" s="138" t="str">
        <f>'Necesidades Trimestrales'!E14</f>
        <v>DESINFECTANTES; PRINCIPIO ACTIVO: 2-FENIFENOL+ETANOL, CONTROL: BACTERIAS, PRESENTACION: ENVASE X 360 CM3</v>
      </c>
      <c r="D16" s="138"/>
      <c r="E16" s="138"/>
      <c r="F16" s="138"/>
      <c r="G16" s="138"/>
      <c r="H16" s="106" t="s">
        <v>55</v>
      </c>
      <c r="I16" s="107" t="str">
        <f>'Necesidades Trimestrales'!F14</f>
        <v>UNIDAD</v>
      </c>
      <c r="J16" s="108">
        <f>'Necesidades Trimestrales'!H14</f>
        <v>200</v>
      </c>
      <c r="K16" s="109">
        <f>'Necesidades Trimestrales'!G14</f>
        <v>100</v>
      </c>
    </row>
    <row r="17" spans="1:11" ht="37.5" customHeight="1" x14ac:dyDescent="0.2">
      <c r="A17" s="104">
        <v>6</v>
      </c>
      <c r="B17" s="105" t="str">
        <f>'Necesidades Trimestrales'!B15</f>
        <v>2.9.1-6951.41</v>
      </c>
      <c r="C17" s="138" t="str">
        <f>'Necesidades Trimestrales'!E15</f>
        <v>LIMPIADORES; TIPO: DESINFECTANTE P/PISO, PRESENTACION: ENVASE X 5 L</v>
      </c>
      <c r="D17" s="138"/>
      <c r="E17" s="138"/>
      <c r="F17" s="138"/>
      <c r="G17" s="138"/>
      <c r="H17" s="106" t="s">
        <v>55</v>
      </c>
      <c r="I17" s="107" t="str">
        <f>'Necesidades Trimestrales'!F15</f>
        <v>BIDON</v>
      </c>
      <c r="J17" s="108">
        <f>'Necesidades Trimestrales'!H15</f>
        <v>150</v>
      </c>
      <c r="K17" s="109">
        <f>'Necesidades Trimestrales'!G15</f>
        <v>400</v>
      </c>
    </row>
    <row r="18" spans="1:11" ht="39" customHeight="1" x14ac:dyDescent="0.2">
      <c r="A18" s="104">
        <v>7</v>
      </c>
      <c r="B18" s="105" t="str">
        <f>'Necesidades Trimestrales'!B16</f>
        <v>2.9.1-6961.6</v>
      </c>
      <c r="C18" s="138" t="str">
        <f>'Necesidades Trimestrales'!E16</f>
        <v>ELEM. P/LIMPIEZA SANITARIOS; TIPO: PASTILLA DESODORANTE, PRESENTACION: UNIDAD</v>
      </c>
      <c r="D18" s="138"/>
      <c r="E18" s="138"/>
      <c r="F18" s="138"/>
      <c r="G18" s="138"/>
      <c r="H18" s="106" t="s">
        <v>55</v>
      </c>
      <c r="I18" s="107" t="str">
        <f>'Necesidades Trimestrales'!F16</f>
        <v>UNIDAD</v>
      </c>
      <c r="J18" s="108">
        <f>'Necesidades Trimestrales'!H16</f>
        <v>70</v>
      </c>
      <c r="K18" s="109">
        <f>'Necesidades Trimestrales'!G16</f>
        <v>50</v>
      </c>
    </row>
    <row r="19" spans="1:11" ht="20.25" customHeight="1" x14ac:dyDescent="0.2">
      <c r="A19" s="104">
        <v>8</v>
      </c>
      <c r="B19" s="105" t="str">
        <f>'Necesidades Trimestrales'!B17</f>
        <v>2.9.1-6951.214</v>
      </c>
      <c r="C19" s="138" t="str">
        <f>'Necesidades Trimestrales'!E17</f>
        <v>LIMPIADORES; TIPO: DETERGENTE NEUTRO, PRESENTACION: ENVASE X 5 L</v>
      </c>
      <c r="D19" s="138"/>
      <c r="E19" s="138"/>
      <c r="F19" s="138"/>
      <c r="G19" s="138"/>
      <c r="H19" s="106" t="s">
        <v>55</v>
      </c>
      <c r="I19" s="107" t="str">
        <f>'Necesidades Trimestrales'!F17</f>
        <v>BIDON</v>
      </c>
      <c r="J19" s="108">
        <f>'Necesidades Trimestrales'!H17</f>
        <v>275</v>
      </c>
      <c r="K19" s="109">
        <f>'Necesidades Trimestrales'!G17</f>
        <v>800</v>
      </c>
    </row>
    <row r="20" spans="1:11" ht="38.25" customHeight="1" x14ac:dyDescent="0.2">
      <c r="A20" s="104">
        <v>9</v>
      </c>
      <c r="B20" s="105" t="str">
        <f>'Necesidades Trimestrales'!B18</f>
        <v>2.9.1-6956.27</v>
      </c>
      <c r="C20" s="138" t="str">
        <f>'Necesidades Trimestrales'!E18</f>
        <v>ARTICULOS DE TOCADOR; TIPO: JABON DE TOCADOR LIQUIDO, PRESENTACION: ENVASE X 5 L</v>
      </c>
      <c r="D20" s="138"/>
      <c r="E20" s="138"/>
      <c r="F20" s="138"/>
      <c r="G20" s="138"/>
      <c r="H20" s="106" t="s">
        <v>55</v>
      </c>
      <c r="I20" s="107" t="str">
        <f>'Necesidades Trimestrales'!F18</f>
        <v>BIDON</v>
      </c>
      <c r="J20" s="108">
        <f>'Necesidades Trimestrales'!H18</f>
        <v>450</v>
      </c>
      <c r="K20" s="109">
        <f>'Necesidades Trimestrales'!G18</f>
        <v>100</v>
      </c>
    </row>
    <row r="21" spans="1:11" ht="30.75" customHeight="1" x14ac:dyDescent="0.2">
      <c r="A21" s="104">
        <v>10</v>
      </c>
      <c r="B21" s="105" t="str">
        <f>'Necesidades Trimestrales'!B19</f>
        <v>2.9.1-4784.9</v>
      </c>
      <c r="C21" s="138" t="str">
        <f>'Necesidades Trimestrales'!E19</f>
        <v>LIMPIADORES MULTIUSO; TIPO: CREMOSO, PRESENTACION: ENVASE X 750 GR</v>
      </c>
      <c r="D21" s="138"/>
      <c r="E21" s="138"/>
      <c r="F21" s="138"/>
      <c r="G21" s="138"/>
      <c r="H21" s="106" t="s">
        <v>55</v>
      </c>
      <c r="I21" s="107" t="str">
        <f>'Necesidades Trimestrales'!F19</f>
        <v>UNIDAD</v>
      </c>
      <c r="J21" s="108">
        <f>'Necesidades Trimestrales'!H19</f>
        <v>130</v>
      </c>
      <c r="K21" s="109">
        <f>'Necesidades Trimestrales'!G19</f>
        <v>30</v>
      </c>
    </row>
    <row r="22" spans="1:11" ht="37.5" customHeight="1" x14ac:dyDescent="0.2">
      <c r="A22" s="104">
        <v>11</v>
      </c>
      <c r="B22" s="105" t="str">
        <f>'Necesidades Trimestrales'!B20</f>
        <v>2.9.1-2030.1</v>
      </c>
      <c r="C22" s="138" t="str">
        <f>'Necesidades Trimestrales'!E20</f>
        <v>LANAS DE ACERO; PRESENTACION: PAQUETE, CONTENIDO: MADEJA</v>
      </c>
      <c r="D22" s="138"/>
      <c r="E22" s="138"/>
      <c r="F22" s="138"/>
      <c r="G22" s="138"/>
      <c r="H22" s="106" t="s">
        <v>55</v>
      </c>
      <c r="I22" s="107" t="str">
        <f>'Necesidades Trimestrales'!F20</f>
        <v>PAQUETE</v>
      </c>
      <c r="J22" s="108">
        <f>'Necesidades Trimestrales'!H20</f>
        <v>37</v>
      </c>
      <c r="K22" s="109">
        <f>'Necesidades Trimestrales'!G20</f>
        <v>100</v>
      </c>
    </row>
    <row r="23" spans="1:11" ht="57" customHeight="1" x14ac:dyDescent="0.2">
      <c r="A23" s="104">
        <v>12</v>
      </c>
      <c r="B23" s="105" t="str">
        <f>'Necesidades Trimestrales'!B21</f>
        <v>2.9.1-1164.26</v>
      </c>
      <c r="C23" s="138" t="str">
        <f>'Necesidades Trimestrales'!E21</f>
        <v>ESPONJAS; USO: LIMPIEZA, ADITAMENTO: SIN VALOR, FORMA: RECTANGULAR, COLOR: AMARILLO, MATERIAL: FIBRA, LARGO X ANCHO X ESP: 9,7 X 5,7 X 3,5 Cm</v>
      </c>
      <c r="D23" s="138"/>
      <c r="E23" s="138"/>
      <c r="F23" s="138"/>
      <c r="G23" s="138"/>
      <c r="H23" s="106" t="s">
        <v>55</v>
      </c>
      <c r="I23" s="107" t="str">
        <f>'Necesidades Trimestrales'!F21</f>
        <v>UNIDAD</v>
      </c>
      <c r="J23" s="108">
        <f>'Necesidades Trimestrales'!H21</f>
        <v>23</v>
      </c>
      <c r="K23" s="109">
        <f>'Necesidades Trimestrales'!G21</f>
        <v>200</v>
      </c>
    </row>
    <row r="24" spans="1:11" ht="34.5" customHeight="1" x14ac:dyDescent="0.2">
      <c r="A24" s="104">
        <v>13</v>
      </c>
      <c r="B24" s="105" t="str">
        <f>'Necesidades Trimestrales'!B22</f>
        <v>2.9.1-761.2</v>
      </c>
      <c r="C24" s="138" t="str">
        <f>'Necesidades Trimestrales'!E22</f>
        <v>GUANTES P/LIMPIEZA; MATERIAL: LATEX, TAMAÑO: MEDIANO</v>
      </c>
      <c r="D24" s="138"/>
      <c r="E24" s="138"/>
      <c r="F24" s="138"/>
      <c r="G24" s="138"/>
      <c r="H24" s="106" t="s">
        <v>55</v>
      </c>
      <c r="I24" s="107" t="str">
        <f>'Necesidades Trimestrales'!F22</f>
        <v>PAR</v>
      </c>
      <c r="J24" s="108">
        <f>'Necesidades Trimestrales'!H22</f>
        <v>110</v>
      </c>
      <c r="K24" s="109">
        <f>'Necesidades Trimestrales'!G22</f>
        <v>200</v>
      </c>
    </row>
    <row r="25" spans="1:11" ht="33" customHeight="1" x14ac:dyDescent="0.2">
      <c r="A25" s="104">
        <v>14</v>
      </c>
      <c r="B25" s="105" t="str">
        <f>'Necesidades Trimestrales'!B23</f>
        <v>2.9.1-761.1</v>
      </c>
      <c r="C25" s="138" t="str">
        <f>'Necesidades Trimestrales'!E23</f>
        <v>GUANTES P/LIMPIEZA; TAMAÑO: GRANDE, MATERIAL: LATEX</v>
      </c>
      <c r="D25" s="138"/>
      <c r="E25" s="138"/>
      <c r="F25" s="138"/>
      <c r="G25" s="138"/>
      <c r="H25" s="106" t="s">
        <v>55</v>
      </c>
      <c r="I25" s="107" t="str">
        <f>'Necesidades Trimestrales'!F23</f>
        <v>PAR</v>
      </c>
      <c r="J25" s="108">
        <f>'Necesidades Trimestrales'!H23</f>
        <v>110</v>
      </c>
      <c r="K25" s="109">
        <f>'Necesidades Trimestrales'!G23</f>
        <v>200</v>
      </c>
    </row>
    <row r="26" spans="1:11" ht="32.25" customHeight="1" x14ac:dyDescent="0.2">
      <c r="A26" s="104">
        <v>15</v>
      </c>
      <c r="B26" s="105" t="str">
        <f>'Necesidades Trimestrales'!B24</f>
        <v>2.9.1-683.5</v>
      </c>
      <c r="C26" s="138" t="str">
        <f>'Necesidades Trimestrales'!E24</f>
        <v>SECADORES DE GOMA; LARGO: 40 Cm, COLOR: NEGRO</v>
      </c>
      <c r="D26" s="138"/>
      <c r="E26" s="138"/>
      <c r="F26" s="138"/>
      <c r="G26" s="138"/>
      <c r="H26" s="106" t="s">
        <v>55</v>
      </c>
      <c r="I26" s="107" t="str">
        <f>'Necesidades Trimestrales'!F24</f>
        <v>UNIDAD</v>
      </c>
      <c r="J26" s="108">
        <f>'Necesidades Trimestrales'!H24</f>
        <v>100</v>
      </c>
      <c r="K26" s="109">
        <f>'Necesidades Trimestrales'!G24</f>
        <v>150</v>
      </c>
    </row>
    <row r="27" spans="1:11" ht="33" customHeight="1" x14ac:dyDescent="0.2">
      <c r="A27" s="104">
        <v>16</v>
      </c>
      <c r="B27" s="105" t="str">
        <f>'Necesidades Trimestrales'!B25</f>
        <v>2.9.1-6956.50</v>
      </c>
      <c r="C27" s="138" t="str">
        <f>'Necesidades Trimestrales'!E25</f>
        <v>ARTICULOS DE TOCADOR; TIPO: JABON DE TOCADOR, PRESENTACION: CAJA X 60 X 90 GR</v>
      </c>
      <c r="D27" s="138"/>
      <c r="E27" s="138"/>
      <c r="F27" s="138"/>
      <c r="G27" s="138"/>
      <c r="H27" s="106" t="s">
        <v>55</v>
      </c>
      <c r="I27" s="107" t="str">
        <f>'Necesidades Trimestrales'!F25</f>
        <v>CAJA</v>
      </c>
      <c r="J27" s="108">
        <f>'Necesidades Trimestrales'!H25</f>
        <v>4800</v>
      </c>
      <c r="K27" s="109">
        <f>'Necesidades Trimestrales'!G25</f>
        <v>2</v>
      </c>
    </row>
    <row r="28" spans="1:11" ht="40.5" customHeight="1" x14ac:dyDescent="0.2">
      <c r="A28" s="104">
        <v>17</v>
      </c>
      <c r="B28" s="105" t="str">
        <f>'Necesidades Trimestrales'!B26</f>
        <v>2.9.1-2661.25</v>
      </c>
      <c r="C28" s="138" t="str">
        <f>'Necesidades Trimestrales'!E26</f>
        <v>TACHOS DE RESIDUOS; MATERIAL: PLASTICO, SECCION: RECTANGULAR, DIMENSION: 10 L, TAPA: VAIVEN</v>
      </c>
      <c r="D28" s="138"/>
      <c r="E28" s="138"/>
      <c r="F28" s="138"/>
      <c r="G28" s="138"/>
      <c r="H28" s="106" t="s">
        <v>55</v>
      </c>
      <c r="I28" s="107" t="str">
        <f>'Necesidades Trimestrales'!F26</f>
        <v>UNIDAD</v>
      </c>
      <c r="J28" s="108">
        <f>'Necesidades Trimestrales'!H26</f>
        <v>450</v>
      </c>
      <c r="K28" s="109">
        <f>'Necesidades Trimestrales'!G26</f>
        <v>20</v>
      </c>
    </row>
    <row r="29" spans="1:11" ht="31.5" customHeight="1" x14ac:dyDescent="0.2">
      <c r="A29" s="104">
        <v>18</v>
      </c>
      <c r="B29" s="105" t="str">
        <f>'Necesidades Trimestrales'!B27</f>
        <v>2.9.1-6951.27</v>
      </c>
      <c r="C29" s="138" t="str">
        <f>'Necesidades Trimestrales'!E27</f>
        <v>LIMPIADORES; TIPO: LAVANDINA, PRESENTACION: ENVASE X 2 L</v>
      </c>
      <c r="D29" s="138"/>
      <c r="E29" s="138"/>
      <c r="F29" s="138"/>
      <c r="G29" s="138"/>
      <c r="H29" s="106" t="s">
        <v>55</v>
      </c>
      <c r="I29" s="107" t="str">
        <f>'Necesidades Trimestrales'!F27</f>
        <v>BOTELLA</v>
      </c>
      <c r="J29" s="108">
        <f>'Necesidades Trimestrales'!H27</f>
        <v>88</v>
      </c>
      <c r="K29" s="109">
        <f>'Necesidades Trimestrales'!G27</f>
        <v>1200</v>
      </c>
    </row>
    <row r="30" spans="1:11" ht="36.75" customHeight="1" x14ac:dyDescent="0.2">
      <c r="A30" s="104">
        <v>19</v>
      </c>
      <c r="B30" s="105" t="str">
        <f>'Necesidades Trimestrales'!B28</f>
        <v>2.3.4-786.91</v>
      </c>
      <c r="C30" s="138" t="str">
        <f>'Necesidades Trimestrales'!E28</f>
        <v>PAPEL HIGIENICO; PRESENTACION: CAJA X 20, TIPO: DOBLE, ANCHO: 10 Cm, LARGO: 80 M, TIPO DE HOJA: DOBLE</v>
      </c>
      <c r="D30" s="138"/>
      <c r="E30" s="138"/>
      <c r="F30" s="138"/>
      <c r="G30" s="138"/>
      <c r="H30" s="106" t="s">
        <v>55</v>
      </c>
      <c r="I30" s="107" t="str">
        <f>'Necesidades Trimestrales'!F28</f>
        <v>CAJA</v>
      </c>
      <c r="J30" s="108">
        <f>'Necesidades Trimestrales'!H28</f>
        <v>1600</v>
      </c>
      <c r="K30" s="109">
        <f>'Necesidades Trimestrales'!G28</f>
        <v>25</v>
      </c>
    </row>
    <row r="31" spans="1:11" ht="57.75" customHeight="1" x14ac:dyDescent="0.2">
      <c r="A31" s="104">
        <v>20</v>
      </c>
      <c r="B31" s="105" t="str">
        <f>'Necesidades Trimestrales'!B29</f>
        <v>2.3.4-783.40</v>
      </c>
      <c r="C31" s="138" t="str">
        <f>'Necesidades Trimestrales'!E29</f>
        <v>TOALLAS DE PAPEL; MATERIAL: PAPEL, GRAMAJE: SIN VALOR, DIMENSION: 22,8 (ANCHO) Cm, COLOR: BLANCO, PRESENTACION: ROLLO</v>
      </c>
      <c r="D31" s="138"/>
      <c r="E31" s="138"/>
      <c r="F31" s="138"/>
      <c r="G31" s="138"/>
      <c r="H31" s="106" t="s">
        <v>55</v>
      </c>
      <c r="I31" s="107" t="str">
        <f>'Necesidades Trimestrales'!F29</f>
        <v>ROLLO</v>
      </c>
      <c r="J31" s="108">
        <f>'Necesidades Trimestrales'!H29</f>
        <v>55</v>
      </c>
      <c r="K31" s="109">
        <f>'Necesidades Trimestrales'!G29</f>
        <v>500</v>
      </c>
    </row>
    <row r="32" spans="1:11" ht="29.25" customHeight="1" x14ac:dyDescent="0.2">
      <c r="A32" s="104">
        <v>21</v>
      </c>
      <c r="B32" s="105" t="str">
        <f>'Necesidades Trimestrales'!B30</f>
        <v>2.9.1-714.5</v>
      </c>
      <c r="C32" s="138" t="str">
        <f>'Necesidades Trimestrales'!E30</f>
        <v>FRANELAS; DIMENSION: 40 X 50 Cm</v>
      </c>
      <c r="D32" s="138"/>
      <c r="E32" s="138"/>
      <c r="F32" s="138"/>
      <c r="G32" s="138"/>
      <c r="H32" s="106" t="s">
        <v>55</v>
      </c>
      <c r="I32" s="107" t="str">
        <f>'Necesidades Trimestrales'!F30</f>
        <v>UNIDAD</v>
      </c>
      <c r="J32" s="108">
        <f>'Necesidades Trimestrales'!H30</f>
        <v>80</v>
      </c>
      <c r="K32" s="109">
        <f>'Necesidades Trimestrales'!G30</f>
        <v>30</v>
      </c>
    </row>
    <row r="33" spans="1:11" ht="33.75" customHeight="1" x14ac:dyDescent="0.2">
      <c r="A33" s="104">
        <v>22</v>
      </c>
      <c r="B33" s="105" t="str">
        <f>'Necesidades Trimestrales'!B31</f>
        <v>2.9.1-678.1</v>
      </c>
      <c r="C33" s="138" t="str">
        <f>'Necesidades Trimestrales'!E31</f>
        <v>TRAPOS REJILLA; DIMENSION: 38 X 42 Cm, MATERIAL: PURO ALGODON, COLOR: BLANCO</v>
      </c>
      <c r="D33" s="138"/>
      <c r="E33" s="138"/>
      <c r="F33" s="138"/>
      <c r="G33" s="138"/>
      <c r="H33" s="106" t="s">
        <v>55</v>
      </c>
      <c r="I33" s="107" t="str">
        <f>'Necesidades Trimestrales'!F31</f>
        <v>UNIDAD</v>
      </c>
      <c r="J33" s="108">
        <f>'Necesidades Trimestrales'!H31</f>
        <v>90</v>
      </c>
      <c r="K33" s="109">
        <f>'Necesidades Trimestrales'!G31</f>
        <v>200</v>
      </c>
    </row>
    <row r="34" spans="1:11" ht="22.5" customHeight="1" x14ac:dyDescent="0.2">
      <c r="A34" s="104">
        <v>23</v>
      </c>
      <c r="B34" s="105" t="str">
        <f>'Necesidades Trimestrales'!B32</f>
        <v>2.9.1-713.12</v>
      </c>
      <c r="C34" s="138" t="str">
        <f>'Necesidades Trimestrales'!E32</f>
        <v>TRAPOS DE PISO; DIMENSION: 50 X 55 Cm, COLOR: GRIS</v>
      </c>
      <c r="D34" s="138"/>
      <c r="E34" s="138"/>
      <c r="F34" s="138"/>
      <c r="G34" s="138"/>
      <c r="H34" s="106" t="s">
        <v>55</v>
      </c>
      <c r="I34" s="107" t="str">
        <f>'Necesidades Trimestrales'!F32</f>
        <v>UNIDAD</v>
      </c>
      <c r="J34" s="108">
        <f>'Necesidades Trimestrales'!H32</f>
        <v>90</v>
      </c>
      <c r="K34" s="109">
        <f>'Necesidades Trimestrales'!G32</f>
        <v>300</v>
      </c>
    </row>
    <row r="35" spans="1:11" ht="39.75" customHeight="1" thickBot="1" x14ac:dyDescent="0.25">
      <c r="A35" s="110">
        <v>24</v>
      </c>
      <c r="B35" s="111" t="str">
        <f>'Necesidades Trimestrales'!B33</f>
        <v>2.9.1-646.58</v>
      </c>
      <c r="C35" s="146" t="str">
        <f>'Necesidades Trimestrales'!E33</f>
        <v>BOLSAS DE RESIDUOS; DIMENSION: 80 X 110 Cm, PRESENTACION: POR UNIDAD, ESPESOR: 30 Mn, COLOR: TRANSPARENTE</v>
      </c>
      <c r="D35" s="146"/>
      <c r="E35" s="146"/>
      <c r="F35" s="146"/>
      <c r="G35" s="146"/>
      <c r="H35" s="112" t="s">
        <v>55</v>
      </c>
      <c r="I35" s="113" t="str">
        <f>'Necesidades Trimestrales'!F30</f>
        <v>UNIDAD</v>
      </c>
      <c r="J35" s="114">
        <f>'Necesidades Trimestrales'!H33</f>
        <v>19</v>
      </c>
      <c r="K35" s="115">
        <f>'Necesidades Trimestrales'!G33</f>
        <v>5000</v>
      </c>
    </row>
    <row r="36" spans="1:11" ht="31.5" customHeight="1" thickBot="1" x14ac:dyDescent="0.25">
      <c r="A36" s="139" t="s">
        <v>125</v>
      </c>
      <c r="B36" s="139"/>
      <c r="C36" s="139"/>
      <c r="D36" s="139"/>
      <c r="E36" s="139"/>
      <c r="F36" s="139"/>
      <c r="G36" s="139"/>
      <c r="H36" s="139"/>
      <c r="I36" s="139"/>
      <c r="J36" s="140">
        <f>SUMPRODUCT(J12:J35,K12:K35)</f>
        <v>1050300</v>
      </c>
      <c r="K36" s="140"/>
    </row>
  </sheetData>
  <mergeCells count="46">
    <mergeCell ref="C32:G32"/>
    <mergeCell ref="C33:G33"/>
    <mergeCell ref="C34:G34"/>
    <mergeCell ref="C35:G3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6:I36"/>
    <mergeCell ref="J36:K3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7:G27"/>
    <mergeCell ref="C28:G28"/>
    <mergeCell ref="C29:G29"/>
    <mergeCell ref="C30:G30"/>
    <mergeCell ref="C31:G31"/>
    <mergeCell ref="C22:G22"/>
    <mergeCell ref="C23:G23"/>
    <mergeCell ref="C24:G24"/>
    <mergeCell ref="C25:G25"/>
    <mergeCell ref="C26:G2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zoomScale="130" zoomScaleNormal="130" workbookViewId="0">
      <selection activeCell="O13" sqref="O13:P1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4" t="s">
        <v>3</v>
      </c>
      <c r="B1" s="174"/>
      <c r="C1" s="174"/>
      <c r="D1" s="175">
        <f>'Necesidades Trimestrales'!C6</f>
        <v>2021</v>
      </c>
      <c r="E1" s="175"/>
      <c r="F1" s="3"/>
      <c r="G1" s="3"/>
      <c r="H1" s="4"/>
      <c r="I1" s="4"/>
      <c r="J1" s="4"/>
      <c r="K1" s="4"/>
      <c r="L1" s="4"/>
      <c r="M1" s="4"/>
      <c r="N1" s="4"/>
      <c r="P1" s="176" t="s">
        <v>27</v>
      </c>
      <c r="Q1" s="17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76"/>
      <c r="Q2" s="176"/>
    </row>
    <row r="4" spans="1:17" s="5" customFormat="1" ht="18" customHeight="1" thickBot="1" x14ac:dyDescent="0.25">
      <c r="A4" s="177" t="s">
        <v>28</v>
      </c>
      <c r="B4" s="177"/>
      <c r="C4" s="177"/>
      <c r="D4" s="177"/>
      <c r="E4" s="177"/>
      <c r="F4" s="177"/>
      <c r="G4" s="172" t="str">
        <f>' NotaPedido'!D3</f>
        <v>040 - Ministerio de Salud</v>
      </c>
      <c r="H4" s="172"/>
      <c r="I4" s="172"/>
      <c r="J4" s="172"/>
      <c r="K4" s="172"/>
      <c r="L4" s="172"/>
      <c r="M4" s="172"/>
      <c r="N4" s="172"/>
      <c r="O4" s="172"/>
      <c r="P4" s="172"/>
      <c r="Q4" s="172"/>
    </row>
    <row r="5" spans="1:17" s="5" customFormat="1" ht="18" customHeight="1" thickBot="1" x14ac:dyDescent="0.25">
      <c r="A5" s="169" t="s">
        <v>51</v>
      </c>
      <c r="B5" s="170"/>
      <c r="C5" s="170"/>
      <c r="D5" s="170"/>
      <c r="E5" s="170"/>
      <c r="F5" s="171"/>
      <c r="G5" s="172" t="str">
        <f>' NotaPedido'!D4</f>
        <v>024 - Hospital Interzonal de Niños</v>
      </c>
      <c r="H5" s="172"/>
      <c r="I5" s="172"/>
      <c r="J5" s="172"/>
      <c r="K5" s="172"/>
      <c r="L5" s="172"/>
      <c r="M5" s="172"/>
      <c r="N5" s="172"/>
      <c r="O5" s="172"/>
      <c r="P5" s="172"/>
      <c r="Q5" s="172"/>
    </row>
    <row r="6" spans="1:17" s="5" customFormat="1" ht="18" customHeight="1" thickBot="1" x14ac:dyDescent="0.25">
      <c r="A6" s="169" t="s">
        <v>29</v>
      </c>
      <c r="B6" s="170"/>
      <c r="C6" s="170"/>
      <c r="D6" s="170"/>
      <c r="E6" s="170"/>
      <c r="F6" s="171"/>
      <c r="G6" s="172" t="str">
        <f>' NotaPedido'!D5</f>
        <v>024 - Hospital Interzonal de Niños</v>
      </c>
      <c r="H6" s="172"/>
      <c r="I6" s="172"/>
      <c r="J6" s="172"/>
      <c r="K6" s="172"/>
      <c r="L6" s="172"/>
      <c r="M6" s="172"/>
      <c r="N6" s="172"/>
      <c r="O6" s="172"/>
      <c r="P6" s="172"/>
      <c r="Q6" s="172"/>
    </row>
    <row r="7" spans="1:17" s="5" customFormat="1" ht="18" customHeight="1" thickBot="1" x14ac:dyDescent="0.25">
      <c r="A7" s="169" t="s">
        <v>52</v>
      </c>
      <c r="B7" s="170"/>
      <c r="C7" s="170"/>
      <c r="D7" s="170"/>
      <c r="E7" s="170"/>
      <c r="F7" s="171"/>
      <c r="G7" s="172" t="str">
        <f>' NotaPedido'!D6</f>
        <v>Servicio de Economato</v>
      </c>
      <c r="H7" s="172"/>
      <c r="I7" s="172"/>
      <c r="J7" s="172"/>
      <c r="K7" s="172"/>
      <c r="L7" s="172"/>
      <c r="M7" s="172"/>
      <c r="N7" s="172"/>
      <c r="O7" s="172"/>
      <c r="P7" s="172"/>
      <c r="Q7" s="172"/>
    </row>
    <row r="8" spans="1:17" ht="18" customHeight="1" thickBot="1" x14ac:dyDescent="0.25">
      <c r="A8" s="173" t="s">
        <v>30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</row>
    <row r="9" spans="1:17" ht="18" customHeight="1" x14ac:dyDescent="0.2">
      <c r="A9" s="163" t="s">
        <v>31</v>
      </c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"/>
      <c r="P9" s="1"/>
      <c r="Q9" s="6"/>
    </row>
    <row r="10" spans="1:17" ht="54.75" customHeight="1" x14ac:dyDescent="0.2">
      <c r="A10" s="16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34/2021,  afectando la erogación resultante a los créditos presupuestarios aprobados a favor de esta Unidad Ejecutora, conforme al siguiente detalle:</v>
      </c>
      <c r="B10" s="164"/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65" t="s">
        <v>32</v>
      </c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1:17" ht="15.75" customHeight="1" x14ac:dyDescent="0.2">
      <c r="A13" s="166" t="s">
        <v>33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7" t="s">
        <v>34</v>
      </c>
      <c r="P13" s="167"/>
      <c r="Q13" s="168" t="s">
        <v>35</v>
      </c>
    </row>
    <row r="14" spans="1:17" ht="15.75" customHeight="1" x14ac:dyDescent="0.2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67"/>
      <c r="P14" s="167"/>
      <c r="Q14" s="168"/>
    </row>
    <row r="15" spans="1:17" ht="17.25" customHeight="1" x14ac:dyDescent="0.2">
      <c r="A15" s="62">
        <v>36</v>
      </c>
      <c r="B15" s="68"/>
      <c r="C15" s="68"/>
      <c r="D15" s="68">
        <v>1</v>
      </c>
      <c r="E15" s="68"/>
      <c r="F15" s="68">
        <v>4901</v>
      </c>
      <c r="G15" s="68">
        <v>3</v>
      </c>
      <c r="H15" s="68">
        <v>310</v>
      </c>
      <c r="I15" s="69" t="str">
        <f>LEFT('Necesidades Trimestrales'!D11,1)</f>
        <v>2</v>
      </c>
      <c r="J15" s="69">
        <v>3</v>
      </c>
      <c r="K15" s="69" t="str">
        <f>RIGHT('Necesidades Trimestrales'!D11,1)</f>
        <v>4</v>
      </c>
      <c r="L15" s="68"/>
      <c r="M15" s="63">
        <v>1</v>
      </c>
      <c r="N15" s="64" t="s">
        <v>132</v>
      </c>
      <c r="O15" s="161" t="s">
        <v>103</v>
      </c>
      <c r="P15" s="156"/>
      <c r="Q15" s="20">
        <v>327500</v>
      </c>
    </row>
    <row r="16" spans="1:17" ht="17.25" customHeight="1" x14ac:dyDescent="0.2">
      <c r="A16" s="62">
        <v>36</v>
      </c>
      <c r="B16" s="66"/>
      <c r="C16" s="66"/>
      <c r="D16" s="66">
        <v>1</v>
      </c>
      <c r="E16" s="66"/>
      <c r="F16" s="66">
        <v>4901</v>
      </c>
      <c r="G16" s="66">
        <v>3</v>
      </c>
      <c r="H16" s="66">
        <v>310</v>
      </c>
      <c r="I16" s="67" t="str">
        <f>LEFT('Necesidades Trimestrales'!D12,1)</f>
        <v>2</v>
      </c>
      <c r="J16" s="67" t="str">
        <f>MID('Necesidades Trimestrales'!D12,3,1)</f>
        <v>5</v>
      </c>
      <c r="K16" s="67">
        <v>4</v>
      </c>
      <c r="L16" s="66"/>
      <c r="M16" s="63">
        <v>1</v>
      </c>
      <c r="N16" s="64" t="s">
        <v>132</v>
      </c>
      <c r="O16" s="161" t="s">
        <v>104</v>
      </c>
      <c r="P16" s="156"/>
      <c r="Q16" s="20">
        <v>20000</v>
      </c>
    </row>
    <row r="17" spans="1:18" ht="17.25" customHeight="1" x14ac:dyDescent="0.2">
      <c r="A17" s="62">
        <v>36</v>
      </c>
      <c r="B17" s="63"/>
      <c r="C17" s="63"/>
      <c r="D17" s="63">
        <v>1</v>
      </c>
      <c r="E17" s="63"/>
      <c r="F17" s="63">
        <v>4901</v>
      </c>
      <c r="G17" s="63">
        <v>3</v>
      </c>
      <c r="H17" s="63">
        <v>310</v>
      </c>
      <c r="I17" s="65" t="str">
        <f>LEFT('Necesidades Trimestrales'!D13,1)</f>
        <v>2</v>
      </c>
      <c r="J17" s="65">
        <v>9</v>
      </c>
      <c r="K17" s="65" t="str">
        <f>RIGHT('Necesidades Trimestrales'!D13,1)</f>
        <v>1</v>
      </c>
      <c r="L17" s="63"/>
      <c r="M17" s="63">
        <v>1</v>
      </c>
      <c r="N17" s="64" t="s">
        <v>132</v>
      </c>
      <c r="O17" s="161" t="s">
        <v>105</v>
      </c>
      <c r="P17" s="156"/>
      <c r="Q17" s="20">
        <v>681800</v>
      </c>
    </row>
    <row r="18" spans="1:18" ht="23.25" customHeight="1" x14ac:dyDescent="0.2">
      <c r="A18" s="62">
        <v>36</v>
      </c>
      <c r="B18" s="63"/>
      <c r="C18" s="63"/>
      <c r="D18" s="63">
        <v>1</v>
      </c>
      <c r="E18" s="63"/>
      <c r="F18" s="63">
        <v>4901</v>
      </c>
      <c r="G18" s="63">
        <v>3</v>
      </c>
      <c r="H18" s="63">
        <v>310</v>
      </c>
      <c r="I18" s="65" t="str">
        <f>LEFT('Necesidades Trimestrales'!D14,1)</f>
        <v>2</v>
      </c>
      <c r="J18" s="65">
        <v>9</v>
      </c>
      <c r="K18" s="65">
        <v>5</v>
      </c>
      <c r="L18" s="63"/>
      <c r="M18" s="63">
        <v>1</v>
      </c>
      <c r="N18" s="64" t="s">
        <v>132</v>
      </c>
      <c r="O18" s="162" t="s">
        <v>107</v>
      </c>
      <c r="P18" s="156"/>
      <c r="Q18" s="20">
        <v>21000</v>
      </c>
    </row>
    <row r="19" spans="1:18" ht="17.25" customHeight="1" x14ac:dyDescent="0.2">
      <c r="A19" s="16"/>
      <c r="B19" s="17"/>
      <c r="C19" s="17"/>
      <c r="D19" s="17"/>
      <c r="E19" s="17"/>
      <c r="F19" s="19"/>
      <c r="G19" s="17"/>
      <c r="H19" s="17"/>
      <c r="I19" s="17"/>
      <c r="J19" s="17"/>
      <c r="K19" s="17"/>
      <c r="L19" s="17"/>
      <c r="M19" s="18"/>
      <c r="N19" s="19"/>
      <c r="O19" s="156"/>
      <c r="P19" s="156"/>
      <c r="Q19" s="20"/>
    </row>
    <row r="20" spans="1:18" ht="17.25" customHeight="1" x14ac:dyDescent="0.2">
      <c r="A20" s="21"/>
      <c r="B20" s="22"/>
      <c r="C20" s="22"/>
      <c r="D20" s="22"/>
      <c r="E20" s="22"/>
      <c r="F20" s="23"/>
      <c r="G20" s="22"/>
      <c r="H20" s="22"/>
      <c r="I20" s="22"/>
      <c r="J20" s="22"/>
      <c r="K20" s="22"/>
      <c r="L20" s="22"/>
      <c r="M20" s="24"/>
      <c r="N20" s="25"/>
      <c r="O20" s="157"/>
      <c r="P20" s="157"/>
      <c r="Q20" s="20"/>
      <c r="R20" s="1"/>
    </row>
    <row r="21" spans="1:18" ht="17.25" customHeight="1" x14ac:dyDescent="0.2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7"/>
      <c r="O21" s="158"/>
      <c r="P21" s="158"/>
      <c r="Q21" s="29"/>
    </row>
    <row r="22" spans="1:18" ht="29.25" customHeight="1" x14ac:dyDescent="0.2">
      <c r="A22" s="159" t="s">
        <v>124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30">
        <f>SUM(Q15:Q21)</f>
        <v>1050300</v>
      </c>
    </row>
    <row r="23" spans="1:18" ht="18" customHeight="1" thickBot="1" x14ac:dyDescent="0.25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</row>
    <row r="24" spans="1:18" ht="17.25" customHeight="1" thickBot="1" x14ac:dyDescent="0.25">
      <c r="A24" s="151" t="s">
        <v>49</v>
      </c>
      <c r="B24" s="152"/>
      <c r="C24" s="152"/>
      <c r="D24" s="152"/>
      <c r="E24" s="152"/>
      <c r="F24" s="153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</row>
    <row r="25" spans="1:18" ht="18" customHeight="1" thickBot="1" x14ac:dyDescent="0.25">
      <c r="A25" s="155" t="s">
        <v>102</v>
      </c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</row>
    <row r="26" spans="1:18" ht="15" customHeight="1" x14ac:dyDescent="0.2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2020-09-28T12:27:35Z</cp:lastPrinted>
  <dcterms:created xsi:type="dcterms:W3CDTF">2020-07-17T23:44:49Z</dcterms:created>
  <dcterms:modified xsi:type="dcterms:W3CDTF">2021-08-17T12:15:44Z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