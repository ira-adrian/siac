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TRABAJO\Secretaria de Energía\Modelos de Planillas\COMPR.AR\"/>
    </mc:Choice>
  </mc:AlternateContent>
  <xr:revisionPtr revIDLastSave="0" documentId="13_ncr:1_{A23B1C26-BDF1-41ED-B20B-88F69BF718AC}" xr6:coauthVersionLast="45" xr6:coauthVersionMax="45" xr10:uidLastSave="{00000000-0000-0000-0000-000000000000}"/>
  <bookViews>
    <workbookView xWindow="-120" yWindow="-120" windowWidth="15600" windowHeight="92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NotaPedido'!$A$1:$K$125</definedName>
    <definedName name="_xlnm.Print_Area" localSheetId="2">'Autor Gastar'!$A$1:$Q$27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2" i="1" l="1"/>
  <c r="I11" i="1"/>
  <c r="I10" i="1"/>
  <c r="J13" i="2" l="1"/>
  <c r="J14" i="2"/>
  <c r="D10" i="1" l="1"/>
  <c r="K124" i="2" l="1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4" i="2"/>
  <c r="K13" i="2"/>
  <c r="K12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4" i="2"/>
  <c r="I13" i="2"/>
  <c r="I12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4" i="2"/>
  <c r="B13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4" i="2"/>
  <c r="C13" i="2"/>
  <c r="C12" i="2"/>
  <c r="B12" i="2"/>
  <c r="D37" i="1" l="1"/>
  <c r="D39" i="1"/>
  <c r="D38" i="1"/>
  <c r="D222" i="1" l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I16" i="3" l="1"/>
  <c r="K16" i="3"/>
  <c r="J16" i="3"/>
  <c r="G6" i="3"/>
  <c r="G7" i="3"/>
  <c r="D7" i="2"/>
  <c r="D3" i="2"/>
  <c r="G4" i="3" s="1"/>
  <c r="D4" i="2"/>
  <c r="G5" i="3" s="1"/>
  <c r="A10" i="3" l="1"/>
  <c r="D1" i="3"/>
  <c r="J12" i="2"/>
  <c r="Q23" i="3"/>
  <c r="I15" i="3"/>
  <c r="J125" i="2" l="1"/>
  <c r="K15" i="3"/>
  <c r="J15" i="3"/>
</calcChain>
</file>

<file path=xl/sharedStrings.xml><?xml version="1.0" encoding="utf-8"?>
<sst xmlns="http://schemas.openxmlformats.org/spreadsheetml/2006/main" count="207" uniqueCount="78">
  <si>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</si>
  <si>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</si>
  <si>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</si>
  <si>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</si>
  <si>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</si>
  <si>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</si>
  <si>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</si>
  <si>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</si>
  <si>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</si>
  <si>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</si>
  <si>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</si>
  <si>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</si>
  <si>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</si>
  <si>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</si>
  <si>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</si>
  <si>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</si>
  <si>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</si>
  <si>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</si>
  <si>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</si>
  <si>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</si>
  <si>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</si>
  <si>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</si>
  <si>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</si>
  <si>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</si>
  <si>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</si>
  <si>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</si>
  <si>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</si>
  <si>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</si>
  <si>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</si>
  <si>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</si>
  <si>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</si>
  <si>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</si>
  <si>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</si>
  <si>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</si>
  <si>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</si>
  <si>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</si>
  <si>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</si>
  <si>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</si>
  <si>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</si>
  <si>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</si>
  <si>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</si>
  <si>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</si>
  <si>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</si>
  <si>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</si>
  <si>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</si>
  <si>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</si>
  <si>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</si>
  <si>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</si>
  <si>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</si>
  <si>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</si>
  <si>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</si>
  <si>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</si>
  <si>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</si>
  <si>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</si>
  <si>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Costo total estimado:</t>
  </si>
  <si>
    <r>
      <t>AUTORIZACIÓN</t>
    </r>
    <r>
      <rPr>
        <b/>
        <sz val="10"/>
        <rFont val="Calibri"/>
        <family val="2"/>
        <scheme val="minor"/>
      </rPr>
      <t>:</t>
    </r>
  </si>
  <si>
    <t>65 - Ministerio de Agua, Energia y Medio Ambiente</t>
  </si>
  <si>
    <t>31 - Secretaria de Energia</t>
  </si>
  <si>
    <t>NO</t>
  </si>
  <si>
    <t>2.6.4-3176.56</t>
  </si>
  <si>
    <t>MATERIALES DE CONSTRUCCION</t>
  </si>
  <si>
    <t>POSTE DE HORMIGON</t>
  </si>
  <si>
    <t>PZA</t>
  </si>
  <si>
    <t>2.6.4-2905.12</t>
  </si>
  <si>
    <t>CRUCETAS DE HORMIGON</t>
  </si>
  <si>
    <t>Especificidades Item N° 3:</t>
  </si>
  <si>
    <r>
      <t xml:space="preserve">ESPECIFICACIONES TECNICAS
CRUCETAS DE HORMIGON ARMADO
PRODUCTO:
CRUCETAS DE HORMIGON; LARGO: 2,00M, CENTRAL, ACCESORIO: SIN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9"/>
        <rFont val="Calibri"/>
        <family val="2"/>
        <scheme val="minor"/>
      </rPr>
      <t>CODIFICACION DE MERCADO:  Crucetas MN 157 2,00 C/G</t>
    </r>
    <r>
      <rPr>
        <sz val="9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Las  Crucetas cumplirán con las condiciones establecidas, cuando se ensayen, según corresponda de acuerdo con las normas IRAM  1605         </t>
    </r>
  </si>
  <si>
    <r>
      <t xml:space="preserve">ESPECIFICACIONES TECNICAS
POSTES DE HORMIGON ARMADO
PRODUCTO:
POSTES DE HORMIGON; LARGO:12,00 Mts, ROTURA: 2400 ACCESORIOS: SIN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9"/>
        <rFont val="Calibri"/>
        <family val="2"/>
        <scheme val="minor"/>
      </rPr>
      <t>CODIFICACION DE MERCADO:  Po 12,00 Ro 2400</t>
    </r>
    <r>
      <rPr>
        <sz val="9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Los postes cumplirán con las condiciones establecidas, cuando se ensayen, según corresponda de acuerdo con las normas IRAM  1605         </t>
    </r>
  </si>
  <si>
    <r>
      <t xml:space="preserve">ESPECIFICACIONES TECNICAS
POSTES DE HORMIGON ARMADO
PRODUCTO:
POSTES DE HORMIGON; LARGO: 7,50 Mts, ROTURA: 2400 ACCESORIOS: SIN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9"/>
        <rFont val="Calibri"/>
        <family val="2"/>
        <scheme val="minor"/>
      </rPr>
      <t>CODIFICACION DE MERCADO:  Po 7,50 Ro 2400</t>
    </r>
    <r>
      <rPr>
        <sz val="9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Los postes cumplirán con las condiciones establecidas, cuando se ensayen, según corresponda de acuerdo con las normas IRAM  1605         </t>
    </r>
  </si>
  <si>
    <t>SI</t>
  </si>
  <si>
    <t>185/2020</t>
  </si>
  <si>
    <t>Secretaria de Energía - Direccion de Estudio y Proyectos de Obra</t>
  </si>
  <si>
    <t>Adquisición de columnas y crucetas de H° A° para diferentes obras de la Secretaria de
Energía - MAEMA</t>
  </si>
  <si>
    <t>PRODUCTOS DE CEMENTO, CAL Y YESO</t>
  </si>
  <si>
    <t>1.1</t>
  </si>
  <si>
    <t>Para la Adquisición de columnas y crucetas de H° A° para diferentes obras de la Secretaria de
Energía - MAEMA, con motivo de la implementación del Compr.Ar.</t>
  </si>
  <si>
    <t>TOTAL DE PESOS: UN MILLON DOSCIENTOS OCHENTA Y NUEVE MIL TRECEIENTOS DIECINUEVE CON 72/100</t>
  </si>
  <si>
    <t xml:space="preserve">Se efectuaran una (1) entregas, la entrega debe efectuarse  dentro de los cinco (30) dias de recibida la orden de compra. Detalle de entrega: Una (1) entrega de 13 Unidades o Plazas en el deposito de la Secretaria de Energia sito en Av. Venezuela S/Nº predio CAPE- San Fdo. del V. de Catamarca. Asi mismo el proveedor debera presentar Remito para conformidad de recepcion provisoria y su posterior recepcion definitiva.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</si>
</sst>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_-[$$-2C0A]\ * #,##0.00_-;\-[$$-2C0A]\ * #,##0.00_-;_-[$$-2C0A]\ * &quot;-&quot;??_-;_-@_-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Times New Roman"/>
      <family val="1"/>
      <charset val="1"/>
    </font>
    <font>
      <sz val="9"/>
      <name val="Calibri"/>
      <family val="2"/>
      <scheme val="minor"/>
    </font>
    <font>
      <u/>
      <sz val="9"/>
      <name val="Calibri"/>
      <family val="2"/>
      <scheme val="minor"/>
    </font>
    <font>
      <b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FF00"/>
      </patternFill>
    </fill>
  </fills>
  <borders count="6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5" fontId="10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64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left" vertical="center"/>
    </xf>
    <xf numFmtId="0" fontId="4" fillId="0" borderId="29" xfId="0" applyFont="1" applyBorder="1" applyAlignment="1">
      <alignment horizontal="center" vertical="center" wrapText="1"/>
    </xf>
    <xf numFmtId="3" fontId="4" fillId="0" borderId="29" xfId="0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left" vertical="center"/>
    </xf>
    <xf numFmtId="0" fontId="4" fillId="0" borderId="30" xfId="0" applyFont="1" applyBorder="1" applyAlignment="1">
      <alignment horizontal="center" vertical="center" wrapText="1"/>
    </xf>
    <xf numFmtId="3" fontId="4" fillId="0" borderId="30" xfId="0" applyNumberFormat="1" applyFont="1" applyBorder="1" applyAlignment="1">
      <alignment horizontal="center" vertical="center"/>
    </xf>
    <xf numFmtId="0" fontId="2" fillId="0" borderId="0" xfId="0" applyFont="1"/>
    <xf numFmtId="0" fontId="11" fillId="0" borderId="0" xfId="0" applyFont="1"/>
    <xf numFmtId="0" fontId="14" fillId="0" borderId="0" xfId="0" applyFont="1" applyAlignment="1">
      <alignment horizontal="left" wrapText="1"/>
    </xf>
    <xf numFmtId="0" fontId="14" fillId="0" borderId="0" xfId="0" applyFont="1" applyAlignment="1">
      <alignment horizontal="center" wrapText="1"/>
    </xf>
    <xf numFmtId="0" fontId="16" fillId="0" borderId="2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center" wrapText="1"/>
    </xf>
    <xf numFmtId="0" fontId="14" fillId="0" borderId="7" xfId="0" applyFont="1" applyBorder="1" applyAlignment="1">
      <alignment horizontal="right" wrapText="1"/>
    </xf>
    <xf numFmtId="0" fontId="16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center" wrapText="1"/>
    </xf>
    <xf numFmtId="0" fontId="14" fillId="0" borderId="10" xfId="0" applyFont="1" applyBorder="1" applyAlignment="1">
      <alignment horizontal="right" wrapText="1"/>
    </xf>
    <xf numFmtId="168" fontId="19" fillId="0" borderId="0" xfId="0" applyNumberFormat="1" applyFont="1" applyAlignment="1">
      <alignment horizontal="left"/>
    </xf>
    <xf numFmtId="0" fontId="19" fillId="0" borderId="0" xfId="0" applyFont="1"/>
    <xf numFmtId="0" fontId="19" fillId="0" borderId="0" xfId="0" applyFont="1" applyAlignment="1">
      <alignment horizontal="left"/>
    </xf>
    <xf numFmtId="0" fontId="19" fillId="0" borderId="0" xfId="0" applyFont="1" applyBorder="1"/>
    <xf numFmtId="0" fontId="19" fillId="0" borderId="19" xfId="0" applyFont="1" applyBorder="1"/>
    <xf numFmtId="0" fontId="19" fillId="0" borderId="36" xfId="0" applyFont="1" applyBorder="1"/>
    <xf numFmtId="0" fontId="19" fillId="0" borderId="21" xfId="0" applyFont="1" applyBorder="1"/>
    <xf numFmtId="0" fontId="19" fillId="0" borderId="21" xfId="0" applyFont="1" applyBorder="1" applyAlignment="1">
      <alignment horizontal="left"/>
    </xf>
    <xf numFmtId="0" fontId="19" fillId="0" borderId="37" xfId="0" applyFont="1" applyBorder="1"/>
    <xf numFmtId="0" fontId="21" fillId="0" borderId="39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40" xfId="0" applyFont="1" applyBorder="1" applyAlignment="1">
      <alignment horizontal="left" vertical="center"/>
    </xf>
    <xf numFmtId="0" fontId="21" fillId="0" borderId="41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166" fontId="19" fillId="0" borderId="45" xfId="3" applyNumberFormat="1" applyFont="1" applyBorder="1" applyAlignment="1" applyProtection="1">
      <alignment horizontal="center" vertical="center"/>
    </xf>
    <xf numFmtId="0" fontId="19" fillId="0" borderId="46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6" fontId="19" fillId="0" borderId="50" xfId="3" applyNumberFormat="1" applyFont="1" applyBorder="1" applyAlignment="1" applyProtection="1">
      <alignment horizontal="center" vertical="center"/>
    </xf>
    <xf numFmtId="0" fontId="19" fillId="0" borderId="51" xfId="0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166" fontId="19" fillId="0" borderId="54" xfId="3" applyNumberFormat="1" applyFont="1" applyBorder="1" applyAlignment="1" applyProtection="1">
      <alignment horizontal="center" vertical="center"/>
    </xf>
    <xf numFmtId="166" fontId="21" fillId="0" borderId="55" xfId="0" applyNumberFormat="1" applyFont="1" applyBorder="1" applyAlignment="1">
      <alignment horizontal="center" vertical="center"/>
    </xf>
    <xf numFmtId="3" fontId="21" fillId="0" borderId="0" xfId="0" applyNumberFormat="1" applyFont="1" applyBorder="1" applyAlignment="1"/>
    <xf numFmtId="0" fontId="4" fillId="0" borderId="59" xfId="0" applyFont="1" applyBorder="1" applyAlignment="1">
      <alignment horizontal="center" vertical="center"/>
    </xf>
    <xf numFmtId="0" fontId="4" fillId="0" borderId="28" xfId="0" applyFont="1" applyFill="1" applyBorder="1" applyAlignment="1">
      <alignment horizontal="left" vertical="center"/>
    </xf>
    <xf numFmtId="0" fontId="4" fillId="0" borderId="28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 wrapText="1"/>
    </xf>
    <xf numFmtId="166" fontId="4" fillId="0" borderId="28" xfId="1" applyNumberFormat="1" applyFont="1" applyFill="1" applyBorder="1" applyAlignment="1" applyProtection="1">
      <alignment horizontal="right" vertical="center" wrapText="1"/>
    </xf>
    <xf numFmtId="3" fontId="4" fillId="0" borderId="28" xfId="0" applyNumberFormat="1" applyFont="1" applyFill="1" applyBorder="1" applyAlignment="1">
      <alignment horizontal="center" vertical="center"/>
    </xf>
    <xf numFmtId="0" fontId="4" fillId="0" borderId="59" xfId="0" applyFont="1" applyFill="1" applyBorder="1" applyAlignment="1">
      <alignment horizontal="left" vertical="center"/>
    </xf>
    <xf numFmtId="0" fontId="4" fillId="0" borderId="59" xfId="0" applyFont="1" applyFill="1" applyBorder="1" applyAlignment="1">
      <alignment horizontal="center" vertical="center"/>
    </xf>
    <xf numFmtId="0" fontId="4" fillId="0" borderId="59" xfId="0" applyFont="1" applyFill="1" applyBorder="1" applyAlignment="1">
      <alignment horizontal="center" vertical="center" wrapText="1"/>
    </xf>
    <xf numFmtId="166" fontId="4" fillId="0" borderId="59" xfId="1" applyNumberFormat="1" applyFont="1" applyFill="1" applyBorder="1" applyAlignment="1" applyProtection="1">
      <alignment horizontal="right" vertical="center" wrapText="1"/>
    </xf>
    <xf numFmtId="3" fontId="4" fillId="0" borderId="59" xfId="0" applyNumberFormat="1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left" vertical="center" wrapText="1"/>
    </xf>
    <xf numFmtId="166" fontId="16" fillId="0" borderId="3" xfId="1" applyNumberFormat="1" applyFont="1" applyFill="1" applyBorder="1" applyAlignment="1" applyProtection="1">
      <alignment horizontal="right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right" vertical="center" wrapText="1"/>
    </xf>
    <xf numFmtId="0" fontId="17" fillId="0" borderId="0" xfId="0" applyFont="1" applyAlignment="1">
      <alignment horizontal="left" wrapText="1"/>
    </xf>
    <xf numFmtId="0" fontId="17" fillId="0" borderId="6" xfId="0" applyFont="1" applyBorder="1" applyAlignment="1">
      <alignment horizontal="center" wrapText="1"/>
    </xf>
    <xf numFmtId="0" fontId="17" fillId="0" borderId="9" xfId="0" applyFont="1" applyBorder="1" applyAlignment="1">
      <alignment horizontal="center" wrapText="1"/>
    </xf>
    <xf numFmtId="0" fontId="16" fillId="0" borderId="0" xfId="0" applyFont="1"/>
    <xf numFmtId="0" fontId="4" fillId="3" borderId="6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23" fillId="0" borderId="0" xfId="0" applyFont="1"/>
    <xf numFmtId="0" fontId="24" fillId="0" borderId="11" xfId="0" applyFont="1" applyBorder="1"/>
    <xf numFmtId="0" fontId="23" fillId="0" borderId="12" xfId="0" applyFont="1" applyBorder="1"/>
    <xf numFmtId="0" fontId="23" fillId="0" borderId="13" xfId="0" applyFont="1" applyBorder="1"/>
    <xf numFmtId="0" fontId="23" fillId="0" borderId="14" xfId="0" applyFont="1" applyBorder="1"/>
    <xf numFmtId="0" fontId="23" fillId="0" borderId="0" xfId="0" applyFont="1" applyBorder="1"/>
    <xf numFmtId="0" fontId="23" fillId="0" borderId="15" xfId="0" applyFont="1" applyBorder="1"/>
    <xf numFmtId="0" fontId="24" fillId="0" borderId="14" xfId="0" applyFont="1" applyBorder="1" applyAlignment="1">
      <alignment horizontal="left" indent="3"/>
    </xf>
    <xf numFmtId="0" fontId="23" fillId="0" borderId="14" xfId="0" applyFont="1" applyBorder="1" applyAlignment="1">
      <alignment horizontal="left" indent="3"/>
    </xf>
    <xf numFmtId="0" fontId="23" fillId="0" borderId="16" xfId="0" applyFont="1" applyBorder="1" applyAlignment="1">
      <alignment horizontal="left" indent="3"/>
    </xf>
    <xf numFmtId="0" fontId="23" fillId="0" borderId="17" xfId="0" applyFont="1" applyBorder="1"/>
    <xf numFmtId="0" fontId="23" fillId="0" borderId="18" xfId="0" applyFont="1" applyBorder="1"/>
    <xf numFmtId="0" fontId="5" fillId="0" borderId="19" xfId="0" applyFont="1" applyFill="1" applyBorder="1" applyAlignment="1">
      <alignment horizontal="right" vertical="center"/>
    </xf>
    <xf numFmtId="0" fontId="6" fillId="0" borderId="20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19" fillId="0" borderId="42" xfId="0" applyFont="1" applyFill="1" applyBorder="1" applyAlignment="1">
      <alignment horizontal="center" vertical="center"/>
    </xf>
    <xf numFmtId="0" fontId="19" fillId="0" borderId="43" xfId="0" applyFont="1" applyFill="1" applyBorder="1" applyAlignment="1">
      <alignment horizontal="center" vertical="center"/>
    </xf>
    <xf numFmtId="0" fontId="19" fillId="0" borderId="44" xfId="0" applyFont="1" applyFill="1" applyBorder="1" applyAlignment="1">
      <alignment horizontal="center" vertical="center"/>
    </xf>
    <xf numFmtId="0" fontId="19" fillId="0" borderId="46" xfId="0" applyFont="1" applyFill="1" applyBorder="1" applyAlignment="1">
      <alignment horizontal="center" vertical="center"/>
    </xf>
    <xf numFmtId="0" fontId="19" fillId="0" borderId="47" xfId="0" applyFont="1" applyFill="1" applyBorder="1" applyAlignment="1">
      <alignment horizontal="center" vertical="center"/>
    </xf>
    <xf numFmtId="0" fontId="19" fillId="0" borderId="48" xfId="0" applyFont="1" applyFill="1" applyBorder="1" applyAlignment="1">
      <alignment horizontal="center" vertical="center"/>
    </xf>
    <xf numFmtId="0" fontId="19" fillId="0" borderId="49" xfId="0" applyFont="1" applyFill="1" applyBorder="1" applyAlignment="1">
      <alignment horizontal="center" vertical="center"/>
    </xf>
    <xf numFmtId="0" fontId="16" fillId="0" borderId="60" xfId="0" applyFont="1" applyBorder="1" applyAlignment="1">
      <alignment horizontal="center" vertical="center"/>
    </xf>
    <xf numFmtId="0" fontId="17" fillId="0" borderId="61" xfId="0" applyFont="1" applyBorder="1" applyAlignment="1">
      <alignment horizontal="center" vertical="center" wrapText="1"/>
    </xf>
    <xf numFmtId="0" fontId="17" fillId="0" borderId="61" xfId="0" applyFont="1" applyBorder="1" applyAlignment="1">
      <alignment horizontal="left" vertical="center" wrapText="1"/>
    </xf>
    <xf numFmtId="0" fontId="4" fillId="3" borderId="61" xfId="0" applyFont="1" applyFill="1" applyBorder="1" applyAlignment="1">
      <alignment vertical="center" wrapText="1"/>
    </xf>
    <xf numFmtId="0" fontId="17" fillId="0" borderId="61" xfId="0" applyFont="1" applyBorder="1" applyAlignment="1">
      <alignment horizontal="center" wrapText="1"/>
    </xf>
    <xf numFmtId="0" fontId="14" fillId="0" borderId="61" xfId="0" applyFont="1" applyBorder="1" applyAlignment="1">
      <alignment horizontal="center" wrapText="1"/>
    </xf>
    <xf numFmtId="0" fontId="14" fillId="0" borderId="62" xfId="0" applyFont="1" applyBorder="1" applyAlignment="1">
      <alignment horizontal="right" wrapText="1"/>
    </xf>
    <xf numFmtId="0" fontId="15" fillId="0" borderId="63" xfId="0" applyFont="1" applyBorder="1" applyAlignment="1">
      <alignment horizontal="center" vertical="center" wrapText="1"/>
    </xf>
    <xf numFmtId="0" fontId="15" fillId="0" borderId="64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 wrapText="1"/>
    </xf>
    <xf numFmtId="169" fontId="14" fillId="0" borderId="6" xfId="0" applyNumberFormat="1" applyFont="1" applyBorder="1" applyAlignment="1">
      <alignment horizontal="right" wrapText="1"/>
    </xf>
    <xf numFmtId="169" fontId="14" fillId="0" borderId="6" xfId="0" applyNumberFormat="1" applyFont="1" applyBorder="1" applyAlignment="1">
      <alignment horizontal="right" vertical="center" wrapText="1"/>
    </xf>
    <xf numFmtId="170" fontId="10" fillId="0" borderId="7" xfId="1" applyNumberFormat="1" applyBorder="1"/>
    <xf numFmtId="170" fontId="10" fillId="0" borderId="4" xfId="1" applyNumberFormat="1" applyBorder="1" applyProtection="1"/>
    <xf numFmtId="0" fontId="23" fillId="5" borderId="15" xfId="0" applyFont="1" applyFill="1" applyBorder="1" applyAlignment="1">
      <alignment horizontal="center" vertical="top" wrapText="1"/>
    </xf>
    <xf numFmtId="0" fontId="19" fillId="4" borderId="0" xfId="0" applyFont="1" applyFill="1" applyAlignment="1">
      <alignment vertical="center" wrapText="1"/>
    </xf>
    <xf numFmtId="0" fontId="11" fillId="4" borderId="0" xfId="0" applyFont="1" applyFill="1" applyAlignment="1">
      <alignment vertical="center" wrapText="1"/>
    </xf>
    <xf numFmtId="0" fontId="11" fillId="4" borderId="15" xfId="0" applyFont="1" applyFill="1" applyBorder="1" applyAlignment="1">
      <alignment vertical="center" wrapText="1"/>
    </xf>
    <xf numFmtId="0" fontId="23" fillId="4" borderId="0" xfId="0" applyFont="1" applyFill="1" applyAlignment="1">
      <alignment vertical="center" wrapText="1"/>
    </xf>
    <xf numFmtId="0" fontId="16" fillId="4" borderId="0" xfId="0" applyFont="1" applyFill="1" applyAlignment="1">
      <alignment vertical="center" wrapText="1"/>
    </xf>
    <xf numFmtId="0" fontId="16" fillId="4" borderId="15" xfId="0" applyFont="1" applyFill="1" applyBorder="1" applyAlignment="1">
      <alignment vertical="center" wrapText="1"/>
    </xf>
    <xf numFmtId="0" fontId="13" fillId="0" borderId="6" xfId="0" applyFont="1" applyBorder="1" applyAlignment="1">
      <alignment horizontal="left" vertical="center" wrapText="1"/>
    </xf>
    <xf numFmtId="0" fontId="18" fillId="0" borderId="6" xfId="0" applyFont="1" applyFill="1" applyBorder="1" applyAlignment="1">
      <alignment horizontal="left" wrapText="1"/>
    </xf>
    <xf numFmtId="0" fontId="12" fillId="0" borderId="0" xfId="0" applyFont="1" applyBorder="1" applyAlignment="1">
      <alignment horizontal="center"/>
    </xf>
    <xf numFmtId="0" fontId="18" fillId="0" borderId="6" xfId="0" applyFont="1" applyFill="1" applyBorder="1" applyAlignment="1">
      <alignment horizontal="left" wrapText="1" indent="1"/>
    </xf>
    <xf numFmtId="0" fontId="22" fillId="0" borderId="29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 indent="1"/>
    </xf>
    <xf numFmtId="167" fontId="7" fillId="0" borderId="23" xfId="0" applyNumberFormat="1" applyFont="1" applyBorder="1" applyAlignment="1">
      <alignment horizontal="center" vertical="center"/>
    </xf>
    <xf numFmtId="0" fontId="22" fillId="0" borderId="28" xfId="0" applyFont="1" applyFill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7" fillId="0" borderId="25" xfId="0" applyFont="1" applyFill="1" applyBorder="1" applyAlignment="1">
      <alignment horizontal="left" vertical="center"/>
    </xf>
    <xf numFmtId="0" fontId="6" fillId="0" borderId="26" xfId="0" applyFont="1" applyFill="1" applyBorder="1" applyAlignment="1">
      <alignment horizontal="left" vertical="center" indent="1"/>
    </xf>
    <xf numFmtId="0" fontId="8" fillId="0" borderId="2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left" vertical="center" wrapText="1"/>
    </xf>
    <xf numFmtId="0" fontId="6" fillId="0" borderId="23" xfId="0" applyFont="1" applyFill="1" applyBorder="1" applyAlignment="1">
      <alignment horizontal="left" vertical="center" wrapText="1" indent="1"/>
    </xf>
    <xf numFmtId="0" fontId="7" fillId="0" borderId="24" xfId="0" applyFont="1" applyFill="1" applyBorder="1" applyAlignment="1">
      <alignment horizontal="left" vertical="center" wrapText="1"/>
    </xf>
    <xf numFmtId="0" fontId="21" fillId="0" borderId="31" xfId="0" applyFont="1" applyBorder="1" applyAlignment="1">
      <alignment vertical="center" wrapText="1"/>
    </xf>
    <xf numFmtId="0" fontId="21" fillId="0" borderId="56" xfId="0" applyFont="1" applyBorder="1" applyAlignment="1">
      <alignment vertical="center" wrapText="1"/>
    </xf>
    <xf numFmtId="0" fontId="21" fillId="0" borderId="26" xfId="0" applyFont="1" applyBorder="1" applyAlignment="1">
      <alignment vertical="center" wrapText="1"/>
    </xf>
    <xf numFmtId="0" fontId="19" fillId="0" borderId="38" xfId="0" applyFont="1" applyBorder="1" applyAlignment="1">
      <alignment vertical="center" wrapText="1"/>
    </xf>
    <xf numFmtId="0" fontId="19" fillId="0" borderId="55" xfId="0" applyFont="1" applyFill="1" applyBorder="1" applyAlignment="1">
      <alignment horizontal="left" vertical="center" wrapText="1" indent="1"/>
    </xf>
    <xf numFmtId="0" fontId="19" fillId="0" borderId="49" xfId="0" applyFont="1" applyBorder="1" applyAlignment="1">
      <alignment horizontal="left" vertical="center"/>
    </xf>
    <xf numFmtId="0" fontId="19" fillId="0" borderId="52" xfId="0" applyFont="1" applyBorder="1" applyAlignment="1">
      <alignment horizontal="left" vertical="center"/>
    </xf>
    <xf numFmtId="0" fontId="21" fillId="0" borderId="55" xfId="0" applyFont="1" applyBorder="1" applyAlignment="1">
      <alignment horizontal="left" vertical="center" wrapText="1"/>
    </xf>
    <xf numFmtId="0" fontId="19" fillId="0" borderId="33" xfId="0" applyFont="1" applyBorder="1"/>
    <xf numFmtId="0" fontId="19" fillId="0" borderId="43" xfId="0" applyFont="1" applyBorder="1" applyAlignment="1">
      <alignment horizontal="left" vertical="center"/>
    </xf>
    <xf numFmtId="0" fontId="19" fillId="0" borderId="34" xfId="0" applyFont="1" applyBorder="1"/>
    <xf numFmtId="0" fontId="19" fillId="0" borderId="35" xfId="0" applyFont="1" applyBorder="1" applyAlignment="1">
      <alignment horizontal="left" vertical="center" wrapText="1" indent="1"/>
    </xf>
    <xf numFmtId="0" fontId="21" fillId="0" borderId="33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/>
    </xf>
    <xf numFmtId="0" fontId="19" fillId="0" borderId="22" xfId="0" applyFont="1" applyBorder="1" applyAlignment="1">
      <alignment horizontal="left" vertical="center" wrapText="1"/>
    </xf>
    <xf numFmtId="0" fontId="19" fillId="0" borderId="57" xfId="0" applyFont="1" applyBorder="1" applyAlignment="1">
      <alignment horizontal="left" vertical="center" wrapText="1"/>
    </xf>
    <xf numFmtId="0" fontId="19" fillId="0" borderId="58" xfId="0" applyFont="1" applyBorder="1" applyAlignment="1">
      <alignment horizontal="left" vertical="center" wrapText="1"/>
    </xf>
    <xf numFmtId="0" fontId="19" fillId="0" borderId="20" xfId="0" applyFont="1" applyBorder="1" applyAlignment="1">
      <alignment horizontal="left" indent="1"/>
    </xf>
    <xf numFmtId="0" fontId="20" fillId="0" borderId="20" xfId="0" applyFont="1" applyBorder="1" applyAlignment="1">
      <alignment horizontal="left"/>
    </xf>
    <xf numFmtId="0" fontId="19" fillId="0" borderId="31" xfId="0" applyFont="1" applyBorder="1" applyAlignment="1">
      <alignment horizontal="center"/>
    </xf>
    <xf numFmtId="3" fontId="21" fillId="0" borderId="32" xfId="0" applyNumberFormat="1" applyFont="1" applyBorder="1" applyAlignment="1">
      <alignment horizontal="center"/>
    </xf>
    <xf numFmtId="0" fontId="21" fillId="0" borderId="20" xfId="0" applyFont="1" applyBorder="1" applyAlignment="1">
      <alignment horizontal="center" vertical="center" wrapText="1"/>
    </xf>
    <xf numFmtId="0" fontId="19" fillId="0" borderId="20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53"/>
  <sheetViews>
    <sheetView tabSelected="1" topLeftCell="A241" zoomScale="90" zoomScaleNormal="90" workbookViewId="0">
      <selection activeCell="C253" sqref="C253"/>
    </sheetView>
  </sheetViews>
  <sheetFormatPr baseColWidth="10" defaultColWidth="11" defaultRowHeight="12.75" x14ac:dyDescent="0.2"/>
  <cols>
    <col min="1" max="1" width="4.5703125" style="14" customWidth="1"/>
    <col min="2" max="2" width="12.85546875" style="14" customWidth="1"/>
    <col min="3" max="3" width="32.42578125" style="14" customWidth="1"/>
    <col min="4" max="4" width="8.42578125" style="14" customWidth="1"/>
    <col min="5" max="5" width="79" style="14" customWidth="1"/>
    <col min="6" max="6" width="11" style="73"/>
    <col min="7" max="7" width="12.7109375" style="14" customWidth="1"/>
    <col min="8" max="8" width="13.85546875" style="14" customWidth="1"/>
    <col min="9" max="9" width="18.5703125" style="14" customWidth="1"/>
    <col min="10" max="16384" width="11" style="14"/>
  </cols>
  <sheetData>
    <row r="2" spans="1:9" ht="27" x14ac:dyDescent="0.35">
      <c r="B2" s="122" t="s">
        <v>0</v>
      </c>
      <c r="C2" s="122"/>
      <c r="D2" s="122"/>
      <c r="E2" s="122"/>
      <c r="F2" s="122"/>
      <c r="G2" s="122"/>
      <c r="H2" s="122"/>
    </row>
    <row r="4" spans="1:9" ht="18" customHeight="1" x14ac:dyDescent="0.25">
      <c r="A4" s="120" t="s">
        <v>1</v>
      </c>
      <c r="B4" s="120"/>
      <c r="C4" s="123" t="s">
        <v>56</v>
      </c>
      <c r="D4" s="123"/>
      <c r="E4" s="123"/>
      <c r="F4" s="70"/>
      <c r="G4" s="16"/>
      <c r="H4" s="15"/>
    </row>
    <row r="5" spans="1:9" ht="18" customHeight="1" x14ac:dyDescent="0.25">
      <c r="A5" s="120" t="s">
        <v>2</v>
      </c>
      <c r="B5" s="120"/>
      <c r="C5" s="123" t="s">
        <v>57</v>
      </c>
      <c r="D5" s="123"/>
      <c r="E5" s="123"/>
      <c r="F5" s="70"/>
      <c r="G5" s="16"/>
      <c r="H5" s="15"/>
    </row>
    <row r="6" spans="1:9" ht="16.5" customHeight="1" x14ac:dyDescent="0.25">
      <c r="A6" s="120" t="s">
        <v>3</v>
      </c>
      <c r="B6" s="120"/>
      <c r="C6" s="121">
        <v>2020</v>
      </c>
      <c r="D6" s="121"/>
      <c r="E6" s="121"/>
      <c r="F6" s="70"/>
      <c r="G6" s="16"/>
      <c r="H6" s="15"/>
    </row>
    <row r="7" spans="1:9" ht="16.5" customHeight="1" x14ac:dyDescent="0.25">
      <c r="A7" s="120" t="s">
        <v>4</v>
      </c>
      <c r="B7" s="120"/>
      <c r="C7" s="121">
        <v>4</v>
      </c>
      <c r="D7" s="121"/>
      <c r="E7" s="121"/>
      <c r="F7" s="70"/>
      <c r="G7" s="16"/>
      <c r="H7" s="15"/>
    </row>
    <row r="8" spans="1:9" ht="13.5" thickBot="1" x14ac:dyDescent="0.25">
      <c r="B8" s="15"/>
      <c r="C8" s="16"/>
      <c r="D8" s="15"/>
      <c r="E8" s="15"/>
      <c r="F8" s="70"/>
      <c r="G8" s="16"/>
      <c r="H8" s="15"/>
    </row>
    <row r="9" spans="1:9" ht="39" thickBot="1" x14ac:dyDescent="0.25">
      <c r="A9" s="106" t="s">
        <v>5</v>
      </c>
      <c r="B9" s="107" t="s">
        <v>6</v>
      </c>
      <c r="C9" s="107" t="s">
        <v>7</v>
      </c>
      <c r="D9" s="107" t="s">
        <v>8</v>
      </c>
      <c r="E9" s="107" t="s">
        <v>9</v>
      </c>
      <c r="F9" s="107" t="s">
        <v>10</v>
      </c>
      <c r="G9" s="107" t="s">
        <v>11</v>
      </c>
      <c r="H9" s="107" t="s">
        <v>12</v>
      </c>
      <c r="I9" s="108" t="s">
        <v>13</v>
      </c>
    </row>
    <row r="10" spans="1:9" x14ac:dyDescent="0.2">
      <c r="A10" s="17">
        <v>1</v>
      </c>
      <c r="B10" s="65" t="s">
        <v>59</v>
      </c>
      <c r="C10" s="66" t="s">
        <v>60</v>
      </c>
      <c r="D10" s="65" t="str">
        <f>LEFT(B10,5)</f>
        <v>2.6.4</v>
      </c>
      <c r="E10" s="66" t="s">
        <v>61</v>
      </c>
      <c r="F10" s="65" t="s">
        <v>62</v>
      </c>
      <c r="G10" s="65">
        <v>13</v>
      </c>
      <c r="H10" s="67">
        <v>33115.11</v>
      </c>
      <c r="I10" s="112">
        <f>G10*H10</f>
        <v>430496.43</v>
      </c>
    </row>
    <row r="11" spans="1:9" x14ac:dyDescent="0.2">
      <c r="A11" s="18">
        <v>2</v>
      </c>
      <c r="B11" s="19" t="s">
        <v>59</v>
      </c>
      <c r="C11" s="20" t="s">
        <v>60</v>
      </c>
      <c r="D11" s="19" t="str">
        <f t="shared" ref="D11:D72" si="0">LEFT(B11,5)</f>
        <v>2.6.4</v>
      </c>
      <c r="E11" s="20" t="s">
        <v>61</v>
      </c>
      <c r="F11" s="71" t="s">
        <v>62</v>
      </c>
      <c r="G11" s="21">
        <v>13</v>
      </c>
      <c r="H11" s="109">
        <v>56782.71</v>
      </c>
      <c r="I11" s="111">
        <f t="shared" ref="I11:I12" si="1">G11*H11</f>
        <v>738175.23</v>
      </c>
    </row>
    <row r="12" spans="1:9" x14ac:dyDescent="0.2">
      <c r="A12" s="18">
        <v>3</v>
      </c>
      <c r="B12" s="19" t="s">
        <v>63</v>
      </c>
      <c r="C12" s="20" t="s">
        <v>60</v>
      </c>
      <c r="D12" s="19" t="str">
        <f t="shared" si="0"/>
        <v>2.6.4</v>
      </c>
      <c r="E12" s="20" t="s">
        <v>64</v>
      </c>
      <c r="F12" s="19" t="s">
        <v>62</v>
      </c>
      <c r="G12" s="68">
        <v>13</v>
      </c>
      <c r="H12" s="110">
        <v>9280.6200000000008</v>
      </c>
      <c r="I12" s="111">
        <f t="shared" si="1"/>
        <v>120648.06000000001</v>
      </c>
    </row>
    <row r="13" spans="1:9" x14ac:dyDescent="0.2">
      <c r="A13" s="18">
        <v>4</v>
      </c>
      <c r="B13" s="19"/>
      <c r="C13" s="20"/>
      <c r="D13" s="19" t="str">
        <f t="shared" si="0"/>
        <v/>
      </c>
      <c r="E13" s="20"/>
      <c r="F13" s="19"/>
      <c r="G13" s="68"/>
      <c r="H13" s="68"/>
      <c r="I13" s="69"/>
    </row>
    <row r="14" spans="1:9" x14ac:dyDescent="0.2">
      <c r="A14" s="18">
        <v>5</v>
      </c>
      <c r="B14" s="19"/>
      <c r="C14" s="20"/>
      <c r="D14" s="19" t="str">
        <f t="shared" si="0"/>
        <v/>
      </c>
      <c r="E14" s="20"/>
      <c r="F14" s="71"/>
      <c r="G14" s="21"/>
      <c r="H14" s="21"/>
      <c r="I14" s="22"/>
    </row>
    <row r="15" spans="1:9" x14ac:dyDescent="0.2">
      <c r="A15" s="18">
        <v>6</v>
      </c>
      <c r="B15" s="19"/>
      <c r="C15" s="20"/>
      <c r="D15" s="19" t="str">
        <f t="shared" si="0"/>
        <v/>
      </c>
      <c r="E15" s="20"/>
      <c r="F15" s="71"/>
      <c r="G15" s="21"/>
      <c r="H15" s="21"/>
      <c r="I15" s="22"/>
    </row>
    <row r="16" spans="1:9" x14ac:dyDescent="0.2">
      <c r="A16" s="18">
        <v>7</v>
      </c>
      <c r="B16" s="19"/>
      <c r="C16" s="20"/>
      <c r="D16" s="19" t="str">
        <f t="shared" si="0"/>
        <v/>
      </c>
      <c r="E16" s="20"/>
      <c r="F16" s="71"/>
      <c r="G16" s="21"/>
      <c r="H16" s="21"/>
      <c r="I16" s="22"/>
    </row>
    <row r="17" spans="1:9" x14ac:dyDescent="0.2">
      <c r="A17" s="18">
        <v>8</v>
      </c>
      <c r="B17" s="19"/>
      <c r="C17" s="20"/>
      <c r="D17" s="19" t="str">
        <f t="shared" si="0"/>
        <v/>
      </c>
      <c r="E17" s="20"/>
      <c r="F17" s="71"/>
      <c r="G17" s="21"/>
      <c r="H17" s="21"/>
      <c r="I17" s="22"/>
    </row>
    <row r="18" spans="1:9" x14ac:dyDescent="0.2">
      <c r="A18" s="18">
        <v>9</v>
      </c>
      <c r="B18" s="19"/>
      <c r="C18" s="20"/>
      <c r="D18" s="19" t="str">
        <f t="shared" si="0"/>
        <v/>
      </c>
      <c r="E18" s="20"/>
      <c r="F18" s="71"/>
      <c r="G18" s="21"/>
      <c r="H18" s="21"/>
      <c r="I18" s="22"/>
    </row>
    <row r="19" spans="1:9" ht="13.5" thickBot="1" x14ac:dyDescent="0.25">
      <c r="A19" s="23">
        <v>10</v>
      </c>
      <c r="B19" s="24"/>
      <c r="C19" s="25"/>
      <c r="D19" s="24" t="str">
        <f t="shared" si="0"/>
        <v/>
      </c>
      <c r="E19" s="25"/>
      <c r="F19" s="72"/>
      <c r="G19" s="26"/>
      <c r="H19" s="26"/>
      <c r="I19" s="27"/>
    </row>
    <row r="20" spans="1:9" hidden="1" x14ac:dyDescent="0.2">
      <c r="A20" s="99">
        <v>13</v>
      </c>
      <c r="B20" s="100"/>
      <c r="C20" s="101"/>
      <c r="D20" s="100" t="str">
        <f t="shared" si="0"/>
        <v/>
      </c>
      <c r="E20" s="102"/>
      <c r="F20" s="103"/>
      <c r="G20" s="104"/>
      <c r="H20" s="104"/>
      <c r="I20" s="105"/>
    </row>
    <row r="21" spans="1:9" hidden="1" x14ac:dyDescent="0.2">
      <c r="A21" s="18">
        <v>14</v>
      </c>
      <c r="B21" s="19"/>
      <c r="C21" s="20"/>
      <c r="D21" s="19" t="str">
        <f t="shared" si="0"/>
        <v/>
      </c>
      <c r="E21" s="74"/>
      <c r="F21" s="71"/>
      <c r="G21" s="21"/>
      <c r="H21" s="21"/>
      <c r="I21" s="22"/>
    </row>
    <row r="22" spans="1:9" hidden="1" x14ac:dyDescent="0.2">
      <c r="A22" s="18">
        <v>15</v>
      </c>
      <c r="B22" s="19"/>
      <c r="C22" s="20"/>
      <c r="D22" s="19" t="str">
        <f t="shared" si="0"/>
        <v/>
      </c>
      <c r="E22" s="74"/>
      <c r="F22" s="71"/>
      <c r="G22" s="21"/>
      <c r="H22" s="21"/>
      <c r="I22" s="22"/>
    </row>
    <row r="23" spans="1:9" hidden="1" x14ac:dyDescent="0.2">
      <c r="A23" s="18">
        <v>16</v>
      </c>
      <c r="B23" s="19"/>
      <c r="C23" s="20"/>
      <c r="D23" s="19" t="str">
        <f t="shared" si="0"/>
        <v/>
      </c>
      <c r="E23" s="20"/>
      <c r="F23" s="71"/>
      <c r="G23" s="21"/>
      <c r="H23" s="21"/>
      <c r="I23" s="22"/>
    </row>
    <row r="24" spans="1:9" hidden="1" x14ac:dyDescent="0.2">
      <c r="A24" s="18">
        <v>17</v>
      </c>
      <c r="B24" s="19"/>
      <c r="C24" s="20"/>
      <c r="D24" s="19" t="str">
        <f t="shared" si="0"/>
        <v/>
      </c>
      <c r="E24" s="20"/>
      <c r="F24" s="71"/>
      <c r="G24" s="21"/>
      <c r="H24" s="21"/>
      <c r="I24" s="22"/>
    </row>
    <row r="25" spans="1:9" hidden="1" x14ac:dyDescent="0.2">
      <c r="A25" s="18">
        <v>18</v>
      </c>
      <c r="B25" s="19"/>
      <c r="C25" s="20"/>
      <c r="D25" s="19" t="str">
        <f t="shared" si="0"/>
        <v/>
      </c>
      <c r="E25" s="20"/>
      <c r="F25" s="71"/>
      <c r="G25" s="21"/>
      <c r="H25" s="21"/>
      <c r="I25" s="22"/>
    </row>
    <row r="26" spans="1:9" hidden="1" x14ac:dyDescent="0.2">
      <c r="A26" s="18">
        <v>19</v>
      </c>
      <c r="B26" s="19"/>
      <c r="C26" s="20"/>
      <c r="D26" s="19" t="str">
        <f t="shared" si="0"/>
        <v/>
      </c>
      <c r="E26" s="20"/>
      <c r="F26" s="71"/>
      <c r="G26" s="21"/>
      <c r="H26" s="21"/>
      <c r="I26" s="22"/>
    </row>
    <row r="27" spans="1:9" hidden="1" x14ac:dyDescent="0.2">
      <c r="A27" s="18">
        <v>20</v>
      </c>
      <c r="B27" s="19"/>
      <c r="C27" s="20"/>
      <c r="D27" s="19" t="str">
        <f t="shared" si="0"/>
        <v/>
      </c>
      <c r="E27" s="20"/>
      <c r="F27" s="71"/>
      <c r="G27" s="21"/>
      <c r="H27" s="21"/>
      <c r="I27" s="22"/>
    </row>
    <row r="28" spans="1:9" hidden="1" x14ac:dyDescent="0.2">
      <c r="A28" s="18">
        <v>21</v>
      </c>
      <c r="B28" s="19"/>
      <c r="C28" s="20"/>
      <c r="D28" s="19" t="str">
        <f t="shared" si="0"/>
        <v/>
      </c>
      <c r="E28" s="20"/>
      <c r="F28" s="71"/>
      <c r="G28" s="21"/>
      <c r="H28" s="21"/>
      <c r="I28" s="22"/>
    </row>
    <row r="29" spans="1:9" hidden="1" x14ac:dyDescent="0.2">
      <c r="A29" s="18">
        <v>22</v>
      </c>
      <c r="B29" s="19"/>
      <c r="C29" s="20"/>
      <c r="D29" s="19" t="str">
        <f t="shared" si="0"/>
        <v/>
      </c>
      <c r="E29" s="20"/>
      <c r="F29" s="71"/>
      <c r="G29" s="21"/>
      <c r="H29" s="21"/>
      <c r="I29" s="22"/>
    </row>
    <row r="30" spans="1:9" hidden="1" x14ac:dyDescent="0.2">
      <c r="A30" s="18">
        <v>23</v>
      </c>
      <c r="B30" s="19"/>
      <c r="C30" s="20"/>
      <c r="D30" s="19" t="str">
        <f t="shared" si="0"/>
        <v/>
      </c>
      <c r="E30" s="20"/>
      <c r="F30" s="71"/>
      <c r="G30" s="21"/>
      <c r="H30" s="21"/>
      <c r="I30" s="22"/>
    </row>
    <row r="31" spans="1:9" hidden="1" x14ac:dyDescent="0.2">
      <c r="A31" s="18">
        <v>24</v>
      </c>
      <c r="B31" s="19"/>
      <c r="C31" s="20"/>
      <c r="D31" s="19" t="str">
        <f t="shared" si="0"/>
        <v/>
      </c>
      <c r="E31" s="20"/>
      <c r="F31" s="71"/>
      <c r="G31" s="21"/>
      <c r="H31" s="21"/>
      <c r="I31" s="22"/>
    </row>
    <row r="32" spans="1:9" hidden="1" x14ac:dyDescent="0.2">
      <c r="A32" s="18">
        <v>25</v>
      </c>
      <c r="B32" s="19"/>
      <c r="C32" s="20"/>
      <c r="D32" s="19" t="str">
        <f t="shared" si="0"/>
        <v/>
      </c>
      <c r="E32" s="20"/>
      <c r="F32" s="71"/>
      <c r="G32" s="21"/>
      <c r="H32" s="21"/>
      <c r="I32" s="22"/>
    </row>
    <row r="33" spans="1:9" hidden="1" x14ac:dyDescent="0.2">
      <c r="A33" s="18">
        <v>26</v>
      </c>
      <c r="B33" s="19"/>
      <c r="C33" s="20"/>
      <c r="D33" s="19" t="str">
        <f t="shared" si="0"/>
        <v/>
      </c>
      <c r="E33" s="20"/>
      <c r="F33" s="71"/>
      <c r="G33" s="21"/>
      <c r="H33" s="21"/>
      <c r="I33" s="22"/>
    </row>
    <row r="34" spans="1:9" hidden="1" x14ac:dyDescent="0.2">
      <c r="A34" s="18">
        <v>27</v>
      </c>
      <c r="B34" s="75"/>
      <c r="C34" s="20"/>
      <c r="D34" s="19" t="str">
        <f t="shared" si="0"/>
        <v/>
      </c>
      <c r="E34" s="20"/>
      <c r="F34" s="19"/>
      <c r="G34" s="68"/>
      <c r="H34" s="21"/>
      <c r="I34" s="22"/>
    </row>
    <row r="35" spans="1:9" hidden="1" x14ac:dyDescent="0.2">
      <c r="A35" s="18">
        <v>28</v>
      </c>
      <c r="B35" s="19"/>
      <c r="C35" s="20"/>
      <c r="D35" s="19" t="str">
        <f t="shared" si="0"/>
        <v/>
      </c>
      <c r="E35" s="20"/>
      <c r="F35" s="19"/>
      <c r="G35" s="21"/>
      <c r="H35" s="21"/>
      <c r="I35" s="22"/>
    </row>
    <row r="36" spans="1:9" hidden="1" x14ac:dyDescent="0.2">
      <c r="A36" s="18">
        <v>29</v>
      </c>
      <c r="B36" s="19"/>
      <c r="C36" s="20"/>
      <c r="D36" s="19" t="str">
        <f t="shared" si="0"/>
        <v/>
      </c>
      <c r="E36" s="20"/>
      <c r="F36" s="19"/>
      <c r="G36" s="21"/>
      <c r="H36" s="21"/>
      <c r="I36" s="22"/>
    </row>
    <row r="37" spans="1:9" hidden="1" x14ac:dyDescent="0.2">
      <c r="A37" s="18">
        <v>30</v>
      </c>
      <c r="B37" s="19"/>
      <c r="C37" s="20"/>
      <c r="D37" s="19" t="str">
        <f t="shared" si="0"/>
        <v/>
      </c>
      <c r="E37" s="20"/>
      <c r="F37" s="19"/>
      <c r="G37" s="21"/>
      <c r="H37" s="21"/>
      <c r="I37" s="22"/>
    </row>
    <row r="38" spans="1:9" hidden="1" x14ac:dyDescent="0.2">
      <c r="A38" s="18">
        <v>31</v>
      </c>
      <c r="B38" s="19"/>
      <c r="C38" s="20"/>
      <c r="D38" s="19" t="str">
        <f t="shared" si="0"/>
        <v/>
      </c>
      <c r="E38" s="20"/>
      <c r="F38" s="19"/>
      <c r="G38" s="21"/>
      <c r="H38" s="21"/>
      <c r="I38" s="22"/>
    </row>
    <row r="39" spans="1:9" hidden="1" x14ac:dyDescent="0.2">
      <c r="A39" s="18">
        <v>32</v>
      </c>
      <c r="B39" s="19"/>
      <c r="C39" s="20"/>
      <c r="D39" s="19" t="str">
        <f t="shared" si="0"/>
        <v/>
      </c>
      <c r="E39" s="20"/>
      <c r="F39" s="19"/>
      <c r="G39" s="21"/>
      <c r="H39" s="21"/>
      <c r="I39" s="22"/>
    </row>
    <row r="40" spans="1:9" hidden="1" x14ac:dyDescent="0.2">
      <c r="A40" s="18">
        <v>33</v>
      </c>
      <c r="B40" s="19"/>
      <c r="C40" s="20"/>
      <c r="D40" s="19" t="str">
        <f t="shared" si="0"/>
        <v/>
      </c>
      <c r="E40" s="20"/>
      <c r="F40" s="19"/>
      <c r="G40" s="21"/>
      <c r="H40" s="21"/>
      <c r="I40" s="22"/>
    </row>
    <row r="41" spans="1:9" hidden="1" x14ac:dyDescent="0.2">
      <c r="A41" s="18">
        <v>34</v>
      </c>
      <c r="B41" s="19"/>
      <c r="C41" s="20"/>
      <c r="D41" s="19" t="str">
        <f t="shared" si="0"/>
        <v/>
      </c>
      <c r="E41" s="20"/>
      <c r="F41" s="71"/>
      <c r="G41" s="21"/>
      <c r="H41" s="21"/>
      <c r="I41" s="22"/>
    </row>
    <row r="42" spans="1:9" hidden="1" x14ac:dyDescent="0.2">
      <c r="A42" s="18">
        <v>35</v>
      </c>
      <c r="B42" s="19"/>
      <c r="C42" s="20"/>
      <c r="D42" s="19" t="str">
        <f t="shared" si="0"/>
        <v/>
      </c>
      <c r="E42" s="20"/>
      <c r="F42" s="71"/>
      <c r="G42" s="21"/>
      <c r="H42" s="21"/>
      <c r="I42" s="22"/>
    </row>
    <row r="43" spans="1:9" hidden="1" x14ac:dyDescent="0.2">
      <c r="A43" s="18">
        <v>36</v>
      </c>
      <c r="B43" s="19"/>
      <c r="C43" s="20"/>
      <c r="D43" s="19" t="str">
        <f t="shared" si="0"/>
        <v/>
      </c>
      <c r="E43" s="20"/>
      <c r="F43" s="71"/>
      <c r="G43" s="21"/>
      <c r="H43" s="21"/>
      <c r="I43" s="22"/>
    </row>
    <row r="44" spans="1:9" hidden="1" x14ac:dyDescent="0.2">
      <c r="A44" s="18">
        <v>37</v>
      </c>
      <c r="B44" s="19"/>
      <c r="C44" s="20"/>
      <c r="D44" s="19" t="str">
        <f t="shared" si="0"/>
        <v/>
      </c>
      <c r="E44" s="20"/>
      <c r="F44" s="71"/>
      <c r="G44" s="21"/>
      <c r="H44" s="21"/>
      <c r="I44" s="22"/>
    </row>
    <row r="45" spans="1:9" hidden="1" x14ac:dyDescent="0.2">
      <c r="A45" s="18">
        <v>38</v>
      </c>
      <c r="B45" s="19"/>
      <c r="C45" s="20"/>
      <c r="D45" s="19" t="str">
        <f t="shared" si="0"/>
        <v/>
      </c>
      <c r="E45" s="20"/>
      <c r="F45" s="19"/>
      <c r="G45" s="68"/>
      <c r="H45" s="21"/>
      <c r="I45" s="22"/>
    </row>
    <row r="46" spans="1:9" hidden="1" x14ac:dyDescent="0.2">
      <c r="A46" s="18">
        <v>39</v>
      </c>
      <c r="B46" s="19"/>
      <c r="C46" s="20"/>
      <c r="D46" s="19" t="str">
        <f t="shared" si="0"/>
        <v/>
      </c>
      <c r="E46" s="20"/>
      <c r="F46" s="71"/>
      <c r="G46" s="21"/>
      <c r="H46" s="21"/>
      <c r="I46" s="22"/>
    </row>
    <row r="47" spans="1:9" hidden="1" x14ac:dyDescent="0.2">
      <c r="A47" s="18">
        <v>40</v>
      </c>
      <c r="B47" s="19"/>
      <c r="C47" s="20"/>
      <c r="D47" s="19" t="str">
        <f t="shared" si="0"/>
        <v/>
      </c>
      <c r="E47" s="20"/>
      <c r="F47" s="71"/>
      <c r="G47" s="21"/>
      <c r="H47" s="21"/>
      <c r="I47" s="22"/>
    </row>
    <row r="48" spans="1:9" hidden="1" x14ac:dyDescent="0.2">
      <c r="A48" s="18">
        <v>41</v>
      </c>
      <c r="B48" s="19"/>
      <c r="C48" s="20"/>
      <c r="D48" s="19" t="str">
        <f t="shared" si="0"/>
        <v/>
      </c>
      <c r="E48" s="20"/>
      <c r="F48" s="71"/>
      <c r="G48" s="21"/>
      <c r="H48" s="21"/>
      <c r="I48" s="22"/>
    </row>
    <row r="49" spans="1:9" hidden="1" x14ac:dyDescent="0.2">
      <c r="A49" s="18">
        <v>42</v>
      </c>
      <c r="B49" s="19"/>
      <c r="C49" s="20"/>
      <c r="D49" s="19" t="str">
        <f t="shared" si="0"/>
        <v/>
      </c>
      <c r="E49" s="20"/>
      <c r="F49" s="71"/>
      <c r="G49" s="21"/>
      <c r="H49" s="21"/>
      <c r="I49" s="22"/>
    </row>
    <row r="50" spans="1:9" hidden="1" x14ac:dyDescent="0.2">
      <c r="A50" s="18">
        <v>43</v>
      </c>
      <c r="B50" s="19"/>
      <c r="C50" s="20"/>
      <c r="D50" s="19" t="str">
        <f t="shared" si="0"/>
        <v/>
      </c>
      <c r="E50" s="20"/>
      <c r="F50" s="71"/>
      <c r="G50" s="21"/>
      <c r="H50" s="21"/>
      <c r="I50" s="22"/>
    </row>
    <row r="51" spans="1:9" hidden="1" x14ac:dyDescent="0.2">
      <c r="A51" s="18">
        <v>44</v>
      </c>
      <c r="B51" s="71"/>
      <c r="C51" s="20"/>
      <c r="D51" s="19" t="str">
        <f t="shared" si="0"/>
        <v/>
      </c>
      <c r="E51" s="20"/>
      <c r="F51" s="71"/>
      <c r="G51" s="21"/>
      <c r="H51" s="21"/>
      <c r="I51" s="22"/>
    </row>
    <row r="52" spans="1:9" hidden="1" x14ac:dyDescent="0.2">
      <c r="A52" s="18">
        <v>45</v>
      </c>
      <c r="B52" s="19"/>
      <c r="C52" s="20"/>
      <c r="D52" s="19" t="str">
        <f t="shared" si="0"/>
        <v/>
      </c>
      <c r="E52" s="20"/>
      <c r="F52" s="71"/>
      <c r="G52" s="21"/>
      <c r="H52" s="21"/>
      <c r="I52" s="22"/>
    </row>
    <row r="53" spans="1:9" hidden="1" x14ac:dyDescent="0.2">
      <c r="A53" s="18">
        <v>46</v>
      </c>
      <c r="B53" s="19"/>
      <c r="C53" s="20"/>
      <c r="D53" s="19" t="str">
        <f t="shared" si="0"/>
        <v/>
      </c>
      <c r="E53" s="20"/>
      <c r="F53" s="71"/>
      <c r="G53" s="21"/>
      <c r="H53" s="21"/>
      <c r="I53" s="22"/>
    </row>
    <row r="54" spans="1:9" hidden="1" x14ac:dyDescent="0.2">
      <c r="A54" s="18">
        <v>47</v>
      </c>
      <c r="B54" s="19"/>
      <c r="C54" s="20"/>
      <c r="D54" s="19" t="str">
        <f t="shared" si="0"/>
        <v/>
      </c>
      <c r="E54" s="20"/>
      <c r="F54" s="71"/>
      <c r="G54" s="21"/>
      <c r="H54" s="21"/>
      <c r="I54" s="22"/>
    </row>
    <row r="55" spans="1:9" hidden="1" x14ac:dyDescent="0.2">
      <c r="A55" s="18">
        <v>48</v>
      </c>
      <c r="B55" s="19"/>
      <c r="C55" s="20"/>
      <c r="D55" s="19" t="str">
        <f t="shared" si="0"/>
        <v/>
      </c>
      <c r="E55" s="20"/>
      <c r="F55" s="71"/>
      <c r="G55" s="21"/>
      <c r="H55" s="21"/>
      <c r="I55" s="22"/>
    </row>
    <row r="56" spans="1:9" hidden="1" x14ac:dyDescent="0.2">
      <c r="A56" s="18">
        <v>49</v>
      </c>
      <c r="B56" s="19"/>
      <c r="C56" s="20"/>
      <c r="D56" s="19" t="str">
        <f t="shared" si="0"/>
        <v/>
      </c>
      <c r="E56" s="20"/>
      <c r="F56" s="71"/>
      <c r="G56" s="21"/>
      <c r="H56" s="21"/>
      <c r="I56" s="22"/>
    </row>
    <row r="57" spans="1:9" hidden="1" x14ac:dyDescent="0.2">
      <c r="A57" s="18">
        <v>50</v>
      </c>
      <c r="B57" s="19"/>
      <c r="C57" s="20"/>
      <c r="D57" s="19" t="str">
        <f t="shared" si="0"/>
        <v/>
      </c>
      <c r="E57" s="20"/>
      <c r="F57" s="71"/>
      <c r="G57" s="21"/>
      <c r="H57" s="21"/>
      <c r="I57" s="22"/>
    </row>
    <row r="58" spans="1:9" hidden="1" x14ac:dyDescent="0.2">
      <c r="A58" s="18">
        <v>51</v>
      </c>
      <c r="B58" s="19"/>
      <c r="C58" s="20"/>
      <c r="D58" s="19" t="str">
        <f t="shared" si="0"/>
        <v/>
      </c>
      <c r="E58" s="20"/>
      <c r="F58" s="71"/>
      <c r="G58" s="21"/>
      <c r="H58" s="21"/>
      <c r="I58" s="22"/>
    </row>
    <row r="59" spans="1:9" hidden="1" x14ac:dyDescent="0.2">
      <c r="A59" s="18">
        <v>52</v>
      </c>
      <c r="B59" s="19"/>
      <c r="C59" s="20"/>
      <c r="D59" s="19" t="str">
        <f t="shared" si="0"/>
        <v/>
      </c>
      <c r="E59" s="20"/>
      <c r="F59" s="71"/>
      <c r="G59" s="21"/>
      <c r="H59" s="21"/>
      <c r="I59" s="22"/>
    </row>
    <row r="60" spans="1:9" hidden="1" x14ac:dyDescent="0.2">
      <c r="A60" s="18">
        <v>53</v>
      </c>
      <c r="B60" s="19"/>
      <c r="C60" s="20"/>
      <c r="D60" s="19" t="str">
        <f t="shared" si="0"/>
        <v/>
      </c>
      <c r="E60" s="20"/>
      <c r="F60" s="71"/>
      <c r="G60" s="21"/>
      <c r="H60" s="21"/>
      <c r="I60" s="22"/>
    </row>
    <row r="61" spans="1:9" hidden="1" x14ac:dyDescent="0.2">
      <c r="A61" s="18">
        <v>54</v>
      </c>
      <c r="B61" s="19"/>
      <c r="C61" s="20"/>
      <c r="D61" s="19" t="str">
        <f t="shared" si="0"/>
        <v/>
      </c>
      <c r="E61" s="20"/>
      <c r="F61" s="71"/>
      <c r="G61" s="21"/>
      <c r="H61" s="21"/>
      <c r="I61" s="22"/>
    </row>
    <row r="62" spans="1:9" hidden="1" x14ac:dyDescent="0.2">
      <c r="A62" s="18">
        <v>55</v>
      </c>
      <c r="B62" s="19"/>
      <c r="C62" s="20"/>
      <c r="D62" s="19" t="str">
        <f t="shared" si="0"/>
        <v/>
      </c>
      <c r="E62" s="20"/>
      <c r="F62" s="71"/>
      <c r="G62" s="21"/>
      <c r="H62" s="21"/>
      <c r="I62" s="22"/>
    </row>
    <row r="63" spans="1:9" hidden="1" x14ac:dyDescent="0.2">
      <c r="A63" s="18">
        <v>56</v>
      </c>
      <c r="B63" s="19"/>
      <c r="C63" s="20"/>
      <c r="D63" s="19" t="str">
        <f t="shared" si="0"/>
        <v/>
      </c>
      <c r="E63" s="20"/>
      <c r="F63" s="71"/>
      <c r="G63" s="21"/>
      <c r="H63" s="21"/>
      <c r="I63" s="22"/>
    </row>
    <row r="64" spans="1:9" hidden="1" x14ac:dyDescent="0.2">
      <c r="A64" s="18">
        <v>57</v>
      </c>
      <c r="B64" s="19"/>
      <c r="C64" s="20"/>
      <c r="D64" s="19" t="str">
        <f t="shared" si="0"/>
        <v/>
      </c>
      <c r="E64" s="20"/>
      <c r="F64" s="71"/>
      <c r="G64" s="21"/>
      <c r="H64" s="21"/>
      <c r="I64" s="22"/>
    </row>
    <row r="65" spans="1:9" hidden="1" x14ac:dyDescent="0.2">
      <c r="A65" s="18">
        <v>58</v>
      </c>
      <c r="B65" s="19"/>
      <c r="C65" s="20"/>
      <c r="D65" s="19" t="str">
        <f t="shared" si="0"/>
        <v/>
      </c>
      <c r="E65" s="20"/>
      <c r="F65" s="71"/>
      <c r="G65" s="21"/>
      <c r="H65" s="21"/>
      <c r="I65" s="22"/>
    </row>
    <row r="66" spans="1:9" hidden="1" x14ac:dyDescent="0.2">
      <c r="A66" s="18">
        <v>59</v>
      </c>
      <c r="B66" s="19"/>
      <c r="C66" s="20"/>
      <c r="D66" s="19" t="str">
        <f t="shared" si="0"/>
        <v/>
      </c>
      <c r="E66" s="20"/>
      <c r="F66" s="71"/>
      <c r="G66" s="21"/>
      <c r="H66" s="21"/>
      <c r="I66" s="22"/>
    </row>
    <row r="67" spans="1:9" hidden="1" x14ac:dyDescent="0.2">
      <c r="A67" s="18">
        <v>60</v>
      </c>
      <c r="B67" s="19"/>
      <c r="C67" s="20"/>
      <c r="D67" s="19" t="str">
        <f t="shared" si="0"/>
        <v/>
      </c>
      <c r="E67" s="20"/>
      <c r="F67" s="71"/>
      <c r="G67" s="21"/>
      <c r="H67" s="21"/>
      <c r="I67" s="22"/>
    </row>
    <row r="68" spans="1:9" hidden="1" x14ac:dyDescent="0.2">
      <c r="A68" s="18">
        <v>61</v>
      </c>
      <c r="B68" s="19"/>
      <c r="C68" s="20"/>
      <c r="D68" s="19" t="str">
        <f t="shared" si="0"/>
        <v/>
      </c>
      <c r="E68" s="20"/>
      <c r="F68" s="71"/>
      <c r="G68" s="21"/>
      <c r="H68" s="21"/>
      <c r="I68" s="22"/>
    </row>
    <row r="69" spans="1:9" hidden="1" x14ac:dyDescent="0.2">
      <c r="A69" s="18">
        <v>62</v>
      </c>
      <c r="B69" s="19"/>
      <c r="C69" s="20"/>
      <c r="D69" s="19" t="str">
        <f t="shared" si="0"/>
        <v/>
      </c>
      <c r="E69" s="20"/>
      <c r="F69" s="71"/>
      <c r="G69" s="21"/>
      <c r="H69" s="21"/>
      <c r="I69" s="22"/>
    </row>
    <row r="70" spans="1:9" hidden="1" x14ac:dyDescent="0.2">
      <c r="A70" s="18">
        <v>63</v>
      </c>
      <c r="B70" s="19"/>
      <c r="C70" s="20"/>
      <c r="D70" s="19" t="str">
        <f t="shared" si="0"/>
        <v/>
      </c>
      <c r="E70" s="20"/>
      <c r="F70" s="71"/>
      <c r="G70" s="21"/>
      <c r="H70" s="21"/>
      <c r="I70" s="22"/>
    </row>
    <row r="71" spans="1:9" hidden="1" x14ac:dyDescent="0.2">
      <c r="A71" s="18">
        <v>64</v>
      </c>
      <c r="B71" s="19"/>
      <c r="C71" s="20"/>
      <c r="D71" s="19" t="str">
        <f t="shared" si="0"/>
        <v/>
      </c>
      <c r="E71" s="20"/>
      <c r="F71" s="71"/>
      <c r="G71" s="21"/>
      <c r="H71" s="21"/>
      <c r="I71" s="22"/>
    </row>
    <row r="72" spans="1:9" hidden="1" x14ac:dyDescent="0.2">
      <c r="A72" s="18">
        <v>65</v>
      </c>
      <c r="B72" s="19"/>
      <c r="C72" s="20"/>
      <c r="D72" s="19" t="str">
        <f t="shared" si="0"/>
        <v/>
      </c>
      <c r="E72" s="20"/>
      <c r="F72" s="71"/>
      <c r="G72" s="21"/>
      <c r="H72" s="21"/>
      <c r="I72" s="22"/>
    </row>
    <row r="73" spans="1:9" hidden="1" x14ac:dyDescent="0.2">
      <c r="A73" s="18">
        <v>66</v>
      </c>
      <c r="B73" s="19"/>
      <c r="C73" s="20"/>
      <c r="D73" s="19" t="str">
        <f t="shared" ref="D73:D136" si="2">LEFT(B73,5)</f>
        <v/>
      </c>
      <c r="E73" s="20"/>
      <c r="F73" s="71"/>
      <c r="G73" s="21"/>
      <c r="H73" s="21"/>
      <c r="I73" s="22"/>
    </row>
    <row r="74" spans="1:9" hidden="1" x14ac:dyDescent="0.2">
      <c r="A74" s="18">
        <v>67</v>
      </c>
      <c r="B74" s="19"/>
      <c r="C74" s="20"/>
      <c r="D74" s="19" t="str">
        <f t="shared" si="2"/>
        <v/>
      </c>
      <c r="E74" s="20"/>
      <c r="F74" s="71"/>
      <c r="G74" s="21"/>
      <c r="H74" s="21"/>
      <c r="I74" s="22"/>
    </row>
    <row r="75" spans="1:9" hidden="1" x14ac:dyDescent="0.2">
      <c r="A75" s="18">
        <v>68</v>
      </c>
      <c r="B75" s="19"/>
      <c r="C75" s="20"/>
      <c r="D75" s="19" t="str">
        <f t="shared" si="2"/>
        <v/>
      </c>
      <c r="E75" s="20"/>
      <c r="F75" s="71"/>
      <c r="G75" s="21"/>
      <c r="H75" s="21"/>
      <c r="I75" s="22"/>
    </row>
    <row r="76" spans="1:9" hidden="1" x14ac:dyDescent="0.2">
      <c r="A76" s="18">
        <v>69</v>
      </c>
      <c r="B76" s="19"/>
      <c r="C76" s="20"/>
      <c r="D76" s="19" t="str">
        <f t="shared" si="2"/>
        <v/>
      </c>
      <c r="E76" s="20"/>
      <c r="F76" s="71"/>
      <c r="G76" s="21"/>
      <c r="H76" s="21"/>
      <c r="I76" s="22"/>
    </row>
    <row r="77" spans="1:9" hidden="1" x14ac:dyDescent="0.2">
      <c r="A77" s="18">
        <v>70</v>
      </c>
      <c r="B77" s="19"/>
      <c r="C77" s="20"/>
      <c r="D77" s="19" t="str">
        <f t="shared" si="2"/>
        <v/>
      </c>
      <c r="E77" s="20"/>
      <c r="F77" s="71"/>
      <c r="G77" s="21"/>
      <c r="H77" s="21"/>
      <c r="I77" s="22"/>
    </row>
    <row r="78" spans="1:9" hidden="1" x14ac:dyDescent="0.2">
      <c r="A78" s="18">
        <v>71</v>
      </c>
      <c r="B78" s="19"/>
      <c r="C78" s="20"/>
      <c r="D78" s="19" t="str">
        <f t="shared" si="2"/>
        <v/>
      </c>
      <c r="E78" s="20"/>
      <c r="F78" s="71"/>
      <c r="G78" s="21"/>
      <c r="H78" s="21"/>
      <c r="I78" s="22"/>
    </row>
    <row r="79" spans="1:9" hidden="1" x14ac:dyDescent="0.2">
      <c r="A79" s="18">
        <v>72</v>
      </c>
      <c r="B79" s="19"/>
      <c r="C79" s="20"/>
      <c r="D79" s="19" t="str">
        <f t="shared" si="2"/>
        <v/>
      </c>
      <c r="E79" s="20"/>
      <c r="F79" s="71"/>
      <c r="G79" s="21"/>
      <c r="H79" s="21"/>
      <c r="I79" s="22"/>
    </row>
    <row r="80" spans="1:9" hidden="1" x14ac:dyDescent="0.2">
      <c r="A80" s="18">
        <v>73</v>
      </c>
      <c r="B80" s="19"/>
      <c r="C80" s="20"/>
      <c r="D80" s="19" t="str">
        <f t="shared" si="2"/>
        <v/>
      </c>
      <c r="E80" s="20"/>
      <c r="F80" s="71"/>
      <c r="G80" s="21"/>
      <c r="H80" s="21"/>
      <c r="I80" s="22"/>
    </row>
    <row r="81" spans="1:9" hidden="1" x14ac:dyDescent="0.2">
      <c r="A81" s="18">
        <v>74</v>
      </c>
      <c r="B81" s="19"/>
      <c r="C81" s="20"/>
      <c r="D81" s="19" t="str">
        <f t="shared" si="2"/>
        <v/>
      </c>
      <c r="E81" s="20"/>
      <c r="F81" s="71"/>
      <c r="G81" s="21"/>
      <c r="H81" s="21"/>
      <c r="I81" s="22"/>
    </row>
    <row r="82" spans="1:9" hidden="1" x14ac:dyDescent="0.2">
      <c r="A82" s="18">
        <v>75</v>
      </c>
      <c r="B82" s="19"/>
      <c r="C82" s="20"/>
      <c r="D82" s="19" t="str">
        <f t="shared" si="2"/>
        <v/>
      </c>
      <c r="E82" s="20"/>
      <c r="F82" s="71"/>
      <c r="G82" s="21"/>
      <c r="H82" s="21"/>
      <c r="I82" s="22"/>
    </row>
    <row r="83" spans="1:9" hidden="1" x14ac:dyDescent="0.2">
      <c r="A83" s="18">
        <v>76</v>
      </c>
      <c r="B83" s="19"/>
      <c r="C83" s="20"/>
      <c r="D83" s="19" t="str">
        <f t="shared" si="2"/>
        <v/>
      </c>
      <c r="E83" s="20"/>
      <c r="F83" s="71"/>
      <c r="G83" s="21"/>
      <c r="H83" s="21"/>
      <c r="I83" s="22"/>
    </row>
    <row r="84" spans="1:9" hidden="1" x14ac:dyDescent="0.2">
      <c r="A84" s="18">
        <v>77</v>
      </c>
      <c r="B84" s="19"/>
      <c r="C84" s="20"/>
      <c r="D84" s="19" t="str">
        <f t="shared" si="2"/>
        <v/>
      </c>
      <c r="E84" s="20"/>
      <c r="F84" s="71"/>
      <c r="G84" s="21"/>
      <c r="H84" s="21"/>
      <c r="I84" s="22"/>
    </row>
    <row r="85" spans="1:9" hidden="1" x14ac:dyDescent="0.2">
      <c r="A85" s="18">
        <v>78</v>
      </c>
      <c r="B85" s="19"/>
      <c r="C85" s="20"/>
      <c r="D85" s="19" t="str">
        <f t="shared" si="2"/>
        <v/>
      </c>
      <c r="E85" s="20"/>
      <c r="F85" s="71"/>
      <c r="G85" s="21"/>
      <c r="H85" s="21"/>
      <c r="I85" s="22"/>
    </row>
    <row r="86" spans="1:9" hidden="1" x14ac:dyDescent="0.2">
      <c r="A86" s="18">
        <v>79</v>
      </c>
      <c r="B86" s="19"/>
      <c r="C86" s="20"/>
      <c r="D86" s="19" t="str">
        <f t="shared" si="2"/>
        <v/>
      </c>
      <c r="E86" s="20"/>
      <c r="F86" s="71"/>
      <c r="G86" s="21"/>
      <c r="H86" s="21"/>
      <c r="I86" s="22"/>
    </row>
    <row r="87" spans="1:9" hidden="1" x14ac:dyDescent="0.2">
      <c r="A87" s="18">
        <v>80</v>
      </c>
      <c r="B87" s="19"/>
      <c r="C87" s="20"/>
      <c r="D87" s="19" t="str">
        <f t="shared" si="2"/>
        <v/>
      </c>
      <c r="E87" s="20"/>
      <c r="F87" s="71"/>
      <c r="G87" s="21"/>
      <c r="H87" s="21"/>
      <c r="I87" s="22"/>
    </row>
    <row r="88" spans="1:9" hidden="1" x14ac:dyDescent="0.2">
      <c r="A88" s="18">
        <v>81</v>
      </c>
      <c r="B88" s="19"/>
      <c r="C88" s="20"/>
      <c r="D88" s="19" t="str">
        <f t="shared" si="2"/>
        <v/>
      </c>
      <c r="E88" s="20"/>
      <c r="F88" s="71"/>
      <c r="G88" s="21"/>
      <c r="H88" s="21"/>
      <c r="I88" s="22"/>
    </row>
    <row r="89" spans="1:9" hidden="1" x14ac:dyDescent="0.2">
      <c r="A89" s="18">
        <v>82</v>
      </c>
      <c r="B89" s="19"/>
      <c r="C89" s="20"/>
      <c r="D89" s="19" t="str">
        <f t="shared" si="2"/>
        <v/>
      </c>
      <c r="E89" s="20"/>
      <c r="F89" s="71"/>
      <c r="G89" s="21"/>
      <c r="H89" s="21"/>
      <c r="I89" s="22"/>
    </row>
    <row r="90" spans="1:9" hidden="1" x14ac:dyDescent="0.2">
      <c r="A90" s="18">
        <v>83</v>
      </c>
      <c r="B90" s="19"/>
      <c r="C90" s="20"/>
      <c r="D90" s="19" t="str">
        <f t="shared" si="2"/>
        <v/>
      </c>
      <c r="E90" s="20"/>
      <c r="F90" s="71"/>
      <c r="G90" s="21"/>
      <c r="H90" s="21"/>
      <c r="I90" s="22"/>
    </row>
    <row r="91" spans="1:9" hidden="1" x14ac:dyDescent="0.2">
      <c r="A91" s="18">
        <v>84</v>
      </c>
      <c r="B91" s="19"/>
      <c r="C91" s="20"/>
      <c r="D91" s="19" t="str">
        <f t="shared" si="2"/>
        <v/>
      </c>
      <c r="E91" s="20"/>
      <c r="F91" s="71"/>
      <c r="G91" s="21"/>
      <c r="H91" s="21"/>
      <c r="I91" s="22"/>
    </row>
    <row r="92" spans="1:9" hidden="1" x14ac:dyDescent="0.2">
      <c r="A92" s="18">
        <v>85</v>
      </c>
      <c r="B92" s="19"/>
      <c r="C92" s="20"/>
      <c r="D92" s="19" t="str">
        <f t="shared" si="2"/>
        <v/>
      </c>
      <c r="E92" s="20"/>
      <c r="F92" s="71"/>
      <c r="G92" s="21"/>
      <c r="H92" s="21"/>
      <c r="I92" s="22"/>
    </row>
    <row r="93" spans="1:9" hidden="1" x14ac:dyDescent="0.2">
      <c r="A93" s="18">
        <v>86</v>
      </c>
      <c r="B93" s="19"/>
      <c r="C93" s="20"/>
      <c r="D93" s="19" t="str">
        <f t="shared" si="2"/>
        <v/>
      </c>
      <c r="E93" s="20"/>
      <c r="F93" s="71"/>
      <c r="G93" s="21"/>
      <c r="H93" s="21"/>
      <c r="I93" s="22"/>
    </row>
    <row r="94" spans="1:9" hidden="1" x14ac:dyDescent="0.2">
      <c r="A94" s="18">
        <v>87</v>
      </c>
      <c r="B94" s="19"/>
      <c r="C94" s="20"/>
      <c r="D94" s="19" t="str">
        <f t="shared" si="2"/>
        <v/>
      </c>
      <c r="E94" s="20"/>
      <c r="F94" s="71"/>
      <c r="G94" s="21"/>
      <c r="H94" s="21"/>
      <c r="I94" s="22"/>
    </row>
    <row r="95" spans="1:9" hidden="1" x14ac:dyDescent="0.2">
      <c r="A95" s="18">
        <v>88</v>
      </c>
      <c r="B95" s="19"/>
      <c r="C95" s="20"/>
      <c r="D95" s="19" t="str">
        <f t="shared" si="2"/>
        <v/>
      </c>
      <c r="E95" s="20"/>
      <c r="F95" s="71"/>
      <c r="G95" s="21"/>
      <c r="H95" s="21"/>
      <c r="I95" s="22"/>
    </row>
    <row r="96" spans="1:9" hidden="1" x14ac:dyDescent="0.2">
      <c r="A96" s="18">
        <v>89</v>
      </c>
      <c r="B96" s="19"/>
      <c r="C96" s="20"/>
      <c r="D96" s="19" t="str">
        <f t="shared" si="2"/>
        <v/>
      </c>
      <c r="E96" s="20"/>
      <c r="F96" s="71"/>
      <c r="G96" s="21"/>
      <c r="H96" s="21"/>
      <c r="I96" s="22"/>
    </row>
    <row r="97" spans="1:9" hidden="1" x14ac:dyDescent="0.2">
      <c r="A97" s="18">
        <v>90</v>
      </c>
      <c r="B97" s="19"/>
      <c r="C97" s="20"/>
      <c r="D97" s="19" t="str">
        <f t="shared" si="2"/>
        <v/>
      </c>
      <c r="E97" s="20"/>
      <c r="F97" s="71"/>
      <c r="G97" s="21"/>
      <c r="H97" s="21"/>
      <c r="I97" s="22"/>
    </row>
    <row r="98" spans="1:9" hidden="1" x14ac:dyDescent="0.2">
      <c r="A98" s="18">
        <v>91</v>
      </c>
      <c r="B98" s="19"/>
      <c r="C98" s="20"/>
      <c r="D98" s="19" t="str">
        <f t="shared" si="2"/>
        <v/>
      </c>
      <c r="E98" s="20"/>
      <c r="F98" s="71"/>
      <c r="G98" s="21"/>
      <c r="H98" s="21"/>
      <c r="I98" s="22"/>
    </row>
    <row r="99" spans="1:9" hidden="1" x14ac:dyDescent="0.2">
      <c r="A99" s="18">
        <v>92</v>
      </c>
      <c r="B99" s="19"/>
      <c r="C99" s="20"/>
      <c r="D99" s="19" t="str">
        <f t="shared" si="2"/>
        <v/>
      </c>
      <c r="E99" s="20"/>
      <c r="F99" s="71"/>
      <c r="G99" s="21"/>
      <c r="H99" s="21"/>
      <c r="I99" s="22"/>
    </row>
    <row r="100" spans="1:9" hidden="1" x14ac:dyDescent="0.2">
      <c r="A100" s="18">
        <v>93</v>
      </c>
      <c r="B100" s="19"/>
      <c r="C100" s="20"/>
      <c r="D100" s="19" t="str">
        <f t="shared" si="2"/>
        <v/>
      </c>
      <c r="E100" s="20"/>
      <c r="F100" s="71"/>
      <c r="G100" s="21"/>
      <c r="H100" s="21"/>
      <c r="I100" s="22"/>
    </row>
    <row r="101" spans="1:9" hidden="1" x14ac:dyDescent="0.2">
      <c r="A101" s="18">
        <v>94</v>
      </c>
      <c r="B101" s="19"/>
      <c r="C101" s="20"/>
      <c r="D101" s="19" t="str">
        <f t="shared" si="2"/>
        <v/>
      </c>
      <c r="E101" s="20"/>
      <c r="F101" s="71"/>
      <c r="G101" s="21"/>
      <c r="H101" s="21"/>
      <c r="I101" s="22"/>
    </row>
    <row r="102" spans="1:9" hidden="1" x14ac:dyDescent="0.2">
      <c r="A102" s="18">
        <v>95</v>
      </c>
      <c r="B102" s="19"/>
      <c r="C102" s="20"/>
      <c r="D102" s="19" t="str">
        <f t="shared" si="2"/>
        <v/>
      </c>
      <c r="E102" s="20"/>
      <c r="F102" s="71"/>
      <c r="G102" s="21"/>
      <c r="H102" s="21"/>
      <c r="I102" s="22"/>
    </row>
    <row r="103" spans="1:9" hidden="1" x14ac:dyDescent="0.2">
      <c r="A103" s="18">
        <v>96</v>
      </c>
      <c r="B103" s="19"/>
      <c r="C103" s="20"/>
      <c r="D103" s="19" t="str">
        <f t="shared" si="2"/>
        <v/>
      </c>
      <c r="E103" s="20"/>
      <c r="F103" s="71"/>
      <c r="G103" s="21"/>
      <c r="H103" s="21"/>
      <c r="I103" s="22"/>
    </row>
    <row r="104" spans="1:9" hidden="1" x14ac:dyDescent="0.2">
      <c r="A104" s="18">
        <v>97</v>
      </c>
      <c r="B104" s="19"/>
      <c r="C104" s="20"/>
      <c r="D104" s="19" t="str">
        <f t="shared" si="2"/>
        <v/>
      </c>
      <c r="E104" s="20"/>
      <c r="F104" s="71"/>
      <c r="G104" s="21"/>
      <c r="H104" s="21"/>
      <c r="I104" s="22"/>
    </row>
    <row r="105" spans="1:9" hidden="1" x14ac:dyDescent="0.2">
      <c r="A105" s="18">
        <v>98</v>
      </c>
      <c r="B105" s="19"/>
      <c r="C105" s="20"/>
      <c r="D105" s="19" t="str">
        <f t="shared" si="2"/>
        <v/>
      </c>
      <c r="E105" s="20"/>
      <c r="F105" s="71"/>
      <c r="G105" s="21"/>
      <c r="H105" s="21"/>
      <c r="I105" s="22"/>
    </row>
    <row r="106" spans="1:9" hidden="1" x14ac:dyDescent="0.2">
      <c r="A106" s="18">
        <v>99</v>
      </c>
      <c r="B106" s="19"/>
      <c r="C106" s="20"/>
      <c r="D106" s="19" t="str">
        <f t="shared" si="2"/>
        <v/>
      </c>
      <c r="E106" s="20"/>
      <c r="F106" s="71"/>
      <c r="G106" s="21"/>
      <c r="H106" s="21"/>
      <c r="I106" s="22"/>
    </row>
    <row r="107" spans="1:9" hidden="1" x14ac:dyDescent="0.2">
      <c r="A107" s="18">
        <v>100</v>
      </c>
      <c r="B107" s="19"/>
      <c r="C107" s="20"/>
      <c r="D107" s="19" t="str">
        <f t="shared" si="2"/>
        <v/>
      </c>
      <c r="E107" s="20"/>
      <c r="F107" s="71"/>
      <c r="G107" s="21"/>
      <c r="H107" s="21"/>
      <c r="I107" s="22"/>
    </row>
    <row r="108" spans="1:9" hidden="1" x14ac:dyDescent="0.2">
      <c r="A108" s="18">
        <v>101</v>
      </c>
      <c r="B108" s="19"/>
      <c r="C108" s="20"/>
      <c r="D108" s="19" t="str">
        <f t="shared" si="2"/>
        <v/>
      </c>
      <c r="E108" s="20"/>
      <c r="F108" s="71"/>
      <c r="G108" s="21"/>
      <c r="H108" s="21"/>
      <c r="I108" s="22"/>
    </row>
    <row r="109" spans="1:9" hidden="1" x14ac:dyDescent="0.2">
      <c r="A109" s="18">
        <v>102</v>
      </c>
      <c r="B109" s="19"/>
      <c r="C109" s="20"/>
      <c r="D109" s="19" t="str">
        <f t="shared" si="2"/>
        <v/>
      </c>
      <c r="E109" s="20"/>
      <c r="F109" s="71"/>
      <c r="G109" s="21"/>
      <c r="H109" s="21"/>
      <c r="I109" s="22"/>
    </row>
    <row r="110" spans="1:9" hidden="1" x14ac:dyDescent="0.2">
      <c r="A110" s="18">
        <v>103</v>
      </c>
      <c r="B110" s="19"/>
      <c r="C110" s="20"/>
      <c r="D110" s="19" t="str">
        <f t="shared" si="2"/>
        <v/>
      </c>
      <c r="E110" s="20"/>
      <c r="F110" s="71"/>
      <c r="G110" s="21"/>
      <c r="H110" s="21"/>
      <c r="I110" s="22"/>
    </row>
    <row r="111" spans="1:9" hidden="1" x14ac:dyDescent="0.2">
      <c r="A111" s="18">
        <v>104</v>
      </c>
      <c r="B111" s="19"/>
      <c r="C111" s="20"/>
      <c r="D111" s="19" t="str">
        <f t="shared" si="2"/>
        <v/>
      </c>
      <c r="E111" s="20"/>
      <c r="F111" s="71"/>
      <c r="G111" s="21"/>
      <c r="H111" s="21"/>
      <c r="I111" s="22"/>
    </row>
    <row r="112" spans="1:9" hidden="1" x14ac:dyDescent="0.2">
      <c r="A112" s="18">
        <v>105</v>
      </c>
      <c r="B112" s="19"/>
      <c r="C112" s="20"/>
      <c r="D112" s="19" t="str">
        <f t="shared" si="2"/>
        <v/>
      </c>
      <c r="E112" s="20"/>
      <c r="F112" s="71"/>
      <c r="G112" s="21"/>
      <c r="H112" s="21"/>
      <c r="I112" s="22"/>
    </row>
    <row r="113" spans="1:9" hidden="1" x14ac:dyDescent="0.2">
      <c r="A113" s="18">
        <v>106</v>
      </c>
      <c r="B113" s="19"/>
      <c r="C113" s="20"/>
      <c r="D113" s="19" t="str">
        <f t="shared" si="2"/>
        <v/>
      </c>
      <c r="E113" s="20"/>
      <c r="F113" s="71"/>
      <c r="G113" s="21"/>
      <c r="H113" s="21"/>
      <c r="I113" s="22"/>
    </row>
    <row r="114" spans="1:9" hidden="1" x14ac:dyDescent="0.2">
      <c r="A114" s="18">
        <v>107</v>
      </c>
      <c r="B114" s="19"/>
      <c r="C114" s="20"/>
      <c r="D114" s="19" t="str">
        <f t="shared" si="2"/>
        <v/>
      </c>
      <c r="E114" s="20"/>
      <c r="F114" s="71"/>
      <c r="G114" s="21"/>
      <c r="H114" s="21"/>
      <c r="I114" s="22"/>
    </row>
    <row r="115" spans="1:9" hidden="1" x14ac:dyDescent="0.2">
      <c r="A115" s="18">
        <v>108</v>
      </c>
      <c r="B115" s="19"/>
      <c r="C115" s="20"/>
      <c r="D115" s="19" t="str">
        <f t="shared" si="2"/>
        <v/>
      </c>
      <c r="E115" s="20"/>
      <c r="F115" s="71"/>
      <c r="G115" s="21"/>
      <c r="H115" s="21"/>
      <c r="I115" s="22"/>
    </row>
    <row r="116" spans="1:9" hidden="1" x14ac:dyDescent="0.2">
      <c r="A116" s="18">
        <v>109</v>
      </c>
      <c r="B116" s="19"/>
      <c r="C116" s="20"/>
      <c r="D116" s="19" t="str">
        <f t="shared" si="2"/>
        <v/>
      </c>
      <c r="E116" s="20"/>
      <c r="F116" s="71"/>
      <c r="G116" s="21"/>
      <c r="H116" s="21"/>
      <c r="I116" s="22"/>
    </row>
    <row r="117" spans="1:9" hidden="1" x14ac:dyDescent="0.2">
      <c r="A117" s="18">
        <v>110</v>
      </c>
      <c r="B117" s="19"/>
      <c r="C117" s="20"/>
      <c r="D117" s="19" t="str">
        <f t="shared" si="2"/>
        <v/>
      </c>
      <c r="E117" s="20"/>
      <c r="F117" s="71"/>
      <c r="G117" s="21"/>
      <c r="H117" s="21"/>
      <c r="I117" s="22"/>
    </row>
    <row r="118" spans="1:9" hidden="1" x14ac:dyDescent="0.2">
      <c r="A118" s="18">
        <v>111</v>
      </c>
      <c r="B118" s="19"/>
      <c r="C118" s="20"/>
      <c r="D118" s="19" t="str">
        <f t="shared" si="2"/>
        <v/>
      </c>
      <c r="E118" s="20"/>
      <c r="F118" s="71"/>
      <c r="G118" s="21"/>
      <c r="H118" s="21"/>
      <c r="I118" s="22"/>
    </row>
    <row r="119" spans="1:9" hidden="1" x14ac:dyDescent="0.2">
      <c r="A119" s="18">
        <v>112</v>
      </c>
      <c r="B119" s="19"/>
      <c r="C119" s="20"/>
      <c r="D119" s="19" t="str">
        <f t="shared" si="2"/>
        <v/>
      </c>
      <c r="E119" s="20"/>
      <c r="F119" s="71"/>
      <c r="G119" s="21"/>
      <c r="H119" s="21"/>
      <c r="I119" s="22"/>
    </row>
    <row r="120" spans="1:9" hidden="1" x14ac:dyDescent="0.2">
      <c r="A120" s="18">
        <v>113</v>
      </c>
      <c r="B120" s="19"/>
      <c r="C120" s="20"/>
      <c r="D120" s="19" t="str">
        <f t="shared" si="2"/>
        <v/>
      </c>
      <c r="E120" s="20"/>
      <c r="F120" s="71"/>
      <c r="G120" s="21"/>
      <c r="H120" s="21"/>
      <c r="I120" s="22"/>
    </row>
    <row r="121" spans="1:9" hidden="1" x14ac:dyDescent="0.2">
      <c r="A121" s="18">
        <v>114</v>
      </c>
      <c r="B121" s="19"/>
      <c r="C121" s="20"/>
      <c r="D121" s="19" t="str">
        <f t="shared" si="2"/>
        <v/>
      </c>
      <c r="E121" s="20"/>
      <c r="F121" s="71"/>
      <c r="G121" s="21"/>
      <c r="H121" s="21"/>
      <c r="I121" s="22"/>
    </row>
    <row r="122" spans="1:9" hidden="1" x14ac:dyDescent="0.2">
      <c r="A122" s="18">
        <v>115</v>
      </c>
      <c r="B122" s="19"/>
      <c r="C122" s="20"/>
      <c r="D122" s="19" t="str">
        <f t="shared" si="2"/>
        <v/>
      </c>
      <c r="E122" s="20"/>
      <c r="F122" s="71"/>
      <c r="G122" s="21"/>
      <c r="H122" s="21"/>
      <c r="I122" s="22"/>
    </row>
    <row r="123" spans="1:9" hidden="1" x14ac:dyDescent="0.2">
      <c r="A123" s="18">
        <v>116</v>
      </c>
      <c r="B123" s="19"/>
      <c r="C123" s="20"/>
      <c r="D123" s="19" t="str">
        <f t="shared" si="2"/>
        <v/>
      </c>
      <c r="E123" s="20"/>
      <c r="F123" s="71"/>
      <c r="G123" s="21"/>
      <c r="H123" s="21"/>
      <c r="I123" s="22"/>
    </row>
    <row r="124" spans="1:9" hidden="1" x14ac:dyDescent="0.2">
      <c r="A124" s="18">
        <v>117</v>
      </c>
      <c r="B124" s="19"/>
      <c r="C124" s="20"/>
      <c r="D124" s="19" t="str">
        <f t="shared" si="2"/>
        <v/>
      </c>
      <c r="E124" s="20"/>
      <c r="F124" s="71"/>
      <c r="G124" s="21"/>
      <c r="H124" s="21"/>
      <c r="I124" s="22"/>
    </row>
    <row r="125" spans="1:9" hidden="1" x14ac:dyDescent="0.2">
      <c r="A125" s="18">
        <v>118</v>
      </c>
      <c r="B125" s="19"/>
      <c r="C125" s="20"/>
      <c r="D125" s="19" t="str">
        <f t="shared" si="2"/>
        <v/>
      </c>
      <c r="E125" s="20"/>
      <c r="F125" s="71"/>
      <c r="G125" s="21"/>
      <c r="H125" s="21"/>
      <c r="I125" s="22"/>
    </row>
    <row r="126" spans="1:9" hidden="1" x14ac:dyDescent="0.2">
      <c r="A126" s="18">
        <v>119</v>
      </c>
      <c r="B126" s="19"/>
      <c r="C126" s="20"/>
      <c r="D126" s="19" t="str">
        <f t="shared" si="2"/>
        <v/>
      </c>
      <c r="E126" s="20"/>
      <c r="F126" s="71"/>
      <c r="G126" s="21"/>
      <c r="H126" s="21"/>
      <c r="I126" s="22"/>
    </row>
    <row r="127" spans="1:9" hidden="1" x14ac:dyDescent="0.2">
      <c r="A127" s="18">
        <v>120</v>
      </c>
      <c r="B127" s="19"/>
      <c r="C127" s="20"/>
      <c r="D127" s="19" t="str">
        <f t="shared" si="2"/>
        <v/>
      </c>
      <c r="E127" s="20"/>
      <c r="F127" s="71"/>
      <c r="G127" s="21"/>
      <c r="H127" s="21"/>
      <c r="I127" s="22"/>
    </row>
    <row r="128" spans="1:9" hidden="1" x14ac:dyDescent="0.2">
      <c r="A128" s="18">
        <v>121</v>
      </c>
      <c r="B128" s="19"/>
      <c r="C128" s="20"/>
      <c r="D128" s="19" t="str">
        <f t="shared" si="2"/>
        <v/>
      </c>
      <c r="E128" s="20"/>
      <c r="F128" s="71"/>
      <c r="G128" s="21"/>
      <c r="H128" s="21"/>
      <c r="I128" s="22"/>
    </row>
    <row r="129" spans="1:9" hidden="1" x14ac:dyDescent="0.2">
      <c r="A129" s="18">
        <v>122</v>
      </c>
      <c r="B129" s="19"/>
      <c r="C129" s="20"/>
      <c r="D129" s="19" t="str">
        <f t="shared" si="2"/>
        <v/>
      </c>
      <c r="E129" s="20"/>
      <c r="F129" s="71"/>
      <c r="G129" s="21"/>
      <c r="H129" s="21"/>
      <c r="I129" s="22"/>
    </row>
    <row r="130" spans="1:9" hidden="1" x14ac:dyDescent="0.2">
      <c r="A130" s="18">
        <v>123</v>
      </c>
      <c r="B130" s="19"/>
      <c r="C130" s="20"/>
      <c r="D130" s="19" t="str">
        <f t="shared" si="2"/>
        <v/>
      </c>
      <c r="E130" s="20"/>
      <c r="F130" s="71"/>
      <c r="G130" s="21"/>
      <c r="H130" s="21"/>
      <c r="I130" s="22"/>
    </row>
    <row r="131" spans="1:9" hidden="1" x14ac:dyDescent="0.2">
      <c r="A131" s="18">
        <v>124</v>
      </c>
      <c r="B131" s="19"/>
      <c r="C131" s="20"/>
      <c r="D131" s="19" t="str">
        <f t="shared" si="2"/>
        <v/>
      </c>
      <c r="E131" s="20"/>
      <c r="F131" s="71"/>
      <c r="G131" s="21"/>
      <c r="H131" s="21"/>
      <c r="I131" s="22"/>
    </row>
    <row r="132" spans="1:9" hidden="1" x14ac:dyDescent="0.2">
      <c r="A132" s="18">
        <v>125</v>
      </c>
      <c r="B132" s="19"/>
      <c r="C132" s="20"/>
      <c r="D132" s="19" t="str">
        <f t="shared" si="2"/>
        <v/>
      </c>
      <c r="E132" s="20"/>
      <c r="F132" s="71"/>
      <c r="G132" s="21"/>
      <c r="H132" s="21"/>
      <c r="I132" s="22"/>
    </row>
    <row r="133" spans="1:9" hidden="1" x14ac:dyDescent="0.2">
      <c r="A133" s="18">
        <v>126</v>
      </c>
      <c r="B133" s="19"/>
      <c r="C133" s="20"/>
      <c r="D133" s="19" t="str">
        <f t="shared" si="2"/>
        <v/>
      </c>
      <c r="E133" s="20"/>
      <c r="F133" s="71"/>
      <c r="G133" s="21"/>
      <c r="H133" s="21"/>
      <c r="I133" s="22"/>
    </row>
    <row r="134" spans="1:9" hidden="1" x14ac:dyDescent="0.2">
      <c r="A134" s="18">
        <v>127</v>
      </c>
      <c r="B134" s="19"/>
      <c r="C134" s="20"/>
      <c r="D134" s="19" t="str">
        <f t="shared" si="2"/>
        <v/>
      </c>
      <c r="E134" s="20"/>
      <c r="F134" s="71"/>
      <c r="G134" s="21"/>
      <c r="H134" s="21"/>
      <c r="I134" s="22"/>
    </row>
    <row r="135" spans="1:9" hidden="1" x14ac:dyDescent="0.2">
      <c r="A135" s="18">
        <v>128</v>
      </c>
      <c r="B135" s="19"/>
      <c r="C135" s="20"/>
      <c r="D135" s="19" t="str">
        <f t="shared" si="2"/>
        <v/>
      </c>
      <c r="E135" s="20"/>
      <c r="F135" s="71"/>
      <c r="G135" s="21"/>
      <c r="H135" s="21"/>
      <c r="I135" s="22"/>
    </row>
    <row r="136" spans="1:9" hidden="1" x14ac:dyDescent="0.2">
      <c r="A136" s="18">
        <v>129</v>
      </c>
      <c r="B136" s="19"/>
      <c r="C136" s="20"/>
      <c r="D136" s="19" t="str">
        <f t="shared" si="2"/>
        <v/>
      </c>
      <c r="E136" s="20"/>
      <c r="F136" s="71"/>
      <c r="G136" s="21"/>
      <c r="H136" s="21"/>
      <c r="I136" s="22"/>
    </row>
    <row r="137" spans="1:9" hidden="1" x14ac:dyDescent="0.2">
      <c r="A137" s="18">
        <v>130</v>
      </c>
      <c r="B137" s="19"/>
      <c r="C137" s="20"/>
      <c r="D137" s="19" t="str">
        <f t="shared" ref="D137:D200" si="3">LEFT(B137,5)</f>
        <v/>
      </c>
      <c r="E137" s="20"/>
      <c r="F137" s="71"/>
      <c r="G137" s="21"/>
      <c r="H137" s="21"/>
      <c r="I137" s="22"/>
    </row>
    <row r="138" spans="1:9" hidden="1" x14ac:dyDescent="0.2">
      <c r="A138" s="18">
        <v>131</v>
      </c>
      <c r="B138" s="19"/>
      <c r="C138" s="20"/>
      <c r="D138" s="19" t="str">
        <f t="shared" si="3"/>
        <v/>
      </c>
      <c r="E138" s="20"/>
      <c r="F138" s="71"/>
      <c r="G138" s="21"/>
      <c r="H138" s="21"/>
      <c r="I138" s="22"/>
    </row>
    <row r="139" spans="1:9" hidden="1" x14ac:dyDescent="0.2">
      <c r="A139" s="18">
        <v>132</v>
      </c>
      <c r="B139" s="19"/>
      <c r="C139" s="20"/>
      <c r="D139" s="19" t="str">
        <f t="shared" si="3"/>
        <v/>
      </c>
      <c r="E139" s="20"/>
      <c r="F139" s="71"/>
      <c r="G139" s="21"/>
      <c r="H139" s="21"/>
      <c r="I139" s="22"/>
    </row>
    <row r="140" spans="1:9" hidden="1" x14ac:dyDescent="0.2">
      <c r="A140" s="18">
        <v>133</v>
      </c>
      <c r="B140" s="19"/>
      <c r="C140" s="20"/>
      <c r="D140" s="19" t="str">
        <f t="shared" si="3"/>
        <v/>
      </c>
      <c r="E140" s="20"/>
      <c r="F140" s="71"/>
      <c r="G140" s="21"/>
      <c r="H140" s="21"/>
      <c r="I140" s="22"/>
    </row>
    <row r="141" spans="1:9" hidden="1" x14ac:dyDescent="0.2">
      <c r="A141" s="18">
        <v>134</v>
      </c>
      <c r="B141" s="19"/>
      <c r="C141" s="20"/>
      <c r="D141" s="19" t="str">
        <f t="shared" si="3"/>
        <v/>
      </c>
      <c r="E141" s="20"/>
      <c r="F141" s="71"/>
      <c r="G141" s="21"/>
      <c r="H141" s="21"/>
      <c r="I141" s="22"/>
    </row>
    <row r="142" spans="1:9" hidden="1" x14ac:dyDescent="0.2">
      <c r="A142" s="18">
        <v>135</v>
      </c>
      <c r="B142" s="19"/>
      <c r="C142" s="20"/>
      <c r="D142" s="19" t="str">
        <f t="shared" si="3"/>
        <v/>
      </c>
      <c r="E142" s="20"/>
      <c r="F142" s="71"/>
      <c r="G142" s="21"/>
      <c r="H142" s="21"/>
      <c r="I142" s="22"/>
    </row>
    <row r="143" spans="1:9" hidden="1" x14ac:dyDescent="0.2">
      <c r="A143" s="18">
        <v>136</v>
      </c>
      <c r="B143" s="19"/>
      <c r="C143" s="20"/>
      <c r="D143" s="19" t="str">
        <f t="shared" si="3"/>
        <v/>
      </c>
      <c r="E143" s="20"/>
      <c r="F143" s="71"/>
      <c r="G143" s="21"/>
      <c r="H143" s="21"/>
      <c r="I143" s="22"/>
    </row>
    <row r="144" spans="1:9" hidden="1" x14ac:dyDescent="0.2">
      <c r="A144" s="18">
        <v>137</v>
      </c>
      <c r="B144" s="19"/>
      <c r="C144" s="20"/>
      <c r="D144" s="19" t="str">
        <f t="shared" si="3"/>
        <v/>
      </c>
      <c r="E144" s="20"/>
      <c r="F144" s="71"/>
      <c r="G144" s="21"/>
      <c r="H144" s="21"/>
      <c r="I144" s="22"/>
    </row>
    <row r="145" spans="1:9" hidden="1" x14ac:dyDescent="0.2">
      <c r="A145" s="18">
        <v>138</v>
      </c>
      <c r="B145" s="19"/>
      <c r="C145" s="20"/>
      <c r="D145" s="19" t="str">
        <f t="shared" si="3"/>
        <v/>
      </c>
      <c r="E145" s="20"/>
      <c r="F145" s="71"/>
      <c r="G145" s="21"/>
      <c r="H145" s="21"/>
      <c r="I145" s="22"/>
    </row>
    <row r="146" spans="1:9" hidden="1" x14ac:dyDescent="0.2">
      <c r="A146" s="18">
        <v>139</v>
      </c>
      <c r="B146" s="19"/>
      <c r="C146" s="20"/>
      <c r="D146" s="19" t="str">
        <f t="shared" si="3"/>
        <v/>
      </c>
      <c r="E146" s="20"/>
      <c r="F146" s="71"/>
      <c r="G146" s="21"/>
      <c r="H146" s="21"/>
      <c r="I146" s="22"/>
    </row>
    <row r="147" spans="1:9" hidden="1" x14ac:dyDescent="0.2">
      <c r="A147" s="18">
        <v>140</v>
      </c>
      <c r="B147" s="19"/>
      <c r="C147" s="20"/>
      <c r="D147" s="19" t="str">
        <f t="shared" si="3"/>
        <v/>
      </c>
      <c r="E147" s="20"/>
      <c r="F147" s="71"/>
      <c r="G147" s="21"/>
      <c r="H147" s="21"/>
      <c r="I147" s="22"/>
    </row>
    <row r="148" spans="1:9" hidden="1" x14ac:dyDescent="0.2">
      <c r="A148" s="18">
        <v>141</v>
      </c>
      <c r="B148" s="19"/>
      <c r="C148" s="20"/>
      <c r="D148" s="19" t="str">
        <f t="shared" si="3"/>
        <v/>
      </c>
      <c r="E148" s="20"/>
      <c r="F148" s="71"/>
      <c r="G148" s="21"/>
      <c r="H148" s="21"/>
      <c r="I148" s="22"/>
    </row>
    <row r="149" spans="1:9" hidden="1" x14ac:dyDescent="0.2">
      <c r="A149" s="18">
        <v>142</v>
      </c>
      <c r="B149" s="19"/>
      <c r="C149" s="20"/>
      <c r="D149" s="19" t="str">
        <f t="shared" si="3"/>
        <v/>
      </c>
      <c r="E149" s="20"/>
      <c r="F149" s="71"/>
      <c r="G149" s="21"/>
      <c r="H149" s="21"/>
      <c r="I149" s="22"/>
    </row>
    <row r="150" spans="1:9" hidden="1" x14ac:dyDescent="0.2">
      <c r="A150" s="18">
        <v>143</v>
      </c>
      <c r="B150" s="19"/>
      <c r="C150" s="20"/>
      <c r="D150" s="19" t="str">
        <f t="shared" si="3"/>
        <v/>
      </c>
      <c r="E150" s="20"/>
      <c r="F150" s="71"/>
      <c r="G150" s="21"/>
      <c r="H150" s="21"/>
      <c r="I150" s="22"/>
    </row>
    <row r="151" spans="1:9" hidden="1" x14ac:dyDescent="0.2">
      <c r="A151" s="18">
        <v>144</v>
      </c>
      <c r="B151" s="19"/>
      <c r="C151" s="20"/>
      <c r="D151" s="19" t="str">
        <f t="shared" si="3"/>
        <v/>
      </c>
      <c r="E151" s="20"/>
      <c r="F151" s="71"/>
      <c r="G151" s="21"/>
      <c r="H151" s="21"/>
      <c r="I151" s="22"/>
    </row>
    <row r="152" spans="1:9" hidden="1" x14ac:dyDescent="0.2">
      <c r="A152" s="18">
        <v>145</v>
      </c>
      <c r="B152" s="19"/>
      <c r="C152" s="20"/>
      <c r="D152" s="19" t="str">
        <f t="shared" si="3"/>
        <v/>
      </c>
      <c r="E152" s="20"/>
      <c r="F152" s="71"/>
      <c r="G152" s="21"/>
      <c r="H152" s="21"/>
      <c r="I152" s="22"/>
    </row>
    <row r="153" spans="1:9" hidden="1" x14ac:dyDescent="0.2">
      <c r="A153" s="18">
        <v>146</v>
      </c>
      <c r="B153" s="19"/>
      <c r="C153" s="20"/>
      <c r="D153" s="19" t="str">
        <f t="shared" si="3"/>
        <v/>
      </c>
      <c r="E153" s="20"/>
      <c r="F153" s="71"/>
      <c r="G153" s="21"/>
      <c r="H153" s="21"/>
      <c r="I153" s="22"/>
    </row>
    <row r="154" spans="1:9" hidden="1" x14ac:dyDescent="0.2">
      <c r="A154" s="18">
        <v>147</v>
      </c>
      <c r="B154" s="19"/>
      <c r="C154" s="20"/>
      <c r="D154" s="19" t="str">
        <f t="shared" si="3"/>
        <v/>
      </c>
      <c r="E154" s="20"/>
      <c r="F154" s="71"/>
      <c r="G154" s="21"/>
      <c r="H154" s="21"/>
      <c r="I154" s="22"/>
    </row>
    <row r="155" spans="1:9" hidden="1" x14ac:dyDescent="0.2">
      <c r="A155" s="18">
        <v>148</v>
      </c>
      <c r="B155" s="19"/>
      <c r="C155" s="20"/>
      <c r="D155" s="19" t="str">
        <f t="shared" si="3"/>
        <v/>
      </c>
      <c r="E155" s="20"/>
      <c r="F155" s="71"/>
      <c r="G155" s="21"/>
      <c r="H155" s="21"/>
      <c r="I155" s="22"/>
    </row>
    <row r="156" spans="1:9" hidden="1" x14ac:dyDescent="0.2">
      <c r="A156" s="18">
        <v>149</v>
      </c>
      <c r="B156" s="19"/>
      <c r="C156" s="20"/>
      <c r="D156" s="19" t="str">
        <f t="shared" si="3"/>
        <v/>
      </c>
      <c r="E156" s="20"/>
      <c r="F156" s="71"/>
      <c r="G156" s="21"/>
      <c r="H156" s="21"/>
      <c r="I156" s="22"/>
    </row>
    <row r="157" spans="1:9" hidden="1" x14ac:dyDescent="0.2">
      <c r="A157" s="18">
        <v>150</v>
      </c>
      <c r="B157" s="19"/>
      <c r="C157" s="20"/>
      <c r="D157" s="19" t="str">
        <f t="shared" si="3"/>
        <v/>
      </c>
      <c r="E157" s="20"/>
      <c r="F157" s="71"/>
      <c r="G157" s="21"/>
      <c r="H157" s="21"/>
      <c r="I157" s="22"/>
    </row>
    <row r="158" spans="1:9" hidden="1" x14ac:dyDescent="0.2">
      <c r="A158" s="18">
        <v>151</v>
      </c>
      <c r="B158" s="19"/>
      <c r="C158" s="20"/>
      <c r="D158" s="19" t="str">
        <f t="shared" si="3"/>
        <v/>
      </c>
      <c r="E158" s="20"/>
      <c r="F158" s="71"/>
      <c r="G158" s="21"/>
      <c r="H158" s="21"/>
      <c r="I158" s="22"/>
    </row>
    <row r="159" spans="1:9" hidden="1" x14ac:dyDescent="0.2">
      <c r="A159" s="18">
        <v>152</v>
      </c>
      <c r="B159" s="19"/>
      <c r="C159" s="20"/>
      <c r="D159" s="19" t="str">
        <f t="shared" si="3"/>
        <v/>
      </c>
      <c r="E159" s="20"/>
      <c r="F159" s="71"/>
      <c r="G159" s="21"/>
      <c r="H159" s="21"/>
      <c r="I159" s="22"/>
    </row>
    <row r="160" spans="1:9" hidden="1" x14ac:dyDescent="0.2">
      <c r="A160" s="18">
        <v>153</v>
      </c>
      <c r="B160" s="19"/>
      <c r="C160" s="20"/>
      <c r="D160" s="19" t="str">
        <f t="shared" si="3"/>
        <v/>
      </c>
      <c r="E160" s="20"/>
      <c r="F160" s="71"/>
      <c r="G160" s="21"/>
      <c r="H160" s="21"/>
      <c r="I160" s="22"/>
    </row>
    <row r="161" spans="1:9" hidden="1" x14ac:dyDescent="0.2">
      <c r="A161" s="18">
        <v>154</v>
      </c>
      <c r="B161" s="19"/>
      <c r="C161" s="20"/>
      <c r="D161" s="19" t="str">
        <f t="shared" si="3"/>
        <v/>
      </c>
      <c r="E161" s="20"/>
      <c r="F161" s="71"/>
      <c r="G161" s="21"/>
      <c r="H161" s="21"/>
      <c r="I161" s="22"/>
    </row>
    <row r="162" spans="1:9" hidden="1" x14ac:dyDescent="0.2">
      <c r="A162" s="18">
        <v>155</v>
      </c>
      <c r="B162" s="19"/>
      <c r="C162" s="20"/>
      <c r="D162" s="19" t="str">
        <f t="shared" si="3"/>
        <v/>
      </c>
      <c r="E162" s="20"/>
      <c r="F162" s="71"/>
      <c r="G162" s="21"/>
      <c r="H162" s="21"/>
      <c r="I162" s="22"/>
    </row>
    <row r="163" spans="1:9" hidden="1" x14ac:dyDescent="0.2">
      <c r="A163" s="18">
        <v>156</v>
      </c>
      <c r="B163" s="19"/>
      <c r="C163" s="20"/>
      <c r="D163" s="19" t="str">
        <f t="shared" si="3"/>
        <v/>
      </c>
      <c r="E163" s="20"/>
      <c r="F163" s="71"/>
      <c r="G163" s="21"/>
      <c r="H163" s="21"/>
      <c r="I163" s="22"/>
    </row>
    <row r="164" spans="1:9" hidden="1" x14ac:dyDescent="0.2">
      <c r="A164" s="18">
        <v>157</v>
      </c>
      <c r="B164" s="19"/>
      <c r="C164" s="20"/>
      <c r="D164" s="19" t="str">
        <f t="shared" si="3"/>
        <v/>
      </c>
      <c r="E164" s="20"/>
      <c r="F164" s="71"/>
      <c r="G164" s="21"/>
      <c r="H164" s="21"/>
      <c r="I164" s="22"/>
    </row>
    <row r="165" spans="1:9" hidden="1" x14ac:dyDescent="0.2">
      <c r="A165" s="18">
        <v>158</v>
      </c>
      <c r="B165" s="19"/>
      <c r="C165" s="20"/>
      <c r="D165" s="19" t="str">
        <f t="shared" si="3"/>
        <v/>
      </c>
      <c r="E165" s="20"/>
      <c r="F165" s="71"/>
      <c r="G165" s="21"/>
      <c r="H165" s="21"/>
      <c r="I165" s="22"/>
    </row>
    <row r="166" spans="1:9" hidden="1" x14ac:dyDescent="0.2">
      <c r="A166" s="18">
        <v>159</v>
      </c>
      <c r="B166" s="19"/>
      <c r="C166" s="20"/>
      <c r="D166" s="19" t="str">
        <f t="shared" si="3"/>
        <v/>
      </c>
      <c r="E166" s="20"/>
      <c r="F166" s="71"/>
      <c r="G166" s="21"/>
      <c r="H166" s="21"/>
      <c r="I166" s="22"/>
    </row>
    <row r="167" spans="1:9" hidden="1" x14ac:dyDescent="0.2">
      <c r="A167" s="18">
        <v>160</v>
      </c>
      <c r="B167" s="19"/>
      <c r="C167" s="20"/>
      <c r="D167" s="19" t="str">
        <f t="shared" si="3"/>
        <v/>
      </c>
      <c r="E167" s="20"/>
      <c r="F167" s="71"/>
      <c r="G167" s="21"/>
      <c r="H167" s="21"/>
      <c r="I167" s="22"/>
    </row>
    <row r="168" spans="1:9" hidden="1" x14ac:dyDescent="0.2">
      <c r="A168" s="18">
        <v>161</v>
      </c>
      <c r="B168" s="19"/>
      <c r="C168" s="20"/>
      <c r="D168" s="19" t="str">
        <f t="shared" si="3"/>
        <v/>
      </c>
      <c r="E168" s="20"/>
      <c r="F168" s="71"/>
      <c r="G168" s="21"/>
      <c r="H168" s="21"/>
      <c r="I168" s="22"/>
    </row>
    <row r="169" spans="1:9" hidden="1" x14ac:dyDescent="0.2">
      <c r="A169" s="18">
        <v>162</v>
      </c>
      <c r="B169" s="19"/>
      <c r="C169" s="20"/>
      <c r="D169" s="19" t="str">
        <f t="shared" si="3"/>
        <v/>
      </c>
      <c r="E169" s="20"/>
      <c r="F169" s="71"/>
      <c r="G169" s="21"/>
      <c r="H169" s="21"/>
      <c r="I169" s="22"/>
    </row>
    <row r="170" spans="1:9" hidden="1" x14ac:dyDescent="0.2">
      <c r="A170" s="18">
        <v>163</v>
      </c>
      <c r="B170" s="19"/>
      <c r="C170" s="20"/>
      <c r="D170" s="19" t="str">
        <f t="shared" si="3"/>
        <v/>
      </c>
      <c r="E170" s="20"/>
      <c r="F170" s="71"/>
      <c r="G170" s="21"/>
      <c r="H170" s="21"/>
      <c r="I170" s="22"/>
    </row>
    <row r="171" spans="1:9" hidden="1" x14ac:dyDescent="0.2">
      <c r="A171" s="18">
        <v>164</v>
      </c>
      <c r="B171" s="19"/>
      <c r="C171" s="20"/>
      <c r="D171" s="19" t="str">
        <f t="shared" si="3"/>
        <v/>
      </c>
      <c r="E171" s="20"/>
      <c r="F171" s="71"/>
      <c r="G171" s="21"/>
      <c r="H171" s="21"/>
      <c r="I171" s="22"/>
    </row>
    <row r="172" spans="1:9" hidden="1" x14ac:dyDescent="0.2">
      <c r="A172" s="18">
        <v>165</v>
      </c>
      <c r="B172" s="19"/>
      <c r="C172" s="20"/>
      <c r="D172" s="19" t="str">
        <f t="shared" si="3"/>
        <v/>
      </c>
      <c r="E172" s="20"/>
      <c r="F172" s="71"/>
      <c r="G172" s="21"/>
      <c r="H172" s="21"/>
      <c r="I172" s="22"/>
    </row>
    <row r="173" spans="1:9" hidden="1" x14ac:dyDescent="0.2">
      <c r="A173" s="18">
        <v>166</v>
      </c>
      <c r="B173" s="19"/>
      <c r="C173" s="20"/>
      <c r="D173" s="19" t="str">
        <f t="shared" si="3"/>
        <v/>
      </c>
      <c r="E173" s="20"/>
      <c r="F173" s="71"/>
      <c r="G173" s="21"/>
      <c r="H173" s="21"/>
      <c r="I173" s="22"/>
    </row>
    <row r="174" spans="1:9" hidden="1" x14ac:dyDescent="0.2">
      <c r="A174" s="18">
        <v>167</v>
      </c>
      <c r="B174" s="19"/>
      <c r="C174" s="20"/>
      <c r="D174" s="19" t="str">
        <f t="shared" si="3"/>
        <v/>
      </c>
      <c r="E174" s="20"/>
      <c r="F174" s="71"/>
      <c r="G174" s="21"/>
      <c r="H174" s="21"/>
      <c r="I174" s="22"/>
    </row>
    <row r="175" spans="1:9" hidden="1" x14ac:dyDescent="0.2">
      <c r="A175" s="18">
        <v>168</v>
      </c>
      <c r="B175" s="19"/>
      <c r="C175" s="20"/>
      <c r="D175" s="19" t="str">
        <f t="shared" si="3"/>
        <v/>
      </c>
      <c r="E175" s="20"/>
      <c r="F175" s="71"/>
      <c r="G175" s="21"/>
      <c r="H175" s="21"/>
      <c r="I175" s="22"/>
    </row>
    <row r="176" spans="1:9" hidden="1" x14ac:dyDescent="0.2">
      <c r="A176" s="18">
        <v>169</v>
      </c>
      <c r="B176" s="19"/>
      <c r="C176" s="20"/>
      <c r="D176" s="19" t="str">
        <f t="shared" si="3"/>
        <v/>
      </c>
      <c r="E176" s="20"/>
      <c r="F176" s="71"/>
      <c r="G176" s="21"/>
      <c r="H176" s="21"/>
      <c r="I176" s="22"/>
    </row>
    <row r="177" spans="1:9" hidden="1" x14ac:dyDescent="0.2">
      <c r="A177" s="18">
        <v>170</v>
      </c>
      <c r="B177" s="19"/>
      <c r="C177" s="20"/>
      <c r="D177" s="19" t="str">
        <f t="shared" si="3"/>
        <v/>
      </c>
      <c r="E177" s="20"/>
      <c r="F177" s="71"/>
      <c r="G177" s="21"/>
      <c r="H177" s="21"/>
      <c r="I177" s="22"/>
    </row>
    <row r="178" spans="1:9" hidden="1" x14ac:dyDescent="0.2">
      <c r="A178" s="18">
        <v>171</v>
      </c>
      <c r="B178" s="19"/>
      <c r="C178" s="20"/>
      <c r="D178" s="19" t="str">
        <f t="shared" si="3"/>
        <v/>
      </c>
      <c r="E178" s="20"/>
      <c r="F178" s="71"/>
      <c r="G178" s="21"/>
      <c r="H178" s="21"/>
      <c r="I178" s="22"/>
    </row>
    <row r="179" spans="1:9" hidden="1" x14ac:dyDescent="0.2">
      <c r="A179" s="18">
        <v>172</v>
      </c>
      <c r="B179" s="19"/>
      <c r="C179" s="20"/>
      <c r="D179" s="19" t="str">
        <f t="shared" si="3"/>
        <v/>
      </c>
      <c r="E179" s="20"/>
      <c r="F179" s="71"/>
      <c r="G179" s="21"/>
      <c r="H179" s="21"/>
      <c r="I179" s="22"/>
    </row>
    <row r="180" spans="1:9" hidden="1" x14ac:dyDescent="0.2">
      <c r="A180" s="18">
        <v>173</v>
      </c>
      <c r="B180" s="19"/>
      <c r="C180" s="20"/>
      <c r="D180" s="19" t="str">
        <f t="shared" si="3"/>
        <v/>
      </c>
      <c r="E180" s="20"/>
      <c r="F180" s="71"/>
      <c r="G180" s="21"/>
      <c r="H180" s="21"/>
      <c r="I180" s="22"/>
    </row>
    <row r="181" spans="1:9" hidden="1" x14ac:dyDescent="0.2">
      <c r="A181" s="18">
        <v>174</v>
      </c>
      <c r="B181" s="19"/>
      <c r="C181" s="20"/>
      <c r="D181" s="19" t="str">
        <f t="shared" si="3"/>
        <v/>
      </c>
      <c r="E181" s="20"/>
      <c r="F181" s="71"/>
      <c r="G181" s="21"/>
      <c r="H181" s="21"/>
      <c r="I181" s="22"/>
    </row>
    <row r="182" spans="1:9" hidden="1" x14ac:dyDescent="0.2">
      <c r="A182" s="18">
        <v>175</v>
      </c>
      <c r="B182" s="19"/>
      <c r="C182" s="20"/>
      <c r="D182" s="19" t="str">
        <f t="shared" si="3"/>
        <v/>
      </c>
      <c r="E182" s="20"/>
      <c r="F182" s="71"/>
      <c r="G182" s="21"/>
      <c r="H182" s="21"/>
      <c r="I182" s="22"/>
    </row>
    <row r="183" spans="1:9" hidden="1" x14ac:dyDescent="0.2">
      <c r="A183" s="18">
        <v>176</v>
      </c>
      <c r="B183" s="19"/>
      <c r="C183" s="20"/>
      <c r="D183" s="19" t="str">
        <f t="shared" si="3"/>
        <v/>
      </c>
      <c r="E183" s="20"/>
      <c r="F183" s="71"/>
      <c r="G183" s="21"/>
      <c r="H183" s="21"/>
      <c r="I183" s="22"/>
    </row>
    <row r="184" spans="1:9" hidden="1" x14ac:dyDescent="0.2">
      <c r="A184" s="18">
        <v>177</v>
      </c>
      <c r="B184" s="19"/>
      <c r="C184" s="20"/>
      <c r="D184" s="19" t="str">
        <f t="shared" si="3"/>
        <v/>
      </c>
      <c r="E184" s="20"/>
      <c r="F184" s="71"/>
      <c r="G184" s="21"/>
      <c r="H184" s="21"/>
      <c r="I184" s="22"/>
    </row>
    <row r="185" spans="1:9" hidden="1" x14ac:dyDescent="0.2">
      <c r="A185" s="18">
        <v>178</v>
      </c>
      <c r="B185" s="19"/>
      <c r="C185" s="20"/>
      <c r="D185" s="19" t="str">
        <f t="shared" si="3"/>
        <v/>
      </c>
      <c r="E185" s="20"/>
      <c r="F185" s="71"/>
      <c r="G185" s="21"/>
      <c r="H185" s="21"/>
      <c r="I185" s="22"/>
    </row>
    <row r="186" spans="1:9" hidden="1" x14ac:dyDescent="0.2">
      <c r="A186" s="18">
        <v>179</v>
      </c>
      <c r="B186" s="19"/>
      <c r="C186" s="20"/>
      <c r="D186" s="19" t="str">
        <f t="shared" si="3"/>
        <v/>
      </c>
      <c r="E186" s="20"/>
      <c r="F186" s="71"/>
      <c r="G186" s="21"/>
      <c r="H186" s="21"/>
      <c r="I186" s="22"/>
    </row>
    <row r="187" spans="1:9" hidden="1" x14ac:dyDescent="0.2">
      <c r="A187" s="18">
        <v>180</v>
      </c>
      <c r="B187" s="19"/>
      <c r="C187" s="20"/>
      <c r="D187" s="19" t="str">
        <f t="shared" si="3"/>
        <v/>
      </c>
      <c r="E187" s="20"/>
      <c r="F187" s="71"/>
      <c r="G187" s="21"/>
      <c r="H187" s="21"/>
      <c r="I187" s="22"/>
    </row>
    <row r="188" spans="1:9" hidden="1" x14ac:dyDescent="0.2">
      <c r="A188" s="18">
        <v>181</v>
      </c>
      <c r="B188" s="19"/>
      <c r="C188" s="20"/>
      <c r="D188" s="19" t="str">
        <f t="shared" si="3"/>
        <v/>
      </c>
      <c r="E188" s="20"/>
      <c r="F188" s="71"/>
      <c r="G188" s="21"/>
      <c r="H188" s="21"/>
      <c r="I188" s="22"/>
    </row>
    <row r="189" spans="1:9" hidden="1" x14ac:dyDescent="0.2">
      <c r="A189" s="18">
        <v>182</v>
      </c>
      <c r="B189" s="19"/>
      <c r="C189" s="20"/>
      <c r="D189" s="19" t="str">
        <f t="shared" si="3"/>
        <v/>
      </c>
      <c r="E189" s="20"/>
      <c r="F189" s="71"/>
      <c r="G189" s="21"/>
      <c r="H189" s="21"/>
      <c r="I189" s="22"/>
    </row>
    <row r="190" spans="1:9" hidden="1" x14ac:dyDescent="0.2">
      <c r="A190" s="18">
        <v>183</v>
      </c>
      <c r="B190" s="19"/>
      <c r="C190" s="20"/>
      <c r="D190" s="19" t="str">
        <f t="shared" si="3"/>
        <v/>
      </c>
      <c r="E190" s="20"/>
      <c r="F190" s="71"/>
      <c r="G190" s="21"/>
      <c r="H190" s="21"/>
      <c r="I190" s="22"/>
    </row>
    <row r="191" spans="1:9" hidden="1" x14ac:dyDescent="0.2">
      <c r="A191" s="18">
        <v>184</v>
      </c>
      <c r="B191" s="19"/>
      <c r="C191" s="20"/>
      <c r="D191" s="19" t="str">
        <f t="shared" si="3"/>
        <v/>
      </c>
      <c r="E191" s="20"/>
      <c r="F191" s="71"/>
      <c r="G191" s="21"/>
      <c r="H191" s="21"/>
      <c r="I191" s="22"/>
    </row>
    <row r="192" spans="1:9" hidden="1" x14ac:dyDescent="0.2">
      <c r="A192" s="18">
        <v>185</v>
      </c>
      <c r="B192" s="19"/>
      <c r="C192" s="20"/>
      <c r="D192" s="19" t="str">
        <f t="shared" si="3"/>
        <v/>
      </c>
      <c r="E192" s="20"/>
      <c r="F192" s="71"/>
      <c r="G192" s="21"/>
      <c r="H192" s="21"/>
      <c r="I192" s="22"/>
    </row>
    <row r="193" spans="1:9" hidden="1" x14ac:dyDescent="0.2">
      <c r="A193" s="18">
        <v>186</v>
      </c>
      <c r="B193" s="19"/>
      <c r="C193" s="20"/>
      <c r="D193" s="19" t="str">
        <f t="shared" si="3"/>
        <v/>
      </c>
      <c r="E193" s="20"/>
      <c r="F193" s="71"/>
      <c r="G193" s="21"/>
      <c r="H193" s="21"/>
      <c r="I193" s="22"/>
    </row>
    <row r="194" spans="1:9" hidden="1" x14ac:dyDescent="0.2">
      <c r="A194" s="18">
        <v>187</v>
      </c>
      <c r="B194" s="19"/>
      <c r="C194" s="20"/>
      <c r="D194" s="19" t="str">
        <f t="shared" si="3"/>
        <v/>
      </c>
      <c r="E194" s="20"/>
      <c r="F194" s="71"/>
      <c r="G194" s="21"/>
      <c r="H194" s="21"/>
      <c r="I194" s="22"/>
    </row>
    <row r="195" spans="1:9" hidden="1" x14ac:dyDescent="0.2">
      <c r="A195" s="18">
        <v>188</v>
      </c>
      <c r="B195" s="19"/>
      <c r="C195" s="20"/>
      <c r="D195" s="19" t="str">
        <f t="shared" si="3"/>
        <v/>
      </c>
      <c r="E195" s="20"/>
      <c r="F195" s="71"/>
      <c r="G195" s="21"/>
      <c r="H195" s="21"/>
      <c r="I195" s="22"/>
    </row>
    <row r="196" spans="1:9" hidden="1" x14ac:dyDescent="0.2">
      <c r="A196" s="18">
        <v>189</v>
      </c>
      <c r="B196" s="19"/>
      <c r="C196" s="20"/>
      <c r="D196" s="19" t="str">
        <f t="shared" si="3"/>
        <v/>
      </c>
      <c r="E196" s="20"/>
      <c r="F196" s="71"/>
      <c r="G196" s="21"/>
      <c r="H196" s="21"/>
      <c r="I196" s="22"/>
    </row>
    <row r="197" spans="1:9" hidden="1" x14ac:dyDescent="0.2">
      <c r="A197" s="18">
        <v>190</v>
      </c>
      <c r="B197" s="19"/>
      <c r="C197" s="20"/>
      <c r="D197" s="19" t="str">
        <f t="shared" si="3"/>
        <v/>
      </c>
      <c r="E197" s="20"/>
      <c r="F197" s="71"/>
      <c r="G197" s="21"/>
      <c r="H197" s="21"/>
      <c r="I197" s="22"/>
    </row>
    <row r="198" spans="1:9" hidden="1" x14ac:dyDescent="0.2">
      <c r="A198" s="18">
        <v>191</v>
      </c>
      <c r="B198" s="19"/>
      <c r="C198" s="20"/>
      <c r="D198" s="19" t="str">
        <f t="shared" si="3"/>
        <v/>
      </c>
      <c r="E198" s="20"/>
      <c r="F198" s="71"/>
      <c r="G198" s="21"/>
      <c r="H198" s="21"/>
      <c r="I198" s="22"/>
    </row>
    <row r="199" spans="1:9" hidden="1" x14ac:dyDescent="0.2">
      <c r="A199" s="18">
        <v>192</v>
      </c>
      <c r="B199" s="19"/>
      <c r="C199" s="20"/>
      <c r="D199" s="19" t="str">
        <f t="shared" si="3"/>
        <v/>
      </c>
      <c r="E199" s="20"/>
      <c r="F199" s="71"/>
      <c r="G199" s="21"/>
      <c r="H199" s="21"/>
      <c r="I199" s="22"/>
    </row>
    <row r="200" spans="1:9" hidden="1" x14ac:dyDescent="0.2">
      <c r="A200" s="18">
        <v>193</v>
      </c>
      <c r="B200" s="19"/>
      <c r="C200" s="20"/>
      <c r="D200" s="19" t="str">
        <f t="shared" si="3"/>
        <v/>
      </c>
      <c r="E200" s="20"/>
      <c r="F200" s="71"/>
      <c r="G200" s="21"/>
      <c r="H200" s="21"/>
      <c r="I200" s="22"/>
    </row>
    <row r="201" spans="1:9" hidden="1" x14ac:dyDescent="0.2">
      <c r="A201" s="18">
        <v>194</v>
      </c>
      <c r="B201" s="19"/>
      <c r="C201" s="20"/>
      <c r="D201" s="19" t="str">
        <f t="shared" ref="D201:D222" si="4">LEFT(B201,5)</f>
        <v/>
      </c>
      <c r="E201" s="20"/>
      <c r="F201" s="71"/>
      <c r="G201" s="21"/>
      <c r="H201" s="21"/>
      <c r="I201" s="22"/>
    </row>
    <row r="202" spans="1:9" hidden="1" x14ac:dyDescent="0.2">
      <c r="A202" s="18">
        <v>195</v>
      </c>
      <c r="B202" s="19"/>
      <c r="C202" s="20"/>
      <c r="D202" s="19" t="str">
        <f t="shared" si="4"/>
        <v/>
      </c>
      <c r="E202" s="20"/>
      <c r="F202" s="71"/>
      <c r="G202" s="21"/>
      <c r="H202" s="21"/>
      <c r="I202" s="22"/>
    </row>
    <row r="203" spans="1:9" hidden="1" x14ac:dyDescent="0.2">
      <c r="A203" s="18">
        <v>196</v>
      </c>
      <c r="B203" s="19"/>
      <c r="C203" s="20"/>
      <c r="D203" s="19" t="str">
        <f t="shared" si="4"/>
        <v/>
      </c>
      <c r="E203" s="20"/>
      <c r="F203" s="71"/>
      <c r="G203" s="21"/>
      <c r="H203" s="21"/>
      <c r="I203" s="22"/>
    </row>
    <row r="204" spans="1:9" hidden="1" x14ac:dyDescent="0.2">
      <c r="A204" s="18">
        <v>197</v>
      </c>
      <c r="B204" s="19"/>
      <c r="C204" s="20"/>
      <c r="D204" s="19" t="str">
        <f t="shared" si="4"/>
        <v/>
      </c>
      <c r="E204" s="20"/>
      <c r="F204" s="71"/>
      <c r="G204" s="21"/>
      <c r="H204" s="21"/>
      <c r="I204" s="22"/>
    </row>
    <row r="205" spans="1:9" hidden="1" x14ac:dyDescent="0.2">
      <c r="A205" s="18">
        <v>198</v>
      </c>
      <c r="B205" s="19"/>
      <c r="C205" s="20"/>
      <c r="D205" s="19" t="str">
        <f t="shared" si="4"/>
        <v/>
      </c>
      <c r="E205" s="20"/>
      <c r="F205" s="71"/>
      <c r="G205" s="21"/>
      <c r="H205" s="21"/>
      <c r="I205" s="22"/>
    </row>
    <row r="206" spans="1:9" hidden="1" x14ac:dyDescent="0.2">
      <c r="A206" s="18">
        <v>199</v>
      </c>
      <c r="B206" s="19"/>
      <c r="C206" s="20"/>
      <c r="D206" s="19" t="str">
        <f t="shared" si="4"/>
        <v/>
      </c>
      <c r="E206" s="20"/>
      <c r="F206" s="71"/>
      <c r="G206" s="21"/>
      <c r="H206" s="21"/>
      <c r="I206" s="22"/>
    </row>
    <row r="207" spans="1:9" hidden="1" x14ac:dyDescent="0.2">
      <c r="A207" s="18">
        <v>200</v>
      </c>
      <c r="B207" s="19"/>
      <c r="C207" s="20"/>
      <c r="D207" s="19" t="str">
        <f t="shared" si="4"/>
        <v/>
      </c>
      <c r="E207" s="20"/>
      <c r="F207" s="71"/>
      <c r="G207" s="21"/>
      <c r="H207" s="21"/>
      <c r="I207" s="22"/>
    </row>
    <row r="208" spans="1:9" hidden="1" x14ac:dyDescent="0.2">
      <c r="A208" s="18">
        <v>201</v>
      </c>
      <c r="B208" s="19"/>
      <c r="C208" s="20"/>
      <c r="D208" s="19" t="str">
        <f t="shared" si="4"/>
        <v/>
      </c>
      <c r="E208" s="20"/>
      <c r="F208" s="71"/>
      <c r="G208" s="21"/>
      <c r="H208" s="21"/>
      <c r="I208" s="22"/>
    </row>
    <row r="209" spans="1:9" hidden="1" x14ac:dyDescent="0.2">
      <c r="A209" s="18">
        <v>202</v>
      </c>
      <c r="B209" s="19"/>
      <c r="C209" s="20"/>
      <c r="D209" s="19" t="str">
        <f t="shared" si="4"/>
        <v/>
      </c>
      <c r="E209" s="20"/>
      <c r="F209" s="71"/>
      <c r="G209" s="21"/>
      <c r="H209" s="21"/>
      <c r="I209" s="22"/>
    </row>
    <row r="210" spans="1:9" hidden="1" x14ac:dyDescent="0.2">
      <c r="A210" s="18">
        <v>203</v>
      </c>
      <c r="B210" s="19"/>
      <c r="C210" s="20"/>
      <c r="D210" s="19" t="str">
        <f t="shared" si="4"/>
        <v/>
      </c>
      <c r="E210" s="20"/>
      <c r="F210" s="71"/>
      <c r="G210" s="21"/>
      <c r="H210" s="21"/>
      <c r="I210" s="22"/>
    </row>
    <row r="211" spans="1:9" hidden="1" x14ac:dyDescent="0.2">
      <c r="A211" s="18">
        <v>204</v>
      </c>
      <c r="B211" s="19"/>
      <c r="C211" s="20"/>
      <c r="D211" s="19" t="str">
        <f t="shared" si="4"/>
        <v/>
      </c>
      <c r="E211" s="20"/>
      <c r="F211" s="71"/>
      <c r="G211" s="21"/>
      <c r="H211" s="21"/>
      <c r="I211" s="22"/>
    </row>
    <row r="212" spans="1:9" hidden="1" x14ac:dyDescent="0.2">
      <c r="A212" s="18">
        <v>205</v>
      </c>
      <c r="B212" s="19"/>
      <c r="C212" s="20"/>
      <c r="D212" s="19" t="str">
        <f t="shared" si="4"/>
        <v/>
      </c>
      <c r="E212" s="20"/>
      <c r="F212" s="71"/>
      <c r="G212" s="21"/>
      <c r="H212" s="21"/>
      <c r="I212" s="22"/>
    </row>
    <row r="213" spans="1:9" hidden="1" x14ac:dyDescent="0.2">
      <c r="A213" s="18">
        <v>206</v>
      </c>
      <c r="B213" s="19"/>
      <c r="C213" s="20"/>
      <c r="D213" s="19" t="str">
        <f t="shared" si="4"/>
        <v/>
      </c>
      <c r="E213" s="20"/>
      <c r="F213" s="71"/>
      <c r="G213" s="21"/>
      <c r="H213" s="21"/>
      <c r="I213" s="22"/>
    </row>
    <row r="214" spans="1:9" hidden="1" x14ac:dyDescent="0.2">
      <c r="A214" s="18">
        <v>207</v>
      </c>
      <c r="B214" s="19"/>
      <c r="C214" s="20"/>
      <c r="D214" s="19" t="str">
        <f t="shared" si="4"/>
        <v/>
      </c>
      <c r="E214" s="20"/>
      <c r="F214" s="71"/>
      <c r="G214" s="21"/>
      <c r="H214" s="21"/>
      <c r="I214" s="22"/>
    </row>
    <row r="215" spans="1:9" hidden="1" x14ac:dyDescent="0.2">
      <c r="A215" s="18">
        <v>208</v>
      </c>
      <c r="B215" s="19"/>
      <c r="C215" s="20"/>
      <c r="D215" s="19" t="str">
        <f t="shared" si="4"/>
        <v/>
      </c>
      <c r="E215" s="20"/>
      <c r="F215" s="71"/>
      <c r="G215" s="21"/>
      <c r="H215" s="21"/>
      <c r="I215" s="22"/>
    </row>
    <row r="216" spans="1:9" hidden="1" x14ac:dyDescent="0.2">
      <c r="A216" s="18">
        <v>209</v>
      </c>
      <c r="B216" s="19"/>
      <c r="C216" s="20"/>
      <c r="D216" s="19" t="str">
        <f t="shared" si="4"/>
        <v/>
      </c>
      <c r="E216" s="20"/>
      <c r="F216" s="71"/>
      <c r="G216" s="21"/>
      <c r="H216" s="21"/>
      <c r="I216" s="22"/>
    </row>
    <row r="217" spans="1:9" hidden="1" x14ac:dyDescent="0.2">
      <c r="A217" s="18">
        <v>210</v>
      </c>
      <c r="B217" s="19"/>
      <c r="C217" s="20"/>
      <c r="D217" s="19" t="str">
        <f t="shared" si="4"/>
        <v/>
      </c>
      <c r="E217" s="20"/>
      <c r="F217" s="71"/>
      <c r="G217" s="21"/>
      <c r="H217" s="21"/>
      <c r="I217" s="22"/>
    </row>
    <row r="218" spans="1:9" hidden="1" x14ac:dyDescent="0.2">
      <c r="A218" s="18">
        <v>211</v>
      </c>
      <c r="B218" s="19"/>
      <c r="C218" s="20"/>
      <c r="D218" s="19" t="str">
        <f t="shared" si="4"/>
        <v/>
      </c>
      <c r="E218" s="20"/>
      <c r="F218" s="71"/>
      <c r="G218" s="21"/>
      <c r="H218" s="21"/>
      <c r="I218" s="22"/>
    </row>
    <row r="219" spans="1:9" hidden="1" x14ac:dyDescent="0.2">
      <c r="A219" s="18">
        <v>212</v>
      </c>
      <c r="B219" s="19"/>
      <c r="C219" s="20"/>
      <c r="D219" s="19" t="str">
        <f t="shared" si="4"/>
        <v/>
      </c>
      <c r="E219" s="20"/>
      <c r="F219" s="71"/>
      <c r="G219" s="21"/>
      <c r="H219" s="21"/>
      <c r="I219" s="22"/>
    </row>
    <row r="220" spans="1:9" hidden="1" x14ac:dyDescent="0.2">
      <c r="A220" s="18">
        <v>213</v>
      </c>
      <c r="B220" s="19"/>
      <c r="C220" s="20"/>
      <c r="D220" s="19" t="str">
        <f t="shared" si="4"/>
        <v/>
      </c>
      <c r="E220" s="20"/>
      <c r="F220" s="71"/>
      <c r="G220" s="21"/>
      <c r="H220" s="21"/>
      <c r="I220" s="22"/>
    </row>
    <row r="221" spans="1:9" hidden="1" x14ac:dyDescent="0.2">
      <c r="A221" s="18">
        <v>214</v>
      </c>
      <c r="B221" s="19"/>
      <c r="C221" s="20"/>
      <c r="D221" s="19" t="str">
        <f t="shared" si="4"/>
        <v/>
      </c>
      <c r="E221" s="20"/>
      <c r="F221" s="71"/>
      <c r="G221" s="21"/>
      <c r="H221" s="21"/>
      <c r="I221" s="22"/>
    </row>
    <row r="222" spans="1:9" ht="13.5" hidden="1" thickBot="1" x14ac:dyDescent="0.25">
      <c r="A222" s="23">
        <v>215</v>
      </c>
      <c r="B222" s="24"/>
      <c r="C222" s="25"/>
      <c r="D222" s="24" t="str">
        <f t="shared" si="4"/>
        <v/>
      </c>
      <c r="E222" s="25"/>
      <c r="F222" s="72"/>
      <c r="G222" s="26"/>
      <c r="H222" s="26"/>
      <c r="I222" s="27"/>
    </row>
    <row r="224" spans="1:9" s="76" customFormat="1" thickBot="1" x14ac:dyDescent="0.25"/>
    <row r="225" spans="2:5" s="76" customFormat="1" ht="12" x14ac:dyDescent="0.2">
      <c r="B225" s="77" t="s">
        <v>14</v>
      </c>
      <c r="C225" s="78"/>
      <c r="D225" s="78"/>
      <c r="E225" s="79"/>
    </row>
    <row r="226" spans="2:5" s="76" customFormat="1" ht="5.25" customHeight="1" x14ac:dyDescent="0.2">
      <c r="B226" s="80"/>
      <c r="C226" s="81"/>
      <c r="D226" s="81"/>
      <c r="E226" s="82"/>
    </row>
    <row r="227" spans="2:5" s="76" customFormat="1" ht="12" x14ac:dyDescent="0.2">
      <c r="B227" s="83" t="s">
        <v>15</v>
      </c>
      <c r="C227" s="81"/>
      <c r="D227" s="81"/>
      <c r="E227" s="82"/>
    </row>
    <row r="228" spans="2:5" s="76" customFormat="1" ht="130.5" customHeight="1" x14ac:dyDescent="0.2">
      <c r="B228" s="83"/>
      <c r="C228" s="113" t="s">
        <v>68</v>
      </c>
      <c r="D228" s="113"/>
      <c r="E228" s="113"/>
    </row>
    <row r="229" spans="2:5" s="76" customFormat="1" ht="12" x14ac:dyDescent="0.2">
      <c r="B229" s="83" t="s">
        <v>16</v>
      </c>
      <c r="C229" s="81"/>
      <c r="D229" s="81"/>
      <c r="E229" s="82"/>
    </row>
    <row r="230" spans="2:5" s="76" customFormat="1" x14ac:dyDescent="0.2">
      <c r="B230" s="84"/>
      <c r="C230" s="114"/>
      <c r="D230" s="115"/>
      <c r="E230" s="116"/>
    </row>
    <row r="231" spans="2:5" s="76" customFormat="1" ht="65.25" customHeight="1" x14ac:dyDescent="0.2">
      <c r="B231" s="84"/>
      <c r="C231" s="117" t="s">
        <v>77</v>
      </c>
      <c r="D231" s="118"/>
      <c r="E231" s="119"/>
    </row>
    <row r="232" spans="2:5" s="76" customFormat="1" thickBot="1" x14ac:dyDescent="0.25">
      <c r="B232" s="85"/>
      <c r="C232" s="86"/>
      <c r="D232" s="86"/>
      <c r="E232" s="87"/>
    </row>
    <row r="233" spans="2:5" s="76" customFormat="1" thickBot="1" x14ac:dyDescent="0.25"/>
    <row r="234" spans="2:5" s="76" customFormat="1" ht="12" x14ac:dyDescent="0.2">
      <c r="B234" s="77" t="s">
        <v>17</v>
      </c>
      <c r="C234" s="78"/>
      <c r="D234" s="78"/>
      <c r="E234" s="79"/>
    </row>
    <row r="235" spans="2:5" s="76" customFormat="1" ht="7.5" customHeight="1" x14ac:dyDescent="0.2">
      <c r="B235" s="80"/>
      <c r="C235" s="81"/>
      <c r="D235" s="81"/>
      <c r="E235" s="82"/>
    </row>
    <row r="236" spans="2:5" s="76" customFormat="1" ht="12.75" customHeight="1" x14ac:dyDescent="0.2">
      <c r="B236" s="83" t="s">
        <v>15</v>
      </c>
      <c r="C236" s="81"/>
      <c r="D236" s="81"/>
      <c r="E236" s="82"/>
    </row>
    <row r="237" spans="2:5" s="76" customFormat="1" ht="122.25" customHeight="1" x14ac:dyDescent="0.2">
      <c r="B237" s="83"/>
      <c r="C237" s="113" t="s">
        <v>67</v>
      </c>
      <c r="D237" s="113"/>
      <c r="E237" s="113"/>
    </row>
    <row r="238" spans="2:5" s="76" customFormat="1" ht="12" x14ac:dyDescent="0.2">
      <c r="B238" s="83" t="s">
        <v>16</v>
      </c>
      <c r="C238" s="81"/>
      <c r="D238" s="81"/>
      <c r="E238" s="82"/>
    </row>
    <row r="239" spans="2:5" s="76" customFormat="1" x14ac:dyDescent="0.2">
      <c r="B239" s="84"/>
      <c r="C239" s="114"/>
      <c r="D239" s="115"/>
      <c r="E239" s="116"/>
    </row>
    <row r="240" spans="2:5" s="76" customFormat="1" ht="59.25" customHeight="1" x14ac:dyDescent="0.2">
      <c r="B240" s="84"/>
      <c r="C240" s="117" t="s">
        <v>77</v>
      </c>
      <c r="D240" s="118"/>
      <c r="E240" s="119"/>
    </row>
    <row r="241" spans="2:5" s="76" customFormat="1" thickBot="1" x14ac:dyDescent="0.25">
      <c r="B241" s="85"/>
      <c r="C241" s="86"/>
      <c r="D241" s="86"/>
      <c r="E241" s="87"/>
    </row>
    <row r="242" spans="2:5" s="76" customFormat="1" ht="12" x14ac:dyDescent="0.2"/>
    <row r="245" spans="2:5" ht="13.5" thickBot="1" x14ac:dyDescent="0.25"/>
    <row r="246" spans="2:5" s="76" customFormat="1" ht="12" x14ac:dyDescent="0.2">
      <c r="B246" s="77" t="s">
        <v>65</v>
      </c>
      <c r="C246" s="78"/>
      <c r="D246" s="78"/>
      <c r="E246" s="79"/>
    </row>
    <row r="247" spans="2:5" s="76" customFormat="1" ht="7.5" customHeight="1" x14ac:dyDescent="0.2">
      <c r="B247" s="80"/>
      <c r="C247" s="81"/>
      <c r="D247" s="81"/>
      <c r="E247" s="82"/>
    </row>
    <row r="248" spans="2:5" s="76" customFormat="1" ht="12.75" customHeight="1" x14ac:dyDescent="0.2">
      <c r="B248" s="83" t="s">
        <v>15</v>
      </c>
      <c r="C248" s="81"/>
      <c r="D248" s="81"/>
      <c r="E248" s="82"/>
    </row>
    <row r="249" spans="2:5" s="76" customFormat="1" ht="122.25" customHeight="1" x14ac:dyDescent="0.2">
      <c r="B249" s="83"/>
      <c r="C249" s="113" t="s">
        <v>66</v>
      </c>
      <c r="D249" s="113"/>
      <c r="E249" s="113"/>
    </row>
    <row r="250" spans="2:5" s="76" customFormat="1" ht="12" x14ac:dyDescent="0.2">
      <c r="B250" s="83" t="s">
        <v>16</v>
      </c>
      <c r="C250" s="81"/>
      <c r="D250" s="81"/>
      <c r="E250" s="82"/>
    </row>
    <row r="251" spans="2:5" s="76" customFormat="1" x14ac:dyDescent="0.2">
      <c r="B251" s="84"/>
      <c r="C251" s="114"/>
      <c r="D251" s="115"/>
      <c r="E251" s="116"/>
    </row>
    <row r="252" spans="2:5" s="76" customFormat="1" ht="59.25" customHeight="1" x14ac:dyDescent="0.2">
      <c r="B252" s="84"/>
      <c r="C252" s="117" t="s">
        <v>77</v>
      </c>
      <c r="D252" s="118"/>
      <c r="E252" s="119"/>
    </row>
    <row r="253" spans="2:5" s="76" customFormat="1" thickBot="1" x14ac:dyDescent="0.25">
      <c r="B253" s="85"/>
      <c r="C253" s="86"/>
      <c r="D253" s="86"/>
      <c r="E253" s="87"/>
    </row>
  </sheetData>
  <mergeCells count="18">
    <mergeCell ref="B2:H2"/>
    <mergeCell ref="A4:B4"/>
    <mergeCell ref="C4:E4"/>
    <mergeCell ref="A5:B5"/>
    <mergeCell ref="C5:E5"/>
    <mergeCell ref="A6:B6"/>
    <mergeCell ref="A7:B7"/>
    <mergeCell ref="C228:E228"/>
    <mergeCell ref="C230:E230"/>
    <mergeCell ref="C231:E231"/>
    <mergeCell ref="C6:E6"/>
    <mergeCell ref="C7:E7"/>
    <mergeCell ref="C240:E240"/>
    <mergeCell ref="C237:E237"/>
    <mergeCell ref="C239:E239"/>
    <mergeCell ref="C249:E249"/>
    <mergeCell ref="C251:E251"/>
    <mergeCell ref="C252:E252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125"/>
  <sheetViews>
    <sheetView zoomScale="80" zoomScaleNormal="80" workbookViewId="0">
      <selection activeCell="D129" sqref="D129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35" t="s">
        <v>18</v>
      </c>
      <c r="B1" s="135"/>
      <c r="C1" s="135"/>
      <c r="D1" s="135"/>
      <c r="E1" s="135"/>
      <c r="F1" s="135"/>
      <c r="G1" s="135"/>
      <c r="H1" s="135"/>
      <c r="I1" s="135"/>
      <c r="J1" s="88" t="s">
        <v>19</v>
      </c>
      <c r="K1" s="89" t="s">
        <v>70</v>
      </c>
    </row>
    <row r="2" spans="1:11" ht="18.75" customHeight="1" thickBot="1" x14ac:dyDescent="0.25">
      <c r="A2" s="90"/>
      <c r="B2" s="90"/>
      <c r="C2" s="90"/>
      <c r="D2" s="91"/>
      <c r="E2" s="91"/>
      <c r="F2" s="91"/>
      <c r="G2" s="91"/>
      <c r="H2" s="91"/>
      <c r="I2" s="91"/>
      <c r="J2" s="91"/>
      <c r="K2" s="91"/>
    </row>
    <row r="3" spans="1:11" ht="18.75" customHeight="1" thickBot="1" x14ac:dyDescent="0.25">
      <c r="A3" s="136" t="s">
        <v>51</v>
      </c>
      <c r="B3" s="136"/>
      <c r="C3" s="136"/>
      <c r="D3" s="137" t="str">
        <f>'Necesidades Trimestrales'!C4</f>
        <v>65 - Ministerio de Agua, Energia y Medio Ambiente</v>
      </c>
      <c r="E3" s="137"/>
      <c r="F3" s="137"/>
      <c r="G3" s="137"/>
      <c r="H3" s="137"/>
      <c r="I3" s="137"/>
      <c r="J3" s="137"/>
      <c r="K3" s="137"/>
    </row>
    <row r="4" spans="1:11" ht="18.75" customHeight="1" thickBot="1" x14ac:dyDescent="0.25">
      <c r="A4" s="138" t="s">
        <v>52</v>
      </c>
      <c r="B4" s="138"/>
      <c r="C4" s="138"/>
      <c r="D4" s="137" t="str">
        <f>'Necesidades Trimestrales'!C5</f>
        <v>31 - Secretaria de Energia</v>
      </c>
      <c r="E4" s="137"/>
      <c r="F4" s="137"/>
      <c r="G4" s="137"/>
      <c r="H4" s="137"/>
      <c r="I4" s="137"/>
      <c r="J4" s="137"/>
      <c r="K4" s="137"/>
    </row>
    <row r="5" spans="1:11" ht="18.75" customHeight="1" thickBot="1" x14ac:dyDescent="0.25">
      <c r="A5" s="138" t="s">
        <v>31</v>
      </c>
      <c r="B5" s="138"/>
      <c r="C5" s="138"/>
      <c r="D5" s="137" t="s">
        <v>71</v>
      </c>
      <c r="E5" s="137"/>
      <c r="F5" s="137"/>
      <c r="G5" s="137"/>
      <c r="H5" s="137"/>
      <c r="I5" s="137"/>
      <c r="J5" s="137"/>
      <c r="K5" s="137"/>
    </row>
    <row r="6" spans="1:11" ht="16.5" customHeight="1" thickBot="1" x14ac:dyDescent="0.25">
      <c r="A6" s="136" t="s">
        <v>53</v>
      </c>
      <c r="B6" s="136"/>
      <c r="C6" s="136"/>
      <c r="D6" s="137" t="s">
        <v>71</v>
      </c>
      <c r="E6" s="137"/>
      <c r="F6" s="137"/>
      <c r="G6" s="137"/>
      <c r="H6" s="137"/>
      <c r="I6" s="137"/>
      <c r="J6" s="137"/>
      <c r="K6" s="137"/>
    </row>
    <row r="7" spans="1:11" ht="16.5" customHeight="1" thickBot="1" x14ac:dyDescent="0.25">
      <c r="A7" s="138" t="s">
        <v>20</v>
      </c>
      <c r="B7" s="138"/>
      <c r="C7" s="138"/>
      <c r="D7" s="137" t="str">
        <f>'Necesidades Trimestrales'!C7 &amp; "° Trimestre - Año " &amp; 'Necesidades Trimestrales'!C6</f>
        <v>4° Trimestre - Año 2020</v>
      </c>
      <c r="E7" s="137"/>
      <c r="F7" s="137"/>
      <c r="G7" s="137"/>
      <c r="H7" s="137"/>
      <c r="I7" s="137"/>
      <c r="J7" s="137"/>
      <c r="K7" s="137"/>
    </row>
    <row r="8" spans="1:11" ht="16.5" customHeight="1" x14ac:dyDescent="0.2">
      <c r="A8" s="130" t="s">
        <v>21</v>
      </c>
      <c r="B8" s="130"/>
      <c r="C8" s="130"/>
      <c r="D8" s="131" t="s">
        <v>72</v>
      </c>
      <c r="E8" s="131"/>
      <c r="F8" s="131"/>
      <c r="G8" s="131"/>
      <c r="H8" s="131"/>
      <c r="I8" s="131"/>
      <c r="J8" s="131"/>
      <c r="K8" s="131"/>
    </row>
    <row r="9" spans="1:11" ht="15.75" x14ac:dyDescent="0.2">
      <c r="A9" s="3"/>
      <c r="B9" s="3"/>
      <c r="C9" s="3"/>
      <c r="D9" s="4"/>
      <c r="E9" s="4"/>
      <c r="F9" s="4"/>
      <c r="G9" s="4"/>
      <c r="H9" s="4"/>
      <c r="I9" s="4"/>
      <c r="J9" s="4"/>
      <c r="K9" s="4"/>
    </row>
    <row r="10" spans="1:11" ht="18.75" customHeight="1" x14ac:dyDescent="0.2">
      <c r="A10" s="132" t="s">
        <v>22</v>
      </c>
      <c r="B10" s="133" t="s">
        <v>23</v>
      </c>
      <c r="C10" s="133" t="s">
        <v>24</v>
      </c>
      <c r="D10" s="133"/>
      <c r="E10" s="133"/>
      <c r="F10" s="133"/>
      <c r="G10" s="133"/>
      <c r="H10" s="133" t="s">
        <v>25</v>
      </c>
      <c r="I10" s="133" t="s">
        <v>26</v>
      </c>
      <c r="J10" s="133" t="s">
        <v>27</v>
      </c>
      <c r="K10" s="134" t="s">
        <v>28</v>
      </c>
    </row>
    <row r="11" spans="1:11" ht="24" customHeight="1" x14ac:dyDescent="0.2">
      <c r="A11" s="132"/>
      <c r="B11" s="133"/>
      <c r="C11" s="133"/>
      <c r="D11" s="133"/>
      <c r="E11" s="133"/>
      <c r="F11" s="133"/>
      <c r="G11" s="133"/>
      <c r="H11" s="133"/>
      <c r="I11" s="133"/>
      <c r="J11" s="133"/>
      <c r="K11" s="134"/>
    </row>
    <row r="12" spans="1:11" ht="15.75" customHeight="1" x14ac:dyDescent="0.2">
      <c r="A12" s="5">
        <v>1</v>
      </c>
      <c r="B12" s="55" t="str">
        <f>'Necesidades Trimestrales'!B10</f>
        <v>2.6.4-3176.56</v>
      </c>
      <c r="C12" s="127" t="str">
        <f>'Necesidades Trimestrales'!E10</f>
        <v>POSTE DE HORMIGON</v>
      </c>
      <c r="D12" s="127"/>
      <c r="E12" s="127"/>
      <c r="F12" s="127"/>
      <c r="G12" s="127"/>
      <c r="H12" s="56" t="s">
        <v>69</v>
      </c>
      <c r="I12" s="57" t="str">
        <f>'Necesidades Trimestrales'!F10</f>
        <v>PZA</v>
      </c>
      <c r="J12" s="58">
        <f>'Necesidades Trimestrales'!H10</f>
        <v>33115.11</v>
      </c>
      <c r="K12" s="59">
        <f>'Necesidades Trimestrales'!G10</f>
        <v>13</v>
      </c>
    </row>
    <row r="13" spans="1:11" ht="15.75" customHeight="1" x14ac:dyDescent="0.2">
      <c r="A13" s="54">
        <v>2</v>
      </c>
      <c r="B13" s="60" t="str">
        <f>'Necesidades Trimestrales'!B11</f>
        <v>2.6.4-3176.56</v>
      </c>
      <c r="C13" s="124" t="str">
        <f>'Necesidades Trimestrales'!E11</f>
        <v>POSTE DE HORMIGON</v>
      </c>
      <c r="D13" s="124"/>
      <c r="E13" s="124"/>
      <c r="F13" s="124"/>
      <c r="G13" s="124"/>
      <c r="H13" s="61" t="s">
        <v>69</v>
      </c>
      <c r="I13" s="62" t="str">
        <f>'Necesidades Trimestrales'!F11</f>
        <v>PZA</v>
      </c>
      <c r="J13" s="63">
        <f>'Necesidades Trimestrales'!H11</f>
        <v>56782.71</v>
      </c>
      <c r="K13" s="64">
        <f>'Necesidades Trimestrales'!G11</f>
        <v>13</v>
      </c>
    </row>
    <row r="14" spans="1:11" ht="15.75" customHeight="1" x14ac:dyDescent="0.2">
      <c r="A14" s="54">
        <v>3</v>
      </c>
      <c r="B14" s="60" t="str">
        <f>'Necesidades Trimestrales'!B12</f>
        <v>2.6.4-2905.12</v>
      </c>
      <c r="C14" s="124" t="str">
        <f>'Necesidades Trimestrales'!E12</f>
        <v>CRUCETAS DE HORMIGON</v>
      </c>
      <c r="D14" s="124"/>
      <c r="E14" s="124"/>
      <c r="F14" s="124"/>
      <c r="G14" s="124"/>
      <c r="H14" s="61" t="s">
        <v>69</v>
      </c>
      <c r="I14" s="62" t="str">
        <f>'Necesidades Trimestrales'!F12</f>
        <v>PZA</v>
      </c>
      <c r="J14" s="63">
        <f>'Necesidades Trimestrales'!H12</f>
        <v>9280.6200000000008</v>
      </c>
      <c r="K14" s="64">
        <f>'Necesidades Trimestrales'!G12</f>
        <v>13</v>
      </c>
    </row>
    <row r="15" spans="1:11" ht="15.75" customHeight="1" x14ac:dyDescent="0.2">
      <c r="A15" s="54">
        <v>4</v>
      </c>
      <c r="B15" s="60"/>
      <c r="C15" s="124"/>
      <c r="D15" s="124"/>
      <c r="E15" s="124"/>
      <c r="F15" s="124"/>
      <c r="G15" s="124"/>
      <c r="H15" s="61"/>
      <c r="I15" s="62"/>
      <c r="J15" s="63"/>
      <c r="K15" s="64"/>
    </row>
    <row r="16" spans="1:11" ht="15.75" customHeight="1" thickBot="1" x14ac:dyDescent="0.25">
      <c r="A16" s="54">
        <v>5</v>
      </c>
      <c r="B16" s="60"/>
      <c r="C16" s="124"/>
      <c r="D16" s="124"/>
      <c r="E16" s="124"/>
      <c r="F16" s="124"/>
      <c r="G16" s="124"/>
      <c r="H16" s="61"/>
      <c r="I16" s="62"/>
      <c r="J16" s="63"/>
      <c r="K16" s="64"/>
    </row>
    <row r="17" spans="1:11" ht="15.75" hidden="1" customHeight="1" x14ac:dyDescent="0.2">
      <c r="A17" s="54">
        <v>6</v>
      </c>
      <c r="B17" s="60">
        <f>'Necesidades Trimestrales'!B15</f>
        <v>0</v>
      </c>
      <c r="C17" s="124">
        <f>'Necesidades Trimestrales'!E15</f>
        <v>0</v>
      </c>
      <c r="D17" s="124"/>
      <c r="E17" s="124"/>
      <c r="F17" s="124"/>
      <c r="G17" s="124"/>
      <c r="H17" s="61" t="s">
        <v>58</v>
      </c>
      <c r="I17" s="62">
        <f>'Necesidades Trimestrales'!F15</f>
        <v>0</v>
      </c>
      <c r="J17" s="63"/>
      <c r="K17" s="64">
        <f>'Necesidades Trimestrales'!G15</f>
        <v>0</v>
      </c>
    </row>
    <row r="18" spans="1:11" ht="15.75" hidden="1" customHeight="1" x14ac:dyDescent="0.2">
      <c r="A18" s="54">
        <v>7</v>
      </c>
      <c r="B18" s="60">
        <f>'Necesidades Trimestrales'!B16</f>
        <v>0</v>
      </c>
      <c r="C18" s="124">
        <f>'Necesidades Trimestrales'!E16</f>
        <v>0</v>
      </c>
      <c r="D18" s="124"/>
      <c r="E18" s="124"/>
      <c r="F18" s="124"/>
      <c r="G18" s="124"/>
      <c r="H18" s="61" t="s">
        <v>58</v>
      </c>
      <c r="I18" s="62">
        <f>'Necesidades Trimestrales'!F16</f>
        <v>0</v>
      </c>
      <c r="J18" s="63"/>
      <c r="K18" s="64">
        <f>'Necesidades Trimestrales'!G16</f>
        <v>0</v>
      </c>
    </row>
    <row r="19" spans="1:11" ht="15.75" hidden="1" customHeight="1" x14ac:dyDescent="0.2">
      <c r="A19" s="54">
        <v>8</v>
      </c>
      <c r="B19" s="60">
        <f>'Necesidades Trimestrales'!B17</f>
        <v>0</v>
      </c>
      <c r="C19" s="124">
        <f>'Necesidades Trimestrales'!E17</f>
        <v>0</v>
      </c>
      <c r="D19" s="124"/>
      <c r="E19" s="124"/>
      <c r="F19" s="124"/>
      <c r="G19" s="124"/>
      <c r="H19" s="61" t="s">
        <v>58</v>
      </c>
      <c r="I19" s="62">
        <f>'Necesidades Trimestrales'!F17</f>
        <v>0</v>
      </c>
      <c r="J19" s="63"/>
      <c r="K19" s="64">
        <f>'Necesidades Trimestrales'!G17</f>
        <v>0</v>
      </c>
    </row>
    <row r="20" spans="1:11" ht="15.75" hidden="1" customHeight="1" x14ac:dyDescent="0.2">
      <c r="A20" s="54">
        <v>9</v>
      </c>
      <c r="B20" s="60">
        <f>'Necesidades Trimestrales'!B18</f>
        <v>0</v>
      </c>
      <c r="C20" s="124">
        <f>'Necesidades Trimestrales'!E18</f>
        <v>0</v>
      </c>
      <c r="D20" s="124"/>
      <c r="E20" s="124"/>
      <c r="F20" s="124"/>
      <c r="G20" s="124"/>
      <c r="H20" s="61" t="s">
        <v>58</v>
      </c>
      <c r="I20" s="62">
        <f>'Necesidades Trimestrales'!F18</f>
        <v>0</v>
      </c>
      <c r="J20" s="63"/>
      <c r="K20" s="64">
        <f>'Necesidades Trimestrales'!G18</f>
        <v>0</v>
      </c>
    </row>
    <row r="21" spans="1:11" ht="15.75" hidden="1" customHeight="1" x14ac:dyDescent="0.2">
      <c r="A21" s="54">
        <v>10</v>
      </c>
      <c r="B21" s="60">
        <f>'Necesidades Trimestrales'!B19</f>
        <v>0</v>
      </c>
      <c r="C21" s="124">
        <f>'Necesidades Trimestrales'!E19</f>
        <v>0</v>
      </c>
      <c r="D21" s="124"/>
      <c r="E21" s="124"/>
      <c r="F21" s="124"/>
      <c r="G21" s="124"/>
      <c r="H21" s="61" t="s">
        <v>58</v>
      </c>
      <c r="I21" s="62">
        <f>'Necesidades Trimestrales'!F19</f>
        <v>0</v>
      </c>
      <c r="J21" s="63"/>
      <c r="K21" s="64">
        <f>'Necesidades Trimestrales'!G19</f>
        <v>0</v>
      </c>
    </row>
    <row r="22" spans="1:11" ht="15.75" hidden="1" customHeight="1" x14ac:dyDescent="0.2">
      <c r="A22" s="54">
        <v>11</v>
      </c>
      <c r="B22" s="60">
        <f>'Necesidades Trimestrales'!B20</f>
        <v>0</v>
      </c>
      <c r="C22" s="124">
        <f>'Necesidades Trimestrales'!E20</f>
        <v>0</v>
      </c>
      <c r="D22" s="124"/>
      <c r="E22" s="124"/>
      <c r="F22" s="124"/>
      <c r="G22" s="124"/>
      <c r="H22" s="61" t="s">
        <v>58</v>
      </c>
      <c r="I22" s="62">
        <f>'Necesidades Trimestrales'!F20</f>
        <v>0</v>
      </c>
      <c r="J22" s="63"/>
      <c r="K22" s="64">
        <f>'Necesidades Trimestrales'!G20</f>
        <v>0</v>
      </c>
    </row>
    <row r="23" spans="1:11" ht="15.75" hidden="1" customHeight="1" x14ac:dyDescent="0.2">
      <c r="A23" s="54">
        <v>12</v>
      </c>
      <c r="B23" s="60">
        <f>'Necesidades Trimestrales'!B21</f>
        <v>0</v>
      </c>
      <c r="C23" s="124">
        <f>'Necesidades Trimestrales'!E21</f>
        <v>0</v>
      </c>
      <c r="D23" s="124"/>
      <c r="E23" s="124"/>
      <c r="F23" s="124"/>
      <c r="G23" s="124"/>
      <c r="H23" s="61" t="s">
        <v>58</v>
      </c>
      <c r="I23" s="62">
        <f>'Necesidades Trimestrales'!F21</f>
        <v>0</v>
      </c>
      <c r="J23" s="63"/>
      <c r="K23" s="64">
        <f>'Necesidades Trimestrales'!G21</f>
        <v>0</v>
      </c>
    </row>
    <row r="24" spans="1:11" ht="15.75" hidden="1" customHeight="1" x14ac:dyDescent="0.2">
      <c r="A24" s="54">
        <v>13</v>
      </c>
      <c r="B24" s="60">
        <f>'Necesidades Trimestrales'!B22</f>
        <v>0</v>
      </c>
      <c r="C24" s="124">
        <f>'Necesidades Trimestrales'!E22</f>
        <v>0</v>
      </c>
      <c r="D24" s="124"/>
      <c r="E24" s="124"/>
      <c r="F24" s="124"/>
      <c r="G24" s="124"/>
      <c r="H24" s="61" t="s">
        <v>58</v>
      </c>
      <c r="I24" s="62">
        <f>'Necesidades Trimestrales'!F22</f>
        <v>0</v>
      </c>
      <c r="J24" s="63"/>
      <c r="K24" s="64">
        <f>'Necesidades Trimestrales'!G22</f>
        <v>0</v>
      </c>
    </row>
    <row r="25" spans="1:11" ht="15.75" hidden="1" customHeight="1" x14ac:dyDescent="0.2">
      <c r="A25" s="54">
        <v>14</v>
      </c>
      <c r="B25" s="60">
        <f>'Necesidades Trimestrales'!B23</f>
        <v>0</v>
      </c>
      <c r="C25" s="124">
        <f>'Necesidades Trimestrales'!E23</f>
        <v>0</v>
      </c>
      <c r="D25" s="124"/>
      <c r="E25" s="124"/>
      <c r="F25" s="124"/>
      <c r="G25" s="124"/>
      <c r="H25" s="61" t="s">
        <v>58</v>
      </c>
      <c r="I25" s="62">
        <f>'Necesidades Trimestrales'!F23</f>
        <v>0</v>
      </c>
      <c r="J25" s="63"/>
      <c r="K25" s="64">
        <f>'Necesidades Trimestrales'!G23</f>
        <v>0</v>
      </c>
    </row>
    <row r="26" spans="1:11" ht="15.75" hidden="1" customHeight="1" x14ac:dyDescent="0.2">
      <c r="A26" s="54">
        <v>15</v>
      </c>
      <c r="B26" s="60">
        <f>'Necesidades Trimestrales'!B24</f>
        <v>0</v>
      </c>
      <c r="C26" s="124">
        <f>'Necesidades Trimestrales'!E24</f>
        <v>0</v>
      </c>
      <c r="D26" s="124"/>
      <c r="E26" s="124"/>
      <c r="F26" s="124"/>
      <c r="G26" s="124"/>
      <c r="H26" s="61" t="s">
        <v>58</v>
      </c>
      <c r="I26" s="62">
        <f>'Necesidades Trimestrales'!F24</f>
        <v>0</v>
      </c>
      <c r="J26" s="63"/>
      <c r="K26" s="64">
        <f>'Necesidades Trimestrales'!G24</f>
        <v>0</v>
      </c>
    </row>
    <row r="27" spans="1:11" ht="15.75" hidden="1" customHeight="1" x14ac:dyDescent="0.2">
      <c r="A27" s="54">
        <v>16</v>
      </c>
      <c r="B27" s="60">
        <f>'Necesidades Trimestrales'!B25</f>
        <v>0</v>
      </c>
      <c r="C27" s="124">
        <f>'Necesidades Trimestrales'!E25</f>
        <v>0</v>
      </c>
      <c r="D27" s="124"/>
      <c r="E27" s="124"/>
      <c r="F27" s="124"/>
      <c r="G27" s="124"/>
      <c r="H27" s="61" t="s">
        <v>58</v>
      </c>
      <c r="I27" s="62">
        <f>'Necesidades Trimestrales'!F25</f>
        <v>0</v>
      </c>
      <c r="J27" s="63"/>
      <c r="K27" s="64">
        <f>'Necesidades Trimestrales'!G25</f>
        <v>0</v>
      </c>
    </row>
    <row r="28" spans="1:11" ht="15.75" hidden="1" customHeight="1" x14ac:dyDescent="0.2">
      <c r="A28" s="54">
        <v>17</v>
      </c>
      <c r="B28" s="60">
        <f>'Necesidades Trimestrales'!B26</f>
        <v>0</v>
      </c>
      <c r="C28" s="124">
        <f>'Necesidades Trimestrales'!E26</f>
        <v>0</v>
      </c>
      <c r="D28" s="124"/>
      <c r="E28" s="124"/>
      <c r="F28" s="124"/>
      <c r="G28" s="124"/>
      <c r="H28" s="61" t="s">
        <v>58</v>
      </c>
      <c r="I28" s="62">
        <f>'Necesidades Trimestrales'!F26</f>
        <v>0</v>
      </c>
      <c r="J28" s="63"/>
      <c r="K28" s="64">
        <f>'Necesidades Trimestrales'!G26</f>
        <v>0</v>
      </c>
    </row>
    <row r="29" spans="1:11" ht="15.75" hidden="1" customHeight="1" x14ac:dyDescent="0.2">
      <c r="A29" s="54">
        <v>18</v>
      </c>
      <c r="B29" s="60">
        <f>'Necesidades Trimestrales'!B27</f>
        <v>0</v>
      </c>
      <c r="C29" s="124">
        <f>'Necesidades Trimestrales'!E27</f>
        <v>0</v>
      </c>
      <c r="D29" s="124"/>
      <c r="E29" s="124"/>
      <c r="F29" s="124"/>
      <c r="G29" s="124"/>
      <c r="H29" s="61" t="s">
        <v>58</v>
      </c>
      <c r="I29" s="62">
        <f>'Necesidades Trimestrales'!F27</f>
        <v>0</v>
      </c>
      <c r="J29" s="63"/>
      <c r="K29" s="64">
        <f>'Necesidades Trimestrales'!G27</f>
        <v>0</v>
      </c>
    </row>
    <row r="30" spans="1:11" ht="15.75" hidden="1" customHeight="1" x14ac:dyDescent="0.2">
      <c r="A30" s="54">
        <v>19</v>
      </c>
      <c r="B30" s="60">
        <f>'Necesidades Trimestrales'!B28</f>
        <v>0</v>
      </c>
      <c r="C30" s="124">
        <f>'Necesidades Trimestrales'!E28</f>
        <v>0</v>
      </c>
      <c r="D30" s="124"/>
      <c r="E30" s="124"/>
      <c r="F30" s="124"/>
      <c r="G30" s="124"/>
      <c r="H30" s="61" t="s">
        <v>58</v>
      </c>
      <c r="I30" s="62">
        <f>'Necesidades Trimestrales'!F28</f>
        <v>0</v>
      </c>
      <c r="J30" s="63"/>
      <c r="K30" s="64">
        <f>'Necesidades Trimestrales'!G28</f>
        <v>0</v>
      </c>
    </row>
    <row r="31" spans="1:11" ht="15.75" hidden="1" customHeight="1" x14ac:dyDescent="0.2">
      <c r="A31" s="54">
        <v>20</v>
      </c>
      <c r="B31" s="60">
        <f>'Necesidades Trimestrales'!B29</f>
        <v>0</v>
      </c>
      <c r="C31" s="124">
        <f>'Necesidades Trimestrales'!E29</f>
        <v>0</v>
      </c>
      <c r="D31" s="124"/>
      <c r="E31" s="124"/>
      <c r="F31" s="124"/>
      <c r="G31" s="124"/>
      <c r="H31" s="61" t="s">
        <v>58</v>
      </c>
      <c r="I31" s="62">
        <f>'Necesidades Trimestrales'!F29</f>
        <v>0</v>
      </c>
      <c r="J31" s="63"/>
      <c r="K31" s="64">
        <f>'Necesidades Trimestrales'!G29</f>
        <v>0</v>
      </c>
    </row>
    <row r="32" spans="1:11" ht="15.75" hidden="1" customHeight="1" x14ac:dyDescent="0.2">
      <c r="A32" s="54">
        <v>21</v>
      </c>
      <c r="B32" s="60">
        <f>'Necesidades Trimestrales'!B30</f>
        <v>0</v>
      </c>
      <c r="C32" s="124">
        <f>'Necesidades Trimestrales'!E30</f>
        <v>0</v>
      </c>
      <c r="D32" s="124"/>
      <c r="E32" s="124"/>
      <c r="F32" s="124"/>
      <c r="G32" s="124"/>
      <c r="H32" s="61" t="s">
        <v>58</v>
      </c>
      <c r="I32" s="62">
        <f>'Necesidades Trimestrales'!F30</f>
        <v>0</v>
      </c>
      <c r="J32" s="63"/>
      <c r="K32" s="64">
        <f>'Necesidades Trimestrales'!G30</f>
        <v>0</v>
      </c>
    </row>
    <row r="33" spans="1:11" ht="15.75" hidden="1" customHeight="1" x14ac:dyDescent="0.2">
      <c r="A33" s="54">
        <v>22</v>
      </c>
      <c r="B33" s="60">
        <f>'Necesidades Trimestrales'!B31</f>
        <v>0</v>
      </c>
      <c r="C33" s="124">
        <f>'Necesidades Trimestrales'!E31</f>
        <v>0</v>
      </c>
      <c r="D33" s="124"/>
      <c r="E33" s="124"/>
      <c r="F33" s="124"/>
      <c r="G33" s="124"/>
      <c r="H33" s="61" t="s">
        <v>58</v>
      </c>
      <c r="I33" s="62">
        <f>'Necesidades Trimestrales'!F31</f>
        <v>0</v>
      </c>
      <c r="J33" s="63"/>
      <c r="K33" s="64">
        <f>'Necesidades Trimestrales'!G31</f>
        <v>0</v>
      </c>
    </row>
    <row r="34" spans="1:11" ht="15.75" hidden="1" customHeight="1" x14ac:dyDescent="0.2">
      <c r="A34" s="54">
        <v>23</v>
      </c>
      <c r="B34" s="60">
        <f>'Necesidades Trimestrales'!B32</f>
        <v>0</v>
      </c>
      <c r="C34" s="124">
        <f>'Necesidades Trimestrales'!E32</f>
        <v>0</v>
      </c>
      <c r="D34" s="124"/>
      <c r="E34" s="124"/>
      <c r="F34" s="124"/>
      <c r="G34" s="124"/>
      <c r="H34" s="61" t="s">
        <v>58</v>
      </c>
      <c r="I34" s="62">
        <f>'Necesidades Trimestrales'!F32</f>
        <v>0</v>
      </c>
      <c r="J34" s="63"/>
      <c r="K34" s="64">
        <f>'Necesidades Trimestrales'!G32</f>
        <v>0</v>
      </c>
    </row>
    <row r="35" spans="1:11" ht="15.75" hidden="1" customHeight="1" x14ac:dyDescent="0.2">
      <c r="A35" s="54">
        <v>24</v>
      </c>
      <c r="B35" s="60">
        <f>'Necesidades Trimestrales'!B33</f>
        <v>0</v>
      </c>
      <c r="C35" s="124">
        <f>'Necesidades Trimestrales'!E33</f>
        <v>0</v>
      </c>
      <c r="D35" s="124"/>
      <c r="E35" s="124"/>
      <c r="F35" s="124"/>
      <c r="G35" s="124"/>
      <c r="H35" s="61" t="s">
        <v>58</v>
      </c>
      <c r="I35" s="62">
        <f>'Necesidades Trimestrales'!F33</f>
        <v>0</v>
      </c>
      <c r="J35" s="63"/>
      <c r="K35" s="64">
        <f>'Necesidades Trimestrales'!G33</f>
        <v>0</v>
      </c>
    </row>
    <row r="36" spans="1:11" ht="15.75" hidden="1" customHeight="1" x14ac:dyDescent="0.2">
      <c r="A36" s="54">
        <v>25</v>
      </c>
      <c r="B36" s="60">
        <f>'Necesidades Trimestrales'!B34</f>
        <v>0</v>
      </c>
      <c r="C36" s="124">
        <f>'Necesidades Trimestrales'!E34</f>
        <v>0</v>
      </c>
      <c r="D36" s="124"/>
      <c r="E36" s="124"/>
      <c r="F36" s="124"/>
      <c r="G36" s="124"/>
      <c r="H36" s="61" t="s">
        <v>58</v>
      </c>
      <c r="I36" s="62">
        <f>'Necesidades Trimestrales'!F34</f>
        <v>0</v>
      </c>
      <c r="J36" s="63"/>
      <c r="K36" s="64">
        <f>'Necesidades Trimestrales'!G34</f>
        <v>0</v>
      </c>
    </row>
    <row r="37" spans="1:11" ht="15.75" hidden="1" customHeight="1" x14ac:dyDescent="0.2">
      <c r="A37" s="54">
        <v>26</v>
      </c>
      <c r="B37" s="60">
        <f>'Necesidades Trimestrales'!B35</f>
        <v>0</v>
      </c>
      <c r="C37" s="124">
        <f>'Necesidades Trimestrales'!E35</f>
        <v>0</v>
      </c>
      <c r="D37" s="124"/>
      <c r="E37" s="124"/>
      <c r="F37" s="124"/>
      <c r="G37" s="124"/>
      <c r="H37" s="61" t="s">
        <v>58</v>
      </c>
      <c r="I37" s="62">
        <f>'Necesidades Trimestrales'!F35</f>
        <v>0</v>
      </c>
      <c r="J37" s="63"/>
      <c r="K37" s="64">
        <f>'Necesidades Trimestrales'!G35</f>
        <v>0</v>
      </c>
    </row>
    <row r="38" spans="1:11" ht="15.75" hidden="1" customHeight="1" x14ac:dyDescent="0.2">
      <c r="A38" s="54">
        <v>27</v>
      </c>
      <c r="B38" s="60">
        <f>'Necesidades Trimestrales'!B36</f>
        <v>0</v>
      </c>
      <c r="C38" s="124">
        <f>'Necesidades Trimestrales'!E36</f>
        <v>0</v>
      </c>
      <c r="D38" s="124"/>
      <c r="E38" s="124"/>
      <c r="F38" s="124"/>
      <c r="G38" s="124"/>
      <c r="H38" s="61" t="s">
        <v>58</v>
      </c>
      <c r="I38" s="62">
        <f>'Necesidades Trimestrales'!F36</f>
        <v>0</v>
      </c>
      <c r="J38" s="63"/>
      <c r="K38" s="64">
        <f>'Necesidades Trimestrales'!G36</f>
        <v>0</v>
      </c>
    </row>
    <row r="39" spans="1:11" ht="15.75" hidden="1" customHeight="1" x14ac:dyDescent="0.2">
      <c r="A39" s="54">
        <v>28</v>
      </c>
      <c r="B39" s="60">
        <f>'Necesidades Trimestrales'!B37</f>
        <v>0</v>
      </c>
      <c r="C39" s="124">
        <f>'Necesidades Trimestrales'!E37</f>
        <v>0</v>
      </c>
      <c r="D39" s="124"/>
      <c r="E39" s="124"/>
      <c r="F39" s="124"/>
      <c r="G39" s="124"/>
      <c r="H39" s="61" t="s">
        <v>58</v>
      </c>
      <c r="I39" s="62">
        <f>'Necesidades Trimestrales'!F37</f>
        <v>0</v>
      </c>
      <c r="J39" s="63"/>
      <c r="K39" s="64">
        <f>'Necesidades Trimestrales'!G37</f>
        <v>0</v>
      </c>
    </row>
    <row r="40" spans="1:11" ht="15.75" hidden="1" customHeight="1" x14ac:dyDescent="0.2">
      <c r="A40" s="54">
        <v>29</v>
      </c>
      <c r="B40" s="60">
        <f>'Necesidades Trimestrales'!B38</f>
        <v>0</v>
      </c>
      <c r="C40" s="124">
        <f>'Necesidades Trimestrales'!E38</f>
        <v>0</v>
      </c>
      <c r="D40" s="124"/>
      <c r="E40" s="124"/>
      <c r="F40" s="124"/>
      <c r="G40" s="124"/>
      <c r="H40" s="61" t="s">
        <v>58</v>
      </c>
      <c r="I40" s="62">
        <f>'Necesidades Trimestrales'!F38</f>
        <v>0</v>
      </c>
      <c r="J40" s="63"/>
      <c r="K40" s="64">
        <f>'Necesidades Trimestrales'!G38</f>
        <v>0</v>
      </c>
    </row>
    <row r="41" spans="1:11" ht="15.75" hidden="1" customHeight="1" x14ac:dyDescent="0.2">
      <c r="A41" s="54">
        <v>30</v>
      </c>
      <c r="B41" s="60">
        <f>'Necesidades Trimestrales'!B39</f>
        <v>0</v>
      </c>
      <c r="C41" s="124">
        <f>'Necesidades Trimestrales'!E39</f>
        <v>0</v>
      </c>
      <c r="D41" s="124"/>
      <c r="E41" s="124"/>
      <c r="F41" s="124"/>
      <c r="G41" s="124"/>
      <c r="H41" s="61" t="s">
        <v>58</v>
      </c>
      <c r="I41" s="62">
        <f>'Necesidades Trimestrales'!F39</f>
        <v>0</v>
      </c>
      <c r="J41" s="63"/>
      <c r="K41" s="64">
        <f>'Necesidades Trimestrales'!G39</f>
        <v>0</v>
      </c>
    </row>
    <row r="42" spans="1:11" ht="15.75" hidden="1" customHeight="1" x14ac:dyDescent="0.2">
      <c r="A42" s="54">
        <v>31</v>
      </c>
      <c r="B42" s="60">
        <f>'Necesidades Trimestrales'!B40</f>
        <v>0</v>
      </c>
      <c r="C42" s="124">
        <f>'Necesidades Trimestrales'!E40</f>
        <v>0</v>
      </c>
      <c r="D42" s="124"/>
      <c r="E42" s="124"/>
      <c r="F42" s="124"/>
      <c r="G42" s="124"/>
      <c r="H42" s="61" t="s">
        <v>58</v>
      </c>
      <c r="I42" s="62">
        <f>'Necesidades Trimestrales'!F40</f>
        <v>0</v>
      </c>
      <c r="J42" s="63"/>
      <c r="K42" s="64">
        <f>'Necesidades Trimestrales'!G40</f>
        <v>0</v>
      </c>
    </row>
    <row r="43" spans="1:11" ht="15.75" hidden="1" customHeight="1" x14ac:dyDescent="0.2">
      <c r="A43" s="54">
        <v>32</v>
      </c>
      <c r="B43" s="60">
        <f>'Necesidades Trimestrales'!B41</f>
        <v>0</v>
      </c>
      <c r="C43" s="124">
        <f>'Necesidades Trimestrales'!E41</f>
        <v>0</v>
      </c>
      <c r="D43" s="124"/>
      <c r="E43" s="124"/>
      <c r="F43" s="124"/>
      <c r="G43" s="124"/>
      <c r="H43" s="61" t="s">
        <v>58</v>
      </c>
      <c r="I43" s="62">
        <f>'Necesidades Trimestrales'!F41</f>
        <v>0</v>
      </c>
      <c r="J43" s="63"/>
      <c r="K43" s="64">
        <f>'Necesidades Trimestrales'!G41</f>
        <v>0</v>
      </c>
    </row>
    <row r="44" spans="1:11" ht="15.75" hidden="1" customHeight="1" x14ac:dyDescent="0.2">
      <c r="A44" s="54">
        <v>33</v>
      </c>
      <c r="B44" s="60">
        <f>'Necesidades Trimestrales'!B42</f>
        <v>0</v>
      </c>
      <c r="C44" s="124">
        <f>'Necesidades Trimestrales'!E42</f>
        <v>0</v>
      </c>
      <c r="D44" s="124"/>
      <c r="E44" s="124"/>
      <c r="F44" s="124"/>
      <c r="G44" s="124"/>
      <c r="H44" s="61" t="s">
        <v>58</v>
      </c>
      <c r="I44" s="62">
        <f>'Necesidades Trimestrales'!F42</f>
        <v>0</v>
      </c>
      <c r="J44" s="63"/>
      <c r="K44" s="64">
        <f>'Necesidades Trimestrales'!G42</f>
        <v>0</v>
      </c>
    </row>
    <row r="45" spans="1:11" ht="15.75" hidden="1" customHeight="1" x14ac:dyDescent="0.2">
      <c r="A45" s="54">
        <v>34</v>
      </c>
      <c r="B45" s="60">
        <f>'Necesidades Trimestrales'!B43</f>
        <v>0</v>
      </c>
      <c r="C45" s="124">
        <f>'Necesidades Trimestrales'!E43</f>
        <v>0</v>
      </c>
      <c r="D45" s="124"/>
      <c r="E45" s="124"/>
      <c r="F45" s="124"/>
      <c r="G45" s="124"/>
      <c r="H45" s="61" t="s">
        <v>58</v>
      </c>
      <c r="I45" s="62">
        <f>'Necesidades Trimestrales'!F43</f>
        <v>0</v>
      </c>
      <c r="J45" s="63"/>
      <c r="K45" s="64">
        <f>'Necesidades Trimestrales'!G43</f>
        <v>0</v>
      </c>
    </row>
    <row r="46" spans="1:11" ht="15.75" hidden="1" customHeight="1" x14ac:dyDescent="0.2">
      <c r="A46" s="54">
        <v>35</v>
      </c>
      <c r="B46" s="60">
        <f>'Necesidades Trimestrales'!B44</f>
        <v>0</v>
      </c>
      <c r="C46" s="124">
        <f>'Necesidades Trimestrales'!E44</f>
        <v>0</v>
      </c>
      <c r="D46" s="124"/>
      <c r="E46" s="124"/>
      <c r="F46" s="124"/>
      <c r="G46" s="124"/>
      <c r="H46" s="61" t="s">
        <v>58</v>
      </c>
      <c r="I46" s="62">
        <f>'Necesidades Trimestrales'!F44</f>
        <v>0</v>
      </c>
      <c r="J46" s="63"/>
      <c r="K46" s="64">
        <f>'Necesidades Trimestrales'!G44</f>
        <v>0</v>
      </c>
    </row>
    <row r="47" spans="1:11" ht="15.75" hidden="1" customHeight="1" x14ac:dyDescent="0.2">
      <c r="A47" s="54">
        <v>36</v>
      </c>
      <c r="B47" s="60">
        <f>'Necesidades Trimestrales'!B45</f>
        <v>0</v>
      </c>
      <c r="C47" s="124">
        <f>'Necesidades Trimestrales'!E45</f>
        <v>0</v>
      </c>
      <c r="D47" s="124"/>
      <c r="E47" s="124"/>
      <c r="F47" s="124"/>
      <c r="G47" s="124"/>
      <c r="H47" s="61" t="s">
        <v>58</v>
      </c>
      <c r="I47" s="62">
        <f>'Necesidades Trimestrales'!F45</f>
        <v>0</v>
      </c>
      <c r="J47" s="63"/>
      <c r="K47" s="64">
        <f>'Necesidades Trimestrales'!G45</f>
        <v>0</v>
      </c>
    </row>
    <row r="48" spans="1:11" ht="15.75" hidden="1" customHeight="1" x14ac:dyDescent="0.2">
      <c r="A48" s="54">
        <v>37</v>
      </c>
      <c r="B48" s="60">
        <f>'Necesidades Trimestrales'!B46</f>
        <v>0</v>
      </c>
      <c r="C48" s="124">
        <f>'Necesidades Trimestrales'!E46</f>
        <v>0</v>
      </c>
      <c r="D48" s="124"/>
      <c r="E48" s="124"/>
      <c r="F48" s="124"/>
      <c r="G48" s="124"/>
      <c r="H48" s="61" t="s">
        <v>58</v>
      </c>
      <c r="I48" s="62">
        <f>'Necesidades Trimestrales'!F46</f>
        <v>0</v>
      </c>
      <c r="J48" s="63"/>
      <c r="K48" s="64">
        <f>'Necesidades Trimestrales'!G46</f>
        <v>0</v>
      </c>
    </row>
    <row r="49" spans="1:11" ht="15.75" hidden="1" customHeight="1" x14ac:dyDescent="0.2">
      <c r="A49" s="54">
        <v>38</v>
      </c>
      <c r="B49" s="60">
        <f>'Necesidades Trimestrales'!B47</f>
        <v>0</v>
      </c>
      <c r="C49" s="124">
        <f>'Necesidades Trimestrales'!E47</f>
        <v>0</v>
      </c>
      <c r="D49" s="124"/>
      <c r="E49" s="124"/>
      <c r="F49" s="124"/>
      <c r="G49" s="124"/>
      <c r="H49" s="61" t="s">
        <v>58</v>
      </c>
      <c r="I49" s="62">
        <f>'Necesidades Trimestrales'!F47</f>
        <v>0</v>
      </c>
      <c r="J49" s="63"/>
      <c r="K49" s="64">
        <f>'Necesidades Trimestrales'!G47</f>
        <v>0</v>
      </c>
    </row>
    <row r="50" spans="1:11" ht="15.75" hidden="1" customHeight="1" x14ac:dyDescent="0.2">
      <c r="A50" s="54">
        <v>39</v>
      </c>
      <c r="B50" s="60">
        <f>'Necesidades Trimestrales'!B48</f>
        <v>0</v>
      </c>
      <c r="C50" s="124">
        <f>'Necesidades Trimestrales'!E48</f>
        <v>0</v>
      </c>
      <c r="D50" s="124"/>
      <c r="E50" s="124"/>
      <c r="F50" s="124"/>
      <c r="G50" s="124"/>
      <c r="H50" s="61" t="s">
        <v>58</v>
      </c>
      <c r="I50" s="62">
        <f>'Necesidades Trimestrales'!F48</f>
        <v>0</v>
      </c>
      <c r="J50" s="63"/>
      <c r="K50" s="64">
        <f>'Necesidades Trimestrales'!G48</f>
        <v>0</v>
      </c>
    </row>
    <row r="51" spans="1:11" ht="15.75" hidden="1" customHeight="1" x14ac:dyDescent="0.2">
      <c r="A51" s="54">
        <v>40</v>
      </c>
      <c r="B51" s="60">
        <f>'Necesidades Trimestrales'!B49</f>
        <v>0</v>
      </c>
      <c r="C51" s="124">
        <f>'Necesidades Trimestrales'!E49</f>
        <v>0</v>
      </c>
      <c r="D51" s="124"/>
      <c r="E51" s="124"/>
      <c r="F51" s="124"/>
      <c r="G51" s="124"/>
      <c r="H51" s="61" t="s">
        <v>58</v>
      </c>
      <c r="I51" s="62">
        <f>'Necesidades Trimestrales'!F49</f>
        <v>0</v>
      </c>
      <c r="J51" s="63"/>
      <c r="K51" s="64">
        <f>'Necesidades Trimestrales'!G49</f>
        <v>0</v>
      </c>
    </row>
    <row r="52" spans="1:11" ht="15.75" hidden="1" customHeight="1" x14ac:dyDescent="0.2">
      <c r="A52" s="54">
        <v>41</v>
      </c>
      <c r="B52" s="60">
        <f>'Necesidades Trimestrales'!B50</f>
        <v>0</v>
      </c>
      <c r="C52" s="124">
        <f>'Necesidades Trimestrales'!E50</f>
        <v>0</v>
      </c>
      <c r="D52" s="124"/>
      <c r="E52" s="124"/>
      <c r="F52" s="124"/>
      <c r="G52" s="124"/>
      <c r="H52" s="61" t="s">
        <v>58</v>
      </c>
      <c r="I52" s="62">
        <f>'Necesidades Trimestrales'!F50</f>
        <v>0</v>
      </c>
      <c r="J52" s="63"/>
      <c r="K52" s="64">
        <f>'Necesidades Trimestrales'!G50</f>
        <v>0</v>
      </c>
    </row>
    <row r="53" spans="1:11" ht="15.75" hidden="1" customHeight="1" x14ac:dyDescent="0.2">
      <c r="A53" s="54">
        <v>42</v>
      </c>
      <c r="B53" s="60">
        <f>'Necesidades Trimestrales'!B51</f>
        <v>0</v>
      </c>
      <c r="C53" s="124">
        <f>'Necesidades Trimestrales'!E51</f>
        <v>0</v>
      </c>
      <c r="D53" s="124"/>
      <c r="E53" s="124"/>
      <c r="F53" s="124"/>
      <c r="G53" s="124"/>
      <c r="H53" s="61" t="s">
        <v>58</v>
      </c>
      <c r="I53" s="62">
        <f>'Necesidades Trimestrales'!F51</f>
        <v>0</v>
      </c>
      <c r="J53" s="63"/>
      <c r="K53" s="64">
        <f>'Necesidades Trimestrales'!G51</f>
        <v>0</v>
      </c>
    </row>
    <row r="54" spans="1:11" ht="15.75" hidden="1" customHeight="1" x14ac:dyDescent="0.2">
      <c r="A54" s="54">
        <v>43</v>
      </c>
      <c r="B54" s="60">
        <f>'Necesidades Trimestrales'!B52</f>
        <v>0</v>
      </c>
      <c r="C54" s="124">
        <f>'Necesidades Trimestrales'!E52</f>
        <v>0</v>
      </c>
      <c r="D54" s="124"/>
      <c r="E54" s="124"/>
      <c r="F54" s="124"/>
      <c r="G54" s="124"/>
      <c r="H54" s="61" t="s">
        <v>58</v>
      </c>
      <c r="I54" s="62">
        <f>'Necesidades Trimestrales'!F52</f>
        <v>0</v>
      </c>
      <c r="J54" s="63"/>
      <c r="K54" s="64">
        <f>'Necesidades Trimestrales'!G52</f>
        <v>0</v>
      </c>
    </row>
    <row r="55" spans="1:11" ht="15.75" hidden="1" customHeight="1" x14ac:dyDescent="0.2">
      <c r="A55" s="54">
        <v>44</v>
      </c>
      <c r="B55" s="60">
        <f>'Necesidades Trimestrales'!B53</f>
        <v>0</v>
      </c>
      <c r="C55" s="124">
        <f>'Necesidades Trimestrales'!E53</f>
        <v>0</v>
      </c>
      <c r="D55" s="124"/>
      <c r="E55" s="124"/>
      <c r="F55" s="124"/>
      <c r="G55" s="124"/>
      <c r="H55" s="61" t="s">
        <v>58</v>
      </c>
      <c r="I55" s="62">
        <f>'Necesidades Trimestrales'!F53</f>
        <v>0</v>
      </c>
      <c r="J55" s="63"/>
      <c r="K55" s="64">
        <f>'Necesidades Trimestrales'!G53</f>
        <v>0</v>
      </c>
    </row>
    <row r="56" spans="1:11" ht="15.75" hidden="1" customHeight="1" x14ac:dyDescent="0.2">
      <c r="A56" s="54">
        <v>45</v>
      </c>
      <c r="B56" s="60">
        <f>'Necesidades Trimestrales'!B54</f>
        <v>0</v>
      </c>
      <c r="C56" s="124">
        <f>'Necesidades Trimestrales'!E54</f>
        <v>0</v>
      </c>
      <c r="D56" s="124"/>
      <c r="E56" s="124"/>
      <c r="F56" s="124"/>
      <c r="G56" s="124"/>
      <c r="H56" s="61" t="s">
        <v>58</v>
      </c>
      <c r="I56" s="62">
        <f>'Necesidades Trimestrales'!F54</f>
        <v>0</v>
      </c>
      <c r="J56" s="63"/>
      <c r="K56" s="64">
        <f>'Necesidades Trimestrales'!G54</f>
        <v>0</v>
      </c>
    </row>
    <row r="57" spans="1:11" ht="15.75" hidden="1" customHeight="1" x14ac:dyDescent="0.2">
      <c r="A57" s="54">
        <v>46</v>
      </c>
      <c r="B57" s="60">
        <f>'Necesidades Trimestrales'!B55</f>
        <v>0</v>
      </c>
      <c r="C57" s="124">
        <f>'Necesidades Trimestrales'!E55</f>
        <v>0</v>
      </c>
      <c r="D57" s="124"/>
      <c r="E57" s="124"/>
      <c r="F57" s="124"/>
      <c r="G57" s="124"/>
      <c r="H57" s="61" t="s">
        <v>58</v>
      </c>
      <c r="I57" s="62">
        <f>'Necesidades Trimestrales'!F55</f>
        <v>0</v>
      </c>
      <c r="J57" s="63"/>
      <c r="K57" s="64">
        <f>'Necesidades Trimestrales'!G55</f>
        <v>0</v>
      </c>
    </row>
    <row r="58" spans="1:11" ht="15.75" hidden="1" customHeight="1" x14ac:dyDescent="0.2">
      <c r="A58" s="54">
        <v>47</v>
      </c>
      <c r="B58" s="60">
        <f>'Necesidades Trimestrales'!B56</f>
        <v>0</v>
      </c>
      <c r="C58" s="124">
        <f>'Necesidades Trimestrales'!E56</f>
        <v>0</v>
      </c>
      <c r="D58" s="124"/>
      <c r="E58" s="124"/>
      <c r="F58" s="124"/>
      <c r="G58" s="124"/>
      <c r="H58" s="61" t="s">
        <v>58</v>
      </c>
      <c r="I58" s="62">
        <f>'Necesidades Trimestrales'!F56</f>
        <v>0</v>
      </c>
      <c r="J58" s="63"/>
      <c r="K58" s="64">
        <f>'Necesidades Trimestrales'!G56</f>
        <v>0</v>
      </c>
    </row>
    <row r="59" spans="1:11" ht="15.75" hidden="1" customHeight="1" x14ac:dyDescent="0.2">
      <c r="A59" s="54">
        <v>48</v>
      </c>
      <c r="B59" s="60">
        <f>'Necesidades Trimestrales'!B57</f>
        <v>0</v>
      </c>
      <c r="C59" s="124">
        <f>'Necesidades Trimestrales'!E57</f>
        <v>0</v>
      </c>
      <c r="D59" s="124"/>
      <c r="E59" s="124"/>
      <c r="F59" s="124"/>
      <c r="G59" s="124"/>
      <c r="H59" s="61" t="s">
        <v>58</v>
      </c>
      <c r="I59" s="62">
        <f>'Necesidades Trimestrales'!F57</f>
        <v>0</v>
      </c>
      <c r="J59" s="63"/>
      <c r="K59" s="64">
        <f>'Necesidades Trimestrales'!G57</f>
        <v>0</v>
      </c>
    </row>
    <row r="60" spans="1:11" ht="15.75" hidden="1" customHeight="1" x14ac:dyDescent="0.2">
      <c r="A60" s="54">
        <v>49</v>
      </c>
      <c r="B60" s="60">
        <f>'Necesidades Trimestrales'!B58</f>
        <v>0</v>
      </c>
      <c r="C60" s="124">
        <f>'Necesidades Trimestrales'!E58</f>
        <v>0</v>
      </c>
      <c r="D60" s="124"/>
      <c r="E60" s="124"/>
      <c r="F60" s="124"/>
      <c r="G60" s="124"/>
      <c r="H60" s="61" t="s">
        <v>58</v>
      </c>
      <c r="I60" s="62">
        <f>'Necesidades Trimestrales'!F58</f>
        <v>0</v>
      </c>
      <c r="J60" s="63"/>
      <c r="K60" s="64">
        <f>'Necesidades Trimestrales'!G58</f>
        <v>0</v>
      </c>
    </row>
    <row r="61" spans="1:11" ht="15.75" hidden="1" customHeight="1" thickBot="1" x14ac:dyDescent="0.25">
      <c r="A61" s="54">
        <v>50</v>
      </c>
      <c r="B61" s="60">
        <f>'Necesidades Trimestrales'!B59</f>
        <v>0</v>
      </c>
      <c r="C61" s="124">
        <f>'Necesidades Trimestrales'!E59</f>
        <v>0</v>
      </c>
      <c r="D61" s="124"/>
      <c r="E61" s="124"/>
      <c r="F61" s="124"/>
      <c r="G61" s="124"/>
      <c r="H61" s="61" t="s">
        <v>58</v>
      </c>
      <c r="I61" s="62">
        <f>'Necesidades Trimestrales'!F59</f>
        <v>0</v>
      </c>
      <c r="J61" s="63"/>
      <c r="K61" s="64">
        <f>'Necesidades Trimestrales'!G59</f>
        <v>0</v>
      </c>
    </row>
    <row r="62" spans="1:11" ht="20.25" hidden="1" customHeight="1" x14ac:dyDescent="0.2">
      <c r="A62" s="54">
        <v>51</v>
      </c>
      <c r="B62" s="60">
        <f>'Necesidades Trimestrales'!B60</f>
        <v>0</v>
      </c>
      <c r="C62" s="124">
        <f>'Necesidades Trimestrales'!E60</f>
        <v>0</v>
      </c>
      <c r="D62" s="124"/>
      <c r="E62" s="124"/>
      <c r="F62" s="124"/>
      <c r="G62" s="124"/>
      <c r="H62" s="61" t="s">
        <v>58</v>
      </c>
      <c r="I62" s="62">
        <f>'Necesidades Trimestrales'!F60</f>
        <v>0</v>
      </c>
      <c r="J62" s="63"/>
      <c r="K62" s="64">
        <f>'Necesidades Trimestrales'!G60</f>
        <v>0</v>
      </c>
    </row>
    <row r="63" spans="1:11" ht="20.25" hidden="1" customHeight="1" x14ac:dyDescent="0.2">
      <c r="A63" s="54">
        <v>52</v>
      </c>
      <c r="B63" s="60">
        <f>'Necesidades Trimestrales'!B61</f>
        <v>0</v>
      </c>
      <c r="C63" s="124">
        <f>'Necesidades Trimestrales'!E61</f>
        <v>0</v>
      </c>
      <c r="D63" s="124"/>
      <c r="E63" s="124"/>
      <c r="F63" s="124"/>
      <c r="G63" s="124"/>
      <c r="H63" s="61" t="s">
        <v>58</v>
      </c>
      <c r="I63" s="62">
        <f>'Necesidades Trimestrales'!F61</f>
        <v>0</v>
      </c>
      <c r="J63" s="63"/>
      <c r="K63" s="64">
        <f>'Necesidades Trimestrales'!G61</f>
        <v>0</v>
      </c>
    </row>
    <row r="64" spans="1:11" ht="20.25" hidden="1" customHeight="1" x14ac:dyDescent="0.2">
      <c r="A64" s="54">
        <v>53</v>
      </c>
      <c r="B64" s="60">
        <f>'Necesidades Trimestrales'!B62</f>
        <v>0</v>
      </c>
      <c r="C64" s="124">
        <f>'Necesidades Trimestrales'!E62</f>
        <v>0</v>
      </c>
      <c r="D64" s="124"/>
      <c r="E64" s="124"/>
      <c r="F64" s="124"/>
      <c r="G64" s="124"/>
      <c r="H64" s="61" t="s">
        <v>58</v>
      </c>
      <c r="I64" s="62">
        <f>'Necesidades Trimestrales'!F62</f>
        <v>0</v>
      </c>
      <c r="J64" s="63"/>
      <c r="K64" s="64">
        <f>'Necesidades Trimestrales'!G62</f>
        <v>0</v>
      </c>
    </row>
    <row r="65" spans="1:11" ht="20.25" hidden="1" customHeight="1" x14ac:dyDescent="0.2">
      <c r="A65" s="54">
        <v>54</v>
      </c>
      <c r="B65" s="60">
        <f>'Necesidades Trimestrales'!B63</f>
        <v>0</v>
      </c>
      <c r="C65" s="124">
        <f>'Necesidades Trimestrales'!E63</f>
        <v>0</v>
      </c>
      <c r="D65" s="124"/>
      <c r="E65" s="124"/>
      <c r="F65" s="124"/>
      <c r="G65" s="124"/>
      <c r="H65" s="61" t="s">
        <v>58</v>
      </c>
      <c r="I65" s="62">
        <f>'Necesidades Trimestrales'!F63</f>
        <v>0</v>
      </c>
      <c r="J65" s="63"/>
      <c r="K65" s="64">
        <f>'Necesidades Trimestrales'!G63</f>
        <v>0</v>
      </c>
    </row>
    <row r="66" spans="1:11" ht="20.25" hidden="1" customHeight="1" x14ac:dyDescent="0.2">
      <c r="A66" s="54">
        <v>55</v>
      </c>
      <c r="B66" s="60">
        <f>'Necesidades Trimestrales'!B64</f>
        <v>0</v>
      </c>
      <c r="C66" s="124">
        <f>'Necesidades Trimestrales'!E64</f>
        <v>0</v>
      </c>
      <c r="D66" s="124"/>
      <c r="E66" s="124"/>
      <c r="F66" s="124"/>
      <c r="G66" s="124"/>
      <c r="H66" s="61" t="s">
        <v>58</v>
      </c>
      <c r="I66" s="62">
        <f>'Necesidades Trimestrales'!F64</f>
        <v>0</v>
      </c>
      <c r="J66" s="63"/>
      <c r="K66" s="64">
        <f>'Necesidades Trimestrales'!G64</f>
        <v>0</v>
      </c>
    </row>
    <row r="67" spans="1:11" ht="20.25" hidden="1" customHeight="1" x14ac:dyDescent="0.2">
      <c r="A67" s="54">
        <v>56</v>
      </c>
      <c r="B67" s="60">
        <f>'Necesidades Trimestrales'!B65</f>
        <v>0</v>
      </c>
      <c r="C67" s="124">
        <f>'Necesidades Trimestrales'!E65</f>
        <v>0</v>
      </c>
      <c r="D67" s="124"/>
      <c r="E67" s="124"/>
      <c r="F67" s="124"/>
      <c r="G67" s="124"/>
      <c r="H67" s="61" t="s">
        <v>58</v>
      </c>
      <c r="I67" s="62">
        <f>'Necesidades Trimestrales'!F65</f>
        <v>0</v>
      </c>
      <c r="J67" s="63"/>
      <c r="K67" s="64">
        <f>'Necesidades Trimestrales'!G65</f>
        <v>0</v>
      </c>
    </row>
    <row r="68" spans="1:11" ht="20.25" hidden="1" customHeight="1" x14ac:dyDescent="0.2">
      <c r="A68" s="54">
        <v>57</v>
      </c>
      <c r="B68" s="60">
        <f>'Necesidades Trimestrales'!B66</f>
        <v>0</v>
      </c>
      <c r="C68" s="124">
        <f>'Necesidades Trimestrales'!E66</f>
        <v>0</v>
      </c>
      <c r="D68" s="124"/>
      <c r="E68" s="124"/>
      <c r="F68" s="124"/>
      <c r="G68" s="124"/>
      <c r="H68" s="61" t="s">
        <v>58</v>
      </c>
      <c r="I68" s="62">
        <f>'Necesidades Trimestrales'!F66</f>
        <v>0</v>
      </c>
      <c r="J68" s="63"/>
      <c r="K68" s="64">
        <f>'Necesidades Trimestrales'!G66</f>
        <v>0</v>
      </c>
    </row>
    <row r="69" spans="1:11" ht="20.25" hidden="1" customHeight="1" x14ac:dyDescent="0.2">
      <c r="A69" s="54">
        <v>58</v>
      </c>
      <c r="B69" s="60">
        <f>'Necesidades Trimestrales'!B67</f>
        <v>0</v>
      </c>
      <c r="C69" s="124">
        <f>'Necesidades Trimestrales'!E67</f>
        <v>0</v>
      </c>
      <c r="D69" s="124"/>
      <c r="E69" s="124"/>
      <c r="F69" s="124"/>
      <c r="G69" s="124"/>
      <c r="H69" s="61" t="s">
        <v>58</v>
      </c>
      <c r="I69" s="62">
        <f>'Necesidades Trimestrales'!F67</f>
        <v>0</v>
      </c>
      <c r="J69" s="63"/>
      <c r="K69" s="64">
        <f>'Necesidades Trimestrales'!G67</f>
        <v>0</v>
      </c>
    </row>
    <row r="70" spans="1:11" ht="20.25" hidden="1" customHeight="1" x14ac:dyDescent="0.2">
      <c r="A70" s="54">
        <v>59</v>
      </c>
      <c r="B70" s="60">
        <f>'Necesidades Trimestrales'!B68</f>
        <v>0</v>
      </c>
      <c r="C70" s="124">
        <f>'Necesidades Trimestrales'!E68</f>
        <v>0</v>
      </c>
      <c r="D70" s="124"/>
      <c r="E70" s="124"/>
      <c r="F70" s="124"/>
      <c r="G70" s="124"/>
      <c r="H70" s="61" t="s">
        <v>58</v>
      </c>
      <c r="I70" s="62">
        <f>'Necesidades Trimestrales'!F68</f>
        <v>0</v>
      </c>
      <c r="J70" s="63"/>
      <c r="K70" s="64">
        <f>'Necesidades Trimestrales'!G68</f>
        <v>0</v>
      </c>
    </row>
    <row r="71" spans="1:11" ht="20.25" hidden="1" customHeight="1" x14ac:dyDescent="0.2">
      <c r="A71" s="54">
        <v>60</v>
      </c>
      <c r="B71" s="60">
        <f>'Necesidades Trimestrales'!B69</f>
        <v>0</v>
      </c>
      <c r="C71" s="124">
        <f>'Necesidades Trimestrales'!E69</f>
        <v>0</v>
      </c>
      <c r="D71" s="124"/>
      <c r="E71" s="124"/>
      <c r="F71" s="124"/>
      <c r="G71" s="124"/>
      <c r="H71" s="61" t="s">
        <v>58</v>
      </c>
      <c r="I71" s="62">
        <f>'Necesidades Trimestrales'!F69</f>
        <v>0</v>
      </c>
      <c r="J71" s="63"/>
      <c r="K71" s="64">
        <f>'Necesidades Trimestrales'!G69</f>
        <v>0</v>
      </c>
    </row>
    <row r="72" spans="1:11" ht="20.25" hidden="1" customHeight="1" x14ac:dyDescent="0.2">
      <c r="A72" s="54">
        <v>61</v>
      </c>
      <c r="B72" s="60">
        <f>'Necesidades Trimestrales'!B70</f>
        <v>0</v>
      </c>
      <c r="C72" s="124">
        <f>'Necesidades Trimestrales'!E70</f>
        <v>0</v>
      </c>
      <c r="D72" s="124"/>
      <c r="E72" s="124"/>
      <c r="F72" s="124"/>
      <c r="G72" s="124"/>
      <c r="H72" s="61" t="s">
        <v>58</v>
      </c>
      <c r="I72" s="62">
        <f>'Necesidades Trimestrales'!F70</f>
        <v>0</v>
      </c>
      <c r="J72" s="63"/>
      <c r="K72" s="64">
        <f>'Necesidades Trimestrales'!G70</f>
        <v>0</v>
      </c>
    </row>
    <row r="73" spans="1:11" ht="20.25" hidden="1" customHeight="1" x14ac:dyDescent="0.2">
      <c r="A73" s="54">
        <v>62</v>
      </c>
      <c r="B73" s="60">
        <f>'Necesidades Trimestrales'!B71</f>
        <v>0</v>
      </c>
      <c r="C73" s="124">
        <f>'Necesidades Trimestrales'!E71</f>
        <v>0</v>
      </c>
      <c r="D73" s="124"/>
      <c r="E73" s="124"/>
      <c r="F73" s="124"/>
      <c r="G73" s="124"/>
      <c r="H73" s="61" t="s">
        <v>58</v>
      </c>
      <c r="I73" s="62">
        <f>'Necesidades Trimestrales'!F71</f>
        <v>0</v>
      </c>
      <c r="J73" s="63"/>
      <c r="K73" s="64">
        <f>'Necesidades Trimestrales'!G71</f>
        <v>0</v>
      </c>
    </row>
    <row r="74" spans="1:11" ht="20.25" hidden="1" customHeight="1" x14ac:dyDescent="0.2">
      <c r="A74" s="54">
        <v>63</v>
      </c>
      <c r="B74" s="60">
        <f>'Necesidades Trimestrales'!B72</f>
        <v>0</v>
      </c>
      <c r="C74" s="124">
        <f>'Necesidades Trimestrales'!E72</f>
        <v>0</v>
      </c>
      <c r="D74" s="124"/>
      <c r="E74" s="124"/>
      <c r="F74" s="124"/>
      <c r="G74" s="124"/>
      <c r="H74" s="61" t="s">
        <v>58</v>
      </c>
      <c r="I74" s="62">
        <f>'Necesidades Trimestrales'!F72</f>
        <v>0</v>
      </c>
      <c r="J74" s="63"/>
      <c r="K74" s="64">
        <f>'Necesidades Trimestrales'!G72</f>
        <v>0</v>
      </c>
    </row>
    <row r="75" spans="1:11" ht="20.25" hidden="1" customHeight="1" x14ac:dyDescent="0.2">
      <c r="A75" s="54">
        <v>64</v>
      </c>
      <c r="B75" s="60">
        <f>'Necesidades Trimestrales'!B73</f>
        <v>0</v>
      </c>
      <c r="C75" s="124">
        <f>'Necesidades Trimestrales'!E73</f>
        <v>0</v>
      </c>
      <c r="D75" s="124"/>
      <c r="E75" s="124"/>
      <c r="F75" s="124"/>
      <c r="G75" s="124"/>
      <c r="H75" s="61" t="s">
        <v>58</v>
      </c>
      <c r="I75" s="62">
        <f>'Necesidades Trimestrales'!F73</f>
        <v>0</v>
      </c>
      <c r="J75" s="63"/>
      <c r="K75" s="64">
        <f>'Necesidades Trimestrales'!G73</f>
        <v>0</v>
      </c>
    </row>
    <row r="76" spans="1:11" ht="20.25" hidden="1" customHeight="1" x14ac:dyDescent="0.2">
      <c r="A76" s="54">
        <v>65</v>
      </c>
      <c r="B76" s="60">
        <f>'Necesidades Trimestrales'!B74</f>
        <v>0</v>
      </c>
      <c r="C76" s="124">
        <f>'Necesidades Trimestrales'!E74</f>
        <v>0</v>
      </c>
      <c r="D76" s="124"/>
      <c r="E76" s="124"/>
      <c r="F76" s="124"/>
      <c r="G76" s="124"/>
      <c r="H76" s="61" t="s">
        <v>58</v>
      </c>
      <c r="I76" s="62">
        <f>'Necesidades Trimestrales'!F74</f>
        <v>0</v>
      </c>
      <c r="J76" s="63"/>
      <c r="K76" s="64">
        <f>'Necesidades Trimestrales'!G74</f>
        <v>0</v>
      </c>
    </row>
    <row r="77" spans="1:11" ht="20.25" hidden="1" customHeight="1" x14ac:dyDescent="0.2">
      <c r="A77" s="54">
        <v>66</v>
      </c>
      <c r="B77" s="60">
        <f>'Necesidades Trimestrales'!B75</f>
        <v>0</v>
      </c>
      <c r="C77" s="124">
        <f>'Necesidades Trimestrales'!E75</f>
        <v>0</v>
      </c>
      <c r="D77" s="124"/>
      <c r="E77" s="124"/>
      <c r="F77" s="124"/>
      <c r="G77" s="124"/>
      <c r="H77" s="61" t="s">
        <v>58</v>
      </c>
      <c r="I77" s="62">
        <f>'Necesidades Trimestrales'!F75</f>
        <v>0</v>
      </c>
      <c r="J77" s="63"/>
      <c r="K77" s="64">
        <f>'Necesidades Trimestrales'!G75</f>
        <v>0</v>
      </c>
    </row>
    <row r="78" spans="1:11" ht="20.25" hidden="1" customHeight="1" x14ac:dyDescent="0.2">
      <c r="A78" s="54">
        <v>67</v>
      </c>
      <c r="B78" s="60">
        <f>'Necesidades Trimestrales'!B76</f>
        <v>0</v>
      </c>
      <c r="C78" s="124">
        <f>'Necesidades Trimestrales'!E76</f>
        <v>0</v>
      </c>
      <c r="D78" s="124"/>
      <c r="E78" s="124"/>
      <c r="F78" s="124"/>
      <c r="G78" s="124"/>
      <c r="H78" s="61" t="s">
        <v>58</v>
      </c>
      <c r="I78" s="62">
        <f>'Necesidades Trimestrales'!F76</f>
        <v>0</v>
      </c>
      <c r="J78" s="63"/>
      <c r="K78" s="64">
        <f>'Necesidades Trimestrales'!G76</f>
        <v>0</v>
      </c>
    </row>
    <row r="79" spans="1:11" ht="20.25" hidden="1" customHeight="1" x14ac:dyDescent="0.2">
      <c r="A79" s="54">
        <v>68</v>
      </c>
      <c r="B79" s="60">
        <f>'Necesidades Trimestrales'!B77</f>
        <v>0</v>
      </c>
      <c r="C79" s="124">
        <f>'Necesidades Trimestrales'!E77</f>
        <v>0</v>
      </c>
      <c r="D79" s="124"/>
      <c r="E79" s="124"/>
      <c r="F79" s="124"/>
      <c r="G79" s="124"/>
      <c r="H79" s="61" t="s">
        <v>58</v>
      </c>
      <c r="I79" s="62">
        <f>'Necesidades Trimestrales'!F77</f>
        <v>0</v>
      </c>
      <c r="J79" s="63"/>
      <c r="K79" s="64">
        <f>'Necesidades Trimestrales'!G77</f>
        <v>0</v>
      </c>
    </row>
    <row r="80" spans="1:11" ht="20.25" hidden="1" customHeight="1" x14ac:dyDescent="0.2">
      <c r="A80" s="54">
        <v>69</v>
      </c>
      <c r="B80" s="60">
        <f>'Necesidades Trimestrales'!B78</f>
        <v>0</v>
      </c>
      <c r="C80" s="124">
        <f>'Necesidades Trimestrales'!E78</f>
        <v>0</v>
      </c>
      <c r="D80" s="124"/>
      <c r="E80" s="124"/>
      <c r="F80" s="124"/>
      <c r="G80" s="124"/>
      <c r="H80" s="61" t="s">
        <v>58</v>
      </c>
      <c r="I80" s="62">
        <f>'Necesidades Trimestrales'!F78</f>
        <v>0</v>
      </c>
      <c r="J80" s="63"/>
      <c r="K80" s="64">
        <f>'Necesidades Trimestrales'!G78</f>
        <v>0</v>
      </c>
    </row>
    <row r="81" spans="1:11" ht="20.25" hidden="1" customHeight="1" x14ac:dyDescent="0.2">
      <c r="A81" s="54">
        <v>70</v>
      </c>
      <c r="B81" s="60">
        <f>'Necesidades Trimestrales'!B79</f>
        <v>0</v>
      </c>
      <c r="C81" s="124">
        <f>'Necesidades Trimestrales'!E79</f>
        <v>0</v>
      </c>
      <c r="D81" s="124"/>
      <c r="E81" s="124"/>
      <c r="F81" s="124"/>
      <c r="G81" s="124"/>
      <c r="H81" s="61" t="s">
        <v>58</v>
      </c>
      <c r="I81" s="62">
        <f>'Necesidades Trimestrales'!F79</f>
        <v>0</v>
      </c>
      <c r="J81" s="63"/>
      <c r="K81" s="64">
        <f>'Necesidades Trimestrales'!G79</f>
        <v>0</v>
      </c>
    </row>
    <row r="82" spans="1:11" ht="20.25" hidden="1" customHeight="1" x14ac:dyDescent="0.2">
      <c r="A82" s="54">
        <v>71</v>
      </c>
      <c r="B82" s="60">
        <f>'Necesidades Trimestrales'!B80</f>
        <v>0</v>
      </c>
      <c r="C82" s="124">
        <f>'Necesidades Trimestrales'!E80</f>
        <v>0</v>
      </c>
      <c r="D82" s="124"/>
      <c r="E82" s="124"/>
      <c r="F82" s="124"/>
      <c r="G82" s="124"/>
      <c r="H82" s="61" t="s">
        <v>58</v>
      </c>
      <c r="I82" s="62">
        <f>'Necesidades Trimestrales'!F80</f>
        <v>0</v>
      </c>
      <c r="J82" s="63"/>
      <c r="K82" s="64">
        <f>'Necesidades Trimestrales'!G80</f>
        <v>0</v>
      </c>
    </row>
    <row r="83" spans="1:11" ht="20.25" hidden="1" customHeight="1" x14ac:dyDescent="0.2">
      <c r="A83" s="54">
        <v>72</v>
      </c>
      <c r="B83" s="60">
        <f>'Necesidades Trimestrales'!B81</f>
        <v>0</v>
      </c>
      <c r="C83" s="124">
        <f>'Necesidades Trimestrales'!E81</f>
        <v>0</v>
      </c>
      <c r="D83" s="124"/>
      <c r="E83" s="124"/>
      <c r="F83" s="124"/>
      <c r="G83" s="124"/>
      <c r="H83" s="61" t="s">
        <v>58</v>
      </c>
      <c r="I83" s="62">
        <f>'Necesidades Trimestrales'!F81</f>
        <v>0</v>
      </c>
      <c r="J83" s="63"/>
      <c r="K83" s="64">
        <f>'Necesidades Trimestrales'!G81</f>
        <v>0</v>
      </c>
    </row>
    <row r="84" spans="1:11" ht="20.25" hidden="1" customHeight="1" x14ac:dyDescent="0.2">
      <c r="A84" s="54">
        <v>73</v>
      </c>
      <c r="B84" s="60">
        <f>'Necesidades Trimestrales'!B82</f>
        <v>0</v>
      </c>
      <c r="C84" s="124">
        <f>'Necesidades Trimestrales'!E82</f>
        <v>0</v>
      </c>
      <c r="D84" s="124"/>
      <c r="E84" s="124"/>
      <c r="F84" s="124"/>
      <c r="G84" s="124"/>
      <c r="H84" s="61" t="s">
        <v>58</v>
      </c>
      <c r="I84" s="62">
        <f>'Necesidades Trimestrales'!F82</f>
        <v>0</v>
      </c>
      <c r="J84" s="63"/>
      <c r="K84" s="64">
        <f>'Necesidades Trimestrales'!G82</f>
        <v>0</v>
      </c>
    </row>
    <row r="85" spans="1:11" ht="20.25" hidden="1" customHeight="1" x14ac:dyDescent="0.2">
      <c r="A85" s="54">
        <v>74</v>
      </c>
      <c r="B85" s="60">
        <f>'Necesidades Trimestrales'!B83</f>
        <v>0</v>
      </c>
      <c r="C85" s="124">
        <f>'Necesidades Trimestrales'!E83</f>
        <v>0</v>
      </c>
      <c r="D85" s="124"/>
      <c r="E85" s="124"/>
      <c r="F85" s="124"/>
      <c r="G85" s="124"/>
      <c r="H85" s="61" t="s">
        <v>58</v>
      </c>
      <c r="I85" s="62">
        <f>'Necesidades Trimestrales'!F83</f>
        <v>0</v>
      </c>
      <c r="J85" s="63"/>
      <c r="K85" s="64">
        <f>'Necesidades Trimestrales'!G83</f>
        <v>0</v>
      </c>
    </row>
    <row r="86" spans="1:11" ht="20.25" hidden="1" customHeight="1" x14ac:dyDescent="0.2">
      <c r="A86" s="54">
        <v>75</v>
      </c>
      <c r="B86" s="60">
        <f>'Necesidades Trimestrales'!B84</f>
        <v>0</v>
      </c>
      <c r="C86" s="124">
        <f>'Necesidades Trimestrales'!E84</f>
        <v>0</v>
      </c>
      <c r="D86" s="124"/>
      <c r="E86" s="124"/>
      <c r="F86" s="124"/>
      <c r="G86" s="124"/>
      <c r="H86" s="61" t="s">
        <v>58</v>
      </c>
      <c r="I86" s="62">
        <f>'Necesidades Trimestrales'!F84</f>
        <v>0</v>
      </c>
      <c r="J86" s="63"/>
      <c r="K86" s="64">
        <f>'Necesidades Trimestrales'!G84</f>
        <v>0</v>
      </c>
    </row>
    <row r="87" spans="1:11" ht="20.25" hidden="1" customHeight="1" x14ac:dyDescent="0.2">
      <c r="A87" s="54">
        <v>76</v>
      </c>
      <c r="B87" s="60">
        <f>'Necesidades Trimestrales'!B85</f>
        <v>0</v>
      </c>
      <c r="C87" s="124">
        <f>'Necesidades Trimestrales'!E85</f>
        <v>0</v>
      </c>
      <c r="D87" s="124"/>
      <c r="E87" s="124"/>
      <c r="F87" s="124"/>
      <c r="G87" s="124"/>
      <c r="H87" s="61" t="s">
        <v>58</v>
      </c>
      <c r="I87" s="62">
        <f>'Necesidades Trimestrales'!F85</f>
        <v>0</v>
      </c>
      <c r="J87" s="63"/>
      <c r="K87" s="64">
        <f>'Necesidades Trimestrales'!G85</f>
        <v>0</v>
      </c>
    </row>
    <row r="88" spans="1:11" ht="20.25" hidden="1" customHeight="1" x14ac:dyDescent="0.2">
      <c r="A88" s="54">
        <v>77</v>
      </c>
      <c r="B88" s="60">
        <f>'Necesidades Trimestrales'!B86</f>
        <v>0</v>
      </c>
      <c r="C88" s="124">
        <f>'Necesidades Trimestrales'!E86</f>
        <v>0</v>
      </c>
      <c r="D88" s="124"/>
      <c r="E88" s="124"/>
      <c r="F88" s="124"/>
      <c r="G88" s="124"/>
      <c r="H88" s="61" t="s">
        <v>58</v>
      </c>
      <c r="I88" s="62">
        <f>'Necesidades Trimestrales'!F86</f>
        <v>0</v>
      </c>
      <c r="J88" s="63"/>
      <c r="K88" s="64">
        <f>'Necesidades Trimestrales'!G86</f>
        <v>0</v>
      </c>
    </row>
    <row r="89" spans="1:11" ht="20.25" hidden="1" customHeight="1" x14ac:dyDescent="0.2">
      <c r="A89" s="54">
        <v>78</v>
      </c>
      <c r="B89" s="60">
        <f>'Necesidades Trimestrales'!B87</f>
        <v>0</v>
      </c>
      <c r="C89" s="124">
        <f>'Necesidades Trimestrales'!E87</f>
        <v>0</v>
      </c>
      <c r="D89" s="124"/>
      <c r="E89" s="124"/>
      <c r="F89" s="124"/>
      <c r="G89" s="124"/>
      <c r="H89" s="61" t="s">
        <v>58</v>
      </c>
      <c r="I89" s="62">
        <f>'Necesidades Trimestrales'!F87</f>
        <v>0</v>
      </c>
      <c r="J89" s="63"/>
      <c r="K89" s="64">
        <f>'Necesidades Trimestrales'!G87</f>
        <v>0</v>
      </c>
    </row>
    <row r="90" spans="1:11" ht="20.25" hidden="1" customHeight="1" x14ac:dyDescent="0.2">
      <c r="A90" s="54">
        <v>79</v>
      </c>
      <c r="B90" s="60">
        <f>'Necesidades Trimestrales'!B88</f>
        <v>0</v>
      </c>
      <c r="C90" s="124">
        <f>'Necesidades Trimestrales'!E88</f>
        <v>0</v>
      </c>
      <c r="D90" s="124"/>
      <c r="E90" s="124"/>
      <c r="F90" s="124"/>
      <c r="G90" s="124"/>
      <c r="H90" s="61" t="s">
        <v>58</v>
      </c>
      <c r="I90" s="62">
        <f>'Necesidades Trimestrales'!F88</f>
        <v>0</v>
      </c>
      <c r="J90" s="63"/>
      <c r="K90" s="64">
        <f>'Necesidades Trimestrales'!G88</f>
        <v>0</v>
      </c>
    </row>
    <row r="91" spans="1:11" ht="20.25" hidden="1" customHeight="1" x14ac:dyDescent="0.2">
      <c r="A91" s="54">
        <v>80</v>
      </c>
      <c r="B91" s="60">
        <f>'Necesidades Trimestrales'!B89</f>
        <v>0</v>
      </c>
      <c r="C91" s="124">
        <f>'Necesidades Trimestrales'!E89</f>
        <v>0</v>
      </c>
      <c r="D91" s="124"/>
      <c r="E91" s="124"/>
      <c r="F91" s="124"/>
      <c r="G91" s="124"/>
      <c r="H91" s="61" t="s">
        <v>58</v>
      </c>
      <c r="I91" s="62">
        <f>'Necesidades Trimestrales'!F89</f>
        <v>0</v>
      </c>
      <c r="J91" s="63"/>
      <c r="K91" s="64">
        <f>'Necesidades Trimestrales'!G89</f>
        <v>0</v>
      </c>
    </row>
    <row r="92" spans="1:11" ht="20.25" hidden="1" customHeight="1" x14ac:dyDescent="0.2">
      <c r="A92" s="54">
        <v>81</v>
      </c>
      <c r="B92" s="60">
        <f>'Necesidades Trimestrales'!B90</f>
        <v>0</v>
      </c>
      <c r="C92" s="124">
        <f>'Necesidades Trimestrales'!E90</f>
        <v>0</v>
      </c>
      <c r="D92" s="124"/>
      <c r="E92" s="124"/>
      <c r="F92" s="124"/>
      <c r="G92" s="124"/>
      <c r="H92" s="61" t="s">
        <v>58</v>
      </c>
      <c r="I92" s="62">
        <f>'Necesidades Trimestrales'!F90</f>
        <v>0</v>
      </c>
      <c r="J92" s="63"/>
      <c r="K92" s="64">
        <f>'Necesidades Trimestrales'!G90</f>
        <v>0</v>
      </c>
    </row>
    <row r="93" spans="1:11" ht="20.25" hidden="1" customHeight="1" x14ac:dyDescent="0.2">
      <c r="A93" s="54">
        <v>82</v>
      </c>
      <c r="B93" s="60">
        <f>'Necesidades Trimestrales'!B91</f>
        <v>0</v>
      </c>
      <c r="C93" s="124">
        <f>'Necesidades Trimestrales'!E91</f>
        <v>0</v>
      </c>
      <c r="D93" s="124"/>
      <c r="E93" s="124"/>
      <c r="F93" s="124"/>
      <c r="G93" s="124"/>
      <c r="H93" s="61" t="s">
        <v>58</v>
      </c>
      <c r="I93" s="62">
        <f>'Necesidades Trimestrales'!F91</f>
        <v>0</v>
      </c>
      <c r="J93" s="63"/>
      <c r="K93" s="64">
        <f>'Necesidades Trimestrales'!G91</f>
        <v>0</v>
      </c>
    </row>
    <row r="94" spans="1:11" ht="20.25" hidden="1" customHeight="1" x14ac:dyDescent="0.2">
      <c r="A94" s="54">
        <v>83</v>
      </c>
      <c r="B94" s="60">
        <f>'Necesidades Trimestrales'!B92</f>
        <v>0</v>
      </c>
      <c r="C94" s="124">
        <f>'Necesidades Trimestrales'!E92</f>
        <v>0</v>
      </c>
      <c r="D94" s="124"/>
      <c r="E94" s="124"/>
      <c r="F94" s="124"/>
      <c r="G94" s="124"/>
      <c r="H94" s="61" t="s">
        <v>58</v>
      </c>
      <c r="I94" s="62">
        <f>'Necesidades Trimestrales'!F92</f>
        <v>0</v>
      </c>
      <c r="J94" s="63"/>
      <c r="K94" s="64">
        <f>'Necesidades Trimestrales'!G92</f>
        <v>0</v>
      </c>
    </row>
    <row r="95" spans="1:11" ht="20.25" hidden="1" customHeight="1" x14ac:dyDescent="0.2">
      <c r="A95" s="54">
        <v>84</v>
      </c>
      <c r="B95" s="60">
        <f>'Necesidades Trimestrales'!B93</f>
        <v>0</v>
      </c>
      <c r="C95" s="124">
        <f>'Necesidades Trimestrales'!E93</f>
        <v>0</v>
      </c>
      <c r="D95" s="124"/>
      <c r="E95" s="124"/>
      <c r="F95" s="124"/>
      <c r="G95" s="124"/>
      <c r="H95" s="61" t="s">
        <v>58</v>
      </c>
      <c r="I95" s="62">
        <f>'Necesidades Trimestrales'!F93</f>
        <v>0</v>
      </c>
      <c r="J95" s="63"/>
      <c r="K95" s="64">
        <f>'Necesidades Trimestrales'!G93</f>
        <v>0</v>
      </c>
    </row>
    <row r="96" spans="1:11" ht="20.25" hidden="1" customHeight="1" x14ac:dyDescent="0.2">
      <c r="A96" s="54">
        <v>85</v>
      </c>
      <c r="B96" s="60">
        <f>'Necesidades Trimestrales'!B94</f>
        <v>0</v>
      </c>
      <c r="C96" s="124">
        <f>'Necesidades Trimestrales'!E94</f>
        <v>0</v>
      </c>
      <c r="D96" s="124"/>
      <c r="E96" s="124"/>
      <c r="F96" s="124"/>
      <c r="G96" s="124"/>
      <c r="H96" s="61" t="s">
        <v>58</v>
      </c>
      <c r="I96" s="62">
        <f>'Necesidades Trimestrales'!F94</f>
        <v>0</v>
      </c>
      <c r="J96" s="63"/>
      <c r="K96" s="64">
        <f>'Necesidades Trimestrales'!G94</f>
        <v>0</v>
      </c>
    </row>
    <row r="97" spans="1:11" ht="20.25" hidden="1" customHeight="1" x14ac:dyDescent="0.2">
      <c r="A97" s="54">
        <v>86</v>
      </c>
      <c r="B97" s="60">
        <f>'Necesidades Trimestrales'!B95</f>
        <v>0</v>
      </c>
      <c r="C97" s="124">
        <f>'Necesidades Trimestrales'!E95</f>
        <v>0</v>
      </c>
      <c r="D97" s="124"/>
      <c r="E97" s="124"/>
      <c r="F97" s="124"/>
      <c r="G97" s="124"/>
      <c r="H97" s="61" t="s">
        <v>58</v>
      </c>
      <c r="I97" s="62">
        <f>'Necesidades Trimestrales'!F95</f>
        <v>0</v>
      </c>
      <c r="J97" s="63"/>
      <c r="K97" s="64">
        <f>'Necesidades Trimestrales'!G95</f>
        <v>0</v>
      </c>
    </row>
    <row r="98" spans="1:11" ht="20.25" hidden="1" customHeight="1" x14ac:dyDescent="0.2">
      <c r="A98" s="54">
        <v>87</v>
      </c>
      <c r="B98" s="60">
        <f>'Necesidades Trimestrales'!B96</f>
        <v>0</v>
      </c>
      <c r="C98" s="124">
        <f>'Necesidades Trimestrales'!E96</f>
        <v>0</v>
      </c>
      <c r="D98" s="124"/>
      <c r="E98" s="124"/>
      <c r="F98" s="124"/>
      <c r="G98" s="124"/>
      <c r="H98" s="61" t="s">
        <v>58</v>
      </c>
      <c r="I98" s="62">
        <f>'Necesidades Trimestrales'!F96</f>
        <v>0</v>
      </c>
      <c r="J98" s="63"/>
      <c r="K98" s="64">
        <f>'Necesidades Trimestrales'!G96</f>
        <v>0</v>
      </c>
    </row>
    <row r="99" spans="1:11" ht="20.25" hidden="1" customHeight="1" x14ac:dyDescent="0.2">
      <c r="A99" s="54">
        <v>88</v>
      </c>
      <c r="B99" s="60">
        <f>'Necesidades Trimestrales'!B97</f>
        <v>0</v>
      </c>
      <c r="C99" s="124">
        <f>'Necesidades Trimestrales'!E97</f>
        <v>0</v>
      </c>
      <c r="D99" s="124"/>
      <c r="E99" s="124"/>
      <c r="F99" s="124"/>
      <c r="G99" s="124"/>
      <c r="H99" s="61" t="s">
        <v>58</v>
      </c>
      <c r="I99" s="62">
        <f>'Necesidades Trimestrales'!F97</f>
        <v>0</v>
      </c>
      <c r="J99" s="63"/>
      <c r="K99" s="64">
        <f>'Necesidades Trimestrales'!G97</f>
        <v>0</v>
      </c>
    </row>
    <row r="100" spans="1:11" ht="20.25" hidden="1" customHeight="1" x14ac:dyDescent="0.2">
      <c r="A100" s="54">
        <v>89</v>
      </c>
      <c r="B100" s="60">
        <f>'Necesidades Trimestrales'!B98</f>
        <v>0</v>
      </c>
      <c r="C100" s="124">
        <f>'Necesidades Trimestrales'!E98</f>
        <v>0</v>
      </c>
      <c r="D100" s="124"/>
      <c r="E100" s="124"/>
      <c r="F100" s="124"/>
      <c r="G100" s="124"/>
      <c r="H100" s="61" t="s">
        <v>58</v>
      </c>
      <c r="I100" s="62">
        <f>'Necesidades Trimestrales'!F98</f>
        <v>0</v>
      </c>
      <c r="J100" s="63"/>
      <c r="K100" s="64">
        <f>'Necesidades Trimestrales'!G98</f>
        <v>0</v>
      </c>
    </row>
    <row r="101" spans="1:11" ht="20.25" hidden="1" customHeight="1" x14ac:dyDescent="0.2">
      <c r="A101" s="54">
        <v>90</v>
      </c>
      <c r="B101" s="60">
        <f>'Necesidades Trimestrales'!B99</f>
        <v>0</v>
      </c>
      <c r="C101" s="124">
        <f>'Necesidades Trimestrales'!E99</f>
        <v>0</v>
      </c>
      <c r="D101" s="124"/>
      <c r="E101" s="124"/>
      <c r="F101" s="124"/>
      <c r="G101" s="124"/>
      <c r="H101" s="61" t="s">
        <v>58</v>
      </c>
      <c r="I101" s="62">
        <f>'Necesidades Trimestrales'!F99</f>
        <v>0</v>
      </c>
      <c r="J101" s="63"/>
      <c r="K101" s="64">
        <f>'Necesidades Trimestrales'!G99</f>
        <v>0</v>
      </c>
    </row>
    <row r="102" spans="1:11" ht="20.25" hidden="1" customHeight="1" x14ac:dyDescent="0.2">
      <c r="A102" s="54">
        <v>91</v>
      </c>
      <c r="B102" s="60">
        <f>'Necesidades Trimestrales'!B100</f>
        <v>0</v>
      </c>
      <c r="C102" s="124">
        <f>'Necesidades Trimestrales'!E100</f>
        <v>0</v>
      </c>
      <c r="D102" s="124"/>
      <c r="E102" s="124"/>
      <c r="F102" s="124"/>
      <c r="G102" s="124"/>
      <c r="H102" s="61" t="s">
        <v>58</v>
      </c>
      <c r="I102" s="62">
        <f>'Necesidades Trimestrales'!F100</f>
        <v>0</v>
      </c>
      <c r="J102" s="63"/>
      <c r="K102" s="64">
        <f>'Necesidades Trimestrales'!G100</f>
        <v>0</v>
      </c>
    </row>
    <row r="103" spans="1:11" ht="20.25" hidden="1" customHeight="1" x14ac:dyDescent="0.2">
      <c r="A103" s="54">
        <v>92</v>
      </c>
      <c r="B103" s="60">
        <f>'Necesidades Trimestrales'!B101</f>
        <v>0</v>
      </c>
      <c r="C103" s="124">
        <f>'Necesidades Trimestrales'!E101</f>
        <v>0</v>
      </c>
      <c r="D103" s="124"/>
      <c r="E103" s="124"/>
      <c r="F103" s="124"/>
      <c r="G103" s="124"/>
      <c r="H103" s="61" t="s">
        <v>58</v>
      </c>
      <c r="I103" s="62">
        <f>'Necesidades Trimestrales'!F101</f>
        <v>0</v>
      </c>
      <c r="J103" s="63"/>
      <c r="K103" s="64">
        <f>'Necesidades Trimestrales'!G101</f>
        <v>0</v>
      </c>
    </row>
    <row r="104" spans="1:11" ht="20.25" hidden="1" customHeight="1" x14ac:dyDescent="0.2">
      <c r="A104" s="54">
        <v>93</v>
      </c>
      <c r="B104" s="60">
        <f>'Necesidades Trimestrales'!B102</f>
        <v>0</v>
      </c>
      <c r="C104" s="124">
        <f>'Necesidades Trimestrales'!E102</f>
        <v>0</v>
      </c>
      <c r="D104" s="124"/>
      <c r="E104" s="124"/>
      <c r="F104" s="124"/>
      <c r="G104" s="124"/>
      <c r="H104" s="61" t="s">
        <v>58</v>
      </c>
      <c r="I104" s="62">
        <f>'Necesidades Trimestrales'!F102</f>
        <v>0</v>
      </c>
      <c r="J104" s="63"/>
      <c r="K104" s="64">
        <f>'Necesidades Trimestrales'!G102</f>
        <v>0</v>
      </c>
    </row>
    <row r="105" spans="1:11" ht="20.25" hidden="1" customHeight="1" x14ac:dyDescent="0.2">
      <c r="A105" s="54">
        <v>94</v>
      </c>
      <c r="B105" s="60">
        <f>'Necesidades Trimestrales'!B103</f>
        <v>0</v>
      </c>
      <c r="C105" s="124">
        <f>'Necesidades Trimestrales'!E103</f>
        <v>0</v>
      </c>
      <c r="D105" s="124"/>
      <c r="E105" s="124"/>
      <c r="F105" s="124"/>
      <c r="G105" s="124"/>
      <c r="H105" s="61" t="s">
        <v>58</v>
      </c>
      <c r="I105" s="62">
        <f>'Necesidades Trimestrales'!F103</f>
        <v>0</v>
      </c>
      <c r="J105" s="63"/>
      <c r="K105" s="64">
        <f>'Necesidades Trimestrales'!G103</f>
        <v>0</v>
      </c>
    </row>
    <row r="106" spans="1:11" ht="20.25" hidden="1" customHeight="1" x14ac:dyDescent="0.2">
      <c r="A106" s="54">
        <v>95</v>
      </c>
      <c r="B106" s="60">
        <f>'Necesidades Trimestrales'!B104</f>
        <v>0</v>
      </c>
      <c r="C106" s="124">
        <f>'Necesidades Trimestrales'!E104</f>
        <v>0</v>
      </c>
      <c r="D106" s="124"/>
      <c r="E106" s="124"/>
      <c r="F106" s="124"/>
      <c r="G106" s="124"/>
      <c r="H106" s="61" t="s">
        <v>58</v>
      </c>
      <c r="I106" s="62">
        <f>'Necesidades Trimestrales'!F104</f>
        <v>0</v>
      </c>
      <c r="J106" s="63"/>
      <c r="K106" s="64">
        <f>'Necesidades Trimestrales'!G104</f>
        <v>0</v>
      </c>
    </row>
    <row r="107" spans="1:11" ht="20.25" hidden="1" customHeight="1" x14ac:dyDescent="0.2">
      <c r="A107" s="54">
        <v>96</v>
      </c>
      <c r="B107" s="60">
        <f>'Necesidades Trimestrales'!B105</f>
        <v>0</v>
      </c>
      <c r="C107" s="124">
        <f>'Necesidades Trimestrales'!E105</f>
        <v>0</v>
      </c>
      <c r="D107" s="124"/>
      <c r="E107" s="124"/>
      <c r="F107" s="124"/>
      <c r="G107" s="124"/>
      <c r="H107" s="61" t="s">
        <v>58</v>
      </c>
      <c r="I107" s="62">
        <f>'Necesidades Trimestrales'!F105</f>
        <v>0</v>
      </c>
      <c r="J107" s="63"/>
      <c r="K107" s="64">
        <f>'Necesidades Trimestrales'!G105</f>
        <v>0</v>
      </c>
    </row>
    <row r="108" spans="1:11" ht="20.25" hidden="1" customHeight="1" x14ac:dyDescent="0.2">
      <c r="A108" s="54">
        <v>97</v>
      </c>
      <c r="B108" s="60">
        <f>'Necesidades Trimestrales'!B106</f>
        <v>0</v>
      </c>
      <c r="C108" s="124">
        <f>'Necesidades Trimestrales'!E106</f>
        <v>0</v>
      </c>
      <c r="D108" s="124"/>
      <c r="E108" s="124"/>
      <c r="F108" s="124"/>
      <c r="G108" s="124"/>
      <c r="H108" s="61" t="s">
        <v>58</v>
      </c>
      <c r="I108" s="62">
        <f>'Necesidades Trimestrales'!F106</f>
        <v>0</v>
      </c>
      <c r="J108" s="63"/>
      <c r="K108" s="64">
        <f>'Necesidades Trimestrales'!G106</f>
        <v>0</v>
      </c>
    </row>
    <row r="109" spans="1:11" ht="20.25" hidden="1" customHeight="1" x14ac:dyDescent="0.2">
      <c r="A109" s="54">
        <v>98</v>
      </c>
      <c r="B109" s="60">
        <f>'Necesidades Trimestrales'!B107</f>
        <v>0</v>
      </c>
      <c r="C109" s="124">
        <f>'Necesidades Trimestrales'!E107</f>
        <v>0</v>
      </c>
      <c r="D109" s="124"/>
      <c r="E109" s="124"/>
      <c r="F109" s="124"/>
      <c r="G109" s="124"/>
      <c r="H109" s="61" t="s">
        <v>58</v>
      </c>
      <c r="I109" s="62">
        <f>'Necesidades Trimestrales'!F107</f>
        <v>0</v>
      </c>
      <c r="J109" s="63"/>
      <c r="K109" s="64">
        <f>'Necesidades Trimestrales'!G107</f>
        <v>0</v>
      </c>
    </row>
    <row r="110" spans="1:11" ht="20.25" hidden="1" customHeight="1" x14ac:dyDescent="0.2">
      <c r="A110" s="54">
        <v>99</v>
      </c>
      <c r="B110" s="60">
        <f>'Necesidades Trimestrales'!B108</f>
        <v>0</v>
      </c>
      <c r="C110" s="124">
        <f>'Necesidades Trimestrales'!E108</f>
        <v>0</v>
      </c>
      <c r="D110" s="124"/>
      <c r="E110" s="124"/>
      <c r="F110" s="124"/>
      <c r="G110" s="124"/>
      <c r="H110" s="61" t="s">
        <v>58</v>
      </c>
      <c r="I110" s="62">
        <f>'Necesidades Trimestrales'!F108</f>
        <v>0</v>
      </c>
      <c r="J110" s="63"/>
      <c r="K110" s="64">
        <f>'Necesidades Trimestrales'!G108</f>
        <v>0</v>
      </c>
    </row>
    <row r="111" spans="1:11" ht="20.25" hidden="1" customHeight="1" x14ac:dyDescent="0.2">
      <c r="A111" s="54">
        <v>100</v>
      </c>
      <c r="B111" s="60">
        <f>'Necesidades Trimestrales'!B109</f>
        <v>0</v>
      </c>
      <c r="C111" s="124">
        <f>'Necesidades Trimestrales'!E109</f>
        <v>0</v>
      </c>
      <c r="D111" s="124"/>
      <c r="E111" s="124"/>
      <c r="F111" s="124"/>
      <c r="G111" s="124"/>
      <c r="H111" s="61" t="s">
        <v>58</v>
      </c>
      <c r="I111" s="62">
        <f>'Necesidades Trimestrales'!F109</f>
        <v>0</v>
      </c>
      <c r="J111" s="63"/>
      <c r="K111" s="64">
        <f>'Necesidades Trimestrales'!G109</f>
        <v>0</v>
      </c>
    </row>
    <row r="112" spans="1:11" ht="20.25" hidden="1" customHeight="1" x14ac:dyDescent="0.2">
      <c r="A112" s="54">
        <v>101</v>
      </c>
      <c r="B112" s="60">
        <f>'Necesidades Trimestrales'!B110</f>
        <v>0</v>
      </c>
      <c r="C112" s="124">
        <f>'Necesidades Trimestrales'!E110</f>
        <v>0</v>
      </c>
      <c r="D112" s="124"/>
      <c r="E112" s="124"/>
      <c r="F112" s="124"/>
      <c r="G112" s="124"/>
      <c r="H112" s="61" t="s">
        <v>58</v>
      </c>
      <c r="I112" s="62">
        <f>'Necesidades Trimestrales'!F110</f>
        <v>0</v>
      </c>
      <c r="J112" s="63"/>
      <c r="K112" s="64">
        <f>'Necesidades Trimestrales'!G110</f>
        <v>0</v>
      </c>
    </row>
    <row r="113" spans="1:11" ht="20.25" hidden="1" customHeight="1" x14ac:dyDescent="0.2">
      <c r="A113" s="54">
        <v>102</v>
      </c>
      <c r="B113" s="60">
        <f>'Necesidades Trimestrales'!B111</f>
        <v>0</v>
      </c>
      <c r="C113" s="124">
        <f>'Necesidades Trimestrales'!E111</f>
        <v>0</v>
      </c>
      <c r="D113" s="124"/>
      <c r="E113" s="124"/>
      <c r="F113" s="124"/>
      <c r="G113" s="124"/>
      <c r="H113" s="61" t="s">
        <v>58</v>
      </c>
      <c r="I113" s="62">
        <f>'Necesidades Trimestrales'!F111</f>
        <v>0</v>
      </c>
      <c r="J113" s="63"/>
      <c r="K113" s="64">
        <f>'Necesidades Trimestrales'!G111</f>
        <v>0</v>
      </c>
    </row>
    <row r="114" spans="1:11" ht="20.25" hidden="1" customHeight="1" x14ac:dyDescent="0.2">
      <c r="A114" s="54">
        <v>103</v>
      </c>
      <c r="B114" s="60">
        <f>'Necesidades Trimestrales'!B112</f>
        <v>0</v>
      </c>
      <c r="C114" s="124">
        <f>'Necesidades Trimestrales'!E112</f>
        <v>0</v>
      </c>
      <c r="D114" s="124"/>
      <c r="E114" s="124"/>
      <c r="F114" s="124"/>
      <c r="G114" s="124"/>
      <c r="H114" s="61" t="s">
        <v>58</v>
      </c>
      <c r="I114" s="62">
        <f>'Necesidades Trimestrales'!F112</f>
        <v>0</v>
      </c>
      <c r="J114" s="63"/>
      <c r="K114" s="64">
        <f>'Necesidades Trimestrales'!G112</f>
        <v>0</v>
      </c>
    </row>
    <row r="115" spans="1:11" ht="20.25" hidden="1" customHeight="1" x14ac:dyDescent="0.2">
      <c r="A115" s="54">
        <v>104</v>
      </c>
      <c r="B115" s="60">
        <f>'Necesidades Trimestrales'!B113</f>
        <v>0</v>
      </c>
      <c r="C115" s="124">
        <f>'Necesidades Trimestrales'!E113</f>
        <v>0</v>
      </c>
      <c r="D115" s="124"/>
      <c r="E115" s="124"/>
      <c r="F115" s="124"/>
      <c r="G115" s="124"/>
      <c r="H115" s="61" t="s">
        <v>58</v>
      </c>
      <c r="I115" s="62">
        <f>'Necesidades Trimestrales'!F113</f>
        <v>0</v>
      </c>
      <c r="J115" s="63"/>
      <c r="K115" s="64">
        <f>'Necesidades Trimestrales'!G113</f>
        <v>0</v>
      </c>
    </row>
    <row r="116" spans="1:11" ht="20.25" hidden="1" customHeight="1" x14ac:dyDescent="0.2">
      <c r="A116" s="54">
        <v>105</v>
      </c>
      <c r="B116" s="60">
        <f>'Necesidades Trimestrales'!B114</f>
        <v>0</v>
      </c>
      <c r="C116" s="124">
        <f>'Necesidades Trimestrales'!E114</f>
        <v>0</v>
      </c>
      <c r="D116" s="124"/>
      <c r="E116" s="124"/>
      <c r="F116" s="124"/>
      <c r="G116" s="124"/>
      <c r="H116" s="61" t="s">
        <v>58</v>
      </c>
      <c r="I116" s="62">
        <f>'Necesidades Trimestrales'!F114</f>
        <v>0</v>
      </c>
      <c r="J116" s="63"/>
      <c r="K116" s="64">
        <f>'Necesidades Trimestrales'!G114</f>
        <v>0</v>
      </c>
    </row>
    <row r="117" spans="1:11" ht="20.25" hidden="1" customHeight="1" x14ac:dyDescent="0.2">
      <c r="A117" s="54">
        <v>106</v>
      </c>
      <c r="B117" s="60">
        <f>'Necesidades Trimestrales'!B115</f>
        <v>0</v>
      </c>
      <c r="C117" s="124">
        <f>'Necesidades Trimestrales'!E115</f>
        <v>0</v>
      </c>
      <c r="D117" s="124"/>
      <c r="E117" s="124"/>
      <c r="F117" s="124"/>
      <c r="G117" s="124"/>
      <c r="H117" s="61" t="s">
        <v>58</v>
      </c>
      <c r="I117" s="62">
        <f>'Necesidades Trimestrales'!F115</f>
        <v>0</v>
      </c>
      <c r="J117" s="63"/>
      <c r="K117" s="64">
        <f>'Necesidades Trimestrales'!G115</f>
        <v>0</v>
      </c>
    </row>
    <row r="118" spans="1:11" ht="20.25" hidden="1" customHeight="1" x14ac:dyDescent="0.2">
      <c r="A118" s="54">
        <v>107</v>
      </c>
      <c r="B118" s="60">
        <f>'Necesidades Trimestrales'!B116</f>
        <v>0</v>
      </c>
      <c r="C118" s="124">
        <f>'Necesidades Trimestrales'!E116</f>
        <v>0</v>
      </c>
      <c r="D118" s="124"/>
      <c r="E118" s="124"/>
      <c r="F118" s="124"/>
      <c r="G118" s="124"/>
      <c r="H118" s="61" t="s">
        <v>58</v>
      </c>
      <c r="I118" s="62">
        <f>'Necesidades Trimestrales'!F116</f>
        <v>0</v>
      </c>
      <c r="J118" s="63"/>
      <c r="K118" s="64">
        <f>'Necesidades Trimestrales'!G116</f>
        <v>0</v>
      </c>
    </row>
    <row r="119" spans="1:11" ht="20.25" hidden="1" customHeight="1" x14ac:dyDescent="0.2">
      <c r="A119" s="54">
        <v>108</v>
      </c>
      <c r="B119" s="60">
        <f>'Necesidades Trimestrales'!B117</f>
        <v>0</v>
      </c>
      <c r="C119" s="124">
        <f>'Necesidades Trimestrales'!E117</f>
        <v>0</v>
      </c>
      <c r="D119" s="124"/>
      <c r="E119" s="124"/>
      <c r="F119" s="124"/>
      <c r="G119" s="124"/>
      <c r="H119" s="61" t="s">
        <v>58</v>
      </c>
      <c r="I119" s="62">
        <f>'Necesidades Trimestrales'!F117</f>
        <v>0</v>
      </c>
      <c r="J119" s="63"/>
      <c r="K119" s="64">
        <f>'Necesidades Trimestrales'!G117</f>
        <v>0</v>
      </c>
    </row>
    <row r="120" spans="1:11" ht="20.25" hidden="1" customHeight="1" x14ac:dyDescent="0.2">
      <c r="A120" s="54">
        <v>109</v>
      </c>
      <c r="B120" s="60">
        <f>'Necesidades Trimestrales'!B118</f>
        <v>0</v>
      </c>
      <c r="C120" s="124">
        <f>'Necesidades Trimestrales'!E118</f>
        <v>0</v>
      </c>
      <c r="D120" s="124"/>
      <c r="E120" s="124"/>
      <c r="F120" s="124"/>
      <c r="G120" s="124"/>
      <c r="H120" s="61" t="s">
        <v>58</v>
      </c>
      <c r="I120" s="62">
        <f>'Necesidades Trimestrales'!F118</f>
        <v>0</v>
      </c>
      <c r="J120" s="63"/>
      <c r="K120" s="64">
        <f>'Necesidades Trimestrales'!G118</f>
        <v>0</v>
      </c>
    </row>
    <row r="121" spans="1:11" ht="20.25" hidden="1" customHeight="1" x14ac:dyDescent="0.2">
      <c r="A121" s="54">
        <v>110</v>
      </c>
      <c r="B121" s="6">
        <f>'Necesidades Trimestrales'!B119</f>
        <v>0</v>
      </c>
      <c r="C121" s="128">
        <f>'Necesidades Trimestrales'!E119</f>
        <v>0</v>
      </c>
      <c r="D121" s="128"/>
      <c r="E121" s="128"/>
      <c r="F121" s="128"/>
      <c r="G121" s="128"/>
      <c r="H121" s="61" t="s">
        <v>58</v>
      </c>
      <c r="I121" s="7">
        <f>'Necesidades Trimestrales'!F119</f>
        <v>0</v>
      </c>
      <c r="J121" s="7"/>
      <c r="K121" s="8">
        <f>'Necesidades Trimestrales'!G119</f>
        <v>0</v>
      </c>
    </row>
    <row r="122" spans="1:11" ht="20.25" hidden="1" customHeight="1" x14ac:dyDescent="0.2">
      <c r="A122" s="54">
        <v>111</v>
      </c>
      <c r="B122" s="6">
        <f>'Necesidades Trimestrales'!B120</f>
        <v>0</v>
      </c>
      <c r="C122" s="128">
        <f>'Necesidades Trimestrales'!E120</f>
        <v>0</v>
      </c>
      <c r="D122" s="128"/>
      <c r="E122" s="128"/>
      <c r="F122" s="128"/>
      <c r="G122" s="128"/>
      <c r="H122" s="61" t="s">
        <v>58</v>
      </c>
      <c r="I122" s="7">
        <f>'Necesidades Trimestrales'!F120</f>
        <v>0</v>
      </c>
      <c r="J122" s="7"/>
      <c r="K122" s="8">
        <f>'Necesidades Trimestrales'!G120</f>
        <v>0</v>
      </c>
    </row>
    <row r="123" spans="1:11" ht="20.25" hidden="1" customHeight="1" x14ac:dyDescent="0.2">
      <c r="A123" s="54">
        <v>112</v>
      </c>
      <c r="B123" s="6">
        <f>'Necesidades Trimestrales'!B121</f>
        <v>0</v>
      </c>
      <c r="C123" s="128">
        <f>'Necesidades Trimestrales'!E121</f>
        <v>0</v>
      </c>
      <c r="D123" s="128"/>
      <c r="E123" s="128"/>
      <c r="F123" s="128"/>
      <c r="G123" s="128"/>
      <c r="H123" s="61" t="s">
        <v>58</v>
      </c>
      <c r="I123" s="7">
        <f>'Necesidades Trimestrales'!F121</f>
        <v>0</v>
      </c>
      <c r="J123" s="7"/>
      <c r="K123" s="8">
        <f>'Necesidades Trimestrales'!G121</f>
        <v>0</v>
      </c>
    </row>
    <row r="124" spans="1:11" ht="20.25" hidden="1" customHeight="1" thickBot="1" x14ac:dyDescent="0.25">
      <c r="A124" s="9">
        <v>113</v>
      </c>
      <c r="B124" s="10">
        <f>'Necesidades Trimestrales'!B122</f>
        <v>0</v>
      </c>
      <c r="C124" s="129">
        <f>'Necesidades Trimestrales'!E122</f>
        <v>0</v>
      </c>
      <c r="D124" s="129"/>
      <c r="E124" s="129"/>
      <c r="F124" s="129"/>
      <c r="G124" s="129"/>
      <c r="H124" s="61" t="s">
        <v>58</v>
      </c>
      <c r="I124" s="11">
        <f>'Necesidades Trimestrales'!F122</f>
        <v>0</v>
      </c>
      <c r="J124" s="11"/>
      <c r="K124" s="12">
        <f>'Necesidades Trimestrales'!G122</f>
        <v>0</v>
      </c>
    </row>
    <row r="125" spans="1:11" ht="20.25" customHeight="1" thickBot="1" x14ac:dyDescent="0.25">
      <c r="A125" s="125" t="s">
        <v>54</v>
      </c>
      <c r="B125" s="125"/>
      <c r="C125" s="125"/>
      <c r="D125" s="125"/>
      <c r="E125" s="125"/>
      <c r="F125" s="125"/>
      <c r="G125" s="125"/>
      <c r="H125" s="125"/>
      <c r="I125" s="125"/>
      <c r="J125" s="126">
        <f>SUMPRODUCT(J12:J124,K12:K124)</f>
        <v>1289319.72</v>
      </c>
      <c r="K125" s="126"/>
    </row>
  </sheetData>
  <mergeCells count="13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25:I125"/>
    <mergeCell ref="J125:K125"/>
    <mergeCell ref="C12:G12"/>
    <mergeCell ref="C121:G121"/>
    <mergeCell ref="C122:G122"/>
    <mergeCell ref="C123:G123"/>
    <mergeCell ref="C124:G124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7:G27"/>
    <mergeCell ref="C28:G28"/>
    <mergeCell ref="C29:G29"/>
    <mergeCell ref="C30:G30"/>
    <mergeCell ref="C31:G31"/>
    <mergeCell ref="C22:G22"/>
    <mergeCell ref="C23:G23"/>
    <mergeCell ref="C24:G24"/>
    <mergeCell ref="C25:G25"/>
    <mergeCell ref="C26:G26"/>
    <mergeCell ref="C37:G37"/>
    <mergeCell ref="C38:G38"/>
    <mergeCell ref="C39:G39"/>
    <mergeCell ref="C40:G40"/>
    <mergeCell ref="C41:G41"/>
    <mergeCell ref="C32:G32"/>
    <mergeCell ref="C33:G33"/>
    <mergeCell ref="C34:G34"/>
    <mergeCell ref="C35:G35"/>
    <mergeCell ref="C36:G36"/>
    <mergeCell ref="C47:G47"/>
    <mergeCell ref="C48:G48"/>
    <mergeCell ref="C49:G49"/>
    <mergeCell ref="C50:G50"/>
    <mergeCell ref="C51:G51"/>
    <mergeCell ref="C42:G42"/>
    <mergeCell ref="C43:G43"/>
    <mergeCell ref="C44:G44"/>
    <mergeCell ref="C45:G45"/>
    <mergeCell ref="C46:G46"/>
    <mergeCell ref="C57:G57"/>
    <mergeCell ref="C58:G58"/>
    <mergeCell ref="C59:G59"/>
    <mergeCell ref="C60:G60"/>
    <mergeCell ref="C61:G61"/>
    <mergeCell ref="C52:G52"/>
    <mergeCell ref="C53:G53"/>
    <mergeCell ref="C54:G54"/>
    <mergeCell ref="C55:G55"/>
    <mergeCell ref="C56:G56"/>
    <mergeCell ref="C67:G67"/>
    <mergeCell ref="C68:G68"/>
    <mergeCell ref="C69:G69"/>
    <mergeCell ref="C70:G70"/>
    <mergeCell ref="C71:G71"/>
    <mergeCell ref="C62:G62"/>
    <mergeCell ref="C63:G63"/>
    <mergeCell ref="C64:G64"/>
    <mergeCell ref="C65:G65"/>
    <mergeCell ref="C66:G66"/>
    <mergeCell ref="C77:G77"/>
    <mergeCell ref="C78:G78"/>
    <mergeCell ref="C79:G79"/>
    <mergeCell ref="C80:G80"/>
    <mergeCell ref="C81:G81"/>
    <mergeCell ref="C72:G72"/>
    <mergeCell ref="C73:G73"/>
    <mergeCell ref="C74:G74"/>
    <mergeCell ref="C75:G75"/>
    <mergeCell ref="C76:G76"/>
    <mergeCell ref="C87:G87"/>
    <mergeCell ref="C88:G88"/>
    <mergeCell ref="C89:G89"/>
    <mergeCell ref="C90:G90"/>
    <mergeCell ref="C91:G91"/>
    <mergeCell ref="C82:G82"/>
    <mergeCell ref="C83:G83"/>
    <mergeCell ref="C84:G84"/>
    <mergeCell ref="C85:G85"/>
    <mergeCell ref="C86:G86"/>
    <mergeCell ref="C97:G97"/>
    <mergeCell ref="C98:G98"/>
    <mergeCell ref="C99:G99"/>
    <mergeCell ref="C100:G100"/>
    <mergeCell ref="C101:G101"/>
    <mergeCell ref="C92:G92"/>
    <mergeCell ref="C93:G93"/>
    <mergeCell ref="C94:G94"/>
    <mergeCell ref="C95:G95"/>
    <mergeCell ref="C96:G96"/>
    <mergeCell ref="C107:G107"/>
    <mergeCell ref="C108:G108"/>
    <mergeCell ref="C109:G109"/>
    <mergeCell ref="C110:G110"/>
    <mergeCell ref="C111:G111"/>
    <mergeCell ref="C102:G102"/>
    <mergeCell ref="C103:G103"/>
    <mergeCell ref="C104:G104"/>
    <mergeCell ref="C105:G105"/>
    <mergeCell ref="C106:G106"/>
    <mergeCell ref="C117:G117"/>
    <mergeCell ref="C118:G118"/>
    <mergeCell ref="C119:G119"/>
    <mergeCell ref="C120:G120"/>
    <mergeCell ref="C112:G112"/>
    <mergeCell ref="C113:G113"/>
    <mergeCell ref="C114:G114"/>
    <mergeCell ref="C115:G115"/>
    <mergeCell ref="C116:G116"/>
  </mergeCells>
  <printOptions horizontalCentered="1"/>
  <pageMargins left="0.196527777777778" right="0.196527777777778" top="0.98402777777777795" bottom="0.98402777777777795" header="0.51180555555555496" footer="0.51180555555555496"/>
  <pageSetup paperSize="9" scale="85" firstPageNumber="0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A13" zoomScale="80" zoomScaleNormal="80" workbookViewId="0">
      <selection activeCell="A23" sqref="A23:P23"/>
    </sheetView>
  </sheetViews>
  <sheetFormatPr baseColWidth="10" defaultColWidth="11" defaultRowHeight="12.75" x14ac:dyDescent="0.2"/>
  <cols>
    <col min="1" max="5" width="4.42578125" style="29" customWidth="1"/>
    <col min="6" max="6" width="5.5703125" style="29" customWidth="1"/>
    <col min="7" max="7" width="4.42578125" style="30" customWidth="1"/>
    <col min="8" max="14" width="4.42578125" style="29" customWidth="1"/>
    <col min="15" max="15" width="14.85546875" style="29" customWidth="1"/>
    <col min="16" max="16" width="20.5703125" style="29" customWidth="1"/>
    <col min="17" max="17" width="14.7109375" style="29" customWidth="1"/>
  </cols>
  <sheetData>
    <row r="1" spans="1:17" ht="15.75" customHeight="1" x14ac:dyDescent="0.2">
      <c r="A1" s="160" t="s">
        <v>3</v>
      </c>
      <c r="B1" s="160"/>
      <c r="C1" s="160"/>
      <c r="D1" s="161">
        <f>'Necesidades Trimestrales'!C6</f>
        <v>2020</v>
      </c>
      <c r="E1" s="161"/>
      <c r="F1" s="53"/>
      <c r="G1" s="53"/>
      <c r="H1" s="28"/>
      <c r="I1" s="28"/>
      <c r="J1" s="28"/>
      <c r="K1" s="28"/>
      <c r="L1" s="28"/>
      <c r="M1" s="28"/>
      <c r="N1" s="28"/>
      <c r="P1" s="162" t="s">
        <v>29</v>
      </c>
      <c r="Q1" s="162"/>
    </row>
    <row r="2" spans="1:17" ht="15.75" customHeight="1" x14ac:dyDescent="0.2">
      <c r="H2" s="28"/>
      <c r="I2" s="28"/>
      <c r="J2" s="28"/>
      <c r="K2" s="28"/>
      <c r="L2" s="28"/>
      <c r="M2" s="28"/>
      <c r="N2" s="28"/>
      <c r="P2" s="162"/>
      <c r="Q2" s="162"/>
    </row>
    <row r="4" spans="1:17" s="13" customFormat="1" ht="18" customHeight="1" thickBot="1" x14ac:dyDescent="0.25">
      <c r="A4" s="163" t="s">
        <v>30</v>
      </c>
      <c r="B4" s="163"/>
      <c r="C4" s="163"/>
      <c r="D4" s="163"/>
      <c r="E4" s="163"/>
      <c r="F4" s="163"/>
      <c r="G4" s="158" t="str">
        <f>' NotaPedido'!D3</f>
        <v>65 - Ministerio de Agua, Energia y Medio Ambiente</v>
      </c>
      <c r="H4" s="158"/>
      <c r="I4" s="158"/>
      <c r="J4" s="158"/>
      <c r="K4" s="158"/>
      <c r="L4" s="158"/>
      <c r="M4" s="158"/>
      <c r="N4" s="158"/>
      <c r="O4" s="158"/>
      <c r="P4" s="158"/>
      <c r="Q4" s="158"/>
    </row>
    <row r="5" spans="1:17" s="13" customFormat="1" ht="18" customHeight="1" thickBot="1" x14ac:dyDescent="0.25">
      <c r="A5" s="155" t="s">
        <v>52</v>
      </c>
      <c r="B5" s="156"/>
      <c r="C5" s="156"/>
      <c r="D5" s="156"/>
      <c r="E5" s="156"/>
      <c r="F5" s="157"/>
      <c r="G5" s="158" t="str">
        <f>' NotaPedido'!D4</f>
        <v>31 - Secretaria de Energia</v>
      </c>
      <c r="H5" s="158"/>
      <c r="I5" s="158"/>
      <c r="J5" s="158"/>
      <c r="K5" s="158"/>
      <c r="L5" s="158"/>
      <c r="M5" s="158"/>
      <c r="N5" s="158"/>
      <c r="O5" s="158"/>
      <c r="P5" s="158"/>
      <c r="Q5" s="158"/>
    </row>
    <row r="6" spans="1:17" s="13" customFormat="1" ht="18" customHeight="1" thickBot="1" x14ac:dyDescent="0.25">
      <c r="A6" s="155" t="s">
        <v>31</v>
      </c>
      <c r="B6" s="156"/>
      <c r="C6" s="156"/>
      <c r="D6" s="156"/>
      <c r="E6" s="156"/>
      <c r="F6" s="157"/>
      <c r="G6" s="158" t="str">
        <f>' NotaPedido'!D5</f>
        <v>Secretaria de Energía - Direccion de Estudio y Proyectos de Obra</v>
      </c>
      <c r="H6" s="158"/>
      <c r="I6" s="158"/>
      <c r="J6" s="158"/>
      <c r="K6" s="158"/>
      <c r="L6" s="158"/>
      <c r="M6" s="158"/>
      <c r="N6" s="158"/>
      <c r="O6" s="158"/>
      <c r="P6" s="158"/>
      <c r="Q6" s="158"/>
    </row>
    <row r="7" spans="1:17" s="13" customFormat="1" ht="18" customHeight="1" thickBot="1" x14ac:dyDescent="0.25">
      <c r="A7" s="155" t="s">
        <v>53</v>
      </c>
      <c r="B7" s="156"/>
      <c r="C7" s="156"/>
      <c r="D7" s="156"/>
      <c r="E7" s="156"/>
      <c r="F7" s="157"/>
      <c r="G7" s="158" t="str">
        <f>' NotaPedido'!D6</f>
        <v>Secretaria de Energía - Direccion de Estudio y Proyectos de Obra</v>
      </c>
      <c r="H7" s="158"/>
      <c r="I7" s="158"/>
      <c r="J7" s="158"/>
      <c r="K7" s="158"/>
      <c r="L7" s="158"/>
      <c r="M7" s="158"/>
      <c r="N7" s="158"/>
      <c r="O7" s="158"/>
      <c r="P7" s="158"/>
      <c r="Q7" s="158"/>
    </row>
    <row r="8" spans="1:17" ht="18" customHeight="1" thickBot="1" x14ac:dyDescent="0.25">
      <c r="A8" s="159" t="s">
        <v>55</v>
      </c>
      <c r="B8" s="159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</row>
    <row r="9" spans="1:17" ht="18" customHeight="1" x14ac:dyDescent="0.2">
      <c r="A9" s="149" t="s">
        <v>32</v>
      </c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31"/>
      <c r="P9" s="31"/>
      <c r="Q9" s="32"/>
    </row>
    <row r="10" spans="1:17" ht="54.75" customHeight="1" x14ac:dyDescent="0.2">
      <c r="A10" s="15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185/2020,  afectando la erogación resultante a los créditos presupuestarios aprobados a favor de esta Unidad Ejecutora, conforme al siguiente detalle:</v>
      </c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</row>
    <row r="11" spans="1:17" ht="9" customHeight="1" x14ac:dyDescent="0.2">
      <c r="A11" s="33"/>
      <c r="B11" s="34"/>
      <c r="C11" s="34"/>
      <c r="D11" s="34"/>
      <c r="E11" s="34"/>
      <c r="F11" s="34"/>
      <c r="G11" s="35"/>
      <c r="H11" s="34"/>
      <c r="I11" s="34"/>
      <c r="J11" s="34"/>
      <c r="K11" s="34"/>
      <c r="L11" s="34"/>
      <c r="M11" s="34"/>
      <c r="N11" s="34"/>
      <c r="O11" s="34"/>
      <c r="P11" s="34"/>
      <c r="Q11" s="36"/>
    </row>
    <row r="12" spans="1:17" ht="15.75" customHeight="1" x14ac:dyDescent="0.2">
      <c r="A12" s="151" t="s">
        <v>33</v>
      </c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</row>
    <row r="13" spans="1:17" ht="15.75" customHeight="1" x14ac:dyDescent="0.2">
      <c r="A13" s="152" t="s">
        <v>34</v>
      </c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3" t="s">
        <v>35</v>
      </c>
      <c r="P13" s="153"/>
      <c r="Q13" s="154" t="s">
        <v>36</v>
      </c>
    </row>
    <row r="14" spans="1:17" ht="15.75" customHeight="1" thickBot="1" x14ac:dyDescent="0.25">
      <c r="A14" s="37" t="s">
        <v>37</v>
      </c>
      <c r="B14" s="38" t="s">
        <v>38</v>
      </c>
      <c r="C14" s="38" t="s">
        <v>39</v>
      </c>
      <c r="D14" s="38" t="s">
        <v>40</v>
      </c>
      <c r="E14" s="38" t="s">
        <v>41</v>
      </c>
      <c r="F14" s="38" t="s">
        <v>42</v>
      </c>
      <c r="G14" s="39" t="s">
        <v>43</v>
      </c>
      <c r="H14" s="38" t="s">
        <v>44</v>
      </c>
      <c r="I14" s="38" t="s">
        <v>45</v>
      </c>
      <c r="J14" s="38" t="s">
        <v>46</v>
      </c>
      <c r="K14" s="38" t="s">
        <v>46</v>
      </c>
      <c r="L14" s="38" t="s">
        <v>47</v>
      </c>
      <c r="M14" s="40" t="s">
        <v>48</v>
      </c>
      <c r="N14" s="41" t="s">
        <v>49</v>
      </c>
      <c r="O14" s="153"/>
      <c r="P14" s="153"/>
      <c r="Q14" s="154"/>
    </row>
    <row r="15" spans="1:17" ht="17.25" customHeight="1" x14ac:dyDescent="0.2">
      <c r="A15" s="92">
        <v>2</v>
      </c>
      <c r="B15" s="93">
        <v>0</v>
      </c>
      <c r="C15" s="93">
        <v>0</v>
      </c>
      <c r="D15" s="93">
        <v>1</v>
      </c>
      <c r="E15" s="93">
        <v>0</v>
      </c>
      <c r="F15" s="93">
        <v>4901</v>
      </c>
      <c r="G15" s="93">
        <v>1</v>
      </c>
      <c r="H15" s="93">
        <v>4</v>
      </c>
      <c r="I15" s="93" t="str">
        <f>LEFT('Necesidades Trimestrales'!D10,1)</f>
        <v>2</v>
      </c>
      <c r="J15" s="93" t="str">
        <f>MID('Necesidades Trimestrales'!D10,3,1)</f>
        <v>6</v>
      </c>
      <c r="K15" s="93" t="str">
        <f>RIGHT('Necesidades Trimestrales'!D10,1)</f>
        <v>4</v>
      </c>
      <c r="L15" s="93">
        <v>0</v>
      </c>
      <c r="M15" s="94">
        <v>1</v>
      </c>
      <c r="N15" s="93" t="s">
        <v>74</v>
      </c>
      <c r="O15" s="148" t="s">
        <v>73</v>
      </c>
      <c r="P15" s="148"/>
      <c r="Q15" s="42">
        <v>700000</v>
      </c>
    </row>
    <row r="16" spans="1:17" ht="17.25" customHeight="1" x14ac:dyDescent="0.2">
      <c r="A16" s="95">
        <v>10</v>
      </c>
      <c r="B16" s="96">
        <v>0</v>
      </c>
      <c r="C16" s="96">
        <v>0</v>
      </c>
      <c r="D16" s="96">
        <v>1</v>
      </c>
      <c r="E16" s="96">
        <v>0</v>
      </c>
      <c r="F16" s="96">
        <v>4901</v>
      </c>
      <c r="G16" s="96">
        <v>1</v>
      </c>
      <c r="H16" s="96">
        <v>3</v>
      </c>
      <c r="I16" s="96" t="str">
        <f>LEFT('Necesidades Trimestrales'!D11,1)</f>
        <v>2</v>
      </c>
      <c r="J16" s="96" t="str">
        <f>MID('Necesidades Trimestrales'!D11,3,1)</f>
        <v>6</v>
      </c>
      <c r="K16" s="96" t="str">
        <f>RIGHT('Necesidades Trimestrales'!D11,1)</f>
        <v>4</v>
      </c>
      <c r="L16" s="96">
        <v>0</v>
      </c>
      <c r="M16" s="97">
        <v>1</v>
      </c>
      <c r="N16" s="98" t="s">
        <v>74</v>
      </c>
      <c r="O16" s="144" t="s">
        <v>73</v>
      </c>
      <c r="P16" s="144"/>
      <c r="Q16" s="47">
        <v>589319.72</v>
      </c>
    </row>
    <row r="17" spans="1:18" ht="17.25" customHeight="1" x14ac:dyDescent="0.2">
      <c r="A17" s="43"/>
      <c r="B17" s="44"/>
      <c r="C17" s="44"/>
      <c r="D17" s="44"/>
      <c r="E17" s="44"/>
      <c r="F17" s="46"/>
      <c r="G17" s="44"/>
      <c r="H17" s="44"/>
      <c r="I17" s="44"/>
      <c r="J17" s="44"/>
      <c r="K17" s="44"/>
      <c r="L17" s="44"/>
      <c r="M17" s="45"/>
      <c r="N17" s="46"/>
      <c r="O17" s="144"/>
      <c r="P17" s="144"/>
      <c r="Q17" s="47"/>
    </row>
    <row r="18" spans="1:18" ht="17.25" customHeight="1" x14ac:dyDescent="0.2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5"/>
      <c r="N18" s="46"/>
      <c r="O18" s="144"/>
      <c r="P18" s="144"/>
      <c r="Q18" s="47"/>
    </row>
    <row r="19" spans="1:18" ht="17.25" customHeight="1" x14ac:dyDescent="0.2">
      <c r="A19" s="43"/>
      <c r="B19" s="44"/>
      <c r="C19" s="44"/>
      <c r="D19" s="44"/>
      <c r="E19" s="44"/>
      <c r="F19" s="46"/>
      <c r="G19" s="44"/>
      <c r="H19" s="44"/>
      <c r="I19" s="44"/>
      <c r="J19" s="44"/>
      <c r="K19" s="44"/>
      <c r="L19" s="44"/>
      <c r="M19" s="45"/>
      <c r="N19" s="46"/>
      <c r="O19" s="144"/>
      <c r="P19" s="144"/>
      <c r="Q19" s="47"/>
    </row>
    <row r="20" spans="1:18" ht="17.25" customHeight="1" x14ac:dyDescent="0.2">
      <c r="A20" s="43"/>
      <c r="B20" s="44"/>
      <c r="C20" s="44"/>
      <c r="D20" s="44"/>
      <c r="E20" s="44"/>
      <c r="F20" s="46"/>
      <c r="G20" s="44"/>
      <c r="H20" s="44"/>
      <c r="I20" s="44"/>
      <c r="J20" s="44"/>
      <c r="K20" s="44"/>
      <c r="L20" s="44"/>
      <c r="M20" s="45"/>
      <c r="N20" s="46"/>
      <c r="O20" s="144"/>
      <c r="P20" s="144"/>
      <c r="Q20" s="47"/>
    </row>
    <row r="21" spans="1:18" ht="17.25" customHeight="1" x14ac:dyDescent="0.2">
      <c r="A21" s="43"/>
      <c r="B21" s="44"/>
      <c r="C21" s="44"/>
      <c r="D21" s="44"/>
      <c r="E21" s="44"/>
      <c r="F21" s="46"/>
      <c r="G21" s="44"/>
      <c r="H21" s="44"/>
      <c r="I21" s="44"/>
      <c r="J21" s="44"/>
      <c r="K21" s="44"/>
      <c r="L21" s="44"/>
      <c r="M21" s="45"/>
      <c r="N21" s="46"/>
      <c r="O21" s="144"/>
      <c r="P21" s="144"/>
      <c r="Q21" s="47"/>
      <c r="R21" s="1"/>
    </row>
    <row r="22" spans="1:18" ht="17.25" customHeight="1" x14ac:dyDescent="0.2">
      <c r="A22" s="48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50"/>
      <c r="N22" s="49"/>
      <c r="O22" s="145"/>
      <c r="P22" s="145"/>
      <c r="Q22" s="51"/>
    </row>
    <row r="23" spans="1:18" ht="20.25" customHeight="1" x14ac:dyDescent="0.2">
      <c r="A23" s="146" t="s">
        <v>76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52">
        <f>SUM(Q15:Q22)</f>
        <v>1289319.72</v>
      </c>
    </row>
    <row r="24" spans="1:18" ht="18" customHeight="1" thickBot="1" x14ac:dyDescent="0.25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</row>
    <row r="25" spans="1:18" ht="17.25" customHeight="1" thickBot="1" x14ac:dyDescent="0.25">
      <c r="A25" s="139" t="s">
        <v>50</v>
      </c>
      <c r="B25" s="140"/>
      <c r="C25" s="140"/>
      <c r="D25" s="140"/>
      <c r="E25" s="140"/>
      <c r="F25" s="141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</row>
    <row r="26" spans="1:18" ht="18" customHeight="1" thickBot="1" x14ac:dyDescent="0.25">
      <c r="A26" s="143" t="s">
        <v>75</v>
      </c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</row>
    <row r="27" spans="1:18" ht="15" customHeight="1" x14ac:dyDescent="0.2">
      <c r="A27" s="143"/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Usuario</cp:lastModifiedBy>
  <cp:revision>2</cp:revision>
  <cp:lastPrinted>2020-10-01T01:46:41Z</cp:lastPrinted>
  <dcterms:created xsi:type="dcterms:W3CDTF">2020-07-17T23:44:49Z</dcterms:created>
  <dcterms:modified xsi:type="dcterms:W3CDTF">2020-10-01T02:33:18Z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