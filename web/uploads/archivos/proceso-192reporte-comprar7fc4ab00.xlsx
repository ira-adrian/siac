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36. Equipos de Oficina y Articulos del Hogar MICE\3. Analisis\"/>
    </mc:Choice>
  </mc:AlternateContent>
  <xr:revisionPtr revIDLastSave="0" documentId="13_ncr:1_{F04858D0-6D8A-42A1-8FB1-B54ED43C7AFE}" xr6:coauthVersionLast="47" xr6:coauthVersionMax="47" xr10:uidLastSave="{00000000-0000-0000-0000-000000000000}"/>
  <bookViews>
    <workbookView xWindow="780" yWindow="780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0" i="2" l="1"/>
  <c r="M30" i="2"/>
  <c r="Q30" i="2"/>
  <c r="U30" i="2"/>
  <c r="Y30" i="2"/>
</calcChain>
</file>

<file path=xl/sharedStrings.xml><?xml version="1.0" encoding="utf-8"?>
<sst xmlns="http://schemas.openxmlformats.org/spreadsheetml/2006/main" count="213" uniqueCount="154">
  <si>
    <t>Número expediente:</t>
  </si>
  <si>
    <t>EX-2022-01677359-   -CAT-SCA#MEC</t>
  </si>
  <si>
    <t>Número proceso de compra:</t>
  </si>
  <si>
    <t>100-0163-CDI22</t>
  </si>
  <si>
    <t>Nombre descriptivo proceso de compra:</t>
  </si>
  <si>
    <t>Adq de mobiliario y equipamiento con destino al clúster tecnológico “El Pantanillo” - MICE</t>
  </si>
  <si>
    <t>Unidad Operativa de Compras:</t>
  </si>
  <si>
    <t>Secretaria de Compras y Abastecimiento</t>
  </si>
  <si>
    <t>Fecha de Apertura:</t>
  </si>
  <si>
    <t>15/09/2022</t>
  </si>
  <si>
    <t>Renglón</t>
  </si>
  <si>
    <t>LOURDES AGUSTINA PEREZ RODRIGUEZ</t>
  </si>
  <si>
    <t>CENTRO DEL MUEBLE S.R.L.</t>
  </si>
  <si>
    <t>ELIO OMAR CANDUSSI</t>
  </si>
  <si>
    <t>MARTIN ABEL LAGORIA</t>
  </si>
  <si>
    <t>TEJADA HNOS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</si>
  <si>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</si>
  <si>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</si>
  <si>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</si>
  <si>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</si>
  <si>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</si>
  <si>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</si>
  <si>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</si>
  <si>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</si>
  <si>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</si>
  <si>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</si>
  <si>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4.3.7-42.17 </t>
  </si>
  <si>
    <t xml:space="preserve">MOSTRADORES; PUERTA ACCESO: SIN, MEDIDA: 180 X 80 X 105 
Cm, CAJONES: SIN, TERMINACION: LAMINADO PLASTICO, CANTIDAD DE CAJONES: SIN, 
MATERIAL: AGLOMERADO, MATERIAL ESTRUCTURA: AGLOMERADO, PUERTA: SIN, ESTANTE: 1, ESTANTES: 
1, Nº ESTANTES: 1 </t>
  </si>
  <si>
    <t xml:space="preserve">UNIDAD </t>
  </si>
  <si>
    <t xml:space="preserve">MOSTRADORES SIN PUERTA MEDIDA: 180 X 80 X 105 Cm, 
SIN CAJONES: TERMINACION MATERIAL: AGLOMERADO, CANTIDAD DE ESTANTES: 1 marca 
AMOBLAMIENTOS SAN EXPEDITO D.C LINEA PREMIUN  </t>
  </si>
  <si>
    <t xml:space="preserve">Mostrador recepción recta de  1.80 x0.80x1.05  / en 
Melamina . Doble Tapa ( plano superior y plano inferior), 
laterales 25mm frente 18mm. Cantos con ABS de 2mm doble 
frente cascada en melamina o laqueada color a elección. Zocalo 
con regatones.  Según Pliego Marca: BEROWOOD Incluye armado en 
el lugar. - </t>
  </si>
  <si>
    <t xml:space="preserve">Mostrador recepción recta. Tapas y laterales 25mm frente 18mm. Cantos 
con ABS de 2mm frente cascada laqueada- MEDIDA: 180 X 
80 X 105 Cm MARCA: BD EQUIPAMIENTO </t>
  </si>
  <si>
    <t xml:space="preserve">2 </t>
  </si>
  <si>
    <t xml:space="preserve">4.3.7-38.191 </t>
  </si>
  <si>
    <t xml:space="preserve">CAJONERAS; MATERIAL: AGLOMERADO, CANTIDAD DE CAJONES: 2, TERMINACION: MELAMINA, DIM. 
APROX. (ANCHO/PROF/ALTO): 40 X 50 X 25 Cm </t>
  </si>
  <si>
    <t xml:space="preserve">CAJONERAS; MATERIAL: AGLOMERADO, CANTIDAD DE CAJONES: 2, TERMINACION: MELAMINA, DIM. 
APROX. (ANCHO/PROF/ALTO): 40 X 50 X 25 Cm.  marca 
AMOBLAMIENTOS SAN EXPEDITO D.C LINEA PREMIUN  </t>
  </si>
  <si>
    <t xml:space="preserve">Cajonera Fija de 2 Cajones 405x480x260 -  con guías 
metálicas,  especiales para montajes en bajo tapa de escritorios 
fabricado en melamina integramente de 18mm con cerradura enj tono 
a elección. Según Pliego Marca BEROWOOD -  </t>
  </si>
  <si>
    <t xml:space="preserve">CAJONERAS; MATERIAL: AGLOMERADO, CANTIDAD DE CAJONES: 2, TERMINACION: MELAMINA, DIM. 
APROX. (ANCHO/PROF/ALTO): 40 X 50 X 25 Cm • Cajonera 
Fija de 2 Cajones para mostrador. En melamina. Cantos ABS 
0.5mm MARCA: BD EQUIPAMIENTO </t>
  </si>
  <si>
    <t xml:space="preserve">3 </t>
  </si>
  <si>
    <t xml:space="preserve">4.3.7-32.365 </t>
  </si>
  <si>
    <t xml:space="preserve">BIBLIOTECAS; MATERIAL: MELAMINA, MATERIAL ESTANTES: MELAMINA, CANTIDAD DE CUERPOS: 1, 
ALTURA: 1,32 M, PROFUNDIDAD: 0,44 M, CANT. PUERTAS: 2, ANCHO: 
0,9 M, TERMINACION: SIN VALOR, CANTIDAD DE CAJONES: SIN, Nº 
ESTANTES: 1, PUERTA: 2 CORREDIZAS, DIMENSION (ANCHO/PROF/ALTO): 90 X 44 
X 132 Cm </t>
  </si>
  <si>
    <t xml:space="preserve">BIBLIOTECAS; MATERIAL: MELAMINA, MATERIAL ESTANTES: MELAMINA, CANTIDAD DE CUERPOS: 1, 
ALTURA: 1,32 M, PROFUNDIDAD: 0,44 M, CANT. PUERTAS: 2, ANCHO: 
0,9 M, TERMINACION: SIN VALOR, CANTIDAD DE CAJONES: SIN, Nº 
ESTANTES: 1, PUERTA: 2 CORREDIZAS, DIMENSION (ANCHO/PROF/ALTO): 90 X 44 
X 132 Cm.  marca AMOBLAMIENTOS SAN EXPEDITO D.C LINEA 
PREMIUN  </t>
  </si>
  <si>
    <t xml:space="preserve">Biblioteca con Top con 2 puertas corrediza 2 Estante 900x450x1350 
Hecho en melamina. Integramente en 18mm - c/ cerradura. Con 
tiradores metálicos con regatones. Herrajes Hafele o Eurohard.  Según 
Pliego Marca BEROWOOD -  </t>
  </si>
  <si>
    <t xml:space="preserve">BIBLIOTECA MELAMINA 90*44*132, PUERTA CORREDIZA ESTANTE 1 MARCA: BD EQUIPAMIENTO 
 </t>
  </si>
  <si>
    <t xml:space="preserve">BIBLIOTECAS; MARCA: PLATINIUM; MODELO: PUERTAS ALTAS: MATERIAL: MELAMINA, MATERIAL ESTANTES: 
MELAMINA, CANTIDAD DE CUERPOS: 1, ALTURA: 1,32 M, PROFUNDIDAD: 0,44 
M, CANT. PUERTAS: 2, ANCHO: 0,9 M, TERMINACION: SIN VALOR, 
CANTIDAD DE CAJONES: SIN, Nº ESTANTES: 1, PUERTA: 2 CORREDIZAS, 
DIMENSION (ANCHO/PROF/ALTO): 90 X 44 X 132 Cm  </t>
  </si>
  <si>
    <t xml:space="preserve">4 </t>
  </si>
  <si>
    <t xml:space="preserve">4.3.7-46.103 </t>
  </si>
  <si>
    <t xml:space="preserve">SILLONES EJECUTIVOS; TAPIZADO: ECOCUERO, PATAS: 5 RAYOS, CANTIDAD PATAS: 5, 
ALTURA: REGULABLE Cm, GIRATORIO: SI, APOYABRAZO: CON, RESPALDO: ALTO, MATERIAL: 
POLIURETANO </t>
  </si>
  <si>
    <t xml:space="preserve">SILLONES EJECUTIVOS; TAPIZADO ECOCUERO, CANTIDAD PATAS: 5, ALTURA: REGULABLE Cm, 
GIRATORIO: CON APOYABRAZO: CON, RESPALDO: ALTO, MATERIAL: POLIURETANO marca LEBDESGN 
</t>
  </si>
  <si>
    <t xml:space="preserve">Silla FRESA BASE Negra, con gas y  c/brazos estructurales. 
Asientos tapizados en tela o  ecocuero, respaldo en tela 
de Red de color  Azul, gris perla, naranja, negro, 
visón, rojo, verde, petróleo.  Ruedas revestidas de material elastómero, 
muy silenciosa.  Según Pliego Marca: Portantino </t>
  </si>
  <si>
    <t xml:space="preserve">SILLA EJECUTIVA, MODELO Fresa Simple y versátil. Ambienta espacios modernos. 
 Tapizado en tela o ecocuer. Respaldo tapizado en tela 
de red color: Azul, gris perla, naranja, negro, visón, rojo, 
verde, petróleo. Apoyabrazos fijos incorporados de manera estructural al respaldo. 
Asiento: espuma de alta densidad. Regulación neumática de altura del 
asiento. Base compuesta por nylon y fibra de vidrio de 
alta resistencia. MARCA: PORTANTINO </t>
  </si>
  <si>
    <t xml:space="preserve">SILLONES EJECUTIVOS; MARCA: LM; MODELO: GM 003; TAPIZADO: ECOCUERO, PATAS: 
5 RAYOS, CANTIDAD PATAS: 5, ALTURA: REGULABLE Cm, GIRATORIO: SI, 
APOYABRAZO: CON, RESPALDO: ALTO, MATERIAL: POLIURETANO  </t>
  </si>
  <si>
    <t xml:space="preserve">5 </t>
  </si>
  <si>
    <t xml:space="preserve">4.3.7-1303.32 </t>
  </si>
  <si>
    <t xml:space="preserve">MACETEROS; SECCION: RECTANGULAR, BASE: C/PATAS, CAPACIDAD: 40 L, MATERIAL: MDF 
</t>
  </si>
  <si>
    <t xml:space="preserve">MACETEROS; SECCION: RECTANGULAR, BASE: C/PATAS, CAPACIDAD: 40 L, MATERIAL: MDF 
marca AMOBLAMIENTOS SAN EXPEDITO D.C LINEA PREMIUN </t>
  </si>
  <si>
    <t xml:space="preserve">Modulo de Maceteros de 0.70x0.40x1.20 en MDF, con patas metalicas 
y  rejilla de sujecion para macetas.  Segúnj Pliegp 
Marca: Integral Diseño </t>
  </si>
  <si>
    <t xml:space="preserve">MACETERO MELAMINA CON PATA METALICA 0.70*0.40*1.20 MARCA: BD EQUIPAMIENTO </t>
  </si>
  <si>
    <t xml:space="preserve">6 </t>
  </si>
  <si>
    <t xml:space="preserve">4.3.7-1303.33 </t>
  </si>
  <si>
    <t xml:space="preserve">MACETEROS; SECCION: RECTANGULAR, BASE: C/PATAS, CAPACIDAD: 20 L, MATERIAL: MDF 
</t>
  </si>
  <si>
    <t xml:space="preserve">MACETEROS; SECCION: RECTANGULAR, BASE: C/PATAS, CAPACIDAD: 20 L, MATERIAL: MDF 
marca AMOBLAMIENTOS SAN EXPEDITO D.C LINEA PREMIUN </t>
  </si>
  <si>
    <t xml:space="preserve">Modulo de Maceteros de 0.40x0.40x1.20 en MDF, con patas metalicas 
y rejilla de sujecion para macetas. Según Pliego Marca: Integral 
Diseño  </t>
  </si>
  <si>
    <t xml:space="preserve">MACETERO MELAMINA PATAS METALICAS, CAPACIDAD 20L. 0.40*0.40*1.20 MARCA: BD EQUIPAMIENTO 
</t>
  </si>
  <si>
    <t xml:space="preserve">7 </t>
  </si>
  <si>
    <t xml:space="preserve">4.3.7-40.1353 </t>
  </si>
  <si>
    <t xml:space="preserve">ESCRITORIOS; MATERIAL ESTRUCTURA: AGLOMERADO, TERMINACION: MELAMINA, DIM. DEL PLANO DE 
APOYO: 180 X 70 CM, CON EXTENSION CAJONERA PEDESTAL 0,90 
X 0,45M, CANTIDAD DE CAJONES: 4 </t>
  </si>
  <si>
    <t xml:space="preserve">ESCRITORIOS; MATERIAL ESTRUCTURA: AGLOMERADO, TERMINACION: MELAMINA, DIM. DEL PLANO DE 
APOYO: 180 X 70 CM, CON EXTENSION CAJONERA PEDESTAL 0,90 
X 0,45M, CANTIDAD DE CAJONES: 4. marca AMOBLAMIENTOS SAN EXPEDITO 
D.C LINEA PREMIUN </t>
  </si>
  <si>
    <t xml:space="preserve">Escritorio individual en L de 180x70x75(h), tapa de melamina 18mm 
base metalica regatones ajustables al piso, con extensión de 0,90 
x 0,45 con cajonera pedestal de 4 cajones fija. Base 
caño 60x30 pintsado con pintura epoxi  en aglomerado melamínico 
de 18mm cerradura Según Pliego Marca BEROWOOD - Línea Axis 
</t>
  </si>
  <si>
    <t xml:space="preserve">Escritorio individual en L de 180x70x75(h), tapa de melamina 18mm 
base metalica regatones ajustables al piso, con extensión de 0,90 
x 0,45 con cajonera pedestal de 4 cajones fija. Base 
caño 60x30 pintado con pintura epoxi horneada, tapa y cajones 
en aglomerado melamínico de 18mm MARCA: BD EQUIPAMIENTO </t>
  </si>
  <si>
    <t xml:space="preserve">8 </t>
  </si>
  <si>
    <t xml:space="preserve">4.3.7-1606.220 </t>
  </si>
  <si>
    <t xml:space="preserve">SILLONES/SOFAS; TAPIZADO: ECOCUERO, CANTIDAD DE CUERPOS: 1, MATERIAL ESTRUCTURA: CAÑO 
CROMADO </t>
  </si>
  <si>
    <t xml:space="preserve">SILLONES/SOFAS; TAPIZADO: ECOCUERO, CANTIDAD DE CUERPOS: 1, MATERIAL ESTRUCTURA: CAÑO 
CROMADO marca BAIRES4 </t>
  </si>
  <si>
    <t xml:space="preserve">Silla CITIZ A-syncro.  Apoyo Lumbar graduable / apoy. Brazo 
regulable con apoyacabeza. Asientos tapizados en tela o ecocuero, respaldo 
en tela de Red de color  Azul, gris perla, 
naranja, negro,  visón, rojo, verde, petróleo.  Ruedas revestidas 
de material elastómero, muy silenciosa. Con apoyacabeza. Según Pliego Marca 
PORTANTINO   </t>
  </si>
  <si>
    <t xml:space="preserve">SILLON EJECUTIVO MODELO CITIZ A-SYNCRO Tapizado en tela o ecocuer. 
Espuma de asiento inyectada en poliuretano, interno de madera. Respaldo 
tapizado en tela de red color: Azul, gris perla, naranja, 
negro, visón, rojo, verde, petróleo. Apoyo Lumbar graduable en 7 
posiciones. A-SYNCRO: Mecanismo oscilante de respaldo con posiciones de ajuste 
y control de tensión. Regulación neumática de altura del asiento. 
Base compuesta por nylon y fibra de vidrio de alta 
resistencia. Ruedas revestidas de material elastómero, muy silenciosa. MARCA: PORTANTINO 
</t>
  </si>
  <si>
    <t xml:space="preserve">SILLONES/SOFAS; MARCA:LM; MODELO: GM003+CAB; TAPIZADO: ECOCUERO, CANTIDAD DE CUERPOS: 1, 
MATERIAL ESTRUCTURA: CAÑO   </t>
  </si>
  <si>
    <t xml:space="preserve">9 </t>
  </si>
  <si>
    <t xml:space="preserve">4.3.7-1406.45 </t>
  </si>
  <si>
    <t xml:space="preserve">MESAS DE REUNIONES; SUPERFICIE APOYO: AGLOMERADO, TERMINACION: LAMINADO PLASTICO, DIM. 
DEL PLANO DE APOYO: 200 X 200 X 72 Cm, 
BASE: METALICA, CAPACIDAD: 8 PERSONAS, MATERIAL: METAL, MATERIAL ESTRUCTURA: 147 
dBV/mPa  </t>
  </si>
  <si>
    <t xml:space="preserve">MESAS DE REUNIONES; SUPERFICIE APOYO: AGLOMERADO, TERMINACION: LAMINADO PLASTICO, DIM. 
DEL PLANO DE APOYO: 200 X 200 X 72 Cm, 
BASE: METALICA,CAPACIDAD: 8 PERSONAS, MATERIAL: METAL, MATERIAL ESTRUCTURA: 147 dBV/mPa. 
marca AMOBLAMIENTOS SAN EXPEDITO D.C LINEA PREMIUN </t>
  </si>
  <si>
    <t xml:space="preserve">Mesa de 2000x2000x720(h)  Tapa 18mm /  con 2 
pasacable metalico (aluminio con cepillo). Especial reforzada. Base caño 60x30 
pintado con pintura epoxi horneada, tapa en melamina de 18mm. 
En tono a elección. Cantos con ABS de 2mm  
Según Pliego Marca BEROWOOD - Línea Axis Incluye Armado en 
el lugar.- </t>
  </si>
  <si>
    <t xml:space="preserve">MESAS DE REUNIONES; SUPERFICIE APOYO: AGLOMERADO, TERMINACION: LAMINADO PLASTICO, DIM. 
DEL PLANO DE APOYO: 200 X 200 X 72 Cm, 
BASE: METALICA, CAPACIDAD: 8 PERSONAS, MATERIAL: METAL, MATERIAL ESTRUCTURA: 147 
dBV/mPa • Mesa 200 x 200 x 72 Tapa 18mm 
/ con 2 pasacable metálico. En tono a elección  
MARCA: BD EQUIPAMIENTO </t>
  </si>
  <si>
    <t xml:space="preserve">MESAS DE REUNIONES; MARCA: EMC; MODELO:  PARA OFICINA NEG/HAYA 
V MREUNH; SUPERFICIE APOYO: AGLOMERADO, TERMINACION: LAMINADO PLASTICO, DIM. DEL 
PLANO DE APOYO: LARGO:200; ALTURA:11; ANCHO:100  </t>
  </si>
  <si>
    <t xml:space="preserve">10 </t>
  </si>
  <si>
    <t xml:space="preserve">4.3.7-1405.180 </t>
  </si>
  <si>
    <t xml:space="preserve">PUESTOS DE TRABAJO; TERMINACION: MELAMINA, DIM. DEL PLANO DE APOYO: 
720 X 140 Cm, DIM. DE LAS PANTALLA DIVISORIA: 720 
X 25 Cm, MATERIAL: CAÑO ESTRUCTURAL </t>
  </si>
  <si>
    <t xml:space="preserve">PUESTOS DE TRABAJO; TERMINACION: MELAMINA, DIM. DEL PLANO DE APOYO: 
720 X 140 Cm, DIM. DE LAS PANTALLA DIVISORIA: 720 
X 25 Cm, MATERIAL: CAÑO ESTRUCTURAL marca AMOBLAMIENTOS SAN EXPEDITO 
D.C LINEA PREMIUN </t>
  </si>
  <si>
    <t xml:space="preserve">Puestos de trabajo con pasacable y bandeja porta-cable 720x140x74(h) para 
12 personas (se entiende que x 4 puestos la capacidad 
total es para 48 personas),  Color a elecc.. Bases 
metálica de caño 60x30 pintado con pintura epoxi horneada, tapa 
en melamina de 18mm con cantos abs 2mm. En tono 
a elección, con paneles divisorios de 720 x 32 en 
melamina de 18mm. Según Pliego Marca BEROWOOD - Línea Axis 
* OPCION a elección manejar la misma linea por puestos 
dobles a un valor de $87.500 o individuales de $ 
43.750 c/u), incluye armado en el lugar y la Linea 
permite la flexibilidad según planta de arquitectura para la distribución 
de los puestos.  </t>
  </si>
  <si>
    <t xml:space="preserve">PUESTOS DE TRABAJO; TERMINACION: MELAMINA, DIM. DEL PLANO DE APOYO: 
720 X 140 Cm, DIM. DE LAS PANTALLA DIVISORIA: 720 
X 25 Cm, MATERIAL: CAÑO ESTRUCTURAL MARCA: BD EQUIPAMIENTO </t>
  </si>
  <si>
    <t xml:space="preserve">11 </t>
  </si>
  <si>
    <t xml:space="preserve">4.3.7-1845.224 </t>
  </si>
  <si>
    <t xml:space="preserve">MESAS RATONAS; TERMINACION: MELAMINA, MATERIAL ESTRUCTURA: PLACA MELAMINA, DIM. DEL 
PLANO DE APOYO: 1,00 X 1,00 X 0,45  M 
</t>
  </si>
  <si>
    <t xml:space="preserve">MESAS RATONAS; TERMINACION: MELAMINA, MATERIAL ESTRUCTURA: PLACA MELAMINA, DIM. DEL 
PLANO DE APOYO: 1,00 X 1,00 X 0,45 M marca 
AMOBLAMIENTOS SAN EXPEDITO D.C LINEA PREMIUN </t>
  </si>
  <si>
    <t xml:space="preserve">Mesa ratona de 100x100x45h - Integramente en aglomerado melamínico de 
18mm.  Según pliego Marca: Berowood incluye Armado / ensamblado 
</t>
  </si>
  <si>
    <t xml:space="preserve">• Mesa ratona - Integramente en aglomerado melamínico de 18mm- 
En tono a elección MARCA: BD EQUIPAMIENTO </t>
  </si>
  <si>
    <t xml:space="preserve">MESAS RATONAS; MARCA: RICCHEZE: MODELO: TRAPANI CHERRY-MALAGA; TERMINACION: MELAMINA, MATERIAL 
ESTRUCTURA: PLACA MELAMINA, DIM. DEL PLANO DE APOYO: 1,00 X 
1,00 X 0,45 M  </t>
  </si>
  <si>
    <t xml:space="preserve">12 </t>
  </si>
  <si>
    <t xml:space="preserve">SILLONES/SOFAS; TAPIZADO: ECOCUERO, CANTIDAD DE CUERPOS: 1, MATERIAL ESTRUCTURA: CAÑO 
CROMADO marca OMICRON </t>
  </si>
  <si>
    <t xml:space="preserve">Sillón PAULIN Fija Cromada. Tapizado en tela o ecocuero, en 
tonos a elección, sobre espuma de alta densidad, Estructura Base 
fija cromada Según Pliego Marca: Portantino </t>
  </si>
  <si>
    <t xml:space="preserve">SILLON MODELO Paulín Cómodo y elegante. Confortable sensación.  Tapizado 
en tela o ecocuer. Espuma de alta densidad. Estructura Base 
fija cromada. MARCA: PORTANTINO </t>
  </si>
  <si>
    <t xml:space="preserve">SILLONES/SOFAS; MARCA: LM; MODELO:PU 01; DISEÑO: MODERNO PUFF, TAPIZADO: CUERO 
ECOLOGICO, APOYABRAZO: SIN, ALMOHADON: SIN, RUEDAS: NO, CANTIDAD DE CUERPOS: 
1, PATAS:0, MATERIAL ESTRUCTURA: CUERO ECOLOGICO  </t>
  </si>
  <si>
    <t xml:space="preserve">13 </t>
  </si>
  <si>
    <t xml:space="preserve">4.3.7-1606.223 </t>
  </si>
  <si>
    <t xml:space="preserve">SILLONES/SOFAS; DISEÑO: MODERNO PUFF, TAPIZADO: CUERO ECOLOGICO, APOYABRAZO: SIN, ALMOHADON: 
SIN, RUEDAS: NO, CANTIDAD DE CUERPOS: 1, PATAS:0, MATERIAL ESTRUCTURA: 
CUERO ECOLOGICO </t>
  </si>
  <si>
    <t xml:space="preserve">SILLONES/SOFAS; DISEÑO: MODERNO PUFF, TAPIZADO: CUERO ECOLOGICO, APOYABRAZO: SIN, ALMOHADON: 
SIN, RUEDAS: NO, CANTIDAD DE CUERPOS: 1, PATAS:0, MATERIAL ESTRUCTURA: 
CUERO ECOLOGICO marca ARKANA PROYECT </t>
  </si>
  <si>
    <t xml:space="preserve">Puff redondo Tapizados en cuero ecológico en tonos a elección, 
modelo marlon con base tapizada y ragatón. Marca. D-Istrito.  
</t>
  </si>
  <si>
    <t xml:space="preserve">PUFF TAPIZADO EN ECOCUERO DIAMETRO 45CM, ALTO 43CM MARCA: BONADECO 
</t>
  </si>
  <si>
    <t xml:space="preserve">14 </t>
  </si>
  <si>
    <t xml:space="preserve">4.3.7-1606.31 </t>
  </si>
  <si>
    <t xml:space="preserve">SILLONES/SOFAS; ESTRUCTURA: MADERA, TAPIZADO: TELA, COLOR: SIN VALOR, APOYA BRAZO: 
CON, ALMOHADON: CON, RUEDAS: SIN, PATAS: SIN VALOR, DISEÑO: SIN 
VALOR, CANTIDAD DE CUERPOS: 3, MATERIAL ESTRUCTURA: MADERA, APOYABRAZO: CON 
</t>
  </si>
  <si>
    <t xml:space="preserve">SILLONES/SOFAS; ESTRUCTURA: MADERA, TAPIZADO: TELA PANA ATERCIOPELADA ANTIMANCHAS COLOR: SIN 
VALOR, APOYA BRAZO: CON, ALMOHADON: CON, RUEDAS: SIN, PATAS: SIN 
VALOR, DISEÑO: SIN VALOR, CANTIDAD DE CUERPOS: 3, MATERIAL ESTRUCTURA: 
MADERA, APOYABRAZO: CON marca LUNA DESIGN / ITALIANO </t>
  </si>
  <si>
    <t xml:space="preserve">Sillón MontrealModulado 3 cuerpos que se divide en 3 sillones 
de 1 cuerpo, Estructura de madera y espuma de alta 
densidad, tapizada en tela ecocuero o talampaya tonos a elección 
idem imágen adjunta con regatones de alta resistencia. Según Pliego 
Marca: D-Istrito.- </t>
  </si>
  <si>
    <t xml:space="preserve">SOFA 3 CUERPOS 210CM * 100CM MARCA: BD EQUIPAMIENTO </t>
  </si>
  <si>
    <t xml:space="preserve">SILLONES/SOFAS; MARCA: DUOMO: MODELO: PRAGA; ESTRUCTURA: MADERA, TAPIZADO: TELA, COLOR: 
SIN VALOR, APOYA BRAZO: CON, ALMOHADON: CON, RUEDAS: SIN, PATAS: 
SIN VALOR, DISEÑO: SIN VALOR, CANTIDAD DE CUERPOS: 3, MATERIAL 
ESTRUCTURA: MADERA, APOYABRAZO: CON  </t>
  </si>
  <si>
    <t xml:space="preserve">15 </t>
  </si>
  <si>
    <t xml:space="preserve">4.3.7-1407.882 </t>
  </si>
  <si>
    <t xml:space="preserve">MESAS DE APOYO; MATERIAL ESTRUCTURA: AGLOMERADO, TERMINACION: MELAMINA, DIM. DEL 
PLANO DE APOYO: 150 X 80 Cm </t>
  </si>
  <si>
    <t xml:space="preserve">MESAS DE APOYO; MATERIAL ESTRUCTURA: AGLOMERADO, TERMINACION: MELAMINA, DIM. DEL 
PLANO DE APOYO: 150 X 80 Cm marca AMOBLAMIENTOS SAN 
EXPEDITO D.C </t>
  </si>
  <si>
    <t xml:space="preserve">Barras de 0.50 x 0.80 x 1.50. Base caño estructural30x50x,6mm 
pintura epoxi horneada, tapa en aglomerado melamínico de 18mm con 
cantos ABS 2mm en tono a elección Según Pliego Marca 
D-Istrito Línea Cubic   </t>
  </si>
  <si>
    <t xml:space="preserve">Base caño estructural tapa en aglomerado melamínico de 18mmen-  
MARCA: BD EQUIPAMIENTO </t>
  </si>
  <si>
    <t xml:space="preserve">MESAS DE APOYO; MARCA: DUOMO; MATERIAL ESTRUCTURA: AGLOMERADO, TERMINACION: MELAMINA, 
DIM. DEL PLANO DE APOYO: 120 X 100 Cm  
</t>
  </si>
  <si>
    <t xml:space="preserve">16 </t>
  </si>
  <si>
    <t xml:space="preserve">4.3.7-2001.36 </t>
  </si>
  <si>
    <t xml:space="preserve">BANQUETAS/TABURETES; RESPALDO: CON, GIRATORIA: NO, ALTURA: FIJA, MATERIAL: METAL </t>
  </si>
  <si>
    <t xml:space="preserve">BANQUETAS/TABURETES; RESPALDO: CON, GIRATORIA: NO, ALTURA: FIJA, MATERIAL: METAL marca 
PORTANTINO </t>
  </si>
  <si>
    <t xml:space="preserve">Taburete Milo Colors. Asiento monocasco en homopolímero de alto impacto, 
estructura realizada con varilla de hierro, acabado pintura color Blanco, 
menta, negro y rojo (a elección) Marca POrtantino </t>
  </si>
  <si>
    <t xml:space="preserve">TABURETE METAL MODELO MILO MARCA: PORTANTINO </t>
  </si>
  <si>
    <t xml:space="preserve">BANQUETAS/TABURETES; MARCA: LM; MODELO; VA 909; RESPALDO: CON, GIRATORIA: NO, 
ALTURA: FIJA, MATERIAL: METAL  </t>
  </si>
  <si>
    <t xml:space="preserve">17 </t>
  </si>
  <si>
    <t xml:space="preserve">4.3.7-1362.62 </t>
  </si>
  <si>
    <t xml:space="preserve">MESAS CURVAS; CURVA: CIRCULAR, DIMENSION: DIAMETRO 140 Cm, MATERIAL: AGLOMERADO, 
TERMINACION: LAMINADO </t>
  </si>
  <si>
    <t xml:space="preserve">MESAS CURVAS; CURVA: CIRCULAR, DIMENSION: DIAMETRO 140 Cm, MATERIAL: AGLOMERADO, 
TERMINACION: LAMINADO marca TU MUEBLE </t>
  </si>
  <si>
    <t xml:space="preserve">Mesas redondas base con plato diametro 140cm, Tapa en Melamina 
sobre aglomerado de 25mm con cantos ABS 2mm en tono 
a elección Base metálica circular pintado con pintura epoxi horneada. 
Según Pliego Marca Berowood </t>
  </si>
  <si>
    <t xml:space="preserve">MESAS CURVAS; MARCA: SILCAR; MODELO: EAMES REDONDA MEL. TAPA BLANCO 
MEREDMA01BL; CURVA: CIRCULAR, DIMENSION: DIAMETRO 140 Cm, MATERIAL: AGLOMERADO, TERMINACION: 
LAMINADO  </t>
  </si>
  <si>
    <t xml:space="preserve">18 </t>
  </si>
  <si>
    <t xml:space="preserve">4.3.7-45.592 </t>
  </si>
  <si>
    <t xml:space="preserve">SILLAS; MATERIAL ESTRUCTURA: POLIPROPILENO, TAPIZADO: SIN, ALTURA: 82 Cm, GIRATORIA: 
NO </t>
  </si>
  <si>
    <t xml:space="preserve">SILLAS; MATERIAL ESTRUCTURA: POLIPROPILENO, TAPIZADO: SIN, ALTURA: 82 Cm, GIRATORIA: 
NO marca ROSSI </t>
  </si>
  <si>
    <t xml:space="preserve">Silla RIO Fija s/brazos Polipropileno inyectado  Blanco, Gris, Verde 
Selva, Camel, Negro, blanco, rojo Según Pliego Marca Portantino </t>
  </si>
  <si>
    <t xml:space="preserve">SILLA MODELO Río   Monocasco en homopolí­mero de alto 
impacto. MARCA: PORTANTINO </t>
  </si>
  <si>
    <t xml:space="preserve">SILLAS; MARCA: GARDEN LIFE: MODELO: EAMES; MATERIAL ESTRUCTURA: POLIPROPILENO Y 
 MADERA, TAPIZADO: SIN, ALTURA: 82 Cm, GIRATORIA: NO  
</t>
  </si>
  <si>
    <t xml:space="preserve">19 </t>
  </si>
  <si>
    <t xml:space="preserve">4.3.5-241.107 </t>
  </si>
  <si>
    <t xml:space="preserve">TELEVISORES; PANTALLA SMART LED 4K ULTRA HD 55PULG - NORMA 
MULTINORMA - CANTIDAD DE CANALES NO APLICA - APAGADO CON 
- VISION MULTICANAL: SI </t>
  </si>
  <si>
    <t xml:space="preserve">TELEVISORES; PANTALLA SMART LED 4K ULTRA HD 55PULG + SOPORTE 
PARA PARED CON KIT DE INSTALACION - NORMA MULTINORMA - 
CANTIDAD DE CANALES NO APLICA - APAGADO CON - VISION 
MULTICANAL: SI Con USB - HDMI - Wi-Fi Resolución máxima 
3840 px - 2160 px marca RCA / CANDY  
</t>
  </si>
  <si>
    <t xml:space="preserve">TELEVISORES; MARCA: BGH; MODELO: LED BGH 55` SMART TV 4K 
UHD - B5521UH6A- PNE040245; PANTALLA SMART LED 4K ULTRA HD 
55PULG - NORMA MULTINORMA - CANTIDAD DE CANALES NO APLICA 
- APAGADO CON - VISION MULTICANAL: SI  </t>
  </si>
  <si>
    <t xml:space="preserve">20 </t>
  </si>
  <si>
    <t xml:space="preserve">4.3.5-203.46 </t>
  </si>
  <si>
    <t xml:space="preserve">PROYECTORES DE VIDEO; PROYECTOR LED CALIDAD: 1080P FULL HD, LUMENS: 
6500, CONTRASTE: 2000: 1, RELACION DE ASPECTO: 16: 9/4:3, RESOLUCION: 
1920 X 1080 PIXELES, PIEDRA CLAVE: MANUAL, CON CONTROL REMOTO 
</t>
  </si>
  <si>
    <t xml:space="preserve">PROYECTORES DE VIDEO; PROYECTOR LED CALIDAD: 1080P FULL HD, LUMENS: 
6500, CONTRASTE: 2000: 1, RELACION DE ASPECTO: 16: 9/4:3, RESOLUCION: 
1920 X 1080 PIXELES, PIEDRA CLAVE: MANUAL, CON CONTROL REMOTO 
Modelo: LED S04 - Sistema Operativo: Android 8.0 - Bluetooth: 
4.0 - Resolución Nativa Full HD 1920*1080 pixel, Soporta 4K 
- Potencia: 6500 lúmenes - Duración de lámpara: 30.000 horas 
- Aspecto de ratio: 4:3/16:9 Nativo - Contraste: 5000:1 - 
Keystone de corrección: +-15° - Medidas: 30.5 x 24.5 x 
8.7 CM - Parlantes: 2 x 4ohm*5W - Peso: 2,6 
KG - Pulgadas: De 40" (a 1,8 metros) a 300" 
(a 5 metros) Conectores: 2 x USB - 1 x 
HDMI - 1 x Plug 3.5 (Auricular/Parlantes) - 1 x 
Plug 3.5 (Audio/Video) - 1 x VGA - 1 x 
Ethernet RJ45- marca SMART TECH </t>
  </si>
  <si>
    <t xml:space="preserve">Lúmenes: 6000 lúmenes de brillo Memoria RAM: 1GB DDR3 Memoria 
interna: 8GB EMMC Pantalla LCD de 5 pulgadas Resolución nativa: 
1920x1080 Lentes de vidrio de filmación óptica Método de enfoque: 
Manual Zoom digital: 50 -100 Relación de aspecto: 4: 3/16: 
9 Tamaño de proyección: 35-150 pulgadas de distancia Proyección: 1,28-4,89 
m Tipo de Lámparas: DIRIGIÓ Potencia de la lámpara LED: 
80W Potencia total: 120W 50.000 horas de vida útil Voltaje: 
220V / 50-60Hz Conexión de almacenamiento móvil Unidad flash USB 
externa / disco duro portátil Altavoz estéreo de alta fidelidad 
4?5W Medidas: 26 x 23 x 11 [cm] (Largo x 
Ancho x Alto) Entrada de interfaz: Salida de audio x1 
USB 2.0 x2 HDMI x2 AV ×1 Especificaciones de Android: 
CPU: Cortex 64bit WiFi: 2.4G Sistema Android: Android 9.0 Bluetooth: 
4.2 Idioma admitido por el sistema: Chino, ingles, español, etc 
Formato de imagen: JPG, PNG, BMP, JPEG Formato de audio: 
MP3 / APE / AAC / FLAC / OGG / 
WAV / WMA / MID / DTS / M4A Formato 
de video: 3GP / AVI / FLV / MP4 / 
MPG / VOB / TS / M2TS / DAT / 
MK Formato de texto: TEXTO, PALABRA, EXCEL, PPT Peso: 2,2kg 
MARCA: GANDI </t>
  </si>
  <si>
    <t xml:space="preserve">PROYECTORES DE VIDEO; MARCA: EPSON: MODELO: PROYECTOR EPSON V11H981020 POWERLITE 
E20 PROJECTOR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</si>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</sst>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0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0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0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0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0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30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C3" sqref="C3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6.28515625" customWidth="1"/>
    <col min="5" max="5" width="80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6.28515625" customWidth="1"/>
    <col min="11" max="11" width="14.28515625" customWidth="1"/>
    <col min="12" max="12" width="17.28515625" customWidth="1"/>
    <col min="13" max="13" width="16.5703125" customWidth="1"/>
    <col min="14" max="14" width="68.7109375" customWidth="1"/>
    <col min="15" max="15" width="14.28515625" customWidth="1"/>
    <col min="16" max="16" width="17.28515625" customWidth="1"/>
    <col min="17" max="17" width="16.5703125" customWidth="1"/>
    <col min="18" max="18" width="91.42578125" customWidth="1"/>
    <col min="19" max="19" width="14.28515625" customWidth="1"/>
    <col min="20" max="20" width="17.28515625" customWidth="1"/>
    <col min="21" max="21" width="16.5703125" customWidth="1"/>
    <col min="22" max="22" width="100.28515625" customWidth="1"/>
    <col min="23" max="23" width="14.28515625" customWidth="1"/>
    <col min="24" max="24" width="17.28515625" customWidth="1"/>
    <col min="25" max="25" width="16.5703125" customWidth="1"/>
    <col min="26" max="26" width="61.285156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90" x14ac:dyDescent="0.25">
      <c r="A10" t="s">
        <v>25</v>
      </c>
      <c r="B10" t="s">
        <v>25</v>
      </c>
      <c r="C10" t="s">
        <v>26</v>
      </c>
      <c r="D10" s="4" t="s">
        <v>27</v>
      </c>
      <c r="E10">
        <v>1</v>
      </c>
      <c r="F10" t="s">
        <v>28</v>
      </c>
      <c r="G10" s="3">
        <v>60000</v>
      </c>
      <c r="H10" s="3">
        <v>1</v>
      </c>
      <c r="I10" s="5">
        <v>60000</v>
      </c>
      <c r="J10" s="4" t="s">
        <v>29</v>
      </c>
      <c r="K10" s="3">
        <v>199269</v>
      </c>
      <c r="L10" s="3">
        <v>1</v>
      </c>
      <c r="M10" s="5">
        <v>199269</v>
      </c>
      <c r="N10" s="4" t="s">
        <v>30</v>
      </c>
      <c r="O10" s="3">
        <v>283294</v>
      </c>
      <c r="P10" s="3">
        <v>1</v>
      </c>
      <c r="Q10" s="5">
        <v>283294</v>
      </c>
      <c r="R10" s="4" t="s">
        <v>31</v>
      </c>
      <c r="S10" s="3"/>
      <c r="T10" s="3"/>
      <c r="U10" s="5"/>
      <c r="W10" s="3"/>
      <c r="X10" s="3"/>
      <c r="Y10" s="5"/>
    </row>
    <row r="11" spans="1:26" ht="60" x14ac:dyDescent="0.25">
      <c r="A11" t="s">
        <v>32</v>
      </c>
      <c r="B11" t="s">
        <v>25</v>
      </c>
      <c r="C11" t="s">
        <v>33</v>
      </c>
      <c r="D11" s="4" t="s">
        <v>34</v>
      </c>
      <c r="E11">
        <v>19</v>
      </c>
      <c r="F11" t="s">
        <v>28</v>
      </c>
      <c r="G11" s="3">
        <v>7500</v>
      </c>
      <c r="H11" s="3">
        <v>19</v>
      </c>
      <c r="I11" s="5">
        <v>142500</v>
      </c>
      <c r="J11" s="4" t="s">
        <v>35</v>
      </c>
      <c r="K11" s="3">
        <v>21553</v>
      </c>
      <c r="L11" s="3">
        <v>19</v>
      </c>
      <c r="M11" s="5">
        <v>409507</v>
      </c>
      <c r="N11" s="4" t="s">
        <v>36</v>
      </c>
      <c r="O11" s="3">
        <v>22520</v>
      </c>
      <c r="P11" s="3">
        <v>19</v>
      </c>
      <c r="Q11" s="5">
        <v>427880</v>
      </c>
      <c r="R11" s="4" t="s">
        <v>37</v>
      </c>
      <c r="S11" s="3"/>
      <c r="T11" s="3"/>
      <c r="U11" s="5"/>
      <c r="W11" s="3"/>
      <c r="X11" s="3"/>
      <c r="Y11" s="5"/>
    </row>
    <row r="12" spans="1:26" ht="90" x14ac:dyDescent="0.25">
      <c r="A12" t="s">
        <v>38</v>
      </c>
      <c r="B12" t="s">
        <v>25</v>
      </c>
      <c r="C12" t="s">
        <v>39</v>
      </c>
      <c r="D12" s="4" t="s">
        <v>40</v>
      </c>
      <c r="E12">
        <v>9</v>
      </c>
      <c r="F12" t="s">
        <v>28</v>
      </c>
      <c r="G12" s="3">
        <v>22500</v>
      </c>
      <c r="H12" s="3">
        <v>9</v>
      </c>
      <c r="I12" s="5">
        <v>202500</v>
      </c>
      <c r="J12" s="4" t="s">
        <v>41</v>
      </c>
      <c r="K12" s="3">
        <v>65400</v>
      </c>
      <c r="L12" s="3">
        <v>9</v>
      </c>
      <c r="M12" s="5">
        <v>588600</v>
      </c>
      <c r="N12" s="4" t="s">
        <v>42</v>
      </c>
      <c r="O12" s="3">
        <v>49172</v>
      </c>
      <c r="P12" s="3">
        <v>9</v>
      </c>
      <c r="Q12" s="5">
        <v>442548</v>
      </c>
      <c r="R12" s="4" t="s">
        <v>43</v>
      </c>
      <c r="S12" s="3">
        <v>38990</v>
      </c>
      <c r="T12" s="3">
        <v>9</v>
      </c>
      <c r="U12" s="5">
        <v>350910</v>
      </c>
      <c r="V12" s="4" t="s">
        <v>44</v>
      </c>
      <c r="W12" s="3"/>
      <c r="X12" s="3"/>
      <c r="Y12" s="5"/>
    </row>
    <row r="13" spans="1:26" ht="105" x14ac:dyDescent="0.25">
      <c r="A13" t="s">
        <v>45</v>
      </c>
      <c r="B13" t="s">
        <v>25</v>
      </c>
      <c r="C13" t="s">
        <v>46</v>
      </c>
      <c r="D13" s="4" t="s">
        <v>47</v>
      </c>
      <c r="E13">
        <v>29</v>
      </c>
      <c r="F13" t="s">
        <v>28</v>
      </c>
      <c r="G13" s="3">
        <v>25200</v>
      </c>
      <c r="H13" s="3">
        <v>29</v>
      </c>
      <c r="I13" s="5">
        <v>730800</v>
      </c>
      <c r="J13" s="4" t="s">
        <v>48</v>
      </c>
      <c r="K13" s="3">
        <v>33536</v>
      </c>
      <c r="L13" s="3">
        <v>29</v>
      </c>
      <c r="M13" s="5">
        <v>972544</v>
      </c>
      <c r="N13" s="4" t="s">
        <v>49</v>
      </c>
      <c r="O13" s="3">
        <v>32587</v>
      </c>
      <c r="P13" s="3">
        <v>29</v>
      </c>
      <c r="Q13" s="5">
        <v>945023</v>
      </c>
      <c r="R13" s="4" t="s">
        <v>50</v>
      </c>
      <c r="S13" s="3">
        <v>59990</v>
      </c>
      <c r="T13" s="3">
        <v>29</v>
      </c>
      <c r="U13" s="5">
        <v>1739710</v>
      </c>
      <c r="V13" s="4" t="s">
        <v>51</v>
      </c>
      <c r="W13" s="3"/>
      <c r="X13" s="3"/>
      <c r="Y13" s="5"/>
    </row>
    <row r="14" spans="1:26" ht="45" x14ac:dyDescent="0.25">
      <c r="A14" t="s">
        <v>52</v>
      </c>
      <c r="B14" t="s">
        <v>25</v>
      </c>
      <c r="C14" t="s">
        <v>53</v>
      </c>
      <c r="D14" s="4" t="s">
        <v>54</v>
      </c>
      <c r="E14">
        <v>4</v>
      </c>
      <c r="F14" t="s">
        <v>28</v>
      </c>
      <c r="G14" s="3">
        <v>18000</v>
      </c>
      <c r="H14" s="3">
        <v>4</v>
      </c>
      <c r="I14" s="5">
        <v>72000</v>
      </c>
      <c r="J14" s="4" t="s">
        <v>55</v>
      </c>
      <c r="K14" s="3">
        <v>25500</v>
      </c>
      <c r="L14" s="3">
        <v>4</v>
      </c>
      <c r="M14" s="5">
        <v>102000</v>
      </c>
      <c r="N14" s="4" t="s">
        <v>56</v>
      </c>
      <c r="O14" s="3">
        <v>30828</v>
      </c>
      <c r="P14" s="3">
        <v>4</v>
      </c>
      <c r="Q14" s="5">
        <v>123312</v>
      </c>
      <c r="R14" t="s">
        <v>57</v>
      </c>
      <c r="S14" s="3"/>
      <c r="T14" s="3"/>
      <c r="U14" s="5"/>
      <c r="W14" s="3"/>
      <c r="X14" s="3"/>
      <c r="Y14" s="5"/>
    </row>
    <row r="15" spans="1:26" ht="45" x14ac:dyDescent="0.25">
      <c r="A15" t="s">
        <v>58</v>
      </c>
      <c r="B15" t="s">
        <v>25</v>
      </c>
      <c r="C15" t="s">
        <v>59</v>
      </c>
      <c r="D15" s="4" t="s">
        <v>60</v>
      </c>
      <c r="E15">
        <v>4</v>
      </c>
      <c r="F15" t="s">
        <v>28</v>
      </c>
      <c r="G15" s="3">
        <v>9000</v>
      </c>
      <c r="H15" s="3">
        <v>4</v>
      </c>
      <c r="I15" s="5">
        <v>36000</v>
      </c>
      <c r="J15" s="4" t="s">
        <v>61</v>
      </c>
      <c r="K15" s="3">
        <v>17300</v>
      </c>
      <c r="L15" s="3">
        <v>4</v>
      </c>
      <c r="M15" s="5">
        <v>69200</v>
      </c>
      <c r="N15" s="4" t="s">
        <v>62</v>
      </c>
      <c r="O15" s="3">
        <v>30828</v>
      </c>
      <c r="P15" s="3">
        <v>4</v>
      </c>
      <c r="Q15" s="5">
        <v>123312</v>
      </c>
      <c r="R15" s="4" t="s">
        <v>63</v>
      </c>
      <c r="S15" s="3"/>
      <c r="T15" s="3"/>
      <c r="U15" s="5"/>
      <c r="W15" s="3"/>
      <c r="X15" s="3"/>
      <c r="Y15" s="5"/>
    </row>
    <row r="16" spans="1:26" ht="90" x14ac:dyDescent="0.25">
      <c r="A16" t="s">
        <v>64</v>
      </c>
      <c r="B16" t="s">
        <v>25</v>
      </c>
      <c r="C16" t="s">
        <v>65</v>
      </c>
      <c r="D16" s="4" t="s">
        <v>66</v>
      </c>
      <c r="E16">
        <v>2</v>
      </c>
      <c r="F16" t="s">
        <v>28</v>
      </c>
      <c r="G16" s="3">
        <v>55500</v>
      </c>
      <c r="H16" s="3">
        <v>2</v>
      </c>
      <c r="I16" s="5">
        <v>111000</v>
      </c>
      <c r="J16" s="4" t="s">
        <v>67</v>
      </c>
      <c r="K16" s="3">
        <v>105000</v>
      </c>
      <c r="L16" s="3">
        <v>2</v>
      </c>
      <c r="M16" s="5">
        <v>210000</v>
      </c>
      <c r="N16" s="4" t="s">
        <v>68</v>
      </c>
      <c r="O16" s="3">
        <v>105078</v>
      </c>
      <c r="P16" s="3">
        <v>2</v>
      </c>
      <c r="Q16" s="5">
        <v>210156</v>
      </c>
      <c r="R16" s="4" t="s">
        <v>69</v>
      </c>
      <c r="S16" s="3"/>
      <c r="T16" s="3"/>
      <c r="U16" s="5"/>
      <c r="W16" s="3"/>
      <c r="X16" s="3"/>
      <c r="Y16" s="5"/>
    </row>
    <row r="17" spans="1:26" ht="135" x14ac:dyDescent="0.25">
      <c r="A17" t="s">
        <v>70</v>
      </c>
      <c r="B17" t="s">
        <v>25</v>
      </c>
      <c r="C17" t="s">
        <v>71</v>
      </c>
      <c r="D17" s="4" t="s">
        <v>72</v>
      </c>
      <c r="E17">
        <v>12</v>
      </c>
      <c r="F17" t="s">
        <v>28</v>
      </c>
      <c r="G17" s="3">
        <v>90866</v>
      </c>
      <c r="H17" s="3">
        <v>12</v>
      </c>
      <c r="I17" s="5">
        <v>1090392</v>
      </c>
      <c r="J17" s="4" t="s">
        <v>73</v>
      </c>
      <c r="K17" s="3">
        <v>69400</v>
      </c>
      <c r="L17" s="3">
        <v>12</v>
      </c>
      <c r="M17" s="5">
        <v>832800</v>
      </c>
      <c r="N17" s="4" t="s">
        <v>74</v>
      </c>
      <c r="O17" s="3">
        <v>67065</v>
      </c>
      <c r="P17" s="3">
        <v>12</v>
      </c>
      <c r="Q17" s="5">
        <v>804780</v>
      </c>
      <c r="R17" s="4" t="s">
        <v>75</v>
      </c>
      <c r="S17" s="3">
        <v>66990</v>
      </c>
      <c r="T17" s="3">
        <v>12</v>
      </c>
      <c r="U17" s="5">
        <v>803880</v>
      </c>
      <c r="V17" s="4" t="s">
        <v>76</v>
      </c>
      <c r="W17" s="3"/>
      <c r="X17" s="3"/>
      <c r="Y17" s="5"/>
    </row>
    <row r="18" spans="1:26" ht="105" x14ac:dyDescent="0.25">
      <c r="A18" t="s">
        <v>77</v>
      </c>
      <c r="B18" t="s">
        <v>25</v>
      </c>
      <c r="C18" t="s">
        <v>78</v>
      </c>
      <c r="D18" s="4" t="s">
        <v>79</v>
      </c>
      <c r="E18">
        <v>1</v>
      </c>
      <c r="F18" t="s">
        <v>28</v>
      </c>
      <c r="G18" s="3">
        <v>45000</v>
      </c>
      <c r="H18" s="3">
        <v>1</v>
      </c>
      <c r="I18" s="5">
        <v>45000</v>
      </c>
      <c r="J18" s="4" t="s">
        <v>80</v>
      </c>
      <c r="K18" s="3">
        <v>159000</v>
      </c>
      <c r="L18" s="3">
        <v>1</v>
      </c>
      <c r="M18" s="5">
        <v>159000</v>
      </c>
      <c r="N18" s="4" t="s">
        <v>81</v>
      </c>
      <c r="O18" s="3">
        <v>160196</v>
      </c>
      <c r="P18" s="3">
        <v>1</v>
      </c>
      <c r="Q18" s="5">
        <v>160196</v>
      </c>
      <c r="R18" s="4" t="s">
        <v>82</v>
      </c>
      <c r="S18" s="3">
        <v>49990</v>
      </c>
      <c r="T18" s="3">
        <v>1</v>
      </c>
      <c r="U18" s="5">
        <v>49990</v>
      </c>
      <c r="V18" s="4" t="s">
        <v>83</v>
      </c>
      <c r="W18" s="3"/>
      <c r="X18" s="3"/>
      <c r="Y18" s="5"/>
    </row>
    <row r="19" spans="1:26" ht="180" x14ac:dyDescent="0.25">
      <c r="A19" t="s">
        <v>84</v>
      </c>
      <c r="B19" t="s">
        <v>25</v>
      </c>
      <c r="C19" t="s">
        <v>85</v>
      </c>
      <c r="D19" s="4" t="s">
        <v>86</v>
      </c>
      <c r="E19">
        <v>4</v>
      </c>
      <c r="F19" t="s">
        <v>28</v>
      </c>
      <c r="G19" s="3">
        <v>75000</v>
      </c>
      <c r="H19" s="3">
        <v>4</v>
      </c>
      <c r="I19" s="5">
        <v>300000</v>
      </c>
      <c r="J19" s="4" t="s">
        <v>87</v>
      </c>
      <c r="K19" s="3">
        <v>525000</v>
      </c>
      <c r="L19" s="3">
        <v>4</v>
      </c>
      <c r="M19" s="5">
        <v>2100000</v>
      </c>
      <c r="N19" s="4" t="s">
        <v>88</v>
      </c>
      <c r="O19" s="3">
        <v>277263</v>
      </c>
      <c r="P19" s="3">
        <v>4</v>
      </c>
      <c r="Q19" s="5">
        <v>1109052</v>
      </c>
      <c r="R19" s="4" t="s">
        <v>89</v>
      </c>
      <c r="S19" s="3"/>
      <c r="T19" s="3"/>
      <c r="U19" s="5"/>
      <c r="W19" s="3"/>
      <c r="X19" s="3"/>
      <c r="Y19" s="5"/>
    </row>
    <row r="20" spans="1:26" ht="60" x14ac:dyDescent="0.25">
      <c r="A20" t="s">
        <v>90</v>
      </c>
      <c r="B20" t="s">
        <v>25</v>
      </c>
      <c r="C20" t="s">
        <v>91</v>
      </c>
      <c r="D20" s="4" t="s">
        <v>92</v>
      </c>
      <c r="E20">
        <v>5</v>
      </c>
      <c r="F20" t="s">
        <v>28</v>
      </c>
      <c r="G20" s="3">
        <v>13500</v>
      </c>
      <c r="H20" s="3">
        <v>5</v>
      </c>
      <c r="I20" s="5">
        <v>67500</v>
      </c>
      <c r="J20" s="4" t="s">
        <v>93</v>
      </c>
      <c r="K20" s="3">
        <v>45000</v>
      </c>
      <c r="L20" s="3">
        <v>5</v>
      </c>
      <c r="M20" s="5">
        <v>225000</v>
      </c>
      <c r="N20" s="4" t="s">
        <v>94</v>
      </c>
      <c r="O20" s="3">
        <v>38735</v>
      </c>
      <c r="P20" s="3">
        <v>5</v>
      </c>
      <c r="Q20" s="5">
        <v>193675</v>
      </c>
      <c r="R20" s="4" t="s">
        <v>95</v>
      </c>
      <c r="S20" s="3">
        <v>34990</v>
      </c>
      <c r="T20" s="3">
        <v>5</v>
      </c>
      <c r="U20" s="5">
        <v>174950</v>
      </c>
      <c r="V20" s="4" t="s">
        <v>96</v>
      </c>
      <c r="W20" s="3"/>
      <c r="X20" s="3"/>
      <c r="Y20" s="5"/>
    </row>
    <row r="21" spans="1:26" ht="45" x14ac:dyDescent="0.25">
      <c r="A21" t="s">
        <v>97</v>
      </c>
      <c r="B21" t="s">
        <v>25</v>
      </c>
      <c r="C21" t="s">
        <v>71</v>
      </c>
      <c r="D21" s="4" t="s">
        <v>72</v>
      </c>
      <c r="E21">
        <v>6</v>
      </c>
      <c r="F21" t="s">
        <v>28</v>
      </c>
      <c r="G21" s="3">
        <v>50322</v>
      </c>
      <c r="H21" s="3">
        <v>6</v>
      </c>
      <c r="I21" s="5">
        <v>301932</v>
      </c>
      <c r="J21" s="4" t="s">
        <v>98</v>
      </c>
      <c r="K21" s="3">
        <v>39306</v>
      </c>
      <c r="L21" s="3">
        <v>6</v>
      </c>
      <c r="M21" s="5">
        <v>235836</v>
      </c>
      <c r="N21" s="4" t="s">
        <v>99</v>
      </c>
      <c r="O21" s="3">
        <v>47741</v>
      </c>
      <c r="P21" s="3">
        <v>6</v>
      </c>
      <c r="Q21" s="5">
        <v>286446</v>
      </c>
      <c r="R21" s="4" t="s">
        <v>100</v>
      </c>
      <c r="S21" s="3">
        <v>54990</v>
      </c>
      <c r="T21" s="3">
        <v>6</v>
      </c>
      <c r="U21" s="5">
        <v>329940</v>
      </c>
      <c r="V21" s="4" t="s">
        <v>101</v>
      </c>
      <c r="W21" s="3"/>
      <c r="X21" s="3"/>
      <c r="Y21" s="5"/>
    </row>
    <row r="22" spans="1:26" ht="60" x14ac:dyDescent="0.25">
      <c r="A22" t="s">
        <v>102</v>
      </c>
      <c r="B22" t="s">
        <v>25</v>
      </c>
      <c r="C22" t="s">
        <v>103</v>
      </c>
      <c r="D22" s="4" t="s">
        <v>104</v>
      </c>
      <c r="E22">
        <v>9</v>
      </c>
      <c r="F22" t="s">
        <v>28</v>
      </c>
      <c r="G22" s="3">
        <v>14175</v>
      </c>
      <c r="H22" s="3">
        <v>9</v>
      </c>
      <c r="I22" s="5">
        <v>127575</v>
      </c>
      <c r="J22" s="4" t="s">
        <v>105</v>
      </c>
      <c r="K22" s="3">
        <v>32000</v>
      </c>
      <c r="L22" s="3">
        <v>9</v>
      </c>
      <c r="M22" s="5">
        <v>288000</v>
      </c>
      <c r="N22" s="4" t="s">
        <v>106</v>
      </c>
      <c r="O22" s="3">
        <v>33323</v>
      </c>
      <c r="P22" s="3">
        <v>9</v>
      </c>
      <c r="Q22" s="5">
        <v>299907</v>
      </c>
      <c r="R22" s="4" t="s">
        <v>107</v>
      </c>
      <c r="S22" s="3">
        <v>17990</v>
      </c>
      <c r="T22" s="3">
        <v>9</v>
      </c>
      <c r="U22" s="5">
        <v>161910</v>
      </c>
      <c r="V22" s="4" t="s">
        <v>101</v>
      </c>
      <c r="W22" s="3"/>
      <c r="X22" s="3"/>
      <c r="Y22" s="5"/>
    </row>
    <row r="23" spans="1:26" ht="75" x14ac:dyDescent="0.25">
      <c r="A23" t="s">
        <v>108</v>
      </c>
      <c r="B23" t="s">
        <v>25</v>
      </c>
      <c r="C23" t="s">
        <v>109</v>
      </c>
      <c r="D23" s="4" t="s">
        <v>110</v>
      </c>
      <c r="E23">
        <v>3</v>
      </c>
      <c r="F23" t="s">
        <v>28</v>
      </c>
      <c r="G23" s="3">
        <v>125998</v>
      </c>
      <c r="H23" s="3">
        <v>3</v>
      </c>
      <c r="I23" s="5">
        <v>377994</v>
      </c>
      <c r="J23" s="4" t="s">
        <v>111</v>
      </c>
      <c r="K23" s="3">
        <v>155000</v>
      </c>
      <c r="L23" s="3">
        <v>3</v>
      </c>
      <c r="M23" s="5">
        <v>465000</v>
      </c>
      <c r="N23" s="4" t="s">
        <v>112</v>
      </c>
      <c r="O23" s="3">
        <v>552192</v>
      </c>
      <c r="P23" s="3">
        <v>3</v>
      </c>
      <c r="Q23" s="5">
        <v>1656576</v>
      </c>
      <c r="R23" t="s">
        <v>113</v>
      </c>
      <c r="S23" s="3">
        <v>104900</v>
      </c>
      <c r="T23" s="3">
        <v>3</v>
      </c>
      <c r="U23" s="5">
        <v>314700</v>
      </c>
      <c r="V23" s="4" t="s">
        <v>114</v>
      </c>
      <c r="W23" s="3"/>
      <c r="X23" s="3"/>
      <c r="Y23" s="5"/>
    </row>
    <row r="24" spans="1:26" ht="60" x14ac:dyDescent="0.25">
      <c r="A24" t="s">
        <v>115</v>
      </c>
      <c r="B24" t="s">
        <v>25</v>
      </c>
      <c r="C24" t="s">
        <v>116</v>
      </c>
      <c r="D24" s="4" t="s">
        <v>117</v>
      </c>
      <c r="E24">
        <v>2</v>
      </c>
      <c r="F24" t="s">
        <v>28</v>
      </c>
      <c r="G24" s="3">
        <v>30000</v>
      </c>
      <c r="H24" s="3">
        <v>2</v>
      </c>
      <c r="I24" s="5">
        <v>60000</v>
      </c>
      <c r="J24" s="4" t="s">
        <v>118</v>
      </c>
      <c r="K24" s="3">
        <v>37000</v>
      </c>
      <c r="L24" s="3">
        <v>2</v>
      </c>
      <c r="M24" s="5">
        <v>74000</v>
      </c>
      <c r="N24" s="4" t="s">
        <v>119</v>
      </c>
      <c r="O24" s="3">
        <v>38735</v>
      </c>
      <c r="P24" s="3">
        <v>2</v>
      </c>
      <c r="Q24" s="5">
        <v>77470</v>
      </c>
      <c r="R24" s="4" t="s">
        <v>120</v>
      </c>
      <c r="S24" s="3">
        <v>32900</v>
      </c>
      <c r="T24" s="3">
        <v>2</v>
      </c>
      <c r="U24" s="5">
        <v>65800</v>
      </c>
      <c r="V24" s="4" t="s">
        <v>121</v>
      </c>
      <c r="W24" s="3"/>
      <c r="X24" s="3"/>
      <c r="Y24" s="5"/>
    </row>
    <row r="25" spans="1:26" ht="60" x14ac:dyDescent="0.25">
      <c r="A25" t="s">
        <v>122</v>
      </c>
      <c r="B25" t="s">
        <v>25</v>
      </c>
      <c r="C25" t="s">
        <v>123</v>
      </c>
      <c r="D25" t="s">
        <v>124</v>
      </c>
      <c r="E25">
        <v>10</v>
      </c>
      <c r="F25" t="s">
        <v>28</v>
      </c>
      <c r="G25" s="3">
        <v>22932</v>
      </c>
      <c r="H25" s="3">
        <v>10</v>
      </c>
      <c r="I25" s="5">
        <v>229320</v>
      </c>
      <c r="J25" s="4" t="s">
        <v>125</v>
      </c>
      <c r="K25" s="3">
        <v>15669</v>
      </c>
      <c r="L25" s="3">
        <v>10</v>
      </c>
      <c r="M25" s="5">
        <v>156690</v>
      </c>
      <c r="N25" s="4" t="s">
        <v>126</v>
      </c>
      <c r="O25" s="3">
        <v>15225</v>
      </c>
      <c r="P25" s="3">
        <v>10</v>
      </c>
      <c r="Q25" s="5">
        <v>152250</v>
      </c>
      <c r="R25" t="s">
        <v>127</v>
      </c>
      <c r="S25" s="3">
        <v>19990</v>
      </c>
      <c r="T25" s="3">
        <v>10</v>
      </c>
      <c r="U25" s="5">
        <v>199900</v>
      </c>
      <c r="V25" s="4" t="s">
        <v>128</v>
      </c>
      <c r="W25" s="3"/>
      <c r="X25" s="3"/>
      <c r="Y25" s="5"/>
    </row>
    <row r="26" spans="1:26" ht="60" x14ac:dyDescent="0.25">
      <c r="A26" t="s">
        <v>129</v>
      </c>
      <c r="B26" t="s">
        <v>25</v>
      </c>
      <c r="C26" t="s">
        <v>130</v>
      </c>
      <c r="D26" s="4" t="s">
        <v>131</v>
      </c>
      <c r="E26">
        <v>3</v>
      </c>
      <c r="F26" t="s">
        <v>28</v>
      </c>
      <c r="G26" s="3">
        <v>120252</v>
      </c>
      <c r="H26" s="3">
        <v>3</v>
      </c>
      <c r="I26" s="5">
        <v>360756</v>
      </c>
      <c r="J26" s="4" t="s">
        <v>132</v>
      </c>
      <c r="K26" s="3">
        <v>35700</v>
      </c>
      <c r="L26" s="3">
        <v>3</v>
      </c>
      <c r="M26" s="5">
        <v>107100</v>
      </c>
      <c r="N26" s="4" t="s">
        <v>133</v>
      </c>
      <c r="O26" s="3"/>
      <c r="P26" s="3"/>
      <c r="Q26" s="5"/>
      <c r="S26" s="3">
        <v>38990</v>
      </c>
      <c r="T26" s="3">
        <v>3</v>
      </c>
      <c r="U26" s="5">
        <v>116970</v>
      </c>
      <c r="V26" s="4" t="s">
        <v>134</v>
      </c>
      <c r="W26" s="3"/>
      <c r="X26" s="3"/>
      <c r="Y26" s="5"/>
    </row>
    <row r="27" spans="1:26" ht="45" x14ac:dyDescent="0.25">
      <c r="A27" t="s">
        <v>135</v>
      </c>
      <c r="B27" t="s">
        <v>25</v>
      </c>
      <c r="C27" t="s">
        <v>136</v>
      </c>
      <c r="D27" s="4" t="s">
        <v>137</v>
      </c>
      <c r="E27">
        <v>30</v>
      </c>
      <c r="F27" t="s">
        <v>28</v>
      </c>
      <c r="G27" s="3">
        <v>15105</v>
      </c>
      <c r="H27" s="3">
        <v>30</v>
      </c>
      <c r="I27" s="5">
        <v>453150</v>
      </c>
      <c r="J27" s="4" t="s">
        <v>138</v>
      </c>
      <c r="K27" s="3">
        <v>15168</v>
      </c>
      <c r="L27" s="3">
        <v>30</v>
      </c>
      <c r="M27" s="5">
        <v>455040</v>
      </c>
      <c r="N27" s="4" t="s">
        <v>139</v>
      </c>
      <c r="O27" s="3">
        <v>14728</v>
      </c>
      <c r="P27" s="3">
        <v>30</v>
      </c>
      <c r="Q27" s="5">
        <v>441840</v>
      </c>
      <c r="R27" s="4" t="s">
        <v>140</v>
      </c>
      <c r="S27" s="3">
        <v>13990</v>
      </c>
      <c r="T27" s="3">
        <v>30</v>
      </c>
      <c r="U27" s="5">
        <v>419700</v>
      </c>
      <c r="V27" s="4" t="s">
        <v>141</v>
      </c>
      <c r="W27" s="3"/>
      <c r="X27" s="3"/>
      <c r="Y27" s="5"/>
    </row>
    <row r="28" spans="1:26" ht="90" x14ac:dyDescent="0.25">
      <c r="A28" t="s">
        <v>142</v>
      </c>
      <c r="B28" t="s">
        <v>25</v>
      </c>
      <c r="C28" t="s">
        <v>143</v>
      </c>
      <c r="D28" s="4" t="s">
        <v>144</v>
      </c>
      <c r="E28">
        <v>4</v>
      </c>
      <c r="F28" t="s">
        <v>28</v>
      </c>
      <c r="G28" s="3">
        <v>189000</v>
      </c>
      <c r="H28" s="3">
        <v>4</v>
      </c>
      <c r="I28" s="5">
        <v>756000</v>
      </c>
      <c r="J28" s="4" t="s">
        <v>145</v>
      </c>
      <c r="K28" s="3"/>
      <c r="L28" s="3"/>
      <c r="M28" s="5"/>
      <c r="O28" s="3"/>
      <c r="P28" s="3"/>
      <c r="Q28" s="5"/>
      <c r="S28" s="3"/>
      <c r="T28" s="3"/>
      <c r="U28" s="5"/>
      <c r="W28" s="3">
        <v>175900</v>
      </c>
      <c r="X28" s="3">
        <v>4</v>
      </c>
      <c r="Y28" s="5">
        <v>703600</v>
      </c>
      <c r="Z28" s="4" t="s">
        <v>146</v>
      </c>
    </row>
    <row r="29" spans="1:26" ht="315" x14ac:dyDescent="0.25">
      <c r="A29" t="s">
        <v>147</v>
      </c>
      <c r="B29" t="s">
        <v>25</v>
      </c>
      <c r="C29" t="s">
        <v>148</v>
      </c>
      <c r="D29" s="4" t="s">
        <v>149</v>
      </c>
      <c r="E29">
        <v>1</v>
      </c>
      <c r="F29" t="s">
        <v>28</v>
      </c>
      <c r="G29" s="3">
        <v>160902</v>
      </c>
      <c r="H29" s="3">
        <v>1</v>
      </c>
      <c r="I29" s="5">
        <v>160902</v>
      </c>
      <c r="J29" s="4" t="s">
        <v>150</v>
      </c>
      <c r="K29" s="3"/>
      <c r="L29" s="3"/>
      <c r="M29" s="5"/>
      <c r="O29" s="3">
        <v>153686</v>
      </c>
      <c r="P29" s="3">
        <v>1</v>
      </c>
      <c r="Q29" s="5">
        <v>153686</v>
      </c>
      <c r="R29" s="4" t="s">
        <v>151</v>
      </c>
      <c r="S29" s="3">
        <v>225900</v>
      </c>
      <c r="T29" s="3">
        <v>1</v>
      </c>
      <c r="U29" s="5">
        <v>225900</v>
      </c>
      <c r="V29" s="4" t="s">
        <v>152</v>
      </c>
      <c r="W29" s="3"/>
      <c r="X29" s="3"/>
      <c r="Y29" s="5"/>
    </row>
    <row r="30" spans="1:26" x14ac:dyDescent="0.25">
      <c r="C30" t="s">
        <v>153</v>
      </c>
      <c r="D30" s="4"/>
      <c r="G30" s="3"/>
      <c r="H30" s="3"/>
      <c r="I30" s="5">
        <f>SUBTOTAL(109,Table2[Total por renglón])</f>
        <v>5685321</v>
      </c>
      <c r="J30" s="4"/>
      <c r="K30" s="3"/>
      <c r="L30" s="3"/>
      <c r="M30" s="5">
        <f>SUBTOTAL(109,Table3[Total por renglón])</f>
        <v>7649586</v>
      </c>
      <c r="O30" s="3"/>
      <c r="P30" s="3"/>
      <c r="Q30" s="5">
        <f>SUBTOTAL(109,Table4[Total por renglón])</f>
        <v>7891403</v>
      </c>
      <c r="R30" s="4"/>
      <c r="S30" s="3"/>
      <c r="T30" s="3"/>
      <c r="U30" s="5">
        <f>SUBTOTAL(109,Table5[Total por renglón])</f>
        <v>4954260</v>
      </c>
      <c r="V30" s="4"/>
      <c r="W30" s="3"/>
      <c r="X30" s="3"/>
      <c r="Y30" s="5">
        <f>SUBTOTAL(109,Table6[Total por renglón])</f>
        <v>703600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2022-09-15T16:32:37Z</dcterms:created>
  <dcterms:modified xsi:type="dcterms:W3CDTF">2022-09-16T16:29:46Z</dcterms:modified>
</cp:coreProperties>
</file>