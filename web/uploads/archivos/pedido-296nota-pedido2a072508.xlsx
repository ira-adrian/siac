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640" windowHeight="11160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TRIMESTRAL'!$A$9:$BB$31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9" i="1" l="1"/>
  <c r="C96" i="1"/>
  <c r="C93" i="1"/>
  <c r="C90" i="1"/>
  <c r="C87" i="1"/>
  <c r="C84" i="1"/>
  <c r="C81" i="1"/>
  <c r="C78" i="1"/>
  <c r="C75" i="1"/>
  <c r="C72" i="1"/>
  <c r="C69" i="1"/>
  <c r="C66" i="1"/>
  <c r="C63" i="1"/>
  <c r="C60" i="1"/>
  <c r="C57" i="1"/>
  <c r="C54" i="1"/>
  <c r="C51" i="1"/>
  <c r="C48" i="1"/>
  <c r="AW17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N17" i="2"/>
  <c r="P30" i="2"/>
  <c r="P33" i="2" s="1"/>
  <c r="Q17" i="3" s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A40" i="3" l="1"/>
  <c r="G7" i="3"/>
  <c r="G6" i="3"/>
  <c r="G5" i="3"/>
  <c r="G4" i="3"/>
  <c r="K12" i="2"/>
  <c r="J12" i="2"/>
  <c r="I12" i="2"/>
  <c r="C12" i="2"/>
  <c r="B12" i="2"/>
  <c r="AW29" i="1"/>
  <c r="AY29" i="1" s="1"/>
  <c r="AV29" i="1"/>
  <c r="AW28" i="1"/>
  <c r="AY28" i="1" s="1"/>
  <c r="AV28" i="1"/>
  <c r="AW27" i="1"/>
  <c r="AY27" i="1" s="1"/>
  <c r="AV27" i="1"/>
  <c r="AW26" i="1"/>
  <c r="AY26" i="1" s="1"/>
  <c r="AV26" i="1"/>
  <c r="AW25" i="1"/>
  <c r="AY25" i="1" s="1"/>
  <c r="AV25" i="1"/>
  <c r="AW24" i="1"/>
  <c r="AY24" i="1" s="1"/>
  <c r="AV24" i="1"/>
  <c r="AW23" i="1"/>
  <c r="AY23" i="1" s="1"/>
  <c r="AV23" i="1"/>
  <c r="AW22" i="1"/>
  <c r="AY22" i="1" s="1"/>
  <c r="AV22" i="1"/>
  <c r="AW21" i="1"/>
  <c r="AY21" i="1" s="1"/>
  <c r="AV21" i="1"/>
  <c r="AW20" i="1"/>
  <c r="AY20" i="1" s="1"/>
  <c r="AV20" i="1"/>
  <c r="AW19" i="1"/>
  <c r="AY19" i="1" s="1"/>
  <c r="AV19" i="1"/>
  <c r="AW18" i="1"/>
  <c r="AY18" i="1" s="1"/>
  <c r="AV18" i="1"/>
  <c r="AY17" i="1"/>
  <c r="AY30" i="1" s="1"/>
  <c r="AV17" i="1"/>
  <c r="AW16" i="1"/>
  <c r="AY16" i="1" s="1"/>
  <c r="AV16" i="1"/>
  <c r="AW15" i="1"/>
  <c r="AY15" i="1" s="1"/>
  <c r="AV15" i="1"/>
  <c r="AW14" i="1"/>
  <c r="AY14" i="1" s="1"/>
  <c r="AV14" i="1"/>
  <c r="AW13" i="1"/>
  <c r="AY13" i="1" s="1"/>
  <c r="AV13" i="1"/>
  <c r="AW12" i="1"/>
  <c r="AY12" i="1" s="1"/>
  <c r="AV12" i="1"/>
  <c r="AW11" i="1"/>
  <c r="AY11" i="1" s="1"/>
  <c r="AV11" i="1"/>
  <c r="AW10" i="1"/>
  <c r="AY10" i="1" s="1"/>
  <c r="AV10" i="1"/>
  <c r="J33" i="2" l="1"/>
  <c r="O20" i="2"/>
  <c r="O24" i="2"/>
  <c r="O14" i="2"/>
  <c r="O18" i="2"/>
  <c r="O26" i="2"/>
  <c r="N16" i="2"/>
  <c r="O28" i="2"/>
  <c r="O13" i="2"/>
  <c r="N21" i="2"/>
  <c r="N22" i="2"/>
  <c r="O25" i="2"/>
  <c r="O29" i="2"/>
  <c r="N15" i="2"/>
  <c r="O19" i="2"/>
  <c r="N23" i="2"/>
  <c r="O27" i="2"/>
  <c r="O31" i="2"/>
  <c r="O12" i="2"/>
  <c r="O33" i="2" l="1"/>
  <c r="Q16" i="3" s="1"/>
  <c r="N33" i="2"/>
  <c r="Q15" i="3" l="1"/>
  <c r="Q37" i="3" s="1"/>
  <c r="Q33" i="2"/>
</calcChain>
</file>

<file path=xl/sharedStrings.xml><?xml version="1.0" encoding="utf-8"?>
<sst xmlns="http://schemas.openxmlformats.org/spreadsheetml/2006/main" count="334" uniqueCount="218">
  <si>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</si>
  <si>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</si>
  <si>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</si>
  <si>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</si>
  <si>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</si>
  <si>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</si>
  <si>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</si>
  <si>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</si>
  <si>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</si>
  <si>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</si>
  <si>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</si>
  <si>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</si>
  <si>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</si>
  <si>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</si>
  <si>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</si>
  <si>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</si>
  <si>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</si>
  <si>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</si>
  <si>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</si>
  <si>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</si>
  <si>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</si>
  <si>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</si>
  <si>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</si>
  <si>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</si>
  <si>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</si>
  <si>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</si>
  <si>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</si>
  <si>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</si>
  <si>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</si>
  <si>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</si>
  <si>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</si>
  <si>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</si>
  <si>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</si>
  <si>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</si>
  <si>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</si>
  <si>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</si>
  <si>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</si>
  <si>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</si>
  <si>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</si>
  <si>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</si>
  <si>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</si>
  <si>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</si>
  <si>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</si>
  <si>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</si>
  <si>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</si>
  <si>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</si>
  <si>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</si>
  <si>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</si>
  <si>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</si>
  <si>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</si>
  <si>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</si>
  <si>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</si>
  <si>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</si>
  <si>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</si>
  <si>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</si>
  <si>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</si>
  <si>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</si>
  <si>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</si>
  <si>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</si>
  <si>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</si>
  <si>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</si>
  <si>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4.3.3-5415.6</t>
  </si>
  <si>
    <t>PROD. MEDICO/FARMACEUTICOS/LAB</t>
  </si>
  <si>
    <t>4.3.3</t>
  </si>
  <si>
    <t>BALANZAS P/PERSONAS; TIPO: ADULTO, PRECISION: 100 GR, ACCESORIO: ALTIMETRO, CAPACIDAD: 250 Kg</t>
  </si>
  <si>
    <t>UNIDAD</t>
  </si>
  <si>
    <t>4.3.3-5415.3</t>
  </si>
  <si>
    <t>BALANZAS P/PERSONAS; TIPO: P/ADULTOS, PRECISION: 100 GR, ACCESORIO: ALTIMETRO, CAPACIDAD: 150 Kg</t>
  </si>
  <si>
    <t>4.3.3-5415.7</t>
  </si>
  <si>
    <t>BALANZAS P/PERSONAS; TIPO: PEDIATRICA, PRECISION: 100 GR, ACCESORIO: ESCALIMETRO, CAPACIDAD: 50 Kg</t>
  </si>
  <si>
    <t>2.9.5-8239.1</t>
  </si>
  <si>
    <t>2.9.5</t>
  </si>
  <si>
    <t>CHATAS; MATERIAL: PVC</t>
  </si>
  <si>
    <t>no dice nada 295 o 299</t>
  </si>
  <si>
    <t>2.9.5-5041.6</t>
  </si>
  <si>
    <t>COLLARES CERVICALES; MATERIAL: PLASTICO, TALLE: SIN VALOR, USO: INMOBILIZADORES LATERALES DE C</t>
  </si>
  <si>
    <r>
      <rPr>
        <sz val="9"/>
        <rFont val="Calibri"/>
      </rPr>
      <t xml:space="preserve">ver </t>
    </r>
    <r>
      <rPr>
        <sz val="9"/>
        <color rgb="FFFF0000"/>
        <rFont val="Calibri"/>
      </rPr>
      <t>en 433</t>
    </r>
    <r>
      <rPr>
        <sz val="9"/>
        <rFont val="Calibri"/>
      </rPr>
      <t xml:space="preserve"> sale collar p/traumatología</t>
    </r>
  </si>
  <si>
    <t>INDUMENT TEXTIL Y CONFECCIONES</t>
  </si>
  <si>
    <r>
      <rPr>
        <sz val="9"/>
        <color rgb="FFFF0000"/>
        <rFont val="Calibri"/>
      </rPr>
      <t>ver en 433</t>
    </r>
    <r>
      <rPr>
        <sz val="9"/>
        <rFont val="Calibri"/>
      </rPr>
      <t xml:space="preserve"> sale guardapolvo plomado</t>
    </r>
  </si>
  <si>
    <t>4.3.3-7798.1</t>
  </si>
  <si>
    <t>DETECTORES DE LATIDOS; USO: P/LATIDOS FETALES, ALIMENTACION: ELECTRICA-BATERIA, FRECUENCIA: 1,1- 2,1 MHZ, INTENSIDAD: 10 MW/CM2, CORRIENTE: 10 MW/CM2</t>
  </si>
  <si>
    <t>4.3.3-2049.4</t>
  </si>
  <si>
    <t>ESTETOSCOPIOS; TIPO: VIA AURICULAR, CAMPANA: DOBLE</t>
  </si>
  <si>
    <t>2.9.5-8874.9</t>
  </si>
  <si>
    <t>INSTRUMENTAL MEDICO; DESCRIPCION: TABLA LARGA DE INMOVILIZACION, DESCARTABLE: NO, MATERIAL: POLIETILENO, ELEMENTO: TABLA LARGA DE INMOVILIZACION</t>
  </si>
  <si>
    <r>
      <rPr>
        <sz val="9"/>
        <rFont val="Calibri"/>
      </rPr>
      <t>ver si no corresponde en 433 por el tipo de bien y su precio. Determinar colores y uso. Ver característica de traslúcida (</t>
    </r>
    <r>
      <rPr>
        <sz val="9"/>
        <color rgb="FFFF0000"/>
        <rFont val="Calibri"/>
      </rPr>
      <t>traslúcida a RX, CT y MRI</t>
    </r>
    <r>
      <rPr>
        <sz val="9"/>
        <rFont val="Calibri"/>
      </rPr>
      <t xml:space="preserve">). </t>
    </r>
  </si>
  <si>
    <t>2.9.5-8874.10</t>
  </si>
  <si>
    <t>INSTRUMENTAL MEDICO; DESCRIPCION: TABLA PEDIATRICA, DESCARTABLE: NO, MATERIAL: MADERA, ELEMENTO: TABLA PEDIATRICA</t>
  </si>
  <si>
    <r>
      <rPr>
        <sz val="9"/>
        <color rgb="FFFF0000"/>
        <rFont val="Calibri"/>
      </rPr>
      <t>ver si no corresponde en 433 por el tipo de bien y su precio</t>
    </r>
    <r>
      <rPr>
        <sz val="9"/>
        <rFont val="Calibri"/>
      </rPr>
      <t>.</t>
    </r>
    <r>
      <rPr>
        <sz val="9"/>
        <color rgb="FFFF0000"/>
        <rFont val="Calibri"/>
      </rPr>
      <t xml:space="preserve"> Ver</t>
    </r>
    <r>
      <rPr>
        <sz val="9"/>
        <rFont val="Calibri"/>
      </rPr>
      <t xml:space="preserve"> característica de traslúcida (traslúcida a RX, CT y MRI).</t>
    </r>
  </si>
  <si>
    <t>2.9.5-8234.1</t>
  </si>
  <si>
    <t>ORINALES; MATERIAL: MATERIAL PVC</t>
  </si>
  <si>
    <r>
      <rPr>
        <sz val="10"/>
        <color rgb="FFFF0000"/>
        <rFont val="Calibri"/>
      </rPr>
      <t>Ver</t>
    </r>
    <r>
      <rPr>
        <sz val="10"/>
        <rFont val="Calibri"/>
      </rPr>
      <t xml:space="preserve"> si son solo uso masculino, femenino o ambos. Aclarar</t>
    </r>
  </si>
  <si>
    <t>4.3.3-5079.5</t>
  </si>
  <si>
    <t>EQUIPOS</t>
  </si>
  <si>
    <t>OTOSCOPIOS; TIPO: DE BOLSILLO C/LAMPARA, CANULAS: SIN, ALIMENTACION: A PILA</t>
  </si>
  <si>
    <t>4.3.3-3999.3</t>
  </si>
  <si>
    <t>OXIMETROS DE BOLSILLOS; RANGO: 0 - 100 %, TEMPERATURA DE TRABAJO: 0 A 50 °C, ALIMENTACION: 2 BATERIAS, PESO: 50 A 70 GR</t>
  </si>
  <si>
    <t>4.3.3-7819.1</t>
  </si>
  <si>
    <t>PEDIOMETROS; RANGO: 0 A 1 M, RESOLUCION: 0,5 Cm, MATERIAL: ALUMINIO Y PLASTICO</t>
  </si>
  <si>
    <t>no sale esa IPP</t>
  </si>
  <si>
    <t>4.3.3-4853.2</t>
  </si>
  <si>
    <t>PIES DE SUEROS; RUEDAS: CON, MATERIAL: ACERO INOXIDABLE</t>
  </si>
  <si>
    <t>4.3.3-130.13</t>
  </si>
  <si>
    <t>TENSIOMETROS ARTERIALES; RANGO DE PRESION: +/- 3 mm hg, RANGO PULSACIONES: SIN, ALIMENTACION: SIN, TIPO: ANEROIDE</t>
  </si>
  <si>
    <t>4.3.3-3675.100</t>
  </si>
  <si>
    <t>TERMOMETROS; TIPO: DIGITAL, ESCALA: GRADO CENTIGRADO, RANGO DE TEMPERATURA: -5 A 50 °C</t>
  </si>
  <si>
    <t>4.3.3-4212.4</t>
  </si>
  <si>
    <t>TUBOS DE OXIGENO; TIPO: CAPACIDAD 6 M3</t>
  </si>
  <si>
    <t>433 o 439</t>
  </si>
  <si>
    <t>TOTAL RUBRO EQUIPOS Y UTILES MEDICOS MENORES</t>
  </si>
  <si>
    <t>ACLARACIONES SIEMPRE A MODO DE EJEMPLO Y/O SUGERENCIA. CONTEMPLAR TODAS LAS CUESTIONES NECESARIAS PARA PODER IDENTIFICAR CORRECTAMENTE EL BIEN SOLICITADO. NO OLVIDAR CONTEMPLAR LA GARANTIA MINIMA DE LOS MISMOS, ASÍ COMO LAS CERTIFICACIONES Y/O APROBACIONES (de la ANMAT) CORRESPONDIENTES PARA SU USO.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</si>
  <si>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</si>
  <si>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</si>
  <si>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</si>
  <si>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</si>
  <si>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</si>
  <si>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</si>
  <si>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</si>
  <si>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ESPECIFICIDADES ITEM 5</t>
  </si>
  <si>
    <t>ESPECIFICIDADES ITEM 8</t>
  </si>
  <si>
    <t>ESPECIFICIDADES ITEM 9</t>
  </si>
  <si>
    <t>ESPECIFICIDADES ITEM 10</t>
  </si>
  <si>
    <t>ESPECIFICIDADES ITEM 11</t>
  </si>
  <si>
    <t>ESPECIFICIDADES ITEM 14</t>
  </si>
  <si>
    <t>ESPECIFICIDADES ITEM 16</t>
  </si>
  <si>
    <t>ESPECIFICIDADES ITEM 17</t>
  </si>
  <si>
    <t>ESPECIFICIDADES ITEM 18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</si>
  <si>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</si>
  <si>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</si>
  <si>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</si>
  <si>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</si>
  <si>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</si>
  <si>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</si>
  <si>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</si>
  <si>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</si>
  <si>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</si>
  <si>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CINCO (5) AÑOS</t>
  </si>
  <si>
    <t>OBJETO:</t>
  </si>
  <si>
    <t>ADQUISICION DE EQUIPOS Y UTILES MEDICOS MENORES CON DESTINO A HOSPITALES DE LA PROVINCIA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</si>
  <si>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</si>
  <si>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</si>
  <si>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</si>
  <si>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</si>
  <si>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</si>
  <si>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</si>
  <si>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</si>
  <si>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</si>
  <si>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</si>
  <si>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AUTORIZACION PARA GASTAR</t>
  </si>
  <si>
    <t>JURISDICCIÓN:</t>
  </si>
  <si>
    <r>
      <rPr>
        <b/>
        <u/>
        <sz val="10"/>
        <rFont val="Arial"/>
      </rPr>
      <t>AUTORIZACIÓN</t>
    </r>
    <r>
      <rPr>
        <b/>
        <u/>
        <sz val="10"/>
        <rFont val="Arial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</si>
  <si>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</si>
  <si>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</si>
  <si>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</si>
  <si>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</si>
  <si>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</si>
  <si>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</si>
  <si>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</si>
  <si>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</si>
  <si>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</si>
  <si>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</si>
  <si>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</si>
  <si>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</si>
  <si>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</si>
  <si>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</si>
  <si>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</si>
  <si>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</si>
  <si>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</si>
  <si>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</si>
  <si>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</si>
  <si>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UTILES MENORES MEDICOS QUIRURGICOS Y DE LABORATORIO</t>
  </si>
  <si>
    <t>EQUIPOS SANITARIOS Y DE LABORATORIO</t>
  </si>
  <si>
    <t>JUSTIFICACIÓN:</t>
  </si>
  <si>
    <t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2 años, aprobado por ANMAT. </t>
  </si>
  <si>
    <t>Que cumpla con las siguientes caracteristicas mínimas: Hipoalergénico, Anatómico, Regulable, Material: por ej. Polietilendo expandido de celdas cerradas, Disponible en tamaño chico, mediano y grande, de acuerdo a los talles solicitados.</t>
  </si>
  <si>
    <r>
      <t xml:space="preserve">Por precio y tipo de bien, debería ser inventariado. Solicitar el Alta (Los incriptos en rubro Indument.nunca van a ofertar este tipo de bien!!) </t>
    </r>
    <r>
      <rPr>
        <sz val="10"/>
        <rFont val="Calibri"/>
        <family val="2"/>
      </rPr>
      <t>Tamaño adulto, recubierto con tela de avión, cierre mediante correas, con protector de tiroides y 0,5mm de plomo de blindaje</t>
    </r>
  </si>
  <si>
    <t>Consta de emisor/receptor de señal ultrasónica, procesador, pantalla mínima LCD, altavoz y fuente de alimentación; ser de fácil uso y portátil; Mostrar la frecuencia cardíaca, con una medición precisa y de sonido nítido. Con funciones mínimas como: toma en tiempo real, promedio y conteo manual. Con salida de audio externa, bajo consumo y función de apagado automático.</t>
  </si>
  <si>
    <r>
      <rPr>
        <sz val="10"/>
        <color rgb="FFFF0000"/>
        <rFont val="Calibri"/>
      </rPr>
      <t>Ver si se puede solicitar un solo ítem, aclarando:</t>
    </r>
    <r>
      <rPr>
        <sz val="10"/>
        <rFont val="Calibri"/>
      </rPr>
      <t xml:space="preserve"> modelo con doble cabezal (campana + diafragma: uso adulto y pediátrico), tubo auditivo de acero inoxidable con curvatura anatómica, olivas de goma y garantía minima de 1 año.</t>
    </r>
  </si>
  <si>
    <t>Construída ergonómicamente en HDPE (Polietileno de Alta Densidad, lavable antiestático de alta resistencia) sin costuras p/evitar el alojamiento de gérmenes patógenos, acabado delicado, impermeable y atóxico con exclusivos calados p/inmovilizador cervical, pectorales, abdomen y piernas en forma independiente</t>
  </si>
  <si>
    <t>Multilaminado fenólico standard, con un mínimo de 5 capas compensadas, con calados (para inmovilizador cervical y piernas en forma individual), terminación plastificado en barniz marino, con tres juegos de cinturones de fijación.</t>
  </si>
  <si>
    <t xml:space="preserve"> Tecnología LED y Fibra Optica, Aumento mínimo de 3x, cabezal giratorio, rueda de lentes con 18 lentes mínimo.</t>
  </si>
  <si>
    <t>Alimentación con 2 pilas, debe contar con aprobación de ANMAT</t>
  </si>
  <si>
    <r>
      <rPr>
        <sz val="10"/>
        <color rgb="FFFF0000"/>
        <rFont val="Calibri"/>
      </rPr>
      <t xml:space="preserve"> </t>
    </r>
    <r>
      <rPr>
        <sz val="10"/>
        <rFont val="Calibri"/>
      </rPr>
      <t>Para uso pedíatrico, con una varilla metálica milimetrada, y aletas plásticas fija que pueden sujetarse cómodamente.</t>
    </r>
  </si>
  <si>
    <t>Altura mínima regulable de 180cm, con  base rodante de 5 ramas con ruedas de plástico de alta resistencia y alto impacto inyectadas. Caño y estructura en acero inoxidable.</t>
  </si>
  <si>
    <t>Tensiómetro manual anaeroide (analógico), con manómetro circular de facil lectura, brazalete uso adulto, con  estetoscopio de campana simple y olivas de plástico incluido.</t>
  </si>
  <si>
    <t>Tensiómetro manual anaeroide (analógico), con manómetro circular de facil lectura, brazalete uso pediátrico, con  estetoscopio de campana simple y olivas de plástico incluido.</t>
  </si>
  <si>
    <t>Tensiómetro manual anaeroide (analógico), con manómetro circular de facil lectura, brazalete uso adulto obesos (de 32 a 42cm de diámetro aproximado), con  estetoscopio de campana simple y olivas de plástico incluido.</t>
  </si>
  <si>
    <t xml:space="preserve">De uso medicinal, provisto de una válvula de reducción medicinal con regulador de flujo y manómetro. Industria Nacional. Material acero. Color blanco. Con prueba hidráulica aprobada por 5 años. </t>
  </si>
  <si>
    <t>2.9.5-4208.17</t>
  </si>
  <si>
    <t>ELEMENTOS P/RADIOLOGIA; TIPO: DELANTAL PLOMADO, PRESENTACION: UNIDAD</t>
  </si>
  <si>
    <t>Tamaño adulto, recubierto con tela de avión, cierre mediante correas, con protector de tiroides y 0,5mm de plomo de blindaje</t>
  </si>
  <si>
    <t>Inmovilizador filadelfia en dos piezas, ajustables entre si con velcro - Talle S: 20 unid. - Talle M: 20 unid. - Talle L: 20 unid. - Talle XL: 20 unid. - Talle Pediatrico: 20 unid. Que cumpla con las siguientes caracteristicas mínimas: Hipoalergénico, Anatómico, Regulable, Material: por ej. Polietilendo expandido de celdas cerradas, Disponible en tamaño pediatrico, chico, mediano, grande y extra grande de acuerdo a los talles solicitados.</t>
  </si>
  <si>
    <t>50 unid. uso masculino - 50 unid. Uso femenino</t>
  </si>
  <si>
    <t>modelo con doble cabezal (campana + diafragma: uso adulto y pediátrico), tubo auditivo de acero inoxidable con curvatura anatómica, olivas de goma y garantía minima de 1 año. 70 unid para uso en adultos y 70 unid. Para uso pediatrico</t>
  </si>
  <si>
    <t>Construída ergonómicamente en HDPE (Polietileno de Alta Densidad, lavable antiestático de alta resistencia) sin costuras p/evitar el alojamiento de gérmenes patógenos, acabado delicado, impermeable y atóxico con exclusivos calados p/inmovilizador cervical, pectorales, abdomen y piernas en forma independiente. incluye juegos de cinturones de fijacion, con velcro, colores según codigos internacionales.</t>
  </si>
  <si>
    <t>Multilaminado fenólico standard, con un mínimo de 5 capas compensadas, con calados (para inmovilizador cervical y piernas en forma individual), terminación plastificado en barniz marino, con tres juegos de cinturones de fijación con velcro.</t>
  </si>
  <si>
    <t>Oximetro de pulso adulto/ pediatrico. Alimentación con 2 pilas, debe contar con aprobación de ANMAT</t>
  </si>
  <si>
    <t>Altura mínima regulable de 180cm, con  base rodante de 5 ramas con ruedas de plástico de alta resistencia y alto impacto inyectadas. Caño y estructura en acero inoxidable, con 2 ganchos minimo.</t>
  </si>
  <si>
    <t>De uso medicinal, provisto de una válvula de reducción medicinal con regulador de flujo y manómetro. Industria Nacional. Material acero. Color blanco. Con prueba hidráulica aprobada por 5 años. Incluye soporte</t>
  </si>
  <si>
    <t>veinte (20) dias habiles</t>
  </si>
  <si>
    <t>Garantia:</t>
  </si>
  <si>
    <t>un (1) año</t>
  </si>
  <si>
    <t>4.3.9</t>
  </si>
  <si>
    <t>OTROS N.E.P.</t>
  </si>
  <si>
    <t>Costo total estimado: PESOS DOCE MILLONES CUATROCIENTOS SESENTA Y CINCO MIL OCHOCIENTOS CON 00/100.-</t>
  </si>
  <si>
    <t>TOTAL DE PESOS: DOCE MILLONES CUATROCIENTOS SESENTA Y CINCO MIL OCHOCIENTOS CON 00/100.-</t>
  </si>
  <si>
    <t>ESPECIFICIDADES ITEM 1</t>
  </si>
  <si>
    <t>ESPECIFICIDADES ITEM 2</t>
  </si>
  <si>
    <t>ESPECIFICIDADES ITEM 3</t>
  </si>
  <si>
    <t>ESPECIFICIDADES ITEM 6</t>
  </si>
  <si>
    <t>ESPECIFICIDADES ITEM 7</t>
  </si>
  <si>
    <t>ESPECIFICIDADES ITEM 12</t>
  </si>
  <si>
    <t>ESPECIFICIDADES ITEM 13</t>
  </si>
  <si>
    <t>ESPECIFICIDADES ITEM 15</t>
  </si>
  <si>
    <t>ESPECIFICIDADES ITEM 20</t>
  </si>
  <si>
    <t>TERCERO</t>
  </si>
  <si>
    <t xml:space="preserve"> 08/2022</t>
  </si>
  <si>
    <t>Autorizo la realización de los  trámites correspondientes, a fin de proveer a  este Organismo los bienes, servicios o ejecución de obras públicas que se detallan en Nota  de Pedido N° 08/2022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</si>
</sst>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dd\-mm\-yy"/>
  </numFmts>
  <fonts count="43">
    <font>
      <sz val="11"/>
      <color rgb="FF000000"/>
      <name val="Calibri"/>
    </font>
    <font>
      <sz val="10"/>
      <name val="Times New Roman"/>
    </font>
    <font>
      <b/>
      <sz val="14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0"/>
      <name val="Times New Roman"/>
    </font>
    <font>
      <b/>
      <sz val="11"/>
      <color rgb="FF000000"/>
      <name val="Calibri"/>
    </font>
    <font>
      <sz val="10"/>
      <name val="Calibri"/>
    </font>
    <font>
      <sz val="9"/>
      <name val="Calibri"/>
    </font>
    <font>
      <sz val="10"/>
      <color rgb="FFFF0000"/>
      <name val="Calibri"/>
    </font>
    <font>
      <sz val="9"/>
      <color rgb="FFFF0000"/>
      <name val="Calibri"/>
    </font>
    <font>
      <b/>
      <sz val="10"/>
      <color rgb="FFFF0000"/>
      <name val="Calibri"/>
    </font>
    <font>
      <sz val="10"/>
      <color rgb="FF000000"/>
      <name val="Calibri"/>
    </font>
    <font>
      <sz val="11"/>
      <name val="Calibri"/>
    </font>
    <font>
      <sz val="11"/>
      <name val="Calibri"/>
    </font>
    <font>
      <b/>
      <u/>
      <sz val="24"/>
      <name val="Times New Roman"/>
    </font>
    <font>
      <b/>
      <u/>
      <sz val="12"/>
      <name val="Times New Roman"/>
    </font>
    <font>
      <b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b/>
      <u/>
      <sz val="12"/>
      <name val="Times New Roman"/>
    </font>
    <font>
      <sz val="12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Arial"/>
    </font>
    <font>
      <b/>
      <sz val="12"/>
      <name val="Arial"/>
    </font>
    <font>
      <sz val="10"/>
      <name val="Arial"/>
    </font>
    <font>
      <sz val="11"/>
      <name val="Arial"/>
    </font>
    <font>
      <b/>
      <u/>
      <sz val="10"/>
      <name val="Arial"/>
    </font>
    <font>
      <b/>
      <sz val="10"/>
      <name val="Arial"/>
    </font>
    <font>
      <sz val="1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4"/>
      <name val="Times New Roman"/>
      <family val="1"/>
    </font>
    <font>
      <sz val="11"/>
      <color rgb="FF000000"/>
      <name val="Calibri"/>
      <family val="2"/>
    </font>
    <font>
      <b/>
      <sz val="11"/>
      <name val="Arial"/>
      <family val="2"/>
    </font>
    <font>
      <sz val="11"/>
      <color theme="0"/>
      <name val="Calibri"/>
      <family val="2"/>
    </font>
    <font>
      <sz val="11"/>
      <name val="Times New Roman"/>
      <family val="1"/>
    </font>
    <font>
      <sz val="10"/>
      <color rgb="FF00000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DDD9C3"/>
        <bgColor rgb="FFDDD9C3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CCC0D9"/>
        <bgColor rgb="FFCCC0D9"/>
      </patternFill>
    </fill>
  </fills>
  <borders count="1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 applyFont="1" applyAlignment="1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0" fillId="4" borderId="6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164" fontId="7" fillId="0" borderId="10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 wrapText="1"/>
    </xf>
    <xf numFmtId="165" fontId="11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12" fillId="0" borderId="0" xfId="0" applyFont="1"/>
    <xf numFmtId="0" fontId="0" fillId="0" borderId="21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Font="1"/>
    <xf numFmtId="165" fontId="16" fillId="0" borderId="28" xfId="0" applyNumberFormat="1" applyFont="1" applyBorder="1" applyAlignment="1">
      <alignment horizontal="right" vertical="center"/>
    </xf>
    <xf numFmtId="0" fontId="17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vertical="center"/>
    </xf>
    <xf numFmtId="0" fontId="19" fillId="0" borderId="31" xfId="0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0" fontId="21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0" fontId="23" fillId="0" borderId="21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165" fontId="17" fillId="0" borderId="35" xfId="0" applyNumberFormat="1" applyFont="1" applyBorder="1" applyAlignment="1">
      <alignment vertical="center"/>
    </xf>
    <xf numFmtId="0" fontId="17" fillId="0" borderId="36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165" fontId="26" fillId="0" borderId="51" xfId="0" applyNumberFormat="1" applyFont="1" applyBorder="1" applyAlignment="1">
      <alignment horizontal="center" vertical="center" wrapText="1"/>
    </xf>
    <xf numFmtId="3" fontId="26" fillId="0" borderId="55" xfId="0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3" fontId="26" fillId="0" borderId="58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wrapText="1"/>
    </xf>
    <xf numFmtId="165" fontId="26" fillId="0" borderId="60" xfId="0" applyNumberFormat="1" applyFont="1" applyBorder="1" applyAlignment="1">
      <alignment horizontal="center" vertical="center" wrapText="1"/>
    </xf>
    <xf numFmtId="3" fontId="26" fillId="0" borderId="6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165" fontId="0" fillId="0" borderId="0" xfId="0" applyNumberFormat="1" applyFont="1"/>
    <xf numFmtId="3" fontId="27" fillId="0" borderId="18" xfId="0" applyNumberFormat="1" applyFont="1" applyBorder="1"/>
    <xf numFmtId="167" fontId="0" fillId="0" borderId="18" xfId="0" applyNumberFormat="1" applyFont="1" applyBorder="1" applyAlignment="1">
      <alignment horizontal="left"/>
    </xf>
    <xf numFmtId="0" fontId="0" fillId="0" borderId="18" xfId="0" applyFont="1" applyBorder="1"/>
    <xf numFmtId="0" fontId="0" fillId="0" borderId="20" xfId="0" applyFont="1" applyBorder="1"/>
    <xf numFmtId="0" fontId="0" fillId="0" borderId="0" xfId="0" applyFont="1" applyAlignment="1">
      <alignment horizontal="left"/>
    </xf>
    <xf numFmtId="167" fontId="0" fillId="0" borderId="0" xfId="0" applyNumberFormat="1" applyFont="1" applyAlignment="1">
      <alignment horizontal="left"/>
    </xf>
    <xf numFmtId="165" fontId="0" fillId="0" borderId="21" xfId="0" applyNumberFormat="1" applyFont="1" applyBorder="1"/>
    <xf numFmtId="0" fontId="0" fillId="0" borderId="73" xfId="0" applyFont="1" applyBorder="1" applyAlignment="1">
      <alignment horizontal="center" vertical="center"/>
    </xf>
    <xf numFmtId="0" fontId="0" fillId="0" borderId="74" xfId="0" applyFont="1" applyBorder="1" applyAlignment="1">
      <alignment horizontal="center" vertical="center"/>
    </xf>
    <xf numFmtId="0" fontId="0" fillId="0" borderId="75" xfId="0" applyFont="1" applyBorder="1" applyAlignment="1">
      <alignment horizontal="center" vertical="center"/>
    </xf>
    <xf numFmtId="0" fontId="0" fillId="0" borderId="76" xfId="0" applyFont="1" applyBorder="1" applyAlignment="1">
      <alignment horizontal="center" vertical="center"/>
    </xf>
    <xf numFmtId="165" fontId="0" fillId="0" borderId="79" xfId="0" applyNumberFormat="1" applyFont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165" fontId="0" fillId="0" borderId="84" xfId="0" applyNumberFormat="1" applyFont="1" applyBorder="1" applyAlignment="1">
      <alignment horizontal="center" vertical="center"/>
    </xf>
    <xf numFmtId="165" fontId="32" fillId="0" borderId="86" xfId="0" applyNumberFormat="1" applyFont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8" borderId="57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/>
    </xf>
    <xf numFmtId="0" fontId="33" fillId="5" borderId="9" xfId="0" applyFont="1" applyFill="1" applyBorder="1" applyAlignment="1">
      <alignment vertical="center" wrapText="1"/>
    </xf>
    <xf numFmtId="0" fontId="34" fillId="5" borderId="9" xfId="0" applyFont="1" applyFill="1" applyBorder="1" applyAlignment="1">
      <alignment vertical="center" wrapText="1"/>
    </xf>
    <xf numFmtId="0" fontId="33" fillId="9" borderId="9" xfId="0" applyFont="1" applyFill="1" applyBorder="1" applyAlignment="1">
      <alignment vertical="center" wrapText="1"/>
    </xf>
    <xf numFmtId="0" fontId="33" fillId="9" borderId="13" xfId="0" applyFont="1" applyFill="1" applyBorder="1" applyAlignment="1">
      <alignment vertical="center" wrapText="1"/>
    </xf>
    <xf numFmtId="0" fontId="14" fillId="0" borderId="21" xfId="0" applyFont="1" applyBorder="1"/>
    <xf numFmtId="0" fontId="0" fillId="0" borderId="0" xfId="0" applyFont="1" applyAlignment="1"/>
    <xf numFmtId="0" fontId="0" fillId="0" borderId="0" xfId="0" applyFont="1" applyFill="1" applyAlignment="1">
      <alignment vertical="center" wrapText="1"/>
    </xf>
    <xf numFmtId="0" fontId="11" fillId="0" borderId="1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64" fontId="7" fillId="0" borderId="57" xfId="0" applyNumberFormat="1" applyFont="1" applyBorder="1" applyAlignment="1">
      <alignment horizontal="right" vertical="center" wrapText="1"/>
    </xf>
    <xf numFmtId="165" fontId="7" fillId="0" borderId="57" xfId="0" applyNumberFormat="1" applyFont="1" applyBorder="1" applyAlignment="1">
      <alignment horizontal="center" vertical="center"/>
    </xf>
    <xf numFmtId="164" fontId="7" fillId="0" borderId="89" xfId="0" applyNumberFormat="1" applyFont="1" applyBorder="1" applyAlignment="1">
      <alignment horizontal="right" vertical="center" wrapText="1"/>
    </xf>
    <xf numFmtId="165" fontId="7" fillId="2" borderId="87" xfId="0" applyNumberFormat="1" applyFont="1" applyFill="1" applyBorder="1" applyAlignment="1">
      <alignment horizontal="center" vertical="center" wrapText="1"/>
    </xf>
    <xf numFmtId="165" fontId="7" fillId="0" borderId="87" xfId="0" applyNumberFormat="1" applyFont="1" applyBorder="1" applyAlignment="1">
      <alignment horizontal="center" vertical="center" wrapText="1"/>
    </xf>
    <xf numFmtId="165" fontId="7" fillId="2" borderId="88" xfId="0" applyNumberFormat="1" applyFont="1" applyFill="1" applyBorder="1" applyAlignment="1">
      <alignment horizontal="center" vertical="center" wrapText="1"/>
    </xf>
    <xf numFmtId="165" fontId="3" fillId="0" borderId="90" xfId="0" applyNumberFormat="1" applyFont="1" applyBorder="1" applyAlignment="1">
      <alignment horizontal="center" vertical="center" wrapText="1"/>
    </xf>
    <xf numFmtId="165" fontId="7" fillId="2" borderId="91" xfId="0" applyNumberFormat="1" applyFont="1" applyFill="1" applyBorder="1" applyAlignment="1">
      <alignment horizontal="center" vertical="center" wrapText="1"/>
    </xf>
    <xf numFmtId="0" fontId="8" fillId="6" borderId="97" xfId="0" applyFont="1" applyFill="1" applyBorder="1" applyAlignment="1">
      <alignment horizontal="center" vertical="center" wrapText="1"/>
    </xf>
    <xf numFmtId="0" fontId="8" fillId="6" borderId="98" xfId="0" applyFont="1" applyFill="1" applyBorder="1" applyAlignment="1">
      <alignment horizontal="center" vertical="center" wrapText="1"/>
    </xf>
    <xf numFmtId="0" fontId="8" fillId="7" borderId="98" xfId="0" applyFont="1" applyFill="1" applyBorder="1" applyAlignment="1">
      <alignment horizontal="center" vertical="center" wrapText="1"/>
    </xf>
    <xf numFmtId="0" fontId="10" fillId="10" borderId="98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7" fillId="0" borderId="99" xfId="0" applyFont="1" applyFill="1" applyBorder="1" applyAlignment="1">
      <alignment vertical="center" wrapText="1"/>
    </xf>
    <xf numFmtId="0" fontId="7" fillId="0" borderId="100" xfId="0" applyFont="1" applyFill="1" applyBorder="1" applyAlignment="1">
      <alignment vertical="center" wrapText="1"/>
    </xf>
    <xf numFmtId="0" fontId="7" fillId="0" borderId="101" xfId="0" applyFont="1" applyFill="1" applyBorder="1" applyAlignment="1">
      <alignment vertical="center" wrapText="1"/>
    </xf>
    <xf numFmtId="0" fontId="33" fillId="0" borderId="101" xfId="0" applyFont="1" applyFill="1" applyBorder="1" applyAlignment="1">
      <alignment vertical="center" wrapText="1"/>
    </xf>
    <xf numFmtId="0" fontId="33" fillId="0" borderId="102" xfId="0" applyFont="1" applyFill="1" applyBorder="1" applyAlignment="1">
      <alignment vertical="center" wrapText="1"/>
    </xf>
    <xf numFmtId="0" fontId="0" fillId="4" borderId="36" xfId="0" applyFont="1" applyFill="1" applyBorder="1" applyAlignment="1">
      <alignment horizontal="center" vertical="center"/>
    </xf>
    <xf numFmtId="0" fontId="6" fillId="0" borderId="103" xfId="0" applyFont="1" applyFill="1" applyBorder="1" applyAlignment="1">
      <alignment horizontal="center" vertical="center" wrapText="1"/>
    </xf>
    <xf numFmtId="0" fontId="35" fillId="0" borderId="0" xfId="0" applyFont="1"/>
    <xf numFmtId="0" fontId="35" fillId="0" borderId="0" xfId="0" applyFont="1" applyAlignment="1"/>
    <xf numFmtId="0" fontId="0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65" fontId="0" fillId="0" borderId="105" xfId="0" applyNumberFormat="1" applyFont="1" applyBorder="1" applyAlignment="1">
      <alignment horizontal="center" vertical="center"/>
    </xf>
    <xf numFmtId="0" fontId="32" fillId="0" borderId="111" xfId="0" applyFont="1" applyBorder="1" applyAlignment="1">
      <alignment horizontal="center" vertical="center"/>
    </xf>
    <xf numFmtId="0" fontId="32" fillId="0" borderId="112" xfId="0" applyFont="1" applyBorder="1" applyAlignment="1">
      <alignment horizontal="center" vertical="center"/>
    </xf>
    <xf numFmtId="0" fontId="32" fillId="0" borderId="112" xfId="0" applyFont="1" applyBorder="1" applyAlignment="1">
      <alignment horizontal="left" vertical="center"/>
    </xf>
    <xf numFmtId="0" fontId="32" fillId="0" borderId="113" xfId="0" applyFont="1" applyBorder="1" applyAlignment="1">
      <alignment horizontal="center" vertical="center"/>
    </xf>
    <xf numFmtId="0" fontId="32" fillId="0" borderId="114" xfId="0" applyFont="1" applyBorder="1" applyAlignment="1">
      <alignment horizontal="center" vertical="center"/>
    </xf>
    <xf numFmtId="0" fontId="37" fillId="0" borderId="76" xfId="0" applyFont="1" applyBorder="1" applyAlignment="1">
      <alignment horizontal="center" vertical="center"/>
    </xf>
    <xf numFmtId="165" fontId="39" fillId="0" borderId="0" xfId="0" applyNumberFormat="1" applyFont="1" applyFill="1"/>
    <xf numFmtId="0" fontId="39" fillId="0" borderId="0" xfId="0" applyFont="1" applyFill="1"/>
    <xf numFmtId="165" fontId="39" fillId="0" borderId="0" xfId="0" applyNumberFormat="1" applyFont="1" applyFill="1" applyAlignment="1">
      <alignment vertical="center"/>
    </xf>
    <xf numFmtId="0" fontId="39" fillId="0" borderId="0" xfId="0" applyFont="1" applyFill="1" applyAlignment="1"/>
    <xf numFmtId="0" fontId="40" fillId="0" borderId="5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2" fillId="0" borderId="17" xfId="0" applyFont="1" applyFill="1" applyBorder="1" applyAlignment="1">
      <alignment horizontal="center" vertical="center" wrapText="1"/>
    </xf>
    <xf numFmtId="0" fontId="42" fillId="0" borderId="18" xfId="0" applyFont="1" applyFill="1" applyBorder="1" applyAlignment="1">
      <alignment horizontal="center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7" fillId="0" borderId="95" xfId="0" applyFont="1" applyFill="1" applyBorder="1" applyAlignment="1">
      <alignment horizontal="left" vertical="center" wrapText="1"/>
    </xf>
    <xf numFmtId="0" fontId="7" fillId="0" borderId="91" xfId="0" applyFont="1" applyFill="1" applyBorder="1" applyAlignment="1">
      <alignment horizontal="left" vertical="center" wrapText="1"/>
    </xf>
    <xf numFmtId="0" fontId="7" fillId="0" borderId="96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21" xfId="0" applyFont="1" applyBorder="1"/>
    <xf numFmtId="0" fontId="41" fillId="0" borderId="92" xfId="0" applyFont="1" applyFill="1" applyBorder="1" applyAlignment="1">
      <alignment horizontal="left" vertical="center" wrapText="1"/>
    </xf>
    <xf numFmtId="0" fontId="12" fillId="0" borderId="93" xfId="0" applyFont="1" applyFill="1" applyBorder="1" applyAlignment="1">
      <alignment horizontal="left" vertical="center" wrapText="1"/>
    </xf>
    <xf numFmtId="0" fontId="12" fillId="0" borderId="9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4" fillId="0" borderId="24" xfId="0" applyFont="1" applyBorder="1"/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2" fillId="0" borderId="92" xfId="0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14" fillId="0" borderId="33" xfId="0" applyFont="1" applyBorder="1"/>
    <xf numFmtId="0" fontId="24" fillId="0" borderId="37" xfId="0" applyFont="1" applyBorder="1" applyAlignment="1">
      <alignment horizontal="left" vertical="center" wrapText="1"/>
    </xf>
    <xf numFmtId="0" fontId="14" fillId="0" borderId="38" xfId="0" applyFont="1" applyBorder="1"/>
    <xf numFmtId="0" fontId="24" fillId="0" borderId="34" xfId="0" applyFont="1" applyBorder="1" applyAlignment="1">
      <alignment horizontal="left" vertical="center"/>
    </xf>
    <xf numFmtId="0" fontId="14" fillId="0" borderId="35" xfId="0" applyFont="1" applyBorder="1"/>
    <xf numFmtId="0" fontId="14" fillId="0" borderId="39" xfId="0" applyFont="1" applyBorder="1"/>
    <xf numFmtId="166" fontId="17" fillId="0" borderId="34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vertical="center"/>
    </xf>
    <xf numFmtId="0" fontId="36" fillId="0" borderId="34" xfId="0" applyFont="1" applyBorder="1" applyAlignment="1">
      <alignment horizontal="left" vertical="center" wrapText="1"/>
    </xf>
    <xf numFmtId="0" fontId="14" fillId="0" borderId="35" xfId="0" applyFont="1" applyBorder="1" applyAlignment="1">
      <alignment vertical="center"/>
    </xf>
    <xf numFmtId="0" fontId="26" fillId="0" borderId="61" xfId="0" applyFont="1" applyBorder="1" applyAlignment="1">
      <alignment horizontal="center" vertical="center" wrapText="1"/>
    </xf>
    <xf numFmtId="0" fontId="14" fillId="0" borderId="62" xfId="0" applyFont="1" applyBorder="1"/>
    <xf numFmtId="0" fontId="14" fillId="0" borderId="63" xfId="0" applyFont="1" applyBorder="1"/>
    <xf numFmtId="0" fontId="26" fillId="0" borderId="57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/>
    </xf>
    <xf numFmtId="0" fontId="14" fillId="0" borderId="18" xfId="0" applyFont="1" applyBorder="1"/>
    <xf numFmtId="0" fontId="26" fillId="0" borderId="52" xfId="0" applyFont="1" applyBorder="1" applyAlignment="1">
      <alignment horizontal="left" vertical="center" wrapText="1"/>
    </xf>
    <xf numFmtId="0" fontId="14" fillId="0" borderId="53" xfId="0" applyFont="1" applyBorder="1"/>
    <xf numFmtId="0" fontId="14" fillId="0" borderId="54" xfId="0" applyFont="1" applyBorder="1"/>
    <xf numFmtId="0" fontId="25" fillId="0" borderId="42" xfId="0" applyFont="1" applyBorder="1" applyAlignment="1">
      <alignment horizontal="center" vertical="center" wrapText="1"/>
    </xf>
    <xf numFmtId="0" fontId="14" fillId="0" borderId="46" xfId="0" applyFont="1" applyBorder="1"/>
    <xf numFmtId="0" fontId="25" fillId="0" borderId="41" xfId="0" applyFont="1" applyBorder="1" applyAlignment="1">
      <alignment horizontal="center" vertical="center"/>
    </xf>
    <xf numFmtId="0" fontId="14" fillId="0" borderId="45" xfId="0" applyFont="1" applyBorder="1"/>
    <xf numFmtId="0" fontId="25" fillId="0" borderId="44" xfId="0" applyFont="1" applyBorder="1" applyAlignment="1">
      <alignment horizontal="center" vertical="center" wrapText="1"/>
    </xf>
    <xf numFmtId="0" fontId="14" fillId="0" borderId="49" xfId="0" applyFont="1" applyBorder="1"/>
    <xf numFmtId="165" fontId="25" fillId="0" borderId="42" xfId="0" applyNumberFormat="1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4" fillId="0" borderId="28" xfId="0" applyFont="1" applyBorder="1"/>
    <xf numFmtId="0" fontId="14" fillId="0" borderId="47" xfId="0" applyFont="1" applyBorder="1"/>
    <xf numFmtId="0" fontId="14" fillId="0" borderId="48" xfId="0" applyFont="1" applyBorder="1"/>
    <xf numFmtId="0" fontId="0" fillId="0" borderId="77" xfId="0" applyFont="1" applyBorder="1" applyAlignment="1">
      <alignment horizontal="center" vertical="center"/>
    </xf>
    <xf numFmtId="0" fontId="14" fillId="0" borderId="78" xfId="0" applyFont="1" applyBorder="1"/>
    <xf numFmtId="49" fontId="30" fillId="0" borderId="20" xfId="0" applyNumberFormat="1" applyFont="1" applyBorder="1" applyAlignment="1">
      <alignment horizontal="left" vertical="center" wrapText="1"/>
    </xf>
    <xf numFmtId="0" fontId="32" fillId="0" borderId="106" xfId="0" applyFont="1" applyBorder="1" applyAlignment="1">
      <alignment horizontal="center" vertical="center"/>
    </xf>
    <xf numFmtId="0" fontId="14" fillId="0" borderId="107" xfId="0" applyFont="1" applyBorder="1"/>
    <xf numFmtId="0" fontId="14" fillId="0" borderId="108" xfId="0" applyFont="1" applyBorder="1"/>
    <xf numFmtId="0" fontId="32" fillId="0" borderId="109" xfId="0" applyFont="1" applyBorder="1" applyAlignment="1">
      <alignment horizontal="center" vertical="center"/>
    </xf>
    <xf numFmtId="0" fontId="14" fillId="0" borderId="67" xfId="0" applyFont="1" applyBorder="1"/>
    <xf numFmtId="0" fontId="32" fillId="0" borderId="71" xfId="0" applyFont="1" applyBorder="1" applyAlignment="1">
      <alignment horizontal="center" vertical="center" wrapText="1"/>
    </xf>
    <xf numFmtId="0" fontId="14" fillId="0" borderId="72" xfId="0" applyFont="1" applyBorder="1"/>
    <xf numFmtId="0" fontId="14" fillId="0" borderId="115" xfId="0" applyFont="1" applyBorder="1"/>
    <xf numFmtId="0" fontId="14" fillId="0" borderId="116" xfId="0" applyFont="1" applyBorder="1"/>
    <xf numFmtId="165" fontId="32" fillId="0" borderId="110" xfId="0" applyNumberFormat="1" applyFont="1" applyBorder="1" applyAlignment="1">
      <alignment horizontal="center" vertical="center"/>
    </xf>
    <xf numFmtId="0" fontId="14" fillId="0" borderId="117" xfId="0" applyFont="1" applyBorder="1"/>
    <xf numFmtId="0" fontId="0" fillId="0" borderId="75" xfId="0" applyFont="1" applyBorder="1" applyAlignment="1">
      <alignment horizontal="left" vertical="center" wrapText="1"/>
    </xf>
    <xf numFmtId="0" fontId="14" fillId="0" borderId="104" xfId="0" applyFont="1" applyBorder="1"/>
    <xf numFmtId="0" fontId="0" fillId="0" borderId="77" xfId="0" applyFont="1" applyBorder="1" applyAlignment="1">
      <alignment horizontal="left" vertical="center"/>
    </xf>
    <xf numFmtId="0" fontId="37" fillId="0" borderId="77" xfId="0" applyFont="1" applyBorder="1" applyAlignment="1">
      <alignment horizontal="left" vertical="center"/>
    </xf>
    <xf numFmtId="0" fontId="14" fillId="0" borderId="78" xfId="0" applyFont="1" applyBorder="1" applyAlignment="1">
      <alignment horizontal="left"/>
    </xf>
    <xf numFmtId="0" fontId="1" fillId="0" borderId="32" xfId="0" applyFont="1" applyBorder="1" applyAlignment="1">
      <alignment horizontal="left" vertical="center" wrapText="1"/>
    </xf>
    <xf numFmtId="0" fontId="29" fillId="0" borderId="32" xfId="0" applyFont="1" applyBorder="1"/>
    <xf numFmtId="0" fontId="30" fillId="0" borderId="37" xfId="0" applyFont="1" applyBorder="1" applyAlignment="1">
      <alignment horizontal="left"/>
    </xf>
    <xf numFmtId="0" fontId="14" fillId="0" borderId="70" xfId="0" applyFont="1" applyBorder="1"/>
    <xf numFmtId="0" fontId="31" fillId="0" borderId="32" xfId="0" applyFont="1" applyBorder="1" applyAlignment="1">
      <alignment horizontal="left"/>
    </xf>
    <xf numFmtId="0" fontId="14" fillId="0" borderId="69" xfId="0" applyFont="1" applyBorder="1"/>
    <xf numFmtId="0" fontId="30" fillId="0" borderId="68" xfId="0" applyFont="1" applyBorder="1" applyAlignment="1">
      <alignment horizontal="left"/>
    </xf>
    <xf numFmtId="0" fontId="0" fillId="0" borderId="34" xfId="0" applyFont="1" applyBorder="1" applyAlignment="1">
      <alignment horizontal="center"/>
    </xf>
    <xf numFmtId="3" fontId="27" fillId="0" borderId="35" xfId="0" applyNumberFormat="1" applyFont="1" applyBorder="1" applyAlignment="1">
      <alignment horizontal="center"/>
    </xf>
    <xf numFmtId="0" fontId="14" fillId="0" borderId="36" xfId="0" applyFont="1" applyBorder="1"/>
    <xf numFmtId="0" fontId="28" fillId="0" borderId="43" xfId="0" applyFont="1" applyBorder="1" applyAlignment="1">
      <alignment horizontal="center" vertical="center" wrapText="1"/>
    </xf>
    <xf numFmtId="0" fontId="14" fillId="0" borderId="19" xfId="0" applyFont="1" applyBorder="1"/>
    <xf numFmtId="0" fontId="14" fillId="0" borderId="65" xfId="0" applyFont="1" applyBorder="1"/>
    <xf numFmtId="0" fontId="14" fillId="0" borderId="66" xfId="0" applyFont="1" applyBorder="1"/>
    <xf numFmtId="0" fontId="38" fillId="0" borderId="30" xfId="0" applyFont="1" applyBorder="1" applyAlignment="1">
      <alignment horizontal="left" vertical="center" wrapText="1"/>
    </xf>
    <xf numFmtId="0" fontId="14" fillId="0" borderId="31" xfId="0" applyFont="1" applyBorder="1"/>
    <xf numFmtId="0" fontId="14" fillId="0" borderId="85" xfId="0" applyFont="1" applyBorder="1"/>
    <xf numFmtId="0" fontId="0" fillId="0" borderId="37" xfId="0" applyFont="1" applyBorder="1"/>
    <xf numFmtId="0" fontId="27" fillId="0" borderId="34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  <xf numFmtId="0" fontId="30" fillId="0" borderId="20" xfId="0" applyFont="1" applyBorder="1" applyAlignment="1">
      <alignment horizontal="left" vertical="center" wrapText="1"/>
    </xf>
    <xf numFmtId="0" fontId="14" fillId="0" borderId="22" xfId="0" applyFont="1" applyBorder="1"/>
    <xf numFmtId="0" fontId="14" fillId="0" borderId="23" xfId="0" applyFont="1" applyBorder="1"/>
    <xf numFmtId="0" fontId="0" fillId="0" borderId="82" xfId="0" applyFont="1" applyBorder="1" applyAlignment="1">
      <alignment horizontal="left" vertical="center"/>
    </xf>
    <xf numFmtId="0" fontId="14" fillId="0" borderId="8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tabSelected="1" zoomScaleNormal="100" workbookViewId="0">
      <selection activeCell="C8" sqref="C8"/>
    </sheetView>
  </sheetViews>
  <sheetFormatPr baseColWidth="10" defaultColWidth="14.42578125" defaultRowHeight="15" customHeight="1"/>
  <cols>
    <col min="1" max="1" width="4.85546875" customWidth="1"/>
    <col min="2" max="2" width="13.85546875" customWidth="1"/>
    <col min="3" max="3" width="47.140625" style="147" customWidth="1"/>
    <col min="4" max="4" width="5.5703125" style="147" customWidth="1"/>
    <col min="5" max="5" width="91.85546875" customWidth="1"/>
    <col min="6" max="6" width="18.140625" customWidth="1"/>
    <col min="7" max="7" width="17.140625" hidden="1" customWidth="1"/>
    <col min="8" max="8" width="10.85546875" hidden="1" customWidth="1"/>
    <col min="9" max="9" width="8" hidden="1" customWidth="1"/>
    <col min="10" max="10" width="14.5703125" hidden="1" customWidth="1"/>
    <col min="11" max="11" width="9.42578125" hidden="1" customWidth="1"/>
    <col min="12" max="12" width="14" hidden="1" customWidth="1"/>
    <col min="13" max="13" width="8.28515625" hidden="1" customWidth="1"/>
    <col min="14" max="14" width="14.140625" hidden="1" customWidth="1"/>
    <col min="15" max="15" width="4.5703125" hidden="1" customWidth="1"/>
    <col min="16" max="16" width="12.42578125" hidden="1" customWidth="1"/>
    <col min="17" max="17" width="14.7109375" hidden="1" customWidth="1"/>
    <col min="18" max="18" width="13.42578125" hidden="1" customWidth="1"/>
    <col min="19" max="20" width="10.5703125" hidden="1" customWidth="1"/>
    <col min="21" max="21" width="14.7109375" hidden="1" customWidth="1"/>
    <col min="22" max="22" width="12.85546875" hidden="1" customWidth="1"/>
    <col min="23" max="23" width="6" hidden="1" customWidth="1"/>
    <col min="24" max="24" width="13.85546875" hidden="1" customWidth="1"/>
    <col min="25" max="25" width="10.140625" hidden="1" customWidth="1"/>
    <col min="26" max="26" width="13.5703125" hidden="1" customWidth="1"/>
    <col min="27" max="28" width="14.42578125" hidden="1" customWidth="1"/>
    <col min="29" max="29" width="5.7109375" hidden="1" customWidth="1"/>
    <col min="30" max="30" width="12.42578125" hidden="1" customWidth="1"/>
    <col min="31" max="31" width="10.140625" hidden="1" customWidth="1"/>
    <col min="32" max="32" width="13.5703125" hidden="1" customWidth="1"/>
    <col min="33" max="33" width="12.140625" hidden="1" customWidth="1"/>
    <col min="34" max="34" width="13" hidden="1" customWidth="1"/>
    <col min="35" max="36" width="10.5703125" hidden="1" customWidth="1"/>
    <col min="37" max="37" width="4.7109375" hidden="1" customWidth="1"/>
    <col min="38" max="38" width="11.28515625" hidden="1" customWidth="1"/>
    <col min="39" max="39" width="6.5703125" hidden="1" customWidth="1"/>
    <col min="40" max="40" width="13.5703125" hidden="1" customWidth="1"/>
    <col min="41" max="41" width="14.85546875" hidden="1" customWidth="1"/>
    <col min="42" max="42" width="13.5703125" hidden="1" customWidth="1"/>
    <col min="43" max="44" width="13.85546875" hidden="1" customWidth="1"/>
    <col min="45" max="46" width="15.28515625" hidden="1" customWidth="1"/>
    <col min="47" max="47" width="5" hidden="1" customWidth="1"/>
    <col min="48" max="48" width="15.85546875" hidden="1" customWidth="1"/>
    <col min="49" max="49" width="10.42578125" customWidth="1"/>
    <col min="50" max="50" width="15.5703125" customWidth="1"/>
    <col min="51" max="51" width="19.28515625" customWidth="1"/>
    <col min="52" max="52" width="76" style="147" hidden="1" customWidth="1"/>
    <col min="53" max="53" width="17.85546875" hidden="1" customWidth="1"/>
    <col min="54" max="54" width="73.5703125" hidden="1" customWidth="1"/>
    <col min="55" max="55" width="42.28515625" hidden="1" customWidth="1"/>
  </cols>
  <sheetData>
    <row r="1" spans="1:55">
      <c r="A1" s="1">
        <v>2022</v>
      </c>
      <c r="B1" s="2"/>
      <c r="C1" s="148"/>
      <c r="D1" s="148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9"/>
      <c r="Y1" s="10"/>
      <c r="Z1" s="10"/>
      <c r="AA1" s="10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9"/>
      <c r="AO1" s="10"/>
      <c r="AP1" s="10"/>
      <c r="AQ1" s="10"/>
      <c r="AR1" s="9"/>
      <c r="AS1" s="10"/>
      <c r="AT1" s="10"/>
      <c r="AU1" s="10"/>
      <c r="AV1" s="9"/>
      <c r="AW1" s="11"/>
      <c r="AX1" s="9"/>
      <c r="AY1" s="9"/>
      <c r="AZ1" s="143"/>
      <c r="BA1" s="10"/>
      <c r="BB1" s="12"/>
    </row>
    <row r="2" spans="1:55" ht="18.75">
      <c r="A2" s="3"/>
      <c r="B2" s="205" t="s">
        <v>0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9"/>
      <c r="AZ2" s="143"/>
      <c r="BA2" s="10"/>
      <c r="BB2" s="12"/>
    </row>
    <row r="3" spans="1:55">
      <c r="A3" s="3"/>
      <c r="B3" s="2"/>
      <c r="C3" s="148"/>
      <c r="D3" s="148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9"/>
      <c r="Y3" s="10"/>
      <c r="Z3" s="10"/>
      <c r="AA3" s="10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/>
      <c r="AO3" s="10"/>
      <c r="AP3" s="10"/>
      <c r="AQ3" s="10"/>
      <c r="AR3" s="9"/>
      <c r="AS3" s="10"/>
      <c r="AT3" s="10"/>
      <c r="AU3" s="10"/>
      <c r="AV3" s="9"/>
      <c r="AW3" s="11"/>
      <c r="AX3" s="9"/>
      <c r="AY3" s="9"/>
      <c r="AZ3" s="143"/>
      <c r="BA3" s="10"/>
      <c r="BB3" s="12"/>
    </row>
    <row r="4" spans="1:55">
      <c r="A4" s="209" t="s">
        <v>1</v>
      </c>
      <c r="B4" s="206"/>
      <c r="C4" s="207" t="s">
        <v>2</v>
      </c>
      <c r="D4" s="206"/>
      <c r="E4" s="206"/>
      <c r="F4" s="13"/>
      <c r="G4" s="13"/>
      <c r="H4" s="13"/>
      <c r="I4" s="13"/>
      <c r="J4" s="13"/>
      <c r="K4" s="13"/>
      <c r="L4" s="13"/>
      <c r="M4" s="14"/>
      <c r="N4" s="15"/>
      <c r="O4" s="16"/>
      <c r="P4" s="13"/>
      <c r="Q4" s="14"/>
      <c r="R4" s="13"/>
      <c r="S4" s="16"/>
      <c r="T4" s="17"/>
      <c r="U4" s="14"/>
      <c r="V4" s="13"/>
      <c r="W4" s="16"/>
      <c r="X4" s="9"/>
      <c r="Y4" s="10"/>
      <c r="Z4" s="10"/>
      <c r="AA4" s="10"/>
      <c r="AB4" s="9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/>
      <c r="AO4" s="10"/>
      <c r="AP4" s="10"/>
      <c r="AQ4" s="10"/>
      <c r="AR4" s="9"/>
      <c r="AS4" s="10"/>
      <c r="AT4" s="10"/>
      <c r="AU4" s="10"/>
      <c r="AV4" s="9"/>
      <c r="AW4" s="11"/>
      <c r="AX4" s="9"/>
      <c r="AY4" s="9"/>
      <c r="AZ4" s="143"/>
      <c r="BA4" s="10"/>
      <c r="BB4" s="12"/>
    </row>
    <row r="5" spans="1:55">
      <c r="A5" s="209" t="s">
        <v>3</v>
      </c>
      <c r="B5" s="206"/>
      <c r="C5" s="208" t="s">
        <v>4</v>
      </c>
      <c r="D5" s="206"/>
      <c r="E5" s="206"/>
      <c r="F5" s="13"/>
      <c r="G5" s="13"/>
      <c r="H5" s="13"/>
      <c r="I5" s="13"/>
      <c r="J5" s="13"/>
      <c r="K5" s="13"/>
      <c r="L5" s="13"/>
      <c r="M5" s="14"/>
      <c r="N5" s="15"/>
      <c r="O5" s="16"/>
      <c r="P5" s="13"/>
      <c r="Q5" s="14"/>
      <c r="R5" s="13"/>
      <c r="S5" s="16"/>
      <c r="T5" s="17"/>
      <c r="U5" s="14"/>
      <c r="V5" s="13"/>
      <c r="W5" s="16"/>
      <c r="X5" s="17"/>
      <c r="Y5" s="16"/>
      <c r="Z5" s="13"/>
      <c r="AA5" s="16"/>
      <c r="AB5" s="17"/>
      <c r="AC5" s="16"/>
      <c r="AD5" s="13"/>
      <c r="AE5" s="16"/>
      <c r="AF5" s="13"/>
      <c r="AG5" s="16"/>
      <c r="AH5" s="13"/>
      <c r="AI5" s="16"/>
      <c r="AJ5" s="13"/>
      <c r="AK5" s="16"/>
      <c r="AL5" s="13"/>
      <c r="AM5" s="16"/>
      <c r="AN5" s="17"/>
      <c r="AO5" s="16"/>
      <c r="AP5" s="13"/>
      <c r="AQ5" s="16"/>
      <c r="AR5" s="17"/>
      <c r="AS5" s="13"/>
      <c r="AT5" s="13"/>
      <c r="AU5" s="13"/>
      <c r="AV5" s="17"/>
      <c r="AW5" s="16"/>
      <c r="AX5" s="8"/>
      <c r="AY5" s="8"/>
      <c r="AZ5" s="143"/>
      <c r="BA5" s="10"/>
      <c r="BB5" s="12"/>
    </row>
    <row r="6" spans="1:55">
      <c r="A6" s="209" t="s">
        <v>5</v>
      </c>
      <c r="B6" s="206"/>
      <c r="C6" s="149">
        <v>2022</v>
      </c>
      <c r="D6" s="150"/>
      <c r="E6" s="18"/>
      <c r="F6" s="13"/>
      <c r="G6" s="13"/>
      <c r="H6" s="13"/>
      <c r="I6" s="13"/>
      <c r="J6" s="13"/>
      <c r="K6" s="13"/>
      <c r="L6" s="13"/>
      <c r="M6" s="14"/>
      <c r="N6" s="15"/>
      <c r="O6" s="16"/>
      <c r="P6" s="13"/>
      <c r="Q6" s="14"/>
      <c r="R6" s="13"/>
      <c r="S6" s="16"/>
      <c r="T6" s="17"/>
      <c r="U6" s="14"/>
      <c r="V6" s="13"/>
      <c r="W6" s="16"/>
      <c r="X6" s="17"/>
      <c r="Y6" s="16"/>
      <c r="Z6" s="13"/>
      <c r="AA6" s="16"/>
      <c r="AB6" s="17"/>
      <c r="AC6" s="16"/>
      <c r="AD6" s="13"/>
      <c r="AE6" s="16"/>
      <c r="AF6" s="13"/>
      <c r="AG6" s="16"/>
      <c r="AH6" s="13"/>
      <c r="AI6" s="16"/>
      <c r="AJ6" s="13"/>
      <c r="AK6" s="16"/>
      <c r="AL6" s="13"/>
      <c r="AM6" s="16"/>
      <c r="AN6" s="17"/>
      <c r="AO6" s="16"/>
      <c r="AP6" s="13"/>
      <c r="AQ6" s="16"/>
      <c r="AR6" s="17"/>
      <c r="AS6" s="13"/>
      <c r="AT6" s="13"/>
      <c r="AU6" s="13"/>
      <c r="AV6" s="17"/>
      <c r="AW6" s="16"/>
      <c r="AX6" s="8"/>
      <c r="AY6" s="8"/>
      <c r="AZ6" s="143"/>
      <c r="BA6" s="10"/>
      <c r="BB6" s="12"/>
    </row>
    <row r="7" spans="1:55">
      <c r="A7" s="209" t="s">
        <v>6</v>
      </c>
      <c r="B7" s="206"/>
      <c r="C7" s="149" t="s">
        <v>215</v>
      </c>
      <c r="D7" s="150"/>
      <c r="E7" s="18"/>
      <c r="F7" s="13"/>
      <c r="G7" s="13"/>
      <c r="H7" s="13"/>
      <c r="I7" s="13"/>
      <c r="J7" s="13"/>
      <c r="K7" s="13"/>
      <c r="L7" s="13"/>
      <c r="M7" s="14"/>
      <c r="N7" s="15"/>
      <c r="O7" s="16"/>
      <c r="P7" s="13"/>
      <c r="Q7" s="14"/>
      <c r="R7" s="13"/>
      <c r="S7" s="16"/>
      <c r="T7" s="17"/>
      <c r="U7" s="14"/>
      <c r="V7" s="13"/>
      <c r="W7" s="16"/>
      <c r="X7" s="17"/>
      <c r="Y7" s="16"/>
      <c r="Z7" s="13"/>
      <c r="AA7" s="16"/>
      <c r="AB7" s="17"/>
      <c r="AC7" s="16"/>
      <c r="AD7" s="13"/>
      <c r="AE7" s="16"/>
      <c r="AF7" s="13"/>
      <c r="AG7" s="16"/>
      <c r="AH7" s="13"/>
      <c r="AI7" s="16"/>
      <c r="AJ7" s="13"/>
      <c r="AK7" s="16"/>
      <c r="AL7" s="13"/>
      <c r="AM7" s="16"/>
      <c r="AN7" s="17"/>
      <c r="AO7" s="16"/>
      <c r="AP7" s="13"/>
      <c r="AQ7" s="16"/>
      <c r="AR7" s="17"/>
      <c r="AS7" s="13"/>
      <c r="AT7" s="13"/>
      <c r="AU7" s="13"/>
      <c r="AV7" s="17"/>
      <c r="AW7" s="16"/>
      <c r="AX7" s="8"/>
      <c r="AY7" s="8"/>
      <c r="AZ7" s="143"/>
      <c r="BA7" s="10"/>
      <c r="BB7" s="12"/>
    </row>
    <row r="8" spans="1:55" ht="15.75" thickBot="1">
      <c r="A8" s="3"/>
      <c r="B8" s="13"/>
      <c r="C8" s="151"/>
      <c r="D8" s="151"/>
      <c r="E8" s="19"/>
      <c r="F8" s="13"/>
      <c r="G8" s="13"/>
      <c r="H8" s="13"/>
      <c r="I8" s="13"/>
      <c r="J8" s="13"/>
      <c r="K8" s="13"/>
      <c r="L8" s="13"/>
      <c r="M8" s="14"/>
      <c r="N8" s="15"/>
      <c r="O8" s="16"/>
      <c r="P8" s="13"/>
      <c r="Q8" s="14"/>
      <c r="R8" s="13"/>
      <c r="S8" s="16"/>
      <c r="T8" s="17"/>
      <c r="U8" s="14"/>
      <c r="V8" s="13"/>
      <c r="W8" s="16"/>
      <c r="X8" s="17"/>
      <c r="Y8" s="16"/>
      <c r="Z8" s="13"/>
      <c r="AA8" s="16"/>
      <c r="AB8" s="17"/>
      <c r="AC8" s="16"/>
      <c r="AD8" s="13"/>
      <c r="AE8" s="16"/>
      <c r="AF8" s="13"/>
      <c r="AG8" s="16"/>
      <c r="AH8" s="13"/>
      <c r="AI8" s="16"/>
      <c r="AJ8" s="13"/>
      <c r="AK8" s="16"/>
      <c r="AL8" s="13"/>
      <c r="AM8" s="16"/>
      <c r="AN8" s="17"/>
      <c r="AO8" s="16"/>
      <c r="AP8" s="13"/>
      <c r="AQ8" s="16"/>
      <c r="AR8" s="17"/>
      <c r="AS8" s="13"/>
      <c r="AT8" s="13"/>
      <c r="AU8" s="13"/>
      <c r="AV8" s="17"/>
      <c r="AW8" s="16"/>
      <c r="AX8" s="8"/>
      <c r="AY8" s="8"/>
      <c r="AZ8" s="143"/>
      <c r="BA8" s="10"/>
      <c r="BB8" s="12"/>
    </row>
    <row r="9" spans="1:55" ht="39" thickBot="1">
      <c r="A9" s="20" t="s">
        <v>7</v>
      </c>
      <c r="B9" s="21" t="s">
        <v>8</v>
      </c>
      <c r="C9" s="152" t="s">
        <v>9</v>
      </c>
      <c r="D9" s="153" t="s">
        <v>10</v>
      </c>
      <c r="E9" s="23" t="s">
        <v>11</v>
      </c>
      <c r="F9" s="22" t="s">
        <v>12</v>
      </c>
      <c r="G9" s="22" t="s">
        <v>13</v>
      </c>
      <c r="H9" s="22" t="s">
        <v>14</v>
      </c>
      <c r="I9" s="24" t="s">
        <v>15</v>
      </c>
      <c r="J9" s="22" t="s">
        <v>16</v>
      </c>
      <c r="K9" s="22" t="s">
        <v>17</v>
      </c>
      <c r="L9" s="22" t="s">
        <v>18</v>
      </c>
      <c r="M9" s="25" t="s">
        <v>19</v>
      </c>
      <c r="N9" s="26" t="s">
        <v>20</v>
      </c>
      <c r="O9" s="27" t="s">
        <v>21</v>
      </c>
      <c r="P9" s="22" t="s">
        <v>22</v>
      </c>
      <c r="Q9" s="25" t="s">
        <v>23</v>
      </c>
      <c r="R9" s="22" t="s">
        <v>24</v>
      </c>
      <c r="S9" s="27" t="s">
        <v>25</v>
      </c>
      <c r="T9" s="28" t="s">
        <v>26</v>
      </c>
      <c r="U9" s="25" t="s">
        <v>27</v>
      </c>
      <c r="V9" s="22" t="s">
        <v>28</v>
      </c>
      <c r="W9" s="27" t="s">
        <v>29</v>
      </c>
      <c r="X9" s="28" t="s">
        <v>30</v>
      </c>
      <c r="Y9" s="27" t="s">
        <v>31</v>
      </c>
      <c r="Z9" s="22" t="s">
        <v>32</v>
      </c>
      <c r="AA9" s="27" t="s">
        <v>33</v>
      </c>
      <c r="AB9" s="28" t="s">
        <v>34</v>
      </c>
      <c r="AC9" s="29" t="s">
        <v>35</v>
      </c>
      <c r="AD9" s="22" t="s">
        <v>36</v>
      </c>
      <c r="AE9" s="27" t="s">
        <v>37</v>
      </c>
      <c r="AF9" s="22" t="s">
        <v>38</v>
      </c>
      <c r="AG9" s="27" t="s">
        <v>39</v>
      </c>
      <c r="AH9" s="22" t="s">
        <v>40</v>
      </c>
      <c r="AI9" s="27" t="s">
        <v>41</v>
      </c>
      <c r="AJ9" s="22" t="s">
        <v>42</v>
      </c>
      <c r="AK9" s="27" t="s">
        <v>43</v>
      </c>
      <c r="AL9" s="22" t="s">
        <v>44</v>
      </c>
      <c r="AM9" s="29" t="s">
        <v>45</v>
      </c>
      <c r="AN9" s="28" t="s">
        <v>46</v>
      </c>
      <c r="AO9" s="29" t="s">
        <v>47</v>
      </c>
      <c r="AP9" s="22" t="s">
        <v>48</v>
      </c>
      <c r="AQ9" s="27" t="s">
        <v>49</v>
      </c>
      <c r="AR9" s="28" t="s">
        <v>50</v>
      </c>
      <c r="AS9" s="22" t="s">
        <v>51</v>
      </c>
      <c r="AT9" s="22" t="s">
        <v>52</v>
      </c>
      <c r="AU9" s="22" t="s">
        <v>53</v>
      </c>
      <c r="AV9" s="30" t="s">
        <v>54</v>
      </c>
      <c r="AW9" s="27" t="s">
        <v>55</v>
      </c>
      <c r="AX9" s="31" t="s">
        <v>56</v>
      </c>
      <c r="AY9" s="172" t="s">
        <v>57</v>
      </c>
      <c r="AZ9" s="185" t="s">
        <v>58</v>
      </c>
      <c r="BA9" s="184" t="s">
        <v>59</v>
      </c>
      <c r="BB9" s="32"/>
      <c r="BC9" s="131" t="s">
        <v>60</v>
      </c>
    </row>
    <row r="10" spans="1:55" ht="75" customHeight="1">
      <c r="A10" s="33">
        <v>1</v>
      </c>
      <c r="B10" s="33" t="s">
        <v>61</v>
      </c>
      <c r="C10" s="154" t="s">
        <v>62</v>
      </c>
      <c r="D10" s="154" t="s">
        <v>63</v>
      </c>
      <c r="E10" s="34" t="s">
        <v>64</v>
      </c>
      <c r="F10" s="35" t="s">
        <v>65</v>
      </c>
      <c r="G10" s="33"/>
      <c r="H10" s="33"/>
      <c r="I10" s="33"/>
      <c r="J10" s="33"/>
      <c r="K10" s="33"/>
      <c r="L10" s="36"/>
      <c r="M10" s="37"/>
      <c r="N10" s="36"/>
      <c r="O10" s="38"/>
      <c r="P10" s="33"/>
      <c r="Q10" s="37"/>
      <c r="R10" s="33"/>
      <c r="S10" s="38"/>
      <c r="T10" s="39"/>
      <c r="U10" s="37"/>
      <c r="V10" s="33"/>
      <c r="W10" s="38"/>
      <c r="X10" s="39"/>
      <c r="Y10" s="38"/>
      <c r="Z10" s="33"/>
      <c r="AA10" s="38"/>
      <c r="AB10" s="39"/>
      <c r="AC10" s="38"/>
      <c r="AD10" s="33"/>
      <c r="AE10" s="38"/>
      <c r="AF10" s="39"/>
      <c r="AG10" s="33"/>
      <c r="AH10" s="36"/>
      <c r="AI10" s="38"/>
      <c r="AJ10" s="33"/>
      <c r="AK10" s="38"/>
      <c r="AL10" s="36"/>
      <c r="AM10" s="38"/>
      <c r="AN10" s="39"/>
      <c r="AO10" s="38"/>
      <c r="AP10" s="36"/>
      <c r="AQ10" s="38"/>
      <c r="AR10" s="39"/>
      <c r="AS10" s="33"/>
      <c r="AT10" s="33"/>
      <c r="AU10" s="33">
        <v>10</v>
      </c>
      <c r="AV10" s="39">
        <f t="shared" ref="AV10:AV29" si="0">+AU10*AX10</f>
        <v>1800000</v>
      </c>
      <c r="AW10" s="40">
        <f t="shared" ref="AW10:AW29" si="1">+AQ10+AO10+AM10+AK10+AI10+AG10+AE10+AC10+AA10+Y10+W10+U10+S10+Q10+O10+M10+K10+I10+AS10+G10+AU10</f>
        <v>10</v>
      </c>
      <c r="AX10" s="166">
        <v>180000</v>
      </c>
      <c r="AY10" s="171">
        <f t="shared" ref="AY10:AY29" si="2">+AW10*AX10</f>
        <v>1800000</v>
      </c>
      <c r="AZ10" s="179" t="s">
        <v>173</v>
      </c>
      <c r="BA10" s="174">
        <v>433</v>
      </c>
      <c r="BB10" s="41" t="s">
        <v>173</v>
      </c>
      <c r="BC10" s="132" t="s">
        <v>62</v>
      </c>
    </row>
    <row r="11" spans="1:55" ht="78" customHeight="1">
      <c r="A11" s="33">
        <v>2</v>
      </c>
      <c r="B11" s="33" t="s">
        <v>66</v>
      </c>
      <c r="C11" s="154" t="s">
        <v>62</v>
      </c>
      <c r="D11" s="154" t="s">
        <v>63</v>
      </c>
      <c r="E11" s="34" t="s">
        <v>67</v>
      </c>
      <c r="F11" s="35" t="s">
        <v>65</v>
      </c>
      <c r="G11" s="33"/>
      <c r="H11" s="33"/>
      <c r="I11" s="33"/>
      <c r="J11" s="33"/>
      <c r="K11" s="33"/>
      <c r="L11" s="36"/>
      <c r="M11" s="37"/>
      <c r="N11" s="36"/>
      <c r="O11" s="38"/>
      <c r="P11" s="33"/>
      <c r="Q11" s="37"/>
      <c r="R11" s="33"/>
      <c r="S11" s="38"/>
      <c r="T11" s="39"/>
      <c r="U11" s="37"/>
      <c r="V11" s="33"/>
      <c r="W11" s="38"/>
      <c r="X11" s="39"/>
      <c r="Y11" s="38"/>
      <c r="Z11" s="33"/>
      <c r="AA11" s="38"/>
      <c r="AB11" s="39"/>
      <c r="AC11" s="38"/>
      <c r="AD11" s="33"/>
      <c r="AE11" s="38"/>
      <c r="AF11" s="39"/>
      <c r="AG11" s="33"/>
      <c r="AH11" s="36"/>
      <c r="AI11" s="38"/>
      <c r="AJ11" s="33"/>
      <c r="AK11" s="38"/>
      <c r="AL11" s="36"/>
      <c r="AM11" s="38"/>
      <c r="AN11" s="39"/>
      <c r="AO11" s="38"/>
      <c r="AP11" s="36"/>
      <c r="AQ11" s="38"/>
      <c r="AR11" s="39"/>
      <c r="AS11" s="33"/>
      <c r="AT11" s="33"/>
      <c r="AU11" s="33">
        <v>10</v>
      </c>
      <c r="AV11" s="39">
        <f t="shared" si="0"/>
        <v>1100000</v>
      </c>
      <c r="AW11" s="40">
        <f t="shared" si="1"/>
        <v>10</v>
      </c>
      <c r="AX11" s="166">
        <v>110000</v>
      </c>
      <c r="AY11" s="169">
        <f t="shared" si="2"/>
        <v>1100000</v>
      </c>
      <c r="AZ11" s="180" t="s">
        <v>173</v>
      </c>
      <c r="BA11" s="175">
        <v>433</v>
      </c>
      <c r="BB11" s="41" t="s">
        <v>173</v>
      </c>
      <c r="BC11" s="132" t="s">
        <v>62</v>
      </c>
    </row>
    <row r="12" spans="1:55" ht="86.25" customHeight="1">
      <c r="A12" s="33">
        <v>3</v>
      </c>
      <c r="B12" s="33" t="s">
        <v>68</v>
      </c>
      <c r="C12" s="154" t="s">
        <v>62</v>
      </c>
      <c r="D12" s="154" t="s">
        <v>63</v>
      </c>
      <c r="E12" s="34" t="s">
        <v>69</v>
      </c>
      <c r="F12" s="35" t="s">
        <v>65</v>
      </c>
      <c r="G12" s="33"/>
      <c r="H12" s="33"/>
      <c r="I12" s="33"/>
      <c r="J12" s="33"/>
      <c r="K12" s="33"/>
      <c r="L12" s="36"/>
      <c r="M12" s="37"/>
      <c r="N12" s="36"/>
      <c r="O12" s="38"/>
      <c r="P12" s="33"/>
      <c r="Q12" s="37"/>
      <c r="R12" s="33"/>
      <c r="S12" s="38"/>
      <c r="T12" s="39"/>
      <c r="U12" s="37"/>
      <c r="V12" s="33"/>
      <c r="W12" s="38"/>
      <c r="X12" s="39"/>
      <c r="Y12" s="38"/>
      <c r="Z12" s="33"/>
      <c r="AA12" s="38"/>
      <c r="AB12" s="39"/>
      <c r="AC12" s="38"/>
      <c r="AD12" s="33"/>
      <c r="AE12" s="38"/>
      <c r="AF12" s="39"/>
      <c r="AG12" s="33"/>
      <c r="AH12" s="36"/>
      <c r="AI12" s="38"/>
      <c r="AJ12" s="33"/>
      <c r="AK12" s="38"/>
      <c r="AL12" s="36"/>
      <c r="AM12" s="38"/>
      <c r="AN12" s="39"/>
      <c r="AO12" s="38"/>
      <c r="AP12" s="36"/>
      <c r="AQ12" s="38"/>
      <c r="AR12" s="39"/>
      <c r="AS12" s="33"/>
      <c r="AT12" s="33"/>
      <c r="AU12" s="33">
        <v>10</v>
      </c>
      <c r="AV12" s="39">
        <f t="shared" si="0"/>
        <v>1100000</v>
      </c>
      <c r="AW12" s="40">
        <f t="shared" si="1"/>
        <v>10</v>
      </c>
      <c r="AX12" s="166">
        <v>110000</v>
      </c>
      <c r="AY12" s="169">
        <f t="shared" si="2"/>
        <v>1100000</v>
      </c>
      <c r="AZ12" s="180" t="s">
        <v>173</v>
      </c>
      <c r="BA12" s="175">
        <v>433</v>
      </c>
      <c r="BB12" s="41" t="s">
        <v>173</v>
      </c>
      <c r="BC12" s="132" t="s">
        <v>62</v>
      </c>
    </row>
    <row r="13" spans="1:55" ht="24">
      <c r="A13" s="33">
        <v>4</v>
      </c>
      <c r="B13" s="33" t="s">
        <v>70</v>
      </c>
      <c r="C13" s="154" t="s">
        <v>62</v>
      </c>
      <c r="D13" s="154" t="s">
        <v>71</v>
      </c>
      <c r="E13" s="34" t="s">
        <v>72</v>
      </c>
      <c r="F13" s="35" t="s">
        <v>65</v>
      </c>
      <c r="G13" s="33"/>
      <c r="H13" s="33"/>
      <c r="I13" s="33"/>
      <c r="J13" s="33"/>
      <c r="K13" s="33"/>
      <c r="L13" s="36"/>
      <c r="M13" s="37"/>
      <c r="N13" s="36"/>
      <c r="O13" s="38"/>
      <c r="P13" s="33"/>
      <c r="Q13" s="37"/>
      <c r="R13" s="33"/>
      <c r="S13" s="38"/>
      <c r="T13" s="39"/>
      <c r="U13" s="37"/>
      <c r="V13" s="33"/>
      <c r="W13" s="38"/>
      <c r="X13" s="39"/>
      <c r="Y13" s="38"/>
      <c r="Z13" s="33"/>
      <c r="AA13" s="38"/>
      <c r="AB13" s="39"/>
      <c r="AC13" s="38"/>
      <c r="AD13" s="33"/>
      <c r="AE13" s="38"/>
      <c r="AF13" s="39"/>
      <c r="AG13" s="33"/>
      <c r="AH13" s="36"/>
      <c r="AI13" s="38"/>
      <c r="AJ13" s="33"/>
      <c r="AK13" s="38"/>
      <c r="AL13" s="36"/>
      <c r="AM13" s="38"/>
      <c r="AN13" s="39"/>
      <c r="AO13" s="38"/>
      <c r="AP13" s="36"/>
      <c r="AQ13" s="38"/>
      <c r="AR13" s="39"/>
      <c r="AS13" s="33"/>
      <c r="AT13" s="33"/>
      <c r="AU13" s="33">
        <v>100</v>
      </c>
      <c r="AV13" s="39">
        <f t="shared" si="0"/>
        <v>80000</v>
      </c>
      <c r="AW13" s="40">
        <f t="shared" si="1"/>
        <v>100</v>
      </c>
      <c r="AX13" s="166">
        <v>800</v>
      </c>
      <c r="AY13" s="169">
        <f t="shared" si="2"/>
        <v>80000</v>
      </c>
      <c r="AZ13" s="181"/>
      <c r="BA13" s="176" t="s">
        <v>73</v>
      </c>
      <c r="BB13" s="42"/>
      <c r="BC13" s="133" t="s">
        <v>62</v>
      </c>
    </row>
    <row r="14" spans="1:55" ht="87" customHeight="1">
      <c r="A14" s="33">
        <v>5</v>
      </c>
      <c r="B14" s="33" t="s">
        <v>74</v>
      </c>
      <c r="C14" s="154" t="s">
        <v>62</v>
      </c>
      <c r="D14" s="154" t="s">
        <v>71</v>
      </c>
      <c r="E14" s="34" t="s">
        <v>75</v>
      </c>
      <c r="F14" s="35" t="s">
        <v>65</v>
      </c>
      <c r="G14" s="33"/>
      <c r="H14" s="33"/>
      <c r="I14" s="33"/>
      <c r="J14" s="33"/>
      <c r="K14" s="33"/>
      <c r="L14" s="36"/>
      <c r="M14" s="37"/>
      <c r="N14" s="36"/>
      <c r="O14" s="38"/>
      <c r="P14" s="33"/>
      <c r="Q14" s="37"/>
      <c r="R14" s="33"/>
      <c r="S14" s="38"/>
      <c r="T14" s="39"/>
      <c r="U14" s="37"/>
      <c r="V14" s="33"/>
      <c r="W14" s="38"/>
      <c r="X14" s="39"/>
      <c r="Y14" s="38"/>
      <c r="Z14" s="33"/>
      <c r="AA14" s="38"/>
      <c r="AB14" s="39"/>
      <c r="AC14" s="38"/>
      <c r="AD14" s="33"/>
      <c r="AE14" s="38"/>
      <c r="AF14" s="39"/>
      <c r="AG14" s="33"/>
      <c r="AH14" s="36"/>
      <c r="AI14" s="38"/>
      <c r="AJ14" s="33"/>
      <c r="AK14" s="38"/>
      <c r="AL14" s="36"/>
      <c r="AM14" s="38"/>
      <c r="AN14" s="39"/>
      <c r="AO14" s="38"/>
      <c r="AP14" s="36"/>
      <c r="AQ14" s="38"/>
      <c r="AR14" s="39"/>
      <c r="AS14" s="33"/>
      <c r="AT14" s="33"/>
      <c r="AU14" s="33">
        <v>100</v>
      </c>
      <c r="AV14" s="39">
        <f t="shared" si="0"/>
        <v>230000</v>
      </c>
      <c r="AW14" s="40">
        <f t="shared" si="1"/>
        <v>100</v>
      </c>
      <c r="AX14" s="166">
        <v>2300</v>
      </c>
      <c r="AY14" s="169">
        <f t="shared" si="2"/>
        <v>230000</v>
      </c>
      <c r="AZ14" s="182" t="s">
        <v>191</v>
      </c>
      <c r="BA14" s="175" t="s">
        <v>76</v>
      </c>
      <c r="BB14" s="137" t="s">
        <v>174</v>
      </c>
      <c r="BC14" s="132" t="s">
        <v>62</v>
      </c>
    </row>
    <row r="15" spans="1:55" ht="63.75" customHeight="1">
      <c r="A15" s="33">
        <v>6</v>
      </c>
      <c r="B15" s="35" t="s">
        <v>188</v>
      </c>
      <c r="C15" s="155" t="s">
        <v>62</v>
      </c>
      <c r="D15" s="155" t="s">
        <v>71</v>
      </c>
      <c r="E15" s="34" t="s">
        <v>189</v>
      </c>
      <c r="F15" s="35" t="s">
        <v>65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8"/>
      <c r="T15" s="39"/>
      <c r="U15" s="33"/>
      <c r="V15" s="36"/>
      <c r="W15" s="33"/>
      <c r="X15" s="39"/>
      <c r="Y15" s="33"/>
      <c r="Z15" s="33"/>
      <c r="AA15" s="33"/>
      <c r="AB15" s="39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9"/>
      <c r="AO15" s="33"/>
      <c r="AP15" s="33"/>
      <c r="AQ15" s="33"/>
      <c r="AR15" s="39"/>
      <c r="AS15" s="33"/>
      <c r="AT15" s="33"/>
      <c r="AU15" s="33">
        <v>50</v>
      </c>
      <c r="AV15" s="39">
        <f t="shared" si="0"/>
        <v>2100000</v>
      </c>
      <c r="AW15" s="40">
        <f t="shared" si="1"/>
        <v>50</v>
      </c>
      <c r="AX15" s="167">
        <v>42000</v>
      </c>
      <c r="AY15" s="169">
        <f t="shared" si="2"/>
        <v>2100000</v>
      </c>
      <c r="AZ15" s="181" t="s">
        <v>190</v>
      </c>
      <c r="BA15" s="175" t="s">
        <v>78</v>
      </c>
      <c r="BB15" s="138" t="s">
        <v>175</v>
      </c>
      <c r="BC15" s="134" t="s">
        <v>77</v>
      </c>
    </row>
    <row r="16" spans="1:55" ht="78.75" customHeight="1">
      <c r="A16" s="33">
        <v>7</v>
      </c>
      <c r="B16" s="33" t="s">
        <v>79</v>
      </c>
      <c r="C16" s="154" t="s">
        <v>62</v>
      </c>
      <c r="D16" s="154" t="s">
        <v>63</v>
      </c>
      <c r="E16" s="34" t="s">
        <v>80</v>
      </c>
      <c r="F16" s="35" t="s">
        <v>65</v>
      </c>
      <c r="G16" s="33"/>
      <c r="H16" s="33"/>
      <c r="I16" s="33"/>
      <c r="J16" s="33"/>
      <c r="K16" s="33"/>
      <c r="L16" s="36"/>
      <c r="M16" s="37"/>
      <c r="N16" s="36"/>
      <c r="O16" s="38"/>
      <c r="P16" s="33"/>
      <c r="Q16" s="37"/>
      <c r="R16" s="33"/>
      <c r="S16" s="38"/>
      <c r="T16" s="39"/>
      <c r="U16" s="37"/>
      <c r="V16" s="33"/>
      <c r="W16" s="38"/>
      <c r="X16" s="39"/>
      <c r="Y16" s="38"/>
      <c r="Z16" s="33"/>
      <c r="AA16" s="38"/>
      <c r="AB16" s="39"/>
      <c r="AC16" s="38"/>
      <c r="AD16" s="33"/>
      <c r="AE16" s="38"/>
      <c r="AF16" s="39"/>
      <c r="AG16" s="33"/>
      <c r="AH16" s="36"/>
      <c r="AI16" s="38"/>
      <c r="AJ16" s="33"/>
      <c r="AK16" s="38"/>
      <c r="AL16" s="36"/>
      <c r="AM16" s="38"/>
      <c r="AN16" s="39"/>
      <c r="AO16" s="38"/>
      <c r="AP16" s="36"/>
      <c r="AQ16" s="38"/>
      <c r="AR16" s="39"/>
      <c r="AS16" s="33"/>
      <c r="AT16" s="33"/>
      <c r="AU16" s="33">
        <v>15</v>
      </c>
      <c r="AV16" s="39">
        <f t="shared" si="0"/>
        <v>259500</v>
      </c>
      <c r="AW16" s="40">
        <f t="shared" si="1"/>
        <v>15</v>
      </c>
      <c r="AX16" s="166">
        <v>17300</v>
      </c>
      <c r="AY16" s="169">
        <f t="shared" si="2"/>
        <v>259500</v>
      </c>
      <c r="AZ16" s="182" t="s">
        <v>176</v>
      </c>
      <c r="BA16" s="175">
        <v>433</v>
      </c>
      <c r="BB16" s="137" t="s">
        <v>176</v>
      </c>
      <c r="BC16" s="132" t="s">
        <v>62</v>
      </c>
    </row>
    <row r="17" spans="1:55" ht="59.25" customHeight="1">
      <c r="A17" s="33">
        <v>8</v>
      </c>
      <c r="B17" s="33" t="s">
        <v>81</v>
      </c>
      <c r="C17" s="154" t="s">
        <v>62</v>
      </c>
      <c r="D17" s="154" t="s">
        <v>63</v>
      </c>
      <c r="E17" s="34" t="s">
        <v>82</v>
      </c>
      <c r="F17" s="35" t="s">
        <v>65</v>
      </c>
      <c r="G17" s="33"/>
      <c r="H17" s="33"/>
      <c r="I17" s="33"/>
      <c r="J17" s="33"/>
      <c r="K17" s="33"/>
      <c r="L17" s="36"/>
      <c r="M17" s="37"/>
      <c r="N17" s="36"/>
      <c r="O17" s="38"/>
      <c r="P17" s="33"/>
      <c r="Q17" s="37"/>
      <c r="R17" s="33"/>
      <c r="S17" s="38"/>
      <c r="T17" s="39"/>
      <c r="U17" s="37"/>
      <c r="V17" s="33"/>
      <c r="W17" s="38"/>
      <c r="X17" s="39"/>
      <c r="Y17" s="38"/>
      <c r="Z17" s="33"/>
      <c r="AA17" s="38"/>
      <c r="AB17" s="39"/>
      <c r="AC17" s="38"/>
      <c r="AD17" s="33"/>
      <c r="AE17" s="38"/>
      <c r="AF17" s="39"/>
      <c r="AG17" s="33"/>
      <c r="AH17" s="36"/>
      <c r="AI17" s="38"/>
      <c r="AJ17" s="33"/>
      <c r="AK17" s="38"/>
      <c r="AL17" s="36"/>
      <c r="AM17" s="38"/>
      <c r="AN17" s="39"/>
      <c r="AO17" s="38"/>
      <c r="AP17" s="36"/>
      <c r="AQ17" s="38"/>
      <c r="AR17" s="39"/>
      <c r="AS17" s="33"/>
      <c r="AT17" s="33"/>
      <c r="AU17" s="33">
        <v>140</v>
      </c>
      <c r="AV17" s="39">
        <f t="shared" si="0"/>
        <v>770000</v>
      </c>
      <c r="AW17" s="40">
        <f t="shared" si="1"/>
        <v>140</v>
      </c>
      <c r="AX17" s="166">
        <v>5500</v>
      </c>
      <c r="AY17" s="170">
        <f t="shared" si="2"/>
        <v>770000</v>
      </c>
      <c r="AZ17" s="182" t="s">
        <v>193</v>
      </c>
      <c r="BA17" s="175">
        <v>433</v>
      </c>
      <c r="BB17" s="137" t="s">
        <v>177</v>
      </c>
      <c r="BC17" s="132" t="s">
        <v>62</v>
      </c>
    </row>
    <row r="18" spans="1:55" ht="96">
      <c r="A18" s="33">
        <v>9</v>
      </c>
      <c r="B18" s="33" t="s">
        <v>83</v>
      </c>
      <c r="C18" s="154" t="s">
        <v>62</v>
      </c>
      <c r="D18" s="154" t="s">
        <v>71</v>
      </c>
      <c r="E18" s="34" t="s">
        <v>84</v>
      </c>
      <c r="F18" s="35" t="s">
        <v>65</v>
      </c>
      <c r="G18" s="33"/>
      <c r="H18" s="33"/>
      <c r="I18" s="33"/>
      <c r="J18" s="33"/>
      <c r="K18" s="33"/>
      <c r="L18" s="36"/>
      <c r="M18" s="37"/>
      <c r="N18" s="36"/>
      <c r="O18" s="38"/>
      <c r="P18" s="33"/>
      <c r="Q18" s="37"/>
      <c r="R18" s="33"/>
      <c r="S18" s="38"/>
      <c r="T18" s="39"/>
      <c r="U18" s="37"/>
      <c r="V18" s="33"/>
      <c r="W18" s="38"/>
      <c r="X18" s="39"/>
      <c r="Y18" s="38"/>
      <c r="Z18" s="33"/>
      <c r="AA18" s="38"/>
      <c r="AB18" s="39"/>
      <c r="AC18" s="38"/>
      <c r="AD18" s="33"/>
      <c r="AE18" s="38"/>
      <c r="AF18" s="39"/>
      <c r="AG18" s="33"/>
      <c r="AH18" s="36"/>
      <c r="AI18" s="38"/>
      <c r="AJ18" s="33"/>
      <c r="AK18" s="38"/>
      <c r="AL18" s="36"/>
      <c r="AM18" s="38"/>
      <c r="AN18" s="39"/>
      <c r="AO18" s="38"/>
      <c r="AP18" s="36"/>
      <c r="AQ18" s="38"/>
      <c r="AR18" s="39"/>
      <c r="AS18" s="33"/>
      <c r="AT18" s="33"/>
      <c r="AU18" s="33">
        <v>10</v>
      </c>
      <c r="AV18" s="39">
        <f t="shared" si="0"/>
        <v>320000</v>
      </c>
      <c r="AW18" s="40">
        <f t="shared" si="1"/>
        <v>10</v>
      </c>
      <c r="AX18" s="166">
        <v>32000</v>
      </c>
      <c r="AY18" s="170">
        <f t="shared" si="2"/>
        <v>320000</v>
      </c>
      <c r="AZ18" s="182" t="s">
        <v>194</v>
      </c>
      <c r="BA18" s="175" t="s">
        <v>85</v>
      </c>
      <c r="BB18" s="137" t="s">
        <v>178</v>
      </c>
      <c r="BC18" s="132" t="s">
        <v>62</v>
      </c>
    </row>
    <row r="19" spans="1:55" ht="72">
      <c r="A19" s="33">
        <v>10</v>
      </c>
      <c r="B19" s="33" t="s">
        <v>86</v>
      </c>
      <c r="C19" s="154" t="s">
        <v>62</v>
      </c>
      <c r="D19" s="154" t="s">
        <v>71</v>
      </c>
      <c r="E19" s="34" t="s">
        <v>87</v>
      </c>
      <c r="F19" s="35" t="s">
        <v>65</v>
      </c>
      <c r="G19" s="33"/>
      <c r="H19" s="33"/>
      <c r="I19" s="33"/>
      <c r="J19" s="33"/>
      <c r="K19" s="33"/>
      <c r="L19" s="36"/>
      <c r="M19" s="37"/>
      <c r="N19" s="36"/>
      <c r="O19" s="38"/>
      <c r="P19" s="33"/>
      <c r="Q19" s="37"/>
      <c r="R19" s="33"/>
      <c r="S19" s="38"/>
      <c r="T19" s="39"/>
      <c r="U19" s="37"/>
      <c r="V19" s="33"/>
      <c r="W19" s="38"/>
      <c r="X19" s="39"/>
      <c r="Y19" s="38"/>
      <c r="Z19" s="33"/>
      <c r="AA19" s="38"/>
      <c r="AB19" s="39"/>
      <c r="AC19" s="38"/>
      <c r="AD19" s="33"/>
      <c r="AE19" s="38"/>
      <c r="AF19" s="39"/>
      <c r="AG19" s="33"/>
      <c r="AH19" s="36"/>
      <c r="AI19" s="38"/>
      <c r="AJ19" s="33"/>
      <c r="AK19" s="38"/>
      <c r="AL19" s="36"/>
      <c r="AM19" s="38"/>
      <c r="AN19" s="39"/>
      <c r="AO19" s="38"/>
      <c r="AP19" s="36"/>
      <c r="AQ19" s="38"/>
      <c r="AR19" s="39"/>
      <c r="AS19" s="33"/>
      <c r="AT19" s="33"/>
      <c r="AU19" s="33">
        <v>2</v>
      </c>
      <c r="AV19" s="39">
        <f t="shared" si="0"/>
        <v>56000</v>
      </c>
      <c r="AW19" s="40">
        <f t="shared" si="1"/>
        <v>2</v>
      </c>
      <c r="AX19" s="166">
        <v>28000</v>
      </c>
      <c r="AY19" s="170">
        <f t="shared" si="2"/>
        <v>56000</v>
      </c>
      <c r="AZ19" s="182" t="s">
        <v>195</v>
      </c>
      <c r="BA19" s="175" t="s">
        <v>88</v>
      </c>
      <c r="BB19" s="137" t="s">
        <v>179</v>
      </c>
      <c r="BC19" s="132" t="s">
        <v>62</v>
      </c>
    </row>
    <row r="20" spans="1:55" ht="25.5" customHeight="1">
      <c r="A20" s="33">
        <v>11</v>
      </c>
      <c r="B20" s="33" t="s">
        <v>89</v>
      </c>
      <c r="C20" s="154" t="s">
        <v>62</v>
      </c>
      <c r="D20" s="154" t="s">
        <v>71</v>
      </c>
      <c r="E20" s="34" t="s">
        <v>90</v>
      </c>
      <c r="F20" s="35" t="s">
        <v>65</v>
      </c>
      <c r="G20" s="33"/>
      <c r="H20" s="33"/>
      <c r="I20" s="33"/>
      <c r="J20" s="33"/>
      <c r="K20" s="33"/>
      <c r="L20" s="36"/>
      <c r="M20" s="37"/>
      <c r="N20" s="36"/>
      <c r="O20" s="38"/>
      <c r="P20" s="33"/>
      <c r="Q20" s="37"/>
      <c r="R20" s="33"/>
      <c r="S20" s="38"/>
      <c r="T20" s="39"/>
      <c r="U20" s="37"/>
      <c r="V20" s="33"/>
      <c r="W20" s="38"/>
      <c r="X20" s="39"/>
      <c r="Y20" s="38"/>
      <c r="Z20" s="33"/>
      <c r="AA20" s="38"/>
      <c r="AB20" s="39"/>
      <c r="AC20" s="38"/>
      <c r="AD20" s="33"/>
      <c r="AE20" s="38"/>
      <c r="AF20" s="39"/>
      <c r="AG20" s="33"/>
      <c r="AH20" s="36"/>
      <c r="AI20" s="38"/>
      <c r="AJ20" s="33"/>
      <c r="AK20" s="38"/>
      <c r="AL20" s="36"/>
      <c r="AM20" s="38"/>
      <c r="AN20" s="39"/>
      <c r="AO20" s="38"/>
      <c r="AP20" s="36"/>
      <c r="AQ20" s="38"/>
      <c r="AR20" s="39"/>
      <c r="AS20" s="33"/>
      <c r="AT20" s="33"/>
      <c r="AU20" s="33">
        <v>100</v>
      </c>
      <c r="AV20" s="39">
        <f t="shared" si="0"/>
        <v>50000</v>
      </c>
      <c r="AW20" s="40">
        <f t="shared" si="1"/>
        <v>100</v>
      </c>
      <c r="AX20" s="166">
        <v>500</v>
      </c>
      <c r="AY20" s="170">
        <f t="shared" si="2"/>
        <v>50000</v>
      </c>
      <c r="AZ20" s="182" t="s">
        <v>192</v>
      </c>
      <c r="BA20" s="176" t="s">
        <v>73</v>
      </c>
      <c r="BB20" s="42" t="s">
        <v>91</v>
      </c>
      <c r="BC20" s="133" t="s">
        <v>62</v>
      </c>
    </row>
    <row r="21" spans="1:55" ht="48" customHeight="1">
      <c r="A21" s="33">
        <v>12</v>
      </c>
      <c r="B21" s="33" t="s">
        <v>92</v>
      </c>
      <c r="C21" s="154" t="s">
        <v>93</v>
      </c>
      <c r="D21" s="154" t="s">
        <v>63</v>
      </c>
      <c r="E21" s="34" t="s">
        <v>94</v>
      </c>
      <c r="F21" s="35" t="s">
        <v>65</v>
      </c>
      <c r="G21" s="33"/>
      <c r="H21" s="33"/>
      <c r="I21" s="33"/>
      <c r="J21" s="33"/>
      <c r="K21" s="33"/>
      <c r="L21" s="36"/>
      <c r="M21" s="37"/>
      <c r="N21" s="36"/>
      <c r="O21" s="38"/>
      <c r="P21" s="33"/>
      <c r="Q21" s="37"/>
      <c r="R21" s="33"/>
      <c r="S21" s="38"/>
      <c r="T21" s="39"/>
      <c r="U21" s="37"/>
      <c r="V21" s="33"/>
      <c r="W21" s="38"/>
      <c r="X21" s="39"/>
      <c r="Y21" s="38"/>
      <c r="Z21" s="33"/>
      <c r="AA21" s="38"/>
      <c r="AB21" s="39"/>
      <c r="AC21" s="38"/>
      <c r="AD21" s="33"/>
      <c r="AE21" s="38"/>
      <c r="AF21" s="39"/>
      <c r="AG21" s="33"/>
      <c r="AH21" s="36"/>
      <c r="AI21" s="38"/>
      <c r="AJ21" s="33"/>
      <c r="AK21" s="38"/>
      <c r="AL21" s="36"/>
      <c r="AM21" s="38"/>
      <c r="AN21" s="39"/>
      <c r="AO21" s="38"/>
      <c r="AP21" s="36"/>
      <c r="AQ21" s="38"/>
      <c r="AR21" s="39"/>
      <c r="AS21" s="33"/>
      <c r="AT21" s="33"/>
      <c r="AU21" s="33">
        <v>14</v>
      </c>
      <c r="AV21" s="39">
        <f t="shared" si="0"/>
        <v>102200</v>
      </c>
      <c r="AW21" s="40">
        <f t="shared" si="1"/>
        <v>14</v>
      </c>
      <c r="AX21" s="166">
        <v>7300</v>
      </c>
      <c r="AY21" s="170">
        <f t="shared" si="2"/>
        <v>102200</v>
      </c>
      <c r="AZ21" s="182" t="s">
        <v>180</v>
      </c>
      <c r="BA21" s="175">
        <v>433</v>
      </c>
      <c r="BB21" s="139" t="s">
        <v>180</v>
      </c>
      <c r="BC21" s="135" t="s">
        <v>93</v>
      </c>
    </row>
    <row r="22" spans="1:55" ht="27.75" customHeight="1">
      <c r="A22" s="33">
        <v>13</v>
      </c>
      <c r="B22" s="33" t="s">
        <v>95</v>
      </c>
      <c r="C22" s="154" t="s">
        <v>62</v>
      </c>
      <c r="D22" s="154" t="s">
        <v>63</v>
      </c>
      <c r="E22" s="34" t="s">
        <v>96</v>
      </c>
      <c r="F22" s="35" t="s">
        <v>65</v>
      </c>
      <c r="G22" s="33"/>
      <c r="H22" s="33"/>
      <c r="I22" s="33"/>
      <c r="J22" s="33"/>
      <c r="K22" s="33"/>
      <c r="L22" s="36"/>
      <c r="M22" s="37"/>
      <c r="N22" s="36"/>
      <c r="O22" s="38"/>
      <c r="P22" s="33"/>
      <c r="Q22" s="37"/>
      <c r="R22" s="33"/>
      <c r="S22" s="38"/>
      <c r="T22" s="39"/>
      <c r="U22" s="37"/>
      <c r="V22" s="33"/>
      <c r="W22" s="38"/>
      <c r="X22" s="39"/>
      <c r="Y22" s="38"/>
      <c r="Z22" s="33"/>
      <c r="AA22" s="38"/>
      <c r="AB22" s="39"/>
      <c r="AC22" s="38"/>
      <c r="AD22" s="33"/>
      <c r="AE22" s="38"/>
      <c r="AF22" s="39"/>
      <c r="AG22" s="33"/>
      <c r="AH22" s="36"/>
      <c r="AI22" s="38"/>
      <c r="AJ22" s="33"/>
      <c r="AK22" s="38"/>
      <c r="AL22" s="36"/>
      <c r="AM22" s="38"/>
      <c r="AN22" s="39"/>
      <c r="AO22" s="38"/>
      <c r="AP22" s="36"/>
      <c r="AQ22" s="38"/>
      <c r="AR22" s="39"/>
      <c r="AS22" s="33"/>
      <c r="AT22" s="33"/>
      <c r="AU22" s="33">
        <v>25</v>
      </c>
      <c r="AV22" s="39">
        <f t="shared" si="0"/>
        <v>112500</v>
      </c>
      <c r="AW22" s="40">
        <f t="shared" si="1"/>
        <v>25</v>
      </c>
      <c r="AX22" s="166">
        <v>4500</v>
      </c>
      <c r="AY22" s="170">
        <f t="shared" si="2"/>
        <v>112500</v>
      </c>
      <c r="AZ22" s="181" t="s">
        <v>196</v>
      </c>
      <c r="BA22" s="175">
        <v>433</v>
      </c>
      <c r="BB22" s="137" t="s">
        <v>181</v>
      </c>
      <c r="BC22" s="132" t="s">
        <v>62</v>
      </c>
    </row>
    <row r="23" spans="1:55" ht="33" customHeight="1">
      <c r="A23" s="33">
        <v>14</v>
      </c>
      <c r="B23" s="33" t="s">
        <v>97</v>
      </c>
      <c r="C23" s="154" t="s">
        <v>62</v>
      </c>
      <c r="D23" s="154" t="s">
        <v>63</v>
      </c>
      <c r="E23" s="34" t="s">
        <v>98</v>
      </c>
      <c r="F23" s="35" t="s">
        <v>65</v>
      </c>
      <c r="G23" s="33"/>
      <c r="H23" s="33"/>
      <c r="I23" s="33"/>
      <c r="J23" s="33"/>
      <c r="K23" s="33"/>
      <c r="L23" s="36"/>
      <c r="M23" s="37"/>
      <c r="N23" s="36"/>
      <c r="O23" s="38"/>
      <c r="P23" s="33"/>
      <c r="Q23" s="37"/>
      <c r="R23" s="33"/>
      <c r="S23" s="38"/>
      <c r="T23" s="39"/>
      <c r="U23" s="37"/>
      <c r="V23" s="33"/>
      <c r="W23" s="38"/>
      <c r="X23" s="39"/>
      <c r="Y23" s="38"/>
      <c r="Z23" s="33"/>
      <c r="AA23" s="38"/>
      <c r="AB23" s="39"/>
      <c r="AC23" s="38"/>
      <c r="AD23" s="33"/>
      <c r="AE23" s="38"/>
      <c r="AF23" s="39"/>
      <c r="AG23" s="33"/>
      <c r="AH23" s="36"/>
      <c r="AI23" s="38"/>
      <c r="AJ23" s="33"/>
      <c r="AK23" s="38"/>
      <c r="AL23" s="36"/>
      <c r="AM23" s="38"/>
      <c r="AN23" s="39"/>
      <c r="AO23" s="38"/>
      <c r="AP23" s="36"/>
      <c r="AQ23" s="38"/>
      <c r="AR23" s="39"/>
      <c r="AS23" s="33"/>
      <c r="AT23" s="33"/>
      <c r="AU23" s="33">
        <v>7</v>
      </c>
      <c r="AV23" s="39">
        <f t="shared" si="0"/>
        <v>86100</v>
      </c>
      <c r="AW23" s="40">
        <f t="shared" si="1"/>
        <v>7</v>
      </c>
      <c r="AX23" s="166">
        <v>12300</v>
      </c>
      <c r="AY23" s="170">
        <f t="shared" si="2"/>
        <v>86100</v>
      </c>
      <c r="AZ23" s="182" t="s">
        <v>182</v>
      </c>
      <c r="BA23" s="175" t="s">
        <v>99</v>
      </c>
      <c r="BB23" s="137" t="s">
        <v>182</v>
      </c>
      <c r="BC23" s="132" t="s">
        <v>62</v>
      </c>
    </row>
    <row r="24" spans="1:55" ht="46.5" customHeight="1">
      <c r="A24" s="33">
        <v>15</v>
      </c>
      <c r="B24" s="33" t="s">
        <v>100</v>
      </c>
      <c r="C24" s="154" t="s">
        <v>93</v>
      </c>
      <c r="D24" s="154" t="s">
        <v>63</v>
      </c>
      <c r="E24" s="34" t="s">
        <v>101</v>
      </c>
      <c r="F24" s="35" t="s">
        <v>65</v>
      </c>
      <c r="G24" s="33"/>
      <c r="H24" s="33"/>
      <c r="I24" s="33"/>
      <c r="J24" s="33"/>
      <c r="K24" s="33"/>
      <c r="L24" s="36"/>
      <c r="M24" s="37"/>
      <c r="N24" s="36"/>
      <c r="O24" s="38"/>
      <c r="P24" s="33"/>
      <c r="Q24" s="37"/>
      <c r="R24" s="33"/>
      <c r="S24" s="38"/>
      <c r="T24" s="39"/>
      <c r="U24" s="37"/>
      <c r="V24" s="33"/>
      <c r="W24" s="38"/>
      <c r="X24" s="39"/>
      <c r="Y24" s="38"/>
      <c r="Z24" s="33"/>
      <c r="AA24" s="38"/>
      <c r="AB24" s="39"/>
      <c r="AC24" s="38"/>
      <c r="AD24" s="33"/>
      <c r="AE24" s="38"/>
      <c r="AF24" s="39"/>
      <c r="AG24" s="33"/>
      <c r="AH24" s="36"/>
      <c r="AI24" s="38"/>
      <c r="AJ24" s="33"/>
      <c r="AK24" s="38"/>
      <c r="AL24" s="36"/>
      <c r="AM24" s="38"/>
      <c r="AN24" s="39"/>
      <c r="AO24" s="38"/>
      <c r="AP24" s="36"/>
      <c r="AQ24" s="38"/>
      <c r="AR24" s="39"/>
      <c r="AS24" s="33"/>
      <c r="AT24" s="33"/>
      <c r="AU24" s="33">
        <v>200</v>
      </c>
      <c r="AV24" s="39">
        <f t="shared" si="0"/>
        <v>1300000</v>
      </c>
      <c r="AW24" s="40">
        <f t="shared" si="1"/>
        <v>200</v>
      </c>
      <c r="AX24" s="166">
        <v>6500</v>
      </c>
      <c r="AY24" s="170">
        <f t="shared" si="2"/>
        <v>1300000</v>
      </c>
      <c r="AZ24" s="182" t="s">
        <v>197</v>
      </c>
      <c r="BA24" s="175">
        <v>433</v>
      </c>
      <c r="BB24" s="139" t="s">
        <v>183</v>
      </c>
      <c r="BC24" s="135" t="s">
        <v>93</v>
      </c>
    </row>
    <row r="25" spans="1:55" ht="42" customHeight="1">
      <c r="A25" s="33">
        <v>16</v>
      </c>
      <c r="B25" s="33" t="s">
        <v>102</v>
      </c>
      <c r="C25" s="154" t="s">
        <v>62</v>
      </c>
      <c r="D25" s="154" t="s">
        <v>63</v>
      </c>
      <c r="E25" s="34" t="s">
        <v>103</v>
      </c>
      <c r="F25" s="35" t="s">
        <v>65</v>
      </c>
      <c r="G25" s="33"/>
      <c r="H25" s="33"/>
      <c r="I25" s="33"/>
      <c r="J25" s="33"/>
      <c r="K25" s="33"/>
      <c r="L25" s="36"/>
      <c r="M25" s="37"/>
      <c r="N25" s="36"/>
      <c r="O25" s="38"/>
      <c r="P25" s="33"/>
      <c r="Q25" s="37"/>
      <c r="R25" s="33"/>
      <c r="S25" s="38"/>
      <c r="T25" s="39"/>
      <c r="U25" s="37"/>
      <c r="V25" s="33"/>
      <c r="W25" s="38"/>
      <c r="X25" s="39"/>
      <c r="Y25" s="38"/>
      <c r="Z25" s="33"/>
      <c r="AA25" s="38"/>
      <c r="AB25" s="39"/>
      <c r="AC25" s="38"/>
      <c r="AD25" s="33"/>
      <c r="AE25" s="38"/>
      <c r="AF25" s="39"/>
      <c r="AG25" s="33"/>
      <c r="AH25" s="36"/>
      <c r="AI25" s="38"/>
      <c r="AJ25" s="33"/>
      <c r="AK25" s="38"/>
      <c r="AL25" s="36"/>
      <c r="AM25" s="38"/>
      <c r="AN25" s="39"/>
      <c r="AO25" s="38"/>
      <c r="AP25" s="36"/>
      <c r="AQ25" s="38"/>
      <c r="AR25" s="39"/>
      <c r="AS25" s="33"/>
      <c r="AT25" s="33"/>
      <c r="AU25" s="33">
        <v>70</v>
      </c>
      <c r="AV25" s="39">
        <f t="shared" si="0"/>
        <v>161000</v>
      </c>
      <c r="AW25" s="40">
        <f t="shared" si="1"/>
        <v>70</v>
      </c>
      <c r="AX25" s="166">
        <v>2300</v>
      </c>
      <c r="AY25" s="170">
        <f t="shared" si="2"/>
        <v>161000</v>
      </c>
      <c r="AZ25" s="182" t="s">
        <v>184</v>
      </c>
      <c r="BA25" s="175">
        <v>433</v>
      </c>
      <c r="BB25" s="137" t="s">
        <v>184</v>
      </c>
      <c r="BC25" s="132" t="s">
        <v>62</v>
      </c>
    </row>
    <row r="26" spans="1:55" ht="42.75" customHeight="1">
      <c r="A26" s="33">
        <v>17</v>
      </c>
      <c r="B26" s="33" t="s">
        <v>102</v>
      </c>
      <c r="C26" s="154" t="s">
        <v>62</v>
      </c>
      <c r="D26" s="154" t="s">
        <v>63</v>
      </c>
      <c r="E26" s="34" t="s">
        <v>103</v>
      </c>
      <c r="F26" s="35" t="s">
        <v>65</v>
      </c>
      <c r="G26" s="33"/>
      <c r="H26" s="33"/>
      <c r="I26" s="33"/>
      <c r="J26" s="33"/>
      <c r="K26" s="33"/>
      <c r="L26" s="36"/>
      <c r="M26" s="37"/>
      <c r="N26" s="36"/>
      <c r="O26" s="38"/>
      <c r="P26" s="33"/>
      <c r="Q26" s="37"/>
      <c r="R26" s="33"/>
      <c r="S26" s="38"/>
      <c r="T26" s="39"/>
      <c r="U26" s="37"/>
      <c r="V26" s="33"/>
      <c r="W26" s="38"/>
      <c r="X26" s="39"/>
      <c r="Y26" s="38"/>
      <c r="Z26" s="33"/>
      <c r="AA26" s="38"/>
      <c r="AB26" s="39"/>
      <c r="AC26" s="38"/>
      <c r="AD26" s="33"/>
      <c r="AE26" s="38"/>
      <c r="AF26" s="39"/>
      <c r="AG26" s="33"/>
      <c r="AH26" s="36"/>
      <c r="AI26" s="38"/>
      <c r="AJ26" s="33"/>
      <c r="AK26" s="38"/>
      <c r="AL26" s="36"/>
      <c r="AM26" s="38"/>
      <c r="AN26" s="39"/>
      <c r="AO26" s="38"/>
      <c r="AP26" s="36"/>
      <c r="AQ26" s="38"/>
      <c r="AR26" s="39"/>
      <c r="AS26" s="33"/>
      <c r="AT26" s="33"/>
      <c r="AU26" s="33">
        <v>70</v>
      </c>
      <c r="AV26" s="39">
        <f t="shared" si="0"/>
        <v>189000</v>
      </c>
      <c r="AW26" s="40">
        <f t="shared" si="1"/>
        <v>70</v>
      </c>
      <c r="AX26" s="166">
        <v>2700</v>
      </c>
      <c r="AY26" s="170">
        <f t="shared" si="2"/>
        <v>189000</v>
      </c>
      <c r="AZ26" s="182" t="s">
        <v>185</v>
      </c>
      <c r="BA26" s="175">
        <v>433</v>
      </c>
      <c r="BB26" s="137" t="s">
        <v>185</v>
      </c>
      <c r="BC26" s="132" t="s">
        <v>62</v>
      </c>
    </row>
    <row r="27" spans="1:55" ht="51.75" customHeight="1">
      <c r="A27" s="33">
        <v>18</v>
      </c>
      <c r="B27" s="33" t="s">
        <v>102</v>
      </c>
      <c r="C27" s="154" t="s">
        <v>62</v>
      </c>
      <c r="D27" s="154" t="s">
        <v>63</v>
      </c>
      <c r="E27" s="34" t="s">
        <v>103</v>
      </c>
      <c r="F27" s="35" t="s">
        <v>65</v>
      </c>
      <c r="G27" s="33"/>
      <c r="H27" s="33"/>
      <c r="I27" s="33"/>
      <c r="J27" s="33"/>
      <c r="K27" s="33"/>
      <c r="L27" s="36"/>
      <c r="M27" s="37"/>
      <c r="N27" s="36"/>
      <c r="O27" s="38"/>
      <c r="P27" s="33"/>
      <c r="Q27" s="37"/>
      <c r="R27" s="33"/>
      <c r="S27" s="38"/>
      <c r="T27" s="39"/>
      <c r="U27" s="37"/>
      <c r="V27" s="33"/>
      <c r="W27" s="38"/>
      <c r="X27" s="39"/>
      <c r="Y27" s="38"/>
      <c r="Z27" s="33"/>
      <c r="AA27" s="38"/>
      <c r="AB27" s="39"/>
      <c r="AC27" s="38"/>
      <c r="AD27" s="33"/>
      <c r="AE27" s="38"/>
      <c r="AF27" s="39"/>
      <c r="AG27" s="33"/>
      <c r="AH27" s="36"/>
      <c r="AI27" s="38"/>
      <c r="AJ27" s="33"/>
      <c r="AK27" s="38"/>
      <c r="AL27" s="36"/>
      <c r="AM27" s="38"/>
      <c r="AN27" s="39"/>
      <c r="AO27" s="38"/>
      <c r="AP27" s="36"/>
      <c r="AQ27" s="38"/>
      <c r="AR27" s="39"/>
      <c r="AS27" s="33"/>
      <c r="AT27" s="33"/>
      <c r="AU27" s="33">
        <v>70</v>
      </c>
      <c r="AV27" s="39">
        <f t="shared" si="0"/>
        <v>336000</v>
      </c>
      <c r="AW27" s="40">
        <f t="shared" si="1"/>
        <v>70</v>
      </c>
      <c r="AX27" s="166">
        <v>4800</v>
      </c>
      <c r="AY27" s="170">
        <f t="shared" si="2"/>
        <v>336000</v>
      </c>
      <c r="AZ27" s="182" t="s">
        <v>186</v>
      </c>
      <c r="BA27" s="175">
        <v>433</v>
      </c>
      <c r="BB27" s="137" t="s">
        <v>186</v>
      </c>
      <c r="BC27" s="132" t="s">
        <v>62</v>
      </c>
    </row>
    <row r="28" spans="1:55" ht="31.5" customHeight="1">
      <c r="A28" s="33">
        <v>19</v>
      </c>
      <c r="B28" s="33" t="s">
        <v>104</v>
      </c>
      <c r="C28" s="154" t="s">
        <v>62</v>
      </c>
      <c r="D28" s="154" t="s">
        <v>202</v>
      </c>
      <c r="E28" s="34" t="s">
        <v>105</v>
      </c>
      <c r="F28" s="35" t="s">
        <v>65</v>
      </c>
      <c r="G28" s="33"/>
      <c r="H28" s="33"/>
      <c r="I28" s="33"/>
      <c r="J28" s="33"/>
      <c r="K28" s="33"/>
      <c r="L28" s="36"/>
      <c r="M28" s="37"/>
      <c r="N28" s="36"/>
      <c r="O28" s="38"/>
      <c r="P28" s="33"/>
      <c r="Q28" s="37"/>
      <c r="R28" s="33"/>
      <c r="S28" s="38"/>
      <c r="T28" s="39"/>
      <c r="U28" s="37"/>
      <c r="V28" s="33"/>
      <c r="W28" s="38"/>
      <c r="X28" s="39"/>
      <c r="Y28" s="38"/>
      <c r="Z28" s="33"/>
      <c r="AA28" s="38"/>
      <c r="AB28" s="39"/>
      <c r="AC28" s="38"/>
      <c r="AD28" s="33"/>
      <c r="AE28" s="38"/>
      <c r="AF28" s="39"/>
      <c r="AG28" s="33"/>
      <c r="AH28" s="36"/>
      <c r="AI28" s="38"/>
      <c r="AJ28" s="33"/>
      <c r="AK28" s="38"/>
      <c r="AL28" s="36"/>
      <c r="AM28" s="38"/>
      <c r="AN28" s="39"/>
      <c r="AO28" s="38"/>
      <c r="AP28" s="36"/>
      <c r="AQ28" s="38"/>
      <c r="AR28" s="39"/>
      <c r="AS28" s="33"/>
      <c r="AT28" s="33"/>
      <c r="AU28" s="33">
        <v>70</v>
      </c>
      <c r="AV28" s="39">
        <f t="shared" si="0"/>
        <v>59500</v>
      </c>
      <c r="AW28" s="40">
        <f t="shared" si="1"/>
        <v>70</v>
      </c>
      <c r="AX28" s="166">
        <v>850</v>
      </c>
      <c r="AY28" s="170">
        <f t="shared" si="2"/>
        <v>59500</v>
      </c>
      <c r="AZ28" s="181"/>
      <c r="BA28" s="177">
        <v>439</v>
      </c>
      <c r="BB28" s="43"/>
      <c r="BC28" s="132" t="s">
        <v>62</v>
      </c>
    </row>
    <row r="29" spans="1:55" ht="48.75" customHeight="1" thickBot="1">
      <c r="A29" s="33">
        <v>20</v>
      </c>
      <c r="B29" s="44" t="s">
        <v>106</v>
      </c>
      <c r="C29" s="156" t="s">
        <v>62</v>
      </c>
      <c r="D29" s="156" t="s">
        <v>63</v>
      </c>
      <c r="E29" s="45" t="s">
        <v>107</v>
      </c>
      <c r="F29" s="35" t="s">
        <v>65</v>
      </c>
      <c r="G29" s="44"/>
      <c r="H29" s="44"/>
      <c r="I29" s="44"/>
      <c r="J29" s="44"/>
      <c r="K29" s="44"/>
      <c r="L29" s="46"/>
      <c r="M29" s="47"/>
      <c r="N29" s="46"/>
      <c r="O29" s="48"/>
      <c r="P29" s="44"/>
      <c r="Q29" s="47"/>
      <c r="R29" s="44"/>
      <c r="S29" s="48"/>
      <c r="T29" s="49"/>
      <c r="U29" s="47"/>
      <c r="V29" s="44"/>
      <c r="W29" s="48"/>
      <c r="X29" s="49"/>
      <c r="Y29" s="48"/>
      <c r="Z29" s="44"/>
      <c r="AA29" s="48"/>
      <c r="AB29" s="49"/>
      <c r="AC29" s="48"/>
      <c r="AD29" s="44"/>
      <c r="AE29" s="48"/>
      <c r="AF29" s="49"/>
      <c r="AG29" s="44"/>
      <c r="AH29" s="46"/>
      <c r="AI29" s="48"/>
      <c r="AJ29" s="44"/>
      <c r="AK29" s="48"/>
      <c r="AL29" s="46"/>
      <c r="AM29" s="48"/>
      <c r="AN29" s="49"/>
      <c r="AO29" s="48"/>
      <c r="AP29" s="46"/>
      <c r="AQ29" s="48"/>
      <c r="AR29" s="49"/>
      <c r="AS29" s="44"/>
      <c r="AT29" s="44"/>
      <c r="AU29" s="44">
        <v>70</v>
      </c>
      <c r="AV29" s="49">
        <f t="shared" si="0"/>
        <v>2254000</v>
      </c>
      <c r="AW29" s="50">
        <f t="shared" si="1"/>
        <v>70</v>
      </c>
      <c r="AX29" s="168">
        <v>32200</v>
      </c>
      <c r="AY29" s="173">
        <f t="shared" si="2"/>
        <v>2254000</v>
      </c>
      <c r="AZ29" s="183" t="s">
        <v>198</v>
      </c>
      <c r="BA29" s="178" t="s">
        <v>108</v>
      </c>
      <c r="BB29" s="140" t="s">
        <v>187</v>
      </c>
      <c r="BC29" s="136" t="s">
        <v>62</v>
      </c>
    </row>
    <row r="30" spans="1:55" ht="25.5" customHeight="1" thickBot="1">
      <c r="A30" s="51"/>
      <c r="B30" s="52"/>
      <c r="C30" s="157"/>
      <c r="D30" s="157"/>
      <c r="E30" s="53" t="s">
        <v>109</v>
      </c>
      <c r="F30" s="52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5"/>
      <c r="T30" s="56"/>
      <c r="U30" s="54"/>
      <c r="V30" s="57"/>
      <c r="W30" s="54"/>
      <c r="X30" s="56"/>
      <c r="Y30" s="54"/>
      <c r="Z30" s="54"/>
      <c r="AA30" s="54"/>
      <c r="AB30" s="56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6"/>
      <c r="AO30" s="54"/>
      <c r="AP30" s="54"/>
      <c r="AQ30" s="54"/>
      <c r="AR30" s="56"/>
      <c r="AS30" s="54"/>
      <c r="AT30" s="54"/>
      <c r="AU30" s="54"/>
      <c r="AV30" s="56"/>
      <c r="AW30" s="58"/>
      <c r="AX30" s="56"/>
      <c r="AY30" s="59">
        <f>+SUM(AY10:AY29)</f>
        <v>12465800</v>
      </c>
      <c r="AZ30" s="144"/>
      <c r="BA30" s="60"/>
      <c r="BB30" s="61"/>
      <c r="BC30" s="62"/>
    </row>
    <row r="31" spans="1:55" ht="15.75" customHeight="1">
      <c r="A31" s="63"/>
      <c r="B31" s="63"/>
      <c r="C31" s="146"/>
      <c r="D31" s="146"/>
      <c r="E31" s="64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5"/>
      <c r="T31" s="66"/>
      <c r="U31" s="63"/>
      <c r="V31" s="63"/>
      <c r="W31" s="63"/>
      <c r="X31" s="66"/>
      <c r="Y31" s="63"/>
      <c r="Z31" s="63"/>
      <c r="AA31" s="63"/>
      <c r="AB31" s="66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6"/>
      <c r="AO31" s="63"/>
      <c r="AP31" s="63"/>
      <c r="AQ31" s="63"/>
      <c r="AR31" s="66"/>
      <c r="AS31" s="63"/>
      <c r="AT31" s="63"/>
      <c r="AU31" s="63"/>
      <c r="AV31" s="66"/>
      <c r="AW31" s="65"/>
      <c r="AX31" s="66"/>
      <c r="AY31" s="66"/>
      <c r="AZ31" s="145"/>
      <c r="BA31" s="63"/>
      <c r="BC31" s="69"/>
    </row>
    <row r="32" spans="1:55" ht="15.75" customHeight="1" thickBot="1">
      <c r="A32" s="63"/>
      <c r="B32" s="63"/>
      <c r="C32" s="146"/>
      <c r="D32" s="146"/>
      <c r="E32" s="64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5"/>
      <c r="T32" s="66"/>
      <c r="U32" s="63"/>
      <c r="V32" s="63"/>
      <c r="W32" s="63"/>
      <c r="X32" s="66"/>
      <c r="Y32" s="63"/>
      <c r="Z32" s="63"/>
      <c r="AA32" s="63"/>
      <c r="AB32" s="66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6"/>
      <c r="AO32" s="63"/>
      <c r="AP32" s="63"/>
      <c r="AQ32" s="63"/>
      <c r="AR32" s="66"/>
      <c r="AS32" s="63"/>
      <c r="AT32" s="63"/>
      <c r="AU32" s="63"/>
      <c r="AV32" s="66"/>
      <c r="AW32" s="65"/>
      <c r="AX32" s="66"/>
      <c r="AY32" s="66"/>
      <c r="AZ32" s="145"/>
      <c r="BA32" s="63"/>
      <c r="BB32" s="67"/>
      <c r="BC32" s="69"/>
    </row>
    <row r="33" spans="1:55" ht="45" customHeight="1" thickBot="1">
      <c r="A33" s="63"/>
      <c r="B33" s="63"/>
      <c r="C33" s="210" t="s">
        <v>111</v>
      </c>
      <c r="D33" s="211"/>
      <c r="E33" s="212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5"/>
      <c r="T33" s="66"/>
      <c r="U33" s="63"/>
      <c r="V33" s="63"/>
      <c r="W33" s="63"/>
      <c r="X33" s="66"/>
      <c r="Y33" s="63"/>
      <c r="Z33" s="63"/>
      <c r="AA33" s="63"/>
      <c r="AB33" s="66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6"/>
      <c r="AO33" s="63"/>
      <c r="AP33" s="63"/>
      <c r="AQ33" s="63"/>
      <c r="AR33" s="66"/>
      <c r="AS33" s="63"/>
      <c r="AT33" s="63"/>
      <c r="AU33" s="63"/>
      <c r="AV33" s="66"/>
      <c r="AW33" s="65"/>
      <c r="AX33" s="66"/>
      <c r="AY33" s="66"/>
      <c r="AZ33" s="145"/>
      <c r="BA33" s="63"/>
      <c r="BB33" s="68" t="s">
        <v>110</v>
      </c>
      <c r="BC33" s="69"/>
    </row>
    <row r="34" spans="1:55" ht="15.75" customHeight="1">
      <c r="A34" s="63"/>
      <c r="B34" s="63"/>
      <c r="C34" s="158"/>
      <c r="D34" s="216"/>
      <c r="E34" s="217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5"/>
      <c r="T34" s="66"/>
      <c r="U34" s="63"/>
      <c r="V34" s="63"/>
      <c r="W34" s="63"/>
      <c r="X34" s="66"/>
      <c r="Y34" s="63"/>
      <c r="Z34" s="63"/>
      <c r="AA34" s="63"/>
      <c r="AB34" s="66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6"/>
      <c r="AO34" s="63"/>
      <c r="AP34" s="63"/>
      <c r="AQ34" s="63"/>
      <c r="AR34" s="66"/>
      <c r="AS34" s="63"/>
      <c r="AT34" s="63"/>
      <c r="AU34" s="63"/>
      <c r="AV34" s="66"/>
      <c r="AW34" s="65"/>
      <c r="AX34" s="66"/>
      <c r="AY34" s="66"/>
      <c r="AZ34" s="145"/>
      <c r="BA34" s="63"/>
      <c r="BB34" s="67"/>
      <c r="BC34" s="69"/>
    </row>
    <row r="35" spans="1:55" ht="15.75" customHeight="1">
      <c r="A35" s="63"/>
      <c r="B35" s="63"/>
      <c r="C35" s="158" t="s">
        <v>112</v>
      </c>
      <c r="D35" s="159" t="s">
        <v>199</v>
      </c>
      <c r="E35" s="70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5"/>
      <c r="T35" s="66"/>
      <c r="U35" s="63"/>
      <c r="V35" s="63"/>
      <c r="W35" s="63"/>
      <c r="X35" s="66"/>
      <c r="Y35" s="63"/>
      <c r="Z35" s="63"/>
      <c r="AA35" s="63"/>
      <c r="AB35" s="66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6"/>
      <c r="AO35" s="63"/>
      <c r="AP35" s="63"/>
      <c r="AQ35" s="63"/>
      <c r="AR35" s="66"/>
      <c r="AS35" s="63"/>
      <c r="AT35" s="63"/>
      <c r="AU35" s="63"/>
      <c r="AV35" s="66"/>
      <c r="AW35" s="65"/>
      <c r="AX35" s="66"/>
      <c r="AY35" s="66"/>
      <c r="AZ35" s="145"/>
      <c r="BA35" s="63"/>
      <c r="BB35" s="67"/>
      <c r="BC35" s="69"/>
    </row>
    <row r="36" spans="1:55" ht="15.75" customHeight="1">
      <c r="A36" s="63"/>
      <c r="B36" s="63"/>
      <c r="C36" s="158"/>
      <c r="D36" s="221"/>
      <c r="E36" s="21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5"/>
      <c r="T36" s="66"/>
      <c r="U36" s="63"/>
      <c r="V36" s="63"/>
      <c r="W36" s="63"/>
      <c r="X36" s="66"/>
      <c r="Y36" s="63"/>
      <c r="Z36" s="63"/>
      <c r="AA36" s="63"/>
      <c r="AB36" s="66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6"/>
      <c r="AO36" s="63"/>
      <c r="AP36" s="63"/>
      <c r="AQ36" s="63"/>
      <c r="AR36" s="66"/>
      <c r="AS36" s="63"/>
      <c r="AT36" s="63"/>
      <c r="AU36" s="63"/>
      <c r="AV36" s="66"/>
      <c r="AW36" s="65"/>
      <c r="AX36" s="66"/>
      <c r="AY36" s="66"/>
      <c r="AZ36" s="145"/>
      <c r="BA36" s="63"/>
      <c r="BB36" s="67"/>
      <c r="BC36" s="69"/>
    </row>
    <row r="37" spans="1:55" ht="15.75" customHeight="1">
      <c r="A37" s="63"/>
      <c r="B37" s="63"/>
      <c r="C37" s="158" t="s">
        <v>113</v>
      </c>
      <c r="D37" s="224" t="s">
        <v>114</v>
      </c>
      <c r="E37" s="217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5"/>
      <c r="T37" s="66"/>
      <c r="U37" s="63"/>
      <c r="V37" s="63"/>
      <c r="W37" s="63"/>
      <c r="X37" s="66"/>
      <c r="Y37" s="63"/>
      <c r="Z37" s="63"/>
      <c r="AA37" s="63"/>
      <c r="AB37" s="66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6"/>
      <c r="AO37" s="63"/>
      <c r="AP37" s="63"/>
      <c r="AQ37" s="63"/>
      <c r="AR37" s="66"/>
      <c r="AS37" s="63"/>
      <c r="AT37" s="63"/>
      <c r="AU37" s="63"/>
      <c r="AV37" s="66"/>
      <c r="AW37" s="65"/>
      <c r="AX37" s="66"/>
      <c r="AY37" s="66"/>
      <c r="AZ37" s="145"/>
      <c r="BA37" s="63"/>
      <c r="BB37" s="67"/>
      <c r="BC37" s="69"/>
    </row>
    <row r="38" spans="1:55" ht="15.75" customHeight="1">
      <c r="A38" s="63"/>
      <c r="B38" s="63"/>
      <c r="C38" s="158"/>
      <c r="D38" s="221"/>
      <c r="E38" s="21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5"/>
      <c r="T38" s="66"/>
      <c r="U38" s="63"/>
      <c r="V38" s="63"/>
      <c r="W38" s="63"/>
      <c r="X38" s="66"/>
      <c r="Y38" s="63"/>
      <c r="Z38" s="63"/>
      <c r="AA38" s="63"/>
      <c r="AB38" s="66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6"/>
      <c r="AO38" s="63"/>
      <c r="AP38" s="63"/>
      <c r="AQ38" s="63"/>
      <c r="AR38" s="66"/>
      <c r="AS38" s="63"/>
      <c r="AT38" s="63"/>
      <c r="AU38" s="63"/>
      <c r="AV38" s="66"/>
      <c r="AW38" s="65"/>
      <c r="AX38" s="66"/>
      <c r="AY38" s="66"/>
      <c r="AZ38" s="145"/>
      <c r="BA38" s="63"/>
      <c r="BB38" s="67"/>
      <c r="BC38" s="69"/>
    </row>
    <row r="39" spans="1:55" ht="15.75" customHeight="1">
      <c r="A39" s="63"/>
      <c r="B39" s="63"/>
      <c r="C39" s="158" t="s">
        <v>115</v>
      </c>
      <c r="D39" s="221"/>
      <c r="E39" s="217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5"/>
      <c r="T39" s="66"/>
      <c r="U39" s="63"/>
      <c r="V39" s="63"/>
      <c r="W39" s="63"/>
      <c r="X39" s="66"/>
      <c r="Y39" s="63"/>
      <c r="Z39" s="63"/>
      <c r="AA39" s="63"/>
      <c r="AB39" s="66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6"/>
      <c r="AO39" s="63"/>
      <c r="AP39" s="63"/>
      <c r="AQ39" s="63"/>
      <c r="AR39" s="66"/>
      <c r="AS39" s="63"/>
      <c r="AT39" s="63"/>
      <c r="AU39" s="63"/>
      <c r="AV39" s="66"/>
      <c r="AW39" s="65"/>
      <c r="AX39" s="66"/>
      <c r="AY39" s="66"/>
      <c r="AZ39" s="145"/>
      <c r="BA39" s="63"/>
      <c r="BB39" s="67"/>
      <c r="BC39" s="69"/>
    </row>
    <row r="40" spans="1:55" s="142" customFormat="1" ht="15.75" customHeight="1">
      <c r="A40" s="63"/>
      <c r="B40" s="63"/>
      <c r="C40" s="158"/>
      <c r="D40" s="160"/>
      <c r="E40" s="141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5"/>
      <c r="T40" s="66"/>
      <c r="U40" s="63"/>
      <c r="V40" s="63"/>
      <c r="W40" s="63"/>
      <c r="X40" s="66"/>
      <c r="Y40" s="63"/>
      <c r="Z40" s="63"/>
      <c r="AA40" s="63"/>
      <c r="AB40" s="66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6"/>
      <c r="AO40" s="63"/>
      <c r="AP40" s="63"/>
      <c r="AQ40" s="63"/>
      <c r="AR40" s="66"/>
      <c r="AS40" s="63"/>
      <c r="AT40" s="63"/>
      <c r="AU40" s="63"/>
      <c r="AV40" s="66"/>
      <c r="AW40" s="65"/>
      <c r="AX40" s="66"/>
      <c r="AY40" s="66"/>
      <c r="AZ40" s="145"/>
      <c r="BA40" s="63"/>
      <c r="BB40" s="67"/>
      <c r="BC40" s="69"/>
    </row>
    <row r="41" spans="1:55" s="142" customFormat="1" ht="15.75" customHeight="1">
      <c r="A41" s="63"/>
      <c r="B41" s="63"/>
      <c r="C41" s="158" t="s">
        <v>200</v>
      </c>
      <c r="D41" s="225" t="s">
        <v>201</v>
      </c>
      <c r="E41" s="226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5"/>
      <c r="T41" s="66"/>
      <c r="U41" s="63"/>
      <c r="V41" s="63"/>
      <c r="W41" s="63"/>
      <c r="X41" s="66"/>
      <c r="Y41" s="63"/>
      <c r="Z41" s="63"/>
      <c r="AA41" s="63"/>
      <c r="AB41" s="66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6"/>
      <c r="AO41" s="63"/>
      <c r="AP41" s="63"/>
      <c r="AQ41" s="63"/>
      <c r="AR41" s="66"/>
      <c r="AS41" s="63"/>
      <c r="AT41" s="63"/>
      <c r="AU41" s="63"/>
      <c r="AV41" s="66"/>
      <c r="AW41" s="65"/>
      <c r="AX41" s="66"/>
      <c r="AY41" s="66"/>
      <c r="AZ41" s="145"/>
      <c r="BA41" s="63"/>
      <c r="BB41" s="67"/>
      <c r="BC41" s="69"/>
    </row>
    <row r="42" spans="1:55" ht="15.75" customHeight="1">
      <c r="A42" s="63"/>
      <c r="B42" s="63"/>
      <c r="C42" s="158"/>
      <c r="D42" s="221"/>
      <c r="E42" s="21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5"/>
      <c r="T42" s="66"/>
      <c r="U42" s="63"/>
      <c r="V42" s="63"/>
      <c r="W42" s="63"/>
      <c r="X42" s="66"/>
      <c r="Y42" s="63"/>
      <c r="Z42" s="63"/>
      <c r="AA42" s="63"/>
      <c r="AB42" s="66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6"/>
      <c r="AO42" s="63"/>
      <c r="AP42" s="63"/>
      <c r="AQ42" s="63"/>
      <c r="AR42" s="66"/>
      <c r="AS42" s="63"/>
      <c r="AT42" s="63"/>
      <c r="AU42" s="63"/>
      <c r="AV42" s="66"/>
      <c r="AW42" s="65"/>
      <c r="AX42" s="66"/>
      <c r="AY42" s="66"/>
      <c r="AZ42" s="145"/>
      <c r="BA42" s="63"/>
      <c r="BB42" s="67"/>
      <c r="BC42" s="69"/>
    </row>
    <row r="43" spans="1:55" ht="15.75" customHeight="1">
      <c r="A43" s="63"/>
      <c r="B43" s="63"/>
      <c r="C43" s="158" t="s">
        <v>116</v>
      </c>
      <c r="D43" s="159" t="s">
        <v>117</v>
      </c>
      <c r="E43" s="70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5"/>
      <c r="T43" s="66"/>
      <c r="U43" s="63"/>
      <c r="V43" s="63"/>
      <c r="W43" s="63"/>
      <c r="X43" s="66"/>
      <c r="Y43" s="63"/>
      <c r="Z43" s="63"/>
      <c r="AA43" s="63"/>
      <c r="AB43" s="66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6"/>
      <c r="AO43" s="63"/>
      <c r="AP43" s="63"/>
      <c r="AQ43" s="63"/>
      <c r="AR43" s="66"/>
      <c r="AS43" s="63"/>
      <c r="AT43" s="63"/>
      <c r="AU43" s="63"/>
      <c r="AV43" s="66"/>
      <c r="AW43" s="65"/>
      <c r="AX43" s="66"/>
      <c r="AY43" s="66"/>
      <c r="AZ43" s="145"/>
      <c r="BA43" s="63"/>
      <c r="BB43" s="67"/>
      <c r="BC43" s="69"/>
    </row>
    <row r="44" spans="1:55" ht="15.75" customHeight="1" thickBot="1">
      <c r="A44" s="63"/>
      <c r="B44" s="63"/>
      <c r="C44" s="161"/>
      <c r="D44" s="222"/>
      <c r="E44" s="22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5"/>
      <c r="T44" s="66"/>
      <c r="U44" s="63"/>
      <c r="V44" s="63"/>
      <c r="W44" s="63"/>
      <c r="X44" s="66"/>
      <c r="Y44" s="63"/>
      <c r="Z44" s="63"/>
      <c r="AA44" s="63"/>
      <c r="AB44" s="66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6"/>
      <c r="AO44" s="63"/>
      <c r="AP44" s="63"/>
      <c r="AQ44" s="63"/>
      <c r="AR44" s="66"/>
      <c r="AS44" s="63"/>
      <c r="AT44" s="63"/>
      <c r="AU44" s="63"/>
      <c r="AV44" s="66"/>
      <c r="AW44" s="65"/>
      <c r="AX44" s="66"/>
      <c r="AY44" s="66"/>
      <c r="AZ44" s="145"/>
      <c r="BA44" s="63"/>
      <c r="BB44" s="67"/>
      <c r="BC44" s="69"/>
    </row>
    <row r="45" spans="1:55" ht="15.75" customHeight="1">
      <c r="A45" s="63"/>
      <c r="B45" s="63"/>
      <c r="C45" s="146"/>
      <c r="D45" s="146"/>
      <c r="E45" s="64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5"/>
      <c r="T45" s="66"/>
      <c r="U45" s="63"/>
      <c r="V45" s="63"/>
      <c r="W45" s="63"/>
      <c r="X45" s="66"/>
      <c r="Y45" s="63"/>
      <c r="Z45" s="63"/>
      <c r="AA45" s="63"/>
      <c r="AB45" s="66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6"/>
      <c r="AO45" s="63"/>
      <c r="AP45" s="63"/>
      <c r="AQ45" s="63"/>
      <c r="AR45" s="66"/>
      <c r="AS45" s="63"/>
      <c r="AT45" s="63"/>
      <c r="AU45" s="63"/>
      <c r="AV45" s="66"/>
      <c r="AW45" s="65"/>
      <c r="AX45" s="66"/>
      <c r="AY45" s="66"/>
      <c r="AZ45" s="145"/>
      <c r="BA45" s="63"/>
      <c r="BB45" s="67"/>
      <c r="BC45" s="69"/>
    </row>
    <row r="46" spans="1:55" ht="15.75" customHeight="1" thickBot="1">
      <c r="A46" s="63"/>
      <c r="B46" s="63"/>
      <c r="C46" s="146"/>
      <c r="D46" s="146"/>
      <c r="E46" s="64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5"/>
      <c r="T46" s="66"/>
      <c r="U46" s="63"/>
      <c r="V46" s="63"/>
      <c r="W46" s="63"/>
      <c r="X46" s="66"/>
      <c r="Y46" s="63"/>
      <c r="Z46" s="63"/>
      <c r="AA46" s="63"/>
      <c r="AB46" s="66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6"/>
      <c r="AO46" s="63"/>
      <c r="AP46" s="63"/>
      <c r="AQ46" s="63"/>
      <c r="AR46" s="66"/>
      <c r="AS46" s="63"/>
      <c r="AT46" s="63"/>
      <c r="AU46" s="63"/>
      <c r="AV46" s="66"/>
      <c r="AW46" s="65"/>
      <c r="AX46" s="66"/>
      <c r="AY46" s="66"/>
      <c r="AZ46" s="145"/>
      <c r="BA46" s="63"/>
      <c r="BB46" s="67"/>
      <c r="BC46" s="69"/>
    </row>
    <row r="47" spans="1:55" ht="15.75" customHeight="1">
      <c r="A47" s="63"/>
      <c r="B47" s="63"/>
      <c r="C47" s="218" t="s">
        <v>206</v>
      </c>
      <c r="D47" s="219"/>
      <c r="E47" s="220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5"/>
      <c r="T47" s="66"/>
      <c r="U47" s="63"/>
      <c r="V47" s="63"/>
      <c r="W47" s="63"/>
      <c r="X47" s="66"/>
      <c r="Y47" s="63"/>
      <c r="Z47" s="63"/>
      <c r="AA47" s="63"/>
      <c r="AB47" s="66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6"/>
      <c r="AO47" s="63"/>
      <c r="AP47" s="63"/>
      <c r="AQ47" s="63"/>
      <c r="AR47" s="66"/>
      <c r="AS47" s="63"/>
      <c r="AT47" s="63"/>
      <c r="AU47" s="63"/>
      <c r="AV47" s="66"/>
      <c r="AW47" s="65"/>
      <c r="AX47" s="66"/>
      <c r="AY47" s="66"/>
      <c r="AZ47" s="145"/>
      <c r="BA47" s="63"/>
      <c r="BB47" s="67"/>
      <c r="BC47" s="69"/>
    </row>
    <row r="48" spans="1:55" ht="54" customHeight="1" thickBot="1">
      <c r="A48" s="10"/>
      <c r="B48" s="10"/>
      <c r="C48" s="213" t="str">
        <f>AZ10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2 años, aprobado por ANMAT. </v>
      </c>
      <c r="D48" s="214"/>
      <c r="E48" s="21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1"/>
      <c r="T48" s="9"/>
      <c r="U48" s="10"/>
      <c r="V48" s="10"/>
      <c r="W48" s="10"/>
      <c r="X48" s="9"/>
      <c r="Y48" s="10"/>
      <c r="Z48" s="10"/>
      <c r="AA48" s="10"/>
      <c r="AB48" s="9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9"/>
      <c r="AO48" s="10"/>
      <c r="AP48" s="10"/>
      <c r="AQ48" s="10"/>
      <c r="AR48" s="9"/>
      <c r="AS48" s="10"/>
      <c r="AT48" s="10"/>
      <c r="AU48" s="10"/>
      <c r="AV48" s="9"/>
      <c r="AW48" s="11"/>
      <c r="AX48" s="9"/>
      <c r="AY48" s="9"/>
      <c r="AZ48" s="143"/>
      <c r="BA48" s="10"/>
      <c r="BB48" s="12"/>
    </row>
    <row r="49" spans="1:55" ht="15.75" customHeight="1" thickBot="1">
      <c r="A49" s="63"/>
      <c r="B49" s="63"/>
      <c r="C49" s="162"/>
      <c r="D49" s="162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146"/>
      <c r="BA49" s="63"/>
      <c r="BB49" s="72"/>
      <c r="BC49" s="63"/>
    </row>
    <row r="50" spans="1:55" ht="15.75" customHeight="1">
      <c r="A50" s="10"/>
      <c r="B50" s="10"/>
      <c r="C50" s="218" t="s">
        <v>207</v>
      </c>
      <c r="D50" s="219"/>
      <c r="E50" s="22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/>
      <c r="T50" s="9"/>
      <c r="U50" s="10"/>
      <c r="V50" s="10"/>
      <c r="W50" s="10"/>
      <c r="X50" s="9"/>
      <c r="Y50" s="10"/>
      <c r="Z50" s="10"/>
      <c r="AA50" s="10"/>
      <c r="AB50" s="9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9"/>
      <c r="AO50" s="10"/>
      <c r="AP50" s="10"/>
      <c r="AQ50" s="10"/>
      <c r="AR50" s="9"/>
      <c r="AS50" s="10"/>
      <c r="AT50" s="10"/>
      <c r="AU50" s="10"/>
      <c r="AV50" s="9"/>
      <c r="AW50" s="11"/>
      <c r="AX50" s="9"/>
      <c r="AY50" s="9"/>
      <c r="AZ50" s="143"/>
      <c r="BA50" s="10"/>
      <c r="BB50" s="12"/>
      <c r="BC50" s="73"/>
    </row>
    <row r="51" spans="1:55" ht="55.5" customHeight="1" thickBot="1">
      <c r="A51" s="10"/>
      <c r="B51" s="10"/>
      <c r="C51" s="213" t="str">
        <f>AZ11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2 años, aprobado por ANMAT. </v>
      </c>
      <c r="D51" s="214"/>
      <c r="E51" s="21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1"/>
      <c r="T51" s="9"/>
      <c r="U51" s="10"/>
      <c r="V51" s="10"/>
      <c r="W51" s="10"/>
      <c r="X51" s="9"/>
      <c r="Y51" s="10"/>
      <c r="Z51" s="10"/>
      <c r="AA51" s="10"/>
      <c r="AB51" s="9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9"/>
      <c r="AO51" s="10"/>
      <c r="AP51" s="10"/>
      <c r="AQ51" s="10"/>
      <c r="AR51" s="9"/>
      <c r="AS51" s="10"/>
      <c r="AT51" s="10"/>
      <c r="AU51" s="10"/>
      <c r="AV51" s="9"/>
      <c r="AW51" s="11"/>
      <c r="AX51" s="9"/>
      <c r="AY51" s="9"/>
      <c r="AZ51" s="143"/>
      <c r="BA51" s="10"/>
      <c r="BB51" s="12"/>
    </row>
    <row r="52" spans="1:55" ht="15.75" customHeight="1" thickBot="1">
      <c r="A52" s="10"/>
      <c r="B52" s="10"/>
      <c r="C52" s="163"/>
      <c r="D52" s="164"/>
      <c r="E52" s="7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1"/>
      <c r="T52" s="9"/>
      <c r="U52" s="10"/>
      <c r="V52" s="10"/>
      <c r="W52" s="10"/>
      <c r="X52" s="9"/>
      <c r="Y52" s="10"/>
      <c r="Z52" s="10"/>
      <c r="AA52" s="10"/>
      <c r="AB52" s="9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9"/>
      <c r="AO52" s="10"/>
      <c r="AP52" s="10"/>
      <c r="AQ52" s="10"/>
      <c r="AR52" s="9"/>
      <c r="AS52" s="10"/>
      <c r="AT52" s="10"/>
      <c r="AU52" s="10"/>
      <c r="AV52" s="9"/>
      <c r="AW52" s="11"/>
      <c r="AX52" s="9"/>
      <c r="AY52" s="9"/>
      <c r="AZ52" s="143"/>
      <c r="BA52" s="10"/>
      <c r="BB52" s="12"/>
      <c r="BC52" s="73"/>
    </row>
    <row r="53" spans="1:55" ht="15.75" customHeight="1">
      <c r="A53" s="10"/>
      <c r="B53" s="10"/>
      <c r="C53" s="218" t="s">
        <v>208</v>
      </c>
      <c r="D53" s="219"/>
      <c r="E53" s="22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1"/>
      <c r="T53" s="9"/>
      <c r="U53" s="10"/>
      <c r="V53" s="10"/>
      <c r="W53" s="10"/>
      <c r="X53" s="9"/>
      <c r="Y53" s="10"/>
      <c r="Z53" s="10"/>
      <c r="AA53" s="10"/>
      <c r="AB53" s="9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9"/>
      <c r="AO53" s="10"/>
      <c r="AP53" s="10"/>
      <c r="AQ53" s="10"/>
      <c r="AR53" s="9"/>
      <c r="AS53" s="10"/>
      <c r="AT53" s="10"/>
      <c r="AU53" s="10"/>
      <c r="AV53" s="9"/>
      <c r="AW53" s="11"/>
      <c r="AX53" s="9"/>
      <c r="AY53" s="9"/>
      <c r="AZ53" s="143"/>
      <c r="BA53" s="10"/>
      <c r="BB53" s="12"/>
      <c r="BC53" s="73"/>
    </row>
    <row r="54" spans="1:55" ht="48.75" customHeight="1" thickBot="1">
      <c r="A54" s="10"/>
      <c r="B54" s="10"/>
      <c r="C54" s="213" t="str">
        <f>AZ12</f>
        <v xml:space="preserve">Balanza tipo: mecánica, con estructura totalmente metálica recubierta con pintura epoxi, plataforma de apoyo en caucho antideslizante. Con Altímetro Incluido. Sistema de fácil lectura a barra y cursores. Escala graduada en relieve en acero inoxidable. Dispositivo de traba de brazo. Asientos y cuchillas de acero. Patas regulables. Garantía mínima de 2 años, aprobado por ANMAT. </v>
      </c>
      <c r="D54" s="214"/>
      <c r="E54" s="21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1"/>
      <c r="T54" s="9"/>
      <c r="U54" s="10"/>
      <c r="V54" s="10"/>
      <c r="W54" s="10"/>
      <c r="X54" s="9"/>
      <c r="Y54" s="10"/>
      <c r="Z54" s="10"/>
      <c r="AA54" s="10"/>
      <c r="AB54" s="9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9"/>
      <c r="AO54" s="10"/>
      <c r="AP54" s="10"/>
      <c r="AQ54" s="10"/>
      <c r="AR54" s="9"/>
      <c r="AS54" s="10"/>
      <c r="AT54" s="10"/>
      <c r="AU54" s="10"/>
      <c r="AV54" s="9"/>
      <c r="AW54" s="11"/>
      <c r="AX54" s="9"/>
      <c r="AY54" s="9"/>
      <c r="AZ54" s="143"/>
      <c r="BA54" s="10"/>
      <c r="BB54" s="12"/>
    </row>
    <row r="55" spans="1:55" ht="15.75" customHeight="1" thickBot="1">
      <c r="A55" s="10"/>
      <c r="B55" s="10"/>
      <c r="C55" s="163"/>
      <c r="D55" s="164"/>
      <c r="E55" s="7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1"/>
      <c r="T55" s="9"/>
      <c r="U55" s="10"/>
      <c r="V55" s="10"/>
      <c r="W55" s="10"/>
      <c r="X55" s="9"/>
      <c r="Y55" s="10"/>
      <c r="Z55" s="10"/>
      <c r="AA55" s="10"/>
      <c r="AB55" s="9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9"/>
      <c r="AO55" s="10"/>
      <c r="AP55" s="10"/>
      <c r="AQ55" s="10"/>
      <c r="AR55" s="9"/>
      <c r="AS55" s="10"/>
      <c r="AT55" s="10"/>
      <c r="AU55" s="10"/>
      <c r="AV55" s="9"/>
      <c r="AW55" s="11"/>
      <c r="AX55" s="9"/>
      <c r="AY55" s="9"/>
      <c r="AZ55" s="143"/>
      <c r="BA55" s="10"/>
      <c r="BB55" s="12"/>
      <c r="BC55" s="73"/>
    </row>
    <row r="56" spans="1:55" ht="15.75" customHeight="1">
      <c r="A56" s="10"/>
      <c r="B56" s="10"/>
      <c r="C56" s="227" t="s">
        <v>118</v>
      </c>
      <c r="D56" s="219"/>
      <c r="E56" s="22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1"/>
      <c r="T56" s="9"/>
      <c r="U56" s="10"/>
      <c r="V56" s="10"/>
      <c r="W56" s="10"/>
      <c r="X56" s="9"/>
      <c r="Y56" s="10"/>
      <c r="Z56" s="10"/>
      <c r="AA56" s="10"/>
      <c r="AB56" s="9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9"/>
      <c r="AO56" s="10"/>
      <c r="AP56" s="10"/>
      <c r="AQ56" s="10"/>
      <c r="AR56" s="9"/>
      <c r="AS56" s="10"/>
      <c r="AT56" s="10"/>
      <c r="AU56" s="10"/>
      <c r="AV56" s="9"/>
      <c r="AW56" s="11"/>
      <c r="AX56" s="9"/>
      <c r="AY56" s="9"/>
      <c r="AZ56" s="143"/>
      <c r="BA56" s="10"/>
      <c r="BB56" s="12"/>
    </row>
    <row r="57" spans="1:55" ht="38.25" customHeight="1" thickBot="1">
      <c r="A57" s="10"/>
      <c r="B57" s="10"/>
      <c r="C57" s="213" t="str">
        <f>AZ14</f>
        <v>Inmovilizador filadelfia en dos piezas, ajustables entre si con velcro - Talle S: 20 unid. - Talle M: 20 unid. - Talle L: 20 unid. - Talle XL: 20 unid. - Talle Pediatrico: 20 unid. Que cumpla con las siguientes caracteristicas mínimas: Hipoalergénico, Anatómico, Regulable, Material: por ej. Polietilendo expandido de celdas cerradas, Disponible en tamaño pediatrico, chico, mediano, grande y extra grande de acuerdo a los talles solicitados.</v>
      </c>
      <c r="D57" s="214"/>
      <c r="E57" s="21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1"/>
      <c r="T57" s="9"/>
      <c r="U57" s="10"/>
      <c r="V57" s="10"/>
      <c r="W57" s="10"/>
      <c r="X57" s="9"/>
      <c r="Y57" s="10"/>
      <c r="Z57" s="10"/>
      <c r="AA57" s="10"/>
      <c r="AB57" s="9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9"/>
      <c r="AO57" s="10"/>
      <c r="AP57" s="10"/>
      <c r="AQ57" s="10"/>
      <c r="AR57" s="9"/>
      <c r="AS57" s="10"/>
      <c r="AT57" s="10"/>
      <c r="AU57" s="10"/>
      <c r="AV57" s="9"/>
      <c r="AW57" s="11"/>
      <c r="AX57" s="9"/>
      <c r="AY57" s="9"/>
      <c r="AZ57" s="143"/>
      <c r="BA57" s="10"/>
      <c r="BB57" s="12"/>
    </row>
    <row r="58" spans="1:55" ht="15.75" customHeight="1" thickBot="1">
      <c r="A58" s="10"/>
      <c r="B58" s="10"/>
      <c r="C58" s="165"/>
      <c r="D58" s="165"/>
      <c r="E58" s="7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1"/>
      <c r="T58" s="9"/>
      <c r="U58" s="10"/>
      <c r="V58" s="10"/>
      <c r="W58" s="10"/>
      <c r="X58" s="9"/>
      <c r="Y58" s="10"/>
      <c r="Z58" s="10"/>
      <c r="AA58" s="10"/>
      <c r="AB58" s="9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9"/>
      <c r="AO58" s="10"/>
      <c r="AP58" s="10"/>
      <c r="AQ58" s="10"/>
      <c r="AR58" s="9"/>
      <c r="AS58" s="10"/>
      <c r="AT58" s="10"/>
      <c r="AU58" s="10"/>
      <c r="AV58" s="9"/>
      <c r="AW58" s="11"/>
      <c r="AX58" s="9"/>
      <c r="AY58" s="9"/>
      <c r="AZ58" s="143"/>
      <c r="BA58" s="10"/>
      <c r="BB58" s="12"/>
    </row>
    <row r="59" spans="1:55" ht="15.75" customHeight="1">
      <c r="A59" s="10"/>
      <c r="B59" s="10"/>
      <c r="C59" s="218" t="s">
        <v>209</v>
      </c>
      <c r="D59" s="219"/>
      <c r="E59" s="22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1"/>
      <c r="T59" s="9"/>
      <c r="U59" s="10"/>
      <c r="V59" s="10"/>
      <c r="W59" s="10"/>
      <c r="X59" s="9"/>
      <c r="Y59" s="10"/>
      <c r="Z59" s="10"/>
      <c r="AA59" s="10"/>
      <c r="AB59" s="9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9"/>
      <c r="AO59" s="10"/>
      <c r="AP59" s="10"/>
      <c r="AQ59" s="10"/>
      <c r="AR59" s="9"/>
      <c r="AS59" s="10"/>
      <c r="AT59" s="10"/>
      <c r="AU59" s="10"/>
      <c r="AV59" s="9"/>
      <c r="AW59" s="11"/>
      <c r="AX59" s="9"/>
      <c r="AY59" s="9"/>
      <c r="AZ59" s="143"/>
      <c r="BA59" s="10"/>
      <c r="BB59" s="12"/>
    </row>
    <row r="60" spans="1:55" ht="15.75" customHeight="1" thickBot="1">
      <c r="A60" s="10"/>
      <c r="B60" s="10"/>
      <c r="C60" s="213" t="str">
        <f>AZ15</f>
        <v>Tamaño adulto, recubierto con tela de avión, cierre mediante correas, con protector de tiroides y 0,5mm de plomo de blindaje</v>
      </c>
      <c r="D60" s="214"/>
      <c r="E60" s="21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1"/>
      <c r="T60" s="9"/>
      <c r="U60" s="10"/>
      <c r="V60" s="10"/>
      <c r="W60" s="10"/>
      <c r="X60" s="9"/>
      <c r="Y60" s="10"/>
      <c r="Z60" s="10"/>
      <c r="AA60" s="10"/>
      <c r="AB60" s="9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9"/>
      <c r="AO60" s="10"/>
      <c r="AP60" s="10"/>
      <c r="AQ60" s="10"/>
      <c r="AR60" s="9"/>
      <c r="AS60" s="10"/>
      <c r="AT60" s="10"/>
      <c r="AU60" s="10"/>
      <c r="AV60" s="9"/>
      <c r="AW60" s="11"/>
      <c r="AX60" s="9"/>
      <c r="AY60" s="9"/>
      <c r="AZ60" s="143"/>
      <c r="BA60" s="10"/>
      <c r="BB60" s="12"/>
    </row>
    <row r="61" spans="1:55" ht="15.75" customHeight="1" thickBot="1">
      <c r="A61" s="10"/>
      <c r="B61" s="10"/>
      <c r="C61" s="165"/>
      <c r="D61" s="165"/>
      <c r="E61" s="7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1"/>
      <c r="T61" s="9"/>
      <c r="U61" s="10"/>
      <c r="V61" s="10"/>
      <c r="W61" s="10"/>
      <c r="X61" s="9"/>
      <c r="Y61" s="10"/>
      <c r="Z61" s="10"/>
      <c r="AA61" s="10"/>
      <c r="AB61" s="9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9"/>
      <c r="AO61" s="10"/>
      <c r="AP61" s="10"/>
      <c r="AQ61" s="10"/>
      <c r="AR61" s="9"/>
      <c r="AS61" s="10"/>
      <c r="AT61" s="10"/>
      <c r="AU61" s="10"/>
      <c r="AV61" s="9"/>
      <c r="AW61" s="11"/>
      <c r="AX61" s="9"/>
      <c r="AY61" s="9"/>
      <c r="AZ61" s="143"/>
      <c r="BA61" s="10"/>
      <c r="BB61" s="12"/>
    </row>
    <row r="62" spans="1:55" ht="15.75" customHeight="1">
      <c r="A62" s="10"/>
      <c r="B62" s="10"/>
      <c r="C62" s="218" t="s">
        <v>210</v>
      </c>
      <c r="D62" s="219"/>
      <c r="E62" s="22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1"/>
      <c r="T62" s="9"/>
      <c r="U62" s="10"/>
      <c r="V62" s="10"/>
      <c r="W62" s="10"/>
      <c r="X62" s="9"/>
      <c r="Y62" s="10"/>
      <c r="Z62" s="10"/>
      <c r="AA62" s="10"/>
      <c r="AB62" s="9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9"/>
      <c r="AO62" s="10"/>
      <c r="AP62" s="10"/>
      <c r="AQ62" s="10"/>
      <c r="AR62" s="9"/>
      <c r="AS62" s="10"/>
      <c r="AT62" s="10"/>
      <c r="AU62" s="10"/>
      <c r="AV62" s="9"/>
      <c r="AW62" s="11"/>
      <c r="AX62" s="9"/>
      <c r="AY62" s="9"/>
      <c r="AZ62" s="143"/>
      <c r="BA62" s="10"/>
      <c r="BB62" s="12"/>
    </row>
    <row r="63" spans="1:55" ht="42.75" customHeight="1" thickBot="1">
      <c r="A63" s="10"/>
      <c r="B63" s="10"/>
      <c r="C63" s="213" t="str">
        <f>AZ16</f>
        <v>Consta de emisor/receptor de señal ultrasónica, procesador, pantalla mínima LCD, altavoz y fuente de alimentación; ser de fácil uso y portátil; Mostrar la frecuencia cardíaca, con una medición precisa y de sonido nítido. Con funciones mínimas como: toma en tiempo real, promedio y conteo manual. Con salida de audio externa, bajo consumo y función de apagado automático.</v>
      </c>
      <c r="D63" s="214"/>
      <c r="E63" s="2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1"/>
      <c r="T63" s="9"/>
      <c r="U63" s="10"/>
      <c r="V63" s="10"/>
      <c r="W63" s="10"/>
      <c r="X63" s="9"/>
      <c r="Y63" s="10"/>
      <c r="Z63" s="10"/>
      <c r="AA63" s="10"/>
      <c r="AB63" s="9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9"/>
      <c r="AO63" s="10"/>
      <c r="AP63" s="10"/>
      <c r="AQ63" s="10"/>
      <c r="AR63" s="9"/>
      <c r="AS63" s="10"/>
      <c r="AT63" s="10"/>
      <c r="AU63" s="10"/>
      <c r="AV63" s="9"/>
      <c r="AW63" s="11"/>
      <c r="AX63" s="9"/>
      <c r="AY63" s="9"/>
      <c r="AZ63" s="143"/>
      <c r="BA63" s="10"/>
      <c r="BB63" s="12"/>
    </row>
    <row r="64" spans="1:55" ht="15.75" customHeight="1" thickBot="1">
      <c r="A64" s="10"/>
      <c r="B64" s="10"/>
      <c r="C64" s="165"/>
      <c r="D64" s="165"/>
      <c r="E64" s="71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1"/>
      <c r="T64" s="9"/>
      <c r="U64" s="10"/>
      <c r="V64" s="10"/>
      <c r="W64" s="10"/>
      <c r="X64" s="9"/>
      <c r="Y64" s="10"/>
      <c r="Z64" s="10"/>
      <c r="AA64" s="10"/>
      <c r="AB64" s="9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9"/>
      <c r="AO64" s="10"/>
      <c r="AP64" s="10"/>
      <c r="AQ64" s="10"/>
      <c r="AR64" s="9"/>
      <c r="AS64" s="10"/>
      <c r="AT64" s="10"/>
      <c r="AU64" s="10"/>
      <c r="AV64" s="9"/>
      <c r="AW64" s="11"/>
      <c r="AX64" s="9"/>
      <c r="AY64" s="9"/>
      <c r="AZ64" s="143"/>
      <c r="BA64" s="10"/>
      <c r="BB64" s="12"/>
    </row>
    <row r="65" spans="1:54" ht="15.75" customHeight="1">
      <c r="A65" s="10"/>
      <c r="B65" s="10"/>
      <c r="C65" s="218" t="s">
        <v>119</v>
      </c>
      <c r="D65" s="219"/>
      <c r="E65" s="22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/>
      <c r="T65" s="9"/>
      <c r="U65" s="10"/>
      <c r="V65" s="10"/>
      <c r="W65" s="10"/>
      <c r="X65" s="9"/>
      <c r="Y65" s="10"/>
      <c r="Z65" s="10"/>
      <c r="AA65" s="10"/>
      <c r="AB65" s="9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9"/>
      <c r="AO65" s="10"/>
      <c r="AP65" s="10"/>
      <c r="AQ65" s="10"/>
      <c r="AR65" s="9"/>
      <c r="AS65" s="10"/>
      <c r="AT65" s="10"/>
      <c r="AU65" s="10"/>
      <c r="AV65" s="9"/>
      <c r="AW65" s="11"/>
      <c r="AX65" s="9"/>
      <c r="AY65" s="9"/>
      <c r="AZ65" s="143"/>
      <c r="BA65" s="10"/>
      <c r="BB65" s="12"/>
    </row>
    <row r="66" spans="1:54" ht="45.75" customHeight="1" thickBot="1">
      <c r="A66" s="10"/>
      <c r="B66" s="10"/>
      <c r="C66" s="213" t="str">
        <f>AZ17</f>
        <v>modelo con doble cabezal (campana + diafragma: uso adulto y pediátrico), tubo auditivo de acero inoxidable con curvatura anatómica, olivas de goma y garantía minima de 1 año. 70 unid para uso en adultos y 70 unid. Para uso pediatrico</v>
      </c>
      <c r="D66" s="214"/>
      <c r="E66" s="21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1"/>
      <c r="T66" s="9"/>
      <c r="U66" s="10"/>
      <c r="V66" s="10"/>
      <c r="W66" s="10"/>
      <c r="X66" s="9"/>
      <c r="Y66" s="10"/>
      <c r="Z66" s="10"/>
      <c r="AA66" s="10"/>
      <c r="AB66" s="9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9"/>
      <c r="AO66" s="10"/>
      <c r="AP66" s="10"/>
      <c r="AQ66" s="10"/>
      <c r="AR66" s="9"/>
      <c r="AS66" s="10"/>
      <c r="AT66" s="10"/>
      <c r="AU66" s="10"/>
      <c r="AV66" s="9"/>
      <c r="AW66" s="11"/>
      <c r="AX66" s="9"/>
      <c r="AY66" s="9"/>
      <c r="AZ66" s="143"/>
      <c r="BA66" s="10"/>
      <c r="BB66" s="12"/>
    </row>
    <row r="67" spans="1:54" ht="15.75" customHeight="1" thickBot="1">
      <c r="A67" s="10"/>
      <c r="B67" s="10"/>
      <c r="C67" s="165"/>
      <c r="D67" s="165"/>
      <c r="E67" s="7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1"/>
      <c r="T67" s="9"/>
      <c r="U67" s="10"/>
      <c r="V67" s="10"/>
      <c r="W67" s="10"/>
      <c r="X67" s="9"/>
      <c r="Y67" s="10"/>
      <c r="Z67" s="10"/>
      <c r="AA67" s="10"/>
      <c r="AB67" s="9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9"/>
      <c r="AO67" s="10"/>
      <c r="AP67" s="10"/>
      <c r="AQ67" s="10"/>
      <c r="AR67" s="9"/>
      <c r="AS67" s="10"/>
      <c r="AT67" s="10"/>
      <c r="AU67" s="10"/>
      <c r="AV67" s="9"/>
      <c r="AW67" s="11"/>
      <c r="AX67" s="9"/>
      <c r="AY67" s="9"/>
      <c r="AZ67" s="143"/>
      <c r="BA67" s="10"/>
      <c r="BB67" s="12"/>
    </row>
    <row r="68" spans="1:54" ht="15.75" customHeight="1">
      <c r="A68" s="10"/>
      <c r="B68" s="10"/>
      <c r="C68" s="218" t="s">
        <v>120</v>
      </c>
      <c r="D68" s="219"/>
      <c r="E68" s="22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/>
      <c r="T68" s="9"/>
      <c r="U68" s="10"/>
      <c r="V68" s="10"/>
      <c r="W68" s="10"/>
      <c r="X68" s="9"/>
      <c r="Y68" s="10"/>
      <c r="Z68" s="10"/>
      <c r="AA68" s="10"/>
      <c r="AB68" s="9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9"/>
      <c r="AO68" s="10"/>
      <c r="AP68" s="10"/>
      <c r="AQ68" s="10"/>
      <c r="AR68" s="9"/>
      <c r="AS68" s="10"/>
      <c r="AT68" s="10"/>
      <c r="AU68" s="10"/>
      <c r="AV68" s="9"/>
      <c r="AW68" s="11"/>
      <c r="AX68" s="9"/>
      <c r="AY68" s="9"/>
      <c r="AZ68" s="143"/>
      <c r="BA68" s="10"/>
      <c r="BB68" s="12"/>
    </row>
    <row r="69" spans="1:54" ht="57" customHeight="1" thickBot="1">
      <c r="A69" s="10"/>
      <c r="B69" s="10"/>
      <c r="C69" s="213" t="str">
        <f>AZ18</f>
        <v>Construída ergonómicamente en HDPE (Polietileno de Alta Densidad, lavable antiestático de alta resistencia) sin costuras p/evitar el alojamiento de gérmenes patógenos, acabado delicado, impermeable y atóxico con exclusivos calados p/inmovilizador cervical, pectorales, abdomen y piernas en forma independiente. incluye juegos de cinturones de fijacion, con velcro, colores según codigos internacionales.</v>
      </c>
      <c r="D69" s="214"/>
      <c r="E69" s="21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1"/>
      <c r="T69" s="9"/>
      <c r="U69" s="10"/>
      <c r="V69" s="10"/>
      <c r="W69" s="10"/>
      <c r="X69" s="9"/>
      <c r="Y69" s="10"/>
      <c r="Z69" s="10"/>
      <c r="AA69" s="10"/>
      <c r="AB69" s="9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9"/>
      <c r="AO69" s="10"/>
      <c r="AP69" s="10"/>
      <c r="AQ69" s="10"/>
      <c r="AR69" s="9"/>
      <c r="AS69" s="10"/>
      <c r="AT69" s="10"/>
      <c r="AU69" s="10"/>
      <c r="AV69" s="9"/>
      <c r="AW69" s="11"/>
      <c r="AX69" s="9"/>
      <c r="AY69" s="9"/>
      <c r="AZ69" s="143"/>
      <c r="BA69" s="10"/>
      <c r="BB69" s="12"/>
    </row>
    <row r="70" spans="1:54" ht="15.75" customHeight="1" thickBot="1">
      <c r="A70" s="10"/>
      <c r="B70" s="10"/>
      <c r="C70" s="165"/>
      <c r="D70" s="165"/>
      <c r="E70" s="71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/>
      <c r="T70" s="9"/>
      <c r="U70" s="10"/>
      <c r="V70" s="10"/>
      <c r="W70" s="10"/>
      <c r="X70" s="9"/>
      <c r="Y70" s="10"/>
      <c r="Z70" s="10"/>
      <c r="AA70" s="10"/>
      <c r="AB70" s="9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9"/>
      <c r="AO70" s="10"/>
      <c r="AP70" s="10"/>
      <c r="AQ70" s="10"/>
      <c r="AR70" s="9"/>
      <c r="AS70" s="10"/>
      <c r="AT70" s="10"/>
      <c r="AU70" s="10"/>
      <c r="AV70" s="9"/>
      <c r="AW70" s="11"/>
      <c r="AX70" s="9"/>
      <c r="AY70" s="9"/>
      <c r="AZ70" s="143"/>
      <c r="BA70" s="10"/>
      <c r="BB70" s="12"/>
    </row>
    <row r="71" spans="1:54" ht="15.75" customHeight="1">
      <c r="A71" s="10"/>
      <c r="B71" s="10"/>
      <c r="C71" s="218" t="s">
        <v>121</v>
      </c>
      <c r="D71" s="219"/>
      <c r="E71" s="22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1"/>
      <c r="T71" s="9"/>
      <c r="U71" s="10"/>
      <c r="V71" s="10"/>
      <c r="W71" s="10"/>
      <c r="X71" s="9"/>
      <c r="Y71" s="10"/>
      <c r="Z71" s="10"/>
      <c r="AA71" s="10"/>
      <c r="AB71" s="9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9"/>
      <c r="AO71" s="10"/>
      <c r="AP71" s="10"/>
      <c r="AQ71" s="10"/>
      <c r="AR71" s="9"/>
      <c r="AS71" s="10"/>
      <c r="AT71" s="10"/>
      <c r="AU71" s="10"/>
      <c r="AV71" s="9"/>
      <c r="AW71" s="11"/>
      <c r="AX71" s="9"/>
      <c r="AY71" s="9"/>
      <c r="AZ71" s="143"/>
      <c r="BA71" s="10"/>
      <c r="BB71" s="12"/>
    </row>
    <row r="72" spans="1:54" ht="41.25" customHeight="1" thickBot="1">
      <c r="A72" s="10"/>
      <c r="B72" s="10"/>
      <c r="C72" s="213" t="str">
        <f>AZ19</f>
        <v>Multilaminado fenólico standard, con un mínimo de 5 capas compensadas, con calados (para inmovilizador cervical y piernas en forma individual), terminación plastificado en barniz marino, con tres juegos de cinturones de fijación con velcro.</v>
      </c>
      <c r="D72" s="214"/>
      <c r="E72" s="21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1"/>
      <c r="T72" s="9"/>
      <c r="U72" s="10"/>
      <c r="V72" s="10"/>
      <c r="W72" s="10"/>
      <c r="X72" s="9"/>
      <c r="Y72" s="10"/>
      <c r="Z72" s="10"/>
      <c r="AA72" s="10"/>
      <c r="AB72" s="9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9"/>
      <c r="AO72" s="10"/>
      <c r="AP72" s="10"/>
      <c r="AQ72" s="10"/>
      <c r="AR72" s="9"/>
      <c r="AS72" s="10"/>
      <c r="AT72" s="10"/>
      <c r="AU72" s="10"/>
      <c r="AV72" s="9"/>
      <c r="AW72" s="11"/>
      <c r="AX72" s="9"/>
      <c r="AY72" s="9"/>
      <c r="AZ72" s="143"/>
      <c r="BA72" s="10"/>
      <c r="BB72" s="12"/>
    </row>
    <row r="73" spans="1:54" ht="15.75" customHeight="1" thickBot="1">
      <c r="A73" s="10"/>
      <c r="B73" s="10"/>
      <c r="C73" s="165"/>
      <c r="D73" s="165"/>
      <c r="E73" s="71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1"/>
      <c r="T73" s="9"/>
      <c r="U73" s="10"/>
      <c r="V73" s="10"/>
      <c r="W73" s="10"/>
      <c r="X73" s="9"/>
      <c r="Y73" s="10"/>
      <c r="Z73" s="10"/>
      <c r="AA73" s="10"/>
      <c r="AB73" s="9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9"/>
      <c r="AO73" s="10"/>
      <c r="AP73" s="10"/>
      <c r="AQ73" s="10"/>
      <c r="AR73" s="9"/>
      <c r="AS73" s="10"/>
      <c r="AT73" s="10"/>
      <c r="AU73" s="10"/>
      <c r="AV73" s="9"/>
      <c r="AW73" s="11"/>
      <c r="AX73" s="9"/>
      <c r="AY73" s="9"/>
      <c r="AZ73" s="143"/>
      <c r="BA73" s="10"/>
      <c r="BB73" s="12"/>
    </row>
    <row r="74" spans="1:54" ht="15.75" customHeight="1">
      <c r="A74" s="10"/>
      <c r="B74" s="10"/>
      <c r="C74" s="218" t="s">
        <v>122</v>
      </c>
      <c r="D74" s="219"/>
      <c r="E74" s="22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1"/>
      <c r="T74" s="9"/>
      <c r="U74" s="10"/>
      <c r="V74" s="10"/>
      <c r="W74" s="10"/>
      <c r="X74" s="9"/>
      <c r="Y74" s="10"/>
      <c r="Z74" s="10"/>
      <c r="AA74" s="10"/>
      <c r="AB74" s="9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9"/>
      <c r="AO74" s="10"/>
      <c r="AP74" s="10"/>
      <c r="AQ74" s="10"/>
      <c r="AR74" s="9"/>
      <c r="AS74" s="10"/>
      <c r="AT74" s="10"/>
      <c r="AU74" s="10"/>
      <c r="AV74" s="9"/>
      <c r="AW74" s="11"/>
      <c r="AX74" s="9"/>
      <c r="AY74" s="9"/>
      <c r="AZ74" s="143"/>
      <c r="BA74" s="10"/>
      <c r="BB74" s="12"/>
    </row>
    <row r="75" spans="1:54" ht="15.75" customHeight="1" thickBot="1">
      <c r="A75" s="10"/>
      <c r="B75" s="10"/>
      <c r="C75" s="213" t="str">
        <f>AZ20</f>
        <v>50 unid. uso masculino - 50 unid. Uso femenino</v>
      </c>
      <c r="D75" s="214"/>
      <c r="E75" s="21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/>
      <c r="T75" s="9"/>
      <c r="U75" s="10"/>
      <c r="V75" s="10"/>
      <c r="W75" s="10"/>
      <c r="X75" s="9"/>
      <c r="Y75" s="10"/>
      <c r="Z75" s="10"/>
      <c r="AA75" s="10"/>
      <c r="AB75" s="9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9"/>
      <c r="AO75" s="10"/>
      <c r="AP75" s="10"/>
      <c r="AQ75" s="10"/>
      <c r="AR75" s="9"/>
      <c r="AS75" s="10"/>
      <c r="AT75" s="10"/>
      <c r="AU75" s="10"/>
      <c r="AV75" s="9"/>
      <c r="AW75" s="11"/>
      <c r="AX75" s="9"/>
      <c r="AY75" s="9"/>
      <c r="AZ75" s="143"/>
      <c r="BA75" s="10"/>
      <c r="BB75" s="12"/>
    </row>
    <row r="76" spans="1:54" ht="15.75" customHeight="1" thickBot="1">
      <c r="A76" s="10"/>
      <c r="B76" s="10"/>
      <c r="C76" s="165"/>
      <c r="D76" s="165"/>
      <c r="E76" s="71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1"/>
      <c r="T76" s="9"/>
      <c r="U76" s="10"/>
      <c r="V76" s="10"/>
      <c r="W76" s="10"/>
      <c r="X76" s="9"/>
      <c r="Y76" s="10"/>
      <c r="Z76" s="10"/>
      <c r="AA76" s="10"/>
      <c r="AB76" s="9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9"/>
      <c r="AO76" s="10"/>
      <c r="AP76" s="10"/>
      <c r="AQ76" s="10"/>
      <c r="AR76" s="9"/>
      <c r="AS76" s="10"/>
      <c r="AT76" s="10"/>
      <c r="AU76" s="10"/>
      <c r="AV76" s="9"/>
      <c r="AW76" s="11"/>
      <c r="AX76" s="9"/>
      <c r="AY76" s="9"/>
      <c r="AZ76" s="143"/>
      <c r="BA76" s="10"/>
      <c r="BB76" s="12"/>
    </row>
    <row r="77" spans="1:54" ht="15.75" customHeight="1">
      <c r="A77" s="10"/>
      <c r="B77" s="10"/>
      <c r="C77" s="218" t="s">
        <v>211</v>
      </c>
      <c r="D77" s="219"/>
      <c r="E77" s="22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1"/>
      <c r="T77" s="9"/>
      <c r="U77" s="10"/>
      <c r="V77" s="10"/>
      <c r="W77" s="10"/>
      <c r="X77" s="9"/>
      <c r="Y77" s="10"/>
      <c r="Z77" s="10"/>
      <c r="AA77" s="10"/>
      <c r="AB77" s="9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9"/>
      <c r="AO77" s="10"/>
      <c r="AP77" s="10"/>
      <c r="AQ77" s="10"/>
      <c r="AR77" s="9"/>
      <c r="AS77" s="10"/>
      <c r="AT77" s="10"/>
      <c r="AU77" s="10"/>
      <c r="AV77" s="9"/>
      <c r="AW77" s="11"/>
      <c r="AX77" s="9"/>
      <c r="AY77" s="9"/>
      <c r="AZ77" s="143"/>
      <c r="BA77" s="10"/>
      <c r="BB77" s="12"/>
    </row>
    <row r="78" spans="1:54" ht="15" customHeight="1" thickBot="1">
      <c r="C78" s="213" t="str">
        <f>AZ21</f>
        <v xml:space="preserve"> Tecnología LED y Fibra Optica, Aumento mínimo de 3x, cabezal giratorio, rueda de lentes con 18 lentes mínimo.</v>
      </c>
      <c r="D78" s="214"/>
      <c r="E78" s="215"/>
    </row>
    <row r="79" spans="1:54" ht="15" customHeight="1" thickBot="1"/>
    <row r="80" spans="1:54" ht="15" customHeight="1">
      <c r="C80" s="218" t="s">
        <v>212</v>
      </c>
      <c r="D80" s="219"/>
      <c r="E80" s="220"/>
    </row>
    <row r="81" spans="3:5" ht="15" customHeight="1" thickBot="1">
      <c r="C81" s="213" t="str">
        <f>AZ22</f>
        <v>Oximetro de pulso adulto/ pediatrico. Alimentación con 2 pilas, debe contar con aprobación de ANMAT</v>
      </c>
      <c r="D81" s="214"/>
      <c r="E81" s="215"/>
    </row>
    <row r="82" spans="3:5" ht="15" customHeight="1" thickBot="1"/>
    <row r="83" spans="3:5" ht="15" customHeight="1">
      <c r="C83" s="218" t="s">
        <v>123</v>
      </c>
      <c r="D83" s="219"/>
      <c r="E83" s="220"/>
    </row>
    <row r="84" spans="3:5" ht="15" customHeight="1" thickBot="1">
      <c r="C84" s="213" t="str">
        <f>AZ23</f>
        <v xml:space="preserve"> Para uso pedíatrico, con una varilla metálica milimetrada, y aletas plásticas fija que pueden sujetarse cómodamente.</v>
      </c>
      <c r="D84" s="214"/>
      <c r="E84" s="215"/>
    </row>
    <row r="85" spans="3:5" ht="15" customHeight="1" thickBot="1"/>
    <row r="86" spans="3:5" ht="15" customHeight="1">
      <c r="C86" s="218" t="s">
        <v>213</v>
      </c>
      <c r="D86" s="219"/>
      <c r="E86" s="220"/>
    </row>
    <row r="87" spans="3:5" ht="36" customHeight="1" thickBot="1">
      <c r="C87" s="213" t="str">
        <f>AZ24</f>
        <v>Altura mínima regulable de 180cm, con  base rodante de 5 ramas con ruedas de plástico de alta resistencia y alto impacto inyectadas. Caño y estructura en acero inoxidable, con 2 ganchos minimo.</v>
      </c>
      <c r="D87" s="214"/>
      <c r="E87" s="215"/>
    </row>
    <row r="88" spans="3:5" ht="15" customHeight="1" thickBot="1"/>
    <row r="89" spans="3:5" ht="15" customHeight="1">
      <c r="C89" s="218" t="s">
        <v>124</v>
      </c>
      <c r="D89" s="219"/>
      <c r="E89" s="220"/>
    </row>
    <row r="90" spans="3:5" ht="31.5" customHeight="1" thickBot="1">
      <c r="C90" s="213" t="str">
        <f>AZ25</f>
        <v>Tensiómetro manual anaeroide (analógico), con manómetro circular de facil lectura, brazalete uso adulto, con  estetoscopio de campana simple y olivas de plástico incluido.</v>
      </c>
      <c r="D90" s="214"/>
      <c r="E90" s="215"/>
    </row>
    <row r="91" spans="3:5" ht="15" customHeight="1" thickBot="1"/>
    <row r="92" spans="3:5" ht="15" customHeight="1">
      <c r="C92" s="218" t="s">
        <v>125</v>
      </c>
      <c r="D92" s="219"/>
      <c r="E92" s="220"/>
    </row>
    <row r="93" spans="3:5" ht="32.25" customHeight="1" thickBot="1">
      <c r="C93" s="213" t="str">
        <f>AZ26</f>
        <v>Tensiómetro manual anaeroide (analógico), con manómetro circular de facil lectura, brazalete uso pediátrico, con  estetoscopio de campana simple y olivas de plástico incluido.</v>
      </c>
      <c r="D93" s="214"/>
      <c r="E93" s="215"/>
    </row>
    <row r="94" spans="3:5" ht="15" customHeight="1" thickBot="1"/>
    <row r="95" spans="3:5" ht="15" customHeight="1">
      <c r="C95" s="218" t="s">
        <v>126</v>
      </c>
      <c r="D95" s="219"/>
      <c r="E95" s="220"/>
    </row>
    <row r="96" spans="3:5" ht="36" customHeight="1" thickBot="1">
      <c r="C96" s="213" t="str">
        <f>AZ27</f>
        <v>Tensiómetro manual anaeroide (analógico), con manómetro circular de facil lectura, brazalete uso adulto obesos (de 32 a 42cm de diámetro aproximado), con  estetoscopio de campana simple y olivas de plástico incluido.</v>
      </c>
      <c r="D96" s="214"/>
      <c r="E96" s="215"/>
    </row>
    <row r="97" spans="3:5" ht="15" customHeight="1" thickBot="1"/>
    <row r="98" spans="3:5" ht="15" customHeight="1">
      <c r="C98" s="218" t="s">
        <v>214</v>
      </c>
      <c r="D98" s="219"/>
      <c r="E98" s="220"/>
    </row>
    <row r="99" spans="3:5" ht="40.5" customHeight="1" thickBot="1">
      <c r="C99" s="213" t="str">
        <f>AZ29</f>
        <v>De uso medicinal, provisto de una válvula de reducción medicinal con regulador de flujo y manómetro. Industria Nacional. Material acero. Color blanco. Con prueba hidráulica aprobada por 5 años. Incluye soporte</v>
      </c>
      <c r="D99" s="214"/>
      <c r="E99" s="215"/>
    </row>
  </sheetData>
  <mergeCells count="52">
    <mergeCell ref="C99:E99"/>
    <mergeCell ref="C92:E92"/>
    <mergeCell ref="C93:E93"/>
    <mergeCell ref="C95:E95"/>
    <mergeCell ref="C96:E96"/>
    <mergeCell ref="C98:E98"/>
    <mergeCell ref="C84:E84"/>
    <mergeCell ref="C86:E86"/>
    <mergeCell ref="C87:E87"/>
    <mergeCell ref="C89:E89"/>
    <mergeCell ref="C90:E90"/>
    <mergeCell ref="C77:E77"/>
    <mergeCell ref="C78:E78"/>
    <mergeCell ref="C80:E80"/>
    <mergeCell ref="C81:E81"/>
    <mergeCell ref="C83:E83"/>
    <mergeCell ref="C69:E69"/>
    <mergeCell ref="C71:E71"/>
    <mergeCell ref="C72:E72"/>
    <mergeCell ref="C74:E74"/>
    <mergeCell ref="C75:E75"/>
    <mergeCell ref="C56:E56"/>
    <mergeCell ref="C57:E57"/>
    <mergeCell ref="C59:E59"/>
    <mergeCell ref="C60:E60"/>
    <mergeCell ref="C62:E62"/>
    <mergeCell ref="C63:E63"/>
    <mergeCell ref="C65:E65"/>
    <mergeCell ref="C66:E66"/>
    <mergeCell ref="C68:E68"/>
    <mergeCell ref="D36:E36"/>
    <mergeCell ref="D44:E44"/>
    <mergeCell ref="D37:E37"/>
    <mergeCell ref="D38:E38"/>
    <mergeCell ref="D39:E39"/>
    <mergeCell ref="D42:E42"/>
    <mergeCell ref="D41:E41"/>
    <mergeCell ref="C48:E48"/>
    <mergeCell ref="C47:E47"/>
    <mergeCell ref="C50:E50"/>
    <mergeCell ref="C51:E51"/>
    <mergeCell ref="C53:E53"/>
    <mergeCell ref="C54:E54"/>
    <mergeCell ref="D34:E34"/>
    <mergeCell ref="A6:B6"/>
    <mergeCell ref="A4:B4"/>
    <mergeCell ref="A5:B5"/>
    <mergeCell ref="B2:AX2"/>
    <mergeCell ref="C4:E4"/>
    <mergeCell ref="C5:E5"/>
    <mergeCell ref="A7:B7"/>
    <mergeCell ref="C33:E3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"/>
  <sheetViews>
    <sheetView topLeftCell="A10" workbookViewId="0">
      <selection activeCell="K2" sqref="K2"/>
    </sheetView>
  </sheetViews>
  <sheetFormatPr baseColWidth="10" defaultColWidth="14.42578125" defaultRowHeight="15" customHeight="1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87" customWidth="1"/>
    <col min="8" max="8" width="9.28515625" customWidth="1"/>
    <col min="9" max="9" width="15.5703125" customWidth="1"/>
    <col min="10" max="10" width="16.5703125" customWidth="1"/>
    <col min="11" max="11" width="15.5703125" customWidth="1"/>
    <col min="12" max="12" width="10.7109375" customWidth="1"/>
    <col min="13" max="16" width="14.5703125" style="202" customWidth="1"/>
    <col min="17" max="17" width="15.5703125" style="202" customWidth="1"/>
    <col min="18" max="18" width="11.42578125" style="187" customWidth="1"/>
  </cols>
  <sheetData>
    <row r="1" spans="1:18" ht="30">
      <c r="A1" s="245" t="s">
        <v>127</v>
      </c>
      <c r="B1" s="246"/>
      <c r="C1" s="246"/>
      <c r="D1" s="246"/>
      <c r="E1" s="246"/>
      <c r="F1" s="246"/>
      <c r="G1" s="246"/>
      <c r="H1" s="246"/>
      <c r="I1" s="246"/>
      <c r="J1" s="74" t="s">
        <v>128</v>
      </c>
      <c r="K1" s="75" t="s">
        <v>216</v>
      </c>
      <c r="M1" s="199"/>
      <c r="N1" s="199"/>
      <c r="O1" s="199"/>
      <c r="P1" s="199"/>
      <c r="Q1" s="200"/>
      <c r="R1" s="186"/>
    </row>
    <row r="2" spans="1:18" ht="15.75">
      <c r="A2" s="76"/>
      <c r="B2" s="77"/>
      <c r="C2" s="78"/>
      <c r="D2" s="79"/>
      <c r="E2" s="79"/>
      <c r="F2" s="79"/>
      <c r="G2" s="79"/>
      <c r="H2" s="79"/>
      <c r="I2" s="79"/>
      <c r="J2" s="80"/>
      <c r="K2" s="81"/>
      <c r="M2" s="199"/>
      <c r="N2" s="199"/>
      <c r="O2" s="199"/>
      <c r="P2" s="199"/>
      <c r="Q2" s="200"/>
      <c r="R2" s="186"/>
    </row>
    <row r="3" spans="1:18" ht="16.5" customHeight="1">
      <c r="A3" s="228" t="s">
        <v>129</v>
      </c>
      <c r="B3" s="229"/>
      <c r="C3" s="229"/>
      <c r="D3" s="82" t="s">
        <v>2</v>
      </c>
      <c r="E3" s="83"/>
      <c r="F3" s="83"/>
      <c r="G3" s="83"/>
      <c r="H3" s="83"/>
      <c r="I3" s="83"/>
      <c r="J3" s="84"/>
      <c r="K3" s="85"/>
      <c r="M3" s="199"/>
      <c r="N3" s="199"/>
      <c r="O3" s="199"/>
      <c r="P3" s="199"/>
      <c r="Q3" s="200"/>
      <c r="R3" s="186"/>
    </row>
    <row r="4" spans="1:18" ht="16.5" customHeight="1">
      <c r="A4" s="230" t="s">
        <v>130</v>
      </c>
      <c r="B4" s="231"/>
      <c r="C4" s="231"/>
      <c r="D4" s="82" t="s">
        <v>131</v>
      </c>
      <c r="E4" s="83"/>
      <c r="F4" s="83"/>
      <c r="G4" s="83"/>
      <c r="H4" s="83"/>
      <c r="I4" s="83"/>
      <c r="J4" s="84"/>
      <c r="K4" s="85"/>
      <c r="M4" s="199"/>
      <c r="N4" s="199"/>
      <c r="O4" s="199"/>
      <c r="P4" s="199"/>
      <c r="Q4" s="200"/>
      <c r="R4" s="186"/>
    </row>
    <row r="5" spans="1:18" ht="15.75">
      <c r="A5" s="230" t="s">
        <v>132</v>
      </c>
      <c r="B5" s="231"/>
      <c r="C5" s="231"/>
      <c r="D5" s="82" t="s">
        <v>133</v>
      </c>
      <c r="E5" s="83"/>
      <c r="F5" s="83"/>
      <c r="G5" s="83"/>
      <c r="H5" s="83"/>
      <c r="I5" s="83"/>
      <c r="J5" s="84"/>
      <c r="K5" s="85"/>
      <c r="M5" s="199"/>
      <c r="N5" s="199"/>
      <c r="O5" s="199"/>
      <c r="P5" s="199"/>
      <c r="Q5" s="200"/>
      <c r="R5" s="186"/>
    </row>
    <row r="6" spans="1:18" ht="15.75">
      <c r="A6" s="228" t="s">
        <v>134</v>
      </c>
      <c r="B6" s="229"/>
      <c r="C6" s="229"/>
      <c r="D6" s="82" t="s">
        <v>133</v>
      </c>
      <c r="E6" s="83"/>
      <c r="F6" s="83"/>
      <c r="G6" s="83"/>
      <c r="H6" s="83"/>
      <c r="I6" s="83"/>
      <c r="J6" s="84"/>
      <c r="K6" s="85"/>
      <c r="M6" s="199"/>
      <c r="N6" s="199"/>
      <c r="O6" s="199"/>
      <c r="P6" s="199"/>
      <c r="Q6" s="200"/>
      <c r="R6" s="186"/>
    </row>
    <row r="7" spans="1:18" ht="15.75">
      <c r="A7" s="230" t="s">
        <v>135</v>
      </c>
      <c r="B7" s="231"/>
      <c r="C7" s="231"/>
      <c r="D7" s="82" t="s">
        <v>136</v>
      </c>
      <c r="E7" s="83"/>
      <c r="F7" s="83"/>
      <c r="G7" s="83"/>
      <c r="H7" s="83"/>
      <c r="I7" s="83"/>
      <c r="J7" s="84"/>
      <c r="K7" s="85"/>
      <c r="M7" s="199"/>
      <c r="N7" s="199"/>
      <c r="O7" s="199"/>
      <c r="P7" s="199"/>
      <c r="Q7" s="200"/>
      <c r="R7" s="186"/>
    </row>
    <row r="8" spans="1:18" ht="16.5" customHeight="1">
      <c r="A8" s="232" t="s">
        <v>137</v>
      </c>
      <c r="B8" s="233"/>
      <c r="C8" s="234"/>
      <c r="D8" s="86" t="s">
        <v>138</v>
      </c>
      <c r="E8" s="83"/>
      <c r="F8" s="83"/>
      <c r="G8" s="83"/>
      <c r="H8" s="83"/>
      <c r="I8" s="83"/>
      <c r="J8" s="84"/>
      <c r="K8" s="85"/>
      <c r="M8" s="199"/>
      <c r="N8" s="199"/>
      <c r="O8" s="199"/>
      <c r="P8" s="199"/>
      <c r="Q8" s="200"/>
      <c r="R8" s="186"/>
    </row>
    <row r="9" spans="1:18" ht="15.75">
      <c r="A9" s="87"/>
      <c r="B9" s="88"/>
      <c r="C9" s="89"/>
      <c r="D9" s="90"/>
      <c r="E9" s="90"/>
      <c r="F9" s="90"/>
      <c r="G9" s="90"/>
      <c r="H9" s="90"/>
      <c r="I9" s="90"/>
      <c r="J9" s="91"/>
      <c r="K9" s="92"/>
      <c r="M9" s="199"/>
      <c r="N9" s="199"/>
      <c r="O9" s="199"/>
      <c r="P9" s="199"/>
      <c r="Q9" s="200"/>
      <c r="R9" s="186"/>
    </row>
    <row r="10" spans="1:18">
      <c r="A10" s="252" t="s">
        <v>139</v>
      </c>
      <c r="B10" s="250" t="s">
        <v>140</v>
      </c>
      <c r="C10" s="257" t="s">
        <v>141</v>
      </c>
      <c r="D10" s="246"/>
      <c r="E10" s="246"/>
      <c r="F10" s="246"/>
      <c r="G10" s="258"/>
      <c r="H10" s="250" t="s">
        <v>142</v>
      </c>
      <c r="I10" s="250" t="s">
        <v>143</v>
      </c>
      <c r="J10" s="256" t="s">
        <v>144</v>
      </c>
      <c r="K10" s="254" t="s">
        <v>145</v>
      </c>
      <c r="M10" s="199"/>
      <c r="N10" s="199"/>
      <c r="O10" s="199"/>
      <c r="P10" s="199"/>
      <c r="Q10" s="200"/>
      <c r="R10" s="186"/>
    </row>
    <row r="11" spans="1:18" ht="36.75" customHeight="1">
      <c r="A11" s="253"/>
      <c r="B11" s="251"/>
      <c r="C11" s="259"/>
      <c r="D11" s="206"/>
      <c r="E11" s="206"/>
      <c r="F11" s="206"/>
      <c r="G11" s="260"/>
      <c r="H11" s="251"/>
      <c r="I11" s="251"/>
      <c r="J11" s="251"/>
      <c r="K11" s="255"/>
      <c r="M11" s="200"/>
      <c r="N11" s="200">
        <v>295</v>
      </c>
      <c r="O11" s="200">
        <v>433</v>
      </c>
      <c r="P11" s="200">
        <v>439</v>
      </c>
      <c r="Q11" s="200"/>
      <c r="R11" s="186"/>
    </row>
    <row r="12" spans="1:18">
      <c r="A12" s="93">
        <v>1</v>
      </c>
      <c r="B12" s="94" t="str">
        <f>'SAF 011 - NECESIDAD TRIMESTRAL'!B10</f>
        <v>4.3.3-5415.6</v>
      </c>
      <c r="C12" s="247" t="str">
        <f>'SAF 011 - NECESIDAD TRIMESTRAL'!E10</f>
        <v>BALANZAS P/PERSONAS; TIPO: ADULTO, PRECISION: 100 GR, ACCESORIO: ALTIMETRO, CAPACIDAD: 250 Kg</v>
      </c>
      <c r="D12" s="248"/>
      <c r="E12" s="248"/>
      <c r="F12" s="248"/>
      <c r="G12" s="249"/>
      <c r="H12" s="203" t="s">
        <v>147</v>
      </c>
      <c r="I12" s="95" t="str">
        <f>'SAF 011 - NECESIDAD TRIMESTRAL'!F10</f>
        <v>UNIDAD</v>
      </c>
      <c r="J12" s="96">
        <f>'SAF 011 - NECESIDAD TRIMESTRAL'!AX10</f>
        <v>180000</v>
      </c>
      <c r="K12" s="97">
        <f>'SAF 011 - NECESIDAD TRIMESTRAL'!AU10</f>
        <v>10</v>
      </c>
      <c r="L12" s="73"/>
      <c r="M12" s="199"/>
      <c r="N12" s="199"/>
      <c r="O12" s="199">
        <f t="shared" ref="O12:O14" si="0">+K12*J12</f>
        <v>1800000</v>
      </c>
      <c r="P12" s="199"/>
      <c r="Q12" s="200"/>
      <c r="R12" s="186"/>
    </row>
    <row r="13" spans="1:18" ht="15" customHeight="1">
      <c r="A13" s="98">
        <v>2</v>
      </c>
      <c r="B13" s="99" t="str">
        <f>'SAF 011 - NECESIDAD TRIMESTRAL'!B11</f>
        <v>4.3.3-5415.3</v>
      </c>
      <c r="C13" s="242" t="str">
        <f>'SAF 011 - NECESIDAD TRIMESTRAL'!E11</f>
        <v>BALANZAS P/PERSONAS; TIPO: P/ADULTOS, PRECISION: 100 GR, ACCESORIO: ALTIMETRO, CAPACIDAD: 150 Kg</v>
      </c>
      <c r="D13" s="243"/>
      <c r="E13" s="243"/>
      <c r="F13" s="243"/>
      <c r="G13" s="244"/>
      <c r="H13" s="204" t="s">
        <v>147</v>
      </c>
      <c r="I13" s="100" t="str">
        <f>'SAF 011 - NECESIDAD TRIMESTRAL'!F11</f>
        <v>UNIDAD</v>
      </c>
      <c r="J13" s="101">
        <f>'SAF 011 - NECESIDAD TRIMESTRAL'!AX11</f>
        <v>110000</v>
      </c>
      <c r="K13" s="102">
        <f>'SAF 011 - NECESIDAD TRIMESTRAL'!AU11</f>
        <v>10</v>
      </c>
      <c r="L13" s="73"/>
      <c r="M13" s="199"/>
      <c r="N13" s="199"/>
      <c r="O13" s="199">
        <f t="shared" si="0"/>
        <v>1100000</v>
      </c>
      <c r="P13" s="199"/>
      <c r="Q13" s="200"/>
      <c r="R13" s="186"/>
    </row>
    <row r="14" spans="1:18" ht="15" customHeight="1">
      <c r="A14" s="98">
        <v>3</v>
      </c>
      <c r="B14" s="99" t="str">
        <f>'SAF 011 - NECESIDAD TRIMESTRAL'!B12</f>
        <v>4.3.3-5415.7</v>
      </c>
      <c r="C14" s="242" t="str">
        <f>'SAF 011 - NECESIDAD TRIMESTRAL'!E12</f>
        <v>BALANZAS P/PERSONAS; TIPO: PEDIATRICA, PRECISION: 100 GR, ACCESORIO: ESCALIMETRO, CAPACIDAD: 50 Kg</v>
      </c>
      <c r="D14" s="243"/>
      <c r="E14" s="243"/>
      <c r="F14" s="243"/>
      <c r="G14" s="244"/>
      <c r="H14" s="204" t="s">
        <v>147</v>
      </c>
      <c r="I14" s="100" t="str">
        <f>'SAF 011 - NECESIDAD TRIMESTRAL'!F12</f>
        <v>UNIDAD</v>
      </c>
      <c r="J14" s="101">
        <f>'SAF 011 - NECESIDAD TRIMESTRAL'!AX12</f>
        <v>110000</v>
      </c>
      <c r="K14" s="102">
        <f>'SAF 011 - NECESIDAD TRIMESTRAL'!AU12</f>
        <v>10</v>
      </c>
      <c r="L14" s="73"/>
      <c r="M14" s="199"/>
      <c r="N14" s="199"/>
      <c r="O14" s="199">
        <f t="shared" si="0"/>
        <v>1100000</v>
      </c>
      <c r="P14" s="199"/>
      <c r="Q14" s="200"/>
      <c r="R14" s="186"/>
    </row>
    <row r="15" spans="1:18" ht="15" customHeight="1">
      <c r="A15" s="98">
        <v>4</v>
      </c>
      <c r="B15" s="99" t="str">
        <f>'SAF 011 - NECESIDAD TRIMESTRAL'!B13</f>
        <v>2.9.5-8239.1</v>
      </c>
      <c r="C15" s="242" t="str">
        <f>'SAF 011 - NECESIDAD TRIMESTRAL'!E13</f>
        <v>CHATAS; MATERIAL: PVC</v>
      </c>
      <c r="D15" s="243"/>
      <c r="E15" s="243"/>
      <c r="F15" s="243"/>
      <c r="G15" s="244"/>
      <c r="H15" s="204" t="s">
        <v>147</v>
      </c>
      <c r="I15" s="100" t="str">
        <f>'SAF 011 - NECESIDAD TRIMESTRAL'!F13</f>
        <v>UNIDAD</v>
      </c>
      <c r="J15" s="101">
        <f>'SAF 011 - NECESIDAD TRIMESTRAL'!AX13</f>
        <v>800</v>
      </c>
      <c r="K15" s="102">
        <f>'SAF 011 - NECESIDAD TRIMESTRAL'!AU13</f>
        <v>100</v>
      </c>
      <c r="L15" s="73"/>
      <c r="M15" s="199"/>
      <c r="N15" s="199">
        <f t="shared" ref="N15:N16" si="1">+J15*K15</f>
        <v>80000</v>
      </c>
      <c r="O15" s="199"/>
      <c r="P15" s="199"/>
      <c r="Q15" s="200"/>
      <c r="R15" s="186"/>
    </row>
    <row r="16" spans="1:18" ht="15" customHeight="1">
      <c r="A16" s="98">
        <v>5</v>
      </c>
      <c r="B16" s="99" t="str">
        <f>'SAF 011 - NECESIDAD TRIMESTRAL'!B14</f>
        <v>2.9.5-5041.6</v>
      </c>
      <c r="C16" s="242" t="str">
        <f>'SAF 011 - NECESIDAD TRIMESTRAL'!E14</f>
        <v>COLLARES CERVICALES; MATERIAL: PLASTICO, TALLE: SIN VALOR, USO: INMOBILIZADORES LATERALES DE C</v>
      </c>
      <c r="D16" s="243"/>
      <c r="E16" s="243"/>
      <c r="F16" s="243"/>
      <c r="G16" s="244"/>
      <c r="H16" s="204" t="s">
        <v>146</v>
      </c>
      <c r="I16" s="100" t="str">
        <f>'SAF 011 - NECESIDAD TRIMESTRAL'!F14</f>
        <v>UNIDAD</v>
      </c>
      <c r="J16" s="101">
        <f>'SAF 011 - NECESIDAD TRIMESTRAL'!AX14</f>
        <v>2300</v>
      </c>
      <c r="K16" s="102">
        <f>'SAF 011 - NECESIDAD TRIMESTRAL'!AU14</f>
        <v>100</v>
      </c>
      <c r="L16" s="73"/>
      <c r="M16" s="199"/>
      <c r="N16" s="199">
        <f t="shared" si="1"/>
        <v>230000</v>
      </c>
      <c r="O16" s="199"/>
      <c r="P16" s="199"/>
      <c r="Q16" s="200"/>
      <c r="R16" s="186"/>
    </row>
    <row r="17" spans="1:18" ht="15" customHeight="1">
      <c r="A17" s="98">
        <v>6</v>
      </c>
      <c r="B17" s="99" t="str">
        <f>'SAF 011 - NECESIDAD TRIMESTRAL'!B15</f>
        <v>2.9.5-4208.17</v>
      </c>
      <c r="C17" s="242" t="str">
        <f>'SAF 011 - NECESIDAD TRIMESTRAL'!E15</f>
        <v>ELEMENTOS P/RADIOLOGIA; TIPO: DELANTAL PLOMADO, PRESENTACION: UNIDAD</v>
      </c>
      <c r="D17" s="243"/>
      <c r="E17" s="243"/>
      <c r="F17" s="243"/>
      <c r="G17" s="244"/>
      <c r="H17" s="204" t="s">
        <v>147</v>
      </c>
      <c r="I17" s="100" t="str">
        <f>'SAF 011 - NECESIDAD TRIMESTRAL'!F15</f>
        <v>UNIDAD</v>
      </c>
      <c r="J17" s="101">
        <f>'SAF 011 - NECESIDAD TRIMESTRAL'!AX15</f>
        <v>42000</v>
      </c>
      <c r="K17" s="102">
        <f>'SAF 011 - NECESIDAD TRIMESTRAL'!AU15</f>
        <v>50</v>
      </c>
      <c r="L17" s="73"/>
      <c r="M17" s="199"/>
      <c r="N17" s="199">
        <f>+J17*K17</f>
        <v>2100000</v>
      </c>
      <c r="O17" s="199"/>
      <c r="P17" s="199"/>
      <c r="Q17" s="200"/>
      <c r="R17" s="186"/>
    </row>
    <row r="18" spans="1:18" ht="31.5" customHeight="1">
      <c r="A18" s="98">
        <v>7</v>
      </c>
      <c r="B18" s="99" t="str">
        <f>'SAF 011 - NECESIDAD TRIMESTRAL'!B16</f>
        <v>4.3.3-7798.1</v>
      </c>
      <c r="C18" s="242" t="str">
        <f>'SAF 011 - NECESIDAD TRIMESTRAL'!E16</f>
        <v>DETECTORES DE LATIDOS; USO: P/LATIDOS FETALES, ALIMENTACION: ELECTRICA-BATERIA, FRECUENCIA: 1,1- 2,1 MHZ, INTENSIDAD: 10 MW/CM2, CORRIENTE: 10 MW/CM2</v>
      </c>
      <c r="D18" s="243"/>
      <c r="E18" s="243"/>
      <c r="F18" s="243"/>
      <c r="G18" s="244"/>
      <c r="H18" s="204" t="s">
        <v>147</v>
      </c>
      <c r="I18" s="100" t="str">
        <f>'SAF 011 - NECESIDAD TRIMESTRAL'!F16</f>
        <v>UNIDAD</v>
      </c>
      <c r="J18" s="101">
        <f>'SAF 011 - NECESIDAD TRIMESTRAL'!AX16</f>
        <v>17300</v>
      </c>
      <c r="K18" s="102">
        <f>'SAF 011 - NECESIDAD TRIMESTRAL'!AU16</f>
        <v>15</v>
      </c>
      <c r="L18" s="73"/>
      <c r="M18" s="199"/>
      <c r="N18" s="199"/>
      <c r="O18" s="199">
        <f t="shared" ref="O18:O20" si="2">+K18*J18</f>
        <v>259500</v>
      </c>
      <c r="P18" s="199"/>
      <c r="Q18" s="200"/>
      <c r="R18" s="186"/>
    </row>
    <row r="19" spans="1:18" ht="15" customHeight="1">
      <c r="A19" s="98">
        <v>8</v>
      </c>
      <c r="B19" s="99" t="str">
        <f>'SAF 011 - NECESIDAD TRIMESTRAL'!B17</f>
        <v>4.3.3-2049.4</v>
      </c>
      <c r="C19" s="242" t="str">
        <f>'SAF 011 - NECESIDAD TRIMESTRAL'!E17</f>
        <v>ESTETOSCOPIOS; TIPO: VIA AURICULAR, CAMPANA: DOBLE</v>
      </c>
      <c r="D19" s="243"/>
      <c r="E19" s="243"/>
      <c r="F19" s="243"/>
      <c r="G19" s="244"/>
      <c r="H19" s="99" t="s">
        <v>147</v>
      </c>
      <c r="I19" s="100" t="str">
        <f>'SAF 011 - NECESIDAD TRIMESTRAL'!F17</f>
        <v>UNIDAD</v>
      </c>
      <c r="J19" s="101">
        <f>'SAF 011 - NECESIDAD TRIMESTRAL'!AX17</f>
        <v>5500</v>
      </c>
      <c r="K19" s="102">
        <f>'SAF 011 - NECESIDAD TRIMESTRAL'!AU17</f>
        <v>140</v>
      </c>
      <c r="L19" s="73"/>
      <c r="M19" s="199"/>
      <c r="N19" s="199"/>
      <c r="O19" s="199">
        <f t="shared" si="2"/>
        <v>770000</v>
      </c>
      <c r="P19" s="199"/>
      <c r="Q19" s="200"/>
      <c r="R19" s="186"/>
    </row>
    <row r="20" spans="1:18" ht="15.75" customHeight="1">
      <c r="A20" s="98">
        <v>9</v>
      </c>
      <c r="B20" s="99" t="str">
        <f>'SAF 011 - NECESIDAD TRIMESTRAL'!B18</f>
        <v>2.9.5-8874.9</v>
      </c>
      <c r="C20" s="242" t="str">
        <f>'SAF 011 - NECESIDAD TRIMESTRAL'!E18</f>
        <v>INSTRUMENTAL MEDICO; DESCRIPCION: TABLA LARGA DE INMOVILIZACION, DESCARTABLE: NO, MATERIAL: POLIETILENO, ELEMENTO: TABLA LARGA DE INMOVILIZACION</v>
      </c>
      <c r="D20" s="243"/>
      <c r="E20" s="243"/>
      <c r="F20" s="243"/>
      <c r="G20" s="244"/>
      <c r="H20" s="99" t="s">
        <v>147</v>
      </c>
      <c r="I20" s="100" t="str">
        <f>'SAF 011 - NECESIDAD TRIMESTRAL'!F18</f>
        <v>UNIDAD</v>
      </c>
      <c r="J20" s="101">
        <f>'SAF 011 - NECESIDAD TRIMESTRAL'!AX18</f>
        <v>32000</v>
      </c>
      <c r="K20" s="102">
        <f>'SAF 011 - NECESIDAD TRIMESTRAL'!AU18</f>
        <v>10</v>
      </c>
      <c r="L20" s="73"/>
      <c r="M20" s="199"/>
      <c r="N20" s="199"/>
      <c r="O20" s="199">
        <f t="shared" si="2"/>
        <v>320000</v>
      </c>
      <c r="P20" s="199"/>
      <c r="Q20" s="200"/>
      <c r="R20" s="186"/>
    </row>
    <row r="21" spans="1:18" ht="15.75" customHeight="1">
      <c r="A21" s="98">
        <v>10</v>
      </c>
      <c r="B21" s="99" t="str">
        <f>'SAF 011 - NECESIDAD TRIMESTRAL'!B19</f>
        <v>2.9.5-8874.10</v>
      </c>
      <c r="C21" s="242" t="str">
        <f>'SAF 011 - NECESIDAD TRIMESTRAL'!E19</f>
        <v>INSTRUMENTAL MEDICO; DESCRIPCION: TABLA PEDIATRICA, DESCARTABLE: NO, MATERIAL: MADERA, ELEMENTO: TABLA PEDIATRICA</v>
      </c>
      <c r="D21" s="243"/>
      <c r="E21" s="243"/>
      <c r="F21" s="243"/>
      <c r="G21" s="244"/>
      <c r="H21" s="99" t="s">
        <v>147</v>
      </c>
      <c r="I21" s="100" t="str">
        <f>'SAF 011 - NECESIDAD TRIMESTRAL'!F19</f>
        <v>UNIDAD</v>
      </c>
      <c r="J21" s="101">
        <f>'SAF 011 - NECESIDAD TRIMESTRAL'!AX19</f>
        <v>28000</v>
      </c>
      <c r="K21" s="102">
        <f>'SAF 011 - NECESIDAD TRIMESTRAL'!AU19</f>
        <v>2</v>
      </c>
      <c r="L21" s="73"/>
      <c r="M21" s="199"/>
      <c r="N21" s="199">
        <f t="shared" ref="N21:N23" si="3">+J21*K21</f>
        <v>56000</v>
      </c>
      <c r="O21" s="199"/>
      <c r="P21" s="199"/>
      <c r="Q21" s="200"/>
      <c r="R21" s="186"/>
    </row>
    <row r="22" spans="1:18" ht="15.75" customHeight="1">
      <c r="A22" s="98">
        <v>11</v>
      </c>
      <c r="B22" s="99" t="str">
        <f>'SAF 011 - NECESIDAD TRIMESTRAL'!B20</f>
        <v>2.9.5-8234.1</v>
      </c>
      <c r="C22" s="242" t="str">
        <f>'SAF 011 - NECESIDAD TRIMESTRAL'!E20</f>
        <v>ORINALES; MATERIAL: MATERIAL PVC</v>
      </c>
      <c r="D22" s="243"/>
      <c r="E22" s="243"/>
      <c r="F22" s="243"/>
      <c r="G22" s="244"/>
      <c r="H22" s="99" t="s">
        <v>147</v>
      </c>
      <c r="I22" s="100" t="str">
        <f>'SAF 011 - NECESIDAD TRIMESTRAL'!F20</f>
        <v>UNIDAD</v>
      </c>
      <c r="J22" s="101">
        <f>'SAF 011 - NECESIDAD TRIMESTRAL'!AX20</f>
        <v>500</v>
      </c>
      <c r="K22" s="102">
        <f>'SAF 011 - NECESIDAD TRIMESTRAL'!AU20</f>
        <v>100</v>
      </c>
      <c r="L22" s="73"/>
      <c r="M22" s="199"/>
      <c r="N22" s="199">
        <f t="shared" si="3"/>
        <v>50000</v>
      </c>
      <c r="O22" s="199"/>
      <c r="P22" s="199"/>
      <c r="Q22" s="200"/>
      <c r="R22" s="186"/>
    </row>
    <row r="23" spans="1:18" ht="15.75" customHeight="1">
      <c r="A23" s="98">
        <v>12</v>
      </c>
      <c r="B23" s="99" t="str">
        <f>'SAF 011 - NECESIDAD TRIMESTRAL'!B21</f>
        <v>4.3.3-5079.5</v>
      </c>
      <c r="C23" s="242" t="str">
        <f>'SAF 011 - NECESIDAD TRIMESTRAL'!E21</f>
        <v>OTOSCOPIOS; TIPO: DE BOLSILLO C/LAMPARA, CANULAS: SIN, ALIMENTACION: A PILA</v>
      </c>
      <c r="D23" s="243"/>
      <c r="E23" s="243"/>
      <c r="F23" s="243"/>
      <c r="G23" s="244"/>
      <c r="H23" s="204" t="s">
        <v>147</v>
      </c>
      <c r="I23" s="100" t="str">
        <f>'SAF 011 - NECESIDAD TRIMESTRAL'!F21</f>
        <v>UNIDAD</v>
      </c>
      <c r="J23" s="101">
        <f>'SAF 011 - NECESIDAD TRIMESTRAL'!AX21</f>
        <v>7300</v>
      </c>
      <c r="K23" s="102">
        <f>'SAF 011 - NECESIDAD TRIMESTRAL'!AU21</f>
        <v>14</v>
      </c>
      <c r="L23" s="73"/>
      <c r="M23" s="199"/>
      <c r="N23" s="199">
        <f t="shared" si="3"/>
        <v>102200</v>
      </c>
      <c r="O23" s="199"/>
      <c r="P23" s="199"/>
      <c r="Q23" s="200"/>
      <c r="R23" s="186"/>
    </row>
    <row r="24" spans="1:18" ht="15.75" customHeight="1">
      <c r="A24" s="98">
        <v>13</v>
      </c>
      <c r="B24" s="99" t="str">
        <f>'SAF 011 - NECESIDAD TRIMESTRAL'!B22</f>
        <v>4.3.3-3999.3</v>
      </c>
      <c r="C24" s="242" t="str">
        <f>'SAF 011 - NECESIDAD TRIMESTRAL'!E22</f>
        <v>OXIMETROS DE BOLSILLOS; RANGO: 0 - 100 %, TEMPERATURA DE TRABAJO: 0 A 50 °C, ALIMENTACION: 2 BATERIAS, PESO: 50 A 70 GR</v>
      </c>
      <c r="D24" s="243"/>
      <c r="E24" s="243"/>
      <c r="F24" s="243"/>
      <c r="G24" s="244"/>
      <c r="H24" s="204" t="s">
        <v>147</v>
      </c>
      <c r="I24" s="100" t="str">
        <f>'SAF 011 - NECESIDAD TRIMESTRAL'!F22</f>
        <v>UNIDAD</v>
      </c>
      <c r="J24" s="101">
        <f>'SAF 011 - NECESIDAD TRIMESTRAL'!AX22</f>
        <v>4500</v>
      </c>
      <c r="K24" s="102">
        <f>'SAF 011 - NECESIDAD TRIMESTRAL'!AU22</f>
        <v>25</v>
      </c>
      <c r="L24" s="73"/>
      <c r="M24" s="199"/>
      <c r="N24" s="199"/>
      <c r="O24" s="199">
        <f t="shared" ref="O24:O31" si="4">+K24*J24</f>
        <v>112500</v>
      </c>
      <c r="P24" s="199"/>
      <c r="Q24" s="200"/>
      <c r="R24" s="186"/>
    </row>
    <row r="25" spans="1:18" ht="15.75" customHeight="1">
      <c r="A25" s="98">
        <v>14</v>
      </c>
      <c r="B25" s="99" t="str">
        <f>'SAF 011 - NECESIDAD TRIMESTRAL'!B23</f>
        <v>4.3.3-7819.1</v>
      </c>
      <c r="C25" s="242" t="str">
        <f>'SAF 011 - NECESIDAD TRIMESTRAL'!E23</f>
        <v>PEDIOMETROS; RANGO: 0 A 1 M, RESOLUCION: 0,5 Cm, MATERIAL: ALUMINIO Y PLASTICO</v>
      </c>
      <c r="D25" s="243"/>
      <c r="E25" s="243"/>
      <c r="F25" s="243"/>
      <c r="G25" s="244"/>
      <c r="H25" s="99" t="s">
        <v>147</v>
      </c>
      <c r="I25" s="100" t="str">
        <f>'SAF 011 - NECESIDAD TRIMESTRAL'!F23</f>
        <v>UNIDAD</v>
      </c>
      <c r="J25" s="101">
        <f>'SAF 011 - NECESIDAD TRIMESTRAL'!AX23</f>
        <v>12300</v>
      </c>
      <c r="K25" s="102">
        <f>'SAF 011 - NECESIDAD TRIMESTRAL'!AU23</f>
        <v>7</v>
      </c>
      <c r="L25" s="73"/>
      <c r="M25" s="199"/>
      <c r="N25" s="199"/>
      <c r="O25" s="199">
        <f t="shared" si="4"/>
        <v>86100</v>
      </c>
      <c r="P25" s="199"/>
      <c r="Q25" s="200"/>
      <c r="R25" s="186"/>
    </row>
    <row r="26" spans="1:18" ht="15.75" customHeight="1">
      <c r="A26" s="98">
        <v>15</v>
      </c>
      <c r="B26" s="99" t="str">
        <f>'SAF 011 - NECESIDAD TRIMESTRAL'!B24</f>
        <v>4.3.3-4853.2</v>
      </c>
      <c r="C26" s="242" t="str">
        <f>'SAF 011 - NECESIDAD TRIMESTRAL'!E24</f>
        <v>PIES DE SUEROS; RUEDAS: CON, MATERIAL: ACERO INOXIDABLE</v>
      </c>
      <c r="D26" s="243"/>
      <c r="E26" s="243"/>
      <c r="F26" s="243"/>
      <c r="G26" s="244"/>
      <c r="H26" s="204" t="s">
        <v>147</v>
      </c>
      <c r="I26" s="100" t="str">
        <f>'SAF 011 - NECESIDAD TRIMESTRAL'!F24</f>
        <v>UNIDAD</v>
      </c>
      <c r="J26" s="101">
        <f>'SAF 011 - NECESIDAD TRIMESTRAL'!AX24</f>
        <v>6500</v>
      </c>
      <c r="K26" s="102">
        <f>'SAF 011 - NECESIDAD TRIMESTRAL'!AU24</f>
        <v>200</v>
      </c>
      <c r="L26" s="73"/>
      <c r="M26" s="199"/>
      <c r="N26" s="199"/>
      <c r="O26" s="199">
        <f t="shared" si="4"/>
        <v>1300000</v>
      </c>
      <c r="P26" s="199"/>
      <c r="Q26" s="200"/>
      <c r="R26" s="186"/>
    </row>
    <row r="27" spans="1:18" ht="15.75" customHeight="1">
      <c r="A27" s="98">
        <v>16</v>
      </c>
      <c r="B27" s="99" t="str">
        <f>'SAF 011 - NECESIDAD TRIMESTRAL'!B25</f>
        <v>4.3.3-130.13</v>
      </c>
      <c r="C27" s="242" t="str">
        <f>'SAF 011 - NECESIDAD TRIMESTRAL'!E25</f>
        <v>TENSIOMETROS ARTERIALES; RANGO DE PRESION: +/- 3 mm hg, RANGO PULSACIONES: SIN, ALIMENTACION: SIN, TIPO: ANEROIDE</v>
      </c>
      <c r="D27" s="243"/>
      <c r="E27" s="243"/>
      <c r="F27" s="243"/>
      <c r="G27" s="244"/>
      <c r="H27" s="99" t="s">
        <v>147</v>
      </c>
      <c r="I27" s="100" t="str">
        <f>'SAF 011 - NECESIDAD TRIMESTRAL'!F25</f>
        <v>UNIDAD</v>
      </c>
      <c r="J27" s="101">
        <f>'SAF 011 - NECESIDAD TRIMESTRAL'!AX25</f>
        <v>2300</v>
      </c>
      <c r="K27" s="102">
        <f>'SAF 011 - NECESIDAD TRIMESTRAL'!AU25</f>
        <v>70</v>
      </c>
      <c r="L27" s="73"/>
      <c r="M27" s="199"/>
      <c r="N27" s="199"/>
      <c r="O27" s="199">
        <f t="shared" si="4"/>
        <v>161000</v>
      </c>
      <c r="P27" s="199"/>
      <c r="Q27" s="200"/>
      <c r="R27" s="186"/>
    </row>
    <row r="28" spans="1:18" ht="15.75" customHeight="1">
      <c r="A28" s="98">
        <v>17</v>
      </c>
      <c r="B28" s="99" t="str">
        <f>'SAF 011 - NECESIDAD TRIMESTRAL'!B26</f>
        <v>4.3.3-130.13</v>
      </c>
      <c r="C28" s="242" t="str">
        <f>'SAF 011 - NECESIDAD TRIMESTRAL'!E26</f>
        <v>TENSIOMETROS ARTERIALES; RANGO DE PRESION: +/- 3 mm hg, RANGO PULSACIONES: SIN, ALIMENTACION: SIN, TIPO: ANEROIDE</v>
      </c>
      <c r="D28" s="243"/>
      <c r="E28" s="243"/>
      <c r="F28" s="243"/>
      <c r="G28" s="244"/>
      <c r="H28" s="99" t="s">
        <v>147</v>
      </c>
      <c r="I28" s="100" t="str">
        <f>'SAF 011 - NECESIDAD TRIMESTRAL'!F26</f>
        <v>UNIDAD</v>
      </c>
      <c r="J28" s="101">
        <f>'SAF 011 - NECESIDAD TRIMESTRAL'!AX26</f>
        <v>2700</v>
      </c>
      <c r="K28" s="102">
        <f>'SAF 011 - NECESIDAD TRIMESTRAL'!AU26</f>
        <v>70</v>
      </c>
      <c r="L28" s="73"/>
      <c r="M28" s="199"/>
      <c r="N28" s="199"/>
      <c r="O28" s="199">
        <f t="shared" si="4"/>
        <v>189000</v>
      </c>
      <c r="P28" s="199"/>
      <c r="Q28" s="200"/>
      <c r="R28" s="186"/>
    </row>
    <row r="29" spans="1:18" ht="15.75" customHeight="1">
      <c r="A29" s="98">
        <v>18</v>
      </c>
      <c r="B29" s="99" t="str">
        <f>'SAF 011 - NECESIDAD TRIMESTRAL'!B27</f>
        <v>4.3.3-130.13</v>
      </c>
      <c r="C29" s="242" t="str">
        <f>'SAF 011 - NECESIDAD TRIMESTRAL'!E27</f>
        <v>TENSIOMETROS ARTERIALES; RANGO DE PRESION: +/- 3 mm hg, RANGO PULSACIONES: SIN, ALIMENTACION: SIN, TIPO: ANEROIDE</v>
      </c>
      <c r="D29" s="243"/>
      <c r="E29" s="243"/>
      <c r="F29" s="243"/>
      <c r="G29" s="244"/>
      <c r="H29" s="99" t="s">
        <v>147</v>
      </c>
      <c r="I29" s="100" t="str">
        <f>'SAF 011 - NECESIDAD TRIMESTRAL'!F27</f>
        <v>UNIDAD</v>
      </c>
      <c r="J29" s="101">
        <f>'SAF 011 - NECESIDAD TRIMESTRAL'!AX27</f>
        <v>4800</v>
      </c>
      <c r="K29" s="102">
        <f>'SAF 011 - NECESIDAD TRIMESTRAL'!AU27</f>
        <v>70</v>
      </c>
      <c r="L29" s="73"/>
      <c r="M29" s="199"/>
      <c r="N29" s="199"/>
      <c r="O29" s="199">
        <f t="shared" si="4"/>
        <v>336000</v>
      </c>
      <c r="P29" s="199"/>
      <c r="Q29" s="200"/>
      <c r="R29" s="186"/>
    </row>
    <row r="30" spans="1:18" ht="15.75" customHeight="1">
      <c r="A30" s="98">
        <v>19</v>
      </c>
      <c r="B30" s="99" t="str">
        <f>'SAF 011 - NECESIDAD TRIMESTRAL'!B28</f>
        <v>4.3.3-3675.100</v>
      </c>
      <c r="C30" s="242" t="str">
        <f>'SAF 011 - NECESIDAD TRIMESTRAL'!E28</f>
        <v>TERMOMETROS; TIPO: DIGITAL, ESCALA: GRADO CENTIGRADO, RANGO DE TEMPERATURA: -5 A 50 °C</v>
      </c>
      <c r="D30" s="243"/>
      <c r="E30" s="243"/>
      <c r="F30" s="243"/>
      <c r="G30" s="244"/>
      <c r="H30" s="204" t="s">
        <v>146</v>
      </c>
      <c r="I30" s="100" t="str">
        <f>'SAF 011 - NECESIDAD TRIMESTRAL'!F28</f>
        <v>UNIDAD</v>
      </c>
      <c r="J30" s="101">
        <f>'SAF 011 - NECESIDAD TRIMESTRAL'!AX28</f>
        <v>850</v>
      </c>
      <c r="K30" s="102">
        <f>'SAF 011 - NECESIDAD TRIMESTRAL'!AU28</f>
        <v>70</v>
      </c>
      <c r="L30" s="73"/>
      <c r="M30" s="199"/>
      <c r="N30" s="199"/>
      <c r="O30" s="199"/>
      <c r="P30" s="199">
        <f>+J30*K30</f>
        <v>59500</v>
      </c>
      <c r="Q30" s="200"/>
      <c r="R30" s="186"/>
    </row>
    <row r="31" spans="1:18" ht="15.75" customHeight="1">
      <c r="A31" s="98">
        <v>20</v>
      </c>
      <c r="B31" s="99" t="str">
        <f>'SAF 011 - NECESIDAD TRIMESTRAL'!B29</f>
        <v>4.3.3-4212.4</v>
      </c>
      <c r="C31" s="242" t="str">
        <f>'SAF 011 - NECESIDAD TRIMESTRAL'!E29</f>
        <v>TUBOS DE OXIGENO; TIPO: CAPACIDAD 6 M3</v>
      </c>
      <c r="D31" s="243"/>
      <c r="E31" s="243"/>
      <c r="F31" s="243"/>
      <c r="G31" s="244"/>
      <c r="H31" s="204" t="s">
        <v>147</v>
      </c>
      <c r="I31" s="100" t="str">
        <f>'SAF 011 - NECESIDAD TRIMESTRAL'!F29</f>
        <v>UNIDAD</v>
      </c>
      <c r="J31" s="101">
        <f>'SAF 011 - NECESIDAD TRIMESTRAL'!AX29</f>
        <v>32200</v>
      </c>
      <c r="K31" s="102">
        <f>'SAF 011 - NECESIDAD TRIMESTRAL'!AU29</f>
        <v>70</v>
      </c>
      <c r="L31" s="73"/>
      <c r="M31" s="199"/>
      <c r="N31" s="199"/>
      <c r="O31" s="199">
        <f t="shared" si="4"/>
        <v>2254000</v>
      </c>
      <c r="P31" s="199"/>
      <c r="Q31" s="200"/>
      <c r="R31" s="186"/>
    </row>
    <row r="32" spans="1:18" ht="15.75" customHeight="1" thickBot="1">
      <c r="A32" s="103"/>
      <c r="B32" s="104"/>
      <c r="C32" s="239"/>
      <c r="D32" s="240"/>
      <c r="E32" s="240"/>
      <c r="F32" s="240"/>
      <c r="G32" s="241"/>
      <c r="H32" s="104"/>
      <c r="I32" s="105"/>
      <c r="J32" s="106"/>
      <c r="K32" s="107"/>
      <c r="L32" s="73"/>
      <c r="M32" s="199"/>
      <c r="N32" s="199"/>
      <c r="O32" s="199"/>
      <c r="P32" s="199"/>
      <c r="Q32" s="200"/>
      <c r="R32" s="186"/>
    </row>
    <row r="33" spans="1:18" s="188" customFormat="1" ht="15.75" customHeight="1">
      <c r="A33" s="237" t="s">
        <v>204</v>
      </c>
      <c r="B33" s="238"/>
      <c r="C33" s="238"/>
      <c r="D33" s="238"/>
      <c r="E33" s="238"/>
      <c r="F33" s="238"/>
      <c r="G33" s="238"/>
      <c r="H33" s="238"/>
      <c r="I33" s="236"/>
      <c r="J33" s="235">
        <f>SUMPRODUCT(J12:J31,K12:K31)</f>
        <v>12465800</v>
      </c>
      <c r="K33" s="236"/>
      <c r="M33" s="201"/>
      <c r="N33" s="201">
        <f>SUM(N12:N32)</f>
        <v>2618200</v>
      </c>
      <c r="O33" s="201">
        <f>SUM(O12:O32)</f>
        <v>9788100</v>
      </c>
      <c r="P33" s="201">
        <f>SUM(P12:P32)</f>
        <v>59500</v>
      </c>
      <c r="Q33" s="201">
        <f>SUM(M33:P33)</f>
        <v>12465800</v>
      </c>
      <c r="R33" s="189"/>
    </row>
    <row r="34" spans="1:18" ht="15.75" customHeight="1">
      <c r="B34" s="108"/>
      <c r="J34" s="109"/>
      <c r="M34" s="199"/>
      <c r="N34" s="199"/>
      <c r="O34" s="199"/>
      <c r="P34" s="199"/>
      <c r="Q34" s="200"/>
      <c r="R34" s="186"/>
    </row>
    <row r="35" spans="1:18" ht="15.75" customHeight="1">
      <c r="B35" s="108"/>
      <c r="J35" s="109"/>
      <c r="M35" s="199"/>
      <c r="N35" s="199"/>
      <c r="O35" s="199"/>
      <c r="P35" s="199"/>
      <c r="Q35" s="200"/>
      <c r="R35" s="186"/>
    </row>
    <row r="36" spans="1:18" ht="15.75" customHeight="1">
      <c r="B36" s="108"/>
      <c r="J36" s="109"/>
      <c r="M36" s="199"/>
      <c r="N36" s="199"/>
      <c r="O36" s="199"/>
      <c r="P36" s="199"/>
      <c r="Q36" s="200"/>
      <c r="R36" s="186"/>
    </row>
    <row r="37" spans="1:18" ht="15.75" customHeight="1">
      <c r="B37" s="108"/>
      <c r="J37" s="109"/>
      <c r="M37" s="199"/>
      <c r="N37" s="199"/>
      <c r="O37" s="199"/>
      <c r="P37" s="199"/>
      <c r="Q37" s="200"/>
      <c r="R37" s="186"/>
    </row>
    <row r="38" spans="1:18" ht="15.75" customHeight="1">
      <c r="B38" s="108"/>
      <c r="J38" s="109"/>
      <c r="M38" s="199"/>
      <c r="N38" s="199"/>
      <c r="O38" s="199"/>
      <c r="P38" s="199"/>
      <c r="Q38" s="200"/>
      <c r="R38" s="186"/>
    </row>
    <row r="39" spans="1:18" ht="15.75" customHeight="1">
      <c r="B39" s="108"/>
      <c r="J39" s="109"/>
      <c r="M39" s="199"/>
      <c r="N39" s="199"/>
      <c r="O39" s="199"/>
      <c r="P39" s="199"/>
      <c r="Q39" s="200"/>
      <c r="R39" s="186"/>
    </row>
    <row r="40" spans="1:18" ht="15.75" customHeight="1">
      <c r="B40" s="108"/>
      <c r="J40" s="109"/>
      <c r="M40" s="199"/>
      <c r="N40" s="199"/>
      <c r="O40" s="199"/>
      <c r="P40" s="199"/>
      <c r="Q40" s="200"/>
      <c r="R40" s="186"/>
    </row>
    <row r="41" spans="1:18" ht="15.75" customHeight="1">
      <c r="B41" s="108"/>
      <c r="J41" s="109"/>
      <c r="M41" s="199"/>
      <c r="N41" s="199"/>
      <c r="O41" s="199"/>
      <c r="P41" s="199"/>
      <c r="Q41" s="200"/>
      <c r="R41" s="186"/>
    </row>
    <row r="42" spans="1:18" ht="15.75" customHeight="1">
      <c r="B42" s="108"/>
      <c r="J42" s="109"/>
      <c r="M42" s="199"/>
      <c r="N42" s="199"/>
      <c r="O42" s="199"/>
      <c r="P42" s="199"/>
      <c r="Q42" s="200"/>
      <c r="R42" s="186"/>
    </row>
    <row r="43" spans="1:18" ht="15.75" customHeight="1">
      <c r="B43" s="108"/>
      <c r="J43" s="109"/>
      <c r="M43" s="199"/>
      <c r="N43" s="199"/>
      <c r="O43" s="199"/>
      <c r="P43" s="199"/>
      <c r="Q43" s="200"/>
      <c r="R43" s="186"/>
    </row>
    <row r="44" spans="1:18" ht="15.75" customHeight="1">
      <c r="B44" s="108"/>
      <c r="J44" s="109"/>
      <c r="M44" s="199"/>
      <c r="N44" s="199"/>
      <c r="O44" s="199"/>
      <c r="P44" s="199"/>
      <c r="Q44" s="200"/>
      <c r="R44" s="186"/>
    </row>
    <row r="45" spans="1:18" ht="15.75" customHeight="1">
      <c r="B45" s="108"/>
      <c r="J45" s="109"/>
      <c r="M45" s="199"/>
      <c r="N45" s="199"/>
      <c r="O45" s="199"/>
      <c r="P45" s="199"/>
      <c r="Q45" s="200"/>
      <c r="R45" s="186"/>
    </row>
    <row r="46" spans="1:18" ht="15.75" customHeight="1">
      <c r="B46" s="108"/>
      <c r="J46" s="109"/>
      <c r="M46" s="199"/>
      <c r="N46" s="199"/>
      <c r="O46" s="199"/>
      <c r="P46" s="199"/>
      <c r="Q46" s="200"/>
      <c r="R46" s="186"/>
    </row>
    <row r="47" spans="1:18" ht="15.75" customHeight="1">
      <c r="B47" s="108"/>
      <c r="J47" s="109"/>
      <c r="M47" s="199"/>
      <c r="N47" s="199"/>
      <c r="O47" s="199"/>
      <c r="P47" s="199"/>
      <c r="Q47" s="200"/>
      <c r="R47" s="186"/>
    </row>
    <row r="48" spans="1:18" ht="15.75" customHeight="1">
      <c r="B48" s="108"/>
      <c r="J48" s="109"/>
      <c r="M48" s="199"/>
      <c r="N48" s="199"/>
      <c r="O48" s="199"/>
      <c r="P48" s="199"/>
      <c r="Q48" s="200"/>
      <c r="R48" s="186"/>
    </row>
    <row r="49" spans="2:18" ht="15.75" customHeight="1">
      <c r="B49" s="108"/>
      <c r="J49" s="109"/>
      <c r="M49" s="199"/>
      <c r="N49" s="199"/>
      <c r="O49" s="199"/>
      <c r="P49" s="199"/>
      <c r="Q49" s="200"/>
      <c r="R49" s="186"/>
    </row>
    <row r="50" spans="2:18" ht="15.75" customHeight="1">
      <c r="B50" s="108"/>
      <c r="J50" s="109"/>
      <c r="M50" s="199"/>
      <c r="N50" s="199"/>
      <c r="O50" s="199"/>
      <c r="P50" s="199"/>
      <c r="Q50" s="200"/>
      <c r="R50" s="186"/>
    </row>
    <row r="51" spans="2:18" ht="15.75" customHeight="1">
      <c r="B51" s="108"/>
      <c r="J51" s="109"/>
      <c r="M51" s="199"/>
      <c r="N51" s="199"/>
      <c r="O51" s="199"/>
      <c r="P51" s="199"/>
      <c r="Q51" s="200"/>
      <c r="R51" s="186"/>
    </row>
    <row r="52" spans="2:18" ht="15.75" customHeight="1">
      <c r="B52" s="108"/>
      <c r="J52" s="109"/>
      <c r="M52" s="199"/>
      <c r="N52" s="199"/>
      <c r="O52" s="199"/>
      <c r="P52" s="199"/>
      <c r="Q52" s="200"/>
      <c r="R52" s="186"/>
    </row>
    <row r="53" spans="2:18" ht="15.75" customHeight="1">
      <c r="B53" s="108"/>
      <c r="J53" s="109"/>
      <c r="M53" s="199"/>
      <c r="N53" s="199"/>
      <c r="O53" s="199"/>
      <c r="P53" s="199"/>
      <c r="Q53" s="200"/>
      <c r="R53" s="186"/>
    </row>
    <row r="54" spans="2:18" ht="15.75" customHeight="1">
      <c r="B54" s="108"/>
      <c r="J54" s="109"/>
      <c r="M54" s="199"/>
      <c r="N54" s="199"/>
      <c r="O54" s="199"/>
      <c r="P54" s="199"/>
      <c r="Q54" s="200"/>
      <c r="R54" s="186"/>
    </row>
    <row r="55" spans="2:18" ht="15.75" customHeight="1">
      <c r="B55" s="108"/>
      <c r="J55" s="109"/>
      <c r="M55" s="199"/>
      <c r="N55" s="199"/>
      <c r="O55" s="199"/>
      <c r="P55" s="199"/>
      <c r="Q55" s="200"/>
      <c r="R55" s="186"/>
    </row>
    <row r="56" spans="2:18" ht="15.75" customHeight="1">
      <c r="B56" s="108"/>
      <c r="J56" s="109"/>
      <c r="M56" s="199"/>
      <c r="N56" s="199"/>
      <c r="O56" s="199"/>
      <c r="P56" s="199"/>
      <c r="Q56" s="200"/>
      <c r="R56" s="186"/>
    </row>
    <row r="57" spans="2:18" ht="15.75" customHeight="1">
      <c r="B57" s="108"/>
      <c r="J57" s="109"/>
      <c r="M57" s="199"/>
      <c r="N57" s="199"/>
      <c r="O57" s="199"/>
      <c r="P57" s="199"/>
      <c r="Q57" s="200"/>
      <c r="R57" s="186"/>
    </row>
    <row r="58" spans="2:18" ht="15.75" customHeight="1">
      <c r="B58" s="108"/>
      <c r="J58" s="109"/>
      <c r="M58" s="199"/>
      <c r="N58" s="199"/>
      <c r="O58" s="199"/>
      <c r="P58" s="199"/>
      <c r="Q58" s="200"/>
      <c r="R58" s="186"/>
    </row>
    <row r="59" spans="2:18" ht="15.75" customHeight="1">
      <c r="B59" s="108"/>
      <c r="J59" s="109"/>
      <c r="M59" s="199"/>
      <c r="N59" s="199"/>
      <c r="O59" s="199"/>
      <c r="P59" s="199"/>
      <c r="Q59" s="200"/>
      <c r="R59" s="186"/>
    </row>
    <row r="60" spans="2:18" ht="15.75" customHeight="1">
      <c r="B60" s="108"/>
      <c r="J60" s="109"/>
      <c r="M60" s="199"/>
      <c r="N60" s="199"/>
      <c r="O60" s="199"/>
      <c r="P60" s="199"/>
      <c r="Q60" s="200"/>
      <c r="R60" s="186"/>
    </row>
    <row r="61" spans="2:18" ht="15.75" customHeight="1">
      <c r="B61" s="108"/>
      <c r="J61" s="109"/>
      <c r="M61" s="199"/>
      <c r="N61" s="199"/>
      <c r="O61" s="199"/>
      <c r="P61" s="199"/>
      <c r="Q61" s="200"/>
      <c r="R61" s="186"/>
    </row>
    <row r="62" spans="2:18" ht="15.75" customHeight="1">
      <c r="B62" s="108"/>
      <c r="J62" s="109"/>
      <c r="M62" s="199"/>
      <c r="N62" s="199"/>
      <c r="O62" s="199"/>
      <c r="P62" s="199"/>
      <c r="Q62" s="200"/>
      <c r="R62" s="186"/>
    </row>
    <row r="63" spans="2:18" ht="15.75" customHeight="1">
      <c r="B63" s="108"/>
      <c r="J63" s="109"/>
      <c r="M63" s="199"/>
      <c r="N63" s="199"/>
      <c r="O63" s="199"/>
      <c r="P63" s="199"/>
      <c r="Q63" s="200"/>
      <c r="R63" s="186"/>
    </row>
    <row r="64" spans="2:18" ht="15.75" customHeight="1">
      <c r="B64" s="108"/>
      <c r="J64" s="109"/>
      <c r="M64" s="199"/>
      <c r="N64" s="199"/>
      <c r="O64" s="199"/>
      <c r="P64" s="199"/>
      <c r="Q64" s="200"/>
      <c r="R64" s="186"/>
    </row>
    <row r="65" spans="2:18" ht="15.75" customHeight="1">
      <c r="B65" s="108"/>
      <c r="J65" s="109"/>
      <c r="M65" s="199"/>
      <c r="N65" s="199"/>
      <c r="O65" s="199"/>
      <c r="P65" s="199"/>
      <c r="Q65" s="200"/>
      <c r="R65" s="186"/>
    </row>
    <row r="66" spans="2:18" ht="15.75" customHeight="1">
      <c r="B66" s="108"/>
      <c r="J66" s="109"/>
      <c r="M66" s="199"/>
      <c r="N66" s="199"/>
      <c r="O66" s="199"/>
      <c r="P66" s="199"/>
      <c r="Q66" s="200"/>
      <c r="R66" s="186"/>
    </row>
    <row r="67" spans="2:18" ht="15.75" customHeight="1">
      <c r="B67" s="108"/>
      <c r="J67" s="109"/>
      <c r="M67" s="199"/>
      <c r="N67" s="199"/>
      <c r="O67" s="199"/>
      <c r="P67" s="199"/>
      <c r="Q67" s="200"/>
      <c r="R67" s="186"/>
    </row>
    <row r="68" spans="2:18" ht="15.75" customHeight="1">
      <c r="B68" s="108"/>
      <c r="J68" s="109"/>
      <c r="M68" s="199"/>
      <c r="N68" s="199"/>
      <c r="O68" s="199"/>
      <c r="P68" s="199"/>
      <c r="Q68" s="200"/>
      <c r="R68" s="186"/>
    </row>
    <row r="69" spans="2:18" ht="15.75" customHeight="1">
      <c r="B69" s="108"/>
      <c r="J69" s="109"/>
      <c r="M69" s="199"/>
      <c r="N69" s="199"/>
      <c r="O69" s="199"/>
      <c r="P69" s="199"/>
      <c r="Q69" s="200"/>
      <c r="R69" s="186"/>
    </row>
    <row r="70" spans="2:18" ht="15.75" customHeight="1">
      <c r="B70" s="108"/>
      <c r="J70" s="109"/>
      <c r="M70" s="199"/>
      <c r="N70" s="199"/>
      <c r="O70" s="199"/>
      <c r="P70" s="199"/>
      <c r="Q70" s="200"/>
      <c r="R70" s="186"/>
    </row>
    <row r="71" spans="2:18" ht="15.75" customHeight="1">
      <c r="B71" s="108"/>
      <c r="J71" s="109"/>
      <c r="M71" s="199"/>
      <c r="N71" s="199"/>
      <c r="O71" s="199"/>
      <c r="P71" s="199"/>
      <c r="Q71" s="200"/>
      <c r="R71" s="186"/>
    </row>
    <row r="72" spans="2:18" ht="15.75" customHeight="1">
      <c r="B72" s="108"/>
      <c r="J72" s="109"/>
      <c r="M72" s="199"/>
      <c r="N72" s="199"/>
      <c r="O72" s="199"/>
      <c r="P72" s="199"/>
      <c r="Q72" s="200"/>
      <c r="R72" s="186"/>
    </row>
    <row r="73" spans="2:18" ht="15.75" customHeight="1">
      <c r="B73" s="108"/>
      <c r="J73" s="109"/>
      <c r="M73" s="199"/>
      <c r="N73" s="199"/>
      <c r="O73" s="199"/>
      <c r="P73" s="199"/>
      <c r="Q73" s="200"/>
      <c r="R73" s="186"/>
    </row>
    <row r="74" spans="2:18" ht="15.75" customHeight="1">
      <c r="B74" s="108"/>
      <c r="J74" s="109"/>
      <c r="M74" s="199"/>
      <c r="N74" s="199"/>
      <c r="O74" s="199"/>
      <c r="P74" s="199"/>
      <c r="Q74" s="200"/>
      <c r="R74" s="186"/>
    </row>
    <row r="75" spans="2:18" ht="15.75" customHeight="1">
      <c r="B75" s="108"/>
      <c r="J75" s="109"/>
      <c r="M75" s="199"/>
      <c r="N75" s="199"/>
      <c r="O75" s="199"/>
      <c r="P75" s="199"/>
      <c r="Q75" s="200"/>
      <c r="R75" s="186"/>
    </row>
    <row r="76" spans="2:18" ht="15.75" customHeight="1">
      <c r="B76" s="108"/>
      <c r="J76" s="109"/>
      <c r="M76" s="199"/>
      <c r="N76" s="199"/>
      <c r="O76" s="199"/>
      <c r="P76" s="199"/>
      <c r="Q76" s="200"/>
      <c r="R76" s="186"/>
    </row>
    <row r="77" spans="2:18" ht="15.75" customHeight="1">
      <c r="B77" s="108"/>
      <c r="J77" s="109"/>
      <c r="M77" s="199"/>
      <c r="N77" s="199"/>
      <c r="O77" s="199"/>
      <c r="P77" s="199"/>
      <c r="Q77" s="200"/>
      <c r="R77" s="186"/>
    </row>
    <row r="78" spans="2:18" ht="15.75" customHeight="1">
      <c r="B78" s="108"/>
      <c r="J78" s="109"/>
      <c r="M78" s="199"/>
      <c r="N78" s="199"/>
      <c r="O78" s="199"/>
      <c r="P78" s="199"/>
      <c r="Q78" s="200"/>
      <c r="R78" s="186"/>
    </row>
    <row r="79" spans="2:18" ht="15.75" customHeight="1">
      <c r="B79" s="108"/>
      <c r="J79" s="109"/>
      <c r="M79" s="199"/>
      <c r="N79" s="199"/>
      <c r="O79" s="199"/>
      <c r="P79" s="199"/>
      <c r="Q79" s="200"/>
      <c r="R79" s="186"/>
    </row>
    <row r="80" spans="2:18" ht="15.75" customHeight="1">
      <c r="B80" s="108"/>
      <c r="J80" s="109"/>
      <c r="M80" s="199"/>
      <c r="N80" s="199"/>
      <c r="O80" s="199"/>
      <c r="P80" s="199"/>
      <c r="Q80" s="200"/>
      <c r="R80" s="186"/>
    </row>
    <row r="81" spans="2:18" ht="15.75" customHeight="1">
      <c r="B81" s="108"/>
      <c r="J81" s="109"/>
      <c r="M81" s="199"/>
      <c r="N81" s="199"/>
      <c r="O81" s="199"/>
      <c r="P81" s="199"/>
      <c r="Q81" s="200"/>
      <c r="R81" s="186"/>
    </row>
    <row r="82" spans="2:18" ht="15.75" customHeight="1">
      <c r="B82" s="108"/>
      <c r="J82" s="109"/>
      <c r="M82" s="199"/>
      <c r="N82" s="199"/>
      <c r="O82" s="199"/>
      <c r="P82" s="199"/>
      <c r="Q82" s="200"/>
      <c r="R82" s="186"/>
    </row>
    <row r="83" spans="2:18" ht="15.75" customHeight="1">
      <c r="B83" s="108"/>
      <c r="J83" s="109"/>
      <c r="M83" s="199"/>
      <c r="N83" s="199"/>
      <c r="O83" s="199"/>
      <c r="P83" s="199"/>
      <c r="Q83" s="200"/>
      <c r="R83" s="186"/>
    </row>
    <row r="84" spans="2:18" ht="15.75" customHeight="1">
      <c r="B84" s="108"/>
      <c r="J84" s="109"/>
      <c r="M84" s="199"/>
      <c r="N84" s="199"/>
      <c r="O84" s="199"/>
      <c r="P84" s="199"/>
      <c r="Q84" s="200"/>
      <c r="R84" s="186"/>
    </row>
    <row r="85" spans="2:18" ht="15.75" customHeight="1">
      <c r="B85" s="108"/>
      <c r="J85" s="109"/>
      <c r="M85" s="199"/>
      <c r="N85" s="199"/>
      <c r="O85" s="199"/>
      <c r="P85" s="199"/>
      <c r="Q85" s="200"/>
      <c r="R85" s="186"/>
    </row>
    <row r="86" spans="2:18" ht="15.75" customHeight="1">
      <c r="B86" s="108"/>
      <c r="J86" s="109"/>
      <c r="M86" s="199"/>
      <c r="N86" s="199"/>
      <c r="O86" s="199"/>
      <c r="P86" s="199"/>
      <c r="Q86" s="200"/>
      <c r="R86" s="186"/>
    </row>
    <row r="87" spans="2:18" ht="15.75" customHeight="1">
      <c r="B87" s="108"/>
      <c r="J87" s="109"/>
      <c r="M87" s="199"/>
      <c r="N87" s="199"/>
      <c r="O87" s="199"/>
      <c r="P87" s="199"/>
      <c r="Q87" s="200"/>
      <c r="R87" s="186"/>
    </row>
    <row r="88" spans="2:18" ht="15.75" customHeight="1">
      <c r="B88" s="108"/>
      <c r="J88" s="109"/>
      <c r="M88" s="199"/>
      <c r="N88" s="199"/>
      <c r="O88" s="199"/>
      <c r="P88" s="199"/>
      <c r="Q88" s="200"/>
      <c r="R88" s="186"/>
    </row>
    <row r="89" spans="2:18" ht="15.75" customHeight="1">
      <c r="B89" s="108"/>
      <c r="J89" s="109"/>
      <c r="M89" s="199"/>
      <c r="N89" s="199"/>
      <c r="O89" s="199"/>
      <c r="P89" s="199"/>
      <c r="Q89" s="200"/>
      <c r="R89" s="186"/>
    </row>
    <row r="90" spans="2:18" ht="15.75" customHeight="1">
      <c r="B90" s="108"/>
      <c r="J90" s="109"/>
      <c r="M90" s="199"/>
      <c r="N90" s="199"/>
      <c r="O90" s="199"/>
      <c r="P90" s="199"/>
      <c r="Q90" s="200"/>
      <c r="R90" s="186"/>
    </row>
    <row r="91" spans="2:18" ht="15.75" customHeight="1">
      <c r="B91" s="108"/>
      <c r="J91" s="109"/>
      <c r="M91" s="199"/>
      <c r="N91" s="199"/>
      <c r="O91" s="199"/>
      <c r="P91" s="199"/>
      <c r="Q91" s="200"/>
      <c r="R91" s="186"/>
    </row>
    <row r="92" spans="2:18" ht="15.75" customHeight="1">
      <c r="B92" s="108"/>
      <c r="J92" s="109"/>
      <c r="M92" s="199"/>
      <c r="N92" s="199"/>
      <c r="O92" s="199"/>
      <c r="P92" s="199"/>
      <c r="Q92" s="200"/>
      <c r="R92" s="186"/>
    </row>
    <row r="93" spans="2:18" ht="15.75" customHeight="1">
      <c r="B93" s="108"/>
      <c r="J93" s="109"/>
      <c r="M93" s="199"/>
      <c r="N93" s="199"/>
      <c r="O93" s="199"/>
      <c r="P93" s="199"/>
      <c r="Q93" s="200"/>
      <c r="R93" s="186"/>
    </row>
    <row r="94" spans="2:18" ht="15.75" customHeight="1">
      <c r="B94" s="108"/>
      <c r="J94" s="109"/>
      <c r="M94" s="199"/>
      <c r="N94" s="199"/>
      <c r="O94" s="199"/>
      <c r="P94" s="199"/>
      <c r="Q94" s="200"/>
      <c r="R94" s="186"/>
    </row>
    <row r="95" spans="2:18" ht="15.75" customHeight="1">
      <c r="B95" s="108"/>
      <c r="J95" s="109"/>
      <c r="M95" s="199"/>
      <c r="N95" s="199"/>
      <c r="O95" s="199"/>
      <c r="P95" s="199"/>
      <c r="Q95" s="200"/>
      <c r="R95" s="186"/>
    </row>
    <row r="96" spans="2:18" ht="15.75" customHeight="1">
      <c r="B96" s="108"/>
      <c r="J96" s="109"/>
      <c r="M96" s="199"/>
      <c r="N96" s="199"/>
      <c r="O96" s="199"/>
      <c r="P96" s="199"/>
      <c r="Q96" s="200"/>
      <c r="R96" s="186"/>
    </row>
    <row r="97" spans="2:18" ht="15.75" customHeight="1">
      <c r="B97" s="108"/>
      <c r="J97" s="109"/>
      <c r="M97" s="199"/>
      <c r="N97" s="199"/>
      <c r="O97" s="199"/>
      <c r="P97" s="199"/>
      <c r="Q97" s="200"/>
      <c r="R97" s="186"/>
    </row>
    <row r="98" spans="2:18" ht="15.75" customHeight="1">
      <c r="B98" s="108"/>
      <c r="J98" s="109"/>
      <c r="M98" s="199"/>
      <c r="N98" s="199"/>
      <c r="O98" s="199"/>
      <c r="P98" s="199"/>
      <c r="Q98" s="200"/>
      <c r="R98" s="186"/>
    </row>
    <row r="99" spans="2:18" ht="15.75" customHeight="1">
      <c r="B99" s="108"/>
      <c r="J99" s="109"/>
      <c r="M99" s="199"/>
      <c r="N99" s="199"/>
      <c r="O99" s="199"/>
      <c r="P99" s="199"/>
      <c r="Q99" s="200"/>
      <c r="R99" s="186"/>
    </row>
  </sheetData>
  <mergeCells count="37">
    <mergeCell ref="C22:G22"/>
    <mergeCell ref="C23:G23"/>
    <mergeCell ref="C24:G24"/>
    <mergeCell ref="C16:G16"/>
    <mergeCell ref="C17:G17"/>
    <mergeCell ref="C18:G18"/>
    <mergeCell ref="A1:I1"/>
    <mergeCell ref="A5:C5"/>
    <mergeCell ref="C12:G12"/>
    <mergeCell ref="C19:G19"/>
    <mergeCell ref="C20:G20"/>
    <mergeCell ref="C14:G14"/>
    <mergeCell ref="C15:G15"/>
    <mergeCell ref="C13:G13"/>
    <mergeCell ref="B10:B11"/>
    <mergeCell ref="A10:A11"/>
    <mergeCell ref="A3:C3"/>
    <mergeCell ref="A4:C4"/>
    <mergeCell ref="H10:H11"/>
    <mergeCell ref="I10:I11"/>
    <mergeCell ref="C10:G11"/>
    <mergeCell ref="A6:C6"/>
    <mergeCell ref="A7:C7"/>
    <mergeCell ref="A8:C8"/>
    <mergeCell ref="J33:K33"/>
    <mergeCell ref="A33:I33"/>
    <mergeCell ref="C32:G32"/>
    <mergeCell ref="C31:G31"/>
    <mergeCell ref="C26:G26"/>
    <mergeCell ref="C27:G27"/>
    <mergeCell ref="C28:G28"/>
    <mergeCell ref="C29:G29"/>
    <mergeCell ref="C30:G30"/>
    <mergeCell ref="C25:G25"/>
    <mergeCell ref="K10:K11"/>
    <mergeCell ref="J10:J11"/>
    <mergeCell ref="C21:G21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"/>
  <sheetViews>
    <sheetView topLeftCell="A10" workbookViewId="0">
      <selection activeCell="Y25" sqref="Y25"/>
    </sheetView>
  </sheetViews>
  <sheetFormatPr baseColWidth="10" defaultColWidth="14.42578125" defaultRowHeight="15" customHeight="1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3.85546875" customWidth="1"/>
    <col min="17" max="17" width="15.42578125" customWidth="1"/>
  </cols>
  <sheetData>
    <row r="1" spans="1:17">
      <c r="A1" s="287" t="s">
        <v>5</v>
      </c>
      <c r="B1" s="233"/>
      <c r="C1" s="233"/>
      <c r="D1" s="288">
        <v>2022</v>
      </c>
      <c r="E1" s="289"/>
      <c r="F1" s="110"/>
      <c r="G1" s="110"/>
      <c r="H1" s="111"/>
      <c r="I1" s="111"/>
      <c r="J1" s="111"/>
      <c r="K1" s="111"/>
      <c r="L1" s="111"/>
      <c r="M1" s="111"/>
      <c r="N1" s="111"/>
      <c r="O1" s="112"/>
      <c r="P1" s="290" t="s">
        <v>148</v>
      </c>
      <c r="Q1" s="291"/>
    </row>
    <row r="2" spans="1:17">
      <c r="A2" s="113"/>
      <c r="B2" s="73"/>
      <c r="C2" s="73"/>
      <c r="D2" s="73"/>
      <c r="E2" s="73"/>
      <c r="F2" s="73"/>
      <c r="G2" s="114"/>
      <c r="H2" s="115"/>
      <c r="I2" s="115"/>
      <c r="J2" s="115"/>
      <c r="K2" s="115"/>
      <c r="L2" s="115"/>
      <c r="M2" s="115"/>
      <c r="N2" s="115"/>
      <c r="O2" s="73"/>
      <c r="P2" s="292"/>
      <c r="Q2" s="293"/>
    </row>
    <row r="3" spans="1:17">
      <c r="A3" s="113"/>
      <c r="B3" s="73"/>
      <c r="C3" s="73"/>
      <c r="D3" s="73"/>
      <c r="E3" s="73"/>
      <c r="F3" s="73"/>
      <c r="G3" s="114"/>
      <c r="H3" s="73"/>
      <c r="I3" s="73"/>
      <c r="J3" s="73"/>
      <c r="K3" s="73"/>
      <c r="L3" s="73"/>
      <c r="M3" s="73"/>
      <c r="N3" s="73"/>
      <c r="O3" s="73"/>
      <c r="P3" s="73"/>
      <c r="Q3" s="116"/>
    </row>
    <row r="4" spans="1:17">
      <c r="A4" s="281" t="s">
        <v>149</v>
      </c>
      <c r="B4" s="229"/>
      <c r="C4" s="229"/>
      <c r="D4" s="229"/>
      <c r="E4" s="229"/>
      <c r="F4" s="268"/>
      <c r="G4" s="286" t="str">
        <f>NP!D3</f>
        <v>040 - MINISTERIO DE SALUD</v>
      </c>
      <c r="H4" s="229"/>
      <c r="I4" s="229"/>
      <c r="J4" s="229"/>
      <c r="K4" s="229"/>
      <c r="L4" s="229"/>
      <c r="M4" s="229"/>
      <c r="N4" s="229"/>
      <c r="O4" s="229"/>
      <c r="P4" s="229"/>
      <c r="Q4" s="285"/>
    </row>
    <row r="5" spans="1:17">
      <c r="A5" s="280" t="s">
        <v>130</v>
      </c>
      <c r="B5" s="229"/>
      <c r="C5" s="229"/>
      <c r="D5" s="229"/>
      <c r="E5" s="229"/>
      <c r="F5" s="268"/>
      <c r="G5" s="286" t="str">
        <f>NP!D4</f>
        <v>011 - DIRECCION PROVINCIAL DE ADMINISTRACION DEL MINISTERIO DE SALUD</v>
      </c>
      <c r="H5" s="229"/>
      <c r="I5" s="229"/>
      <c r="J5" s="229"/>
      <c r="K5" s="229"/>
      <c r="L5" s="229"/>
      <c r="M5" s="229"/>
      <c r="N5" s="229"/>
      <c r="O5" s="229"/>
      <c r="P5" s="229"/>
      <c r="Q5" s="285"/>
    </row>
    <row r="6" spans="1:17">
      <c r="A6" s="280" t="s">
        <v>132</v>
      </c>
      <c r="B6" s="229"/>
      <c r="C6" s="229"/>
      <c r="D6" s="229"/>
      <c r="E6" s="229"/>
      <c r="F6" s="268"/>
      <c r="G6" s="286" t="str">
        <f>NP!D5</f>
        <v>352 - MINISTERIO DE SALUD</v>
      </c>
      <c r="H6" s="229"/>
      <c r="I6" s="229"/>
      <c r="J6" s="229"/>
      <c r="K6" s="229"/>
      <c r="L6" s="229"/>
      <c r="M6" s="229"/>
      <c r="N6" s="229"/>
      <c r="O6" s="229"/>
      <c r="P6" s="229"/>
      <c r="Q6" s="285"/>
    </row>
    <row r="7" spans="1:17">
      <c r="A7" s="280" t="s">
        <v>134</v>
      </c>
      <c r="B7" s="229"/>
      <c r="C7" s="229"/>
      <c r="D7" s="229"/>
      <c r="E7" s="229"/>
      <c r="F7" s="268"/>
      <c r="G7" s="286" t="str">
        <f>NP!D6</f>
        <v>352 - MINISTERIO DE SALUD</v>
      </c>
      <c r="H7" s="229"/>
      <c r="I7" s="229"/>
      <c r="J7" s="229"/>
      <c r="K7" s="229"/>
      <c r="L7" s="229"/>
      <c r="M7" s="229"/>
      <c r="N7" s="229"/>
      <c r="O7" s="229"/>
      <c r="P7" s="229"/>
      <c r="Q7" s="285"/>
    </row>
    <row r="8" spans="1:17">
      <c r="A8" s="284" t="s">
        <v>150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85"/>
    </row>
    <row r="9" spans="1:17">
      <c r="A9" s="282" t="s">
        <v>151</v>
      </c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83"/>
    </row>
    <row r="10" spans="1:17" ht="75" customHeight="1">
      <c r="A10" s="263" t="s">
        <v>217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17"/>
    </row>
    <row r="11" spans="1:17" ht="15.75" thickBot="1">
      <c r="A11" s="113"/>
      <c r="B11" s="190"/>
      <c r="C11" s="190"/>
      <c r="D11" s="190"/>
      <c r="E11" s="190"/>
      <c r="F11" s="190"/>
      <c r="G11" s="191"/>
      <c r="H11" s="190"/>
      <c r="I11" s="190"/>
      <c r="J11" s="190"/>
      <c r="K11" s="190"/>
      <c r="L11" s="190"/>
      <c r="M11" s="190"/>
      <c r="N11" s="190"/>
      <c r="O11" s="190"/>
      <c r="P11" s="190"/>
      <c r="Q11" s="116"/>
    </row>
    <row r="12" spans="1:17" ht="15.75" thickBot="1">
      <c r="A12" s="264" t="s">
        <v>152</v>
      </c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6"/>
    </row>
    <row r="13" spans="1:17" ht="15.75" thickBot="1">
      <c r="A13" s="267" t="s">
        <v>153</v>
      </c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68"/>
      <c r="O13" s="269" t="s">
        <v>154</v>
      </c>
      <c r="P13" s="270"/>
      <c r="Q13" s="273" t="s">
        <v>155</v>
      </c>
    </row>
    <row r="14" spans="1:17" ht="15.75" thickBot="1">
      <c r="A14" s="193" t="s">
        <v>156</v>
      </c>
      <c r="B14" s="194" t="s">
        <v>157</v>
      </c>
      <c r="C14" s="194" t="s">
        <v>158</v>
      </c>
      <c r="D14" s="194" t="s">
        <v>159</v>
      </c>
      <c r="E14" s="194" t="s">
        <v>160</v>
      </c>
      <c r="F14" s="194" t="s">
        <v>161</v>
      </c>
      <c r="G14" s="195" t="s">
        <v>162</v>
      </c>
      <c r="H14" s="194" t="s">
        <v>163</v>
      </c>
      <c r="I14" s="194" t="s">
        <v>164</v>
      </c>
      <c r="J14" s="194" t="s">
        <v>165</v>
      </c>
      <c r="K14" s="194" t="s">
        <v>165</v>
      </c>
      <c r="L14" s="194" t="s">
        <v>166</v>
      </c>
      <c r="M14" s="196" t="s">
        <v>167</v>
      </c>
      <c r="N14" s="197" t="s">
        <v>168</v>
      </c>
      <c r="O14" s="271"/>
      <c r="P14" s="272"/>
      <c r="Q14" s="274"/>
    </row>
    <row r="15" spans="1:17" ht="34.5" customHeight="1">
      <c r="A15" s="117">
        <v>1</v>
      </c>
      <c r="B15" s="118"/>
      <c r="C15" s="118"/>
      <c r="D15" s="118">
        <v>1</v>
      </c>
      <c r="E15" s="118"/>
      <c r="F15" s="118">
        <v>4901</v>
      </c>
      <c r="G15" s="118">
        <v>3</v>
      </c>
      <c r="H15" s="118">
        <v>1</v>
      </c>
      <c r="I15" s="118">
        <v>2</v>
      </c>
      <c r="J15" s="118">
        <v>9</v>
      </c>
      <c r="K15" s="118">
        <v>5</v>
      </c>
      <c r="L15" s="118"/>
      <c r="M15" s="119">
        <v>1</v>
      </c>
      <c r="N15" s="118" t="s">
        <v>169</v>
      </c>
      <c r="O15" s="275" t="s">
        <v>170</v>
      </c>
      <c r="P15" s="276"/>
      <c r="Q15" s="192">
        <f>NP!N33</f>
        <v>2618200</v>
      </c>
    </row>
    <row r="16" spans="1:17">
      <c r="A16" s="117">
        <v>1</v>
      </c>
      <c r="B16" s="118"/>
      <c r="C16" s="118"/>
      <c r="D16" s="118">
        <v>1</v>
      </c>
      <c r="E16" s="118"/>
      <c r="F16" s="118">
        <v>4901</v>
      </c>
      <c r="G16" s="118">
        <v>3</v>
      </c>
      <c r="H16" s="118">
        <v>1</v>
      </c>
      <c r="I16" s="118">
        <v>4</v>
      </c>
      <c r="J16" s="118">
        <v>3</v>
      </c>
      <c r="K16" s="118">
        <v>3</v>
      </c>
      <c r="L16" s="118"/>
      <c r="M16" s="119">
        <v>1</v>
      </c>
      <c r="N16" s="120" t="s">
        <v>169</v>
      </c>
      <c r="O16" s="277" t="s">
        <v>171</v>
      </c>
      <c r="P16" s="262"/>
      <c r="Q16" s="121">
        <f>NP!O33</f>
        <v>9788100</v>
      </c>
    </row>
    <row r="17" spans="1:17">
      <c r="A17" s="117">
        <v>1</v>
      </c>
      <c r="B17" s="118"/>
      <c r="C17" s="118"/>
      <c r="D17" s="118">
        <v>1</v>
      </c>
      <c r="E17" s="118"/>
      <c r="F17" s="118">
        <v>4901</v>
      </c>
      <c r="G17" s="118">
        <v>3</v>
      </c>
      <c r="H17" s="118">
        <v>1</v>
      </c>
      <c r="I17" s="118">
        <v>4</v>
      </c>
      <c r="J17" s="118">
        <v>3</v>
      </c>
      <c r="K17" s="118">
        <v>9</v>
      </c>
      <c r="L17" s="118"/>
      <c r="M17" s="119">
        <v>1</v>
      </c>
      <c r="N17" s="198" t="s">
        <v>169</v>
      </c>
      <c r="O17" s="278" t="s">
        <v>203</v>
      </c>
      <c r="P17" s="279"/>
      <c r="Q17" s="121">
        <f>NP!P33</f>
        <v>59500</v>
      </c>
    </row>
    <row r="18" spans="1:17">
      <c r="A18" s="117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9"/>
      <c r="N18" s="120"/>
      <c r="O18" s="261"/>
      <c r="P18" s="262"/>
      <c r="Q18" s="121"/>
    </row>
    <row r="19" spans="1:17">
      <c r="A19" s="117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9"/>
      <c r="N19" s="120"/>
      <c r="O19" s="261"/>
      <c r="P19" s="262"/>
      <c r="Q19" s="121"/>
    </row>
    <row r="20" spans="1:17" ht="15.75" customHeight="1">
      <c r="A20" s="117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9"/>
      <c r="N20" s="120"/>
      <c r="O20" s="261"/>
      <c r="P20" s="262"/>
      <c r="Q20" s="121"/>
    </row>
    <row r="21" spans="1:17" ht="15.75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9"/>
      <c r="N21" s="120"/>
      <c r="O21" s="261"/>
      <c r="P21" s="262"/>
      <c r="Q21" s="121"/>
    </row>
    <row r="22" spans="1:17" ht="15.75" customHeight="1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9"/>
      <c r="N22" s="120"/>
      <c r="O22" s="261"/>
      <c r="P22" s="262"/>
      <c r="Q22" s="121"/>
    </row>
    <row r="23" spans="1:17" ht="15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9"/>
      <c r="N23" s="120"/>
      <c r="O23" s="261"/>
      <c r="P23" s="262"/>
      <c r="Q23" s="121"/>
    </row>
    <row r="24" spans="1:17" ht="15.75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9"/>
      <c r="N24" s="120"/>
      <c r="O24" s="261"/>
      <c r="P24" s="262"/>
      <c r="Q24" s="121"/>
    </row>
    <row r="25" spans="1:17" ht="15.75" customHeight="1">
      <c r="A25" s="117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9"/>
      <c r="N25" s="120"/>
      <c r="O25" s="261"/>
      <c r="P25" s="262"/>
      <c r="Q25" s="121"/>
    </row>
    <row r="26" spans="1:17" ht="15.7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9"/>
      <c r="N26" s="120"/>
      <c r="O26" s="261"/>
      <c r="P26" s="262"/>
      <c r="Q26" s="121"/>
    </row>
    <row r="27" spans="1:17" ht="15.7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9"/>
      <c r="N27" s="120"/>
      <c r="O27" s="261"/>
      <c r="P27" s="262"/>
      <c r="Q27" s="121"/>
    </row>
    <row r="28" spans="1:17" ht="15.75" customHeight="1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9"/>
      <c r="N28" s="120"/>
      <c r="O28" s="261"/>
      <c r="P28" s="262"/>
      <c r="Q28" s="121"/>
    </row>
    <row r="29" spans="1:17" ht="15.75" customHeight="1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9"/>
      <c r="N29" s="120"/>
      <c r="O29" s="261"/>
      <c r="P29" s="262"/>
      <c r="Q29" s="121"/>
    </row>
    <row r="30" spans="1:17" ht="15.75" customHeight="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9"/>
      <c r="N30" s="120"/>
      <c r="O30" s="261"/>
      <c r="P30" s="262"/>
      <c r="Q30" s="121"/>
    </row>
    <row r="31" spans="1:17" ht="15.75" customHeight="1">
      <c r="A31" s="117"/>
      <c r="B31" s="118"/>
      <c r="C31" s="118"/>
      <c r="D31" s="118"/>
      <c r="E31" s="118"/>
      <c r="F31" s="120"/>
      <c r="G31" s="118"/>
      <c r="H31" s="118"/>
      <c r="I31" s="118"/>
      <c r="J31" s="118"/>
      <c r="K31" s="118"/>
      <c r="L31" s="118"/>
      <c r="M31" s="119"/>
      <c r="N31" s="120"/>
      <c r="O31" s="277"/>
      <c r="P31" s="262"/>
      <c r="Q31" s="121"/>
    </row>
    <row r="32" spans="1:17" ht="15.75" customHeight="1">
      <c r="A32" s="117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  <c r="N32" s="120"/>
      <c r="O32" s="277"/>
      <c r="P32" s="262"/>
      <c r="Q32" s="121"/>
    </row>
    <row r="33" spans="1:17" ht="15.75" customHeight="1">
      <c r="A33" s="117"/>
      <c r="B33" s="118"/>
      <c r="C33" s="118"/>
      <c r="D33" s="118"/>
      <c r="E33" s="118"/>
      <c r="F33" s="120"/>
      <c r="G33" s="118"/>
      <c r="H33" s="118"/>
      <c r="I33" s="118"/>
      <c r="J33" s="118"/>
      <c r="K33" s="118"/>
      <c r="L33" s="118"/>
      <c r="M33" s="119"/>
      <c r="N33" s="120"/>
      <c r="O33" s="277"/>
      <c r="P33" s="262"/>
      <c r="Q33" s="121"/>
    </row>
    <row r="34" spans="1:17" ht="15.75" customHeight="1">
      <c r="A34" s="117"/>
      <c r="B34" s="118"/>
      <c r="C34" s="118"/>
      <c r="D34" s="118"/>
      <c r="E34" s="118"/>
      <c r="F34" s="120"/>
      <c r="G34" s="118"/>
      <c r="H34" s="118"/>
      <c r="I34" s="118"/>
      <c r="J34" s="118"/>
      <c r="K34" s="118"/>
      <c r="L34" s="118"/>
      <c r="M34" s="119"/>
      <c r="N34" s="120"/>
      <c r="O34" s="277"/>
      <c r="P34" s="262"/>
      <c r="Q34" s="121"/>
    </row>
    <row r="35" spans="1:17" ht="15.75" customHeight="1">
      <c r="A35" s="122"/>
      <c r="B35" s="123"/>
      <c r="C35" s="123"/>
      <c r="D35" s="123"/>
      <c r="E35" s="123"/>
      <c r="F35" s="120"/>
      <c r="G35" s="123"/>
      <c r="H35" s="123"/>
      <c r="I35" s="123"/>
      <c r="J35" s="123"/>
      <c r="K35" s="123"/>
      <c r="L35" s="123"/>
      <c r="M35" s="124"/>
      <c r="N35" s="125"/>
      <c r="O35" s="277"/>
      <c r="P35" s="262"/>
      <c r="Q35" s="121"/>
    </row>
    <row r="36" spans="1:17" ht="15.75" customHeight="1">
      <c r="A36" s="126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8"/>
      <c r="N36" s="127"/>
      <c r="O36" s="303"/>
      <c r="P36" s="304"/>
      <c r="Q36" s="129"/>
    </row>
    <row r="37" spans="1:17" ht="32.25" customHeight="1">
      <c r="A37" s="294" t="s">
        <v>205</v>
      </c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6"/>
      <c r="Q37" s="130">
        <f>SUM(Q15:Q36)</f>
        <v>12465800</v>
      </c>
    </row>
    <row r="38" spans="1:17" ht="15.75" customHeight="1">
      <c r="A38" s="297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83"/>
    </row>
    <row r="39" spans="1:17" ht="15.75" customHeight="1">
      <c r="A39" s="298" t="s">
        <v>172</v>
      </c>
      <c r="B39" s="233"/>
      <c r="C39" s="233"/>
      <c r="D39" s="233"/>
      <c r="E39" s="233"/>
      <c r="F39" s="289"/>
      <c r="G39" s="299"/>
      <c r="H39" s="231"/>
      <c r="I39" s="231"/>
      <c r="J39" s="231"/>
      <c r="K39" s="231"/>
      <c r="L39" s="231"/>
      <c r="M39" s="231"/>
      <c r="N39" s="231"/>
      <c r="O39" s="231"/>
      <c r="P39" s="231"/>
      <c r="Q39" s="283"/>
    </row>
    <row r="40" spans="1:17" ht="15.75" customHeight="1">
      <c r="A40" s="300" t="str">
        <f>NP!D8</f>
        <v>ADQUISICION DE EQUIPOS Y UTILES MEDICOS MENORES CON DESTINO A HOSPITALES DE LA PROVINCIA</v>
      </c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17"/>
    </row>
    <row r="41" spans="1:17" ht="15.75" customHeight="1">
      <c r="A41" s="301"/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223"/>
    </row>
    <row r="42" spans="1:17" ht="15.75" customHeight="1">
      <c r="Q42" s="109"/>
    </row>
    <row r="43" spans="1:17" ht="15.75" customHeight="1">
      <c r="Q43" s="109"/>
    </row>
    <row r="44" spans="1:17" ht="15.75" customHeight="1">
      <c r="Q44" s="109"/>
    </row>
    <row r="45" spans="1:17" ht="15.75" customHeight="1">
      <c r="Q45" s="109"/>
    </row>
    <row r="46" spans="1:17" ht="15.75" customHeight="1">
      <c r="Q46" s="109"/>
    </row>
    <row r="47" spans="1:17" ht="15.75" customHeight="1">
      <c r="Q47" s="109"/>
    </row>
    <row r="48" spans="1:17" ht="15.75" customHeight="1">
      <c r="Q48" s="109"/>
    </row>
    <row r="49" spans="17:17" ht="15.75" customHeight="1">
      <c r="Q49" s="109"/>
    </row>
    <row r="50" spans="17:17" ht="15.75" customHeight="1">
      <c r="Q50" s="109"/>
    </row>
    <row r="51" spans="17:17" ht="15.75" customHeight="1">
      <c r="Q51" s="109"/>
    </row>
    <row r="52" spans="17:17" ht="15.75" customHeight="1">
      <c r="Q52" s="109"/>
    </row>
    <row r="53" spans="17:17" ht="15.75" customHeight="1">
      <c r="Q53" s="109"/>
    </row>
    <row r="54" spans="17:17" ht="15.75" customHeight="1">
      <c r="Q54" s="109"/>
    </row>
    <row r="55" spans="17:17" ht="15.75" customHeight="1">
      <c r="Q55" s="109"/>
    </row>
    <row r="56" spans="17:17" ht="15.75" customHeight="1">
      <c r="Q56" s="109"/>
    </row>
    <row r="57" spans="17:17" ht="15.75" customHeight="1">
      <c r="Q57" s="109"/>
    </row>
    <row r="58" spans="17:17" ht="15.75" customHeight="1">
      <c r="Q58" s="109"/>
    </row>
    <row r="59" spans="17:17" ht="15.75" customHeight="1">
      <c r="Q59" s="109"/>
    </row>
    <row r="60" spans="17:17" ht="15.75" customHeight="1">
      <c r="Q60" s="109"/>
    </row>
    <row r="61" spans="17:17" ht="15.75" customHeight="1">
      <c r="Q61" s="109"/>
    </row>
    <row r="62" spans="17:17" ht="15.75" customHeight="1">
      <c r="Q62" s="109"/>
    </row>
    <row r="63" spans="17:17" ht="15.75" customHeight="1">
      <c r="Q63" s="109"/>
    </row>
    <row r="64" spans="17:17" ht="15.75" customHeight="1">
      <c r="Q64" s="109"/>
    </row>
    <row r="65" spans="17:17" ht="15.75" customHeight="1">
      <c r="Q65" s="109"/>
    </row>
    <row r="66" spans="17:17" ht="15.75" customHeight="1">
      <c r="Q66" s="109"/>
    </row>
    <row r="67" spans="17:17" ht="15.75" customHeight="1">
      <c r="Q67" s="109"/>
    </row>
    <row r="68" spans="17:17" ht="15.75" customHeight="1">
      <c r="Q68" s="109"/>
    </row>
    <row r="69" spans="17:17" ht="15.75" customHeight="1">
      <c r="Q69" s="109"/>
    </row>
    <row r="70" spans="17:17" ht="15.75" customHeight="1">
      <c r="Q70" s="109"/>
    </row>
    <row r="71" spans="17:17" ht="15.75" customHeight="1">
      <c r="Q71" s="109"/>
    </row>
    <row r="72" spans="17:17" ht="15.75" customHeight="1">
      <c r="Q72" s="109"/>
    </row>
    <row r="73" spans="17:17" ht="15.75" customHeight="1">
      <c r="Q73" s="109"/>
    </row>
    <row r="74" spans="17:17" ht="15.75" customHeight="1">
      <c r="Q74" s="109"/>
    </row>
    <row r="75" spans="17:17" ht="15.75" customHeight="1">
      <c r="Q75" s="109"/>
    </row>
    <row r="76" spans="17:17" ht="15.75" customHeight="1">
      <c r="Q76" s="109"/>
    </row>
    <row r="77" spans="17:17" ht="15.75" customHeight="1">
      <c r="Q77" s="109"/>
    </row>
    <row r="78" spans="17:17" ht="15.75" customHeight="1">
      <c r="Q78" s="109"/>
    </row>
    <row r="79" spans="17:17" ht="15.75" customHeight="1">
      <c r="Q79" s="109"/>
    </row>
    <row r="80" spans="17:17" ht="15.75" customHeight="1">
      <c r="Q80" s="109"/>
    </row>
    <row r="81" spans="17:17" ht="15.75" customHeight="1">
      <c r="Q81" s="109"/>
    </row>
    <row r="82" spans="17:17" ht="15.75" customHeight="1">
      <c r="Q82" s="109"/>
    </row>
    <row r="83" spans="17:17" ht="15.75" customHeight="1">
      <c r="Q83" s="109"/>
    </row>
    <row r="84" spans="17:17" ht="15.75" customHeight="1">
      <c r="Q84" s="109"/>
    </row>
    <row r="85" spans="17:17" ht="15.75" customHeight="1">
      <c r="Q85" s="109"/>
    </row>
    <row r="86" spans="17:17" ht="15.75" customHeight="1">
      <c r="Q86" s="109"/>
    </row>
    <row r="87" spans="17:17" ht="15.75" customHeight="1">
      <c r="Q87" s="109"/>
    </row>
    <row r="88" spans="17:17" ht="15.75" customHeight="1">
      <c r="Q88" s="109"/>
    </row>
    <row r="89" spans="17:17" ht="15.75" customHeight="1">
      <c r="Q89" s="109"/>
    </row>
    <row r="90" spans="17:17" ht="15.75" customHeight="1">
      <c r="Q90" s="109"/>
    </row>
    <row r="91" spans="17:17" ht="15.75" customHeight="1">
      <c r="Q91" s="109"/>
    </row>
    <row r="92" spans="17:17" ht="15.75" customHeight="1">
      <c r="Q92" s="109"/>
    </row>
    <row r="93" spans="17:17" ht="15.75" customHeight="1">
      <c r="Q93" s="109"/>
    </row>
    <row r="94" spans="17:17" ht="15.75" customHeight="1">
      <c r="Q94" s="109"/>
    </row>
    <row r="95" spans="17:17" ht="15.75" customHeight="1">
      <c r="Q95" s="109"/>
    </row>
    <row r="96" spans="17:17" ht="15.75" customHeight="1">
      <c r="Q96" s="109"/>
    </row>
    <row r="97" spans="17:17" ht="15.75" customHeight="1">
      <c r="Q97" s="109"/>
    </row>
    <row r="98" spans="17:17" ht="15.75" customHeight="1">
      <c r="Q98" s="109"/>
    </row>
    <row r="99" spans="17:17" ht="15.75" customHeight="1">
      <c r="Q99" s="109"/>
    </row>
  </sheetData>
  <mergeCells count="45">
    <mergeCell ref="O22:P22"/>
    <mergeCell ref="O23:P23"/>
    <mergeCell ref="O24:P24"/>
    <mergeCell ref="O25:P25"/>
    <mergeCell ref="O26:P26"/>
    <mergeCell ref="O33:P33"/>
    <mergeCell ref="O34:P34"/>
    <mergeCell ref="O35:P35"/>
    <mergeCell ref="O36:P36"/>
    <mergeCell ref="O27:P27"/>
    <mergeCell ref="O28:P28"/>
    <mergeCell ref="O29:P29"/>
    <mergeCell ref="O30:P30"/>
    <mergeCell ref="O32:P32"/>
    <mergeCell ref="O31:P31"/>
    <mergeCell ref="A37:P37"/>
    <mergeCell ref="A38:Q38"/>
    <mergeCell ref="A39:F39"/>
    <mergeCell ref="G39:Q39"/>
    <mergeCell ref="A40:Q41"/>
    <mergeCell ref="A1:C1"/>
    <mergeCell ref="D1:E1"/>
    <mergeCell ref="P1:Q2"/>
    <mergeCell ref="G4:Q4"/>
    <mergeCell ref="G5:Q5"/>
    <mergeCell ref="A5:F5"/>
    <mergeCell ref="A6:F6"/>
    <mergeCell ref="A4:F4"/>
    <mergeCell ref="A7:F7"/>
    <mergeCell ref="A9:Q9"/>
    <mergeCell ref="A8:Q8"/>
    <mergeCell ref="G6:Q6"/>
    <mergeCell ref="G7:Q7"/>
    <mergeCell ref="O18:P18"/>
    <mergeCell ref="O19:P19"/>
    <mergeCell ref="O21:P21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2022-06-07T21:58:46Z</dcterms:modified>
</cp:coreProperties>
</file>